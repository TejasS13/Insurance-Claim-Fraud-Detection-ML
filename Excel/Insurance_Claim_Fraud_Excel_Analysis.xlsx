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530" windowHeight="7310" tabRatio="500" firstSheet="2" activeTab="6"/>
  </bookViews>
  <sheets>
    <sheet name="Summary_Dashboard" sheetId="1" r:id="rId1"/>
    <sheet name="Raw_Claims_Data" sheetId="2" r:id="rId2"/>
    <sheet name="Cleaned_Data" sheetId="3" r:id="rId3"/>
    <sheet name="Pivot_Analysis" sheetId="4" r:id="rId4"/>
    <sheet name="Lookup_Examples" sheetId="5" r:id="rId5"/>
    <sheet name="Agents" sheetId="6" r:id="rId6"/>
    <sheet name="Vendors" sheetId="7" r:id="rId7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004" i="3" l="1"/>
  <c r="N3004" i="3"/>
  <c r="M3004" i="3"/>
  <c r="L3004" i="3"/>
  <c r="K3004" i="3"/>
  <c r="J3004" i="3"/>
  <c r="I3004" i="3"/>
  <c r="H3004" i="3"/>
  <c r="G3004" i="3"/>
  <c r="F3004" i="3"/>
  <c r="E3004" i="3"/>
  <c r="D3004" i="3"/>
  <c r="C3004" i="3"/>
  <c r="B3004" i="3"/>
  <c r="A3004" i="3"/>
  <c r="O3003" i="3"/>
  <c r="N3003" i="3"/>
  <c r="M3003" i="3"/>
  <c r="L3003" i="3"/>
  <c r="K3003" i="3"/>
  <c r="J3003" i="3"/>
  <c r="I3003" i="3"/>
  <c r="H3003" i="3"/>
  <c r="G3003" i="3"/>
  <c r="F3003" i="3"/>
  <c r="E3003" i="3"/>
  <c r="D3003" i="3"/>
  <c r="C3003" i="3"/>
  <c r="B3003" i="3"/>
  <c r="A3003" i="3"/>
  <c r="O3002" i="3"/>
  <c r="N3002" i="3"/>
  <c r="M3002" i="3"/>
  <c r="L3002" i="3"/>
  <c r="K3002" i="3"/>
  <c r="J3002" i="3"/>
  <c r="I3002" i="3"/>
  <c r="H3002" i="3"/>
  <c r="G3002" i="3"/>
  <c r="F3002" i="3"/>
  <c r="E3002" i="3"/>
  <c r="D3002" i="3"/>
  <c r="C3002" i="3"/>
  <c r="B3002" i="3"/>
  <c r="A3002" i="3"/>
  <c r="O3001" i="3"/>
  <c r="N3001" i="3"/>
  <c r="M3001" i="3"/>
  <c r="L3001" i="3"/>
  <c r="K3001" i="3"/>
  <c r="J3001" i="3"/>
  <c r="I3001" i="3"/>
  <c r="H3001" i="3"/>
  <c r="G3001" i="3"/>
  <c r="F3001" i="3"/>
  <c r="E3001" i="3"/>
  <c r="D3001" i="3"/>
  <c r="C3001" i="3"/>
  <c r="B3001" i="3"/>
  <c r="A3001" i="3"/>
  <c r="O3000" i="3"/>
  <c r="N3000" i="3"/>
  <c r="M3000" i="3"/>
  <c r="L3000" i="3"/>
  <c r="K3000" i="3"/>
  <c r="J3000" i="3"/>
  <c r="I3000" i="3"/>
  <c r="H3000" i="3"/>
  <c r="G3000" i="3"/>
  <c r="F3000" i="3"/>
  <c r="E3000" i="3"/>
  <c r="D3000" i="3"/>
  <c r="C3000" i="3"/>
  <c r="B3000" i="3"/>
  <c r="A3000" i="3"/>
  <c r="O2999" i="3"/>
  <c r="N2999" i="3"/>
  <c r="M2999" i="3"/>
  <c r="L2999" i="3"/>
  <c r="K2999" i="3"/>
  <c r="J2999" i="3"/>
  <c r="I2999" i="3"/>
  <c r="H2999" i="3"/>
  <c r="G2999" i="3"/>
  <c r="F2999" i="3"/>
  <c r="E2999" i="3"/>
  <c r="D2999" i="3"/>
  <c r="C2999" i="3"/>
  <c r="B2999" i="3"/>
  <c r="A2999" i="3"/>
  <c r="O2998" i="3"/>
  <c r="N2998" i="3"/>
  <c r="M2998" i="3"/>
  <c r="L2998" i="3"/>
  <c r="K2998" i="3"/>
  <c r="J2998" i="3"/>
  <c r="I2998" i="3"/>
  <c r="H2998" i="3"/>
  <c r="G2998" i="3"/>
  <c r="F2998" i="3"/>
  <c r="E2998" i="3"/>
  <c r="D2998" i="3"/>
  <c r="C2998" i="3"/>
  <c r="B2998" i="3"/>
  <c r="A2998" i="3"/>
  <c r="O2997" i="3"/>
  <c r="N2997" i="3"/>
  <c r="M2997" i="3"/>
  <c r="L2997" i="3"/>
  <c r="K2997" i="3"/>
  <c r="J2997" i="3"/>
  <c r="I2997" i="3"/>
  <c r="H2997" i="3"/>
  <c r="G2997" i="3"/>
  <c r="F2997" i="3"/>
  <c r="E2997" i="3"/>
  <c r="D2997" i="3"/>
  <c r="C2997" i="3"/>
  <c r="B2997" i="3"/>
  <c r="A2997" i="3"/>
  <c r="O2996" i="3"/>
  <c r="N2996" i="3"/>
  <c r="M2996" i="3"/>
  <c r="L2996" i="3"/>
  <c r="K2996" i="3"/>
  <c r="J2996" i="3"/>
  <c r="I2996" i="3"/>
  <c r="H2996" i="3"/>
  <c r="G2996" i="3"/>
  <c r="F2996" i="3"/>
  <c r="E2996" i="3"/>
  <c r="D2996" i="3"/>
  <c r="C2996" i="3"/>
  <c r="B2996" i="3"/>
  <c r="A2996" i="3"/>
  <c r="O2995" i="3"/>
  <c r="N2995" i="3"/>
  <c r="M2995" i="3"/>
  <c r="L2995" i="3"/>
  <c r="K2995" i="3"/>
  <c r="J2995" i="3"/>
  <c r="I2995" i="3"/>
  <c r="H2995" i="3"/>
  <c r="G2995" i="3"/>
  <c r="F2995" i="3"/>
  <c r="E2995" i="3"/>
  <c r="D2995" i="3"/>
  <c r="C2995" i="3"/>
  <c r="B2995" i="3"/>
  <c r="A2995" i="3"/>
  <c r="O2994" i="3"/>
  <c r="N2994" i="3"/>
  <c r="M2994" i="3"/>
  <c r="L2994" i="3"/>
  <c r="K2994" i="3"/>
  <c r="J2994" i="3"/>
  <c r="I2994" i="3"/>
  <c r="H2994" i="3"/>
  <c r="G2994" i="3"/>
  <c r="F2994" i="3"/>
  <c r="E2994" i="3"/>
  <c r="D2994" i="3"/>
  <c r="C2994" i="3"/>
  <c r="B2994" i="3"/>
  <c r="A2994" i="3"/>
  <c r="O2993" i="3"/>
  <c r="N2993" i="3"/>
  <c r="M2993" i="3"/>
  <c r="L2993" i="3"/>
  <c r="K2993" i="3"/>
  <c r="J2993" i="3"/>
  <c r="I2993" i="3"/>
  <c r="H2993" i="3"/>
  <c r="G2993" i="3"/>
  <c r="F2993" i="3"/>
  <c r="E2993" i="3"/>
  <c r="D2993" i="3"/>
  <c r="C2993" i="3"/>
  <c r="B2993" i="3"/>
  <c r="A2993" i="3"/>
  <c r="O2992" i="3"/>
  <c r="N2992" i="3"/>
  <c r="M2992" i="3"/>
  <c r="L2992" i="3"/>
  <c r="K2992" i="3"/>
  <c r="J2992" i="3"/>
  <c r="I2992" i="3"/>
  <c r="H2992" i="3"/>
  <c r="G2992" i="3"/>
  <c r="F2992" i="3"/>
  <c r="E2992" i="3"/>
  <c r="D2992" i="3"/>
  <c r="C2992" i="3"/>
  <c r="B2992" i="3"/>
  <c r="A2992" i="3"/>
  <c r="O2991" i="3"/>
  <c r="N2991" i="3"/>
  <c r="M2991" i="3"/>
  <c r="L2991" i="3"/>
  <c r="K2991" i="3"/>
  <c r="J2991" i="3"/>
  <c r="I2991" i="3"/>
  <c r="H2991" i="3"/>
  <c r="G2991" i="3"/>
  <c r="F2991" i="3"/>
  <c r="E2991" i="3"/>
  <c r="D2991" i="3"/>
  <c r="C2991" i="3"/>
  <c r="B2991" i="3"/>
  <c r="A2991" i="3"/>
  <c r="O2990" i="3"/>
  <c r="N2990" i="3"/>
  <c r="M2990" i="3"/>
  <c r="L2990" i="3"/>
  <c r="K2990" i="3"/>
  <c r="J2990" i="3"/>
  <c r="I2990" i="3"/>
  <c r="H2990" i="3"/>
  <c r="G2990" i="3"/>
  <c r="F2990" i="3"/>
  <c r="E2990" i="3"/>
  <c r="D2990" i="3"/>
  <c r="C2990" i="3"/>
  <c r="B2990" i="3"/>
  <c r="A2990" i="3"/>
  <c r="O2989" i="3"/>
  <c r="N2989" i="3"/>
  <c r="M2989" i="3"/>
  <c r="L2989" i="3"/>
  <c r="K2989" i="3"/>
  <c r="J2989" i="3"/>
  <c r="I2989" i="3"/>
  <c r="H2989" i="3"/>
  <c r="G2989" i="3"/>
  <c r="F2989" i="3"/>
  <c r="E2989" i="3"/>
  <c r="D2989" i="3"/>
  <c r="C2989" i="3"/>
  <c r="B2989" i="3"/>
  <c r="A2989" i="3"/>
  <c r="O2988" i="3"/>
  <c r="N2988" i="3"/>
  <c r="M2988" i="3"/>
  <c r="L2988" i="3"/>
  <c r="K2988" i="3"/>
  <c r="J2988" i="3"/>
  <c r="I2988" i="3"/>
  <c r="H2988" i="3"/>
  <c r="G2988" i="3"/>
  <c r="F2988" i="3"/>
  <c r="E2988" i="3"/>
  <c r="D2988" i="3"/>
  <c r="C2988" i="3"/>
  <c r="B2988" i="3"/>
  <c r="A2988" i="3"/>
  <c r="O2987" i="3"/>
  <c r="N2987" i="3"/>
  <c r="M2987" i="3"/>
  <c r="L2987" i="3"/>
  <c r="K2987" i="3"/>
  <c r="J2987" i="3"/>
  <c r="I2987" i="3"/>
  <c r="H2987" i="3"/>
  <c r="G2987" i="3"/>
  <c r="F2987" i="3"/>
  <c r="E2987" i="3"/>
  <c r="D2987" i="3"/>
  <c r="C2987" i="3"/>
  <c r="B2987" i="3"/>
  <c r="A2987" i="3"/>
  <c r="O2986" i="3"/>
  <c r="N2986" i="3"/>
  <c r="M2986" i="3"/>
  <c r="L2986" i="3"/>
  <c r="K2986" i="3"/>
  <c r="J2986" i="3"/>
  <c r="I2986" i="3"/>
  <c r="H2986" i="3"/>
  <c r="G2986" i="3"/>
  <c r="F2986" i="3"/>
  <c r="E2986" i="3"/>
  <c r="D2986" i="3"/>
  <c r="C2986" i="3"/>
  <c r="B2986" i="3"/>
  <c r="A2986" i="3"/>
  <c r="O2985" i="3"/>
  <c r="N2985" i="3"/>
  <c r="M2985" i="3"/>
  <c r="L2985" i="3"/>
  <c r="K2985" i="3"/>
  <c r="J2985" i="3"/>
  <c r="I2985" i="3"/>
  <c r="H2985" i="3"/>
  <c r="G2985" i="3"/>
  <c r="F2985" i="3"/>
  <c r="E2985" i="3"/>
  <c r="D2985" i="3"/>
  <c r="C2985" i="3"/>
  <c r="B2985" i="3"/>
  <c r="A2985" i="3"/>
  <c r="O2984" i="3"/>
  <c r="N2984" i="3"/>
  <c r="M2984" i="3"/>
  <c r="L2984" i="3"/>
  <c r="K2984" i="3"/>
  <c r="J2984" i="3"/>
  <c r="I2984" i="3"/>
  <c r="H2984" i="3"/>
  <c r="G2984" i="3"/>
  <c r="F2984" i="3"/>
  <c r="E2984" i="3"/>
  <c r="D2984" i="3"/>
  <c r="C2984" i="3"/>
  <c r="B2984" i="3"/>
  <c r="A2984" i="3"/>
  <c r="O2983" i="3"/>
  <c r="N2983" i="3"/>
  <c r="M2983" i="3"/>
  <c r="L2983" i="3"/>
  <c r="K2983" i="3"/>
  <c r="J2983" i="3"/>
  <c r="I2983" i="3"/>
  <c r="H2983" i="3"/>
  <c r="G2983" i="3"/>
  <c r="F2983" i="3"/>
  <c r="E2983" i="3"/>
  <c r="D2983" i="3"/>
  <c r="C2983" i="3"/>
  <c r="B2983" i="3"/>
  <c r="A2983" i="3"/>
  <c r="O2982" i="3"/>
  <c r="N2982" i="3"/>
  <c r="M2982" i="3"/>
  <c r="L2982" i="3"/>
  <c r="K2982" i="3"/>
  <c r="J2982" i="3"/>
  <c r="I2982" i="3"/>
  <c r="H2982" i="3"/>
  <c r="G2982" i="3"/>
  <c r="F2982" i="3"/>
  <c r="E2982" i="3"/>
  <c r="D2982" i="3"/>
  <c r="C2982" i="3"/>
  <c r="B2982" i="3"/>
  <c r="A2982" i="3"/>
  <c r="O2981" i="3"/>
  <c r="N2981" i="3"/>
  <c r="M2981" i="3"/>
  <c r="L2981" i="3"/>
  <c r="K2981" i="3"/>
  <c r="J2981" i="3"/>
  <c r="I2981" i="3"/>
  <c r="H2981" i="3"/>
  <c r="G2981" i="3"/>
  <c r="F2981" i="3"/>
  <c r="E2981" i="3"/>
  <c r="D2981" i="3"/>
  <c r="C2981" i="3"/>
  <c r="B2981" i="3"/>
  <c r="A2981" i="3"/>
  <c r="O2980" i="3"/>
  <c r="N2980" i="3"/>
  <c r="M2980" i="3"/>
  <c r="L2980" i="3"/>
  <c r="K2980" i="3"/>
  <c r="J2980" i="3"/>
  <c r="I2980" i="3"/>
  <c r="H2980" i="3"/>
  <c r="G2980" i="3"/>
  <c r="F2980" i="3"/>
  <c r="E2980" i="3"/>
  <c r="D2980" i="3"/>
  <c r="C2980" i="3"/>
  <c r="B2980" i="3"/>
  <c r="A2980" i="3"/>
  <c r="O2979" i="3"/>
  <c r="N2979" i="3"/>
  <c r="M2979" i="3"/>
  <c r="L2979" i="3"/>
  <c r="K2979" i="3"/>
  <c r="J2979" i="3"/>
  <c r="I2979" i="3"/>
  <c r="H2979" i="3"/>
  <c r="G2979" i="3"/>
  <c r="F2979" i="3"/>
  <c r="E2979" i="3"/>
  <c r="D2979" i="3"/>
  <c r="C2979" i="3"/>
  <c r="B2979" i="3"/>
  <c r="A2979" i="3"/>
  <c r="O2978" i="3"/>
  <c r="N2978" i="3"/>
  <c r="M2978" i="3"/>
  <c r="L2978" i="3"/>
  <c r="K2978" i="3"/>
  <c r="J2978" i="3"/>
  <c r="I2978" i="3"/>
  <c r="H2978" i="3"/>
  <c r="G2978" i="3"/>
  <c r="F2978" i="3"/>
  <c r="E2978" i="3"/>
  <c r="D2978" i="3"/>
  <c r="C2978" i="3"/>
  <c r="B2978" i="3"/>
  <c r="A2978" i="3"/>
  <c r="O2977" i="3"/>
  <c r="N2977" i="3"/>
  <c r="M2977" i="3"/>
  <c r="L2977" i="3"/>
  <c r="K2977" i="3"/>
  <c r="J2977" i="3"/>
  <c r="I2977" i="3"/>
  <c r="H2977" i="3"/>
  <c r="G2977" i="3"/>
  <c r="F2977" i="3"/>
  <c r="E2977" i="3"/>
  <c r="D2977" i="3"/>
  <c r="C2977" i="3"/>
  <c r="B2977" i="3"/>
  <c r="A2977" i="3"/>
  <c r="O2976" i="3"/>
  <c r="N2976" i="3"/>
  <c r="M2976" i="3"/>
  <c r="L2976" i="3"/>
  <c r="K2976" i="3"/>
  <c r="J2976" i="3"/>
  <c r="I2976" i="3"/>
  <c r="H2976" i="3"/>
  <c r="G2976" i="3"/>
  <c r="F2976" i="3"/>
  <c r="E2976" i="3"/>
  <c r="D2976" i="3"/>
  <c r="C2976" i="3"/>
  <c r="B2976" i="3"/>
  <c r="A2976" i="3"/>
  <c r="O2975" i="3"/>
  <c r="N2975" i="3"/>
  <c r="M2975" i="3"/>
  <c r="L2975" i="3"/>
  <c r="K2975" i="3"/>
  <c r="J2975" i="3"/>
  <c r="I2975" i="3"/>
  <c r="H2975" i="3"/>
  <c r="G2975" i="3"/>
  <c r="F2975" i="3"/>
  <c r="E2975" i="3"/>
  <c r="D2975" i="3"/>
  <c r="C2975" i="3"/>
  <c r="B2975" i="3"/>
  <c r="A2975" i="3"/>
  <c r="O2974" i="3"/>
  <c r="N2974" i="3"/>
  <c r="M2974" i="3"/>
  <c r="L2974" i="3"/>
  <c r="K2974" i="3"/>
  <c r="J2974" i="3"/>
  <c r="I2974" i="3"/>
  <c r="H2974" i="3"/>
  <c r="G2974" i="3"/>
  <c r="F2974" i="3"/>
  <c r="E2974" i="3"/>
  <c r="D2974" i="3"/>
  <c r="C2974" i="3"/>
  <c r="B2974" i="3"/>
  <c r="A2974" i="3"/>
  <c r="O2973" i="3"/>
  <c r="N2973" i="3"/>
  <c r="M2973" i="3"/>
  <c r="L2973" i="3"/>
  <c r="K2973" i="3"/>
  <c r="J2973" i="3"/>
  <c r="I2973" i="3"/>
  <c r="H2973" i="3"/>
  <c r="G2973" i="3"/>
  <c r="F2973" i="3"/>
  <c r="E2973" i="3"/>
  <c r="D2973" i="3"/>
  <c r="C2973" i="3"/>
  <c r="B2973" i="3"/>
  <c r="A2973" i="3"/>
  <c r="O2972" i="3"/>
  <c r="N2972" i="3"/>
  <c r="M2972" i="3"/>
  <c r="L2972" i="3"/>
  <c r="K2972" i="3"/>
  <c r="J2972" i="3"/>
  <c r="I2972" i="3"/>
  <c r="H2972" i="3"/>
  <c r="G2972" i="3"/>
  <c r="F2972" i="3"/>
  <c r="E2972" i="3"/>
  <c r="D2972" i="3"/>
  <c r="C2972" i="3"/>
  <c r="B2972" i="3"/>
  <c r="A2972" i="3"/>
  <c r="O2971" i="3"/>
  <c r="N2971" i="3"/>
  <c r="M2971" i="3"/>
  <c r="L2971" i="3"/>
  <c r="K2971" i="3"/>
  <c r="J2971" i="3"/>
  <c r="I2971" i="3"/>
  <c r="H2971" i="3"/>
  <c r="G2971" i="3"/>
  <c r="F2971" i="3"/>
  <c r="E2971" i="3"/>
  <c r="D2971" i="3"/>
  <c r="C2971" i="3"/>
  <c r="B2971" i="3"/>
  <c r="A2971" i="3"/>
  <c r="O2970" i="3"/>
  <c r="N2970" i="3"/>
  <c r="M2970" i="3"/>
  <c r="L2970" i="3"/>
  <c r="K2970" i="3"/>
  <c r="J2970" i="3"/>
  <c r="I2970" i="3"/>
  <c r="H2970" i="3"/>
  <c r="G2970" i="3"/>
  <c r="F2970" i="3"/>
  <c r="E2970" i="3"/>
  <c r="D2970" i="3"/>
  <c r="C2970" i="3"/>
  <c r="B2970" i="3"/>
  <c r="A2970" i="3"/>
  <c r="O2969" i="3"/>
  <c r="N2969" i="3"/>
  <c r="M2969" i="3"/>
  <c r="L2969" i="3"/>
  <c r="K2969" i="3"/>
  <c r="J2969" i="3"/>
  <c r="I2969" i="3"/>
  <c r="H2969" i="3"/>
  <c r="G2969" i="3"/>
  <c r="F2969" i="3"/>
  <c r="E2969" i="3"/>
  <c r="D2969" i="3"/>
  <c r="C2969" i="3"/>
  <c r="B2969" i="3"/>
  <c r="A2969" i="3"/>
  <c r="O2968" i="3"/>
  <c r="N2968" i="3"/>
  <c r="M2968" i="3"/>
  <c r="L2968" i="3"/>
  <c r="K2968" i="3"/>
  <c r="J2968" i="3"/>
  <c r="I2968" i="3"/>
  <c r="H2968" i="3"/>
  <c r="G2968" i="3"/>
  <c r="F2968" i="3"/>
  <c r="E2968" i="3"/>
  <c r="D2968" i="3"/>
  <c r="C2968" i="3"/>
  <c r="B2968" i="3"/>
  <c r="A2968" i="3"/>
  <c r="O2967" i="3"/>
  <c r="N2967" i="3"/>
  <c r="M2967" i="3"/>
  <c r="L2967" i="3"/>
  <c r="K2967" i="3"/>
  <c r="J2967" i="3"/>
  <c r="I2967" i="3"/>
  <c r="H2967" i="3"/>
  <c r="G2967" i="3"/>
  <c r="F2967" i="3"/>
  <c r="E2967" i="3"/>
  <c r="D2967" i="3"/>
  <c r="C2967" i="3"/>
  <c r="B2967" i="3"/>
  <c r="A2967" i="3"/>
  <c r="O2966" i="3"/>
  <c r="N2966" i="3"/>
  <c r="M2966" i="3"/>
  <c r="L2966" i="3"/>
  <c r="K2966" i="3"/>
  <c r="J2966" i="3"/>
  <c r="I2966" i="3"/>
  <c r="H2966" i="3"/>
  <c r="G2966" i="3"/>
  <c r="F2966" i="3"/>
  <c r="E2966" i="3"/>
  <c r="D2966" i="3"/>
  <c r="C2966" i="3"/>
  <c r="B2966" i="3"/>
  <c r="A2966" i="3"/>
  <c r="O2965" i="3"/>
  <c r="N2965" i="3"/>
  <c r="M2965" i="3"/>
  <c r="L2965" i="3"/>
  <c r="K2965" i="3"/>
  <c r="J2965" i="3"/>
  <c r="I2965" i="3"/>
  <c r="H2965" i="3"/>
  <c r="G2965" i="3"/>
  <c r="F2965" i="3"/>
  <c r="E2965" i="3"/>
  <c r="D2965" i="3"/>
  <c r="C2965" i="3"/>
  <c r="B2965" i="3"/>
  <c r="A2965" i="3"/>
  <c r="O2964" i="3"/>
  <c r="N2964" i="3"/>
  <c r="M2964" i="3"/>
  <c r="L2964" i="3"/>
  <c r="K2964" i="3"/>
  <c r="J2964" i="3"/>
  <c r="I2964" i="3"/>
  <c r="H2964" i="3"/>
  <c r="G2964" i="3"/>
  <c r="F2964" i="3"/>
  <c r="E2964" i="3"/>
  <c r="D2964" i="3"/>
  <c r="C2964" i="3"/>
  <c r="B2964" i="3"/>
  <c r="A2964" i="3"/>
  <c r="O2963" i="3"/>
  <c r="N2963" i="3"/>
  <c r="M2963" i="3"/>
  <c r="L2963" i="3"/>
  <c r="K2963" i="3"/>
  <c r="J2963" i="3"/>
  <c r="I2963" i="3"/>
  <c r="H2963" i="3"/>
  <c r="G2963" i="3"/>
  <c r="F2963" i="3"/>
  <c r="E2963" i="3"/>
  <c r="D2963" i="3"/>
  <c r="C2963" i="3"/>
  <c r="B2963" i="3"/>
  <c r="A2963" i="3"/>
  <c r="O2962" i="3"/>
  <c r="N2962" i="3"/>
  <c r="M2962" i="3"/>
  <c r="L2962" i="3"/>
  <c r="K2962" i="3"/>
  <c r="J2962" i="3"/>
  <c r="I2962" i="3"/>
  <c r="H2962" i="3"/>
  <c r="G2962" i="3"/>
  <c r="F2962" i="3"/>
  <c r="E2962" i="3"/>
  <c r="D2962" i="3"/>
  <c r="C2962" i="3"/>
  <c r="B2962" i="3"/>
  <c r="A2962" i="3"/>
  <c r="O2961" i="3"/>
  <c r="N2961" i="3"/>
  <c r="M2961" i="3"/>
  <c r="L2961" i="3"/>
  <c r="K2961" i="3"/>
  <c r="J2961" i="3"/>
  <c r="I2961" i="3"/>
  <c r="H2961" i="3"/>
  <c r="G2961" i="3"/>
  <c r="F2961" i="3"/>
  <c r="E2961" i="3"/>
  <c r="D2961" i="3"/>
  <c r="C2961" i="3"/>
  <c r="B2961" i="3"/>
  <c r="A2961" i="3"/>
  <c r="O2960" i="3"/>
  <c r="N2960" i="3"/>
  <c r="M2960" i="3"/>
  <c r="L2960" i="3"/>
  <c r="K2960" i="3"/>
  <c r="J2960" i="3"/>
  <c r="I2960" i="3"/>
  <c r="H2960" i="3"/>
  <c r="G2960" i="3"/>
  <c r="F2960" i="3"/>
  <c r="E2960" i="3"/>
  <c r="D2960" i="3"/>
  <c r="C2960" i="3"/>
  <c r="B2960" i="3"/>
  <c r="A2960" i="3"/>
  <c r="O2959" i="3"/>
  <c r="N2959" i="3"/>
  <c r="M2959" i="3"/>
  <c r="L2959" i="3"/>
  <c r="K2959" i="3"/>
  <c r="J2959" i="3"/>
  <c r="I2959" i="3"/>
  <c r="H2959" i="3"/>
  <c r="G2959" i="3"/>
  <c r="F2959" i="3"/>
  <c r="E2959" i="3"/>
  <c r="D2959" i="3"/>
  <c r="C2959" i="3"/>
  <c r="B2959" i="3"/>
  <c r="A2959" i="3"/>
  <c r="O2958" i="3"/>
  <c r="N2958" i="3"/>
  <c r="M2958" i="3"/>
  <c r="L2958" i="3"/>
  <c r="K2958" i="3"/>
  <c r="J2958" i="3"/>
  <c r="I2958" i="3"/>
  <c r="H2958" i="3"/>
  <c r="G2958" i="3"/>
  <c r="F2958" i="3"/>
  <c r="E2958" i="3"/>
  <c r="D2958" i="3"/>
  <c r="C2958" i="3"/>
  <c r="B2958" i="3"/>
  <c r="A2958" i="3"/>
  <c r="O2957" i="3"/>
  <c r="N2957" i="3"/>
  <c r="M2957" i="3"/>
  <c r="L2957" i="3"/>
  <c r="K2957" i="3"/>
  <c r="J2957" i="3"/>
  <c r="I2957" i="3"/>
  <c r="H2957" i="3"/>
  <c r="G2957" i="3"/>
  <c r="F2957" i="3"/>
  <c r="E2957" i="3"/>
  <c r="D2957" i="3"/>
  <c r="C2957" i="3"/>
  <c r="B2957" i="3"/>
  <c r="A2957" i="3"/>
  <c r="O2956" i="3"/>
  <c r="N2956" i="3"/>
  <c r="M2956" i="3"/>
  <c r="L2956" i="3"/>
  <c r="K2956" i="3"/>
  <c r="J2956" i="3"/>
  <c r="I2956" i="3"/>
  <c r="H2956" i="3"/>
  <c r="G2956" i="3"/>
  <c r="F2956" i="3"/>
  <c r="E2956" i="3"/>
  <c r="D2956" i="3"/>
  <c r="C2956" i="3"/>
  <c r="B2956" i="3"/>
  <c r="A2956" i="3"/>
  <c r="O2955" i="3"/>
  <c r="N2955" i="3"/>
  <c r="M2955" i="3"/>
  <c r="L2955" i="3"/>
  <c r="K2955" i="3"/>
  <c r="J2955" i="3"/>
  <c r="I2955" i="3"/>
  <c r="H2955" i="3"/>
  <c r="G2955" i="3"/>
  <c r="F2955" i="3"/>
  <c r="E2955" i="3"/>
  <c r="D2955" i="3"/>
  <c r="C2955" i="3"/>
  <c r="B2955" i="3"/>
  <c r="A2955" i="3"/>
  <c r="O2954" i="3"/>
  <c r="N2954" i="3"/>
  <c r="M2954" i="3"/>
  <c r="L2954" i="3"/>
  <c r="K2954" i="3"/>
  <c r="J2954" i="3"/>
  <c r="I2954" i="3"/>
  <c r="H2954" i="3"/>
  <c r="G2954" i="3"/>
  <c r="F2954" i="3"/>
  <c r="E2954" i="3"/>
  <c r="D2954" i="3"/>
  <c r="C2954" i="3"/>
  <c r="B2954" i="3"/>
  <c r="A2954" i="3"/>
  <c r="O2953" i="3"/>
  <c r="N2953" i="3"/>
  <c r="M2953" i="3"/>
  <c r="L2953" i="3"/>
  <c r="K2953" i="3"/>
  <c r="J2953" i="3"/>
  <c r="I2953" i="3"/>
  <c r="H2953" i="3"/>
  <c r="G2953" i="3"/>
  <c r="F2953" i="3"/>
  <c r="E2953" i="3"/>
  <c r="D2953" i="3"/>
  <c r="C2953" i="3"/>
  <c r="B2953" i="3"/>
  <c r="A2953" i="3"/>
  <c r="O2952" i="3"/>
  <c r="N2952" i="3"/>
  <c r="M2952" i="3"/>
  <c r="L2952" i="3"/>
  <c r="K2952" i="3"/>
  <c r="J2952" i="3"/>
  <c r="I2952" i="3"/>
  <c r="H2952" i="3"/>
  <c r="G2952" i="3"/>
  <c r="F2952" i="3"/>
  <c r="E2952" i="3"/>
  <c r="D2952" i="3"/>
  <c r="C2952" i="3"/>
  <c r="B2952" i="3"/>
  <c r="A2952" i="3"/>
  <c r="O2951" i="3"/>
  <c r="N2951" i="3"/>
  <c r="M2951" i="3"/>
  <c r="L2951" i="3"/>
  <c r="K2951" i="3"/>
  <c r="J2951" i="3"/>
  <c r="I2951" i="3"/>
  <c r="H2951" i="3"/>
  <c r="G2951" i="3"/>
  <c r="F2951" i="3"/>
  <c r="E2951" i="3"/>
  <c r="D2951" i="3"/>
  <c r="C2951" i="3"/>
  <c r="B2951" i="3"/>
  <c r="A2951" i="3"/>
  <c r="O2950" i="3"/>
  <c r="N2950" i="3"/>
  <c r="M2950" i="3"/>
  <c r="L2950" i="3"/>
  <c r="K2950" i="3"/>
  <c r="J2950" i="3"/>
  <c r="I2950" i="3"/>
  <c r="H2950" i="3"/>
  <c r="G2950" i="3"/>
  <c r="F2950" i="3"/>
  <c r="E2950" i="3"/>
  <c r="D2950" i="3"/>
  <c r="C2950" i="3"/>
  <c r="B2950" i="3"/>
  <c r="A2950" i="3"/>
  <c r="O2949" i="3"/>
  <c r="N2949" i="3"/>
  <c r="M2949" i="3"/>
  <c r="L2949" i="3"/>
  <c r="K2949" i="3"/>
  <c r="J2949" i="3"/>
  <c r="I2949" i="3"/>
  <c r="H2949" i="3"/>
  <c r="G2949" i="3"/>
  <c r="F2949" i="3"/>
  <c r="E2949" i="3"/>
  <c r="D2949" i="3"/>
  <c r="C2949" i="3"/>
  <c r="B2949" i="3"/>
  <c r="A2949" i="3"/>
  <c r="O2948" i="3"/>
  <c r="N2948" i="3"/>
  <c r="M2948" i="3"/>
  <c r="L2948" i="3"/>
  <c r="K2948" i="3"/>
  <c r="J2948" i="3"/>
  <c r="I2948" i="3"/>
  <c r="H2948" i="3"/>
  <c r="G2948" i="3"/>
  <c r="F2948" i="3"/>
  <c r="E2948" i="3"/>
  <c r="D2948" i="3"/>
  <c r="C2948" i="3"/>
  <c r="B2948" i="3"/>
  <c r="A2948" i="3"/>
  <c r="O2947" i="3"/>
  <c r="N2947" i="3"/>
  <c r="M2947" i="3"/>
  <c r="L2947" i="3"/>
  <c r="K2947" i="3"/>
  <c r="J2947" i="3"/>
  <c r="I2947" i="3"/>
  <c r="H2947" i="3"/>
  <c r="G2947" i="3"/>
  <c r="F2947" i="3"/>
  <c r="E2947" i="3"/>
  <c r="D2947" i="3"/>
  <c r="C2947" i="3"/>
  <c r="B2947" i="3"/>
  <c r="A2947" i="3"/>
  <c r="O2946" i="3"/>
  <c r="N2946" i="3"/>
  <c r="M2946" i="3"/>
  <c r="L2946" i="3"/>
  <c r="K2946" i="3"/>
  <c r="J2946" i="3"/>
  <c r="I2946" i="3"/>
  <c r="H2946" i="3"/>
  <c r="G2946" i="3"/>
  <c r="F2946" i="3"/>
  <c r="E2946" i="3"/>
  <c r="D2946" i="3"/>
  <c r="C2946" i="3"/>
  <c r="B2946" i="3"/>
  <c r="A2946" i="3"/>
  <c r="O2945" i="3"/>
  <c r="N2945" i="3"/>
  <c r="M2945" i="3"/>
  <c r="L2945" i="3"/>
  <c r="K2945" i="3"/>
  <c r="J2945" i="3"/>
  <c r="I2945" i="3"/>
  <c r="H2945" i="3"/>
  <c r="G2945" i="3"/>
  <c r="F2945" i="3"/>
  <c r="E2945" i="3"/>
  <c r="D2945" i="3"/>
  <c r="C2945" i="3"/>
  <c r="B2945" i="3"/>
  <c r="A2945" i="3"/>
  <c r="O2944" i="3"/>
  <c r="N2944" i="3"/>
  <c r="M2944" i="3"/>
  <c r="L2944" i="3"/>
  <c r="K2944" i="3"/>
  <c r="J2944" i="3"/>
  <c r="I2944" i="3"/>
  <c r="H2944" i="3"/>
  <c r="G2944" i="3"/>
  <c r="F2944" i="3"/>
  <c r="E2944" i="3"/>
  <c r="D2944" i="3"/>
  <c r="C2944" i="3"/>
  <c r="B2944" i="3"/>
  <c r="A2944" i="3"/>
  <c r="O2943" i="3"/>
  <c r="N2943" i="3"/>
  <c r="M2943" i="3"/>
  <c r="L2943" i="3"/>
  <c r="K2943" i="3"/>
  <c r="J2943" i="3"/>
  <c r="I2943" i="3"/>
  <c r="H2943" i="3"/>
  <c r="G2943" i="3"/>
  <c r="F2943" i="3"/>
  <c r="E2943" i="3"/>
  <c r="D2943" i="3"/>
  <c r="C2943" i="3"/>
  <c r="B2943" i="3"/>
  <c r="A2943" i="3"/>
  <c r="O2942" i="3"/>
  <c r="N2942" i="3"/>
  <c r="M2942" i="3"/>
  <c r="L2942" i="3"/>
  <c r="K2942" i="3"/>
  <c r="J2942" i="3"/>
  <c r="I2942" i="3"/>
  <c r="H2942" i="3"/>
  <c r="G2942" i="3"/>
  <c r="F2942" i="3"/>
  <c r="E2942" i="3"/>
  <c r="D2942" i="3"/>
  <c r="C2942" i="3"/>
  <c r="B2942" i="3"/>
  <c r="A2942" i="3"/>
  <c r="O2941" i="3"/>
  <c r="N2941" i="3"/>
  <c r="M2941" i="3"/>
  <c r="L2941" i="3"/>
  <c r="K2941" i="3"/>
  <c r="J2941" i="3"/>
  <c r="I2941" i="3"/>
  <c r="H2941" i="3"/>
  <c r="G2941" i="3"/>
  <c r="F2941" i="3"/>
  <c r="E2941" i="3"/>
  <c r="D2941" i="3"/>
  <c r="C2941" i="3"/>
  <c r="B2941" i="3"/>
  <c r="A2941" i="3"/>
  <c r="O2940" i="3"/>
  <c r="N2940" i="3"/>
  <c r="M2940" i="3"/>
  <c r="L2940" i="3"/>
  <c r="K2940" i="3"/>
  <c r="J2940" i="3"/>
  <c r="I2940" i="3"/>
  <c r="H2940" i="3"/>
  <c r="G2940" i="3"/>
  <c r="F2940" i="3"/>
  <c r="E2940" i="3"/>
  <c r="D2940" i="3"/>
  <c r="C2940" i="3"/>
  <c r="B2940" i="3"/>
  <c r="A2940" i="3"/>
  <c r="O2939" i="3"/>
  <c r="N2939" i="3"/>
  <c r="M2939" i="3"/>
  <c r="L2939" i="3"/>
  <c r="K2939" i="3"/>
  <c r="J2939" i="3"/>
  <c r="I2939" i="3"/>
  <c r="H2939" i="3"/>
  <c r="G2939" i="3"/>
  <c r="F2939" i="3"/>
  <c r="E2939" i="3"/>
  <c r="D2939" i="3"/>
  <c r="C2939" i="3"/>
  <c r="B2939" i="3"/>
  <c r="A2939" i="3"/>
  <c r="O2938" i="3"/>
  <c r="N2938" i="3"/>
  <c r="M2938" i="3"/>
  <c r="L2938" i="3"/>
  <c r="K2938" i="3"/>
  <c r="J2938" i="3"/>
  <c r="I2938" i="3"/>
  <c r="H2938" i="3"/>
  <c r="G2938" i="3"/>
  <c r="F2938" i="3"/>
  <c r="E2938" i="3"/>
  <c r="D2938" i="3"/>
  <c r="C2938" i="3"/>
  <c r="B2938" i="3"/>
  <c r="A2938" i="3"/>
  <c r="O2937" i="3"/>
  <c r="N2937" i="3"/>
  <c r="M2937" i="3"/>
  <c r="L2937" i="3"/>
  <c r="K2937" i="3"/>
  <c r="J2937" i="3"/>
  <c r="I2937" i="3"/>
  <c r="H2937" i="3"/>
  <c r="G2937" i="3"/>
  <c r="F2937" i="3"/>
  <c r="E2937" i="3"/>
  <c r="D2937" i="3"/>
  <c r="C2937" i="3"/>
  <c r="B2937" i="3"/>
  <c r="A2937" i="3"/>
  <c r="O2936" i="3"/>
  <c r="N2936" i="3"/>
  <c r="M2936" i="3"/>
  <c r="L2936" i="3"/>
  <c r="K2936" i="3"/>
  <c r="J2936" i="3"/>
  <c r="I2936" i="3"/>
  <c r="H2936" i="3"/>
  <c r="G2936" i="3"/>
  <c r="F2936" i="3"/>
  <c r="E2936" i="3"/>
  <c r="D2936" i="3"/>
  <c r="C2936" i="3"/>
  <c r="B2936" i="3"/>
  <c r="A2936" i="3"/>
  <c r="O2935" i="3"/>
  <c r="N2935" i="3"/>
  <c r="M2935" i="3"/>
  <c r="L2935" i="3"/>
  <c r="K2935" i="3"/>
  <c r="J2935" i="3"/>
  <c r="I2935" i="3"/>
  <c r="H2935" i="3"/>
  <c r="G2935" i="3"/>
  <c r="F2935" i="3"/>
  <c r="E2935" i="3"/>
  <c r="D2935" i="3"/>
  <c r="C2935" i="3"/>
  <c r="B2935" i="3"/>
  <c r="A2935" i="3"/>
  <c r="O2934" i="3"/>
  <c r="N2934" i="3"/>
  <c r="M2934" i="3"/>
  <c r="L2934" i="3"/>
  <c r="K2934" i="3"/>
  <c r="J2934" i="3"/>
  <c r="I2934" i="3"/>
  <c r="H2934" i="3"/>
  <c r="G2934" i="3"/>
  <c r="F2934" i="3"/>
  <c r="E2934" i="3"/>
  <c r="D2934" i="3"/>
  <c r="C2934" i="3"/>
  <c r="B2934" i="3"/>
  <c r="A2934" i="3"/>
  <c r="O2933" i="3"/>
  <c r="N2933" i="3"/>
  <c r="M2933" i="3"/>
  <c r="L2933" i="3"/>
  <c r="K2933" i="3"/>
  <c r="J2933" i="3"/>
  <c r="I2933" i="3"/>
  <c r="H2933" i="3"/>
  <c r="G2933" i="3"/>
  <c r="F2933" i="3"/>
  <c r="E2933" i="3"/>
  <c r="D2933" i="3"/>
  <c r="C2933" i="3"/>
  <c r="B2933" i="3"/>
  <c r="A2933" i="3"/>
  <c r="O2932" i="3"/>
  <c r="N2932" i="3"/>
  <c r="M2932" i="3"/>
  <c r="L2932" i="3"/>
  <c r="K2932" i="3"/>
  <c r="J2932" i="3"/>
  <c r="I2932" i="3"/>
  <c r="H2932" i="3"/>
  <c r="G2932" i="3"/>
  <c r="F2932" i="3"/>
  <c r="E2932" i="3"/>
  <c r="D2932" i="3"/>
  <c r="C2932" i="3"/>
  <c r="B2932" i="3"/>
  <c r="A2932" i="3"/>
  <c r="O2931" i="3"/>
  <c r="N2931" i="3"/>
  <c r="M2931" i="3"/>
  <c r="L2931" i="3"/>
  <c r="K2931" i="3"/>
  <c r="J2931" i="3"/>
  <c r="I2931" i="3"/>
  <c r="H2931" i="3"/>
  <c r="G2931" i="3"/>
  <c r="F2931" i="3"/>
  <c r="E2931" i="3"/>
  <c r="D2931" i="3"/>
  <c r="C2931" i="3"/>
  <c r="B2931" i="3"/>
  <c r="A2931" i="3"/>
  <c r="O2930" i="3"/>
  <c r="N2930" i="3"/>
  <c r="M2930" i="3"/>
  <c r="L2930" i="3"/>
  <c r="K2930" i="3"/>
  <c r="J2930" i="3"/>
  <c r="I2930" i="3"/>
  <c r="H2930" i="3"/>
  <c r="G2930" i="3"/>
  <c r="F2930" i="3"/>
  <c r="E2930" i="3"/>
  <c r="D2930" i="3"/>
  <c r="C2930" i="3"/>
  <c r="B2930" i="3"/>
  <c r="A2930" i="3"/>
  <c r="O2929" i="3"/>
  <c r="N2929" i="3"/>
  <c r="M2929" i="3"/>
  <c r="L2929" i="3"/>
  <c r="K2929" i="3"/>
  <c r="J2929" i="3"/>
  <c r="I2929" i="3"/>
  <c r="H2929" i="3"/>
  <c r="G2929" i="3"/>
  <c r="F2929" i="3"/>
  <c r="E2929" i="3"/>
  <c r="D2929" i="3"/>
  <c r="C2929" i="3"/>
  <c r="B2929" i="3"/>
  <c r="A2929" i="3"/>
  <c r="O2928" i="3"/>
  <c r="N2928" i="3"/>
  <c r="M2928" i="3"/>
  <c r="L2928" i="3"/>
  <c r="K2928" i="3"/>
  <c r="J2928" i="3"/>
  <c r="I2928" i="3"/>
  <c r="H2928" i="3"/>
  <c r="G2928" i="3"/>
  <c r="F2928" i="3"/>
  <c r="E2928" i="3"/>
  <c r="D2928" i="3"/>
  <c r="C2928" i="3"/>
  <c r="B2928" i="3"/>
  <c r="A2928" i="3"/>
  <c r="O2927" i="3"/>
  <c r="N2927" i="3"/>
  <c r="M2927" i="3"/>
  <c r="L2927" i="3"/>
  <c r="K2927" i="3"/>
  <c r="J2927" i="3"/>
  <c r="I2927" i="3"/>
  <c r="H2927" i="3"/>
  <c r="G2927" i="3"/>
  <c r="F2927" i="3"/>
  <c r="E2927" i="3"/>
  <c r="D2927" i="3"/>
  <c r="C2927" i="3"/>
  <c r="B2927" i="3"/>
  <c r="A2927" i="3"/>
  <c r="O2926" i="3"/>
  <c r="N2926" i="3"/>
  <c r="M2926" i="3"/>
  <c r="L2926" i="3"/>
  <c r="K2926" i="3"/>
  <c r="J2926" i="3"/>
  <c r="I2926" i="3"/>
  <c r="H2926" i="3"/>
  <c r="G2926" i="3"/>
  <c r="F2926" i="3"/>
  <c r="E2926" i="3"/>
  <c r="D2926" i="3"/>
  <c r="C2926" i="3"/>
  <c r="B2926" i="3"/>
  <c r="A2926" i="3"/>
  <c r="O2925" i="3"/>
  <c r="N2925" i="3"/>
  <c r="M2925" i="3"/>
  <c r="L2925" i="3"/>
  <c r="K2925" i="3"/>
  <c r="J2925" i="3"/>
  <c r="I2925" i="3"/>
  <c r="H2925" i="3"/>
  <c r="G2925" i="3"/>
  <c r="F2925" i="3"/>
  <c r="E2925" i="3"/>
  <c r="D2925" i="3"/>
  <c r="C2925" i="3"/>
  <c r="B2925" i="3"/>
  <c r="A2925" i="3"/>
  <c r="O2924" i="3"/>
  <c r="N2924" i="3"/>
  <c r="M2924" i="3"/>
  <c r="L2924" i="3"/>
  <c r="K2924" i="3"/>
  <c r="J2924" i="3"/>
  <c r="I2924" i="3"/>
  <c r="H2924" i="3"/>
  <c r="G2924" i="3"/>
  <c r="F2924" i="3"/>
  <c r="E2924" i="3"/>
  <c r="D2924" i="3"/>
  <c r="C2924" i="3"/>
  <c r="B2924" i="3"/>
  <c r="A2924" i="3"/>
  <c r="O2923" i="3"/>
  <c r="N2923" i="3"/>
  <c r="M2923" i="3"/>
  <c r="L2923" i="3"/>
  <c r="K2923" i="3"/>
  <c r="J2923" i="3"/>
  <c r="I2923" i="3"/>
  <c r="H2923" i="3"/>
  <c r="G2923" i="3"/>
  <c r="F2923" i="3"/>
  <c r="E2923" i="3"/>
  <c r="D2923" i="3"/>
  <c r="C2923" i="3"/>
  <c r="B2923" i="3"/>
  <c r="A2923" i="3"/>
  <c r="O2922" i="3"/>
  <c r="N2922" i="3"/>
  <c r="M2922" i="3"/>
  <c r="L2922" i="3"/>
  <c r="K2922" i="3"/>
  <c r="J2922" i="3"/>
  <c r="I2922" i="3"/>
  <c r="H2922" i="3"/>
  <c r="G2922" i="3"/>
  <c r="F2922" i="3"/>
  <c r="E2922" i="3"/>
  <c r="D2922" i="3"/>
  <c r="C2922" i="3"/>
  <c r="B2922" i="3"/>
  <c r="A2922" i="3"/>
  <c r="O2921" i="3"/>
  <c r="N2921" i="3"/>
  <c r="M2921" i="3"/>
  <c r="L2921" i="3"/>
  <c r="K2921" i="3"/>
  <c r="J2921" i="3"/>
  <c r="I2921" i="3"/>
  <c r="H2921" i="3"/>
  <c r="G2921" i="3"/>
  <c r="F2921" i="3"/>
  <c r="E2921" i="3"/>
  <c r="D2921" i="3"/>
  <c r="C2921" i="3"/>
  <c r="B2921" i="3"/>
  <c r="A2921" i="3"/>
  <c r="O2920" i="3"/>
  <c r="N2920" i="3"/>
  <c r="M2920" i="3"/>
  <c r="L2920" i="3"/>
  <c r="K2920" i="3"/>
  <c r="J2920" i="3"/>
  <c r="I2920" i="3"/>
  <c r="H2920" i="3"/>
  <c r="G2920" i="3"/>
  <c r="F2920" i="3"/>
  <c r="E2920" i="3"/>
  <c r="D2920" i="3"/>
  <c r="C2920" i="3"/>
  <c r="B2920" i="3"/>
  <c r="A2920" i="3"/>
  <c r="O2919" i="3"/>
  <c r="N2919" i="3"/>
  <c r="M2919" i="3"/>
  <c r="L2919" i="3"/>
  <c r="K2919" i="3"/>
  <c r="J2919" i="3"/>
  <c r="I2919" i="3"/>
  <c r="H2919" i="3"/>
  <c r="G2919" i="3"/>
  <c r="F2919" i="3"/>
  <c r="E2919" i="3"/>
  <c r="D2919" i="3"/>
  <c r="C2919" i="3"/>
  <c r="B2919" i="3"/>
  <c r="A2919" i="3"/>
  <c r="O2918" i="3"/>
  <c r="N2918" i="3"/>
  <c r="M2918" i="3"/>
  <c r="L2918" i="3"/>
  <c r="K2918" i="3"/>
  <c r="J2918" i="3"/>
  <c r="I2918" i="3"/>
  <c r="H2918" i="3"/>
  <c r="G2918" i="3"/>
  <c r="F2918" i="3"/>
  <c r="E2918" i="3"/>
  <c r="D2918" i="3"/>
  <c r="C2918" i="3"/>
  <c r="B2918" i="3"/>
  <c r="A2918" i="3"/>
  <c r="O2917" i="3"/>
  <c r="N2917" i="3"/>
  <c r="M2917" i="3"/>
  <c r="L2917" i="3"/>
  <c r="K2917" i="3"/>
  <c r="J2917" i="3"/>
  <c r="I2917" i="3"/>
  <c r="H2917" i="3"/>
  <c r="G2917" i="3"/>
  <c r="F2917" i="3"/>
  <c r="E2917" i="3"/>
  <c r="D2917" i="3"/>
  <c r="C2917" i="3"/>
  <c r="B2917" i="3"/>
  <c r="A2917" i="3"/>
  <c r="O2916" i="3"/>
  <c r="N2916" i="3"/>
  <c r="M2916" i="3"/>
  <c r="L2916" i="3"/>
  <c r="K2916" i="3"/>
  <c r="J2916" i="3"/>
  <c r="I2916" i="3"/>
  <c r="H2916" i="3"/>
  <c r="G2916" i="3"/>
  <c r="F2916" i="3"/>
  <c r="E2916" i="3"/>
  <c r="D2916" i="3"/>
  <c r="C2916" i="3"/>
  <c r="B2916" i="3"/>
  <c r="A2916" i="3"/>
  <c r="O2915" i="3"/>
  <c r="N2915" i="3"/>
  <c r="M2915" i="3"/>
  <c r="L2915" i="3"/>
  <c r="K2915" i="3"/>
  <c r="J2915" i="3"/>
  <c r="I2915" i="3"/>
  <c r="H2915" i="3"/>
  <c r="G2915" i="3"/>
  <c r="F2915" i="3"/>
  <c r="E2915" i="3"/>
  <c r="D2915" i="3"/>
  <c r="C2915" i="3"/>
  <c r="B2915" i="3"/>
  <c r="A2915" i="3"/>
  <c r="O2914" i="3"/>
  <c r="N2914" i="3"/>
  <c r="M2914" i="3"/>
  <c r="L2914" i="3"/>
  <c r="K2914" i="3"/>
  <c r="J2914" i="3"/>
  <c r="I2914" i="3"/>
  <c r="H2914" i="3"/>
  <c r="G2914" i="3"/>
  <c r="F2914" i="3"/>
  <c r="E2914" i="3"/>
  <c r="D2914" i="3"/>
  <c r="C2914" i="3"/>
  <c r="B2914" i="3"/>
  <c r="A2914" i="3"/>
  <c r="O2913" i="3"/>
  <c r="N2913" i="3"/>
  <c r="M2913" i="3"/>
  <c r="L2913" i="3"/>
  <c r="K2913" i="3"/>
  <c r="J2913" i="3"/>
  <c r="I2913" i="3"/>
  <c r="H2913" i="3"/>
  <c r="G2913" i="3"/>
  <c r="F2913" i="3"/>
  <c r="E2913" i="3"/>
  <c r="D2913" i="3"/>
  <c r="C2913" i="3"/>
  <c r="B2913" i="3"/>
  <c r="A2913" i="3"/>
  <c r="O2912" i="3"/>
  <c r="N2912" i="3"/>
  <c r="M2912" i="3"/>
  <c r="L2912" i="3"/>
  <c r="K2912" i="3"/>
  <c r="J2912" i="3"/>
  <c r="I2912" i="3"/>
  <c r="H2912" i="3"/>
  <c r="G2912" i="3"/>
  <c r="F2912" i="3"/>
  <c r="E2912" i="3"/>
  <c r="D2912" i="3"/>
  <c r="C2912" i="3"/>
  <c r="B2912" i="3"/>
  <c r="A2912" i="3"/>
  <c r="O2911" i="3"/>
  <c r="N2911" i="3"/>
  <c r="M2911" i="3"/>
  <c r="L2911" i="3"/>
  <c r="K2911" i="3"/>
  <c r="J2911" i="3"/>
  <c r="I2911" i="3"/>
  <c r="H2911" i="3"/>
  <c r="G2911" i="3"/>
  <c r="F2911" i="3"/>
  <c r="E2911" i="3"/>
  <c r="D2911" i="3"/>
  <c r="C2911" i="3"/>
  <c r="B2911" i="3"/>
  <c r="A2911" i="3"/>
  <c r="O2910" i="3"/>
  <c r="N2910" i="3"/>
  <c r="M2910" i="3"/>
  <c r="L2910" i="3"/>
  <c r="K2910" i="3"/>
  <c r="J2910" i="3"/>
  <c r="I2910" i="3"/>
  <c r="H2910" i="3"/>
  <c r="G2910" i="3"/>
  <c r="F2910" i="3"/>
  <c r="E2910" i="3"/>
  <c r="D2910" i="3"/>
  <c r="C2910" i="3"/>
  <c r="B2910" i="3"/>
  <c r="A2910" i="3"/>
  <c r="O2909" i="3"/>
  <c r="N2909" i="3"/>
  <c r="M2909" i="3"/>
  <c r="L2909" i="3"/>
  <c r="K2909" i="3"/>
  <c r="J2909" i="3"/>
  <c r="I2909" i="3"/>
  <c r="H2909" i="3"/>
  <c r="G2909" i="3"/>
  <c r="F2909" i="3"/>
  <c r="E2909" i="3"/>
  <c r="D2909" i="3"/>
  <c r="C2909" i="3"/>
  <c r="B2909" i="3"/>
  <c r="A2909" i="3"/>
  <c r="O2908" i="3"/>
  <c r="N2908" i="3"/>
  <c r="M2908" i="3"/>
  <c r="L2908" i="3"/>
  <c r="K2908" i="3"/>
  <c r="J2908" i="3"/>
  <c r="I2908" i="3"/>
  <c r="H2908" i="3"/>
  <c r="G2908" i="3"/>
  <c r="F2908" i="3"/>
  <c r="E2908" i="3"/>
  <c r="D2908" i="3"/>
  <c r="C2908" i="3"/>
  <c r="B2908" i="3"/>
  <c r="A2908" i="3"/>
  <c r="O2907" i="3"/>
  <c r="N2907" i="3"/>
  <c r="M2907" i="3"/>
  <c r="L2907" i="3"/>
  <c r="K2907" i="3"/>
  <c r="J2907" i="3"/>
  <c r="I2907" i="3"/>
  <c r="H2907" i="3"/>
  <c r="G2907" i="3"/>
  <c r="F2907" i="3"/>
  <c r="E2907" i="3"/>
  <c r="D2907" i="3"/>
  <c r="C2907" i="3"/>
  <c r="B2907" i="3"/>
  <c r="A2907" i="3"/>
  <c r="O2906" i="3"/>
  <c r="N2906" i="3"/>
  <c r="M2906" i="3"/>
  <c r="L2906" i="3"/>
  <c r="K2906" i="3"/>
  <c r="J2906" i="3"/>
  <c r="I2906" i="3"/>
  <c r="H2906" i="3"/>
  <c r="G2906" i="3"/>
  <c r="F2906" i="3"/>
  <c r="E2906" i="3"/>
  <c r="D2906" i="3"/>
  <c r="C2906" i="3"/>
  <c r="B2906" i="3"/>
  <c r="A2906" i="3"/>
  <c r="O2905" i="3"/>
  <c r="N2905" i="3"/>
  <c r="M2905" i="3"/>
  <c r="L2905" i="3"/>
  <c r="K2905" i="3"/>
  <c r="J2905" i="3"/>
  <c r="I2905" i="3"/>
  <c r="H2905" i="3"/>
  <c r="G2905" i="3"/>
  <c r="F2905" i="3"/>
  <c r="E2905" i="3"/>
  <c r="D2905" i="3"/>
  <c r="C2905" i="3"/>
  <c r="B2905" i="3"/>
  <c r="A2905" i="3"/>
  <c r="O2904" i="3"/>
  <c r="N2904" i="3"/>
  <c r="M2904" i="3"/>
  <c r="L2904" i="3"/>
  <c r="K2904" i="3"/>
  <c r="J2904" i="3"/>
  <c r="I2904" i="3"/>
  <c r="H2904" i="3"/>
  <c r="G2904" i="3"/>
  <c r="F2904" i="3"/>
  <c r="E2904" i="3"/>
  <c r="D2904" i="3"/>
  <c r="C2904" i="3"/>
  <c r="B2904" i="3"/>
  <c r="A2904" i="3"/>
  <c r="O2903" i="3"/>
  <c r="N2903" i="3"/>
  <c r="M2903" i="3"/>
  <c r="L2903" i="3"/>
  <c r="K2903" i="3"/>
  <c r="J2903" i="3"/>
  <c r="I2903" i="3"/>
  <c r="H2903" i="3"/>
  <c r="G2903" i="3"/>
  <c r="F2903" i="3"/>
  <c r="E2903" i="3"/>
  <c r="D2903" i="3"/>
  <c r="C2903" i="3"/>
  <c r="B2903" i="3"/>
  <c r="A2903" i="3"/>
  <c r="O2902" i="3"/>
  <c r="N2902" i="3"/>
  <c r="M2902" i="3"/>
  <c r="L2902" i="3"/>
  <c r="K2902" i="3"/>
  <c r="J2902" i="3"/>
  <c r="I2902" i="3"/>
  <c r="H2902" i="3"/>
  <c r="G2902" i="3"/>
  <c r="F2902" i="3"/>
  <c r="E2902" i="3"/>
  <c r="D2902" i="3"/>
  <c r="C2902" i="3"/>
  <c r="B2902" i="3"/>
  <c r="A2902" i="3"/>
  <c r="O2901" i="3"/>
  <c r="N2901" i="3"/>
  <c r="M2901" i="3"/>
  <c r="L2901" i="3"/>
  <c r="K2901" i="3"/>
  <c r="J2901" i="3"/>
  <c r="I2901" i="3"/>
  <c r="H2901" i="3"/>
  <c r="G2901" i="3"/>
  <c r="F2901" i="3"/>
  <c r="E2901" i="3"/>
  <c r="D2901" i="3"/>
  <c r="C2901" i="3"/>
  <c r="B2901" i="3"/>
  <c r="A2901" i="3"/>
  <c r="O2900" i="3"/>
  <c r="N2900" i="3"/>
  <c r="M2900" i="3"/>
  <c r="L2900" i="3"/>
  <c r="K2900" i="3"/>
  <c r="J2900" i="3"/>
  <c r="I2900" i="3"/>
  <c r="H2900" i="3"/>
  <c r="G2900" i="3"/>
  <c r="F2900" i="3"/>
  <c r="E2900" i="3"/>
  <c r="D2900" i="3"/>
  <c r="C2900" i="3"/>
  <c r="B2900" i="3"/>
  <c r="A2900" i="3"/>
  <c r="O2899" i="3"/>
  <c r="N2899" i="3"/>
  <c r="M2899" i="3"/>
  <c r="L2899" i="3"/>
  <c r="K2899" i="3"/>
  <c r="J2899" i="3"/>
  <c r="I2899" i="3"/>
  <c r="H2899" i="3"/>
  <c r="G2899" i="3"/>
  <c r="F2899" i="3"/>
  <c r="E2899" i="3"/>
  <c r="D2899" i="3"/>
  <c r="C2899" i="3"/>
  <c r="B2899" i="3"/>
  <c r="A2899" i="3"/>
  <c r="O2898" i="3"/>
  <c r="N2898" i="3"/>
  <c r="M2898" i="3"/>
  <c r="L2898" i="3"/>
  <c r="K2898" i="3"/>
  <c r="J2898" i="3"/>
  <c r="I2898" i="3"/>
  <c r="H2898" i="3"/>
  <c r="G2898" i="3"/>
  <c r="F2898" i="3"/>
  <c r="E2898" i="3"/>
  <c r="D2898" i="3"/>
  <c r="C2898" i="3"/>
  <c r="B2898" i="3"/>
  <c r="A2898" i="3"/>
  <c r="O2897" i="3"/>
  <c r="N2897" i="3"/>
  <c r="M2897" i="3"/>
  <c r="L2897" i="3"/>
  <c r="K2897" i="3"/>
  <c r="J2897" i="3"/>
  <c r="I2897" i="3"/>
  <c r="H2897" i="3"/>
  <c r="G2897" i="3"/>
  <c r="F2897" i="3"/>
  <c r="E2897" i="3"/>
  <c r="D2897" i="3"/>
  <c r="C2897" i="3"/>
  <c r="B2897" i="3"/>
  <c r="A2897" i="3"/>
  <c r="O2896" i="3"/>
  <c r="N2896" i="3"/>
  <c r="M2896" i="3"/>
  <c r="L2896" i="3"/>
  <c r="K2896" i="3"/>
  <c r="J2896" i="3"/>
  <c r="I2896" i="3"/>
  <c r="H2896" i="3"/>
  <c r="G2896" i="3"/>
  <c r="F2896" i="3"/>
  <c r="E2896" i="3"/>
  <c r="D2896" i="3"/>
  <c r="C2896" i="3"/>
  <c r="B2896" i="3"/>
  <c r="A2896" i="3"/>
  <c r="O2895" i="3"/>
  <c r="N2895" i="3"/>
  <c r="M2895" i="3"/>
  <c r="L2895" i="3"/>
  <c r="K2895" i="3"/>
  <c r="J2895" i="3"/>
  <c r="I2895" i="3"/>
  <c r="H2895" i="3"/>
  <c r="G2895" i="3"/>
  <c r="F2895" i="3"/>
  <c r="E2895" i="3"/>
  <c r="D2895" i="3"/>
  <c r="C2895" i="3"/>
  <c r="B2895" i="3"/>
  <c r="A2895" i="3"/>
  <c r="O2894" i="3"/>
  <c r="N2894" i="3"/>
  <c r="M2894" i="3"/>
  <c r="L2894" i="3"/>
  <c r="K2894" i="3"/>
  <c r="J2894" i="3"/>
  <c r="I2894" i="3"/>
  <c r="H2894" i="3"/>
  <c r="G2894" i="3"/>
  <c r="F2894" i="3"/>
  <c r="E2894" i="3"/>
  <c r="D2894" i="3"/>
  <c r="C2894" i="3"/>
  <c r="B2894" i="3"/>
  <c r="A2894" i="3"/>
  <c r="O2893" i="3"/>
  <c r="N2893" i="3"/>
  <c r="M2893" i="3"/>
  <c r="L2893" i="3"/>
  <c r="K2893" i="3"/>
  <c r="J2893" i="3"/>
  <c r="I2893" i="3"/>
  <c r="H2893" i="3"/>
  <c r="G2893" i="3"/>
  <c r="F2893" i="3"/>
  <c r="E2893" i="3"/>
  <c r="D2893" i="3"/>
  <c r="C2893" i="3"/>
  <c r="B2893" i="3"/>
  <c r="A2893" i="3"/>
  <c r="O2892" i="3"/>
  <c r="N2892" i="3"/>
  <c r="M2892" i="3"/>
  <c r="L2892" i="3"/>
  <c r="K2892" i="3"/>
  <c r="J2892" i="3"/>
  <c r="I2892" i="3"/>
  <c r="H2892" i="3"/>
  <c r="G2892" i="3"/>
  <c r="F2892" i="3"/>
  <c r="E2892" i="3"/>
  <c r="D2892" i="3"/>
  <c r="C2892" i="3"/>
  <c r="B2892" i="3"/>
  <c r="A2892" i="3"/>
  <c r="O2891" i="3"/>
  <c r="N2891" i="3"/>
  <c r="M2891" i="3"/>
  <c r="L2891" i="3"/>
  <c r="K2891" i="3"/>
  <c r="J2891" i="3"/>
  <c r="I2891" i="3"/>
  <c r="H2891" i="3"/>
  <c r="G2891" i="3"/>
  <c r="F2891" i="3"/>
  <c r="E2891" i="3"/>
  <c r="D2891" i="3"/>
  <c r="C2891" i="3"/>
  <c r="B2891" i="3"/>
  <c r="A2891" i="3"/>
  <c r="O2890" i="3"/>
  <c r="N2890" i="3"/>
  <c r="M2890" i="3"/>
  <c r="L2890" i="3"/>
  <c r="K2890" i="3"/>
  <c r="J2890" i="3"/>
  <c r="I2890" i="3"/>
  <c r="H2890" i="3"/>
  <c r="G2890" i="3"/>
  <c r="F2890" i="3"/>
  <c r="E2890" i="3"/>
  <c r="D2890" i="3"/>
  <c r="C2890" i="3"/>
  <c r="B2890" i="3"/>
  <c r="A2890" i="3"/>
  <c r="O2889" i="3"/>
  <c r="N2889" i="3"/>
  <c r="M2889" i="3"/>
  <c r="L2889" i="3"/>
  <c r="K2889" i="3"/>
  <c r="J2889" i="3"/>
  <c r="I2889" i="3"/>
  <c r="H2889" i="3"/>
  <c r="G2889" i="3"/>
  <c r="F2889" i="3"/>
  <c r="E2889" i="3"/>
  <c r="D2889" i="3"/>
  <c r="C2889" i="3"/>
  <c r="B2889" i="3"/>
  <c r="A2889" i="3"/>
  <c r="O2888" i="3"/>
  <c r="N2888" i="3"/>
  <c r="M2888" i="3"/>
  <c r="L2888" i="3"/>
  <c r="K2888" i="3"/>
  <c r="J2888" i="3"/>
  <c r="I2888" i="3"/>
  <c r="H2888" i="3"/>
  <c r="G2888" i="3"/>
  <c r="F2888" i="3"/>
  <c r="E2888" i="3"/>
  <c r="D2888" i="3"/>
  <c r="C2888" i="3"/>
  <c r="B2888" i="3"/>
  <c r="A2888" i="3"/>
  <c r="O2887" i="3"/>
  <c r="N2887" i="3"/>
  <c r="M2887" i="3"/>
  <c r="L2887" i="3"/>
  <c r="K2887" i="3"/>
  <c r="J2887" i="3"/>
  <c r="I2887" i="3"/>
  <c r="H2887" i="3"/>
  <c r="G2887" i="3"/>
  <c r="F2887" i="3"/>
  <c r="E2887" i="3"/>
  <c r="D2887" i="3"/>
  <c r="C2887" i="3"/>
  <c r="B2887" i="3"/>
  <c r="A2887" i="3"/>
  <c r="O2886" i="3"/>
  <c r="N2886" i="3"/>
  <c r="M2886" i="3"/>
  <c r="L2886" i="3"/>
  <c r="K2886" i="3"/>
  <c r="J2886" i="3"/>
  <c r="I2886" i="3"/>
  <c r="H2886" i="3"/>
  <c r="G2886" i="3"/>
  <c r="F2886" i="3"/>
  <c r="E2886" i="3"/>
  <c r="D2886" i="3"/>
  <c r="C2886" i="3"/>
  <c r="B2886" i="3"/>
  <c r="A2886" i="3"/>
  <c r="O2885" i="3"/>
  <c r="N2885" i="3"/>
  <c r="M2885" i="3"/>
  <c r="L2885" i="3"/>
  <c r="K2885" i="3"/>
  <c r="J2885" i="3"/>
  <c r="I2885" i="3"/>
  <c r="H2885" i="3"/>
  <c r="G2885" i="3"/>
  <c r="F2885" i="3"/>
  <c r="E2885" i="3"/>
  <c r="D2885" i="3"/>
  <c r="C2885" i="3"/>
  <c r="B2885" i="3"/>
  <c r="A2885" i="3"/>
  <c r="O2884" i="3"/>
  <c r="N2884" i="3"/>
  <c r="M2884" i="3"/>
  <c r="L2884" i="3"/>
  <c r="K2884" i="3"/>
  <c r="J2884" i="3"/>
  <c r="I2884" i="3"/>
  <c r="H2884" i="3"/>
  <c r="G2884" i="3"/>
  <c r="F2884" i="3"/>
  <c r="E2884" i="3"/>
  <c r="D2884" i="3"/>
  <c r="C2884" i="3"/>
  <c r="B2884" i="3"/>
  <c r="A2884" i="3"/>
  <c r="O2883" i="3"/>
  <c r="N2883" i="3"/>
  <c r="M2883" i="3"/>
  <c r="L2883" i="3"/>
  <c r="K2883" i="3"/>
  <c r="J2883" i="3"/>
  <c r="I2883" i="3"/>
  <c r="H2883" i="3"/>
  <c r="G2883" i="3"/>
  <c r="F2883" i="3"/>
  <c r="E2883" i="3"/>
  <c r="D2883" i="3"/>
  <c r="C2883" i="3"/>
  <c r="B2883" i="3"/>
  <c r="A2883" i="3"/>
  <c r="O2882" i="3"/>
  <c r="N2882" i="3"/>
  <c r="M2882" i="3"/>
  <c r="L2882" i="3"/>
  <c r="K2882" i="3"/>
  <c r="J2882" i="3"/>
  <c r="I2882" i="3"/>
  <c r="H2882" i="3"/>
  <c r="G2882" i="3"/>
  <c r="F2882" i="3"/>
  <c r="E2882" i="3"/>
  <c r="D2882" i="3"/>
  <c r="C2882" i="3"/>
  <c r="B2882" i="3"/>
  <c r="A2882" i="3"/>
  <c r="O2881" i="3"/>
  <c r="N2881" i="3"/>
  <c r="M2881" i="3"/>
  <c r="L2881" i="3"/>
  <c r="K2881" i="3"/>
  <c r="J2881" i="3"/>
  <c r="I2881" i="3"/>
  <c r="H2881" i="3"/>
  <c r="G2881" i="3"/>
  <c r="F2881" i="3"/>
  <c r="E2881" i="3"/>
  <c r="D2881" i="3"/>
  <c r="C2881" i="3"/>
  <c r="B2881" i="3"/>
  <c r="A2881" i="3"/>
  <c r="O2880" i="3"/>
  <c r="N2880" i="3"/>
  <c r="M2880" i="3"/>
  <c r="L2880" i="3"/>
  <c r="K2880" i="3"/>
  <c r="J2880" i="3"/>
  <c r="I2880" i="3"/>
  <c r="H2880" i="3"/>
  <c r="G2880" i="3"/>
  <c r="F2880" i="3"/>
  <c r="E2880" i="3"/>
  <c r="D2880" i="3"/>
  <c r="C2880" i="3"/>
  <c r="B2880" i="3"/>
  <c r="A2880" i="3"/>
  <c r="O2879" i="3"/>
  <c r="N2879" i="3"/>
  <c r="M2879" i="3"/>
  <c r="L2879" i="3"/>
  <c r="K2879" i="3"/>
  <c r="J2879" i="3"/>
  <c r="I2879" i="3"/>
  <c r="H2879" i="3"/>
  <c r="G2879" i="3"/>
  <c r="F2879" i="3"/>
  <c r="E2879" i="3"/>
  <c r="D2879" i="3"/>
  <c r="C2879" i="3"/>
  <c r="B2879" i="3"/>
  <c r="A2879" i="3"/>
  <c r="O2878" i="3"/>
  <c r="N2878" i="3"/>
  <c r="M2878" i="3"/>
  <c r="L2878" i="3"/>
  <c r="K2878" i="3"/>
  <c r="J2878" i="3"/>
  <c r="I2878" i="3"/>
  <c r="H2878" i="3"/>
  <c r="G2878" i="3"/>
  <c r="F2878" i="3"/>
  <c r="E2878" i="3"/>
  <c r="D2878" i="3"/>
  <c r="C2878" i="3"/>
  <c r="B2878" i="3"/>
  <c r="A2878" i="3"/>
  <c r="O2877" i="3"/>
  <c r="N2877" i="3"/>
  <c r="M2877" i="3"/>
  <c r="L2877" i="3"/>
  <c r="K2877" i="3"/>
  <c r="J2877" i="3"/>
  <c r="I2877" i="3"/>
  <c r="H2877" i="3"/>
  <c r="G2877" i="3"/>
  <c r="F2877" i="3"/>
  <c r="E2877" i="3"/>
  <c r="D2877" i="3"/>
  <c r="C2877" i="3"/>
  <c r="B2877" i="3"/>
  <c r="A2877" i="3"/>
  <c r="O2876" i="3"/>
  <c r="N2876" i="3"/>
  <c r="M2876" i="3"/>
  <c r="L2876" i="3"/>
  <c r="K2876" i="3"/>
  <c r="J2876" i="3"/>
  <c r="I2876" i="3"/>
  <c r="H2876" i="3"/>
  <c r="G2876" i="3"/>
  <c r="F2876" i="3"/>
  <c r="E2876" i="3"/>
  <c r="D2876" i="3"/>
  <c r="C2876" i="3"/>
  <c r="B2876" i="3"/>
  <c r="A2876" i="3"/>
  <c r="O2875" i="3"/>
  <c r="N2875" i="3"/>
  <c r="M2875" i="3"/>
  <c r="L2875" i="3"/>
  <c r="K2875" i="3"/>
  <c r="J2875" i="3"/>
  <c r="I2875" i="3"/>
  <c r="H2875" i="3"/>
  <c r="G2875" i="3"/>
  <c r="F2875" i="3"/>
  <c r="E2875" i="3"/>
  <c r="D2875" i="3"/>
  <c r="C2875" i="3"/>
  <c r="B2875" i="3"/>
  <c r="A2875" i="3"/>
  <c r="O2874" i="3"/>
  <c r="N2874" i="3"/>
  <c r="M2874" i="3"/>
  <c r="L2874" i="3"/>
  <c r="K2874" i="3"/>
  <c r="J2874" i="3"/>
  <c r="I2874" i="3"/>
  <c r="H2874" i="3"/>
  <c r="G2874" i="3"/>
  <c r="F2874" i="3"/>
  <c r="E2874" i="3"/>
  <c r="D2874" i="3"/>
  <c r="C2874" i="3"/>
  <c r="B2874" i="3"/>
  <c r="A2874" i="3"/>
  <c r="O2873" i="3"/>
  <c r="N2873" i="3"/>
  <c r="M2873" i="3"/>
  <c r="L2873" i="3"/>
  <c r="K2873" i="3"/>
  <c r="J2873" i="3"/>
  <c r="I2873" i="3"/>
  <c r="H2873" i="3"/>
  <c r="G2873" i="3"/>
  <c r="F2873" i="3"/>
  <c r="E2873" i="3"/>
  <c r="D2873" i="3"/>
  <c r="C2873" i="3"/>
  <c r="B2873" i="3"/>
  <c r="A2873" i="3"/>
  <c r="O2872" i="3"/>
  <c r="N2872" i="3"/>
  <c r="M2872" i="3"/>
  <c r="L2872" i="3"/>
  <c r="K2872" i="3"/>
  <c r="J2872" i="3"/>
  <c r="I2872" i="3"/>
  <c r="H2872" i="3"/>
  <c r="G2872" i="3"/>
  <c r="F2872" i="3"/>
  <c r="E2872" i="3"/>
  <c r="D2872" i="3"/>
  <c r="C2872" i="3"/>
  <c r="B2872" i="3"/>
  <c r="A2872" i="3"/>
  <c r="O2871" i="3"/>
  <c r="N2871" i="3"/>
  <c r="M2871" i="3"/>
  <c r="L2871" i="3"/>
  <c r="K2871" i="3"/>
  <c r="J2871" i="3"/>
  <c r="I2871" i="3"/>
  <c r="H2871" i="3"/>
  <c r="G2871" i="3"/>
  <c r="F2871" i="3"/>
  <c r="E2871" i="3"/>
  <c r="D2871" i="3"/>
  <c r="C2871" i="3"/>
  <c r="B2871" i="3"/>
  <c r="A2871" i="3"/>
  <c r="O2870" i="3"/>
  <c r="N2870" i="3"/>
  <c r="M2870" i="3"/>
  <c r="L2870" i="3"/>
  <c r="K2870" i="3"/>
  <c r="J2870" i="3"/>
  <c r="I2870" i="3"/>
  <c r="H2870" i="3"/>
  <c r="G2870" i="3"/>
  <c r="F2870" i="3"/>
  <c r="E2870" i="3"/>
  <c r="D2870" i="3"/>
  <c r="C2870" i="3"/>
  <c r="B2870" i="3"/>
  <c r="A2870" i="3"/>
  <c r="O2869" i="3"/>
  <c r="N2869" i="3"/>
  <c r="M2869" i="3"/>
  <c r="L2869" i="3"/>
  <c r="K2869" i="3"/>
  <c r="J2869" i="3"/>
  <c r="I2869" i="3"/>
  <c r="H2869" i="3"/>
  <c r="G2869" i="3"/>
  <c r="F2869" i="3"/>
  <c r="E2869" i="3"/>
  <c r="D2869" i="3"/>
  <c r="C2869" i="3"/>
  <c r="B2869" i="3"/>
  <c r="A2869" i="3"/>
  <c r="O2868" i="3"/>
  <c r="N2868" i="3"/>
  <c r="M2868" i="3"/>
  <c r="L2868" i="3"/>
  <c r="K2868" i="3"/>
  <c r="J2868" i="3"/>
  <c r="I2868" i="3"/>
  <c r="H2868" i="3"/>
  <c r="G2868" i="3"/>
  <c r="F2868" i="3"/>
  <c r="E2868" i="3"/>
  <c r="D2868" i="3"/>
  <c r="C2868" i="3"/>
  <c r="B2868" i="3"/>
  <c r="A2868" i="3"/>
  <c r="O2867" i="3"/>
  <c r="N2867" i="3"/>
  <c r="M2867" i="3"/>
  <c r="L2867" i="3"/>
  <c r="K2867" i="3"/>
  <c r="J2867" i="3"/>
  <c r="I2867" i="3"/>
  <c r="H2867" i="3"/>
  <c r="G2867" i="3"/>
  <c r="F2867" i="3"/>
  <c r="E2867" i="3"/>
  <c r="D2867" i="3"/>
  <c r="C2867" i="3"/>
  <c r="B2867" i="3"/>
  <c r="A2867" i="3"/>
  <c r="O2866" i="3"/>
  <c r="N2866" i="3"/>
  <c r="M2866" i="3"/>
  <c r="L2866" i="3"/>
  <c r="K2866" i="3"/>
  <c r="J2866" i="3"/>
  <c r="I2866" i="3"/>
  <c r="H2866" i="3"/>
  <c r="G2866" i="3"/>
  <c r="F2866" i="3"/>
  <c r="E2866" i="3"/>
  <c r="D2866" i="3"/>
  <c r="C2866" i="3"/>
  <c r="B2866" i="3"/>
  <c r="A2866" i="3"/>
  <c r="O2865" i="3"/>
  <c r="N2865" i="3"/>
  <c r="M2865" i="3"/>
  <c r="L2865" i="3"/>
  <c r="K2865" i="3"/>
  <c r="J2865" i="3"/>
  <c r="I2865" i="3"/>
  <c r="H2865" i="3"/>
  <c r="G2865" i="3"/>
  <c r="F2865" i="3"/>
  <c r="E2865" i="3"/>
  <c r="D2865" i="3"/>
  <c r="C2865" i="3"/>
  <c r="B2865" i="3"/>
  <c r="A2865" i="3"/>
  <c r="O2864" i="3"/>
  <c r="N2864" i="3"/>
  <c r="M2864" i="3"/>
  <c r="L2864" i="3"/>
  <c r="K2864" i="3"/>
  <c r="J2864" i="3"/>
  <c r="I2864" i="3"/>
  <c r="H2864" i="3"/>
  <c r="G2864" i="3"/>
  <c r="F2864" i="3"/>
  <c r="E2864" i="3"/>
  <c r="D2864" i="3"/>
  <c r="C2864" i="3"/>
  <c r="B2864" i="3"/>
  <c r="A2864" i="3"/>
  <c r="O2863" i="3"/>
  <c r="N2863" i="3"/>
  <c r="M2863" i="3"/>
  <c r="L2863" i="3"/>
  <c r="K2863" i="3"/>
  <c r="J2863" i="3"/>
  <c r="I2863" i="3"/>
  <c r="H2863" i="3"/>
  <c r="G2863" i="3"/>
  <c r="F2863" i="3"/>
  <c r="E2863" i="3"/>
  <c r="D2863" i="3"/>
  <c r="C2863" i="3"/>
  <c r="B2863" i="3"/>
  <c r="A2863" i="3"/>
  <c r="O2862" i="3"/>
  <c r="N2862" i="3"/>
  <c r="M2862" i="3"/>
  <c r="L2862" i="3"/>
  <c r="K2862" i="3"/>
  <c r="J2862" i="3"/>
  <c r="I2862" i="3"/>
  <c r="H2862" i="3"/>
  <c r="G2862" i="3"/>
  <c r="F2862" i="3"/>
  <c r="E2862" i="3"/>
  <c r="D2862" i="3"/>
  <c r="C2862" i="3"/>
  <c r="B2862" i="3"/>
  <c r="A2862" i="3"/>
  <c r="O2861" i="3"/>
  <c r="N2861" i="3"/>
  <c r="M2861" i="3"/>
  <c r="L2861" i="3"/>
  <c r="K2861" i="3"/>
  <c r="J2861" i="3"/>
  <c r="I2861" i="3"/>
  <c r="H2861" i="3"/>
  <c r="G2861" i="3"/>
  <c r="F2861" i="3"/>
  <c r="E2861" i="3"/>
  <c r="D2861" i="3"/>
  <c r="C2861" i="3"/>
  <c r="B2861" i="3"/>
  <c r="A2861" i="3"/>
  <c r="O2860" i="3"/>
  <c r="N2860" i="3"/>
  <c r="M2860" i="3"/>
  <c r="L2860" i="3"/>
  <c r="K2860" i="3"/>
  <c r="J2860" i="3"/>
  <c r="I2860" i="3"/>
  <c r="H2860" i="3"/>
  <c r="G2860" i="3"/>
  <c r="F2860" i="3"/>
  <c r="E2860" i="3"/>
  <c r="D2860" i="3"/>
  <c r="C2860" i="3"/>
  <c r="B2860" i="3"/>
  <c r="A2860" i="3"/>
  <c r="O2859" i="3"/>
  <c r="N2859" i="3"/>
  <c r="M2859" i="3"/>
  <c r="L2859" i="3"/>
  <c r="K2859" i="3"/>
  <c r="J2859" i="3"/>
  <c r="I2859" i="3"/>
  <c r="H2859" i="3"/>
  <c r="G2859" i="3"/>
  <c r="F2859" i="3"/>
  <c r="E2859" i="3"/>
  <c r="D2859" i="3"/>
  <c r="C2859" i="3"/>
  <c r="B2859" i="3"/>
  <c r="A2859" i="3"/>
  <c r="O2858" i="3"/>
  <c r="N2858" i="3"/>
  <c r="M2858" i="3"/>
  <c r="L2858" i="3"/>
  <c r="K2858" i="3"/>
  <c r="J2858" i="3"/>
  <c r="I2858" i="3"/>
  <c r="H2858" i="3"/>
  <c r="G2858" i="3"/>
  <c r="F2858" i="3"/>
  <c r="E2858" i="3"/>
  <c r="D2858" i="3"/>
  <c r="C2858" i="3"/>
  <c r="B2858" i="3"/>
  <c r="A2858" i="3"/>
  <c r="O2857" i="3"/>
  <c r="N2857" i="3"/>
  <c r="M2857" i="3"/>
  <c r="L2857" i="3"/>
  <c r="K2857" i="3"/>
  <c r="J2857" i="3"/>
  <c r="I2857" i="3"/>
  <c r="H2857" i="3"/>
  <c r="G2857" i="3"/>
  <c r="F2857" i="3"/>
  <c r="E2857" i="3"/>
  <c r="D2857" i="3"/>
  <c r="C2857" i="3"/>
  <c r="B2857" i="3"/>
  <c r="A2857" i="3"/>
  <c r="O2856" i="3"/>
  <c r="N2856" i="3"/>
  <c r="M2856" i="3"/>
  <c r="L2856" i="3"/>
  <c r="K2856" i="3"/>
  <c r="J2856" i="3"/>
  <c r="I2856" i="3"/>
  <c r="H2856" i="3"/>
  <c r="G2856" i="3"/>
  <c r="F2856" i="3"/>
  <c r="E2856" i="3"/>
  <c r="D2856" i="3"/>
  <c r="C2856" i="3"/>
  <c r="B2856" i="3"/>
  <c r="A2856" i="3"/>
  <c r="O2855" i="3"/>
  <c r="N2855" i="3"/>
  <c r="M2855" i="3"/>
  <c r="L2855" i="3"/>
  <c r="K2855" i="3"/>
  <c r="J2855" i="3"/>
  <c r="I2855" i="3"/>
  <c r="H2855" i="3"/>
  <c r="G2855" i="3"/>
  <c r="F2855" i="3"/>
  <c r="E2855" i="3"/>
  <c r="D2855" i="3"/>
  <c r="C2855" i="3"/>
  <c r="B2855" i="3"/>
  <c r="A2855" i="3"/>
  <c r="O2854" i="3"/>
  <c r="N2854" i="3"/>
  <c r="M2854" i="3"/>
  <c r="L2854" i="3"/>
  <c r="K2854" i="3"/>
  <c r="J2854" i="3"/>
  <c r="I2854" i="3"/>
  <c r="H2854" i="3"/>
  <c r="G2854" i="3"/>
  <c r="F2854" i="3"/>
  <c r="E2854" i="3"/>
  <c r="D2854" i="3"/>
  <c r="C2854" i="3"/>
  <c r="B2854" i="3"/>
  <c r="A2854" i="3"/>
  <c r="O2853" i="3"/>
  <c r="N2853" i="3"/>
  <c r="M2853" i="3"/>
  <c r="L2853" i="3"/>
  <c r="K2853" i="3"/>
  <c r="J2853" i="3"/>
  <c r="I2853" i="3"/>
  <c r="H2853" i="3"/>
  <c r="G2853" i="3"/>
  <c r="F2853" i="3"/>
  <c r="E2853" i="3"/>
  <c r="D2853" i="3"/>
  <c r="C2853" i="3"/>
  <c r="B2853" i="3"/>
  <c r="A2853" i="3"/>
  <c r="O2852" i="3"/>
  <c r="N2852" i="3"/>
  <c r="M2852" i="3"/>
  <c r="L2852" i="3"/>
  <c r="K2852" i="3"/>
  <c r="J2852" i="3"/>
  <c r="I2852" i="3"/>
  <c r="H2852" i="3"/>
  <c r="G2852" i="3"/>
  <c r="F2852" i="3"/>
  <c r="E2852" i="3"/>
  <c r="D2852" i="3"/>
  <c r="C2852" i="3"/>
  <c r="B2852" i="3"/>
  <c r="A2852" i="3"/>
  <c r="O2851" i="3"/>
  <c r="N2851" i="3"/>
  <c r="M2851" i="3"/>
  <c r="L2851" i="3"/>
  <c r="K2851" i="3"/>
  <c r="J2851" i="3"/>
  <c r="I2851" i="3"/>
  <c r="H2851" i="3"/>
  <c r="G2851" i="3"/>
  <c r="F2851" i="3"/>
  <c r="E2851" i="3"/>
  <c r="D2851" i="3"/>
  <c r="C2851" i="3"/>
  <c r="B2851" i="3"/>
  <c r="A2851" i="3"/>
  <c r="O2850" i="3"/>
  <c r="N2850" i="3"/>
  <c r="M2850" i="3"/>
  <c r="L2850" i="3"/>
  <c r="K2850" i="3"/>
  <c r="J2850" i="3"/>
  <c r="I2850" i="3"/>
  <c r="H2850" i="3"/>
  <c r="G2850" i="3"/>
  <c r="F2850" i="3"/>
  <c r="E2850" i="3"/>
  <c r="D2850" i="3"/>
  <c r="C2850" i="3"/>
  <c r="B2850" i="3"/>
  <c r="A2850" i="3"/>
  <c r="O2849" i="3"/>
  <c r="N2849" i="3"/>
  <c r="M2849" i="3"/>
  <c r="L2849" i="3"/>
  <c r="K2849" i="3"/>
  <c r="J2849" i="3"/>
  <c r="I2849" i="3"/>
  <c r="H2849" i="3"/>
  <c r="G2849" i="3"/>
  <c r="F2849" i="3"/>
  <c r="E2849" i="3"/>
  <c r="D2849" i="3"/>
  <c r="C2849" i="3"/>
  <c r="B2849" i="3"/>
  <c r="A2849" i="3"/>
  <c r="O2848" i="3"/>
  <c r="N2848" i="3"/>
  <c r="M2848" i="3"/>
  <c r="L2848" i="3"/>
  <c r="K2848" i="3"/>
  <c r="J2848" i="3"/>
  <c r="I2848" i="3"/>
  <c r="H2848" i="3"/>
  <c r="G2848" i="3"/>
  <c r="F2848" i="3"/>
  <c r="E2848" i="3"/>
  <c r="D2848" i="3"/>
  <c r="C2848" i="3"/>
  <c r="B2848" i="3"/>
  <c r="A2848" i="3"/>
  <c r="O2847" i="3"/>
  <c r="N2847" i="3"/>
  <c r="M2847" i="3"/>
  <c r="L2847" i="3"/>
  <c r="K2847" i="3"/>
  <c r="J2847" i="3"/>
  <c r="I2847" i="3"/>
  <c r="H2847" i="3"/>
  <c r="G2847" i="3"/>
  <c r="F2847" i="3"/>
  <c r="E2847" i="3"/>
  <c r="D2847" i="3"/>
  <c r="C2847" i="3"/>
  <c r="B2847" i="3"/>
  <c r="A2847" i="3"/>
  <c r="O2846" i="3"/>
  <c r="N2846" i="3"/>
  <c r="M2846" i="3"/>
  <c r="L2846" i="3"/>
  <c r="K2846" i="3"/>
  <c r="J2846" i="3"/>
  <c r="I2846" i="3"/>
  <c r="H2846" i="3"/>
  <c r="G2846" i="3"/>
  <c r="F2846" i="3"/>
  <c r="E2846" i="3"/>
  <c r="D2846" i="3"/>
  <c r="C2846" i="3"/>
  <c r="B2846" i="3"/>
  <c r="A2846" i="3"/>
  <c r="O2845" i="3"/>
  <c r="N2845" i="3"/>
  <c r="M2845" i="3"/>
  <c r="L2845" i="3"/>
  <c r="K2845" i="3"/>
  <c r="J2845" i="3"/>
  <c r="I2845" i="3"/>
  <c r="H2845" i="3"/>
  <c r="G2845" i="3"/>
  <c r="F2845" i="3"/>
  <c r="E2845" i="3"/>
  <c r="D2845" i="3"/>
  <c r="C2845" i="3"/>
  <c r="B2845" i="3"/>
  <c r="A2845" i="3"/>
  <c r="O2844" i="3"/>
  <c r="N2844" i="3"/>
  <c r="M2844" i="3"/>
  <c r="L2844" i="3"/>
  <c r="K2844" i="3"/>
  <c r="J2844" i="3"/>
  <c r="I2844" i="3"/>
  <c r="H2844" i="3"/>
  <c r="G2844" i="3"/>
  <c r="F2844" i="3"/>
  <c r="E2844" i="3"/>
  <c r="D2844" i="3"/>
  <c r="C2844" i="3"/>
  <c r="B2844" i="3"/>
  <c r="A2844" i="3"/>
  <c r="O2843" i="3"/>
  <c r="N2843" i="3"/>
  <c r="M2843" i="3"/>
  <c r="L2843" i="3"/>
  <c r="K2843" i="3"/>
  <c r="J2843" i="3"/>
  <c r="I2843" i="3"/>
  <c r="H2843" i="3"/>
  <c r="G2843" i="3"/>
  <c r="F2843" i="3"/>
  <c r="E2843" i="3"/>
  <c r="D2843" i="3"/>
  <c r="C2843" i="3"/>
  <c r="B2843" i="3"/>
  <c r="A2843" i="3"/>
  <c r="O2842" i="3"/>
  <c r="N2842" i="3"/>
  <c r="M2842" i="3"/>
  <c r="L2842" i="3"/>
  <c r="K2842" i="3"/>
  <c r="J2842" i="3"/>
  <c r="I2842" i="3"/>
  <c r="H2842" i="3"/>
  <c r="G2842" i="3"/>
  <c r="F2842" i="3"/>
  <c r="E2842" i="3"/>
  <c r="D2842" i="3"/>
  <c r="C2842" i="3"/>
  <c r="B2842" i="3"/>
  <c r="A2842" i="3"/>
  <c r="O2841" i="3"/>
  <c r="N2841" i="3"/>
  <c r="M2841" i="3"/>
  <c r="L2841" i="3"/>
  <c r="K2841" i="3"/>
  <c r="J2841" i="3"/>
  <c r="I2841" i="3"/>
  <c r="H2841" i="3"/>
  <c r="G2841" i="3"/>
  <c r="F2841" i="3"/>
  <c r="E2841" i="3"/>
  <c r="D2841" i="3"/>
  <c r="C2841" i="3"/>
  <c r="B2841" i="3"/>
  <c r="A2841" i="3"/>
  <c r="O2840" i="3"/>
  <c r="N2840" i="3"/>
  <c r="M2840" i="3"/>
  <c r="L2840" i="3"/>
  <c r="K2840" i="3"/>
  <c r="J2840" i="3"/>
  <c r="I2840" i="3"/>
  <c r="H2840" i="3"/>
  <c r="G2840" i="3"/>
  <c r="F2840" i="3"/>
  <c r="E2840" i="3"/>
  <c r="D2840" i="3"/>
  <c r="C2840" i="3"/>
  <c r="B2840" i="3"/>
  <c r="A2840" i="3"/>
  <c r="O2839" i="3"/>
  <c r="N2839" i="3"/>
  <c r="M2839" i="3"/>
  <c r="L2839" i="3"/>
  <c r="K2839" i="3"/>
  <c r="J2839" i="3"/>
  <c r="I2839" i="3"/>
  <c r="H2839" i="3"/>
  <c r="G2839" i="3"/>
  <c r="F2839" i="3"/>
  <c r="E2839" i="3"/>
  <c r="D2839" i="3"/>
  <c r="C2839" i="3"/>
  <c r="B2839" i="3"/>
  <c r="A2839" i="3"/>
  <c r="O2838" i="3"/>
  <c r="N2838" i="3"/>
  <c r="M2838" i="3"/>
  <c r="L2838" i="3"/>
  <c r="K2838" i="3"/>
  <c r="J2838" i="3"/>
  <c r="I2838" i="3"/>
  <c r="H2838" i="3"/>
  <c r="G2838" i="3"/>
  <c r="F2838" i="3"/>
  <c r="E2838" i="3"/>
  <c r="D2838" i="3"/>
  <c r="C2838" i="3"/>
  <c r="B2838" i="3"/>
  <c r="A2838" i="3"/>
  <c r="O2837" i="3"/>
  <c r="N2837" i="3"/>
  <c r="M2837" i="3"/>
  <c r="L2837" i="3"/>
  <c r="K2837" i="3"/>
  <c r="J2837" i="3"/>
  <c r="I2837" i="3"/>
  <c r="H2837" i="3"/>
  <c r="G2837" i="3"/>
  <c r="F2837" i="3"/>
  <c r="E2837" i="3"/>
  <c r="D2837" i="3"/>
  <c r="C2837" i="3"/>
  <c r="B2837" i="3"/>
  <c r="A2837" i="3"/>
  <c r="O2836" i="3"/>
  <c r="N2836" i="3"/>
  <c r="M2836" i="3"/>
  <c r="L2836" i="3"/>
  <c r="K2836" i="3"/>
  <c r="J2836" i="3"/>
  <c r="I2836" i="3"/>
  <c r="H2836" i="3"/>
  <c r="G2836" i="3"/>
  <c r="F2836" i="3"/>
  <c r="E2836" i="3"/>
  <c r="D2836" i="3"/>
  <c r="C2836" i="3"/>
  <c r="B2836" i="3"/>
  <c r="A2836" i="3"/>
  <c r="O2835" i="3"/>
  <c r="N2835" i="3"/>
  <c r="M2835" i="3"/>
  <c r="L2835" i="3"/>
  <c r="K2835" i="3"/>
  <c r="J2835" i="3"/>
  <c r="I2835" i="3"/>
  <c r="H2835" i="3"/>
  <c r="G2835" i="3"/>
  <c r="F2835" i="3"/>
  <c r="E2835" i="3"/>
  <c r="D2835" i="3"/>
  <c r="C2835" i="3"/>
  <c r="B2835" i="3"/>
  <c r="A2835" i="3"/>
  <c r="O2834" i="3"/>
  <c r="N2834" i="3"/>
  <c r="M2834" i="3"/>
  <c r="L2834" i="3"/>
  <c r="K2834" i="3"/>
  <c r="J2834" i="3"/>
  <c r="I2834" i="3"/>
  <c r="H2834" i="3"/>
  <c r="G2834" i="3"/>
  <c r="F2834" i="3"/>
  <c r="E2834" i="3"/>
  <c r="D2834" i="3"/>
  <c r="C2834" i="3"/>
  <c r="B2834" i="3"/>
  <c r="A2834" i="3"/>
  <c r="O2833" i="3"/>
  <c r="N2833" i="3"/>
  <c r="M2833" i="3"/>
  <c r="L2833" i="3"/>
  <c r="K2833" i="3"/>
  <c r="J2833" i="3"/>
  <c r="I2833" i="3"/>
  <c r="H2833" i="3"/>
  <c r="G2833" i="3"/>
  <c r="F2833" i="3"/>
  <c r="E2833" i="3"/>
  <c r="D2833" i="3"/>
  <c r="C2833" i="3"/>
  <c r="B2833" i="3"/>
  <c r="A2833" i="3"/>
  <c r="O2832" i="3"/>
  <c r="N2832" i="3"/>
  <c r="M2832" i="3"/>
  <c r="L2832" i="3"/>
  <c r="K2832" i="3"/>
  <c r="J2832" i="3"/>
  <c r="I2832" i="3"/>
  <c r="H2832" i="3"/>
  <c r="G2832" i="3"/>
  <c r="F2832" i="3"/>
  <c r="E2832" i="3"/>
  <c r="D2832" i="3"/>
  <c r="C2832" i="3"/>
  <c r="B2832" i="3"/>
  <c r="A2832" i="3"/>
  <c r="O2831" i="3"/>
  <c r="N2831" i="3"/>
  <c r="M2831" i="3"/>
  <c r="L2831" i="3"/>
  <c r="K2831" i="3"/>
  <c r="J2831" i="3"/>
  <c r="I2831" i="3"/>
  <c r="H2831" i="3"/>
  <c r="G2831" i="3"/>
  <c r="F2831" i="3"/>
  <c r="E2831" i="3"/>
  <c r="D2831" i="3"/>
  <c r="C2831" i="3"/>
  <c r="B2831" i="3"/>
  <c r="A2831" i="3"/>
  <c r="O2830" i="3"/>
  <c r="N2830" i="3"/>
  <c r="M2830" i="3"/>
  <c r="L2830" i="3"/>
  <c r="K2830" i="3"/>
  <c r="J2830" i="3"/>
  <c r="I2830" i="3"/>
  <c r="H2830" i="3"/>
  <c r="G2830" i="3"/>
  <c r="F2830" i="3"/>
  <c r="E2830" i="3"/>
  <c r="D2830" i="3"/>
  <c r="C2830" i="3"/>
  <c r="B2830" i="3"/>
  <c r="A2830" i="3"/>
  <c r="O2829" i="3"/>
  <c r="N2829" i="3"/>
  <c r="M2829" i="3"/>
  <c r="L2829" i="3"/>
  <c r="K2829" i="3"/>
  <c r="J2829" i="3"/>
  <c r="I2829" i="3"/>
  <c r="H2829" i="3"/>
  <c r="G2829" i="3"/>
  <c r="F2829" i="3"/>
  <c r="E2829" i="3"/>
  <c r="D2829" i="3"/>
  <c r="C2829" i="3"/>
  <c r="B2829" i="3"/>
  <c r="A2829" i="3"/>
  <c r="O2828" i="3"/>
  <c r="N2828" i="3"/>
  <c r="M2828" i="3"/>
  <c r="L2828" i="3"/>
  <c r="K2828" i="3"/>
  <c r="J2828" i="3"/>
  <c r="I2828" i="3"/>
  <c r="H2828" i="3"/>
  <c r="G2828" i="3"/>
  <c r="F2828" i="3"/>
  <c r="E2828" i="3"/>
  <c r="D2828" i="3"/>
  <c r="C2828" i="3"/>
  <c r="B2828" i="3"/>
  <c r="A2828" i="3"/>
  <c r="O2827" i="3"/>
  <c r="N2827" i="3"/>
  <c r="M2827" i="3"/>
  <c r="L2827" i="3"/>
  <c r="K2827" i="3"/>
  <c r="J2827" i="3"/>
  <c r="I2827" i="3"/>
  <c r="H2827" i="3"/>
  <c r="G2827" i="3"/>
  <c r="F2827" i="3"/>
  <c r="E2827" i="3"/>
  <c r="D2827" i="3"/>
  <c r="C2827" i="3"/>
  <c r="B2827" i="3"/>
  <c r="A2827" i="3"/>
  <c r="O2826" i="3"/>
  <c r="N2826" i="3"/>
  <c r="M2826" i="3"/>
  <c r="L2826" i="3"/>
  <c r="K2826" i="3"/>
  <c r="J2826" i="3"/>
  <c r="I2826" i="3"/>
  <c r="H2826" i="3"/>
  <c r="G2826" i="3"/>
  <c r="F2826" i="3"/>
  <c r="E2826" i="3"/>
  <c r="D2826" i="3"/>
  <c r="C2826" i="3"/>
  <c r="B2826" i="3"/>
  <c r="A2826" i="3"/>
  <c r="O2825" i="3"/>
  <c r="N2825" i="3"/>
  <c r="M2825" i="3"/>
  <c r="L2825" i="3"/>
  <c r="K2825" i="3"/>
  <c r="J2825" i="3"/>
  <c r="I2825" i="3"/>
  <c r="H2825" i="3"/>
  <c r="G2825" i="3"/>
  <c r="F2825" i="3"/>
  <c r="E2825" i="3"/>
  <c r="D2825" i="3"/>
  <c r="C2825" i="3"/>
  <c r="B2825" i="3"/>
  <c r="A2825" i="3"/>
  <c r="O2824" i="3"/>
  <c r="N2824" i="3"/>
  <c r="M2824" i="3"/>
  <c r="L2824" i="3"/>
  <c r="K2824" i="3"/>
  <c r="J2824" i="3"/>
  <c r="I2824" i="3"/>
  <c r="H2824" i="3"/>
  <c r="G2824" i="3"/>
  <c r="F2824" i="3"/>
  <c r="E2824" i="3"/>
  <c r="D2824" i="3"/>
  <c r="C2824" i="3"/>
  <c r="B2824" i="3"/>
  <c r="A2824" i="3"/>
  <c r="O2823" i="3"/>
  <c r="N2823" i="3"/>
  <c r="M2823" i="3"/>
  <c r="L2823" i="3"/>
  <c r="K2823" i="3"/>
  <c r="J2823" i="3"/>
  <c r="I2823" i="3"/>
  <c r="H2823" i="3"/>
  <c r="G2823" i="3"/>
  <c r="F2823" i="3"/>
  <c r="E2823" i="3"/>
  <c r="D2823" i="3"/>
  <c r="C2823" i="3"/>
  <c r="B2823" i="3"/>
  <c r="A2823" i="3"/>
  <c r="O2822" i="3"/>
  <c r="N2822" i="3"/>
  <c r="M2822" i="3"/>
  <c r="L2822" i="3"/>
  <c r="K2822" i="3"/>
  <c r="J2822" i="3"/>
  <c r="I2822" i="3"/>
  <c r="H2822" i="3"/>
  <c r="G2822" i="3"/>
  <c r="F2822" i="3"/>
  <c r="E2822" i="3"/>
  <c r="D2822" i="3"/>
  <c r="C2822" i="3"/>
  <c r="B2822" i="3"/>
  <c r="A2822" i="3"/>
  <c r="O2821" i="3"/>
  <c r="N2821" i="3"/>
  <c r="M2821" i="3"/>
  <c r="L2821" i="3"/>
  <c r="K2821" i="3"/>
  <c r="J2821" i="3"/>
  <c r="I2821" i="3"/>
  <c r="H2821" i="3"/>
  <c r="G2821" i="3"/>
  <c r="F2821" i="3"/>
  <c r="E2821" i="3"/>
  <c r="D2821" i="3"/>
  <c r="C2821" i="3"/>
  <c r="B2821" i="3"/>
  <c r="A2821" i="3"/>
  <c r="O2820" i="3"/>
  <c r="N2820" i="3"/>
  <c r="M2820" i="3"/>
  <c r="L2820" i="3"/>
  <c r="K2820" i="3"/>
  <c r="J2820" i="3"/>
  <c r="I2820" i="3"/>
  <c r="H2820" i="3"/>
  <c r="G2820" i="3"/>
  <c r="F2820" i="3"/>
  <c r="E2820" i="3"/>
  <c r="D2820" i="3"/>
  <c r="C2820" i="3"/>
  <c r="B2820" i="3"/>
  <c r="A2820" i="3"/>
  <c r="O2819" i="3"/>
  <c r="N2819" i="3"/>
  <c r="M2819" i="3"/>
  <c r="L2819" i="3"/>
  <c r="K2819" i="3"/>
  <c r="J2819" i="3"/>
  <c r="I2819" i="3"/>
  <c r="H2819" i="3"/>
  <c r="G2819" i="3"/>
  <c r="F2819" i="3"/>
  <c r="E2819" i="3"/>
  <c r="D2819" i="3"/>
  <c r="C2819" i="3"/>
  <c r="B2819" i="3"/>
  <c r="A2819" i="3"/>
  <c r="O2818" i="3"/>
  <c r="N2818" i="3"/>
  <c r="M2818" i="3"/>
  <c r="L2818" i="3"/>
  <c r="K2818" i="3"/>
  <c r="J2818" i="3"/>
  <c r="I2818" i="3"/>
  <c r="H2818" i="3"/>
  <c r="G2818" i="3"/>
  <c r="F2818" i="3"/>
  <c r="E2818" i="3"/>
  <c r="D2818" i="3"/>
  <c r="C2818" i="3"/>
  <c r="B2818" i="3"/>
  <c r="A2818" i="3"/>
  <c r="O2817" i="3"/>
  <c r="N2817" i="3"/>
  <c r="M2817" i="3"/>
  <c r="L2817" i="3"/>
  <c r="K2817" i="3"/>
  <c r="J2817" i="3"/>
  <c r="I2817" i="3"/>
  <c r="H2817" i="3"/>
  <c r="G2817" i="3"/>
  <c r="F2817" i="3"/>
  <c r="E2817" i="3"/>
  <c r="D2817" i="3"/>
  <c r="C2817" i="3"/>
  <c r="B2817" i="3"/>
  <c r="A2817" i="3"/>
  <c r="O2816" i="3"/>
  <c r="N2816" i="3"/>
  <c r="M2816" i="3"/>
  <c r="L2816" i="3"/>
  <c r="K2816" i="3"/>
  <c r="J2816" i="3"/>
  <c r="I2816" i="3"/>
  <c r="H2816" i="3"/>
  <c r="G2816" i="3"/>
  <c r="F2816" i="3"/>
  <c r="E2816" i="3"/>
  <c r="D2816" i="3"/>
  <c r="C2816" i="3"/>
  <c r="B2816" i="3"/>
  <c r="A2816" i="3"/>
  <c r="O2815" i="3"/>
  <c r="N2815" i="3"/>
  <c r="M2815" i="3"/>
  <c r="L2815" i="3"/>
  <c r="K2815" i="3"/>
  <c r="J2815" i="3"/>
  <c r="I2815" i="3"/>
  <c r="H2815" i="3"/>
  <c r="G2815" i="3"/>
  <c r="F2815" i="3"/>
  <c r="E2815" i="3"/>
  <c r="D2815" i="3"/>
  <c r="C2815" i="3"/>
  <c r="B2815" i="3"/>
  <c r="A2815" i="3"/>
  <c r="O2814" i="3"/>
  <c r="N2814" i="3"/>
  <c r="M2814" i="3"/>
  <c r="L2814" i="3"/>
  <c r="K2814" i="3"/>
  <c r="J2814" i="3"/>
  <c r="I2814" i="3"/>
  <c r="H2814" i="3"/>
  <c r="G2814" i="3"/>
  <c r="F2814" i="3"/>
  <c r="E2814" i="3"/>
  <c r="D2814" i="3"/>
  <c r="C2814" i="3"/>
  <c r="B2814" i="3"/>
  <c r="A2814" i="3"/>
  <c r="O2813" i="3"/>
  <c r="N2813" i="3"/>
  <c r="M2813" i="3"/>
  <c r="L2813" i="3"/>
  <c r="K2813" i="3"/>
  <c r="J2813" i="3"/>
  <c r="I2813" i="3"/>
  <c r="H2813" i="3"/>
  <c r="G2813" i="3"/>
  <c r="F2813" i="3"/>
  <c r="E2813" i="3"/>
  <c r="D2813" i="3"/>
  <c r="C2813" i="3"/>
  <c r="B2813" i="3"/>
  <c r="A2813" i="3"/>
  <c r="O2812" i="3"/>
  <c r="N2812" i="3"/>
  <c r="M2812" i="3"/>
  <c r="L2812" i="3"/>
  <c r="K2812" i="3"/>
  <c r="J2812" i="3"/>
  <c r="I2812" i="3"/>
  <c r="H2812" i="3"/>
  <c r="G2812" i="3"/>
  <c r="F2812" i="3"/>
  <c r="E2812" i="3"/>
  <c r="D2812" i="3"/>
  <c r="C2812" i="3"/>
  <c r="B2812" i="3"/>
  <c r="A2812" i="3"/>
  <c r="O2811" i="3"/>
  <c r="N2811" i="3"/>
  <c r="M2811" i="3"/>
  <c r="L2811" i="3"/>
  <c r="K2811" i="3"/>
  <c r="J2811" i="3"/>
  <c r="I2811" i="3"/>
  <c r="H2811" i="3"/>
  <c r="G2811" i="3"/>
  <c r="F2811" i="3"/>
  <c r="E2811" i="3"/>
  <c r="D2811" i="3"/>
  <c r="C2811" i="3"/>
  <c r="B2811" i="3"/>
  <c r="A2811" i="3"/>
  <c r="O2810" i="3"/>
  <c r="N2810" i="3"/>
  <c r="M2810" i="3"/>
  <c r="L2810" i="3"/>
  <c r="K2810" i="3"/>
  <c r="J2810" i="3"/>
  <c r="I2810" i="3"/>
  <c r="H2810" i="3"/>
  <c r="G2810" i="3"/>
  <c r="F2810" i="3"/>
  <c r="E2810" i="3"/>
  <c r="D2810" i="3"/>
  <c r="C2810" i="3"/>
  <c r="B2810" i="3"/>
  <c r="A2810" i="3"/>
  <c r="O2809" i="3"/>
  <c r="N2809" i="3"/>
  <c r="M2809" i="3"/>
  <c r="L2809" i="3"/>
  <c r="K2809" i="3"/>
  <c r="J2809" i="3"/>
  <c r="I2809" i="3"/>
  <c r="H2809" i="3"/>
  <c r="G2809" i="3"/>
  <c r="F2809" i="3"/>
  <c r="E2809" i="3"/>
  <c r="D2809" i="3"/>
  <c r="C2809" i="3"/>
  <c r="B2809" i="3"/>
  <c r="A2809" i="3"/>
  <c r="O2808" i="3"/>
  <c r="N2808" i="3"/>
  <c r="M2808" i="3"/>
  <c r="L2808" i="3"/>
  <c r="K2808" i="3"/>
  <c r="J2808" i="3"/>
  <c r="I2808" i="3"/>
  <c r="H2808" i="3"/>
  <c r="G2808" i="3"/>
  <c r="F2808" i="3"/>
  <c r="E2808" i="3"/>
  <c r="D2808" i="3"/>
  <c r="C2808" i="3"/>
  <c r="B2808" i="3"/>
  <c r="A2808" i="3"/>
  <c r="O2807" i="3"/>
  <c r="N2807" i="3"/>
  <c r="M2807" i="3"/>
  <c r="L2807" i="3"/>
  <c r="K2807" i="3"/>
  <c r="J2807" i="3"/>
  <c r="I2807" i="3"/>
  <c r="H2807" i="3"/>
  <c r="G2807" i="3"/>
  <c r="F2807" i="3"/>
  <c r="E2807" i="3"/>
  <c r="D2807" i="3"/>
  <c r="C2807" i="3"/>
  <c r="B2807" i="3"/>
  <c r="A2807" i="3"/>
  <c r="O2806" i="3"/>
  <c r="N2806" i="3"/>
  <c r="M2806" i="3"/>
  <c r="L2806" i="3"/>
  <c r="K2806" i="3"/>
  <c r="J2806" i="3"/>
  <c r="I2806" i="3"/>
  <c r="H2806" i="3"/>
  <c r="G2806" i="3"/>
  <c r="F2806" i="3"/>
  <c r="E2806" i="3"/>
  <c r="D2806" i="3"/>
  <c r="C2806" i="3"/>
  <c r="B2806" i="3"/>
  <c r="A2806" i="3"/>
  <c r="O2805" i="3"/>
  <c r="N2805" i="3"/>
  <c r="M2805" i="3"/>
  <c r="L2805" i="3"/>
  <c r="K2805" i="3"/>
  <c r="J2805" i="3"/>
  <c r="I2805" i="3"/>
  <c r="H2805" i="3"/>
  <c r="G2805" i="3"/>
  <c r="F2805" i="3"/>
  <c r="E2805" i="3"/>
  <c r="D2805" i="3"/>
  <c r="C2805" i="3"/>
  <c r="B2805" i="3"/>
  <c r="A2805" i="3"/>
  <c r="O2804" i="3"/>
  <c r="N2804" i="3"/>
  <c r="M2804" i="3"/>
  <c r="L2804" i="3"/>
  <c r="K2804" i="3"/>
  <c r="J2804" i="3"/>
  <c r="I2804" i="3"/>
  <c r="H2804" i="3"/>
  <c r="G2804" i="3"/>
  <c r="F2804" i="3"/>
  <c r="E2804" i="3"/>
  <c r="D2804" i="3"/>
  <c r="C2804" i="3"/>
  <c r="B2804" i="3"/>
  <c r="A2804" i="3"/>
  <c r="O2803" i="3"/>
  <c r="N2803" i="3"/>
  <c r="M2803" i="3"/>
  <c r="L2803" i="3"/>
  <c r="K2803" i="3"/>
  <c r="J2803" i="3"/>
  <c r="I2803" i="3"/>
  <c r="H2803" i="3"/>
  <c r="G2803" i="3"/>
  <c r="F2803" i="3"/>
  <c r="E2803" i="3"/>
  <c r="D2803" i="3"/>
  <c r="C2803" i="3"/>
  <c r="B2803" i="3"/>
  <c r="A2803" i="3"/>
  <c r="O2802" i="3"/>
  <c r="N2802" i="3"/>
  <c r="M2802" i="3"/>
  <c r="L2802" i="3"/>
  <c r="K2802" i="3"/>
  <c r="J2802" i="3"/>
  <c r="I2802" i="3"/>
  <c r="H2802" i="3"/>
  <c r="G2802" i="3"/>
  <c r="F2802" i="3"/>
  <c r="E2802" i="3"/>
  <c r="D2802" i="3"/>
  <c r="C2802" i="3"/>
  <c r="B2802" i="3"/>
  <c r="A2802" i="3"/>
  <c r="O2801" i="3"/>
  <c r="N2801" i="3"/>
  <c r="M2801" i="3"/>
  <c r="L2801" i="3"/>
  <c r="K2801" i="3"/>
  <c r="J2801" i="3"/>
  <c r="I2801" i="3"/>
  <c r="H2801" i="3"/>
  <c r="G2801" i="3"/>
  <c r="F2801" i="3"/>
  <c r="E2801" i="3"/>
  <c r="D2801" i="3"/>
  <c r="C2801" i="3"/>
  <c r="B2801" i="3"/>
  <c r="A2801" i="3"/>
  <c r="O2800" i="3"/>
  <c r="N2800" i="3"/>
  <c r="M2800" i="3"/>
  <c r="L2800" i="3"/>
  <c r="K2800" i="3"/>
  <c r="J2800" i="3"/>
  <c r="I2800" i="3"/>
  <c r="H2800" i="3"/>
  <c r="G2800" i="3"/>
  <c r="F2800" i="3"/>
  <c r="E2800" i="3"/>
  <c r="D2800" i="3"/>
  <c r="C2800" i="3"/>
  <c r="B2800" i="3"/>
  <c r="A2800" i="3"/>
  <c r="O2799" i="3"/>
  <c r="N2799" i="3"/>
  <c r="M2799" i="3"/>
  <c r="L2799" i="3"/>
  <c r="K2799" i="3"/>
  <c r="J2799" i="3"/>
  <c r="I2799" i="3"/>
  <c r="H2799" i="3"/>
  <c r="G2799" i="3"/>
  <c r="F2799" i="3"/>
  <c r="E2799" i="3"/>
  <c r="D2799" i="3"/>
  <c r="C2799" i="3"/>
  <c r="B2799" i="3"/>
  <c r="A2799" i="3"/>
  <c r="O2798" i="3"/>
  <c r="N2798" i="3"/>
  <c r="M2798" i="3"/>
  <c r="L2798" i="3"/>
  <c r="K2798" i="3"/>
  <c r="J2798" i="3"/>
  <c r="I2798" i="3"/>
  <c r="H2798" i="3"/>
  <c r="G2798" i="3"/>
  <c r="F2798" i="3"/>
  <c r="E2798" i="3"/>
  <c r="D2798" i="3"/>
  <c r="C2798" i="3"/>
  <c r="B2798" i="3"/>
  <c r="A2798" i="3"/>
  <c r="O2797" i="3"/>
  <c r="N2797" i="3"/>
  <c r="M2797" i="3"/>
  <c r="L2797" i="3"/>
  <c r="K2797" i="3"/>
  <c r="J2797" i="3"/>
  <c r="I2797" i="3"/>
  <c r="H2797" i="3"/>
  <c r="G2797" i="3"/>
  <c r="F2797" i="3"/>
  <c r="E2797" i="3"/>
  <c r="D2797" i="3"/>
  <c r="C2797" i="3"/>
  <c r="B2797" i="3"/>
  <c r="A2797" i="3"/>
  <c r="O2796" i="3"/>
  <c r="N2796" i="3"/>
  <c r="M2796" i="3"/>
  <c r="L2796" i="3"/>
  <c r="K2796" i="3"/>
  <c r="J2796" i="3"/>
  <c r="I2796" i="3"/>
  <c r="H2796" i="3"/>
  <c r="G2796" i="3"/>
  <c r="F2796" i="3"/>
  <c r="E2796" i="3"/>
  <c r="D2796" i="3"/>
  <c r="C2796" i="3"/>
  <c r="B2796" i="3"/>
  <c r="A2796" i="3"/>
  <c r="O2795" i="3"/>
  <c r="N2795" i="3"/>
  <c r="M2795" i="3"/>
  <c r="L2795" i="3"/>
  <c r="K2795" i="3"/>
  <c r="J2795" i="3"/>
  <c r="I2795" i="3"/>
  <c r="H2795" i="3"/>
  <c r="G2795" i="3"/>
  <c r="F2795" i="3"/>
  <c r="E2795" i="3"/>
  <c r="D2795" i="3"/>
  <c r="C2795" i="3"/>
  <c r="B2795" i="3"/>
  <c r="A2795" i="3"/>
  <c r="O2794" i="3"/>
  <c r="N2794" i="3"/>
  <c r="M2794" i="3"/>
  <c r="L2794" i="3"/>
  <c r="K2794" i="3"/>
  <c r="J2794" i="3"/>
  <c r="I2794" i="3"/>
  <c r="H2794" i="3"/>
  <c r="G2794" i="3"/>
  <c r="F2794" i="3"/>
  <c r="E2794" i="3"/>
  <c r="D2794" i="3"/>
  <c r="C2794" i="3"/>
  <c r="B2794" i="3"/>
  <c r="A2794" i="3"/>
  <c r="O2793" i="3"/>
  <c r="N2793" i="3"/>
  <c r="M2793" i="3"/>
  <c r="L2793" i="3"/>
  <c r="K2793" i="3"/>
  <c r="J2793" i="3"/>
  <c r="I2793" i="3"/>
  <c r="H2793" i="3"/>
  <c r="G2793" i="3"/>
  <c r="F2793" i="3"/>
  <c r="E2793" i="3"/>
  <c r="D2793" i="3"/>
  <c r="C2793" i="3"/>
  <c r="B2793" i="3"/>
  <c r="A2793" i="3"/>
  <c r="O2792" i="3"/>
  <c r="N2792" i="3"/>
  <c r="M2792" i="3"/>
  <c r="L2792" i="3"/>
  <c r="K2792" i="3"/>
  <c r="J2792" i="3"/>
  <c r="I2792" i="3"/>
  <c r="H2792" i="3"/>
  <c r="G2792" i="3"/>
  <c r="F2792" i="3"/>
  <c r="E2792" i="3"/>
  <c r="D2792" i="3"/>
  <c r="C2792" i="3"/>
  <c r="B2792" i="3"/>
  <c r="A2792" i="3"/>
  <c r="O2791" i="3"/>
  <c r="N2791" i="3"/>
  <c r="M2791" i="3"/>
  <c r="L2791" i="3"/>
  <c r="K2791" i="3"/>
  <c r="J2791" i="3"/>
  <c r="I2791" i="3"/>
  <c r="H2791" i="3"/>
  <c r="G2791" i="3"/>
  <c r="F2791" i="3"/>
  <c r="E2791" i="3"/>
  <c r="D2791" i="3"/>
  <c r="C2791" i="3"/>
  <c r="B2791" i="3"/>
  <c r="A2791" i="3"/>
  <c r="O2790" i="3"/>
  <c r="N2790" i="3"/>
  <c r="M2790" i="3"/>
  <c r="L2790" i="3"/>
  <c r="K2790" i="3"/>
  <c r="J2790" i="3"/>
  <c r="I2790" i="3"/>
  <c r="H2790" i="3"/>
  <c r="G2790" i="3"/>
  <c r="F2790" i="3"/>
  <c r="E2790" i="3"/>
  <c r="D2790" i="3"/>
  <c r="C2790" i="3"/>
  <c r="B2790" i="3"/>
  <c r="A2790" i="3"/>
  <c r="O2789" i="3"/>
  <c r="N2789" i="3"/>
  <c r="M2789" i="3"/>
  <c r="L2789" i="3"/>
  <c r="K2789" i="3"/>
  <c r="J2789" i="3"/>
  <c r="I2789" i="3"/>
  <c r="H2789" i="3"/>
  <c r="G2789" i="3"/>
  <c r="F2789" i="3"/>
  <c r="E2789" i="3"/>
  <c r="D2789" i="3"/>
  <c r="C2789" i="3"/>
  <c r="B2789" i="3"/>
  <c r="A2789" i="3"/>
  <c r="O2788" i="3"/>
  <c r="N2788" i="3"/>
  <c r="M2788" i="3"/>
  <c r="L2788" i="3"/>
  <c r="K2788" i="3"/>
  <c r="J2788" i="3"/>
  <c r="I2788" i="3"/>
  <c r="H2788" i="3"/>
  <c r="G2788" i="3"/>
  <c r="F2788" i="3"/>
  <c r="E2788" i="3"/>
  <c r="D2788" i="3"/>
  <c r="C2788" i="3"/>
  <c r="B2788" i="3"/>
  <c r="A2788" i="3"/>
  <c r="O2787" i="3"/>
  <c r="N2787" i="3"/>
  <c r="M2787" i="3"/>
  <c r="L2787" i="3"/>
  <c r="K2787" i="3"/>
  <c r="J2787" i="3"/>
  <c r="I2787" i="3"/>
  <c r="H2787" i="3"/>
  <c r="G2787" i="3"/>
  <c r="F2787" i="3"/>
  <c r="E2787" i="3"/>
  <c r="D2787" i="3"/>
  <c r="C2787" i="3"/>
  <c r="B2787" i="3"/>
  <c r="A2787" i="3"/>
  <c r="O2786" i="3"/>
  <c r="N2786" i="3"/>
  <c r="M2786" i="3"/>
  <c r="L2786" i="3"/>
  <c r="K2786" i="3"/>
  <c r="J2786" i="3"/>
  <c r="I2786" i="3"/>
  <c r="H2786" i="3"/>
  <c r="G2786" i="3"/>
  <c r="F2786" i="3"/>
  <c r="E2786" i="3"/>
  <c r="D2786" i="3"/>
  <c r="C2786" i="3"/>
  <c r="B2786" i="3"/>
  <c r="A2786" i="3"/>
  <c r="O2785" i="3"/>
  <c r="N2785" i="3"/>
  <c r="M2785" i="3"/>
  <c r="L2785" i="3"/>
  <c r="K2785" i="3"/>
  <c r="J2785" i="3"/>
  <c r="I2785" i="3"/>
  <c r="H2785" i="3"/>
  <c r="G2785" i="3"/>
  <c r="F2785" i="3"/>
  <c r="E2785" i="3"/>
  <c r="D2785" i="3"/>
  <c r="C2785" i="3"/>
  <c r="B2785" i="3"/>
  <c r="A2785" i="3"/>
  <c r="O2784" i="3"/>
  <c r="N2784" i="3"/>
  <c r="M2784" i="3"/>
  <c r="L2784" i="3"/>
  <c r="K2784" i="3"/>
  <c r="J2784" i="3"/>
  <c r="I2784" i="3"/>
  <c r="H2784" i="3"/>
  <c r="G2784" i="3"/>
  <c r="F2784" i="3"/>
  <c r="E2784" i="3"/>
  <c r="D2784" i="3"/>
  <c r="C2784" i="3"/>
  <c r="B2784" i="3"/>
  <c r="A2784" i="3"/>
  <c r="O2783" i="3"/>
  <c r="N2783" i="3"/>
  <c r="M2783" i="3"/>
  <c r="L2783" i="3"/>
  <c r="K2783" i="3"/>
  <c r="J2783" i="3"/>
  <c r="I2783" i="3"/>
  <c r="H2783" i="3"/>
  <c r="G2783" i="3"/>
  <c r="F2783" i="3"/>
  <c r="E2783" i="3"/>
  <c r="D2783" i="3"/>
  <c r="C2783" i="3"/>
  <c r="B2783" i="3"/>
  <c r="A2783" i="3"/>
  <c r="O2782" i="3"/>
  <c r="N2782" i="3"/>
  <c r="M2782" i="3"/>
  <c r="L2782" i="3"/>
  <c r="K2782" i="3"/>
  <c r="J2782" i="3"/>
  <c r="I2782" i="3"/>
  <c r="H2782" i="3"/>
  <c r="G2782" i="3"/>
  <c r="F2782" i="3"/>
  <c r="E2782" i="3"/>
  <c r="D2782" i="3"/>
  <c r="C2782" i="3"/>
  <c r="B2782" i="3"/>
  <c r="A2782" i="3"/>
  <c r="O2781" i="3"/>
  <c r="N2781" i="3"/>
  <c r="M2781" i="3"/>
  <c r="L2781" i="3"/>
  <c r="K2781" i="3"/>
  <c r="J2781" i="3"/>
  <c r="I2781" i="3"/>
  <c r="H2781" i="3"/>
  <c r="G2781" i="3"/>
  <c r="F2781" i="3"/>
  <c r="E2781" i="3"/>
  <c r="D2781" i="3"/>
  <c r="C2781" i="3"/>
  <c r="B2781" i="3"/>
  <c r="A2781" i="3"/>
  <c r="O2780" i="3"/>
  <c r="N2780" i="3"/>
  <c r="M2780" i="3"/>
  <c r="L2780" i="3"/>
  <c r="K2780" i="3"/>
  <c r="J2780" i="3"/>
  <c r="I2780" i="3"/>
  <c r="H2780" i="3"/>
  <c r="G2780" i="3"/>
  <c r="F2780" i="3"/>
  <c r="E2780" i="3"/>
  <c r="D2780" i="3"/>
  <c r="C2780" i="3"/>
  <c r="B2780" i="3"/>
  <c r="A2780" i="3"/>
  <c r="O2779" i="3"/>
  <c r="N2779" i="3"/>
  <c r="M2779" i="3"/>
  <c r="L2779" i="3"/>
  <c r="K2779" i="3"/>
  <c r="J2779" i="3"/>
  <c r="I2779" i="3"/>
  <c r="H2779" i="3"/>
  <c r="G2779" i="3"/>
  <c r="F2779" i="3"/>
  <c r="E2779" i="3"/>
  <c r="D2779" i="3"/>
  <c r="C2779" i="3"/>
  <c r="B2779" i="3"/>
  <c r="A2779" i="3"/>
  <c r="O2778" i="3"/>
  <c r="N2778" i="3"/>
  <c r="M2778" i="3"/>
  <c r="L2778" i="3"/>
  <c r="K2778" i="3"/>
  <c r="J2778" i="3"/>
  <c r="I2778" i="3"/>
  <c r="H2778" i="3"/>
  <c r="G2778" i="3"/>
  <c r="F2778" i="3"/>
  <c r="E2778" i="3"/>
  <c r="D2778" i="3"/>
  <c r="C2778" i="3"/>
  <c r="B2778" i="3"/>
  <c r="A2778" i="3"/>
  <c r="O2777" i="3"/>
  <c r="N2777" i="3"/>
  <c r="M2777" i="3"/>
  <c r="L2777" i="3"/>
  <c r="K2777" i="3"/>
  <c r="J2777" i="3"/>
  <c r="I2777" i="3"/>
  <c r="H2777" i="3"/>
  <c r="G2777" i="3"/>
  <c r="F2777" i="3"/>
  <c r="E2777" i="3"/>
  <c r="D2777" i="3"/>
  <c r="C2777" i="3"/>
  <c r="B2777" i="3"/>
  <c r="A2777" i="3"/>
  <c r="O2776" i="3"/>
  <c r="N2776" i="3"/>
  <c r="M2776" i="3"/>
  <c r="L2776" i="3"/>
  <c r="K2776" i="3"/>
  <c r="J2776" i="3"/>
  <c r="I2776" i="3"/>
  <c r="H2776" i="3"/>
  <c r="G2776" i="3"/>
  <c r="F2776" i="3"/>
  <c r="E2776" i="3"/>
  <c r="D2776" i="3"/>
  <c r="C2776" i="3"/>
  <c r="B2776" i="3"/>
  <c r="A2776" i="3"/>
  <c r="O2775" i="3"/>
  <c r="N2775" i="3"/>
  <c r="M2775" i="3"/>
  <c r="L2775" i="3"/>
  <c r="K2775" i="3"/>
  <c r="J2775" i="3"/>
  <c r="I2775" i="3"/>
  <c r="H2775" i="3"/>
  <c r="G2775" i="3"/>
  <c r="F2775" i="3"/>
  <c r="E2775" i="3"/>
  <c r="D2775" i="3"/>
  <c r="C2775" i="3"/>
  <c r="B2775" i="3"/>
  <c r="A2775" i="3"/>
  <c r="O2774" i="3"/>
  <c r="N2774" i="3"/>
  <c r="M2774" i="3"/>
  <c r="L2774" i="3"/>
  <c r="K2774" i="3"/>
  <c r="J2774" i="3"/>
  <c r="I2774" i="3"/>
  <c r="H2774" i="3"/>
  <c r="G2774" i="3"/>
  <c r="F2774" i="3"/>
  <c r="E2774" i="3"/>
  <c r="D2774" i="3"/>
  <c r="C2774" i="3"/>
  <c r="B2774" i="3"/>
  <c r="A2774" i="3"/>
  <c r="O2773" i="3"/>
  <c r="N2773" i="3"/>
  <c r="M2773" i="3"/>
  <c r="L2773" i="3"/>
  <c r="K2773" i="3"/>
  <c r="J2773" i="3"/>
  <c r="I2773" i="3"/>
  <c r="H2773" i="3"/>
  <c r="G2773" i="3"/>
  <c r="F2773" i="3"/>
  <c r="E2773" i="3"/>
  <c r="D2773" i="3"/>
  <c r="C2773" i="3"/>
  <c r="B2773" i="3"/>
  <c r="A2773" i="3"/>
  <c r="O2772" i="3"/>
  <c r="N2772" i="3"/>
  <c r="M2772" i="3"/>
  <c r="L2772" i="3"/>
  <c r="K2772" i="3"/>
  <c r="J2772" i="3"/>
  <c r="I2772" i="3"/>
  <c r="H2772" i="3"/>
  <c r="G2772" i="3"/>
  <c r="F2772" i="3"/>
  <c r="E2772" i="3"/>
  <c r="D2772" i="3"/>
  <c r="C2772" i="3"/>
  <c r="B2772" i="3"/>
  <c r="A2772" i="3"/>
  <c r="O2771" i="3"/>
  <c r="N2771" i="3"/>
  <c r="M2771" i="3"/>
  <c r="L2771" i="3"/>
  <c r="K2771" i="3"/>
  <c r="J2771" i="3"/>
  <c r="I2771" i="3"/>
  <c r="H2771" i="3"/>
  <c r="G2771" i="3"/>
  <c r="F2771" i="3"/>
  <c r="E2771" i="3"/>
  <c r="D2771" i="3"/>
  <c r="C2771" i="3"/>
  <c r="B2771" i="3"/>
  <c r="A2771" i="3"/>
  <c r="O2770" i="3"/>
  <c r="N2770" i="3"/>
  <c r="M2770" i="3"/>
  <c r="L2770" i="3"/>
  <c r="K2770" i="3"/>
  <c r="J2770" i="3"/>
  <c r="I2770" i="3"/>
  <c r="H2770" i="3"/>
  <c r="G2770" i="3"/>
  <c r="F2770" i="3"/>
  <c r="E2770" i="3"/>
  <c r="D2770" i="3"/>
  <c r="C2770" i="3"/>
  <c r="B2770" i="3"/>
  <c r="A2770" i="3"/>
  <c r="O2769" i="3"/>
  <c r="N2769" i="3"/>
  <c r="M2769" i="3"/>
  <c r="L2769" i="3"/>
  <c r="K2769" i="3"/>
  <c r="J2769" i="3"/>
  <c r="I2769" i="3"/>
  <c r="H2769" i="3"/>
  <c r="G2769" i="3"/>
  <c r="F2769" i="3"/>
  <c r="E2769" i="3"/>
  <c r="D2769" i="3"/>
  <c r="C2769" i="3"/>
  <c r="B2769" i="3"/>
  <c r="A2769" i="3"/>
  <c r="O2768" i="3"/>
  <c r="N2768" i="3"/>
  <c r="M2768" i="3"/>
  <c r="L2768" i="3"/>
  <c r="K2768" i="3"/>
  <c r="J2768" i="3"/>
  <c r="I2768" i="3"/>
  <c r="H2768" i="3"/>
  <c r="G2768" i="3"/>
  <c r="F2768" i="3"/>
  <c r="E2768" i="3"/>
  <c r="D2768" i="3"/>
  <c r="C2768" i="3"/>
  <c r="B2768" i="3"/>
  <c r="A2768" i="3"/>
  <c r="O2767" i="3"/>
  <c r="N2767" i="3"/>
  <c r="M2767" i="3"/>
  <c r="L2767" i="3"/>
  <c r="K2767" i="3"/>
  <c r="J2767" i="3"/>
  <c r="I2767" i="3"/>
  <c r="H2767" i="3"/>
  <c r="G2767" i="3"/>
  <c r="F2767" i="3"/>
  <c r="E2767" i="3"/>
  <c r="D2767" i="3"/>
  <c r="C2767" i="3"/>
  <c r="B2767" i="3"/>
  <c r="A2767" i="3"/>
  <c r="O2766" i="3"/>
  <c r="N2766" i="3"/>
  <c r="M2766" i="3"/>
  <c r="L2766" i="3"/>
  <c r="K2766" i="3"/>
  <c r="J2766" i="3"/>
  <c r="I2766" i="3"/>
  <c r="H2766" i="3"/>
  <c r="G2766" i="3"/>
  <c r="F2766" i="3"/>
  <c r="E2766" i="3"/>
  <c r="D2766" i="3"/>
  <c r="C2766" i="3"/>
  <c r="B2766" i="3"/>
  <c r="A2766" i="3"/>
  <c r="O2765" i="3"/>
  <c r="N2765" i="3"/>
  <c r="M2765" i="3"/>
  <c r="L2765" i="3"/>
  <c r="K2765" i="3"/>
  <c r="J2765" i="3"/>
  <c r="I2765" i="3"/>
  <c r="H2765" i="3"/>
  <c r="G2765" i="3"/>
  <c r="F2765" i="3"/>
  <c r="E2765" i="3"/>
  <c r="D2765" i="3"/>
  <c r="C2765" i="3"/>
  <c r="B2765" i="3"/>
  <c r="A2765" i="3"/>
  <c r="O2764" i="3"/>
  <c r="N2764" i="3"/>
  <c r="M2764" i="3"/>
  <c r="L2764" i="3"/>
  <c r="K2764" i="3"/>
  <c r="J2764" i="3"/>
  <c r="I2764" i="3"/>
  <c r="H2764" i="3"/>
  <c r="G2764" i="3"/>
  <c r="F2764" i="3"/>
  <c r="E2764" i="3"/>
  <c r="D2764" i="3"/>
  <c r="C2764" i="3"/>
  <c r="B2764" i="3"/>
  <c r="A2764" i="3"/>
  <c r="O2763" i="3"/>
  <c r="N2763" i="3"/>
  <c r="M2763" i="3"/>
  <c r="L2763" i="3"/>
  <c r="K2763" i="3"/>
  <c r="J2763" i="3"/>
  <c r="I2763" i="3"/>
  <c r="H2763" i="3"/>
  <c r="G2763" i="3"/>
  <c r="F2763" i="3"/>
  <c r="E2763" i="3"/>
  <c r="D2763" i="3"/>
  <c r="C2763" i="3"/>
  <c r="B2763" i="3"/>
  <c r="A2763" i="3"/>
  <c r="O2762" i="3"/>
  <c r="N2762" i="3"/>
  <c r="M2762" i="3"/>
  <c r="L2762" i="3"/>
  <c r="K2762" i="3"/>
  <c r="J2762" i="3"/>
  <c r="I2762" i="3"/>
  <c r="H2762" i="3"/>
  <c r="G2762" i="3"/>
  <c r="F2762" i="3"/>
  <c r="E2762" i="3"/>
  <c r="D2762" i="3"/>
  <c r="C2762" i="3"/>
  <c r="B2762" i="3"/>
  <c r="A2762" i="3"/>
  <c r="O2761" i="3"/>
  <c r="N2761" i="3"/>
  <c r="M2761" i="3"/>
  <c r="L2761" i="3"/>
  <c r="K2761" i="3"/>
  <c r="J2761" i="3"/>
  <c r="I2761" i="3"/>
  <c r="H2761" i="3"/>
  <c r="G2761" i="3"/>
  <c r="F2761" i="3"/>
  <c r="E2761" i="3"/>
  <c r="D2761" i="3"/>
  <c r="C2761" i="3"/>
  <c r="B2761" i="3"/>
  <c r="A2761" i="3"/>
  <c r="O2760" i="3"/>
  <c r="N2760" i="3"/>
  <c r="M2760" i="3"/>
  <c r="L2760" i="3"/>
  <c r="K2760" i="3"/>
  <c r="J2760" i="3"/>
  <c r="I2760" i="3"/>
  <c r="H2760" i="3"/>
  <c r="G2760" i="3"/>
  <c r="F2760" i="3"/>
  <c r="E2760" i="3"/>
  <c r="D2760" i="3"/>
  <c r="C2760" i="3"/>
  <c r="B2760" i="3"/>
  <c r="A2760" i="3"/>
  <c r="O2759" i="3"/>
  <c r="N2759" i="3"/>
  <c r="M2759" i="3"/>
  <c r="L2759" i="3"/>
  <c r="K2759" i="3"/>
  <c r="J2759" i="3"/>
  <c r="I2759" i="3"/>
  <c r="H2759" i="3"/>
  <c r="G2759" i="3"/>
  <c r="F2759" i="3"/>
  <c r="E2759" i="3"/>
  <c r="D2759" i="3"/>
  <c r="C2759" i="3"/>
  <c r="B2759" i="3"/>
  <c r="A2759" i="3"/>
  <c r="O2758" i="3"/>
  <c r="N2758" i="3"/>
  <c r="M2758" i="3"/>
  <c r="L2758" i="3"/>
  <c r="K2758" i="3"/>
  <c r="J2758" i="3"/>
  <c r="I2758" i="3"/>
  <c r="H2758" i="3"/>
  <c r="G2758" i="3"/>
  <c r="F2758" i="3"/>
  <c r="E2758" i="3"/>
  <c r="D2758" i="3"/>
  <c r="C2758" i="3"/>
  <c r="B2758" i="3"/>
  <c r="A2758" i="3"/>
  <c r="O2757" i="3"/>
  <c r="N2757" i="3"/>
  <c r="M2757" i="3"/>
  <c r="L2757" i="3"/>
  <c r="K2757" i="3"/>
  <c r="J2757" i="3"/>
  <c r="I2757" i="3"/>
  <c r="H2757" i="3"/>
  <c r="G2757" i="3"/>
  <c r="F2757" i="3"/>
  <c r="E2757" i="3"/>
  <c r="D2757" i="3"/>
  <c r="C2757" i="3"/>
  <c r="B2757" i="3"/>
  <c r="A2757" i="3"/>
  <c r="O2756" i="3"/>
  <c r="N2756" i="3"/>
  <c r="M2756" i="3"/>
  <c r="L2756" i="3"/>
  <c r="K2756" i="3"/>
  <c r="J2756" i="3"/>
  <c r="I2756" i="3"/>
  <c r="H2756" i="3"/>
  <c r="G2756" i="3"/>
  <c r="F2756" i="3"/>
  <c r="E2756" i="3"/>
  <c r="D2756" i="3"/>
  <c r="C2756" i="3"/>
  <c r="B2756" i="3"/>
  <c r="A2756" i="3"/>
  <c r="O2755" i="3"/>
  <c r="N2755" i="3"/>
  <c r="M2755" i="3"/>
  <c r="L2755" i="3"/>
  <c r="K2755" i="3"/>
  <c r="J2755" i="3"/>
  <c r="I2755" i="3"/>
  <c r="H2755" i="3"/>
  <c r="G2755" i="3"/>
  <c r="F2755" i="3"/>
  <c r="E2755" i="3"/>
  <c r="D2755" i="3"/>
  <c r="C2755" i="3"/>
  <c r="B2755" i="3"/>
  <c r="A2755" i="3"/>
  <c r="O2754" i="3"/>
  <c r="N2754" i="3"/>
  <c r="M2754" i="3"/>
  <c r="L2754" i="3"/>
  <c r="K2754" i="3"/>
  <c r="J2754" i="3"/>
  <c r="I2754" i="3"/>
  <c r="H2754" i="3"/>
  <c r="G2754" i="3"/>
  <c r="F2754" i="3"/>
  <c r="E2754" i="3"/>
  <c r="D2754" i="3"/>
  <c r="C2754" i="3"/>
  <c r="B2754" i="3"/>
  <c r="A2754" i="3"/>
  <c r="O2753" i="3"/>
  <c r="N2753" i="3"/>
  <c r="M2753" i="3"/>
  <c r="L2753" i="3"/>
  <c r="K2753" i="3"/>
  <c r="J2753" i="3"/>
  <c r="I2753" i="3"/>
  <c r="H2753" i="3"/>
  <c r="G2753" i="3"/>
  <c r="F2753" i="3"/>
  <c r="E2753" i="3"/>
  <c r="D2753" i="3"/>
  <c r="C2753" i="3"/>
  <c r="B2753" i="3"/>
  <c r="A2753" i="3"/>
  <c r="O2752" i="3"/>
  <c r="N2752" i="3"/>
  <c r="M2752" i="3"/>
  <c r="L2752" i="3"/>
  <c r="K2752" i="3"/>
  <c r="J2752" i="3"/>
  <c r="I2752" i="3"/>
  <c r="H2752" i="3"/>
  <c r="G2752" i="3"/>
  <c r="F2752" i="3"/>
  <c r="E2752" i="3"/>
  <c r="D2752" i="3"/>
  <c r="C2752" i="3"/>
  <c r="B2752" i="3"/>
  <c r="A2752" i="3"/>
  <c r="O2751" i="3"/>
  <c r="N2751" i="3"/>
  <c r="M2751" i="3"/>
  <c r="L2751" i="3"/>
  <c r="K2751" i="3"/>
  <c r="J2751" i="3"/>
  <c r="I2751" i="3"/>
  <c r="H2751" i="3"/>
  <c r="G2751" i="3"/>
  <c r="F2751" i="3"/>
  <c r="E2751" i="3"/>
  <c r="D2751" i="3"/>
  <c r="C2751" i="3"/>
  <c r="B2751" i="3"/>
  <c r="A2751" i="3"/>
  <c r="O2750" i="3"/>
  <c r="N2750" i="3"/>
  <c r="M2750" i="3"/>
  <c r="L2750" i="3"/>
  <c r="K2750" i="3"/>
  <c r="J2750" i="3"/>
  <c r="I2750" i="3"/>
  <c r="H2750" i="3"/>
  <c r="G2750" i="3"/>
  <c r="F2750" i="3"/>
  <c r="E2750" i="3"/>
  <c r="D2750" i="3"/>
  <c r="C2750" i="3"/>
  <c r="B2750" i="3"/>
  <c r="A2750" i="3"/>
  <c r="O2749" i="3"/>
  <c r="N2749" i="3"/>
  <c r="M2749" i="3"/>
  <c r="L2749" i="3"/>
  <c r="K2749" i="3"/>
  <c r="J2749" i="3"/>
  <c r="I2749" i="3"/>
  <c r="H2749" i="3"/>
  <c r="G2749" i="3"/>
  <c r="F2749" i="3"/>
  <c r="E2749" i="3"/>
  <c r="D2749" i="3"/>
  <c r="C2749" i="3"/>
  <c r="B2749" i="3"/>
  <c r="A2749" i="3"/>
  <c r="O2748" i="3"/>
  <c r="N2748" i="3"/>
  <c r="M2748" i="3"/>
  <c r="L2748" i="3"/>
  <c r="K2748" i="3"/>
  <c r="J2748" i="3"/>
  <c r="I2748" i="3"/>
  <c r="H2748" i="3"/>
  <c r="G2748" i="3"/>
  <c r="F2748" i="3"/>
  <c r="E2748" i="3"/>
  <c r="D2748" i="3"/>
  <c r="C2748" i="3"/>
  <c r="B2748" i="3"/>
  <c r="A2748" i="3"/>
  <c r="O2747" i="3"/>
  <c r="N2747" i="3"/>
  <c r="M2747" i="3"/>
  <c r="L2747" i="3"/>
  <c r="K2747" i="3"/>
  <c r="J2747" i="3"/>
  <c r="I2747" i="3"/>
  <c r="H2747" i="3"/>
  <c r="G2747" i="3"/>
  <c r="F2747" i="3"/>
  <c r="E2747" i="3"/>
  <c r="D2747" i="3"/>
  <c r="C2747" i="3"/>
  <c r="B2747" i="3"/>
  <c r="A2747" i="3"/>
  <c r="O2746" i="3"/>
  <c r="N2746" i="3"/>
  <c r="M2746" i="3"/>
  <c r="L2746" i="3"/>
  <c r="K2746" i="3"/>
  <c r="J2746" i="3"/>
  <c r="I2746" i="3"/>
  <c r="H2746" i="3"/>
  <c r="G2746" i="3"/>
  <c r="F2746" i="3"/>
  <c r="E2746" i="3"/>
  <c r="D2746" i="3"/>
  <c r="C2746" i="3"/>
  <c r="B2746" i="3"/>
  <c r="A2746" i="3"/>
  <c r="O2745" i="3"/>
  <c r="N2745" i="3"/>
  <c r="M2745" i="3"/>
  <c r="L2745" i="3"/>
  <c r="K2745" i="3"/>
  <c r="J2745" i="3"/>
  <c r="I2745" i="3"/>
  <c r="H2745" i="3"/>
  <c r="G2745" i="3"/>
  <c r="F2745" i="3"/>
  <c r="E2745" i="3"/>
  <c r="D2745" i="3"/>
  <c r="C2745" i="3"/>
  <c r="B2745" i="3"/>
  <c r="A2745" i="3"/>
  <c r="O2744" i="3"/>
  <c r="N2744" i="3"/>
  <c r="M2744" i="3"/>
  <c r="L2744" i="3"/>
  <c r="K2744" i="3"/>
  <c r="J2744" i="3"/>
  <c r="I2744" i="3"/>
  <c r="H2744" i="3"/>
  <c r="G2744" i="3"/>
  <c r="F2744" i="3"/>
  <c r="E2744" i="3"/>
  <c r="D2744" i="3"/>
  <c r="C2744" i="3"/>
  <c r="B2744" i="3"/>
  <c r="A2744" i="3"/>
  <c r="O2743" i="3"/>
  <c r="N2743" i="3"/>
  <c r="M2743" i="3"/>
  <c r="L2743" i="3"/>
  <c r="K2743" i="3"/>
  <c r="J2743" i="3"/>
  <c r="I2743" i="3"/>
  <c r="H2743" i="3"/>
  <c r="G2743" i="3"/>
  <c r="F2743" i="3"/>
  <c r="E2743" i="3"/>
  <c r="D2743" i="3"/>
  <c r="C2743" i="3"/>
  <c r="B2743" i="3"/>
  <c r="A2743" i="3"/>
  <c r="O2742" i="3"/>
  <c r="N2742" i="3"/>
  <c r="M2742" i="3"/>
  <c r="L2742" i="3"/>
  <c r="K2742" i="3"/>
  <c r="J2742" i="3"/>
  <c r="I2742" i="3"/>
  <c r="H2742" i="3"/>
  <c r="G2742" i="3"/>
  <c r="F2742" i="3"/>
  <c r="E2742" i="3"/>
  <c r="D2742" i="3"/>
  <c r="C2742" i="3"/>
  <c r="B2742" i="3"/>
  <c r="A2742" i="3"/>
  <c r="O2741" i="3"/>
  <c r="N2741" i="3"/>
  <c r="M2741" i="3"/>
  <c r="L2741" i="3"/>
  <c r="K2741" i="3"/>
  <c r="J2741" i="3"/>
  <c r="I2741" i="3"/>
  <c r="H2741" i="3"/>
  <c r="G2741" i="3"/>
  <c r="F2741" i="3"/>
  <c r="E2741" i="3"/>
  <c r="D2741" i="3"/>
  <c r="C2741" i="3"/>
  <c r="B2741" i="3"/>
  <c r="A2741" i="3"/>
  <c r="O2740" i="3"/>
  <c r="N2740" i="3"/>
  <c r="M2740" i="3"/>
  <c r="L2740" i="3"/>
  <c r="K2740" i="3"/>
  <c r="J2740" i="3"/>
  <c r="I2740" i="3"/>
  <c r="H2740" i="3"/>
  <c r="G2740" i="3"/>
  <c r="F2740" i="3"/>
  <c r="E2740" i="3"/>
  <c r="D2740" i="3"/>
  <c r="C2740" i="3"/>
  <c r="B2740" i="3"/>
  <c r="A2740" i="3"/>
  <c r="O2739" i="3"/>
  <c r="N2739" i="3"/>
  <c r="M2739" i="3"/>
  <c r="L2739" i="3"/>
  <c r="K2739" i="3"/>
  <c r="J2739" i="3"/>
  <c r="I2739" i="3"/>
  <c r="H2739" i="3"/>
  <c r="G2739" i="3"/>
  <c r="F2739" i="3"/>
  <c r="E2739" i="3"/>
  <c r="D2739" i="3"/>
  <c r="C2739" i="3"/>
  <c r="B2739" i="3"/>
  <c r="A2739" i="3"/>
  <c r="O2738" i="3"/>
  <c r="N2738" i="3"/>
  <c r="M2738" i="3"/>
  <c r="L2738" i="3"/>
  <c r="K2738" i="3"/>
  <c r="J2738" i="3"/>
  <c r="I2738" i="3"/>
  <c r="H2738" i="3"/>
  <c r="G2738" i="3"/>
  <c r="F2738" i="3"/>
  <c r="E2738" i="3"/>
  <c r="D2738" i="3"/>
  <c r="C2738" i="3"/>
  <c r="B2738" i="3"/>
  <c r="A2738" i="3"/>
  <c r="O2737" i="3"/>
  <c r="N2737" i="3"/>
  <c r="M2737" i="3"/>
  <c r="L2737" i="3"/>
  <c r="K2737" i="3"/>
  <c r="J2737" i="3"/>
  <c r="I2737" i="3"/>
  <c r="H2737" i="3"/>
  <c r="G2737" i="3"/>
  <c r="F2737" i="3"/>
  <c r="E2737" i="3"/>
  <c r="D2737" i="3"/>
  <c r="C2737" i="3"/>
  <c r="B2737" i="3"/>
  <c r="A2737" i="3"/>
  <c r="O2736" i="3"/>
  <c r="N2736" i="3"/>
  <c r="M2736" i="3"/>
  <c r="L2736" i="3"/>
  <c r="K2736" i="3"/>
  <c r="J2736" i="3"/>
  <c r="I2736" i="3"/>
  <c r="H2736" i="3"/>
  <c r="G2736" i="3"/>
  <c r="F2736" i="3"/>
  <c r="E2736" i="3"/>
  <c r="D2736" i="3"/>
  <c r="C2736" i="3"/>
  <c r="B2736" i="3"/>
  <c r="A2736" i="3"/>
  <c r="O2735" i="3"/>
  <c r="N2735" i="3"/>
  <c r="M2735" i="3"/>
  <c r="L2735" i="3"/>
  <c r="K2735" i="3"/>
  <c r="J2735" i="3"/>
  <c r="I2735" i="3"/>
  <c r="H2735" i="3"/>
  <c r="G2735" i="3"/>
  <c r="F2735" i="3"/>
  <c r="E2735" i="3"/>
  <c r="D2735" i="3"/>
  <c r="C2735" i="3"/>
  <c r="B2735" i="3"/>
  <c r="A2735" i="3"/>
  <c r="O2734" i="3"/>
  <c r="N2734" i="3"/>
  <c r="M2734" i="3"/>
  <c r="L2734" i="3"/>
  <c r="K2734" i="3"/>
  <c r="J2734" i="3"/>
  <c r="I2734" i="3"/>
  <c r="H2734" i="3"/>
  <c r="G2734" i="3"/>
  <c r="F2734" i="3"/>
  <c r="E2734" i="3"/>
  <c r="D2734" i="3"/>
  <c r="C2734" i="3"/>
  <c r="B2734" i="3"/>
  <c r="A2734" i="3"/>
  <c r="O2733" i="3"/>
  <c r="N2733" i="3"/>
  <c r="M2733" i="3"/>
  <c r="L2733" i="3"/>
  <c r="K2733" i="3"/>
  <c r="J2733" i="3"/>
  <c r="I2733" i="3"/>
  <c r="H2733" i="3"/>
  <c r="G2733" i="3"/>
  <c r="F2733" i="3"/>
  <c r="E2733" i="3"/>
  <c r="D2733" i="3"/>
  <c r="C2733" i="3"/>
  <c r="B2733" i="3"/>
  <c r="A2733" i="3"/>
  <c r="O2732" i="3"/>
  <c r="N2732" i="3"/>
  <c r="M2732" i="3"/>
  <c r="L2732" i="3"/>
  <c r="K2732" i="3"/>
  <c r="J2732" i="3"/>
  <c r="I2732" i="3"/>
  <c r="H2732" i="3"/>
  <c r="G2732" i="3"/>
  <c r="F2732" i="3"/>
  <c r="E2732" i="3"/>
  <c r="D2732" i="3"/>
  <c r="C2732" i="3"/>
  <c r="B2732" i="3"/>
  <c r="A2732" i="3"/>
  <c r="O2731" i="3"/>
  <c r="N2731" i="3"/>
  <c r="M2731" i="3"/>
  <c r="L2731" i="3"/>
  <c r="K2731" i="3"/>
  <c r="J2731" i="3"/>
  <c r="I2731" i="3"/>
  <c r="H2731" i="3"/>
  <c r="G2731" i="3"/>
  <c r="F2731" i="3"/>
  <c r="E2731" i="3"/>
  <c r="D2731" i="3"/>
  <c r="C2731" i="3"/>
  <c r="B2731" i="3"/>
  <c r="A2731" i="3"/>
  <c r="O2730" i="3"/>
  <c r="N2730" i="3"/>
  <c r="M2730" i="3"/>
  <c r="L2730" i="3"/>
  <c r="K2730" i="3"/>
  <c r="J2730" i="3"/>
  <c r="I2730" i="3"/>
  <c r="H2730" i="3"/>
  <c r="G2730" i="3"/>
  <c r="F2730" i="3"/>
  <c r="E2730" i="3"/>
  <c r="D2730" i="3"/>
  <c r="C2730" i="3"/>
  <c r="B2730" i="3"/>
  <c r="A2730" i="3"/>
  <c r="O2729" i="3"/>
  <c r="N2729" i="3"/>
  <c r="M2729" i="3"/>
  <c r="L2729" i="3"/>
  <c r="K2729" i="3"/>
  <c r="J2729" i="3"/>
  <c r="I2729" i="3"/>
  <c r="H2729" i="3"/>
  <c r="G2729" i="3"/>
  <c r="F2729" i="3"/>
  <c r="E2729" i="3"/>
  <c r="D2729" i="3"/>
  <c r="C2729" i="3"/>
  <c r="B2729" i="3"/>
  <c r="A2729" i="3"/>
  <c r="O2728" i="3"/>
  <c r="N2728" i="3"/>
  <c r="M2728" i="3"/>
  <c r="L2728" i="3"/>
  <c r="K2728" i="3"/>
  <c r="J2728" i="3"/>
  <c r="I2728" i="3"/>
  <c r="H2728" i="3"/>
  <c r="G2728" i="3"/>
  <c r="F2728" i="3"/>
  <c r="E2728" i="3"/>
  <c r="D2728" i="3"/>
  <c r="C2728" i="3"/>
  <c r="B2728" i="3"/>
  <c r="A2728" i="3"/>
  <c r="O2727" i="3"/>
  <c r="N2727" i="3"/>
  <c r="M2727" i="3"/>
  <c r="L2727" i="3"/>
  <c r="K2727" i="3"/>
  <c r="J2727" i="3"/>
  <c r="I2727" i="3"/>
  <c r="H2727" i="3"/>
  <c r="G2727" i="3"/>
  <c r="F2727" i="3"/>
  <c r="E2727" i="3"/>
  <c r="D2727" i="3"/>
  <c r="C2727" i="3"/>
  <c r="B2727" i="3"/>
  <c r="A2727" i="3"/>
  <c r="O2726" i="3"/>
  <c r="N2726" i="3"/>
  <c r="M2726" i="3"/>
  <c r="L2726" i="3"/>
  <c r="K2726" i="3"/>
  <c r="J2726" i="3"/>
  <c r="I2726" i="3"/>
  <c r="H2726" i="3"/>
  <c r="G2726" i="3"/>
  <c r="F2726" i="3"/>
  <c r="E2726" i="3"/>
  <c r="D2726" i="3"/>
  <c r="C2726" i="3"/>
  <c r="B2726" i="3"/>
  <c r="A2726" i="3"/>
  <c r="O2725" i="3"/>
  <c r="N2725" i="3"/>
  <c r="M2725" i="3"/>
  <c r="L2725" i="3"/>
  <c r="K2725" i="3"/>
  <c r="J2725" i="3"/>
  <c r="I2725" i="3"/>
  <c r="H2725" i="3"/>
  <c r="G2725" i="3"/>
  <c r="F2725" i="3"/>
  <c r="E2725" i="3"/>
  <c r="D2725" i="3"/>
  <c r="C2725" i="3"/>
  <c r="B2725" i="3"/>
  <c r="A2725" i="3"/>
  <c r="O2724" i="3"/>
  <c r="N2724" i="3"/>
  <c r="M2724" i="3"/>
  <c r="L2724" i="3"/>
  <c r="K2724" i="3"/>
  <c r="J2724" i="3"/>
  <c r="I2724" i="3"/>
  <c r="H2724" i="3"/>
  <c r="G2724" i="3"/>
  <c r="F2724" i="3"/>
  <c r="E2724" i="3"/>
  <c r="D2724" i="3"/>
  <c r="C2724" i="3"/>
  <c r="B2724" i="3"/>
  <c r="A2724" i="3"/>
  <c r="O2723" i="3"/>
  <c r="N2723" i="3"/>
  <c r="M2723" i="3"/>
  <c r="L2723" i="3"/>
  <c r="K2723" i="3"/>
  <c r="J2723" i="3"/>
  <c r="I2723" i="3"/>
  <c r="H2723" i="3"/>
  <c r="G2723" i="3"/>
  <c r="F2723" i="3"/>
  <c r="E2723" i="3"/>
  <c r="D2723" i="3"/>
  <c r="C2723" i="3"/>
  <c r="B2723" i="3"/>
  <c r="A2723" i="3"/>
  <c r="O2722" i="3"/>
  <c r="N2722" i="3"/>
  <c r="M2722" i="3"/>
  <c r="L2722" i="3"/>
  <c r="K2722" i="3"/>
  <c r="J2722" i="3"/>
  <c r="I2722" i="3"/>
  <c r="H2722" i="3"/>
  <c r="G2722" i="3"/>
  <c r="F2722" i="3"/>
  <c r="E2722" i="3"/>
  <c r="D2722" i="3"/>
  <c r="C2722" i="3"/>
  <c r="B2722" i="3"/>
  <c r="A2722" i="3"/>
  <c r="O2721" i="3"/>
  <c r="N2721" i="3"/>
  <c r="M2721" i="3"/>
  <c r="L2721" i="3"/>
  <c r="K2721" i="3"/>
  <c r="J2721" i="3"/>
  <c r="I2721" i="3"/>
  <c r="H2721" i="3"/>
  <c r="G2721" i="3"/>
  <c r="F2721" i="3"/>
  <c r="E2721" i="3"/>
  <c r="D2721" i="3"/>
  <c r="C2721" i="3"/>
  <c r="B2721" i="3"/>
  <c r="A2721" i="3"/>
  <c r="O2720" i="3"/>
  <c r="N2720" i="3"/>
  <c r="M2720" i="3"/>
  <c r="L2720" i="3"/>
  <c r="K2720" i="3"/>
  <c r="J2720" i="3"/>
  <c r="I2720" i="3"/>
  <c r="H2720" i="3"/>
  <c r="G2720" i="3"/>
  <c r="F2720" i="3"/>
  <c r="E2720" i="3"/>
  <c r="D2720" i="3"/>
  <c r="C2720" i="3"/>
  <c r="B2720" i="3"/>
  <c r="A2720" i="3"/>
  <c r="O2719" i="3"/>
  <c r="N2719" i="3"/>
  <c r="M2719" i="3"/>
  <c r="L2719" i="3"/>
  <c r="K2719" i="3"/>
  <c r="J2719" i="3"/>
  <c r="I2719" i="3"/>
  <c r="H2719" i="3"/>
  <c r="G2719" i="3"/>
  <c r="F2719" i="3"/>
  <c r="E2719" i="3"/>
  <c r="D2719" i="3"/>
  <c r="C2719" i="3"/>
  <c r="B2719" i="3"/>
  <c r="A2719" i="3"/>
  <c r="O2718" i="3"/>
  <c r="N2718" i="3"/>
  <c r="M2718" i="3"/>
  <c r="L2718" i="3"/>
  <c r="K2718" i="3"/>
  <c r="J2718" i="3"/>
  <c r="I2718" i="3"/>
  <c r="H2718" i="3"/>
  <c r="G2718" i="3"/>
  <c r="F2718" i="3"/>
  <c r="E2718" i="3"/>
  <c r="D2718" i="3"/>
  <c r="C2718" i="3"/>
  <c r="B2718" i="3"/>
  <c r="A2718" i="3"/>
  <c r="O2717" i="3"/>
  <c r="N2717" i="3"/>
  <c r="M2717" i="3"/>
  <c r="L2717" i="3"/>
  <c r="K2717" i="3"/>
  <c r="J2717" i="3"/>
  <c r="I2717" i="3"/>
  <c r="H2717" i="3"/>
  <c r="G2717" i="3"/>
  <c r="F2717" i="3"/>
  <c r="E2717" i="3"/>
  <c r="D2717" i="3"/>
  <c r="C2717" i="3"/>
  <c r="B2717" i="3"/>
  <c r="A2717" i="3"/>
  <c r="O2716" i="3"/>
  <c r="N2716" i="3"/>
  <c r="M2716" i="3"/>
  <c r="L2716" i="3"/>
  <c r="K2716" i="3"/>
  <c r="J2716" i="3"/>
  <c r="I2716" i="3"/>
  <c r="H2716" i="3"/>
  <c r="G2716" i="3"/>
  <c r="F2716" i="3"/>
  <c r="E2716" i="3"/>
  <c r="D2716" i="3"/>
  <c r="C2716" i="3"/>
  <c r="B2716" i="3"/>
  <c r="A2716" i="3"/>
  <c r="O2715" i="3"/>
  <c r="N2715" i="3"/>
  <c r="M2715" i="3"/>
  <c r="L2715" i="3"/>
  <c r="K2715" i="3"/>
  <c r="J2715" i="3"/>
  <c r="I2715" i="3"/>
  <c r="H2715" i="3"/>
  <c r="G2715" i="3"/>
  <c r="F2715" i="3"/>
  <c r="E2715" i="3"/>
  <c r="D2715" i="3"/>
  <c r="C2715" i="3"/>
  <c r="B2715" i="3"/>
  <c r="A2715" i="3"/>
  <c r="O2714" i="3"/>
  <c r="N2714" i="3"/>
  <c r="M2714" i="3"/>
  <c r="L2714" i="3"/>
  <c r="K2714" i="3"/>
  <c r="J2714" i="3"/>
  <c r="I2714" i="3"/>
  <c r="H2714" i="3"/>
  <c r="G2714" i="3"/>
  <c r="F2714" i="3"/>
  <c r="E2714" i="3"/>
  <c r="D2714" i="3"/>
  <c r="C2714" i="3"/>
  <c r="B2714" i="3"/>
  <c r="A2714" i="3"/>
  <c r="O2713" i="3"/>
  <c r="N2713" i="3"/>
  <c r="M2713" i="3"/>
  <c r="L2713" i="3"/>
  <c r="K2713" i="3"/>
  <c r="J2713" i="3"/>
  <c r="I2713" i="3"/>
  <c r="H2713" i="3"/>
  <c r="G2713" i="3"/>
  <c r="F2713" i="3"/>
  <c r="E2713" i="3"/>
  <c r="D2713" i="3"/>
  <c r="C2713" i="3"/>
  <c r="B2713" i="3"/>
  <c r="A2713" i="3"/>
  <c r="O2712" i="3"/>
  <c r="N2712" i="3"/>
  <c r="M2712" i="3"/>
  <c r="L2712" i="3"/>
  <c r="K2712" i="3"/>
  <c r="J2712" i="3"/>
  <c r="I2712" i="3"/>
  <c r="H2712" i="3"/>
  <c r="G2712" i="3"/>
  <c r="F2712" i="3"/>
  <c r="E2712" i="3"/>
  <c r="D2712" i="3"/>
  <c r="C2712" i="3"/>
  <c r="B2712" i="3"/>
  <c r="A2712" i="3"/>
  <c r="O2711" i="3"/>
  <c r="N2711" i="3"/>
  <c r="M2711" i="3"/>
  <c r="L2711" i="3"/>
  <c r="K2711" i="3"/>
  <c r="J2711" i="3"/>
  <c r="I2711" i="3"/>
  <c r="H2711" i="3"/>
  <c r="G2711" i="3"/>
  <c r="F2711" i="3"/>
  <c r="E2711" i="3"/>
  <c r="D2711" i="3"/>
  <c r="C2711" i="3"/>
  <c r="B2711" i="3"/>
  <c r="A2711" i="3"/>
  <c r="O2710" i="3"/>
  <c r="N2710" i="3"/>
  <c r="M2710" i="3"/>
  <c r="L2710" i="3"/>
  <c r="K2710" i="3"/>
  <c r="J2710" i="3"/>
  <c r="I2710" i="3"/>
  <c r="H2710" i="3"/>
  <c r="G2710" i="3"/>
  <c r="F2710" i="3"/>
  <c r="E2710" i="3"/>
  <c r="D2710" i="3"/>
  <c r="C2710" i="3"/>
  <c r="B2710" i="3"/>
  <c r="A2710" i="3"/>
  <c r="O2709" i="3"/>
  <c r="N2709" i="3"/>
  <c r="M2709" i="3"/>
  <c r="L2709" i="3"/>
  <c r="K2709" i="3"/>
  <c r="J2709" i="3"/>
  <c r="I2709" i="3"/>
  <c r="H2709" i="3"/>
  <c r="G2709" i="3"/>
  <c r="F2709" i="3"/>
  <c r="E2709" i="3"/>
  <c r="D2709" i="3"/>
  <c r="C2709" i="3"/>
  <c r="B2709" i="3"/>
  <c r="A2709" i="3"/>
  <c r="O2708" i="3"/>
  <c r="N2708" i="3"/>
  <c r="M2708" i="3"/>
  <c r="L2708" i="3"/>
  <c r="K2708" i="3"/>
  <c r="J2708" i="3"/>
  <c r="I2708" i="3"/>
  <c r="H2708" i="3"/>
  <c r="G2708" i="3"/>
  <c r="F2708" i="3"/>
  <c r="E2708" i="3"/>
  <c r="D2708" i="3"/>
  <c r="C2708" i="3"/>
  <c r="B2708" i="3"/>
  <c r="A2708" i="3"/>
  <c r="O2707" i="3"/>
  <c r="N2707" i="3"/>
  <c r="M2707" i="3"/>
  <c r="L2707" i="3"/>
  <c r="K2707" i="3"/>
  <c r="J2707" i="3"/>
  <c r="I2707" i="3"/>
  <c r="H2707" i="3"/>
  <c r="G2707" i="3"/>
  <c r="F2707" i="3"/>
  <c r="E2707" i="3"/>
  <c r="D2707" i="3"/>
  <c r="C2707" i="3"/>
  <c r="B2707" i="3"/>
  <c r="A2707" i="3"/>
  <c r="O2706" i="3"/>
  <c r="N2706" i="3"/>
  <c r="M2706" i="3"/>
  <c r="L2706" i="3"/>
  <c r="K2706" i="3"/>
  <c r="J2706" i="3"/>
  <c r="I2706" i="3"/>
  <c r="H2706" i="3"/>
  <c r="G2706" i="3"/>
  <c r="F2706" i="3"/>
  <c r="E2706" i="3"/>
  <c r="D2706" i="3"/>
  <c r="C2706" i="3"/>
  <c r="B2706" i="3"/>
  <c r="A2706" i="3"/>
  <c r="O2705" i="3"/>
  <c r="N2705" i="3"/>
  <c r="M2705" i="3"/>
  <c r="L2705" i="3"/>
  <c r="K2705" i="3"/>
  <c r="J2705" i="3"/>
  <c r="I2705" i="3"/>
  <c r="H2705" i="3"/>
  <c r="G2705" i="3"/>
  <c r="F2705" i="3"/>
  <c r="E2705" i="3"/>
  <c r="D2705" i="3"/>
  <c r="C2705" i="3"/>
  <c r="B2705" i="3"/>
  <c r="A2705" i="3"/>
  <c r="O2704" i="3"/>
  <c r="N2704" i="3"/>
  <c r="M2704" i="3"/>
  <c r="L2704" i="3"/>
  <c r="K2704" i="3"/>
  <c r="J2704" i="3"/>
  <c r="I2704" i="3"/>
  <c r="H2704" i="3"/>
  <c r="G2704" i="3"/>
  <c r="F2704" i="3"/>
  <c r="E2704" i="3"/>
  <c r="D2704" i="3"/>
  <c r="C2704" i="3"/>
  <c r="B2704" i="3"/>
  <c r="A2704" i="3"/>
  <c r="O2703" i="3"/>
  <c r="N2703" i="3"/>
  <c r="M2703" i="3"/>
  <c r="L2703" i="3"/>
  <c r="K2703" i="3"/>
  <c r="J2703" i="3"/>
  <c r="I2703" i="3"/>
  <c r="H2703" i="3"/>
  <c r="G2703" i="3"/>
  <c r="F2703" i="3"/>
  <c r="E2703" i="3"/>
  <c r="D2703" i="3"/>
  <c r="C2703" i="3"/>
  <c r="B2703" i="3"/>
  <c r="A2703" i="3"/>
  <c r="O2702" i="3"/>
  <c r="N2702" i="3"/>
  <c r="M2702" i="3"/>
  <c r="L2702" i="3"/>
  <c r="K2702" i="3"/>
  <c r="J2702" i="3"/>
  <c r="I2702" i="3"/>
  <c r="H2702" i="3"/>
  <c r="G2702" i="3"/>
  <c r="F2702" i="3"/>
  <c r="E2702" i="3"/>
  <c r="D2702" i="3"/>
  <c r="C2702" i="3"/>
  <c r="B2702" i="3"/>
  <c r="A2702" i="3"/>
  <c r="O2701" i="3"/>
  <c r="N2701" i="3"/>
  <c r="M2701" i="3"/>
  <c r="L2701" i="3"/>
  <c r="K2701" i="3"/>
  <c r="J2701" i="3"/>
  <c r="I2701" i="3"/>
  <c r="H2701" i="3"/>
  <c r="G2701" i="3"/>
  <c r="F2701" i="3"/>
  <c r="E2701" i="3"/>
  <c r="D2701" i="3"/>
  <c r="C2701" i="3"/>
  <c r="B2701" i="3"/>
  <c r="A2701" i="3"/>
  <c r="O2700" i="3"/>
  <c r="N2700" i="3"/>
  <c r="M2700" i="3"/>
  <c r="L2700" i="3"/>
  <c r="K2700" i="3"/>
  <c r="J2700" i="3"/>
  <c r="I2700" i="3"/>
  <c r="H2700" i="3"/>
  <c r="G2700" i="3"/>
  <c r="F2700" i="3"/>
  <c r="E2700" i="3"/>
  <c r="D2700" i="3"/>
  <c r="C2700" i="3"/>
  <c r="B2700" i="3"/>
  <c r="A2700" i="3"/>
  <c r="O2699" i="3"/>
  <c r="N2699" i="3"/>
  <c r="M2699" i="3"/>
  <c r="L2699" i="3"/>
  <c r="K2699" i="3"/>
  <c r="J2699" i="3"/>
  <c r="I2699" i="3"/>
  <c r="H2699" i="3"/>
  <c r="G2699" i="3"/>
  <c r="F2699" i="3"/>
  <c r="E2699" i="3"/>
  <c r="D2699" i="3"/>
  <c r="C2699" i="3"/>
  <c r="B2699" i="3"/>
  <c r="A2699" i="3"/>
  <c r="O2698" i="3"/>
  <c r="N2698" i="3"/>
  <c r="M2698" i="3"/>
  <c r="L2698" i="3"/>
  <c r="K2698" i="3"/>
  <c r="J2698" i="3"/>
  <c r="I2698" i="3"/>
  <c r="H2698" i="3"/>
  <c r="G2698" i="3"/>
  <c r="F2698" i="3"/>
  <c r="E2698" i="3"/>
  <c r="D2698" i="3"/>
  <c r="C2698" i="3"/>
  <c r="B2698" i="3"/>
  <c r="A2698" i="3"/>
  <c r="O2697" i="3"/>
  <c r="N2697" i="3"/>
  <c r="M2697" i="3"/>
  <c r="L2697" i="3"/>
  <c r="K2697" i="3"/>
  <c r="J2697" i="3"/>
  <c r="I2697" i="3"/>
  <c r="H2697" i="3"/>
  <c r="G2697" i="3"/>
  <c r="F2697" i="3"/>
  <c r="E2697" i="3"/>
  <c r="D2697" i="3"/>
  <c r="C2697" i="3"/>
  <c r="B2697" i="3"/>
  <c r="A2697" i="3"/>
  <c r="O2696" i="3"/>
  <c r="N2696" i="3"/>
  <c r="M2696" i="3"/>
  <c r="L2696" i="3"/>
  <c r="K2696" i="3"/>
  <c r="J2696" i="3"/>
  <c r="I2696" i="3"/>
  <c r="H2696" i="3"/>
  <c r="G2696" i="3"/>
  <c r="F2696" i="3"/>
  <c r="E2696" i="3"/>
  <c r="D2696" i="3"/>
  <c r="C2696" i="3"/>
  <c r="B2696" i="3"/>
  <c r="A2696" i="3"/>
  <c r="O2695" i="3"/>
  <c r="N2695" i="3"/>
  <c r="M2695" i="3"/>
  <c r="L2695" i="3"/>
  <c r="K2695" i="3"/>
  <c r="J2695" i="3"/>
  <c r="I2695" i="3"/>
  <c r="H2695" i="3"/>
  <c r="G2695" i="3"/>
  <c r="F2695" i="3"/>
  <c r="E2695" i="3"/>
  <c r="D2695" i="3"/>
  <c r="C2695" i="3"/>
  <c r="B2695" i="3"/>
  <c r="A2695" i="3"/>
  <c r="O2694" i="3"/>
  <c r="N2694" i="3"/>
  <c r="M2694" i="3"/>
  <c r="L2694" i="3"/>
  <c r="K2694" i="3"/>
  <c r="J2694" i="3"/>
  <c r="I2694" i="3"/>
  <c r="H2694" i="3"/>
  <c r="G2694" i="3"/>
  <c r="F2694" i="3"/>
  <c r="E2694" i="3"/>
  <c r="D2694" i="3"/>
  <c r="C2694" i="3"/>
  <c r="B2694" i="3"/>
  <c r="A2694" i="3"/>
  <c r="O2693" i="3"/>
  <c r="N2693" i="3"/>
  <c r="M2693" i="3"/>
  <c r="L2693" i="3"/>
  <c r="K2693" i="3"/>
  <c r="J2693" i="3"/>
  <c r="I2693" i="3"/>
  <c r="H2693" i="3"/>
  <c r="G2693" i="3"/>
  <c r="F2693" i="3"/>
  <c r="E2693" i="3"/>
  <c r="D2693" i="3"/>
  <c r="C2693" i="3"/>
  <c r="B2693" i="3"/>
  <c r="A2693" i="3"/>
  <c r="O2692" i="3"/>
  <c r="N2692" i="3"/>
  <c r="M2692" i="3"/>
  <c r="L2692" i="3"/>
  <c r="K2692" i="3"/>
  <c r="J2692" i="3"/>
  <c r="I2692" i="3"/>
  <c r="H2692" i="3"/>
  <c r="G2692" i="3"/>
  <c r="F2692" i="3"/>
  <c r="E2692" i="3"/>
  <c r="D2692" i="3"/>
  <c r="C2692" i="3"/>
  <c r="B2692" i="3"/>
  <c r="A2692" i="3"/>
  <c r="O2691" i="3"/>
  <c r="N2691" i="3"/>
  <c r="M2691" i="3"/>
  <c r="L2691" i="3"/>
  <c r="K2691" i="3"/>
  <c r="J2691" i="3"/>
  <c r="I2691" i="3"/>
  <c r="H2691" i="3"/>
  <c r="G2691" i="3"/>
  <c r="F2691" i="3"/>
  <c r="E2691" i="3"/>
  <c r="D2691" i="3"/>
  <c r="C2691" i="3"/>
  <c r="B2691" i="3"/>
  <c r="A2691" i="3"/>
  <c r="O2690" i="3"/>
  <c r="N2690" i="3"/>
  <c r="M2690" i="3"/>
  <c r="L2690" i="3"/>
  <c r="K2690" i="3"/>
  <c r="J2690" i="3"/>
  <c r="I2690" i="3"/>
  <c r="H2690" i="3"/>
  <c r="G2690" i="3"/>
  <c r="F2690" i="3"/>
  <c r="E2690" i="3"/>
  <c r="D2690" i="3"/>
  <c r="C2690" i="3"/>
  <c r="B2690" i="3"/>
  <c r="A2690" i="3"/>
  <c r="O2689" i="3"/>
  <c r="N2689" i="3"/>
  <c r="M2689" i="3"/>
  <c r="L2689" i="3"/>
  <c r="K2689" i="3"/>
  <c r="J2689" i="3"/>
  <c r="I2689" i="3"/>
  <c r="H2689" i="3"/>
  <c r="G2689" i="3"/>
  <c r="F2689" i="3"/>
  <c r="E2689" i="3"/>
  <c r="D2689" i="3"/>
  <c r="C2689" i="3"/>
  <c r="B2689" i="3"/>
  <c r="A2689" i="3"/>
  <c r="O2688" i="3"/>
  <c r="N2688" i="3"/>
  <c r="M2688" i="3"/>
  <c r="L2688" i="3"/>
  <c r="K2688" i="3"/>
  <c r="J2688" i="3"/>
  <c r="I2688" i="3"/>
  <c r="H2688" i="3"/>
  <c r="G2688" i="3"/>
  <c r="F2688" i="3"/>
  <c r="E2688" i="3"/>
  <c r="D2688" i="3"/>
  <c r="C2688" i="3"/>
  <c r="B2688" i="3"/>
  <c r="A2688" i="3"/>
  <c r="O2687" i="3"/>
  <c r="N2687" i="3"/>
  <c r="M2687" i="3"/>
  <c r="L2687" i="3"/>
  <c r="K2687" i="3"/>
  <c r="J2687" i="3"/>
  <c r="I2687" i="3"/>
  <c r="H2687" i="3"/>
  <c r="G2687" i="3"/>
  <c r="F2687" i="3"/>
  <c r="E2687" i="3"/>
  <c r="D2687" i="3"/>
  <c r="C2687" i="3"/>
  <c r="B2687" i="3"/>
  <c r="A2687" i="3"/>
  <c r="O2686" i="3"/>
  <c r="N2686" i="3"/>
  <c r="M2686" i="3"/>
  <c r="L2686" i="3"/>
  <c r="K2686" i="3"/>
  <c r="J2686" i="3"/>
  <c r="I2686" i="3"/>
  <c r="H2686" i="3"/>
  <c r="G2686" i="3"/>
  <c r="F2686" i="3"/>
  <c r="E2686" i="3"/>
  <c r="D2686" i="3"/>
  <c r="C2686" i="3"/>
  <c r="B2686" i="3"/>
  <c r="A2686" i="3"/>
  <c r="O2685" i="3"/>
  <c r="N2685" i="3"/>
  <c r="M2685" i="3"/>
  <c r="L2685" i="3"/>
  <c r="K2685" i="3"/>
  <c r="J2685" i="3"/>
  <c r="I2685" i="3"/>
  <c r="H2685" i="3"/>
  <c r="G2685" i="3"/>
  <c r="F2685" i="3"/>
  <c r="E2685" i="3"/>
  <c r="D2685" i="3"/>
  <c r="C2685" i="3"/>
  <c r="B2685" i="3"/>
  <c r="A2685" i="3"/>
  <c r="O2684" i="3"/>
  <c r="N2684" i="3"/>
  <c r="M2684" i="3"/>
  <c r="L2684" i="3"/>
  <c r="K2684" i="3"/>
  <c r="J2684" i="3"/>
  <c r="I2684" i="3"/>
  <c r="H2684" i="3"/>
  <c r="G2684" i="3"/>
  <c r="F2684" i="3"/>
  <c r="E2684" i="3"/>
  <c r="D2684" i="3"/>
  <c r="C2684" i="3"/>
  <c r="B2684" i="3"/>
  <c r="A2684" i="3"/>
  <c r="O2683" i="3"/>
  <c r="N2683" i="3"/>
  <c r="M2683" i="3"/>
  <c r="L2683" i="3"/>
  <c r="K2683" i="3"/>
  <c r="J2683" i="3"/>
  <c r="I2683" i="3"/>
  <c r="H2683" i="3"/>
  <c r="G2683" i="3"/>
  <c r="F2683" i="3"/>
  <c r="E2683" i="3"/>
  <c r="D2683" i="3"/>
  <c r="C2683" i="3"/>
  <c r="B2683" i="3"/>
  <c r="A2683" i="3"/>
  <c r="O2682" i="3"/>
  <c r="N2682" i="3"/>
  <c r="M2682" i="3"/>
  <c r="L2682" i="3"/>
  <c r="K2682" i="3"/>
  <c r="J2682" i="3"/>
  <c r="I2682" i="3"/>
  <c r="H2682" i="3"/>
  <c r="G2682" i="3"/>
  <c r="F2682" i="3"/>
  <c r="E2682" i="3"/>
  <c r="D2682" i="3"/>
  <c r="C2682" i="3"/>
  <c r="B2682" i="3"/>
  <c r="A2682" i="3"/>
  <c r="O2681" i="3"/>
  <c r="N2681" i="3"/>
  <c r="M2681" i="3"/>
  <c r="L2681" i="3"/>
  <c r="K2681" i="3"/>
  <c r="J2681" i="3"/>
  <c r="I2681" i="3"/>
  <c r="H2681" i="3"/>
  <c r="G2681" i="3"/>
  <c r="F2681" i="3"/>
  <c r="E2681" i="3"/>
  <c r="D2681" i="3"/>
  <c r="C2681" i="3"/>
  <c r="B2681" i="3"/>
  <c r="A2681" i="3"/>
  <c r="O2680" i="3"/>
  <c r="N2680" i="3"/>
  <c r="M2680" i="3"/>
  <c r="L2680" i="3"/>
  <c r="K2680" i="3"/>
  <c r="J2680" i="3"/>
  <c r="I2680" i="3"/>
  <c r="H2680" i="3"/>
  <c r="G2680" i="3"/>
  <c r="F2680" i="3"/>
  <c r="E2680" i="3"/>
  <c r="D2680" i="3"/>
  <c r="C2680" i="3"/>
  <c r="B2680" i="3"/>
  <c r="A2680" i="3"/>
  <c r="O2679" i="3"/>
  <c r="N2679" i="3"/>
  <c r="M2679" i="3"/>
  <c r="L2679" i="3"/>
  <c r="K2679" i="3"/>
  <c r="J2679" i="3"/>
  <c r="I2679" i="3"/>
  <c r="H2679" i="3"/>
  <c r="G2679" i="3"/>
  <c r="F2679" i="3"/>
  <c r="E2679" i="3"/>
  <c r="D2679" i="3"/>
  <c r="C2679" i="3"/>
  <c r="B2679" i="3"/>
  <c r="A2679" i="3"/>
  <c r="O2678" i="3"/>
  <c r="N2678" i="3"/>
  <c r="M2678" i="3"/>
  <c r="L2678" i="3"/>
  <c r="K2678" i="3"/>
  <c r="J2678" i="3"/>
  <c r="I2678" i="3"/>
  <c r="H2678" i="3"/>
  <c r="G2678" i="3"/>
  <c r="F2678" i="3"/>
  <c r="E2678" i="3"/>
  <c r="D2678" i="3"/>
  <c r="C2678" i="3"/>
  <c r="B2678" i="3"/>
  <c r="A2678" i="3"/>
  <c r="O2677" i="3"/>
  <c r="N2677" i="3"/>
  <c r="M2677" i="3"/>
  <c r="L2677" i="3"/>
  <c r="K2677" i="3"/>
  <c r="J2677" i="3"/>
  <c r="I2677" i="3"/>
  <c r="H2677" i="3"/>
  <c r="G2677" i="3"/>
  <c r="F2677" i="3"/>
  <c r="E2677" i="3"/>
  <c r="D2677" i="3"/>
  <c r="C2677" i="3"/>
  <c r="B2677" i="3"/>
  <c r="A2677" i="3"/>
  <c r="O2676" i="3"/>
  <c r="N2676" i="3"/>
  <c r="M2676" i="3"/>
  <c r="L2676" i="3"/>
  <c r="K2676" i="3"/>
  <c r="J2676" i="3"/>
  <c r="I2676" i="3"/>
  <c r="H2676" i="3"/>
  <c r="G2676" i="3"/>
  <c r="F2676" i="3"/>
  <c r="E2676" i="3"/>
  <c r="D2676" i="3"/>
  <c r="C2676" i="3"/>
  <c r="B2676" i="3"/>
  <c r="A2676" i="3"/>
  <c r="O2675" i="3"/>
  <c r="N2675" i="3"/>
  <c r="M2675" i="3"/>
  <c r="L2675" i="3"/>
  <c r="K2675" i="3"/>
  <c r="J2675" i="3"/>
  <c r="I2675" i="3"/>
  <c r="H2675" i="3"/>
  <c r="G2675" i="3"/>
  <c r="F2675" i="3"/>
  <c r="E2675" i="3"/>
  <c r="D2675" i="3"/>
  <c r="C2675" i="3"/>
  <c r="B2675" i="3"/>
  <c r="A2675" i="3"/>
  <c r="O2674" i="3"/>
  <c r="N2674" i="3"/>
  <c r="M2674" i="3"/>
  <c r="L2674" i="3"/>
  <c r="K2674" i="3"/>
  <c r="J2674" i="3"/>
  <c r="I2674" i="3"/>
  <c r="H2674" i="3"/>
  <c r="G2674" i="3"/>
  <c r="F2674" i="3"/>
  <c r="E2674" i="3"/>
  <c r="D2674" i="3"/>
  <c r="C2674" i="3"/>
  <c r="B2674" i="3"/>
  <c r="A2674" i="3"/>
  <c r="O2673" i="3"/>
  <c r="N2673" i="3"/>
  <c r="M2673" i="3"/>
  <c r="L2673" i="3"/>
  <c r="K2673" i="3"/>
  <c r="J2673" i="3"/>
  <c r="I2673" i="3"/>
  <c r="H2673" i="3"/>
  <c r="G2673" i="3"/>
  <c r="F2673" i="3"/>
  <c r="E2673" i="3"/>
  <c r="D2673" i="3"/>
  <c r="C2673" i="3"/>
  <c r="B2673" i="3"/>
  <c r="A2673" i="3"/>
  <c r="O2672" i="3"/>
  <c r="N2672" i="3"/>
  <c r="M2672" i="3"/>
  <c r="L2672" i="3"/>
  <c r="K2672" i="3"/>
  <c r="J2672" i="3"/>
  <c r="I2672" i="3"/>
  <c r="H2672" i="3"/>
  <c r="G2672" i="3"/>
  <c r="F2672" i="3"/>
  <c r="E2672" i="3"/>
  <c r="D2672" i="3"/>
  <c r="C2672" i="3"/>
  <c r="B2672" i="3"/>
  <c r="A2672" i="3"/>
  <c r="O2671" i="3"/>
  <c r="N2671" i="3"/>
  <c r="M2671" i="3"/>
  <c r="L2671" i="3"/>
  <c r="K2671" i="3"/>
  <c r="J2671" i="3"/>
  <c r="I2671" i="3"/>
  <c r="H2671" i="3"/>
  <c r="G2671" i="3"/>
  <c r="F2671" i="3"/>
  <c r="E2671" i="3"/>
  <c r="D2671" i="3"/>
  <c r="C2671" i="3"/>
  <c r="B2671" i="3"/>
  <c r="A2671" i="3"/>
  <c r="O2670" i="3"/>
  <c r="N2670" i="3"/>
  <c r="M2670" i="3"/>
  <c r="L2670" i="3"/>
  <c r="K2670" i="3"/>
  <c r="J2670" i="3"/>
  <c r="I2670" i="3"/>
  <c r="H2670" i="3"/>
  <c r="G2670" i="3"/>
  <c r="F2670" i="3"/>
  <c r="E2670" i="3"/>
  <c r="D2670" i="3"/>
  <c r="C2670" i="3"/>
  <c r="B2670" i="3"/>
  <c r="A2670" i="3"/>
  <c r="O2669" i="3"/>
  <c r="N2669" i="3"/>
  <c r="M2669" i="3"/>
  <c r="L2669" i="3"/>
  <c r="K2669" i="3"/>
  <c r="J2669" i="3"/>
  <c r="I2669" i="3"/>
  <c r="H2669" i="3"/>
  <c r="G2669" i="3"/>
  <c r="F2669" i="3"/>
  <c r="E2669" i="3"/>
  <c r="D2669" i="3"/>
  <c r="C2669" i="3"/>
  <c r="B2669" i="3"/>
  <c r="A2669" i="3"/>
  <c r="O2668" i="3"/>
  <c r="N2668" i="3"/>
  <c r="M2668" i="3"/>
  <c r="L2668" i="3"/>
  <c r="K2668" i="3"/>
  <c r="J2668" i="3"/>
  <c r="I2668" i="3"/>
  <c r="H2668" i="3"/>
  <c r="G2668" i="3"/>
  <c r="F2668" i="3"/>
  <c r="E2668" i="3"/>
  <c r="D2668" i="3"/>
  <c r="C2668" i="3"/>
  <c r="B2668" i="3"/>
  <c r="A2668" i="3"/>
  <c r="O2667" i="3"/>
  <c r="N2667" i="3"/>
  <c r="M2667" i="3"/>
  <c r="L2667" i="3"/>
  <c r="K2667" i="3"/>
  <c r="J2667" i="3"/>
  <c r="I2667" i="3"/>
  <c r="H2667" i="3"/>
  <c r="G2667" i="3"/>
  <c r="F2667" i="3"/>
  <c r="E2667" i="3"/>
  <c r="D2667" i="3"/>
  <c r="C2667" i="3"/>
  <c r="B2667" i="3"/>
  <c r="A2667" i="3"/>
  <c r="O2666" i="3"/>
  <c r="N2666" i="3"/>
  <c r="M2666" i="3"/>
  <c r="L2666" i="3"/>
  <c r="K2666" i="3"/>
  <c r="J2666" i="3"/>
  <c r="I2666" i="3"/>
  <c r="H2666" i="3"/>
  <c r="G2666" i="3"/>
  <c r="F2666" i="3"/>
  <c r="E2666" i="3"/>
  <c r="D2666" i="3"/>
  <c r="C2666" i="3"/>
  <c r="B2666" i="3"/>
  <c r="A2666" i="3"/>
  <c r="O2665" i="3"/>
  <c r="N2665" i="3"/>
  <c r="M2665" i="3"/>
  <c r="L2665" i="3"/>
  <c r="K2665" i="3"/>
  <c r="J2665" i="3"/>
  <c r="I2665" i="3"/>
  <c r="H2665" i="3"/>
  <c r="G2665" i="3"/>
  <c r="F2665" i="3"/>
  <c r="E2665" i="3"/>
  <c r="D2665" i="3"/>
  <c r="C2665" i="3"/>
  <c r="B2665" i="3"/>
  <c r="A2665" i="3"/>
  <c r="O2664" i="3"/>
  <c r="N2664" i="3"/>
  <c r="M2664" i="3"/>
  <c r="L2664" i="3"/>
  <c r="K2664" i="3"/>
  <c r="J2664" i="3"/>
  <c r="I2664" i="3"/>
  <c r="H2664" i="3"/>
  <c r="G2664" i="3"/>
  <c r="F2664" i="3"/>
  <c r="E2664" i="3"/>
  <c r="D2664" i="3"/>
  <c r="C2664" i="3"/>
  <c r="B2664" i="3"/>
  <c r="A2664" i="3"/>
  <c r="O2663" i="3"/>
  <c r="N2663" i="3"/>
  <c r="M2663" i="3"/>
  <c r="L2663" i="3"/>
  <c r="K2663" i="3"/>
  <c r="J2663" i="3"/>
  <c r="I2663" i="3"/>
  <c r="H2663" i="3"/>
  <c r="G2663" i="3"/>
  <c r="F2663" i="3"/>
  <c r="E2663" i="3"/>
  <c r="D2663" i="3"/>
  <c r="C2663" i="3"/>
  <c r="B2663" i="3"/>
  <c r="A2663" i="3"/>
  <c r="O2662" i="3"/>
  <c r="N2662" i="3"/>
  <c r="M2662" i="3"/>
  <c r="L2662" i="3"/>
  <c r="K2662" i="3"/>
  <c r="J2662" i="3"/>
  <c r="I2662" i="3"/>
  <c r="H2662" i="3"/>
  <c r="G2662" i="3"/>
  <c r="F2662" i="3"/>
  <c r="E2662" i="3"/>
  <c r="D2662" i="3"/>
  <c r="C2662" i="3"/>
  <c r="B2662" i="3"/>
  <c r="A2662" i="3"/>
  <c r="O2661" i="3"/>
  <c r="N2661" i="3"/>
  <c r="M2661" i="3"/>
  <c r="L2661" i="3"/>
  <c r="K2661" i="3"/>
  <c r="J2661" i="3"/>
  <c r="I2661" i="3"/>
  <c r="H2661" i="3"/>
  <c r="G2661" i="3"/>
  <c r="F2661" i="3"/>
  <c r="E2661" i="3"/>
  <c r="D2661" i="3"/>
  <c r="C2661" i="3"/>
  <c r="B2661" i="3"/>
  <c r="A2661" i="3"/>
  <c r="O2660" i="3"/>
  <c r="N2660" i="3"/>
  <c r="M2660" i="3"/>
  <c r="L2660" i="3"/>
  <c r="K2660" i="3"/>
  <c r="J2660" i="3"/>
  <c r="I2660" i="3"/>
  <c r="H2660" i="3"/>
  <c r="G2660" i="3"/>
  <c r="F2660" i="3"/>
  <c r="E2660" i="3"/>
  <c r="D2660" i="3"/>
  <c r="C2660" i="3"/>
  <c r="B2660" i="3"/>
  <c r="A2660" i="3"/>
  <c r="O2659" i="3"/>
  <c r="N2659" i="3"/>
  <c r="M2659" i="3"/>
  <c r="L2659" i="3"/>
  <c r="K2659" i="3"/>
  <c r="J2659" i="3"/>
  <c r="I2659" i="3"/>
  <c r="H2659" i="3"/>
  <c r="G2659" i="3"/>
  <c r="F2659" i="3"/>
  <c r="E2659" i="3"/>
  <c r="D2659" i="3"/>
  <c r="C2659" i="3"/>
  <c r="B2659" i="3"/>
  <c r="A2659" i="3"/>
  <c r="O2658" i="3"/>
  <c r="N2658" i="3"/>
  <c r="M2658" i="3"/>
  <c r="L2658" i="3"/>
  <c r="K2658" i="3"/>
  <c r="J2658" i="3"/>
  <c r="I2658" i="3"/>
  <c r="H2658" i="3"/>
  <c r="G2658" i="3"/>
  <c r="F2658" i="3"/>
  <c r="E2658" i="3"/>
  <c r="D2658" i="3"/>
  <c r="C2658" i="3"/>
  <c r="B2658" i="3"/>
  <c r="A2658" i="3"/>
  <c r="O2657" i="3"/>
  <c r="N2657" i="3"/>
  <c r="M2657" i="3"/>
  <c r="L2657" i="3"/>
  <c r="K2657" i="3"/>
  <c r="J2657" i="3"/>
  <c r="I2657" i="3"/>
  <c r="H2657" i="3"/>
  <c r="G2657" i="3"/>
  <c r="F2657" i="3"/>
  <c r="E2657" i="3"/>
  <c r="D2657" i="3"/>
  <c r="C2657" i="3"/>
  <c r="B2657" i="3"/>
  <c r="A2657" i="3"/>
  <c r="O2656" i="3"/>
  <c r="N2656" i="3"/>
  <c r="M2656" i="3"/>
  <c r="L2656" i="3"/>
  <c r="K2656" i="3"/>
  <c r="J2656" i="3"/>
  <c r="I2656" i="3"/>
  <c r="H2656" i="3"/>
  <c r="G2656" i="3"/>
  <c r="F2656" i="3"/>
  <c r="E2656" i="3"/>
  <c r="D2656" i="3"/>
  <c r="C2656" i="3"/>
  <c r="B2656" i="3"/>
  <c r="A2656" i="3"/>
  <c r="O2655" i="3"/>
  <c r="N2655" i="3"/>
  <c r="M2655" i="3"/>
  <c r="L2655" i="3"/>
  <c r="K2655" i="3"/>
  <c r="J2655" i="3"/>
  <c r="I2655" i="3"/>
  <c r="H2655" i="3"/>
  <c r="G2655" i="3"/>
  <c r="F2655" i="3"/>
  <c r="E2655" i="3"/>
  <c r="D2655" i="3"/>
  <c r="C2655" i="3"/>
  <c r="B2655" i="3"/>
  <c r="A2655" i="3"/>
  <c r="O2654" i="3"/>
  <c r="N2654" i="3"/>
  <c r="M2654" i="3"/>
  <c r="L2654" i="3"/>
  <c r="K2654" i="3"/>
  <c r="J2654" i="3"/>
  <c r="I2654" i="3"/>
  <c r="H2654" i="3"/>
  <c r="G2654" i="3"/>
  <c r="F2654" i="3"/>
  <c r="E2654" i="3"/>
  <c r="D2654" i="3"/>
  <c r="C2654" i="3"/>
  <c r="B2654" i="3"/>
  <c r="A2654" i="3"/>
  <c r="O2653" i="3"/>
  <c r="N2653" i="3"/>
  <c r="M2653" i="3"/>
  <c r="L2653" i="3"/>
  <c r="K2653" i="3"/>
  <c r="J2653" i="3"/>
  <c r="I2653" i="3"/>
  <c r="H2653" i="3"/>
  <c r="G2653" i="3"/>
  <c r="F2653" i="3"/>
  <c r="E2653" i="3"/>
  <c r="D2653" i="3"/>
  <c r="C2653" i="3"/>
  <c r="B2653" i="3"/>
  <c r="A2653" i="3"/>
  <c r="O2652" i="3"/>
  <c r="N2652" i="3"/>
  <c r="M2652" i="3"/>
  <c r="L2652" i="3"/>
  <c r="K2652" i="3"/>
  <c r="J2652" i="3"/>
  <c r="I2652" i="3"/>
  <c r="H2652" i="3"/>
  <c r="G2652" i="3"/>
  <c r="F2652" i="3"/>
  <c r="E2652" i="3"/>
  <c r="D2652" i="3"/>
  <c r="C2652" i="3"/>
  <c r="B2652" i="3"/>
  <c r="A2652" i="3"/>
  <c r="O2651" i="3"/>
  <c r="N2651" i="3"/>
  <c r="M2651" i="3"/>
  <c r="L2651" i="3"/>
  <c r="K2651" i="3"/>
  <c r="J2651" i="3"/>
  <c r="I2651" i="3"/>
  <c r="H2651" i="3"/>
  <c r="G2651" i="3"/>
  <c r="F2651" i="3"/>
  <c r="E2651" i="3"/>
  <c r="D2651" i="3"/>
  <c r="C2651" i="3"/>
  <c r="B2651" i="3"/>
  <c r="A2651" i="3"/>
  <c r="O2650" i="3"/>
  <c r="N2650" i="3"/>
  <c r="M2650" i="3"/>
  <c r="L2650" i="3"/>
  <c r="K2650" i="3"/>
  <c r="J2650" i="3"/>
  <c r="I2650" i="3"/>
  <c r="H2650" i="3"/>
  <c r="G2650" i="3"/>
  <c r="F2650" i="3"/>
  <c r="E2650" i="3"/>
  <c r="D2650" i="3"/>
  <c r="C2650" i="3"/>
  <c r="B2650" i="3"/>
  <c r="A2650" i="3"/>
  <c r="O2649" i="3"/>
  <c r="N2649" i="3"/>
  <c r="M2649" i="3"/>
  <c r="L2649" i="3"/>
  <c r="K2649" i="3"/>
  <c r="J2649" i="3"/>
  <c r="I2649" i="3"/>
  <c r="H2649" i="3"/>
  <c r="G2649" i="3"/>
  <c r="F2649" i="3"/>
  <c r="E2649" i="3"/>
  <c r="D2649" i="3"/>
  <c r="C2649" i="3"/>
  <c r="B2649" i="3"/>
  <c r="A2649" i="3"/>
  <c r="O2648" i="3"/>
  <c r="N2648" i="3"/>
  <c r="M2648" i="3"/>
  <c r="L2648" i="3"/>
  <c r="K2648" i="3"/>
  <c r="J2648" i="3"/>
  <c r="I2648" i="3"/>
  <c r="H2648" i="3"/>
  <c r="G2648" i="3"/>
  <c r="F2648" i="3"/>
  <c r="E2648" i="3"/>
  <c r="D2648" i="3"/>
  <c r="C2648" i="3"/>
  <c r="B2648" i="3"/>
  <c r="A2648" i="3"/>
  <c r="O2647" i="3"/>
  <c r="N2647" i="3"/>
  <c r="M2647" i="3"/>
  <c r="L2647" i="3"/>
  <c r="K2647" i="3"/>
  <c r="J2647" i="3"/>
  <c r="I2647" i="3"/>
  <c r="H2647" i="3"/>
  <c r="G2647" i="3"/>
  <c r="F2647" i="3"/>
  <c r="E2647" i="3"/>
  <c r="D2647" i="3"/>
  <c r="C2647" i="3"/>
  <c r="B2647" i="3"/>
  <c r="A2647" i="3"/>
  <c r="O2646" i="3"/>
  <c r="N2646" i="3"/>
  <c r="M2646" i="3"/>
  <c r="L2646" i="3"/>
  <c r="K2646" i="3"/>
  <c r="J2646" i="3"/>
  <c r="I2646" i="3"/>
  <c r="H2646" i="3"/>
  <c r="G2646" i="3"/>
  <c r="F2646" i="3"/>
  <c r="E2646" i="3"/>
  <c r="D2646" i="3"/>
  <c r="C2646" i="3"/>
  <c r="B2646" i="3"/>
  <c r="A2646" i="3"/>
  <c r="O2645" i="3"/>
  <c r="N2645" i="3"/>
  <c r="M2645" i="3"/>
  <c r="L2645" i="3"/>
  <c r="K2645" i="3"/>
  <c r="J2645" i="3"/>
  <c r="I2645" i="3"/>
  <c r="H2645" i="3"/>
  <c r="G2645" i="3"/>
  <c r="F2645" i="3"/>
  <c r="E2645" i="3"/>
  <c r="D2645" i="3"/>
  <c r="C2645" i="3"/>
  <c r="B2645" i="3"/>
  <c r="A2645" i="3"/>
  <c r="O2644" i="3"/>
  <c r="N2644" i="3"/>
  <c r="M2644" i="3"/>
  <c r="L2644" i="3"/>
  <c r="K2644" i="3"/>
  <c r="J2644" i="3"/>
  <c r="I2644" i="3"/>
  <c r="H2644" i="3"/>
  <c r="G2644" i="3"/>
  <c r="F2644" i="3"/>
  <c r="E2644" i="3"/>
  <c r="D2644" i="3"/>
  <c r="C2644" i="3"/>
  <c r="B2644" i="3"/>
  <c r="A2644" i="3"/>
  <c r="O2643" i="3"/>
  <c r="N2643" i="3"/>
  <c r="M2643" i="3"/>
  <c r="L2643" i="3"/>
  <c r="K2643" i="3"/>
  <c r="J2643" i="3"/>
  <c r="I2643" i="3"/>
  <c r="H2643" i="3"/>
  <c r="G2643" i="3"/>
  <c r="F2643" i="3"/>
  <c r="E2643" i="3"/>
  <c r="D2643" i="3"/>
  <c r="C2643" i="3"/>
  <c r="B2643" i="3"/>
  <c r="A2643" i="3"/>
  <c r="O2642" i="3"/>
  <c r="N2642" i="3"/>
  <c r="M2642" i="3"/>
  <c r="L2642" i="3"/>
  <c r="K2642" i="3"/>
  <c r="J2642" i="3"/>
  <c r="I2642" i="3"/>
  <c r="H2642" i="3"/>
  <c r="G2642" i="3"/>
  <c r="F2642" i="3"/>
  <c r="E2642" i="3"/>
  <c r="D2642" i="3"/>
  <c r="C2642" i="3"/>
  <c r="B2642" i="3"/>
  <c r="A2642" i="3"/>
  <c r="O2641" i="3"/>
  <c r="N2641" i="3"/>
  <c r="M2641" i="3"/>
  <c r="L2641" i="3"/>
  <c r="K2641" i="3"/>
  <c r="J2641" i="3"/>
  <c r="I2641" i="3"/>
  <c r="H2641" i="3"/>
  <c r="G2641" i="3"/>
  <c r="F2641" i="3"/>
  <c r="E2641" i="3"/>
  <c r="D2641" i="3"/>
  <c r="C2641" i="3"/>
  <c r="B2641" i="3"/>
  <c r="A2641" i="3"/>
  <c r="O2640" i="3"/>
  <c r="N2640" i="3"/>
  <c r="M2640" i="3"/>
  <c r="L2640" i="3"/>
  <c r="K2640" i="3"/>
  <c r="J2640" i="3"/>
  <c r="I2640" i="3"/>
  <c r="H2640" i="3"/>
  <c r="G2640" i="3"/>
  <c r="F2640" i="3"/>
  <c r="E2640" i="3"/>
  <c r="D2640" i="3"/>
  <c r="C2640" i="3"/>
  <c r="B2640" i="3"/>
  <c r="A2640" i="3"/>
  <c r="O2639" i="3"/>
  <c r="N2639" i="3"/>
  <c r="M2639" i="3"/>
  <c r="L2639" i="3"/>
  <c r="K2639" i="3"/>
  <c r="J2639" i="3"/>
  <c r="I2639" i="3"/>
  <c r="H2639" i="3"/>
  <c r="G2639" i="3"/>
  <c r="F2639" i="3"/>
  <c r="E2639" i="3"/>
  <c r="D2639" i="3"/>
  <c r="C2639" i="3"/>
  <c r="B2639" i="3"/>
  <c r="A2639" i="3"/>
  <c r="O2638" i="3"/>
  <c r="N2638" i="3"/>
  <c r="M2638" i="3"/>
  <c r="L2638" i="3"/>
  <c r="K2638" i="3"/>
  <c r="J2638" i="3"/>
  <c r="I2638" i="3"/>
  <c r="H2638" i="3"/>
  <c r="G2638" i="3"/>
  <c r="F2638" i="3"/>
  <c r="E2638" i="3"/>
  <c r="D2638" i="3"/>
  <c r="C2638" i="3"/>
  <c r="B2638" i="3"/>
  <c r="A2638" i="3"/>
  <c r="O2637" i="3"/>
  <c r="N2637" i="3"/>
  <c r="M2637" i="3"/>
  <c r="L2637" i="3"/>
  <c r="K2637" i="3"/>
  <c r="J2637" i="3"/>
  <c r="I2637" i="3"/>
  <c r="H2637" i="3"/>
  <c r="G2637" i="3"/>
  <c r="F2637" i="3"/>
  <c r="E2637" i="3"/>
  <c r="D2637" i="3"/>
  <c r="C2637" i="3"/>
  <c r="B2637" i="3"/>
  <c r="A2637" i="3"/>
  <c r="O2636" i="3"/>
  <c r="N2636" i="3"/>
  <c r="M2636" i="3"/>
  <c r="L2636" i="3"/>
  <c r="K2636" i="3"/>
  <c r="J2636" i="3"/>
  <c r="I2636" i="3"/>
  <c r="H2636" i="3"/>
  <c r="G2636" i="3"/>
  <c r="F2636" i="3"/>
  <c r="E2636" i="3"/>
  <c r="D2636" i="3"/>
  <c r="C2636" i="3"/>
  <c r="B2636" i="3"/>
  <c r="A2636" i="3"/>
  <c r="O2635" i="3"/>
  <c r="N2635" i="3"/>
  <c r="M2635" i="3"/>
  <c r="L2635" i="3"/>
  <c r="K2635" i="3"/>
  <c r="J2635" i="3"/>
  <c r="I2635" i="3"/>
  <c r="H2635" i="3"/>
  <c r="G2635" i="3"/>
  <c r="F2635" i="3"/>
  <c r="E2635" i="3"/>
  <c r="D2635" i="3"/>
  <c r="C2635" i="3"/>
  <c r="B2635" i="3"/>
  <c r="A2635" i="3"/>
  <c r="O2634" i="3"/>
  <c r="N2634" i="3"/>
  <c r="M2634" i="3"/>
  <c r="L2634" i="3"/>
  <c r="K2634" i="3"/>
  <c r="J2634" i="3"/>
  <c r="I2634" i="3"/>
  <c r="H2634" i="3"/>
  <c r="G2634" i="3"/>
  <c r="F2634" i="3"/>
  <c r="E2634" i="3"/>
  <c r="D2634" i="3"/>
  <c r="C2634" i="3"/>
  <c r="B2634" i="3"/>
  <c r="A2634" i="3"/>
  <c r="O2633" i="3"/>
  <c r="N2633" i="3"/>
  <c r="M2633" i="3"/>
  <c r="L2633" i="3"/>
  <c r="K2633" i="3"/>
  <c r="J2633" i="3"/>
  <c r="I2633" i="3"/>
  <c r="H2633" i="3"/>
  <c r="G2633" i="3"/>
  <c r="F2633" i="3"/>
  <c r="E2633" i="3"/>
  <c r="D2633" i="3"/>
  <c r="C2633" i="3"/>
  <c r="B2633" i="3"/>
  <c r="A2633" i="3"/>
  <c r="O2632" i="3"/>
  <c r="N2632" i="3"/>
  <c r="M2632" i="3"/>
  <c r="L2632" i="3"/>
  <c r="K2632" i="3"/>
  <c r="J2632" i="3"/>
  <c r="I2632" i="3"/>
  <c r="H2632" i="3"/>
  <c r="G2632" i="3"/>
  <c r="F2632" i="3"/>
  <c r="E2632" i="3"/>
  <c r="D2632" i="3"/>
  <c r="C2632" i="3"/>
  <c r="B2632" i="3"/>
  <c r="A2632" i="3"/>
  <c r="O2631" i="3"/>
  <c r="N2631" i="3"/>
  <c r="M2631" i="3"/>
  <c r="L2631" i="3"/>
  <c r="K2631" i="3"/>
  <c r="J2631" i="3"/>
  <c r="I2631" i="3"/>
  <c r="H2631" i="3"/>
  <c r="G2631" i="3"/>
  <c r="F2631" i="3"/>
  <c r="E2631" i="3"/>
  <c r="D2631" i="3"/>
  <c r="C2631" i="3"/>
  <c r="B2631" i="3"/>
  <c r="A2631" i="3"/>
  <c r="O2630" i="3"/>
  <c r="N2630" i="3"/>
  <c r="M2630" i="3"/>
  <c r="L2630" i="3"/>
  <c r="K2630" i="3"/>
  <c r="J2630" i="3"/>
  <c r="I2630" i="3"/>
  <c r="H2630" i="3"/>
  <c r="G2630" i="3"/>
  <c r="F2630" i="3"/>
  <c r="E2630" i="3"/>
  <c r="D2630" i="3"/>
  <c r="C2630" i="3"/>
  <c r="B2630" i="3"/>
  <c r="A2630" i="3"/>
  <c r="O2629" i="3"/>
  <c r="N2629" i="3"/>
  <c r="M2629" i="3"/>
  <c r="L2629" i="3"/>
  <c r="K2629" i="3"/>
  <c r="J2629" i="3"/>
  <c r="I2629" i="3"/>
  <c r="H2629" i="3"/>
  <c r="G2629" i="3"/>
  <c r="F2629" i="3"/>
  <c r="E2629" i="3"/>
  <c r="D2629" i="3"/>
  <c r="C2629" i="3"/>
  <c r="B2629" i="3"/>
  <c r="A2629" i="3"/>
  <c r="O2628" i="3"/>
  <c r="N2628" i="3"/>
  <c r="M2628" i="3"/>
  <c r="L2628" i="3"/>
  <c r="K2628" i="3"/>
  <c r="J2628" i="3"/>
  <c r="I2628" i="3"/>
  <c r="H2628" i="3"/>
  <c r="G2628" i="3"/>
  <c r="F2628" i="3"/>
  <c r="E2628" i="3"/>
  <c r="D2628" i="3"/>
  <c r="C2628" i="3"/>
  <c r="B2628" i="3"/>
  <c r="A2628" i="3"/>
  <c r="O2627" i="3"/>
  <c r="N2627" i="3"/>
  <c r="M2627" i="3"/>
  <c r="L2627" i="3"/>
  <c r="K2627" i="3"/>
  <c r="J2627" i="3"/>
  <c r="I2627" i="3"/>
  <c r="H2627" i="3"/>
  <c r="G2627" i="3"/>
  <c r="F2627" i="3"/>
  <c r="E2627" i="3"/>
  <c r="D2627" i="3"/>
  <c r="C2627" i="3"/>
  <c r="B2627" i="3"/>
  <c r="A2627" i="3"/>
  <c r="O2626" i="3"/>
  <c r="N2626" i="3"/>
  <c r="M2626" i="3"/>
  <c r="L2626" i="3"/>
  <c r="K2626" i="3"/>
  <c r="J2626" i="3"/>
  <c r="I2626" i="3"/>
  <c r="H2626" i="3"/>
  <c r="G2626" i="3"/>
  <c r="F2626" i="3"/>
  <c r="E2626" i="3"/>
  <c r="D2626" i="3"/>
  <c r="C2626" i="3"/>
  <c r="B2626" i="3"/>
  <c r="A2626" i="3"/>
  <c r="O2625" i="3"/>
  <c r="N2625" i="3"/>
  <c r="M2625" i="3"/>
  <c r="L2625" i="3"/>
  <c r="K2625" i="3"/>
  <c r="J2625" i="3"/>
  <c r="I2625" i="3"/>
  <c r="H2625" i="3"/>
  <c r="G2625" i="3"/>
  <c r="F2625" i="3"/>
  <c r="E2625" i="3"/>
  <c r="D2625" i="3"/>
  <c r="C2625" i="3"/>
  <c r="B2625" i="3"/>
  <c r="A2625" i="3"/>
  <c r="O2624" i="3"/>
  <c r="N2624" i="3"/>
  <c r="M2624" i="3"/>
  <c r="L2624" i="3"/>
  <c r="K2624" i="3"/>
  <c r="J2624" i="3"/>
  <c r="I2624" i="3"/>
  <c r="H2624" i="3"/>
  <c r="G2624" i="3"/>
  <c r="F2624" i="3"/>
  <c r="E2624" i="3"/>
  <c r="D2624" i="3"/>
  <c r="C2624" i="3"/>
  <c r="B2624" i="3"/>
  <c r="A2624" i="3"/>
  <c r="O2623" i="3"/>
  <c r="N2623" i="3"/>
  <c r="M2623" i="3"/>
  <c r="L2623" i="3"/>
  <c r="K2623" i="3"/>
  <c r="J2623" i="3"/>
  <c r="I2623" i="3"/>
  <c r="H2623" i="3"/>
  <c r="G2623" i="3"/>
  <c r="F2623" i="3"/>
  <c r="E2623" i="3"/>
  <c r="D2623" i="3"/>
  <c r="C2623" i="3"/>
  <c r="B2623" i="3"/>
  <c r="A2623" i="3"/>
  <c r="O2622" i="3"/>
  <c r="N2622" i="3"/>
  <c r="M2622" i="3"/>
  <c r="L2622" i="3"/>
  <c r="K2622" i="3"/>
  <c r="J2622" i="3"/>
  <c r="I2622" i="3"/>
  <c r="H2622" i="3"/>
  <c r="G2622" i="3"/>
  <c r="F2622" i="3"/>
  <c r="E2622" i="3"/>
  <c r="D2622" i="3"/>
  <c r="C2622" i="3"/>
  <c r="B2622" i="3"/>
  <c r="A2622" i="3"/>
  <c r="O2621" i="3"/>
  <c r="N2621" i="3"/>
  <c r="M2621" i="3"/>
  <c r="L2621" i="3"/>
  <c r="K2621" i="3"/>
  <c r="J2621" i="3"/>
  <c r="I2621" i="3"/>
  <c r="H2621" i="3"/>
  <c r="G2621" i="3"/>
  <c r="F2621" i="3"/>
  <c r="E2621" i="3"/>
  <c r="D2621" i="3"/>
  <c r="C2621" i="3"/>
  <c r="B2621" i="3"/>
  <c r="A2621" i="3"/>
  <c r="O2620" i="3"/>
  <c r="N2620" i="3"/>
  <c r="M2620" i="3"/>
  <c r="L2620" i="3"/>
  <c r="K2620" i="3"/>
  <c r="J2620" i="3"/>
  <c r="I2620" i="3"/>
  <c r="H2620" i="3"/>
  <c r="G2620" i="3"/>
  <c r="F2620" i="3"/>
  <c r="E2620" i="3"/>
  <c r="D2620" i="3"/>
  <c r="C2620" i="3"/>
  <c r="B2620" i="3"/>
  <c r="A2620" i="3"/>
  <c r="O2619" i="3"/>
  <c r="N2619" i="3"/>
  <c r="M2619" i="3"/>
  <c r="L2619" i="3"/>
  <c r="K2619" i="3"/>
  <c r="J2619" i="3"/>
  <c r="I2619" i="3"/>
  <c r="H2619" i="3"/>
  <c r="G2619" i="3"/>
  <c r="F2619" i="3"/>
  <c r="E2619" i="3"/>
  <c r="D2619" i="3"/>
  <c r="C2619" i="3"/>
  <c r="B2619" i="3"/>
  <c r="A2619" i="3"/>
  <c r="O2618" i="3"/>
  <c r="N2618" i="3"/>
  <c r="M2618" i="3"/>
  <c r="L2618" i="3"/>
  <c r="K2618" i="3"/>
  <c r="J2618" i="3"/>
  <c r="I2618" i="3"/>
  <c r="H2618" i="3"/>
  <c r="G2618" i="3"/>
  <c r="F2618" i="3"/>
  <c r="E2618" i="3"/>
  <c r="D2618" i="3"/>
  <c r="C2618" i="3"/>
  <c r="B2618" i="3"/>
  <c r="A2618" i="3"/>
  <c r="O2617" i="3"/>
  <c r="N2617" i="3"/>
  <c r="M2617" i="3"/>
  <c r="L2617" i="3"/>
  <c r="K2617" i="3"/>
  <c r="J2617" i="3"/>
  <c r="I2617" i="3"/>
  <c r="H2617" i="3"/>
  <c r="G2617" i="3"/>
  <c r="F2617" i="3"/>
  <c r="E2617" i="3"/>
  <c r="D2617" i="3"/>
  <c r="C2617" i="3"/>
  <c r="B2617" i="3"/>
  <c r="A2617" i="3"/>
  <c r="O2616" i="3"/>
  <c r="N2616" i="3"/>
  <c r="M2616" i="3"/>
  <c r="L2616" i="3"/>
  <c r="K2616" i="3"/>
  <c r="J2616" i="3"/>
  <c r="I2616" i="3"/>
  <c r="H2616" i="3"/>
  <c r="G2616" i="3"/>
  <c r="F2616" i="3"/>
  <c r="E2616" i="3"/>
  <c r="D2616" i="3"/>
  <c r="C2616" i="3"/>
  <c r="B2616" i="3"/>
  <c r="A2616" i="3"/>
  <c r="O2615" i="3"/>
  <c r="N2615" i="3"/>
  <c r="M2615" i="3"/>
  <c r="L2615" i="3"/>
  <c r="K2615" i="3"/>
  <c r="J2615" i="3"/>
  <c r="I2615" i="3"/>
  <c r="H2615" i="3"/>
  <c r="G2615" i="3"/>
  <c r="F2615" i="3"/>
  <c r="E2615" i="3"/>
  <c r="D2615" i="3"/>
  <c r="C2615" i="3"/>
  <c r="B2615" i="3"/>
  <c r="A2615" i="3"/>
  <c r="O2614" i="3"/>
  <c r="N2614" i="3"/>
  <c r="M2614" i="3"/>
  <c r="L2614" i="3"/>
  <c r="K2614" i="3"/>
  <c r="J2614" i="3"/>
  <c r="I2614" i="3"/>
  <c r="H2614" i="3"/>
  <c r="G2614" i="3"/>
  <c r="F2614" i="3"/>
  <c r="E2614" i="3"/>
  <c r="D2614" i="3"/>
  <c r="C2614" i="3"/>
  <c r="B2614" i="3"/>
  <c r="A2614" i="3"/>
  <c r="O2613" i="3"/>
  <c r="N2613" i="3"/>
  <c r="M2613" i="3"/>
  <c r="L2613" i="3"/>
  <c r="K2613" i="3"/>
  <c r="J2613" i="3"/>
  <c r="I2613" i="3"/>
  <c r="H2613" i="3"/>
  <c r="G2613" i="3"/>
  <c r="F2613" i="3"/>
  <c r="E2613" i="3"/>
  <c r="D2613" i="3"/>
  <c r="C2613" i="3"/>
  <c r="B2613" i="3"/>
  <c r="A2613" i="3"/>
  <c r="O2612" i="3"/>
  <c r="N2612" i="3"/>
  <c r="M2612" i="3"/>
  <c r="L2612" i="3"/>
  <c r="K2612" i="3"/>
  <c r="J2612" i="3"/>
  <c r="I2612" i="3"/>
  <c r="H2612" i="3"/>
  <c r="G2612" i="3"/>
  <c r="F2612" i="3"/>
  <c r="E2612" i="3"/>
  <c r="D2612" i="3"/>
  <c r="C2612" i="3"/>
  <c r="B2612" i="3"/>
  <c r="A2612" i="3"/>
  <c r="O2611" i="3"/>
  <c r="N2611" i="3"/>
  <c r="M2611" i="3"/>
  <c r="L2611" i="3"/>
  <c r="K2611" i="3"/>
  <c r="J2611" i="3"/>
  <c r="I2611" i="3"/>
  <c r="H2611" i="3"/>
  <c r="G2611" i="3"/>
  <c r="F2611" i="3"/>
  <c r="E2611" i="3"/>
  <c r="D2611" i="3"/>
  <c r="C2611" i="3"/>
  <c r="B2611" i="3"/>
  <c r="A2611" i="3"/>
  <c r="O2610" i="3"/>
  <c r="N2610" i="3"/>
  <c r="M2610" i="3"/>
  <c r="L2610" i="3"/>
  <c r="K2610" i="3"/>
  <c r="J2610" i="3"/>
  <c r="I2610" i="3"/>
  <c r="H2610" i="3"/>
  <c r="G2610" i="3"/>
  <c r="F2610" i="3"/>
  <c r="E2610" i="3"/>
  <c r="D2610" i="3"/>
  <c r="C2610" i="3"/>
  <c r="B2610" i="3"/>
  <c r="A2610" i="3"/>
  <c r="O2609" i="3"/>
  <c r="N2609" i="3"/>
  <c r="M2609" i="3"/>
  <c r="L2609" i="3"/>
  <c r="K2609" i="3"/>
  <c r="J2609" i="3"/>
  <c r="I2609" i="3"/>
  <c r="H2609" i="3"/>
  <c r="G2609" i="3"/>
  <c r="F2609" i="3"/>
  <c r="E2609" i="3"/>
  <c r="D2609" i="3"/>
  <c r="C2609" i="3"/>
  <c r="B2609" i="3"/>
  <c r="A2609" i="3"/>
  <c r="O2608" i="3"/>
  <c r="N2608" i="3"/>
  <c r="M2608" i="3"/>
  <c r="L2608" i="3"/>
  <c r="K2608" i="3"/>
  <c r="J2608" i="3"/>
  <c r="I2608" i="3"/>
  <c r="H2608" i="3"/>
  <c r="G2608" i="3"/>
  <c r="F2608" i="3"/>
  <c r="E2608" i="3"/>
  <c r="D2608" i="3"/>
  <c r="C2608" i="3"/>
  <c r="B2608" i="3"/>
  <c r="A2608" i="3"/>
  <c r="O2607" i="3"/>
  <c r="N2607" i="3"/>
  <c r="M2607" i="3"/>
  <c r="L2607" i="3"/>
  <c r="K2607" i="3"/>
  <c r="J2607" i="3"/>
  <c r="I2607" i="3"/>
  <c r="H2607" i="3"/>
  <c r="G2607" i="3"/>
  <c r="F2607" i="3"/>
  <c r="E2607" i="3"/>
  <c r="D2607" i="3"/>
  <c r="C2607" i="3"/>
  <c r="B2607" i="3"/>
  <c r="A2607" i="3"/>
  <c r="O2606" i="3"/>
  <c r="N2606" i="3"/>
  <c r="M2606" i="3"/>
  <c r="L2606" i="3"/>
  <c r="K2606" i="3"/>
  <c r="J2606" i="3"/>
  <c r="I2606" i="3"/>
  <c r="H2606" i="3"/>
  <c r="G2606" i="3"/>
  <c r="F2606" i="3"/>
  <c r="E2606" i="3"/>
  <c r="D2606" i="3"/>
  <c r="C2606" i="3"/>
  <c r="B2606" i="3"/>
  <c r="A2606" i="3"/>
  <c r="O2605" i="3"/>
  <c r="N2605" i="3"/>
  <c r="M2605" i="3"/>
  <c r="L2605" i="3"/>
  <c r="K2605" i="3"/>
  <c r="J2605" i="3"/>
  <c r="I2605" i="3"/>
  <c r="H2605" i="3"/>
  <c r="G2605" i="3"/>
  <c r="F2605" i="3"/>
  <c r="E2605" i="3"/>
  <c r="D2605" i="3"/>
  <c r="C2605" i="3"/>
  <c r="B2605" i="3"/>
  <c r="A2605" i="3"/>
  <c r="O2604" i="3"/>
  <c r="N2604" i="3"/>
  <c r="M2604" i="3"/>
  <c r="L2604" i="3"/>
  <c r="K2604" i="3"/>
  <c r="J2604" i="3"/>
  <c r="I2604" i="3"/>
  <c r="H2604" i="3"/>
  <c r="G2604" i="3"/>
  <c r="F2604" i="3"/>
  <c r="E2604" i="3"/>
  <c r="D2604" i="3"/>
  <c r="C2604" i="3"/>
  <c r="B2604" i="3"/>
  <c r="A2604" i="3"/>
  <c r="O2603" i="3"/>
  <c r="N2603" i="3"/>
  <c r="M2603" i="3"/>
  <c r="L2603" i="3"/>
  <c r="K2603" i="3"/>
  <c r="J2603" i="3"/>
  <c r="I2603" i="3"/>
  <c r="H2603" i="3"/>
  <c r="G2603" i="3"/>
  <c r="F2603" i="3"/>
  <c r="E2603" i="3"/>
  <c r="D2603" i="3"/>
  <c r="C2603" i="3"/>
  <c r="B2603" i="3"/>
  <c r="A2603" i="3"/>
  <c r="O2602" i="3"/>
  <c r="N2602" i="3"/>
  <c r="M2602" i="3"/>
  <c r="L2602" i="3"/>
  <c r="K2602" i="3"/>
  <c r="J2602" i="3"/>
  <c r="I2602" i="3"/>
  <c r="H2602" i="3"/>
  <c r="G2602" i="3"/>
  <c r="F2602" i="3"/>
  <c r="E2602" i="3"/>
  <c r="D2602" i="3"/>
  <c r="C2602" i="3"/>
  <c r="B2602" i="3"/>
  <c r="A2602" i="3"/>
  <c r="O2601" i="3"/>
  <c r="N2601" i="3"/>
  <c r="M2601" i="3"/>
  <c r="L2601" i="3"/>
  <c r="K2601" i="3"/>
  <c r="J2601" i="3"/>
  <c r="I2601" i="3"/>
  <c r="H2601" i="3"/>
  <c r="G2601" i="3"/>
  <c r="F2601" i="3"/>
  <c r="E2601" i="3"/>
  <c r="D2601" i="3"/>
  <c r="C2601" i="3"/>
  <c r="B2601" i="3"/>
  <c r="A2601" i="3"/>
  <c r="O2600" i="3"/>
  <c r="N2600" i="3"/>
  <c r="M2600" i="3"/>
  <c r="L2600" i="3"/>
  <c r="K2600" i="3"/>
  <c r="J2600" i="3"/>
  <c r="I2600" i="3"/>
  <c r="H2600" i="3"/>
  <c r="G2600" i="3"/>
  <c r="F2600" i="3"/>
  <c r="E2600" i="3"/>
  <c r="D2600" i="3"/>
  <c r="C2600" i="3"/>
  <c r="B2600" i="3"/>
  <c r="A2600" i="3"/>
  <c r="O2599" i="3"/>
  <c r="N2599" i="3"/>
  <c r="M2599" i="3"/>
  <c r="L2599" i="3"/>
  <c r="K2599" i="3"/>
  <c r="J2599" i="3"/>
  <c r="I2599" i="3"/>
  <c r="H2599" i="3"/>
  <c r="G2599" i="3"/>
  <c r="F2599" i="3"/>
  <c r="E2599" i="3"/>
  <c r="D2599" i="3"/>
  <c r="C2599" i="3"/>
  <c r="B2599" i="3"/>
  <c r="A2599" i="3"/>
  <c r="O2598" i="3"/>
  <c r="N2598" i="3"/>
  <c r="M2598" i="3"/>
  <c r="L2598" i="3"/>
  <c r="K2598" i="3"/>
  <c r="J2598" i="3"/>
  <c r="I2598" i="3"/>
  <c r="H2598" i="3"/>
  <c r="G2598" i="3"/>
  <c r="F2598" i="3"/>
  <c r="E2598" i="3"/>
  <c r="D2598" i="3"/>
  <c r="C2598" i="3"/>
  <c r="B2598" i="3"/>
  <c r="A2598" i="3"/>
  <c r="O2597" i="3"/>
  <c r="N2597" i="3"/>
  <c r="M2597" i="3"/>
  <c r="L2597" i="3"/>
  <c r="K2597" i="3"/>
  <c r="J2597" i="3"/>
  <c r="I2597" i="3"/>
  <c r="H2597" i="3"/>
  <c r="G2597" i="3"/>
  <c r="F2597" i="3"/>
  <c r="E2597" i="3"/>
  <c r="D2597" i="3"/>
  <c r="C2597" i="3"/>
  <c r="B2597" i="3"/>
  <c r="A2597" i="3"/>
  <c r="O2596" i="3"/>
  <c r="N2596" i="3"/>
  <c r="M2596" i="3"/>
  <c r="L2596" i="3"/>
  <c r="K2596" i="3"/>
  <c r="J2596" i="3"/>
  <c r="I2596" i="3"/>
  <c r="H2596" i="3"/>
  <c r="G2596" i="3"/>
  <c r="F2596" i="3"/>
  <c r="E2596" i="3"/>
  <c r="D2596" i="3"/>
  <c r="C2596" i="3"/>
  <c r="B2596" i="3"/>
  <c r="A2596" i="3"/>
  <c r="O2595" i="3"/>
  <c r="N2595" i="3"/>
  <c r="M2595" i="3"/>
  <c r="L2595" i="3"/>
  <c r="K2595" i="3"/>
  <c r="J2595" i="3"/>
  <c r="I2595" i="3"/>
  <c r="H2595" i="3"/>
  <c r="G2595" i="3"/>
  <c r="F2595" i="3"/>
  <c r="E2595" i="3"/>
  <c r="D2595" i="3"/>
  <c r="C2595" i="3"/>
  <c r="B2595" i="3"/>
  <c r="A2595" i="3"/>
  <c r="O2594" i="3"/>
  <c r="N2594" i="3"/>
  <c r="M2594" i="3"/>
  <c r="L2594" i="3"/>
  <c r="K2594" i="3"/>
  <c r="J2594" i="3"/>
  <c r="I2594" i="3"/>
  <c r="H2594" i="3"/>
  <c r="G2594" i="3"/>
  <c r="F2594" i="3"/>
  <c r="E2594" i="3"/>
  <c r="D2594" i="3"/>
  <c r="C2594" i="3"/>
  <c r="B2594" i="3"/>
  <c r="A2594" i="3"/>
  <c r="O2593" i="3"/>
  <c r="N2593" i="3"/>
  <c r="M2593" i="3"/>
  <c r="L2593" i="3"/>
  <c r="K2593" i="3"/>
  <c r="J2593" i="3"/>
  <c r="I2593" i="3"/>
  <c r="H2593" i="3"/>
  <c r="G2593" i="3"/>
  <c r="F2593" i="3"/>
  <c r="E2593" i="3"/>
  <c r="D2593" i="3"/>
  <c r="C2593" i="3"/>
  <c r="B2593" i="3"/>
  <c r="A2593" i="3"/>
  <c r="O2592" i="3"/>
  <c r="N2592" i="3"/>
  <c r="M2592" i="3"/>
  <c r="L2592" i="3"/>
  <c r="K2592" i="3"/>
  <c r="J2592" i="3"/>
  <c r="I2592" i="3"/>
  <c r="H2592" i="3"/>
  <c r="G2592" i="3"/>
  <c r="F2592" i="3"/>
  <c r="E2592" i="3"/>
  <c r="D2592" i="3"/>
  <c r="C2592" i="3"/>
  <c r="B2592" i="3"/>
  <c r="A2592" i="3"/>
  <c r="O2591" i="3"/>
  <c r="N2591" i="3"/>
  <c r="M2591" i="3"/>
  <c r="L2591" i="3"/>
  <c r="K2591" i="3"/>
  <c r="J2591" i="3"/>
  <c r="I2591" i="3"/>
  <c r="H2591" i="3"/>
  <c r="G2591" i="3"/>
  <c r="F2591" i="3"/>
  <c r="E2591" i="3"/>
  <c r="D2591" i="3"/>
  <c r="C2591" i="3"/>
  <c r="B2591" i="3"/>
  <c r="A2591" i="3"/>
  <c r="O2590" i="3"/>
  <c r="N2590" i="3"/>
  <c r="M2590" i="3"/>
  <c r="L2590" i="3"/>
  <c r="K2590" i="3"/>
  <c r="J2590" i="3"/>
  <c r="I2590" i="3"/>
  <c r="H2590" i="3"/>
  <c r="G2590" i="3"/>
  <c r="F2590" i="3"/>
  <c r="E2590" i="3"/>
  <c r="D2590" i="3"/>
  <c r="C2590" i="3"/>
  <c r="B2590" i="3"/>
  <c r="A2590" i="3"/>
  <c r="O2589" i="3"/>
  <c r="N2589" i="3"/>
  <c r="M2589" i="3"/>
  <c r="L2589" i="3"/>
  <c r="K2589" i="3"/>
  <c r="J2589" i="3"/>
  <c r="I2589" i="3"/>
  <c r="H2589" i="3"/>
  <c r="G2589" i="3"/>
  <c r="F2589" i="3"/>
  <c r="E2589" i="3"/>
  <c r="D2589" i="3"/>
  <c r="C2589" i="3"/>
  <c r="B2589" i="3"/>
  <c r="A2589" i="3"/>
  <c r="O2588" i="3"/>
  <c r="N2588" i="3"/>
  <c r="M2588" i="3"/>
  <c r="L2588" i="3"/>
  <c r="K2588" i="3"/>
  <c r="J2588" i="3"/>
  <c r="I2588" i="3"/>
  <c r="H2588" i="3"/>
  <c r="G2588" i="3"/>
  <c r="F2588" i="3"/>
  <c r="E2588" i="3"/>
  <c r="D2588" i="3"/>
  <c r="C2588" i="3"/>
  <c r="B2588" i="3"/>
  <c r="A2588" i="3"/>
  <c r="O2587" i="3"/>
  <c r="N2587" i="3"/>
  <c r="M2587" i="3"/>
  <c r="L2587" i="3"/>
  <c r="K2587" i="3"/>
  <c r="J2587" i="3"/>
  <c r="I2587" i="3"/>
  <c r="H2587" i="3"/>
  <c r="G2587" i="3"/>
  <c r="F2587" i="3"/>
  <c r="E2587" i="3"/>
  <c r="D2587" i="3"/>
  <c r="C2587" i="3"/>
  <c r="B2587" i="3"/>
  <c r="A2587" i="3"/>
  <c r="O2586" i="3"/>
  <c r="N2586" i="3"/>
  <c r="M2586" i="3"/>
  <c r="L2586" i="3"/>
  <c r="K2586" i="3"/>
  <c r="J2586" i="3"/>
  <c r="I2586" i="3"/>
  <c r="H2586" i="3"/>
  <c r="G2586" i="3"/>
  <c r="F2586" i="3"/>
  <c r="E2586" i="3"/>
  <c r="D2586" i="3"/>
  <c r="C2586" i="3"/>
  <c r="B2586" i="3"/>
  <c r="A2586" i="3"/>
  <c r="O2585" i="3"/>
  <c r="N2585" i="3"/>
  <c r="M2585" i="3"/>
  <c r="L2585" i="3"/>
  <c r="K2585" i="3"/>
  <c r="J2585" i="3"/>
  <c r="I2585" i="3"/>
  <c r="H2585" i="3"/>
  <c r="G2585" i="3"/>
  <c r="F2585" i="3"/>
  <c r="E2585" i="3"/>
  <c r="D2585" i="3"/>
  <c r="C2585" i="3"/>
  <c r="B2585" i="3"/>
  <c r="A2585" i="3"/>
  <c r="O2584" i="3"/>
  <c r="N2584" i="3"/>
  <c r="M2584" i="3"/>
  <c r="L2584" i="3"/>
  <c r="K2584" i="3"/>
  <c r="J2584" i="3"/>
  <c r="I2584" i="3"/>
  <c r="H2584" i="3"/>
  <c r="G2584" i="3"/>
  <c r="F2584" i="3"/>
  <c r="E2584" i="3"/>
  <c r="D2584" i="3"/>
  <c r="C2584" i="3"/>
  <c r="B2584" i="3"/>
  <c r="A2584" i="3"/>
  <c r="O2583" i="3"/>
  <c r="N2583" i="3"/>
  <c r="M2583" i="3"/>
  <c r="L2583" i="3"/>
  <c r="K2583" i="3"/>
  <c r="J2583" i="3"/>
  <c r="I2583" i="3"/>
  <c r="H2583" i="3"/>
  <c r="G2583" i="3"/>
  <c r="F2583" i="3"/>
  <c r="E2583" i="3"/>
  <c r="D2583" i="3"/>
  <c r="C2583" i="3"/>
  <c r="B2583" i="3"/>
  <c r="A2583" i="3"/>
  <c r="O2582" i="3"/>
  <c r="N2582" i="3"/>
  <c r="M2582" i="3"/>
  <c r="L2582" i="3"/>
  <c r="K2582" i="3"/>
  <c r="J2582" i="3"/>
  <c r="I2582" i="3"/>
  <c r="H2582" i="3"/>
  <c r="G2582" i="3"/>
  <c r="F2582" i="3"/>
  <c r="E2582" i="3"/>
  <c r="D2582" i="3"/>
  <c r="C2582" i="3"/>
  <c r="B2582" i="3"/>
  <c r="A2582" i="3"/>
  <c r="O2581" i="3"/>
  <c r="N2581" i="3"/>
  <c r="M2581" i="3"/>
  <c r="L2581" i="3"/>
  <c r="K2581" i="3"/>
  <c r="J2581" i="3"/>
  <c r="I2581" i="3"/>
  <c r="H2581" i="3"/>
  <c r="G2581" i="3"/>
  <c r="F2581" i="3"/>
  <c r="E2581" i="3"/>
  <c r="D2581" i="3"/>
  <c r="C2581" i="3"/>
  <c r="B2581" i="3"/>
  <c r="A2581" i="3"/>
  <c r="O2580" i="3"/>
  <c r="N2580" i="3"/>
  <c r="M2580" i="3"/>
  <c r="L2580" i="3"/>
  <c r="K2580" i="3"/>
  <c r="J2580" i="3"/>
  <c r="I2580" i="3"/>
  <c r="H2580" i="3"/>
  <c r="G2580" i="3"/>
  <c r="F2580" i="3"/>
  <c r="E2580" i="3"/>
  <c r="D2580" i="3"/>
  <c r="C2580" i="3"/>
  <c r="B2580" i="3"/>
  <c r="A2580" i="3"/>
  <c r="O2579" i="3"/>
  <c r="N2579" i="3"/>
  <c r="M2579" i="3"/>
  <c r="L2579" i="3"/>
  <c r="K2579" i="3"/>
  <c r="J2579" i="3"/>
  <c r="I2579" i="3"/>
  <c r="H2579" i="3"/>
  <c r="G2579" i="3"/>
  <c r="F2579" i="3"/>
  <c r="E2579" i="3"/>
  <c r="D2579" i="3"/>
  <c r="C2579" i="3"/>
  <c r="B2579" i="3"/>
  <c r="A2579" i="3"/>
  <c r="O2578" i="3"/>
  <c r="N2578" i="3"/>
  <c r="M2578" i="3"/>
  <c r="L2578" i="3"/>
  <c r="K2578" i="3"/>
  <c r="J2578" i="3"/>
  <c r="I2578" i="3"/>
  <c r="H2578" i="3"/>
  <c r="G2578" i="3"/>
  <c r="F2578" i="3"/>
  <c r="E2578" i="3"/>
  <c r="D2578" i="3"/>
  <c r="C2578" i="3"/>
  <c r="B2578" i="3"/>
  <c r="A2578" i="3"/>
  <c r="O2577" i="3"/>
  <c r="N2577" i="3"/>
  <c r="M2577" i="3"/>
  <c r="L2577" i="3"/>
  <c r="K2577" i="3"/>
  <c r="J2577" i="3"/>
  <c r="I2577" i="3"/>
  <c r="H2577" i="3"/>
  <c r="G2577" i="3"/>
  <c r="F2577" i="3"/>
  <c r="E2577" i="3"/>
  <c r="D2577" i="3"/>
  <c r="C2577" i="3"/>
  <c r="B2577" i="3"/>
  <c r="A2577" i="3"/>
  <c r="O2576" i="3"/>
  <c r="N2576" i="3"/>
  <c r="M2576" i="3"/>
  <c r="L2576" i="3"/>
  <c r="K2576" i="3"/>
  <c r="J2576" i="3"/>
  <c r="I2576" i="3"/>
  <c r="H2576" i="3"/>
  <c r="G2576" i="3"/>
  <c r="F2576" i="3"/>
  <c r="E2576" i="3"/>
  <c r="D2576" i="3"/>
  <c r="C2576" i="3"/>
  <c r="B2576" i="3"/>
  <c r="A2576" i="3"/>
  <c r="O2575" i="3"/>
  <c r="N2575" i="3"/>
  <c r="M2575" i="3"/>
  <c r="L2575" i="3"/>
  <c r="K2575" i="3"/>
  <c r="J2575" i="3"/>
  <c r="I2575" i="3"/>
  <c r="H2575" i="3"/>
  <c r="G2575" i="3"/>
  <c r="F2575" i="3"/>
  <c r="E2575" i="3"/>
  <c r="D2575" i="3"/>
  <c r="C2575" i="3"/>
  <c r="B2575" i="3"/>
  <c r="A2575" i="3"/>
  <c r="O2574" i="3"/>
  <c r="N2574" i="3"/>
  <c r="M2574" i="3"/>
  <c r="L2574" i="3"/>
  <c r="K2574" i="3"/>
  <c r="J2574" i="3"/>
  <c r="I2574" i="3"/>
  <c r="H2574" i="3"/>
  <c r="G2574" i="3"/>
  <c r="F2574" i="3"/>
  <c r="E2574" i="3"/>
  <c r="D2574" i="3"/>
  <c r="C2574" i="3"/>
  <c r="B2574" i="3"/>
  <c r="A2574" i="3"/>
  <c r="O2573" i="3"/>
  <c r="N2573" i="3"/>
  <c r="M2573" i="3"/>
  <c r="L2573" i="3"/>
  <c r="K2573" i="3"/>
  <c r="J2573" i="3"/>
  <c r="I2573" i="3"/>
  <c r="H2573" i="3"/>
  <c r="G2573" i="3"/>
  <c r="F2573" i="3"/>
  <c r="E2573" i="3"/>
  <c r="D2573" i="3"/>
  <c r="C2573" i="3"/>
  <c r="B2573" i="3"/>
  <c r="A2573" i="3"/>
  <c r="O2572" i="3"/>
  <c r="N2572" i="3"/>
  <c r="M2572" i="3"/>
  <c r="L2572" i="3"/>
  <c r="K2572" i="3"/>
  <c r="J2572" i="3"/>
  <c r="I2572" i="3"/>
  <c r="H2572" i="3"/>
  <c r="G2572" i="3"/>
  <c r="F2572" i="3"/>
  <c r="E2572" i="3"/>
  <c r="D2572" i="3"/>
  <c r="C2572" i="3"/>
  <c r="B2572" i="3"/>
  <c r="A2572" i="3"/>
  <c r="O2571" i="3"/>
  <c r="N2571" i="3"/>
  <c r="M2571" i="3"/>
  <c r="L2571" i="3"/>
  <c r="K2571" i="3"/>
  <c r="J2571" i="3"/>
  <c r="I2571" i="3"/>
  <c r="H2571" i="3"/>
  <c r="G2571" i="3"/>
  <c r="F2571" i="3"/>
  <c r="E2571" i="3"/>
  <c r="D2571" i="3"/>
  <c r="C2571" i="3"/>
  <c r="B2571" i="3"/>
  <c r="A2571" i="3"/>
  <c r="O2570" i="3"/>
  <c r="N2570" i="3"/>
  <c r="M2570" i="3"/>
  <c r="L2570" i="3"/>
  <c r="K2570" i="3"/>
  <c r="J2570" i="3"/>
  <c r="I2570" i="3"/>
  <c r="H2570" i="3"/>
  <c r="G2570" i="3"/>
  <c r="F2570" i="3"/>
  <c r="E2570" i="3"/>
  <c r="D2570" i="3"/>
  <c r="C2570" i="3"/>
  <c r="B2570" i="3"/>
  <c r="A2570" i="3"/>
  <c r="O2569" i="3"/>
  <c r="N2569" i="3"/>
  <c r="M2569" i="3"/>
  <c r="L2569" i="3"/>
  <c r="K2569" i="3"/>
  <c r="J2569" i="3"/>
  <c r="I2569" i="3"/>
  <c r="H2569" i="3"/>
  <c r="G2569" i="3"/>
  <c r="F2569" i="3"/>
  <c r="E2569" i="3"/>
  <c r="D2569" i="3"/>
  <c r="C2569" i="3"/>
  <c r="B2569" i="3"/>
  <c r="A2569" i="3"/>
  <c r="O2568" i="3"/>
  <c r="N2568" i="3"/>
  <c r="M2568" i="3"/>
  <c r="L2568" i="3"/>
  <c r="K2568" i="3"/>
  <c r="J2568" i="3"/>
  <c r="I2568" i="3"/>
  <c r="H2568" i="3"/>
  <c r="G2568" i="3"/>
  <c r="F2568" i="3"/>
  <c r="E2568" i="3"/>
  <c r="D2568" i="3"/>
  <c r="C2568" i="3"/>
  <c r="B2568" i="3"/>
  <c r="A2568" i="3"/>
  <c r="O2567" i="3"/>
  <c r="N2567" i="3"/>
  <c r="M2567" i="3"/>
  <c r="L2567" i="3"/>
  <c r="K2567" i="3"/>
  <c r="J2567" i="3"/>
  <c r="I2567" i="3"/>
  <c r="H2567" i="3"/>
  <c r="G2567" i="3"/>
  <c r="F2567" i="3"/>
  <c r="E2567" i="3"/>
  <c r="D2567" i="3"/>
  <c r="C2567" i="3"/>
  <c r="B2567" i="3"/>
  <c r="A2567" i="3"/>
  <c r="O2566" i="3"/>
  <c r="N2566" i="3"/>
  <c r="M2566" i="3"/>
  <c r="L2566" i="3"/>
  <c r="K2566" i="3"/>
  <c r="J2566" i="3"/>
  <c r="I2566" i="3"/>
  <c r="H2566" i="3"/>
  <c r="G2566" i="3"/>
  <c r="F2566" i="3"/>
  <c r="E2566" i="3"/>
  <c r="D2566" i="3"/>
  <c r="C2566" i="3"/>
  <c r="B2566" i="3"/>
  <c r="A2566" i="3"/>
  <c r="O2565" i="3"/>
  <c r="N2565" i="3"/>
  <c r="M2565" i="3"/>
  <c r="L2565" i="3"/>
  <c r="K2565" i="3"/>
  <c r="J2565" i="3"/>
  <c r="I2565" i="3"/>
  <c r="H2565" i="3"/>
  <c r="G2565" i="3"/>
  <c r="F2565" i="3"/>
  <c r="E2565" i="3"/>
  <c r="D2565" i="3"/>
  <c r="C2565" i="3"/>
  <c r="B2565" i="3"/>
  <c r="A2565" i="3"/>
  <c r="O2564" i="3"/>
  <c r="N2564" i="3"/>
  <c r="M2564" i="3"/>
  <c r="L2564" i="3"/>
  <c r="K2564" i="3"/>
  <c r="J2564" i="3"/>
  <c r="I2564" i="3"/>
  <c r="H2564" i="3"/>
  <c r="G2564" i="3"/>
  <c r="F2564" i="3"/>
  <c r="E2564" i="3"/>
  <c r="D2564" i="3"/>
  <c r="C2564" i="3"/>
  <c r="B2564" i="3"/>
  <c r="A2564" i="3"/>
  <c r="O2563" i="3"/>
  <c r="N2563" i="3"/>
  <c r="M2563" i="3"/>
  <c r="L2563" i="3"/>
  <c r="K2563" i="3"/>
  <c r="J2563" i="3"/>
  <c r="I2563" i="3"/>
  <c r="H2563" i="3"/>
  <c r="G2563" i="3"/>
  <c r="F2563" i="3"/>
  <c r="E2563" i="3"/>
  <c r="D2563" i="3"/>
  <c r="C2563" i="3"/>
  <c r="B2563" i="3"/>
  <c r="A2563" i="3"/>
  <c r="O2562" i="3"/>
  <c r="N2562" i="3"/>
  <c r="M2562" i="3"/>
  <c r="L2562" i="3"/>
  <c r="K2562" i="3"/>
  <c r="J2562" i="3"/>
  <c r="I2562" i="3"/>
  <c r="H2562" i="3"/>
  <c r="G2562" i="3"/>
  <c r="F2562" i="3"/>
  <c r="E2562" i="3"/>
  <c r="D2562" i="3"/>
  <c r="C2562" i="3"/>
  <c r="B2562" i="3"/>
  <c r="A2562" i="3"/>
  <c r="O2561" i="3"/>
  <c r="N2561" i="3"/>
  <c r="M2561" i="3"/>
  <c r="L2561" i="3"/>
  <c r="K2561" i="3"/>
  <c r="J2561" i="3"/>
  <c r="I2561" i="3"/>
  <c r="H2561" i="3"/>
  <c r="G2561" i="3"/>
  <c r="F2561" i="3"/>
  <c r="E2561" i="3"/>
  <c r="D2561" i="3"/>
  <c r="C2561" i="3"/>
  <c r="B2561" i="3"/>
  <c r="A2561" i="3"/>
  <c r="O2560" i="3"/>
  <c r="N2560" i="3"/>
  <c r="M2560" i="3"/>
  <c r="L2560" i="3"/>
  <c r="K2560" i="3"/>
  <c r="J2560" i="3"/>
  <c r="I2560" i="3"/>
  <c r="H2560" i="3"/>
  <c r="G2560" i="3"/>
  <c r="F2560" i="3"/>
  <c r="E2560" i="3"/>
  <c r="D2560" i="3"/>
  <c r="C2560" i="3"/>
  <c r="B2560" i="3"/>
  <c r="A2560" i="3"/>
  <c r="O2559" i="3"/>
  <c r="N2559" i="3"/>
  <c r="M2559" i="3"/>
  <c r="L2559" i="3"/>
  <c r="K2559" i="3"/>
  <c r="J2559" i="3"/>
  <c r="I2559" i="3"/>
  <c r="H2559" i="3"/>
  <c r="G2559" i="3"/>
  <c r="F2559" i="3"/>
  <c r="E2559" i="3"/>
  <c r="D2559" i="3"/>
  <c r="C2559" i="3"/>
  <c r="B2559" i="3"/>
  <c r="A2559" i="3"/>
  <c r="O2558" i="3"/>
  <c r="N2558" i="3"/>
  <c r="M2558" i="3"/>
  <c r="L2558" i="3"/>
  <c r="K2558" i="3"/>
  <c r="J2558" i="3"/>
  <c r="I2558" i="3"/>
  <c r="H2558" i="3"/>
  <c r="G2558" i="3"/>
  <c r="F2558" i="3"/>
  <c r="E2558" i="3"/>
  <c r="D2558" i="3"/>
  <c r="C2558" i="3"/>
  <c r="B2558" i="3"/>
  <c r="A2558" i="3"/>
  <c r="O2557" i="3"/>
  <c r="N2557" i="3"/>
  <c r="M2557" i="3"/>
  <c r="L2557" i="3"/>
  <c r="K2557" i="3"/>
  <c r="J2557" i="3"/>
  <c r="I2557" i="3"/>
  <c r="H2557" i="3"/>
  <c r="G2557" i="3"/>
  <c r="F2557" i="3"/>
  <c r="E2557" i="3"/>
  <c r="D2557" i="3"/>
  <c r="C2557" i="3"/>
  <c r="B2557" i="3"/>
  <c r="A2557" i="3"/>
  <c r="O2556" i="3"/>
  <c r="N2556" i="3"/>
  <c r="M2556" i="3"/>
  <c r="L2556" i="3"/>
  <c r="K2556" i="3"/>
  <c r="J2556" i="3"/>
  <c r="I2556" i="3"/>
  <c r="H2556" i="3"/>
  <c r="G2556" i="3"/>
  <c r="F2556" i="3"/>
  <c r="E2556" i="3"/>
  <c r="D2556" i="3"/>
  <c r="C2556" i="3"/>
  <c r="B2556" i="3"/>
  <c r="A2556" i="3"/>
  <c r="O2555" i="3"/>
  <c r="N2555" i="3"/>
  <c r="M2555" i="3"/>
  <c r="L2555" i="3"/>
  <c r="K2555" i="3"/>
  <c r="J2555" i="3"/>
  <c r="I2555" i="3"/>
  <c r="H2555" i="3"/>
  <c r="G2555" i="3"/>
  <c r="F2555" i="3"/>
  <c r="E2555" i="3"/>
  <c r="D2555" i="3"/>
  <c r="C2555" i="3"/>
  <c r="B2555" i="3"/>
  <c r="A2555" i="3"/>
  <c r="O2554" i="3"/>
  <c r="N2554" i="3"/>
  <c r="M2554" i="3"/>
  <c r="L2554" i="3"/>
  <c r="K2554" i="3"/>
  <c r="J2554" i="3"/>
  <c r="I2554" i="3"/>
  <c r="H2554" i="3"/>
  <c r="G2554" i="3"/>
  <c r="F2554" i="3"/>
  <c r="E2554" i="3"/>
  <c r="D2554" i="3"/>
  <c r="C2554" i="3"/>
  <c r="B2554" i="3"/>
  <c r="A2554" i="3"/>
  <c r="O2553" i="3"/>
  <c r="N2553" i="3"/>
  <c r="M2553" i="3"/>
  <c r="L2553" i="3"/>
  <c r="K2553" i="3"/>
  <c r="J2553" i="3"/>
  <c r="I2553" i="3"/>
  <c r="H2553" i="3"/>
  <c r="G2553" i="3"/>
  <c r="F2553" i="3"/>
  <c r="E2553" i="3"/>
  <c r="D2553" i="3"/>
  <c r="C2553" i="3"/>
  <c r="B2553" i="3"/>
  <c r="A2553" i="3"/>
  <c r="O2552" i="3"/>
  <c r="N2552" i="3"/>
  <c r="M2552" i="3"/>
  <c r="L2552" i="3"/>
  <c r="K2552" i="3"/>
  <c r="J2552" i="3"/>
  <c r="I2552" i="3"/>
  <c r="H2552" i="3"/>
  <c r="G2552" i="3"/>
  <c r="F2552" i="3"/>
  <c r="E2552" i="3"/>
  <c r="D2552" i="3"/>
  <c r="C2552" i="3"/>
  <c r="B2552" i="3"/>
  <c r="A2552" i="3"/>
  <c r="O2551" i="3"/>
  <c r="N2551" i="3"/>
  <c r="M2551" i="3"/>
  <c r="L2551" i="3"/>
  <c r="K2551" i="3"/>
  <c r="J2551" i="3"/>
  <c r="I2551" i="3"/>
  <c r="H2551" i="3"/>
  <c r="G2551" i="3"/>
  <c r="F2551" i="3"/>
  <c r="E2551" i="3"/>
  <c r="D2551" i="3"/>
  <c r="C2551" i="3"/>
  <c r="B2551" i="3"/>
  <c r="A2551" i="3"/>
  <c r="O2550" i="3"/>
  <c r="N2550" i="3"/>
  <c r="M2550" i="3"/>
  <c r="L2550" i="3"/>
  <c r="K2550" i="3"/>
  <c r="J2550" i="3"/>
  <c r="I2550" i="3"/>
  <c r="H2550" i="3"/>
  <c r="G2550" i="3"/>
  <c r="F2550" i="3"/>
  <c r="E2550" i="3"/>
  <c r="D2550" i="3"/>
  <c r="C2550" i="3"/>
  <c r="B2550" i="3"/>
  <c r="A2550" i="3"/>
  <c r="O2549" i="3"/>
  <c r="N2549" i="3"/>
  <c r="M2549" i="3"/>
  <c r="L2549" i="3"/>
  <c r="K2549" i="3"/>
  <c r="J2549" i="3"/>
  <c r="I2549" i="3"/>
  <c r="H2549" i="3"/>
  <c r="G2549" i="3"/>
  <c r="F2549" i="3"/>
  <c r="E2549" i="3"/>
  <c r="D2549" i="3"/>
  <c r="C2549" i="3"/>
  <c r="B2549" i="3"/>
  <c r="A2549" i="3"/>
  <c r="O2548" i="3"/>
  <c r="N2548" i="3"/>
  <c r="M2548" i="3"/>
  <c r="L2548" i="3"/>
  <c r="K2548" i="3"/>
  <c r="J2548" i="3"/>
  <c r="I2548" i="3"/>
  <c r="H2548" i="3"/>
  <c r="G2548" i="3"/>
  <c r="F2548" i="3"/>
  <c r="E2548" i="3"/>
  <c r="D2548" i="3"/>
  <c r="C2548" i="3"/>
  <c r="B2548" i="3"/>
  <c r="A2548" i="3"/>
  <c r="O2547" i="3"/>
  <c r="N2547" i="3"/>
  <c r="M2547" i="3"/>
  <c r="L2547" i="3"/>
  <c r="K2547" i="3"/>
  <c r="J2547" i="3"/>
  <c r="I2547" i="3"/>
  <c r="H2547" i="3"/>
  <c r="G2547" i="3"/>
  <c r="F2547" i="3"/>
  <c r="E2547" i="3"/>
  <c r="D2547" i="3"/>
  <c r="C2547" i="3"/>
  <c r="B2547" i="3"/>
  <c r="A2547" i="3"/>
  <c r="O2546" i="3"/>
  <c r="N2546" i="3"/>
  <c r="M2546" i="3"/>
  <c r="L2546" i="3"/>
  <c r="K2546" i="3"/>
  <c r="J2546" i="3"/>
  <c r="I2546" i="3"/>
  <c r="H2546" i="3"/>
  <c r="G2546" i="3"/>
  <c r="F2546" i="3"/>
  <c r="E2546" i="3"/>
  <c r="D2546" i="3"/>
  <c r="C2546" i="3"/>
  <c r="B2546" i="3"/>
  <c r="A2546" i="3"/>
  <c r="O2545" i="3"/>
  <c r="N2545" i="3"/>
  <c r="M2545" i="3"/>
  <c r="L2545" i="3"/>
  <c r="K2545" i="3"/>
  <c r="J2545" i="3"/>
  <c r="I2545" i="3"/>
  <c r="H2545" i="3"/>
  <c r="G2545" i="3"/>
  <c r="F2545" i="3"/>
  <c r="E2545" i="3"/>
  <c r="D2545" i="3"/>
  <c r="C2545" i="3"/>
  <c r="B2545" i="3"/>
  <c r="A2545" i="3"/>
  <c r="O2544" i="3"/>
  <c r="N2544" i="3"/>
  <c r="M2544" i="3"/>
  <c r="L2544" i="3"/>
  <c r="K2544" i="3"/>
  <c r="J2544" i="3"/>
  <c r="I2544" i="3"/>
  <c r="H2544" i="3"/>
  <c r="G2544" i="3"/>
  <c r="F2544" i="3"/>
  <c r="E2544" i="3"/>
  <c r="D2544" i="3"/>
  <c r="C2544" i="3"/>
  <c r="B2544" i="3"/>
  <c r="A2544" i="3"/>
  <c r="O2543" i="3"/>
  <c r="N2543" i="3"/>
  <c r="M2543" i="3"/>
  <c r="L2543" i="3"/>
  <c r="K2543" i="3"/>
  <c r="J2543" i="3"/>
  <c r="I2543" i="3"/>
  <c r="H2543" i="3"/>
  <c r="G2543" i="3"/>
  <c r="F2543" i="3"/>
  <c r="E2543" i="3"/>
  <c r="D2543" i="3"/>
  <c r="C2543" i="3"/>
  <c r="B2543" i="3"/>
  <c r="A2543" i="3"/>
  <c r="O2542" i="3"/>
  <c r="N2542" i="3"/>
  <c r="M2542" i="3"/>
  <c r="L2542" i="3"/>
  <c r="K2542" i="3"/>
  <c r="J2542" i="3"/>
  <c r="I2542" i="3"/>
  <c r="H2542" i="3"/>
  <c r="G2542" i="3"/>
  <c r="F2542" i="3"/>
  <c r="E2542" i="3"/>
  <c r="D2542" i="3"/>
  <c r="C2542" i="3"/>
  <c r="B2542" i="3"/>
  <c r="A2542" i="3"/>
  <c r="O2541" i="3"/>
  <c r="N2541" i="3"/>
  <c r="M2541" i="3"/>
  <c r="L2541" i="3"/>
  <c r="K2541" i="3"/>
  <c r="J2541" i="3"/>
  <c r="I2541" i="3"/>
  <c r="H2541" i="3"/>
  <c r="G2541" i="3"/>
  <c r="F2541" i="3"/>
  <c r="E2541" i="3"/>
  <c r="D2541" i="3"/>
  <c r="C2541" i="3"/>
  <c r="B2541" i="3"/>
  <c r="A2541" i="3"/>
  <c r="O2540" i="3"/>
  <c r="N2540" i="3"/>
  <c r="M2540" i="3"/>
  <c r="L2540" i="3"/>
  <c r="K2540" i="3"/>
  <c r="J2540" i="3"/>
  <c r="I2540" i="3"/>
  <c r="H2540" i="3"/>
  <c r="G2540" i="3"/>
  <c r="F2540" i="3"/>
  <c r="E2540" i="3"/>
  <c r="D2540" i="3"/>
  <c r="C2540" i="3"/>
  <c r="B2540" i="3"/>
  <c r="A2540" i="3"/>
  <c r="O2539" i="3"/>
  <c r="N2539" i="3"/>
  <c r="M2539" i="3"/>
  <c r="L2539" i="3"/>
  <c r="K2539" i="3"/>
  <c r="J2539" i="3"/>
  <c r="I2539" i="3"/>
  <c r="H2539" i="3"/>
  <c r="G2539" i="3"/>
  <c r="F2539" i="3"/>
  <c r="E2539" i="3"/>
  <c r="D2539" i="3"/>
  <c r="C2539" i="3"/>
  <c r="B2539" i="3"/>
  <c r="A2539" i="3"/>
  <c r="O2538" i="3"/>
  <c r="N2538" i="3"/>
  <c r="M2538" i="3"/>
  <c r="L2538" i="3"/>
  <c r="K2538" i="3"/>
  <c r="J2538" i="3"/>
  <c r="I2538" i="3"/>
  <c r="H2538" i="3"/>
  <c r="G2538" i="3"/>
  <c r="F2538" i="3"/>
  <c r="E2538" i="3"/>
  <c r="D2538" i="3"/>
  <c r="C2538" i="3"/>
  <c r="B2538" i="3"/>
  <c r="A2538" i="3"/>
  <c r="O2537" i="3"/>
  <c r="N2537" i="3"/>
  <c r="M2537" i="3"/>
  <c r="L2537" i="3"/>
  <c r="K2537" i="3"/>
  <c r="J2537" i="3"/>
  <c r="I2537" i="3"/>
  <c r="H2537" i="3"/>
  <c r="G2537" i="3"/>
  <c r="F2537" i="3"/>
  <c r="E2537" i="3"/>
  <c r="D2537" i="3"/>
  <c r="C2537" i="3"/>
  <c r="B2537" i="3"/>
  <c r="A2537" i="3"/>
  <c r="O2536" i="3"/>
  <c r="N2536" i="3"/>
  <c r="M2536" i="3"/>
  <c r="L2536" i="3"/>
  <c r="K2536" i="3"/>
  <c r="J2536" i="3"/>
  <c r="I2536" i="3"/>
  <c r="H2536" i="3"/>
  <c r="G2536" i="3"/>
  <c r="F2536" i="3"/>
  <c r="E2536" i="3"/>
  <c r="D2536" i="3"/>
  <c r="C2536" i="3"/>
  <c r="B2536" i="3"/>
  <c r="A2536" i="3"/>
  <c r="O2535" i="3"/>
  <c r="N2535" i="3"/>
  <c r="M2535" i="3"/>
  <c r="L2535" i="3"/>
  <c r="K2535" i="3"/>
  <c r="J2535" i="3"/>
  <c r="I2535" i="3"/>
  <c r="H2535" i="3"/>
  <c r="G2535" i="3"/>
  <c r="F2535" i="3"/>
  <c r="E2535" i="3"/>
  <c r="D2535" i="3"/>
  <c r="C2535" i="3"/>
  <c r="B2535" i="3"/>
  <c r="A2535" i="3"/>
  <c r="O2534" i="3"/>
  <c r="N2534" i="3"/>
  <c r="M2534" i="3"/>
  <c r="L2534" i="3"/>
  <c r="K2534" i="3"/>
  <c r="J2534" i="3"/>
  <c r="I2534" i="3"/>
  <c r="H2534" i="3"/>
  <c r="G2534" i="3"/>
  <c r="F2534" i="3"/>
  <c r="E2534" i="3"/>
  <c r="D2534" i="3"/>
  <c r="C2534" i="3"/>
  <c r="B2534" i="3"/>
  <c r="A2534" i="3"/>
  <c r="O2533" i="3"/>
  <c r="N2533" i="3"/>
  <c r="M2533" i="3"/>
  <c r="L2533" i="3"/>
  <c r="K2533" i="3"/>
  <c r="J2533" i="3"/>
  <c r="I2533" i="3"/>
  <c r="H2533" i="3"/>
  <c r="G2533" i="3"/>
  <c r="F2533" i="3"/>
  <c r="E2533" i="3"/>
  <c r="D2533" i="3"/>
  <c r="C2533" i="3"/>
  <c r="B2533" i="3"/>
  <c r="A2533" i="3"/>
  <c r="O2532" i="3"/>
  <c r="N2532" i="3"/>
  <c r="M2532" i="3"/>
  <c r="L2532" i="3"/>
  <c r="K2532" i="3"/>
  <c r="J2532" i="3"/>
  <c r="I2532" i="3"/>
  <c r="H2532" i="3"/>
  <c r="G2532" i="3"/>
  <c r="F2532" i="3"/>
  <c r="E2532" i="3"/>
  <c r="D2532" i="3"/>
  <c r="C2532" i="3"/>
  <c r="B2532" i="3"/>
  <c r="A2532" i="3"/>
  <c r="O2531" i="3"/>
  <c r="N2531" i="3"/>
  <c r="M2531" i="3"/>
  <c r="L2531" i="3"/>
  <c r="K2531" i="3"/>
  <c r="J2531" i="3"/>
  <c r="I2531" i="3"/>
  <c r="H2531" i="3"/>
  <c r="G2531" i="3"/>
  <c r="F2531" i="3"/>
  <c r="E2531" i="3"/>
  <c r="D2531" i="3"/>
  <c r="C2531" i="3"/>
  <c r="B2531" i="3"/>
  <c r="A2531" i="3"/>
  <c r="O2530" i="3"/>
  <c r="N2530" i="3"/>
  <c r="M2530" i="3"/>
  <c r="L2530" i="3"/>
  <c r="K2530" i="3"/>
  <c r="J2530" i="3"/>
  <c r="I2530" i="3"/>
  <c r="H2530" i="3"/>
  <c r="G2530" i="3"/>
  <c r="F2530" i="3"/>
  <c r="E2530" i="3"/>
  <c r="D2530" i="3"/>
  <c r="C2530" i="3"/>
  <c r="B2530" i="3"/>
  <c r="A2530" i="3"/>
  <c r="O2529" i="3"/>
  <c r="N2529" i="3"/>
  <c r="M2529" i="3"/>
  <c r="L2529" i="3"/>
  <c r="K2529" i="3"/>
  <c r="J2529" i="3"/>
  <c r="I2529" i="3"/>
  <c r="H2529" i="3"/>
  <c r="G2529" i="3"/>
  <c r="F2529" i="3"/>
  <c r="E2529" i="3"/>
  <c r="D2529" i="3"/>
  <c r="C2529" i="3"/>
  <c r="B2529" i="3"/>
  <c r="A2529" i="3"/>
  <c r="O2528" i="3"/>
  <c r="N2528" i="3"/>
  <c r="M2528" i="3"/>
  <c r="L2528" i="3"/>
  <c r="K2528" i="3"/>
  <c r="J2528" i="3"/>
  <c r="I2528" i="3"/>
  <c r="H2528" i="3"/>
  <c r="G2528" i="3"/>
  <c r="F2528" i="3"/>
  <c r="E2528" i="3"/>
  <c r="D2528" i="3"/>
  <c r="C2528" i="3"/>
  <c r="B2528" i="3"/>
  <c r="A2528" i="3"/>
  <c r="O2527" i="3"/>
  <c r="N2527" i="3"/>
  <c r="M2527" i="3"/>
  <c r="L2527" i="3"/>
  <c r="K2527" i="3"/>
  <c r="J2527" i="3"/>
  <c r="I2527" i="3"/>
  <c r="H2527" i="3"/>
  <c r="G2527" i="3"/>
  <c r="F2527" i="3"/>
  <c r="E2527" i="3"/>
  <c r="D2527" i="3"/>
  <c r="C2527" i="3"/>
  <c r="B2527" i="3"/>
  <c r="A2527" i="3"/>
  <c r="O2526" i="3"/>
  <c r="N2526" i="3"/>
  <c r="M2526" i="3"/>
  <c r="L2526" i="3"/>
  <c r="K2526" i="3"/>
  <c r="J2526" i="3"/>
  <c r="I2526" i="3"/>
  <c r="H2526" i="3"/>
  <c r="G2526" i="3"/>
  <c r="F2526" i="3"/>
  <c r="E2526" i="3"/>
  <c r="D2526" i="3"/>
  <c r="C2526" i="3"/>
  <c r="B2526" i="3"/>
  <c r="A2526" i="3"/>
  <c r="O2525" i="3"/>
  <c r="N2525" i="3"/>
  <c r="M2525" i="3"/>
  <c r="L2525" i="3"/>
  <c r="K2525" i="3"/>
  <c r="J2525" i="3"/>
  <c r="I2525" i="3"/>
  <c r="H2525" i="3"/>
  <c r="G2525" i="3"/>
  <c r="F2525" i="3"/>
  <c r="E2525" i="3"/>
  <c r="D2525" i="3"/>
  <c r="C2525" i="3"/>
  <c r="B2525" i="3"/>
  <c r="A2525" i="3"/>
  <c r="O2524" i="3"/>
  <c r="N2524" i="3"/>
  <c r="M2524" i="3"/>
  <c r="L2524" i="3"/>
  <c r="K2524" i="3"/>
  <c r="J2524" i="3"/>
  <c r="I2524" i="3"/>
  <c r="H2524" i="3"/>
  <c r="G2524" i="3"/>
  <c r="F2524" i="3"/>
  <c r="E2524" i="3"/>
  <c r="D2524" i="3"/>
  <c r="C2524" i="3"/>
  <c r="B2524" i="3"/>
  <c r="A2524" i="3"/>
  <c r="O2523" i="3"/>
  <c r="N2523" i="3"/>
  <c r="M2523" i="3"/>
  <c r="L2523" i="3"/>
  <c r="K2523" i="3"/>
  <c r="J2523" i="3"/>
  <c r="I2523" i="3"/>
  <c r="H2523" i="3"/>
  <c r="G2523" i="3"/>
  <c r="F2523" i="3"/>
  <c r="E2523" i="3"/>
  <c r="D2523" i="3"/>
  <c r="C2523" i="3"/>
  <c r="B2523" i="3"/>
  <c r="A2523" i="3"/>
  <c r="O2522" i="3"/>
  <c r="N2522" i="3"/>
  <c r="M2522" i="3"/>
  <c r="L2522" i="3"/>
  <c r="K2522" i="3"/>
  <c r="J2522" i="3"/>
  <c r="I2522" i="3"/>
  <c r="H2522" i="3"/>
  <c r="G2522" i="3"/>
  <c r="F2522" i="3"/>
  <c r="E2522" i="3"/>
  <c r="D2522" i="3"/>
  <c r="C2522" i="3"/>
  <c r="B2522" i="3"/>
  <c r="A2522" i="3"/>
  <c r="O2521" i="3"/>
  <c r="N2521" i="3"/>
  <c r="M2521" i="3"/>
  <c r="L2521" i="3"/>
  <c r="K2521" i="3"/>
  <c r="J2521" i="3"/>
  <c r="I2521" i="3"/>
  <c r="H2521" i="3"/>
  <c r="G2521" i="3"/>
  <c r="F2521" i="3"/>
  <c r="E2521" i="3"/>
  <c r="D2521" i="3"/>
  <c r="C2521" i="3"/>
  <c r="B2521" i="3"/>
  <c r="A2521" i="3"/>
  <c r="O2520" i="3"/>
  <c r="N2520" i="3"/>
  <c r="M2520" i="3"/>
  <c r="L2520" i="3"/>
  <c r="K2520" i="3"/>
  <c r="J2520" i="3"/>
  <c r="I2520" i="3"/>
  <c r="H2520" i="3"/>
  <c r="G2520" i="3"/>
  <c r="F2520" i="3"/>
  <c r="E2520" i="3"/>
  <c r="D2520" i="3"/>
  <c r="C2520" i="3"/>
  <c r="B2520" i="3"/>
  <c r="A2520" i="3"/>
  <c r="O2519" i="3"/>
  <c r="N2519" i="3"/>
  <c r="M2519" i="3"/>
  <c r="L2519" i="3"/>
  <c r="K2519" i="3"/>
  <c r="J2519" i="3"/>
  <c r="I2519" i="3"/>
  <c r="H2519" i="3"/>
  <c r="G2519" i="3"/>
  <c r="F2519" i="3"/>
  <c r="E2519" i="3"/>
  <c r="D2519" i="3"/>
  <c r="C2519" i="3"/>
  <c r="B2519" i="3"/>
  <c r="A2519" i="3"/>
  <c r="O2518" i="3"/>
  <c r="N2518" i="3"/>
  <c r="M2518" i="3"/>
  <c r="L2518" i="3"/>
  <c r="K2518" i="3"/>
  <c r="J2518" i="3"/>
  <c r="I2518" i="3"/>
  <c r="H2518" i="3"/>
  <c r="G2518" i="3"/>
  <c r="F2518" i="3"/>
  <c r="E2518" i="3"/>
  <c r="D2518" i="3"/>
  <c r="C2518" i="3"/>
  <c r="B2518" i="3"/>
  <c r="A2518" i="3"/>
  <c r="O2517" i="3"/>
  <c r="N2517" i="3"/>
  <c r="M2517" i="3"/>
  <c r="L2517" i="3"/>
  <c r="K2517" i="3"/>
  <c r="J2517" i="3"/>
  <c r="I2517" i="3"/>
  <c r="H2517" i="3"/>
  <c r="G2517" i="3"/>
  <c r="F2517" i="3"/>
  <c r="E2517" i="3"/>
  <c r="D2517" i="3"/>
  <c r="C2517" i="3"/>
  <c r="B2517" i="3"/>
  <c r="A2517" i="3"/>
  <c r="O2516" i="3"/>
  <c r="N2516" i="3"/>
  <c r="M2516" i="3"/>
  <c r="L2516" i="3"/>
  <c r="K2516" i="3"/>
  <c r="J2516" i="3"/>
  <c r="I2516" i="3"/>
  <c r="H2516" i="3"/>
  <c r="G2516" i="3"/>
  <c r="F2516" i="3"/>
  <c r="E2516" i="3"/>
  <c r="D2516" i="3"/>
  <c r="C2516" i="3"/>
  <c r="B2516" i="3"/>
  <c r="A2516" i="3"/>
  <c r="O2515" i="3"/>
  <c r="N2515" i="3"/>
  <c r="M2515" i="3"/>
  <c r="L2515" i="3"/>
  <c r="K2515" i="3"/>
  <c r="J2515" i="3"/>
  <c r="I2515" i="3"/>
  <c r="H2515" i="3"/>
  <c r="G2515" i="3"/>
  <c r="F2515" i="3"/>
  <c r="E2515" i="3"/>
  <c r="D2515" i="3"/>
  <c r="C2515" i="3"/>
  <c r="B2515" i="3"/>
  <c r="A2515" i="3"/>
  <c r="O2514" i="3"/>
  <c r="N2514" i="3"/>
  <c r="M2514" i="3"/>
  <c r="L2514" i="3"/>
  <c r="K2514" i="3"/>
  <c r="J2514" i="3"/>
  <c r="I2514" i="3"/>
  <c r="H2514" i="3"/>
  <c r="G2514" i="3"/>
  <c r="F2514" i="3"/>
  <c r="E2514" i="3"/>
  <c r="D2514" i="3"/>
  <c r="C2514" i="3"/>
  <c r="B2514" i="3"/>
  <c r="A2514" i="3"/>
  <c r="O2513" i="3"/>
  <c r="N2513" i="3"/>
  <c r="M2513" i="3"/>
  <c r="L2513" i="3"/>
  <c r="K2513" i="3"/>
  <c r="J2513" i="3"/>
  <c r="I2513" i="3"/>
  <c r="H2513" i="3"/>
  <c r="G2513" i="3"/>
  <c r="F2513" i="3"/>
  <c r="E2513" i="3"/>
  <c r="D2513" i="3"/>
  <c r="C2513" i="3"/>
  <c r="B2513" i="3"/>
  <c r="A2513" i="3"/>
  <c r="O2512" i="3"/>
  <c r="N2512" i="3"/>
  <c r="M2512" i="3"/>
  <c r="L2512" i="3"/>
  <c r="K2512" i="3"/>
  <c r="J2512" i="3"/>
  <c r="I2512" i="3"/>
  <c r="H2512" i="3"/>
  <c r="G2512" i="3"/>
  <c r="F2512" i="3"/>
  <c r="E2512" i="3"/>
  <c r="D2512" i="3"/>
  <c r="C2512" i="3"/>
  <c r="B2512" i="3"/>
  <c r="A2512" i="3"/>
  <c r="O2511" i="3"/>
  <c r="N2511" i="3"/>
  <c r="M2511" i="3"/>
  <c r="L2511" i="3"/>
  <c r="K2511" i="3"/>
  <c r="J2511" i="3"/>
  <c r="I2511" i="3"/>
  <c r="H2511" i="3"/>
  <c r="G2511" i="3"/>
  <c r="F2511" i="3"/>
  <c r="E2511" i="3"/>
  <c r="D2511" i="3"/>
  <c r="C2511" i="3"/>
  <c r="B2511" i="3"/>
  <c r="A2511" i="3"/>
  <c r="O2510" i="3"/>
  <c r="N2510" i="3"/>
  <c r="M2510" i="3"/>
  <c r="L2510" i="3"/>
  <c r="K2510" i="3"/>
  <c r="J2510" i="3"/>
  <c r="I2510" i="3"/>
  <c r="H2510" i="3"/>
  <c r="G2510" i="3"/>
  <c r="F2510" i="3"/>
  <c r="E2510" i="3"/>
  <c r="D2510" i="3"/>
  <c r="C2510" i="3"/>
  <c r="B2510" i="3"/>
  <c r="A2510" i="3"/>
  <c r="O2509" i="3"/>
  <c r="N2509" i="3"/>
  <c r="M2509" i="3"/>
  <c r="L2509" i="3"/>
  <c r="K2509" i="3"/>
  <c r="J2509" i="3"/>
  <c r="I2509" i="3"/>
  <c r="H2509" i="3"/>
  <c r="G2509" i="3"/>
  <c r="F2509" i="3"/>
  <c r="E2509" i="3"/>
  <c r="D2509" i="3"/>
  <c r="C2509" i="3"/>
  <c r="B2509" i="3"/>
  <c r="A2509" i="3"/>
  <c r="O2508" i="3"/>
  <c r="N2508" i="3"/>
  <c r="M2508" i="3"/>
  <c r="L2508" i="3"/>
  <c r="K2508" i="3"/>
  <c r="J2508" i="3"/>
  <c r="I2508" i="3"/>
  <c r="H2508" i="3"/>
  <c r="G2508" i="3"/>
  <c r="F2508" i="3"/>
  <c r="E2508" i="3"/>
  <c r="D2508" i="3"/>
  <c r="C2508" i="3"/>
  <c r="B2508" i="3"/>
  <c r="A2508" i="3"/>
  <c r="O2507" i="3"/>
  <c r="N2507" i="3"/>
  <c r="M2507" i="3"/>
  <c r="L2507" i="3"/>
  <c r="K2507" i="3"/>
  <c r="J2507" i="3"/>
  <c r="I2507" i="3"/>
  <c r="H2507" i="3"/>
  <c r="G2507" i="3"/>
  <c r="F2507" i="3"/>
  <c r="E2507" i="3"/>
  <c r="D2507" i="3"/>
  <c r="C2507" i="3"/>
  <c r="B2507" i="3"/>
  <c r="A2507" i="3"/>
  <c r="O2506" i="3"/>
  <c r="N2506" i="3"/>
  <c r="M2506" i="3"/>
  <c r="L2506" i="3"/>
  <c r="K2506" i="3"/>
  <c r="J2506" i="3"/>
  <c r="I2506" i="3"/>
  <c r="H2506" i="3"/>
  <c r="G2506" i="3"/>
  <c r="F2506" i="3"/>
  <c r="E2506" i="3"/>
  <c r="D2506" i="3"/>
  <c r="C2506" i="3"/>
  <c r="B2506" i="3"/>
  <c r="A2506" i="3"/>
  <c r="O2505" i="3"/>
  <c r="N2505" i="3"/>
  <c r="M2505" i="3"/>
  <c r="L2505" i="3"/>
  <c r="K2505" i="3"/>
  <c r="J2505" i="3"/>
  <c r="I2505" i="3"/>
  <c r="H2505" i="3"/>
  <c r="G2505" i="3"/>
  <c r="F2505" i="3"/>
  <c r="E2505" i="3"/>
  <c r="D2505" i="3"/>
  <c r="C2505" i="3"/>
  <c r="B2505" i="3"/>
  <c r="A2505" i="3"/>
  <c r="O2504" i="3"/>
  <c r="N2504" i="3"/>
  <c r="M2504" i="3"/>
  <c r="L2504" i="3"/>
  <c r="K2504" i="3"/>
  <c r="J2504" i="3"/>
  <c r="I2504" i="3"/>
  <c r="H2504" i="3"/>
  <c r="G2504" i="3"/>
  <c r="F2504" i="3"/>
  <c r="E2504" i="3"/>
  <c r="D2504" i="3"/>
  <c r="C2504" i="3"/>
  <c r="B2504" i="3"/>
  <c r="A2504" i="3"/>
  <c r="O2503" i="3"/>
  <c r="N2503" i="3"/>
  <c r="M2503" i="3"/>
  <c r="L2503" i="3"/>
  <c r="K2503" i="3"/>
  <c r="J2503" i="3"/>
  <c r="I2503" i="3"/>
  <c r="H2503" i="3"/>
  <c r="G2503" i="3"/>
  <c r="F2503" i="3"/>
  <c r="E2503" i="3"/>
  <c r="D2503" i="3"/>
  <c r="C2503" i="3"/>
  <c r="B2503" i="3"/>
  <c r="A2503" i="3"/>
  <c r="O2502" i="3"/>
  <c r="N2502" i="3"/>
  <c r="M2502" i="3"/>
  <c r="L2502" i="3"/>
  <c r="K2502" i="3"/>
  <c r="J2502" i="3"/>
  <c r="I2502" i="3"/>
  <c r="H2502" i="3"/>
  <c r="G2502" i="3"/>
  <c r="F2502" i="3"/>
  <c r="E2502" i="3"/>
  <c r="D2502" i="3"/>
  <c r="C2502" i="3"/>
  <c r="B2502" i="3"/>
  <c r="A2502" i="3"/>
  <c r="O2501" i="3"/>
  <c r="N2501" i="3"/>
  <c r="M2501" i="3"/>
  <c r="L2501" i="3"/>
  <c r="K2501" i="3"/>
  <c r="J2501" i="3"/>
  <c r="I2501" i="3"/>
  <c r="H2501" i="3"/>
  <c r="G2501" i="3"/>
  <c r="F2501" i="3"/>
  <c r="E2501" i="3"/>
  <c r="D2501" i="3"/>
  <c r="C2501" i="3"/>
  <c r="B2501" i="3"/>
  <c r="A2501" i="3"/>
  <c r="O2500" i="3"/>
  <c r="N2500" i="3"/>
  <c r="M2500" i="3"/>
  <c r="L2500" i="3"/>
  <c r="K2500" i="3"/>
  <c r="J2500" i="3"/>
  <c r="I2500" i="3"/>
  <c r="H2500" i="3"/>
  <c r="G2500" i="3"/>
  <c r="F2500" i="3"/>
  <c r="E2500" i="3"/>
  <c r="D2500" i="3"/>
  <c r="C2500" i="3"/>
  <c r="B2500" i="3"/>
  <c r="A2500" i="3"/>
  <c r="O2499" i="3"/>
  <c r="N2499" i="3"/>
  <c r="M2499" i="3"/>
  <c r="L2499" i="3"/>
  <c r="K2499" i="3"/>
  <c r="J2499" i="3"/>
  <c r="I2499" i="3"/>
  <c r="H2499" i="3"/>
  <c r="G2499" i="3"/>
  <c r="F2499" i="3"/>
  <c r="E2499" i="3"/>
  <c r="D2499" i="3"/>
  <c r="C2499" i="3"/>
  <c r="B2499" i="3"/>
  <c r="A2499" i="3"/>
  <c r="O2498" i="3"/>
  <c r="N2498" i="3"/>
  <c r="M2498" i="3"/>
  <c r="L2498" i="3"/>
  <c r="K2498" i="3"/>
  <c r="J2498" i="3"/>
  <c r="I2498" i="3"/>
  <c r="H2498" i="3"/>
  <c r="G2498" i="3"/>
  <c r="F2498" i="3"/>
  <c r="E2498" i="3"/>
  <c r="D2498" i="3"/>
  <c r="C2498" i="3"/>
  <c r="B2498" i="3"/>
  <c r="A2498" i="3"/>
  <c r="O2497" i="3"/>
  <c r="N2497" i="3"/>
  <c r="M2497" i="3"/>
  <c r="L2497" i="3"/>
  <c r="K2497" i="3"/>
  <c r="J2497" i="3"/>
  <c r="I2497" i="3"/>
  <c r="H2497" i="3"/>
  <c r="G2497" i="3"/>
  <c r="F2497" i="3"/>
  <c r="E2497" i="3"/>
  <c r="D2497" i="3"/>
  <c r="C2497" i="3"/>
  <c r="B2497" i="3"/>
  <c r="A2497" i="3"/>
  <c r="O2496" i="3"/>
  <c r="N2496" i="3"/>
  <c r="M2496" i="3"/>
  <c r="L2496" i="3"/>
  <c r="K2496" i="3"/>
  <c r="J2496" i="3"/>
  <c r="I2496" i="3"/>
  <c r="H2496" i="3"/>
  <c r="G2496" i="3"/>
  <c r="F2496" i="3"/>
  <c r="E2496" i="3"/>
  <c r="D2496" i="3"/>
  <c r="C2496" i="3"/>
  <c r="B2496" i="3"/>
  <c r="A2496" i="3"/>
  <c r="O2495" i="3"/>
  <c r="N2495" i="3"/>
  <c r="M2495" i="3"/>
  <c r="L2495" i="3"/>
  <c r="K2495" i="3"/>
  <c r="J2495" i="3"/>
  <c r="I2495" i="3"/>
  <c r="H2495" i="3"/>
  <c r="G2495" i="3"/>
  <c r="F2495" i="3"/>
  <c r="E2495" i="3"/>
  <c r="D2495" i="3"/>
  <c r="C2495" i="3"/>
  <c r="B2495" i="3"/>
  <c r="A2495" i="3"/>
  <c r="O2494" i="3"/>
  <c r="N2494" i="3"/>
  <c r="M2494" i="3"/>
  <c r="L2494" i="3"/>
  <c r="K2494" i="3"/>
  <c r="J2494" i="3"/>
  <c r="I2494" i="3"/>
  <c r="H2494" i="3"/>
  <c r="G2494" i="3"/>
  <c r="F2494" i="3"/>
  <c r="E2494" i="3"/>
  <c r="D2494" i="3"/>
  <c r="C2494" i="3"/>
  <c r="B2494" i="3"/>
  <c r="A2494" i="3"/>
  <c r="O2493" i="3"/>
  <c r="N2493" i="3"/>
  <c r="M2493" i="3"/>
  <c r="L2493" i="3"/>
  <c r="K2493" i="3"/>
  <c r="J2493" i="3"/>
  <c r="I2493" i="3"/>
  <c r="H2493" i="3"/>
  <c r="G2493" i="3"/>
  <c r="F2493" i="3"/>
  <c r="E2493" i="3"/>
  <c r="D2493" i="3"/>
  <c r="C2493" i="3"/>
  <c r="B2493" i="3"/>
  <c r="A2493" i="3"/>
  <c r="O2492" i="3"/>
  <c r="N2492" i="3"/>
  <c r="M2492" i="3"/>
  <c r="L2492" i="3"/>
  <c r="K2492" i="3"/>
  <c r="J2492" i="3"/>
  <c r="I2492" i="3"/>
  <c r="H2492" i="3"/>
  <c r="G2492" i="3"/>
  <c r="F2492" i="3"/>
  <c r="E2492" i="3"/>
  <c r="D2492" i="3"/>
  <c r="C2492" i="3"/>
  <c r="B2492" i="3"/>
  <c r="A2492" i="3"/>
  <c r="O2491" i="3"/>
  <c r="N2491" i="3"/>
  <c r="M2491" i="3"/>
  <c r="L2491" i="3"/>
  <c r="K2491" i="3"/>
  <c r="J2491" i="3"/>
  <c r="I2491" i="3"/>
  <c r="H2491" i="3"/>
  <c r="G2491" i="3"/>
  <c r="F2491" i="3"/>
  <c r="E2491" i="3"/>
  <c r="D2491" i="3"/>
  <c r="C2491" i="3"/>
  <c r="B2491" i="3"/>
  <c r="A2491" i="3"/>
  <c r="O2490" i="3"/>
  <c r="N2490" i="3"/>
  <c r="M2490" i="3"/>
  <c r="L2490" i="3"/>
  <c r="K2490" i="3"/>
  <c r="J2490" i="3"/>
  <c r="I2490" i="3"/>
  <c r="H2490" i="3"/>
  <c r="G2490" i="3"/>
  <c r="F2490" i="3"/>
  <c r="E2490" i="3"/>
  <c r="D2490" i="3"/>
  <c r="C2490" i="3"/>
  <c r="B2490" i="3"/>
  <c r="A2490" i="3"/>
  <c r="O2489" i="3"/>
  <c r="N2489" i="3"/>
  <c r="M2489" i="3"/>
  <c r="L2489" i="3"/>
  <c r="K2489" i="3"/>
  <c r="J2489" i="3"/>
  <c r="I2489" i="3"/>
  <c r="H2489" i="3"/>
  <c r="G2489" i="3"/>
  <c r="F2489" i="3"/>
  <c r="E2489" i="3"/>
  <c r="D2489" i="3"/>
  <c r="C2489" i="3"/>
  <c r="B2489" i="3"/>
  <c r="A2489" i="3"/>
  <c r="O2488" i="3"/>
  <c r="N2488" i="3"/>
  <c r="M2488" i="3"/>
  <c r="L2488" i="3"/>
  <c r="K2488" i="3"/>
  <c r="J2488" i="3"/>
  <c r="I2488" i="3"/>
  <c r="H2488" i="3"/>
  <c r="G2488" i="3"/>
  <c r="F2488" i="3"/>
  <c r="E2488" i="3"/>
  <c r="D2488" i="3"/>
  <c r="C2488" i="3"/>
  <c r="B2488" i="3"/>
  <c r="A2488" i="3"/>
  <c r="O2487" i="3"/>
  <c r="N2487" i="3"/>
  <c r="M2487" i="3"/>
  <c r="L2487" i="3"/>
  <c r="K2487" i="3"/>
  <c r="J2487" i="3"/>
  <c r="I2487" i="3"/>
  <c r="H2487" i="3"/>
  <c r="G2487" i="3"/>
  <c r="F2487" i="3"/>
  <c r="E2487" i="3"/>
  <c r="D2487" i="3"/>
  <c r="C2487" i="3"/>
  <c r="B2487" i="3"/>
  <c r="A2487" i="3"/>
  <c r="O2486" i="3"/>
  <c r="N2486" i="3"/>
  <c r="M2486" i="3"/>
  <c r="L2486" i="3"/>
  <c r="K2486" i="3"/>
  <c r="J2486" i="3"/>
  <c r="I2486" i="3"/>
  <c r="H2486" i="3"/>
  <c r="G2486" i="3"/>
  <c r="F2486" i="3"/>
  <c r="E2486" i="3"/>
  <c r="D2486" i="3"/>
  <c r="C2486" i="3"/>
  <c r="B2486" i="3"/>
  <c r="A2486" i="3"/>
  <c r="O2485" i="3"/>
  <c r="N2485" i="3"/>
  <c r="M2485" i="3"/>
  <c r="L2485" i="3"/>
  <c r="K2485" i="3"/>
  <c r="J2485" i="3"/>
  <c r="I2485" i="3"/>
  <c r="H2485" i="3"/>
  <c r="G2485" i="3"/>
  <c r="F2485" i="3"/>
  <c r="E2485" i="3"/>
  <c r="D2485" i="3"/>
  <c r="C2485" i="3"/>
  <c r="B2485" i="3"/>
  <c r="A2485" i="3"/>
  <c r="O2484" i="3"/>
  <c r="N2484" i="3"/>
  <c r="M2484" i="3"/>
  <c r="L2484" i="3"/>
  <c r="K2484" i="3"/>
  <c r="J2484" i="3"/>
  <c r="I2484" i="3"/>
  <c r="H2484" i="3"/>
  <c r="G2484" i="3"/>
  <c r="F2484" i="3"/>
  <c r="E2484" i="3"/>
  <c r="D2484" i="3"/>
  <c r="C2484" i="3"/>
  <c r="B2484" i="3"/>
  <c r="A2484" i="3"/>
  <c r="O2483" i="3"/>
  <c r="N2483" i="3"/>
  <c r="M2483" i="3"/>
  <c r="L2483" i="3"/>
  <c r="K2483" i="3"/>
  <c r="J2483" i="3"/>
  <c r="I2483" i="3"/>
  <c r="H2483" i="3"/>
  <c r="G2483" i="3"/>
  <c r="F2483" i="3"/>
  <c r="E2483" i="3"/>
  <c r="D2483" i="3"/>
  <c r="C2483" i="3"/>
  <c r="B2483" i="3"/>
  <c r="A2483" i="3"/>
  <c r="O2482" i="3"/>
  <c r="N2482" i="3"/>
  <c r="M2482" i="3"/>
  <c r="L2482" i="3"/>
  <c r="K2482" i="3"/>
  <c r="J2482" i="3"/>
  <c r="I2482" i="3"/>
  <c r="H2482" i="3"/>
  <c r="G2482" i="3"/>
  <c r="F2482" i="3"/>
  <c r="E2482" i="3"/>
  <c r="D2482" i="3"/>
  <c r="C2482" i="3"/>
  <c r="B2482" i="3"/>
  <c r="A2482" i="3"/>
  <c r="O2481" i="3"/>
  <c r="N2481" i="3"/>
  <c r="M2481" i="3"/>
  <c r="L2481" i="3"/>
  <c r="K2481" i="3"/>
  <c r="J2481" i="3"/>
  <c r="I2481" i="3"/>
  <c r="H2481" i="3"/>
  <c r="G2481" i="3"/>
  <c r="F2481" i="3"/>
  <c r="E2481" i="3"/>
  <c r="D2481" i="3"/>
  <c r="C2481" i="3"/>
  <c r="B2481" i="3"/>
  <c r="A2481" i="3"/>
  <c r="O2480" i="3"/>
  <c r="N2480" i="3"/>
  <c r="M2480" i="3"/>
  <c r="L2480" i="3"/>
  <c r="K2480" i="3"/>
  <c r="J2480" i="3"/>
  <c r="I2480" i="3"/>
  <c r="H2480" i="3"/>
  <c r="G2480" i="3"/>
  <c r="F2480" i="3"/>
  <c r="E2480" i="3"/>
  <c r="D2480" i="3"/>
  <c r="C2480" i="3"/>
  <c r="B2480" i="3"/>
  <c r="A2480" i="3"/>
  <c r="O2479" i="3"/>
  <c r="N2479" i="3"/>
  <c r="M2479" i="3"/>
  <c r="L2479" i="3"/>
  <c r="K2479" i="3"/>
  <c r="J2479" i="3"/>
  <c r="I2479" i="3"/>
  <c r="H2479" i="3"/>
  <c r="G2479" i="3"/>
  <c r="F2479" i="3"/>
  <c r="E2479" i="3"/>
  <c r="D2479" i="3"/>
  <c r="C2479" i="3"/>
  <c r="B2479" i="3"/>
  <c r="A2479" i="3"/>
  <c r="O2478" i="3"/>
  <c r="N2478" i="3"/>
  <c r="M2478" i="3"/>
  <c r="L2478" i="3"/>
  <c r="K2478" i="3"/>
  <c r="J2478" i="3"/>
  <c r="I2478" i="3"/>
  <c r="H2478" i="3"/>
  <c r="G2478" i="3"/>
  <c r="F2478" i="3"/>
  <c r="E2478" i="3"/>
  <c r="D2478" i="3"/>
  <c r="C2478" i="3"/>
  <c r="B2478" i="3"/>
  <c r="A2478" i="3"/>
  <c r="O2477" i="3"/>
  <c r="N2477" i="3"/>
  <c r="M2477" i="3"/>
  <c r="L2477" i="3"/>
  <c r="K2477" i="3"/>
  <c r="J2477" i="3"/>
  <c r="I2477" i="3"/>
  <c r="H2477" i="3"/>
  <c r="G2477" i="3"/>
  <c r="F2477" i="3"/>
  <c r="E2477" i="3"/>
  <c r="D2477" i="3"/>
  <c r="C2477" i="3"/>
  <c r="B2477" i="3"/>
  <c r="A2477" i="3"/>
  <c r="O2476" i="3"/>
  <c r="N2476" i="3"/>
  <c r="M2476" i="3"/>
  <c r="L2476" i="3"/>
  <c r="K2476" i="3"/>
  <c r="J2476" i="3"/>
  <c r="I2476" i="3"/>
  <c r="H2476" i="3"/>
  <c r="G2476" i="3"/>
  <c r="F2476" i="3"/>
  <c r="E2476" i="3"/>
  <c r="D2476" i="3"/>
  <c r="C2476" i="3"/>
  <c r="B2476" i="3"/>
  <c r="A2476" i="3"/>
  <c r="O2475" i="3"/>
  <c r="N2475" i="3"/>
  <c r="M2475" i="3"/>
  <c r="L2475" i="3"/>
  <c r="K2475" i="3"/>
  <c r="J2475" i="3"/>
  <c r="I2475" i="3"/>
  <c r="H2475" i="3"/>
  <c r="G2475" i="3"/>
  <c r="F2475" i="3"/>
  <c r="E2475" i="3"/>
  <c r="D2475" i="3"/>
  <c r="C2475" i="3"/>
  <c r="B2475" i="3"/>
  <c r="A2475" i="3"/>
  <c r="O2474" i="3"/>
  <c r="N2474" i="3"/>
  <c r="M2474" i="3"/>
  <c r="L2474" i="3"/>
  <c r="K2474" i="3"/>
  <c r="J2474" i="3"/>
  <c r="I2474" i="3"/>
  <c r="H2474" i="3"/>
  <c r="G2474" i="3"/>
  <c r="F2474" i="3"/>
  <c r="E2474" i="3"/>
  <c r="D2474" i="3"/>
  <c r="C2474" i="3"/>
  <c r="B2474" i="3"/>
  <c r="A2474" i="3"/>
  <c r="O2473" i="3"/>
  <c r="N2473" i="3"/>
  <c r="M2473" i="3"/>
  <c r="L2473" i="3"/>
  <c r="K2473" i="3"/>
  <c r="J2473" i="3"/>
  <c r="I2473" i="3"/>
  <c r="H2473" i="3"/>
  <c r="G2473" i="3"/>
  <c r="F2473" i="3"/>
  <c r="E2473" i="3"/>
  <c r="D2473" i="3"/>
  <c r="C2473" i="3"/>
  <c r="B2473" i="3"/>
  <c r="A2473" i="3"/>
  <c r="O2472" i="3"/>
  <c r="N2472" i="3"/>
  <c r="M2472" i="3"/>
  <c r="L2472" i="3"/>
  <c r="K2472" i="3"/>
  <c r="J2472" i="3"/>
  <c r="I2472" i="3"/>
  <c r="H2472" i="3"/>
  <c r="G2472" i="3"/>
  <c r="F2472" i="3"/>
  <c r="E2472" i="3"/>
  <c r="D2472" i="3"/>
  <c r="C2472" i="3"/>
  <c r="B2472" i="3"/>
  <c r="A2472" i="3"/>
  <c r="O2471" i="3"/>
  <c r="N2471" i="3"/>
  <c r="M2471" i="3"/>
  <c r="L2471" i="3"/>
  <c r="K2471" i="3"/>
  <c r="J2471" i="3"/>
  <c r="I2471" i="3"/>
  <c r="H2471" i="3"/>
  <c r="G2471" i="3"/>
  <c r="F2471" i="3"/>
  <c r="E2471" i="3"/>
  <c r="D2471" i="3"/>
  <c r="C2471" i="3"/>
  <c r="B2471" i="3"/>
  <c r="A2471" i="3"/>
  <c r="O2470" i="3"/>
  <c r="N2470" i="3"/>
  <c r="M2470" i="3"/>
  <c r="L2470" i="3"/>
  <c r="K2470" i="3"/>
  <c r="J2470" i="3"/>
  <c r="I2470" i="3"/>
  <c r="H2470" i="3"/>
  <c r="G2470" i="3"/>
  <c r="F2470" i="3"/>
  <c r="E2470" i="3"/>
  <c r="D2470" i="3"/>
  <c r="C2470" i="3"/>
  <c r="B2470" i="3"/>
  <c r="A2470" i="3"/>
  <c r="O2469" i="3"/>
  <c r="N2469" i="3"/>
  <c r="M2469" i="3"/>
  <c r="L2469" i="3"/>
  <c r="K2469" i="3"/>
  <c r="J2469" i="3"/>
  <c r="I2469" i="3"/>
  <c r="H2469" i="3"/>
  <c r="G2469" i="3"/>
  <c r="F2469" i="3"/>
  <c r="E2469" i="3"/>
  <c r="D2469" i="3"/>
  <c r="C2469" i="3"/>
  <c r="B2469" i="3"/>
  <c r="A2469" i="3"/>
  <c r="O2468" i="3"/>
  <c r="N2468" i="3"/>
  <c r="M2468" i="3"/>
  <c r="L2468" i="3"/>
  <c r="K2468" i="3"/>
  <c r="J2468" i="3"/>
  <c r="I2468" i="3"/>
  <c r="H2468" i="3"/>
  <c r="G2468" i="3"/>
  <c r="F2468" i="3"/>
  <c r="E2468" i="3"/>
  <c r="D2468" i="3"/>
  <c r="C2468" i="3"/>
  <c r="B2468" i="3"/>
  <c r="A2468" i="3"/>
  <c r="O2467" i="3"/>
  <c r="N2467" i="3"/>
  <c r="M2467" i="3"/>
  <c r="L2467" i="3"/>
  <c r="K2467" i="3"/>
  <c r="J2467" i="3"/>
  <c r="I2467" i="3"/>
  <c r="H2467" i="3"/>
  <c r="G2467" i="3"/>
  <c r="F2467" i="3"/>
  <c r="E2467" i="3"/>
  <c r="D2467" i="3"/>
  <c r="C2467" i="3"/>
  <c r="B2467" i="3"/>
  <c r="A2467" i="3"/>
  <c r="O2466" i="3"/>
  <c r="N2466" i="3"/>
  <c r="M2466" i="3"/>
  <c r="L2466" i="3"/>
  <c r="K2466" i="3"/>
  <c r="J2466" i="3"/>
  <c r="I2466" i="3"/>
  <c r="H2466" i="3"/>
  <c r="G2466" i="3"/>
  <c r="F2466" i="3"/>
  <c r="E2466" i="3"/>
  <c r="D2466" i="3"/>
  <c r="C2466" i="3"/>
  <c r="B2466" i="3"/>
  <c r="A2466" i="3"/>
  <c r="O2465" i="3"/>
  <c r="N2465" i="3"/>
  <c r="M2465" i="3"/>
  <c r="L2465" i="3"/>
  <c r="K2465" i="3"/>
  <c r="J2465" i="3"/>
  <c r="I2465" i="3"/>
  <c r="H2465" i="3"/>
  <c r="G2465" i="3"/>
  <c r="F2465" i="3"/>
  <c r="E2465" i="3"/>
  <c r="D2465" i="3"/>
  <c r="C2465" i="3"/>
  <c r="B2465" i="3"/>
  <c r="A2465" i="3"/>
  <c r="O2464" i="3"/>
  <c r="N2464" i="3"/>
  <c r="M2464" i="3"/>
  <c r="L2464" i="3"/>
  <c r="K2464" i="3"/>
  <c r="J2464" i="3"/>
  <c r="I2464" i="3"/>
  <c r="H2464" i="3"/>
  <c r="G2464" i="3"/>
  <c r="F2464" i="3"/>
  <c r="E2464" i="3"/>
  <c r="D2464" i="3"/>
  <c r="C2464" i="3"/>
  <c r="B2464" i="3"/>
  <c r="A2464" i="3"/>
  <c r="O2463" i="3"/>
  <c r="N2463" i="3"/>
  <c r="M2463" i="3"/>
  <c r="L2463" i="3"/>
  <c r="K2463" i="3"/>
  <c r="J2463" i="3"/>
  <c r="I2463" i="3"/>
  <c r="H2463" i="3"/>
  <c r="G2463" i="3"/>
  <c r="F2463" i="3"/>
  <c r="E2463" i="3"/>
  <c r="D2463" i="3"/>
  <c r="C2463" i="3"/>
  <c r="B2463" i="3"/>
  <c r="A2463" i="3"/>
  <c r="O2462" i="3"/>
  <c r="N2462" i="3"/>
  <c r="M2462" i="3"/>
  <c r="L2462" i="3"/>
  <c r="K2462" i="3"/>
  <c r="J2462" i="3"/>
  <c r="I2462" i="3"/>
  <c r="H2462" i="3"/>
  <c r="G2462" i="3"/>
  <c r="F2462" i="3"/>
  <c r="E2462" i="3"/>
  <c r="D2462" i="3"/>
  <c r="C2462" i="3"/>
  <c r="B2462" i="3"/>
  <c r="A2462" i="3"/>
  <c r="O2461" i="3"/>
  <c r="N2461" i="3"/>
  <c r="M2461" i="3"/>
  <c r="L2461" i="3"/>
  <c r="K2461" i="3"/>
  <c r="J2461" i="3"/>
  <c r="I2461" i="3"/>
  <c r="H2461" i="3"/>
  <c r="G2461" i="3"/>
  <c r="F2461" i="3"/>
  <c r="E2461" i="3"/>
  <c r="D2461" i="3"/>
  <c r="C2461" i="3"/>
  <c r="B2461" i="3"/>
  <c r="A2461" i="3"/>
  <c r="O2460" i="3"/>
  <c r="N2460" i="3"/>
  <c r="M2460" i="3"/>
  <c r="L2460" i="3"/>
  <c r="K2460" i="3"/>
  <c r="J2460" i="3"/>
  <c r="I2460" i="3"/>
  <c r="H2460" i="3"/>
  <c r="G2460" i="3"/>
  <c r="F2460" i="3"/>
  <c r="E2460" i="3"/>
  <c r="D2460" i="3"/>
  <c r="C2460" i="3"/>
  <c r="B2460" i="3"/>
  <c r="A2460" i="3"/>
  <c r="O2459" i="3"/>
  <c r="N2459" i="3"/>
  <c r="M2459" i="3"/>
  <c r="L2459" i="3"/>
  <c r="K2459" i="3"/>
  <c r="J2459" i="3"/>
  <c r="I2459" i="3"/>
  <c r="H2459" i="3"/>
  <c r="G2459" i="3"/>
  <c r="F2459" i="3"/>
  <c r="E2459" i="3"/>
  <c r="D2459" i="3"/>
  <c r="C2459" i="3"/>
  <c r="B2459" i="3"/>
  <c r="A2459" i="3"/>
  <c r="O2458" i="3"/>
  <c r="N2458" i="3"/>
  <c r="M2458" i="3"/>
  <c r="L2458" i="3"/>
  <c r="K2458" i="3"/>
  <c r="J2458" i="3"/>
  <c r="I2458" i="3"/>
  <c r="H2458" i="3"/>
  <c r="G2458" i="3"/>
  <c r="F2458" i="3"/>
  <c r="E2458" i="3"/>
  <c r="D2458" i="3"/>
  <c r="C2458" i="3"/>
  <c r="B2458" i="3"/>
  <c r="A2458" i="3"/>
  <c r="O2457" i="3"/>
  <c r="N2457" i="3"/>
  <c r="M2457" i="3"/>
  <c r="L2457" i="3"/>
  <c r="K2457" i="3"/>
  <c r="J2457" i="3"/>
  <c r="I2457" i="3"/>
  <c r="H2457" i="3"/>
  <c r="G2457" i="3"/>
  <c r="F2457" i="3"/>
  <c r="E2457" i="3"/>
  <c r="D2457" i="3"/>
  <c r="C2457" i="3"/>
  <c r="B2457" i="3"/>
  <c r="A2457" i="3"/>
  <c r="O2456" i="3"/>
  <c r="N2456" i="3"/>
  <c r="M2456" i="3"/>
  <c r="L2456" i="3"/>
  <c r="K2456" i="3"/>
  <c r="J2456" i="3"/>
  <c r="I2456" i="3"/>
  <c r="H2456" i="3"/>
  <c r="G2456" i="3"/>
  <c r="F2456" i="3"/>
  <c r="E2456" i="3"/>
  <c r="D2456" i="3"/>
  <c r="C2456" i="3"/>
  <c r="B2456" i="3"/>
  <c r="A2456" i="3"/>
  <c r="O2455" i="3"/>
  <c r="N2455" i="3"/>
  <c r="M2455" i="3"/>
  <c r="L2455" i="3"/>
  <c r="K2455" i="3"/>
  <c r="J2455" i="3"/>
  <c r="I2455" i="3"/>
  <c r="H2455" i="3"/>
  <c r="G2455" i="3"/>
  <c r="F2455" i="3"/>
  <c r="E2455" i="3"/>
  <c r="D2455" i="3"/>
  <c r="C2455" i="3"/>
  <c r="B2455" i="3"/>
  <c r="A2455" i="3"/>
  <c r="O2454" i="3"/>
  <c r="N2454" i="3"/>
  <c r="M2454" i="3"/>
  <c r="L2454" i="3"/>
  <c r="K2454" i="3"/>
  <c r="J2454" i="3"/>
  <c r="I2454" i="3"/>
  <c r="H2454" i="3"/>
  <c r="G2454" i="3"/>
  <c r="F2454" i="3"/>
  <c r="E2454" i="3"/>
  <c r="D2454" i="3"/>
  <c r="C2454" i="3"/>
  <c r="B2454" i="3"/>
  <c r="A2454" i="3"/>
  <c r="O2453" i="3"/>
  <c r="N2453" i="3"/>
  <c r="M2453" i="3"/>
  <c r="L2453" i="3"/>
  <c r="K2453" i="3"/>
  <c r="J2453" i="3"/>
  <c r="I2453" i="3"/>
  <c r="H2453" i="3"/>
  <c r="G2453" i="3"/>
  <c r="F2453" i="3"/>
  <c r="E2453" i="3"/>
  <c r="D2453" i="3"/>
  <c r="C2453" i="3"/>
  <c r="B2453" i="3"/>
  <c r="A2453" i="3"/>
  <c r="O2452" i="3"/>
  <c r="N2452" i="3"/>
  <c r="M2452" i="3"/>
  <c r="L2452" i="3"/>
  <c r="K2452" i="3"/>
  <c r="J2452" i="3"/>
  <c r="I2452" i="3"/>
  <c r="H2452" i="3"/>
  <c r="G2452" i="3"/>
  <c r="F2452" i="3"/>
  <c r="E2452" i="3"/>
  <c r="D2452" i="3"/>
  <c r="C2452" i="3"/>
  <c r="B2452" i="3"/>
  <c r="A2452" i="3"/>
  <c r="O2451" i="3"/>
  <c r="N2451" i="3"/>
  <c r="M2451" i="3"/>
  <c r="L2451" i="3"/>
  <c r="K2451" i="3"/>
  <c r="J2451" i="3"/>
  <c r="I2451" i="3"/>
  <c r="H2451" i="3"/>
  <c r="G2451" i="3"/>
  <c r="F2451" i="3"/>
  <c r="E2451" i="3"/>
  <c r="D2451" i="3"/>
  <c r="C2451" i="3"/>
  <c r="B2451" i="3"/>
  <c r="A2451" i="3"/>
  <c r="O2450" i="3"/>
  <c r="N2450" i="3"/>
  <c r="M2450" i="3"/>
  <c r="L2450" i="3"/>
  <c r="K2450" i="3"/>
  <c r="J2450" i="3"/>
  <c r="I2450" i="3"/>
  <c r="H2450" i="3"/>
  <c r="G2450" i="3"/>
  <c r="F2450" i="3"/>
  <c r="E2450" i="3"/>
  <c r="D2450" i="3"/>
  <c r="C2450" i="3"/>
  <c r="B2450" i="3"/>
  <c r="A2450" i="3"/>
  <c r="O2449" i="3"/>
  <c r="N2449" i="3"/>
  <c r="M2449" i="3"/>
  <c r="L2449" i="3"/>
  <c r="K2449" i="3"/>
  <c r="J2449" i="3"/>
  <c r="I2449" i="3"/>
  <c r="H2449" i="3"/>
  <c r="G2449" i="3"/>
  <c r="F2449" i="3"/>
  <c r="E2449" i="3"/>
  <c r="D2449" i="3"/>
  <c r="C2449" i="3"/>
  <c r="B2449" i="3"/>
  <c r="A2449" i="3"/>
  <c r="O2448" i="3"/>
  <c r="N2448" i="3"/>
  <c r="M2448" i="3"/>
  <c r="L2448" i="3"/>
  <c r="K2448" i="3"/>
  <c r="J2448" i="3"/>
  <c r="I2448" i="3"/>
  <c r="H2448" i="3"/>
  <c r="G2448" i="3"/>
  <c r="F2448" i="3"/>
  <c r="E2448" i="3"/>
  <c r="D2448" i="3"/>
  <c r="C2448" i="3"/>
  <c r="B2448" i="3"/>
  <c r="A2448" i="3"/>
  <c r="O2447" i="3"/>
  <c r="N2447" i="3"/>
  <c r="M2447" i="3"/>
  <c r="L2447" i="3"/>
  <c r="K2447" i="3"/>
  <c r="J2447" i="3"/>
  <c r="I2447" i="3"/>
  <c r="H2447" i="3"/>
  <c r="G2447" i="3"/>
  <c r="F2447" i="3"/>
  <c r="E2447" i="3"/>
  <c r="D2447" i="3"/>
  <c r="C2447" i="3"/>
  <c r="B2447" i="3"/>
  <c r="A2447" i="3"/>
  <c r="O2446" i="3"/>
  <c r="N2446" i="3"/>
  <c r="M2446" i="3"/>
  <c r="L2446" i="3"/>
  <c r="K2446" i="3"/>
  <c r="J2446" i="3"/>
  <c r="I2446" i="3"/>
  <c r="H2446" i="3"/>
  <c r="G2446" i="3"/>
  <c r="F2446" i="3"/>
  <c r="E2446" i="3"/>
  <c r="D2446" i="3"/>
  <c r="C2446" i="3"/>
  <c r="B2446" i="3"/>
  <c r="A2446" i="3"/>
  <c r="O2445" i="3"/>
  <c r="N2445" i="3"/>
  <c r="M2445" i="3"/>
  <c r="L2445" i="3"/>
  <c r="K2445" i="3"/>
  <c r="J2445" i="3"/>
  <c r="I2445" i="3"/>
  <c r="H2445" i="3"/>
  <c r="G2445" i="3"/>
  <c r="F2445" i="3"/>
  <c r="E2445" i="3"/>
  <c r="D2445" i="3"/>
  <c r="C2445" i="3"/>
  <c r="B2445" i="3"/>
  <c r="A2445" i="3"/>
  <c r="O2444" i="3"/>
  <c r="N2444" i="3"/>
  <c r="M2444" i="3"/>
  <c r="L2444" i="3"/>
  <c r="K2444" i="3"/>
  <c r="J2444" i="3"/>
  <c r="I2444" i="3"/>
  <c r="H2444" i="3"/>
  <c r="G2444" i="3"/>
  <c r="F2444" i="3"/>
  <c r="E2444" i="3"/>
  <c r="D2444" i="3"/>
  <c r="C2444" i="3"/>
  <c r="B2444" i="3"/>
  <c r="A2444" i="3"/>
  <c r="O2443" i="3"/>
  <c r="N2443" i="3"/>
  <c r="M2443" i="3"/>
  <c r="L2443" i="3"/>
  <c r="K2443" i="3"/>
  <c r="J2443" i="3"/>
  <c r="I2443" i="3"/>
  <c r="H2443" i="3"/>
  <c r="G2443" i="3"/>
  <c r="F2443" i="3"/>
  <c r="E2443" i="3"/>
  <c r="D2443" i="3"/>
  <c r="C2443" i="3"/>
  <c r="B2443" i="3"/>
  <c r="A2443" i="3"/>
  <c r="O2442" i="3"/>
  <c r="N2442" i="3"/>
  <c r="M2442" i="3"/>
  <c r="L2442" i="3"/>
  <c r="K2442" i="3"/>
  <c r="J2442" i="3"/>
  <c r="I2442" i="3"/>
  <c r="H2442" i="3"/>
  <c r="G2442" i="3"/>
  <c r="F2442" i="3"/>
  <c r="E2442" i="3"/>
  <c r="D2442" i="3"/>
  <c r="C2442" i="3"/>
  <c r="B2442" i="3"/>
  <c r="A2442" i="3"/>
  <c r="O2441" i="3"/>
  <c r="N2441" i="3"/>
  <c r="M2441" i="3"/>
  <c r="L2441" i="3"/>
  <c r="K2441" i="3"/>
  <c r="J2441" i="3"/>
  <c r="I2441" i="3"/>
  <c r="H2441" i="3"/>
  <c r="G2441" i="3"/>
  <c r="F2441" i="3"/>
  <c r="E2441" i="3"/>
  <c r="D2441" i="3"/>
  <c r="C2441" i="3"/>
  <c r="B2441" i="3"/>
  <c r="A2441" i="3"/>
  <c r="O2440" i="3"/>
  <c r="N2440" i="3"/>
  <c r="M2440" i="3"/>
  <c r="L2440" i="3"/>
  <c r="K2440" i="3"/>
  <c r="J2440" i="3"/>
  <c r="I2440" i="3"/>
  <c r="H2440" i="3"/>
  <c r="G2440" i="3"/>
  <c r="F2440" i="3"/>
  <c r="E2440" i="3"/>
  <c r="D2440" i="3"/>
  <c r="C2440" i="3"/>
  <c r="B2440" i="3"/>
  <c r="A2440" i="3"/>
  <c r="O2439" i="3"/>
  <c r="N2439" i="3"/>
  <c r="M2439" i="3"/>
  <c r="L2439" i="3"/>
  <c r="K2439" i="3"/>
  <c r="J2439" i="3"/>
  <c r="I2439" i="3"/>
  <c r="H2439" i="3"/>
  <c r="G2439" i="3"/>
  <c r="F2439" i="3"/>
  <c r="E2439" i="3"/>
  <c r="D2439" i="3"/>
  <c r="C2439" i="3"/>
  <c r="B2439" i="3"/>
  <c r="A2439" i="3"/>
  <c r="O2438" i="3"/>
  <c r="N2438" i="3"/>
  <c r="M2438" i="3"/>
  <c r="L2438" i="3"/>
  <c r="K2438" i="3"/>
  <c r="J2438" i="3"/>
  <c r="I2438" i="3"/>
  <c r="H2438" i="3"/>
  <c r="G2438" i="3"/>
  <c r="F2438" i="3"/>
  <c r="E2438" i="3"/>
  <c r="D2438" i="3"/>
  <c r="C2438" i="3"/>
  <c r="B2438" i="3"/>
  <c r="A2438" i="3"/>
  <c r="O2437" i="3"/>
  <c r="N2437" i="3"/>
  <c r="M2437" i="3"/>
  <c r="L2437" i="3"/>
  <c r="K2437" i="3"/>
  <c r="J2437" i="3"/>
  <c r="I2437" i="3"/>
  <c r="H2437" i="3"/>
  <c r="G2437" i="3"/>
  <c r="F2437" i="3"/>
  <c r="E2437" i="3"/>
  <c r="D2437" i="3"/>
  <c r="C2437" i="3"/>
  <c r="B2437" i="3"/>
  <c r="A2437" i="3"/>
  <c r="O2436" i="3"/>
  <c r="N2436" i="3"/>
  <c r="M2436" i="3"/>
  <c r="L2436" i="3"/>
  <c r="K2436" i="3"/>
  <c r="J2436" i="3"/>
  <c r="I2436" i="3"/>
  <c r="H2436" i="3"/>
  <c r="G2436" i="3"/>
  <c r="F2436" i="3"/>
  <c r="E2436" i="3"/>
  <c r="D2436" i="3"/>
  <c r="C2436" i="3"/>
  <c r="B2436" i="3"/>
  <c r="A2436" i="3"/>
  <c r="O2435" i="3"/>
  <c r="N2435" i="3"/>
  <c r="M2435" i="3"/>
  <c r="L2435" i="3"/>
  <c r="K2435" i="3"/>
  <c r="J2435" i="3"/>
  <c r="I2435" i="3"/>
  <c r="H2435" i="3"/>
  <c r="G2435" i="3"/>
  <c r="F2435" i="3"/>
  <c r="E2435" i="3"/>
  <c r="D2435" i="3"/>
  <c r="C2435" i="3"/>
  <c r="B2435" i="3"/>
  <c r="A2435" i="3"/>
  <c r="O2434" i="3"/>
  <c r="N2434" i="3"/>
  <c r="M2434" i="3"/>
  <c r="L2434" i="3"/>
  <c r="K2434" i="3"/>
  <c r="J2434" i="3"/>
  <c r="I2434" i="3"/>
  <c r="H2434" i="3"/>
  <c r="G2434" i="3"/>
  <c r="F2434" i="3"/>
  <c r="E2434" i="3"/>
  <c r="D2434" i="3"/>
  <c r="C2434" i="3"/>
  <c r="B2434" i="3"/>
  <c r="A2434" i="3"/>
  <c r="O2433" i="3"/>
  <c r="N2433" i="3"/>
  <c r="M2433" i="3"/>
  <c r="L2433" i="3"/>
  <c r="K2433" i="3"/>
  <c r="J2433" i="3"/>
  <c r="I2433" i="3"/>
  <c r="H2433" i="3"/>
  <c r="G2433" i="3"/>
  <c r="F2433" i="3"/>
  <c r="E2433" i="3"/>
  <c r="D2433" i="3"/>
  <c r="C2433" i="3"/>
  <c r="B2433" i="3"/>
  <c r="A2433" i="3"/>
  <c r="O2432" i="3"/>
  <c r="N2432" i="3"/>
  <c r="M2432" i="3"/>
  <c r="L2432" i="3"/>
  <c r="K2432" i="3"/>
  <c r="J2432" i="3"/>
  <c r="I2432" i="3"/>
  <c r="H2432" i="3"/>
  <c r="G2432" i="3"/>
  <c r="F2432" i="3"/>
  <c r="E2432" i="3"/>
  <c r="D2432" i="3"/>
  <c r="C2432" i="3"/>
  <c r="B2432" i="3"/>
  <c r="A2432" i="3"/>
  <c r="O2431" i="3"/>
  <c r="N2431" i="3"/>
  <c r="M2431" i="3"/>
  <c r="L2431" i="3"/>
  <c r="K2431" i="3"/>
  <c r="J2431" i="3"/>
  <c r="I2431" i="3"/>
  <c r="H2431" i="3"/>
  <c r="G2431" i="3"/>
  <c r="F2431" i="3"/>
  <c r="E2431" i="3"/>
  <c r="D2431" i="3"/>
  <c r="C2431" i="3"/>
  <c r="B2431" i="3"/>
  <c r="A2431" i="3"/>
  <c r="O2430" i="3"/>
  <c r="N2430" i="3"/>
  <c r="M2430" i="3"/>
  <c r="L2430" i="3"/>
  <c r="K2430" i="3"/>
  <c r="J2430" i="3"/>
  <c r="I2430" i="3"/>
  <c r="H2430" i="3"/>
  <c r="G2430" i="3"/>
  <c r="F2430" i="3"/>
  <c r="E2430" i="3"/>
  <c r="D2430" i="3"/>
  <c r="C2430" i="3"/>
  <c r="B2430" i="3"/>
  <c r="A2430" i="3"/>
  <c r="O2429" i="3"/>
  <c r="N2429" i="3"/>
  <c r="M2429" i="3"/>
  <c r="L2429" i="3"/>
  <c r="K2429" i="3"/>
  <c r="J2429" i="3"/>
  <c r="I2429" i="3"/>
  <c r="H2429" i="3"/>
  <c r="G2429" i="3"/>
  <c r="F2429" i="3"/>
  <c r="E2429" i="3"/>
  <c r="D2429" i="3"/>
  <c r="C2429" i="3"/>
  <c r="B2429" i="3"/>
  <c r="A2429" i="3"/>
  <c r="O2428" i="3"/>
  <c r="N2428" i="3"/>
  <c r="M2428" i="3"/>
  <c r="L2428" i="3"/>
  <c r="K2428" i="3"/>
  <c r="J2428" i="3"/>
  <c r="I2428" i="3"/>
  <c r="H2428" i="3"/>
  <c r="G2428" i="3"/>
  <c r="F2428" i="3"/>
  <c r="E2428" i="3"/>
  <c r="D2428" i="3"/>
  <c r="C2428" i="3"/>
  <c r="B2428" i="3"/>
  <c r="A2428" i="3"/>
  <c r="O2427" i="3"/>
  <c r="N2427" i="3"/>
  <c r="M2427" i="3"/>
  <c r="L2427" i="3"/>
  <c r="K2427" i="3"/>
  <c r="J2427" i="3"/>
  <c r="I2427" i="3"/>
  <c r="H2427" i="3"/>
  <c r="G2427" i="3"/>
  <c r="F2427" i="3"/>
  <c r="E2427" i="3"/>
  <c r="D2427" i="3"/>
  <c r="C2427" i="3"/>
  <c r="B2427" i="3"/>
  <c r="A2427" i="3"/>
  <c r="O2426" i="3"/>
  <c r="N2426" i="3"/>
  <c r="M2426" i="3"/>
  <c r="L2426" i="3"/>
  <c r="K2426" i="3"/>
  <c r="J2426" i="3"/>
  <c r="I2426" i="3"/>
  <c r="H2426" i="3"/>
  <c r="G2426" i="3"/>
  <c r="F2426" i="3"/>
  <c r="E2426" i="3"/>
  <c r="D2426" i="3"/>
  <c r="C2426" i="3"/>
  <c r="B2426" i="3"/>
  <c r="A2426" i="3"/>
  <c r="O2425" i="3"/>
  <c r="N2425" i="3"/>
  <c r="M2425" i="3"/>
  <c r="L2425" i="3"/>
  <c r="K2425" i="3"/>
  <c r="J2425" i="3"/>
  <c r="I2425" i="3"/>
  <c r="H2425" i="3"/>
  <c r="G2425" i="3"/>
  <c r="F2425" i="3"/>
  <c r="E2425" i="3"/>
  <c r="D2425" i="3"/>
  <c r="C2425" i="3"/>
  <c r="B2425" i="3"/>
  <c r="A2425" i="3"/>
  <c r="O2424" i="3"/>
  <c r="N2424" i="3"/>
  <c r="M2424" i="3"/>
  <c r="L2424" i="3"/>
  <c r="K2424" i="3"/>
  <c r="J2424" i="3"/>
  <c r="I2424" i="3"/>
  <c r="H2424" i="3"/>
  <c r="G2424" i="3"/>
  <c r="F2424" i="3"/>
  <c r="E2424" i="3"/>
  <c r="D2424" i="3"/>
  <c r="C2424" i="3"/>
  <c r="B2424" i="3"/>
  <c r="A2424" i="3"/>
  <c r="O2423" i="3"/>
  <c r="N2423" i="3"/>
  <c r="M2423" i="3"/>
  <c r="L2423" i="3"/>
  <c r="K2423" i="3"/>
  <c r="J2423" i="3"/>
  <c r="I2423" i="3"/>
  <c r="H2423" i="3"/>
  <c r="G2423" i="3"/>
  <c r="F2423" i="3"/>
  <c r="E2423" i="3"/>
  <c r="D2423" i="3"/>
  <c r="C2423" i="3"/>
  <c r="B2423" i="3"/>
  <c r="A2423" i="3"/>
  <c r="O2422" i="3"/>
  <c r="N2422" i="3"/>
  <c r="M2422" i="3"/>
  <c r="L2422" i="3"/>
  <c r="K2422" i="3"/>
  <c r="J2422" i="3"/>
  <c r="I2422" i="3"/>
  <c r="H2422" i="3"/>
  <c r="G2422" i="3"/>
  <c r="F2422" i="3"/>
  <c r="E2422" i="3"/>
  <c r="D2422" i="3"/>
  <c r="C2422" i="3"/>
  <c r="B2422" i="3"/>
  <c r="A2422" i="3"/>
  <c r="O2421" i="3"/>
  <c r="N2421" i="3"/>
  <c r="M2421" i="3"/>
  <c r="L2421" i="3"/>
  <c r="K2421" i="3"/>
  <c r="J2421" i="3"/>
  <c r="I2421" i="3"/>
  <c r="H2421" i="3"/>
  <c r="G2421" i="3"/>
  <c r="F2421" i="3"/>
  <c r="E2421" i="3"/>
  <c r="D2421" i="3"/>
  <c r="C2421" i="3"/>
  <c r="B2421" i="3"/>
  <c r="A2421" i="3"/>
  <c r="O2420" i="3"/>
  <c r="N2420" i="3"/>
  <c r="M2420" i="3"/>
  <c r="L2420" i="3"/>
  <c r="K2420" i="3"/>
  <c r="J2420" i="3"/>
  <c r="I2420" i="3"/>
  <c r="H2420" i="3"/>
  <c r="G2420" i="3"/>
  <c r="F2420" i="3"/>
  <c r="E2420" i="3"/>
  <c r="D2420" i="3"/>
  <c r="C2420" i="3"/>
  <c r="B2420" i="3"/>
  <c r="A2420" i="3"/>
  <c r="O2419" i="3"/>
  <c r="N2419" i="3"/>
  <c r="M2419" i="3"/>
  <c r="L2419" i="3"/>
  <c r="K2419" i="3"/>
  <c r="J2419" i="3"/>
  <c r="I2419" i="3"/>
  <c r="H2419" i="3"/>
  <c r="G2419" i="3"/>
  <c r="F2419" i="3"/>
  <c r="E2419" i="3"/>
  <c r="D2419" i="3"/>
  <c r="C2419" i="3"/>
  <c r="B2419" i="3"/>
  <c r="A2419" i="3"/>
  <c r="O2418" i="3"/>
  <c r="N2418" i="3"/>
  <c r="M2418" i="3"/>
  <c r="L2418" i="3"/>
  <c r="K2418" i="3"/>
  <c r="J2418" i="3"/>
  <c r="I2418" i="3"/>
  <c r="H2418" i="3"/>
  <c r="G2418" i="3"/>
  <c r="F2418" i="3"/>
  <c r="E2418" i="3"/>
  <c r="D2418" i="3"/>
  <c r="C2418" i="3"/>
  <c r="B2418" i="3"/>
  <c r="A2418" i="3"/>
  <c r="O2417" i="3"/>
  <c r="N2417" i="3"/>
  <c r="M2417" i="3"/>
  <c r="L2417" i="3"/>
  <c r="K2417" i="3"/>
  <c r="J2417" i="3"/>
  <c r="I2417" i="3"/>
  <c r="H2417" i="3"/>
  <c r="G2417" i="3"/>
  <c r="F2417" i="3"/>
  <c r="E2417" i="3"/>
  <c r="D2417" i="3"/>
  <c r="C2417" i="3"/>
  <c r="B2417" i="3"/>
  <c r="A2417" i="3"/>
  <c r="O2416" i="3"/>
  <c r="N2416" i="3"/>
  <c r="M2416" i="3"/>
  <c r="L2416" i="3"/>
  <c r="K2416" i="3"/>
  <c r="J2416" i="3"/>
  <c r="I2416" i="3"/>
  <c r="H2416" i="3"/>
  <c r="G2416" i="3"/>
  <c r="F2416" i="3"/>
  <c r="E2416" i="3"/>
  <c r="D2416" i="3"/>
  <c r="C2416" i="3"/>
  <c r="B2416" i="3"/>
  <c r="A2416" i="3"/>
  <c r="O2415" i="3"/>
  <c r="N2415" i="3"/>
  <c r="M2415" i="3"/>
  <c r="L2415" i="3"/>
  <c r="K2415" i="3"/>
  <c r="J2415" i="3"/>
  <c r="I2415" i="3"/>
  <c r="H2415" i="3"/>
  <c r="G2415" i="3"/>
  <c r="F2415" i="3"/>
  <c r="E2415" i="3"/>
  <c r="D2415" i="3"/>
  <c r="C2415" i="3"/>
  <c r="B2415" i="3"/>
  <c r="A2415" i="3"/>
  <c r="O2414" i="3"/>
  <c r="N2414" i="3"/>
  <c r="M2414" i="3"/>
  <c r="L2414" i="3"/>
  <c r="K2414" i="3"/>
  <c r="J2414" i="3"/>
  <c r="I2414" i="3"/>
  <c r="H2414" i="3"/>
  <c r="G2414" i="3"/>
  <c r="F2414" i="3"/>
  <c r="E2414" i="3"/>
  <c r="D2414" i="3"/>
  <c r="C2414" i="3"/>
  <c r="B2414" i="3"/>
  <c r="A2414" i="3"/>
  <c r="O2413" i="3"/>
  <c r="N2413" i="3"/>
  <c r="M2413" i="3"/>
  <c r="L2413" i="3"/>
  <c r="K2413" i="3"/>
  <c r="J2413" i="3"/>
  <c r="I2413" i="3"/>
  <c r="H2413" i="3"/>
  <c r="G2413" i="3"/>
  <c r="F2413" i="3"/>
  <c r="E2413" i="3"/>
  <c r="D2413" i="3"/>
  <c r="C2413" i="3"/>
  <c r="B2413" i="3"/>
  <c r="A2413" i="3"/>
  <c r="O2412" i="3"/>
  <c r="N2412" i="3"/>
  <c r="M2412" i="3"/>
  <c r="L2412" i="3"/>
  <c r="K2412" i="3"/>
  <c r="J2412" i="3"/>
  <c r="I2412" i="3"/>
  <c r="H2412" i="3"/>
  <c r="G2412" i="3"/>
  <c r="F2412" i="3"/>
  <c r="E2412" i="3"/>
  <c r="D2412" i="3"/>
  <c r="C2412" i="3"/>
  <c r="B2412" i="3"/>
  <c r="A2412" i="3"/>
  <c r="O2411" i="3"/>
  <c r="N2411" i="3"/>
  <c r="M2411" i="3"/>
  <c r="L2411" i="3"/>
  <c r="K2411" i="3"/>
  <c r="J2411" i="3"/>
  <c r="I2411" i="3"/>
  <c r="H2411" i="3"/>
  <c r="G2411" i="3"/>
  <c r="F2411" i="3"/>
  <c r="E2411" i="3"/>
  <c r="D2411" i="3"/>
  <c r="C2411" i="3"/>
  <c r="B2411" i="3"/>
  <c r="A2411" i="3"/>
  <c r="O2410" i="3"/>
  <c r="N2410" i="3"/>
  <c r="M2410" i="3"/>
  <c r="L2410" i="3"/>
  <c r="K2410" i="3"/>
  <c r="J2410" i="3"/>
  <c r="I2410" i="3"/>
  <c r="H2410" i="3"/>
  <c r="G2410" i="3"/>
  <c r="F2410" i="3"/>
  <c r="E2410" i="3"/>
  <c r="D2410" i="3"/>
  <c r="C2410" i="3"/>
  <c r="B2410" i="3"/>
  <c r="A2410" i="3"/>
  <c r="O2409" i="3"/>
  <c r="N2409" i="3"/>
  <c r="M2409" i="3"/>
  <c r="L2409" i="3"/>
  <c r="K2409" i="3"/>
  <c r="J2409" i="3"/>
  <c r="I2409" i="3"/>
  <c r="H2409" i="3"/>
  <c r="G2409" i="3"/>
  <c r="F2409" i="3"/>
  <c r="E2409" i="3"/>
  <c r="D2409" i="3"/>
  <c r="C2409" i="3"/>
  <c r="B2409" i="3"/>
  <c r="A2409" i="3"/>
  <c r="O2408" i="3"/>
  <c r="N2408" i="3"/>
  <c r="M2408" i="3"/>
  <c r="L2408" i="3"/>
  <c r="K2408" i="3"/>
  <c r="J2408" i="3"/>
  <c r="I2408" i="3"/>
  <c r="H2408" i="3"/>
  <c r="G2408" i="3"/>
  <c r="F2408" i="3"/>
  <c r="E2408" i="3"/>
  <c r="D2408" i="3"/>
  <c r="C2408" i="3"/>
  <c r="B2408" i="3"/>
  <c r="A2408" i="3"/>
  <c r="O2407" i="3"/>
  <c r="N2407" i="3"/>
  <c r="M2407" i="3"/>
  <c r="L2407" i="3"/>
  <c r="K2407" i="3"/>
  <c r="J2407" i="3"/>
  <c r="I2407" i="3"/>
  <c r="H2407" i="3"/>
  <c r="G2407" i="3"/>
  <c r="F2407" i="3"/>
  <c r="E2407" i="3"/>
  <c r="D2407" i="3"/>
  <c r="C2407" i="3"/>
  <c r="B2407" i="3"/>
  <c r="A2407" i="3"/>
  <c r="O2406" i="3"/>
  <c r="N2406" i="3"/>
  <c r="M2406" i="3"/>
  <c r="L2406" i="3"/>
  <c r="K2406" i="3"/>
  <c r="J2406" i="3"/>
  <c r="I2406" i="3"/>
  <c r="H2406" i="3"/>
  <c r="G2406" i="3"/>
  <c r="F2406" i="3"/>
  <c r="E2406" i="3"/>
  <c r="D2406" i="3"/>
  <c r="C2406" i="3"/>
  <c r="B2406" i="3"/>
  <c r="A2406" i="3"/>
  <c r="O2405" i="3"/>
  <c r="N2405" i="3"/>
  <c r="M2405" i="3"/>
  <c r="L2405" i="3"/>
  <c r="K2405" i="3"/>
  <c r="J2405" i="3"/>
  <c r="I2405" i="3"/>
  <c r="H2405" i="3"/>
  <c r="G2405" i="3"/>
  <c r="F2405" i="3"/>
  <c r="E2405" i="3"/>
  <c r="D2405" i="3"/>
  <c r="C2405" i="3"/>
  <c r="B2405" i="3"/>
  <c r="A2405" i="3"/>
  <c r="O2404" i="3"/>
  <c r="N2404" i="3"/>
  <c r="M2404" i="3"/>
  <c r="L2404" i="3"/>
  <c r="K2404" i="3"/>
  <c r="J2404" i="3"/>
  <c r="I2404" i="3"/>
  <c r="H2404" i="3"/>
  <c r="G2404" i="3"/>
  <c r="F2404" i="3"/>
  <c r="E2404" i="3"/>
  <c r="D2404" i="3"/>
  <c r="C2404" i="3"/>
  <c r="B2404" i="3"/>
  <c r="A2404" i="3"/>
  <c r="O2403" i="3"/>
  <c r="N2403" i="3"/>
  <c r="M2403" i="3"/>
  <c r="L2403" i="3"/>
  <c r="K2403" i="3"/>
  <c r="J2403" i="3"/>
  <c r="I2403" i="3"/>
  <c r="H2403" i="3"/>
  <c r="G2403" i="3"/>
  <c r="F2403" i="3"/>
  <c r="E2403" i="3"/>
  <c r="D2403" i="3"/>
  <c r="C2403" i="3"/>
  <c r="B2403" i="3"/>
  <c r="A2403" i="3"/>
  <c r="O2402" i="3"/>
  <c r="N2402" i="3"/>
  <c r="M2402" i="3"/>
  <c r="L2402" i="3"/>
  <c r="K2402" i="3"/>
  <c r="J2402" i="3"/>
  <c r="I2402" i="3"/>
  <c r="H2402" i="3"/>
  <c r="G2402" i="3"/>
  <c r="F2402" i="3"/>
  <c r="E2402" i="3"/>
  <c r="D2402" i="3"/>
  <c r="C2402" i="3"/>
  <c r="B2402" i="3"/>
  <c r="A2402" i="3"/>
  <c r="O2401" i="3"/>
  <c r="N2401" i="3"/>
  <c r="M2401" i="3"/>
  <c r="L2401" i="3"/>
  <c r="K2401" i="3"/>
  <c r="J2401" i="3"/>
  <c r="I2401" i="3"/>
  <c r="H2401" i="3"/>
  <c r="G2401" i="3"/>
  <c r="F2401" i="3"/>
  <c r="E2401" i="3"/>
  <c r="D2401" i="3"/>
  <c r="C2401" i="3"/>
  <c r="B2401" i="3"/>
  <c r="A2401" i="3"/>
  <c r="O2400" i="3"/>
  <c r="N2400" i="3"/>
  <c r="M2400" i="3"/>
  <c r="L2400" i="3"/>
  <c r="K2400" i="3"/>
  <c r="J2400" i="3"/>
  <c r="I2400" i="3"/>
  <c r="H2400" i="3"/>
  <c r="G2400" i="3"/>
  <c r="F2400" i="3"/>
  <c r="E2400" i="3"/>
  <c r="D2400" i="3"/>
  <c r="C2400" i="3"/>
  <c r="B2400" i="3"/>
  <c r="A2400" i="3"/>
  <c r="O2399" i="3"/>
  <c r="N2399" i="3"/>
  <c r="M2399" i="3"/>
  <c r="L2399" i="3"/>
  <c r="K2399" i="3"/>
  <c r="J2399" i="3"/>
  <c r="I2399" i="3"/>
  <c r="H2399" i="3"/>
  <c r="G2399" i="3"/>
  <c r="F2399" i="3"/>
  <c r="E2399" i="3"/>
  <c r="D2399" i="3"/>
  <c r="C2399" i="3"/>
  <c r="B2399" i="3"/>
  <c r="A2399" i="3"/>
  <c r="O2398" i="3"/>
  <c r="N2398" i="3"/>
  <c r="M2398" i="3"/>
  <c r="L2398" i="3"/>
  <c r="K2398" i="3"/>
  <c r="J2398" i="3"/>
  <c r="I2398" i="3"/>
  <c r="H2398" i="3"/>
  <c r="G2398" i="3"/>
  <c r="F2398" i="3"/>
  <c r="E2398" i="3"/>
  <c r="D2398" i="3"/>
  <c r="C2398" i="3"/>
  <c r="B2398" i="3"/>
  <c r="A2398" i="3"/>
  <c r="O2397" i="3"/>
  <c r="N2397" i="3"/>
  <c r="M2397" i="3"/>
  <c r="L2397" i="3"/>
  <c r="K2397" i="3"/>
  <c r="J2397" i="3"/>
  <c r="I2397" i="3"/>
  <c r="H2397" i="3"/>
  <c r="G2397" i="3"/>
  <c r="F2397" i="3"/>
  <c r="E2397" i="3"/>
  <c r="D2397" i="3"/>
  <c r="C2397" i="3"/>
  <c r="B2397" i="3"/>
  <c r="A2397" i="3"/>
  <c r="O2396" i="3"/>
  <c r="N2396" i="3"/>
  <c r="M2396" i="3"/>
  <c r="L2396" i="3"/>
  <c r="K2396" i="3"/>
  <c r="J2396" i="3"/>
  <c r="I2396" i="3"/>
  <c r="H2396" i="3"/>
  <c r="G2396" i="3"/>
  <c r="F2396" i="3"/>
  <c r="E2396" i="3"/>
  <c r="D2396" i="3"/>
  <c r="C2396" i="3"/>
  <c r="B2396" i="3"/>
  <c r="A2396" i="3"/>
  <c r="O2395" i="3"/>
  <c r="N2395" i="3"/>
  <c r="M2395" i="3"/>
  <c r="L2395" i="3"/>
  <c r="K2395" i="3"/>
  <c r="J2395" i="3"/>
  <c r="I2395" i="3"/>
  <c r="H2395" i="3"/>
  <c r="G2395" i="3"/>
  <c r="F2395" i="3"/>
  <c r="E2395" i="3"/>
  <c r="D2395" i="3"/>
  <c r="C2395" i="3"/>
  <c r="B2395" i="3"/>
  <c r="A2395" i="3"/>
  <c r="O2394" i="3"/>
  <c r="N2394" i="3"/>
  <c r="M2394" i="3"/>
  <c r="L2394" i="3"/>
  <c r="K2394" i="3"/>
  <c r="J2394" i="3"/>
  <c r="I2394" i="3"/>
  <c r="H2394" i="3"/>
  <c r="G2394" i="3"/>
  <c r="F2394" i="3"/>
  <c r="E2394" i="3"/>
  <c r="D2394" i="3"/>
  <c r="C2394" i="3"/>
  <c r="B2394" i="3"/>
  <c r="A2394" i="3"/>
  <c r="O2393" i="3"/>
  <c r="N2393" i="3"/>
  <c r="M2393" i="3"/>
  <c r="L2393" i="3"/>
  <c r="K2393" i="3"/>
  <c r="J2393" i="3"/>
  <c r="I2393" i="3"/>
  <c r="H2393" i="3"/>
  <c r="G2393" i="3"/>
  <c r="F2393" i="3"/>
  <c r="E2393" i="3"/>
  <c r="D2393" i="3"/>
  <c r="C2393" i="3"/>
  <c r="B2393" i="3"/>
  <c r="A2393" i="3"/>
  <c r="O2392" i="3"/>
  <c r="N2392" i="3"/>
  <c r="M2392" i="3"/>
  <c r="L2392" i="3"/>
  <c r="K2392" i="3"/>
  <c r="J2392" i="3"/>
  <c r="I2392" i="3"/>
  <c r="H2392" i="3"/>
  <c r="G2392" i="3"/>
  <c r="F2392" i="3"/>
  <c r="E2392" i="3"/>
  <c r="D2392" i="3"/>
  <c r="C2392" i="3"/>
  <c r="B2392" i="3"/>
  <c r="A2392" i="3"/>
  <c r="O2391" i="3"/>
  <c r="N2391" i="3"/>
  <c r="M2391" i="3"/>
  <c r="L2391" i="3"/>
  <c r="K2391" i="3"/>
  <c r="J2391" i="3"/>
  <c r="I2391" i="3"/>
  <c r="H2391" i="3"/>
  <c r="G2391" i="3"/>
  <c r="F2391" i="3"/>
  <c r="E2391" i="3"/>
  <c r="D2391" i="3"/>
  <c r="C2391" i="3"/>
  <c r="B2391" i="3"/>
  <c r="A2391" i="3"/>
  <c r="O2390" i="3"/>
  <c r="N2390" i="3"/>
  <c r="M2390" i="3"/>
  <c r="L2390" i="3"/>
  <c r="K2390" i="3"/>
  <c r="J2390" i="3"/>
  <c r="I2390" i="3"/>
  <c r="H2390" i="3"/>
  <c r="G2390" i="3"/>
  <c r="F2390" i="3"/>
  <c r="E2390" i="3"/>
  <c r="D2390" i="3"/>
  <c r="C2390" i="3"/>
  <c r="B2390" i="3"/>
  <c r="A2390" i="3"/>
  <c r="O2389" i="3"/>
  <c r="N2389" i="3"/>
  <c r="M2389" i="3"/>
  <c r="L2389" i="3"/>
  <c r="K2389" i="3"/>
  <c r="J2389" i="3"/>
  <c r="I2389" i="3"/>
  <c r="H2389" i="3"/>
  <c r="G2389" i="3"/>
  <c r="F2389" i="3"/>
  <c r="E2389" i="3"/>
  <c r="D2389" i="3"/>
  <c r="C2389" i="3"/>
  <c r="B2389" i="3"/>
  <c r="A2389" i="3"/>
  <c r="O2388" i="3"/>
  <c r="N2388" i="3"/>
  <c r="M2388" i="3"/>
  <c r="L2388" i="3"/>
  <c r="K2388" i="3"/>
  <c r="J2388" i="3"/>
  <c r="I2388" i="3"/>
  <c r="H2388" i="3"/>
  <c r="G2388" i="3"/>
  <c r="F2388" i="3"/>
  <c r="E2388" i="3"/>
  <c r="D2388" i="3"/>
  <c r="C2388" i="3"/>
  <c r="B2388" i="3"/>
  <c r="A2388" i="3"/>
  <c r="O2387" i="3"/>
  <c r="N2387" i="3"/>
  <c r="M2387" i="3"/>
  <c r="L2387" i="3"/>
  <c r="K2387" i="3"/>
  <c r="J2387" i="3"/>
  <c r="I2387" i="3"/>
  <c r="H2387" i="3"/>
  <c r="G2387" i="3"/>
  <c r="F2387" i="3"/>
  <c r="E2387" i="3"/>
  <c r="D2387" i="3"/>
  <c r="C2387" i="3"/>
  <c r="B2387" i="3"/>
  <c r="A2387" i="3"/>
  <c r="O2386" i="3"/>
  <c r="N2386" i="3"/>
  <c r="M2386" i="3"/>
  <c r="L2386" i="3"/>
  <c r="K2386" i="3"/>
  <c r="J2386" i="3"/>
  <c r="I2386" i="3"/>
  <c r="H2386" i="3"/>
  <c r="G2386" i="3"/>
  <c r="F2386" i="3"/>
  <c r="E2386" i="3"/>
  <c r="D2386" i="3"/>
  <c r="C2386" i="3"/>
  <c r="B2386" i="3"/>
  <c r="A2386" i="3"/>
  <c r="O2385" i="3"/>
  <c r="N2385" i="3"/>
  <c r="M2385" i="3"/>
  <c r="L2385" i="3"/>
  <c r="K2385" i="3"/>
  <c r="J2385" i="3"/>
  <c r="I2385" i="3"/>
  <c r="H2385" i="3"/>
  <c r="G2385" i="3"/>
  <c r="F2385" i="3"/>
  <c r="E2385" i="3"/>
  <c r="D2385" i="3"/>
  <c r="C2385" i="3"/>
  <c r="B2385" i="3"/>
  <c r="A2385" i="3"/>
  <c r="O2384" i="3"/>
  <c r="N2384" i="3"/>
  <c r="M2384" i="3"/>
  <c r="L2384" i="3"/>
  <c r="K2384" i="3"/>
  <c r="J2384" i="3"/>
  <c r="I2384" i="3"/>
  <c r="H2384" i="3"/>
  <c r="G2384" i="3"/>
  <c r="F2384" i="3"/>
  <c r="E2384" i="3"/>
  <c r="D2384" i="3"/>
  <c r="C2384" i="3"/>
  <c r="B2384" i="3"/>
  <c r="A2384" i="3"/>
  <c r="O2383" i="3"/>
  <c r="N2383" i="3"/>
  <c r="M2383" i="3"/>
  <c r="L2383" i="3"/>
  <c r="K2383" i="3"/>
  <c r="J2383" i="3"/>
  <c r="I2383" i="3"/>
  <c r="H2383" i="3"/>
  <c r="G2383" i="3"/>
  <c r="F2383" i="3"/>
  <c r="E2383" i="3"/>
  <c r="D2383" i="3"/>
  <c r="C2383" i="3"/>
  <c r="B2383" i="3"/>
  <c r="A2383" i="3"/>
  <c r="O2382" i="3"/>
  <c r="N2382" i="3"/>
  <c r="M2382" i="3"/>
  <c r="L2382" i="3"/>
  <c r="K2382" i="3"/>
  <c r="J2382" i="3"/>
  <c r="I2382" i="3"/>
  <c r="H2382" i="3"/>
  <c r="G2382" i="3"/>
  <c r="F2382" i="3"/>
  <c r="E2382" i="3"/>
  <c r="D2382" i="3"/>
  <c r="C2382" i="3"/>
  <c r="B2382" i="3"/>
  <c r="A2382" i="3"/>
  <c r="O2381" i="3"/>
  <c r="N2381" i="3"/>
  <c r="M2381" i="3"/>
  <c r="L2381" i="3"/>
  <c r="K2381" i="3"/>
  <c r="J2381" i="3"/>
  <c r="I2381" i="3"/>
  <c r="H2381" i="3"/>
  <c r="G2381" i="3"/>
  <c r="F2381" i="3"/>
  <c r="E2381" i="3"/>
  <c r="D2381" i="3"/>
  <c r="C2381" i="3"/>
  <c r="B2381" i="3"/>
  <c r="A2381" i="3"/>
  <c r="O2380" i="3"/>
  <c r="N2380" i="3"/>
  <c r="M2380" i="3"/>
  <c r="L2380" i="3"/>
  <c r="K2380" i="3"/>
  <c r="J2380" i="3"/>
  <c r="I2380" i="3"/>
  <c r="H2380" i="3"/>
  <c r="G2380" i="3"/>
  <c r="F2380" i="3"/>
  <c r="E2380" i="3"/>
  <c r="D2380" i="3"/>
  <c r="C2380" i="3"/>
  <c r="B2380" i="3"/>
  <c r="A2380" i="3"/>
  <c r="O2379" i="3"/>
  <c r="N2379" i="3"/>
  <c r="M2379" i="3"/>
  <c r="L2379" i="3"/>
  <c r="K2379" i="3"/>
  <c r="J2379" i="3"/>
  <c r="I2379" i="3"/>
  <c r="H2379" i="3"/>
  <c r="G2379" i="3"/>
  <c r="F2379" i="3"/>
  <c r="E2379" i="3"/>
  <c r="D2379" i="3"/>
  <c r="C2379" i="3"/>
  <c r="B2379" i="3"/>
  <c r="A2379" i="3"/>
  <c r="O2378" i="3"/>
  <c r="N2378" i="3"/>
  <c r="M2378" i="3"/>
  <c r="L2378" i="3"/>
  <c r="K2378" i="3"/>
  <c r="J2378" i="3"/>
  <c r="I2378" i="3"/>
  <c r="H2378" i="3"/>
  <c r="G2378" i="3"/>
  <c r="F2378" i="3"/>
  <c r="E2378" i="3"/>
  <c r="D2378" i="3"/>
  <c r="C2378" i="3"/>
  <c r="B2378" i="3"/>
  <c r="A2378" i="3"/>
  <c r="O2377" i="3"/>
  <c r="N2377" i="3"/>
  <c r="M2377" i="3"/>
  <c r="L2377" i="3"/>
  <c r="K2377" i="3"/>
  <c r="J2377" i="3"/>
  <c r="I2377" i="3"/>
  <c r="H2377" i="3"/>
  <c r="G2377" i="3"/>
  <c r="F2377" i="3"/>
  <c r="E2377" i="3"/>
  <c r="D2377" i="3"/>
  <c r="C2377" i="3"/>
  <c r="B2377" i="3"/>
  <c r="A2377" i="3"/>
  <c r="O2376" i="3"/>
  <c r="N2376" i="3"/>
  <c r="M2376" i="3"/>
  <c r="L2376" i="3"/>
  <c r="K2376" i="3"/>
  <c r="J2376" i="3"/>
  <c r="I2376" i="3"/>
  <c r="H2376" i="3"/>
  <c r="G2376" i="3"/>
  <c r="F2376" i="3"/>
  <c r="E2376" i="3"/>
  <c r="D2376" i="3"/>
  <c r="C2376" i="3"/>
  <c r="B2376" i="3"/>
  <c r="A2376" i="3"/>
  <c r="O2375" i="3"/>
  <c r="N2375" i="3"/>
  <c r="M2375" i="3"/>
  <c r="L2375" i="3"/>
  <c r="K2375" i="3"/>
  <c r="J2375" i="3"/>
  <c r="I2375" i="3"/>
  <c r="H2375" i="3"/>
  <c r="G2375" i="3"/>
  <c r="F2375" i="3"/>
  <c r="E2375" i="3"/>
  <c r="D2375" i="3"/>
  <c r="C2375" i="3"/>
  <c r="B2375" i="3"/>
  <c r="A2375" i="3"/>
  <c r="O2374" i="3"/>
  <c r="N2374" i="3"/>
  <c r="M2374" i="3"/>
  <c r="L2374" i="3"/>
  <c r="K2374" i="3"/>
  <c r="J2374" i="3"/>
  <c r="I2374" i="3"/>
  <c r="H2374" i="3"/>
  <c r="G2374" i="3"/>
  <c r="F2374" i="3"/>
  <c r="E2374" i="3"/>
  <c r="D2374" i="3"/>
  <c r="C2374" i="3"/>
  <c r="B2374" i="3"/>
  <c r="A2374" i="3"/>
  <c r="O2373" i="3"/>
  <c r="N2373" i="3"/>
  <c r="M2373" i="3"/>
  <c r="L2373" i="3"/>
  <c r="K2373" i="3"/>
  <c r="J2373" i="3"/>
  <c r="I2373" i="3"/>
  <c r="H2373" i="3"/>
  <c r="G2373" i="3"/>
  <c r="F2373" i="3"/>
  <c r="E2373" i="3"/>
  <c r="D2373" i="3"/>
  <c r="C2373" i="3"/>
  <c r="B2373" i="3"/>
  <c r="A2373" i="3"/>
  <c r="O2372" i="3"/>
  <c r="N2372" i="3"/>
  <c r="M2372" i="3"/>
  <c r="L2372" i="3"/>
  <c r="K2372" i="3"/>
  <c r="J2372" i="3"/>
  <c r="I2372" i="3"/>
  <c r="H2372" i="3"/>
  <c r="G2372" i="3"/>
  <c r="F2372" i="3"/>
  <c r="E2372" i="3"/>
  <c r="D2372" i="3"/>
  <c r="C2372" i="3"/>
  <c r="B2372" i="3"/>
  <c r="A2372" i="3"/>
  <c r="O2371" i="3"/>
  <c r="N2371" i="3"/>
  <c r="M2371" i="3"/>
  <c r="L2371" i="3"/>
  <c r="K2371" i="3"/>
  <c r="J2371" i="3"/>
  <c r="I2371" i="3"/>
  <c r="H2371" i="3"/>
  <c r="G2371" i="3"/>
  <c r="F2371" i="3"/>
  <c r="E2371" i="3"/>
  <c r="D2371" i="3"/>
  <c r="C2371" i="3"/>
  <c r="B2371" i="3"/>
  <c r="A2371" i="3"/>
  <c r="O2370" i="3"/>
  <c r="N2370" i="3"/>
  <c r="M2370" i="3"/>
  <c r="L2370" i="3"/>
  <c r="K2370" i="3"/>
  <c r="J2370" i="3"/>
  <c r="I2370" i="3"/>
  <c r="H2370" i="3"/>
  <c r="G2370" i="3"/>
  <c r="F2370" i="3"/>
  <c r="E2370" i="3"/>
  <c r="D2370" i="3"/>
  <c r="C2370" i="3"/>
  <c r="B2370" i="3"/>
  <c r="A2370" i="3"/>
  <c r="O2369" i="3"/>
  <c r="N2369" i="3"/>
  <c r="M2369" i="3"/>
  <c r="L2369" i="3"/>
  <c r="K2369" i="3"/>
  <c r="J2369" i="3"/>
  <c r="I2369" i="3"/>
  <c r="H2369" i="3"/>
  <c r="G2369" i="3"/>
  <c r="F2369" i="3"/>
  <c r="E2369" i="3"/>
  <c r="D2369" i="3"/>
  <c r="C2369" i="3"/>
  <c r="B2369" i="3"/>
  <c r="A2369" i="3"/>
  <c r="O2368" i="3"/>
  <c r="N2368" i="3"/>
  <c r="M2368" i="3"/>
  <c r="L2368" i="3"/>
  <c r="K2368" i="3"/>
  <c r="J2368" i="3"/>
  <c r="I2368" i="3"/>
  <c r="H2368" i="3"/>
  <c r="G2368" i="3"/>
  <c r="F2368" i="3"/>
  <c r="E2368" i="3"/>
  <c r="D2368" i="3"/>
  <c r="C2368" i="3"/>
  <c r="B2368" i="3"/>
  <c r="A2368" i="3"/>
  <c r="O2367" i="3"/>
  <c r="N2367" i="3"/>
  <c r="M2367" i="3"/>
  <c r="L2367" i="3"/>
  <c r="K2367" i="3"/>
  <c r="J2367" i="3"/>
  <c r="I2367" i="3"/>
  <c r="H2367" i="3"/>
  <c r="G2367" i="3"/>
  <c r="F2367" i="3"/>
  <c r="E2367" i="3"/>
  <c r="D2367" i="3"/>
  <c r="C2367" i="3"/>
  <c r="B2367" i="3"/>
  <c r="A2367" i="3"/>
  <c r="O2366" i="3"/>
  <c r="N2366" i="3"/>
  <c r="M2366" i="3"/>
  <c r="L2366" i="3"/>
  <c r="K2366" i="3"/>
  <c r="J2366" i="3"/>
  <c r="I2366" i="3"/>
  <c r="H2366" i="3"/>
  <c r="G2366" i="3"/>
  <c r="F2366" i="3"/>
  <c r="E2366" i="3"/>
  <c r="D2366" i="3"/>
  <c r="C2366" i="3"/>
  <c r="B2366" i="3"/>
  <c r="A2366" i="3"/>
  <c r="O2365" i="3"/>
  <c r="N2365" i="3"/>
  <c r="M2365" i="3"/>
  <c r="L2365" i="3"/>
  <c r="K2365" i="3"/>
  <c r="J2365" i="3"/>
  <c r="I2365" i="3"/>
  <c r="H2365" i="3"/>
  <c r="G2365" i="3"/>
  <c r="F2365" i="3"/>
  <c r="E2365" i="3"/>
  <c r="D2365" i="3"/>
  <c r="C2365" i="3"/>
  <c r="B2365" i="3"/>
  <c r="A2365" i="3"/>
  <c r="O2364" i="3"/>
  <c r="N2364" i="3"/>
  <c r="M2364" i="3"/>
  <c r="L2364" i="3"/>
  <c r="K2364" i="3"/>
  <c r="J2364" i="3"/>
  <c r="I2364" i="3"/>
  <c r="H2364" i="3"/>
  <c r="G2364" i="3"/>
  <c r="F2364" i="3"/>
  <c r="E2364" i="3"/>
  <c r="D2364" i="3"/>
  <c r="C2364" i="3"/>
  <c r="B2364" i="3"/>
  <c r="A2364" i="3"/>
  <c r="O2363" i="3"/>
  <c r="N2363" i="3"/>
  <c r="M2363" i="3"/>
  <c r="L2363" i="3"/>
  <c r="K2363" i="3"/>
  <c r="J2363" i="3"/>
  <c r="I2363" i="3"/>
  <c r="H2363" i="3"/>
  <c r="G2363" i="3"/>
  <c r="F2363" i="3"/>
  <c r="E2363" i="3"/>
  <c r="D2363" i="3"/>
  <c r="C2363" i="3"/>
  <c r="B2363" i="3"/>
  <c r="A2363" i="3"/>
  <c r="O2362" i="3"/>
  <c r="N2362" i="3"/>
  <c r="M2362" i="3"/>
  <c r="L2362" i="3"/>
  <c r="K2362" i="3"/>
  <c r="J2362" i="3"/>
  <c r="I2362" i="3"/>
  <c r="H2362" i="3"/>
  <c r="G2362" i="3"/>
  <c r="F2362" i="3"/>
  <c r="E2362" i="3"/>
  <c r="D2362" i="3"/>
  <c r="C2362" i="3"/>
  <c r="B2362" i="3"/>
  <c r="A2362" i="3"/>
  <c r="O2361" i="3"/>
  <c r="N2361" i="3"/>
  <c r="M2361" i="3"/>
  <c r="L2361" i="3"/>
  <c r="K2361" i="3"/>
  <c r="J2361" i="3"/>
  <c r="I2361" i="3"/>
  <c r="H2361" i="3"/>
  <c r="G2361" i="3"/>
  <c r="F2361" i="3"/>
  <c r="E2361" i="3"/>
  <c r="D2361" i="3"/>
  <c r="C2361" i="3"/>
  <c r="B2361" i="3"/>
  <c r="A2361" i="3"/>
  <c r="O2360" i="3"/>
  <c r="N2360" i="3"/>
  <c r="M2360" i="3"/>
  <c r="L2360" i="3"/>
  <c r="K2360" i="3"/>
  <c r="J2360" i="3"/>
  <c r="I2360" i="3"/>
  <c r="H2360" i="3"/>
  <c r="G2360" i="3"/>
  <c r="F2360" i="3"/>
  <c r="E2360" i="3"/>
  <c r="D2360" i="3"/>
  <c r="C2360" i="3"/>
  <c r="B2360" i="3"/>
  <c r="A2360" i="3"/>
  <c r="O2359" i="3"/>
  <c r="N2359" i="3"/>
  <c r="M2359" i="3"/>
  <c r="L2359" i="3"/>
  <c r="K2359" i="3"/>
  <c r="J2359" i="3"/>
  <c r="I2359" i="3"/>
  <c r="H2359" i="3"/>
  <c r="G2359" i="3"/>
  <c r="F2359" i="3"/>
  <c r="E2359" i="3"/>
  <c r="D2359" i="3"/>
  <c r="C2359" i="3"/>
  <c r="B2359" i="3"/>
  <c r="A2359" i="3"/>
  <c r="O2358" i="3"/>
  <c r="N2358" i="3"/>
  <c r="M2358" i="3"/>
  <c r="L2358" i="3"/>
  <c r="K2358" i="3"/>
  <c r="J2358" i="3"/>
  <c r="I2358" i="3"/>
  <c r="H2358" i="3"/>
  <c r="G2358" i="3"/>
  <c r="F2358" i="3"/>
  <c r="E2358" i="3"/>
  <c r="D2358" i="3"/>
  <c r="C2358" i="3"/>
  <c r="B2358" i="3"/>
  <c r="A2358" i="3"/>
  <c r="O2357" i="3"/>
  <c r="N2357" i="3"/>
  <c r="M2357" i="3"/>
  <c r="L2357" i="3"/>
  <c r="K2357" i="3"/>
  <c r="J2357" i="3"/>
  <c r="I2357" i="3"/>
  <c r="H2357" i="3"/>
  <c r="G2357" i="3"/>
  <c r="F2357" i="3"/>
  <c r="E2357" i="3"/>
  <c r="D2357" i="3"/>
  <c r="C2357" i="3"/>
  <c r="B2357" i="3"/>
  <c r="A2357" i="3"/>
  <c r="O2356" i="3"/>
  <c r="N2356" i="3"/>
  <c r="M2356" i="3"/>
  <c r="L2356" i="3"/>
  <c r="K2356" i="3"/>
  <c r="J2356" i="3"/>
  <c r="I2356" i="3"/>
  <c r="H2356" i="3"/>
  <c r="G2356" i="3"/>
  <c r="F2356" i="3"/>
  <c r="E2356" i="3"/>
  <c r="D2356" i="3"/>
  <c r="C2356" i="3"/>
  <c r="B2356" i="3"/>
  <c r="A2356" i="3"/>
  <c r="O2355" i="3"/>
  <c r="N2355" i="3"/>
  <c r="M2355" i="3"/>
  <c r="L2355" i="3"/>
  <c r="K2355" i="3"/>
  <c r="J2355" i="3"/>
  <c r="I2355" i="3"/>
  <c r="H2355" i="3"/>
  <c r="G2355" i="3"/>
  <c r="F2355" i="3"/>
  <c r="E2355" i="3"/>
  <c r="D2355" i="3"/>
  <c r="C2355" i="3"/>
  <c r="B2355" i="3"/>
  <c r="A2355" i="3"/>
  <c r="O2354" i="3"/>
  <c r="N2354" i="3"/>
  <c r="M2354" i="3"/>
  <c r="L2354" i="3"/>
  <c r="K2354" i="3"/>
  <c r="J2354" i="3"/>
  <c r="I2354" i="3"/>
  <c r="H2354" i="3"/>
  <c r="G2354" i="3"/>
  <c r="F2354" i="3"/>
  <c r="E2354" i="3"/>
  <c r="D2354" i="3"/>
  <c r="C2354" i="3"/>
  <c r="B2354" i="3"/>
  <c r="A2354" i="3"/>
  <c r="O2353" i="3"/>
  <c r="N2353" i="3"/>
  <c r="M2353" i="3"/>
  <c r="L2353" i="3"/>
  <c r="K2353" i="3"/>
  <c r="J2353" i="3"/>
  <c r="I2353" i="3"/>
  <c r="H2353" i="3"/>
  <c r="G2353" i="3"/>
  <c r="F2353" i="3"/>
  <c r="E2353" i="3"/>
  <c r="D2353" i="3"/>
  <c r="C2353" i="3"/>
  <c r="B2353" i="3"/>
  <c r="A2353" i="3"/>
  <c r="O2352" i="3"/>
  <c r="N2352" i="3"/>
  <c r="M2352" i="3"/>
  <c r="L2352" i="3"/>
  <c r="K2352" i="3"/>
  <c r="J2352" i="3"/>
  <c r="I2352" i="3"/>
  <c r="H2352" i="3"/>
  <c r="G2352" i="3"/>
  <c r="F2352" i="3"/>
  <c r="E2352" i="3"/>
  <c r="D2352" i="3"/>
  <c r="C2352" i="3"/>
  <c r="B2352" i="3"/>
  <c r="A2352" i="3"/>
  <c r="O2351" i="3"/>
  <c r="N2351" i="3"/>
  <c r="M2351" i="3"/>
  <c r="L2351" i="3"/>
  <c r="K2351" i="3"/>
  <c r="J2351" i="3"/>
  <c r="I2351" i="3"/>
  <c r="H2351" i="3"/>
  <c r="G2351" i="3"/>
  <c r="F2351" i="3"/>
  <c r="E2351" i="3"/>
  <c r="D2351" i="3"/>
  <c r="C2351" i="3"/>
  <c r="B2351" i="3"/>
  <c r="A2351" i="3"/>
  <c r="O2350" i="3"/>
  <c r="N2350" i="3"/>
  <c r="M2350" i="3"/>
  <c r="L2350" i="3"/>
  <c r="K2350" i="3"/>
  <c r="J2350" i="3"/>
  <c r="I2350" i="3"/>
  <c r="H2350" i="3"/>
  <c r="G2350" i="3"/>
  <c r="F2350" i="3"/>
  <c r="E2350" i="3"/>
  <c r="D2350" i="3"/>
  <c r="C2350" i="3"/>
  <c r="B2350" i="3"/>
  <c r="A2350" i="3"/>
  <c r="O2349" i="3"/>
  <c r="N2349" i="3"/>
  <c r="M2349" i="3"/>
  <c r="L2349" i="3"/>
  <c r="K2349" i="3"/>
  <c r="J2349" i="3"/>
  <c r="I2349" i="3"/>
  <c r="H2349" i="3"/>
  <c r="G2349" i="3"/>
  <c r="F2349" i="3"/>
  <c r="E2349" i="3"/>
  <c r="D2349" i="3"/>
  <c r="C2349" i="3"/>
  <c r="B2349" i="3"/>
  <c r="A2349" i="3"/>
  <c r="O2348" i="3"/>
  <c r="N2348" i="3"/>
  <c r="M2348" i="3"/>
  <c r="L2348" i="3"/>
  <c r="K2348" i="3"/>
  <c r="J2348" i="3"/>
  <c r="I2348" i="3"/>
  <c r="H2348" i="3"/>
  <c r="G2348" i="3"/>
  <c r="F2348" i="3"/>
  <c r="E2348" i="3"/>
  <c r="D2348" i="3"/>
  <c r="C2348" i="3"/>
  <c r="B2348" i="3"/>
  <c r="A2348" i="3"/>
  <c r="O2347" i="3"/>
  <c r="N2347" i="3"/>
  <c r="M2347" i="3"/>
  <c r="L2347" i="3"/>
  <c r="K2347" i="3"/>
  <c r="J2347" i="3"/>
  <c r="I2347" i="3"/>
  <c r="H2347" i="3"/>
  <c r="G2347" i="3"/>
  <c r="F2347" i="3"/>
  <c r="E2347" i="3"/>
  <c r="D2347" i="3"/>
  <c r="C2347" i="3"/>
  <c r="B2347" i="3"/>
  <c r="A2347" i="3"/>
  <c r="O2346" i="3"/>
  <c r="N2346" i="3"/>
  <c r="M2346" i="3"/>
  <c r="L2346" i="3"/>
  <c r="K2346" i="3"/>
  <c r="J2346" i="3"/>
  <c r="I2346" i="3"/>
  <c r="H2346" i="3"/>
  <c r="G2346" i="3"/>
  <c r="F2346" i="3"/>
  <c r="E2346" i="3"/>
  <c r="D2346" i="3"/>
  <c r="C2346" i="3"/>
  <c r="B2346" i="3"/>
  <c r="A2346" i="3"/>
  <c r="O2345" i="3"/>
  <c r="N2345" i="3"/>
  <c r="M2345" i="3"/>
  <c r="L2345" i="3"/>
  <c r="K2345" i="3"/>
  <c r="J2345" i="3"/>
  <c r="I2345" i="3"/>
  <c r="H2345" i="3"/>
  <c r="G2345" i="3"/>
  <c r="F2345" i="3"/>
  <c r="E2345" i="3"/>
  <c r="D2345" i="3"/>
  <c r="C2345" i="3"/>
  <c r="B2345" i="3"/>
  <c r="A2345" i="3"/>
  <c r="O2344" i="3"/>
  <c r="N2344" i="3"/>
  <c r="M2344" i="3"/>
  <c r="L2344" i="3"/>
  <c r="K2344" i="3"/>
  <c r="J2344" i="3"/>
  <c r="I2344" i="3"/>
  <c r="H2344" i="3"/>
  <c r="G2344" i="3"/>
  <c r="F2344" i="3"/>
  <c r="E2344" i="3"/>
  <c r="D2344" i="3"/>
  <c r="C2344" i="3"/>
  <c r="B2344" i="3"/>
  <c r="A2344" i="3"/>
  <c r="O2343" i="3"/>
  <c r="N2343" i="3"/>
  <c r="M2343" i="3"/>
  <c r="L2343" i="3"/>
  <c r="K2343" i="3"/>
  <c r="J2343" i="3"/>
  <c r="I2343" i="3"/>
  <c r="H2343" i="3"/>
  <c r="G2343" i="3"/>
  <c r="F2343" i="3"/>
  <c r="E2343" i="3"/>
  <c r="D2343" i="3"/>
  <c r="C2343" i="3"/>
  <c r="B2343" i="3"/>
  <c r="A2343" i="3"/>
  <c r="O2342" i="3"/>
  <c r="N2342" i="3"/>
  <c r="M2342" i="3"/>
  <c r="L2342" i="3"/>
  <c r="K2342" i="3"/>
  <c r="J2342" i="3"/>
  <c r="I2342" i="3"/>
  <c r="H2342" i="3"/>
  <c r="G2342" i="3"/>
  <c r="F2342" i="3"/>
  <c r="E2342" i="3"/>
  <c r="D2342" i="3"/>
  <c r="C2342" i="3"/>
  <c r="B2342" i="3"/>
  <c r="A2342" i="3"/>
  <c r="O2341" i="3"/>
  <c r="N2341" i="3"/>
  <c r="M2341" i="3"/>
  <c r="L2341" i="3"/>
  <c r="K2341" i="3"/>
  <c r="J2341" i="3"/>
  <c r="I2341" i="3"/>
  <c r="H2341" i="3"/>
  <c r="G2341" i="3"/>
  <c r="F2341" i="3"/>
  <c r="E2341" i="3"/>
  <c r="D2341" i="3"/>
  <c r="C2341" i="3"/>
  <c r="B2341" i="3"/>
  <c r="A2341" i="3"/>
  <c r="O2340" i="3"/>
  <c r="N2340" i="3"/>
  <c r="M2340" i="3"/>
  <c r="L2340" i="3"/>
  <c r="K2340" i="3"/>
  <c r="J2340" i="3"/>
  <c r="I2340" i="3"/>
  <c r="H2340" i="3"/>
  <c r="G2340" i="3"/>
  <c r="F2340" i="3"/>
  <c r="E2340" i="3"/>
  <c r="D2340" i="3"/>
  <c r="C2340" i="3"/>
  <c r="B2340" i="3"/>
  <c r="A2340" i="3"/>
  <c r="O2339" i="3"/>
  <c r="N2339" i="3"/>
  <c r="M2339" i="3"/>
  <c r="L2339" i="3"/>
  <c r="K2339" i="3"/>
  <c r="J2339" i="3"/>
  <c r="I2339" i="3"/>
  <c r="H2339" i="3"/>
  <c r="G2339" i="3"/>
  <c r="F2339" i="3"/>
  <c r="E2339" i="3"/>
  <c r="D2339" i="3"/>
  <c r="C2339" i="3"/>
  <c r="B2339" i="3"/>
  <c r="A2339" i="3"/>
  <c r="O2338" i="3"/>
  <c r="N2338" i="3"/>
  <c r="M2338" i="3"/>
  <c r="L2338" i="3"/>
  <c r="K2338" i="3"/>
  <c r="J2338" i="3"/>
  <c r="I2338" i="3"/>
  <c r="H2338" i="3"/>
  <c r="G2338" i="3"/>
  <c r="F2338" i="3"/>
  <c r="E2338" i="3"/>
  <c r="D2338" i="3"/>
  <c r="C2338" i="3"/>
  <c r="B2338" i="3"/>
  <c r="A2338" i="3"/>
  <c r="O2337" i="3"/>
  <c r="N2337" i="3"/>
  <c r="M2337" i="3"/>
  <c r="L2337" i="3"/>
  <c r="K2337" i="3"/>
  <c r="J2337" i="3"/>
  <c r="I2337" i="3"/>
  <c r="H2337" i="3"/>
  <c r="G2337" i="3"/>
  <c r="F2337" i="3"/>
  <c r="E2337" i="3"/>
  <c r="D2337" i="3"/>
  <c r="C2337" i="3"/>
  <c r="B2337" i="3"/>
  <c r="A2337" i="3"/>
  <c r="O2336" i="3"/>
  <c r="N2336" i="3"/>
  <c r="M2336" i="3"/>
  <c r="L2336" i="3"/>
  <c r="K2336" i="3"/>
  <c r="J2336" i="3"/>
  <c r="I2336" i="3"/>
  <c r="H2336" i="3"/>
  <c r="G2336" i="3"/>
  <c r="F2336" i="3"/>
  <c r="E2336" i="3"/>
  <c r="D2336" i="3"/>
  <c r="C2336" i="3"/>
  <c r="B2336" i="3"/>
  <c r="A2336" i="3"/>
  <c r="O2335" i="3"/>
  <c r="N2335" i="3"/>
  <c r="M2335" i="3"/>
  <c r="L2335" i="3"/>
  <c r="K2335" i="3"/>
  <c r="J2335" i="3"/>
  <c r="I2335" i="3"/>
  <c r="H2335" i="3"/>
  <c r="G2335" i="3"/>
  <c r="F2335" i="3"/>
  <c r="E2335" i="3"/>
  <c r="D2335" i="3"/>
  <c r="C2335" i="3"/>
  <c r="B2335" i="3"/>
  <c r="A2335" i="3"/>
  <c r="O2334" i="3"/>
  <c r="N2334" i="3"/>
  <c r="M2334" i="3"/>
  <c r="L2334" i="3"/>
  <c r="K2334" i="3"/>
  <c r="J2334" i="3"/>
  <c r="I2334" i="3"/>
  <c r="H2334" i="3"/>
  <c r="G2334" i="3"/>
  <c r="F2334" i="3"/>
  <c r="E2334" i="3"/>
  <c r="D2334" i="3"/>
  <c r="C2334" i="3"/>
  <c r="B2334" i="3"/>
  <c r="A2334" i="3"/>
  <c r="O2333" i="3"/>
  <c r="N2333" i="3"/>
  <c r="M2333" i="3"/>
  <c r="L2333" i="3"/>
  <c r="K2333" i="3"/>
  <c r="J2333" i="3"/>
  <c r="I2333" i="3"/>
  <c r="H2333" i="3"/>
  <c r="G2333" i="3"/>
  <c r="F2333" i="3"/>
  <c r="E2333" i="3"/>
  <c r="D2333" i="3"/>
  <c r="C2333" i="3"/>
  <c r="B2333" i="3"/>
  <c r="A2333" i="3"/>
  <c r="O2332" i="3"/>
  <c r="N2332" i="3"/>
  <c r="M2332" i="3"/>
  <c r="L2332" i="3"/>
  <c r="K2332" i="3"/>
  <c r="J2332" i="3"/>
  <c r="I2332" i="3"/>
  <c r="H2332" i="3"/>
  <c r="G2332" i="3"/>
  <c r="F2332" i="3"/>
  <c r="E2332" i="3"/>
  <c r="D2332" i="3"/>
  <c r="C2332" i="3"/>
  <c r="B2332" i="3"/>
  <c r="A2332" i="3"/>
  <c r="O2331" i="3"/>
  <c r="N2331" i="3"/>
  <c r="M2331" i="3"/>
  <c r="L2331" i="3"/>
  <c r="K2331" i="3"/>
  <c r="J2331" i="3"/>
  <c r="I2331" i="3"/>
  <c r="H2331" i="3"/>
  <c r="G2331" i="3"/>
  <c r="F2331" i="3"/>
  <c r="E2331" i="3"/>
  <c r="D2331" i="3"/>
  <c r="C2331" i="3"/>
  <c r="B2331" i="3"/>
  <c r="A2331" i="3"/>
  <c r="O2330" i="3"/>
  <c r="N2330" i="3"/>
  <c r="M2330" i="3"/>
  <c r="L2330" i="3"/>
  <c r="K2330" i="3"/>
  <c r="J2330" i="3"/>
  <c r="I2330" i="3"/>
  <c r="H2330" i="3"/>
  <c r="G2330" i="3"/>
  <c r="F2330" i="3"/>
  <c r="E2330" i="3"/>
  <c r="D2330" i="3"/>
  <c r="C2330" i="3"/>
  <c r="B2330" i="3"/>
  <c r="A2330" i="3"/>
  <c r="O2329" i="3"/>
  <c r="N2329" i="3"/>
  <c r="M2329" i="3"/>
  <c r="L2329" i="3"/>
  <c r="K2329" i="3"/>
  <c r="J2329" i="3"/>
  <c r="I2329" i="3"/>
  <c r="H2329" i="3"/>
  <c r="G2329" i="3"/>
  <c r="F2329" i="3"/>
  <c r="E2329" i="3"/>
  <c r="D2329" i="3"/>
  <c r="C2329" i="3"/>
  <c r="B2329" i="3"/>
  <c r="A2329" i="3"/>
  <c r="O2328" i="3"/>
  <c r="N2328" i="3"/>
  <c r="M2328" i="3"/>
  <c r="L2328" i="3"/>
  <c r="K2328" i="3"/>
  <c r="J2328" i="3"/>
  <c r="I2328" i="3"/>
  <c r="H2328" i="3"/>
  <c r="G2328" i="3"/>
  <c r="F2328" i="3"/>
  <c r="E2328" i="3"/>
  <c r="D2328" i="3"/>
  <c r="C2328" i="3"/>
  <c r="B2328" i="3"/>
  <c r="A2328" i="3"/>
  <c r="O2327" i="3"/>
  <c r="N2327" i="3"/>
  <c r="M2327" i="3"/>
  <c r="L2327" i="3"/>
  <c r="K2327" i="3"/>
  <c r="J2327" i="3"/>
  <c r="I2327" i="3"/>
  <c r="H2327" i="3"/>
  <c r="G2327" i="3"/>
  <c r="F2327" i="3"/>
  <c r="E2327" i="3"/>
  <c r="D2327" i="3"/>
  <c r="C2327" i="3"/>
  <c r="B2327" i="3"/>
  <c r="A2327" i="3"/>
  <c r="O2326" i="3"/>
  <c r="N2326" i="3"/>
  <c r="M2326" i="3"/>
  <c r="L2326" i="3"/>
  <c r="K2326" i="3"/>
  <c r="J2326" i="3"/>
  <c r="I2326" i="3"/>
  <c r="H2326" i="3"/>
  <c r="G2326" i="3"/>
  <c r="F2326" i="3"/>
  <c r="E2326" i="3"/>
  <c r="D2326" i="3"/>
  <c r="C2326" i="3"/>
  <c r="B2326" i="3"/>
  <c r="A2326" i="3"/>
  <c r="O2325" i="3"/>
  <c r="N2325" i="3"/>
  <c r="M2325" i="3"/>
  <c r="L2325" i="3"/>
  <c r="K2325" i="3"/>
  <c r="J2325" i="3"/>
  <c r="I2325" i="3"/>
  <c r="H2325" i="3"/>
  <c r="G2325" i="3"/>
  <c r="F2325" i="3"/>
  <c r="E2325" i="3"/>
  <c r="D2325" i="3"/>
  <c r="C2325" i="3"/>
  <c r="B2325" i="3"/>
  <c r="A2325" i="3"/>
  <c r="O2324" i="3"/>
  <c r="N2324" i="3"/>
  <c r="M2324" i="3"/>
  <c r="L2324" i="3"/>
  <c r="K2324" i="3"/>
  <c r="J2324" i="3"/>
  <c r="I2324" i="3"/>
  <c r="H2324" i="3"/>
  <c r="G2324" i="3"/>
  <c r="F2324" i="3"/>
  <c r="E2324" i="3"/>
  <c r="D2324" i="3"/>
  <c r="C2324" i="3"/>
  <c r="B2324" i="3"/>
  <c r="A2324" i="3"/>
  <c r="O2323" i="3"/>
  <c r="N2323" i="3"/>
  <c r="M2323" i="3"/>
  <c r="L2323" i="3"/>
  <c r="K2323" i="3"/>
  <c r="J2323" i="3"/>
  <c r="I2323" i="3"/>
  <c r="H2323" i="3"/>
  <c r="G2323" i="3"/>
  <c r="F2323" i="3"/>
  <c r="E2323" i="3"/>
  <c r="D2323" i="3"/>
  <c r="C2323" i="3"/>
  <c r="B2323" i="3"/>
  <c r="A2323" i="3"/>
  <c r="O2322" i="3"/>
  <c r="N2322" i="3"/>
  <c r="M2322" i="3"/>
  <c r="L2322" i="3"/>
  <c r="K2322" i="3"/>
  <c r="J2322" i="3"/>
  <c r="I2322" i="3"/>
  <c r="H2322" i="3"/>
  <c r="G2322" i="3"/>
  <c r="F2322" i="3"/>
  <c r="E2322" i="3"/>
  <c r="D2322" i="3"/>
  <c r="C2322" i="3"/>
  <c r="B2322" i="3"/>
  <c r="A2322" i="3"/>
  <c r="O2321" i="3"/>
  <c r="N2321" i="3"/>
  <c r="M2321" i="3"/>
  <c r="L2321" i="3"/>
  <c r="K2321" i="3"/>
  <c r="J2321" i="3"/>
  <c r="I2321" i="3"/>
  <c r="H2321" i="3"/>
  <c r="G2321" i="3"/>
  <c r="F2321" i="3"/>
  <c r="E2321" i="3"/>
  <c r="D2321" i="3"/>
  <c r="C2321" i="3"/>
  <c r="B2321" i="3"/>
  <c r="A2321" i="3"/>
  <c r="O2320" i="3"/>
  <c r="N2320" i="3"/>
  <c r="M2320" i="3"/>
  <c r="L2320" i="3"/>
  <c r="K2320" i="3"/>
  <c r="J2320" i="3"/>
  <c r="I2320" i="3"/>
  <c r="H2320" i="3"/>
  <c r="G2320" i="3"/>
  <c r="F2320" i="3"/>
  <c r="E2320" i="3"/>
  <c r="D2320" i="3"/>
  <c r="C2320" i="3"/>
  <c r="B2320" i="3"/>
  <c r="A2320" i="3"/>
  <c r="O2319" i="3"/>
  <c r="N2319" i="3"/>
  <c r="M2319" i="3"/>
  <c r="L2319" i="3"/>
  <c r="K2319" i="3"/>
  <c r="J2319" i="3"/>
  <c r="I2319" i="3"/>
  <c r="H2319" i="3"/>
  <c r="G2319" i="3"/>
  <c r="F2319" i="3"/>
  <c r="E2319" i="3"/>
  <c r="D2319" i="3"/>
  <c r="C2319" i="3"/>
  <c r="B2319" i="3"/>
  <c r="A2319" i="3"/>
  <c r="O2318" i="3"/>
  <c r="N2318" i="3"/>
  <c r="M2318" i="3"/>
  <c r="L2318" i="3"/>
  <c r="K2318" i="3"/>
  <c r="J2318" i="3"/>
  <c r="I2318" i="3"/>
  <c r="H2318" i="3"/>
  <c r="G2318" i="3"/>
  <c r="F2318" i="3"/>
  <c r="E2318" i="3"/>
  <c r="D2318" i="3"/>
  <c r="C2318" i="3"/>
  <c r="B2318" i="3"/>
  <c r="A2318" i="3"/>
  <c r="O2317" i="3"/>
  <c r="N2317" i="3"/>
  <c r="M2317" i="3"/>
  <c r="L2317" i="3"/>
  <c r="K2317" i="3"/>
  <c r="J2317" i="3"/>
  <c r="I2317" i="3"/>
  <c r="H2317" i="3"/>
  <c r="G2317" i="3"/>
  <c r="F2317" i="3"/>
  <c r="E2317" i="3"/>
  <c r="D2317" i="3"/>
  <c r="C2317" i="3"/>
  <c r="B2317" i="3"/>
  <c r="A2317" i="3"/>
  <c r="O2316" i="3"/>
  <c r="N2316" i="3"/>
  <c r="M2316" i="3"/>
  <c r="L2316" i="3"/>
  <c r="K2316" i="3"/>
  <c r="J2316" i="3"/>
  <c r="I2316" i="3"/>
  <c r="H2316" i="3"/>
  <c r="G2316" i="3"/>
  <c r="F2316" i="3"/>
  <c r="E2316" i="3"/>
  <c r="D2316" i="3"/>
  <c r="C2316" i="3"/>
  <c r="B2316" i="3"/>
  <c r="A2316" i="3"/>
  <c r="O2315" i="3"/>
  <c r="N2315" i="3"/>
  <c r="M2315" i="3"/>
  <c r="L2315" i="3"/>
  <c r="K2315" i="3"/>
  <c r="J2315" i="3"/>
  <c r="I2315" i="3"/>
  <c r="H2315" i="3"/>
  <c r="G2315" i="3"/>
  <c r="F2315" i="3"/>
  <c r="E2315" i="3"/>
  <c r="D2315" i="3"/>
  <c r="C2315" i="3"/>
  <c r="B2315" i="3"/>
  <c r="A2315" i="3"/>
  <c r="O2314" i="3"/>
  <c r="N2314" i="3"/>
  <c r="M2314" i="3"/>
  <c r="L2314" i="3"/>
  <c r="K2314" i="3"/>
  <c r="J2314" i="3"/>
  <c r="I2314" i="3"/>
  <c r="H2314" i="3"/>
  <c r="G2314" i="3"/>
  <c r="F2314" i="3"/>
  <c r="E2314" i="3"/>
  <c r="D2314" i="3"/>
  <c r="C2314" i="3"/>
  <c r="B2314" i="3"/>
  <c r="A2314" i="3"/>
  <c r="O2313" i="3"/>
  <c r="N2313" i="3"/>
  <c r="M2313" i="3"/>
  <c r="L2313" i="3"/>
  <c r="K2313" i="3"/>
  <c r="J2313" i="3"/>
  <c r="I2313" i="3"/>
  <c r="H2313" i="3"/>
  <c r="G2313" i="3"/>
  <c r="F2313" i="3"/>
  <c r="E2313" i="3"/>
  <c r="D2313" i="3"/>
  <c r="C2313" i="3"/>
  <c r="B2313" i="3"/>
  <c r="A2313" i="3"/>
  <c r="O2312" i="3"/>
  <c r="N2312" i="3"/>
  <c r="M2312" i="3"/>
  <c r="L2312" i="3"/>
  <c r="K2312" i="3"/>
  <c r="J2312" i="3"/>
  <c r="I2312" i="3"/>
  <c r="H2312" i="3"/>
  <c r="G2312" i="3"/>
  <c r="F2312" i="3"/>
  <c r="E2312" i="3"/>
  <c r="D2312" i="3"/>
  <c r="C2312" i="3"/>
  <c r="B2312" i="3"/>
  <c r="A2312" i="3"/>
  <c r="O2311" i="3"/>
  <c r="N2311" i="3"/>
  <c r="M2311" i="3"/>
  <c r="L2311" i="3"/>
  <c r="K2311" i="3"/>
  <c r="J2311" i="3"/>
  <c r="I2311" i="3"/>
  <c r="H2311" i="3"/>
  <c r="G2311" i="3"/>
  <c r="F2311" i="3"/>
  <c r="E2311" i="3"/>
  <c r="D2311" i="3"/>
  <c r="C2311" i="3"/>
  <c r="B2311" i="3"/>
  <c r="A2311" i="3"/>
  <c r="O2310" i="3"/>
  <c r="N2310" i="3"/>
  <c r="M2310" i="3"/>
  <c r="L2310" i="3"/>
  <c r="K2310" i="3"/>
  <c r="J2310" i="3"/>
  <c r="I2310" i="3"/>
  <c r="H2310" i="3"/>
  <c r="G2310" i="3"/>
  <c r="F2310" i="3"/>
  <c r="E2310" i="3"/>
  <c r="D2310" i="3"/>
  <c r="C2310" i="3"/>
  <c r="B2310" i="3"/>
  <c r="A2310" i="3"/>
  <c r="O2309" i="3"/>
  <c r="N2309" i="3"/>
  <c r="M2309" i="3"/>
  <c r="L2309" i="3"/>
  <c r="K2309" i="3"/>
  <c r="J2309" i="3"/>
  <c r="I2309" i="3"/>
  <c r="H2309" i="3"/>
  <c r="G2309" i="3"/>
  <c r="F2309" i="3"/>
  <c r="E2309" i="3"/>
  <c r="D2309" i="3"/>
  <c r="C2309" i="3"/>
  <c r="B2309" i="3"/>
  <c r="A2309" i="3"/>
  <c r="O2308" i="3"/>
  <c r="N2308" i="3"/>
  <c r="M2308" i="3"/>
  <c r="L2308" i="3"/>
  <c r="K2308" i="3"/>
  <c r="J2308" i="3"/>
  <c r="I2308" i="3"/>
  <c r="H2308" i="3"/>
  <c r="G2308" i="3"/>
  <c r="F2308" i="3"/>
  <c r="E2308" i="3"/>
  <c r="D2308" i="3"/>
  <c r="C2308" i="3"/>
  <c r="B2308" i="3"/>
  <c r="A2308" i="3"/>
  <c r="O2307" i="3"/>
  <c r="N2307" i="3"/>
  <c r="M2307" i="3"/>
  <c r="L2307" i="3"/>
  <c r="K2307" i="3"/>
  <c r="J2307" i="3"/>
  <c r="I2307" i="3"/>
  <c r="H2307" i="3"/>
  <c r="G2307" i="3"/>
  <c r="F2307" i="3"/>
  <c r="E2307" i="3"/>
  <c r="D2307" i="3"/>
  <c r="C2307" i="3"/>
  <c r="B2307" i="3"/>
  <c r="A2307" i="3"/>
  <c r="O2306" i="3"/>
  <c r="N2306" i="3"/>
  <c r="M2306" i="3"/>
  <c r="L2306" i="3"/>
  <c r="K2306" i="3"/>
  <c r="J2306" i="3"/>
  <c r="I2306" i="3"/>
  <c r="H2306" i="3"/>
  <c r="G2306" i="3"/>
  <c r="F2306" i="3"/>
  <c r="E2306" i="3"/>
  <c r="D2306" i="3"/>
  <c r="C2306" i="3"/>
  <c r="B2306" i="3"/>
  <c r="A2306" i="3"/>
  <c r="O2305" i="3"/>
  <c r="N2305" i="3"/>
  <c r="M2305" i="3"/>
  <c r="L2305" i="3"/>
  <c r="K2305" i="3"/>
  <c r="J2305" i="3"/>
  <c r="I2305" i="3"/>
  <c r="H2305" i="3"/>
  <c r="G2305" i="3"/>
  <c r="F2305" i="3"/>
  <c r="E2305" i="3"/>
  <c r="D2305" i="3"/>
  <c r="C2305" i="3"/>
  <c r="B2305" i="3"/>
  <c r="A2305" i="3"/>
  <c r="O2304" i="3"/>
  <c r="N2304" i="3"/>
  <c r="M2304" i="3"/>
  <c r="L2304" i="3"/>
  <c r="K2304" i="3"/>
  <c r="J2304" i="3"/>
  <c r="I2304" i="3"/>
  <c r="H2304" i="3"/>
  <c r="G2304" i="3"/>
  <c r="F2304" i="3"/>
  <c r="E2304" i="3"/>
  <c r="D2304" i="3"/>
  <c r="C2304" i="3"/>
  <c r="B2304" i="3"/>
  <c r="A2304" i="3"/>
  <c r="O2303" i="3"/>
  <c r="N2303" i="3"/>
  <c r="M2303" i="3"/>
  <c r="L2303" i="3"/>
  <c r="K2303" i="3"/>
  <c r="J2303" i="3"/>
  <c r="I2303" i="3"/>
  <c r="H2303" i="3"/>
  <c r="G2303" i="3"/>
  <c r="F2303" i="3"/>
  <c r="E2303" i="3"/>
  <c r="D2303" i="3"/>
  <c r="C2303" i="3"/>
  <c r="B2303" i="3"/>
  <c r="A2303" i="3"/>
  <c r="O2302" i="3"/>
  <c r="N2302" i="3"/>
  <c r="M2302" i="3"/>
  <c r="L2302" i="3"/>
  <c r="K2302" i="3"/>
  <c r="J2302" i="3"/>
  <c r="I2302" i="3"/>
  <c r="H2302" i="3"/>
  <c r="G2302" i="3"/>
  <c r="F2302" i="3"/>
  <c r="E2302" i="3"/>
  <c r="D2302" i="3"/>
  <c r="C2302" i="3"/>
  <c r="B2302" i="3"/>
  <c r="A2302" i="3"/>
  <c r="O2301" i="3"/>
  <c r="N2301" i="3"/>
  <c r="M2301" i="3"/>
  <c r="L2301" i="3"/>
  <c r="K2301" i="3"/>
  <c r="J2301" i="3"/>
  <c r="I2301" i="3"/>
  <c r="H2301" i="3"/>
  <c r="G2301" i="3"/>
  <c r="F2301" i="3"/>
  <c r="E2301" i="3"/>
  <c r="D2301" i="3"/>
  <c r="C2301" i="3"/>
  <c r="B2301" i="3"/>
  <c r="A2301" i="3"/>
  <c r="O2300" i="3"/>
  <c r="N2300" i="3"/>
  <c r="M2300" i="3"/>
  <c r="L2300" i="3"/>
  <c r="K2300" i="3"/>
  <c r="J2300" i="3"/>
  <c r="I2300" i="3"/>
  <c r="H2300" i="3"/>
  <c r="G2300" i="3"/>
  <c r="F2300" i="3"/>
  <c r="E2300" i="3"/>
  <c r="D2300" i="3"/>
  <c r="C2300" i="3"/>
  <c r="B2300" i="3"/>
  <c r="A2300" i="3"/>
  <c r="O2299" i="3"/>
  <c r="N2299" i="3"/>
  <c r="M2299" i="3"/>
  <c r="L2299" i="3"/>
  <c r="K2299" i="3"/>
  <c r="J2299" i="3"/>
  <c r="I2299" i="3"/>
  <c r="H2299" i="3"/>
  <c r="G2299" i="3"/>
  <c r="F2299" i="3"/>
  <c r="E2299" i="3"/>
  <c r="D2299" i="3"/>
  <c r="C2299" i="3"/>
  <c r="B2299" i="3"/>
  <c r="A2299" i="3"/>
  <c r="O2298" i="3"/>
  <c r="N2298" i="3"/>
  <c r="M2298" i="3"/>
  <c r="L2298" i="3"/>
  <c r="K2298" i="3"/>
  <c r="J2298" i="3"/>
  <c r="I2298" i="3"/>
  <c r="H2298" i="3"/>
  <c r="G2298" i="3"/>
  <c r="F2298" i="3"/>
  <c r="E2298" i="3"/>
  <c r="D2298" i="3"/>
  <c r="C2298" i="3"/>
  <c r="B2298" i="3"/>
  <c r="A2298" i="3"/>
  <c r="O2297" i="3"/>
  <c r="N2297" i="3"/>
  <c r="M2297" i="3"/>
  <c r="L2297" i="3"/>
  <c r="K2297" i="3"/>
  <c r="J2297" i="3"/>
  <c r="I2297" i="3"/>
  <c r="H2297" i="3"/>
  <c r="G2297" i="3"/>
  <c r="F2297" i="3"/>
  <c r="E2297" i="3"/>
  <c r="D2297" i="3"/>
  <c r="C2297" i="3"/>
  <c r="B2297" i="3"/>
  <c r="A2297" i="3"/>
  <c r="O2296" i="3"/>
  <c r="N2296" i="3"/>
  <c r="M2296" i="3"/>
  <c r="L2296" i="3"/>
  <c r="K2296" i="3"/>
  <c r="J2296" i="3"/>
  <c r="I2296" i="3"/>
  <c r="H2296" i="3"/>
  <c r="G2296" i="3"/>
  <c r="F2296" i="3"/>
  <c r="E2296" i="3"/>
  <c r="D2296" i="3"/>
  <c r="C2296" i="3"/>
  <c r="B2296" i="3"/>
  <c r="A2296" i="3"/>
  <c r="O2295" i="3"/>
  <c r="N2295" i="3"/>
  <c r="M2295" i="3"/>
  <c r="L2295" i="3"/>
  <c r="K2295" i="3"/>
  <c r="J2295" i="3"/>
  <c r="I2295" i="3"/>
  <c r="H2295" i="3"/>
  <c r="G2295" i="3"/>
  <c r="F2295" i="3"/>
  <c r="E2295" i="3"/>
  <c r="D2295" i="3"/>
  <c r="C2295" i="3"/>
  <c r="B2295" i="3"/>
  <c r="A2295" i="3"/>
  <c r="O2294" i="3"/>
  <c r="N2294" i="3"/>
  <c r="M2294" i="3"/>
  <c r="L2294" i="3"/>
  <c r="K2294" i="3"/>
  <c r="J2294" i="3"/>
  <c r="I2294" i="3"/>
  <c r="H2294" i="3"/>
  <c r="G2294" i="3"/>
  <c r="F2294" i="3"/>
  <c r="E2294" i="3"/>
  <c r="D2294" i="3"/>
  <c r="C2294" i="3"/>
  <c r="B2294" i="3"/>
  <c r="A2294" i="3"/>
  <c r="O2293" i="3"/>
  <c r="N2293" i="3"/>
  <c r="M2293" i="3"/>
  <c r="L2293" i="3"/>
  <c r="K2293" i="3"/>
  <c r="J2293" i="3"/>
  <c r="I2293" i="3"/>
  <c r="H2293" i="3"/>
  <c r="G2293" i="3"/>
  <c r="F2293" i="3"/>
  <c r="E2293" i="3"/>
  <c r="D2293" i="3"/>
  <c r="C2293" i="3"/>
  <c r="B2293" i="3"/>
  <c r="A2293" i="3"/>
  <c r="O2292" i="3"/>
  <c r="N2292" i="3"/>
  <c r="M2292" i="3"/>
  <c r="L2292" i="3"/>
  <c r="K2292" i="3"/>
  <c r="J2292" i="3"/>
  <c r="I2292" i="3"/>
  <c r="H2292" i="3"/>
  <c r="G2292" i="3"/>
  <c r="F2292" i="3"/>
  <c r="E2292" i="3"/>
  <c r="D2292" i="3"/>
  <c r="C2292" i="3"/>
  <c r="B2292" i="3"/>
  <c r="A2292" i="3"/>
  <c r="O2291" i="3"/>
  <c r="N2291" i="3"/>
  <c r="M2291" i="3"/>
  <c r="L2291" i="3"/>
  <c r="K2291" i="3"/>
  <c r="J2291" i="3"/>
  <c r="I2291" i="3"/>
  <c r="H2291" i="3"/>
  <c r="G2291" i="3"/>
  <c r="F2291" i="3"/>
  <c r="E2291" i="3"/>
  <c r="D2291" i="3"/>
  <c r="C2291" i="3"/>
  <c r="B2291" i="3"/>
  <c r="A2291" i="3"/>
  <c r="O2290" i="3"/>
  <c r="N2290" i="3"/>
  <c r="M2290" i="3"/>
  <c r="L2290" i="3"/>
  <c r="K2290" i="3"/>
  <c r="J2290" i="3"/>
  <c r="I2290" i="3"/>
  <c r="H2290" i="3"/>
  <c r="G2290" i="3"/>
  <c r="F2290" i="3"/>
  <c r="E2290" i="3"/>
  <c r="D2290" i="3"/>
  <c r="C2290" i="3"/>
  <c r="B2290" i="3"/>
  <c r="A2290" i="3"/>
  <c r="O2289" i="3"/>
  <c r="N2289" i="3"/>
  <c r="M2289" i="3"/>
  <c r="L2289" i="3"/>
  <c r="K2289" i="3"/>
  <c r="J2289" i="3"/>
  <c r="I2289" i="3"/>
  <c r="H2289" i="3"/>
  <c r="G2289" i="3"/>
  <c r="F2289" i="3"/>
  <c r="E2289" i="3"/>
  <c r="D2289" i="3"/>
  <c r="C2289" i="3"/>
  <c r="B2289" i="3"/>
  <c r="A2289" i="3"/>
  <c r="O2288" i="3"/>
  <c r="N2288" i="3"/>
  <c r="M2288" i="3"/>
  <c r="L2288" i="3"/>
  <c r="K2288" i="3"/>
  <c r="J2288" i="3"/>
  <c r="I2288" i="3"/>
  <c r="H2288" i="3"/>
  <c r="G2288" i="3"/>
  <c r="F2288" i="3"/>
  <c r="E2288" i="3"/>
  <c r="D2288" i="3"/>
  <c r="C2288" i="3"/>
  <c r="B2288" i="3"/>
  <c r="A2288" i="3"/>
  <c r="O2287" i="3"/>
  <c r="N2287" i="3"/>
  <c r="M2287" i="3"/>
  <c r="L2287" i="3"/>
  <c r="K2287" i="3"/>
  <c r="J2287" i="3"/>
  <c r="I2287" i="3"/>
  <c r="H2287" i="3"/>
  <c r="G2287" i="3"/>
  <c r="F2287" i="3"/>
  <c r="E2287" i="3"/>
  <c r="D2287" i="3"/>
  <c r="C2287" i="3"/>
  <c r="B2287" i="3"/>
  <c r="A2287" i="3"/>
  <c r="O2286" i="3"/>
  <c r="N2286" i="3"/>
  <c r="M2286" i="3"/>
  <c r="L2286" i="3"/>
  <c r="K2286" i="3"/>
  <c r="J2286" i="3"/>
  <c r="I2286" i="3"/>
  <c r="H2286" i="3"/>
  <c r="G2286" i="3"/>
  <c r="F2286" i="3"/>
  <c r="E2286" i="3"/>
  <c r="D2286" i="3"/>
  <c r="C2286" i="3"/>
  <c r="B2286" i="3"/>
  <c r="A2286" i="3"/>
  <c r="O2285" i="3"/>
  <c r="N2285" i="3"/>
  <c r="M2285" i="3"/>
  <c r="L2285" i="3"/>
  <c r="K2285" i="3"/>
  <c r="J2285" i="3"/>
  <c r="I2285" i="3"/>
  <c r="H2285" i="3"/>
  <c r="G2285" i="3"/>
  <c r="F2285" i="3"/>
  <c r="E2285" i="3"/>
  <c r="D2285" i="3"/>
  <c r="C2285" i="3"/>
  <c r="B2285" i="3"/>
  <c r="A2285" i="3"/>
  <c r="O2284" i="3"/>
  <c r="N2284" i="3"/>
  <c r="M2284" i="3"/>
  <c r="L2284" i="3"/>
  <c r="K2284" i="3"/>
  <c r="J2284" i="3"/>
  <c r="I2284" i="3"/>
  <c r="H2284" i="3"/>
  <c r="G2284" i="3"/>
  <c r="F2284" i="3"/>
  <c r="E2284" i="3"/>
  <c r="D2284" i="3"/>
  <c r="C2284" i="3"/>
  <c r="B2284" i="3"/>
  <c r="A2284" i="3"/>
  <c r="O2283" i="3"/>
  <c r="N2283" i="3"/>
  <c r="M2283" i="3"/>
  <c r="L2283" i="3"/>
  <c r="K2283" i="3"/>
  <c r="J2283" i="3"/>
  <c r="I2283" i="3"/>
  <c r="H2283" i="3"/>
  <c r="G2283" i="3"/>
  <c r="F2283" i="3"/>
  <c r="E2283" i="3"/>
  <c r="D2283" i="3"/>
  <c r="C2283" i="3"/>
  <c r="B2283" i="3"/>
  <c r="A2283" i="3"/>
  <c r="O2282" i="3"/>
  <c r="N2282" i="3"/>
  <c r="M2282" i="3"/>
  <c r="L2282" i="3"/>
  <c r="K2282" i="3"/>
  <c r="J2282" i="3"/>
  <c r="I2282" i="3"/>
  <c r="H2282" i="3"/>
  <c r="G2282" i="3"/>
  <c r="F2282" i="3"/>
  <c r="E2282" i="3"/>
  <c r="D2282" i="3"/>
  <c r="C2282" i="3"/>
  <c r="B2282" i="3"/>
  <c r="A2282" i="3"/>
  <c r="O2281" i="3"/>
  <c r="N2281" i="3"/>
  <c r="M2281" i="3"/>
  <c r="L2281" i="3"/>
  <c r="K2281" i="3"/>
  <c r="J2281" i="3"/>
  <c r="I2281" i="3"/>
  <c r="H2281" i="3"/>
  <c r="G2281" i="3"/>
  <c r="F2281" i="3"/>
  <c r="E2281" i="3"/>
  <c r="D2281" i="3"/>
  <c r="C2281" i="3"/>
  <c r="B2281" i="3"/>
  <c r="A2281" i="3"/>
  <c r="O2280" i="3"/>
  <c r="N2280" i="3"/>
  <c r="M2280" i="3"/>
  <c r="L2280" i="3"/>
  <c r="K2280" i="3"/>
  <c r="J2280" i="3"/>
  <c r="I2280" i="3"/>
  <c r="H2280" i="3"/>
  <c r="G2280" i="3"/>
  <c r="F2280" i="3"/>
  <c r="E2280" i="3"/>
  <c r="D2280" i="3"/>
  <c r="C2280" i="3"/>
  <c r="B2280" i="3"/>
  <c r="A2280" i="3"/>
  <c r="O2279" i="3"/>
  <c r="N2279" i="3"/>
  <c r="M2279" i="3"/>
  <c r="L2279" i="3"/>
  <c r="K2279" i="3"/>
  <c r="J2279" i="3"/>
  <c r="I2279" i="3"/>
  <c r="H2279" i="3"/>
  <c r="G2279" i="3"/>
  <c r="F2279" i="3"/>
  <c r="E2279" i="3"/>
  <c r="D2279" i="3"/>
  <c r="C2279" i="3"/>
  <c r="B2279" i="3"/>
  <c r="A2279" i="3"/>
  <c r="O2278" i="3"/>
  <c r="N2278" i="3"/>
  <c r="M2278" i="3"/>
  <c r="L2278" i="3"/>
  <c r="K2278" i="3"/>
  <c r="J2278" i="3"/>
  <c r="I2278" i="3"/>
  <c r="H2278" i="3"/>
  <c r="G2278" i="3"/>
  <c r="F2278" i="3"/>
  <c r="E2278" i="3"/>
  <c r="D2278" i="3"/>
  <c r="C2278" i="3"/>
  <c r="B2278" i="3"/>
  <c r="A2278" i="3"/>
  <c r="O2277" i="3"/>
  <c r="N2277" i="3"/>
  <c r="M2277" i="3"/>
  <c r="L2277" i="3"/>
  <c r="K2277" i="3"/>
  <c r="J2277" i="3"/>
  <c r="I2277" i="3"/>
  <c r="H2277" i="3"/>
  <c r="G2277" i="3"/>
  <c r="F2277" i="3"/>
  <c r="E2277" i="3"/>
  <c r="D2277" i="3"/>
  <c r="C2277" i="3"/>
  <c r="B2277" i="3"/>
  <c r="A2277" i="3"/>
  <c r="O2276" i="3"/>
  <c r="N2276" i="3"/>
  <c r="M2276" i="3"/>
  <c r="L2276" i="3"/>
  <c r="K2276" i="3"/>
  <c r="J2276" i="3"/>
  <c r="I2276" i="3"/>
  <c r="H2276" i="3"/>
  <c r="G2276" i="3"/>
  <c r="F2276" i="3"/>
  <c r="E2276" i="3"/>
  <c r="D2276" i="3"/>
  <c r="C2276" i="3"/>
  <c r="B2276" i="3"/>
  <c r="A2276" i="3"/>
  <c r="O2275" i="3"/>
  <c r="N2275" i="3"/>
  <c r="M2275" i="3"/>
  <c r="L2275" i="3"/>
  <c r="K2275" i="3"/>
  <c r="J2275" i="3"/>
  <c r="I2275" i="3"/>
  <c r="H2275" i="3"/>
  <c r="G2275" i="3"/>
  <c r="F2275" i="3"/>
  <c r="E2275" i="3"/>
  <c r="D2275" i="3"/>
  <c r="C2275" i="3"/>
  <c r="B2275" i="3"/>
  <c r="A2275" i="3"/>
  <c r="O2274" i="3"/>
  <c r="N2274" i="3"/>
  <c r="M2274" i="3"/>
  <c r="L2274" i="3"/>
  <c r="K2274" i="3"/>
  <c r="J2274" i="3"/>
  <c r="I2274" i="3"/>
  <c r="H2274" i="3"/>
  <c r="G2274" i="3"/>
  <c r="F2274" i="3"/>
  <c r="E2274" i="3"/>
  <c r="D2274" i="3"/>
  <c r="C2274" i="3"/>
  <c r="B2274" i="3"/>
  <c r="A2274" i="3"/>
  <c r="O2273" i="3"/>
  <c r="N2273" i="3"/>
  <c r="M2273" i="3"/>
  <c r="L2273" i="3"/>
  <c r="K2273" i="3"/>
  <c r="J2273" i="3"/>
  <c r="I2273" i="3"/>
  <c r="H2273" i="3"/>
  <c r="G2273" i="3"/>
  <c r="F2273" i="3"/>
  <c r="E2273" i="3"/>
  <c r="D2273" i="3"/>
  <c r="C2273" i="3"/>
  <c r="B2273" i="3"/>
  <c r="A2273" i="3"/>
  <c r="O2272" i="3"/>
  <c r="N2272" i="3"/>
  <c r="M2272" i="3"/>
  <c r="L2272" i="3"/>
  <c r="K2272" i="3"/>
  <c r="J2272" i="3"/>
  <c r="I2272" i="3"/>
  <c r="H2272" i="3"/>
  <c r="G2272" i="3"/>
  <c r="F2272" i="3"/>
  <c r="E2272" i="3"/>
  <c r="D2272" i="3"/>
  <c r="C2272" i="3"/>
  <c r="B2272" i="3"/>
  <c r="A2272" i="3"/>
  <c r="O2271" i="3"/>
  <c r="N2271" i="3"/>
  <c r="M2271" i="3"/>
  <c r="L2271" i="3"/>
  <c r="K2271" i="3"/>
  <c r="J2271" i="3"/>
  <c r="I2271" i="3"/>
  <c r="H2271" i="3"/>
  <c r="G2271" i="3"/>
  <c r="F2271" i="3"/>
  <c r="E2271" i="3"/>
  <c r="D2271" i="3"/>
  <c r="C2271" i="3"/>
  <c r="B2271" i="3"/>
  <c r="A2271" i="3"/>
  <c r="O2270" i="3"/>
  <c r="N2270" i="3"/>
  <c r="M2270" i="3"/>
  <c r="L2270" i="3"/>
  <c r="K2270" i="3"/>
  <c r="J2270" i="3"/>
  <c r="I2270" i="3"/>
  <c r="H2270" i="3"/>
  <c r="G2270" i="3"/>
  <c r="F2270" i="3"/>
  <c r="E2270" i="3"/>
  <c r="D2270" i="3"/>
  <c r="C2270" i="3"/>
  <c r="B2270" i="3"/>
  <c r="A2270" i="3"/>
  <c r="O2269" i="3"/>
  <c r="N2269" i="3"/>
  <c r="M2269" i="3"/>
  <c r="L2269" i="3"/>
  <c r="K2269" i="3"/>
  <c r="J2269" i="3"/>
  <c r="I2269" i="3"/>
  <c r="H2269" i="3"/>
  <c r="G2269" i="3"/>
  <c r="F2269" i="3"/>
  <c r="E2269" i="3"/>
  <c r="D2269" i="3"/>
  <c r="C2269" i="3"/>
  <c r="B2269" i="3"/>
  <c r="A2269" i="3"/>
  <c r="O2268" i="3"/>
  <c r="N2268" i="3"/>
  <c r="M2268" i="3"/>
  <c r="L2268" i="3"/>
  <c r="K2268" i="3"/>
  <c r="J2268" i="3"/>
  <c r="I2268" i="3"/>
  <c r="H2268" i="3"/>
  <c r="G2268" i="3"/>
  <c r="F2268" i="3"/>
  <c r="E2268" i="3"/>
  <c r="D2268" i="3"/>
  <c r="C2268" i="3"/>
  <c r="B2268" i="3"/>
  <c r="A2268" i="3"/>
  <c r="O2267" i="3"/>
  <c r="N2267" i="3"/>
  <c r="M2267" i="3"/>
  <c r="L2267" i="3"/>
  <c r="K2267" i="3"/>
  <c r="J2267" i="3"/>
  <c r="I2267" i="3"/>
  <c r="H2267" i="3"/>
  <c r="G2267" i="3"/>
  <c r="F2267" i="3"/>
  <c r="E2267" i="3"/>
  <c r="D2267" i="3"/>
  <c r="C2267" i="3"/>
  <c r="B2267" i="3"/>
  <c r="A2267" i="3"/>
  <c r="O2266" i="3"/>
  <c r="N2266" i="3"/>
  <c r="M2266" i="3"/>
  <c r="L2266" i="3"/>
  <c r="K2266" i="3"/>
  <c r="J2266" i="3"/>
  <c r="I2266" i="3"/>
  <c r="H2266" i="3"/>
  <c r="G2266" i="3"/>
  <c r="F2266" i="3"/>
  <c r="E2266" i="3"/>
  <c r="D2266" i="3"/>
  <c r="C2266" i="3"/>
  <c r="B2266" i="3"/>
  <c r="A2266" i="3"/>
  <c r="O2265" i="3"/>
  <c r="N2265" i="3"/>
  <c r="M2265" i="3"/>
  <c r="L2265" i="3"/>
  <c r="K2265" i="3"/>
  <c r="J2265" i="3"/>
  <c r="I2265" i="3"/>
  <c r="H2265" i="3"/>
  <c r="G2265" i="3"/>
  <c r="F2265" i="3"/>
  <c r="E2265" i="3"/>
  <c r="D2265" i="3"/>
  <c r="C2265" i="3"/>
  <c r="B2265" i="3"/>
  <c r="A2265" i="3"/>
  <c r="O2264" i="3"/>
  <c r="N2264" i="3"/>
  <c r="M2264" i="3"/>
  <c r="L2264" i="3"/>
  <c r="K2264" i="3"/>
  <c r="J2264" i="3"/>
  <c r="I2264" i="3"/>
  <c r="H2264" i="3"/>
  <c r="G2264" i="3"/>
  <c r="F2264" i="3"/>
  <c r="E2264" i="3"/>
  <c r="D2264" i="3"/>
  <c r="C2264" i="3"/>
  <c r="B2264" i="3"/>
  <c r="A2264" i="3"/>
  <c r="O2263" i="3"/>
  <c r="N2263" i="3"/>
  <c r="M2263" i="3"/>
  <c r="L2263" i="3"/>
  <c r="K2263" i="3"/>
  <c r="J2263" i="3"/>
  <c r="I2263" i="3"/>
  <c r="H2263" i="3"/>
  <c r="G2263" i="3"/>
  <c r="F2263" i="3"/>
  <c r="E2263" i="3"/>
  <c r="D2263" i="3"/>
  <c r="C2263" i="3"/>
  <c r="B2263" i="3"/>
  <c r="A2263" i="3"/>
  <c r="O2262" i="3"/>
  <c r="N2262" i="3"/>
  <c r="M2262" i="3"/>
  <c r="L2262" i="3"/>
  <c r="K2262" i="3"/>
  <c r="J2262" i="3"/>
  <c r="I2262" i="3"/>
  <c r="H2262" i="3"/>
  <c r="G2262" i="3"/>
  <c r="F2262" i="3"/>
  <c r="E2262" i="3"/>
  <c r="D2262" i="3"/>
  <c r="C2262" i="3"/>
  <c r="B2262" i="3"/>
  <c r="A2262" i="3"/>
  <c r="O2261" i="3"/>
  <c r="N2261" i="3"/>
  <c r="M2261" i="3"/>
  <c r="L2261" i="3"/>
  <c r="K2261" i="3"/>
  <c r="J2261" i="3"/>
  <c r="I2261" i="3"/>
  <c r="H2261" i="3"/>
  <c r="G2261" i="3"/>
  <c r="F2261" i="3"/>
  <c r="E2261" i="3"/>
  <c r="D2261" i="3"/>
  <c r="C2261" i="3"/>
  <c r="B2261" i="3"/>
  <c r="A2261" i="3"/>
  <c r="O2260" i="3"/>
  <c r="N2260" i="3"/>
  <c r="M2260" i="3"/>
  <c r="L2260" i="3"/>
  <c r="K2260" i="3"/>
  <c r="J2260" i="3"/>
  <c r="I2260" i="3"/>
  <c r="H2260" i="3"/>
  <c r="G2260" i="3"/>
  <c r="F2260" i="3"/>
  <c r="E2260" i="3"/>
  <c r="D2260" i="3"/>
  <c r="C2260" i="3"/>
  <c r="B2260" i="3"/>
  <c r="A2260" i="3"/>
  <c r="O2259" i="3"/>
  <c r="N2259" i="3"/>
  <c r="M2259" i="3"/>
  <c r="L2259" i="3"/>
  <c r="K2259" i="3"/>
  <c r="J2259" i="3"/>
  <c r="I2259" i="3"/>
  <c r="H2259" i="3"/>
  <c r="G2259" i="3"/>
  <c r="F2259" i="3"/>
  <c r="E2259" i="3"/>
  <c r="D2259" i="3"/>
  <c r="C2259" i="3"/>
  <c r="B2259" i="3"/>
  <c r="A2259" i="3"/>
  <c r="O2258" i="3"/>
  <c r="N2258" i="3"/>
  <c r="M2258" i="3"/>
  <c r="L2258" i="3"/>
  <c r="K2258" i="3"/>
  <c r="J2258" i="3"/>
  <c r="I2258" i="3"/>
  <c r="H2258" i="3"/>
  <c r="G2258" i="3"/>
  <c r="F2258" i="3"/>
  <c r="E2258" i="3"/>
  <c r="D2258" i="3"/>
  <c r="C2258" i="3"/>
  <c r="B2258" i="3"/>
  <c r="A2258" i="3"/>
  <c r="O2257" i="3"/>
  <c r="N2257" i="3"/>
  <c r="M2257" i="3"/>
  <c r="L2257" i="3"/>
  <c r="K2257" i="3"/>
  <c r="J2257" i="3"/>
  <c r="I2257" i="3"/>
  <c r="H2257" i="3"/>
  <c r="G2257" i="3"/>
  <c r="F2257" i="3"/>
  <c r="E2257" i="3"/>
  <c r="D2257" i="3"/>
  <c r="C2257" i="3"/>
  <c r="B2257" i="3"/>
  <c r="A2257" i="3"/>
  <c r="O2256" i="3"/>
  <c r="N2256" i="3"/>
  <c r="M2256" i="3"/>
  <c r="L2256" i="3"/>
  <c r="K2256" i="3"/>
  <c r="J2256" i="3"/>
  <c r="I2256" i="3"/>
  <c r="H2256" i="3"/>
  <c r="G2256" i="3"/>
  <c r="F2256" i="3"/>
  <c r="E2256" i="3"/>
  <c r="D2256" i="3"/>
  <c r="C2256" i="3"/>
  <c r="B2256" i="3"/>
  <c r="A2256" i="3"/>
  <c r="O2255" i="3"/>
  <c r="N2255" i="3"/>
  <c r="M2255" i="3"/>
  <c r="L2255" i="3"/>
  <c r="K2255" i="3"/>
  <c r="J2255" i="3"/>
  <c r="I2255" i="3"/>
  <c r="H2255" i="3"/>
  <c r="G2255" i="3"/>
  <c r="F2255" i="3"/>
  <c r="E2255" i="3"/>
  <c r="D2255" i="3"/>
  <c r="C2255" i="3"/>
  <c r="B2255" i="3"/>
  <c r="A2255" i="3"/>
  <c r="O2254" i="3"/>
  <c r="N2254" i="3"/>
  <c r="M2254" i="3"/>
  <c r="L2254" i="3"/>
  <c r="K2254" i="3"/>
  <c r="J2254" i="3"/>
  <c r="I2254" i="3"/>
  <c r="H2254" i="3"/>
  <c r="G2254" i="3"/>
  <c r="F2254" i="3"/>
  <c r="E2254" i="3"/>
  <c r="D2254" i="3"/>
  <c r="C2254" i="3"/>
  <c r="B2254" i="3"/>
  <c r="A2254" i="3"/>
  <c r="O2253" i="3"/>
  <c r="N2253" i="3"/>
  <c r="M2253" i="3"/>
  <c r="L2253" i="3"/>
  <c r="K2253" i="3"/>
  <c r="J2253" i="3"/>
  <c r="I2253" i="3"/>
  <c r="H2253" i="3"/>
  <c r="G2253" i="3"/>
  <c r="F2253" i="3"/>
  <c r="E2253" i="3"/>
  <c r="D2253" i="3"/>
  <c r="C2253" i="3"/>
  <c r="B2253" i="3"/>
  <c r="A2253" i="3"/>
  <c r="O2252" i="3"/>
  <c r="N2252" i="3"/>
  <c r="M2252" i="3"/>
  <c r="L2252" i="3"/>
  <c r="K2252" i="3"/>
  <c r="J2252" i="3"/>
  <c r="I2252" i="3"/>
  <c r="H2252" i="3"/>
  <c r="G2252" i="3"/>
  <c r="F2252" i="3"/>
  <c r="E2252" i="3"/>
  <c r="D2252" i="3"/>
  <c r="C2252" i="3"/>
  <c r="B2252" i="3"/>
  <c r="A2252" i="3"/>
  <c r="O2251" i="3"/>
  <c r="N2251" i="3"/>
  <c r="M2251" i="3"/>
  <c r="L2251" i="3"/>
  <c r="K2251" i="3"/>
  <c r="J2251" i="3"/>
  <c r="I2251" i="3"/>
  <c r="H2251" i="3"/>
  <c r="G2251" i="3"/>
  <c r="F2251" i="3"/>
  <c r="E2251" i="3"/>
  <c r="D2251" i="3"/>
  <c r="C2251" i="3"/>
  <c r="B2251" i="3"/>
  <c r="A2251" i="3"/>
  <c r="O2250" i="3"/>
  <c r="N2250" i="3"/>
  <c r="M2250" i="3"/>
  <c r="L2250" i="3"/>
  <c r="K2250" i="3"/>
  <c r="J2250" i="3"/>
  <c r="I2250" i="3"/>
  <c r="H2250" i="3"/>
  <c r="G2250" i="3"/>
  <c r="F2250" i="3"/>
  <c r="E2250" i="3"/>
  <c r="D2250" i="3"/>
  <c r="C2250" i="3"/>
  <c r="B2250" i="3"/>
  <c r="A2250" i="3"/>
  <c r="O2249" i="3"/>
  <c r="N2249" i="3"/>
  <c r="M2249" i="3"/>
  <c r="L2249" i="3"/>
  <c r="K2249" i="3"/>
  <c r="J2249" i="3"/>
  <c r="I2249" i="3"/>
  <c r="H2249" i="3"/>
  <c r="G2249" i="3"/>
  <c r="F2249" i="3"/>
  <c r="E2249" i="3"/>
  <c r="D2249" i="3"/>
  <c r="C2249" i="3"/>
  <c r="B2249" i="3"/>
  <c r="A2249" i="3"/>
  <c r="O2248" i="3"/>
  <c r="N2248" i="3"/>
  <c r="M2248" i="3"/>
  <c r="L2248" i="3"/>
  <c r="K2248" i="3"/>
  <c r="J2248" i="3"/>
  <c r="I2248" i="3"/>
  <c r="H2248" i="3"/>
  <c r="G2248" i="3"/>
  <c r="F2248" i="3"/>
  <c r="E2248" i="3"/>
  <c r="D2248" i="3"/>
  <c r="C2248" i="3"/>
  <c r="B2248" i="3"/>
  <c r="A2248" i="3"/>
  <c r="O2247" i="3"/>
  <c r="N2247" i="3"/>
  <c r="M2247" i="3"/>
  <c r="L2247" i="3"/>
  <c r="K2247" i="3"/>
  <c r="J2247" i="3"/>
  <c r="I2247" i="3"/>
  <c r="H2247" i="3"/>
  <c r="G2247" i="3"/>
  <c r="F2247" i="3"/>
  <c r="E2247" i="3"/>
  <c r="D2247" i="3"/>
  <c r="C2247" i="3"/>
  <c r="B2247" i="3"/>
  <c r="A2247" i="3"/>
  <c r="O2246" i="3"/>
  <c r="N2246" i="3"/>
  <c r="M2246" i="3"/>
  <c r="L2246" i="3"/>
  <c r="K2246" i="3"/>
  <c r="J2246" i="3"/>
  <c r="I2246" i="3"/>
  <c r="H2246" i="3"/>
  <c r="G2246" i="3"/>
  <c r="F2246" i="3"/>
  <c r="E2246" i="3"/>
  <c r="D2246" i="3"/>
  <c r="C2246" i="3"/>
  <c r="B2246" i="3"/>
  <c r="A2246" i="3"/>
  <c r="O2245" i="3"/>
  <c r="N2245" i="3"/>
  <c r="M2245" i="3"/>
  <c r="L2245" i="3"/>
  <c r="K2245" i="3"/>
  <c r="J2245" i="3"/>
  <c r="I2245" i="3"/>
  <c r="H2245" i="3"/>
  <c r="G2245" i="3"/>
  <c r="F2245" i="3"/>
  <c r="E2245" i="3"/>
  <c r="D2245" i="3"/>
  <c r="C2245" i="3"/>
  <c r="B2245" i="3"/>
  <c r="A2245" i="3"/>
  <c r="O2244" i="3"/>
  <c r="N2244" i="3"/>
  <c r="M2244" i="3"/>
  <c r="L2244" i="3"/>
  <c r="K2244" i="3"/>
  <c r="J2244" i="3"/>
  <c r="I2244" i="3"/>
  <c r="H2244" i="3"/>
  <c r="G2244" i="3"/>
  <c r="F2244" i="3"/>
  <c r="E2244" i="3"/>
  <c r="D2244" i="3"/>
  <c r="C2244" i="3"/>
  <c r="B2244" i="3"/>
  <c r="A2244" i="3"/>
  <c r="O2243" i="3"/>
  <c r="N2243" i="3"/>
  <c r="M2243" i="3"/>
  <c r="L2243" i="3"/>
  <c r="K2243" i="3"/>
  <c r="J2243" i="3"/>
  <c r="I2243" i="3"/>
  <c r="H2243" i="3"/>
  <c r="G2243" i="3"/>
  <c r="F2243" i="3"/>
  <c r="E2243" i="3"/>
  <c r="D2243" i="3"/>
  <c r="C2243" i="3"/>
  <c r="B2243" i="3"/>
  <c r="A2243" i="3"/>
  <c r="O2242" i="3"/>
  <c r="N2242" i="3"/>
  <c r="M2242" i="3"/>
  <c r="L2242" i="3"/>
  <c r="K2242" i="3"/>
  <c r="J2242" i="3"/>
  <c r="I2242" i="3"/>
  <c r="H2242" i="3"/>
  <c r="G2242" i="3"/>
  <c r="F2242" i="3"/>
  <c r="E2242" i="3"/>
  <c r="D2242" i="3"/>
  <c r="C2242" i="3"/>
  <c r="B2242" i="3"/>
  <c r="A2242" i="3"/>
  <c r="O2241" i="3"/>
  <c r="N2241" i="3"/>
  <c r="M2241" i="3"/>
  <c r="L2241" i="3"/>
  <c r="K2241" i="3"/>
  <c r="J2241" i="3"/>
  <c r="I2241" i="3"/>
  <c r="H2241" i="3"/>
  <c r="G2241" i="3"/>
  <c r="F2241" i="3"/>
  <c r="E2241" i="3"/>
  <c r="D2241" i="3"/>
  <c r="C2241" i="3"/>
  <c r="B2241" i="3"/>
  <c r="A2241" i="3"/>
  <c r="O2240" i="3"/>
  <c r="N2240" i="3"/>
  <c r="M2240" i="3"/>
  <c r="L2240" i="3"/>
  <c r="K2240" i="3"/>
  <c r="J2240" i="3"/>
  <c r="I2240" i="3"/>
  <c r="H2240" i="3"/>
  <c r="G2240" i="3"/>
  <c r="F2240" i="3"/>
  <c r="E2240" i="3"/>
  <c r="D2240" i="3"/>
  <c r="C2240" i="3"/>
  <c r="B2240" i="3"/>
  <c r="A2240" i="3"/>
  <c r="O2239" i="3"/>
  <c r="N2239" i="3"/>
  <c r="M2239" i="3"/>
  <c r="L2239" i="3"/>
  <c r="K2239" i="3"/>
  <c r="J2239" i="3"/>
  <c r="I2239" i="3"/>
  <c r="H2239" i="3"/>
  <c r="G2239" i="3"/>
  <c r="F2239" i="3"/>
  <c r="E2239" i="3"/>
  <c r="D2239" i="3"/>
  <c r="C2239" i="3"/>
  <c r="B2239" i="3"/>
  <c r="A2239" i="3"/>
  <c r="O2238" i="3"/>
  <c r="N2238" i="3"/>
  <c r="M2238" i="3"/>
  <c r="L2238" i="3"/>
  <c r="K2238" i="3"/>
  <c r="J2238" i="3"/>
  <c r="I2238" i="3"/>
  <c r="H2238" i="3"/>
  <c r="G2238" i="3"/>
  <c r="F2238" i="3"/>
  <c r="E2238" i="3"/>
  <c r="D2238" i="3"/>
  <c r="C2238" i="3"/>
  <c r="B2238" i="3"/>
  <c r="A2238" i="3"/>
  <c r="O2237" i="3"/>
  <c r="N2237" i="3"/>
  <c r="M2237" i="3"/>
  <c r="L2237" i="3"/>
  <c r="K2237" i="3"/>
  <c r="J2237" i="3"/>
  <c r="I2237" i="3"/>
  <c r="H2237" i="3"/>
  <c r="G2237" i="3"/>
  <c r="F2237" i="3"/>
  <c r="E2237" i="3"/>
  <c r="D2237" i="3"/>
  <c r="C2237" i="3"/>
  <c r="B2237" i="3"/>
  <c r="A2237" i="3"/>
  <c r="O2236" i="3"/>
  <c r="N2236" i="3"/>
  <c r="M2236" i="3"/>
  <c r="L2236" i="3"/>
  <c r="K2236" i="3"/>
  <c r="J2236" i="3"/>
  <c r="I2236" i="3"/>
  <c r="H2236" i="3"/>
  <c r="G2236" i="3"/>
  <c r="F2236" i="3"/>
  <c r="E2236" i="3"/>
  <c r="D2236" i="3"/>
  <c r="C2236" i="3"/>
  <c r="B2236" i="3"/>
  <c r="A2236" i="3"/>
  <c r="O2235" i="3"/>
  <c r="N2235" i="3"/>
  <c r="M2235" i="3"/>
  <c r="L2235" i="3"/>
  <c r="K2235" i="3"/>
  <c r="J2235" i="3"/>
  <c r="I2235" i="3"/>
  <c r="H2235" i="3"/>
  <c r="G2235" i="3"/>
  <c r="F2235" i="3"/>
  <c r="E2235" i="3"/>
  <c r="D2235" i="3"/>
  <c r="C2235" i="3"/>
  <c r="B2235" i="3"/>
  <c r="A2235" i="3"/>
  <c r="O2234" i="3"/>
  <c r="N2234" i="3"/>
  <c r="M2234" i="3"/>
  <c r="L2234" i="3"/>
  <c r="K2234" i="3"/>
  <c r="J2234" i="3"/>
  <c r="I2234" i="3"/>
  <c r="H2234" i="3"/>
  <c r="G2234" i="3"/>
  <c r="F2234" i="3"/>
  <c r="E2234" i="3"/>
  <c r="D2234" i="3"/>
  <c r="C2234" i="3"/>
  <c r="B2234" i="3"/>
  <c r="A2234" i="3"/>
  <c r="O2233" i="3"/>
  <c r="N2233" i="3"/>
  <c r="M2233" i="3"/>
  <c r="L2233" i="3"/>
  <c r="K2233" i="3"/>
  <c r="J2233" i="3"/>
  <c r="I2233" i="3"/>
  <c r="H2233" i="3"/>
  <c r="G2233" i="3"/>
  <c r="F2233" i="3"/>
  <c r="E2233" i="3"/>
  <c r="D2233" i="3"/>
  <c r="C2233" i="3"/>
  <c r="B2233" i="3"/>
  <c r="A2233" i="3"/>
  <c r="O2232" i="3"/>
  <c r="N2232" i="3"/>
  <c r="M2232" i="3"/>
  <c r="L2232" i="3"/>
  <c r="K2232" i="3"/>
  <c r="J2232" i="3"/>
  <c r="I2232" i="3"/>
  <c r="H2232" i="3"/>
  <c r="G2232" i="3"/>
  <c r="F2232" i="3"/>
  <c r="E2232" i="3"/>
  <c r="D2232" i="3"/>
  <c r="C2232" i="3"/>
  <c r="B2232" i="3"/>
  <c r="A2232" i="3"/>
  <c r="O2231" i="3"/>
  <c r="N2231" i="3"/>
  <c r="M2231" i="3"/>
  <c r="L2231" i="3"/>
  <c r="K2231" i="3"/>
  <c r="J2231" i="3"/>
  <c r="I2231" i="3"/>
  <c r="H2231" i="3"/>
  <c r="G2231" i="3"/>
  <c r="F2231" i="3"/>
  <c r="E2231" i="3"/>
  <c r="D2231" i="3"/>
  <c r="C2231" i="3"/>
  <c r="B2231" i="3"/>
  <c r="A2231" i="3"/>
  <c r="O2230" i="3"/>
  <c r="N2230" i="3"/>
  <c r="M2230" i="3"/>
  <c r="L2230" i="3"/>
  <c r="K2230" i="3"/>
  <c r="J2230" i="3"/>
  <c r="I2230" i="3"/>
  <c r="H2230" i="3"/>
  <c r="G2230" i="3"/>
  <c r="F2230" i="3"/>
  <c r="E2230" i="3"/>
  <c r="D2230" i="3"/>
  <c r="C2230" i="3"/>
  <c r="B2230" i="3"/>
  <c r="A2230" i="3"/>
  <c r="O2229" i="3"/>
  <c r="N2229" i="3"/>
  <c r="M2229" i="3"/>
  <c r="L2229" i="3"/>
  <c r="K2229" i="3"/>
  <c r="J2229" i="3"/>
  <c r="I2229" i="3"/>
  <c r="H2229" i="3"/>
  <c r="G2229" i="3"/>
  <c r="F2229" i="3"/>
  <c r="E2229" i="3"/>
  <c r="D2229" i="3"/>
  <c r="C2229" i="3"/>
  <c r="B2229" i="3"/>
  <c r="A2229" i="3"/>
  <c r="O2228" i="3"/>
  <c r="N2228" i="3"/>
  <c r="M2228" i="3"/>
  <c r="L2228" i="3"/>
  <c r="K2228" i="3"/>
  <c r="J2228" i="3"/>
  <c r="I2228" i="3"/>
  <c r="H2228" i="3"/>
  <c r="G2228" i="3"/>
  <c r="F2228" i="3"/>
  <c r="E2228" i="3"/>
  <c r="D2228" i="3"/>
  <c r="C2228" i="3"/>
  <c r="B2228" i="3"/>
  <c r="A2228" i="3"/>
  <c r="O2227" i="3"/>
  <c r="N2227" i="3"/>
  <c r="M2227" i="3"/>
  <c r="L2227" i="3"/>
  <c r="K2227" i="3"/>
  <c r="J2227" i="3"/>
  <c r="I2227" i="3"/>
  <c r="H2227" i="3"/>
  <c r="G2227" i="3"/>
  <c r="F2227" i="3"/>
  <c r="E2227" i="3"/>
  <c r="D2227" i="3"/>
  <c r="C2227" i="3"/>
  <c r="B2227" i="3"/>
  <c r="A2227" i="3"/>
  <c r="O2226" i="3"/>
  <c r="N2226" i="3"/>
  <c r="M2226" i="3"/>
  <c r="L2226" i="3"/>
  <c r="K2226" i="3"/>
  <c r="J2226" i="3"/>
  <c r="I2226" i="3"/>
  <c r="H2226" i="3"/>
  <c r="G2226" i="3"/>
  <c r="F2226" i="3"/>
  <c r="E2226" i="3"/>
  <c r="D2226" i="3"/>
  <c r="C2226" i="3"/>
  <c r="B2226" i="3"/>
  <c r="A2226" i="3"/>
  <c r="O2225" i="3"/>
  <c r="N2225" i="3"/>
  <c r="M2225" i="3"/>
  <c r="L2225" i="3"/>
  <c r="K2225" i="3"/>
  <c r="J2225" i="3"/>
  <c r="I2225" i="3"/>
  <c r="H2225" i="3"/>
  <c r="G2225" i="3"/>
  <c r="F2225" i="3"/>
  <c r="E2225" i="3"/>
  <c r="D2225" i="3"/>
  <c r="C2225" i="3"/>
  <c r="B2225" i="3"/>
  <c r="A2225" i="3"/>
  <c r="O2224" i="3"/>
  <c r="N2224" i="3"/>
  <c r="M2224" i="3"/>
  <c r="L2224" i="3"/>
  <c r="K2224" i="3"/>
  <c r="J2224" i="3"/>
  <c r="I2224" i="3"/>
  <c r="H2224" i="3"/>
  <c r="G2224" i="3"/>
  <c r="F2224" i="3"/>
  <c r="E2224" i="3"/>
  <c r="D2224" i="3"/>
  <c r="C2224" i="3"/>
  <c r="B2224" i="3"/>
  <c r="A2224" i="3"/>
  <c r="O2223" i="3"/>
  <c r="N2223" i="3"/>
  <c r="M2223" i="3"/>
  <c r="L2223" i="3"/>
  <c r="K2223" i="3"/>
  <c r="J2223" i="3"/>
  <c r="I2223" i="3"/>
  <c r="H2223" i="3"/>
  <c r="G2223" i="3"/>
  <c r="F2223" i="3"/>
  <c r="E2223" i="3"/>
  <c r="D2223" i="3"/>
  <c r="C2223" i="3"/>
  <c r="B2223" i="3"/>
  <c r="A2223" i="3"/>
  <c r="O2222" i="3"/>
  <c r="N2222" i="3"/>
  <c r="M2222" i="3"/>
  <c r="L2222" i="3"/>
  <c r="K2222" i="3"/>
  <c r="J2222" i="3"/>
  <c r="I2222" i="3"/>
  <c r="H2222" i="3"/>
  <c r="G2222" i="3"/>
  <c r="F2222" i="3"/>
  <c r="E2222" i="3"/>
  <c r="D2222" i="3"/>
  <c r="C2222" i="3"/>
  <c r="B2222" i="3"/>
  <c r="A2222" i="3"/>
  <c r="O2221" i="3"/>
  <c r="N2221" i="3"/>
  <c r="M2221" i="3"/>
  <c r="L2221" i="3"/>
  <c r="K2221" i="3"/>
  <c r="J2221" i="3"/>
  <c r="I2221" i="3"/>
  <c r="H2221" i="3"/>
  <c r="G2221" i="3"/>
  <c r="F2221" i="3"/>
  <c r="E2221" i="3"/>
  <c r="D2221" i="3"/>
  <c r="C2221" i="3"/>
  <c r="B2221" i="3"/>
  <c r="A2221" i="3"/>
  <c r="O2220" i="3"/>
  <c r="N2220" i="3"/>
  <c r="M2220" i="3"/>
  <c r="L2220" i="3"/>
  <c r="K2220" i="3"/>
  <c r="J2220" i="3"/>
  <c r="I2220" i="3"/>
  <c r="H2220" i="3"/>
  <c r="G2220" i="3"/>
  <c r="F2220" i="3"/>
  <c r="E2220" i="3"/>
  <c r="D2220" i="3"/>
  <c r="C2220" i="3"/>
  <c r="B2220" i="3"/>
  <c r="A2220" i="3"/>
  <c r="O2219" i="3"/>
  <c r="N2219" i="3"/>
  <c r="M2219" i="3"/>
  <c r="L2219" i="3"/>
  <c r="K2219" i="3"/>
  <c r="J2219" i="3"/>
  <c r="I2219" i="3"/>
  <c r="H2219" i="3"/>
  <c r="G2219" i="3"/>
  <c r="F2219" i="3"/>
  <c r="E2219" i="3"/>
  <c r="D2219" i="3"/>
  <c r="C2219" i="3"/>
  <c r="B2219" i="3"/>
  <c r="A2219" i="3"/>
  <c r="O2218" i="3"/>
  <c r="N2218" i="3"/>
  <c r="M2218" i="3"/>
  <c r="L2218" i="3"/>
  <c r="K2218" i="3"/>
  <c r="J2218" i="3"/>
  <c r="I2218" i="3"/>
  <c r="H2218" i="3"/>
  <c r="G2218" i="3"/>
  <c r="F2218" i="3"/>
  <c r="E2218" i="3"/>
  <c r="D2218" i="3"/>
  <c r="C2218" i="3"/>
  <c r="B2218" i="3"/>
  <c r="A2218" i="3"/>
  <c r="O2217" i="3"/>
  <c r="N2217" i="3"/>
  <c r="M2217" i="3"/>
  <c r="L2217" i="3"/>
  <c r="K2217" i="3"/>
  <c r="J2217" i="3"/>
  <c r="I2217" i="3"/>
  <c r="H2217" i="3"/>
  <c r="G2217" i="3"/>
  <c r="F2217" i="3"/>
  <c r="E2217" i="3"/>
  <c r="D2217" i="3"/>
  <c r="C2217" i="3"/>
  <c r="B2217" i="3"/>
  <c r="A2217" i="3"/>
  <c r="O2216" i="3"/>
  <c r="N2216" i="3"/>
  <c r="M2216" i="3"/>
  <c r="L2216" i="3"/>
  <c r="K2216" i="3"/>
  <c r="J2216" i="3"/>
  <c r="I2216" i="3"/>
  <c r="H2216" i="3"/>
  <c r="G2216" i="3"/>
  <c r="F2216" i="3"/>
  <c r="E2216" i="3"/>
  <c r="D2216" i="3"/>
  <c r="C2216" i="3"/>
  <c r="B2216" i="3"/>
  <c r="A2216" i="3"/>
  <c r="O2215" i="3"/>
  <c r="N2215" i="3"/>
  <c r="M2215" i="3"/>
  <c r="L2215" i="3"/>
  <c r="K2215" i="3"/>
  <c r="J2215" i="3"/>
  <c r="I2215" i="3"/>
  <c r="H2215" i="3"/>
  <c r="G2215" i="3"/>
  <c r="F2215" i="3"/>
  <c r="E2215" i="3"/>
  <c r="D2215" i="3"/>
  <c r="C2215" i="3"/>
  <c r="B2215" i="3"/>
  <c r="A2215" i="3"/>
  <c r="O2214" i="3"/>
  <c r="N2214" i="3"/>
  <c r="M2214" i="3"/>
  <c r="L2214" i="3"/>
  <c r="K2214" i="3"/>
  <c r="J2214" i="3"/>
  <c r="I2214" i="3"/>
  <c r="H2214" i="3"/>
  <c r="G2214" i="3"/>
  <c r="F2214" i="3"/>
  <c r="E2214" i="3"/>
  <c r="D2214" i="3"/>
  <c r="C2214" i="3"/>
  <c r="B2214" i="3"/>
  <c r="A2214" i="3"/>
  <c r="O2213" i="3"/>
  <c r="N2213" i="3"/>
  <c r="M2213" i="3"/>
  <c r="L2213" i="3"/>
  <c r="K2213" i="3"/>
  <c r="J2213" i="3"/>
  <c r="I2213" i="3"/>
  <c r="H2213" i="3"/>
  <c r="G2213" i="3"/>
  <c r="F2213" i="3"/>
  <c r="E2213" i="3"/>
  <c r="D2213" i="3"/>
  <c r="C2213" i="3"/>
  <c r="B2213" i="3"/>
  <c r="A2213" i="3"/>
  <c r="O2212" i="3"/>
  <c r="N2212" i="3"/>
  <c r="M2212" i="3"/>
  <c r="L2212" i="3"/>
  <c r="K2212" i="3"/>
  <c r="J2212" i="3"/>
  <c r="I2212" i="3"/>
  <c r="H2212" i="3"/>
  <c r="G2212" i="3"/>
  <c r="F2212" i="3"/>
  <c r="E2212" i="3"/>
  <c r="D2212" i="3"/>
  <c r="C2212" i="3"/>
  <c r="B2212" i="3"/>
  <c r="A2212" i="3"/>
  <c r="O2211" i="3"/>
  <c r="N2211" i="3"/>
  <c r="M2211" i="3"/>
  <c r="L2211" i="3"/>
  <c r="K2211" i="3"/>
  <c r="J2211" i="3"/>
  <c r="I2211" i="3"/>
  <c r="H2211" i="3"/>
  <c r="G2211" i="3"/>
  <c r="F2211" i="3"/>
  <c r="E2211" i="3"/>
  <c r="D2211" i="3"/>
  <c r="C2211" i="3"/>
  <c r="B2211" i="3"/>
  <c r="A2211" i="3"/>
  <c r="O2210" i="3"/>
  <c r="N2210" i="3"/>
  <c r="M2210" i="3"/>
  <c r="L2210" i="3"/>
  <c r="K2210" i="3"/>
  <c r="J2210" i="3"/>
  <c r="I2210" i="3"/>
  <c r="H2210" i="3"/>
  <c r="G2210" i="3"/>
  <c r="F2210" i="3"/>
  <c r="E2210" i="3"/>
  <c r="D2210" i="3"/>
  <c r="C2210" i="3"/>
  <c r="B2210" i="3"/>
  <c r="A2210" i="3"/>
  <c r="O2209" i="3"/>
  <c r="N2209" i="3"/>
  <c r="M2209" i="3"/>
  <c r="L2209" i="3"/>
  <c r="K2209" i="3"/>
  <c r="J2209" i="3"/>
  <c r="I2209" i="3"/>
  <c r="H2209" i="3"/>
  <c r="G2209" i="3"/>
  <c r="F2209" i="3"/>
  <c r="E2209" i="3"/>
  <c r="D2209" i="3"/>
  <c r="C2209" i="3"/>
  <c r="B2209" i="3"/>
  <c r="A2209" i="3"/>
  <c r="O2208" i="3"/>
  <c r="N2208" i="3"/>
  <c r="M2208" i="3"/>
  <c r="L2208" i="3"/>
  <c r="K2208" i="3"/>
  <c r="J2208" i="3"/>
  <c r="I2208" i="3"/>
  <c r="H2208" i="3"/>
  <c r="G2208" i="3"/>
  <c r="F2208" i="3"/>
  <c r="E2208" i="3"/>
  <c r="D2208" i="3"/>
  <c r="C2208" i="3"/>
  <c r="B2208" i="3"/>
  <c r="A2208" i="3"/>
  <c r="O2207" i="3"/>
  <c r="N2207" i="3"/>
  <c r="M2207" i="3"/>
  <c r="L2207" i="3"/>
  <c r="K2207" i="3"/>
  <c r="J2207" i="3"/>
  <c r="I2207" i="3"/>
  <c r="H2207" i="3"/>
  <c r="G2207" i="3"/>
  <c r="F2207" i="3"/>
  <c r="E2207" i="3"/>
  <c r="D2207" i="3"/>
  <c r="C2207" i="3"/>
  <c r="B2207" i="3"/>
  <c r="A2207" i="3"/>
  <c r="O2206" i="3"/>
  <c r="N2206" i="3"/>
  <c r="M2206" i="3"/>
  <c r="L2206" i="3"/>
  <c r="K2206" i="3"/>
  <c r="J2206" i="3"/>
  <c r="I2206" i="3"/>
  <c r="H2206" i="3"/>
  <c r="G2206" i="3"/>
  <c r="F2206" i="3"/>
  <c r="E2206" i="3"/>
  <c r="D2206" i="3"/>
  <c r="C2206" i="3"/>
  <c r="B2206" i="3"/>
  <c r="A2206" i="3"/>
  <c r="O2205" i="3"/>
  <c r="N2205" i="3"/>
  <c r="M2205" i="3"/>
  <c r="L2205" i="3"/>
  <c r="K2205" i="3"/>
  <c r="J2205" i="3"/>
  <c r="I2205" i="3"/>
  <c r="H2205" i="3"/>
  <c r="G2205" i="3"/>
  <c r="F2205" i="3"/>
  <c r="E2205" i="3"/>
  <c r="D2205" i="3"/>
  <c r="C2205" i="3"/>
  <c r="B2205" i="3"/>
  <c r="A2205" i="3"/>
  <c r="O2204" i="3"/>
  <c r="N2204" i="3"/>
  <c r="M2204" i="3"/>
  <c r="L2204" i="3"/>
  <c r="K2204" i="3"/>
  <c r="J2204" i="3"/>
  <c r="I2204" i="3"/>
  <c r="H2204" i="3"/>
  <c r="G2204" i="3"/>
  <c r="F2204" i="3"/>
  <c r="E2204" i="3"/>
  <c r="D2204" i="3"/>
  <c r="C2204" i="3"/>
  <c r="B2204" i="3"/>
  <c r="A2204" i="3"/>
  <c r="O2203" i="3"/>
  <c r="N2203" i="3"/>
  <c r="M2203" i="3"/>
  <c r="L2203" i="3"/>
  <c r="K2203" i="3"/>
  <c r="J2203" i="3"/>
  <c r="I2203" i="3"/>
  <c r="H2203" i="3"/>
  <c r="G2203" i="3"/>
  <c r="F2203" i="3"/>
  <c r="E2203" i="3"/>
  <c r="D2203" i="3"/>
  <c r="C2203" i="3"/>
  <c r="B2203" i="3"/>
  <c r="A2203" i="3"/>
  <c r="O2202" i="3"/>
  <c r="N2202" i="3"/>
  <c r="M2202" i="3"/>
  <c r="L2202" i="3"/>
  <c r="K2202" i="3"/>
  <c r="J2202" i="3"/>
  <c r="I2202" i="3"/>
  <c r="H2202" i="3"/>
  <c r="G2202" i="3"/>
  <c r="F2202" i="3"/>
  <c r="E2202" i="3"/>
  <c r="D2202" i="3"/>
  <c r="C2202" i="3"/>
  <c r="B2202" i="3"/>
  <c r="A2202" i="3"/>
  <c r="O2201" i="3"/>
  <c r="N2201" i="3"/>
  <c r="M2201" i="3"/>
  <c r="L2201" i="3"/>
  <c r="K2201" i="3"/>
  <c r="J2201" i="3"/>
  <c r="I2201" i="3"/>
  <c r="H2201" i="3"/>
  <c r="G2201" i="3"/>
  <c r="F2201" i="3"/>
  <c r="E2201" i="3"/>
  <c r="D2201" i="3"/>
  <c r="C2201" i="3"/>
  <c r="B2201" i="3"/>
  <c r="A2201" i="3"/>
  <c r="O2200" i="3"/>
  <c r="N2200" i="3"/>
  <c r="M2200" i="3"/>
  <c r="L2200" i="3"/>
  <c r="K2200" i="3"/>
  <c r="J2200" i="3"/>
  <c r="I2200" i="3"/>
  <c r="H2200" i="3"/>
  <c r="G2200" i="3"/>
  <c r="F2200" i="3"/>
  <c r="E2200" i="3"/>
  <c r="D2200" i="3"/>
  <c r="C2200" i="3"/>
  <c r="B2200" i="3"/>
  <c r="A2200" i="3"/>
  <c r="O2199" i="3"/>
  <c r="N2199" i="3"/>
  <c r="M2199" i="3"/>
  <c r="L2199" i="3"/>
  <c r="K2199" i="3"/>
  <c r="J2199" i="3"/>
  <c r="I2199" i="3"/>
  <c r="H2199" i="3"/>
  <c r="G2199" i="3"/>
  <c r="F2199" i="3"/>
  <c r="E2199" i="3"/>
  <c r="D2199" i="3"/>
  <c r="C2199" i="3"/>
  <c r="B2199" i="3"/>
  <c r="A2199" i="3"/>
  <c r="O2198" i="3"/>
  <c r="N2198" i="3"/>
  <c r="M2198" i="3"/>
  <c r="L2198" i="3"/>
  <c r="K2198" i="3"/>
  <c r="J2198" i="3"/>
  <c r="I2198" i="3"/>
  <c r="H2198" i="3"/>
  <c r="G2198" i="3"/>
  <c r="F2198" i="3"/>
  <c r="E2198" i="3"/>
  <c r="D2198" i="3"/>
  <c r="C2198" i="3"/>
  <c r="B2198" i="3"/>
  <c r="A2198" i="3"/>
  <c r="O2197" i="3"/>
  <c r="N2197" i="3"/>
  <c r="M2197" i="3"/>
  <c r="L2197" i="3"/>
  <c r="K2197" i="3"/>
  <c r="J2197" i="3"/>
  <c r="I2197" i="3"/>
  <c r="H2197" i="3"/>
  <c r="G2197" i="3"/>
  <c r="F2197" i="3"/>
  <c r="E2197" i="3"/>
  <c r="D2197" i="3"/>
  <c r="C2197" i="3"/>
  <c r="B2197" i="3"/>
  <c r="A2197" i="3"/>
  <c r="O2196" i="3"/>
  <c r="N2196" i="3"/>
  <c r="M2196" i="3"/>
  <c r="L2196" i="3"/>
  <c r="K2196" i="3"/>
  <c r="J2196" i="3"/>
  <c r="I2196" i="3"/>
  <c r="H2196" i="3"/>
  <c r="G2196" i="3"/>
  <c r="F2196" i="3"/>
  <c r="E2196" i="3"/>
  <c r="D2196" i="3"/>
  <c r="C2196" i="3"/>
  <c r="B2196" i="3"/>
  <c r="A2196" i="3"/>
  <c r="O2195" i="3"/>
  <c r="N2195" i="3"/>
  <c r="M2195" i="3"/>
  <c r="L2195" i="3"/>
  <c r="K2195" i="3"/>
  <c r="J2195" i="3"/>
  <c r="I2195" i="3"/>
  <c r="H2195" i="3"/>
  <c r="G2195" i="3"/>
  <c r="F2195" i="3"/>
  <c r="E2195" i="3"/>
  <c r="D2195" i="3"/>
  <c r="C2195" i="3"/>
  <c r="B2195" i="3"/>
  <c r="A2195" i="3"/>
  <c r="O2194" i="3"/>
  <c r="N2194" i="3"/>
  <c r="M2194" i="3"/>
  <c r="L2194" i="3"/>
  <c r="K2194" i="3"/>
  <c r="J2194" i="3"/>
  <c r="I2194" i="3"/>
  <c r="H2194" i="3"/>
  <c r="G2194" i="3"/>
  <c r="F2194" i="3"/>
  <c r="E2194" i="3"/>
  <c r="D2194" i="3"/>
  <c r="C2194" i="3"/>
  <c r="B2194" i="3"/>
  <c r="A2194" i="3"/>
  <c r="O2193" i="3"/>
  <c r="N2193" i="3"/>
  <c r="M2193" i="3"/>
  <c r="L2193" i="3"/>
  <c r="K2193" i="3"/>
  <c r="J2193" i="3"/>
  <c r="I2193" i="3"/>
  <c r="H2193" i="3"/>
  <c r="G2193" i="3"/>
  <c r="F2193" i="3"/>
  <c r="E2193" i="3"/>
  <c r="D2193" i="3"/>
  <c r="C2193" i="3"/>
  <c r="B2193" i="3"/>
  <c r="A2193" i="3"/>
  <c r="O2192" i="3"/>
  <c r="N2192" i="3"/>
  <c r="M2192" i="3"/>
  <c r="L2192" i="3"/>
  <c r="K2192" i="3"/>
  <c r="J2192" i="3"/>
  <c r="I2192" i="3"/>
  <c r="H2192" i="3"/>
  <c r="G2192" i="3"/>
  <c r="F2192" i="3"/>
  <c r="E2192" i="3"/>
  <c r="D2192" i="3"/>
  <c r="C2192" i="3"/>
  <c r="B2192" i="3"/>
  <c r="A2192" i="3"/>
  <c r="O2191" i="3"/>
  <c r="N2191" i="3"/>
  <c r="M2191" i="3"/>
  <c r="L2191" i="3"/>
  <c r="K2191" i="3"/>
  <c r="J2191" i="3"/>
  <c r="I2191" i="3"/>
  <c r="H2191" i="3"/>
  <c r="G2191" i="3"/>
  <c r="F2191" i="3"/>
  <c r="E2191" i="3"/>
  <c r="D2191" i="3"/>
  <c r="C2191" i="3"/>
  <c r="B2191" i="3"/>
  <c r="A2191" i="3"/>
  <c r="O2190" i="3"/>
  <c r="N2190" i="3"/>
  <c r="M2190" i="3"/>
  <c r="L2190" i="3"/>
  <c r="K2190" i="3"/>
  <c r="J2190" i="3"/>
  <c r="I2190" i="3"/>
  <c r="H2190" i="3"/>
  <c r="G2190" i="3"/>
  <c r="F2190" i="3"/>
  <c r="E2190" i="3"/>
  <c r="D2190" i="3"/>
  <c r="C2190" i="3"/>
  <c r="B2190" i="3"/>
  <c r="A2190" i="3"/>
  <c r="O2189" i="3"/>
  <c r="N2189" i="3"/>
  <c r="M2189" i="3"/>
  <c r="L2189" i="3"/>
  <c r="K2189" i="3"/>
  <c r="J2189" i="3"/>
  <c r="I2189" i="3"/>
  <c r="H2189" i="3"/>
  <c r="G2189" i="3"/>
  <c r="F2189" i="3"/>
  <c r="E2189" i="3"/>
  <c r="D2189" i="3"/>
  <c r="C2189" i="3"/>
  <c r="B2189" i="3"/>
  <c r="A2189" i="3"/>
  <c r="O2188" i="3"/>
  <c r="N2188" i="3"/>
  <c r="M2188" i="3"/>
  <c r="L2188" i="3"/>
  <c r="K2188" i="3"/>
  <c r="J2188" i="3"/>
  <c r="I2188" i="3"/>
  <c r="H2188" i="3"/>
  <c r="G2188" i="3"/>
  <c r="F2188" i="3"/>
  <c r="E2188" i="3"/>
  <c r="D2188" i="3"/>
  <c r="C2188" i="3"/>
  <c r="B2188" i="3"/>
  <c r="A2188" i="3"/>
  <c r="O2187" i="3"/>
  <c r="N2187" i="3"/>
  <c r="M2187" i="3"/>
  <c r="L2187" i="3"/>
  <c r="K2187" i="3"/>
  <c r="J2187" i="3"/>
  <c r="I2187" i="3"/>
  <c r="H2187" i="3"/>
  <c r="G2187" i="3"/>
  <c r="F2187" i="3"/>
  <c r="E2187" i="3"/>
  <c r="D2187" i="3"/>
  <c r="C2187" i="3"/>
  <c r="B2187" i="3"/>
  <c r="A2187" i="3"/>
  <c r="O2186" i="3"/>
  <c r="N2186" i="3"/>
  <c r="M2186" i="3"/>
  <c r="L2186" i="3"/>
  <c r="K2186" i="3"/>
  <c r="J2186" i="3"/>
  <c r="I2186" i="3"/>
  <c r="H2186" i="3"/>
  <c r="G2186" i="3"/>
  <c r="F2186" i="3"/>
  <c r="E2186" i="3"/>
  <c r="D2186" i="3"/>
  <c r="C2186" i="3"/>
  <c r="B2186" i="3"/>
  <c r="A2186" i="3"/>
  <c r="O2185" i="3"/>
  <c r="N2185" i="3"/>
  <c r="M2185" i="3"/>
  <c r="L2185" i="3"/>
  <c r="K2185" i="3"/>
  <c r="J2185" i="3"/>
  <c r="I2185" i="3"/>
  <c r="H2185" i="3"/>
  <c r="G2185" i="3"/>
  <c r="F2185" i="3"/>
  <c r="E2185" i="3"/>
  <c r="D2185" i="3"/>
  <c r="C2185" i="3"/>
  <c r="B2185" i="3"/>
  <c r="A2185" i="3"/>
  <c r="O2184" i="3"/>
  <c r="N2184" i="3"/>
  <c r="M2184" i="3"/>
  <c r="L2184" i="3"/>
  <c r="K2184" i="3"/>
  <c r="J2184" i="3"/>
  <c r="I2184" i="3"/>
  <c r="H2184" i="3"/>
  <c r="G2184" i="3"/>
  <c r="F2184" i="3"/>
  <c r="E2184" i="3"/>
  <c r="D2184" i="3"/>
  <c r="C2184" i="3"/>
  <c r="B2184" i="3"/>
  <c r="A2184" i="3"/>
  <c r="O2183" i="3"/>
  <c r="N2183" i="3"/>
  <c r="M2183" i="3"/>
  <c r="L2183" i="3"/>
  <c r="K2183" i="3"/>
  <c r="J2183" i="3"/>
  <c r="I2183" i="3"/>
  <c r="H2183" i="3"/>
  <c r="G2183" i="3"/>
  <c r="F2183" i="3"/>
  <c r="E2183" i="3"/>
  <c r="D2183" i="3"/>
  <c r="C2183" i="3"/>
  <c r="B2183" i="3"/>
  <c r="A2183" i="3"/>
  <c r="O2182" i="3"/>
  <c r="N2182" i="3"/>
  <c r="M2182" i="3"/>
  <c r="L2182" i="3"/>
  <c r="K2182" i="3"/>
  <c r="J2182" i="3"/>
  <c r="I2182" i="3"/>
  <c r="H2182" i="3"/>
  <c r="G2182" i="3"/>
  <c r="F2182" i="3"/>
  <c r="E2182" i="3"/>
  <c r="D2182" i="3"/>
  <c r="C2182" i="3"/>
  <c r="B2182" i="3"/>
  <c r="A2182" i="3"/>
  <c r="O2181" i="3"/>
  <c r="N2181" i="3"/>
  <c r="M2181" i="3"/>
  <c r="L2181" i="3"/>
  <c r="K2181" i="3"/>
  <c r="J2181" i="3"/>
  <c r="I2181" i="3"/>
  <c r="H2181" i="3"/>
  <c r="G2181" i="3"/>
  <c r="F2181" i="3"/>
  <c r="E2181" i="3"/>
  <c r="D2181" i="3"/>
  <c r="C2181" i="3"/>
  <c r="B2181" i="3"/>
  <c r="A2181" i="3"/>
  <c r="O2180" i="3"/>
  <c r="N2180" i="3"/>
  <c r="M2180" i="3"/>
  <c r="L2180" i="3"/>
  <c r="K2180" i="3"/>
  <c r="J2180" i="3"/>
  <c r="I2180" i="3"/>
  <c r="H2180" i="3"/>
  <c r="G2180" i="3"/>
  <c r="F2180" i="3"/>
  <c r="E2180" i="3"/>
  <c r="D2180" i="3"/>
  <c r="C2180" i="3"/>
  <c r="B2180" i="3"/>
  <c r="A2180" i="3"/>
  <c r="O2179" i="3"/>
  <c r="N2179" i="3"/>
  <c r="M2179" i="3"/>
  <c r="L2179" i="3"/>
  <c r="K2179" i="3"/>
  <c r="J2179" i="3"/>
  <c r="I2179" i="3"/>
  <c r="H2179" i="3"/>
  <c r="G2179" i="3"/>
  <c r="F2179" i="3"/>
  <c r="E2179" i="3"/>
  <c r="D2179" i="3"/>
  <c r="C2179" i="3"/>
  <c r="B2179" i="3"/>
  <c r="A2179" i="3"/>
  <c r="O2178" i="3"/>
  <c r="N2178" i="3"/>
  <c r="M2178" i="3"/>
  <c r="L2178" i="3"/>
  <c r="K2178" i="3"/>
  <c r="J2178" i="3"/>
  <c r="I2178" i="3"/>
  <c r="H2178" i="3"/>
  <c r="G2178" i="3"/>
  <c r="F2178" i="3"/>
  <c r="E2178" i="3"/>
  <c r="D2178" i="3"/>
  <c r="C2178" i="3"/>
  <c r="B2178" i="3"/>
  <c r="A2178" i="3"/>
  <c r="O2177" i="3"/>
  <c r="N2177" i="3"/>
  <c r="M2177" i="3"/>
  <c r="L2177" i="3"/>
  <c r="K2177" i="3"/>
  <c r="J2177" i="3"/>
  <c r="I2177" i="3"/>
  <c r="H2177" i="3"/>
  <c r="G2177" i="3"/>
  <c r="F2177" i="3"/>
  <c r="E2177" i="3"/>
  <c r="D2177" i="3"/>
  <c r="C2177" i="3"/>
  <c r="B2177" i="3"/>
  <c r="A2177" i="3"/>
  <c r="O2176" i="3"/>
  <c r="N2176" i="3"/>
  <c r="M2176" i="3"/>
  <c r="L2176" i="3"/>
  <c r="K2176" i="3"/>
  <c r="J2176" i="3"/>
  <c r="I2176" i="3"/>
  <c r="H2176" i="3"/>
  <c r="G2176" i="3"/>
  <c r="F2176" i="3"/>
  <c r="E2176" i="3"/>
  <c r="D2176" i="3"/>
  <c r="C2176" i="3"/>
  <c r="B2176" i="3"/>
  <c r="A2176" i="3"/>
  <c r="O2175" i="3"/>
  <c r="N2175" i="3"/>
  <c r="M2175" i="3"/>
  <c r="L2175" i="3"/>
  <c r="K2175" i="3"/>
  <c r="J2175" i="3"/>
  <c r="I2175" i="3"/>
  <c r="H2175" i="3"/>
  <c r="G2175" i="3"/>
  <c r="F2175" i="3"/>
  <c r="E2175" i="3"/>
  <c r="D2175" i="3"/>
  <c r="C2175" i="3"/>
  <c r="B2175" i="3"/>
  <c r="A2175" i="3"/>
  <c r="O2174" i="3"/>
  <c r="N2174" i="3"/>
  <c r="M2174" i="3"/>
  <c r="L2174" i="3"/>
  <c r="K2174" i="3"/>
  <c r="J2174" i="3"/>
  <c r="I2174" i="3"/>
  <c r="H2174" i="3"/>
  <c r="G2174" i="3"/>
  <c r="F2174" i="3"/>
  <c r="E2174" i="3"/>
  <c r="D2174" i="3"/>
  <c r="C2174" i="3"/>
  <c r="B2174" i="3"/>
  <c r="A2174" i="3"/>
  <c r="O2173" i="3"/>
  <c r="N2173" i="3"/>
  <c r="M2173" i="3"/>
  <c r="L2173" i="3"/>
  <c r="K2173" i="3"/>
  <c r="J2173" i="3"/>
  <c r="I2173" i="3"/>
  <c r="H2173" i="3"/>
  <c r="G2173" i="3"/>
  <c r="F2173" i="3"/>
  <c r="E2173" i="3"/>
  <c r="D2173" i="3"/>
  <c r="C2173" i="3"/>
  <c r="B2173" i="3"/>
  <c r="A2173" i="3"/>
  <c r="O2172" i="3"/>
  <c r="N2172" i="3"/>
  <c r="M2172" i="3"/>
  <c r="L2172" i="3"/>
  <c r="K2172" i="3"/>
  <c r="J2172" i="3"/>
  <c r="I2172" i="3"/>
  <c r="H2172" i="3"/>
  <c r="G2172" i="3"/>
  <c r="F2172" i="3"/>
  <c r="E2172" i="3"/>
  <c r="D2172" i="3"/>
  <c r="C2172" i="3"/>
  <c r="B2172" i="3"/>
  <c r="A2172" i="3"/>
  <c r="O2171" i="3"/>
  <c r="N2171" i="3"/>
  <c r="M2171" i="3"/>
  <c r="L2171" i="3"/>
  <c r="K2171" i="3"/>
  <c r="J2171" i="3"/>
  <c r="I2171" i="3"/>
  <c r="H2171" i="3"/>
  <c r="G2171" i="3"/>
  <c r="F2171" i="3"/>
  <c r="E2171" i="3"/>
  <c r="D2171" i="3"/>
  <c r="C2171" i="3"/>
  <c r="B2171" i="3"/>
  <c r="A2171" i="3"/>
  <c r="O2170" i="3"/>
  <c r="N2170" i="3"/>
  <c r="M2170" i="3"/>
  <c r="L2170" i="3"/>
  <c r="K2170" i="3"/>
  <c r="J2170" i="3"/>
  <c r="I2170" i="3"/>
  <c r="H2170" i="3"/>
  <c r="G2170" i="3"/>
  <c r="F2170" i="3"/>
  <c r="E2170" i="3"/>
  <c r="D2170" i="3"/>
  <c r="C2170" i="3"/>
  <c r="B2170" i="3"/>
  <c r="A2170" i="3"/>
  <c r="O2169" i="3"/>
  <c r="N2169" i="3"/>
  <c r="M2169" i="3"/>
  <c r="L2169" i="3"/>
  <c r="K2169" i="3"/>
  <c r="J2169" i="3"/>
  <c r="I2169" i="3"/>
  <c r="H2169" i="3"/>
  <c r="G2169" i="3"/>
  <c r="F2169" i="3"/>
  <c r="E2169" i="3"/>
  <c r="D2169" i="3"/>
  <c r="C2169" i="3"/>
  <c r="B2169" i="3"/>
  <c r="A2169" i="3"/>
  <c r="O2168" i="3"/>
  <c r="N2168" i="3"/>
  <c r="M2168" i="3"/>
  <c r="L2168" i="3"/>
  <c r="K2168" i="3"/>
  <c r="J2168" i="3"/>
  <c r="I2168" i="3"/>
  <c r="H2168" i="3"/>
  <c r="G2168" i="3"/>
  <c r="F2168" i="3"/>
  <c r="E2168" i="3"/>
  <c r="D2168" i="3"/>
  <c r="C2168" i="3"/>
  <c r="B2168" i="3"/>
  <c r="A2168" i="3"/>
  <c r="O2167" i="3"/>
  <c r="N2167" i="3"/>
  <c r="M2167" i="3"/>
  <c r="L2167" i="3"/>
  <c r="K2167" i="3"/>
  <c r="J2167" i="3"/>
  <c r="I2167" i="3"/>
  <c r="H2167" i="3"/>
  <c r="G2167" i="3"/>
  <c r="F2167" i="3"/>
  <c r="E2167" i="3"/>
  <c r="D2167" i="3"/>
  <c r="C2167" i="3"/>
  <c r="B2167" i="3"/>
  <c r="A2167" i="3"/>
  <c r="O2166" i="3"/>
  <c r="N2166" i="3"/>
  <c r="M2166" i="3"/>
  <c r="L2166" i="3"/>
  <c r="K2166" i="3"/>
  <c r="J2166" i="3"/>
  <c r="I2166" i="3"/>
  <c r="H2166" i="3"/>
  <c r="G2166" i="3"/>
  <c r="F2166" i="3"/>
  <c r="E2166" i="3"/>
  <c r="D2166" i="3"/>
  <c r="C2166" i="3"/>
  <c r="B2166" i="3"/>
  <c r="A2166" i="3"/>
  <c r="O2165" i="3"/>
  <c r="N2165" i="3"/>
  <c r="M2165" i="3"/>
  <c r="L2165" i="3"/>
  <c r="K2165" i="3"/>
  <c r="J2165" i="3"/>
  <c r="I2165" i="3"/>
  <c r="H2165" i="3"/>
  <c r="G2165" i="3"/>
  <c r="F2165" i="3"/>
  <c r="E2165" i="3"/>
  <c r="D2165" i="3"/>
  <c r="C2165" i="3"/>
  <c r="B2165" i="3"/>
  <c r="A2165" i="3"/>
  <c r="O2164" i="3"/>
  <c r="N2164" i="3"/>
  <c r="M2164" i="3"/>
  <c r="L2164" i="3"/>
  <c r="K2164" i="3"/>
  <c r="J2164" i="3"/>
  <c r="I2164" i="3"/>
  <c r="H2164" i="3"/>
  <c r="G2164" i="3"/>
  <c r="F2164" i="3"/>
  <c r="E2164" i="3"/>
  <c r="D2164" i="3"/>
  <c r="C2164" i="3"/>
  <c r="B2164" i="3"/>
  <c r="A2164" i="3"/>
  <c r="O2163" i="3"/>
  <c r="N2163" i="3"/>
  <c r="M2163" i="3"/>
  <c r="L2163" i="3"/>
  <c r="K2163" i="3"/>
  <c r="J2163" i="3"/>
  <c r="I2163" i="3"/>
  <c r="H2163" i="3"/>
  <c r="G2163" i="3"/>
  <c r="F2163" i="3"/>
  <c r="E2163" i="3"/>
  <c r="D2163" i="3"/>
  <c r="C2163" i="3"/>
  <c r="B2163" i="3"/>
  <c r="A2163" i="3"/>
  <c r="O2162" i="3"/>
  <c r="N2162" i="3"/>
  <c r="M2162" i="3"/>
  <c r="L2162" i="3"/>
  <c r="K2162" i="3"/>
  <c r="J2162" i="3"/>
  <c r="I2162" i="3"/>
  <c r="H2162" i="3"/>
  <c r="G2162" i="3"/>
  <c r="F2162" i="3"/>
  <c r="E2162" i="3"/>
  <c r="D2162" i="3"/>
  <c r="C2162" i="3"/>
  <c r="B2162" i="3"/>
  <c r="A2162" i="3"/>
  <c r="O2161" i="3"/>
  <c r="N2161" i="3"/>
  <c r="M2161" i="3"/>
  <c r="L2161" i="3"/>
  <c r="K2161" i="3"/>
  <c r="J2161" i="3"/>
  <c r="I2161" i="3"/>
  <c r="H2161" i="3"/>
  <c r="G2161" i="3"/>
  <c r="F2161" i="3"/>
  <c r="E2161" i="3"/>
  <c r="D2161" i="3"/>
  <c r="C2161" i="3"/>
  <c r="B2161" i="3"/>
  <c r="A2161" i="3"/>
  <c r="O2160" i="3"/>
  <c r="N2160" i="3"/>
  <c r="M2160" i="3"/>
  <c r="L2160" i="3"/>
  <c r="K2160" i="3"/>
  <c r="J2160" i="3"/>
  <c r="I2160" i="3"/>
  <c r="H2160" i="3"/>
  <c r="G2160" i="3"/>
  <c r="F2160" i="3"/>
  <c r="E2160" i="3"/>
  <c r="D2160" i="3"/>
  <c r="C2160" i="3"/>
  <c r="B2160" i="3"/>
  <c r="A2160" i="3"/>
  <c r="O2159" i="3"/>
  <c r="N2159" i="3"/>
  <c r="M2159" i="3"/>
  <c r="L2159" i="3"/>
  <c r="K2159" i="3"/>
  <c r="J2159" i="3"/>
  <c r="I2159" i="3"/>
  <c r="H2159" i="3"/>
  <c r="G2159" i="3"/>
  <c r="F2159" i="3"/>
  <c r="E2159" i="3"/>
  <c r="D2159" i="3"/>
  <c r="C2159" i="3"/>
  <c r="B2159" i="3"/>
  <c r="A2159" i="3"/>
  <c r="O2158" i="3"/>
  <c r="N2158" i="3"/>
  <c r="M2158" i="3"/>
  <c r="L2158" i="3"/>
  <c r="K2158" i="3"/>
  <c r="J2158" i="3"/>
  <c r="I2158" i="3"/>
  <c r="H2158" i="3"/>
  <c r="G2158" i="3"/>
  <c r="F2158" i="3"/>
  <c r="E2158" i="3"/>
  <c r="D2158" i="3"/>
  <c r="C2158" i="3"/>
  <c r="B2158" i="3"/>
  <c r="A2158" i="3"/>
  <c r="O2157" i="3"/>
  <c r="N2157" i="3"/>
  <c r="M2157" i="3"/>
  <c r="L2157" i="3"/>
  <c r="K2157" i="3"/>
  <c r="J2157" i="3"/>
  <c r="I2157" i="3"/>
  <c r="H2157" i="3"/>
  <c r="G2157" i="3"/>
  <c r="F2157" i="3"/>
  <c r="E2157" i="3"/>
  <c r="D2157" i="3"/>
  <c r="C2157" i="3"/>
  <c r="B2157" i="3"/>
  <c r="A2157" i="3"/>
  <c r="O2156" i="3"/>
  <c r="N2156" i="3"/>
  <c r="M2156" i="3"/>
  <c r="L2156" i="3"/>
  <c r="K2156" i="3"/>
  <c r="J2156" i="3"/>
  <c r="I2156" i="3"/>
  <c r="H2156" i="3"/>
  <c r="G2156" i="3"/>
  <c r="F2156" i="3"/>
  <c r="E2156" i="3"/>
  <c r="D2156" i="3"/>
  <c r="C2156" i="3"/>
  <c r="B2156" i="3"/>
  <c r="A2156" i="3"/>
  <c r="O2155" i="3"/>
  <c r="N2155" i="3"/>
  <c r="M2155" i="3"/>
  <c r="L2155" i="3"/>
  <c r="K2155" i="3"/>
  <c r="J2155" i="3"/>
  <c r="I2155" i="3"/>
  <c r="H2155" i="3"/>
  <c r="G2155" i="3"/>
  <c r="F2155" i="3"/>
  <c r="E2155" i="3"/>
  <c r="D2155" i="3"/>
  <c r="C2155" i="3"/>
  <c r="B2155" i="3"/>
  <c r="A2155" i="3"/>
  <c r="O2154" i="3"/>
  <c r="N2154" i="3"/>
  <c r="M2154" i="3"/>
  <c r="L2154" i="3"/>
  <c r="K2154" i="3"/>
  <c r="J2154" i="3"/>
  <c r="I2154" i="3"/>
  <c r="H2154" i="3"/>
  <c r="G2154" i="3"/>
  <c r="F2154" i="3"/>
  <c r="E2154" i="3"/>
  <c r="D2154" i="3"/>
  <c r="C2154" i="3"/>
  <c r="B2154" i="3"/>
  <c r="A2154" i="3"/>
  <c r="O2153" i="3"/>
  <c r="N2153" i="3"/>
  <c r="M2153" i="3"/>
  <c r="L2153" i="3"/>
  <c r="K2153" i="3"/>
  <c r="J2153" i="3"/>
  <c r="I2153" i="3"/>
  <c r="H2153" i="3"/>
  <c r="G2153" i="3"/>
  <c r="F2153" i="3"/>
  <c r="E2153" i="3"/>
  <c r="D2153" i="3"/>
  <c r="C2153" i="3"/>
  <c r="B2153" i="3"/>
  <c r="A2153" i="3"/>
  <c r="O2152" i="3"/>
  <c r="N2152" i="3"/>
  <c r="M2152" i="3"/>
  <c r="L2152" i="3"/>
  <c r="K2152" i="3"/>
  <c r="J2152" i="3"/>
  <c r="I2152" i="3"/>
  <c r="H2152" i="3"/>
  <c r="G2152" i="3"/>
  <c r="F2152" i="3"/>
  <c r="E2152" i="3"/>
  <c r="D2152" i="3"/>
  <c r="C2152" i="3"/>
  <c r="B2152" i="3"/>
  <c r="A2152" i="3"/>
  <c r="O2151" i="3"/>
  <c r="N2151" i="3"/>
  <c r="M2151" i="3"/>
  <c r="L2151" i="3"/>
  <c r="K2151" i="3"/>
  <c r="J2151" i="3"/>
  <c r="I2151" i="3"/>
  <c r="H2151" i="3"/>
  <c r="G2151" i="3"/>
  <c r="F2151" i="3"/>
  <c r="E2151" i="3"/>
  <c r="D2151" i="3"/>
  <c r="C2151" i="3"/>
  <c r="B2151" i="3"/>
  <c r="A2151" i="3"/>
  <c r="O2150" i="3"/>
  <c r="N2150" i="3"/>
  <c r="M2150" i="3"/>
  <c r="L2150" i="3"/>
  <c r="K2150" i="3"/>
  <c r="J2150" i="3"/>
  <c r="I2150" i="3"/>
  <c r="H2150" i="3"/>
  <c r="G2150" i="3"/>
  <c r="F2150" i="3"/>
  <c r="E2150" i="3"/>
  <c r="D2150" i="3"/>
  <c r="C2150" i="3"/>
  <c r="B2150" i="3"/>
  <c r="A2150" i="3"/>
  <c r="O2149" i="3"/>
  <c r="N2149" i="3"/>
  <c r="M2149" i="3"/>
  <c r="L2149" i="3"/>
  <c r="K2149" i="3"/>
  <c r="J2149" i="3"/>
  <c r="I2149" i="3"/>
  <c r="H2149" i="3"/>
  <c r="G2149" i="3"/>
  <c r="F2149" i="3"/>
  <c r="E2149" i="3"/>
  <c r="D2149" i="3"/>
  <c r="C2149" i="3"/>
  <c r="B2149" i="3"/>
  <c r="A2149" i="3"/>
  <c r="O2148" i="3"/>
  <c r="N2148" i="3"/>
  <c r="M2148" i="3"/>
  <c r="L2148" i="3"/>
  <c r="K2148" i="3"/>
  <c r="J2148" i="3"/>
  <c r="I2148" i="3"/>
  <c r="H2148" i="3"/>
  <c r="G2148" i="3"/>
  <c r="F2148" i="3"/>
  <c r="E2148" i="3"/>
  <c r="D2148" i="3"/>
  <c r="C2148" i="3"/>
  <c r="B2148" i="3"/>
  <c r="A2148" i="3"/>
  <c r="O2147" i="3"/>
  <c r="N2147" i="3"/>
  <c r="M2147" i="3"/>
  <c r="L2147" i="3"/>
  <c r="K2147" i="3"/>
  <c r="J2147" i="3"/>
  <c r="I2147" i="3"/>
  <c r="H2147" i="3"/>
  <c r="G2147" i="3"/>
  <c r="F2147" i="3"/>
  <c r="E2147" i="3"/>
  <c r="D2147" i="3"/>
  <c r="C2147" i="3"/>
  <c r="B2147" i="3"/>
  <c r="A2147" i="3"/>
  <c r="O2146" i="3"/>
  <c r="N2146" i="3"/>
  <c r="M2146" i="3"/>
  <c r="L2146" i="3"/>
  <c r="K2146" i="3"/>
  <c r="J2146" i="3"/>
  <c r="I2146" i="3"/>
  <c r="H2146" i="3"/>
  <c r="G2146" i="3"/>
  <c r="F2146" i="3"/>
  <c r="E2146" i="3"/>
  <c r="D2146" i="3"/>
  <c r="C2146" i="3"/>
  <c r="B2146" i="3"/>
  <c r="A2146" i="3"/>
  <c r="O2145" i="3"/>
  <c r="N2145" i="3"/>
  <c r="M2145" i="3"/>
  <c r="L2145" i="3"/>
  <c r="K2145" i="3"/>
  <c r="J2145" i="3"/>
  <c r="I2145" i="3"/>
  <c r="H2145" i="3"/>
  <c r="G2145" i="3"/>
  <c r="F2145" i="3"/>
  <c r="E2145" i="3"/>
  <c r="D2145" i="3"/>
  <c r="C2145" i="3"/>
  <c r="B2145" i="3"/>
  <c r="A2145" i="3"/>
  <c r="O2144" i="3"/>
  <c r="N2144" i="3"/>
  <c r="M2144" i="3"/>
  <c r="L2144" i="3"/>
  <c r="K2144" i="3"/>
  <c r="J2144" i="3"/>
  <c r="I2144" i="3"/>
  <c r="H2144" i="3"/>
  <c r="G2144" i="3"/>
  <c r="F2144" i="3"/>
  <c r="E2144" i="3"/>
  <c r="D2144" i="3"/>
  <c r="C2144" i="3"/>
  <c r="B2144" i="3"/>
  <c r="A2144" i="3"/>
  <c r="O2143" i="3"/>
  <c r="N2143" i="3"/>
  <c r="M2143" i="3"/>
  <c r="L2143" i="3"/>
  <c r="K2143" i="3"/>
  <c r="J2143" i="3"/>
  <c r="I2143" i="3"/>
  <c r="H2143" i="3"/>
  <c r="G2143" i="3"/>
  <c r="F2143" i="3"/>
  <c r="E2143" i="3"/>
  <c r="D2143" i="3"/>
  <c r="C2143" i="3"/>
  <c r="B2143" i="3"/>
  <c r="A2143" i="3"/>
  <c r="O2142" i="3"/>
  <c r="N2142" i="3"/>
  <c r="M2142" i="3"/>
  <c r="L2142" i="3"/>
  <c r="K2142" i="3"/>
  <c r="J2142" i="3"/>
  <c r="I2142" i="3"/>
  <c r="H2142" i="3"/>
  <c r="G2142" i="3"/>
  <c r="F2142" i="3"/>
  <c r="E2142" i="3"/>
  <c r="D2142" i="3"/>
  <c r="C2142" i="3"/>
  <c r="B2142" i="3"/>
  <c r="A2142" i="3"/>
  <c r="O2141" i="3"/>
  <c r="N2141" i="3"/>
  <c r="M2141" i="3"/>
  <c r="L2141" i="3"/>
  <c r="K2141" i="3"/>
  <c r="J2141" i="3"/>
  <c r="I2141" i="3"/>
  <c r="H2141" i="3"/>
  <c r="G2141" i="3"/>
  <c r="F2141" i="3"/>
  <c r="E2141" i="3"/>
  <c r="D2141" i="3"/>
  <c r="C2141" i="3"/>
  <c r="B2141" i="3"/>
  <c r="A2141" i="3"/>
  <c r="O2140" i="3"/>
  <c r="N2140" i="3"/>
  <c r="M2140" i="3"/>
  <c r="L2140" i="3"/>
  <c r="K2140" i="3"/>
  <c r="J2140" i="3"/>
  <c r="I2140" i="3"/>
  <c r="H2140" i="3"/>
  <c r="G2140" i="3"/>
  <c r="F2140" i="3"/>
  <c r="E2140" i="3"/>
  <c r="D2140" i="3"/>
  <c r="C2140" i="3"/>
  <c r="B2140" i="3"/>
  <c r="A2140" i="3"/>
  <c r="O2139" i="3"/>
  <c r="N2139" i="3"/>
  <c r="M2139" i="3"/>
  <c r="L2139" i="3"/>
  <c r="K2139" i="3"/>
  <c r="J2139" i="3"/>
  <c r="I2139" i="3"/>
  <c r="H2139" i="3"/>
  <c r="G2139" i="3"/>
  <c r="F2139" i="3"/>
  <c r="E2139" i="3"/>
  <c r="D2139" i="3"/>
  <c r="C2139" i="3"/>
  <c r="B2139" i="3"/>
  <c r="A2139" i="3"/>
  <c r="O2138" i="3"/>
  <c r="N2138" i="3"/>
  <c r="M2138" i="3"/>
  <c r="L2138" i="3"/>
  <c r="K2138" i="3"/>
  <c r="J2138" i="3"/>
  <c r="I2138" i="3"/>
  <c r="H2138" i="3"/>
  <c r="G2138" i="3"/>
  <c r="F2138" i="3"/>
  <c r="E2138" i="3"/>
  <c r="D2138" i="3"/>
  <c r="C2138" i="3"/>
  <c r="B2138" i="3"/>
  <c r="A2138" i="3"/>
  <c r="O2137" i="3"/>
  <c r="N2137" i="3"/>
  <c r="M2137" i="3"/>
  <c r="L2137" i="3"/>
  <c r="K2137" i="3"/>
  <c r="J2137" i="3"/>
  <c r="I2137" i="3"/>
  <c r="H2137" i="3"/>
  <c r="G2137" i="3"/>
  <c r="F2137" i="3"/>
  <c r="E2137" i="3"/>
  <c r="D2137" i="3"/>
  <c r="C2137" i="3"/>
  <c r="B2137" i="3"/>
  <c r="A2137" i="3"/>
  <c r="O2136" i="3"/>
  <c r="N2136" i="3"/>
  <c r="M2136" i="3"/>
  <c r="L2136" i="3"/>
  <c r="K2136" i="3"/>
  <c r="J2136" i="3"/>
  <c r="I2136" i="3"/>
  <c r="H2136" i="3"/>
  <c r="G2136" i="3"/>
  <c r="F2136" i="3"/>
  <c r="E2136" i="3"/>
  <c r="D2136" i="3"/>
  <c r="C2136" i="3"/>
  <c r="B2136" i="3"/>
  <c r="A2136" i="3"/>
  <c r="O2135" i="3"/>
  <c r="N2135" i="3"/>
  <c r="M2135" i="3"/>
  <c r="L2135" i="3"/>
  <c r="K2135" i="3"/>
  <c r="J2135" i="3"/>
  <c r="I2135" i="3"/>
  <c r="H2135" i="3"/>
  <c r="G2135" i="3"/>
  <c r="F2135" i="3"/>
  <c r="E2135" i="3"/>
  <c r="D2135" i="3"/>
  <c r="C2135" i="3"/>
  <c r="B2135" i="3"/>
  <c r="A2135" i="3"/>
  <c r="O2134" i="3"/>
  <c r="N2134" i="3"/>
  <c r="M2134" i="3"/>
  <c r="L2134" i="3"/>
  <c r="K2134" i="3"/>
  <c r="J2134" i="3"/>
  <c r="I2134" i="3"/>
  <c r="H2134" i="3"/>
  <c r="G2134" i="3"/>
  <c r="F2134" i="3"/>
  <c r="E2134" i="3"/>
  <c r="D2134" i="3"/>
  <c r="C2134" i="3"/>
  <c r="B2134" i="3"/>
  <c r="A2134" i="3"/>
  <c r="O2133" i="3"/>
  <c r="N2133" i="3"/>
  <c r="M2133" i="3"/>
  <c r="L2133" i="3"/>
  <c r="K2133" i="3"/>
  <c r="J2133" i="3"/>
  <c r="I2133" i="3"/>
  <c r="H2133" i="3"/>
  <c r="G2133" i="3"/>
  <c r="F2133" i="3"/>
  <c r="E2133" i="3"/>
  <c r="D2133" i="3"/>
  <c r="C2133" i="3"/>
  <c r="B2133" i="3"/>
  <c r="A2133" i="3"/>
  <c r="O2132" i="3"/>
  <c r="N2132" i="3"/>
  <c r="M2132" i="3"/>
  <c r="L2132" i="3"/>
  <c r="K2132" i="3"/>
  <c r="J2132" i="3"/>
  <c r="I2132" i="3"/>
  <c r="H2132" i="3"/>
  <c r="G2132" i="3"/>
  <c r="F2132" i="3"/>
  <c r="E2132" i="3"/>
  <c r="D2132" i="3"/>
  <c r="C2132" i="3"/>
  <c r="B2132" i="3"/>
  <c r="A2132" i="3"/>
  <c r="O2131" i="3"/>
  <c r="N2131" i="3"/>
  <c r="M2131" i="3"/>
  <c r="L2131" i="3"/>
  <c r="K2131" i="3"/>
  <c r="J2131" i="3"/>
  <c r="I2131" i="3"/>
  <c r="H2131" i="3"/>
  <c r="G2131" i="3"/>
  <c r="F2131" i="3"/>
  <c r="E2131" i="3"/>
  <c r="D2131" i="3"/>
  <c r="C2131" i="3"/>
  <c r="B2131" i="3"/>
  <c r="A2131" i="3"/>
  <c r="O2130" i="3"/>
  <c r="N2130" i="3"/>
  <c r="M2130" i="3"/>
  <c r="L2130" i="3"/>
  <c r="K2130" i="3"/>
  <c r="J2130" i="3"/>
  <c r="I2130" i="3"/>
  <c r="H2130" i="3"/>
  <c r="G2130" i="3"/>
  <c r="F2130" i="3"/>
  <c r="E2130" i="3"/>
  <c r="D2130" i="3"/>
  <c r="C2130" i="3"/>
  <c r="B2130" i="3"/>
  <c r="A2130" i="3"/>
  <c r="O2129" i="3"/>
  <c r="N2129" i="3"/>
  <c r="M2129" i="3"/>
  <c r="L2129" i="3"/>
  <c r="K2129" i="3"/>
  <c r="J2129" i="3"/>
  <c r="I2129" i="3"/>
  <c r="H2129" i="3"/>
  <c r="G2129" i="3"/>
  <c r="F2129" i="3"/>
  <c r="E2129" i="3"/>
  <c r="D2129" i="3"/>
  <c r="C2129" i="3"/>
  <c r="B2129" i="3"/>
  <c r="A2129" i="3"/>
  <c r="O2128" i="3"/>
  <c r="N2128" i="3"/>
  <c r="M2128" i="3"/>
  <c r="L2128" i="3"/>
  <c r="K2128" i="3"/>
  <c r="J2128" i="3"/>
  <c r="I2128" i="3"/>
  <c r="H2128" i="3"/>
  <c r="G2128" i="3"/>
  <c r="F2128" i="3"/>
  <c r="E2128" i="3"/>
  <c r="D2128" i="3"/>
  <c r="C2128" i="3"/>
  <c r="B2128" i="3"/>
  <c r="A2128" i="3"/>
  <c r="O2127" i="3"/>
  <c r="N2127" i="3"/>
  <c r="M2127" i="3"/>
  <c r="L2127" i="3"/>
  <c r="K2127" i="3"/>
  <c r="J2127" i="3"/>
  <c r="I2127" i="3"/>
  <c r="H2127" i="3"/>
  <c r="G2127" i="3"/>
  <c r="F2127" i="3"/>
  <c r="E2127" i="3"/>
  <c r="D2127" i="3"/>
  <c r="C2127" i="3"/>
  <c r="B2127" i="3"/>
  <c r="A2127" i="3"/>
  <c r="O2126" i="3"/>
  <c r="N2126" i="3"/>
  <c r="M2126" i="3"/>
  <c r="L2126" i="3"/>
  <c r="K2126" i="3"/>
  <c r="J2126" i="3"/>
  <c r="I2126" i="3"/>
  <c r="H2126" i="3"/>
  <c r="G2126" i="3"/>
  <c r="F2126" i="3"/>
  <c r="E2126" i="3"/>
  <c r="D2126" i="3"/>
  <c r="C2126" i="3"/>
  <c r="B2126" i="3"/>
  <c r="A2126" i="3"/>
  <c r="O2125" i="3"/>
  <c r="N2125" i="3"/>
  <c r="M2125" i="3"/>
  <c r="L2125" i="3"/>
  <c r="K2125" i="3"/>
  <c r="J2125" i="3"/>
  <c r="I2125" i="3"/>
  <c r="H2125" i="3"/>
  <c r="G2125" i="3"/>
  <c r="F2125" i="3"/>
  <c r="E2125" i="3"/>
  <c r="D2125" i="3"/>
  <c r="C2125" i="3"/>
  <c r="B2125" i="3"/>
  <c r="A2125" i="3"/>
  <c r="O2124" i="3"/>
  <c r="N2124" i="3"/>
  <c r="M2124" i="3"/>
  <c r="L2124" i="3"/>
  <c r="K2124" i="3"/>
  <c r="J2124" i="3"/>
  <c r="I2124" i="3"/>
  <c r="H2124" i="3"/>
  <c r="G2124" i="3"/>
  <c r="F2124" i="3"/>
  <c r="E2124" i="3"/>
  <c r="D2124" i="3"/>
  <c r="C2124" i="3"/>
  <c r="B2124" i="3"/>
  <c r="A2124" i="3"/>
  <c r="O2123" i="3"/>
  <c r="N2123" i="3"/>
  <c r="M2123" i="3"/>
  <c r="L2123" i="3"/>
  <c r="K2123" i="3"/>
  <c r="J2123" i="3"/>
  <c r="I2123" i="3"/>
  <c r="H2123" i="3"/>
  <c r="G2123" i="3"/>
  <c r="F2123" i="3"/>
  <c r="E2123" i="3"/>
  <c r="D2123" i="3"/>
  <c r="C2123" i="3"/>
  <c r="B2123" i="3"/>
  <c r="A2123" i="3"/>
  <c r="O2122" i="3"/>
  <c r="N2122" i="3"/>
  <c r="M2122" i="3"/>
  <c r="L2122" i="3"/>
  <c r="K2122" i="3"/>
  <c r="J2122" i="3"/>
  <c r="I2122" i="3"/>
  <c r="H2122" i="3"/>
  <c r="G2122" i="3"/>
  <c r="F2122" i="3"/>
  <c r="E2122" i="3"/>
  <c r="D2122" i="3"/>
  <c r="C2122" i="3"/>
  <c r="B2122" i="3"/>
  <c r="A2122" i="3"/>
  <c r="O2121" i="3"/>
  <c r="N2121" i="3"/>
  <c r="M2121" i="3"/>
  <c r="L2121" i="3"/>
  <c r="K2121" i="3"/>
  <c r="J2121" i="3"/>
  <c r="I2121" i="3"/>
  <c r="H2121" i="3"/>
  <c r="G2121" i="3"/>
  <c r="F2121" i="3"/>
  <c r="E2121" i="3"/>
  <c r="D2121" i="3"/>
  <c r="C2121" i="3"/>
  <c r="B2121" i="3"/>
  <c r="A2121" i="3"/>
  <c r="O2120" i="3"/>
  <c r="N2120" i="3"/>
  <c r="M2120" i="3"/>
  <c r="L2120" i="3"/>
  <c r="K2120" i="3"/>
  <c r="J2120" i="3"/>
  <c r="I2120" i="3"/>
  <c r="H2120" i="3"/>
  <c r="G2120" i="3"/>
  <c r="F2120" i="3"/>
  <c r="E2120" i="3"/>
  <c r="D2120" i="3"/>
  <c r="C2120" i="3"/>
  <c r="B2120" i="3"/>
  <c r="A2120" i="3"/>
  <c r="O2119" i="3"/>
  <c r="N2119" i="3"/>
  <c r="M2119" i="3"/>
  <c r="L2119" i="3"/>
  <c r="K2119" i="3"/>
  <c r="J2119" i="3"/>
  <c r="I2119" i="3"/>
  <c r="H2119" i="3"/>
  <c r="G2119" i="3"/>
  <c r="F2119" i="3"/>
  <c r="E2119" i="3"/>
  <c r="D2119" i="3"/>
  <c r="C2119" i="3"/>
  <c r="B2119" i="3"/>
  <c r="A2119" i="3"/>
  <c r="O2118" i="3"/>
  <c r="N2118" i="3"/>
  <c r="M2118" i="3"/>
  <c r="L2118" i="3"/>
  <c r="K2118" i="3"/>
  <c r="J2118" i="3"/>
  <c r="I2118" i="3"/>
  <c r="H2118" i="3"/>
  <c r="G2118" i="3"/>
  <c r="F2118" i="3"/>
  <c r="E2118" i="3"/>
  <c r="D2118" i="3"/>
  <c r="C2118" i="3"/>
  <c r="B2118" i="3"/>
  <c r="A2118" i="3"/>
  <c r="O2117" i="3"/>
  <c r="N2117" i="3"/>
  <c r="M2117" i="3"/>
  <c r="L2117" i="3"/>
  <c r="K2117" i="3"/>
  <c r="J2117" i="3"/>
  <c r="I2117" i="3"/>
  <c r="H2117" i="3"/>
  <c r="G2117" i="3"/>
  <c r="F2117" i="3"/>
  <c r="E2117" i="3"/>
  <c r="D2117" i="3"/>
  <c r="C2117" i="3"/>
  <c r="B2117" i="3"/>
  <c r="A2117" i="3"/>
  <c r="O2116" i="3"/>
  <c r="N2116" i="3"/>
  <c r="M2116" i="3"/>
  <c r="L2116" i="3"/>
  <c r="K2116" i="3"/>
  <c r="J2116" i="3"/>
  <c r="I2116" i="3"/>
  <c r="H2116" i="3"/>
  <c r="G2116" i="3"/>
  <c r="F2116" i="3"/>
  <c r="E2116" i="3"/>
  <c r="D2116" i="3"/>
  <c r="C2116" i="3"/>
  <c r="B2116" i="3"/>
  <c r="A2116" i="3"/>
  <c r="O2115" i="3"/>
  <c r="N2115" i="3"/>
  <c r="M2115" i="3"/>
  <c r="L2115" i="3"/>
  <c r="K2115" i="3"/>
  <c r="J2115" i="3"/>
  <c r="I2115" i="3"/>
  <c r="H2115" i="3"/>
  <c r="G2115" i="3"/>
  <c r="F2115" i="3"/>
  <c r="E2115" i="3"/>
  <c r="D2115" i="3"/>
  <c r="C2115" i="3"/>
  <c r="B2115" i="3"/>
  <c r="A2115" i="3"/>
  <c r="O2114" i="3"/>
  <c r="N2114" i="3"/>
  <c r="M2114" i="3"/>
  <c r="L2114" i="3"/>
  <c r="K2114" i="3"/>
  <c r="J2114" i="3"/>
  <c r="I2114" i="3"/>
  <c r="H2114" i="3"/>
  <c r="G2114" i="3"/>
  <c r="F2114" i="3"/>
  <c r="E2114" i="3"/>
  <c r="D2114" i="3"/>
  <c r="C2114" i="3"/>
  <c r="B2114" i="3"/>
  <c r="A2114" i="3"/>
  <c r="O2113" i="3"/>
  <c r="N2113" i="3"/>
  <c r="M2113" i="3"/>
  <c r="L2113" i="3"/>
  <c r="K2113" i="3"/>
  <c r="J2113" i="3"/>
  <c r="I2113" i="3"/>
  <c r="H2113" i="3"/>
  <c r="G2113" i="3"/>
  <c r="F2113" i="3"/>
  <c r="E2113" i="3"/>
  <c r="D2113" i="3"/>
  <c r="C2113" i="3"/>
  <c r="B2113" i="3"/>
  <c r="A2113" i="3"/>
  <c r="O2112" i="3"/>
  <c r="N2112" i="3"/>
  <c r="M2112" i="3"/>
  <c r="L2112" i="3"/>
  <c r="K2112" i="3"/>
  <c r="J2112" i="3"/>
  <c r="I2112" i="3"/>
  <c r="H2112" i="3"/>
  <c r="G2112" i="3"/>
  <c r="F2112" i="3"/>
  <c r="E2112" i="3"/>
  <c r="D2112" i="3"/>
  <c r="C2112" i="3"/>
  <c r="B2112" i="3"/>
  <c r="A2112" i="3"/>
  <c r="O2111" i="3"/>
  <c r="N2111" i="3"/>
  <c r="M2111" i="3"/>
  <c r="L2111" i="3"/>
  <c r="K2111" i="3"/>
  <c r="J2111" i="3"/>
  <c r="I2111" i="3"/>
  <c r="H2111" i="3"/>
  <c r="G2111" i="3"/>
  <c r="F2111" i="3"/>
  <c r="E2111" i="3"/>
  <c r="D2111" i="3"/>
  <c r="C2111" i="3"/>
  <c r="B2111" i="3"/>
  <c r="A2111" i="3"/>
  <c r="O2110" i="3"/>
  <c r="N2110" i="3"/>
  <c r="M2110" i="3"/>
  <c r="L2110" i="3"/>
  <c r="K2110" i="3"/>
  <c r="J2110" i="3"/>
  <c r="I2110" i="3"/>
  <c r="H2110" i="3"/>
  <c r="G2110" i="3"/>
  <c r="F2110" i="3"/>
  <c r="E2110" i="3"/>
  <c r="D2110" i="3"/>
  <c r="C2110" i="3"/>
  <c r="B2110" i="3"/>
  <c r="A2110" i="3"/>
  <c r="O2109" i="3"/>
  <c r="N2109" i="3"/>
  <c r="M2109" i="3"/>
  <c r="L2109" i="3"/>
  <c r="K2109" i="3"/>
  <c r="J2109" i="3"/>
  <c r="I2109" i="3"/>
  <c r="H2109" i="3"/>
  <c r="G2109" i="3"/>
  <c r="F2109" i="3"/>
  <c r="E2109" i="3"/>
  <c r="D2109" i="3"/>
  <c r="C2109" i="3"/>
  <c r="B2109" i="3"/>
  <c r="A2109" i="3"/>
  <c r="O2108" i="3"/>
  <c r="N2108" i="3"/>
  <c r="M2108" i="3"/>
  <c r="L2108" i="3"/>
  <c r="K2108" i="3"/>
  <c r="J2108" i="3"/>
  <c r="I2108" i="3"/>
  <c r="H2108" i="3"/>
  <c r="G2108" i="3"/>
  <c r="F2108" i="3"/>
  <c r="E2108" i="3"/>
  <c r="D2108" i="3"/>
  <c r="C2108" i="3"/>
  <c r="B2108" i="3"/>
  <c r="A2108" i="3"/>
  <c r="O2107" i="3"/>
  <c r="N2107" i="3"/>
  <c r="M2107" i="3"/>
  <c r="L2107" i="3"/>
  <c r="K2107" i="3"/>
  <c r="J2107" i="3"/>
  <c r="I2107" i="3"/>
  <c r="H2107" i="3"/>
  <c r="G2107" i="3"/>
  <c r="F2107" i="3"/>
  <c r="E2107" i="3"/>
  <c r="D2107" i="3"/>
  <c r="C2107" i="3"/>
  <c r="B2107" i="3"/>
  <c r="A2107" i="3"/>
  <c r="O2106" i="3"/>
  <c r="N2106" i="3"/>
  <c r="M2106" i="3"/>
  <c r="L2106" i="3"/>
  <c r="K2106" i="3"/>
  <c r="J2106" i="3"/>
  <c r="I2106" i="3"/>
  <c r="H2106" i="3"/>
  <c r="G2106" i="3"/>
  <c r="F2106" i="3"/>
  <c r="E2106" i="3"/>
  <c r="D2106" i="3"/>
  <c r="C2106" i="3"/>
  <c r="B2106" i="3"/>
  <c r="A2106" i="3"/>
  <c r="O2105" i="3"/>
  <c r="N2105" i="3"/>
  <c r="M2105" i="3"/>
  <c r="L2105" i="3"/>
  <c r="K2105" i="3"/>
  <c r="J2105" i="3"/>
  <c r="I2105" i="3"/>
  <c r="H2105" i="3"/>
  <c r="G2105" i="3"/>
  <c r="F2105" i="3"/>
  <c r="E2105" i="3"/>
  <c r="D2105" i="3"/>
  <c r="C2105" i="3"/>
  <c r="B2105" i="3"/>
  <c r="A2105" i="3"/>
  <c r="O2104" i="3"/>
  <c r="N2104" i="3"/>
  <c r="M2104" i="3"/>
  <c r="L2104" i="3"/>
  <c r="K2104" i="3"/>
  <c r="J2104" i="3"/>
  <c r="I2104" i="3"/>
  <c r="H2104" i="3"/>
  <c r="G2104" i="3"/>
  <c r="F2104" i="3"/>
  <c r="E2104" i="3"/>
  <c r="D2104" i="3"/>
  <c r="C2104" i="3"/>
  <c r="B2104" i="3"/>
  <c r="A2104" i="3"/>
  <c r="O2103" i="3"/>
  <c r="N2103" i="3"/>
  <c r="M2103" i="3"/>
  <c r="L2103" i="3"/>
  <c r="K2103" i="3"/>
  <c r="J2103" i="3"/>
  <c r="I2103" i="3"/>
  <c r="H2103" i="3"/>
  <c r="G2103" i="3"/>
  <c r="F2103" i="3"/>
  <c r="E2103" i="3"/>
  <c r="D2103" i="3"/>
  <c r="C2103" i="3"/>
  <c r="B2103" i="3"/>
  <c r="A2103" i="3"/>
  <c r="O2102" i="3"/>
  <c r="N2102" i="3"/>
  <c r="M2102" i="3"/>
  <c r="L2102" i="3"/>
  <c r="K2102" i="3"/>
  <c r="J2102" i="3"/>
  <c r="I2102" i="3"/>
  <c r="H2102" i="3"/>
  <c r="G2102" i="3"/>
  <c r="F2102" i="3"/>
  <c r="E2102" i="3"/>
  <c r="D2102" i="3"/>
  <c r="C2102" i="3"/>
  <c r="B2102" i="3"/>
  <c r="A2102" i="3"/>
  <c r="O2101" i="3"/>
  <c r="N2101" i="3"/>
  <c r="M2101" i="3"/>
  <c r="L2101" i="3"/>
  <c r="K2101" i="3"/>
  <c r="J2101" i="3"/>
  <c r="I2101" i="3"/>
  <c r="H2101" i="3"/>
  <c r="G2101" i="3"/>
  <c r="F2101" i="3"/>
  <c r="E2101" i="3"/>
  <c r="D2101" i="3"/>
  <c r="C2101" i="3"/>
  <c r="B2101" i="3"/>
  <c r="A2101" i="3"/>
  <c r="O2100" i="3"/>
  <c r="N2100" i="3"/>
  <c r="M2100" i="3"/>
  <c r="L2100" i="3"/>
  <c r="K2100" i="3"/>
  <c r="J2100" i="3"/>
  <c r="I2100" i="3"/>
  <c r="H2100" i="3"/>
  <c r="G2100" i="3"/>
  <c r="F2100" i="3"/>
  <c r="E2100" i="3"/>
  <c r="D2100" i="3"/>
  <c r="C2100" i="3"/>
  <c r="B2100" i="3"/>
  <c r="A2100" i="3"/>
  <c r="O2099" i="3"/>
  <c r="N2099" i="3"/>
  <c r="M2099" i="3"/>
  <c r="L2099" i="3"/>
  <c r="K2099" i="3"/>
  <c r="J2099" i="3"/>
  <c r="I2099" i="3"/>
  <c r="H2099" i="3"/>
  <c r="G2099" i="3"/>
  <c r="F2099" i="3"/>
  <c r="E2099" i="3"/>
  <c r="D2099" i="3"/>
  <c r="C2099" i="3"/>
  <c r="B2099" i="3"/>
  <c r="A2099" i="3"/>
  <c r="O2098" i="3"/>
  <c r="N2098" i="3"/>
  <c r="M2098" i="3"/>
  <c r="L2098" i="3"/>
  <c r="K2098" i="3"/>
  <c r="J2098" i="3"/>
  <c r="I2098" i="3"/>
  <c r="H2098" i="3"/>
  <c r="G2098" i="3"/>
  <c r="F2098" i="3"/>
  <c r="E2098" i="3"/>
  <c r="D2098" i="3"/>
  <c r="C2098" i="3"/>
  <c r="B2098" i="3"/>
  <c r="A2098" i="3"/>
  <c r="O2097" i="3"/>
  <c r="N2097" i="3"/>
  <c r="M2097" i="3"/>
  <c r="L2097" i="3"/>
  <c r="K2097" i="3"/>
  <c r="J2097" i="3"/>
  <c r="I2097" i="3"/>
  <c r="H2097" i="3"/>
  <c r="G2097" i="3"/>
  <c r="F2097" i="3"/>
  <c r="E2097" i="3"/>
  <c r="D2097" i="3"/>
  <c r="C2097" i="3"/>
  <c r="B2097" i="3"/>
  <c r="A2097" i="3"/>
  <c r="O2096" i="3"/>
  <c r="N2096" i="3"/>
  <c r="M2096" i="3"/>
  <c r="L2096" i="3"/>
  <c r="K2096" i="3"/>
  <c r="J2096" i="3"/>
  <c r="I2096" i="3"/>
  <c r="H2096" i="3"/>
  <c r="G2096" i="3"/>
  <c r="F2096" i="3"/>
  <c r="E2096" i="3"/>
  <c r="D2096" i="3"/>
  <c r="C2096" i="3"/>
  <c r="B2096" i="3"/>
  <c r="A2096" i="3"/>
  <c r="O2095" i="3"/>
  <c r="N2095" i="3"/>
  <c r="M2095" i="3"/>
  <c r="L2095" i="3"/>
  <c r="K2095" i="3"/>
  <c r="J2095" i="3"/>
  <c r="I2095" i="3"/>
  <c r="H2095" i="3"/>
  <c r="G2095" i="3"/>
  <c r="F2095" i="3"/>
  <c r="E2095" i="3"/>
  <c r="D2095" i="3"/>
  <c r="C2095" i="3"/>
  <c r="B2095" i="3"/>
  <c r="A2095" i="3"/>
  <c r="O2094" i="3"/>
  <c r="N2094" i="3"/>
  <c r="M2094" i="3"/>
  <c r="L2094" i="3"/>
  <c r="K2094" i="3"/>
  <c r="J2094" i="3"/>
  <c r="I2094" i="3"/>
  <c r="H2094" i="3"/>
  <c r="G2094" i="3"/>
  <c r="F2094" i="3"/>
  <c r="E2094" i="3"/>
  <c r="D2094" i="3"/>
  <c r="C2094" i="3"/>
  <c r="B2094" i="3"/>
  <c r="A2094" i="3"/>
  <c r="O2093" i="3"/>
  <c r="N2093" i="3"/>
  <c r="M2093" i="3"/>
  <c r="L2093" i="3"/>
  <c r="K2093" i="3"/>
  <c r="J2093" i="3"/>
  <c r="I2093" i="3"/>
  <c r="H2093" i="3"/>
  <c r="G2093" i="3"/>
  <c r="F2093" i="3"/>
  <c r="E2093" i="3"/>
  <c r="D2093" i="3"/>
  <c r="C2093" i="3"/>
  <c r="B2093" i="3"/>
  <c r="A2093" i="3"/>
  <c r="O2092" i="3"/>
  <c r="N2092" i="3"/>
  <c r="M2092" i="3"/>
  <c r="L2092" i="3"/>
  <c r="K2092" i="3"/>
  <c r="J2092" i="3"/>
  <c r="I2092" i="3"/>
  <c r="H2092" i="3"/>
  <c r="G2092" i="3"/>
  <c r="F2092" i="3"/>
  <c r="E2092" i="3"/>
  <c r="D2092" i="3"/>
  <c r="C2092" i="3"/>
  <c r="B2092" i="3"/>
  <c r="A2092" i="3"/>
  <c r="O2091" i="3"/>
  <c r="N2091" i="3"/>
  <c r="M2091" i="3"/>
  <c r="L2091" i="3"/>
  <c r="K2091" i="3"/>
  <c r="J2091" i="3"/>
  <c r="I2091" i="3"/>
  <c r="H2091" i="3"/>
  <c r="G2091" i="3"/>
  <c r="F2091" i="3"/>
  <c r="E2091" i="3"/>
  <c r="D2091" i="3"/>
  <c r="C2091" i="3"/>
  <c r="B2091" i="3"/>
  <c r="A2091" i="3"/>
  <c r="O2090" i="3"/>
  <c r="N2090" i="3"/>
  <c r="M2090" i="3"/>
  <c r="L2090" i="3"/>
  <c r="K2090" i="3"/>
  <c r="J2090" i="3"/>
  <c r="I2090" i="3"/>
  <c r="H2090" i="3"/>
  <c r="G2090" i="3"/>
  <c r="F2090" i="3"/>
  <c r="E2090" i="3"/>
  <c r="D2090" i="3"/>
  <c r="C2090" i="3"/>
  <c r="B2090" i="3"/>
  <c r="A2090" i="3"/>
  <c r="O2089" i="3"/>
  <c r="N2089" i="3"/>
  <c r="M2089" i="3"/>
  <c r="L2089" i="3"/>
  <c r="K2089" i="3"/>
  <c r="J2089" i="3"/>
  <c r="I2089" i="3"/>
  <c r="H2089" i="3"/>
  <c r="G2089" i="3"/>
  <c r="F2089" i="3"/>
  <c r="E2089" i="3"/>
  <c r="D2089" i="3"/>
  <c r="C2089" i="3"/>
  <c r="B2089" i="3"/>
  <c r="A2089" i="3"/>
  <c r="O2088" i="3"/>
  <c r="N2088" i="3"/>
  <c r="M2088" i="3"/>
  <c r="L2088" i="3"/>
  <c r="K2088" i="3"/>
  <c r="J2088" i="3"/>
  <c r="I2088" i="3"/>
  <c r="H2088" i="3"/>
  <c r="G2088" i="3"/>
  <c r="F2088" i="3"/>
  <c r="E2088" i="3"/>
  <c r="D2088" i="3"/>
  <c r="C2088" i="3"/>
  <c r="B2088" i="3"/>
  <c r="A2088" i="3"/>
  <c r="O2087" i="3"/>
  <c r="N2087" i="3"/>
  <c r="M2087" i="3"/>
  <c r="L2087" i="3"/>
  <c r="K2087" i="3"/>
  <c r="J2087" i="3"/>
  <c r="I2087" i="3"/>
  <c r="H2087" i="3"/>
  <c r="G2087" i="3"/>
  <c r="F2087" i="3"/>
  <c r="E2087" i="3"/>
  <c r="D2087" i="3"/>
  <c r="C2087" i="3"/>
  <c r="B2087" i="3"/>
  <c r="A2087" i="3"/>
  <c r="O2086" i="3"/>
  <c r="N2086" i="3"/>
  <c r="M2086" i="3"/>
  <c r="L2086" i="3"/>
  <c r="K2086" i="3"/>
  <c r="J2086" i="3"/>
  <c r="I2086" i="3"/>
  <c r="H2086" i="3"/>
  <c r="G2086" i="3"/>
  <c r="F2086" i="3"/>
  <c r="E2086" i="3"/>
  <c r="D2086" i="3"/>
  <c r="C2086" i="3"/>
  <c r="B2086" i="3"/>
  <c r="A2086" i="3"/>
  <c r="O2085" i="3"/>
  <c r="N2085" i="3"/>
  <c r="M2085" i="3"/>
  <c r="L2085" i="3"/>
  <c r="K2085" i="3"/>
  <c r="J2085" i="3"/>
  <c r="I2085" i="3"/>
  <c r="H2085" i="3"/>
  <c r="G2085" i="3"/>
  <c r="F2085" i="3"/>
  <c r="E2085" i="3"/>
  <c r="D2085" i="3"/>
  <c r="C2085" i="3"/>
  <c r="B2085" i="3"/>
  <c r="A2085" i="3"/>
  <c r="O2084" i="3"/>
  <c r="N2084" i="3"/>
  <c r="M2084" i="3"/>
  <c r="L2084" i="3"/>
  <c r="K2084" i="3"/>
  <c r="J2084" i="3"/>
  <c r="I2084" i="3"/>
  <c r="H2084" i="3"/>
  <c r="G2084" i="3"/>
  <c r="F2084" i="3"/>
  <c r="E2084" i="3"/>
  <c r="D2084" i="3"/>
  <c r="C2084" i="3"/>
  <c r="B2084" i="3"/>
  <c r="A2084" i="3"/>
  <c r="O2083" i="3"/>
  <c r="N2083" i="3"/>
  <c r="M2083" i="3"/>
  <c r="L2083" i="3"/>
  <c r="K2083" i="3"/>
  <c r="J2083" i="3"/>
  <c r="I2083" i="3"/>
  <c r="H2083" i="3"/>
  <c r="G2083" i="3"/>
  <c r="F2083" i="3"/>
  <c r="E2083" i="3"/>
  <c r="D2083" i="3"/>
  <c r="C2083" i="3"/>
  <c r="B2083" i="3"/>
  <c r="A2083" i="3"/>
  <c r="O2082" i="3"/>
  <c r="N2082" i="3"/>
  <c r="M2082" i="3"/>
  <c r="L2082" i="3"/>
  <c r="K2082" i="3"/>
  <c r="J2082" i="3"/>
  <c r="I2082" i="3"/>
  <c r="H2082" i="3"/>
  <c r="G2082" i="3"/>
  <c r="F2082" i="3"/>
  <c r="E2082" i="3"/>
  <c r="D2082" i="3"/>
  <c r="C2082" i="3"/>
  <c r="B2082" i="3"/>
  <c r="A2082" i="3"/>
  <c r="O2081" i="3"/>
  <c r="N2081" i="3"/>
  <c r="M2081" i="3"/>
  <c r="L2081" i="3"/>
  <c r="K2081" i="3"/>
  <c r="J2081" i="3"/>
  <c r="I2081" i="3"/>
  <c r="H2081" i="3"/>
  <c r="G2081" i="3"/>
  <c r="F2081" i="3"/>
  <c r="E2081" i="3"/>
  <c r="D2081" i="3"/>
  <c r="C2081" i="3"/>
  <c r="B2081" i="3"/>
  <c r="A2081" i="3"/>
  <c r="O2080" i="3"/>
  <c r="N2080" i="3"/>
  <c r="M2080" i="3"/>
  <c r="L2080" i="3"/>
  <c r="K2080" i="3"/>
  <c r="J2080" i="3"/>
  <c r="I2080" i="3"/>
  <c r="H2080" i="3"/>
  <c r="G2080" i="3"/>
  <c r="F2080" i="3"/>
  <c r="E2080" i="3"/>
  <c r="D2080" i="3"/>
  <c r="C2080" i="3"/>
  <c r="B2080" i="3"/>
  <c r="A2080" i="3"/>
  <c r="O2079" i="3"/>
  <c r="N2079" i="3"/>
  <c r="M2079" i="3"/>
  <c r="L2079" i="3"/>
  <c r="K2079" i="3"/>
  <c r="J2079" i="3"/>
  <c r="I2079" i="3"/>
  <c r="H2079" i="3"/>
  <c r="G2079" i="3"/>
  <c r="F2079" i="3"/>
  <c r="E2079" i="3"/>
  <c r="D2079" i="3"/>
  <c r="C2079" i="3"/>
  <c r="B2079" i="3"/>
  <c r="A2079" i="3"/>
  <c r="O2078" i="3"/>
  <c r="N2078" i="3"/>
  <c r="M2078" i="3"/>
  <c r="L2078" i="3"/>
  <c r="K2078" i="3"/>
  <c r="J2078" i="3"/>
  <c r="I2078" i="3"/>
  <c r="H2078" i="3"/>
  <c r="G2078" i="3"/>
  <c r="F2078" i="3"/>
  <c r="E2078" i="3"/>
  <c r="D2078" i="3"/>
  <c r="C2078" i="3"/>
  <c r="B2078" i="3"/>
  <c r="A2078" i="3"/>
  <c r="O2077" i="3"/>
  <c r="N2077" i="3"/>
  <c r="M2077" i="3"/>
  <c r="L2077" i="3"/>
  <c r="K2077" i="3"/>
  <c r="J2077" i="3"/>
  <c r="I2077" i="3"/>
  <c r="H2077" i="3"/>
  <c r="G2077" i="3"/>
  <c r="F2077" i="3"/>
  <c r="E2077" i="3"/>
  <c r="D2077" i="3"/>
  <c r="C2077" i="3"/>
  <c r="B2077" i="3"/>
  <c r="A2077" i="3"/>
  <c r="O2076" i="3"/>
  <c r="N2076" i="3"/>
  <c r="M2076" i="3"/>
  <c r="L2076" i="3"/>
  <c r="K2076" i="3"/>
  <c r="J2076" i="3"/>
  <c r="I2076" i="3"/>
  <c r="H2076" i="3"/>
  <c r="G2076" i="3"/>
  <c r="F2076" i="3"/>
  <c r="E2076" i="3"/>
  <c r="D2076" i="3"/>
  <c r="C2076" i="3"/>
  <c r="B2076" i="3"/>
  <c r="A2076" i="3"/>
  <c r="O2075" i="3"/>
  <c r="N2075" i="3"/>
  <c r="M2075" i="3"/>
  <c r="L2075" i="3"/>
  <c r="K2075" i="3"/>
  <c r="J2075" i="3"/>
  <c r="I2075" i="3"/>
  <c r="H2075" i="3"/>
  <c r="G2075" i="3"/>
  <c r="F2075" i="3"/>
  <c r="E2075" i="3"/>
  <c r="D2075" i="3"/>
  <c r="C2075" i="3"/>
  <c r="B2075" i="3"/>
  <c r="A2075" i="3"/>
  <c r="O2074" i="3"/>
  <c r="N2074" i="3"/>
  <c r="M2074" i="3"/>
  <c r="L2074" i="3"/>
  <c r="K2074" i="3"/>
  <c r="J2074" i="3"/>
  <c r="I2074" i="3"/>
  <c r="H2074" i="3"/>
  <c r="G2074" i="3"/>
  <c r="F2074" i="3"/>
  <c r="E2074" i="3"/>
  <c r="D2074" i="3"/>
  <c r="C2074" i="3"/>
  <c r="B2074" i="3"/>
  <c r="A2074" i="3"/>
  <c r="O2073" i="3"/>
  <c r="N2073" i="3"/>
  <c r="M2073" i="3"/>
  <c r="L2073" i="3"/>
  <c r="K2073" i="3"/>
  <c r="J2073" i="3"/>
  <c r="I2073" i="3"/>
  <c r="H2073" i="3"/>
  <c r="G2073" i="3"/>
  <c r="F2073" i="3"/>
  <c r="E2073" i="3"/>
  <c r="D2073" i="3"/>
  <c r="C2073" i="3"/>
  <c r="B2073" i="3"/>
  <c r="A2073" i="3"/>
  <c r="O2072" i="3"/>
  <c r="N2072" i="3"/>
  <c r="M2072" i="3"/>
  <c r="L2072" i="3"/>
  <c r="K2072" i="3"/>
  <c r="J2072" i="3"/>
  <c r="I2072" i="3"/>
  <c r="H2072" i="3"/>
  <c r="G2072" i="3"/>
  <c r="F2072" i="3"/>
  <c r="E2072" i="3"/>
  <c r="D2072" i="3"/>
  <c r="C2072" i="3"/>
  <c r="B2072" i="3"/>
  <c r="A2072" i="3"/>
  <c r="O2071" i="3"/>
  <c r="N2071" i="3"/>
  <c r="M2071" i="3"/>
  <c r="L2071" i="3"/>
  <c r="K2071" i="3"/>
  <c r="J2071" i="3"/>
  <c r="I2071" i="3"/>
  <c r="H2071" i="3"/>
  <c r="G2071" i="3"/>
  <c r="F2071" i="3"/>
  <c r="E2071" i="3"/>
  <c r="D2071" i="3"/>
  <c r="C2071" i="3"/>
  <c r="B2071" i="3"/>
  <c r="A2071" i="3"/>
  <c r="O2070" i="3"/>
  <c r="N2070" i="3"/>
  <c r="M2070" i="3"/>
  <c r="L2070" i="3"/>
  <c r="K2070" i="3"/>
  <c r="J2070" i="3"/>
  <c r="I2070" i="3"/>
  <c r="H2070" i="3"/>
  <c r="G2070" i="3"/>
  <c r="F2070" i="3"/>
  <c r="E2070" i="3"/>
  <c r="D2070" i="3"/>
  <c r="C2070" i="3"/>
  <c r="B2070" i="3"/>
  <c r="A2070" i="3"/>
  <c r="O2069" i="3"/>
  <c r="N2069" i="3"/>
  <c r="M2069" i="3"/>
  <c r="L2069" i="3"/>
  <c r="K2069" i="3"/>
  <c r="J2069" i="3"/>
  <c r="I2069" i="3"/>
  <c r="H2069" i="3"/>
  <c r="G2069" i="3"/>
  <c r="F2069" i="3"/>
  <c r="E2069" i="3"/>
  <c r="D2069" i="3"/>
  <c r="C2069" i="3"/>
  <c r="B2069" i="3"/>
  <c r="A2069" i="3"/>
  <c r="O2068" i="3"/>
  <c r="N2068" i="3"/>
  <c r="M2068" i="3"/>
  <c r="L2068" i="3"/>
  <c r="K2068" i="3"/>
  <c r="J2068" i="3"/>
  <c r="I2068" i="3"/>
  <c r="H2068" i="3"/>
  <c r="G2068" i="3"/>
  <c r="F2068" i="3"/>
  <c r="E2068" i="3"/>
  <c r="D2068" i="3"/>
  <c r="C2068" i="3"/>
  <c r="B2068" i="3"/>
  <c r="A2068" i="3"/>
  <c r="O2067" i="3"/>
  <c r="N2067" i="3"/>
  <c r="M2067" i="3"/>
  <c r="L2067" i="3"/>
  <c r="K2067" i="3"/>
  <c r="J2067" i="3"/>
  <c r="I2067" i="3"/>
  <c r="H2067" i="3"/>
  <c r="G2067" i="3"/>
  <c r="F2067" i="3"/>
  <c r="E2067" i="3"/>
  <c r="D2067" i="3"/>
  <c r="C2067" i="3"/>
  <c r="B2067" i="3"/>
  <c r="A2067" i="3"/>
  <c r="O2066" i="3"/>
  <c r="N2066" i="3"/>
  <c r="M2066" i="3"/>
  <c r="L2066" i="3"/>
  <c r="K2066" i="3"/>
  <c r="J2066" i="3"/>
  <c r="I2066" i="3"/>
  <c r="H2066" i="3"/>
  <c r="G2066" i="3"/>
  <c r="F2066" i="3"/>
  <c r="E2066" i="3"/>
  <c r="D2066" i="3"/>
  <c r="C2066" i="3"/>
  <c r="B2066" i="3"/>
  <c r="A2066" i="3"/>
  <c r="O2065" i="3"/>
  <c r="N2065" i="3"/>
  <c r="M2065" i="3"/>
  <c r="L2065" i="3"/>
  <c r="K2065" i="3"/>
  <c r="J2065" i="3"/>
  <c r="I2065" i="3"/>
  <c r="H2065" i="3"/>
  <c r="G2065" i="3"/>
  <c r="F2065" i="3"/>
  <c r="E2065" i="3"/>
  <c r="D2065" i="3"/>
  <c r="C2065" i="3"/>
  <c r="B2065" i="3"/>
  <c r="A2065" i="3"/>
  <c r="O2064" i="3"/>
  <c r="N2064" i="3"/>
  <c r="M2064" i="3"/>
  <c r="L2064" i="3"/>
  <c r="K2064" i="3"/>
  <c r="J2064" i="3"/>
  <c r="I2064" i="3"/>
  <c r="H2064" i="3"/>
  <c r="G2064" i="3"/>
  <c r="F2064" i="3"/>
  <c r="E2064" i="3"/>
  <c r="D2064" i="3"/>
  <c r="C2064" i="3"/>
  <c r="B2064" i="3"/>
  <c r="A2064" i="3"/>
  <c r="O2063" i="3"/>
  <c r="N2063" i="3"/>
  <c r="M2063" i="3"/>
  <c r="L2063" i="3"/>
  <c r="K2063" i="3"/>
  <c r="J2063" i="3"/>
  <c r="I2063" i="3"/>
  <c r="H2063" i="3"/>
  <c r="G2063" i="3"/>
  <c r="F2063" i="3"/>
  <c r="E2063" i="3"/>
  <c r="D2063" i="3"/>
  <c r="C2063" i="3"/>
  <c r="B2063" i="3"/>
  <c r="A2063" i="3"/>
  <c r="O2062" i="3"/>
  <c r="N2062" i="3"/>
  <c r="M2062" i="3"/>
  <c r="L2062" i="3"/>
  <c r="K2062" i="3"/>
  <c r="J2062" i="3"/>
  <c r="I2062" i="3"/>
  <c r="H2062" i="3"/>
  <c r="G2062" i="3"/>
  <c r="F2062" i="3"/>
  <c r="E2062" i="3"/>
  <c r="D2062" i="3"/>
  <c r="C2062" i="3"/>
  <c r="B2062" i="3"/>
  <c r="A2062" i="3"/>
  <c r="O2061" i="3"/>
  <c r="N2061" i="3"/>
  <c r="M2061" i="3"/>
  <c r="L2061" i="3"/>
  <c r="K2061" i="3"/>
  <c r="J2061" i="3"/>
  <c r="I2061" i="3"/>
  <c r="H2061" i="3"/>
  <c r="G2061" i="3"/>
  <c r="F2061" i="3"/>
  <c r="E2061" i="3"/>
  <c r="D2061" i="3"/>
  <c r="C2061" i="3"/>
  <c r="B2061" i="3"/>
  <c r="A2061" i="3"/>
  <c r="O2060" i="3"/>
  <c r="N2060" i="3"/>
  <c r="M2060" i="3"/>
  <c r="L2060" i="3"/>
  <c r="K2060" i="3"/>
  <c r="J2060" i="3"/>
  <c r="I2060" i="3"/>
  <c r="H2060" i="3"/>
  <c r="G2060" i="3"/>
  <c r="F2060" i="3"/>
  <c r="E2060" i="3"/>
  <c r="D2060" i="3"/>
  <c r="C2060" i="3"/>
  <c r="B2060" i="3"/>
  <c r="A2060" i="3"/>
  <c r="O2059" i="3"/>
  <c r="N2059" i="3"/>
  <c r="M2059" i="3"/>
  <c r="L2059" i="3"/>
  <c r="K2059" i="3"/>
  <c r="J2059" i="3"/>
  <c r="I2059" i="3"/>
  <c r="H2059" i="3"/>
  <c r="G2059" i="3"/>
  <c r="F2059" i="3"/>
  <c r="E2059" i="3"/>
  <c r="D2059" i="3"/>
  <c r="C2059" i="3"/>
  <c r="B2059" i="3"/>
  <c r="A2059" i="3"/>
  <c r="O2058" i="3"/>
  <c r="N2058" i="3"/>
  <c r="M2058" i="3"/>
  <c r="L2058" i="3"/>
  <c r="K2058" i="3"/>
  <c r="J2058" i="3"/>
  <c r="I2058" i="3"/>
  <c r="H2058" i="3"/>
  <c r="G2058" i="3"/>
  <c r="F2058" i="3"/>
  <c r="E2058" i="3"/>
  <c r="D2058" i="3"/>
  <c r="C2058" i="3"/>
  <c r="B2058" i="3"/>
  <c r="A2058" i="3"/>
  <c r="O2057" i="3"/>
  <c r="N2057" i="3"/>
  <c r="M2057" i="3"/>
  <c r="L2057" i="3"/>
  <c r="K2057" i="3"/>
  <c r="J2057" i="3"/>
  <c r="I2057" i="3"/>
  <c r="H2057" i="3"/>
  <c r="G2057" i="3"/>
  <c r="F2057" i="3"/>
  <c r="E2057" i="3"/>
  <c r="D2057" i="3"/>
  <c r="C2057" i="3"/>
  <c r="B2057" i="3"/>
  <c r="A2057" i="3"/>
  <c r="O2056" i="3"/>
  <c r="N2056" i="3"/>
  <c r="M2056" i="3"/>
  <c r="L2056" i="3"/>
  <c r="K2056" i="3"/>
  <c r="J2056" i="3"/>
  <c r="I2056" i="3"/>
  <c r="H2056" i="3"/>
  <c r="G2056" i="3"/>
  <c r="F2056" i="3"/>
  <c r="E2056" i="3"/>
  <c r="D2056" i="3"/>
  <c r="C2056" i="3"/>
  <c r="B2056" i="3"/>
  <c r="A2056" i="3"/>
  <c r="O2055" i="3"/>
  <c r="N2055" i="3"/>
  <c r="M2055" i="3"/>
  <c r="L2055" i="3"/>
  <c r="K2055" i="3"/>
  <c r="J2055" i="3"/>
  <c r="I2055" i="3"/>
  <c r="H2055" i="3"/>
  <c r="G2055" i="3"/>
  <c r="F2055" i="3"/>
  <c r="E2055" i="3"/>
  <c r="D2055" i="3"/>
  <c r="C2055" i="3"/>
  <c r="B2055" i="3"/>
  <c r="A2055" i="3"/>
  <c r="O2054" i="3"/>
  <c r="N2054" i="3"/>
  <c r="M2054" i="3"/>
  <c r="L2054" i="3"/>
  <c r="K2054" i="3"/>
  <c r="J2054" i="3"/>
  <c r="I2054" i="3"/>
  <c r="H2054" i="3"/>
  <c r="G2054" i="3"/>
  <c r="F2054" i="3"/>
  <c r="E2054" i="3"/>
  <c r="D2054" i="3"/>
  <c r="C2054" i="3"/>
  <c r="B2054" i="3"/>
  <c r="A2054" i="3"/>
  <c r="O2053" i="3"/>
  <c r="N2053" i="3"/>
  <c r="M2053" i="3"/>
  <c r="L2053" i="3"/>
  <c r="K2053" i="3"/>
  <c r="J2053" i="3"/>
  <c r="I2053" i="3"/>
  <c r="H2053" i="3"/>
  <c r="G2053" i="3"/>
  <c r="F2053" i="3"/>
  <c r="E2053" i="3"/>
  <c r="D2053" i="3"/>
  <c r="C2053" i="3"/>
  <c r="B2053" i="3"/>
  <c r="A2053" i="3"/>
  <c r="O2052" i="3"/>
  <c r="N2052" i="3"/>
  <c r="M2052" i="3"/>
  <c r="L2052" i="3"/>
  <c r="K2052" i="3"/>
  <c r="J2052" i="3"/>
  <c r="I2052" i="3"/>
  <c r="H2052" i="3"/>
  <c r="G2052" i="3"/>
  <c r="F2052" i="3"/>
  <c r="E2052" i="3"/>
  <c r="D2052" i="3"/>
  <c r="C2052" i="3"/>
  <c r="B2052" i="3"/>
  <c r="A2052" i="3"/>
  <c r="O2051" i="3"/>
  <c r="N2051" i="3"/>
  <c r="M2051" i="3"/>
  <c r="L2051" i="3"/>
  <c r="K2051" i="3"/>
  <c r="J2051" i="3"/>
  <c r="I2051" i="3"/>
  <c r="H2051" i="3"/>
  <c r="G2051" i="3"/>
  <c r="F2051" i="3"/>
  <c r="E2051" i="3"/>
  <c r="D2051" i="3"/>
  <c r="C2051" i="3"/>
  <c r="B2051" i="3"/>
  <c r="A2051" i="3"/>
  <c r="O2050" i="3"/>
  <c r="N2050" i="3"/>
  <c r="M2050" i="3"/>
  <c r="L2050" i="3"/>
  <c r="K2050" i="3"/>
  <c r="J2050" i="3"/>
  <c r="I2050" i="3"/>
  <c r="H2050" i="3"/>
  <c r="G2050" i="3"/>
  <c r="F2050" i="3"/>
  <c r="E2050" i="3"/>
  <c r="D2050" i="3"/>
  <c r="C2050" i="3"/>
  <c r="B2050" i="3"/>
  <c r="A2050" i="3"/>
  <c r="O2049" i="3"/>
  <c r="N2049" i="3"/>
  <c r="M2049" i="3"/>
  <c r="L2049" i="3"/>
  <c r="K2049" i="3"/>
  <c r="J2049" i="3"/>
  <c r="I2049" i="3"/>
  <c r="H2049" i="3"/>
  <c r="G2049" i="3"/>
  <c r="F2049" i="3"/>
  <c r="E2049" i="3"/>
  <c r="D2049" i="3"/>
  <c r="C2049" i="3"/>
  <c r="B2049" i="3"/>
  <c r="A2049" i="3"/>
  <c r="O2048" i="3"/>
  <c r="N2048" i="3"/>
  <c r="M2048" i="3"/>
  <c r="L2048" i="3"/>
  <c r="K2048" i="3"/>
  <c r="J2048" i="3"/>
  <c r="I2048" i="3"/>
  <c r="H2048" i="3"/>
  <c r="G2048" i="3"/>
  <c r="F2048" i="3"/>
  <c r="E2048" i="3"/>
  <c r="D2048" i="3"/>
  <c r="C2048" i="3"/>
  <c r="B2048" i="3"/>
  <c r="A2048" i="3"/>
  <c r="O2047" i="3"/>
  <c r="N2047" i="3"/>
  <c r="M2047" i="3"/>
  <c r="L2047" i="3"/>
  <c r="K2047" i="3"/>
  <c r="J2047" i="3"/>
  <c r="I2047" i="3"/>
  <c r="H2047" i="3"/>
  <c r="G2047" i="3"/>
  <c r="F2047" i="3"/>
  <c r="E2047" i="3"/>
  <c r="D2047" i="3"/>
  <c r="C2047" i="3"/>
  <c r="B2047" i="3"/>
  <c r="A2047" i="3"/>
  <c r="O2046" i="3"/>
  <c r="N2046" i="3"/>
  <c r="M2046" i="3"/>
  <c r="L2046" i="3"/>
  <c r="K2046" i="3"/>
  <c r="J2046" i="3"/>
  <c r="I2046" i="3"/>
  <c r="H2046" i="3"/>
  <c r="G2046" i="3"/>
  <c r="F2046" i="3"/>
  <c r="E2046" i="3"/>
  <c r="D2046" i="3"/>
  <c r="C2046" i="3"/>
  <c r="B2046" i="3"/>
  <c r="A2046" i="3"/>
  <c r="O2045" i="3"/>
  <c r="N2045" i="3"/>
  <c r="M2045" i="3"/>
  <c r="L2045" i="3"/>
  <c r="K2045" i="3"/>
  <c r="J2045" i="3"/>
  <c r="I2045" i="3"/>
  <c r="H2045" i="3"/>
  <c r="G2045" i="3"/>
  <c r="F2045" i="3"/>
  <c r="E2045" i="3"/>
  <c r="D2045" i="3"/>
  <c r="C2045" i="3"/>
  <c r="B2045" i="3"/>
  <c r="A2045" i="3"/>
  <c r="O2044" i="3"/>
  <c r="N2044" i="3"/>
  <c r="M2044" i="3"/>
  <c r="L2044" i="3"/>
  <c r="K2044" i="3"/>
  <c r="J2044" i="3"/>
  <c r="I2044" i="3"/>
  <c r="H2044" i="3"/>
  <c r="G2044" i="3"/>
  <c r="F2044" i="3"/>
  <c r="E2044" i="3"/>
  <c r="D2044" i="3"/>
  <c r="C2044" i="3"/>
  <c r="B2044" i="3"/>
  <c r="A2044" i="3"/>
  <c r="O2043" i="3"/>
  <c r="N2043" i="3"/>
  <c r="M2043" i="3"/>
  <c r="L2043" i="3"/>
  <c r="K2043" i="3"/>
  <c r="J2043" i="3"/>
  <c r="I2043" i="3"/>
  <c r="H2043" i="3"/>
  <c r="G2043" i="3"/>
  <c r="F2043" i="3"/>
  <c r="E2043" i="3"/>
  <c r="D2043" i="3"/>
  <c r="C2043" i="3"/>
  <c r="B2043" i="3"/>
  <c r="A2043" i="3"/>
  <c r="O2042" i="3"/>
  <c r="N2042" i="3"/>
  <c r="M2042" i="3"/>
  <c r="L2042" i="3"/>
  <c r="K2042" i="3"/>
  <c r="J2042" i="3"/>
  <c r="I2042" i="3"/>
  <c r="H2042" i="3"/>
  <c r="G2042" i="3"/>
  <c r="F2042" i="3"/>
  <c r="E2042" i="3"/>
  <c r="D2042" i="3"/>
  <c r="C2042" i="3"/>
  <c r="B2042" i="3"/>
  <c r="A2042" i="3"/>
  <c r="O2041" i="3"/>
  <c r="N2041" i="3"/>
  <c r="M2041" i="3"/>
  <c r="L2041" i="3"/>
  <c r="K2041" i="3"/>
  <c r="J2041" i="3"/>
  <c r="I2041" i="3"/>
  <c r="H2041" i="3"/>
  <c r="G2041" i="3"/>
  <c r="F2041" i="3"/>
  <c r="E2041" i="3"/>
  <c r="D2041" i="3"/>
  <c r="C2041" i="3"/>
  <c r="B2041" i="3"/>
  <c r="A2041" i="3"/>
  <c r="O2040" i="3"/>
  <c r="N2040" i="3"/>
  <c r="M2040" i="3"/>
  <c r="L2040" i="3"/>
  <c r="K2040" i="3"/>
  <c r="J2040" i="3"/>
  <c r="I2040" i="3"/>
  <c r="H2040" i="3"/>
  <c r="G2040" i="3"/>
  <c r="F2040" i="3"/>
  <c r="E2040" i="3"/>
  <c r="D2040" i="3"/>
  <c r="C2040" i="3"/>
  <c r="B2040" i="3"/>
  <c r="A2040" i="3"/>
  <c r="O2039" i="3"/>
  <c r="N2039" i="3"/>
  <c r="M2039" i="3"/>
  <c r="L2039" i="3"/>
  <c r="K2039" i="3"/>
  <c r="J2039" i="3"/>
  <c r="I2039" i="3"/>
  <c r="H2039" i="3"/>
  <c r="G2039" i="3"/>
  <c r="F2039" i="3"/>
  <c r="E2039" i="3"/>
  <c r="D2039" i="3"/>
  <c r="C2039" i="3"/>
  <c r="B2039" i="3"/>
  <c r="A2039" i="3"/>
  <c r="O2038" i="3"/>
  <c r="N2038" i="3"/>
  <c r="M2038" i="3"/>
  <c r="L2038" i="3"/>
  <c r="K2038" i="3"/>
  <c r="J2038" i="3"/>
  <c r="I2038" i="3"/>
  <c r="H2038" i="3"/>
  <c r="G2038" i="3"/>
  <c r="F2038" i="3"/>
  <c r="E2038" i="3"/>
  <c r="D2038" i="3"/>
  <c r="C2038" i="3"/>
  <c r="B2038" i="3"/>
  <c r="A2038" i="3"/>
  <c r="O2037" i="3"/>
  <c r="N2037" i="3"/>
  <c r="M2037" i="3"/>
  <c r="L2037" i="3"/>
  <c r="K2037" i="3"/>
  <c r="J2037" i="3"/>
  <c r="I2037" i="3"/>
  <c r="H2037" i="3"/>
  <c r="G2037" i="3"/>
  <c r="F2037" i="3"/>
  <c r="E2037" i="3"/>
  <c r="D2037" i="3"/>
  <c r="C2037" i="3"/>
  <c r="B2037" i="3"/>
  <c r="A2037" i="3"/>
  <c r="O2036" i="3"/>
  <c r="N2036" i="3"/>
  <c r="M2036" i="3"/>
  <c r="L2036" i="3"/>
  <c r="K2036" i="3"/>
  <c r="J2036" i="3"/>
  <c r="I2036" i="3"/>
  <c r="H2036" i="3"/>
  <c r="G2036" i="3"/>
  <c r="F2036" i="3"/>
  <c r="E2036" i="3"/>
  <c r="D2036" i="3"/>
  <c r="C2036" i="3"/>
  <c r="B2036" i="3"/>
  <c r="A2036" i="3"/>
  <c r="O2035" i="3"/>
  <c r="N2035" i="3"/>
  <c r="M2035" i="3"/>
  <c r="L2035" i="3"/>
  <c r="K2035" i="3"/>
  <c r="J2035" i="3"/>
  <c r="I2035" i="3"/>
  <c r="H2035" i="3"/>
  <c r="G2035" i="3"/>
  <c r="F2035" i="3"/>
  <c r="E2035" i="3"/>
  <c r="D2035" i="3"/>
  <c r="C2035" i="3"/>
  <c r="B2035" i="3"/>
  <c r="A2035" i="3"/>
  <c r="O2034" i="3"/>
  <c r="N2034" i="3"/>
  <c r="M2034" i="3"/>
  <c r="L2034" i="3"/>
  <c r="K2034" i="3"/>
  <c r="J2034" i="3"/>
  <c r="I2034" i="3"/>
  <c r="H2034" i="3"/>
  <c r="G2034" i="3"/>
  <c r="F2034" i="3"/>
  <c r="E2034" i="3"/>
  <c r="D2034" i="3"/>
  <c r="C2034" i="3"/>
  <c r="B2034" i="3"/>
  <c r="A2034" i="3"/>
  <c r="O2033" i="3"/>
  <c r="N2033" i="3"/>
  <c r="M2033" i="3"/>
  <c r="L2033" i="3"/>
  <c r="K2033" i="3"/>
  <c r="J2033" i="3"/>
  <c r="I2033" i="3"/>
  <c r="H2033" i="3"/>
  <c r="G2033" i="3"/>
  <c r="F2033" i="3"/>
  <c r="E2033" i="3"/>
  <c r="D2033" i="3"/>
  <c r="C2033" i="3"/>
  <c r="B2033" i="3"/>
  <c r="A2033" i="3"/>
  <c r="O2032" i="3"/>
  <c r="N2032" i="3"/>
  <c r="M2032" i="3"/>
  <c r="L2032" i="3"/>
  <c r="K2032" i="3"/>
  <c r="J2032" i="3"/>
  <c r="I2032" i="3"/>
  <c r="H2032" i="3"/>
  <c r="G2032" i="3"/>
  <c r="F2032" i="3"/>
  <c r="E2032" i="3"/>
  <c r="D2032" i="3"/>
  <c r="C2032" i="3"/>
  <c r="B2032" i="3"/>
  <c r="A2032" i="3"/>
  <c r="O2031" i="3"/>
  <c r="N2031" i="3"/>
  <c r="M2031" i="3"/>
  <c r="L2031" i="3"/>
  <c r="K2031" i="3"/>
  <c r="J2031" i="3"/>
  <c r="I2031" i="3"/>
  <c r="H2031" i="3"/>
  <c r="G2031" i="3"/>
  <c r="F2031" i="3"/>
  <c r="E2031" i="3"/>
  <c r="D2031" i="3"/>
  <c r="C2031" i="3"/>
  <c r="B2031" i="3"/>
  <c r="A2031" i="3"/>
  <c r="O2030" i="3"/>
  <c r="N2030" i="3"/>
  <c r="M2030" i="3"/>
  <c r="L2030" i="3"/>
  <c r="K2030" i="3"/>
  <c r="J2030" i="3"/>
  <c r="I2030" i="3"/>
  <c r="H2030" i="3"/>
  <c r="G2030" i="3"/>
  <c r="F2030" i="3"/>
  <c r="E2030" i="3"/>
  <c r="D2030" i="3"/>
  <c r="C2030" i="3"/>
  <c r="B2030" i="3"/>
  <c r="A2030" i="3"/>
  <c r="O2029" i="3"/>
  <c r="N2029" i="3"/>
  <c r="M2029" i="3"/>
  <c r="L2029" i="3"/>
  <c r="K2029" i="3"/>
  <c r="J2029" i="3"/>
  <c r="I2029" i="3"/>
  <c r="H2029" i="3"/>
  <c r="G2029" i="3"/>
  <c r="F2029" i="3"/>
  <c r="E2029" i="3"/>
  <c r="D2029" i="3"/>
  <c r="C2029" i="3"/>
  <c r="B2029" i="3"/>
  <c r="A2029" i="3"/>
  <c r="O2028" i="3"/>
  <c r="N2028" i="3"/>
  <c r="M2028" i="3"/>
  <c r="L2028" i="3"/>
  <c r="K2028" i="3"/>
  <c r="J2028" i="3"/>
  <c r="I2028" i="3"/>
  <c r="H2028" i="3"/>
  <c r="G2028" i="3"/>
  <c r="F2028" i="3"/>
  <c r="E2028" i="3"/>
  <c r="D2028" i="3"/>
  <c r="C2028" i="3"/>
  <c r="B2028" i="3"/>
  <c r="A2028" i="3"/>
  <c r="O2027" i="3"/>
  <c r="N2027" i="3"/>
  <c r="M2027" i="3"/>
  <c r="L2027" i="3"/>
  <c r="K2027" i="3"/>
  <c r="J2027" i="3"/>
  <c r="I2027" i="3"/>
  <c r="H2027" i="3"/>
  <c r="G2027" i="3"/>
  <c r="F2027" i="3"/>
  <c r="E2027" i="3"/>
  <c r="D2027" i="3"/>
  <c r="C2027" i="3"/>
  <c r="B2027" i="3"/>
  <c r="A2027" i="3"/>
  <c r="O2026" i="3"/>
  <c r="N2026" i="3"/>
  <c r="M2026" i="3"/>
  <c r="L2026" i="3"/>
  <c r="K2026" i="3"/>
  <c r="J2026" i="3"/>
  <c r="I2026" i="3"/>
  <c r="H2026" i="3"/>
  <c r="G2026" i="3"/>
  <c r="F2026" i="3"/>
  <c r="E2026" i="3"/>
  <c r="D2026" i="3"/>
  <c r="C2026" i="3"/>
  <c r="B2026" i="3"/>
  <c r="A2026" i="3"/>
  <c r="O2025" i="3"/>
  <c r="N2025" i="3"/>
  <c r="M2025" i="3"/>
  <c r="L2025" i="3"/>
  <c r="K2025" i="3"/>
  <c r="J2025" i="3"/>
  <c r="I2025" i="3"/>
  <c r="H2025" i="3"/>
  <c r="G2025" i="3"/>
  <c r="F2025" i="3"/>
  <c r="E2025" i="3"/>
  <c r="D2025" i="3"/>
  <c r="C2025" i="3"/>
  <c r="B2025" i="3"/>
  <c r="A2025" i="3"/>
  <c r="O2024" i="3"/>
  <c r="N2024" i="3"/>
  <c r="M2024" i="3"/>
  <c r="L2024" i="3"/>
  <c r="K2024" i="3"/>
  <c r="J2024" i="3"/>
  <c r="I2024" i="3"/>
  <c r="H2024" i="3"/>
  <c r="G2024" i="3"/>
  <c r="F2024" i="3"/>
  <c r="E2024" i="3"/>
  <c r="D2024" i="3"/>
  <c r="C2024" i="3"/>
  <c r="B2024" i="3"/>
  <c r="A2024" i="3"/>
  <c r="O2023" i="3"/>
  <c r="N2023" i="3"/>
  <c r="M2023" i="3"/>
  <c r="L2023" i="3"/>
  <c r="K2023" i="3"/>
  <c r="J2023" i="3"/>
  <c r="I2023" i="3"/>
  <c r="H2023" i="3"/>
  <c r="G2023" i="3"/>
  <c r="F2023" i="3"/>
  <c r="E2023" i="3"/>
  <c r="D2023" i="3"/>
  <c r="C2023" i="3"/>
  <c r="B2023" i="3"/>
  <c r="A2023" i="3"/>
  <c r="O2022" i="3"/>
  <c r="N2022" i="3"/>
  <c r="M2022" i="3"/>
  <c r="L2022" i="3"/>
  <c r="K2022" i="3"/>
  <c r="J2022" i="3"/>
  <c r="I2022" i="3"/>
  <c r="H2022" i="3"/>
  <c r="G2022" i="3"/>
  <c r="F2022" i="3"/>
  <c r="E2022" i="3"/>
  <c r="D2022" i="3"/>
  <c r="C2022" i="3"/>
  <c r="B2022" i="3"/>
  <c r="A2022" i="3"/>
  <c r="O2021" i="3"/>
  <c r="N2021" i="3"/>
  <c r="M2021" i="3"/>
  <c r="L2021" i="3"/>
  <c r="K2021" i="3"/>
  <c r="J2021" i="3"/>
  <c r="I2021" i="3"/>
  <c r="H2021" i="3"/>
  <c r="G2021" i="3"/>
  <c r="F2021" i="3"/>
  <c r="E2021" i="3"/>
  <c r="D2021" i="3"/>
  <c r="C2021" i="3"/>
  <c r="B2021" i="3"/>
  <c r="A2021" i="3"/>
  <c r="O2020" i="3"/>
  <c r="N2020" i="3"/>
  <c r="M2020" i="3"/>
  <c r="L2020" i="3"/>
  <c r="K2020" i="3"/>
  <c r="J2020" i="3"/>
  <c r="I2020" i="3"/>
  <c r="H2020" i="3"/>
  <c r="G2020" i="3"/>
  <c r="F2020" i="3"/>
  <c r="E2020" i="3"/>
  <c r="D2020" i="3"/>
  <c r="C2020" i="3"/>
  <c r="B2020" i="3"/>
  <c r="A2020" i="3"/>
  <c r="O2019" i="3"/>
  <c r="N2019" i="3"/>
  <c r="M2019" i="3"/>
  <c r="L2019" i="3"/>
  <c r="K2019" i="3"/>
  <c r="J2019" i="3"/>
  <c r="I2019" i="3"/>
  <c r="H2019" i="3"/>
  <c r="G2019" i="3"/>
  <c r="F2019" i="3"/>
  <c r="E2019" i="3"/>
  <c r="D2019" i="3"/>
  <c r="C2019" i="3"/>
  <c r="B2019" i="3"/>
  <c r="A2019" i="3"/>
  <c r="O2018" i="3"/>
  <c r="N2018" i="3"/>
  <c r="M2018" i="3"/>
  <c r="L2018" i="3"/>
  <c r="K2018" i="3"/>
  <c r="J2018" i="3"/>
  <c r="I2018" i="3"/>
  <c r="H2018" i="3"/>
  <c r="G2018" i="3"/>
  <c r="F2018" i="3"/>
  <c r="E2018" i="3"/>
  <c r="D2018" i="3"/>
  <c r="C2018" i="3"/>
  <c r="B2018" i="3"/>
  <c r="A2018" i="3"/>
  <c r="O2017" i="3"/>
  <c r="N2017" i="3"/>
  <c r="M2017" i="3"/>
  <c r="L2017" i="3"/>
  <c r="K2017" i="3"/>
  <c r="J2017" i="3"/>
  <c r="I2017" i="3"/>
  <c r="H2017" i="3"/>
  <c r="G2017" i="3"/>
  <c r="F2017" i="3"/>
  <c r="E2017" i="3"/>
  <c r="D2017" i="3"/>
  <c r="C2017" i="3"/>
  <c r="B2017" i="3"/>
  <c r="A2017" i="3"/>
  <c r="O2016" i="3"/>
  <c r="N2016" i="3"/>
  <c r="M2016" i="3"/>
  <c r="L2016" i="3"/>
  <c r="K2016" i="3"/>
  <c r="J2016" i="3"/>
  <c r="I2016" i="3"/>
  <c r="H2016" i="3"/>
  <c r="G2016" i="3"/>
  <c r="F2016" i="3"/>
  <c r="E2016" i="3"/>
  <c r="D2016" i="3"/>
  <c r="C2016" i="3"/>
  <c r="B2016" i="3"/>
  <c r="A2016" i="3"/>
  <c r="O2015" i="3"/>
  <c r="N2015" i="3"/>
  <c r="M2015" i="3"/>
  <c r="L2015" i="3"/>
  <c r="K2015" i="3"/>
  <c r="J2015" i="3"/>
  <c r="I2015" i="3"/>
  <c r="H2015" i="3"/>
  <c r="G2015" i="3"/>
  <c r="F2015" i="3"/>
  <c r="E2015" i="3"/>
  <c r="D2015" i="3"/>
  <c r="C2015" i="3"/>
  <c r="B2015" i="3"/>
  <c r="A2015" i="3"/>
  <c r="O2014" i="3"/>
  <c r="N2014" i="3"/>
  <c r="M2014" i="3"/>
  <c r="L2014" i="3"/>
  <c r="K2014" i="3"/>
  <c r="J2014" i="3"/>
  <c r="I2014" i="3"/>
  <c r="H2014" i="3"/>
  <c r="G2014" i="3"/>
  <c r="F2014" i="3"/>
  <c r="E2014" i="3"/>
  <c r="D2014" i="3"/>
  <c r="C2014" i="3"/>
  <c r="B2014" i="3"/>
  <c r="A2014" i="3"/>
  <c r="O2013" i="3"/>
  <c r="N2013" i="3"/>
  <c r="M2013" i="3"/>
  <c r="L2013" i="3"/>
  <c r="K2013" i="3"/>
  <c r="J2013" i="3"/>
  <c r="I2013" i="3"/>
  <c r="H2013" i="3"/>
  <c r="G2013" i="3"/>
  <c r="F2013" i="3"/>
  <c r="E2013" i="3"/>
  <c r="D2013" i="3"/>
  <c r="C2013" i="3"/>
  <c r="B2013" i="3"/>
  <c r="A2013" i="3"/>
  <c r="O2012" i="3"/>
  <c r="N2012" i="3"/>
  <c r="M2012" i="3"/>
  <c r="L2012" i="3"/>
  <c r="K2012" i="3"/>
  <c r="J2012" i="3"/>
  <c r="I2012" i="3"/>
  <c r="H2012" i="3"/>
  <c r="G2012" i="3"/>
  <c r="F2012" i="3"/>
  <c r="E2012" i="3"/>
  <c r="D2012" i="3"/>
  <c r="C2012" i="3"/>
  <c r="B2012" i="3"/>
  <c r="A2012" i="3"/>
  <c r="O2011" i="3"/>
  <c r="N2011" i="3"/>
  <c r="M2011" i="3"/>
  <c r="L2011" i="3"/>
  <c r="K2011" i="3"/>
  <c r="J2011" i="3"/>
  <c r="I2011" i="3"/>
  <c r="H2011" i="3"/>
  <c r="G2011" i="3"/>
  <c r="F2011" i="3"/>
  <c r="E2011" i="3"/>
  <c r="D2011" i="3"/>
  <c r="C2011" i="3"/>
  <c r="B2011" i="3"/>
  <c r="A2011" i="3"/>
  <c r="O2010" i="3"/>
  <c r="N2010" i="3"/>
  <c r="M2010" i="3"/>
  <c r="L2010" i="3"/>
  <c r="K2010" i="3"/>
  <c r="J2010" i="3"/>
  <c r="I2010" i="3"/>
  <c r="H2010" i="3"/>
  <c r="G2010" i="3"/>
  <c r="F2010" i="3"/>
  <c r="E2010" i="3"/>
  <c r="D2010" i="3"/>
  <c r="C2010" i="3"/>
  <c r="B2010" i="3"/>
  <c r="A2010" i="3"/>
  <c r="O2009" i="3"/>
  <c r="N2009" i="3"/>
  <c r="M2009" i="3"/>
  <c r="L2009" i="3"/>
  <c r="K2009" i="3"/>
  <c r="J2009" i="3"/>
  <c r="I2009" i="3"/>
  <c r="H2009" i="3"/>
  <c r="G2009" i="3"/>
  <c r="F2009" i="3"/>
  <c r="E2009" i="3"/>
  <c r="D2009" i="3"/>
  <c r="C2009" i="3"/>
  <c r="B2009" i="3"/>
  <c r="A2009" i="3"/>
  <c r="O2008" i="3"/>
  <c r="N2008" i="3"/>
  <c r="M2008" i="3"/>
  <c r="L2008" i="3"/>
  <c r="K2008" i="3"/>
  <c r="J2008" i="3"/>
  <c r="I2008" i="3"/>
  <c r="H2008" i="3"/>
  <c r="G2008" i="3"/>
  <c r="F2008" i="3"/>
  <c r="E2008" i="3"/>
  <c r="D2008" i="3"/>
  <c r="C2008" i="3"/>
  <c r="B2008" i="3"/>
  <c r="A2008" i="3"/>
  <c r="O2007" i="3"/>
  <c r="N2007" i="3"/>
  <c r="M2007" i="3"/>
  <c r="L2007" i="3"/>
  <c r="K2007" i="3"/>
  <c r="J2007" i="3"/>
  <c r="I2007" i="3"/>
  <c r="H2007" i="3"/>
  <c r="G2007" i="3"/>
  <c r="F2007" i="3"/>
  <c r="E2007" i="3"/>
  <c r="D2007" i="3"/>
  <c r="C2007" i="3"/>
  <c r="B2007" i="3"/>
  <c r="A2007" i="3"/>
  <c r="O2006" i="3"/>
  <c r="N2006" i="3"/>
  <c r="M2006" i="3"/>
  <c r="L2006" i="3"/>
  <c r="K2006" i="3"/>
  <c r="J2006" i="3"/>
  <c r="I2006" i="3"/>
  <c r="H2006" i="3"/>
  <c r="G2006" i="3"/>
  <c r="F2006" i="3"/>
  <c r="E2006" i="3"/>
  <c r="D2006" i="3"/>
  <c r="C2006" i="3"/>
  <c r="B2006" i="3"/>
  <c r="A2006" i="3"/>
  <c r="O2005" i="3"/>
  <c r="N2005" i="3"/>
  <c r="M2005" i="3"/>
  <c r="L2005" i="3"/>
  <c r="K2005" i="3"/>
  <c r="J2005" i="3"/>
  <c r="I2005" i="3"/>
  <c r="H2005" i="3"/>
  <c r="G2005" i="3"/>
  <c r="F2005" i="3"/>
  <c r="E2005" i="3"/>
  <c r="D2005" i="3"/>
  <c r="C2005" i="3"/>
  <c r="B2005" i="3"/>
  <c r="A2005" i="3"/>
  <c r="O2004" i="3"/>
  <c r="N2004" i="3"/>
  <c r="M2004" i="3"/>
  <c r="L2004" i="3"/>
  <c r="K2004" i="3"/>
  <c r="J2004" i="3"/>
  <c r="I2004" i="3"/>
  <c r="H2004" i="3"/>
  <c r="G2004" i="3"/>
  <c r="F2004" i="3"/>
  <c r="E2004" i="3"/>
  <c r="D2004" i="3"/>
  <c r="C2004" i="3"/>
  <c r="B2004" i="3"/>
  <c r="A2004" i="3"/>
  <c r="O2003" i="3"/>
  <c r="N2003" i="3"/>
  <c r="M2003" i="3"/>
  <c r="L2003" i="3"/>
  <c r="K2003" i="3"/>
  <c r="J2003" i="3"/>
  <c r="I2003" i="3"/>
  <c r="H2003" i="3"/>
  <c r="G2003" i="3"/>
  <c r="F2003" i="3"/>
  <c r="E2003" i="3"/>
  <c r="D2003" i="3"/>
  <c r="C2003" i="3"/>
  <c r="B2003" i="3"/>
  <c r="A2003" i="3"/>
  <c r="O2002" i="3"/>
  <c r="N2002" i="3"/>
  <c r="M2002" i="3"/>
  <c r="L2002" i="3"/>
  <c r="K2002" i="3"/>
  <c r="J2002" i="3"/>
  <c r="I2002" i="3"/>
  <c r="H2002" i="3"/>
  <c r="G2002" i="3"/>
  <c r="F2002" i="3"/>
  <c r="E2002" i="3"/>
  <c r="D2002" i="3"/>
  <c r="C2002" i="3"/>
  <c r="B2002" i="3"/>
  <c r="A2002" i="3"/>
  <c r="O2001" i="3"/>
  <c r="N2001" i="3"/>
  <c r="M2001" i="3"/>
  <c r="L2001" i="3"/>
  <c r="K2001" i="3"/>
  <c r="J2001" i="3"/>
  <c r="I2001" i="3"/>
  <c r="H2001" i="3"/>
  <c r="G2001" i="3"/>
  <c r="F2001" i="3"/>
  <c r="E2001" i="3"/>
  <c r="D2001" i="3"/>
  <c r="C2001" i="3"/>
  <c r="B2001" i="3"/>
  <c r="A2001" i="3"/>
  <c r="O2000" i="3"/>
  <c r="N2000" i="3"/>
  <c r="M2000" i="3"/>
  <c r="L2000" i="3"/>
  <c r="K2000" i="3"/>
  <c r="J2000" i="3"/>
  <c r="I2000" i="3"/>
  <c r="H2000" i="3"/>
  <c r="G2000" i="3"/>
  <c r="F2000" i="3"/>
  <c r="E2000" i="3"/>
  <c r="D2000" i="3"/>
  <c r="C2000" i="3"/>
  <c r="B2000" i="3"/>
  <c r="A2000" i="3"/>
  <c r="O1999" i="3"/>
  <c r="N1999" i="3"/>
  <c r="M1999" i="3"/>
  <c r="L1999" i="3"/>
  <c r="K1999" i="3"/>
  <c r="J1999" i="3"/>
  <c r="I1999" i="3"/>
  <c r="H1999" i="3"/>
  <c r="G1999" i="3"/>
  <c r="F1999" i="3"/>
  <c r="E1999" i="3"/>
  <c r="D1999" i="3"/>
  <c r="C1999" i="3"/>
  <c r="B1999" i="3"/>
  <c r="A1999" i="3"/>
  <c r="O1998" i="3"/>
  <c r="N1998" i="3"/>
  <c r="M1998" i="3"/>
  <c r="L1998" i="3"/>
  <c r="K1998" i="3"/>
  <c r="J1998" i="3"/>
  <c r="I1998" i="3"/>
  <c r="H1998" i="3"/>
  <c r="G1998" i="3"/>
  <c r="F1998" i="3"/>
  <c r="E1998" i="3"/>
  <c r="D1998" i="3"/>
  <c r="C1998" i="3"/>
  <c r="B1998" i="3"/>
  <c r="A1998" i="3"/>
  <c r="O1997" i="3"/>
  <c r="N1997" i="3"/>
  <c r="M1997" i="3"/>
  <c r="L1997" i="3"/>
  <c r="K1997" i="3"/>
  <c r="J1997" i="3"/>
  <c r="I1997" i="3"/>
  <c r="H1997" i="3"/>
  <c r="G1997" i="3"/>
  <c r="F1997" i="3"/>
  <c r="E1997" i="3"/>
  <c r="D1997" i="3"/>
  <c r="C1997" i="3"/>
  <c r="B1997" i="3"/>
  <c r="A1997" i="3"/>
  <c r="O1996" i="3"/>
  <c r="N1996" i="3"/>
  <c r="M1996" i="3"/>
  <c r="L1996" i="3"/>
  <c r="K1996" i="3"/>
  <c r="J1996" i="3"/>
  <c r="I1996" i="3"/>
  <c r="H1996" i="3"/>
  <c r="G1996" i="3"/>
  <c r="F1996" i="3"/>
  <c r="E1996" i="3"/>
  <c r="D1996" i="3"/>
  <c r="C1996" i="3"/>
  <c r="B1996" i="3"/>
  <c r="A1996" i="3"/>
  <c r="O1995" i="3"/>
  <c r="N1995" i="3"/>
  <c r="M1995" i="3"/>
  <c r="L1995" i="3"/>
  <c r="K1995" i="3"/>
  <c r="J1995" i="3"/>
  <c r="I1995" i="3"/>
  <c r="H1995" i="3"/>
  <c r="G1995" i="3"/>
  <c r="F1995" i="3"/>
  <c r="E1995" i="3"/>
  <c r="D1995" i="3"/>
  <c r="C1995" i="3"/>
  <c r="B1995" i="3"/>
  <c r="A1995" i="3"/>
  <c r="O1994" i="3"/>
  <c r="N1994" i="3"/>
  <c r="M1994" i="3"/>
  <c r="L1994" i="3"/>
  <c r="K1994" i="3"/>
  <c r="J1994" i="3"/>
  <c r="I1994" i="3"/>
  <c r="H1994" i="3"/>
  <c r="G1994" i="3"/>
  <c r="F1994" i="3"/>
  <c r="E1994" i="3"/>
  <c r="D1994" i="3"/>
  <c r="C1994" i="3"/>
  <c r="B1994" i="3"/>
  <c r="A1994" i="3"/>
  <c r="O1993" i="3"/>
  <c r="N1993" i="3"/>
  <c r="M1993" i="3"/>
  <c r="L1993" i="3"/>
  <c r="K1993" i="3"/>
  <c r="J1993" i="3"/>
  <c r="I1993" i="3"/>
  <c r="H1993" i="3"/>
  <c r="G1993" i="3"/>
  <c r="F1993" i="3"/>
  <c r="E1993" i="3"/>
  <c r="D1993" i="3"/>
  <c r="C1993" i="3"/>
  <c r="B1993" i="3"/>
  <c r="A1993" i="3"/>
  <c r="O1992" i="3"/>
  <c r="N1992" i="3"/>
  <c r="M1992" i="3"/>
  <c r="L1992" i="3"/>
  <c r="K1992" i="3"/>
  <c r="J1992" i="3"/>
  <c r="I1992" i="3"/>
  <c r="H1992" i="3"/>
  <c r="G1992" i="3"/>
  <c r="F1992" i="3"/>
  <c r="E1992" i="3"/>
  <c r="D1992" i="3"/>
  <c r="C1992" i="3"/>
  <c r="B1992" i="3"/>
  <c r="A1992" i="3"/>
  <c r="O1991" i="3"/>
  <c r="N1991" i="3"/>
  <c r="M1991" i="3"/>
  <c r="L1991" i="3"/>
  <c r="K1991" i="3"/>
  <c r="J1991" i="3"/>
  <c r="I1991" i="3"/>
  <c r="H1991" i="3"/>
  <c r="G1991" i="3"/>
  <c r="F1991" i="3"/>
  <c r="E1991" i="3"/>
  <c r="D1991" i="3"/>
  <c r="C1991" i="3"/>
  <c r="B1991" i="3"/>
  <c r="A1991" i="3"/>
  <c r="O1990" i="3"/>
  <c r="N1990" i="3"/>
  <c r="M1990" i="3"/>
  <c r="L1990" i="3"/>
  <c r="K1990" i="3"/>
  <c r="J1990" i="3"/>
  <c r="I1990" i="3"/>
  <c r="H1990" i="3"/>
  <c r="G1990" i="3"/>
  <c r="F1990" i="3"/>
  <c r="E1990" i="3"/>
  <c r="D1990" i="3"/>
  <c r="C1990" i="3"/>
  <c r="B1990" i="3"/>
  <c r="A1990" i="3"/>
  <c r="O1989" i="3"/>
  <c r="N1989" i="3"/>
  <c r="M1989" i="3"/>
  <c r="L1989" i="3"/>
  <c r="K1989" i="3"/>
  <c r="J1989" i="3"/>
  <c r="I1989" i="3"/>
  <c r="H1989" i="3"/>
  <c r="G1989" i="3"/>
  <c r="F1989" i="3"/>
  <c r="E1989" i="3"/>
  <c r="D1989" i="3"/>
  <c r="C1989" i="3"/>
  <c r="B1989" i="3"/>
  <c r="A1989" i="3"/>
  <c r="O1988" i="3"/>
  <c r="N1988" i="3"/>
  <c r="M1988" i="3"/>
  <c r="L1988" i="3"/>
  <c r="K1988" i="3"/>
  <c r="J1988" i="3"/>
  <c r="I1988" i="3"/>
  <c r="H1988" i="3"/>
  <c r="G1988" i="3"/>
  <c r="F1988" i="3"/>
  <c r="E1988" i="3"/>
  <c r="D1988" i="3"/>
  <c r="C1988" i="3"/>
  <c r="B1988" i="3"/>
  <c r="A1988" i="3"/>
  <c r="O1987" i="3"/>
  <c r="N1987" i="3"/>
  <c r="M1987" i="3"/>
  <c r="L1987" i="3"/>
  <c r="K1987" i="3"/>
  <c r="J1987" i="3"/>
  <c r="I1987" i="3"/>
  <c r="H1987" i="3"/>
  <c r="G1987" i="3"/>
  <c r="F1987" i="3"/>
  <c r="E1987" i="3"/>
  <c r="D1987" i="3"/>
  <c r="C1987" i="3"/>
  <c r="B1987" i="3"/>
  <c r="A1987" i="3"/>
  <c r="O1986" i="3"/>
  <c r="N1986" i="3"/>
  <c r="M1986" i="3"/>
  <c r="L1986" i="3"/>
  <c r="K1986" i="3"/>
  <c r="J1986" i="3"/>
  <c r="I1986" i="3"/>
  <c r="H1986" i="3"/>
  <c r="G1986" i="3"/>
  <c r="F1986" i="3"/>
  <c r="E1986" i="3"/>
  <c r="D1986" i="3"/>
  <c r="C1986" i="3"/>
  <c r="B1986" i="3"/>
  <c r="A1986" i="3"/>
  <c r="O1985" i="3"/>
  <c r="N1985" i="3"/>
  <c r="M1985" i="3"/>
  <c r="L1985" i="3"/>
  <c r="K1985" i="3"/>
  <c r="J1985" i="3"/>
  <c r="I1985" i="3"/>
  <c r="H1985" i="3"/>
  <c r="G1985" i="3"/>
  <c r="F1985" i="3"/>
  <c r="E1985" i="3"/>
  <c r="D1985" i="3"/>
  <c r="C1985" i="3"/>
  <c r="B1985" i="3"/>
  <c r="A1985" i="3"/>
  <c r="O1984" i="3"/>
  <c r="N1984" i="3"/>
  <c r="M1984" i="3"/>
  <c r="L1984" i="3"/>
  <c r="K1984" i="3"/>
  <c r="J1984" i="3"/>
  <c r="I1984" i="3"/>
  <c r="H1984" i="3"/>
  <c r="G1984" i="3"/>
  <c r="F1984" i="3"/>
  <c r="E1984" i="3"/>
  <c r="D1984" i="3"/>
  <c r="C1984" i="3"/>
  <c r="B1984" i="3"/>
  <c r="A1984" i="3"/>
  <c r="O1983" i="3"/>
  <c r="N1983" i="3"/>
  <c r="M1983" i="3"/>
  <c r="L1983" i="3"/>
  <c r="K1983" i="3"/>
  <c r="J1983" i="3"/>
  <c r="I1983" i="3"/>
  <c r="H1983" i="3"/>
  <c r="G1983" i="3"/>
  <c r="F1983" i="3"/>
  <c r="E1983" i="3"/>
  <c r="D1983" i="3"/>
  <c r="C1983" i="3"/>
  <c r="B1983" i="3"/>
  <c r="A1983" i="3"/>
  <c r="O1982" i="3"/>
  <c r="N1982" i="3"/>
  <c r="M1982" i="3"/>
  <c r="L1982" i="3"/>
  <c r="K1982" i="3"/>
  <c r="J1982" i="3"/>
  <c r="I1982" i="3"/>
  <c r="H1982" i="3"/>
  <c r="G1982" i="3"/>
  <c r="F1982" i="3"/>
  <c r="E1982" i="3"/>
  <c r="D1982" i="3"/>
  <c r="C1982" i="3"/>
  <c r="B1982" i="3"/>
  <c r="A1982" i="3"/>
  <c r="O1981" i="3"/>
  <c r="N1981" i="3"/>
  <c r="M1981" i="3"/>
  <c r="L1981" i="3"/>
  <c r="K1981" i="3"/>
  <c r="J1981" i="3"/>
  <c r="I1981" i="3"/>
  <c r="H1981" i="3"/>
  <c r="G1981" i="3"/>
  <c r="F1981" i="3"/>
  <c r="E1981" i="3"/>
  <c r="D1981" i="3"/>
  <c r="C1981" i="3"/>
  <c r="B1981" i="3"/>
  <c r="A1981" i="3"/>
  <c r="O1980" i="3"/>
  <c r="N1980" i="3"/>
  <c r="M1980" i="3"/>
  <c r="L1980" i="3"/>
  <c r="K1980" i="3"/>
  <c r="J1980" i="3"/>
  <c r="I1980" i="3"/>
  <c r="H1980" i="3"/>
  <c r="G1980" i="3"/>
  <c r="F1980" i="3"/>
  <c r="E1980" i="3"/>
  <c r="D1980" i="3"/>
  <c r="C1980" i="3"/>
  <c r="B1980" i="3"/>
  <c r="A1980" i="3"/>
  <c r="O1979" i="3"/>
  <c r="N1979" i="3"/>
  <c r="M1979" i="3"/>
  <c r="L1979" i="3"/>
  <c r="K1979" i="3"/>
  <c r="J1979" i="3"/>
  <c r="I1979" i="3"/>
  <c r="H1979" i="3"/>
  <c r="G1979" i="3"/>
  <c r="F1979" i="3"/>
  <c r="E1979" i="3"/>
  <c r="D1979" i="3"/>
  <c r="C1979" i="3"/>
  <c r="B1979" i="3"/>
  <c r="A1979" i="3"/>
  <c r="O1978" i="3"/>
  <c r="N1978" i="3"/>
  <c r="M1978" i="3"/>
  <c r="L1978" i="3"/>
  <c r="K1978" i="3"/>
  <c r="J1978" i="3"/>
  <c r="I1978" i="3"/>
  <c r="H1978" i="3"/>
  <c r="G1978" i="3"/>
  <c r="F1978" i="3"/>
  <c r="E1978" i="3"/>
  <c r="D1978" i="3"/>
  <c r="C1978" i="3"/>
  <c r="B1978" i="3"/>
  <c r="A1978" i="3"/>
  <c r="O1977" i="3"/>
  <c r="N1977" i="3"/>
  <c r="M1977" i="3"/>
  <c r="L1977" i="3"/>
  <c r="K1977" i="3"/>
  <c r="J1977" i="3"/>
  <c r="I1977" i="3"/>
  <c r="H1977" i="3"/>
  <c r="G1977" i="3"/>
  <c r="F1977" i="3"/>
  <c r="E1977" i="3"/>
  <c r="D1977" i="3"/>
  <c r="C1977" i="3"/>
  <c r="B1977" i="3"/>
  <c r="A1977" i="3"/>
  <c r="O1976" i="3"/>
  <c r="N1976" i="3"/>
  <c r="M1976" i="3"/>
  <c r="L1976" i="3"/>
  <c r="K1976" i="3"/>
  <c r="J1976" i="3"/>
  <c r="I1976" i="3"/>
  <c r="H1976" i="3"/>
  <c r="G1976" i="3"/>
  <c r="F1976" i="3"/>
  <c r="E1976" i="3"/>
  <c r="D1976" i="3"/>
  <c r="C1976" i="3"/>
  <c r="B1976" i="3"/>
  <c r="A1976" i="3"/>
  <c r="O1975" i="3"/>
  <c r="N1975" i="3"/>
  <c r="M1975" i="3"/>
  <c r="L1975" i="3"/>
  <c r="K1975" i="3"/>
  <c r="J1975" i="3"/>
  <c r="I1975" i="3"/>
  <c r="H1975" i="3"/>
  <c r="G1975" i="3"/>
  <c r="F1975" i="3"/>
  <c r="E1975" i="3"/>
  <c r="D1975" i="3"/>
  <c r="C1975" i="3"/>
  <c r="B1975" i="3"/>
  <c r="A1975" i="3"/>
  <c r="O1974" i="3"/>
  <c r="N1974" i="3"/>
  <c r="M1974" i="3"/>
  <c r="L1974" i="3"/>
  <c r="K1974" i="3"/>
  <c r="J1974" i="3"/>
  <c r="I1974" i="3"/>
  <c r="H1974" i="3"/>
  <c r="G1974" i="3"/>
  <c r="F1974" i="3"/>
  <c r="E1974" i="3"/>
  <c r="D1974" i="3"/>
  <c r="C1974" i="3"/>
  <c r="B1974" i="3"/>
  <c r="A1974" i="3"/>
  <c r="O1973" i="3"/>
  <c r="N1973" i="3"/>
  <c r="M1973" i="3"/>
  <c r="L1973" i="3"/>
  <c r="K1973" i="3"/>
  <c r="J1973" i="3"/>
  <c r="I1973" i="3"/>
  <c r="H1973" i="3"/>
  <c r="G1973" i="3"/>
  <c r="F1973" i="3"/>
  <c r="E1973" i="3"/>
  <c r="D1973" i="3"/>
  <c r="C1973" i="3"/>
  <c r="B1973" i="3"/>
  <c r="A1973" i="3"/>
  <c r="O1972" i="3"/>
  <c r="N1972" i="3"/>
  <c r="M1972" i="3"/>
  <c r="L1972" i="3"/>
  <c r="K1972" i="3"/>
  <c r="J1972" i="3"/>
  <c r="I1972" i="3"/>
  <c r="H1972" i="3"/>
  <c r="G1972" i="3"/>
  <c r="F1972" i="3"/>
  <c r="E1972" i="3"/>
  <c r="D1972" i="3"/>
  <c r="C1972" i="3"/>
  <c r="B1972" i="3"/>
  <c r="A1972" i="3"/>
  <c r="O1971" i="3"/>
  <c r="N1971" i="3"/>
  <c r="M1971" i="3"/>
  <c r="L1971" i="3"/>
  <c r="K1971" i="3"/>
  <c r="J1971" i="3"/>
  <c r="I1971" i="3"/>
  <c r="H1971" i="3"/>
  <c r="G1971" i="3"/>
  <c r="F1971" i="3"/>
  <c r="E1971" i="3"/>
  <c r="D1971" i="3"/>
  <c r="C1971" i="3"/>
  <c r="B1971" i="3"/>
  <c r="A1971" i="3"/>
  <c r="O1970" i="3"/>
  <c r="N1970" i="3"/>
  <c r="M1970" i="3"/>
  <c r="L1970" i="3"/>
  <c r="K1970" i="3"/>
  <c r="J1970" i="3"/>
  <c r="I1970" i="3"/>
  <c r="H1970" i="3"/>
  <c r="G1970" i="3"/>
  <c r="F1970" i="3"/>
  <c r="E1970" i="3"/>
  <c r="D1970" i="3"/>
  <c r="C1970" i="3"/>
  <c r="B1970" i="3"/>
  <c r="A1970" i="3"/>
  <c r="O1969" i="3"/>
  <c r="N1969" i="3"/>
  <c r="M1969" i="3"/>
  <c r="L1969" i="3"/>
  <c r="K1969" i="3"/>
  <c r="J1969" i="3"/>
  <c r="I1969" i="3"/>
  <c r="H1969" i="3"/>
  <c r="G1969" i="3"/>
  <c r="F1969" i="3"/>
  <c r="E1969" i="3"/>
  <c r="D1969" i="3"/>
  <c r="C1969" i="3"/>
  <c r="B1969" i="3"/>
  <c r="A1969" i="3"/>
  <c r="O1968" i="3"/>
  <c r="N1968" i="3"/>
  <c r="M1968" i="3"/>
  <c r="L1968" i="3"/>
  <c r="K1968" i="3"/>
  <c r="J1968" i="3"/>
  <c r="I1968" i="3"/>
  <c r="H1968" i="3"/>
  <c r="G1968" i="3"/>
  <c r="F1968" i="3"/>
  <c r="E1968" i="3"/>
  <c r="D1968" i="3"/>
  <c r="C1968" i="3"/>
  <c r="B1968" i="3"/>
  <c r="A1968" i="3"/>
  <c r="O1967" i="3"/>
  <c r="N1967" i="3"/>
  <c r="M1967" i="3"/>
  <c r="L1967" i="3"/>
  <c r="K1967" i="3"/>
  <c r="J1967" i="3"/>
  <c r="I1967" i="3"/>
  <c r="H1967" i="3"/>
  <c r="G1967" i="3"/>
  <c r="F1967" i="3"/>
  <c r="E1967" i="3"/>
  <c r="D1967" i="3"/>
  <c r="C1967" i="3"/>
  <c r="B1967" i="3"/>
  <c r="A1967" i="3"/>
  <c r="O1966" i="3"/>
  <c r="N1966" i="3"/>
  <c r="M1966" i="3"/>
  <c r="L1966" i="3"/>
  <c r="K1966" i="3"/>
  <c r="J1966" i="3"/>
  <c r="I1966" i="3"/>
  <c r="H1966" i="3"/>
  <c r="G1966" i="3"/>
  <c r="F1966" i="3"/>
  <c r="E1966" i="3"/>
  <c r="D1966" i="3"/>
  <c r="C1966" i="3"/>
  <c r="B1966" i="3"/>
  <c r="A1966" i="3"/>
  <c r="O1965" i="3"/>
  <c r="N1965" i="3"/>
  <c r="M1965" i="3"/>
  <c r="L1965" i="3"/>
  <c r="K1965" i="3"/>
  <c r="J1965" i="3"/>
  <c r="I1965" i="3"/>
  <c r="H1965" i="3"/>
  <c r="G1965" i="3"/>
  <c r="F1965" i="3"/>
  <c r="E1965" i="3"/>
  <c r="D1965" i="3"/>
  <c r="C1965" i="3"/>
  <c r="B1965" i="3"/>
  <c r="A1965" i="3"/>
  <c r="O1964" i="3"/>
  <c r="N1964" i="3"/>
  <c r="M1964" i="3"/>
  <c r="L1964" i="3"/>
  <c r="K1964" i="3"/>
  <c r="J1964" i="3"/>
  <c r="I1964" i="3"/>
  <c r="H1964" i="3"/>
  <c r="G1964" i="3"/>
  <c r="F1964" i="3"/>
  <c r="E1964" i="3"/>
  <c r="D1964" i="3"/>
  <c r="C1964" i="3"/>
  <c r="B1964" i="3"/>
  <c r="A1964" i="3"/>
  <c r="O1963" i="3"/>
  <c r="N1963" i="3"/>
  <c r="M1963" i="3"/>
  <c r="L1963" i="3"/>
  <c r="K1963" i="3"/>
  <c r="J1963" i="3"/>
  <c r="I1963" i="3"/>
  <c r="H1963" i="3"/>
  <c r="G1963" i="3"/>
  <c r="F1963" i="3"/>
  <c r="E1963" i="3"/>
  <c r="D1963" i="3"/>
  <c r="C1963" i="3"/>
  <c r="B1963" i="3"/>
  <c r="A1963" i="3"/>
  <c r="O1962" i="3"/>
  <c r="N1962" i="3"/>
  <c r="M1962" i="3"/>
  <c r="L1962" i="3"/>
  <c r="K1962" i="3"/>
  <c r="J1962" i="3"/>
  <c r="I1962" i="3"/>
  <c r="H1962" i="3"/>
  <c r="G1962" i="3"/>
  <c r="F1962" i="3"/>
  <c r="E1962" i="3"/>
  <c r="D1962" i="3"/>
  <c r="C1962" i="3"/>
  <c r="B1962" i="3"/>
  <c r="A1962" i="3"/>
  <c r="O1961" i="3"/>
  <c r="N1961" i="3"/>
  <c r="M1961" i="3"/>
  <c r="L1961" i="3"/>
  <c r="K1961" i="3"/>
  <c r="J1961" i="3"/>
  <c r="I1961" i="3"/>
  <c r="H1961" i="3"/>
  <c r="G1961" i="3"/>
  <c r="F1961" i="3"/>
  <c r="E1961" i="3"/>
  <c r="D1961" i="3"/>
  <c r="C1961" i="3"/>
  <c r="B1961" i="3"/>
  <c r="A1961" i="3"/>
  <c r="O1960" i="3"/>
  <c r="N1960" i="3"/>
  <c r="M1960" i="3"/>
  <c r="L1960" i="3"/>
  <c r="K1960" i="3"/>
  <c r="J1960" i="3"/>
  <c r="I1960" i="3"/>
  <c r="H1960" i="3"/>
  <c r="G1960" i="3"/>
  <c r="F1960" i="3"/>
  <c r="E1960" i="3"/>
  <c r="D1960" i="3"/>
  <c r="C1960" i="3"/>
  <c r="B1960" i="3"/>
  <c r="A1960" i="3"/>
  <c r="O1959" i="3"/>
  <c r="N1959" i="3"/>
  <c r="M1959" i="3"/>
  <c r="L1959" i="3"/>
  <c r="K1959" i="3"/>
  <c r="J1959" i="3"/>
  <c r="I1959" i="3"/>
  <c r="H1959" i="3"/>
  <c r="G1959" i="3"/>
  <c r="F1959" i="3"/>
  <c r="E1959" i="3"/>
  <c r="D1959" i="3"/>
  <c r="C1959" i="3"/>
  <c r="B1959" i="3"/>
  <c r="A1959" i="3"/>
  <c r="O1958" i="3"/>
  <c r="N1958" i="3"/>
  <c r="M1958" i="3"/>
  <c r="L1958" i="3"/>
  <c r="K1958" i="3"/>
  <c r="J1958" i="3"/>
  <c r="I1958" i="3"/>
  <c r="H1958" i="3"/>
  <c r="G1958" i="3"/>
  <c r="F1958" i="3"/>
  <c r="E1958" i="3"/>
  <c r="D1958" i="3"/>
  <c r="C1958" i="3"/>
  <c r="B1958" i="3"/>
  <c r="A1958" i="3"/>
  <c r="O1957" i="3"/>
  <c r="N1957" i="3"/>
  <c r="M1957" i="3"/>
  <c r="L1957" i="3"/>
  <c r="K1957" i="3"/>
  <c r="J1957" i="3"/>
  <c r="I1957" i="3"/>
  <c r="H1957" i="3"/>
  <c r="G1957" i="3"/>
  <c r="F1957" i="3"/>
  <c r="E1957" i="3"/>
  <c r="D1957" i="3"/>
  <c r="C1957" i="3"/>
  <c r="B1957" i="3"/>
  <c r="A1957" i="3"/>
  <c r="O1956" i="3"/>
  <c r="N1956" i="3"/>
  <c r="M1956" i="3"/>
  <c r="L1956" i="3"/>
  <c r="K1956" i="3"/>
  <c r="J1956" i="3"/>
  <c r="I1956" i="3"/>
  <c r="H1956" i="3"/>
  <c r="G1956" i="3"/>
  <c r="F1956" i="3"/>
  <c r="E1956" i="3"/>
  <c r="D1956" i="3"/>
  <c r="C1956" i="3"/>
  <c r="B1956" i="3"/>
  <c r="A1956" i="3"/>
  <c r="O1955" i="3"/>
  <c r="N1955" i="3"/>
  <c r="M1955" i="3"/>
  <c r="L1955" i="3"/>
  <c r="K1955" i="3"/>
  <c r="J1955" i="3"/>
  <c r="I1955" i="3"/>
  <c r="H1955" i="3"/>
  <c r="G1955" i="3"/>
  <c r="F1955" i="3"/>
  <c r="E1955" i="3"/>
  <c r="D1955" i="3"/>
  <c r="C1955" i="3"/>
  <c r="B1955" i="3"/>
  <c r="A1955" i="3"/>
  <c r="O1954" i="3"/>
  <c r="N1954" i="3"/>
  <c r="M1954" i="3"/>
  <c r="L1954" i="3"/>
  <c r="K1954" i="3"/>
  <c r="J1954" i="3"/>
  <c r="I1954" i="3"/>
  <c r="H1954" i="3"/>
  <c r="G1954" i="3"/>
  <c r="F1954" i="3"/>
  <c r="E1954" i="3"/>
  <c r="D1954" i="3"/>
  <c r="C1954" i="3"/>
  <c r="B1954" i="3"/>
  <c r="A1954" i="3"/>
  <c r="O1953" i="3"/>
  <c r="N1953" i="3"/>
  <c r="M1953" i="3"/>
  <c r="L1953" i="3"/>
  <c r="K1953" i="3"/>
  <c r="J1953" i="3"/>
  <c r="I1953" i="3"/>
  <c r="H1953" i="3"/>
  <c r="G1953" i="3"/>
  <c r="F1953" i="3"/>
  <c r="E1953" i="3"/>
  <c r="D1953" i="3"/>
  <c r="C1953" i="3"/>
  <c r="B1953" i="3"/>
  <c r="A1953" i="3"/>
  <c r="O1952" i="3"/>
  <c r="N1952" i="3"/>
  <c r="M1952" i="3"/>
  <c r="L1952" i="3"/>
  <c r="K1952" i="3"/>
  <c r="J1952" i="3"/>
  <c r="I1952" i="3"/>
  <c r="H1952" i="3"/>
  <c r="G1952" i="3"/>
  <c r="F1952" i="3"/>
  <c r="E1952" i="3"/>
  <c r="D1952" i="3"/>
  <c r="C1952" i="3"/>
  <c r="B1952" i="3"/>
  <c r="A1952" i="3"/>
  <c r="O1951" i="3"/>
  <c r="N1951" i="3"/>
  <c r="M1951" i="3"/>
  <c r="L1951" i="3"/>
  <c r="K1951" i="3"/>
  <c r="J1951" i="3"/>
  <c r="I1951" i="3"/>
  <c r="H1951" i="3"/>
  <c r="G1951" i="3"/>
  <c r="F1951" i="3"/>
  <c r="E1951" i="3"/>
  <c r="D1951" i="3"/>
  <c r="C1951" i="3"/>
  <c r="B1951" i="3"/>
  <c r="A1951" i="3"/>
  <c r="O1950" i="3"/>
  <c r="N1950" i="3"/>
  <c r="M1950" i="3"/>
  <c r="L1950" i="3"/>
  <c r="K1950" i="3"/>
  <c r="J1950" i="3"/>
  <c r="I1950" i="3"/>
  <c r="H1950" i="3"/>
  <c r="G1950" i="3"/>
  <c r="F1950" i="3"/>
  <c r="E1950" i="3"/>
  <c r="D1950" i="3"/>
  <c r="C1950" i="3"/>
  <c r="B1950" i="3"/>
  <c r="A1950" i="3"/>
  <c r="O1949" i="3"/>
  <c r="N1949" i="3"/>
  <c r="M1949" i="3"/>
  <c r="L1949" i="3"/>
  <c r="K1949" i="3"/>
  <c r="J1949" i="3"/>
  <c r="I1949" i="3"/>
  <c r="H1949" i="3"/>
  <c r="G1949" i="3"/>
  <c r="F1949" i="3"/>
  <c r="E1949" i="3"/>
  <c r="D1949" i="3"/>
  <c r="C1949" i="3"/>
  <c r="B1949" i="3"/>
  <c r="A1949" i="3"/>
  <c r="O1948" i="3"/>
  <c r="N1948" i="3"/>
  <c r="M1948" i="3"/>
  <c r="L1948" i="3"/>
  <c r="K1948" i="3"/>
  <c r="J1948" i="3"/>
  <c r="I1948" i="3"/>
  <c r="H1948" i="3"/>
  <c r="G1948" i="3"/>
  <c r="F1948" i="3"/>
  <c r="E1948" i="3"/>
  <c r="D1948" i="3"/>
  <c r="C1948" i="3"/>
  <c r="B1948" i="3"/>
  <c r="A1948" i="3"/>
  <c r="O1947" i="3"/>
  <c r="N1947" i="3"/>
  <c r="M1947" i="3"/>
  <c r="L1947" i="3"/>
  <c r="K1947" i="3"/>
  <c r="J1947" i="3"/>
  <c r="I1947" i="3"/>
  <c r="H1947" i="3"/>
  <c r="G1947" i="3"/>
  <c r="F1947" i="3"/>
  <c r="E1947" i="3"/>
  <c r="D1947" i="3"/>
  <c r="C1947" i="3"/>
  <c r="B1947" i="3"/>
  <c r="A1947" i="3"/>
  <c r="O1946" i="3"/>
  <c r="N1946" i="3"/>
  <c r="M1946" i="3"/>
  <c r="L1946" i="3"/>
  <c r="K1946" i="3"/>
  <c r="J1946" i="3"/>
  <c r="I1946" i="3"/>
  <c r="H1946" i="3"/>
  <c r="G1946" i="3"/>
  <c r="F1946" i="3"/>
  <c r="E1946" i="3"/>
  <c r="D1946" i="3"/>
  <c r="C1946" i="3"/>
  <c r="B1946" i="3"/>
  <c r="A1946" i="3"/>
  <c r="O1945" i="3"/>
  <c r="N1945" i="3"/>
  <c r="M1945" i="3"/>
  <c r="L1945" i="3"/>
  <c r="K1945" i="3"/>
  <c r="J1945" i="3"/>
  <c r="I1945" i="3"/>
  <c r="H1945" i="3"/>
  <c r="G1945" i="3"/>
  <c r="F1945" i="3"/>
  <c r="E1945" i="3"/>
  <c r="D1945" i="3"/>
  <c r="C1945" i="3"/>
  <c r="B1945" i="3"/>
  <c r="A1945" i="3"/>
  <c r="O1944" i="3"/>
  <c r="N1944" i="3"/>
  <c r="M1944" i="3"/>
  <c r="L1944" i="3"/>
  <c r="K1944" i="3"/>
  <c r="J1944" i="3"/>
  <c r="I1944" i="3"/>
  <c r="H1944" i="3"/>
  <c r="G1944" i="3"/>
  <c r="F1944" i="3"/>
  <c r="E1944" i="3"/>
  <c r="D1944" i="3"/>
  <c r="C1944" i="3"/>
  <c r="B1944" i="3"/>
  <c r="A1944" i="3"/>
  <c r="O1943" i="3"/>
  <c r="N1943" i="3"/>
  <c r="M1943" i="3"/>
  <c r="L1943" i="3"/>
  <c r="K1943" i="3"/>
  <c r="J1943" i="3"/>
  <c r="I1943" i="3"/>
  <c r="H1943" i="3"/>
  <c r="G1943" i="3"/>
  <c r="F1943" i="3"/>
  <c r="E1943" i="3"/>
  <c r="D1943" i="3"/>
  <c r="C1943" i="3"/>
  <c r="B1943" i="3"/>
  <c r="A1943" i="3"/>
  <c r="O1942" i="3"/>
  <c r="N1942" i="3"/>
  <c r="M1942" i="3"/>
  <c r="L1942" i="3"/>
  <c r="K1942" i="3"/>
  <c r="J1942" i="3"/>
  <c r="I1942" i="3"/>
  <c r="H1942" i="3"/>
  <c r="G1942" i="3"/>
  <c r="F1942" i="3"/>
  <c r="E1942" i="3"/>
  <c r="D1942" i="3"/>
  <c r="C1942" i="3"/>
  <c r="B1942" i="3"/>
  <c r="A1942" i="3"/>
  <c r="O1941" i="3"/>
  <c r="N1941" i="3"/>
  <c r="M1941" i="3"/>
  <c r="L1941" i="3"/>
  <c r="K1941" i="3"/>
  <c r="J1941" i="3"/>
  <c r="I1941" i="3"/>
  <c r="H1941" i="3"/>
  <c r="G1941" i="3"/>
  <c r="F1941" i="3"/>
  <c r="E1941" i="3"/>
  <c r="D1941" i="3"/>
  <c r="C1941" i="3"/>
  <c r="B1941" i="3"/>
  <c r="A1941" i="3"/>
  <c r="O1940" i="3"/>
  <c r="N1940" i="3"/>
  <c r="M1940" i="3"/>
  <c r="L1940" i="3"/>
  <c r="K1940" i="3"/>
  <c r="J1940" i="3"/>
  <c r="I1940" i="3"/>
  <c r="H1940" i="3"/>
  <c r="G1940" i="3"/>
  <c r="F1940" i="3"/>
  <c r="E1940" i="3"/>
  <c r="D1940" i="3"/>
  <c r="C1940" i="3"/>
  <c r="B1940" i="3"/>
  <c r="A1940" i="3"/>
  <c r="O1939" i="3"/>
  <c r="N1939" i="3"/>
  <c r="M1939" i="3"/>
  <c r="L1939" i="3"/>
  <c r="K1939" i="3"/>
  <c r="J1939" i="3"/>
  <c r="I1939" i="3"/>
  <c r="H1939" i="3"/>
  <c r="G1939" i="3"/>
  <c r="F1939" i="3"/>
  <c r="E1939" i="3"/>
  <c r="D1939" i="3"/>
  <c r="C1939" i="3"/>
  <c r="B1939" i="3"/>
  <c r="A1939" i="3"/>
  <c r="O1938" i="3"/>
  <c r="N1938" i="3"/>
  <c r="M1938" i="3"/>
  <c r="L1938" i="3"/>
  <c r="K1938" i="3"/>
  <c r="J1938" i="3"/>
  <c r="I1938" i="3"/>
  <c r="H1938" i="3"/>
  <c r="G1938" i="3"/>
  <c r="F1938" i="3"/>
  <c r="E1938" i="3"/>
  <c r="D1938" i="3"/>
  <c r="C1938" i="3"/>
  <c r="B1938" i="3"/>
  <c r="A1938" i="3"/>
  <c r="O1937" i="3"/>
  <c r="N1937" i="3"/>
  <c r="M1937" i="3"/>
  <c r="L1937" i="3"/>
  <c r="K1937" i="3"/>
  <c r="J1937" i="3"/>
  <c r="I1937" i="3"/>
  <c r="H1937" i="3"/>
  <c r="G1937" i="3"/>
  <c r="F1937" i="3"/>
  <c r="E1937" i="3"/>
  <c r="D1937" i="3"/>
  <c r="C1937" i="3"/>
  <c r="B1937" i="3"/>
  <c r="A1937" i="3"/>
  <c r="O1936" i="3"/>
  <c r="N1936" i="3"/>
  <c r="M1936" i="3"/>
  <c r="L1936" i="3"/>
  <c r="K1936" i="3"/>
  <c r="J1936" i="3"/>
  <c r="I1936" i="3"/>
  <c r="H1936" i="3"/>
  <c r="G1936" i="3"/>
  <c r="F1936" i="3"/>
  <c r="E1936" i="3"/>
  <c r="D1936" i="3"/>
  <c r="C1936" i="3"/>
  <c r="B1936" i="3"/>
  <c r="A1936" i="3"/>
  <c r="O1935" i="3"/>
  <c r="N1935" i="3"/>
  <c r="M1935" i="3"/>
  <c r="L1935" i="3"/>
  <c r="K1935" i="3"/>
  <c r="J1935" i="3"/>
  <c r="I1935" i="3"/>
  <c r="H1935" i="3"/>
  <c r="G1935" i="3"/>
  <c r="F1935" i="3"/>
  <c r="E1935" i="3"/>
  <c r="D1935" i="3"/>
  <c r="C1935" i="3"/>
  <c r="B1935" i="3"/>
  <c r="A1935" i="3"/>
  <c r="O1934" i="3"/>
  <c r="N1934" i="3"/>
  <c r="M1934" i="3"/>
  <c r="L1934" i="3"/>
  <c r="K1934" i="3"/>
  <c r="J1934" i="3"/>
  <c r="I1934" i="3"/>
  <c r="H1934" i="3"/>
  <c r="G1934" i="3"/>
  <c r="F1934" i="3"/>
  <c r="E1934" i="3"/>
  <c r="D1934" i="3"/>
  <c r="C1934" i="3"/>
  <c r="B1934" i="3"/>
  <c r="A1934" i="3"/>
  <c r="O1933" i="3"/>
  <c r="N1933" i="3"/>
  <c r="M1933" i="3"/>
  <c r="L1933" i="3"/>
  <c r="K1933" i="3"/>
  <c r="J1933" i="3"/>
  <c r="I1933" i="3"/>
  <c r="H1933" i="3"/>
  <c r="G1933" i="3"/>
  <c r="F1933" i="3"/>
  <c r="E1933" i="3"/>
  <c r="D1933" i="3"/>
  <c r="C1933" i="3"/>
  <c r="B1933" i="3"/>
  <c r="A1933" i="3"/>
  <c r="O1932" i="3"/>
  <c r="N1932" i="3"/>
  <c r="M1932" i="3"/>
  <c r="L1932" i="3"/>
  <c r="K1932" i="3"/>
  <c r="J1932" i="3"/>
  <c r="I1932" i="3"/>
  <c r="H1932" i="3"/>
  <c r="G1932" i="3"/>
  <c r="F1932" i="3"/>
  <c r="E1932" i="3"/>
  <c r="D1932" i="3"/>
  <c r="C1932" i="3"/>
  <c r="B1932" i="3"/>
  <c r="A1932" i="3"/>
  <c r="O1931" i="3"/>
  <c r="N1931" i="3"/>
  <c r="M1931" i="3"/>
  <c r="L1931" i="3"/>
  <c r="K1931" i="3"/>
  <c r="J1931" i="3"/>
  <c r="I1931" i="3"/>
  <c r="H1931" i="3"/>
  <c r="G1931" i="3"/>
  <c r="F1931" i="3"/>
  <c r="E1931" i="3"/>
  <c r="D1931" i="3"/>
  <c r="C1931" i="3"/>
  <c r="B1931" i="3"/>
  <c r="A1931" i="3"/>
  <c r="O1930" i="3"/>
  <c r="N1930" i="3"/>
  <c r="M1930" i="3"/>
  <c r="L1930" i="3"/>
  <c r="K1930" i="3"/>
  <c r="J1930" i="3"/>
  <c r="I1930" i="3"/>
  <c r="H1930" i="3"/>
  <c r="G1930" i="3"/>
  <c r="F1930" i="3"/>
  <c r="E1930" i="3"/>
  <c r="D1930" i="3"/>
  <c r="C1930" i="3"/>
  <c r="B1930" i="3"/>
  <c r="A1930" i="3"/>
  <c r="O1929" i="3"/>
  <c r="N1929" i="3"/>
  <c r="M1929" i="3"/>
  <c r="L1929" i="3"/>
  <c r="K1929" i="3"/>
  <c r="J1929" i="3"/>
  <c r="I1929" i="3"/>
  <c r="H1929" i="3"/>
  <c r="G1929" i="3"/>
  <c r="F1929" i="3"/>
  <c r="E1929" i="3"/>
  <c r="D1929" i="3"/>
  <c r="C1929" i="3"/>
  <c r="B1929" i="3"/>
  <c r="A1929" i="3"/>
  <c r="O1928" i="3"/>
  <c r="N1928" i="3"/>
  <c r="M1928" i="3"/>
  <c r="L1928" i="3"/>
  <c r="K1928" i="3"/>
  <c r="J1928" i="3"/>
  <c r="I1928" i="3"/>
  <c r="H1928" i="3"/>
  <c r="G1928" i="3"/>
  <c r="F1928" i="3"/>
  <c r="E1928" i="3"/>
  <c r="D1928" i="3"/>
  <c r="C1928" i="3"/>
  <c r="B1928" i="3"/>
  <c r="A1928" i="3"/>
  <c r="O1927" i="3"/>
  <c r="N1927" i="3"/>
  <c r="M1927" i="3"/>
  <c r="L1927" i="3"/>
  <c r="K1927" i="3"/>
  <c r="J1927" i="3"/>
  <c r="I1927" i="3"/>
  <c r="H1927" i="3"/>
  <c r="G1927" i="3"/>
  <c r="F1927" i="3"/>
  <c r="E1927" i="3"/>
  <c r="D1927" i="3"/>
  <c r="C1927" i="3"/>
  <c r="B1927" i="3"/>
  <c r="A1927" i="3"/>
  <c r="O1926" i="3"/>
  <c r="N1926" i="3"/>
  <c r="M1926" i="3"/>
  <c r="L1926" i="3"/>
  <c r="K1926" i="3"/>
  <c r="J1926" i="3"/>
  <c r="I1926" i="3"/>
  <c r="H1926" i="3"/>
  <c r="G1926" i="3"/>
  <c r="F1926" i="3"/>
  <c r="E1926" i="3"/>
  <c r="D1926" i="3"/>
  <c r="C1926" i="3"/>
  <c r="B1926" i="3"/>
  <c r="A1926" i="3"/>
  <c r="O1925" i="3"/>
  <c r="N1925" i="3"/>
  <c r="M1925" i="3"/>
  <c r="L1925" i="3"/>
  <c r="K1925" i="3"/>
  <c r="J1925" i="3"/>
  <c r="I1925" i="3"/>
  <c r="H1925" i="3"/>
  <c r="G1925" i="3"/>
  <c r="F1925" i="3"/>
  <c r="E1925" i="3"/>
  <c r="D1925" i="3"/>
  <c r="C1925" i="3"/>
  <c r="B1925" i="3"/>
  <c r="A1925" i="3"/>
  <c r="O1924" i="3"/>
  <c r="N1924" i="3"/>
  <c r="M1924" i="3"/>
  <c r="L1924" i="3"/>
  <c r="K1924" i="3"/>
  <c r="J1924" i="3"/>
  <c r="I1924" i="3"/>
  <c r="H1924" i="3"/>
  <c r="G1924" i="3"/>
  <c r="F1924" i="3"/>
  <c r="E1924" i="3"/>
  <c r="D1924" i="3"/>
  <c r="C1924" i="3"/>
  <c r="B1924" i="3"/>
  <c r="A1924" i="3"/>
  <c r="O1923" i="3"/>
  <c r="N1923" i="3"/>
  <c r="M1923" i="3"/>
  <c r="L1923" i="3"/>
  <c r="K1923" i="3"/>
  <c r="J1923" i="3"/>
  <c r="I1923" i="3"/>
  <c r="H1923" i="3"/>
  <c r="G1923" i="3"/>
  <c r="F1923" i="3"/>
  <c r="E1923" i="3"/>
  <c r="D1923" i="3"/>
  <c r="C1923" i="3"/>
  <c r="B1923" i="3"/>
  <c r="A1923" i="3"/>
  <c r="O1922" i="3"/>
  <c r="N1922" i="3"/>
  <c r="M1922" i="3"/>
  <c r="L1922" i="3"/>
  <c r="K1922" i="3"/>
  <c r="J1922" i="3"/>
  <c r="I1922" i="3"/>
  <c r="H1922" i="3"/>
  <c r="G1922" i="3"/>
  <c r="F1922" i="3"/>
  <c r="E1922" i="3"/>
  <c r="D1922" i="3"/>
  <c r="C1922" i="3"/>
  <c r="B1922" i="3"/>
  <c r="A1922" i="3"/>
  <c r="O1921" i="3"/>
  <c r="N1921" i="3"/>
  <c r="M1921" i="3"/>
  <c r="L1921" i="3"/>
  <c r="K1921" i="3"/>
  <c r="J1921" i="3"/>
  <c r="I1921" i="3"/>
  <c r="H1921" i="3"/>
  <c r="G1921" i="3"/>
  <c r="F1921" i="3"/>
  <c r="E1921" i="3"/>
  <c r="D1921" i="3"/>
  <c r="C1921" i="3"/>
  <c r="B1921" i="3"/>
  <c r="A1921" i="3"/>
  <c r="O1920" i="3"/>
  <c r="N1920" i="3"/>
  <c r="M1920" i="3"/>
  <c r="L1920" i="3"/>
  <c r="K1920" i="3"/>
  <c r="J1920" i="3"/>
  <c r="I1920" i="3"/>
  <c r="H1920" i="3"/>
  <c r="G1920" i="3"/>
  <c r="F1920" i="3"/>
  <c r="E1920" i="3"/>
  <c r="D1920" i="3"/>
  <c r="C1920" i="3"/>
  <c r="B1920" i="3"/>
  <c r="A1920" i="3"/>
  <c r="O1919" i="3"/>
  <c r="N1919" i="3"/>
  <c r="M1919" i="3"/>
  <c r="L1919" i="3"/>
  <c r="K1919" i="3"/>
  <c r="J1919" i="3"/>
  <c r="I1919" i="3"/>
  <c r="H1919" i="3"/>
  <c r="G1919" i="3"/>
  <c r="F1919" i="3"/>
  <c r="E1919" i="3"/>
  <c r="D1919" i="3"/>
  <c r="C1919" i="3"/>
  <c r="B1919" i="3"/>
  <c r="A1919" i="3"/>
  <c r="O1918" i="3"/>
  <c r="N1918" i="3"/>
  <c r="M1918" i="3"/>
  <c r="L1918" i="3"/>
  <c r="K1918" i="3"/>
  <c r="J1918" i="3"/>
  <c r="I1918" i="3"/>
  <c r="H1918" i="3"/>
  <c r="G1918" i="3"/>
  <c r="F1918" i="3"/>
  <c r="E1918" i="3"/>
  <c r="D1918" i="3"/>
  <c r="C1918" i="3"/>
  <c r="B1918" i="3"/>
  <c r="A1918" i="3"/>
  <c r="O1917" i="3"/>
  <c r="N1917" i="3"/>
  <c r="M1917" i="3"/>
  <c r="L1917" i="3"/>
  <c r="K1917" i="3"/>
  <c r="J1917" i="3"/>
  <c r="I1917" i="3"/>
  <c r="H1917" i="3"/>
  <c r="G1917" i="3"/>
  <c r="F1917" i="3"/>
  <c r="E1917" i="3"/>
  <c r="D1917" i="3"/>
  <c r="C1917" i="3"/>
  <c r="B1917" i="3"/>
  <c r="A1917" i="3"/>
  <c r="O1916" i="3"/>
  <c r="N1916" i="3"/>
  <c r="M1916" i="3"/>
  <c r="L1916" i="3"/>
  <c r="K1916" i="3"/>
  <c r="J1916" i="3"/>
  <c r="I1916" i="3"/>
  <c r="H1916" i="3"/>
  <c r="G1916" i="3"/>
  <c r="F1916" i="3"/>
  <c r="E1916" i="3"/>
  <c r="D1916" i="3"/>
  <c r="C1916" i="3"/>
  <c r="B1916" i="3"/>
  <c r="A1916" i="3"/>
  <c r="O1915" i="3"/>
  <c r="N1915" i="3"/>
  <c r="M1915" i="3"/>
  <c r="L1915" i="3"/>
  <c r="K1915" i="3"/>
  <c r="J1915" i="3"/>
  <c r="I1915" i="3"/>
  <c r="H1915" i="3"/>
  <c r="G1915" i="3"/>
  <c r="F1915" i="3"/>
  <c r="E1915" i="3"/>
  <c r="D1915" i="3"/>
  <c r="C1915" i="3"/>
  <c r="B1915" i="3"/>
  <c r="A1915" i="3"/>
  <c r="O1914" i="3"/>
  <c r="N1914" i="3"/>
  <c r="M1914" i="3"/>
  <c r="L1914" i="3"/>
  <c r="K1914" i="3"/>
  <c r="J1914" i="3"/>
  <c r="I1914" i="3"/>
  <c r="H1914" i="3"/>
  <c r="G1914" i="3"/>
  <c r="F1914" i="3"/>
  <c r="E1914" i="3"/>
  <c r="D1914" i="3"/>
  <c r="C1914" i="3"/>
  <c r="B1914" i="3"/>
  <c r="A1914" i="3"/>
  <c r="O1913" i="3"/>
  <c r="N1913" i="3"/>
  <c r="M1913" i="3"/>
  <c r="L1913" i="3"/>
  <c r="K1913" i="3"/>
  <c r="J1913" i="3"/>
  <c r="I1913" i="3"/>
  <c r="H1913" i="3"/>
  <c r="G1913" i="3"/>
  <c r="F1913" i="3"/>
  <c r="E1913" i="3"/>
  <c r="D1913" i="3"/>
  <c r="C1913" i="3"/>
  <c r="B1913" i="3"/>
  <c r="A1913" i="3"/>
  <c r="O1912" i="3"/>
  <c r="N1912" i="3"/>
  <c r="M1912" i="3"/>
  <c r="L1912" i="3"/>
  <c r="K1912" i="3"/>
  <c r="J1912" i="3"/>
  <c r="I1912" i="3"/>
  <c r="H1912" i="3"/>
  <c r="G1912" i="3"/>
  <c r="F1912" i="3"/>
  <c r="E1912" i="3"/>
  <c r="D1912" i="3"/>
  <c r="C1912" i="3"/>
  <c r="B1912" i="3"/>
  <c r="A1912" i="3"/>
  <c r="O1911" i="3"/>
  <c r="N1911" i="3"/>
  <c r="M1911" i="3"/>
  <c r="L1911" i="3"/>
  <c r="K1911" i="3"/>
  <c r="J1911" i="3"/>
  <c r="I1911" i="3"/>
  <c r="H1911" i="3"/>
  <c r="G1911" i="3"/>
  <c r="F1911" i="3"/>
  <c r="E1911" i="3"/>
  <c r="D1911" i="3"/>
  <c r="C1911" i="3"/>
  <c r="B1911" i="3"/>
  <c r="A1911" i="3"/>
  <c r="O1910" i="3"/>
  <c r="N1910" i="3"/>
  <c r="M1910" i="3"/>
  <c r="L1910" i="3"/>
  <c r="K1910" i="3"/>
  <c r="J1910" i="3"/>
  <c r="I1910" i="3"/>
  <c r="H1910" i="3"/>
  <c r="G1910" i="3"/>
  <c r="F1910" i="3"/>
  <c r="E1910" i="3"/>
  <c r="D1910" i="3"/>
  <c r="C1910" i="3"/>
  <c r="B1910" i="3"/>
  <c r="A1910" i="3"/>
  <c r="O1909" i="3"/>
  <c r="N1909" i="3"/>
  <c r="M1909" i="3"/>
  <c r="L1909" i="3"/>
  <c r="K1909" i="3"/>
  <c r="J1909" i="3"/>
  <c r="I1909" i="3"/>
  <c r="H1909" i="3"/>
  <c r="G1909" i="3"/>
  <c r="F1909" i="3"/>
  <c r="E1909" i="3"/>
  <c r="D1909" i="3"/>
  <c r="C1909" i="3"/>
  <c r="B1909" i="3"/>
  <c r="A1909" i="3"/>
  <c r="O1908" i="3"/>
  <c r="N1908" i="3"/>
  <c r="M1908" i="3"/>
  <c r="L1908" i="3"/>
  <c r="K1908" i="3"/>
  <c r="J1908" i="3"/>
  <c r="I1908" i="3"/>
  <c r="H1908" i="3"/>
  <c r="G1908" i="3"/>
  <c r="F1908" i="3"/>
  <c r="E1908" i="3"/>
  <c r="D1908" i="3"/>
  <c r="C1908" i="3"/>
  <c r="B1908" i="3"/>
  <c r="A1908" i="3"/>
  <c r="O1907" i="3"/>
  <c r="N1907" i="3"/>
  <c r="M1907" i="3"/>
  <c r="L1907" i="3"/>
  <c r="K1907" i="3"/>
  <c r="J1907" i="3"/>
  <c r="I1907" i="3"/>
  <c r="H1907" i="3"/>
  <c r="G1907" i="3"/>
  <c r="F1907" i="3"/>
  <c r="E1907" i="3"/>
  <c r="D1907" i="3"/>
  <c r="C1907" i="3"/>
  <c r="B1907" i="3"/>
  <c r="A1907" i="3"/>
  <c r="O1906" i="3"/>
  <c r="N1906" i="3"/>
  <c r="M1906" i="3"/>
  <c r="L1906" i="3"/>
  <c r="K1906" i="3"/>
  <c r="J1906" i="3"/>
  <c r="I1906" i="3"/>
  <c r="H1906" i="3"/>
  <c r="G1906" i="3"/>
  <c r="F1906" i="3"/>
  <c r="E1906" i="3"/>
  <c r="D1906" i="3"/>
  <c r="C1906" i="3"/>
  <c r="B1906" i="3"/>
  <c r="A1906" i="3"/>
  <c r="O1905" i="3"/>
  <c r="N1905" i="3"/>
  <c r="M1905" i="3"/>
  <c r="L1905" i="3"/>
  <c r="K1905" i="3"/>
  <c r="J1905" i="3"/>
  <c r="I1905" i="3"/>
  <c r="H1905" i="3"/>
  <c r="G1905" i="3"/>
  <c r="F1905" i="3"/>
  <c r="E1905" i="3"/>
  <c r="D1905" i="3"/>
  <c r="C1905" i="3"/>
  <c r="B1905" i="3"/>
  <c r="A1905" i="3"/>
  <c r="O1904" i="3"/>
  <c r="N1904" i="3"/>
  <c r="M1904" i="3"/>
  <c r="L1904" i="3"/>
  <c r="K1904" i="3"/>
  <c r="J1904" i="3"/>
  <c r="I1904" i="3"/>
  <c r="H1904" i="3"/>
  <c r="G1904" i="3"/>
  <c r="F1904" i="3"/>
  <c r="E1904" i="3"/>
  <c r="D1904" i="3"/>
  <c r="C1904" i="3"/>
  <c r="B1904" i="3"/>
  <c r="A1904" i="3"/>
  <c r="O1903" i="3"/>
  <c r="N1903" i="3"/>
  <c r="M1903" i="3"/>
  <c r="L1903" i="3"/>
  <c r="K1903" i="3"/>
  <c r="J1903" i="3"/>
  <c r="I1903" i="3"/>
  <c r="H1903" i="3"/>
  <c r="G1903" i="3"/>
  <c r="F1903" i="3"/>
  <c r="E1903" i="3"/>
  <c r="D1903" i="3"/>
  <c r="C1903" i="3"/>
  <c r="B1903" i="3"/>
  <c r="A1903" i="3"/>
  <c r="O1902" i="3"/>
  <c r="N1902" i="3"/>
  <c r="M1902" i="3"/>
  <c r="L1902" i="3"/>
  <c r="K1902" i="3"/>
  <c r="J1902" i="3"/>
  <c r="I1902" i="3"/>
  <c r="H1902" i="3"/>
  <c r="G1902" i="3"/>
  <c r="F1902" i="3"/>
  <c r="E1902" i="3"/>
  <c r="D1902" i="3"/>
  <c r="C1902" i="3"/>
  <c r="B1902" i="3"/>
  <c r="A1902" i="3"/>
  <c r="O1901" i="3"/>
  <c r="N1901" i="3"/>
  <c r="M1901" i="3"/>
  <c r="L1901" i="3"/>
  <c r="K1901" i="3"/>
  <c r="J1901" i="3"/>
  <c r="I1901" i="3"/>
  <c r="H1901" i="3"/>
  <c r="G1901" i="3"/>
  <c r="F1901" i="3"/>
  <c r="E1901" i="3"/>
  <c r="D1901" i="3"/>
  <c r="C1901" i="3"/>
  <c r="B1901" i="3"/>
  <c r="A1901" i="3"/>
  <c r="O1900" i="3"/>
  <c r="N1900" i="3"/>
  <c r="M1900" i="3"/>
  <c r="L1900" i="3"/>
  <c r="K1900" i="3"/>
  <c r="J1900" i="3"/>
  <c r="I1900" i="3"/>
  <c r="H1900" i="3"/>
  <c r="G1900" i="3"/>
  <c r="F1900" i="3"/>
  <c r="E1900" i="3"/>
  <c r="D1900" i="3"/>
  <c r="C1900" i="3"/>
  <c r="B1900" i="3"/>
  <c r="A1900" i="3"/>
  <c r="O1899" i="3"/>
  <c r="N1899" i="3"/>
  <c r="M1899" i="3"/>
  <c r="L1899" i="3"/>
  <c r="K1899" i="3"/>
  <c r="J1899" i="3"/>
  <c r="I1899" i="3"/>
  <c r="H1899" i="3"/>
  <c r="G1899" i="3"/>
  <c r="F1899" i="3"/>
  <c r="E1899" i="3"/>
  <c r="D1899" i="3"/>
  <c r="C1899" i="3"/>
  <c r="B1899" i="3"/>
  <c r="A1899" i="3"/>
  <c r="O1898" i="3"/>
  <c r="N1898" i="3"/>
  <c r="M1898" i="3"/>
  <c r="L1898" i="3"/>
  <c r="K1898" i="3"/>
  <c r="J1898" i="3"/>
  <c r="I1898" i="3"/>
  <c r="H1898" i="3"/>
  <c r="G1898" i="3"/>
  <c r="F1898" i="3"/>
  <c r="E1898" i="3"/>
  <c r="D1898" i="3"/>
  <c r="C1898" i="3"/>
  <c r="B1898" i="3"/>
  <c r="A1898" i="3"/>
  <c r="O1897" i="3"/>
  <c r="N1897" i="3"/>
  <c r="M1897" i="3"/>
  <c r="L1897" i="3"/>
  <c r="K1897" i="3"/>
  <c r="J1897" i="3"/>
  <c r="I1897" i="3"/>
  <c r="H1897" i="3"/>
  <c r="G1897" i="3"/>
  <c r="F1897" i="3"/>
  <c r="E1897" i="3"/>
  <c r="D1897" i="3"/>
  <c r="C1897" i="3"/>
  <c r="B1897" i="3"/>
  <c r="A1897" i="3"/>
  <c r="O1896" i="3"/>
  <c r="N1896" i="3"/>
  <c r="M1896" i="3"/>
  <c r="L1896" i="3"/>
  <c r="K1896" i="3"/>
  <c r="J1896" i="3"/>
  <c r="I1896" i="3"/>
  <c r="H1896" i="3"/>
  <c r="G1896" i="3"/>
  <c r="F1896" i="3"/>
  <c r="E1896" i="3"/>
  <c r="D1896" i="3"/>
  <c r="C1896" i="3"/>
  <c r="B1896" i="3"/>
  <c r="A1896" i="3"/>
  <c r="O1895" i="3"/>
  <c r="N1895" i="3"/>
  <c r="M1895" i="3"/>
  <c r="L1895" i="3"/>
  <c r="K1895" i="3"/>
  <c r="J1895" i="3"/>
  <c r="I1895" i="3"/>
  <c r="H1895" i="3"/>
  <c r="G1895" i="3"/>
  <c r="F1895" i="3"/>
  <c r="E1895" i="3"/>
  <c r="D1895" i="3"/>
  <c r="C1895" i="3"/>
  <c r="B1895" i="3"/>
  <c r="A1895" i="3"/>
  <c r="O1894" i="3"/>
  <c r="N1894" i="3"/>
  <c r="M1894" i="3"/>
  <c r="L1894" i="3"/>
  <c r="K1894" i="3"/>
  <c r="J1894" i="3"/>
  <c r="I1894" i="3"/>
  <c r="H1894" i="3"/>
  <c r="G1894" i="3"/>
  <c r="F1894" i="3"/>
  <c r="E1894" i="3"/>
  <c r="D1894" i="3"/>
  <c r="C1894" i="3"/>
  <c r="B1894" i="3"/>
  <c r="A1894" i="3"/>
  <c r="O1893" i="3"/>
  <c r="N1893" i="3"/>
  <c r="M1893" i="3"/>
  <c r="L1893" i="3"/>
  <c r="K1893" i="3"/>
  <c r="J1893" i="3"/>
  <c r="I1893" i="3"/>
  <c r="H1893" i="3"/>
  <c r="G1893" i="3"/>
  <c r="F1893" i="3"/>
  <c r="E1893" i="3"/>
  <c r="D1893" i="3"/>
  <c r="C1893" i="3"/>
  <c r="B1893" i="3"/>
  <c r="A1893" i="3"/>
  <c r="O1892" i="3"/>
  <c r="N1892" i="3"/>
  <c r="M1892" i="3"/>
  <c r="L1892" i="3"/>
  <c r="K1892" i="3"/>
  <c r="J1892" i="3"/>
  <c r="I1892" i="3"/>
  <c r="H1892" i="3"/>
  <c r="G1892" i="3"/>
  <c r="F1892" i="3"/>
  <c r="E1892" i="3"/>
  <c r="D1892" i="3"/>
  <c r="C1892" i="3"/>
  <c r="B1892" i="3"/>
  <c r="A1892" i="3"/>
  <c r="O1891" i="3"/>
  <c r="N1891" i="3"/>
  <c r="M1891" i="3"/>
  <c r="L1891" i="3"/>
  <c r="K1891" i="3"/>
  <c r="J1891" i="3"/>
  <c r="I1891" i="3"/>
  <c r="H1891" i="3"/>
  <c r="G1891" i="3"/>
  <c r="F1891" i="3"/>
  <c r="E1891" i="3"/>
  <c r="D1891" i="3"/>
  <c r="C1891" i="3"/>
  <c r="B1891" i="3"/>
  <c r="A1891" i="3"/>
  <c r="O1890" i="3"/>
  <c r="N1890" i="3"/>
  <c r="M1890" i="3"/>
  <c r="L1890" i="3"/>
  <c r="K1890" i="3"/>
  <c r="J1890" i="3"/>
  <c r="I1890" i="3"/>
  <c r="H1890" i="3"/>
  <c r="G1890" i="3"/>
  <c r="F1890" i="3"/>
  <c r="E1890" i="3"/>
  <c r="D1890" i="3"/>
  <c r="C1890" i="3"/>
  <c r="B1890" i="3"/>
  <c r="A1890" i="3"/>
  <c r="O1889" i="3"/>
  <c r="N1889" i="3"/>
  <c r="M1889" i="3"/>
  <c r="L1889" i="3"/>
  <c r="K1889" i="3"/>
  <c r="J1889" i="3"/>
  <c r="I1889" i="3"/>
  <c r="H1889" i="3"/>
  <c r="G1889" i="3"/>
  <c r="F1889" i="3"/>
  <c r="E1889" i="3"/>
  <c r="D1889" i="3"/>
  <c r="C1889" i="3"/>
  <c r="B1889" i="3"/>
  <c r="A1889" i="3"/>
  <c r="O1888" i="3"/>
  <c r="N1888" i="3"/>
  <c r="M1888" i="3"/>
  <c r="L1888" i="3"/>
  <c r="K1888" i="3"/>
  <c r="J1888" i="3"/>
  <c r="I1888" i="3"/>
  <c r="H1888" i="3"/>
  <c r="G1888" i="3"/>
  <c r="F1888" i="3"/>
  <c r="E1888" i="3"/>
  <c r="D1888" i="3"/>
  <c r="C1888" i="3"/>
  <c r="B1888" i="3"/>
  <c r="A1888" i="3"/>
  <c r="O1887" i="3"/>
  <c r="N1887" i="3"/>
  <c r="M1887" i="3"/>
  <c r="L1887" i="3"/>
  <c r="K1887" i="3"/>
  <c r="J1887" i="3"/>
  <c r="I1887" i="3"/>
  <c r="H1887" i="3"/>
  <c r="G1887" i="3"/>
  <c r="F1887" i="3"/>
  <c r="E1887" i="3"/>
  <c r="D1887" i="3"/>
  <c r="C1887" i="3"/>
  <c r="B1887" i="3"/>
  <c r="A1887" i="3"/>
  <c r="O1886" i="3"/>
  <c r="N1886" i="3"/>
  <c r="M1886" i="3"/>
  <c r="L1886" i="3"/>
  <c r="K1886" i="3"/>
  <c r="J1886" i="3"/>
  <c r="I1886" i="3"/>
  <c r="H1886" i="3"/>
  <c r="G1886" i="3"/>
  <c r="F1886" i="3"/>
  <c r="E1886" i="3"/>
  <c r="D1886" i="3"/>
  <c r="C1886" i="3"/>
  <c r="B1886" i="3"/>
  <c r="A1886" i="3"/>
  <c r="O1885" i="3"/>
  <c r="N1885" i="3"/>
  <c r="M1885" i="3"/>
  <c r="L1885" i="3"/>
  <c r="K1885" i="3"/>
  <c r="J1885" i="3"/>
  <c r="I1885" i="3"/>
  <c r="H1885" i="3"/>
  <c r="G1885" i="3"/>
  <c r="F1885" i="3"/>
  <c r="E1885" i="3"/>
  <c r="D1885" i="3"/>
  <c r="C1885" i="3"/>
  <c r="B1885" i="3"/>
  <c r="A1885" i="3"/>
  <c r="O1884" i="3"/>
  <c r="N1884" i="3"/>
  <c r="M1884" i="3"/>
  <c r="L1884" i="3"/>
  <c r="K1884" i="3"/>
  <c r="J1884" i="3"/>
  <c r="I1884" i="3"/>
  <c r="H1884" i="3"/>
  <c r="G1884" i="3"/>
  <c r="F1884" i="3"/>
  <c r="E1884" i="3"/>
  <c r="D1884" i="3"/>
  <c r="C1884" i="3"/>
  <c r="B1884" i="3"/>
  <c r="A1884" i="3"/>
  <c r="O1883" i="3"/>
  <c r="N1883" i="3"/>
  <c r="M1883" i="3"/>
  <c r="L1883" i="3"/>
  <c r="K1883" i="3"/>
  <c r="J1883" i="3"/>
  <c r="I1883" i="3"/>
  <c r="H1883" i="3"/>
  <c r="G1883" i="3"/>
  <c r="F1883" i="3"/>
  <c r="E1883" i="3"/>
  <c r="D1883" i="3"/>
  <c r="C1883" i="3"/>
  <c r="B1883" i="3"/>
  <c r="A1883" i="3"/>
  <c r="O1882" i="3"/>
  <c r="N1882" i="3"/>
  <c r="M1882" i="3"/>
  <c r="L1882" i="3"/>
  <c r="K1882" i="3"/>
  <c r="J1882" i="3"/>
  <c r="I1882" i="3"/>
  <c r="H1882" i="3"/>
  <c r="G1882" i="3"/>
  <c r="F1882" i="3"/>
  <c r="E1882" i="3"/>
  <c r="D1882" i="3"/>
  <c r="C1882" i="3"/>
  <c r="B1882" i="3"/>
  <c r="A1882" i="3"/>
  <c r="O1881" i="3"/>
  <c r="N1881" i="3"/>
  <c r="M1881" i="3"/>
  <c r="L1881" i="3"/>
  <c r="K1881" i="3"/>
  <c r="J1881" i="3"/>
  <c r="I1881" i="3"/>
  <c r="H1881" i="3"/>
  <c r="G1881" i="3"/>
  <c r="F1881" i="3"/>
  <c r="E1881" i="3"/>
  <c r="D1881" i="3"/>
  <c r="C1881" i="3"/>
  <c r="B1881" i="3"/>
  <c r="A1881" i="3"/>
  <c r="O1880" i="3"/>
  <c r="N1880" i="3"/>
  <c r="M1880" i="3"/>
  <c r="L1880" i="3"/>
  <c r="K1880" i="3"/>
  <c r="J1880" i="3"/>
  <c r="I1880" i="3"/>
  <c r="H1880" i="3"/>
  <c r="G1880" i="3"/>
  <c r="F1880" i="3"/>
  <c r="E1880" i="3"/>
  <c r="D1880" i="3"/>
  <c r="C1880" i="3"/>
  <c r="B1880" i="3"/>
  <c r="A1880" i="3"/>
  <c r="O1879" i="3"/>
  <c r="N1879" i="3"/>
  <c r="M1879" i="3"/>
  <c r="L1879" i="3"/>
  <c r="K1879" i="3"/>
  <c r="J1879" i="3"/>
  <c r="I1879" i="3"/>
  <c r="H1879" i="3"/>
  <c r="G1879" i="3"/>
  <c r="F1879" i="3"/>
  <c r="E1879" i="3"/>
  <c r="D1879" i="3"/>
  <c r="C1879" i="3"/>
  <c r="B1879" i="3"/>
  <c r="A1879" i="3"/>
  <c r="O1878" i="3"/>
  <c r="N1878" i="3"/>
  <c r="M1878" i="3"/>
  <c r="L1878" i="3"/>
  <c r="K1878" i="3"/>
  <c r="J1878" i="3"/>
  <c r="I1878" i="3"/>
  <c r="H1878" i="3"/>
  <c r="G1878" i="3"/>
  <c r="F1878" i="3"/>
  <c r="E1878" i="3"/>
  <c r="D1878" i="3"/>
  <c r="C1878" i="3"/>
  <c r="B1878" i="3"/>
  <c r="A1878" i="3"/>
  <c r="O1877" i="3"/>
  <c r="N1877" i="3"/>
  <c r="M1877" i="3"/>
  <c r="L1877" i="3"/>
  <c r="K1877" i="3"/>
  <c r="J1877" i="3"/>
  <c r="I1877" i="3"/>
  <c r="H1877" i="3"/>
  <c r="G1877" i="3"/>
  <c r="F1877" i="3"/>
  <c r="E1877" i="3"/>
  <c r="D1877" i="3"/>
  <c r="C1877" i="3"/>
  <c r="B1877" i="3"/>
  <c r="A1877" i="3"/>
  <c r="O1876" i="3"/>
  <c r="N1876" i="3"/>
  <c r="M1876" i="3"/>
  <c r="L1876" i="3"/>
  <c r="K1876" i="3"/>
  <c r="J1876" i="3"/>
  <c r="I1876" i="3"/>
  <c r="H1876" i="3"/>
  <c r="G1876" i="3"/>
  <c r="F1876" i="3"/>
  <c r="E1876" i="3"/>
  <c r="D1876" i="3"/>
  <c r="C1876" i="3"/>
  <c r="B1876" i="3"/>
  <c r="A1876" i="3"/>
  <c r="O1875" i="3"/>
  <c r="N1875" i="3"/>
  <c r="M1875" i="3"/>
  <c r="L1875" i="3"/>
  <c r="K1875" i="3"/>
  <c r="J1875" i="3"/>
  <c r="I1875" i="3"/>
  <c r="H1875" i="3"/>
  <c r="G1875" i="3"/>
  <c r="F1875" i="3"/>
  <c r="E1875" i="3"/>
  <c r="D1875" i="3"/>
  <c r="C1875" i="3"/>
  <c r="B1875" i="3"/>
  <c r="A1875" i="3"/>
  <c r="O1874" i="3"/>
  <c r="N1874" i="3"/>
  <c r="M1874" i="3"/>
  <c r="L1874" i="3"/>
  <c r="K1874" i="3"/>
  <c r="J1874" i="3"/>
  <c r="I1874" i="3"/>
  <c r="H1874" i="3"/>
  <c r="G1874" i="3"/>
  <c r="F1874" i="3"/>
  <c r="E1874" i="3"/>
  <c r="D1874" i="3"/>
  <c r="C1874" i="3"/>
  <c r="B1874" i="3"/>
  <c r="A1874" i="3"/>
  <c r="O1873" i="3"/>
  <c r="N1873" i="3"/>
  <c r="M1873" i="3"/>
  <c r="L1873" i="3"/>
  <c r="K1873" i="3"/>
  <c r="J1873" i="3"/>
  <c r="I1873" i="3"/>
  <c r="H1873" i="3"/>
  <c r="G1873" i="3"/>
  <c r="F1873" i="3"/>
  <c r="E1873" i="3"/>
  <c r="D1873" i="3"/>
  <c r="C1873" i="3"/>
  <c r="B1873" i="3"/>
  <c r="A1873" i="3"/>
  <c r="O1872" i="3"/>
  <c r="N1872" i="3"/>
  <c r="M1872" i="3"/>
  <c r="L1872" i="3"/>
  <c r="K1872" i="3"/>
  <c r="J1872" i="3"/>
  <c r="I1872" i="3"/>
  <c r="H1872" i="3"/>
  <c r="G1872" i="3"/>
  <c r="F1872" i="3"/>
  <c r="E1872" i="3"/>
  <c r="D1872" i="3"/>
  <c r="C1872" i="3"/>
  <c r="B1872" i="3"/>
  <c r="A1872" i="3"/>
  <c r="O1871" i="3"/>
  <c r="N1871" i="3"/>
  <c r="M1871" i="3"/>
  <c r="L1871" i="3"/>
  <c r="K1871" i="3"/>
  <c r="J1871" i="3"/>
  <c r="I1871" i="3"/>
  <c r="H1871" i="3"/>
  <c r="G1871" i="3"/>
  <c r="F1871" i="3"/>
  <c r="E1871" i="3"/>
  <c r="D1871" i="3"/>
  <c r="C1871" i="3"/>
  <c r="B1871" i="3"/>
  <c r="A1871" i="3"/>
  <c r="O1870" i="3"/>
  <c r="N1870" i="3"/>
  <c r="M1870" i="3"/>
  <c r="L1870" i="3"/>
  <c r="K1870" i="3"/>
  <c r="J1870" i="3"/>
  <c r="I1870" i="3"/>
  <c r="H1870" i="3"/>
  <c r="G1870" i="3"/>
  <c r="F1870" i="3"/>
  <c r="E1870" i="3"/>
  <c r="D1870" i="3"/>
  <c r="C1870" i="3"/>
  <c r="B1870" i="3"/>
  <c r="A1870" i="3"/>
  <c r="O1869" i="3"/>
  <c r="N1869" i="3"/>
  <c r="M1869" i="3"/>
  <c r="L1869" i="3"/>
  <c r="K1869" i="3"/>
  <c r="J1869" i="3"/>
  <c r="I1869" i="3"/>
  <c r="H1869" i="3"/>
  <c r="G1869" i="3"/>
  <c r="F1869" i="3"/>
  <c r="E1869" i="3"/>
  <c r="D1869" i="3"/>
  <c r="C1869" i="3"/>
  <c r="B1869" i="3"/>
  <c r="A1869" i="3"/>
  <c r="O1868" i="3"/>
  <c r="N1868" i="3"/>
  <c r="M1868" i="3"/>
  <c r="L1868" i="3"/>
  <c r="K1868" i="3"/>
  <c r="J1868" i="3"/>
  <c r="I1868" i="3"/>
  <c r="H1868" i="3"/>
  <c r="G1868" i="3"/>
  <c r="F1868" i="3"/>
  <c r="E1868" i="3"/>
  <c r="D1868" i="3"/>
  <c r="C1868" i="3"/>
  <c r="B1868" i="3"/>
  <c r="A1868" i="3"/>
  <c r="O1867" i="3"/>
  <c r="N1867" i="3"/>
  <c r="M1867" i="3"/>
  <c r="L1867" i="3"/>
  <c r="K1867" i="3"/>
  <c r="J1867" i="3"/>
  <c r="I1867" i="3"/>
  <c r="H1867" i="3"/>
  <c r="G1867" i="3"/>
  <c r="F1867" i="3"/>
  <c r="E1867" i="3"/>
  <c r="D1867" i="3"/>
  <c r="C1867" i="3"/>
  <c r="B1867" i="3"/>
  <c r="A1867" i="3"/>
  <c r="O1866" i="3"/>
  <c r="N1866" i="3"/>
  <c r="M1866" i="3"/>
  <c r="L1866" i="3"/>
  <c r="K1866" i="3"/>
  <c r="J1866" i="3"/>
  <c r="I1866" i="3"/>
  <c r="H1866" i="3"/>
  <c r="G1866" i="3"/>
  <c r="F1866" i="3"/>
  <c r="E1866" i="3"/>
  <c r="D1866" i="3"/>
  <c r="C1866" i="3"/>
  <c r="B1866" i="3"/>
  <c r="A1866" i="3"/>
  <c r="O1865" i="3"/>
  <c r="N1865" i="3"/>
  <c r="M1865" i="3"/>
  <c r="L1865" i="3"/>
  <c r="K1865" i="3"/>
  <c r="J1865" i="3"/>
  <c r="I1865" i="3"/>
  <c r="H1865" i="3"/>
  <c r="G1865" i="3"/>
  <c r="F1865" i="3"/>
  <c r="E1865" i="3"/>
  <c r="D1865" i="3"/>
  <c r="C1865" i="3"/>
  <c r="B1865" i="3"/>
  <c r="A1865" i="3"/>
  <c r="O1864" i="3"/>
  <c r="N1864" i="3"/>
  <c r="M1864" i="3"/>
  <c r="L1864" i="3"/>
  <c r="K1864" i="3"/>
  <c r="J1864" i="3"/>
  <c r="I1864" i="3"/>
  <c r="H1864" i="3"/>
  <c r="G1864" i="3"/>
  <c r="F1864" i="3"/>
  <c r="E1864" i="3"/>
  <c r="D1864" i="3"/>
  <c r="C1864" i="3"/>
  <c r="B1864" i="3"/>
  <c r="A1864" i="3"/>
  <c r="O1863" i="3"/>
  <c r="N1863" i="3"/>
  <c r="M1863" i="3"/>
  <c r="L1863" i="3"/>
  <c r="K1863" i="3"/>
  <c r="J1863" i="3"/>
  <c r="I1863" i="3"/>
  <c r="H1863" i="3"/>
  <c r="G1863" i="3"/>
  <c r="F1863" i="3"/>
  <c r="E1863" i="3"/>
  <c r="D1863" i="3"/>
  <c r="C1863" i="3"/>
  <c r="B1863" i="3"/>
  <c r="A1863" i="3"/>
  <c r="O1862" i="3"/>
  <c r="N1862" i="3"/>
  <c r="M1862" i="3"/>
  <c r="L1862" i="3"/>
  <c r="K1862" i="3"/>
  <c r="J1862" i="3"/>
  <c r="I1862" i="3"/>
  <c r="H1862" i="3"/>
  <c r="G1862" i="3"/>
  <c r="F1862" i="3"/>
  <c r="E1862" i="3"/>
  <c r="D1862" i="3"/>
  <c r="C1862" i="3"/>
  <c r="B1862" i="3"/>
  <c r="A1862" i="3"/>
  <c r="O1861" i="3"/>
  <c r="N1861" i="3"/>
  <c r="M1861" i="3"/>
  <c r="L1861" i="3"/>
  <c r="K1861" i="3"/>
  <c r="J1861" i="3"/>
  <c r="I1861" i="3"/>
  <c r="H1861" i="3"/>
  <c r="G1861" i="3"/>
  <c r="F1861" i="3"/>
  <c r="E1861" i="3"/>
  <c r="D1861" i="3"/>
  <c r="C1861" i="3"/>
  <c r="B1861" i="3"/>
  <c r="A1861" i="3"/>
  <c r="O1860" i="3"/>
  <c r="N1860" i="3"/>
  <c r="M1860" i="3"/>
  <c r="L1860" i="3"/>
  <c r="K1860" i="3"/>
  <c r="J1860" i="3"/>
  <c r="I1860" i="3"/>
  <c r="H1860" i="3"/>
  <c r="G1860" i="3"/>
  <c r="F1860" i="3"/>
  <c r="E1860" i="3"/>
  <c r="D1860" i="3"/>
  <c r="C1860" i="3"/>
  <c r="B1860" i="3"/>
  <c r="A1860" i="3"/>
  <c r="O1859" i="3"/>
  <c r="N1859" i="3"/>
  <c r="M1859" i="3"/>
  <c r="L1859" i="3"/>
  <c r="K1859" i="3"/>
  <c r="J1859" i="3"/>
  <c r="I1859" i="3"/>
  <c r="H1859" i="3"/>
  <c r="G1859" i="3"/>
  <c r="F1859" i="3"/>
  <c r="E1859" i="3"/>
  <c r="D1859" i="3"/>
  <c r="C1859" i="3"/>
  <c r="B1859" i="3"/>
  <c r="A1859" i="3"/>
  <c r="O1858" i="3"/>
  <c r="N1858" i="3"/>
  <c r="M1858" i="3"/>
  <c r="L1858" i="3"/>
  <c r="K1858" i="3"/>
  <c r="J1858" i="3"/>
  <c r="I1858" i="3"/>
  <c r="H1858" i="3"/>
  <c r="G1858" i="3"/>
  <c r="F1858" i="3"/>
  <c r="E1858" i="3"/>
  <c r="D1858" i="3"/>
  <c r="C1858" i="3"/>
  <c r="B1858" i="3"/>
  <c r="A1858" i="3"/>
  <c r="O1857" i="3"/>
  <c r="N1857" i="3"/>
  <c r="M1857" i="3"/>
  <c r="L1857" i="3"/>
  <c r="K1857" i="3"/>
  <c r="J1857" i="3"/>
  <c r="I1857" i="3"/>
  <c r="H1857" i="3"/>
  <c r="G1857" i="3"/>
  <c r="F1857" i="3"/>
  <c r="E1857" i="3"/>
  <c r="D1857" i="3"/>
  <c r="C1857" i="3"/>
  <c r="B1857" i="3"/>
  <c r="A1857" i="3"/>
  <c r="O1856" i="3"/>
  <c r="N1856" i="3"/>
  <c r="M1856" i="3"/>
  <c r="L1856" i="3"/>
  <c r="K1856" i="3"/>
  <c r="J1856" i="3"/>
  <c r="I1856" i="3"/>
  <c r="H1856" i="3"/>
  <c r="G1856" i="3"/>
  <c r="F1856" i="3"/>
  <c r="E1856" i="3"/>
  <c r="D1856" i="3"/>
  <c r="C1856" i="3"/>
  <c r="B1856" i="3"/>
  <c r="A1856" i="3"/>
  <c r="O1855" i="3"/>
  <c r="N1855" i="3"/>
  <c r="M1855" i="3"/>
  <c r="L1855" i="3"/>
  <c r="K1855" i="3"/>
  <c r="J1855" i="3"/>
  <c r="I1855" i="3"/>
  <c r="H1855" i="3"/>
  <c r="G1855" i="3"/>
  <c r="F1855" i="3"/>
  <c r="E1855" i="3"/>
  <c r="D1855" i="3"/>
  <c r="C1855" i="3"/>
  <c r="B1855" i="3"/>
  <c r="A1855" i="3"/>
  <c r="O1854" i="3"/>
  <c r="N1854" i="3"/>
  <c r="M1854" i="3"/>
  <c r="L1854" i="3"/>
  <c r="K1854" i="3"/>
  <c r="J1854" i="3"/>
  <c r="I1854" i="3"/>
  <c r="H1854" i="3"/>
  <c r="G1854" i="3"/>
  <c r="F1854" i="3"/>
  <c r="E1854" i="3"/>
  <c r="D1854" i="3"/>
  <c r="C1854" i="3"/>
  <c r="B1854" i="3"/>
  <c r="A1854" i="3"/>
  <c r="O1853" i="3"/>
  <c r="N1853" i="3"/>
  <c r="M1853" i="3"/>
  <c r="L1853" i="3"/>
  <c r="K1853" i="3"/>
  <c r="J1853" i="3"/>
  <c r="I1853" i="3"/>
  <c r="H1853" i="3"/>
  <c r="G1853" i="3"/>
  <c r="F1853" i="3"/>
  <c r="E1853" i="3"/>
  <c r="D1853" i="3"/>
  <c r="C1853" i="3"/>
  <c r="B1853" i="3"/>
  <c r="A1853" i="3"/>
  <c r="O1852" i="3"/>
  <c r="N1852" i="3"/>
  <c r="M1852" i="3"/>
  <c r="L1852" i="3"/>
  <c r="K1852" i="3"/>
  <c r="J1852" i="3"/>
  <c r="I1852" i="3"/>
  <c r="H1852" i="3"/>
  <c r="G1852" i="3"/>
  <c r="F1852" i="3"/>
  <c r="E1852" i="3"/>
  <c r="D1852" i="3"/>
  <c r="C1852" i="3"/>
  <c r="B1852" i="3"/>
  <c r="A1852" i="3"/>
  <c r="O1851" i="3"/>
  <c r="N1851" i="3"/>
  <c r="M1851" i="3"/>
  <c r="L1851" i="3"/>
  <c r="K1851" i="3"/>
  <c r="J1851" i="3"/>
  <c r="I1851" i="3"/>
  <c r="H1851" i="3"/>
  <c r="G1851" i="3"/>
  <c r="F1851" i="3"/>
  <c r="E1851" i="3"/>
  <c r="D1851" i="3"/>
  <c r="C1851" i="3"/>
  <c r="B1851" i="3"/>
  <c r="A1851" i="3"/>
  <c r="O1850" i="3"/>
  <c r="N1850" i="3"/>
  <c r="M1850" i="3"/>
  <c r="L1850" i="3"/>
  <c r="K1850" i="3"/>
  <c r="J1850" i="3"/>
  <c r="I1850" i="3"/>
  <c r="H1850" i="3"/>
  <c r="G1850" i="3"/>
  <c r="F1850" i="3"/>
  <c r="E1850" i="3"/>
  <c r="D1850" i="3"/>
  <c r="C1850" i="3"/>
  <c r="B1850" i="3"/>
  <c r="A1850" i="3"/>
  <c r="O1849" i="3"/>
  <c r="N1849" i="3"/>
  <c r="M1849" i="3"/>
  <c r="L1849" i="3"/>
  <c r="K1849" i="3"/>
  <c r="J1849" i="3"/>
  <c r="I1849" i="3"/>
  <c r="H1849" i="3"/>
  <c r="G1849" i="3"/>
  <c r="F1849" i="3"/>
  <c r="E1849" i="3"/>
  <c r="D1849" i="3"/>
  <c r="C1849" i="3"/>
  <c r="B1849" i="3"/>
  <c r="A1849" i="3"/>
  <c r="O1848" i="3"/>
  <c r="N1848" i="3"/>
  <c r="M1848" i="3"/>
  <c r="L1848" i="3"/>
  <c r="K1848" i="3"/>
  <c r="J1848" i="3"/>
  <c r="I1848" i="3"/>
  <c r="H1848" i="3"/>
  <c r="G1848" i="3"/>
  <c r="F1848" i="3"/>
  <c r="E1848" i="3"/>
  <c r="D1848" i="3"/>
  <c r="C1848" i="3"/>
  <c r="B1848" i="3"/>
  <c r="A1848" i="3"/>
  <c r="O1847" i="3"/>
  <c r="N1847" i="3"/>
  <c r="M1847" i="3"/>
  <c r="L1847" i="3"/>
  <c r="K1847" i="3"/>
  <c r="J1847" i="3"/>
  <c r="I1847" i="3"/>
  <c r="H1847" i="3"/>
  <c r="G1847" i="3"/>
  <c r="F1847" i="3"/>
  <c r="E1847" i="3"/>
  <c r="D1847" i="3"/>
  <c r="C1847" i="3"/>
  <c r="B1847" i="3"/>
  <c r="A1847" i="3"/>
  <c r="O1846" i="3"/>
  <c r="N1846" i="3"/>
  <c r="M1846" i="3"/>
  <c r="L1846" i="3"/>
  <c r="K1846" i="3"/>
  <c r="J1846" i="3"/>
  <c r="I1846" i="3"/>
  <c r="H1846" i="3"/>
  <c r="G1846" i="3"/>
  <c r="F1846" i="3"/>
  <c r="E1846" i="3"/>
  <c r="D1846" i="3"/>
  <c r="C1846" i="3"/>
  <c r="B1846" i="3"/>
  <c r="A1846" i="3"/>
  <c r="O1845" i="3"/>
  <c r="N1845" i="3"/>
  <c r="M1845" i="3"/>
  <c r="L1845" i="3"/>
  <c r="K1845" i="3"/>
  <c r="J1845" i="3"/>
  <c r="I1845" i="3"/>
  <c r="H1845" i="3"/>
  <c r="G1845" i="3"/>
  <c r="F1845" i="3"/>
  <c r="E1845" i="3"/>
  <c r="D1845" i="3"/>
  <c r="C1845" i="3"/>
  <c r="B1845" i="3"/>
  <c r="A1845" i="3"/>
  <c r="O1844" i="3"/>
  <c r="N1844" i="3"/>
  <c r="M1844" i="3"/>
  <c r="L1844" i="3"/>
  <c r="K1844" i="3"/>
  <c r="J1844" i="3"/>
  <c r="I1844" i="3"/>
  <c r="H1844" i="3"/>
  <c r="G1844" i="3"/>
  <c r="F1844" i="3"/>
  <c r="E1844" i="3"/>
  <c r="D1844" i="3"/>
  <c r="C1844" i="3"/>
  <c r="B1844" i="3"/>
  <c r="A1844" i="3"/>
  <c r="O1843" i="3"/>
  <c r="N1843" i="3"/>
  <c r="M1843" i="3"/>
  <c r="L1843" i="3"/>
  <c r="K1843" i="3"/>
  <c r="J1843" i="3"/>
  <c r="I1843" i="3"/>
  <c r="H1843" i="3"/>
  <c r="G1843" i="3"/>
  <c r="F1843" i="3"/>
  <c r="E1843" i="3"/>
  <c r="D1843" i="3"/>
  <c r="C1843" i="3"/>
  <c r="B1843" i="3"/>
  <c r="A1843" i="3"/>
  <c r="O1842" i="3"/>
  <c r="N1842" i="3"/>
  <c r="M1842" i="3"/>
  <c r="L1842" i="3"/>
  <c r="K1842" i="3"/>
  <c r="J1842" i="3"/>
  <c r="I1842" i="3"/>
  <c r="H1842" i="3"/>
  <c r="G1842" i="3"/>
  <c r="F1842" i="3"/>
  <c r="E1842" i="3"/>
  <c r="D1842" i="3"/>
  <c r="C1842" i="3"/>
  <c r="B1842" i="3"/>
  <c r="A1842" i="3"/>
  <c r="O1841" i="3"/>
  <c r="N1841" i="3"/>
  <c r="M1841" i="3"/>
  <c r="L1841" i="3"/>
  <c r="K1841" i="3"/>
  <c r="J1841" i="3"/>
  <c r="I1841" i="3"/>
  <c r="H1841" i="3"/>
  <c r="G1841" i="3"/>
  <c r="F1841" i="3"/>
  <c r="E1841" i="3"/>
  <c r="D1841" i="3"/>
  <c r="C1841" i="3"/>
  <c r="B1841" i="3"/>
  <c r="A1841" i="3"/>
  <c r="O1840" i="3"/>
  <c r="N1840" i="3"/>
  <c r="M1840" i="3"/>
  <c r="L1840" i="3"/>
  <c r="K1840" i="3"/>
  <c r="J1840" i="3"/>
  <c r="I1840" i="3"/>
  <c r="H1840" i="3"/>
  <c r="G1840" i="3"/>
  <c r="F1840" i="3"/>
  <c r="E1840" i="3"/>
  <c r="D1840" i="3"/>
  <c r="C1840" i="3"/>
  <c r="B1840" i="3"/>
  <c r="A1840" i="3"/>
  <c r="O1839" i="3"/>
  <c r="N1839" i="3"/>
  <c r="M1839" i="3"/>
  <c r="L1839" i="3"/>
  <c r="K1839" i="3"/>
  <c r="J1839" i="3"/>
  <c r="I1839" i="3"/>
  <c r="H1839" i="3"/>
  <c r="G1839" i="3"/>
  <c r="F1839" i="3"/>
  <c r="E1839" i="3"/>
  <c r="D1839" i="3"/>
  <c r="C1839" i="3"/>
  <c r="B1839" i="3"/>
  <c r="A1839" i="3"/>
  <c r="O1838" i="3"/>
  <c r="N1838" i="3"/>
  <c r="M1838" i="3"/>
  <c r="L1838" i="3"/>
  <c r="K1838" i="3"/>
  <c r="J1838" i="3"/>
  <c r="I1838" i="3"/>
  <c r="H1838" i="3"/>
  <c r="G1838" i="3"/>
  <c r="F1838" i="3"/>
  <c r="E1838" i="3"/>
  <c r="D1838" i="3"/>
  <c r="C1838" i="3"/>
  <c r="B1838" i="3"/>
  <c r="A1838" i="3"/>
  <c r="O1837" i="3"/>
  <c r="N1837" i="3"/>
  <c r="M1837" i="3"/>
  <c r="L1837" i="3"/>
  <c r="K1837" i="3"/>
  <c r="J1837" i="3"/>
  <c r="I1837" i="3"/>
  <c r="H1837" i="3"/>
  <c r="G1837" i="3"/>
  <c r="F1837" i="3"/>
  <c r="E1837" i="3"/>
  <c r="D1837" i="3"/>
  <c r="C1837" i="3"/>
  <c r="B1837" i="3"/>
  <c r="A1837" i="3"/>
  <c r="O1836" i="3"/>
  <c r="N1836" i="3"/>
  <c r="M1836" i="3"/>
  <c r="L1836" i="3"/>
  <c r="K1836" i="3"/>
  <c r="J1836" i="3"/>
  <c r="I1836" i="3"/>
  <c r="H1836" i="3"/>
  <c r="G1836" i="3"/>
  <c r="F1836" i="3"/>
  <c r="E1836" i="3"/>
  <c r="D1836" i="3"/>
  <c r="C1836" i="3"/>
  <c r="B1836" i="3"/>
  <c r="A1836" i="3"/>
  <c r="O1835" i="3"/>
  <c r="N1835" i="3"/>
  <c r="M1835" i="3"/>
  <c r="L1835" i="3"/>
  <c r="K1835" i="3"/>
  <c r="J1835" i="3"/>
  <c r="I1835" i="3"/>
  <c r="H1835" i="3"/>
  <c r="G1835" i="3"/>
  <c r="F1835" i="3"/>
  <c r="E1835" i="3"/>
  <c r="D1835" i="3"/>
  <c r="C1835" i="3"/>
  <c r="B1835" i="3"/>
  <c r="A1835" i="3"/>
  <c r="O1834" i="3"/>
  <c r="N1834" i="3"/>
  <c r="M1834" i="3"/>
  <c r="L1834" i="3"/>
  <c r="K1834" i="3"/>
  <c r="J1834" i="3"/>
  <c r="I1834" i="3"/>
  <c r="H1834" i="3"/>
  <c r="G1834" i="3"/>
  <c r="F1834" i="3"/>
  <c r="E1834" i="3"/>
  <c r="D1834" i="3"/>
  <c r="C1834" i="3"/>
  <c r="B1834" i="3"/>
  <c r="A1834" i="3"/>
  <c r="O1833" i="3"/>
  <c r="N1833" i="3"/>
  <c r="M1833" i="3"/>
  <c r="L1833" i="3"/>
  <c r="K1833" i="3"/>
  <c r="J1833" i="3"/>
  <c r="I1833" i="3"/>
  <c r="H1833" i="3"/>
  <c r="G1833" i="3"/>
  <c r="F1833" i="3"/>
  <c r="E1833" i="3"/>
  <c r="D1833" i="3"/>
  <c r="C1833" i="3"/>
  <c r="B1833" i="3"/>
  <c r="A1833" i="3"/>
  <c r="O1832" i="3"/>
  <c r="N1832" i="3"/>
  <c r="M1832" i="3"/>
  <c r="L1832" i="3"/>
  <c r="K1832" i="3"/>
  <c r="J1832" i="3"/>
  <c r="I1832" i="3"/>
  <c r="H1832" i="3"/>
  <c r="G1832" i="3"/>
  <c r="F1832" i="3"/>
  <c r="E1832" i="3"/>
  <c r="D1832" i="3"/>
  <c r="C1832" i="3"/>
  <c r="B1832" i="3"/>
  <c r="A1832" i="3"/>
  <c r="O1831" i="3"/>
  <c r="N1831" i="3"/>
  <c r="M1831" i="3"/>
  <c r="L1831" i="3"/>
  <c r="K1831" i="3"/>
  <c r="J1831" i="3"/>
  <c r="I1831" i="3"/>
  <c r="H1831" i="3"/>
  <c r="G1831" i="3"/>
  <c r="F1831" i="3"/>
  <c r="E1831" i="3"/>
  <c r="D1831" i="3"/>
  <c r="C1831" i="3"/>
  <c r="B1831" i="3"/>
  <c r="A1831" i="3"/>
  <c r="O1830" i="3"/>
  <c r="N1830" i="3"/>
  <c r="M1830" i="3"/>
  <c r="L1830" i="3"/>
  <c r="K1830" i="3"/>
  <c r="J1830" i="3"/>
  <c r="I1830" i="3"/>
  <c r="H1830" i="3"/>
  <c r="G1830" i="3"/>
  <c r="F1830" i="3"/>
  <c r="E1830" i="3"/>
  <c r="D1830" i="3"/>
  <c r="C1830" i="3"/>
  <c r="B1830" i="3"/>
  <c r="A1830" i="3"/>
  <c r="O1829" i="3"/>
  <c r="N1829" i="3"/>
  <c r="M1829" i="3"/>
  <c r="L1829" i="3"/>
  <c r="K1829" i="3"/>
  <c r="J1829" i="3"/>
  <c r="I1829" i="3"/>
  <c r="H1829" i="3"/>
  <c r="G1829" i="3"/>
  <c r="F1829" i="3"/>
  <c r="E1829" i="3"/>
  <c r="D1829" i="3"/>
  <c r="C1829" i="3"/>
  <c r="B1829" i="3"/>
  <c r="A1829" i="3"/>
  <c r="O1828" i="3"/>
  <c r="N1828" i="3"/>
  <c r="M1828" i="3"/>
  <c r="L1828" i="3"/>
  <c r="K1828" i="3"/>
  <c r="J1828" i="3"/>
  <c r="I1828" i="3"/>
  <c r="H1828" i="3"/>
  <c r="G1828" i="3"/>
  <c r="F1828" i="3"/>
  <c r="E1828" i="3"/>
  <c r="D1828" i="3"/>
  <c r="C1828" i="3"/>
  <c r="B1828" i="3"/>
  <c r="A1828" i="3"/>
  <c r="O1827" i="3"/>
  <c r="N1827" i="3"/>
  <c r="M1827" i="3"/>
  <c r="L1827" i="3"/>
  <c r="K1827" i="3"/>
  <c r="J1827" i="3"/>
  <c r="I1827" i="3"/>
  <c r="H1827" i="3"/>
  <c r="G1827" i="3"/>
  <c r="F1827" i="3"/>
  <c r="E1827" i="3"/>
  <c r="D1827" i="3"/>
  <c r="C1827" i="3"/>
  <c r="B1827" i="3"/>
  <c r="A1827" i="3"/>
  <c r="O1826" i="3"/>
  <c r="N1826" i="3"/>
  <c r="M1826" i="3"/>
  <c r="L1826" i="3"/>
  <c r="K1826" i="3"/>
  <c r="J1826" i="3"/>
  <c r="I1826" i="3"/>
  <c r="H1826" i="3"/>
  <c r="G1826" i="3"/>
  <c r="F1826" i="3"/>
  <c r="E1826" i="3"/>
  <c r="D1826" i="3"/>
  <c r="C1826" i="3"/>
  <c r="B1826" i="3"/>
  <c r="A1826" i="3"/>
  <c r="O1825" i="3"/>
  <c r="N1825" i="3"/>
  <c r="M1825" i="3"/>
  <c r="L1825" i="3"/>
  <c r="K1825" i="3"/>
  <c r="J1825" i="3"/>
  <c r="I1825" i="3"/>
  <c r="H1825" i="3"/>
  <c r="G1825" i="3"/>
  <c r="F1825" i="3"/>
  <c r="E1825" i="3"/>
  <c r="D1825" i="3"/>
  <c r="C1825" i="3"/>
  <c r="B1825" i="3"/>
  <c r="A1825" i="3"/>
  <c r="O1824" i="3"/>
  <c r="N1824" i="3"/>
  <c r="M1824" i="3"/>
  <c r="L1824" i="3"/>
  <c r="K1824" i="3"/>
  <c r="J1824" i="3"/>
  <c r="I1824" i="3"/>
  <c r="H1824" i="3"/>
  <c r="G1824" i="3"/>
  <c r="F1824" i="3"/>
  <c r="E1824" i="3"/>
  <c r="D1824" i="3"/>
  <c r="C1824" i="3"/>
  <c r="B1824" i="3"/>
  <c r="A1824" i="3"/>
  <c r="O1823" i="3"/>
  <c r="N1823" i="3"/>
  <c r="M1823" i="3"/>
  <c r="L1823" i="3"/>
  <c r="K1823" i="3"/>
  <c r="J1823" i="3"/>
  <c r="I1823" i="3"/>
  <c r="H1823" i="3"/>
  <c r="G1823" i="3"/>
  <c r="F1823" i="3"/>
  <c r="E1823" i="3"/>
  <c r="D1823" i="3"/>
  <c r="C1823" i="3"/>
  <c r="B1823" i="3"/>
  <c r="A1823" i="3"/>
  <c r="O1822" i="3"/>
  <c r="N1822" i="3"/>
  <c r="M1822" i="3"/>
  <c r="L1822" i="3"/>
  <c r="K1822" i="3"/>
  <c r="J1822" i="3"/>
  <c r="I1822" i="3"/>
  <c r="H1822" i="3"/>
  <c r="G1822" i="3"/>
  <c r="F1822" i="3"/>
  <c r="E1822" i="3"/>
  <c r="D1822" i="3"/>
  <c r="C1822" i="3"/>
  <c r="B1822" i="3"/>
  <c r="A1822" i="3"/>
  <c r="O1821" i="3"/>
  <c r="N1821" i="3"/>
  <c r="M1821" i="3"/>
  <c r="L1821" i="3"/>
  <c r="K1821" i="3"/>
  <c r="J1821" i="3"/>
  <c r="I1821" i="3"/>
  <c r="H1821" i="3"/>
  <c r="G1821" i="3"/>
  <c r="F1821" i="3"/>
  <c r="E1821" i="3"/>
  <c r="D1821" i="3"/>
  <c r="C1821" i="3"/>
  <c r="B1821" i="3"/>
  <c r="A1821" i="3"/>
  <c r="O1820" i="3"/>
  <c r="N1820" i="3"/>
  <c r="M1820" i="3"/>
  <c r="L1820" i="3"/>
  <c r="K1820" i="3"/>
  <c r="J1820" i="3"/>
  <c r="I1820" i="3"/>
  <c r="H1820" i="3"/>
  <c r="G1820" i="3"/>
  <c r="F1820" i="3"/>
  <c r="E1820" i="3"/>
  <c r="D1820" i="3"/>
  <c r="C1820" i="3"/>
  <c r="B1820" i="3"/>
  <c r="A1820" i="3"/>
  <c r="O1819" i="3"/>
  <c r="N1819" i="3"/>
  <c r="M1819" i="3"/>
  <c r="L1819" i="3"/>
  <c r="K1819" i="3"/>
  <c r="J1819" i="3"/>
  <c r="I1819" i="3"/>
  <c r="H1819" i="3"/>
  <c r="G1819" i="3"/>
  <c r="F1819" i="3"/>
  <c r="E1819" i="3"/>
  <c r="D1819" i="3"/>
  <c r="C1819" i="3"/>
  <c r="B1819" i="3"/>
  <c r="A1819" i="3"/>
  <c r="O1818" i="3"/>
  <c r="N1818" i="3"/>
  <c r="M1818" i="3"/>
  <c r="L1818" i="3"/>
  <c r="K1818" i="3"/>
  <c r="J1818" i="3"/>
  <c r="I1818" i="3"/>
  <c r="H1818" i="3"/>
  <c r="G1818" i="3"/>
  <c r="F1818" i="3"/>
  <c r="E1818" i="3"/>
  <c r="D1818" i="3"/>
  <c r="C1818" i="3"/>
  <c r="B1818" i="3"/>
  <c r="A1818" i="3"/>
  <c r="O1817" i="3"/>
  <c r="N1817" i="3"/>
  <c r="M1817" i="3"/>
  <c r="L1817" i="3"/>
  <c r="K1817" i="3"/>
  <c r="J1817" i="3"/>
  <c r="I1817" i="3"/>
  <c r="H1817" i="3"/>
  <c r="G1817" i="3"/>
  <c r="F1817" i="3"/>
  <c r="E1817" i="3"/>
  <c r="D1817" i="3"/>
  <c r="C1817" i="3"/>
  <c r="B1817" i="3"/>
  <c r="A1817" i="3"/>
  <c r="O1816" i="3"/>
  <c r="N1816" i="3"/>
  <c r="M1816" i="3"/>
  <c r="L1816" i="3"/>
  <c r="K1816" i="3"/>
  <c r="J1816" i="3"/>
  <c r="I1816" i="3"/>
  <c r="H1816" i="3"/>
  <c r="G1816" i="3"/>
  <c r="F1816" i="3"/>
  <c r="E1816" i="3"/>
  <c r="D1816" i="3"/>
  <c r="C1816" i="3"/>
  <c r="B1816" i="3"/>
  <c r="A1816" i="3"/>
  <c r="O1815" i="3"/>
  <c r="N1815" i="3"/>
  <c r="M1815" i="3"/>
  <c r="L1815" i="3"/>
  <c r="K1815" i="3"/>
  <c r="J1815" i="3"/>
  <c r="I1815" i="3"/>
  <c r="H1815" i="3"/>
  <c r="G1815" i="3"/>
  <c r="F1815" i="3"/>
  <c r="E1815" i="3"/>
  <c r="D1815" i="3"/>
  <c r="C1815" i="3"/>
  <c r="B1815" i="3"/>
  <c r="A1815" i="3"/>
  <c r="O1814" i="3"/>
  <c r="N1814" i="3"/>
  <c r="M1814" i="3"/>
  <c r="L1814" i="3"/>
  <c r="K1814" i="3"/>
  <c r="J1814" i="3"/>
  <c r="I1814" i="3"/>
  <c r="H1814" i="3"/>
  <c r="G1814" i="3"/>
  <c r="F1814" i="3"/>
  <c r="E1814" i="3"/>
  <c r="D1814" i="3"/>
  <c r="C1814" i="3"/>
  <c r="B1814" i="3"/>
  <c r="A1814" i="3"/>
  <c r="O1813" i="3"/>
  <c r="N1813" i="3"/>
  <c r="M1813" i="3"/>
  <c r="L1813" i="3"/>
  <c r="K1813" i="3"/>
  <c r="J1813" i="3"/>
  <c r="I1813" i="3"/>
  <c r="H1813" i="3"/>
  <c r="G1813" i="3"/>
  <c r="F1813" i="3"/>
  <c r="E1813" i="3"/>
  <c r="D1813" i="3"/>
  <c r="C1813" i="3"/>
  <c r="B1813" i="3"/>
  <c r="A1813" i="3"/>
  <c r="O1812" i="3"/>
  <c r="N1812" i="3"/>
  <c r="M1812" i="3"/>
  <c r="L1812" i="3"/>
  <c r="K1812" i="3"/>
  <c r="J1812" i="3"/>
  <c r="I1812" i="3"/>
  <c r="H1812" i="3"/>
  <c r="G1812" i="3"/>
  <c r="F1812" i="3"/>
  <c r="E1812" i="3"/>
  <c r="D1812" i="3"/>
  <c r="C1812" i="3"/>
  <c r="B1812" i="3"/>
  <c r="A1812" i="3"/>
  <c r="O1811" i="3"/>
  <c r="N1811" i="3"/>
  <c r="M1811" i="3"/>
  <c r="L1811" i="3"/>
  <c r="K1811" i="3"/>
  <c r="J1811" i="3"/>
  <c r="I1811" i="3"/>
  <c r="H1811" i="3"/>
  <c r="G1811" i="3"/>
  <c r="F1811" i="3"/>
  <c r="E1811" i="3"/>
  <c r="D1811" i="3"/>
  <c r="C1811" i="3"/>
  <c r="B1811" i="3"/>
  <c r="A1811" i="3"/>
  <c r="O1810" i="3"/>
  <c r="N1810" i="3"/>
  <c r="M1810" i="3"/>
  <c r="L1810" i="3"/>
  <c r="K1810" i="3"/>
  <c r="J1810" i="3"/>
  <c r="I1810" i="3"/>
  <c r="H1810" i="3"/>
  <c r="G1810" i="3"/>
  <c r="F1810" i="3"/>
  <c r="E1810" i="3"/>
  <c r="D1810" i="3"/>
  <c r="C1810" i="3"/>
  <c r="B1810" i="3"/>
  <c r="A1810" i="3"/>
  <c r="O1809" i="3"/>
  <c r="N1809" i="3"/>
  <c r="M1809" i="3"/>
  <c r="L1809" i="3"/>
  <c r="K1809" i="3"/>
  <c r="J1809" i="3"/>
  <c r="I1809" i="3"/>
  <c r="H1809" i="3"/>
  <c r="G1809" i="3"/>
  <c r="F1809" i="3"/>
  <c r="E1809" i="3"/>
  <c r="D1809" i="3"/>
  <c r="C1809" i="3"/>
  <c r="B1809" i="3"/>
  <c r="A1809" i="3"/>
  <c r="O1808" i="3"/>
  <c r="N1808" i="3"/>
  <c r="M1808" i="3"/>
  <c r="L1808" i="3"/>
  <c r="K1808" i="3"/>
  <c r="J1808" i="3"/>
  <c r="I1808" i="3"/>
  <c r="H1808" i="3"/>
  <c r="G1808" i="3"/>
  <c r="F1808" i="3"/>
  <c r="E1808" i="3"/>
  <c r="D1808" i="3"/>
  <c r="C1808" i="3"/>
  <c r="B1808" i="3"/>
  <c r="A1808" i="3"/>
  <c r="O1807" i="3"/>
  <c r="N1807" i="3"/>
  <c r="M1807" i="3"/>
  <c r="L1807" i="3"/>
  <c r="K1807" i="3"/>
  <c r="J1807" i="3"/>
  <c r="I1807" i="3"/>
  <c r="H1807" i="3"/>
  <c r="G1807" i="3"/>
  <c r="F1807" i="3"/>
  <c r="E1807" i="3"/>
  <c r="D1807" i="3"/>
  <c r="C1807" i="3"/>
  <c r="B1807" i="3"/>
  <c r="A1807" i="3"/>
  <c r="O1806" i="3"/>
  <c r="N1806" i="3"/>
  <c r="M1806" i="3"/>
  <c r="L1806" i="3"/>
  <c r="K1806" i="3"/>
  <c r="J1806" i="3"/>
  <c r="I1806" i="3"/>
  <c r="H1806" i="3"/>
  <c r="G1806" i="3"/>
  <c r="F1806" i="3"/>
  <c r="E1806" i="3"/>
  <c r="D1806" i="3"/>
  <c r="C1806" i="3"/>
  <c r="B1806" i="3"/>
  <c r="A1806" i="3"/>
  <c r="O1805" i="3"/>
  <c r="N1805" i="3"/>
  <c r="M1805" i="3"/>
  <c r="L1805" i="3"/>
  <c r="K1805" i="3"/>
  <c r="J1805" i="3"/>
  <c r="I1805" i="3"/>
  <c r="H1805" i="3"/>
  <c r="G1805" i="3"/>
  <c r="F1805" i="3"/>
  <c r="E1805" i="3"/>
  <c r="D1805" i="3"/>
  <c r="C1805" i="3"/>
  <c r="B1805" i="3"/>
  <c r="A1805" i="3"/>
  <c r="O1804" i="3"/>
  <c r="N1804" i="3"/>
  <c r="M1804" i="3"/>
  <c r="L1804" i="3"/>
  <c r="K1804" i="3"/>
  <c r="J1804" i="3"/>
  <c r="I1804" i="3"/>
  <c r="H1804" i="3"/>
  <c r="G1804" i="3"/>
  <c r="F1804" i="3"/>
  <c r="E1804" i="3"/>
  <c r="D1804" i="3"/>
  <c r="C1804" i="3"/>
  <c r="B1804" i="3"/>
  <c r="A1804" i="3"/>
  <c r="O1803" i="3"/>
  <c r="N1803" i="3"/>
  <c r="M1803" i="3"/>
  <c r="L1803" i="3"/>
  <c r="K1803" i="3"/>
  <c r="J1803" i="3"/>
  <c r="I1803" i="3"/>
  <c r="H1803" i="3"/>
  <c r="G1803" i="3"/>
  <c r="F1803" i="3"/>
  <c r="E1803" i="3"/>
  <c r="D1803" i="3"/>
  <c r="C1803" i="3"/>
  <c r="B1803" i="3"/>
  <c r="A1803" i="3"/>
  <c r="O1802" i="3"/>
  <c r="N1802" i="3"/>
  <c r="M1802" i="3"/>
  <c r="L1802" i="3"/>
  <c r="K1802" i="3"/>
  <c r="J1802" i="3"/>
  <c r="I1802" i="3"/>
  <c r="H1802" i="3"/>
  <c r="G1802" i="3"/>
  <c r="F1802" i="3"/>
  <c r="E1802" i="3"/>
  <c r="D1802" i="3"/>
  <c r="C1802" i="3"/>
  <c r="B1802" i="3"/>
  <c r="A1802" i="3"/>
  <c r="O1801" i="3"/>
  <c r="N1801" i="3"/>
  <c r="M1801" i="3"/>
  <c r="L1801" i="3"/>
  <c r="K1801" i="3"/>
  <c r="J1801" i="3"/>
  <c r="I1801" i="3"/>
  <c r="H1801" i="3"/>
  <c r="G1801" i="3"/>
  <c r="F1801" i="3"/>
  <c r="E1801" i="3"/>
  <c r="D1801" i="3"/>
  <c r="C1801" i="3"/>
  <c r="B1801" i="3"/>
  <c r="A1801" i="3"/>
  <c r="O1800" i="3"/>
  <c r="N1800" i="3"/>
  <c r="M1800" i="3"/>
  <c r="L1800" i="3"/>
  <c r="K1800" i="3"/>
  <c r="J1800" i="3"/>
  <c r="I1800" i="3"/>
  <c r="H1800" i="3"/>
  <c r="G1800" i="3"/>
  <c r="F1800" i="3"/>
  <c r="E1800" i="3"/>
  <c r="D1800" i="3"/>
  <c r="C1800" i="3"/>
  <c r="B1800" i="3"/>
  <c r="A1800" i="3"/>
  <c r="O1799" i="3"/>
  <c r="N1799" i="3"/>
  <c r="M1799" i="3"/>
  <c r="L1799" i="3"/>
  <c r="K1799" i="3"/>
  <c r="J1799" i="3"/>
  <c r="I1799" i="3"/>
  <c r="H1799" i="3"/>
  <c r="G1799" i="3"/>
  <c r="F1799" i="3"/>
  <c r="E1799" i="3"/>
  <c r="D1799" i="3"/>
  <c r="C1799" i="3"/>
  <c r="B1799" i="3"/>
  <c r="A1799" i="3"/>
  <c r="O1798" i="3"/>
  <c r="N1798" i="3"/>
  <c r="M1798" i="3"/>
  <c r="L1798" i="3"/>
  <c r="K1798" i="3"/>
  <c r="J1798" i="3"/>
  <c r="I1798" i="3"/>
  <c r="H1798" i="3"/>
  <c r="G1798" i="3"/>
  <c r="F1798" i="3"/>
  <c r="E1798" i="3"/>
  <c r="D1798" i="3"/>
  <c r="C1798" i="3"/>
  <c r="B1798" i="3"/>
  <c r="A1798" i="3"/>
  <c r="O1797" i="3"/>
  <c r="N1797" i="3"/>
  <c r="M1797" i="3"/>
  <c r="L1797" i="3"/>
  <c r="K1797" i="3"/>
  <c r="J1797" i="3"/>
  <c r="I1797" i="3"/>
  <c r="H1797" i="3"/>
  <c r="G1797" i="3"/>
  <c r="F1797" i="3"/>
  <c r="E1797" i="3"/>
  <c r="D1797" i="3"/>
  <c r="C1797" i="3"/>
  <c r="B1797" i="3"/>
  <c r="A1797" i="3"/>
  <c r="O1796" i="3"/>
  <c r="N1796" i="3"/>
  <c r="M1796" i="3"/>
  <c r="L1796" i="3"/>
  <c r="K1796" i="3"/>
  <c r="J1796" i="3"/>
  <c r="I1796" i="3"/>
  <c r="H1796" i="3"/>
  <c r="G1796" i="3"/>
  <c r="F1796" i="3"/>
  <c r="E1796" i="3"/>
  <c r="D1796" i="3"/>
  <c r="C1796" i="3"/>
  <c r="B1796" i="3"/>
  <c r="A1796" i="3"/>
  <c r="O1795" i="3"/>
  <c r="N1795" i="3"/>
  <c r="M1795" i="3"/>
  <c r="L1795" i="3"/>
  <c r="K1795" i="3"/>
  <c r="J1795" i="3"/>
  <c r="I1795" i="3"/>
  <c r="H1795" i="3"/>
  <c r="G1795" i="3"/>
  <c r="F1795" i="3"/>
  <c r="E1795" i="3"/>
  <c r="D1795" i="3"/>
  <c r="C1795" i="3"/>
  <c r="B1795" i="3"/>
  <c r="A1795" i="3"/>
  <c r="O1794" i="3"/>
  <c r="N1794" i="3"/>
  <c r="M1794" i="3"/>
  <c r="L1794" i="3"/>
  <c r="K1794" i="3"/>
  <c r="J1794" i="3"/>
  <c r="I1794" i="3"/>
  <c r="H1794" i="3"/>
  <c r="G1794" i="3"/>
  <c r="F1794" i="3"/>
  <c r="E1794" i="3"/>
  <c r="D1794" i="3"/>
  <c r="C1794" i="3"/>
  <c r="B1794" i="3"/>
  <c r="A1794" i="3"/>
  <c r="O1793" i="3"/>
  <c r="N1793" i="3"/>
  <c r="M1793" i="3"/>
  <c r="L1793" i="3"/>
  <c r="K1793" i="3"/>
  <c r="J1793" i="3"/>
  <c r="I1793" i="3"/>
  <c r="H1793" i="3"/>
  <c r="G1793" i="3"/>
  <c r="F1793" i="3"/>
  <c r="E1793" i="3"/>
  <c r="D1793" i="3"/>
  <c r="C1793" i="3"/>
  <c r="B1793" i="3"/>
  <c r="A1793" i="3"/>
  <c r="O1792" i="3"/>
  <c r="N1792" i="3"/>
  <c r="M1792" i="3"/>
  <c r="L1792" i="3"/>
  <c r="K1792" i="3"/>
  <c r="J1792" i="3"/>
  <c r="I1792" i="3"/>
  <c r="H1792" i="3"/>
  <c r="G1792" i="3"/>
  <c r="F1792" i="3"/>
  <c r="E1792" i="3"/>
  <c r="D1792" i="3"/>
  <c r="C1792" i="3"/>
  <c r="B1792" i="3"/>
  <c r="A1792" i="3"/>
  <c r="O1791" i="3"/>
  <c r="N1791" i="3"/>
  <c r="M1791" i="3"/>
  <c r="L1791" i="3"/>
  <c r="K1791" i="3"/>
  <c r="J1791" i="3"/>
  <c r="I1791" i="3"/>
  <c r="H1791" i="3"/>
  <c r="G1791" i="3"/>
  <c r="F1791" i="3"/>
  <c r="E1791" i="3"/>
  <c r="D1791" i="3"/>
  <c r="C1791" i="3"/>
  <c r="B1791" i="3"/>
  <c r="A1791" i="3"/>
  <c r="O1790" i="3"/>
  <c r="N1790" i="3"/>
  <c r="M1790" i="3"/>
  <c r="L1790" i="3"/>
  <c r="K1790" i="3"/>
  <c r="J1790" i="3"/>
  <c r="I1790" i="3"/>
  <c r="H1790" i="3"/>
  <c r="G1790" i="3"/>
  <c r="F1790" i="3"/>
  <c r="E1790" i="3"/>
  <c r="D1790" i="3"/>
  <c r="C1790" i="3"/>
  <c r="B1790" i="3"/>
  <c r="A1790" i="3"/>
  <c r="O1789" i="3"/>
  <c r="N1789" i="3"/>
  <c r="M1789" i="3"/>
  <c r="L1789" i="3"/>
  <c r="K1789" i="3"/>
  <c r="J1789" i="3"/>
  <c r="I1789" i="3"/>
  <c r="H1789" i="3"/>
  <c r="G1789" i="3"/>
  <c r="F1789" i="3"/>
  <c r="E1789" i="3"/>
  <c r="D1789" i="3"/>
  <c r="C1789" i="3"/>
  <c r="B1789" i="3"/>
  <c r="A1789" i="3"/>
  <c r="O1788" i="3"/>
  <c r="N1788" i="3"/>
  <c r="M1788" i="3"/>
  <c r="L1788" i="3"/>
  <c r="K1788" i="3"/>
  <c r="J1788" i="3"/>
  <c r="I1788" i="3"/>
  <c r="H1788" i="3"/>
  <c r="G1788" i="3"/>
  <c r="F1788" i="3"/>
  <c r="E1788" i="3"/>
  <c r="D1788" i="3"/>
  <c r="C1788" i="3"/>
  <c r="B1788" i="3"/>
  <c r="A1788" i="3"/>
  <c r="O1787" i="3"/>
  <c r="N1787" i="3"/>
  <c r="M1787" i="3"/>
  <c r="L1787" i="3"/>
  <c r="K1787" i="3"/>
  <c r="J1787" i="3"/>
  <c r="I1787" i="3"/>
  <c r="H1787" i="3"/>
  <c r="G1787" i="3"/>
  <c r="F1787" i="3"/>
  <c r="E1787" i="3"/>
  <c r="D1787" i="3"/>
  <c r="C1787" i="3"/>
  <c r="B1787" i="3"/>
  <c r="A1787" i="3"/>
  <c r="O1786" i="3"/>
  <c r="N1786" i="3"/>
  <c r="M1786" i="3"/>
  <c r="L1786" i="3"/>
  <c r="K1786" i="3"/>
  <c r="J1786" i="3"/>
  <c r="I1786" i="3"/>
  <c r="H1786" i="3"/>
  <c r="G1786" i="3"/>
  <c r="F1786" i="3"/>
  <c r="E1786" i="3"/>
  <c r="D1786" i="3"/>
  <c r="C1786" i="3"/>
  <c r="B1786" i="3"/>
  <c r="A1786" i="3"/>
  <c r="O1785" i="3"/>
  <c r="N1785" i="3"/>
  <c r="M1785" i="3"/>
  <c r="L1785" i="3"/>
  <c r="K1785" i="3"/>
  <c r="J1785" i="3"/>
  <c r="I1785" i="3"/>
  <c r="H1785" i="3"/>
  <c r="G1785" i="3"/>
  <c r="F1785" i="3"/>
  <c r="E1785" i="3"/>
  <c r="D1785" i="3"/>
  <c r="C1785" i="3"/>
  <c r="B1785" i="3"/>
  <c r="A1785" i="3"/>
  <c r="O1784" i="3"/>
  <c r="N1784" i="3"/>
  <c r="M1784" i="3"/>
  <c r="L1784" i="3"/>
  <c r="K1784" i="3"/>
  <c r="J1784" i="3"/>
  <c r="I1784" i="3"/>
  <c r="H1784" i="3"/>
  <c r="G1784" i="3"/>
  <c r="F1784" i="3"/>
  <c r="E1784" i="3"/>
  <c r="D1784" i="3"/>
  <c r="C1784" i="3"/>
  <c r="B1784" i="3"/>
  <c r="A1784" i="3"/>
  <c r="O1783" i="3"/>
  <c r="N1783" i="3"/>
  <c r="M1783" i="3"/>
  <c r="L1783" i="3"/>
  <c r="K1783" i="3"/>
  <c r="J1783" i="3"/>
  <c r="I1783" i="3"/>
  <c r="H1783" i="3"/>
  <c r="G1783" i="3"/>
  <c r="F1783" i="3"/>
  <c r="E1783" i="3"/>
  <c r="D1783" i="3"/>
  <c r="C1783" i="3"/>
  <c r="B1783" i="3"/>
  <c r="A1783" i="3"/>
  <c r="O1782" i="3"/>
  <c r="N1782" i="3"/>
  <c r="M1782" i="3"/>
  <c r="L1782" i="3"/>
  <c r="K1782" i="3"/>
  <c r="J1782" i="3"/>
  <c r="I1782" i="3"/>
  <c r="H1782" i="3"/>
  <c r="G1782" i="3"/>
  <c r="F1782" i="3"/>
  <c r="E1782" i="3"/>
  <c r="D1782" i="3"/>
  <c r="C1782" i="3"/>
  <c r="B1782" i="3"/>
  <c r="A1782" i="3"/>
  <c r="O1781" i="3"/>
  <c r="N1781" i="3"/>
  <c r="M1781" i="3"/>
  <c r="L1781" i="3"/>
  <c r="K1781" i="3"/>
  <c r="J1781" i="3"/>
  <c r="I1781" i="3"/>
  <c r="H1781" i="3"/>
  <c r="G1781" i="3"/>
  <c r="F1781" i="3"/>
  <c r="E1781" i="3"/>
  <c r="D1781" i="3"/>
  <c r="C1781" i="3"/>
  <c r="B1781" i="3"/>
  <c r="A1781" i="3"/>
  <c r="O1780" i="3"/>
  <c r="N1780" i="3"/>
  <c r="M1780" i="3"/>
  <c r="L1780" i="3"/>
  <c r="K1780" i="3"/>
  <c r="J1780" i="3"/>
  <c r="I1780" i="3"/>
  <c r="H1780" i="3"/>
  <c r="G1780" i="3"/>
  <c r="F1780" i="3"/>
  <c r="E1780" i="3"/>
  <c r="D1780" i="3"/>
  <c r="C1780" i="3"/>
  <c r="B1780" i="3"/>
  <c r="A1780" i="3"/>
  <c r="O1779" i="3"/>
  <c r="N1779" i="3"/>
  <c r="M1779" i="3"/>
  <c r="L1779" i="3"/>
  <c r="K1779" i="3"/>
  <c r="J1779" i="3"/>
  <c r="I1779" i="3"/>
  <c r="H1779" i="3"/>
  <c r="G1779" i="3"/>
  <c r="F1779" i="3"/>
  <c r="E1779" i="3"/>
  <c r="D1779" i="3"/>
  <c r="C1779" i="3"/>
  <c r="B1779" i="3"/>
  <c r="A1779" i="3"/>
  <c r="O1778" i="3"/>
  <c r="N1778" i="3"/>
  <c r="M1778" i="3"/>
  <c r="L1778" i="3"/>
  <c r="K1778" i="3"/>
  <c r="J1778" i="3"/>
  <c r="I1778" i="3"/>
  <c r="H1778" i="3"/>
  <c r="G1778" i="3"/>
  <c r="F1778" i="3"/>
  <c r="E1778" i="3"/>
  <c r="D1778" i="3"/>
  <c r="C1778" i="3"/>
  <c r="B1778" i="3"/>
  <c r="A1778" i="3"/>
  <c r="O1777" i="3"/>
  <c r="N1777" i="3"/>
  <c r="M1777" i="3"/>
  <c r="L1777" i="3"/>
  <c r="K1777" i="3"/>
  <c r="J1777" i="3"/>
  <c r="I1777" i="3"/>
  <c r="H1777" i="3"/>
  <c r="G1777" i="3"/>
  <c r="F1777" i="3"/>
  <c r="E1777" i="3"/>
  <c r="D1777" i="3"/>
  <c r="C1777" i="3"/>
  <c r="B1777" i="3"/>
  <c r="A1777" i="3"/>
  <c r="O1776" i="3"/>
  <c r="N1776" i="3"/>
  <c r="M1776" i="3"/>
  <c r="L1776" i="3"/>
  <c r="K1776" i="3"/>
  <c r="J1776" i="3"/>
  <c r="I1776" i="3"/>
  <c r="H1776" i="3"/>
  <c r="G1776" i="3"/>
  <c r="F1776" i="3"/>
  <c r="E1776" i="3"/>
  <c r="D1776" i="3"/>
  <c r="C1776" i="3"/>
  <c r="B1776" i="3"/>
  <c r="A1776" i="3"/>
  <c r="O1775" i="3"/>
  <c r="N1775" i="3"/>
  <c r="M1775" i="3"/>
  <c r="L1775" i="3"/>
  <c r="K1775" i="3"/>
  <c r="J1775" i="3"/>
  <c r="I1775" i="3"/>
  <c r="H1775" i="3"/>
  <c r="G1775" i="3"/>
  <c r="F1775" i="3"/>
  <c r="E1775" i="3"/>
  <c r="D1775" i="3"/>
  <c r="C1775" i="3"/>
  <c r="B1775" i="3"/>
  <c r="A1775" i="3"/>
  <c r="O1774" i="3"/>
  <c r="N1774" i="3"/>
  <c r="M1774" i="3"/>
  <c r="L1774" i="3"/>
  <c r="K1774" i="3"/>
  <c r="J1774" i="3"/>
  <c r="I1774" i="3"/>
  <c r="H1774" i="3"/>
  <c r="G1774" i="3"/>
  <c r="F1774" i="3"/>
  <c r="E1774" i="3"/>
  <c r="D1774" i="3"/>
  <c r="C1774" i="3"/>
  <c r="B1774" i="3"/>
  <c r="A1774" i="3"/>
  <c r="O1773" i="3"/>
  <c r="N1773" i="3"/>
  <c r="M1773" i="3"/>
  <c r="L1773" i="3"/>
  <c r="K1773" i="3"/>
  <c r="J1773" i="3"/>
  <c r="I1773" i="3"/>
  <c r="H1773" i="3"/>
  <c r="G1773" i="3"/>
  <c r="F1773" i="3"/>
  <c r="E1773" i="3"/>
  <c r="D1773" i="3"/>
  <c r="C1773" i="3"/>
  <c r="B1773" i="3"/>
  <c r="A1773" i="3"/>
  <c r="O1772" i="3"/>
  <c r="N1772" i="3"/>
  <c r="M1772" i="3"/>
  <c r="L1772" i="3"/>
  <c r="K1772" i="3"/>
  <c r="J1772" i="3"/>
  <c r="I1772" i="3"/>
  <c r="H1772" i="3"/>
  <c r="G1772" i="3"/>
  <c r="F1772" i="3"/>
  <c r="E1772" i="3"/>
  <c r="D1772" i="3"/>
  <c r="C1772" i="3"/>
  <c r="B1772" i="3"/>
  <c r="A1772" i="3"/>
  <c r="O1771" i="3"/>
  <c r="N1771" i="3"/>
  <c r="M1771" i="3"/>
  <c r="L1771" i="3"/>
  <c r="K1771" i="3"/>
  <c r="J1771" i="3"/>
  <c r="I1771" i="3"/>
  <c r="H1771" i="3"/>
  <c r="G1771" i="3"/>
  <c r="F1771" i="3"/>
  <c r="E1771" i="3"/>
  <c r="D1771" i="3"/>
  <c r="C1771" i="3"/>
  <c r="B1771" i="3"/>
  <c r="A1771" i="3"/>
  <c r="O1770" i="3"/>
  <c r="N1770" i="3"/>
  <c r="M1770" i="3"/>
  <c r="L1770" i="3"/>
  <c r="K1770" i="3"/>
  <c r="J1770" i="3"/>
  <c r="I1770" i="3"/>
  <c r="H1770" i="3"/>
  <c r="G1770" i="3"/>
  <c r="F1770" i="3"/>
  <c r="E1770" i="3"/>
  <c r="D1770" i="3"/>
  <c r="C1770" i="3"/>
  <c r="B1770" i="3"/>
  <c r="A1770" i="3"/>
  <c r="O1769" i="3"/>
  <c r="N1769" i="3"/>
  <c r="M1769" i="3"/>
  <c r="L1769" i="3"/>
  <c r="K1769" i="3"/>
  <c r="J1769" i="3"/>
  <c r="I1769" i="3"/>
  <c r="H1769" i="3"/>
  <c r="G1769" i="3"/>
  <c r="F1769" i="3"/>
  <c r="E1769" i="3"/>
  <c r="D1769" i="3"/>
  <c r="C1769" i="3"/>
  <c r="B1769" i="3"/>
  <c r="A1769" i="3"/>
  <c r="O1768" i="3"/>
  <c r="N1768" i="3"/>
  <c r="M1768" i="3"/>
  <c r="L1768" i="3"/>
  <c r="K1768" i="3"/>
  <c r="J1768" i="3"/>
  <c r="I1768" i="3"/>
  <c r="H1768" i="3"/>
  <c r="G1768" i="3"/>
  <c r="F1768" i="3"/>
  <c r="E1768" i="3"/>
  <c r="D1768" i="3"/>
  <c r="C1768" i="3"/>
  <c r="B1768" i="3"/>
  <c r="A1768" i="3"/>
  <c r="O1767" i="3"/>
  <c r="N1767" i="3"/>
  <c r="M1767" i="3"/>
  <c r="L1767" i="3"/>
  <c r="K1767" i="3"/>
  <c r="J1767" i="3"/>
  <c r="I1767" i="3"/>
  <c r="H1767" i="3"/>
  <c r="G1767" i="3"/>
  <c r="F1767" i="3"/>
  <c r="E1767" i="3"/>
  <c r="D1767" i="3"/>
  <c r="C1767" i="3"/>
  <c r="B1767" i="3"/>
  <c r="A1767" i="3"/>
  <c r="O1766" i="3"/>
  <c r="N1766" i="3"/>
  <c r="M1766" i="3"/>
  <c r="L1766" i="3"/>
  <c r="K1766" i="3"/>
  <c r="J1766" i="3"/>
  <c r="I1766" i="3"/>
  <c r="H1766" i="3"/>
  <c r="G1766" i="3"/>
  <c r="F1766" i="3"/>
  <c r="E1766" i="3"/>
  <c r="D1766" i="3"/>
  <c r="C1766" i="3"/>
  <c r="B1766" i="3"/>
  <c r="A1766" i="3"/>
  <c r="O1765" i="3"/>
  <c r="N1765" i="3"/>
  <c r="M1765" i="3"/>
  <c r="L1765" i="3"/>
  <c r="K1765" i="3"/>
  <c r="J1765" i="3"/>
  <c r="I1765" i="3"/>
  <c r="H1765" i="3"/>
  <c r="G1765" i="3"/>
  <c r="F1765" i="3"/>
  <c r="E1765" i="3"/>
  <c r="D1765" i="3"/>
  <c r="C1765" i="3"/>
  <c r="B1765" i="3"/>
  <c r="A1765" i="3"/>
  <c r="O1764" i="3"/>
  <c r="N1764" i="3"/>
  <c r="M1764" i="3"/>
  <c r="L1764" i="3"/>
  <c r="K1764" i="3"/>
  <c r="J1764" i="3"/>
  <c r="I1764" i="3"/>
  <c r="H1764" i="3"/>
  <c r="G1764" i="3"/>
  <c r="F1764" i="3"/>
  <c r="E1764" i="3"/>
  <c r="D1764" i="3"/>
  <c r="C1764" i="3"/>
  <c r="B1764" i="3"/>
  <c r="A1764" i="3"/>
  <c r="O1763" i="3"/>
  <c r="N1763" i="3"/>
  <c r="M1763" i="3"/>
  <c r="L1763" i="3"/>
  <c r="K1763" i="3"/>
  <c r="J1763" i="3"/>
  <c r="I1763" i="3"/>
  <c r="H1763" i="3"/>
  <c r="G1763" i="3"/>
  <c r="F1763" i="3"/>
  <c r="E1763" i="3"/>
  <c r="D1763" i="3"/>
  <c r="C1763" i="3"/>
  <c r="B1763" i="3"/>
  <c r="A1763" i="3"/>
  <c r="O1762" i="3"/>
  <c r="N1762" i="3"/>
  <c r="M1762" i="3"/>
  <c r="L1762" i="3"/>
  <c r="K1762" i="3"/>
  <c r="J1762" i="3"/>
  <c r="I1762" i="3"/>
  <c r="H1762" i="3"/>
  <c r="G1762" i="3"/>
  <c r="F1762" i="3"/>
  <c r="E1762" i="3"/>
  <c r="D1762" i="3"/>
  <c r="C1762" i="3"/>
  <c r="B1762" i="3"/>
  <c r="A1762" i="3"/>
  <c r="O1761" i="3"/>
  <c r="N1761" i="3"/>
  <c r="M1761" i="3"/>
  <c r="L1761" i="3"/>
  <c r="K1761" i="3"/>
  <c r="J1761" i="3"/>
  <c r="I1761" i="3"/>
  <c r="H1761" i="3"/>
  <c r="G1761" i="3"/>
  <c r="F1761" i="3"/>
  <c r="E1761" i="3"/>
  <c r="D1761" i="3"/>
  <c r="C1761" i="3"/>
  <c r="B1761" i="3"/>
  <c r="A1761" i="3"/>
  <c r="O1760" i="3"/>
  <c r="N1760" i="3"/>
  <c r="M1760" i="3"/>
  <c r="L1760" i="3"/>
  <c r="K1760" i="3"/>
  <c r="J1760" i="3"/>
  <c r="I1760" i="3"/>
  <c r="H1760" i="3"/>
  <c r="G1760" i="3"/>
  <c r="F1760" i="3"/>
  <c r="E1760" i="3"/>
  <c r="D1760" i="3"/>
  <c r="C1760" i="3"/>
  <c r="B1760" i="3"/>
  <c r="A1760" i="3"/>
  <c r="O1759" i="3"/>
  <c r="N1759" i="3"/>
  <c r="M1759" i="3"/>
  <c r="L1759" i="3"/>
  <c r="K1759" i="3"/>
  <c r="J1759" i="3"/>
  <c r="I1759" i="3"/>
  <c r="H1759" i="3"/>
  <c r="G1759" i="3"/>
  <c r="F1759" i="3"/>
  <c r="E1759" i="3"/>
  <c r="D1759" i="3"/>
  <c r="C1759" i="3"/>
  <c r="B1759" i="3"/>
  <c r="A1759" i="3"/>
  <c r="O1758" i="3"/>
  <c r="N1758" i="3"/>
  <c r="M1758" i="3"/>
  <c r="L1758" i="3"/>
  <c r="K1758" i="3"/>
  <c r="J1758" i="3"/>
  <c r="I1758" i="3"/>
  <c r="H1758" i="3"/>
  <c r="G1758" i="3"/>
  <c r="F1758" i="3"/>
  <c r="E1758" i="3"/>
  <c r="D1758" i="3"/>
  <c r="C1758" i="3"/>
  <c r="B1758" i="3"/>
  <c r="A1758" i="3"/>
  <c r="O1757" i="3"/>
  <c r="N1757" i="3"/>
  <c r="M1757" i="3"/>
  <c r="L1757" i="3"/>
  <c r="K1757" i="3"/>
  <c r="J1757" i="3"/>
  <c r="I1757" i="3"/>
  <c r="H1757" i="3"/>
  <c r="G1757" i="3"/>
  <c r="F1757" i="3"/>
  <c r="E1757" i="3"/>
  <c r="D1757" i="3"/>
  <c r="C1757" i="3"/>
  <c r="B1757" i="3"/>
  <c r="A1757" i="3"/>
  <c r="O1756" i="3"/>
  <c r="N1756" i="3"/>
  <c r="M1756" i="3"/>
  <c r="L1756" i="3"/>
  <c r="K1756" i="3"/>
  <c r="J1756" i="3"/>
  <c r="I1756" i="3"/>
  <c r="H1756" i="3"/>
  <c r="G1756" i="3"/>
  <c r="F1756" i="3"/>
  <c r="E1756" i="3"/>
  <c r="D1756" i="3"/>
  <c r="C1756" i="3"/>
  <c r="B1756" i="3"/>
  <c r="A1756" i="3"/>
  <c r="O1755" i="3"/>
  <c r="N1755" i="3"/>
  <c r="M1755" i="3"/>
  <c r="L1755" i="3"/>
  <c r="K1755" i="3"/>
  <c r="J1755" i="3"/>
  <c r="I1755" i="3"/>
  <c r="H1755" i="3"/>
  <c r="G1755" i="3"/>
  <c r="F1755" i="3"/>
  <c r="E1755" i="3"/>
  <c r="D1755" i="3"/>
  <c r="C1755" i="3"/>
  <c r="B1755" i="3"/>
  <c r="A1755" i="3"/>
  <c r="O1754" i="3"/>
  <c r="N1754" i="3"/>
  <c r="M1754" i="3"/>
  <c r="L1754" i="3"/>
  <c r="K1754" i="3"/>
  <c r="J1754" i="3"/>
  <c r="I1754" i="3"/>
  <c r="H1754" i="3"/>
  <c r="G1754" i="3"/>
  <c r="F1754" i="3"/>
  <c r="E1754" i="3"/>
  <c r="D1754" i="3"/>
  <c r="C1754" i="3"/>
  <c r="B1754" i="3"/>
  <c r="A1754" i="3"/>
  <c r="O1753" i="3"/>
  <c r="N1753" i="3"/>
  <c r="M1753" i="3"/>
  <c r="L1753" i="3"/>
  <c r="K1753" i="3"/>
  <c r="J1753" i="3"/>
  <c r="I1753" i="3"/>
  <c r="H1753" i="3"/>
  <c r="G1753" i="3"/>
  <c r="F1753" i="3"/>
  <c r="E1753" i="3"/>
  <c r="D1753" i="3"/>
  <c r="C1753" i="3"/>
  <c r="B1753" i="3"/>
  <c r="A1753" i="3"/>
  <c r="O1752" i="3"/>
  <c r="N1752" i="3"/>
  <c r="M1752" i="3"/>
  <c r="L1752" i="3"/>
  <c r="K1752" i="3"/>
  <c r="J1752" i="3"/>
  <c r="I1752" i="3"/>
  <c r="H1752" i="3"/>
  <c r="G1752" i="3"/>
  <c r="F1752" i="3"/>
  <c r="E1752" i="3"/>
  <c r="D1752" i="3"/>
  <c r="C1752" i="3"/>
  <c r="B1752" i="3"/>
  <c r="A1752" i="3"/>
  <c r="O1751" i="3"/>
  <c r="N1751" i="3"/>
  <c r="M1751" i="3"/>
  <c r="L1751" i="3"/>
  <c r="K1751" i="3"/>
  <c r="J1751" i="3"/>
  <c r="I1751" i="3"/>
  <c r="H1751" i="3"/>
  <c r="G1751" i="3"/>
  <c r="F1751" i="3"/>
  <c r="E1751" i="3"/>
  <c r="D1751" i="3"/>
  <c r="C1751" i="3"/>
  <c r="B1751" i="3"/>
  <c r="A1751" i="3"/>
  <c r="O1750" i="3"/>
  <c r="N1750" i="3"/>
  <c r="M1750" i="3"/>
  <c r="L1750" i="3"/>
  <c r="K1750" i="3"/>
  <c r="J1750" i="3"/>
  <c r="I1750" i="3"/>
  <c r="H1750" i="3"/>
  <c r="G1750" i="3"/>
  <c r="F1750" i="3"/>
  <c r="E1750" i="3"/>
  <c r="D1750" i="3"/>
  <c r="C1750" i="3"/>
  <c r="B1750" i="3"/>
  <c r="A1750" i="3"/>
  <c r="O1749" i="3"/>
  <c r="N1749" i="3"/>
  <c r="M1749" i="3"/>
  <c r="L1749" i="3"/>
  <c r="K1749" i="3"/>
  <c r="J1749" i="3"/>
  <c r="I1749" i="3"/>
  <c r="H1749" i="3"/>
  <c r="G1749" i="3"/>
  <c r="F1749" i="3"/>
  <c r="E1749" i="3"/>
  <c r="D1749" i="3"/>
  <c r="C1749" i="3"/>
  <c r="B1749" i="3"/>
  <c r="A1749" i="3"/>
  <c r="O1748" i="3"/>
  <c r="N1748" i="3"/>
  <c r="M1748" i="3"/>
  <c r="L1748" i="3"/>
  <c r="K1748" i="3"/>
  <c r="J1748" i="3"/>
  <c r="I1748" i="3"/>
  <c r="H1748" i="3"/>
  <c r="G1748" i="3"/>
  <c r="F1748" i="3"/>
  <c r="E1748" i="3"/>
  <c r="D1748" i="3"/>
  <c r="C1748" i="3"/>
  <c r="B1748" i="3"/>
  <c r="A1748" i="3"/>
  <c r="O1747" i="3"/>
  <c r="N1747" i="3"/>
  <c r="M1747" i="3"/>
  <c r="L1747" i="3"/>
  <c r="K1747" i="3"/>
  <c r="J1747" i="3"/>
  <c r="I1747" i="3"/>
  <c r="H1747" i="3"/>
  <c r="G1747" i="3"/>
  <c r="F1747" i="3"/>
  <c r="E1747" i="3"/>
  <c r="D1747" i="3"/>
  <c r="C1747" i="3"/>
  <c r="B1747" i="3"/>
  <c r="A1747" i="3"/>
  <c r="O1746" i="3"/>
  <c r="N1746" i="3"/>
  <c r="M1746" i="3"/>
  <c r="L1746" i="3"/>
  <c r="K1746" i="3"/>
  <c r="J1746" i="3"/>
  <c r="I1746" i="3"/>
  <c r="H1746" i="3"/>
  <c r="G1746" i="3"/>
  <c r="F1746" i="3"/>
  <c r="E1746" i="3"/>
  <c r="D1746" i="3"/>
  <c r="C1746" i="3"/>
  <c r="B1746" i="3"/>
  <c r="A1746" i="3"/>
  <c r="O1745" i="3"/>
  <c r="N1745" i="3"/>
  <c r="M1745" i="3"/>
  <c r="L1745" i="3"/>
  <c r="K1745" i="3"/>
  <c r="J1745" i="3"/>
  <c r="I1745" i="3"/>
  <c r="H1745" i="3"/>
  <c r="G1745" i="3"/>
  <c r="F1745" i="3"/>
  <c r="E1745" i="3"/>
  <c r="D1745" i="3"/>
  <c r="C1745" i="3"/>
  <c r="B1745" i="3"/>
  <c r="A1745" i="3"/>
  <c r="O1744" i="3"/>
  <c r="N1744" i="3"/>
  <c r="M1744" i="3"/>
  <c r="L1744" i="3"/>
  <c r="K1744" i="3"/>
  <c r="J1744" i="3"/>
  <c r="I1744" i="3"/>
  <c r="H1744" i="3"/>
  <c r="G1744" i="3"/>
  <c r="F1744" i="3"/>
  <c r="E1744" i="3"/>
  <c r="D1744" i="3"/>
  <c r="C1744" i="3"/>
  <c r="B1744" i="3"/>
  <c r="A1744" i="3"/>
  <c r="O1743" i="3"/>
  <c r="N1743" i="3"/>
  <c r="M1743" i="3"/>
  <c r="L1743" i="3"/>
  <c r="K1743" i="3"/>
  <c r="J1743" i="3"/>
  <c r="I1743" i="3"/>
  <c r="H1743" i="3"/>
  <c r="G1743" i="3"/>
  <c r="F1743" i="3"/>
  <c r="E1743" i="3"/>
  <c r="D1743" i="3"/>
  <c r="C1743" i="3"/>
  <c r="B1743" i="3"/>
  <c r="A1743" i="3"/>
  <c r="O1742" i="3"/>
  <c r="N1742" i="3"/>
  <c r="M1742" i="3"/>
  <c r="L1742" i="3"/>
  <c r="K1742" i="3"/>
  <c r="J1742" i="3"/>
  <c r="I1742" i="3"/>
  <c r="H1742" i="3"/>
  <c r="G1742" i="3"/>
  <c r="F1742" i="3"/>
  <c r="E1742" i="3"/>
  <c r="D1742" i="3"/>
  <c r="C1742" i="3"/>
  <c r="B1742" i="3"/>
  <c r="A1742" i="3"/>
  <c r="O1741" i="3"/>
  <c r="N1741" i="3"/>
  <c r="M1741" i="3"/>
  <c r="L1741" i="3"/>
  <c r="K1741" i="3"/>
  <c r="J1741" i="3"/>
  <c r="I1741" i="3"/>
  <c r="H1741" i="3"/>
  <c r="G1741" i="3"/>
  <c r="F1741" i="3"/>
  <c r="E1741" i="3"/>
  <c r="D1741" i="3"/>
  <c r="C1741" i="3"/>
  <c r="B1741" i="3"/>
  <c r="A1741" i="3"/>
  <c r="O1740" i="3"/>
  <c r="N1740" i="3"/>
  <c r="M1740" i="3"/>
  <c r="L1740" i="3"/>
  <c r="K1740" i="3"/>
  <c r="J1740" i="3"/>
  <c r="I1740" i="3"/>
  <c r="H1740" i="3"/>
  <c r="G1740" i="3"/>
  <c r="F1740" i="3"/>
  <c r="E1740" i="3"/>
  <c r="D1740" i="3"/>
  <c r="C1740" i="3"/>
  <c r="B1740" i="3"/>
  <c r="A1740" i="3"/>
  <c r="O1739" i="3"/>
  <c r="N1739" i="3"/>
  <c r="M1739" i="3"/>
  <c r="L1739" i="3"/>
  <c r="K1739" i="3"/>
  <c r="J1739" i="3"/>
  <c r="I1739" i="3"/>
  <c r="H1739" i="3"/>
  <c r="G1739" i="3"/>
  <c r="F1739" i="3"/>
  <c r="E1739" i="3"/>
  <c r="D1739" i="3"/>
  <c r="C1739" i="3"/>
  <c r="B1739" i="3"/>
  <c r="A1739" i="3"/>
  <c r="O1738" i="3"/>
  <c r="N1738" i="3"/>
  <c r="M1738" i="3"/>
  <c r="L1738" i="3"/>
  <c r="K1738" i="3"/>
  <c r="J1738" i="3"/>
  <c r="I1738" i="3"/>
  <c r="H1738" i="3"/>
  <c r="G1738" i="3"/>
  <c r="F1738" i="3"/>
  <c r="E1738" i="3"/>
  <c r="D1738" i="3"/>
  <c r="C1738" i="3"/>
  <c r="B1738" i="3"/>
  <c r="A1738" i="3"/>
  <c r="O1737" i="3"/>
  <c r="N1737" i="3"/>
  <c r="M1737" i="3"/>
  <c r="L1737" i="3"/>
  <c r="K1737" i="3"/>
  <c r="J1737" i="3"/>
  <c r="I1737" i="3"/>
  <c r="H1737" i="3"/>
  <c r="G1737" i="3"/>
  <c r="F1737" i="3"/>
  <c r="E1737" i="3"/>
  <c r="D1737" i="3"/>
  <c r="C1737" i="3"/>
  <c r="B1737" i="3"/>
  <c r="A1737" i="3"/>
  <c r="O1736" i="3"/>
  <c r="N1736" i="3"/>
  <c r="M1736" i="3"/>
  <c r="L1736" i="3"/>
  <c r="K1736" i="3"/>
  <c r="J1736" i="3"/>
  <c r="I1736" i="3"/>
  <c r="H1736" i="3"/>
  <c r="G1736" i="3"/>
  <c r="F1736" i="3"/>
  <c r="E1736" i="3"/>
  <c r="D1736" i="3"/>
  <c r="C1736" i="3"/>
  <c r="B1736" i="3"/>
  <c r="A1736" i="3"/>
  <c r="O1735" i="3"/>
  <c r="N1735" i="3"/>
  <c r="M1735" i="3"/>
  <c r="L1735" i="3"/>
  <c r="K1735" i="3"/>
  <c r="J1735" i="3"/>
  <c r="I1735" i="3"/>
  <c r="H1735" i="3"/>
  <c r="G1735" i="3"/>
  <c r="F1735" i="3"/>
  <c r="E1735" i="3"/>
  <c r="D1735" i="3"/>
  <c r="C1735" i="3"/>
  <c r="B1735" i="3"/>
  <c r="A1735" i="3"/>
  <c r="O1734" i="3"/>
  <c r="N1734" i="3"/>
  <c r="M1734" i="3"/>
  <c r="L1734" i="3"/>
  <c r="K1734" i="3"/>
  <c r="J1734" i="3"/>
  <c r="I1734" i="3"/>
  <c r="H1734" i="3"/>
  <c r="G1734" i="3"/>
  <c r="F1734" i="3"/>
  <c r="E1734" i="3"/>
  <c r="D1734" i="3"/>
  <c r="C1734" i="3"/>
  <c r="B1734" i="3"/>
  <c r="A1734" i="3"/>
  <c r="O1733" i="3"/>
  <c r="N1733" i="3"/>
  <c r="M1733" i="3"/>
  <c r="L1733" i="3"/>
  <c r="K1733" i="3"/>
  <c r="J1733" i="3"/>
  <c r="I1733" i="3"/>
  <c r="H1733" i="3"/>
  <c r="G1733" i="3"/>
  <c r="F1733" i="3"/>
  <c r="E1733" i="3"/>
  <c r="D1733" i="3"/>
  <c r="C1733" i="3"/>
  <c r="B1733" i="3"/>
  <c r="A1733" i="3"/>
  <c r="O1732" i="3"/>
  <c r="N1732" i="3"/>
  <c r="M1732" i="3"/>
  <c r="L1732" i="3"/>
  <c r="K1732" i="3"/>
  <c r="J1732" i="3"/>
  <c r="I1732" i="3"/>
  <c r="H1732" i="3"/>
  <c r="G1732" i="3"/>
  <c r="F1732" i="3"/>
  <c r="E1732" i="3"/>
  <c r="D1732" i="3"/>
  <c r="C1732" i="3"/>
  <c r="B1732" i="3"/>
  <c r="A1732" i="3"/>
  <c r="O1731" i="3"/>
  <c r="N1731" i="3"/>
  <c r="M1731" i="3"/>
  <c r="L1731" i="3"/>
  <c r="K1731" i="3"/>
  <c r="J1731" i="3"/>
  <c r="I1731" i="3"/>
  <c r="H1731" i="3"/>
  <c r="G1731" i="3"/>
  <c r="F1731" i="3"/>
  <c r="E1731" i="3"/>
  <c r="D1731" i="3"/>
  <c r="C1731" i="3"/>
  <c r="B1731" i="3"/>
  <c r="A1731" i="3"/>
  <c r="O1730" i="3"/>
  <c r="N1730" i="3"/>
  <c r="M1730" i="3"/>
  <c r="L1730" i="3"/>
  <c r="K1730" i="3"/>
  <c r="J1730" i="3"/>
  <c r="I1730" i="3"/>
  <c r="H1730" i="3"/>
  <c r="G1730" i="3"/>
  <c r="F1730" i="3"/>
  <c r="E1730" i="3"/>
  <c r="D1730" i="3"/>
  <c r="C1730" i="3"/>
  <c r="B1730" i="3"/>
  <c r="A1730" i="3"/>
  <c r="O1729" i="3"/>
  <c r="N1729" i="3"/>
  <c r="M1729" i="3"/>
  <c r="L1729" i="3"/>
  <c r="K1729" i="3"/>
  <c r="J1729" i="3"/>
  <c r="I1729" i="3"/>
  <c r="H1729" i="3"/>
  <c r="G1729" i="3"/>
  <c r="F1729" i="3"/>
  <c r="E1729" i="3"/>
  <c r="D1729" i="3"/>
  <c r="C1729" i="3"/>
  <c r="B1729" i="3"/>
  <c r="A1729" i="3"/>
  <c r="O1728" i="3"/>
  <c r="N1728" i="3"/>
  <c r="M1728" i="3"/>
  <c r="L1728" i="3"/>
  <c r="K1728" i="3"/>
  <c r="J1728" i="3"/>
  <c r="I1728" i="3"/>
  <c r="H1728" i="3"/>
  <c r="G1728" i="3"/>
  <c r="F1728" i="3"/>
  <c r="E1728" i="3"/>
  <c r="D1728" i="3"/>
  <c r="C1728" i="3"/>
  <c r="B1728" i="3"/>
  <c r="A1728" i="3"/>
  <c r="O1727" i="3"/>
  <c r="N1727" i="3"/>
  <c r="M1727" i="3"/>
  <c r="L1727" i="3"/>
  <c r="K1727" i="3"/>
  <c r="J1727" i="3"/>
  <c r="I1727" i="3"/>
  <c r="H1727" i="3"/>
  <c r="G1727" i="3"/>
  <c r="F1727" i="3"/>
  <c r="E1727" i="3"/>
  <c r="D1727" i="3"/>
  <c r="C1727" i="3"/>
  <c r="B1727" i="3"/>
  <c r="A1727" i="3"/>
  <c r="O1726" i="3"/>
  <c r="N1726" i="3"/>
  <c r="M1726" i="3"/>
  <c r="L1726" i="3"/>
  <c r="K1726" i="3"/>
  <c r="J1726" i="3"/>
  <c r="I1726" i="3"/>
  <c r="H1726" i="3"/>
  <c r="G1726" i="3"/>
  <c r="F1726" i="3"/>
  <c r="E1726" i="3"/>
  <c r="D1726" i="3"/>
  <c r="C1726" i="3"/>
  <c r="B1726" i="3"/>
  <c r="A1726" i="3"/>
  <c r="O1725" i="3"/>
  <c r="N1725" i="3"/>
  <c r="M1725" i="3"/>
  <c r="L1725" i="3"/>
  <c r="K1725" i="3"/>
  <c r="J1725" i="3"/>
  <c r="I1725" i="3"/>
  <c r="H1725" i="3"/>
  <c r="G1725" i="3"/>
  <c r="F1725" i="3"/>
  <c r="E1725" i="3"/>
  <c r="D1725" i="3"/>
  <c r="C1725" i="3"/>
  <c r="B1725" i="3"/>
  <c r="A1725" i="3"/>
  <c r="O1724" i="3"/>
  <c r="N1724" i="3"/>
  <c r="M1724" i="3"/>
  <c r="L1724" i="3"/>
  <c r="K1724" i="3"/>
  <c r="J1724" i="3"/>
  <c r="I1724" i="3"/>
  <c r="H1724" i="3"/>
  <c r="G1724" i="3"/>
  <c r="F1724" i="3"/>
  <c r="E1724" i="3"/>
  <c r="D1724" i="3"/>
  <c r="C1724" i="3"/>
  <c r="B1724" i="3"/>
  <c r="A1724" i="3"/>
  <c r="O1723" i="3"/>
  <c r="N1723" i="3"/>
  <c r="M1723" i="3"/>
  <c r="L1723" i="3"/>
  <c r="K1723" i="3"/>
  <c r="J1723" i="3"/>
  <c r="I1723" i="3"/>
  <c r="H1723" i="3"/>
  <c r="G1723" i="3"/>
  <c r="F1723" i="3"/>
  <c r="E1723" i="3"/>
  <c r="D1723" i="3"/>
  <c r="C1723" i="3"/>
  <c r="B1723" i="3"/>
  <c r="A1723" i="3"/>
  <c r="O1722" i="3"/>
  <c r="N1722" i="3"/>
  <c r="M1722" i="3"/>
  <c r="L1722" i="3"/>
  <c r="K1722" i="3"/>
  <c r="J1722" i="3"/>
  <c r="I1722" i="3"/>
  <c r="H1722" i="3"/>
  <c r="G1722" i="3"/>
  <c r="F1722" i="3"/>
  <c r="E1722" i="3"/>
  <c r="D1722" i="3"/>
  <c r="C1722" i="3"/>
  <c r="B1722" i="3"/>
  <c r="A1722" i="3"/>
  <c r="O1721" i="3"/>
  <c r="N1721" i="3"/>
  <c r="M1721" i="3"/>
  <c r="L1721" i="3"/>
  <c r="K1721" i="3"/>
  <c r="J1721" i="3"/>
  <c r="I1721" i="3"/>
  <c r="H1721" i="3"/>
  <c r="G1721" i="3"/>
  <c r="F1721" i="3"/>
  <c r="E1721" i="3"/>
  <c r="D1721" i="3"/>
  <c r="C1721" i="3"/>
  <c r="B1721" i="3"/>
  <c r="A1721" i="3"/>
  <c r="O1720" i="3"/>
  <c r="N1720" i="3"/>
  <c r="M1720" i="3"/>
  <c r="L1720" i="3"/>
  <c r="K1720" i="3"/>
  <c r="J1720" i="3"/>
  <c r="I1720" i="3"/>
  <c r="H1720" i="3"/>
  <c r="G1720" i="3"/>
  <c r="F1720" i="3"/>
  <c r="E1720" i="3"/>
  <c r="D1720" i="3"/>
  <c r="C1720" i="3"/>
  <c r="B1720" i="3"/>
  <c r="A1720" i="3"/>
  <c r="O1719" i="3"/>
  <c r="N1719" i="3"/>
  <c r="M1719" i="3"/>
  <c r="L1719" i="3"/>
  <c r="K1719" i="3"/>
  <c r="J1719" i="3"/>
  <c r="I1719" i="3"/>
  <c r="H1719" i="3"/>
  <c r="G1719" i="3"/>
  <c r="F1719" i="3"/>
  <c r="E1719" i="3"/>
  <c r="D1719" i="3"/>
  <c r="C1719" i="3"/>
  <c r="B1719" i="3"/>
  <c r="A1719" i="3"/>
  <c r="O1718" i="3"/>
  <c r="N1718" i="3"/>
  <c r="M1718" i="3"/>
  <c r="L1718" i="3"/>
  <c r="K1718" i="3"/>
  <c r="J1718" i="3"/>
  <c r="I1718" i="3"/>
  <c r="H1718" i="3"/>
  <c r="G1718" i="3"/>
  <c r="F1718" i="3"/>
  <c r="E1718" i="3"/>
  <c r="D1718" i="3"/>
  <c r="C1718" i="3"/>
  <c r="B1718" i="3"/>
  <c r="A1718" i="3"/>
  <c r="O1717" i="3"/>
  <c r="N1717" i="3"/>
  <c r="M1717" i="3"/>
  <c r="L1717" i="3"/>
  <c r="K1717" i="3"/>
  <c r="J1717" i="3"/>
  <c r="I1717" i="3"/>
  <c r="H1717" i="3"/>
  <c r="G1717" i="3"/>
  <c r="F1717" i="3"/>
  <c r="E1717" i="3"/>
  <c r="D1717" i="3"/>
  <c r="C1717" i="3"/>
  <c r="B1717" i="3"/>
  <c r="A1717" i="3"/>
  <c r="O1716" i="3"/>
  <c r="N1716" i="3"/>
  <c r="M1716" i="3"/>
  <c r="L1716" i="3"/>
  <c r="K1716" i="3"/>
  <c r="J1716" i="3"/>
  <c r="I1716" i="3"/>
  <c r="H1716" i="3"/>
  <c r="G1716" i="3"/>
  <c r="F1716" i="3"/>
  <c r="E1716" i="3"/>
  <c r="D1716" i="3"/>
  <c r="C1716" i="3"/>
  <c r="B1716" i="3"/>
  <c r="A1716" i="3"/>
  <c r="O1715" i="3"/>
  <c r="N1715" i="3"/>
  <c r="M1715" i="3"/>
  <c r="L1715" i="3"/>
  <c r="K1715" i="3"/>
  <c r="J1715" i="3"/>
  <c r="I1715" i="3"/>
  <c r="H1715" i="3"/>
  <c r="G1715" i="3"/>
  <c r="F1715" i="3"/>
  <c r="E1715" i="3"/>
  <c r="D1715" i="3"/>
  <c r="C1715" i="3"/>
  <c r="B1715" i="3"/>
  <c r="A1715" i="3"/>
  <c r="O1714" i="3"/>
  <c r="N1714" i="3"/>
  <c r="M1714" i="3"/>
  <c r="L1714" i="3"/>
  <c r="K1714" i="3"/>
  <c r="J1714" i="3"/>
  <c r="I1714" i="3"/>
  <c r="H1714" i="3"/>
  <c r="G1714" i="3"/>
  <c r="F1714" i="3"/>
  <c r="E1714" i="3"/>
  <c r="D1714" i="3"/>
  <c r="C1714" i="3"/>
  <c r="B1714" i="3"/>
  <c r="A1714" i="3"/>
  <c r="O1713" i="3"/>
  <c r="N1713" i="3"/>
  <c r="M1713" i="3"/>
  <c r="L1713" i="3"/>
  <c r="K1713" i="3"/>
  <c r="J1713" i="3"/>
  <c r="I1713" i="3"/>
  <c r="H1713" i="3"/>
  <c r="G1713" i="3"/>
  <c r="F1713" i="3"/>
  <c r="E1713" i="3"/>
  <c r="D1713" i="3"/>
  <c r="C1713" i="3"/>
  <c r="B1713" i="3"/>
  <c r="A1713" i="3"/>
  <c r="O1712" i="3"/>
  <c r="N1712" i="3"/>
  <c r="M1712" i="3"/>
  <c r="L1712" i="3"/>
  <c r="K1712" i="3"/>
  <c r="J1712" i="3"/>
  <c r="I1712" i="3"/>
  <c r="H1712" i="3"/>
  <c r="G1712" i="3"/>
  <c r="F1712" i="3"/>
  <c r="E1712" i="3"/>
  <c r="D1712" i="3"/>
  <c r="C1712" i="3"/>
  <c r="B1712" i="3"/>
  <c r="A1712" i="3"/>
  <c r="O1711" i="3"/>
  <c r="N1711" i="3"/>
  <c r="M1711" i="3"/>
  <c r="L1711" i="3"/>
  <c r="K1711" i="3"/>
  <c r="J1711" i="3"/>
  <c r="I1711" i="3"/>
  <c r="H1711" i="3"/>
  <c r="G1711" i="3"/>
  <c r="F1711" i="3"/>
  <c r="E1711" i="3"/>
  <c r="D1711" i="3"/>
  <c r="C1711" i="3"/>
  <c r="B1711" i="3"/>
  <c r="A1711" i="3"/>
  <c r="O1710" i="3"/>
  <c r="N1710" i="3"/>
  <c r="M1710" i="3"/>
  <c r="L1710" i="3"/>
  <c r="K1710" i="3"/>
  <c r="J1710" i="3"/>
  <c r="I1710" i="3"/>
  <c r="H1710" i="3"/>
  <c r="G1710" i="3"/>
  <c r="F1710" i="3"/>
  <c r="E1710" i="3"/>
  <c r="D1710" i="3"/>
  <c r="C1710" i="3"/>
  <c r="B1710" i="3"/>
  <c r="A1710" i="3"/>
  <c r="O1709" i="3"/>
  <c r="N1709" i="3"/>
  <c r="M1709" i="3"/>
  <c r="L1709" i="3"/>
  <c r="K1709" i="3"/>
  <c r="J1709" i="3"/>
  <c r="I1709" i="3"/>
  <c r="H1709" i="3"/>
  <c r="G1709" i="3"/>
  <c r="F1709" i="3"/>
  <c r="E1709" i="3"/>
  <c r="D1709" i="3"/>
  <c r="C1709" i="3"/>
  <c r="B1709" i="3"/>
  <c r="A1709" i="3"/>
  <c r="O1708" i="3"/>
  <c r="N1708" i="3"/>
  <c r="M1708" i="3"/>
  <c r="L1708" i="3"/>
  <c r="K1708" i="3"/>
  <c r="J1708" i="3"/>
  <c r="I1708" i="3"/>
  <c r="H1708" i="3"/>
  <c r="G1708" i="3"/>
  <c r="F1708" i="3"/>
  <c r="E1708" i="3"/>
  <c r="D1708" i="3"/>
  <c r="C1708" i="3"/>
  <c r="B1708" i="3"/>
  <c r="A1708" i="3"/>
  <c r="O1707" i="3"/>
  <c r="N1707" i="3"/>
  <c r="M1707" i="3"/>
  <c r="L1707" i="3"/>
  <c r="K1707" i="3"/>
  <c r="J1707" i="3"/>
  <c r="I1707" i="3"/>
  <c r="H1707" i="3"/>
  <c r="G1707" i="3"/>
  <c r="F1707" i="3"/>
  <c r="E1707" i="3"/>
  <c r="D1707" i="3"/>
  <c r="C1707" i="3"/>
  <c r="B1707" i="3"/>
  <c r="A1707" i="3"/>
  <c r="O1706" i="3"/>
  <c r="N1706" i="3"/>
  <c r="M1706" i="3"/>
  <c r="L1706" i="3"/>
  <c r="K1706" i="3"/>
  <c r="J1706" i="3"/>
  <c r="I1706" i="3"/>
  <c r="H1706" i="3"/>
  <c r="G1706" i="3"/>
  <c r="F1706" i="3"/>
  <c r="E1706" i="3"/>
  <c r="D1706" i="3"/>
  <c r="C1706" i="3"/>
  <c r="B1706" i="3"/>
  <c r="A1706" i="3"/>
  <c r="O1705" i="3"/>
  <c r="N1705" i="3"/>
  <c r="M1705" i="3"/>
  <c r="L1705" i="3"/>
  <c r="K1705" i="3"/>
  <c r="J1705" i="3"/>
  <c r="I1705" i="3"/>
  <c r="H1705" i="3"/>
  <c r="G1705" i="3"/>
  <c r="F1705" i="3"/>
  <c r="E1705" i="3"/>
  <c r="D1705" i="3"/>
  <c r="C1705" i="3"/>
  <c r="B1705" i="3"/>
  <c r="A1705" i="3"/>
  <c r="O1704" i="3"/>
  <c r="N1704" i="3"/>
  <c r="M1704" i="3"/>
  <c r="L1704" i="3"/>
  <c r="K1704" i="3"/>
  <c r="J1704" i="3"/>
  <c r="I1704" i="3"/>
  <c r="H1704" i="3"/>
  <c r="G1704" i="3"/>
  <c r="F1704" i="3"/>
  <c r="E1704" i="3"/>
  <c r="D1704" i="3"/>
  <c r="C1704" i="3"/>
  <c r="B1704" i="3"/>
  <c r="A1704" i="3"/>
  <c r="O1703" i="3"/>
  <c r="N1703" i="3"/>
  <c r="M1703" i="3"/>
  <c r="L1703" i="3"/>
  <c r="K1703" i="3"/>
  <c r="J1703" i="3"/>
  <c r="I1703" i="3"/>
  <c r="H1703" i="3"/>
  <c r="G1703" i="3"/>
  <c r="F1703" i="3"/>
  <c r="E1703" i="3"/>
  <c r="D1703" i="3"/>
  <c r="C1703" i="3"/>
  <c r="B1703" i="3"/>
  <c r="A1703" i="3"/>
  <c r="O1702" i="3"/>
  <c r="N1702" i="3"/>
  <c r="M1702" i="3"/>
  <c r="L1702" i="3"/>
  <c r="K1702" i="3"/>
  <c r="J1702" i="3"/>
  <c r="I1702" i="3"/>
  <c r="H1702" i="3"/>
  <c r="G1702" i="3"/>
  <c r="F1702" i="3"/>
  <c r="E1702" i="3"/>
  <c r="D1702" i="3"/>
  <c r="C1702" i="3"/>
  <c r="B1702" i="3"/>
  <c r="A1702" i="3"/>
  <c r="O1701" i="3"/>
  <c r="N1701" i="3"/>
  <c r="M1701" i="3"/>
  <c r="L1701" i="3"/>
  <c r="K1701" i="3"/>
  <c r="J1701" i="3"/>
  <c r="I1701" i="3"/>
  <c r="H1701" i="3"/>
  <c r="G1701" i="3"/>
  <c r="F1701" i="3"/>
  <c r="E1701" i="3"/>
  <c r="D1701" i="3"/>
  <c r="C1701" i="3"/>
  <c r="B1701" i="3"/>
  <c r="A1701" i="3"/>
  <c r="O1700" i="3"/>
  <c r="N1700" i="3"/>
  <c r="M1700" i="3"/>
  <c r="L1700" i="3"/>
  <c r="K1700" i="3"/>
  <c r="J1700" i="3"/>
  <c r="I1700" i="3"/>
  <c r="H1700" i="3"/>
  <c r="G1700" i="3"/>
  <c r="F1700" i="3"/>
  <c r="E1700" i="3"/>
  <c r="D1700" i="3"/>
  <c r="C1700" i="3"/>
  <c r="B1700" i="3"/>
  <c r="A1700" i="3"/>
  <c r="O1699" i="3"/>
  <c r="N1699" i="3"/>
  <c r="M1699" i="3"/>
  <c r="L1699" i="3"/>
  <c r="K1699" i="3"/>
  <c r="J1699" i="3"/>
  <c r="I1699" i="3"/>
  <c r="H1699" i="3"/>
  <c r="G1699" i="3"/>
  <c r="F1699" i="3"/>
  <c r="E1699" i="3"/>
  <c r="D1699" i="3"/>
  <c r="C1699" i="3"/>
  <c r="B1699" i="3"/>
  <c r="A1699" i="3"/>
  <c r="O1698" i="3"/>
  <c r="N1698" i="3"/>
  <c r="M1698" i="3"/>
  <c r="L1698" i="3"/>
  <c r="K1698" i="3"/>
  <c r="J1698" i="3"/>
  <c r="I1698" i="3"/>
  <c r="H1698" i="3"/>
  <c r="G1698" i="3"/>
  <c r="F1698" i="3"/>
  <c r="E1698" i="3"/>
  <c r="D1698" i="3"/>
  <c r="C1698" i="3"/>
  <c r="B1698" i="3"/>
  <c r="A1698" i="3"/>
  <c r="O1697" i="3"/>
  <c r="N1697" i="3"/>
  <c r="M1697" i="3"/>
  <c r="L1697" i="3"/>
  <c r="K1697" i="3"/>
  <c r="J1697" i="3"/>
  <c r="I1697" i="3"/>
  <c r="H1697" i="3"/>
  <c r="G1697" i="3"/>
  <c r="F1697" i="3"/>
  <c r="E1697" i="3"/>
  <c r="D1697" i="3"/>
  <c r="C1697" i="3"/>
  <c r="B1697" i="3"/>
  <c r="A1697" i="3"/>
  <c r="O1696" i="3"/>
  <c r="N1696" i="3"/>
  <c r="M1696" i="3"/>
  <c r="L1696" i="3"/>
  <c r="K1696" i="3"/>
  <c r="J1696" i="3"/>
  <c r="I1696" i="3"/>
  <c r="H1696" i="3"/>
  <c r="G1696" i="3"/>
  <c r="F1696" i="3"/>
  <c r="E1696" i="3"/>
  <c r="D1696" i="3"/>
  <c r="C1696" i="3"/>
  <c r="B1696" i="3"/>
  <c r="A1696" i="3"/>
  <c r="O1695" i="3"/>
  <c r="N1695" i="3"/>
  <c r="M1695" i="3"/>
  <c r="L1695" i="3"/>
  <c r="K1695" i="3"/>
  <c r="J1695" i="3"/>
  <c r="I1695" i="3"/>
  <c r="H1695" i="3"/>
  <c r="G1695" i="3"/>
  <c r="F1695" i="3"/>
  <c r="E1695" i="3"/>
  <c r="D1695" i="3"/>
  <c r="C1695" i="3"/>
  <c r="B1695" i="3"/>
  <c r="A1695" i="3"/>
  <c r="O1694" i="3"/>
  <c r="N1694" i="3"/>
  <c r="M1694" i="3"/>
  <c r="L1694" i="3"/>
  <c r="K1694" i="3"/>
  <c r="J1694" i="3"/>
  <c r="I1694" i="3"/>
  <c r="H1694" i="3"/>
  <c r="G1694" i="3"/>
  <c r="F1694" i="3"/>
  <c r="E1694" i="3"/>
  <c r="D1694" i="3"/>
  <c r="C1694" i="3"/>
  <c r="B1694" i="3"/>
  <c r="A1694" i="3"/>
  <c r="O1693" i="3"/>
  <c r="N1693" i="3"/>
  <c r="M1693" i="3"/>
  <c r="L1693" i="3"/>
  <c r="K1693" i="3"/>
  <c r="J1693" i="3"/>
  <c r="I1693" i="3"/>
  <c r="H1693" i="3"/>
  <c r="G1693" i="3"/>
  <c r="F1693" i="3"/>
  <c r="E1693" i="3"/>
  <c r="D1693" i="3"/>
  <c r="C1693" i="3"/>
  <c r="B1693" i="3"/>
  <c r="A1693" i="3"/>
  <c r="O1692" i="3"/>
  <c r="N1692" i="3"/>
  <c r="M1692" i="3"/>
  <c r="L1692" i="3"/>
  <c r="K1692" i="3"/>
  <c r="J1692" i="3"/>
  <c r="I1692" i="3"/>
  <c r="H1692" i="3"/>
  <c r="G1692" i="3"/>
  <c r="F1692" i="3"/>
  <c r="E1692" i="3"/>
  <c r="D1692" i="3"/>
  <c r="C1692" i="3"/>
  <c r="B1692" i="3"/>
  <c r="A1692" i="3"/>
  <c r="O1691" i="3"/>
  <c r="N1691" i="3"/>
  <c r="M1691" i="3"/>
  <c r="L1691" i="3"/>
  <c r="K1691" i="3"/>
  <c r="J1691" i="3"/>
  <c r="I1691" i="3"/>
  <c r="H1691" i="3"/>
  <c r="G1691" i="3"/>
  <c r="F1691" i="3"/>
  <c r="E1691" i="3"/>
  <c r="D1691" i="3"/>
  <c r="C1691" i="3"/>
  <c r="B1691" i="3"/>
  <c r="A1691" i="3"/>
  <c r="O1690" i="3"/>
  <c r="N1690" i="3"/>
  <c r="M1690" i="3"/>
  <c r="L1690" i="3"/>
  <c r="K1690" i="3"/>
  <c r="J1690" i="3"/>
  <c r="I1690" i="3"/>
  <c r="H1690" i="3"/>
  <c r="G1690" i="3"/>
  <c r="F1690" i="3"/>
  <c r="E1690" i="3"/>
  <c r="D1690" i="3"/>
  <c r="C1690" i="3"/>
  <c r="B1690" i="3"/>
  <c r="A1690" i="3"/>
  <c r="O1689" i="3"/>
  <c r="N1689" i="3"/>
  <c r="M1689" i="3"/>
  <c r="L1689" i="3"/>
  <c r="K1689" i="3"/>
  <c r="J1689" i="3"/>
  <c r="I1689" i="3"/>
  <c r="H1689" i="3"/>
  <c r="G1689" i="3"/>
  <c r="F1689" i="3"/>
  <c r="E1689" i="3"/>
  <c r="D1689" i="3"/>
  <c r="C1689" i="3"/>
  <c r="B1689" i="3"/>
  <c r="A1689" i="3"/>
  <c r="O1688" i="3"/>
  <c r="N1688" i="3"/>
  <c r="M1688" i="3"/>
  <c r="L1688" i="3"/>
  <c r="K1688" i="3"/>
  <c r="J1688" i="3"/>
  <c r="I1688" i="3"/>
  <c r="H1688" i="3"/>
  <c r="G1688" i="3"/>
  <c r="F1688" i="3"/>
  <c r="E1688" i="3"/>
  <c r="D1688" i="3"/>
  <c r="C1688" i="3"/>
  <c r="B1688" i="3"/>
  <c r="A1688" i="3"/>
  <c r="O1687" i="3"/>
  <c r="N1687" i="3"/>
  <c r="M1687" i="3"/>
  <c r="L1687" i="3"/>
  <c r="K1687" i="3"/>
  <c r="J1687" i="3"/>
  <c r="I1687" i="3"/>
  <c r="H1687" i="3"/>
  <c r="G1687" i="3"/>
  <c r="F1687" i="3"/>
  <c r="E1687" i="3"/>
  <c r="D1687" i="3"/>
  <c r="C1687" i="3"/>
  <c r="B1687" i="3"/>
  <c r="A1687" i="3"/>
  <c r="O1686" i="3"/>
  <c r="N1686" i="3"/>
  <c r="M1686" i="3"/>
  <c r="L1686" i="3"/>
  <c r="K1686" i="3"/>
  <c r="J1686" i="3"/>
  <c r="I1686" i="3"/>
  <c r="H1686" i="3"/>
  <c r="G1686" i="3"/>
  <c r="F1686" i="3"/>
  <c r="E1686" i="3"/>
  <c r="D1686" i="3"/>
  <c r="C1686" i="3"/>
  <c r="B1686" i="3"/>
  <c r="A1686" i="3"/>
  <c r="O1685" i="3"/>
  <c r="N1685" i="3"/>
  <c r="M1685" i="3"/>
  <c r="L1685" i="3"/>
  <c r="K1685" i="3"/>
  <c r="J1685" i="3"/>
  <c r="I1685" i="3"/>
  <c r="H1685" i="3"/>
  <c r="G1685" i="3"/>
  <c r="F1685" i="3"/>
  <c r="E1685" i="3"/>
  <c r="D1685" i="3"/>
  <c r="C1685" i="3"/>
  <c r="B1685" i="3"/>
  <c r="A1685" i="3"/>
  <c r="O1684" i="3"/>
  <c r="N1684" i="3"/>
  <c r="M1684" i="3"/>
  <c r="L1684" i="3"/>
  <c r="K1684" i="3"/>
  <c r="J1684" i="3"/>
  <c r="I1684" i="3"/>
  <c r="H1684" i="3"/>
  <c r="G1684" i="3"/>
  <c r="F1684" i="3"/>
  <c r="E1684" i="3"/>
  <c r="D1684" i="3"/>
  <c r="C1684" i="3"/>
  <c r="B1684" i="3"/>
  <c r="A1684" i="3"/>
  <c r="O1683" i="3"/>
  <c r="N1683" i="3"/>
  <c r="M1683" i="3"/>
  <c r="L1683" i="3"/>
  <c r="K1683" i="3"/>
  <c r="J1683" i="3"/>
  <c r="I1683" i="3"/>
  <c r="H1683" i="3"/>
  <c r="G1683" i="3"/>
  <c r="F1683" i="3"/>
  <c r="E1683" i="3"/>
  <c r="D1683" i="3"/>
  <c r="C1683" i="3"/>
  <c r="B1683" i="3"/>
  <c r="A1683" i="3"/>
  <c r="O1682" i="3"/>
  <c r="N1682" i="3"/>
  <c r="M1682" i="3"/>
  <c r="L1682" i="3"/>
  <c r="K1682" i="3"/>
  <c r="J1682" i="3"/>
  <c r="I1682" i="3"/>
  <c r="H1682" i="3"/>
  <c r="G1682" i="3"/>
  <c r="F1682" i="3"/>
  <c r="E1682" i="3"/>
  <c r="D1682" i="3"/>
  <c r="C1682" i="3"/>
  <c r="B1682" i="3"/>
  <c r="A1682" i="3"/>
  <c r="O1681" i="3"/>
  <c r="N1681" i="3"/>
  <c r="M1681" i="3"/>
  <c r="L1681" i="3"/>
  <c r="K1681" i="3"/>
  <c r="J1681" i="3"/>
  <c r="I1681" i="3"/>
  <c r="H1681" i="3"/>
  <c r="G1681" i="3"/>
  <c r="F1681" i="3"/>
  <c r="E1681" i="3"/>
  <c r="D1681" i="3"/>
  <c r="C1681" i="3"/>
  <c r="B1681" i="3"/>
  <c r="A1681" i="3"/>
  <c r="O1680" i="3"/>
  <c r="N1680" i="3"/>
  <c r="M1680" i="3"/>
  <c r="L1680" i="3"/>
  <c r="K1680" i="3"/>
  <c r="J1680" i="3"/>
  <c r="I1680" i="3"/>
  <c r="H1680" i="3"/>
  <c r="G1680" i="3"/>
  <c r="F1680" i="3"/>
  <c r="E1680" i="3"/>
  <c r="D1680" i="3"/>
  <c r="C1680" i="3"/>
  <c r="B1680" i="3"/>
  <c r="A1680" i="3"/>
  <c r="O1679" i="3"/>
  <c r="N1679" i="3"/>
  <c r="M1679" i="3"/>
  <c r="L1679" i="3"/>
  <c r="K1679" i="3"/>
  <c r="J1679" i="3"/>
  <c r="I1679" i="3"/>
  <c r="H1679" i="3"/>
  <c r="G1679" i="3"/>
  <c r="F1679" i="3"/>
  <c r="E1679" i="3"/>
  <c r="D1679" i="3"/>
  <c r="C1679" i="3"/>
  <c r="B1679" i="3"/>
  <c r="A1679" i="3"/>
  <c r="O1678" i="3"/>
  <c r="N1678" i="3"/>
  <c r="M1678" i="3"/>
  <c r="L1678" i="3"/>
  <c r="K1678" i="3"/>
  <c r="J1678" i="3"/>
  <c r="I1678" i="3"/>
  <c r="H1678" i="3"/>
  <c r="G1678" i="3"/>
  <c r="F1678" i="3"/>
  <c r="E1678" i="3"/>
  <c r="D1678" i="3"/>
  <c r="C1678" i="3"/>
  <c r="B1678" i="3"/>
  <c r="A1678" i="3"/>
  <c r="O1677" i="3"/>
  <c r="N1677" i="3"/>
  <c r="M1677" i="3"/>
  <c r="L1677" i="3"/>
  <c r="K1677" i="3"/>
  <c r="J1677" i="3"/>
  <c r="I1677" i="3"/>
  <c r="H1677" i="3"/>
  <c r="G1677" i="3"/>
  <c r="F1677" i="3"/>
  <c r="E1677" i="3"/>
  <c r="D1677" i="3"/>
  <c r="C1677" i="3"/>
  <c r="B1677" i="3"/>
  <c r="A1677" i="3"/>
  <c r="O1676" i="3"/>
  <c r="N1676" i="3"/>
  <c r="M1676" i="3"/>
  <c r="L1676" i="3"/>
  <c r="K1676" i="3"/>
  <c r="J1676" i="3"/>
  <c r="I1676" i="3"/>
  <c r="H1676" i="3"/>
  <c r="G1676" i="3"/>
  <c r="F1676" i="3"/>
  <c r="E1676" i="3"/>
  <c r="D1676" i="3"/>
  <c r="C1676" i="3"/>
  <c r="B1676" i="3"/>
  <c r="A1676" i="3"/>
  <c r="O1675" i="3"/>
  <c r="N1675" i="3"/>
  <c r="M1675" i="3"/>
  <c r="L1675" i="3"/>
  <c r="K1675" i="3"/>
  <c r="J1675" i="3"/>
  <c r="I1675" i="3"/>
  <c r="H1675" i="3"/>
  <c r="G1675" i="3"/>
  <c r="F1675" i="3"/>
  <c r="E1675" i="3"/>
  <c r="D1675" i="3"/>
  <c r="C1675" i="3"/>
  <c r="B1675" i="3"/>
  <c r="A1675" i="3"/>
  <c r="O1674" i="3"/>
  <c r="N1674" i="3"/>
  <c r="M1674" i="3"/>
  <c r="L1674" i="3"/>
  <c r="K1674" i="3"/>
  <c r="J1674" i="3"/>
  <c r="I1674" i="3"/>
  <c r="H1674" i="3"/>
  <c r="G1674" i="3"/>
  <c r="F1674" i="3"/>
  <c r="E1674" i="3"/>
  <c r="D1674" i="3"/>
  <c r="C1674" i="3"/>
  <c r="B1674" i="3"/>
  <c r="A1674" i="3"/>
  <c r="O1673" i="3"/>
  <c r="N1673" i="3"/>
  <c r="M1673" i="3"/>
  <c r="L1673" i="3"/>
  <c r="K1673" i="3"/>
  <c r="J1673" i="3"/>
  <c r="I1673" i="3"/>
  <c r="H1673" i="3"/>
  <c r="G1673" i="3"/>
  <c r="F1673" i="3"/>
  <c r="E1673" i="3"/>
  <c r="D1673" i="3"/>
  <c r="C1673" i="3"/>
  <c r="B1673" i="3"/>
  <c r="A1673" i="3"/>
  <c r="O1672" i="3"/>
  <c r="N1672" i="3"/>
  <c r="M1672" i="3"/>
  <c r="L1672" i="3"/>
  <c r="K1672" i="3"/>
  <c r="J1672" i="3"/>
  <c r="I1672" i="3"/>
  <c r="H1672" i="3"/>
  <c r="G1672" i="3"/>
  <c r="F1672" i="3"/>
  <c r="E1672" i="3"/>
  <c r="D1672" i="3"/>
  <c r="C1672" i="3"/>
  <c r="B1672" i="3"/>
  <c r="A1672" i="3"/>
  <c r="O1671" i="3"/>
  <c r="N1671" i="3"/>
  <c r="M1671" i="3"/>
  <c r="L1671" i="3"/>
  <c r="K1671" i="3"/>
  <c r="J1671" i="3"/>
  <c r="I1671" i="3"/>
  <c r="H1671" i="3"/>
  <c r="G1671" i="3"/>
  <c r="F1671" i="3"/>
  <c r="E1671" i="3"/>
  <c r="D1671" i="3"/>
  <c r="C1671" i="3"/>
  <c r="B1671" i="3"/>
  <c r="A1671" i="3"/>
  <c r="O1670" i="3"/>
  <c r="N1670" i="3"/>
  <c r="M1670" i="3"/>
  <c r="L1670" i="3"/>
  <c r="K1670" i="3"/>
  <c r="J1670" i="3"/>
  <c r="I1670" i="3"/>
  <c r="H1670" i="3"/>
  <c r="G1670" i="3"/>
  <c r="F1670" i="3"/>
  <c r="E1670" i="3"/>
  <c r="D1670" i="3"/>
  <c r="C1670" i="3"/>
  <c r="B1670" i="3"/>
  <c r="A1670" i="3"/>
  <c r="O1669" i="3"/>
  <c r="N1669" i="3"/>
  <c r="M1669" i="3"/>
  <c r="L1669" i="3"/>
  <c r="K1669" i="3"/>
  <c r="J1669" i="3"/>
  <c r="I1669" i="3"/>
  <c r="H1669" i="3"/>
  <c r="G1669" i="3"/>
  <c r="F1669" i="3"/>
  <c r="E1669" i="3"/>
  <c r="D1669" i="3"/>
  <c r="C1669" i="3"/>
  <c r="B1669" i="3"/>
  <c r="A1669" i="3"/>
  <c r="O1668" i="3"/>
  <c r="N1668" i="3"/>
  <c r="M1668" i="3"/>
  <c r="L1668" i="3"/>
  <c r="K1668" i="3"/>
  <c r="J1668" i="3"/>
  <c r="I1668" i="3"/>
  <c r="H1668" i="3"/>
  <c r="G1668" i="3"/>
  <c r="F1668" i="3"/>
  <c r="E1668" i="3"/>
  <c r="D1668" i="3"/>
  <c r="C1668" i="3"/>
  <c r="B1668" i="3"/>
  <c r="A1668" i="3"/>
  <c r="O1667" i="3"/>
  <c r="N1667" i="3"/>
  <c r="M1667" i="3"/>
  <c r="L1667" i="3"/>
  <c r="K1667" i="3"/>
  <c r="J1667" i="3"/>
  <c r="I1667" i="3"/>
  <c r="H1667" i="3"/>
  <c r="G1667" i="3"/>
  <c r="F1667" i="3"/>
  <c r="E1667" i="3"/>
  <c r="D1667" i="3"/>
  <c r="C1667" i="3"/>
  <c r="B1667" i="3"/>
  <c r="A1667" i="3"/>
  <c r="O1666" i="3"/>
  <c r="N1666" i="3"/>
  <c r="M1666" i="3"/>
  <c r="L1666" i="3"/>
  <c r="K1666" i="3"/>
  <c r="J1666" i="3"/>
  <c r="I1666" i="3"/>
  <c r="H1666" i="3"/>
  <c r="G1666" i="3"/>
  <c r="F1666" i="3"/>
  <c r="E1666" i="3"/>
  <c r="D1666" i="3"/>
  <c r="C1666" i="3"/>
  <c r="B1666" i="3"/>
  <c r="A1666" i="3"/>
  <c r="O1665" i="3"/>
  <c r="N1665" i="3"/>
  <c r="M1665" i="3"/>
  <c r="L1665" i="3"/>
  <c r="K1665" i="3"/>
  <c r="J1665" i="3"/>
  <c r="I1665" i="3"/>
  <c r="H1665" i="3"/>
  <c r="G1665" i="3"/>
  <c r="F1665" i="3"/>
  <c r="E1665" i="3"/>
  <c r="D1665" i="3"/>
  <c r="C1665" i="3"/>
  <c r="B1665" i="3"/>
  <c r="A1665" i="3"/>
  <c r="O1664" i="3"/>
  <c r="N1664" i="3"/>
  <c r="M1664" i="3"/>
  <c r="L1664" i="3"/>
  <c r="K1664" i="3"/>
  <c r="J1664" i="3"/>
  <c r="I1664" i="3"/>
  <c r="H1664" i="3"/>
  <c r="G1664" i="3"/>
  <c r="F1664" i="3"/>
  <c r="E1664" i="3"/>
  <c r="D1664" i="3"/>
  <c r="C1664" i="3"/>
  <c r="B1664" i="3"/>
  <c r="A1664" i="3"/>
  <c r="O1663" i="3"/>
  <c r="N1663" i="3"/>
  <c r="M1663" i="3"/>
  <c r="L1663" i="3"/>
  <c r="K1663" i="3"/>
  <c r="J1663" i="3"/>
  <c r="I1663" i="3"/>
  <c r="H1663" i="3"/>
  <c r="G1663" i="3"/>
  <c r="F1663" i="3"/>
  <c r="E1663" i="3"/>
  <c r="D1663" i="3"/>
  <c r="C1663" i="3"/>
  <c r="B1663" i="3"/>
  <c r="A1663" i="3"/>
  <c r="O1662" i="3"/>
  <c r="N1662" i="3"/>
  <c r="M1662" i="3"/>
  <c r="L1662" i="3"/>
  <c r="K1662" i="3"/>
  <c r="J1662" i="3"/>
  <c r="I1662" i="3"/>
  <c r="H1662" i="3"/>
  <c r="G1662" i="3"/>
  <c r="F1662" i="3"/>
  <c r="E1662" i="3"/>
  <c r="D1662" i="3"/>
  <c r="C1662" i="3"/>
  <c r="B1662" i="3"/>
  <c r="A1662" i="3"/>
  <c r="O1661" i="3"/>
  <c r="N1661" i="3"/>
  <c r="M1661" i="3"/>
  <c r="L1661" i="3"/>
  <c r="K1661" i="3"/>
  <c r="J1661" i="3"/>
  <c r="I1661" i="3"/>
  <c r="H1661" i="3"/>
  <c r="G1661" i="3"/>
  <c r="F1661" i="3"/>
  <c r="E1661" i="3"/>
  <c r="D1661" i="3"/>
  <c r="C1661" i="3"/>
  <c r="B1661" i="3"/>
  <c r="A1661" i="3"/>
  <c r="O1660" i="3"/>
  <c r="N1660" i="3"/>
  <c r="M1660" i="3"/>
  <c r="L1660" i="3"/>
  <c r="K1660" i="3"/>
  <c r="J1660" i="3"/>
  <c r="I1660" i="3"/>
  <c r="H1660" i="3"/>
  <c r="G1660" i="3"/>
  <c r="F1660" i="3"/>
  <c r="E1660" i="3"/>
  <c r="D1660" i="3"/>
  <c r="C1660" i="3"/>
  <c r="B1660" i="3"/>
  <c r="A1660" i="3"/>
  <c r="O1659" i="3"/>
  <c r="N1659" i="3"/>
  <c r="M1659" i="3"/>
  <c r="L1659" i="3"/>
  <c r="K1659" i="3"/>
  <c r="J1659" i="3"/>
  <c r="I1659" i="3"/>
  <c r="H1659" i="3"/>
  <c r="G1659" i="3"/>
  <c r="F1659" i="3"/>
  <c r="E1659" i="3"/>
  <c r="D1659" i="3"/>
  <c r="C1659" i="3"/>
  <c r="B1659" i="3"/>
  <c r="A1659" i="3"/>
  <c r="O1658" i="3"/>
  <c r="N1658" i="3"/>
  <c r="M1658" i="3"/>
  <c r="L1658" i="3"/>
  <c r="K1658" i="3"/>
  <c r="J1658" i="3"/>
  <c r="I1658" i="3"/>
  <c r="H1658" i="3"/>
  <c r="G1658" i="3"/>
  <c r="F1658" i="3"/>
  <c r="E1658" i="3"/>
  <c r="D1658" i="3"/>
  <c r="C1658" i="3"/>
  <c r="B1658" i="3"/>
  <c r="A1658" i="3"/>
  <c r="O1657" i="3"/>
  <c r="N1657" i="3"/>
  <c r="M1657" i="3"/>
  <c r="L1657" i="3"/>
  <c r="K1657" i="3"/>
  <c r="J1657" i="3"/>
  <c r="I1657" i="3"/>
  <c r="H1657" i="3"/>
  <c r="G1657" i="3"/>
  <c r="F1657" i="3"/>
  <c r="E1657" i="3"/>
  <c r="D1657" i="3"/>
  <c r="C1657" i="3"/>
  <c r="B1657" i="3"/>
  <c r="A1657" i="3"/>
  <c r="O1656" i="3"/>
  <c r="N1656" i="3"/>
  <c r="M1656" i="3"/>
  <c r="L1656" i="3"/>
  <c r="K1656" i="3"/>
  <c r="J1656" i="3"/>
  <c r="I1656" i="3"/>
  <c r="H1656" i="3"/>
  <c r="G1656" i="3"/>
  <c r="F1656" i="3"/>
  <c r="E1656" i="3"/>
  <c r="D1656" i="3"/>
  <c r="C1656" i="3"/>
  <c r="B1656" i="3"/>
  <c r="A1656" i="3"/>
  <c r="O1655" i="3"/>
  <c r="N1655" i="3"/>
  <c r="M1655" i="3"/>
  <c r="L1655" i="3"/>
  <c r="K1655" i="3"/>
  <c r="J1655" i="3"/>
  <c r="I1655" i="3"/>
  <c r="H1655" i="3"/>
  <c r="G1655" i="3"/>
  <c r="F1655" i="3"/>
  <c r="E1655" i="3"/>
  <c r="D1655" i="3"/>
  <c r="C1655" i="3"/>
  <c r="B1655" i="3"/>
  <c r="A1655" i="3"/>
  <c r="O1654" i="3"/>
  <c r="N1654" i="3"/>
  <c r="M1654" i="3"/>
  <c r="L1654" i="3"/>
  <c r="K1654" i="3"/>
  <c r="J1654" i="3"/>
  <c r="I1654" i="3"/>
  <c r="H1654" i="3"/>
  <c r="G1654" i="3"/>
  <c r="F1654" i="3"/>
  <c r="E1654" i="3"/>
  <c r="D1654" i="3"/>
  <c r="C1654" i="3"/>
  <c r="B1654" i="3"/>
  <c r="A1654" i="3"/>
  <c r="O1653" i="3"/>
  <c r="N1653" i="3"/>
  <c r="M1653" i="3"/>
  <c r="L1653" i="3"/>
  <c r="K1653" i="3"/>
  <c r="J1653" i="3"/>
  <c r="I1653" i="3"/>
  <c r="H1653" i="3"/>
  <c r="G1653" i="3"/>
  <c r="F1653" i="3"/>
  <c r="E1653" i="3"/>
  <c r="D1653" i="3"/>
  <c r="C1653" i="3"/>
  <c r="B1653" i="3"/>
  <c r="A1653" i="3"/>
  <c r="O1652" i="3"/>
  <c r="N1652" i="3"/>
  <c r="M1652" i="3"/>
  <c r="L1652" i="3"/>
  <c r="K1652" i="3"/>
  <c r="J1652" i="3"/>
  <c r="I1652" i="3"/>
  <c r="H1652" i="3"/>
  <c r="G1652" i="3"/>
  <c r="F1652" i="3"/>
  <c r="E1652" i="3"/>
  <c r="D1652" i="3"/>
  <c r="C1652" i="3"/>
  <c r="B1652" i="3"/>
  <c r="A1652" i="3"/>
  <c r="O1651" i="3"/>
  <c r="N1651" i="3"/>
  <c r="M1651" i="3"/>
  <c r="L1651" i="3"/>
  <c r="K1651" i="3"/>
  <c r="J1651" i="3"/>
  <c r="I1651" i="3"/>
  <c r="H1651" i="3"/>
  <c r="G1651" i="3"/>
  <c r="F1651" i="3"/>
  <c r="E1651" i="3"/>
  <c r="D1651" i="3"/>
  <c r="C1651" i="3"/>
  <c r="B1651" i="3"/>
  <c r="A1651" i="3"/>
  <c r="O1650" i="3"/>
  <c r="N1650" i="3"/>
  <c r="M1650" i="3"/>
  <c r="L1650" i="3"/>
  <c r="K1650" i="3"/>
  <c r="J1650" i="3"/>
  <c r="I1650" i="3"/>
  <c r="H1650" i="3"/>
  <c r="G1650" i="3"/>
  <c r="F1650" i="3"/>
  <c r="E1650" i="3"/>
  <c r="D1650" i="3"/>
  <c r="C1650" i="3"/>
  <c r="B1650" i="3"/>
  <c r="A1650" i="3"/>
  <c r="O1649" i="3"/>
  <c r="N1649" i="3"/>
  <c r="M1649" i="3"/>
  <c r="L1649" i="3"/>
  <c r="K1649" i="3"/>
  <c r="J1649" i="3"/>
  <c r="I1649" i="3"/>
  <c r="H1649" i="3"/>
  <c r="G1649" i="3"/>
  <c r="F1649" i="3"/>
  <c r="E1649" i="3"/>
  <c r="D1649" i="3"/>
  <c r="C1649" i="3"/>
  <c r="B1649" i="3"/>
  <c r="A1649" i="3"/>
  <c r="O1648" i="3"/>
  <c r="N1648" i="3"/>
  <c r="M1648" i="3"/>
  <c r="L1648" i="3"/>
  <c r="K1648" i="3"/>
  <c r="J1648" i="3"/>
  <c r="I1648" i="3"/>
  <c r="H1648" i="3"/>
  <c r="G1648" i="3"/>
  <c r="F1648" i="3"/>
  <c r="E1648" i="3"/>
  <c r="D1648" i="3"/>
  <c r="C1648" i="3"/>
  <c r="B1648" i="3"/>
  <c r="A1648" i="3"/>
  <c r="O1647" i="3"/>
  <c r="N1647" i="3"/>
  <c r="M1647" i="3"/>
  <c r="L1647" i="3"/>
  <c r="K1647" i="3"/>
  <c r="J1647" i="3"/>
  <c r="I1647" i="3"/>
  <c r="H1647" i="3"/>
  <c r="G1647" i="3"/>
  <c r="F1647" i="3"/>
  <c r="E1647" i="3"/>
  <c r="D1647" i="3"/>
  <c r="C1647" i="3"/>
  <c r="B1647" i="3"/>
  <c r="A1647" i="3"/>
  <c r="O1646" i="3"/>
  <c r="N1646" i="3"/>
  <c r="M1646" i="3"/>
  <c r="L1646" i="3"/>
  <c r="K1646" i="3"/>
  <c r="J1646" i="3"/>
  <c r="I1646" i="3"/>
  <c r="H1646" i="3"/>
  <c r="G1646" i="3"/>
  <c r="F1646" i="3"/>
  <c r="E1646" i="3"/>
  <c r="D1646" i="3"/>
  <c r="C1646" i="3"/>
  <c r="B1646" i="3"/>
  <c r="A1646" i="3"/>
  <c r="O1645" i="3"/>
  <c r="N1645" i="3"/>
  <c r="M1645" i="3"/>
  <c r="L1645" i="3"/>
  <c r="K1645" i="3"/>
  <c r="J1645" i="3"/>
  <c r="I1645" i="3"/>
  <c r="H1645" i="3"/>
  <c r="G1645" i="3"/>
  <c r="F1645" i="3"/>
  <c r="E1645" i="3"/>
  <c r="D1645" i="3"/>
  <c r="C1645" i="3"/>
  <c r="B1645" i="3"/>
  <c r="A1645" i="3"/>
  <c r="O1644" i="3"/>
  <c r="N1644" i="3"/>
  <c r="M1644" i="3"/>
  <c r="L1644" i="3"/>
  <c r="K1644" i="3"/>
  <c r="J1644" i="3"/>
  <c r="I1644" i="3"/>
  <c r="H1644" i="3"/>
  <c r="G1644" i="3"/>
  <c r="F1644" i="3"/>
  <c r="E1644" i="3"/>
  <c r="D1644" i="3"/>
  <c r="C1644" i="3"/>
  <c r="B1644" i="3"/>
  <c r="A1644" i="3"/>
  <c r="O1643" i="3"/>
  <c r="N1643" i="3"/>
  <c r="M1643" i="3"/>
  <c r="L1643" i="3"/>
  <c r="K1643" i="3"/>
  <c r="J1643" i="3"/>
  <c r="I1643" i="3"/>
  <c r="H1643" i="3"/>
  <c r="G1643" i="3"/>
  <c r="F1643" i="3"/>
  <c r="E1643" i="3"/>
  <c r="D1643" i="3"/>
  <c r="C1643" i="3"/>
  <c r="B1643" i="3"/>
  <c r="A1643" i="3"/>
  <c r="O1642" i="3"/>
  <c r="N1642" i="3"/>
  <c r="M1642" i="3"/>
  <c r="L1642" i="3"/>
  <c r="K1642" i="3"/>
  <c r="J1642" i="3"/>
  <c r="I1642" i="3"/>
  <c r="H1642" i="3"/>
  <c r="G1642" i="3"/>
  <c r="F1642" i="3"/>
  <c r="E1642" i="3"/>
  <c r="D1642" i="3"/>
  <c r="C1642" i="3"/>
  <c r="B1642" i="3"/>
  <c r="A1642" i="3"/>
  <c r="O1641" i="3"/>
  <c r="N1641" i="3"/>
  <c r="M1641" i="3"/>
  <c r="L1641" i="3"/>
  <c r="K1641" i="3"/>
  <c r="J1641" i="3"/>
  <c r="I1641" i="3"/>
  <c r="H1641" i="3"/>
  <c r="G1641" i="3"/>
  <c r="F1641" i="3"/>
  <c r="E1641" i="3"/>
  <c r="D1641" i="3"/>
  <c r="C1641" i="3"/>
  <c r="B1641" i="3"/>
  <c r="A1641" i="3"/>
  <c r="O1640" i="3"/>
  <c r="N1640" i="3"/>
  <c r="M1640" i="3"/>
  <c r="L1640" i="3"/>
  <c r="K1640" i="3"/>
  <c r="J1640" i="3"/>
  <c r="I1640" i="3"/>
  <c r="H1640" i="3"/>
  <c r="G1640" i="3"/>
  <c r="F1640" i="3"/>
  <c r="E1640" i="3"/>
  <c r="D1640" i="3"/>
  <c r="C1640" i="3"/>
  <c r="B1640" i="3"/>
  <c r="A1640" i="3"/>
  <c r="O1639" i="3"/>
  <c r="N1639" i="3"/>
  <c r="M1639" i="3"/>
  <c r="L1639" i="3"/>
  <c r="K1639" i="3"/>
  <c r="J1639" i="3"/>
  <c r="I1639" i="3"/>
  <c r="H1639" i="3"/>
  <c r="G1639" i="3"/>
  <c r="F1639" i="3"/>
  <c r="E1639" i="3"/>
  <c r="D1639" i="3"/>
  <c r="C1639" i="3"/>
  <c r="B1639" i="3"/>
  <c r="A1639" i="3"/>
  <c r="O1638" i="3"/>
  <c r="N1638" i="3"/>
  <c r="M1638" i="3"/>
  <c r="L1638" i="3"/>
  <c r="K1638" i="3"/>
  <c r="J1638" i="3"/>
  <c r="I1638" i="3"/>
  <c r="H1638" i="3"/>
  <c r="G1638" i="3"/>
  <c r="F1638" i="3"/>
  <c r="E1638" i="3"/>
  <c r="D1638" i="3"/>
  <c r="C1638" i="3"/>
  <c r="B1638" i="3"/>
  <c r="A1638" i="3"/>
  <c r="O1637" i="3"/>
  <c r="N1637" i="3"/>
  <c r="M1637" i="3"/>
  <c r="L1637" i="3"/>
  <c r="K1637" i="3"/>
  <c r="J1637" i="3"/>
  <c r="I1637" i="3"/>
  <c r="H1637" i="3"/>
  <c r="G1637" i="3"/>
  <c r="F1637" i="3"/>
  <c r="E1637" i="3"/>
  <c r="D1637" i="3"/>
  <c r="C1637" i="3"/>
  <c r="B1637" i="3"/>
  <c r="A1637" i="3"/>
  <c r="O1636" i="3"/>
  <c r="N1636" i="3"/>
  <c r="M1636" i="3"/>
  <c r="L1636" i="3"/>
  <c r="K1636" i="3"/>
  <c r="J1636" i="3"/>
  <c r="I1636" i="3"/>
  <c r="H1636" i="3"/>
  <c r="G1636" i="3"/>
  <c r="F1636" i="3"/>
  <c r="E1636" i="3"/>
  <c r="D1636" i="3"/>
  <c r="C1636" i="3"/>
  <c r="B1636" i="3"/>
  <c r="A1636" i="3"/>
  <c r="O1635" i="3"/>
  <c r="N1635" i="3"/>
  <c r="M1635" i="3"/>
  <c r="L1635" i="3"/>
  <c r="K1635" i="3"/>
  <c r="J1635" i="3"/>
  <c r="I1635" i="3"/>
  <c r="H1635" i="3"/>
  <c r="G1635" i="3"/>
  <c r="F1635" i="3"/>
  <c r="E1635" i="3"/>
  <c r="D1635" i="3"/>
  <c r="C1635" i="3"/>
  <c r="B1635" i="3"/>
  <c r="A1635" i="3"/>
  <c r="O1634" i="3"/>
  <c r="N1634" i="3"/>
  <c r="M1634" i="3"/>
  <c r="L1634" i="3"/>
  <c r="K1634" i="3"/>
  <c r="J1634" i="3"/>
  <c r="I1634" i="3"/>
  <c r="H1634" i="3"/>
  <c r="G1634" i="3"/>
  <c r="F1634" i="3"/>
  <c r="E1634" i="3"/>
  <c r="D1634" i="3"/>
  <c r="C1634" i="3"/>
  <c r="B1634" i="3"/>
  <c r="A1634" i="3"/>
  <c r="O1633" i="3"/>
  <c r="N1633" i="3"/>
  <c r="M1633" i="3"/>
  <c r="L1633" i="3"/>
  <c r="K1633" i="3"/>
  <c r="J1633" i="3"/>
  <c r="I1633" i="3"/>
  <c r="H1633" i="3"/>
  <c r="G1633" i="3"/>
  <c r="F1633" i="3"/>
  <c r="E1633" i="3"/>
  <c r="D1633" i="3"/>
  <c r="C1633" i="3"/>
  <c r="B1633" i="3"/>
  <c r="A1633" i="3"/>
  <c r="O1632" i="3"/>
  <c r="N1632" i="3"/>
  <c r="M1632" i="3"/>
  <c r="L1632" i="3"/>
  <c r="K1632" i="3"/>
  <c r="J1632" i="3"/>
  <c r="I1632" i="3"/>
  <c r="H1632" i="3"/>
  <c r="G1632" i="3"/>
  <c r="F1632" i="3"/>
  <c r="E1632" i="3"/>
  <c r="D1632" i="3"/>
  <c r="C1632" i="3"/>
  <c r="B1632" i="3"/>
  <c r="A1632" i="3"/>
  <c r="O1631" i="3"/>
  <c r="N1631" i="3"/>
  <c r="M1631" i="3"/>
  <c r="L1631" i="3"/>
  <c r="K1631" i="3"/>
  <c r="J1631" i="3"/>
  <c r="I1631" i="3"/>
  <c r="H1631" i="3"/>
  <c r="G1631" i="3"/>
  <c r="F1631" i="3"/>
  <c r="E1631" i="3"/>
  <c r="D1631" i="3"/>
  <c r="C1631" i="3"/>
  <c r="B1631" i="3"/>
  <c r="A1631" i="3"/>
  <c r="O1630" i="3"/>
  <c r="N1630" i="3"/>
  <c r="M1630" i="3"/>
  <c r="L1630" i="3"/>
  <c r="K1630" i="3"/>
  <c r="J1630" i="3"/>
  <c r="I1630" i="3"/>
  <c r="H1630" i="3"/>
  <c r="G1630" i="3"/>
  <c r="F1630" i="3"/>
  <c r="E1630" i="3"/>
  <c r="D1630" i="3"/>
  <c r="C1630" i="3"/>
  <c r="B1630" i="3"/>
  <c r="A1630" i="3"/>
  <c r="O1629" i="3"/>
  <c r="N1629" i="3"/>
  <c r="M1629" i="3"/>
  <c r="L1629" i="3"/>
  <c r="K1629" i="3"/>
  <c r="J1629" i="3"/>
  <c r="I1629" i="3"/>
  <c r="H1629" i="3"/>
  <c r="G1629" i="3"/>
  <c r="F1629" i="3"/>
  <c r="E1629" i="3"/>
  <c r="D1629" i="3"/>
  <c r="C1629" i="3"/>
  <c r="B1629" i="3"/>
  <c r="A1629" i="3"/>
  <c r="O1628" i="3"/>
  <c r="N1628" i="3"/>
  <c r="M1628" i="3"/>
  <c r="L1628" i="3"/>
  <c r="K1628" i="3"/>
  <c r="J1628" i="3"/>
  <c r="I1628" i="3"/>
  <c r="H1628" i="3"/>
  <c r="G1628" i="3"/>
  <c r="F1628" i="3"/>
  <c r="E1628" i="3"/>
  <c r="D1628" i="3"/>
  <c r="C1628" i="3"/>
  <c r="B1628" i="3"/>
  <c r="A1628" i="3"/>
  <c r="O1627" i="3"/>
  <c r="N1627" i="3"/>
  <c r="M1627" i="3"/>
  <c r="L1627" i="3"/>
  <c r="K1627" i="3"/>
  <c r="J1627" i="3"/>
  <c r="I1627" i="3"/>
  <c r="H1627" i="3"/>
  <c r="G1627" i="3"/>
  <c r="F1627" i="3"/>
  <c r="E1627" i="3"/>
  <c r="D1627" i="3"/>
  <c r="C1627" i="3"/>
  <c r="B1627" i="3"/>
  <c r="A1627" i="3"/>
  <c r="O1626" i="3"/>
  <c r="N1626" i="3"/>
  <c r="M1626" i="3"/>
  <c r="L1626" i="3"/>
  <c r="K1626" i="3"/>
  <c r="J1626" i="3"/>
  <c r="I1626" i="3"/>
  <c r="H1626" i="3"/>
  <c r="G1626" i="3"/>
  <c r="F1626" i="3"/>
  <c r="E1626" i="3"/>
  <c r="D1626" i="3"/>
  <c r="C1626" i="3"/>
  <c r="B1626" i="3"/>
  <c r="A1626" i="3"/>
  <c r="O1625" i="3"/>
  <c r="N1625" i="3"/>
  <c r="M1625" i="3"/>
  <c r="L1625" i="3"/>
  <c r="K1625" i="3"/>
  <c r="J1625" i="3"/>
  <c r="I1625" i="3"/>
  <c r="H1625" i="3"/>
  <c r="G1625" i="3"/>
  <c r="F1625" i="3"/>
  <c r="E1625" i="3"/>
  <c r="D1625" i="3"/>
  <c r="C1625" i="3"/>
  <c r="B1625" i="3"/>
  <c r="A1625" i="3"/>
  <c r="O1624" i="3"/>
  <c r="N1624" i="3"/>
  <c r="M1624" i="3"/>
  <c r="L1624" i="3"/>
  <c r="K1624" i="3"/>
  <c r="J1624" i="3"/>
  <c r="I1624" i="3"/>
  <c r="H1624" i="3"/>
  <c r="G1624" i="3"/>
  <c r="F1624" i="3"/>
  <c r="E1624" i="3"/>
  <c r="D1624" i="3"/>
  <c r="C1624" i="3"/>
  <c r="B1624" i="3"/>
  <c r="A1624" i="3"/>
  <c r="O1623" i="3"/>
  <c r="N1623" i="3"/>
  <c r="M1623" i="3"/>
  <c r="L1623" i="3"/>
  <c r="K1623" i="3"/>
  <c r="J1623" i="3"/>
  <c r="I1623" i="3"/>
  <c r="H1623" i="3"/>
  <c r="G1623" i="3"/>
  <c r="F1623" i="3"/>
  <c r="E1623" i="3"/>
  <c r="D1623" i="3"/>
  <c r="C1623" i="3"/>
  <c r="B1623" i="3"/>
  <c r="A1623" i="3"/>
  <c r="O1622" i="3"/>
  <c r="N1622" i="3"/>
  <c r="M1622" i="3"/>
  <c r="L1622" i="3"/>
  <c r="K1622" i="3"/>
  <c r="J1622" i="3"/>
  <c r="I1622" i="3"/>
  <c r="H1622" i="3"/>
  <c r="G1622" i="3"/>
  <c r="F1622" i="3"/>
  <c r="E1622" i="3"/>
  <c r="D1622" i="3"/>
  <c r="C1622" i="3"/>
  <c r="B1622" i="3"/>
  <c r="A1622" i="3"/>
  <c r="O1621" i="3"/>
  <c r="N1621" i="3"/>
  <c r="M1621" i="3"/>
  <c r="L1621" i="3"/>
  <c r="K1621" i="3"/>
  <c r="J1621" i="3"/>
  <c r="I1621" i="3"/>
  <c r="H1621" i="3"/>
  <c r="G1621" i="3"/>
  <c r="F1621" i="3"/>
  <c r="E1621" i="3"/>
  <c r="D1621" i="3"/>
  <c r="C1621" i="3"/>
  <c r="B1621" i="3"/>
  <c r="A1621" i="3"/>
  <c r="O1620" i="3"/>
  <c r="N1620" i="3"/>
  <c r="M1620" i="3"/>
  <c r="L1620" i="3"/>
  <c r="K1620" i="3"/>
  <c r="J1620" i="3"/>
  <c r="I1620" i="3"/>
  <c r="H1620" i="3"/>
  <c r="G1620" i="3"/>
  <c r="F1620" i="3"/>
  <c r="E1620" i="3"/>
  <c r="D1620" i="3"/>
  <c r="C1620" i="3"/>
  <c r="B1620" i="3"/>
  <c r="A1620" i="3"/>
  <c r="O1619" i="3"/>
  <c r="N1619" i="3"/>
  <c r="M1619" i="3"/>
  <c r="L1619" i="3"/>
  <c r="K1619" i="3"/>
  <c r="J1619" i="3"/>
  <c r="I1619" i="3"/>
  <c r="H1619" i="3"/>
  <c r="G1619" i="3"/>
  <c r="F1619" i="3"/>
  <c r="E1619" i="3"/>
  <c r="D1619" i="3"/>
  <c r="C1619" i="3"/>
  <c r="B1619" i="3"/>
  <c r="A1619" i="3"/>
  <c r="O1618" i="3"/>
  <c r="N1618" i="3"/>
  <c r="M1618" i="3"/>
  <c r="L1618" i="3"/>
  <c r="K1618" i="3"/>
  <c r="J1618" i="3"/>
  <c r="I1618" i="3"/>
  <c r="H1618" i="3"/>
  <c r="G1618" i="3"/>
  <c r="F1618" i="3"/>
  <c r="E1618" i="3"/>
  <c r="D1618" i="3"/>
  <c r="C1618" i="3"/>
  <c r="B1618" i="3"/>
  <c r="A1618" i="3"/>
  <c r="O1617" i="3"/>
  <c r="N1617" i="3"/>
  <c r="M1617" i="3"/>
  <c r="L1617" i="3"/>
  <c r="K1617" i="3"/>
  <c r="J1617" i="3"/>
  <c r="I1617" i="3"/>
  <c r="H1617" i="3"/>
  <c r="G1617" i="3"/>
  <c r="F1617" i="3"/>
  <c r="E1617" i="3"/>
  <c r="D1617" i="3"/>
  <c r="C1617" i="3"/>
  <c r="B1617" i="3"/>
  <c r="A1617" i="3"/>
  <c r="O1616" i="3"/>
  <c r="N1616" i="3"/>
  <c r="M1616" i="3"/>
  <c r="L1616" i="3"/>
  <c r="K1616" i="3"/>
  <c r="J1616" i="3"/>
  <c r="I1616" i="3"/>
  <c r="H1616" i="3"/>
  <c r="G1616" i="3"/>
  <c r="F1616" i="3"/>
  <c r="E1616" i="3"/>
  <c r="D1616" i="3"/>
  <c r="C1616" i="3"/>
  <c r="B1616" i="3"/>
  <c r="A1616" i="3"/>
  <c r="O1615" i="3"/>
  <c r="N1615" i="3"/>
  <c r="M1615" i="3"/>
  <c r="L1615" i="3"/>
  <c r="K1615" i="3"/>
  <c r="J1615" i="3"/>
  <c r="I1615" i="3"/>
  <c r="H1615" i="3"/>
  <c r="G1615" i="3"/>
  <c r="F1615" i="3"/>
  <c r="E1615" i="3"/>
  <c r="D1615" i="3"/>
  <c r="C1615" i="3"/>
  <c r="B1615" i="3"/>
  <c r="A1615" i="3"/>
  <c r="O1614" i="3"/>
  <c r="N1614" i="3"/>
  <c r="M1614" i="3"/>
  <c r="L1614" i="3"/>
  <c r="K1614" i="3"/>
  <c r="J1614" i="3"/>
  <c r="I1614" i="3"/>
  <c r="H1614" i="3"/>
  <c r="G1614" i="3"/>
  <c r="F1614" i="3"/>
  <c r="E1614" i="3"/>
  <c r="D1614" i="3"/>
  <c r="C1614" i="3"/>
  <c r="B1614" i="3"/>
  <c r="A1614" i="3"/>
  <c r="O1613" i="3"/>
  <c r="N1613" i="3"/>
  <c r="M1613" i="3"/>
  <c r="L1613" i="3"/>
  <c r="K1613" i="3"/>
  <c r="J1613" i="3"/>
  <c r="I1613" i="3"/>
  <c r="H1613" i="3"/>
  <c r="G1613" i="3"/>
  <c r="F1613" i="3"/>
  <c r="E1613" i="3"/>
  <c r="D1613" i="3"/>
  <c r="C1613" i="3"/>
  <c r="B1613" i="3"/>
  <c r="A1613" i="3"/>
  <c r="O1612" i="3"/>
  <c r="N1612" i="3"/>
  <c r="M1612" i="3"/>
  <c r="L1612" i="3"/>
  <c r="K1612" i="3"/>
  <c r="J1612" i="3"/>
  <c r="I1612" i="3"/>
  <c r="H1612" i="3"/>
  <c r="G1612" i="3"/>
  <c r="F1612" i="3"/>
  <c r="E1612" i="3"/>
  <c r="D1612" i="3"/>
  <c r="C1612" i="3"/>
  <c r="B1612" i="3"/>
  <c r="A1612" i="3"/>
  <c r="O1611" i="3"/>
  <c r="N1611" i="3"/>
  <c r="M1611" i="3"/>
  <c r="L1611" i="3"/>
  <c r="K1611" i="3"/>
  <c r="J1611" i="3"/>
  <c r="I1611" i="3"/>
  <c r="H1611" i="3"/>
  <c r="G1611" i="3"/>
  <c r="F1611" i="3"/>
  <c r="E1611" i="3"/>
  <c r="D1611" i="3"/>
  <c r="C1611" i="3"/>
  <c r="B1611" i="3"/>
  <c r="A1611" i="3"/>
  <c r="O1610" i="3"/>
  <c r="N1610" i="3"/>
  <c r="M1610" i="3"/>
  <c r="L1610" i="3"/>
  <c r="K1610" i="3"/>
  <c r="J1610" i="3"/>
  <c r="I1610" i="3"/>
  <c r="H1610" i="3"/>
  <c r="G1610" i="3"/>
  <c r="F1610" i="3"/>
  <c r="E1610" i="3"/>
  <c r="D1610" i="3"/>
  <c r="C1610" i="3"/>
  <c r="B1610" i="3"/>
  <c r="A1610" i="3"/>
  <c r="O1609" i="3"/>
  <c r="N1609" i="3"/>
  <c r="M1609" i="3"/>
  <c r="L1609" i="3"/>
  <c r="K1609" i="3"/>
  <c r="J1609" i="3"/>
  <c r="I1609" i="3"/>
  <c r="H1609" i="3"/>
  <c r="G1609" i="3"/>
  <c r="F1609" i="3"/>
  <c r="E1609" i="3"/>
  <c r="D1609" i="3"/>
  <c r="C1609" i="3"/>
  <c r="B1609" i="3"/>
  <c r="A1609" i="3"/>
  <c r="O1608" i="3"/>
  <c r="N1608" i="3"/>
  <c r="M1608" i="3"/>
  <c r="L1608" i="3"/>
  <c r="K1608" i="3"/>
  <c r="J1608" i="3"/>
  <c r="I1608" i="3"/>
  <c r="H1608" i="3"/>
  <c r="G1608" i="3"/>
  <c r="F1608" i="3"/>
  <c r="E1608" i="3"/>
  <c r="D1608" i="3"/>
  <c r="C1608" i="3"/>
  <c r="B1608" i="3"/>
  <c r="A1608" i="3"/>
  <c r="O1607" i="3"/>
  <c r="N1607" i="3"/>
  <c r="M1607" i="3"/>
  <c r="L1607" i="3"/>
  <c r="K1607" i="3"/>
  <c r="J1607" i="3"/>
  <c r="I1607" i="3"/>
  <c r="H1607" i="3"/>
  <c r="G1607" i="3"/>
  <c r="F1607" i="3"/>
  <c r="E1607" i="3"/>
  <c r="D1607" i="3"/>
  <c r="C1607" i="3"/>
  <c r="B1607" i="3"/>
  <c r="A1607" i="3"/>
  <c r="O1606" i="3"/>
  <c r="N1606" i="3"/>
  <c r="M1606" i="3"/>
  <c r="L1606" i="3"/>
  <c r="K1606" i="3"/>
  <c r="J1606" i="3"/>
  <c r="I1606" i="3"/>
  <c r="H1606" i="3"/>
  <c r="G1606" i="3"/>
  <c r="F1606" i="3"/>
  <c r="E1606" i="3"/>
  <c r="D1606" i="3"/>
  <c r="C1606" i="3"/>
  <c r="B1606" i="3"/>
  <c r="A1606" i="3"/>
  <c r="O1605" i="3"/>
  <c r="N1605" i="3"/>
  <c r="M1605" i="3"/>
  <c r="L1605" i="3"/>
  <c r="K1605" i="3"/>
  <c r="J1605" i="3"/>
  <c r="I1605" i="3"/>
  <c r="H1605" i="3"/>
  <c r="G1605" i="3"/>
  <c r="F1605" i="3"/>
  <c r="E1605" i="3"/>
  <c r="D1605" i="3"/>
  <c r="C1605" i="3"/>
  <c r="B1605" i="3"/>
  <c r="A1605" i="3"/>
  <c r="O1604" i="3"/>
  <c r="N1604" i="3"/>
  <c r="M1604" i="3"/>
  <c r="L1604" i="3"/>
  <c r="K1604" i="3"/>
  <c r="J1604" i="3"/>
  <c r="I1604" i="3"/>
  <c r="H1604" i="3"/>
  <c r="G1604" i="3"/>
  <c r="F1604" i="3"/>
  <c r="E1604" i="3"/>
  <c r="D1604" i="3"/>
  <c r="C1604" i="3"/>
  <c r="B1604" i="3"/>
  <c r="A1604" i="3"/>
  <c r="O1603" i="3"/>
  <c r="N1603" i="3"/>
  <c r="M1603" i="3"/>
  <c r="L1603" i="3"/>
  <c r="K1603" i="3"/>
  <c r="J1603" i="3"/>
  <c r="I1603" i="3"/>
  <c r="H1603" i="3"/>
  <c r="G1603" i="3"/>
  <c r="F1603" i="3"/>
  <c r="E1603" i="3"/>
  <c r="D1603" i="3"/>
  <c r="C1603" i="3"/>
  <c r="B1603" i="3"/>
  <c r="A1603" i="3"/>
  <c r="O1602" i="3"/>
  <c r="N1602" i="3"/>
  <c r="M1602" i="3"/>
  <c r="L1602" i="3"/>
  <c r="K1602" i="3"/>
  <c r="J1602" i="3"/>
  <c r="I1602" i="3"/>
  <c r="H1602" i="3"/>
  <c r="G1602" i="3"/>
  <c r="F1602" i="3"/>
  <c r="E1602" i="3"/>
  <c r="D1602" i="3"/>
  <c r="C1602" i="3"/>
  <c r="B1602" i="3"/>
  <c r="A1602" i="3"/>
  <c r="O1601" i="3"/>
  <c r="N1601" i="3"/>
  <c r="M1601" i="3"/>
  <c r="L1601" i="3"/>
  <c r="K1601" i="3"/>
  <c r="J1601" i="3"/>
  <c r="I1601" i="3"/>
  <c r="H1601" i="3"/>
  <c r="G1601" i="3"/>
  <c r="F1601" i="3"/>
  <c r="E1601" i="3"/>
  <c r="D1601" i="3"/>
  <c r="C1601" i="3"/>
  <c r="B1601" i="3"/>
  <c r="A1601" i="3"/>
  <c r="O1600" i="3"/>
  <c r="N1600" i="3"/>
  <c r="M1600" i="3"/>
  <c r="L1600" i="3"/>
  <c r="K1600" i="3"/>
  <c r="J1600" i="3"/>
  <c r="I1600" i="3"/>
  <c r="H1600" i="3"/>
  <c r="G1600" i="3"/>
  <c r="F1600" i="3"/>
  <c r="E1600" i="3"/>
  <c r="D1600" i="3"/>
  <c r="C1600" i="3"/>
  <c r="B1600" i="3"/>
  <c r="A1600" i="3"/>
  <c r="O1599" i="3"/>
  <c r="N1599" i="3"/>
  <c r="M1599" i="3"/>
  <c r="L1599" i="3"/>
  <c r="K1599" i="3"/>
  <c r="J1599" i="3"/>
  <c r="I1599" i="3"/>
  <c r="H1599" i="3"/>
  <c r="G1599" i="3"/>
  <c r="F1599" i="3"/>
  <c r="E1599" i="3"/>
  <c r="D1599" i="3"/>
  <c r="C1599" i="3"/>
  <c r="B1599" i="3"/>
  <c r="A1599" i="3"/>
  <c r="O1598" i="3"/>
  <c r="N1598" i="3"/>
  <c r="M1598" i="3"/>
  <c r="L1598" i="3"/>
  <c r="K1598" i="3"/>
  <c r="J1598" i="3"/>
  <c r="I1598" i="3"/>
  <c r="H1598" i="3"/>
  <c r="G1598" i="3"/>
  <c r="F1598" i="3"/>
  <c r="E1598" i="3"/>
  <c r="D1598" i="3"/>
  <c r="C1598" i="3"/>
  <c r="B1598" i="3"/>
  <c r="A1598" i="3"/>
  <c r="O1597" i="3"/>
  <c r="N1597" i="3"/>
  <c r="M1597" i="3"/>
  <c r="L1597" i="3"/>
  <c r="K1597" i="3"/>
  <c r="J1597" i="3"/>
  <c r="I1597" i="3"/>
  <c r="H1597" i="3"/>
  <c r="G1597" i="3"/>
  <c r="F1597" i="3"/>
  <c r="E1597" i="3"/>
  <c r="D1597" i="3"/>
  <c r="C1597" i="3"/>
  <c r="B1597" i="3"/>
  <c r="A1597" i="3"/>
  <c r="O1596" i="3"/>
  <c r="N1596" i="3"/>
  <c r="M1596" i="3"/>
  <c r="L1596" i="3"/>
  <c r="K1596" i="3"/>
  <c r="J1596" i="3"/>
  <c r="I1596" i="3"/>
  <c r="H1596" i="3"/>
  <c r="G1596" i="3"/>
  <c r="F1596" i="3"/>
  <c r="E1596" i="3"/>
  <c r="D1596" i="3"/>
  <c r="C1596" i="3"/>
  <c r="B1596" i="3"/>
  <c r="A1596" i="3"/>
  <c r="O1595" i="3"/>
  <c r="N1595" i="3"/>
  <c r="M1595" i="3"/>
  <c r="L1595" i="3"/>
  <c r="K1595" i="3"/>
  <c r="J1595" i="3"/>
  <c r="I1595" i="3"/>
  <c r="H1595" i="3"/>
  <c r="G1595" i="3"/>
  <c r="F1595" i="3"/>
  <c r="E1595" i="3"/>
  <c r="D1595" i="3"/>
  <c r="C1595" i="3"/>
  <c r="B1595" i="3"/>
  <c r="A1595" i="3"/>
  <c r="O1594" i="3"/>
  <c r="N1594" i="3"/>
  <c r="M1594" i="3"/>
  <c r="L1594" i="3"/>
  <c r="K1594" i="3"/>
  <c r="J1594" i="3"/>
  <c r="I1594" i="3"/>
  <c r="H1594" i="3"/>
  <c r="G1594" i="3"/>
  <c r="F1594" i="3"/>
  <c r="E1594" i="3"/>
  <c r="D1594" i="3"/>
  <c r="C1594" i="3"/>
  <c r="B1594" i="3"/>
  <c r="A1594" i="3"/>
  <c r="O1593" i="3"/>
  <c r="N1593" i="3"/>
  <c r="M1593" i="3"/>
  <c r="L1593" i="3"/>
  <c r="K1593" i="3"/>
  <c r="J1593" i="3"/>
  <c r="I1593" i="3"/>
  <c r="H1593" i="3"/>
  <c r="G1593" i="3"/>
  <c r="F1593" i="3"/>
  <c r="E1593" i="3"/>
  <c r="D1593" i="3"/>
  <c r="C1593" i="3"/>
  <c r="B1593" i="3"/>
  <c r="A1593" i="3"/>
  <c r="O1592" i="3"/>
  <c r="N1592" i="3"/>
  <c r="M1592" i="3"/>
  <c r="L1592" i="3"/>
  <c r="K1592" i="3"/>
  <c r="J1592" i="3"/>
  <c r="I1592" i="3"/>
  <c r="H1592" i="3"/>
  <c r="G1592" i="3"/>
  <c r="F1592" i="3"/>
  <c r="E1592" i="3"/>
  <c r="D1592" i="3"/>
  <c r="C1592" i="3"/>
  <c r="B1592" i="3"/>
  <c r="A1592" i="3"/>
  <c r="O1591" i="3"/>
  <c r="N1591" i="3"/>
  <c r="M1591" i="3"/>
  <c r="L1591" i="3"/>
  <c r="K1591" i="3"/>
  <c r="J1591" i="3"/>
  <c r="I1591" i="3"/>
  <c r="H1591" i="3"/>
  <c r="G1591" i="3"/>
  <c r="F1591" i="3"/>
  <c r="E1591" i="3"/>
  <c r="D1591" i="3"/>
  <c r="C1591" i="3"/>
  <c r="B1591" i="3"/>
  <c r="A1591" i="3"/>
  <c r="O1590" i="3"/>
  <c r="N1590" i="3"/>
  <c r="M1590" i="3"/>
  <c r="L1590" i="3"/>
  <c r="K1590" i="3"/>
  <c r="J1590" i="3"/>
  <c r="I1590" i="3"/>
  <c r="H1590" i="3"/>
  <c r="G1590" i="3"/>
  <c r="F1590" i="3"/>
  <c r="E1590" i="3"/>
  <c r="D1590" i="3"/>
  <c r="C1590" i="3"/>
  <c r="B1590" i="3"/>
  <c r="A1590" i="3"/>
  <c r="O1589" i="3"/>
  <c r="N1589" i="3"/>
  <c r="M1589" i="3"/>
  <c r="L1589" i="3"/>
  <c r="K1589" i="3"/>
  <c r="J1589" i="3"/>
  <c r="I1589" i="3"/>
  <c r="H1589" i="3"/>
  <c r="G1589" i="3"/>
  <c r="F1589" i="3"/>
  <c r="E1589" i="3"/>
  <c r="D1589" i="3"/>
  <c r="C1589" i="3"/>
  <c r="B1589" i="3"/>
  <c r="A1589" i="3"/>
  <c r="O1588" i="3"/>
  <c r="N1588" i="3"/>
  <c r="M1588" i="3"/>
  <c r="L1588" i="3"/>
  <c r="K1588" i="3"/>
  <c r="J1588" i="3"/>
  <c r="I1588" i="3"/>
  <c r="H1588" i="3"/>
  <c r="G1588" i="3"/>
  <c r="F1588" i="3"/>
  <c r="E1588" i="3"/>
  <c r="D1588" i="3"/>
  <c r="C1588" i="3"/>
  <c r="B1588" i="3"/>
  <c r="A1588" i="3"/>
  <c r="O1587" i="3"/>
  <c r="N1587" i="3"/>
  <c r="M1587" i="3"/>
  <c r="L1587" i="3"/>
  <c r="K1587" i="3"/>
  <c r="J1587" i="3"/>
  <c r="I1587" i="3"/>
  <c r="H1587" i="3"/>
  <c r="G1587" i="3"/>
  <c r="F1587" i="3"/>
  <c r="E1587" i="3"/>
  <c r="D1587" i="3"/>
  <c r="C1587" i="3"/>
  <c r="B1587" i="3"/>
  <c r="A1587" i="3"/>
  <c r="O1586" i="3"/>
  <c r="N1586" i="3"/>
  <c r="M1586" i="3"/>
  <c r="L1586" i="3"/>
  <c r="K1586" i="3"/>
  <c r="J1586" i="3"/>
  <c r="I1586" i="3"/>
  <c r="H1586" i="3"/>
  <c r="G1586" i="3"/>
  <c r="F1586" i="3"/>
  <c r="E1586" i="3"/>
  <c r="D1586" i="3"/>
  <c r="C1586" i="3"/>
  <c r="B1586" i="3"/>
  <c r="A1586" i="3"/>
  <c r="O1585" i="3"/>
  <c r="N1585" i="3"/>
  <c r="M1585" i="3"/>
  <c r="L1585" i="3"/>
  <c r="K1585" i="3"/>
  <c r="J1585" i="3"/>
  <c r="I1585" i="3"/>
  <c r="H1585" i="3"/>
  <c r="G1585" i="3"/>
  <c r="F1585" i="3"/>
  <c r="E1585" i="3"/>
  <c r="D1585" i="3"/>
  <c r="C1585" i="3"/>
  <c r="B1585" i="3"/>
  <c r="A1585" i="3"/>
  <c r="O1584" i="3"/>
  <c r="N1584" i="3"/>
  <c r="M1584" i="3"/>
  <c r="L1584" i="3"/>
  <c r="K1584" i="3"/>
  <c r="J1584" i="3"/>
  <c r="I1584" i="3"/>
  <c r="H1584" i="3"/>
  <c r="G1584" i="3"/>
  <c r="F1584" i="3"/>
  <c r="E1584" i="3"/>
  <c r="D1584" i="3"/>
  <c r="C1584" i="3"/>
  <c r="B1584" i="3"/>
  <c r="A1584" i="3"/>
  <c r="O1583" i="3"/>
  <c r="N1583" i="3"/>
  <c r="M1583" i="3"/>
  <c r="L1583" i="3"/>
  <c r="K1583" i="3"/>
  <c r="J1583" i="3"/>
  <c r="I1583" i="3"/>
  <c r="H1583" i="3"/>
  <c r="G1583" i="3"/>
  <c r="F1583" i="3"/>
  <c r="E1583" i="3"/>
  <c r="D1583" i="3"/>
  <c r="C1583" i="3"/>
  <c r="B1583" i="3"/>
  <c r="A1583" i="3"/>
  <c r="O1582" i="3"/>
  <c r="N1582" i="3"/>
  <c r="M1582" i="3"/>
  <c r="L1582" i="3"/>
  <c r="K1582" i="3"/>
  <c r="J1582" i="3"/>
  <c r="I1582" i="3"/>
  <c r="H1582" i="3"/>
  <c r="G1582" i="3"/>
  <c r="F1582" i="3"/>
  <c r="E1582" i="3"/>
  <c r="D1582" i="3"/>
  <c r="C1582" i="3"/>
  <c r="B1582" i="3"/>
  <c r="A1582" i="3"/>
  <c r="O1581" i="3"/>
  <c r="N1581" i="3"/>
  <c r="M1581" i="3"/>
  <c r="L1581" i="3"/>
  <c r="K1581" i="3"/>
  <c r="J1581" i="3"/>
  <c r="I1581" i="3"/>
  <c r="H1581" i="3"/>
  <c r="G1581" i="3"/>
  <c r="F1581" i="3"/>
  <c r="E1581" i="3"/>
  <c r="D1581" i="3"/>
  <c r="C1581" i="3"/>
  <c r="B1581" i="3"/>
  <c r="A1581" i="3"/>
  <c r="O1580" i="3"/>
  <c r="N1580" i="3"/>
  <c r="M1580" i="3"/>
  <c r="L1580" i="3"/>
  <c r="K1580" i="3"/>
  <c r="J1580" i="3"/>
  <c r="I1580" i="3"/>
  <c r="H1580" i="3"/>
  <c r="G1580" i="3"/>
  <c r="F1580" i="3"/>
  <c r="E1580" i="3"/>
  <c r="D1580" i="3"/>
  <c r="C1580" i="3"/>
  <c r="B1580" i="3"/>
  <c r="A1580" i="3"/>
  <c r="O1579" i="3"/>
  <c r="N1579" i="3"/>
  <c r="M1579" i="3"/>
  <c r="L1579" i="3"/>
  <c r="K1579" i="3"/>
  <c r="J1579" i="3"/>
  <c r="I1579" i="3"/>
  <c r="H1579" i="3"/>
  <c r="G1579" i="3"/>
  <c r="F1579" i="3"/>
  <c r="E1579" i="3"/>
  <c r="D1579" i="3"/>
  <c r="C1579" i="3"/>
  <c r="B1579" i="3"/>
  <c r="A1579" i="3"/>
  <c r="O1578" i="3"/>
  <c r="N1578" i="3"/>
  <c r="M1578" i="3"/>
  <c r="L1578" i="3"/>
  <c r="K1578" i="3"/>
  <c r="J1578" i="3"/>
  <c r="I1578" i="3"/>
  <c r="H1578" i="3"/>
  <c r="G1578" i="3"/>
  <c r="F1578" i="3"/>
  <c r="E1578" i="3"/>
  <c r="D1578" i="3"/>
  <c r="C1578" i="3"/>
  <c r="B1578" i="3"/>
  <c r="A1578" i="3"/>
  <c r="O1577" i="3"/>
  <c r="N1577" i="3"/>
  <c r="M1577" i="3"/>
  <c r="L1577" i="3"/>
  <c r="K1577" i="3"/>
  <c r="J1577" i="3"/>
  <c r="I1577" i="3"/>
  <c r="H1577" i="3"/>
  <c r="G1577" i="3"/>
  <c r="F1577" i="3"/>
  <c r="E1577" i="3"/>
  <c r="D1577" i="3"/>
  <c r="C1577" i="3"/>
  <c r="B1577" i="3"/>
  <c r="A1577" i="3"/>
  <c r="O1576" i="3"/>
  <c r="N1576" i="3"/>
  <c r="M1576" i="3"/>
  <c r="L1576" i="3"/>
  <c r="K1576" i="3"/>
  <c r="J1576" i="3"/>
  <c r="I1576" i="3"/>
  <c r="H1576" i="3"/>
  <c r="G1576" i="3"/>
  <c r="F1576" i="3"/>
  <c r="E1576" i="3"/>
  <c r="D1576" i="3"/>
  <c r="C1576" i="3"/>
  <c r="B1576" i="3"/>
  <c r="A1576" i="3"/>
  <c r="O1575" i="3"/>
  <c r="N1575" i="3"/>
  <c r="M1575" i="3"/>
  <c r="L1575" i="3"/>
  <c r="K1575" i="3"/>
  <c r="J1575" i="3"/>
  <c r="I1575" i="3"/>
  <c r="H1575" i="3"/>
  <c r="G1575" i="3"/>
  <c r="F1575" i="3"/>
  <c r="E1575" i="3"/>
  <c r="D1575" i="3"/>
  <c r="C1575" i="3"/>
  <c r="B1575" i="3"/>
  <c r="A1575" i="3"/>
  <c r="O1574" i="3"/>
  <c r="N1574" i="3"/>
  <c r="M1574" i="3"/>
  <c r="L1574" i="3"/>
  <c r="K1574" i="3"/>
  <c r="J1574" i="3"/>
  <c r="I1574" i="3"/>
  <c r="H1574" i="3"/>
  <c r="G1574" i="3"/>
  <c r="F1574" i="3"/>
  <c r="E1574" i="3"/>
  <c r="D1574" i="3"/>
  <c r="C1574" i="3"/>
  <c r="B1574" i="3"/>
  <c r="A1574" i="3"/>
  <c r="O1573" i="3"/>
  <c r="N1573" i="3"/>
  <c r="M1573" i="3"/>
  <c r="L1573" i="3"/>
  <c r="K1573" i="3"/>
  <c r="J1573" i="3"/>
  <c r="I1573" i="3"/>
  <c r="H1573" i="3"/>
  <c r="G1573" i="3"/>
  <c r="F1573" i="3"/>
  <c r="E1573" i="3"/>
  <c r="D1573" i="3"/>
  <c r="C1573" i="3"/>
  <c r="B1573" i="3"/>
  <c r="A1573" i="3"/>
  <c r="O1572" i="3"/>
  <c r="N1572" i="3"/>
  <c r="M1572" i="3"/>
  <c r="L1572" i="3"/>
  <c r="K1572" i="3"/>
  <c r="J1572" i="3"/>
  <c r="I1572" i="3"/>
  <c r="H1572" i="3"/>
  <c r="G1572" i="3"/>
  <c r="F1572" i="3"/>
  <c r="E1572" i="3"/>
  <c r="D1572" i="3"/>
  <c r="C1572" i="3"/>
  <c r="B1572" i="3"/>
  <c r="A1572" i="3"/>
  <c r="O1571" i="3"/>
  <c r="N1571" i="3"/>
  <c r="M1571" i="3"/>
  <c r="L1571" i="3"/>
  <c r="K1571" i="3"/>
  <c r="J1571" i="3"/>
  <c r="I1571" i="3"/>
  <c r="H1571" i="3"/>
  <c r="G1571" i="3"/>
  <c r="F1571" i="3"/>
  <c r="E1571" i="3"/>
  <c r="D1571" i="3"/>
  <c r="C1571" i="3"/>
  <c r="B1571" i="3"/>
  <c r="A1571" i="3"/>
  <c r="O1570" i="3"/>
  <c r="N1570" i="3"/>
  <c r="M1570" i="3"/>
  <c r="L1570" i="3"/>
  <c r="K1570" i="3"/>
  <c r="J1570" i="3"/>
  <c r="I1570" i="3"/>
  <c r="H1570" i="3"/>
  <c r="G1570" i="3"/>
  <c r="F1570" i="3"/>
  <c r="E1570" i="3"/>
  <c r="D1570" i="3"/>
  <c r="C1570" i="3"/>
  <c r="B1570" i="3"/>
  <c r="A1570" i="3"/>
  <c r="O1569" i="3"/>
  <c r="N1569" i="3"/>
  <c r="M1569" i="3"/>
  <c r="L1569" i="3"/>
  <c r="K1569" i="3"/>
  <c r="J1569" i="3"/>
  <c r="I1569" i="3"/>
  <c r="H1569" i="3"/>
  <c r="G1569" i="3"/>
  <c r="F1569" i="3"/>
  <c r="E1569" i="3"/>
  <c r="D1569" i="3"/>
  <c r="C1569" i="3"/>
  <c r="B1569" i="3"/>
  <c r="A1569" i="3"/>
  <c r="O1568" i="3"/>
  <c r="N1568" i="3"/>
  <c r="M1568" i="3"/>
  <c r="L1568" i="3"/>
  <c r="K1568" i="3"/>
  <c r="J1568" i="3"/>
  <c r="I1568" i="3"/>
  <c r="H1568" i="3"/>
  <c r="G1568" i="3"/>
  <c r="F1568" i="3"/>
  <c r="E1568" i="3"/>
  <c r="D1568" i="3"/>
  <c r="C1568" i="3"/>
  <c r="B1568" i="3"/>
  <c r="A1568" i="3"/>
  <c r="O1567" i="3"/>
  <c r="N1567" i="3"/>
  <c r="M1567" i="3"/>
  <c r="L1567" i="3"/>
  <c r="K1567" i="3"/>
  <c r="J1567" i="3"/>
  <c r="I1567" i="3"/>
  <c r="H1567" i="3"/>
  <c r="G1567" i="3"/>
  <c r="F1567" i="3"/>
  <c r="E1567" i="3"/>
  <c r="D1567" i="3"/>
  <c r="C1567" i="3"/>
  <c r="B1567" i="3"/>
  <c r="A1567" i="3"/>
  <c r="O1566" i="3"/>
  <c r="N1566" i="3"/>
  <c r="M1566" i="3"/>
  <c r="L1566" i="3"/>
  <c r="K1566" i="3"/>
  <c r="J1566" i="3"/>
  <c r="I1566" i="3"/>
  <c r="H1566" i="3"/>
  <c r="G1566" i="3"/>
  <c r="F1566" i="3"/>
  <c r="E1566" i="3"/>
  <c r="D1566" i="3"/>
  <c r="C1566" i="3"/>
  <c r="B1566" i="3"/>
  <c r="A1566" i="3"/>
  <c r="O1565" i="3"/>
  <c r="N1565" i="3"/>
  <c r="M1565" i="3"/>
  <c r="L1565" i="3"/>
  <c r="K1565" i="3"/>
  <c r="J1565" i="3"/>
  <c r="I1565" i="3"/>
  <c r="H1565" i="3"/>
  <c r="G1565" i="3"/>
  <c r="F1565" i="3"/>
  <c r="E1565" i="3"/>
  <c r="D1565" i="3"/>
  <c r="C1565" i="3"/>
  <c r="B1565" i="3"/>
  <c r="A1565" i="3"/>
  <c r="O1564" i="3"/>
  <c r="N1564" i="3"/>
  <c r="M1564" i="3"/>
  <c r="L1564" i="3"/>
  <c r="K1564" i="3"/>
  <c r="J1564" i="3"/>
  <c r="I1564" i="3"/>
  <c r="H1564" i="3"/>
  <c r="G1564" i="3"/>
  <c r="F1564" i="3"/>
  <c r="E1564" i="3"/>
  <c r="D1564" i="3"/>
  <c r="C1564" i="3"/>
  <c r="B1564" i="3"/>
  <c r="A1564" i="3"/>
  <c r="O1563" i="3"/>
  <c r="N1563" i="3"/>
  <c r="M1563" i="3"/>
  <c r="L1563" i="3"/>
  <c r="K1563" i="3"/>
  <c r="J1563" i="3"/>
  <c r="I1563" i="3"/>
  <c r="H1563" i="3"/>
  <c r="G1563" i="3"/>
  <c r="F1563" i="3"/>
  <c r="E1563" i="3"/>
  <c r="D1563" i="3"/>
  <c r="C1563" i="3"/>
  <c r="B1563" i="3"/>
  <c r="A1563" i="3"/>
  <c r="O1562" i="3"/>
  <c r="N1562" i="3"/>
  <c r="M1562" i="3"/>
  <c r="L1562" i="3"/>
  <c r="K1562" i="3"/>
  <c r="J1562" i="3"/>
  <c r="I1562" i="3"/>
  <c r="H1562" i="3"/>
  <c r="G1562" i="3"/>
  <c r="F1562" i="3"/>
  <c r="E1562" i="3"/>
  <c r="D1562" i="3"/>
  <c r="C1562" i="3"/>
  <c r="B1562" i="3"/>
  <c r="A1562" i="3"/>
  <c r="O1561" i="3"/>
  <c r="N1561" i="3"/>
  <c r="M1561" i="3"/>
  <c r="L1561" i="3"/>
  <c r="K1561" i="3"/>
  <c r="J1561" i="3"/>
  <c r="I1561" i="3"/>
  <c r="H1561" i="3"/>
  <c r="G1561" i="3"/>
  <c r="F1561" i="3"/>
  <c r="E1561" i="3"/>
  <c r="D1561" i="3"/>
  <c r="C1561" i="3"/>
  <c r="B1561" i="3"/>
  <c r="A1561" i="3"/>
  <c r="O1560" i="3"/>
  <c r="N1560" i="3"/>
  <c r="M1560" i="3"/>
  <c r="L1560" i="3"/>
  <c r="K1560" i="3"/>
  <c r="J1560" i="3"/>
  <c r="I1560" i="3"/>
  <c r="H1560" i="3"/>
  <c r="G1560" i="3"/>
  <c r="F1560" i="3"/>
  <c r="E1560" i="3"/>
  <c r="D1560" i="3"/>
  <c r="C1560" i="3"/>
  <c r="B1560" i="3"/>
  <c r="A1560" i="3"/>
  <c r="O1559" i="3"/>
  <c r="N1559" i="3"/>
  <c r="M1559" i="3"/>
  <c r="L1559" i="3"/>
  <c r="K1559" i="3"/>
  <c r="J1559" i="3"/>
  <c r="I1559" i="3"/>
  <c r="H1559" i="3"/>
  <c r="G1559" i="3"/>
  <c r="F1559" i="3"/>
  <c r="E1559" i="3"/>
  <c r="D1559" i="3"/>
  <c r="C1559" i="3"/>
  <c r="B1559" i="3"/>
  <c r="A1559" i="3"/>
  <c r="O1558" i="3"/>
  <c r="N1558" i="3"/>
  <c r="M1558" i="3"/>
  <c r="L1558" i="3"/>
  <c r="K1558" i="3"/>
  <c r="J1558" i="3"/>
  <c r="I1558" i="3"/>
  <c r="H1558" i="3"/>
  <c r="G1558" i="3"/>
  <c r="F1558" i="3"/>
  <c r="E1558" i="3"/>
  <c r="D1558" i="3"/>
  <c r="C1558" i="3"/>
  <c r="B1558" i="3"/>
  <c r="A1558" i="3"/>
  <c r="O1557" i="3"/>
  <c r="N1557" i="3"/>
  <c r="M1557" i="3"/>
  <c r="L1557" i="3"/>
  <c r="K1557" i="3"/>
  <c r="J1557" i="3"/>
  <c r="I1557" i="3"/>
  <c r="H1557" i="3"/>
  <c r="G1557" i="3"/>
  <c r="F1557" i="3"/>
  <c r="E1557" i="3"/>
  <c r="D1557" i="3"/>
  <c r="C1557" i="3"/>
  <c r="B1557" i="3"/>
  <c r="A1557" i="3"/>
  <c r="O1556" i="3"/>
  <c r="N1556" i="3"/>
  <c r="M1556" i="3"/>
  <c r="L1556" i="3"/>
  <c r="K1556" i="3"/>
  <c r="J1556" i="3"/>
  <c r="I1556" i="3"/>
  <c r="H1556" i="3"/>
  <c r="G1556" i="3"/>
  <c r="F1556" i="3"/>
  <c r="E1556" i="3"/>
  <c r="D1556" i="3"/>
  <c r="C1556" i="3"/>
  <c r="B1556" i="3"/>
  <c r="A1556" i="3"/>
  <c r="O1555" i="3"/>
  <c r="N1555" i="3"/>
  <c r="M1555" i="3"/>
  <c r="L1555" i="3"/>
  <c r="K1555" i="3"/>
  <c r="J1555" i="3"/>
  <c r="I1555" i="3"/>
  <c r="H1555" i="3"/>
  <c r="G1555" i="3"/>
  <c r="F1555" i="3"/>
  <c r="E1555" i="3"/>
  <c r="D1555" i="3"/>
  <c r="C1555" i="3"/>
  <c r="B1555" i="3"/>
  <c r="A1555" i="3"/>
  <c r="O1554" i="3"/>
  <c r="N1554" i="3"/>
  <c r="M1554" i="3"/>
  <c r="L1554" i="3"/>
  <c r="K1554" i="3"/>
  <c r="J1554" i="3"/>
  <c r="I1554" i="3"/>
  <c r="H1554" i="3"/>
  <c r="G1554" i="3"/>
  <c r="F1554" i="3"/>
  <c r="E1554" i="3"/>
  <c r="D1554" i="3"/>
  <c r="C1554" i="3"/>
  <c r="B1554" i="3"/>
  <c r="A1554" i="3"/>
  <c r="O1553" i="3"/>
  <c r="N1553" i="3"/>
  <c r="M1553" i="3"/>
  <c r="L1553" i="3"/>
  <c r="K1553" i="3"/>
  <c r="J1553" i="3"/>
  <c r="I1553" i="3"/>
  <c r="H1553" i="3"/>
  <c r="G1553" i="3"/>
  <c r="F1553" i="3"/>
  <c r="E1553" i="3"/>
  <c r="D1553" i="3"/>
  <c r="C1553" i="3"/>
  <c r="B1553" i="3"/>
  <c r="A1553" i="3"/>
  <c r="O1552" i="3"/>
  <c r="N1552" i="3"/>
  <c r="M1552" i="3"/>
  <c r="L1552" i="3"/>
  <c r="K1552" i="3"/>
  <c r="J1552" i="3"/>
  <c r="I1552" i="3"/>
  <c r="H1552" i="3"/>
  <c r="G1552" i="3"/>
  <c r="F1552" i="3"/>
  <c r="E1552" i="3"/>
  <c r="D1552" i="3"/>
  <c r="C1552" i="3"/>
  <c r="B1552" i="3"/>
  <c r="A1552" i="3"/>
  <c r="O1551" i="3"/>
  <c r="N1551" i="3"/>
  <c r="M1551" i="3"/>
  <c r="L1551" i="3"/>
  <c r="K1551" i="3"/>
  <c r="J1551" i="3"/>
  <c r="I1551" i="3"/>
  <c r="H1551" i="3"/>
  <c r="G1551" i="3"/>
  <c r="F1551" i="3"/>
  <c r="E1551" i="3"/>
  <c r="D1551" i="3"/>
  <c r="C1551" i="3"/>
  <c r="B1551" i="3"/>
  <c r="A1551" i="3"/>
  <c r="O1550" i="3"/>
  <c r="N1550" i="3"/>
  <c r="M1550" i="3"/>
  <c r="L1550" i="3"/>
  <c r="K1550" i="3"/>
  <c r="J1550" i="3"/>
  <c r="I1550" i="3"/>
  <c r="H1550" i="3"/>
  <c r="G1550" i="3"/>
  <c r="F1550" i="3"/>
  <c r="E1550" i="3"/>
  <c r="D1550" i="3"/>
  <c r="C1550" i="3"/>
  <c r="B1550" i="3"/>
  <c r="A1550" i="3"/>
  <c r="O1549" i="3"/>
  <c r="N1549" i="3"/>
  <c r="M1549" i="3"/>
  <c r="L1549" i="3"/>
  <c r="K1549" i="3"/>
  <c r="J1549" i="3"/>
  <c r="I1549" i="3"/>
  <c r="H1549" i="3"/>
  <c r="G1549" i="3"/>
  <c r="F1549" i="3"/>
  <c r="E1549" i="3"/>
  <c r="D1549" i="3"/>
  <c r="C1549" i="3"/>
  <c r="B1549" i="3"/>
  <c r="A1549" i="3"/>
  <c r="O1548" i="3"/>
  <c r="N1548" i="3"/>
  <c r="M1548" i="3"/>
  <c r="L1548" i="3"/>
  <c r="K1548" i="3"/>
  <c r="J1548" i="3"/>
  <c r="I1548" i="3"/>
  <c r="H1548" i="3"/>
  <c r="G1548" i="3"/>
  <c r="F1548" i="3"/>
  <c r="E1548" i="3"/>
  <c r="D1548" i="3"/>
  <c r="C1548" i="3"/>
  <c r="B1548" i="3"/>
  <c r="A1548" i="3"/>
  <c r="O1547" i="3"/>
  <c r="N1547" i="3"/>
  <c r="M1547" i="3"/>
  <c r="L1547" i="3"/>
  <c r="K1547" i="3"/>
  <c r="J1547" i="3"/>
  <c r="I1547" i="3"/>
  <c r="H1547" i="3"/>
  <c r="G1547" i="3"/>
  <c r="F1547" i="3"/>
  <c r="E1547" i="3"/>
  <c r="D1547" i="3"/>
  <c r="C1547" i="3"/>
  <c r="B1547" i="3"/>
  <c r="A1547" i="3"/>
  <c r="O1546" i="3"/>
  <c r="N1546" i="3"/>
  <c r="M1546" i="3"/>
  <c r="L1546" i="3"/>
  <c r="K1546" i="3"/>
  <c r="J1546" i="3"/>
  <c r="I1546" i="3"/>
  <c r="H1546" i="3"/>
  <c r="G1546" i="3"/>
  <c r="F1546" i="3"/>
  <c r="E1546" i="3"/>
  <c r="D1546" i="3"/>
  <c r="C1546" i="3"/>
  <c r="B1546" i="3"/>
  <c r="A1546" i="3"/>
  <c r="O1545" i="3"/>
  <c r="N1545" i="3"/>
  <c r="M1545" i="3"/>
  <c r="L1545" i="3"/>
  <c r="K1545" i="3"/>
  <c r="J1545" i="3"/>
  <c r="I1545" i="3"/>
  <c r="H1545" i="3"/>
  <c r="G1545" i="3"/>
  <c r="F1545" i="3"/>
  <c r="E1545" i="3"/>
  <c r="D1545" i="3"/>
  <c r="C1545" i="3"/>
  <c r="B1545" i="3"/>
  <c r="A1545" i="3"/>
  <c r="O1544" i="3"/>
  <c r="N1544" i="3"/>
  <c r="M1544" i="3"/>
  <c r="L1544" i="3"/>
  <c r="K1544" i="3"/>
  <c r="J1544" i="3"/>
  <c r="I1544" i="3"/>
  <c r="H1544" i="3"/>
  <c r="G1544" i="3"/>
  <c r="F1544" i="3"/>
  <c r="E1544" i="3"/>
  <c r="D1544" i="3"/>
  <c r="C1544" i="3"/>
  <c r="B1544" i="3"/>
  <c r="A1544" i="3"/>
  <c r="O1543" i="3"/>
  <c r="N1543" i="3"/>
  <c r="M1543" i="3"/>
  <c r="L1543" i="3"/>
  <c r="K1543" i="3"/>
  <c r="J1543" i="3"/>
  <c r="I1543" i="3"/>
  <c r="H1543" i="3"/>
  <c r="G1543" i="3"/>
  <c r="F1543" i="3"/>
  <c r="E1543" i="3"/>
  <c r="D1543" i="3"/>
  <c r="C1543" i="3"/>
  <c r="B1543" i="3"/>
  <c r="A1543" i="3"/>
  <c r="O1542" i="3"/>
  <c r="N1542" i="3"/>
  <c r="M1542" i="3"/>
  <c r="L1542" i="3"/>
  <c r="K1542" i="3"/>
  <c r="J1542" i="3"/>
  <c r="I1542" i="3"/>
  <c r="H1542" i="3"/>
  <c r="G1542" i="3"/>
  <c r="F1542" i="3"/>
  <c r="E1542" i="3"/>
  <c r="D1542" i="3"/>
  <c r="C1542" i="3"/>
  <c r="B1542" i="3"/>
  <c r="A1542" i="3"/>
  <c r="O1541" i="3"/>
  <c r="N1541" i="3"/>
  <c r="M1541" i="3"/>
  <c r="L1541" i="3"/>
  <c r="K1541" i="3"/>
  <c r="J1541" i="3"/>
  <c r="I1541" i="3"/>
  <c r="H1541" i="3"/>
  <c r="G1541" i="3"/>
  <c r="F1541" i="3"/>
  <c r="E1541" i="3"/>
  <c r="D1541" i="3"/>
  <c r="C1541" i="3"/>
  <c r="B1541" i="3"/>
  <c r="A1541" i="3"/>
  <c r="O1540" i="3"/>
  <c r="N1540" i="3"/>
  <c r="M1540" i="3"/>
  <c r="L1540" i="3"/>
  <c r="K1540" i="3"/>
  <c r="J1540" i="3"/>
  <c r="I1540" i="3"/>
  <c r="H1540" i="3"/>
  <c r="G1540" i="3"/>
  <c r="F1540" i="3"/>
  <c r="E1540" i="3"/>
  <c r="D1540" i="3"/>
  <c r="C1540" i="3"/>
  <c r="B1540" i="3"/>
  <c r="A1540" i="3"/>
  <c r="O1539" i="3"/>
  <c r="N1539" i="3"/>
  <c r="M1539" i="3"/>
  <c r="L1539" i="3"/>
  <c r="K1539" i="3"/>
  <c r="J1539" i="3"/>
  <c r="I1539" i="3"/>
  <c r="H1539" i="3"/>
  <c r="G1539" i="3"/>
  <c r="F1539" i="3"/>
  <c r="E1539" i="3"/>
  <c r="D1539" i="3"/>
  <c r="C1539" i="3"/>
  <c r="B1539" i="3"/>
  <c r="A1539" i="3"/>
  <c r="O1538" i="3"/>
  <c r="N1538" i="3"/>
  <c r="M1538" i="3"/>
  <c r="L1538" i="3"/>
  <c r="K1538" i="3"/>
  <c r="J1538" i="3"/>
  <c r="I1538" i="3"/>
  <c r="H1538" i="3"/>
  <c r="G1538" i="3"/>
  <c r="F1538" i="3"/>
  <c r="E1538" i="3"/>
  <c r="D1538" i="3"/>
  <c r="C1538" i="3"/>
  <c r="B1538" i="3"/>
  <c r="A1538" i="3"/>
  <c r="O1537" i="3"/>
  <c r="N1537" i="3"/>
  <c r="M1537" i="3"/>
  <c r="L1537" i="3"/>
  <c r="K1537" i="3"/>
  <c r="J1537" i="3"/>
  <c r="I1537" i="3"/>
  <c r="H1537" i="3"/>
  <c r="G1537" i="3"/>
  <c r="F1537" i="3"/>
  <c r="E1537" i="3"/>
  <c r="D1537" i="3"/>
  <c r="C1537" i="3"/>
  <c r="B1537" i="3"/>
  <c r="A1537" i="3"/>
  <c r="O1536" i="3"/>
  <c r="N1536" i="3"/>
  <c r="M1536" i="3"/>
  <c r="L1536" i="3"/>
  <c r="K1536" i="3"/>
  <c r="J1536" i="3"/>
  <c r="I1536" i="3"/>
  <c r="H1536" i="3"/>
  <c r="G1536" i="3"/>
  <c r="F1536" i="3"/>
  <c r="E1536" i="3"/>
  <c r="D1536" i="3"/>
  <c r="C1536" i="3"/>
  <c r="B1536" i="3"/>
  <c r="A1536" i="3"/>
  <c r="O1535" i="3"/>
  <c r="N1535" i="3"/>
  <c r="M1535" i="3"/>
  <c r="L1535" i="3"/>
  <c r="K1535" i="3"/>
  <c r="J1535" i="3"/>
  <c r="I1535" i="3"/>
  <c r="H1535" i="3"/>
  <c r="G1535" i="3"/>
  <c r="F1535" i="3"/>
  <c r="E1535" i="3"/>
  <c r="D1535" i="3"/>
  <c r="C1535" i="3"/>
  <c r="B1535" i="3"/>
  <c r="A1535" i="3"/>
  <c r="O1534" i="3"/>
  <c r="N1534" i="3"/>
  <c r="M1534" i="3"/>
  <c r="L1534" i="3"/>
  <c r="K1534" i="3"/>
  <c r="J1534" i="3"/>
  <c r="I1534" i="3"/>
  <c r="H1534" i="3"/>
  <c r="G1534" i="3"/>
  <c r="F1534" i="3"/>
  <c r="E1534" i="3"/>
  <c r="D1534" i="3"/>
  <c r="C1534" i="3"/>
  <c r="B1534" i="3"/>
  <c r="A1534" i="3"/>
  <c r="O1533" i="3"/>
  <c r="N1533" i="3"/>
  <c r="M1533" i="3"/>
  <c r="L1533" i="3"/>
  <c r="K1533" i="3"/>
  <c r="J1533" i="3"/>
  <c r="I1533" i="3"/>
  <c r="H1533" i="3"/>
  <c r="G1533" i="3"/>
  <c r="F1533" i="3"/>
  <c r="E1533" i="3"/>
  <c r="D1533" i="3"/>
  <c r="C1533" i="3"/>
  <c r="B1533" i="3"/>
  <c r="A1533" i="3"/>
  <c r="O1532" i="3"/>
  <c r="N1532" i="3"/>
  <c r="M1532" i="3"/>
  <c r="L1532" i="3"/>
  <c r="K1532" i="3"/>
  <c r="J1532" i="3"/>
  <c r="I1532" i="3"/>
  <c r="H1532" i="3"/>
  <c r="G1532" i="3"/>
  <c r="F1532" i="3"/>
  <c r="E1532" i="3"/>
  <c r="D1532" i="3"/>
  <c r="C1532" i="3"/>
  <c r="B1532" i="3"/>
  <c r="A1532" i="3"/>
  <c r="O1531" i="3"/>
  <c r="N1531" i="3"/>
  <c r="M1531" i="3"/>
  <c r="L1531" i="3"/>
  <c r="K1531" i="3"/>
  <c r="J1531" i="3"/>
  <c r="I1531" i="3"/>
  <c r="H1531" i="3"/>
  <c r="G1531" i="3"/>
  <c r="F1531" i="3"/>
  <c r="E1531" i="3"/>
  <c r="D1531" i="3"/>
  <c r="C1531" i="3"/>
  <c r="B1531" i="3"/>
  <c r="A1531" i="3"/>
  <c r="O1530" i="3"/>
  <c r="N1530" i="3"/>
  <c r="M1530" i="3"/>
  <c r="L1530" i="3"/>
  <c r="K1530" i="3"/>
  <c r="J1530" i="3"/>
  <c r="I1530" i="3"/>
  <c r="H1530" i="3"/>
  <c r="G1530" i="3"/>
  <c r="F1530" i="3"/>
  <c r="E1530" i="3"/>
  <c r="D1530" i="3"/>
  <c r="C1530" i="3"/>
  <c r="B1530" i="3"/>
  <c r="A1530" i="3"/>
  <c r="O1529" i="3"/>
  <c r="N1529" i="3"/>
  <c r="M1529" i="3"/>
  <c r="L1529" i="3"/>
  <c r="K1529" i="3"/>
  <c r="J1529" i="3"/>
  <c r="I1529" i="3"/>
  <c r="H1529" i="3"/>
  <c r="G1529" i="3"/>
  <c r="F1529" i="3"/>
  <c r="E1529" i="3"/>
  <c r="D1529" i="3"/>
  <c r="C1529" i="3"/>
  <c r="B1529" i="3"/>
  <c r="A1529" i="3"/>
  <c r="O1528" i="3"/>
  <c r="N1528" i="3"/>
  <c r="M1528" i="3"/>
  <c r="L1528" i="3"/>
  <c r="K1528" i="3"/>
  <c r="J1528" i="3"/>
  <c r="I1528" i="3"/>
  <c r="H1528" i="3"/>
  <c r="G1528" i="3"/>
  <c r="F1528" i="3"/>
  <c r="E1528" i="3"/>
  <c r="D1528" i="3"/>
  <c r="C1528" i="3"/>
  <c r="B1528" i="3"/>
  <c r="A1528" i="3"/>
  <c r="O1527" i="3"/>
  <c r="N1527" i="3"/>
  <c r="M1527" i="3"/>
  <c r="L1527" i="3"/>
  <c r="K1527" i="3"/>
  <c r="J1527" i="3"/>
  <c r="I1527" i="3"/>
  <c r="H1527" i="3"/>
  <c r="G1527" i="3"/>
  <c r="F1527" i="3"/>
  <c r="E1527" i="3"/>
  <c r="D1527" i="3"/>
  <c r="C1527" i="3"/>
  <c r="B1527" i="3"/>
  <c r="A1527" i="3"/>
  <c r="O1526" i="3"/>
  <c r="N1526" i="3"/>
  <c r="M1526" i="3"/>
  <c r="L1526" i="3"/>
  <c r="K1526" i="3"/>
  <c r="J1526" i="3"/>
  <c r="I1526" i="3"/>
  <c r="H1526" i="3"/>
  <c r="G1526" i="3"/>
  <c r="F1526" i="3"/>
  <c r="E1526" i="3"/>
  <c r="D1526" i="3"/>
  <c r="C1526" i="3"/>
  <c r="B1526" i="3"/>
  <c r="A1526" i="3"/>
  <c r="O1525" i="3"/>
  <c r="N1525" i="3"/>
  <c r="M1525" i="3"/>
  <c r="L1525" i="3"/>
  <c r="K1525" i="3"/>
  <c r="J1525" i="3"/>
  <c r="I1525" i="3"/>
  <c r="H1525" i="3"/>
  <c r="G1525" i="3"/>
  <c r="F1525" i="3"/>
  <c r="E1525" i="3"/>
  <c r="D1525" i="3"/>
  <c r="C1525" i="3"/>
  <c r="B1525" i="3"/>
  <c r="A1525" i="3"/>
  <c r="O1524" i="3"/>
  <c r="N1524" i="3"/>
  <c r="M1524" i="3"/>
  <c r="L1524" i="3"/>
  <c r="K1524" i="3"/>
  <c r="J1524" i="3"/>
  <c r="I1524" i="3"/>
  <c r="H1524" i="3"/>
  <c r="G1524" i="3"/>
  <c r="F1524" i="3"/>
  <c r="E1524" i="3"/>
  <c r="D1524" i="3"/>
  <c r="C1524" i="3"/>
  <c r="B1524" i="3"/>
  <c r="A1524" i="3"/>
  <c r="O1523" i="3"/>
  <c r="N1523" i="3"/>
  <c r="M1523" i="3"/>
  <c r="L1523" i="3"/>
  <c r="K1523" i="3"/>
  <c r="J1523" i="3"/>
  <c r="I1523" i="3"/>
  <c r="H1523" i="3"/>
  <c r="G1523" i="3"/>
  <c r="F1523" i="3"/>
  <c r="E1523" i="3"/>
  <c r="D1523" i="3"/>
  <c r="C1523" i="3"/>
  <c r="B1523" i="3"/>
  <c r="A1523" i="3"/>
  <c r="O1522" i="3"/>
  <c r="N1522" i="3"/>
  <c r="M1522" i="3"/>
  <c r="L1522" i="3"/>
  <c r="K1522" i="3"/>
  <c r="J1522" i="3"/>
  <c r="I1522" i="3"/>
  <c r="H1522" i="3"/>
  <c r="G1522" i="3"/>
  <c r="F1522" i="3"/>
  <c r="E1522" i="3"/>
  <c r="D1522" i="3"/>
  <c r="C1522" i="3"/>
  <c r="B1522" i="3"/>
  <c r="A1522" i="3"/>
  <c r="O1521" i="3"/>
  <c r="N1521" i="3"/>
  <c r="M1521" i="3"/>
  <c r="L1521" i="3"/>
  <c r="K1521" i="3"/>
  <c r="J1521" i="3"/>
  <c r="I1521" i="3"/>
  <c r="H1521" i="3"/>
  <c r="G1521" i="3"/>
  <c r="F1521" i="3"/>
  <c r="E1521" i="3"/>
  <c r="D1521" i="3"/>
  <c r="C1521" i="3"/>
  <c r="B1521" i="3"/>
  <c r="A1521" i="3"/>
  <c r="O1520" i="3"/>
  <c r="N1520" i="3"/>
  <c r="M1520" i="3"/>
  <c r="L1520" i="3"/>
  <c r="K1520" i="3"/>
  <c r="J1520" i="3"/>
  <c r="I1520" i="3"/>
  <c r="H1520" i="3"/>
  <c r="G1520" i="3"/>
  <c r="F1520" i="3"/>
  <c r="E1520" i="3"/>
  <c r="D1520" i="3"/>
  <c r="C1520" i="3"/>
  <c r="B1520" i="3"/>
  <c r="A1520" i="3"/>
  <c r="O1519" i="3"/>
  <c r="N1519" i="3"/>
  <c r="M1519" i="3"/>
  <c r="L1519" i="3"/>
  <c r="K1519" i="3"/>
  <c r="J1519" i="3"/>
  <c r="I1519" i="3"/>
  <c r="H1519" i="3"/>
  <c r="G1519" i="3"/>
  <c r="F1519" i="3"/>
  <c r="E1519" i="3"/>
  <c r="D1519" i="3"/>
  <c r="C1519" i="3"/>
  <c r="B1519" i="3"/>
  <c r="A1519" i="3"/>
  <c r="O1518" i="3"/>
  <c r="N1518" i="3"/>
  <c r="M1518" i="3"/>
  <c r="L1518" i="3"/>
  <c r="K1518" i="3"/>
  <c r="J1518" i="3"/>
  <c r="I1518" i="3"/>
  <c r="H1518" i="3"/>
  <c r="G1518" i="3"/>
  <c r="F1518" i="3"/>
  <c r="E1518" i="3"/>
  <c r="D1518" i="3"/>
  <c r="C1518" i="3"/>
  <c r="B1518" i="3"/>
  <c r="A1518" i="3"/>
  <c r="O1517" i="3"/>
  <c r="N1517" i="3"/>
  <c r="M1517" i="3"/>
  <c r="L1517" i="3"/>
  <c r="K1517" i="3"/>
  <c r="J1517" i="3"/>
  <c r="I1517" i="3"/>
  <c r="H1517" i="3"/>
  <c r="G1517" i="3"/>
  <c r="F1517" i="3"/>
  <c r="E1517" i="3"/>
  <c r="D1517" i="3"/>
  <c r="C1517" i="3"/>
  <c r="B1517" i="3"/>
  <c r="A1517" i="3"/>
  <c r="O1516" i="3"/>
  <c r="N1516" i="3"/>
  <c r="M1516" i="3"/>
  <c r="L1516" i="3"/>
  <c r="K1516" i="3"/>
  <c r="J1516" i="3"/>
  <c r="I1516" i="3"/>
  <c r="H1516" i="3"/>
  <c r="G1516" i="3"/>
  <c r="F1516" i="3"/>
  <c r="E1516" i="3"/>
  <c r="D1516" i="3"/>
  <c r="C1516" i="3"/>
  <c r="B1516" i="3"/>
  <c r="A1516" i="3"/>
  <c r="O1515" i="3"/>
  <c r="N1515" i="3"/>
  <c r="M1515" i="3"/>
  <c r="L1515" i="3"/>
  <c r="K1515" i="3"/>
  <c r="J1515" i="3"/>
  <c r="I1515" i="3"/>
  <c r="H1515" i="3"/>
  <c r="G1515" i="3"/>
  <c r="F1515" i="3"/>
  <c r="E1515" i="3"/>
  <c r="D1515" i="3"/>
  <c r="C1515" i="3"/>
  <c r="B1515" i="3"/>
  <c r="A1515" i="3"/>
  <c r="O1514" i="3"/>
  <c r="N1514" i="3"/>
  <c r="M1514" i="3"/>
  <c r="L1514" i="3"/>
  <c r="K1514" i="3"/>
  <c r="J1514" i="3"/>
  <c r="I1514" i="3"/>
  <c r="H1514" i="3"/>
  <c r="G1514" i="3"/>
  <c r="F1514" i="3"/>
  <c r="E1514" i="3"/>
  <c r="D1514" i="3"/>
  <c r="C1514" i="3"/>
  <c r="B1514" i="3"/>
  <c r="A1514" i="3"/>
  <c r="O1513" i="3"/>
  <c r="N1513" i="3"/>
  <c r="M1513" i="3"/>
  <c r="L1513" i="3"/>
  <c r="K1513" i="3"/>
  <c r="J1513" i="3"/>
  <c r="I1513" i="3"/>
  <c r="H1513" i="3"/>
  <c r="G1513" i="3"/>
  <c r="F1513" i="3"/>
  <c r="E1513" i="3"/>
  <c r="D1513" i="3"/>
  <c r="C1513" i="3"/>
  <c r="B1513" i="3"/>
  <c r="A1513" i="3"/>
  <c r="O1512" i="3"/>
  <c r="N1512" i="3"/>
  <c r="M1512" i="3"/>
  <c r="L1512" i="3"/>
  <c r="K1512" i="3"/>
  <c r="J1512" i="3"/>
  <c r="I1512" i="3"/>
  <c r="H1512" i="3"/>
  <c r="G1512" i="3"/>
  <c r="F1512" i="3"/>
  <c r="E1512" i="3"/>
  <c r="D1512" i="3"/>
  <c r="C1512" i="3"/>
  <c r="B1512" i="3"/>
  <c r="A1512" i="3"/>
  <c r="O1511" i="3"/>
  <c r="N1511" i="3"/>
  <c r="M1511" i="3"/>
  <c r="L1511" i="3"/>
  <c r="K1511" i="3"/>
  <c r="J1511" i="3"/>
  <c r="I1511" i="3"/>
  <c r="H1511" i="3"/>
  <c r="G1511" i="3"/>
  <c r="F1511" i="3"/>
  <c r="E1511" i="3"/>
  <c r="D1511" i="3"/>
  <c r="C1511" i="3"/>
  <c r="B1511" i="3"/>
  <c r="A1511" i="3"/>
  <c r="O1510" i="3"/>
  <c r="N1510" i="3"/>
  <c r="M1510" i="3"/>
  <c r="L1510" i="3"/>
  <c r="K1510" i="3"/>
  <c r="J1510" i="3"/>
  <c r="I1510" i="3"/>
  <c r="H1510" i="3"/>
  <c r="G1510" i="3"/>
  <c r="F1510" i="3"/>
  <c r="E1510" i="3"/>
  <c r="D1510" i="3"/>
  <c r="C1510" i="3"/>
  <c r="B1510" i="3"/>
  <c r="A1510" i="3"/>
  <c r="O1509" i="3"/>
  <c r="N1509" i="3"/>
  <c r="M1509" i="3"/>
  <c r="L1509" i="3"/>
  <c r="K1509" i="3"/>
  <c r="J1509" i="3"/>
  <c r="I1509" i="3"/>
  <c r="H1509" i="3"/>
  <c r="G1509" i="3"/>
  <c r="F1509" i="3"/>
  <c r="E1509" i="3"/>
  <c r="D1509" i="3"/>
  <c r="C1509" i="3"/>
  <c r="B1509" i="3"/>
  <c r="A1509" i="3"/>
  <c r="O1508" i="3"/>
  <c r="N1508" i="3"/>
  <c r="M1508" i="3"/>
  <c r="L1508" i="3"/>
  <c r="K1508" i="3"/>
  <c r="J1508" i="3"/>
  <c r="I1508" i="3"/>
  <c r="H1508" i="3"/>
  <c r="G1508" i="3"/>
  <c r="F1508" i="3"/>
  <c r="E1508" i="3"/>
  <c r="D1508" i="3"/>
  <c r="C1508" i="3"/>
  <c r="B1508" i="3"/>
  <c r="A1508" i="3"/>
  <c r="O1507" i="3"/>
  <c r="N1507" i="3"/>
  <c r="M1507" i="3"/>
  <c r="L1507" i="3"/>
  <c r="K1507" i="3"/>
  <c r="J1507" i="3"/>
  <c r="I1507" i="3"/>
  <c r="H1507" i="3"/>
  <c r="G1507" i="3"/>
  <c r="F1507" i="3"/>
  <c r="E1507" i="3"/>
  <c r="D1507" i="3"/>
  <c r="C1507" i="3"/>
  <c r="B1507" i="3"/>
  <c r="A1507" i="3"/>
  <c r="O1506" i="3"/>
  <c r="N1506" i="3"/>
  <c r="M1506" i="3"/>
  <c r="L1506" i="3"/>
  <c r="K1506" i="3"/>
  <c r="J1506" i="3"/>
  <c r="I1506" i="3"/>
  <c r="H1506" i="3"/>
  <c r="G1506" i="3"/>
  <c r="F1506" i="3"/>
  <c r="E1506" i="3"/>
  <c r="D1506" i="3"/>
  <c r="C1506" i="3"/>
  <c r="B1506" i="3"/>
  <c r="A1506" i="3"/>
  <c r="O1505" i="3"/>
  <c r="N1505" i="3"/>
  <c r="M1505" i="3"/>
  <c r="L1505" i="3"/>
  <c r="K1505" i="3"/>
  <c r="J1505" i="3"/>
  <c r="I1505" i="3"/>
  <c r="H1505" i="3"/>
  <c r="G1505" i="3"/>
  <c r="F1505" i="3"/>
  <c r="E1505" i="3"/>
  <c r="D1505" i="3"/>
  <c r="C1505" i="3"/>
  <c r="B1505" i="3"/>
  <c r="A1505" i="3"/>
  <c r="O1504" i="3"/>
  <c r="N1504" i="3"/>
  <c r="M1504" i="3"/>
  <c r="L1504" i="3"/>
  <c r="K1504" i="3"/>
  <c r="J1504" i="3"/>
  <c r="I1504" i="3"/>
  <c r="H1504" i="3"/>
  <c r="G1504" i="3"/>
  <c r="F1504" i="3"/>
  <c r="E1504" i="3"/>
  <c r="D1504" i="3"/>
  <c r="C1504" i="3"/>
  <c r="B1504" i="3"/>
  <c r="A1504" i="3"/>
  <c r="O1503" i="3"/>
  <c r="N1503" i="3"/>
  <c r="M1503" i="3"/>
  <c r="L1503" i="3"/>
  <c r="K1503" i="3"/>
  <c r="J1503" i="3"/>
  <c r="I1503" i="3"/>
  <c r="H1503" i="3"/>
  <c r="G1503" i="3"/>
  <c r="F1503" i="3"/>
  <c r="E1503" i="3"/>
  <c r="D1503" i="3"/>
  <c r="C1503" i="3"/>
  <c r="B1503" i="3"/>
  <c r="A1503" i="3"/>
  <c r="O1502" i="3"/>
  <c r="N1502" i="3"/>
  <c r="M1502" i="3"/>
  <c r="L1502" i="3"/>
  <c r="K1502" i="3"/>
  <c r="J1502" i="3"/>
  <c r="I1502" i="3"/>
  <c r="H1502" i="3"/>
  <c r="G1502" i="3"/>
  <c r="F1502" i="3"/>
  <c r="E1502" i="3"/>
  <c r="D1502" i="3"/>
  <c r="C1502" i="3"/>
  <c r="B1502" i="3"/>
  <c r="A1502" i="3"/>
  <c r="O1501" i="3"/>
  <c r="N1501" i="3"/>
  <c r="M1501" i="3"/>
  <c r="L1501" i="3"/>
  <c r="K1501" i="3"/>
  <c r="J1501" i="3"/>
  <c r="I1501" i="3"/>
  <c r="H1501" i="3"/>
  <c r="G1501" i="3"/>
  <c r="F1501" i="3"/>
  <c r="E1501" i="3"/>
  <c r="D1501" i="3"/>
  <c r="C1501" i="3"/>
  <c r="B1501" i="3"/>
  <c r="A1501" i="3"/>
  <c r="O1500" i="3"/>
  <c r="N1500" i="3"/>
  <c r="M1500" i="3"/>
  <c r="L1500" i="3"/>
  <c r="K1500" i="3"/>
  <c r="J1500" i="3"/>
  <c r="I1500" i="3"/>
  <c r="H1500" i="3"/>
  <c r="G1500" i="3"/>
  <c r="F1500" i="3"/>
  <c r="E1500" i="3"/>
  <c r="D1500" i="3"/>
  <c r="C1500" i="3"/>
  <c r="B1500" i="3"/>
  <c r="A1500" i="3"/>
  <c r="O1499" i="3"/>
  <c r="N1499" i="3"/>
  <c r="M1499" i="3"/>
  <c r="L1499" i="3"/>
  <c r="K1499" i="3"/>
  <c r="J1499" i="3"/>
  <c r="I1499" i="3"/>
  <c r="H1499" i="3"/>
  <c r="G1499" i="3"/>
  <c r="F1499" i="3"/>
  <c r="E1499" i="3"/>
  <c r="D1499" i="3"/>
  <c r="C1499" i="3"/>
  <c r="B1499" i="3"/>
  <c r="A1499" i="3"/>
  <c r="O1498" i="3"/>
  <c r="N1498" i="3"/>
  <c r="M1498" i="3"/>
  <c r="L1498" i="3"/>
  <c r="K1498" i="3"/>
  <c r="J1498" i="3"/>
  <c r="I1498" i="3"/>
  <c r="H1498" i="3"/>
  <c r="G1498" i="3"/>
  <c r="F1498" i="3"/>
  <c r="E1498" i="3"/>
  <c r="D1498" i="3"/>
  <c r="C1498" i="3"/>
  <c r="B1498" i="3"/>
  <c r="A1498" i="3"/>
  <c r="O1497" i="3"/>
  <c r="N1497" i="3"/>
  <c r="M1497" i="3"/>
  <c r="L1497" i="3"/>
  <c r="K1497" i="3"/>
  <c r="J1497" i="3"/>
  <c r="I1497" i="3"/>
  <c r="H1497" i="3"/>
  <c r="G1497" i="3"/>
  <c r="F1497" i="3"/>
  <c r="E1497" i="3"/>
  <c r="D1497" i="3"/>
  <c r="C1497" i="3"/>
  <c r="B1497" i="3"/>
  <c r="A1497" i="3"/>
  <c r="O1496" i="3"/>
  <c r="N1496" i="3"/>
  <c r="M1496" i="3"/>
  <c r="L1496" i="3"/>
  <c r="K1496" i="3"/>
  <c r="J1496" i="3"/>
  <c r="I1496" i="3"/>
  <c r="H1496" i="3"/>
  <c r="G1496" i="3"/>
  <c r="F1496" i="3"/>
  <c r="E1496" i="3"/>
  <c r="D1496" i="3"/>
  <c r="C1496" i="3"/>
  <c r="B1496" i="3"/>
  <c r="A1496" i="3"/>
  <c r="O1495" i="3"/>
  <c r="N1495" i="3"/>
  <c r="M1495" i="3"/>
  <c r="L1495" i="3"/>
  <c r="K1495" i="3"/>
  <c r="J1495" i="3"/>
  <c r="I1495" i="3"/>
  <c r="H1495" i="3"/>
  <c r="G1495" i="3"/>
  <c r="F1495" i="3"/>
  <c r="E1495" i="3"/>
  <c r="D1495" i="3"/>
  <c r="C1495" i="3"/>
  <c r="B1495" i="3"/>
  <c r="A1495" i="3"/>
  <c r="O1494" i="3"/>
  <c r="N1494" i="3"/>
  <c r="M1494" i="3"/>
  <c r="L1494" i="3"/>
  <c r="K1494" i="3"/>
  <c r="J1494" i="3"/>
  <c r="I1494" i="3"/>
  <c r="H1494" i="3"/>
  <c r="G1494" i="3"/>
  <c r="F1494" i="3"/>
  <c r="E1494" i="3"/>
  <c r="D1494" i="3"/>
  <c r="C1494" i="3"/>
  <c r="B1494" i="3"/>
  <c r="A1494" i="3"/>
  <c r="O1493" i="3"/>
  <c r="N1493" i="3"/>
  <c r="M1493" i="3"/>
  <c r="L1493" i="3"/>
  <c r="K1493" i="3"/>
  <c r="J1493" i="3"/>
  <c r="I1493" i="3"/>
  <c r="H1493" i="3"/>
  <c r="G1493" i="3"/>
  <c r="F1493" i="3"/>
  <c r="E1493" i="3"/>
  <c r="D1493" i="3"/>
  <c r="C1493" i="3"/>
  <c r="B1493" i="3"/>
  <c r="A1493" i="3"/>
  <c r="O1492" i="3"/>
  <c r="N1492" i="3"/>
  <c r="M1492" i="3"/>
  <c r="L1492" i="3"/>
  <c r="K1492" i="3"/>
  <c r="J1492" i="3"/>
  <c r="I1492" i="3"/>
  <c r="H1492" i="3"/>
  <c r="G1492" i="3"/>
  <c r="F1492" i="3"/>
  <c r="E1492" i="3"/>
  <c r="D1492" i="3"/>
  <c r="C1492" i="3"/>
  <c r="B1492" i="3"/>
  <c r="A1492" i="3"/>
  <c r="O1491" i="3"/>
  <c r="N1491" i="3"/>
  <c r="M1491" i="3"/>
  <c r="L1491" i="3"/>
  <c r="K1491" i="3"/>
  <c r="J1491" i="3"/>
  <c r="I1491" i="3"/>
  <c r="H1491" i="3"/>
  <c r="G1491" i="3"/>
  <c r="F1491" i="3"/>
  <c r="E1491" i="3"/>
  <c r="D1491" i="3"/>
  <c r="C1491" i="3"/>
  <c r="B1491" i="3"/>
  <c r="A1491" i="3"/>
  <c r="O1490" i="3"/>
  <c r="N1490" i="3"/>
  <c r="M1490" i="3"/>
  <c r="L1490" i="3"/>
  <c r="K1490" i="3"/>
  <c r="J1490" i="3"/>
  <c r="I1490" i="3"/>
  <c r="H1490" i="3"/>
  <c r="G1490" i="3"/>
  <c r="F1490" i="3"/>
  <c r="E1490" i="3"/>
  <c r="D1490" i="3"/>
  <c r="C1490" i="3"/>
  <c r="B1490" i="3"/>
  <c r="A1490" i="3"/>
  <c r="O1489" i="3"/>
  <c r="N1489" i="3"/>
  <c r="M1489" i="3"/>
  <c r="L1489" i="3"/>
  <c r="K1489" i="3"/>
  <c r="J1489" i="3"/>
  <c r="I1489" i="3"/>
  <c r="H1489" i="3"/>
  <c r="G1489" i="3"/>
  <c r="F1489" i="3"/>
  <c r="E1489" i="3"/>
  <c r="D1489" i="3"/>
  <c r="C1489" i="3"/>
  <c r="B1489" i="3"/>
  <c r="A1489" i="3"/>
  <c r="O1488" i="3"/>
  <c r="N1488" i="3"/>
  <c r="M1488" i="3"/>
  <c r="L1488" i="3"/>
  <c r="K1488" i="3"/>
  <c r="J1488" i="3"/>
  <c r="I1488" i="3"/>
  <c r="H1488" i="3"/>
  <c r="G1488" i="3"/>
  <c r="F1488" i="3"/>
  <c r="E1488" i="3"/>
  <c r="D1488" i="3"/>
  <c r="C1488" i="3"/>
  <c r="B1488" i="3"/>
  <c r="A1488" i="3"/>
  <c r="O1487" i="3"/>
  <c r="N1487" i="3"/>
  <c r="M1487" i="3"/>
  <c r="L1487" i="3"/>
  <c r="K1487" i="3"/>
  <c r="J1487" i="3"/>
  <c r="I1487" i="3"/>
  <c r="H1487" i="3"/>
  <c r="G1487" i="3"/>
  <c r="F1487" i="3"/>
  <c r="E1487" i="3"/>
  <c r="D1487" i="3"/>
  <c r="C1487" i="3"/>
  <c r="B1487" i="3"/>
  <c r="A1487" i="3"/>
  <c r="O1486" i="3"/>
  <c r="N1486" i="3"/>
  <c r="M1486" i="3"/>
  <c r="L1486" i="3"/>
  <c r="K1486" i="3"/>
  <c r="J1486" i="3"/>
  <c r="I1486" i="3"/>
  <c r="H1486" i="3"/>
  <c r="G1486" i="3"/>
  <c r="F1486" i="3"/>
  <c r="E1486" i="3"/>
  <c r="D1486" i="3"/>
  <c r="C1486" i="3"/>
  <c r="B1486" i="3"/>
  <c r="A1486" i="3"/>
  <c r="O1485" i="3"/>
  <c r="N1485" i="3"/>
  <c r="M1485" i="3"/>
  <c r="L1485" i="3"/>
  <c r="K1485" i="3"/>
  <c r="J1485" i="3"/>
  <c r="I1485" i="3"/>
  <c r="H1485" i="3"/>
  <c r="G1485" i="3"/>
  <c r="F1485" i="3"/>
  <c r="E1485" i="3"/>
  <c r="D1485" i="3"/>
  <c r="C1485" i="3"/>
  <c r="B1485" i="3"/>
  <c r="A1485" i="3"/>
  <c r="O1484" i="3"/>
  <c r="N1484" i="3"/>
  <c r="M1484" i="3"/>
  <c r="L1484" i="3"/>
  <c r="K1484" i="3"/>
  <c r="J1484" i="3"/>
  <c r="I1484" i="3"/>
  <c r="H1484" i="3"/>
  <c r="G1484" i="3"/>
  <c r="F1484" i="3"/>
  <c r="E1484" i="3"/>
  <c r="D1484" i="3"/>
  <c r="C1484" i="3"/>
  <c r="B1484" i="3"/>
  <c r="A1484" i="3"/>
  <c r="O1483" i="3"/>
  <c r="N1483" i="3"/>
  <c r="M1483" i="3"/>
  <c r="L1483" i="3"/>
  <c r="K1483" i="3"/>
  <c r="J1483" i="3"/>
  <c r="I1483" i="3"/>
  <c r="H1483" i="3"/>
  <c r="G1483" i="3"/>
  <c r="F1483" i="3"/>
  <c r="E1483" i="3"/>
  <c r="D1483" i="3"/>
  <c r="C1483" i="3"/>
  <c r="B1483" i="3"/>
  <c r="A1483" i="3"/>
  <c r="O1482" i="3"/>
  <c r="N1482" i="3"/>
  <c r="M1482" i="3"/>
  <c r="L1482" i="3"/>
  <c r="K1482" i="3"/>
  <c r="J1482" i="3"/>
  <c r="I1482" i="3"/>
  <c r="H1482" i="3"/>
  <c r="G1482" i="3"/>
  <c r="F1482" i="3"/>
  <c r="E1482" i="3"/>
  <c r="D1482" i="3"/>
  <c r="C1482" i="3"/>
  <c r="B1482" i="3"/>
  <c r="A1482" i="3"/>
  <c r="O1481" i="3"/>
  <c r="N1481" i="3"/>
  <c r="M1481" i="3"/>
  <c r="L1481" i="3"/>
  <c r="K1481" i="3"/>
  <c r="J1481" i="3"/>
  <c r="I1481" i="3"/>
  <c r="H1481" i="3"/>
  <c r="G1481" i="3"/>
  <c r="F1481" i="3"/>
  <c r="E1481" i="3"/>
  <c r="D1481" i="3"/>
  <c r="C1481" i="3"/>
  <c r="B1481" i="3"/>
  <c r="A1481" i="3"/>
  <c r="O1480" i="3"/>
  <c r="N1480" i="3"/>
  <c r="M1480" i="3"/>
  <c r="L1480" i="3"/>
  <c r="K1480" i="3"/>
  <c r="J1480" i="3"/>
  <c r="I1480" i="3"/>
  <c r="H1480" i="3"/>
  <c r="G1480" i="3"/>
  <c r="F1480" i="3"/>
  <c r="E1480" i="3"/>
  <c r="D1480" i="3"/>
  <c r="C1480" i="3"/>
  <c r="B1480" i="3"/>
  <c r="A1480" i="3"/>
  <c r="O1479" i="3"/>
  <c r="N1479" i="3"/>
  <c r="M1479" i="3"/>
  <c r="L1479" i="3"/>
  <c r="K1479" i="3"/>
  <c r="J1479" i="3"/>
  <c r="I1479" i="3"/>
  <c r="H1479" i="3"/>
  <c r="G1479" i="3"/>
  <c r="F1479" i="3"/>
  <c r="E1479" i="3"/>
  <c r="D1479" i="3"/>
  <c r="C1479" i="3"/>
  <c r="B1479" i="3"/>
  <c r="A1479" i="3"/>
  <c r="O1478" i="3"/>
  <c r="N1478" i="3"/>
  <c r="M1478" i="3"/>
  <c r="L1478" i="3"/>
  <c r="K1478" i="3"/>
  <c r="J1478" i="3"/>
  <c r="I1478" i="3"/>
  <c r="H1478" i="3"/>
  <c r="G1478" i="3"/>
  <c r="F1478" i="3"/>
  <c r="E1478" i="3"/>
  <c r="D1478" i="3"/>
  <c r="C1478" i="3"/>
  <c r="B1478" i="3"/>
  <c r="A1478" i="3"/>
  <c r="O1477" i="3"/>
  <c r="N1477" i="3"/>
  <c r="M1477" i="3"/>
  <c r="L1477" i="3"/>
  <c r="K1477" i="3"/>
  <c r="J1477" i="3"/>
  <c r="I1477" i="3"/>
  <c r="H1477" i="3"/>
  <c r="G1477" i="3"/>
  <c r="F1477" i="3"/>
  <c r="E1477" i="3"/>
  <c r="D1477" i="3"/>
  <c r="C1477" i="3"/>
  <c r="B1477" i="3"/>
  <c r="A1477" i="3"/>
  <c r="O1476" i="3"/>
  <c r="N1476" i="3"/>
  <c r="M1476" i="3"/>
  <c r="L1476" i="3"/>
  <c r="K1476" i="3"/>
  <c r="J1476" i="3"/>
  <c r="I1476" i="3"/>
  <c r="H1476" i="3"/>
  <c r="G1476" i="3"/>
  <c r="F1476" i="3"/>
  <c r="E1476" i="3"/>
  <c r="D1476" i="3"/>
  <c r="C1476" i="3"/>
  <c r="B1476" i="3"/>
  <c r="A1476" i="3"/>
  <c r="O1475" i="3"/>
  <c r="N1475" i="3"/>
  <c r="M1475" i="3"/>
  <c r="L1475" i="3"/>
  <c r="K1475" i="3"/>
  <c r="J1475" i="3"/>
  <c r="I1475" i="3"/>
  <c r="H1475" i="3"/>
  <c r="G1475" i="3"/>
  <c r="F1475" i="3"/>
  <c r="E1475" i="3"/>
  <c r="D1475" i="3"/>
  <c r="C1475" i="3"/>
  <c r="B1475" i="3"/>
  <c r="A1475" i="3"/>
  <c r="O1474" i="3"/>
  <c r="N1474" i="3"/>
  <c r="M1474" i="3"/>
  <c r="L1474" i="3"/>
  <c r="K1474" i="3"/>
  <c r="J1474" i="3"/>
  <c r="I1474" i="3"/>
  <c r="H1474" i="3"/>
  <c r="G1474" i="3"/>
  <c r="F1474" i="3"/>
  <c r="E1474" i="3"/>
  <c r="D1474" i="3"/>
  <c r="C1474" i="3"/>
  <c r="B1474" i="3"/>
  <c r="A1474" i="3"/>
  <c r="O1473" i="3"/>
  <c r="N1473" i="3"/>
  <c r="M1473" i="3"/>
  <c r="L1473" i="3"/>
  <c r="K1473" i="3"/>
  <c r="J1473" i="3"/>
  <c r="I1473" i="3"/>
  <c r="H1473" i="3"/>
  <c r="G1473" i="3"/>
  <c r="F1473" i="3"/>
  <c r="E1473" i="3"/>
  <c r="D1473" i="3"/>
  <c r="C1473" i="3"/>
  <c r="B1473" i="3"/>
  <c r="A1473" i="3"/>
  <c r="O1472" i="3"/>
  <c r="N1472" i="3"/>
  <c r="M1472" i="3"/>
  <c r="L1472" i="3"/>
  <c r="K1472" i="3"/>
  <c r="J1472" i="3"/>
  <c r="I1472" i="3"/>
  <c r="H1472" i="3"/>
  <c r="G1472" i="3"/>
  <c r="F1472" i="3"/>
  <c r="E1472" i="3"/>
  <c r="D1472" i="3"/>
  <c r="C1472" i="3"/>
  <c r="B1472" i="3"/>
  <c r="A1472" i="3"/>
  <c r="O1471" i="3"/>
  <c r="N1471" i="3"/>
  <c r="M1471" i="3"/>
  <c r="L1471" i="3"/>
  <c r="K1471" i="3"/>
  <c r="J1471" i="3"/>
  <c r="I1471" i="3"/>
  <c r="H1471" i="3"/>
  <c r="G1471" i="3"/>
  <c r="F1471" i="3"/>
  <c r="E1471" i="3"/>
  <c r="D1471" i="3"/>
  <c r="C1471" i="3"/>
  <c r="B1471" i="3"/>
  <c r="A1471" i="3"/>
  <c r="O1470" i="3"/>
  <c r="N1470" i="3"/>
  <c r="M1470" i="3"/>
  <c r="L1470" i="3"/>
  <c r="K1470" i="3"/>
  <c r="J1470" i="3"/>
  <c r="I1470" i="3"/>
  <c r="H1470" i="3"/>
  <c r="G1470" i="3"/>
  <c r="F1470" i="3"/>
  <c r="E1470" i="3"/>
  <c r="D1470" i="3"/>
  <c r="C1470" i="3"/>
  <c r="B1470" i="3"/>
  <c r="A1470" i="3"/>
  <c r="O1469" i="3"/>
  <c r="N1469" i="3"/>
  <c r="M1469" i="3"/>
  <c r="L1469" i="3"/>
  <c r="K1469" i="3"/>
  <c r="J1469" i="3"/>
  <c r="I1469" i="3"/>
  <c r="H1469" i="3"/>
  <c r="G1469" i="3"/>
  <c r="F1469" i="3"/>
  <c r="E1469" i="3"/>
  <c r="D1469" i="3"/>
  <c r="C1469" i="3"/>
  <c r="B1469" i="3"/>
  <c r="A1469" i="3"/>
  <c r="O1468" i="3"/>
  <c r="N1468" i="3"/>
  <c r="M1468" i="3"/>
  <c r="L1468" i="3"/>
  <c r="K1468" i="3"/>
  <c r="J1468" i="3"/>
  <c r="I1468" i="3"/>
  <c r="H1468" i="3"/>
  <c r="G1468" i="3"/>
  <c r="F1468" i="3"/>
  <c r="E1468" i="3"/>
  <c r="D1468" i="3"/>
  <c r="C1468" i="3"/>
  <c r="B1468" i="3"/>
  <c r="A1468" i="3"/>
  <c r="O1467" i="3"/>
  <c r="N1467" i="3"/>
  <c r="M1467" i="3"/>
  <c r="L1467" i="3"/>
  <c r="K1467" i="3"/>
  <c r="J1467" i="3"/>
  <c r="I1467" i="3"/>
  <c r="H1467" i="3"/>
  <c r="G1467" i="3"/>
  <c r="F1467" i="3"/>
  <c r="E1467" i="3"/>
  <c r="D1467" i="3"/>
  <c r="C1467" i="3"/>
  <c r="B1467" i="3"/>
  <c r="A1467" i="3"/>
  <c r="O1466" i="3"/>
  <c r="N1466" i="3"/>
  <c r="M1466" i="3"/>
  <c r="L1466" i="3"/>
  <c r="K1466" i="3"/>
  <c r="J1466" i="3"/>
  <c r="I1466" i="3"/>
  <c r="H1466" i="3"/>
  <c r="G1466" i="3"/>
  <c r="F1466" i="3"/>
  <c r="E1466" i="3"/>
  <c r="D1466" i="3"/>
  <c r="C1466" i="3"/>
  <c r="B1466" i="3"/>
  <c r="A1466" i="3"/>
  <c r="O1465" i="3"/>
  <c r="N1465" i="3"/>
  <c r="M1465" i="3"/>
  <c r="L1465" i="3"/>
  <c r="K1465" i="3"/>
  <c r="J1465" i="3"/>
  <c r="I1465" i="3"/>
  <c r="H1465" i="3"/>
  <c r="G1465" i="3"/>
  <c r="F1465" i="3"/>
  <c r="E1465" i="3"/>
  <c r="D1465" i="3"/>
  <c r="C1465" i="3"/>
  <c r="B1465" i="3"/>
  <c r="A1465" i="3"/>
  <c r="O1464" i="3"/>
  <c r="N1464" i="3"/>
  <c r="M1464" i="3"/>
  <c r="L1464" i="3"/>
  <c r="K1464" i="3"/>
  <c r="J1464" i="3"/>
  <c r="I1464" i="3"/>
  <c r="H1464" i="3"/>
  <c r="G1464" i="3"/>
  <c r="F1464" i="3"/>
  <c r="E1464" i="3"/>
  <c r="D1464" i="3"/>
  <c r="C1464" i="3"/>
  <c r="B1464" i="3"/>
  <c r="A1464" i="3"/>
  <c r="O1463" i="3"/>
  <c r="N1463" i="3"/>
  <c r="M1463" i="3"/>
  <c r="L1463" i="3"/>
  <c r="K1463" i="3"/>
  <c r="J1463" i="3"/>
  <c r="I1463" i="3"/>
  <c r="H1463" i="3"/>
  <c r="G1463" i="3"/>
  <c r="F1463" i="3"/>
  <c r="E1463" i="3"/>
  <c r="D1463" i="3"/>
  <c r="C1463" i="3"/>
  <c r="B1463" i="3"/>
  <c r="A1463" i="3"/>
  <c r="O1462" i="3"/>
  <c r="N1462" i="3"/>
  <c r="M1462" i="3"/>
  <c r="L1462" i="3"/>
  <c r="K1462" i="3"/>
  <c r="J1462" i="3"/>
  <c r="I1462" i="3"/>
  <c r="H1462" i="3"/>
  <c r="G1462" i="3"/>
  <c r="F1462" i="3"/>
  <c r="E1462" i="3"/>
  <c r="D1462" i="3"/>
  <c r="C1462" i="3"/>
  <c r="B1462" i="3"/>
  <c r="A1462" i="3"/>
  <c r="O1461" i="3"/>
  <c r="N1461" i="3"/>
  <c r="M1461" i="3"/>
  <c r="L1461" i="3"/>
  <c r="K1461" i="3"/>
  <c r="J1461" i="3"/>
  <c r="I1461" i="3"/>
  <c r="H1461" i="3"/>
  <c r="G1461" i="3"/>
  <c r="F1461" i="3"/>
  <c r="E1461" i="3"/>
  <c r="D1461" i="3"/>
  <c r="C1461" i="3"/>
  <c r="B1461" i="3"/>
  <c r="A1461" i="3"/>
  <c r="O1460" i="3"/>
  <c r="N1460" i="3"/>
  <c r="M1460" i="3"/>
  <c r="L1460" i="3"/>
  <c r="K1460" i="3"/>
  <c r="J1460" i="3"/>
  <c r="I1460" i="3"/>
  <c r="H1460" i="3"/>
  <c r="G1460" i="3"/>
  <c r="F1460" i="3"/>
  <c r="E1460" i="3"/>
  <c r="D1460" i="3"/>
  <c r="C1460" i="3"/>
  <c r="B1460" i="3"/>
  <c r="A1460" i="3"/>
  <c r="O1459" i="3"/>
  <c r="N1459" i="3"/>
  <c r="M1459" i="3"/>
  <c r="L1459" i="3"/>
  <c r="K1459" i="3"/>
  <c r="J1459" i="3"/>
  <c r="I1459" i="3"/>
  <c r="H1459" i="3"/>
  <c r="G1459" i="3"/>
  <c r="F1459" i="3"/>
  <c r="E1459" i="3"/>
  <c r="D1459" i="3"/>
  <c r="C1459" i="3"/>
  <c r="B1459" i="3"/>
  <c r="A1459" i="3"/>
  <c r="O1458" i="3"/>
  <c r="N1458" i="3"/>
  <c r="M1458" i="3"/>
  <c r="L1458" i="3"/>
  <c r="K1458" i="3"/>
  <c r="J1458" i="3"/>
  <c r="I1458" i="3"/>
  <c r="H1458" i="3"/>
  <c r="G1458" i="3"/>
  <c r="F1458" i="3"/>
  <c r="E1458" i="3"/>
  <c r="D1458" i="3"/>
  <c r="C1458" i="3"/>
  <c r="B1458" i="3"/>
  <c r="A1458" i="3"/>
  <c r="O1457" i="3"/>
  <c r="N1457" i="3"/>
  <c r="M1457" i="3"/>
  <c r="L1457" i="3"/>
  <c r="K1457" i="3"/>
  <c r="J1457" i="3"/>
  <c r="I1457" i="3"/>
  <c r="H1457" i="3"/>
  <c r="G1457" i="3"/>
  <c r="F1457" i="3"/>
  <c r="E1457" i="3"/>
  <c r="D1457" i="3"/>
  <c r="C1457" i="3"/>
  <c r="B1457" i="3"/>
  <c r="A1457" i="3"/>
  <c r="O1456" i="3"/>
  <c r="N1456" i="3"/>
  <c r="M1456" i="3"/>
  <c r="L1456" i="3"/>
  <c r="K1456" i="3"/>
  <c r="J1456" i="3"/>
  <c r="I1456" i="3"/>
  <c r="H1456" i="3"/>
  <c r="G1456" i="3"/>
  <c r="F1456" i="3"/>
  <c r="E1456" i="3"/>
  <c r="D1456" i="3"/>
  <c r="C1456" i="3"/>
  <c r="B1456" i="3"/>
  <c r="A1456" i="3"/>
  <c r="O1455" i="3"/>
  <c r="N1455" i="3"/>
  <c r="M1455" i="3"/>
  <c r="L1455" i="3"/>
  <c r="K1455" i="3"/>
  <c r="J1455" i="3"/>
  <c r="I1455" i="3"/>
  <c r="H1455" i="3"/>
  <c r="G1455" i="3"/>
  <c r="F1455" i="3"/>
  <c r="E1455" i="3"/>
  <c r="D1455" i="3"/>
  <c r="C1455" i="3"/>
  <c r="B1455" i="3"/>
  <c r="A1455" i="3"/>
  <c r="O1454" i="3"/>
  <c r="N1454" i="3"/>
  <c r="M1454" i="3"/>
  <c r="L1454" i="3"/>
  <c r="K1454" i="3"/>
  <c r="J1454" i="3"/>
  <c r="I1454" i="3"/>
  <c r="H1454" i="3"/>
  <c r="G1454" i="3"/>
  <c r="F1454" i="3"/>
  <c r="E1454" i="3"/>
  <c r="D1454" i="3"/>
  <c r="C1454" i="3"/>
  <c r="B1454" i="3"/>
  <c r="A1454" i="3"/>
  <c r="O1453" i="3"/>
  <c r="N1453" i="3"/>
  <c r="M1453" i="3"/>
  <c r="L1453" i="3"/>
  <c r="K1453" i="3"/>
  <c r="J1453" i="3"/>
  <c r="I1453" i="3"/>
  <c r="H1453" i="3"/>
  <c r="G1453" i="3"/>
  <c r="F1453" i="3"/>
  <c r="E1453" i="3"/>
  <c r="D1453" i="3"/>
  <c r="C1453" i="3"/>
  <c r="B1453" i="3"/>
  <c r="A1453" i="3"/>
  <c r="O1452" i="3"/>
  <c r="N1452" i="3"/>
  <c r="M1452" i="3"/>
  <c r="L1452" i="3"/>
  <c r="K1452" i="3"/>
  <c r="J1452" i="3"/>
  <c r="I1452" i="3"/>
  <c r="H1452" i="3"/>
  <c r="G1452" i="3"/>
  <c r="F1452" i="3"/>
  <c r="E1452" i="3"/>
  <c r="D1452" i="3"/>
  <c r="C1452" i="3"/>
  <c r="B1452" i="3"/>
  <c r="A1452" i="3"/>
  <c r="O1451" i="3"/>
  <c r="N1451" i="3"/>
  <c r="M1451" i="3"/>
  <c r="L1451" i="3"/>
  <c r="K1451" i="3"/>
  <c r="J1451" i="3"/>
  <c r="I1451" i="3"/>
  <c r="H1451" i="3"/>
  <c r="G1451" i="3"/>
  <c r="F1451" i="3"/>
  <c r="E1451" i="3"/>
  <c r="D1451" i="3"/>
  <c r="C1451" i="3"/>
  <c r="B1451" i="3"/>
  <c r="A1451" i="3"/>
  <c r="O1450" i="3"/>
  <c r="N1450" i="3"/>
  <c r="M1450" i="3"/>
  <c r="L1450" i="3"/>
  <c r="K1450" i="3"/>
  <c r="J1450" i="3"/>
  <c r="I1450" i="3"/>
  <c r="H1450" i="3"/>
  <c r="G1450" i="3"/>
  <c r="F1450" i="3"/>
  <c r="E1450" i="3"/>
  <c r="D1450" i="3"/>
  <c r="C1450" i="3"/>
  <c r="B1450" i="3"/>
  <c r="A1450" i="3"/>
  <c r="O1449" i="3"/>
  <c r="N1449" i="3"/>
  <c r="M1449" i="3"/>
  <c r="L1449" i="3"/>
  <c r="K1449" i="3"/>
  <c r="J1449" i="3"/>
  <c r="I1449" i="3"/>
  <c r="H1449" i="3"/>
  <c r="G1449" i="3"/>
  <c r="F1449" i="3"/>
  <c r="E1449" i="3"/>
  <c r="D1449" i="3"/>
  <c r="C1449" i="3"/>
  <c r="B1449" i="3"/>
  <c r="A1449" i="3"/>
  <c r="O1448" i="3"/>
  <c r="N1448" i="3"/>
  <c r="M1448" i="3"/>
  <c r="L1448" i="3"/>
  <c r="K1448" i="3"/>
  <c r="J1448" i="3"/>
  <c r="I1448" i="3"/>
  <c r="H1448" i="3"/>
  <c r="G1448" i="3"/>
  <c r="F1448" i="3"/>
  <c r="E1448" i="3"/>
  <c r="D1448" i="3"/>
  <c r="C1448" i="3"/>
  <c r="B1448" i="3"/>
  <c r="A1448" i="3"/>
  <c r="O1447" i="3"/>
  <c r="N1447" i="3"/>
  <c r="M1447" i="3"/>
  <c r="L1447" i="3"/>
  <c r="K1447" i="3"/>
  <c r="J1447" i="3"/>
  <c r="I1447" i="3"/>
  <c r="H1447" i="3"/>
  <c r="G1447" i="3"/>
  <c r="F1447" i="3"/>
  <c r="E1447" i="3"/>
  <c r="D1447" i="3"/>
  <c r="C1447" i="3"/>
  <c r="B1447" i="3"/>
  <c r="A1447" i="3"/>
  <c r="O1446" i="3"/>
  <c r="N1446" i="3"/>
  <c r="M1446" i="3"/>
  <c r="L1446" i="3"/>
  <c r="K1446" i="3"/>
  <c r="J1446" i="3"/>
  <c r="I1446" i="3"/>
  <c r="H1446" i="3"/>
  <c r="G1446" i="3"/>
  <c r="F1446" i="3"/>
  <c r="E1446" i="3"/>
  <c r="D1446" i="3"/>
  <c r="C1446" i="3"/>
  <c r="B1446" i="3"/>
  <c r="A1446" i="3"/>
  <c r="O1445" i="3"/>
  <c r="N1445" i="3"/>
  <c r="M1445" i="3"/>
  <c r="L1445" i="3"/>
  <c r="K1445" i="3"/>
  <c r="J1445" i="3"/>
  <c r="I1445" i="3"/>
  <c r="H1445" i="3"/>
  <c r="G1445" i="3"/>
  <c r="F1445" i="3"/>
  <c r="E1445" i="3"/>
  <c r="D1445" i="3"/>
  <c r="C1445" i="3"/>
  <c r="B1445" i="3"/>
  <c r="A1445" i="3"/>
  <c r="O1444" i="3"/>
  <c r="N1444" i="3"/>
  <c r="M1444" i="3"/>
  <c r="L1444" i="3"/>
  <c r="K1444" i="3"/>
  <c r="J1444" i="3"/>
  <c r="I1444" i="3"/>
  <c r="H1444" i="3"/>
  <c r="G1444" i="3"/>
  <c r="F1444" i="3"/>
  <c r="E1444" i="3"/>
  <c r="D1444" i="3"/>
  <c r="C1444" i="3"/>
  <c r="B1444" i="3"/>
  <c r="A1444" i="3"/>
  <c r="O1443" i="3"/>
  <c r="N1443" i="3"/>
  <c r="M1443" i="3"/>
  <c r="L1443" i="3"/>
  <c r="K1443" i="3"/>
  <c r="J1443" i="3"/>
  <c r="I1443" i="3"/>
  <c r="H1443" i="3"/>
  <c r="G1443" i="3"/>
  <c r="F1443" i="3"/>
  <c r="E1443" i="3"/>
  <c r="D1443" i="3"/>
  <c r="C1443" i="3"/>
  <c r="B1443" i="3"/>
  <c r="A1443" i="3"/>
  <c r="O1442" i="3"/>
  <c r="N1442" i="3"/>
  <c r="M1442" i="3"/>
  <c r="L1442" i="3"/>
  <c r="K1442" i="3"/>
  <c r="J1442" i="3"/>
  <c r="I1442" i="3"/>
  <c r="H1442" i="3"/>
  <c r="G1442" i="3"/>
  <c r="F1442" i="3"/>
  <c r="E1442" i="3"/>
  <c r="D1442" i="3"/>
  <c r="C1442" i="3"/>
  <c r="B1442" i="3"/>
  <c r="A1442" i="3"/>
  <c r="O1441" i="3"/>
  <c r="N1441" i="3"/>
  <c r="M1441" i="3"/>
  <c r="L1441" i="3"/>
  <c r="K1441" i="3"/>
  <c r="J1441" i="3"/>
  <c r="I1441" i="3"/>
  <c r="H1441" i="3"/>
  <c r="G1441" i="3"/>
  <c r="F1441" i="3"/>
  <c r="E1441" i="3"/>
  <c r="D1441" i="3"/>
  <c r="C1441" i="3"/>
  <c r="B1441" i="3"/>
  <c r="A1441" i="3"/>
  <c r="O1440" i="3"/>
  <c r="N1440" i="3"/>
  <c r="M1440" i="3"/>
  <c r="L1440" i="3"/>
  <c r="K1440" i="3"/>
  <c r="J1440" i="3"/>
  <c r="I1440" i="3"/>
  <c r="H1440" i="3"/>
  <c r="G1440" i="3"/>
  <c r="F1440" i="3"/>
  <c r="E1440" i="3"/>
  <c r="D1440" i="3"/>
  <c r="C1440" i="3"/>
  <c r="B1440" i="3"/>
  <c r="A1440" i="3"/>
  <c r="O1439" i="3"/>
  <c r="N1439" i="3"/>
  <c r="M1439" i="3"/>
  <c r="L1439" i="3"/>
  <c r="K1439" i="3"/>
  <c r="J1439" i="3"/>
  <c r="I1439" i="3"/>
  <c r="H1439" i="3"/>
  <c r="G1439" i="3"/>
  <c r="F1439" i="3"/>
  <c r="E1439" i="3"/>
  <c r="D1439" i="3"/>
  <c r="C1439" i="3"/>
  <c r="B1439" i="3"/>
  <c r="A1439" i="3"/>
  <c r="O1438" i="3"/>
  <c r="N1438" i="3"/>
  <c r="M1438" i="3"/>
  <c r="L1438" i="3"/>
  <c r="K1438" i="3"/>
  <c r="J1438" i="3"/>
  <c r="I1438" i="3"/>
  <c r="H1438" i="3"/>
  <c r="G1438" i="3"/>
  <c r="F1438" i="3"/>
  <c r="E1438" i="3"/>
  <c r="D1438" i="3"/>
  <c r="C1438" i="3"/>
  <c r="B1438" i="3"/>
  <c r="A1438" i="3"/>
  <c r="O1437" i="3"/>
  <c r="N1437" i="3"/>
  <c r="M1437" i="3"/>
  <c r="L1437" i="3"/>
  <c r="K1437" i="3"/>
  <c r="J1437" i="3"/>
  <c r="I1437" i="3"/>
  <c r="H1437" i="3"/>
  <c r="G1437" i="3"/>
  <c r="F1437" i="3"/>
  <c r="E1437" i="3"/>
  <c r="D1437" i="3"/>
  <c r="C1437" i="3"/>
  <c r="B1437" i="3"/>
  <c r="A1437" i="3"/>
  <c r="O1436" i="3"/>
  <c r="N1436" i="3"/>
  <c r="M1436" i="3"/>
  <c r="L1436" i="3"/>
  <c r="K1436" i="3"/>
  <c r="J1436" i="3"/>
  <c r="I1436" i="3"/>
  <c r="H1436" i="3"/>
  <c r="G1436" i="3"/>
  <c r="F1436" i="3"/>
  <c r="E1436" i="3"/>
  <c r="D1436" i="3"/>
  <c r="C1436" i="3"/>
  <c r="B1436" i="3"/>
  <c r="A1436" i="3"/>
  <c r="O1435" i="3"/>
  <c r="N1435" i="3"/>
  <c r="M1435" i="3"/>
  <c r="L1435" i="3"/>
  <c r="K1435" i="3"/>
  <c r="J1435" i="3"/>
  <c r="I1435" i="3"/>
  <c r="H1435" i="3"/>
  <c r="G1435" i="3"/>
  <c r="F1435" i="3"/>
  <c r="E1435" i="3"/>
  <c r="D1435" i="3"/>
  <c r="C1435" i="3"/>
  <c r="B1435" i="3"/>
  <c r="A1435" i="3"/>
  <c r="O1434" i="3"/>
  <c r="N1434" i="3"/>
  <c r="M1434" i="3"/>
  <c r="L1434" i="3"/>
  <c r="K1434" i="3"/>
  <c r="J1434" i="3"/>
  <c r="I1434" i="3"/>
  <c r="H1434" i="3"/>
  <c r="G1434" i="3"/>
  <c r="F1434" i="3"/>
  <c r="E1434" i="3"/>
  <c r="D1434" i="3"/>
  <c r="C1434" i="3"/>
  <c r="B1434" i="3"/>
  <c r="A1434" i="3"/>
  <c r="O1433" i="3"/>
  <c r="N1433" i="3"/>
  <c r="M1433" i="3"/>
  <c r="L1433" i="3"/>
  <c r="K1433" i="3"/>
  <c r="J1433" i="3"/>
  <c r="I1433" i="3"/>
  <c r="H1433" i="3"/>
  <c r="G1433" i="3"/>
  <c r="F1433" i="3"/>
  <c r="E1433" i="3"/>
  <c r="D1433" i="3"/>
  <c r="C1433" i="3"/>
  <c r="B1433" i="3"/>
  <c r="A1433" i="3"/>
  <c r="O1432" i="3"/>
  <c r="N1432" i="3"/>
  <c r="M1432" i="3"/>
  <c r="L1432" i="3"/>
  <c r="K1432" i="3"/>
  <c r="J1432" i="3"/>
  <c r="I1432" i="3"/>
  <c r="H1432" i="3"/>
  <c r="G1432" i="3"/>
  <c r="F1432" i="3"/>
  <c r="E1432" i="3"/>
  <c r="D1432" i="3"/>
  <c r="C1432" i="3"/>
  <c r="B1432" i="3"/>
  <c r="A1432" i="3"/>
  <c r="O1431" i="3"/>
  <c r="N1431" i="3"/>
  <c r="M1431" i="3"/>
  <c r="L1431" i="3"/>
  <c r="K1431" i="3"/>
  <c r="J1431" i="3"/>
  <c r="I1431" i="3"/>
  <c r="H1431" i="3"/>
  <c r="G1431" i="3"/>
  <c r="F1431" i="3"/>
  <c r="E1431" i="3"/>
  <c r="D1431" i="3"/>
  <c r="C1431" i="3"/>
  <c r="B1431" i="3"/>
  <c r="A1431" i="3"/>
  <c r="O1430" i="3"/>
  <c r="N1430" i="3"/>
  <c r="M1430" i="3"/>
  <c r="L1430" i="3"/>
  <c r="K1430" i="3"/>
  <c r="J1430" i="3"/>
  <c r="I1430" i="3"/>
  <c r="H1430" i="3"/>
  <c r="G1430" i="3"/>
  <c r="F1430" i="3"/>
  <c r="E1430" i="3"/>
  <c r="D1430" i="3"/>
  <c r="C1430" i="3"/>
  <c r="B1430" i="3"/>
  <c r="A1430" i="3"/>
  <c r="O1429" i="3"/>
  <c r="N1429" i="3"/>
  <c r="M1429" i="3"/>
  <c r="L1429" i="3"/>
  <c r="K1429" i="3"/>
  <c r="J1429" i="3"/>
  <c r="I1429" i="3"/>
  <c r="H1429" i="3"/>
  <c r="G1429" i="3"/>
  <c r="F1429" i="3"/>
  <c r="E1429" i="3"/>
  <c r="D1429" i="3"/>
  <c r="C1429" i="3"/>
  <c r="B1429" i="3"/>
  <c r="A1429" i="3"/>
  <c r="O1428" i="3"/>
  <c r="N1428" i="3"/>
  <c r="M1428" i="3"/>
  <c r="L1428" i="3"/>
  <c r="K1428" i="3"/>
  <c r="J1428" i="3"/>
  <c r="I1428" i="3"/>
  <c r="H1428" i="3"/>
  <c r="G1428" i="3"/>
  <c r="F1428" i="3"/>
  <c r="E1428" i="3"/>
  <c r="D1428" i="3"/>
  <c r="C1428" i="3"/>
  <c r="B1428" i="3"/>
  <c r="A1428" i="3"/>
  <c r="O1427" i="3"/>
  <c r="N1427" i="3"/>
  <c r="M1427" i="3"/>
  <c r="L1427" i="3"/>
  <c r="K1427" i="3"/>
  <c r="J1427" i="3"/>
  <c r="I1427" i="3"/>
  <c r="H1427" i="3"/>
  <c r="G1427" i="3"/>
  <c r="F1427" i="3"/>
  <c r="E1427" i="3"/>
  <c r="D1427" i="3"/>
  <c r="C1427" i="3"/>
  <c r="B1427" i="3"/>
  <c r="A1427" i="3"/>
  <c r="O1426" i="3"/>
  <c r="N1426" i="3"/>
  <c r="M1426" i="3"/>
  <c r="L1426" i="3"/>
  <c r="K1426" i="3"/>
  <c r="J1426" i="3"/>
  <c r="I1426" i="3"/>
  <c r="H1426" i="3"/>
  <c r="G1426" i="3"/>
  <c r="F1426" i="3"/>
  <c r="E1426" i="3"/>
  <c r="D1426" i="3"/>
  <c r="C1426" i="3"/>
  <c r="B1426" i="3"/>
  <c r="A1426" i="3"/>
  <c r="O1425" i="3"/>
  <c r="N1425" i="3"/>
  <c r="M1425" i="3"/>
  <c r="L1425" i="3"/>
  <c r="K1425" i="3"/>
  <c r="J1425" i="3"/>
  <c r="I1425" i="3"/>
  <c r="H1425" i="3"/>
  <c r="G1425" i="3"/>
  <c r="F1425" i="3"/>
  <c r="E1425" i="3"/>
  <c r="D1425" i="3"/>
  <c r="C1425" i="3"/>
  <c r="B1425" i="3"/>
  <c r="A1425" i="3"/>
  <c r="O1424" i="3"/>
  <c r="N1424" i="3"/>
  <c r="M1424" i="3"/>
  <c r="L1424" i="3"/>
  <c r="K1424" i="3"/>
  <c r="J1424" i="3"/>
  <c r="I1424" i="3"/>
  <c r="H1424" i="3"/>
  <c r="G1424" i="3"/>
  <c r="F1424" i="3"/>
  <c r="E1424" i="3"/>
  <c r="D1424" i="3"/>
  <c r="C1424" i="3"/>
  <c r="B1424" i="3"/>
  <c r="A1424" i="3"/>
  <c r="O1423" i="3"/>
  <c r="N1423" i="3"/>
  <c r="M1423" i="3"/>
  <c r="L1423" i="3"/>
  <c r="K1423" i="3"/>
  <c r="J1423" i="3"/>
  <c r="I1423" i="3"/>
  <c r="H1423" i="3"/>
  <c r="G1423" i="3"/>
  <c r="F1423" i="3"/>
  <c r="E1423" i="3"/>
  <c r="D1423" i="3"/>
  <c r="C1423" i="3"/>
  <c r="B1423" i="3"/>
  <c r="A1423" i="3"/>
  <c r="O1422" i="3"/>
  <c r="N1422" i="3"/>
  <c r="M1422" i="3"/>
  <c r="L1422" i="3"/>
  <c r="K1422" i="3"/>
  <c r="J1422" i="3"/>
  <c r="I1422" i="3"/>
  <c r="H1422" i="3"/>
  <c r="G1422" i="3"/>
  <c r="F1422" i="3"/>
  <c r="E1422" i="3"/>
  <c r="D1422" i="3"/>
  <c r="C1422" i="3"/>
  <c r="B1422" i="3"/>
  <c r="A1422" i="3"/>
  <c r="O1421" i="3"/>
  <c r="N1421" i="3"/>
  <c r="M1421" i="3"/>
  <c r="L1421" i="3"/>
  <c r="K1421" i="3"/>
  <c r="J1421" i="3"/>
  <c r="I1421" i="3"/>
  <c r="H1421" i="3"/>
  <c r="G1421" i="3"/>
  <c r="F1421" i="3"/>
  <c r="E1421" i="3"/>
  <c r="D1421" i="3"/>
  <c r="C1421" i="3"/>
  <c r="B1421" i="3"/>
  <c r="A1421" i="3"/>
  <c r="O1420" i="3"/>
  <c r="N1420" i="3"/>
  <c r="M1420" i="3"/>
  <c r="L1420" i="3"/>
  <c r="K1420" i="3"/>
  <c r="J1420" i="3"/>
  <c r="I1420" i="3"/>
  <c r="H1420" i="3"/>
  <c r="G1420" i="3"/>
  <c r="F1420" i="3"/>
  <c r="E1420" i="3"/>
  <c r="D1420" i="3"/>
  <c r="C1420" i="3"/>
  <c r="B1420" i="3"/>
  <c r="A1420" i="3"/>
  <c r="O1419" i="3"/>
  <c r="N1419" i="3"/>
  <c r="M1419" i="3"/>
  <c r="L1419" i="3"/>
  <c r="K1419" i="3"/>
  <c r="J1419" i="3"/>
  <c r="I1419" i="3"/>
  <c r="H1419" i="3"/>
  <c r="G1419" i="3"/>
  <c r="F1419" i="3"/>
  <c r="E1419" i="3"/>
  <c r="D1419" i="3"/>
  <c r="C1419" i="3"/>
  <c r="B1419" i="3"/>
  <c r="A1419" i="3"/>
  <c r="O1418" i="3"/>
  <c r="N1418" i="3"/>
  <c r="M1418" i="3"/>
  <c r="L1418" i="3"/>
  <c r="K1418" i="3"/>
  <c r="J1418" i="3"/>
  <c r="I1418" i="3"/>
  <c r="H1418" i="3"/>
  <c r="G1418" i="3"/>
  <c r="F1418" i="3"/>
  <c r="E1418" i="3"/>
  <c r="D1418" i="3"/>
  <c r="C1418" i="3"/>
  <c r="B1418" i="3"/>
  <c r="A1418" i="3"/>
  <c r="O1417" i="3"/>
  <c r="N1417" i="3"/>
  <c r="M1417" i="3"/>
  <c r="L1417" i="3"/>
  <c r="K1417" i="3"/>
  <c r="J1417" i="3"/>
  <c r="I1417" i="3"/>
  <c r="H1417" i="3"/>
  <c r="G1417" i="3"/>
  <c r="F1417" i="3"/>
  <c r="E1417" i="3"/>
  <c r="D1417" i="3"/>
  <c r="C1417" i="3"/>
  <c r="B1417" i="3"/>
  <c r="A1417" i="3"/>
  <c r="O1416" i="3"/>
  <c r="N1416" i="3"/>
  <c r="M1416" i="3"/>
  <c r="L1416" i="3"/>
  <c r="K1416" i="3"/>
  <c r="J1416" i="3"/>
  <c r="I1416" i="3"/>
  <c r="H1416" i="3"/>
  <c r="G1416" i="3"/>
  <c r="F1416" i="3"/>
  <c r="E1416" i="3"/>
  <c r="D1416" i="3"/>
  <c r="C1416" i="3"/>
  <c r="B1416" i="3"/>
  <c r="A1416" i="3"/>
  <c r="O1415" i="3"/>
  <c r="N1415" i="3"/>
  <c r="M1415" i="3"/>
  <c r="L1415" i="3"/>
  <c r="K1415" i="3"/>
  <c r="J1415" i="3"/>
  <c r="I1415" i="3"/>
  <c r="H1415" i="3"/>
  <c r="G1415" i="3"/>
  <c r="F1415" i="3"/>
  <c r="E1415" i="3"/>
  <c r="D1415" i="3"/>
  <c r="C1415" i="3"/>
  <c r="B1415" i="3"/>
  <c r="A1415" i="3"/>
  <c r="O1414" i="3"/>
  <c r="N1414" i="3"/>
  <c r="M1414" i="3"/>
  <c r="L1414" i="3"/>
  <c r="K1414" i="3"/>
  <c r="J1414" i="3"/>
  <c r="I1414" i="3"/>
  <c r="H1414" i="3"/>
  <c r="G1414" i="3"/>
  <c r="F1414" i="3"/>
  <c r="E1414" i="3"/>
  <c r="D1414" i="3"/>
  <c r="C1414" i="3"/>
  <c r="B1414" i="3"/>
  <c r="A1414" i="3"/>
  <c r="O1413" i="3"/>
  <c r="N1413" i="3"/>
  <c r="M1413" i="3"/>
  <c r="L1413" i="3"/>
  <c r="K1413" i="3"/>
  <c r="J1413" i="3"/>
  <c r="I1413" i="3"/>
  <c r="H1413" i="3"/>
  <c r="G1413" i="3"/>
  <c r="F1413" i="3"/>
  <c r="E1413" i="3"/>
  <c r="D1413" i="3"/>
  <c r="C1413" i="3"/>
  <c r="B1413" i="3"/>
  <c r="A1413" i="3"/>
  <c r="O1412" i="3"/>
  <c r="N1412" i="3"/>
  <c r="M1412" i="3"/>
  <c r="L1412" i="3"/>
  <c r="K1412" i="3"/>
  <c r="J1412" i="3"/>
  <c r="I1412" i="3"/>
  <c r="H1412" i="3"/>
  <c r="G1412" i="3"/>
  <c r="F1412" i="3"/>
  <c r="E1412" i="3"/>
  <c r="D1412" i="3"/>
  <c r="C1412" i="3"/>
  <c r="B1412" i="3"/>
  <c r="A1412" i="3"/>
  <c r="O1411" i="3"/>
  <c r="N1411" i="3"/>
  <c r="M1411" i="3"/>
  <c r="L1411" i="3"/>
  <c r="K1411" i="3"/>
  <c r="J1411" i="3"/>
  <c r="I1411" i="3"/>
  <c r="H1411" i="3"/>
  <c r="G1411" i="3"/>
  <c r="F1411" i="3"/>
  <c r="E1411" i="3"/>
  <c r="D1411" i="3"/>
  <c r="C1411" i="3"/>
  <c r="B1411" i="3"/>
  <c r="A1411" i="3"/>
  <c r="O1410" i="3"/>
  <c r="N1410" i="3"/>
  <c r="M1410" i="3"/>
  <c r="L1410" i="3"/>
  <c r="K1410" i="3"/>
  <c r="J1410" i="3"/>
  <c r="I1410" i="3"/>
  <c r="H1410" i="3"/>
  <c r="G1410" i="3"/>
  <c r="F1410" i="3"/>
  <c r="E1410" i="3"/>
  <c r="D1410" i="3"/>
  <c r="C1410" i="3"/>
  <c r="B1410" i="3"/>
  <c r="A1410" i="3"/>
  <c r="O1409" i="3"/>
  <c r="N1409" i="3"/>
  <c r="M1409" i="3"/>
  <c r="L1409" i="3"/>
  <c r="K1409" i="3"/>
  <c r="J1409" i="3"/>
  <c r="I1409" i="3"/>
  <c r="H1409" i="3"/>
  <c r="G1409" i="3"/>
  <c r="F1409" i="3"/>
  <c r="E1409" i="3"/>
  <c r="D1409" i="3"/>
  <c r="C1409" i="3"/>
  <c r="B1409" i="3"/>
  <c r="A1409" i="3"/>
  <c r="O1408" i="3"/>
  <c r="N1408" i="3"/>
  <c r="M1408" i="3"/>
  <c r="L1408" i="3"/>
  <c r="K1408" i="3"/>
  <c r="J1408" i="3"/>
  <c r="I1408" i="3"/>
  <c r="H1408" i="3"/>
  <c r="G1408" i="3"/>
  <c r="F1408" i="3"/>
  <c r="E1408" i="3"/>
  <c r="D1408" i="3"/>
  <c r="C1408" i="3"/>
  <c r="B1408" i="3"/>
  <c r="A1408" i="3"/>
  <c r="O1407" i="3"/>
  <c r="N1407" i="3"/>
  <c r="M1407" i="3"/>
  <c r="L1407" i="3"/>
  <c r="K1407" i="3"/>
  <c r="J1407" i="3"/>
  <c r="I1407" i="3"/>
  <c r="H1407" i="3"/>
  <c r="G1407" i="3"/>
  <c r="F1407" i="3"/>
  <c r="E1407" i="3"/>
  <c r="D1407" i="3"/>
  <c r="C1407" i="3"/>
  <c r="B1407" i="3"/>
  <c r="A1407" i="3"/>
  <c r="O1406" i="3"/>
  <c r="N1406" i="3"/>
  <c r="M1406" i="3"/>
  <c r="L1406" i="3"/>
  <c r="K1406" i="3"/>
  <c r="J1406" i="3"/>
  <c r="I1406" i="3"/>
  <c r="H1406" i="3"/>
  <c r="G1406" i="3"/>
  <c r="F1406" i="3"/>
  <c r="E1406" i="3"/>
  <c r="D1406" i="3"/>
  <c r="C1406" i="3"/>
  <c r="B1406" i="3"/>
  <c r="A1406" i="3"/>
  <c r="O1405" i="3"/>
  <c r="N1405" i="3"/>
  <c r="M1405" i="3"/>
  <c r="L1405" i="3"/>
  <c r="K1405" i="3"/>
  <c r="J1405" i="3"/>
  <c r="I1405" i="3"/>
  <c r="H1405" i="3"/>
  <c r="G1405" i="3"/>
  <c r="F1405" i="3"/>
  <c r="E1405" i="3"/>
  <c r="D1405" i="3"/>
  <c r="C1405" i="3"/>
  <c r="B1405" i="3"/>
  <c r="A1405" i="3"/>
  <c r="O1404" i="3"/>
  <c r="N1404" i="3"/>
  <c r="M1404" i="3"/>
  <c r="L1404" i="3"/>
  <c r="K1404" i="3"/>
  <c r="J1404" i="3"/>
  <c r="I1404" i="3"/>
  <c r="H1404" i="3"/>
  <c r="G1404" i="3"/>
  <c r="F1404" i="3"/>
  <c r="E1404" i="3"/>
  <c r="D1404" i="3"/>
  <c r="C1404" i="3"/>
  <c r="B1404" i="3"/>
  <c r="A1404" i="3"/>
  <c r="O1403" i="3"/>
  <c r="N1403" i="3"/>
  <c r="M1403" i="3"/>
  <c r="L1403" i="3"/>
  <c r="K1403" i="3"/>
  <c r="J1403" i="3"/>
  <c r="I1403" i="3"/>
  <c r="H1403" i="3"/>
  <c r="G1403" i="3"/>
  <c r="F1403" i="3"/>
  <c r="E1403" i="3"/>
  <c r="D1403" i="3"/>
  <c r="C1403" i="3"/>
  <c r="B1403" i="3"/>
  <c r="A1403" i="3"/>
  <c r="O1402" i="3"/>
  <c r="N1402" i="3"/>
  <c r="M1402" i="3"/>
  <c r="L1402" i="3"/>
  <c r="K1402" i="3"/>
  <c r="J1402" i="3"/>
  <c r="I1402" i="3"/>
  <c r="H1402" i="3"/>
  <c r="G1402" i="3"/>
  <c r="F1402" i="3"/>
  <c r="E1402" i="3"/>
  <c r="D1402" i="3"/>
  <c r="C1402" i="3"/>
  <c r="B1402" i="3"/>
  <c r="A1402" i="3"/>
  <c r="O1401" i="3"/>
  <c r="N1401" i="3"/>
  <c r="M1401" i="3"/>
  <c r="L1401" i="3"/>
  <c r="K1401" i="3"/>
  <c r="J1401" i="3"/>
  <c r="I1401" i="3"/>
  <c r="H1401" i="3"/>
  <c r="G1401" i="3"/>
  <c r="F1401" i="3"/>
  <c r="E1401" i="3"/>
  <c r="D1401" i="3"/>
  <c r="C1401" i="3"/>
  <c r="B1401" i="3"/>
  <c r="A1401" i="3"/>
  <c r="O1400" i="3"/>
  <c r="N1400" i="3"/>
  <c r="M1400" i="3"/>
  <c r="L1400" i="3"/>
  <c r="K1400" i="3"/>
  <c r="J1400" i="3"/>
  <c r="I1400" i="3"/>
  <c r="H1400" i="3"/>
  <c r="G1400" i="3"/>
  <c r="F1400" i="3"/>
  <c r="E1400" i="3"/>
  <c r="D1400" i="3"/>
  <c r="C1400" i="3"/>
  <c r="B1400" i="3"/>
  <c r="A1400" i="3"/>
  <c r="O1399" i="3"/>
  <c r="N1399" i="3"/>
  <c r="M1399" i="3"/>
  <c r="L1399" i="3"/>
  <c r="K1399" i="3"/>
  <c r="J1399" i="3"/>
  <c r="I1399" i="3"/>
  <c r="H1399" i="3"/>
  <c r="G1399" i="3"/>
  <c r="F1399" i="3"/>
  <c r="E1399" i="3"/>
  <c r="D1399" i="3"/>
  <c r="C1399" i="3"/>
  <c r="B1399" i="3"/>
  <c r="A1399" i="3"/>
  <c r="O1398" i="3"/>
  <c r="N1398" i="3"/>
  <c r="M1398" i="3"/>
  <c r="L1398" i="3"/>
  <c r="K1398" i="3"/>
  <c r="J1398" i="3"/>
  <c r="I1398" i="3"/>
  <c r="H1398" i="3"/>
  <c r="G1398" i="3"/>
  <c r="F1398" i="3"/>
  <c r="E1398" i="3"/>
  <c r="D1398" i="3"/>
  <c r="C1398" i="3"/>
  <c r="B1398" i="3"/>
  <c r="A1398" i="3"/>
  <c r="O1397" i="3"/>
  <c r="N1397" i="3"/>
  <c r="M1397" i="3"/>
  <c r="L1397" i="3"/>
  <c r="K1397" i="3"/>
  <c r="J1397" i="3"/>
  <c r="I1397" i="3"/>
  <c r="H1397" i="3"/>
  <c r="G1397" i="3"/>
  <c r="F1397" i="3"/>
  <c r="E1397" i="3"/>
  <c r="D1397" i="3"/>
  <c r="C1397" i="3"/>
  <c r="B1397" i="3"/>
  <c r="A1397" i="3"/>
  <c r="O1396" i="3"/>
  <c r="N1396" i="3"/>
  <c r="M1396" i="3"/>
  <c r="L1396" i="3"/>
  <c r="K1396" i="3"/>
  <c r="J1396" i="3"/>
  <c r="I1396" i="3"/>
  <c r="H1396" i="3"/>
  <c r="G1396" i="3"/>
  <c r="F1396" i="3"/>
  <c r="E1396" i="3"/>
  <c r="D1396" i="3"/>
  <c r="C1396" i="3"/>
  <c r="B1396" i="3"/>
  <c r="A1396" i="3"/>
  <c r="O1395" i="3"/>
  <c r="N1395" i="3"/>
  <c r="M1395" i="3"/>
  <c r="L1395" i="3"/>
  <c r="K1395" i="3"/>
  <c r="J1395" i="3"/>
  <c r="I1395" i="3"/>
  <c r="H1395" i="3"/>
  <c r="G1395" i="3"/>
  <c r="F1395" i="3"/>
  <c r="E1395" i="3"/>
  <c r="D1395" i="3"/>
  <c r="C1395" i="3"/>
  <c r="B1395" i="3"/>
  <c r="A1395" i="3"/>
  <c r="O1394" i="3"/>
  <c r="N1394" i="3"/>
  <c r="M1394" i="3"/>
  <c r="L1394" i="3"/>
  <c r="K1394" i="3"/>
  <c r="J1394" i="3"/>
  <c r="I1394" i="3"/>
  <c r="H1394" i="3"/>
  <c r="G1394" i="3"/>
  <c r="F1394" i="3"/>
  <c r="E1394" i="3"/>
  <c r="D1394" i="3"/>
  <c r="C1394" i="3"/>
  <c r="B1394" i="3"/>
  <c r="A1394" i="3"/>
  <c r="O1393" i="3"/>
  <c r="N1393" i="3"/>
  <c r="M1393" i="3"/>
  <c r="L1393" i="3"/>
  <c r="K1393" i="3"/>
  <c r="J1393" i="3"/>
  <c r="I1393" i="3"/>
  <c r="H1393" i="3"/>
  <c r="G1393" i="3"/>
  <c r="F1393" i="3"/>
  <c r="E1393" i="3"/>
  <c r="D1393" i="3"/>
  <c r="C1393" i="3"/>
  <c r="B1393" i="3"/>
  <c r="A1393" i="3"/>
  <c r="O1392" i="3"/>
  <c r="N1392" i="3"/>
  <c r="M1392" i="3"/>
  <c r="L1392" i="3"/>
  <c r="K1392" i="3"/>
  <c r="J1392" i="3"/>
  <c r="I1392" i="3"/>
  <c r="H1392" i="3"/>
  <c r="G1392" i="3"/>
  <c r="F1392" i="3"/>
  <c r="E1392" i="3"/>
  <c r="D1392" i="3"/>
  <c r="C1392" i="3"/>
  <c r="B1392" i="3"/>
  <c r="A1392" i="3"/>
  <c r="O1391" i="3"/>
  <c r="N1391" i="3"/>
  <c r="M1391" i="3"/>
  <c r="L1391" i="3"/>
  <c r="K1391" i="3"/>
  <c r="J1391" i="3"/>
  <c r="I1391" i="3"/>
  <c r="H1391" i="3"/>
  <c r="G1391" i="3"/>
  <c r="F1391" i="3"/>
  <c r="E1391" i="3"/>
  <c r="D1391" i="3"/>
  <c r="C1391" i="3"/>
  <c r="B1391" i="3"/>
  <c r="A1391" i="3"/>
  <c r="O1390" i="3"/>
  <c r="N1390" i="3"/>
  <c r="M1390" i="3"/>
  <c r="L1390" i="3"/>
  <c r="K1390" i="3"/>
  <c r="J1390" i="3"/>
  <c r="I1390" i="3"/>
  <c r="H1390" i="3"/>
  <c r="G1390" i="3"/>
  <c r="F1390" i="3"/>
  <c r="E1390" i="3"/>
  <c r="D1390" i="3"/>
  <c r="C1390" i="3"/>
  <c r="B1390" i="3"/>
  <c r="A1390" i="3"/>
  <c r="O1389" i="3"/>
  <c r="N1389" i="3"/>
  <c r="M1389" i="3"/>
  <c r="L1389" i="3"/>
  <c r="K1389" i="3"/>
  <c r="J1389" i="3"/>
  <c r="I1389" i="3"/>
  <c r="H1389" i="3"/>
  <c r="G1389" i="3"/>
  <c r="F1389" i="3"/>
  <c r="E1389" i="3"/>
  <c r="D1389" i="3"/>
  <c r="C1389" i="3"/>
  <c r="B1389" i="3"/>
  <c r="A1389" i="3"/>
  <c r="O1388" i="3"/>
  <c r="N1388" i="3"/>
  <c r="M1388" i="3"/>
  <c r="L1388" i="3"/>
  <c r="K1388" i="3"/>
  <c r="J1388" i="3"/>
  <c r="I1388" i="3"/>
  <c r="H1388" i="3"/>
  <c r="G1388" i="3"/>
  <c r="F1388" i="3"/>
  <c r="E1388" i="3"/>
  <c r="D1388" i="3"/>
  <c r="C1388" i="3"/>
  <c r="B1388" i="3"/>
  <c r="A1388" i="3"/>
  <c r="O1387" i="3"/>
  <c r="N1387" i="3"/>
  <c r="M1387" i="3"/>
  <c r="L1387" i="3"/>
  <c r="K1387" i="3"/>
  <c r="J1387" i="3"/>
  <c r="I1387" i="3"/>
  <c r="H1387" i="3"/>
  <c r="G1387" i="3"/>
  <c r="F1387" i="3"/>
  <c r="E1387" i="3"/>
  <c r="D1387" i="3"/>
  <c r="C1387" i="3"/>
  <c r="B1387" i="3"/>
  <c r="A1387" i="3"/>
  <c r="O1386" i="3"/>
  <c r="N1386" i="3"/>
  <c r="M1386" i="3"/>
  <c r="L1386" i="3"/>
  <c r="K1386" i="3"/>
  <c r="J1386" i="3"/>
  <c r="I1386" i="3"/>
  <c r="H1386" i="3"/>
  <c r="G1386" i="3"/>
  <c r="F1386" i="3"/>
  <c r="E1386" i="3"/>
  <c r="D1386" i="3"/>
  <c r="C1386" i="3"/>
  <c r="B1386" i="3"/>
  <c r="A1386" i="3"/>
  <c r="O1385" i="3"/>
  <c r="N1385" i="3"/>
  <c r="M1385" i="3"/>
  <c r="L1385" i="3"/>
  <c r="K1385" i="3"/>
  <c r="J1385" i="3"/>
  <c r="I1385" i="3"/>
  <c r="H1385" i="3"/>
  <c r="G1385" i="3"/>
  <c r="F1385" i="3"/>
  <c r="E1385" i="3"/>
  <c r="D1385" i="3"/>
  <c r="C1385" i="3"/>
  <c r="B1385" i="3"/>
  <c r="A1385" i="3"/>
  <c r="O1384" i="3"/>
  <c r="N1384" i="3"/>
  <c r="M1384" i="3"/>
  <c r="L1384" i="3"/>
  <c r="K1384" i="3"/>
  <c r="J1384" i="3"/>
  <c r="I1384" i="3"/>
  <c r="H1384" i="3"/>
  <c r="G1384" i="3"/>
  <c r="F1384" i="3"/>
  <c r="E1384" i="3"/>
  <c r="D1384" i="3"/>
  <c r="C1384" i="3"/>
  <c r="B1384" i="3"/>
  <c r="A1384" i="3"/>
  <c r="O1383" i="3"/>
  <c r="N1383" i="3"/>
  <c r="M1383" i="3"/>
  <c r="L1383" i="3"/>
  <c r="K1383" i="3"/>
  <c r="J1383" i="3"/>
  <c r="I1383" i="3"/>
  <c r="H1383" i="3"/>
  <c r="G1383" i="3"/>
  <c r="F1383" i="3"/>
  <c r="E1383" i="3"/>
  <c r="D1383" i="3"/>
  <c r="C1383" i="3"/>
  <c r="B1383" i="3"/>
  <c r="A1383" i="3"/>
  <c r="O1382" i="3"/>
  <c r="N1382" i="3"/>
  <c r="M1382" i="3"/>
  <c r="L1382" i="3"/>
  <c r="K1382" i="3"/>
  <c r="J1382" i="3"/>
  <c r="I1382" i="3"/>
  <c r="H1382" i="3"/>
  <c r="G1382" i="3"/>
  <c r="F1382" i="3"/>
  <c r="E1382" i="3"/>
  <c r="D1382" i="3"/>
  <c r="C1382" i="3"/>
  <c r="B1382" i="3"/>
  <c r="A1382" i="3"/>
  <c r="O1381" i="3"/>
  <c r="N1381" i="3"/>
  <c r="M1381" i="3"/>
  <c r="L1381" i="3"/>
  <c r="K1381" i="3"/>
  <c r="J1381" i="3"/>
  <c r="I1381" i="3"/>
  <c r="H1381" i="3"/>
  <c r="G1381" i="3"/>
  <c r="F1381" i="3"/>
  <c r="E1381" i="3"/>
  <c r="D1381" i="3"/>
  <c r="C1381" i="3"/>
  <c r="B1381" i="3"/>
  <c r="A1381" i="3"/>
  <c r="O1380" i="3"/>
  <c r="N1380" i="3"/>
  <c r="M1380" i="3"/>
  <c r="L1380" i="3"/>
  <c r="K1380" i="3"/>
  <c r="J1380" i="3"/>
  <c r="I1380" i="3"/>
  <c r="H1380" i="3"/>
  <c r="G1380" i="3"/>
  <c r="F1380" i="3"/>
  <c r="E1380" i="3"/>
  <c r="D1380" i="3"/>
  <c r="C1380" i="3"/>
  <c r="B1380" i="3"/>
  <c r="A1380" i="3"/>
  <c r="O1379" i="3"/>
  <c r="N1379" i="3"/>
  <c r="M1379" i="3"/>
  <c r="L1379" i="3"/>
  <c r="K1379" i="3"/>
  <c r="J1379" i="3"/>
  <c r="I1379" i="3"/>
  <c r="H1379" i="3"/>
  <c r="G1379" i="3"/>
  <c r="F1379" i="3"/>
  <c r="E1379" i="3"/>
  <c r="D1379" i="3"/>
  <c r="C1379" i="3"/>
  <c r="B1379" i="3"/>
  <c r="A1379" i="3"/>
  <c r="O1378" i="3"/>
  <c r="N1378" i="3"/>
  <c r="M1378" i="3"/>
  <c r="L1378" i="3"/>
  <c r="K1378" i="3"/>
  <c r="J1378" i="3"/>
  <c r="I1378" i="3"/>
  <c r="H1378" i="3"/>
  <c r="G1378" i="3"/>
  <c r="F1378" i="3"/>
  <c r="E1378" i="3"/>
  <c r="D1378" i="3"/>
  <c r="C1378" i="3"/>
  <c r="B1378" i="3"/>
  <c r="A1378" i="3"/>
  <c r="O1377" i="3"/>
  <c r="N1377" i="3"/>
  <c r="M1377" i="3"/>
  <c r="L1377" i="3"/>
  <c r="K1377" i="3"/>
  <c r="J1377" i="3"/>
  <c r="I1377" i="3"/>
  <c r="H1377" i="3"/>
  <c r="G1377" i="3"/>
  <c r="F1377" i="3"/>
  <c r="E1377" i="3"/>
  <c r="D1377" i="3"/>
  <c r="C1377" i="3"/>
  <c r="B1377" i="3"/>
  <c r="A1377" i="3"/>
  <c r="O1376" i="3"/>
  <c r="N1376" i="3"/>
  <c r="M1376" i="3"/>
  <c r="L1376" i="3"/>
  <c r="K1376" i="3"/>
  <c r="J1376" i="3"/>
  <c r="I1376" i="3"/>
  <c r="H1376" i="3"/>
  <c r="G1376" i="3"/>
  <c r="F1376" i="3"/>
  <c r="E1376" i="3"/>
  <c r="D1376" i="3"/>
  <c r="C1376" i="3"/>
  <c r="B1376" i="3"/>
  <c r="A1376" i="3"/>
  <c r="O1375" i="3"/>
  <c r="N1375" i="3"/>
  <c r="M1375" i="3"/>
  <c r="L1375" i="3"/>
  <c r="K1375" i="3"/>
  <c r="J1375" i="3"/>
  <c r="I1375" i="3"/>
  <c r="H1375" i="3"/>
  <c r="G1375" i="3"/>
  <c r="F1375" i="3"/>
  <c r="E1375" i="3"/>
  <c r="D1375" i="3"/>
  <c r="C1375" i="3"/>
  <c r="B1375" i="3"/>
  <c r="A1375" i="3"/>
  <c r="O1374" i="3"/>
  <c r="N1374" i="3"/>
  <c r="M1374" i="3"/>
  <c r="L1374" i="3"/>
  <c r="K1374" i="3"/>
  <c r="J1374" i="3"/>
  <c r="I1374" i="3"/>
  <c r="H1374" i="3"/>
  <c r="G1374" i="3"/>
  <c r="F1374" i="3"/>
  <c r="E1374" i="3"/>
  <c r="D1374" i="3"/>
  <c r="C1374" i="3"/>
  <c r="B1374" i="3"/>
  <c r="A1374" i="3"/>
  <c r="O1373" i="3"/>
  <c r="N1373" i="3"/>
  <c r="M1373" i="3"/>
  <c r="L1373" i="3"/>
  <c r="K1373" i="3"/>
  <c r="J1373" i="3"/>
  <c r="I1373" i="3"/>
  <c r="H1373" i="3"/>
  <c r="G1373" i="3"/>
  <c r="F1373" i="3"/>
  <c r="E1373" i="3"/>
  <c r="D1373" i="3"/>
  <c r="C1373" i="3"/>
  <c r="B1373" i="3"/>
  <c r="A1373" i="3"/>
  <c r="O1372" i="3"/>
  <c r="N1372" i="3"/>
  <c r="M1372" i="3"/>
  <c r="L1372" i="3"/>
  <c r="K1372" i="3"/>
  <c r="J1372" i="3"/>
  <c r="I1372" i="3"/>
  <c r="H1372" i="3"/>
  <c r="G1372" i="3"/>
  <c r="F1372" i="3"/>
  <c r="E1372" i="3"/>
  <c r="D1372" i="3"/>
  <c r="C1372" i="3"/>
  <c r="B1372" i="3"/>
  <c r="A1372" i="3"/>
  <c r="O1371" i="3"/>
  <c r="N1371" i="3"/>
  <c r="M1371" i="3"/>
  <c r="L1371" i="3"/>
  <c r="K1371" i="3"/>
  <c r="J1371" i="3"/>
  <c r="I1371" i="3"/>
  <c r="H1371" i="3"/>
  <c r="G1371" i="3"/>
  <c r="F1371" i="3"/>
  <c r="E1371" i="3"/>
  <c r="D1371" i="3"/>
  <c r="C1371" i="3"/>
  <c r="B1371" i="3"/>
  <c r="A1371" i="3"/>
  <c r="O1370" i="3"/>
  <c r="N1370" i="3"/>
  <c r="M1370" i="3"/>
  <c r="L1370" i="3"/>
  <c r="K1370" i="3"/>
  <c r="J1370" i="3"/>
  <c r="I1370" i="3"/>
  <c r="H1370" i="3"/>
  <c r="G1370" i="3"/>
  <c r="F1370" i="3"/>
  <c r="E1370" i="3"/>
  <c r="D1370" i="3"/>
  <c r="C1370" i="3"/>
  <c r="B1370" i="3"/>
  <c r="A1370" i="3"/>
  <c r="O1369" i="3"/>
  <c r="N1369" i="3"/>
  <c r="M1369" i="3"/>
  <c r="L1369" i="3"/>
  <c r="K1369" i="3"/>
  <c r="J1369" i="3"/>
  <c r="I1369" i="3"/>
  <c r="H1369" i="3"/>
  <c r="G1369" i="3"/>
  <c r="F1369" i="3"/>
  <c r="E1369" i="3"/>
  <c r="D1369" i="3"/>
  <c r="C1369" i="3"/>
  <c r="B1369" i="3"/>
  <c r="A1369" i="3"/>
  <c r="O1368" i="3"/>
  <c r="N1368" i="3"/>
  <c r="M1368" i="3"/>
  <c r="L1368" i="3"/>
  <c r="K1368" i="3"/>
  <c r="J1368" i="3"/>
  <c r="I1368" i="3"/>
  <c r="H1368" i="3"/>
  <c r="G1368" i="3"/>
  <c r="F1368" i="3"/>
  <c r="E1368" i="3"/>
  <c r="D1368" i="3"/>
  <c r="C1368" i="3"/>
  <c r="B1368" i="3"/>
  <c r="A1368" i="3"/>
  <c r="O1367" i="3"/>
  <c r="N1367" i="3"/>
  <c r="M1367" i="3"/>
  <c r="L1367" i="3"/>
  <c r="K1367" i="3"/>
  <c r="J1367" i="3"/>
  <c r="I1367" i="3"/>
  <c r="H1367" i="3"/>
  <c r="G1367" i="3"/>
  <c r="F1367" i="3"/>
  <c r="E1367" i="3"/>
  <c r="D1367" i="3"/>
  <c r="C1367" i="3"/>
  <c r="B1367" i="3"/>
  <c r="A1367" i="3"/>
  <c r="O1366" i="3"/>
  <c r="N1366" i="3"/>
  <c r="M1366" i="3"/>
  <c r="L1366" i="3"/>
  <c r="K1366" i="3"/>
  <c r="J1366" i="3"/>
  <c r="I1366" i="3"/>
  <c r="H1366" i="3"/>
  <c r="G1366" i="3"/>
  <c r="F1366" i="3"/>
  <c r="E1366" i="3"/>
  <c r="D1366" i="3"/>
  <c r="C1366" i="3"/>
  <c r="B1366" i="3"/>
  <c r="A1366" i="3"/>
  <c r="O1365" i="3"/>
  <c r="N1365" i="3"/>
  <c r="M1365" i="3"/>
  <c r="L1365" i="3"/>
  <c r="K1365" i="3"/>
  <c r="J1365" i="3"/>
  <c r="I1365" i="3"/>
  <c r="H1365" i="3"/>
  <c r="G1365" i="3"/>
  <c r="F1365" i="3"/>
  <c r="E1365" i="3"/>
  <c r="D1365" i="3"/>
  <c r="C1365" i="3"/>
  <c r="B1365" i="3"/>
  <c r="A1365" i="3"/>
  <c r="O1364" i="3"/>
  <c r="N1364" i="3"/>
  <c r="M1364" i="3"/>
  <c r="L1364" i="3"/>
  <c r="K1364" i="3"/>
  <c r="J1364" i="3"/>
  <c r="I1364" i="3"/>
  <c r="H1364" i="3"/>
  <c r="G1364" i="3"/>
  <c r="F1364" i="3"/>
  <c r="E1364" i="3"/>
  <c r="D1364" i="3"/>
  <c r="C1364" i="3"/>
  <c r="B1364" i="3"/>
  <c r="A1364" i="3"/>
  <c r="O1363" i="3"/>
  <c r="N1363" i="3"/>
  <c r="M1363" i="3"/>
  <c r="L1363" i="3"/>
  <c r="K1363" i="3"/>
  <c r="J1363" i="3"/>
  <c r="I1363" i="3"/>
  <c r="H1363" i="3"/>
  <c r="G1363" i="3"/>
  <c r="F1363" i="3"/>
  <c r="E1363" i="3"/>
  <c r="D1363" i="3"/>
  <c r="C1363" i="3"/>
  <c r="B1363" i="3"/>
  <c r="A1363" i="3"/>
  <c r="O1362" i="3"/>
  <c r="N1362" i="3"/>
  <c r="M1362" i="3"/>
  <c r="L1362" i="3"/>
  <c r="K1362" i="3"/>
  <c r="J1362" i="3"/>
  <c r="I1362" i="3"/>
  <c r="H1362" i="3"/>
  <c r="G1362" i="3"/>
  <c r="F1362" i="3"/>
  <c r="E1362" i="3"/>
  <c r="D1362" i="3"/>
  <c r="C1362" i="3"/>
  <c r="B1362" i="3"/>
  <c r="A1362" i="3"/>
  <c r="O1361" i="3"/>
  <c r="N1361" i="3"/>
  <c r="M1361" i="3"/>
  <c r="L1361" i="3"/>
  <c r="K1361" i="3"/>
  <c r="J1361" i="3"/>
  <c r="I1361" i="3"/>
  <c r="H1361" i="3"/>
  <c r="G1361" i="3"/>
  <c r="F1361" i="3"/>
  <c r="E1361" i="3"/>
  <c r="D1361" i="3"/>
  <c r="C1361" i="3"/>
  <c r="B1361" i="3"/>
  <c r="A1361" i="3"/>
  <c r="O1360" i="3"/>
  <c r="N1360" i="3"/>
  <c r="M1360" i="3"/>
  <c r="L1360" i="3"/>
  <c r="K1360" i="3"/>
  <c r="J1360" i="3"/>
  <c r="I1360" i="3"/>
  <c r="H1360" i="3"/>
  <c r="G1360" i="3"/>
  <c r="F1360" i="3"/>
  <c r="E1360" i="3"/>
  <c r="D1360" i="3"/>
  <c r="C1360" i="3"/>
  <c r="B1360" i="3"/>
  <c r="A1360" i="3"/>
  <c r="O1359" i="3"/>
  <c r="N1359" i="3"/>
  <c r="M1359" i="3"/>
  <c r="L1359" i="3"/>
  <c r="K1359" i="3"/>
  <c r="J1359" i="3"/>
  <c r="I1359" i="3"/>
  <c r="H1359" i="3"/>
  <c r="G1359" i="3"/>
  <c r="F1359" i="3"/>
  <c r="E1359" i="3"/>
  <c r="D1359" i="3"/>
  <c r="C1359" i="3"/>
  <c r="B1359" i="3"/>
  <c r="A1359" i="3"/>
  <c r="O1358" i="3"/>
  <c r="N1358" i="3"/>
  <c r="M1358" i="3"/>
  <c r="L1358" i="3"/>
  <c r="K1358" i="3"/>
  <c r="J1358" i="3"/>
  <c r="I1358" i="3"/>
  <c r="H1358" i="3"/>
  <c r="G1358" i="3"/>
  <c r="F1358" i="3"/>
  <c r="E1358" i="3"/>
  <c r="D1358" i="3"/>
  <c r="C1358" i="3"/>
  <c r="B1358" i="3"/>
  <c r="A1358" i="3"/>
  <c r="O1357" i="3"/>
  <c r="N1357" i="3"/>
  <c r="M1357" i="3"/>
  <c r="L1357" i="3"/>
  <c r="K1357" i="3"/>
  <c r="J1357" i="3"/>
  <c r="I1357" i="3"/>
  <c r="H1357" i="3"/>
  <c r="G1357" i="3"/>
  <c r="F1357" i="3"/>
  <c r="E1357" i="3"/>
  <c r="D1357" i="3"/>
  <c r="C1357" i="3"/>
  <c r="B1357" i="3"/>
  <c r="A1357" i="3"/>
  <c r="O1356" i="3"/>
  <c r="N1356" i="3"/>
  <c r="M1356" i="3"/>
  <c r="L1356" i="3"/>
  <c r="K1356" i="3"/>
  <c r="J1356" i="3"/>
  <c r="I1356" i="3"/>
  <c r="H1356" i="3"/>
  <c r="G1356" i="3"/>
  <c r="F1356" i="3"/>
  <c r="E1356" i="3"/>
  <c r="D1356" i="3"/>
  <c r="C1356" i="3"/>
  <c r="B1356" i="3"/>
  <c r="A1356" i="3"/>
  <c r="O1355" i="3"/>
  <c r="N1355" i="3"/>
  <c r="M1355" i="3"/>
  <c r="L1355" i="3"/>
  <c r="K1355" i="3"/>
  <c r="J1355" i="3"/>
  <c r="I1355" i="3"/>
  <c r="H1355" i="3"/>
  <c r="G1355" i="3"/>
  <c r="F1355" i="3"/>
  <c r="E1355" i="3"/>
  <c r="D1355" i="3"/>
  <c r="C1355" i="3"/>
  <c r="B1355" i="3"/>
  <c r="A1355" i="3"/>
  <c r="O1354" i="3"/>
  <c r="N1354" i="3"/>
  <c r="M1354" i="3"/>
  <c r="L1354" i="3"/>
  <c r="K1354" i="3"/>
  <c r="J1354" i="3"/>
  <c r="I1354" i="3"/>
  <c r="H1354" i="3"/>
  <c r="G1354" i="3"/>
  <c r="F1354" i="3"/>
  <c r="E1354" i="3"/>
  <c r="D1354" i="3"/>
  <c r="C1354" i="3"/>
  <c r="B1354" i="3"/>
  <c r="A1354" i="3"/>
  <c r="O1353" i="3"/>
  <c r="N1353" i="3"/>
  <c r="M1353" i="3"/>
  <c r="L1353" i="3"/>
  <c r="K1353" i="3"/>
  <c r="J1353" i="3"/>
  <c r="I1353" i="3"/>
  <c r="H1353" i="3"/>
  <c r="G1353" i="3"/>
  <c r="F1353" i="3"/>
  <c r="E1353" i="3"/>
  <c r="D1353" i="3"/>
  <c r="C1353" i="3"/>
  <c r="B1353" i="3"/>
  <c r="A1353" i="3"/>
  <c r="O1352" i="3"/>
  <c r="N1352" i="3"/>
  <c r="M1352" i="3"/>
  <c r="L1352" i="3"/>
  <c r="K1352" i="3"/>
  <c r="J1352" i="3"/>
  <c r="I1352" i="3"/>
  <c r="H1352" i="3"/>
  <c r="G1352" i="3"/>
  <c r="F1352" i="3"/>
  <c r="E1352" i="3"/>
  <c r="D1352" i="3"/>
  <c r="C1352" i="3"/>
  <c r="B1352" i="3"/>
  <c r="A1352" i="3"/>
  <c r="O1351" i="3"/>
  <c r="N1351" i="3"/>
  <c r="M1351" i="3"/>
  <c r="L1351" i="3"/>
  <c r="K1351" i="3"/>
  <c r="J1351" i="3"/>
  <c r="I1351" i="3"/>
  <c r="H1351" i="3"/>
  <c r="G1351" i="3"/>
  <c r="F1351" i="3"/>
  <c r="E1351" i="3"/>
  <c r="D1351" i="3"/>
  <c r="C1351" i="3"/>
  <c r="B1351" i="3"/>
  <c r="A1351" i="3"/>
  <c r="O1350" i="3"/>
  <c r="N1350" i="3"/>
  <c r="M1350" i="3"/>
  <c r="L1350" i="3"/>
  <c r="K1350" i="3"/>
  <c r="J1350" i="3"/>
  <c r="I1350" i="3"/>
  <c r="H1350" i="3"/>
  <c r="G1350" i="3"/>
  <c r="F1350" i="3"/>
  <c r="E1350" i="3"/>
  <c r="D1350" i="3"/>
  <c r="C1350" i="3"/>
  <c r="B1350" i="3"/>
  <c r="A1350" i="3"/>
  <c r="O1349" i="3"/>
  <c r="N1349" i="3"/>
  <c r="M1349" i="3"/>
  <c r="L1349" i="3"/>
  <c r="K1349" i="3"/>
  <c r="J1349" i="3"/>
  <c r="I1349" i="3"/>
  <c r="H1349" i="3"/>
  <c r="G1349" i="3"/>
  <c r="F1349" i="3"/>
  <c r="E1349" i="3"/>
  <c r="D1349" i="3"/>
  <c r="C1349" i="3"/>
  <c r="B1349" i="3"/>
  <c r="A1349" i="3"/>
  <c r="O1348" i="3"/>
  <c r="N1348" i="3"/>
  <c r="M1348" i="3"/>
  <c r="L1348" i="3"/>
  <c r="K1348" i="3"/>
  <c r="J1348" i="3"/>
  <c r="I1348" i="3"/>
  <c r="H1348" i="3"/>
  <c r="G1348" i="3"/>
  <c r="F1348" i="3"/>
  <c r="E1348" i="3"/>
  <c r="D1348" i="3"/>
  <c r="C1348" i="3"/>
  <c r="B1348" i="3"/>
  <c r="A1348" i="3"/>
  <c r="O1347" i="3"/>
  <c r="N1347" i="3"/>
  <c r="M1347" i="3"/>
  <c r="L1347" i="3"/>
  <c r="K1347" i="3"/>
  <c r="J1347" i="3"/>
  <c r="I1347" i="3"/>
  <c r="H1347" i="3"/>
  <c r="G1347" i="3"/>
  <c r="F1347" i="3"/>
  <c r="E1347" i="3"/>
  <c r="D1347" i="3"/>
  <c r="C1347" i="3"/>
  <c r="B1347" i="3"/>
  <c r="A1347" i="3"/>
  <c r="O1346" i="3"/>
  <c r="N1346" i="3"/>
  <c r="M1346" i="3"/>
  <c r="L1346" i="3"/>
  <c r="K1346" i="3"/>
  <c r="J1346" i="3"/>
  <c r="I1346" i="3"/>
  <c r="H1346" i="3"/>
  <c r="G1346" i="3"/>
  <c r="F1346" i="3"/>
  <c r="E1346" i="3"/>
  <c r="D1346" i="3"/>
  <c r="C1346" i="3"/>
  <c r="B1346" i="3"/>
  <c r="A1346" i="3"/>
  <c r="O1345" i="3"/>
  <c r="N1345" i="3"/>
  <c r="M1345" i="3"/>
  <c r="L1345" i="3"/>
  <c r="K1345" i="3"/>
  <c r="J1345" i="3"/>
  <c r="I1345" i="3"/>
  <c r="H1345" i="3"/>
  <c r="G1345" i="3"/>
  <c r="F1345" i="3"/>
  <c r="E1345" i="3"/>
  <c r="D1345" i="3"/>
  <c r="C1345" i="3"/>
  <c r="B1345" i="3"/>
  <c r="A1345" i="3"/>
  <c r="O1344" i="3"/>
  <c r="N1344" i="3"/>
  <c r="M1344" i="3"/>
  <c r="L1344" i="3"/>
  <c r="K1344" i="3"/>
  <c r="J1344" i="3"/>
  <c r="I1344" i="3"/>
  <c r="H1344" i="3"/>
  <c r="G1344" i="3"/>
  <c r="F1344" i="3"/>
  <c r="E1344" i="3"/>
  <c r="D1344" i="3"/>
  <c r="C1344" i="3"/>
  <c r="B1344" i="3"/>
  <c r="A1344" i="3"/>
  <c r="O1343" i="3"/>
  <c r="N1343" i="3"/>
  <c r="M1343" i="3"/>
  <c r="L1343" i="3"/>
  <c r="K1343" i="3"/>
  <c r="J1343" i="3"/>
  <c r="I1343" i="3"/>
  <c r="H1343" i="3"/>
  <c r="G1343" i="3"/>
  <c r="F1343" i="3"/>
  <c r="E1343" i="3"/>
  <c r="D1343" i="3"/>
  <c r="C1343" i="3"/>
  <c r="B1343" i="3"/>
  <c r="A1343" i="3"/>
  <c r="O1342" i="3"/>
  <c r="N1342" i="3"/>
  <c r="M1342" i="3"/>
  <c r="L1342" i="3"/>
  <c r="K1342" i="3"/>
  <c r="J1342" i="3"/>
  <c r="I1342" i="3"/>
  <c r="H1342" i="3"/>
  <c r="G1342" i="3"/>
  <c r="F1342" i="3"/>
  <c r="E1342" i="3"/>
  <c r="D1342" i="3"/>
  <c r="C1342" i="3"/>
  <c r="B1342" i="3"/>
  <c r="A1342" i="3"/>
  <c r="O1341" i="3"/>
  <c r="N1341" i="3"/>
  <c r="M1341" i="3"/>
  <c r="L1341" i="3"/>
  <c r="K1341" i="3"/>
  <c r="J1341" i="3"/>
  <c r="I1341" i="3"/>
  <c r="H1341" i="3"/>
  <c r="G1341" i="3"/>
  <c r="F1341" i="3"/>
  <c r="E1341" i="3"/>
  <c r="D1341" i="3"/>
  <c r="C1341" i="3"/>
  <c r="B1341" i="3"/>
  <c r="A1341" i="3"/>
  <c r="O1340" i="3"/>
  <c r="N1340" i="3"/>
  <c r="M1340" i="3"/>
  <c r="L1340" i="3"/>
  <c r="K1340" i="3"/>
  <c r="J1340" i="3"/>
  <c r="I1340" i="3"/>
  <c r="H1340" i="3"/>
  <c r="G1340" i="3"/>
  <c r="F1340" i="3"/>
  <c r="E1340" i="3"/>
  <c r="D1340" i="3"/>
  <c r="C1340" i="3"/>
  <c r="B1340" i="3"/>
  <c r="A1340" i="3"/>
  <c r="O1339" i="3"/>
  <c r="N1339" i="3"/>
  <c r="M1339" i="3"/>
  <c r="L1339" i="3"/>
  <c r="K1339" i="3"/>
  <c r="J1339" i="3"/>
  <c r="I1339" i="3"/>
  <c r="H1339" i="3"/>
  <c r="G1339" i="3"/>
  <c r="F1339" i="3"/>
  <c r="E1339" i="3"/>
  <c r="D1339" i="3"/>
  <c r="C1339" i="3"/>
  <c r="B1339" i="3"/>
  <c r="A1339" i="3"/>
  <c r="O1338" i="3"/>
  <c r="N1338" i="3"/>
  <c r="M1338" i="3"/>
  <c r="L1338" i="3"/>
  <c r="K1338" i="3"/>
  <c r="J1338" i="3"/>
  <c r="I1338" i="3"/>
  <c r="H1338" i="3"/>
  <c r="G1338" i="3"/>
  <c r="F1338" i="3"/>
  <c r="E1338" i="3"/>
  <c r="D1338" i="3"/>
  <c r="C1338" i="3"/>
  <c r="B1338" i="3"/>
  <c r="A1338" i="3"/>
  <c r="O1337" i="3"/>
  <c r="N1337" i="3"/>
  <c r="M1337" i="3"/>
  <c r="L1337" i="3"/>
  <c r="K1337" i="3"/>
  <c r="J1337" i="3"/>
  <c r="I1337" i="3"/>
  <c r="H1337" i="3"/>
  <c r="G1337" i="3"/>
  <c r="F1337" i="3"/>
  <c r="E1337" i="3"/>
  <c r="D1337" i="3"/>
  <c r="C1337" i="3"/>
  <c r="B1337" i="3"/>
  <c r="A1337" i="3"/>
  <c r="O1336" i="3"/>
  <c r="N1336" i="3"/>
  <c r="M1336" i="3"/>
  <c r="L1336" i="3"/>
  <c r="K1336" i="3"/>
  <c r="J1336" i="3"/>
  <c r="I1336" i="3"/>
  <c r="H1336" i="3"/>
  <c r="G1336" i="3"/>
  <c r="F1336" i="3"/>
  <c r="E1336" i="3"/>
  <c r="D1336" i="3"/>
  <c r="C1336" i="3"/>
  <c r="B1336" i="3"/>
  <c r="A1336" i="3"/>
  <c r="O1335" i="3"/>
  <c r="N1335" i="3"/>
  <c r="M1335" i="3"/>
  <c r="L1335" i="3"/>
  <c r="K1335" i="3"/>
  <c r="J1335" i="3"/>
  <c r="I1335" i="3"/>
  <c r="H1335" i="3"/>
  <c r="G1335" i="3"/>
  <c r="F1335" i="3"/>
  <c r="E1335" i="3"/>
  <c r="D1335" i="3"/>
  <c r="C1335" i="3"/>
  <c r="B1335" i="3"/>
  <c r="A1335" i="3"/>
  <c r="O1334" i="3"/>
  <c r="N1334" i="3"/>
  <c r="M1334" i="3"/>
  <c r="L1334" i="3"/>
  <c r="K1334" i="3"/>
  <c r="J1334" i="3"/>
  <c r="I1334" i="3"/>
  <c r="H1334" i="3"/>
  <c r="G1334" i="3"/>
  <c r="F1334" i="3"/>
  <c r="E1334" i="3"/>
  <c r="D1334" i="3"/>
  <c r="C1334" i="3"/>
  <c r="B1334" i="3"/>
  <c r="A1334" i="3"/>
  <c r="O1333" i="3"/>
  <c r="N1333" i="3"/>
  <c r="M1333" i="3"/>
  <c r="L1333" i="3"/>
  <c r="K1333" i="3"/>
  <c r="J1333" i="3"/>
  <c r="I1333" i="3"/>
  <c r="H1333" i="3"/>
  <c r="G1333" i="3"/>
  <c r="F1333" i="3"/>
  <c r="E1333" i="3"/>
  <c r="D1333" i="3"/>
  <c r="C1333" i="3"/>
  <c r="B1333" i="3"/>
  <c r="A1333" i="3"/>
  <c r="O1332" i="3"/>
  <c r="N1332" i="3"/>
  <c r="M1332" i="3"/>
  <c r="L1332" i="3"/>
  <c r="K1332" i="3"/>
  <c r="J1332" i="3"/>
  <c r="I1332" i="3"/>
  <c r="H1332" i="3"/>
  <c r="G1332" i="3"/>
  <c r="F1332" i="3"/>
  <c r="E1332" i="3"/>
  <c r="D1332" i="3"/>
  <c r="C1332" i="3"/>
  <c r="B1332" i="3"/>
  <c r="A1332" i="3"/>
  <c r="O1331" i="3"/>
  <c r="N1331" i="3"/>
  <c r="M1331" i="3"/>
  <c r="L1331" i="3"/>
  <c r="K1331" i="3"/>
  <c r="J1331" i="3"/>
  <c r="I1331" i="3"/>
  <c r="H1331" i="3"/>
  <c r="G1331" i="3"/>
  <c r="F1331" i="3"/>
  <c r="E1331" i="3"/>
  <c r="D1331" i="3"/>
  <c r="C1331" i="3"/>
  <c r="B1331" i="3"/>
  <c r="A1331" i="3"/>
  <c r="O1330" i="3"/>
  <c r="N1330" i="3"/>
  <c r="M1330" i="3"/>
  <c r="L1330" i="3"/>
  <c r="K1330" i="3"/>
  <c r="J1330" i="3"/>
  <c r="I1330" i="3"/>
  <c r="H1330" i="3"/>
  <c r="G1330" i="3"/>
  <c r="F1330" i="3"/>
  <c r="E1330" i="3"/>
  <c r="D1330" i="3"/>
  <c r="C1330" i="3"/>
  <c r="B1330" i="3"/>
  <c r="A1330" i="3"/>
  <c r="O1329" i="3"/>
  <c r="N1329" i="3"/>
  <c r="M1329" i="3"/>
  <c r="L1329" i="3"/>
  <c r="K1329" i="3"/>
  <c r="J1329" i="3"/>
  <c r="I1329" i="3"/>
  <c r="H1329" i="3"/>
  <c r="G1329" i="3"/>
  <c r="F1329" i="3"/>
  <c r="E1329" i="3"/>
  <c r="D1329" i="3"/>
  <c r="C1329" i="3"/>
  <c r="B1329" i="3"/>
  <c r="A1329" i="3"/>
  <c r="O1328" i="3"/>
  <c r="N1328" i="3"/>
  <c r="M1328" i="3"/>
  <c r="L1328" i="3"/>
  <c r="K1328" i="3"/>
  <c r="J1328" i="3"/>
  <c r="I1328" i="3"/>
  <c r="H1328" i="3"/>
  <c r="G1328" i="3"/>
  <c r="F1328" i="3"/>
  <c r="E1328" i="3"/>
  <c r="D1328" i="3"/>
  <c r="C1328" i="3"/>
  <c r="B1328" i="3"/>
  <c r="A1328" i="3"/>
  <c r="O1327" i="3"/>
  <c r="N1327" i="3"/>
  <c r="M1327" i="3"/>
  <c r="L1327" i="3"/>
  <c r="K1327" i="3"/>
  <c r="J1327" i="3"/>
  <c r="I1327" i="3"/>
  <c r="H1327" i="3"/>
  <c r="G1327" i="3"/>
  <c r="F1327" i="3"/>
  <c r="E1327" i="3"/>
  <c r="D1327" i="3"/>
  <c r="C1327" i="3"/>
  <c r="B1327" i="3"/>
  <c r="A1327" i="3"/>
  <c r="O1326" i="3"/>
  <c r="N1326" i="3"/>
  <c r="M1326" i="3"/>
  <c r="L1326" i="3"/>
  <c r="K1326" i="3"/>
  <c r="J1326" i="3"/>
  <c r="I1326" i="3"/>
  <c r="H1326" i="3"/>
  <c r="G1326" i="3"/>
  <c r="F1326" i="3"/>
  <c r="E1326" i="3"/>
  <c r="D1326" i="3"/>
  <c r="C1326" i="3"/>
  <c r="B1326" i="3"/>
  <c r="A1326" i="3"/>
  <c r="O1325" i="3"/>
  <c r="N1325" i="3"/>
  <c r="M1325" i="3"/>
  <c r="L1325" i="3"/>
  <c r="K1325" i="3"/>
  <c r="J1325" i="3"/>
  <c r="I1325" i="3"/>
  <c r="H1325" i="3"/>
  <c r="G1325" i="3"/>
  <c r="F1325" i="3"/>
  <c r="E1325" i="3"/>
  <c r="D1325" i="3"/>
  <c r="C1325" i="3"/>
  <c r="B1325" i="3"/>
  <c r="A1325" i="3"/>
  <c r="O1324" i="3"/>
  <c r="N1324" i="3"/>
  <c r="M1324" i="3"/>
  <c r="L1324" i="3"/>
  <c r="K1324" i="3"/>
  <c r="J1324" i="3"/>
  <c r="I1324" i="3"/>
  <c r="H1324" i="3"/>
  <c r="G1324" i="3"/>
  <c r="F1324" i="3"/>
  <c r="E1324" i="3"/>
  <c r="D1324" i="3"/>
  <c r="C1324" i="3"/>
  <c r="B1324" i="3"/>
  <c r="A1324" i="3"/>
  <c r="O1323" i="3"/>
  <c r="N1323" i="3"/>
  <c r="M1323" i="3"/>
  <c r="L1323" i="3"/>
  <c r="K1323" i="3"/>
  <c r="J1323" i="3"/>
  <c r="I1323" i="3"/>
  <c r="H1323" i="3"/>
  <c r="G1323" i="3"/>
  <c r="F1323" i="3"/>
  <c r="E1323" i="3"/>
  <c r="D1323" i="3"/>
  <c r="C1323" i="3"/>
  <c r="B1323" i="3"/>
  <c r="A1323" i="3"/>
  <c r="O1322" i="3"/>
  <c r="N1322" i="3"/>
  <c r="M1322" i="3"/>
  <c r="L1322" i="3"/>
  <c r="K1322" i="3"/>
  <c r="J1322" i="3"/>
  <c r="I1322" i="3"/>
  <c r="H1322" i="3"/>
  <c r="G1322" i="3"/>
  <c r="F1322" i="3"/>
  <c r="E1322" i="3"/>
  <c r="D1322" i="3"/>
  <c r="C1322" i="3"/>
  <c r="B1322" i="3"/>
  <c r="A1322" i="3"/>
  <c r="O1321" i="3"/>
  <c r="N1321" i="3"/>
  <c r="M1321" i="3"/>
  <c r="L1321" i="3"/>
  <c r="K1321" i="3"/>
  <c r="J1321" i="3"/>
  <c r="I1321" i="3"/>
  <c r="H1321" i="3"/>
  <c r="G1321" i="3"/>
  <c r="F1321" i="3"/>
  <c r="E1321" i="3"/>
  <c r="D1321" i="3"/>
  <c r="C1321" i="3"/>
  <c r="B1321" i="3"/>
  <c r="A1321" i="3"/>
  <c r="O1320" i="3"/>
  <c r="N1320" i="3"/>
  <c r="M1320" i="3"/>
  <c r="L1320" i="3"/>
  <c r="K1320" i="3"/>
  <c r="J1320" i="3"/>
  <c r="I1320" i="3"/>
  <c r="H1320" i="3"/>
  <c r="G1320" i="3"/>
  <c r="F1320" i="3"/>
  <c r="E1320" i="3"/>
  <c r="D1320" i="3"/>
  <c r="C1320" i="3"/>
  <c r="B1320" i="3"/>
  <c r="A1320" i="3"/>
  <c r="O1319" i="3"/>
  <c r="N1319" i="3"/>
  <c r="M1319" i="3"/>
  <c r="L1319" i="3"/>
  <c r="K1319" i="3"/>
  <c r="J1319" i="3"/>
  <c r="I1319" i="3"/>
  <c r="H1319" i="3"/>
  <c r="G1319" i="3"/>
  <c r="F1319" i="3"/>
  <c r="E1319" i="3"/>
  <c r="D1319" i="3"/>
  <c r="C1319" i="3"/>
  <c r="B1319" i="3"/>
  <c r="A1319" i="3"/>
  <c r="O1318" i="3"/>
  <c r="N1318" i="3"/>
  <c r="M1318" i="3"/>
  <c r="L1318" i="3"/>
  <c r="K1318" i="3"/>
  <c r="J1318" i="3"/>
  <c r="I1318" i="3"/>
  <c r="H1318" i="3"/>
  <c r="G1318" i="3"/>
  <c r="F1318" i="3"/>
  <c r="E1318" i="3"/>
  <c r="D1318" i="3"/>
  <c r="C1318" i="3"/>
  <c r="B1318" i="3"/>
  <c r="A1318" i="3"/>
  <c r="O1317" i="3"/>
  <c r="N1317" i="3"/>
  <c r="M1317" i="3"/>
  <c r="L1317" i="3"/>
  <c r="K1317" i="3"/>
  <c r="J1317" i="3"/>
  <c r="I1317" i="3"/>
  <c r="H1317" i="3"/>
  <c r="G1317" i="3"/>
  <c r="F1317" i="3"/>
  <c r="E1317" i="3"/>
  <c r="D1317" i="3"/>
  <c r="C1317" i="3"/>
  <c r="B1317" i="3"/>
  <c r="A1317" i="3"/>
  <c r="O1316" i="3"/>
  <c r="N1316" i="3"/>
  <c r="M1316" i="3"/>
  <c r="L1316" i="3"/>
  <c r="K1316" i="3"/>
  <c r="J1316" i="3"/>
  <c r="I1316" i="3"/>
  <c r="H1316" i="3"/>
  <c r="G1316" i="3"/>
  <c r="F1316" i="3"/>
  <c r="E1316" i="3"/>
  <c r="D1316" i="3"/>
  <c r="C1316" i="3"/>
  <c r="B1316" i="3"/>
  <c r="A1316" i="3"/>
  <c r="O1315" i="3"/>
  <c r="N1315" i="3"/>
  <c r="M1315" i="3"/>
  <c r="L1315" i="3"/>
  <c r="K1315" i="3"/>
  <c r="J1315" i="3"/>
  <c r="I1315" i="3"/>
  <c r="H1315" i="3"/>
  <c r="G1315" i="3"/>
  <c r="F1315" i="3"/>
  <c r="E1315" i="3"/>
  <c r="D1315" i="3"/>
  <c r="C1315" i="3"/>
  <c r="B1315" i="3"/>
  <c r="A1315" i="3"/>
  <c r="O1314" i="3"/>
  <c r="N1314" i="3"/>
  <c r="M1314" i="3"/>
  <c r="L1314" i="3"/>
  <c r="K1314" i="3"/>
  <c r="J1314" i="3"/>
  <c r="I1314" i="3"/>
  <c r="H1314" i="3"/>
  <c r="G1314" i="3"/>
  <c r="F1314" i="3"/>
  <c r="E1314" i="3"/>
  <c r="D1314" i="3"/>
  <c r="C1314" i="3"/>
  <c r="B1314" i="3"/>
  <c r="A1314" i="3"/>
  <c r="O1313" i="3"/>
  <c r="N1313" i="3"/>
  <c r="M1313" i="3"/>
  <c r="L1313" i="3"/>
  <c r="K1313" i="3"/>
  <c r="J1313" i="3"/>
  <c r="I1313" i="3"/>
  <c r="H1313" i="3"/>
  <c r="G1313" i="3"/>
  <c r="F1313" i="3"/>
  <c r="E1313" i="3"/>
  <c r="D1313" i="3"/>
  <c r="C1313" i="3"/>
  <c r="B1313" i="3"/>
  <c r="A1313" i="3"/>
  <c r="O1312" i="3"/>
  <c r="N1312" i="3"/>
  <c r="M1312" i="3"/>
  <c r="L1312" i="3"/>
  <c r="K1312" i="3"/>
  <c r="J1312" i="3"/>
  <c r="I1312" i="3"/>
  <c r="H1312" i="3"/>
  <c r="G1312" i="3"/>
  <c r="F1312" i="3"/>
  <c r="E1312" i="3"/>
  <c r="D1312" i="3"/>
  <c r="C1312" i="3"/>
  <c r="B1312" i="3"/>
  <c r="A1312" i="3"/>
  <c r="O1311" i="3"/>
  <c r="N1311" i="3"/>
  <c r="M1311" i="3"/>
  <c r="L1311" i="3"/>
  <c r="K1311" i="3"/>
  <c r="J1311" i="3"/>
  <c r="I1311" i="3"/>
  <c r="H1311" i="3"/>
  <c r="G1311" i="3"/>
  <c r="F1311" i="3"/>
  <c r="E1311" i="3"/>
  <c r="D1311" i="3"/>
  <c r="C1311" i="3"/>
  <c r="B1311" i="3"/>
  <c r="A1311" i="3"/>
  <c r="O1310" i="3"/>
  <c r="N1310" i="3"/>
  <c r="M1310" i="3"/>
  <c r="L1310" i="3"/>
  <c r="K1310" i="3"/>
  <c r="J1310" i="3"/>
  <c r="I1310" i="3"/>
  <c r="H1310" i="3"/>
  <c r="G1310" i="3"/>
  <c r="F1310" i="3"/>
  <c r="E1310" i="3"/>
  <c r="D1310" i="3"/>
  <c r="C1310" i="3"/>
  <c r="B1310" i="3"/>
  <c r="A1310" i="3"/>
  <c r="O1309" i="3"/>
  <c r="N1309" i="3"/>
  <c r="M1309" i="3"/>
  <c r="L1309" i="3"/>
  <c r="K1309" i="3"/>
  <c r="J1309" i="3"/>
  <c r="I1309" i="3"/>
  <c r="H1309" i="3"/>
  <c r="G1309" i="3"/>
  <c r="F1309" i="3"/>
  <c r="E1309" i="3"/>
  <c r="D1309" i="3"/>
  <c r="C1309" i="3"/>
  <c r="B1309" i="3"/>
  <c r="A1309" i="3"/>
  <c r="O1308" i="3"/>
  <c r="N1308" i="3"/>
  <c r="M1308" i="3"/>
  <c r="L1308" i="3"/>
  <c r="K1308" i="3"/>
  <c r="J1308" i="3"/>
  <c r="I1308" i="3"/>
  <c r="H1308" i="3"/>
  <c r="G1308" i="3"/>
  <c r="F1308" i="3"/>
  <c r="E1308" i="3"/>
  <c r="D1308" i="3"/>
  <c r="C1308" i="3"/>
  <c r="B1308" i="3"/>
  <c r="A1308" i="3"/>
  <c r="O1307" i="3"/>
  <c r="N1307" i="3"/>
  <c r="M1307" i="3"/>
  <c r="L1307" i="3"/>
  <c r="K1307" i="3"/>
  <c r="J1307" i="3"/>
  <c r="I1307" i="3"/>
  <c r="H1307" i="3"/>
  <c r="G1307" i="3"/>
  <c r="F1307" i="3"/>
  <c r="E1307" i="3"/>
  <c r="D1307" i="3"/>
  <c r="C1307" i="3"/>
  <c r="B1307" i="3"/>
  <c r="A1307" i="3"/>
  <c r="O1306" i="3"/>
  <c r="N1306" i="3"/>
  <c r="M1306" i="3"/>
  <c r="L1306" i="3"/>
  <c r="K1306" i="3"/>
  <c r="J1306" i="3"/>
  <c r="I1306" i="3"/>
  <c r="H1306" i="3"/>
  <c r="G1306" i="3"/>
  <c r="F1306" i="3"/>
  <c r="E1306" i="3"/>
  <c r="D1306" i="3"/>
  <c r="C1306" i="3"/>
  <c r="B1306" i="3"/>
  <c r="A1306" i="3"/>
  <c r="O1305" i="3"/>
  <c r="N1305" i="3"/>
  <c r="M1305" i="3"/>
  <c r="L1305" i="3"/>
  <c r="K1305" i="3"/>
  <c r="J1305" i="3"/>
  <c r="I1305" i="3"/>
  <c r="H1305" i="3"/>
  <c r="G1305" i="3"/>
  <c r="F1305" i="3"/>
  <c r="E1305" i="3"/>
  <c r="D1305" i="3"/>
  <c r="C1305" i="3"/>
  <c r="B1305" i="3"/>
  <c r="A1305" i="3"/>
  <c r="O1304" i="3"/>
  <c r="N1304" i="3"/>
  <c r="M1304" i="3"/>
  <c r="L1304" i="3"/>
  <c r="K1304" i="3"/>
  <c r="J1304" i="3"/>
  <c r="I1304" i="3"/>
  <c r="H1304" i="3"/>
  <c r="G1304" i="3"/>
  <c r="F1304" i="3"/>
  <c r="E1304" i="3"/>
  <c r="D1304" i="3"/>
  <c r="C1304" i="3"/>
  <c r="B1304" i="3"/>
  <c r="A1304" i="3"/>
  <c r="O1303" i="3"/>
  <c r="N1303" i="3"/>
  <c r="M1303" i="3"/>
  <c r="L1303" i="3"/>
  <c r="K1303" i="3"/>
  <c r="J1303" i="3"/>
  <c r="I1303" i="3"/>
  <c r="H1303" i="3"/>
  <c r="G1303" i="3"/>
  <c r="F1303" i="3"/>
  <c r="E1303" i="3"/>
  <c r="D1303" i="3"/>
  <c r="C1303" i="3"/>
  <c r="B1303" i="3"/>
  <c r="A1303" i="3"/>
  <c r="O1302" i="3"/>
  <c r="N1302" i="3"/>
  <c r="M1302" i="3"/>
  <c r="L1302" i="3"/>
  <c r="K1302" i="3"/>
  <c r="J1302" i="3"/>
  <c r="I1302" i="3"/>
  <c r="H1302" i="3"/>
  <c r="G1302" i="3"/>
  <c r="F1302" i="3"/>
  <c r="E1302" i="3"/>
  <c r="D1302" i="3"/>
  <c r="C1302" i="3"/>
  <c r="B1302" i="3"/>
  <c r="A1302" i="3"/>
  <c r="O1301" i="3"/>
  <c r="N1301" i="3"/>
  <c r="M1301" i="3"/>
  <c r="L1301" i="3"/>
  <c r="K1301" i="3"/>
  <c r="J1301" i="3"/>
  <c r="I1301" i="3"/>
  <c r="H1301" i="3"/>
  <c r="G1301" i="3"/>
  <c r="F1301" i="3"/>
  <c r="E1301" i="3"/>
  <c r="D1301" i="3"/>
  <c r="C1301" i="3"/>
  <c r="B1301" i="3"/>
  <c r="A1301" i="3"/>
  <c r="O1300" i="3"/>
  <c r="N1300" i="3"/>
  <c r="M1300" i="3"/>
  <c r="L1300" i="3"/>
  <c r="K1300" i="3"/>
  <c r="J1300" i="3"/>
  <c r="I1300" i="3"/>
  <c r="H1300" i="3"/>
  <c r="G1300" i="3"/>
  <c r="F1300" i="3"/>
  <c r="E1300" i="3"/>
  <c r="D1300" i="3"/>
  <c r="C1300" i="3"/>
  <c r="B1300" i="3"/>
  <c r="A1300" i="3"/>
  <c r="O1299" i="3"/>
  <c r="N1299" i="3"/>
  <c r="M1299" i="3"/>
  <c r="L1299" i="3"/>
  <c r="K1299" i="3"/>
  <c r="J1299" i="3"/>
  <c r="I1299" i="3"/>
  <c r="H1299" i="3"/>
  <c r="G1299" i="3"/>
  <c r="F1299" i="3"/>
  <c r="E1299" i="3"/>
  <c r="D1299" i="3"/>
  <c r="C1299" i="3"/>
  <c r="B1299" i="3"/>
  <c r="A1299" i="3"/>
  <c r="O1298" i="3"/>
  <c r="N1298" i="3"/>
  <c r="M1298" i="3"/>
  <c r="L1298" i="3"/>
  <c r="K1298" i="3"/>
  <c r="J1298" i="3"/>
  <c r="I1298" i="3"/>
  <c r="H1298" i="3"/>
  <c r="G1298" i="3"/>
  <c r="F1298" i="3"/>
  <c r="E1298" i="3"/>
  <c r="D1298" i="3"/>
  <c r="C1298" i="3"/>
  <c r="B1298" i="3"/>
  <c r="A1298" i="3"/>
  <c r="O1297" i="3"/>
  <c r="N1297" i="3"/>
  <c r="M1297" i="3"/>
  <c r="L1297" i="3"/>
  <c r="K1297" i="3"/>
  <c r="J1297" i="3"/>
  <c r="I1297" i="3"/>
  <c r="H1297" i="3"/>
  <c r="G1297" i="3"/>
  <c r="F1297" i="3"/>
  <c r="E1297" i="3"/>
  <c r="D1297" i="3"/>
  <c r="C1297" i="3"/>
  <c r="B1297" i="3"/>
  <c r="A1297" i="3"/>
  <c r="O1296" i="3"/>
  <c r="N1296" i="3"/>
  <c r="M1296" i="3"/>
  <c r="L1296" i="3"/>
  <c r="K1296" i="3"/>
  <c r="J1296" i="3"/>
  <c r="I1296" i="3"/>
  <c r="H1296" i="3"/>
  <c r="G1296" i="3"/>
  <c r="F1296" i="3"/>
  <c r="E1296" i="3"/>
  <c r="D1296" i="3"/>
  <c r="C1296" i="3"/>
  <c r="B1296" i="3"/>
  <c r="A1296" i="3"/>
  <c r="O1295" i="3"/>
  <c r="N1295" i="3"/>
  <c r="M1295" i="3"/>
  <c r="L1295" i="3"/>
  <c r="K1295" i="3"/>
  <c r="J1295" i="3"/>
  <c r="I1295" i="3"/>
  <c r="H1295" i="3"/>
  <c r="G1295" i="3"/>
  <c r="F1295" i="3"/>
  <c r="E1295" i="3"/>
  <c r="D1295" i="3"/>
  <c r="C1295" i="3"/>
  <c r="B1295" i="3"/>
  <c r="A1295" i="3"/>
  <c r="O1294" i="3"/>
  <c r="N1294" i="3"/>
  <c r="M1294" i="3"/>
  <c r="L1294" i="3"/>
  <c r="K1294" i="3"/>
  <c r="J1294" i="3"/>
  <c r="I1294" i="3"/>
  <c r="H1294" i="3"/>
  <c r="G1294" i="3"/>
  <c r="F1294" i="3"/>
  <c r="E1294" i="3"/>
  <c r="D1294" i="3"/>
  <c r="C1294" i="3"/>
  <c r="B1294" i="3"/>
  <c r="A1294" i="3"/>
  <c r="O1293" i="3"/>
  <c r="N1293" i="3"/>
  <c r="M1293" i="3"/>
  <c r="L1293" i="3"/>
  <c r="K1293" i="3"/>
  <c r="J1293" i="3"/>
  <c r="I1293" i="3"/>
  <c r="H1293" i="3"/>
  <c r="G1293" i="3"/>
  <c r="F1293" i="3"/>
  <c r="E1293" i="3"/>
  <c r="D1293" i="3"/>
  <c r="C1293" i="3"/>
  <c r="B1293" i="3"/>
  <c r="A1293" i="3"/>
  <c r="O1292" i="3"/>
  <c r="N1292" i="3"/>
  <c r="M1292" i="3"/>
  <c r="L1292" i="3"/>
  <c r="K1292" i="3"/>
  <c r="J1292" i="3"/>
  <c r="I1292" i="3"/>
  <c r="H1292" i="3"/>
  <c r="G1292" i="3"/>
  <c r="F1292" i="3"/>
  <c r="E1292" i="3"/>
  <c r="D1292" i="3"/>
  <c r="C1292" i="3"/>
  <c r="B1292" i="3"/>
  <c r="A1292" i="3"/>
  <c r="O1291" i="3"/>
  <c r="N1291" i="3"/>
  <c r="M1291" i="3"/>
  <c r="L1291" i="3"/>
  <c r="K1291" i="3"/>
  <c r="J1291" i="3"/>
  <c r="I1291" i="3"/>
  <c r="H1291" i="3"/>
  <c r="G1291" i="3"/>
  <c r="F1291" i="3"/>
  <c r="E1291" i="3"/>
  <c r="D1291" i="3"/>
  <c r="C1291" i="3"/>
  <c r="B1291" i="3"/>
  <c r="A1291" i="3"/>
  <c r="O1290" i="3"/>
  <c r="N1290" i="3"/>
  <c r="M1290" i="3"/>
  <c r="L1290" i="3"/>
  <c r="K1290" i="3"/>
  <c r="J1290" i="3"/>
  <c r="I1290" i="3"/>
  <c r="H1290" i="3"/>
  <c r="G1290" i="3"/>
  <c r="F1290" i="3"/>
  <c r="E1290" i="3"/>
  <c r="D1290" i="3"/>
  <c r="C1290" i="3"/>
  <c r="B1290" i="3"/>
  <c r="A1290" i="3"/>
  <c r="O1289" i="3"/>
  <c r="N1289" i="3"/>
  <c r="M1289" i="3"/>
  <c r="L1289" i="3"/>
  <c r="K1289" i="3"/>
  <c r="J1289" i="3"/>
  <c r="I1289" i="3"/>
  <c r="H1289" i="3"/>
  <c r="G1289" i="3"/>
  <c r="F1289" i="3"/>
  <c r="E1289" i="3"/>
  <c r="D1289" i="3"/>
  <c r="C1289" i="3"/>
  <c r="B1289" i="3"/>
  <c r="A1289" i="3"/>
  <c r="O1288" i="3"/>
  <c r="N1288" i="3"/>
  <c r="M1288" i="3"/>
  <c r="L1288" i="3"/>
  <c r="K1288" i="3"/>
  <c r="J1288" i="3"/>
  <c r="I1288" i="3"/>
  <c r="H1288" i="3"/>
  <c r="G1288" i="3"/>
  <c r="F1288" i="3"/>
  <c r="E1288" i="3"/>
  <c r="D1288" i="3"/>
  <c r="C1288" i="3"/>
  <c r="B1288" i="3"/>
  <c r="A1288" i="3"/>
  <c r="O1287" i="3"/>
  <c r="N1287" i="3"/>
  <c r="M1287" i="3"/>
  <c r="L1287" i="3"/>
  <c r="K1287" i="3"/>
  <c r="J1287" i="3"/>
  <c r="I1287" i="3"/>
  <c r="H1287" i="3"/>
  <c r="G1287" i="3"/>
  <c r="F1287" i="3"/>
  <c r="E1287" i="3"/>
  <c r="D1287" i="3"/>
  <c r="C1287" i="3"/>
  <c r="B1287" i="3"/>
  <c r="A1287" i="3"/>
  <c r="O1286" i="3"/>
  <c r="N1286" i="3"/>
  <c r="M1286" i="3"/>
  <c r="L1286" i="3"/>
  <c r="K1286" i="3"/>
  <c r="J1286" i="3"/>
  <c r="I1286" i="3"/>
  <c r="H1286" i="3"/>
  <c r="G1286" i="3"/>
  <c r="F1286" i="3"/>
  <c r="E1286" i="3"/>
  <c r="D1286" i="3"/>
  <c r="C1286" i="3"/>
  <c r="B1286" i="3"/>
  <c r="A1286" i="3"/>
  <c r="O1285" i="3"/>
  <c r="N1285" i="3"/>
  <c r="M1285" i="3"/>
  <c r="L1285" i="3"/>
  <c r="K1285" i="3"/>
  <c r="J1285" i="3"/>
  <c r="I1285" i="3"/>
  <c r="H1285" i="3"/>
  <c r="G1285" i="3"/>
  <c r="F1285" i="3"/>
  <c r="E1285" i="3"/>
  <c r="D1285" i="3"/>
  <c r="C1285" i="3"/>
  <c r="B1285" i="3"/>
  <c r="A1285" i="3"/>
  <c r="O1284" i="3"/>
  <c r="N1284" i="3"/>
  <c r="M1284" i="3"/>
  <c r="L1284" i="3"/>
  <c r="K1284" i="3"/>
  <c r="J1284" i="3"/>
  <c r="I1284" i="3"/>
  <c r="H1284" i="3"/>
  <c r="G1284" i="3"/>
  <c r="F1284" i="3"/>
  <c r="E1284" i="3"/>
  <c r="D1284" i="3"/>
  <c r="C1284" i="3"/>
  <c r="B1284" i="3"/>
  <c r="A1284" i="3"/>
  <c r="O1283" i="3"/>
  <c r="N1283" i="3"/>
  <c r="M1283" i="3"/>
  <c r="L1283" i="3"/>
  <c r="K1283" i="3"/>
  <c r="J1283" i="3"/>
  <c r="I1283" i="3"/>
  <c r="H1283" i="3"/>
  <c r="G1283" i="3"/>
  <c r="F1283" i="3"/>
  <c r="E1283" i="3"/>
  <c r="D1283" i="3"/>
  <c r="C1283" i="3"/>
  <c r="B1283" i="3"/>
  <c r="A1283" i="3"/>
  <c r="O1282" i="3"/>
  <c r="N1282" i="3"/>
  <c r="M1282" i="3"/>
  <c r="L1282" i="3"/>
  <c r="K1282" i="3"/>
  <c r="J1282" i="3"/>
  <c r="I1282" i="3"/>
  <c r="H1282" i="3"/>
  <c r="G1282" i="3"/>
  <c r="F1282" i="3"/>
  <c r="E1282" i="3"/>
  <c r="D1282" i="3"/>
  <c r="C1282" i="3"/>
  <c r="B1282" i="3"/>
  <c r="A1282" i="3"/>
  <c r="O1281" i="3"/>
  <c r="N1281" i="3"/>
  <c r="M1281" i="3"/>
  <c r="L1281" i="3"/>
  <c r="K1281" i="3"/>
  <c r="J1281" i="3"/>
  <c r="I1281" i="3"/>
  <c r="H1281" i="3"/>
  <c r="G1281" i="3"/>
  <c r="F1281" i="3"/>
  <c r="E1281" i="3"/>
  <c r="D1281" i="3"/>
  <c r="C1281" i="3"/>
  <c r="B1281" i="3"/>
  <c r="A1281" i="3"/>
  <c r="O1280" i="3"/>
  <c r="N1280" i="3"/>
  <c r="M1280" i="3"/>
  <c r="L1280" i="3"/>
  <c r="K1280" i="3"/>
  <c r="J1280" i="3"/>
  <c r="I1280" i="3"/>
  <c r="H1280" i="3"/>
  <c r="G1280" i="3"/>
  <c r="F1280" i="3"/>
  <c r="E1280" i="3"/>
  <c r="D1280" i="3"/>
  <c r="C1280" i="3"/>
  <c r="B1280" i="3"/>
  <c r="A1280" i="3"/>
  <c r="O1279" i="3"/>
  <c r="N1279" i="3"/>
  <c r="M1279" i="3"/>
  <c r="L1279" i="3"/>
  <c r="K1279" i="3"/>
  <c r="J1279" i="3"/>
  <c r="I1279" i="3"/>
  <c r="H1279" i="3"/>
  <c r="G1279" i="3"/>
  <c r="F1279" i="3"/>
  <c r="E1279" i="3"/>
  <c r="D1279" i="3"/>
  <c r="C1279" i="3"/>
  <c r="B1279" i="3"/>
  <c r="A1279" i="3"/>
  <c r="O1278" i="3"/>
  <c r="N1278" i="3"/>
  <c r="M1278" i="3"/>
  <c r="L1278" i="3"/>
  <c r="K1278" i="3"/>
  <c r="J1278" i="3"/>
  <c r="I1278" i="3"/>
  <c r="H1278" i="3"/>
  <c r="G1278" i="3"/>
  <c r="F1278" i="3"/>
  <c r="E1278" i="3"/>
  <c r="D1278" i="3"/>
  <c r="C1278" i="3"/>
  <c r="B1278" i="3"/>
  <c r="A1278" i="3"/>
  <c r="O1277" i="3"/>
  <c r="N1277" i="3"/>
  <c r="M1277" i="3"/>
  <c r="L1277" i="3"/>
  <c r="K1277" i="3"/>
  <c r="J1277" i="3"/>
  <c r="I1277" i="3"/>
  <c r="H1277" i="3"/>
  <c r="G1277" i="3"/>
  <c r="F1277" i="3"/>
  <c r="E1277" i="3"/>
  <c r="D1277" i="3"/>
  <c r="C1277" i="3"/>
  <c r="B1277" i="3"/>
  <c r="A1277" i="3"/>
  <c r="O1276" i="3"/>
  <c r="N1276" i="3"/>
  <c r="M1276" i="3"/>
  <c r="L1276" i="3"/>
  <c r="K1276" i="3"/>
  <c r="J1276" i="3"/>
  <c r="I1276" i="3"/>
  <c r="H1276" i="3"/>
  <c r="G1276" i="3"/>
  <c r="F1276" i="3"/>
  <c r="E1276" i="3"/>
  <c r="D1276" i="3"/>
  <c r="C1276" i="3"/>
  <c r="B1276" i="3"/>
  <c r="A1276" i="3"/>
  <c r="O1275" i="3"/>
  <c r="N1275" i="3"/>
  <c r="M1275" i="3"/>
  <c r="L1275" i="3"/>
  <c r="K1275" i="3"/>
  <c r="J1275" i="3"/>
  <c r="I1275" i="3"/>
  <c r="H1275" i="3"/>
  <c r="G1275" i="3"/>
  <c r="F1275" i="3"/>
  <c r="E1275" i="3"/>
  <c r="D1275" i="3"/>
  <c r="C1275" i="3"/>
  <c r="B1275" i="3"/>
  <c r="A1275" i="3"/>
  <c r="O1274" i="3"/>
  <c r="N1274" i="3"/>
  <c r="M1274" i="3"/>
  <c r="L1274" i="3"/>
  <c r="K1274" i="3"/>
  <c r="J1274" i="3"/>
  <c r="I1274" i="3"/>
  <c r="H1274" i="3"/>
  <c r="G1274" i="3"/>
  <c r="F1274" i="3"/>
  <c r="E1274" i="3"/>
  <c r="D1274" i="3"/>
  <c r="C1274" i="3"/>
  <c r="B1274" i="3"/>
  <c r="A1274" i="3"/>
  <c r="O1273" i="3"/>
  <c r="N1273" i="3"/>
  <c r="M1273" i="3"/>
  <c r="L1273" i="3"/>
  <c r="K1273" i="3"/>
  <c r="J1273" i="3"/>
  <c r="I1273" i="3"/>
  <c r="H1273" i="3"/>
  <c r="G1273" i="3"/>
  <c r="F1273" i="3"/>
  <c r="E1273" i="3"/>
  <c r="D1273" i="3"/>
  <c r="C1273" i="3"/>
  <c r="B1273" i="3"/>
  <c r="A1273" i="3"/>
  <c r="O1272" i="3"/>
  <c r="N1272" i="3"/>
  <c r="M1272" i="3"/>
  <c r="L1272" i="3"/>
  <c r="K1272" i="3"/>
  <c r="J1272" i="3"/>
  <c r="I1272" i="3"/>
  <c r="H1272" i="3"/>
  <c r="G1272" i="3"/>
  <c r="F1272" i="3"/>
  <c r="E1272" i="3"/>
  <c r="D1272" i="3"/>
  <c r="C1272" i="3"/>
  <c r="B1272" i="3"/>
  <c r="A1272" i="3"/>
  <c r="O1271" i="3"/>
  <c r="N1271" i="3"/>
  <c r="M1271" i="3"/>
  <c r="L1271" i="3"/>
  <c r="K1271" i="3"/>
  <c r="J1271" i="3"/>
  <c r="I1271" i="3"/>
  <c r="H1271" i="3"/>
  <c r="G1271" i="3"/>
  <c r="F1271" i="3"/>
  <c r="E1271" i="3"/>
  <c r="D1271" i="3"/>
  <c r="C1271" i="3"/>
  <c r="B1271" i="3"/>
  <c r="A1271" i="3"/>
  <c r="O1270" i="3"/>
  <c r="N1270" i="3"/>
  <c r="M1270" i="3"/>
  <c r="L1270" i="3"/>
  <c r="K1270" i="3"/>
  <c r="J1270" i="3"/>
  <c r="I1270" i="3"/>
  <c r="H1270" i="3"/>
  <c r="G1270" i="3"/>
  <c r="F1270" i="3"/>
  <c r="E1270" i="3"/>
  <c r="D1270" i="3"/>
  <c r="C1270" i="3"/>
  <c r="B1270" i="3"/>
  <c r="A1270" i="3"/>
  <c r="O1269" i="3"/>
  <c r="N1269" i="3"/>
  <c r="M1269" i="3"/>
  <c r="L1269" i="3"/>
  <c r="K1269" i="3"/>
  <c r="J1269" i="3"/>
  <c r="I1269" i="3"/>
  <c r="H1269" i="3"/>
  <c r="G1269" i="3"/>
  <c r="F1269" i="3"/>
  <c r="E1269" i="3"/>
  <c r="D1269" i="3"/>
  <c r="C1269" i="3"/>
  <c r="B1269" i="3"/>
  <c r="A1269" i="3"/>
  <c r="O1268" i="3"/>
  <c r="N1268" i="3"/>
  <c r="M1268" i="3"/>
  <c r="L1268" i="3"/>
  <c r="K1268" i="3"/>
  <c r="J1268" i="3"/>
  <c r="I1268" i="3"/>
  <c r="H1268" i="3"/>
  <c r="G1268" i="3"/>
  <c r="F1268" i="3"/>
  <c r="E1268" i="3"/>
  <c r="D1268" i="3"/>
  <c r="C1268" i="3"/>
  <c r="B1268" i="3"/>
  <c r="A1268" i="3"/>
  <c r="O1267" i="3"/>
  <c r="N1267" i="3"/>
  <c r="M1267" i="3"/>
  <c r="L1267" i="3"/>
  <c r="K1267" i="3"/>
  <c r="J1267" i="3"/>
  <c r="I1267" i="3"/>
  <c r="H1267" i="3"/>
  <c r="G1267" i="3"/>
  <c r="F1267" i="3"/>
  <c r="E1267" i="3"/>
  <c r="D1267" i="3"/>
  <c r="C1267" i="3"/>
  <c r="B1267" i="3"/>
  <c r="A1267" i="3"/>
  <c r="O1266" i="3"/>
  <c r="N1266" i="3"/>
  <c r="M1266" i="3"/>
  <c r="L1266" i="3"/>
  <c r="K1266" i="3"/>
  <c r="J1266" i="3"/>
  <c r="I1266" i="3"/>
  <c r="H1266" i="3"/>
  <c r="G1266" i="3"/>
  <c r="F1266" i="3"/>
  <c r="E1266" i="3"/>
  <c r="D1266" i="3"/>
  <c r="C1266" i="3"/>
  <c r="B1266" i="3"/>
  <c r="A1266" i="3"/>
  <c r="O1265" i="3"/>
  <c r="N1265" i="3"/>
  <c r="M1265" i="3"/>
  <c r="L1265" i="3"/>
  <c r="K1265" i="3"/>
  <c r="J1265" i="3"/>
  <c r="I1265" i="3"/>
  <c r="H1265" i="3"/>
  <c r="G1265" i="3"/>
  <c r="F1265" i="3"/>
  <c r="E1265" i="3"/>
  <c r="D1265" i="3"/>
  <c r="C1265" i="3"/>
  <c r="B1265" i="3"/>
  <c r="A1265" i="3"/>
  <c r="O1264" i="3"/>
  <c r="N1264" i="3"/>
  <c r="M1264" i="3"/>
  <c r="L1264" i="3"/>
  <c r="K1264" i="3"/>
  <c r="J1264" i="3"/>
  <c r="I1264" i="3"/>
  <c r="H1264" i="3"/>
  <c r="G1264" i="3"/>
  <c r="F1264" i="3"/>
  <c r="E1264" i="3"/>
  <c r="D1264" i="3"/>
  <c r="C1264" i="3"/>
  <c r="B1264" i="3"/>
  <c r="A1264" i="3"/>
  <c r="O1263" i="3"/>
  <c r="N1263" i="3"/>
  <c r="M1263" i="3"/>
  <c r="L1263" i="3"/>
  <c r="K1263" i="3"/>
  <c r="J1263" i="3"/>
  <c r="I1263" i="3"/>
  <c r="H1263" i="3"/>
  <c r="G1263" i="3"/>
  <c r="F1263" i="3"/>
  <c r="E1263" i="3"/>
  <c r="D1263" i="3"/>
  <c r="C1263" i="3"/>
  <c r="B1263" i="3"/>
  <c r="A1263" i="3"/>
  <c r="O1262" i="3"/>
  <c r="N1262" i="3"/>
  <c r="M1262" i="3"/>
  <c r="L1262" i="3"/>
  <c r="K1262" i="3"/>
  <c r="J1262" i="3"/>
  <c r="I1262" i="3"/>
  <c r="H1262" i="3"/>
  <c r="G1262" i="3"/>
  <c r="F1262" i="3"/>
  <c r="E1262" i="3"/>
  <c r="D1262" i="3"/>
  <c r="C1262" i="3"/>
  <c r="B1262" i="3"/>
  <c r="A1262" i="3"/>
  <c r="O1261" i="3"/>
  <c r="N1261" i="3"/>
  <c r="M1261" i="3"/>
  <c r="L1261" i="3"/>
  <c r="K1261" i="3"/>
  <c r="J1261" i="3"/>
  <c r="I1261" i="3"/>
  <c r="H1261" i="3"/>
  <c r="G1261" i="3"/>
  <c r="F1261" i="3"/>
  <c r="E1261" i="3"/>
  <c r="D1261" i="3"/>
  <c r="C1261" i="3"/>
  <c r="B1261" i="3"/>
  <c r="A1261" i="3"/>
  <c r="O1260" i="3"/>
  <c r="N1260" i="3"/>
  <c r="M1260" i="3"/>
  <c r="L1260" i="3"/>
  <c r="K1260" i="3"/>
  <c r="J1260" i="3"/>
  <c r="I1260" i="3"/>
  <c r="H1260" i="3"/>
  <c r="G1260" i="3"/>
  <c r="F1260" i="3"/>
  <c r="E1260" i="3"/>
  <c r="D1260" i="3"/>
  <c r="C1260" i="3"/>
  <c r="B1260" i="3"/>
  <c r="A1260" i="3"/>
  <c r="O1259" i="3"/>
  <c r="N1259" i="3"/>
  <c r="M1259" i="3"/>
  <c r="L1259" i="3"/>
  <c r="K1259" i="3"/>
  <c r="J1259" i="3"/>
  <c r="I1259" i="3"/>
  <c r="H1259" i="3"/>
  <c r="G1259" i="3"/>
  <c r="F1259" i="3"/>
  <c r="E1259" i="3"/>
  <c r="D1259" i="3"/>
  <c r="C1259" i="3"/>
  <c r="B1259" i="3"/>
  <c r="A1259" i="3"/>
  <c r="O1258" i="3"/>
  <c r="N1258" i="3"/>
  <c r="M1258" i="3"/>
  <c r="L1258" i="3"/>
  <c r="K1258" i="3"/>
  <c r="J1258" i="3"/>
  <c r="I1258" i="3"/>
  <c r="H1258" i="3"/>
  <c r="G1258" i="3"/>
  <c r="F1258" i="3"/>
  <c r="E1258" i="3"/>
  <c r="D1258" i="3"/>
  <c r="C1258" i="3"/>
  <c r="B1258" i="3"/>
  <c r="A1258" i="3"/>
  <c r="O1257" i="3"/>
  <c r="N1257" i="3"/>
  <c r="M1257" i="3"/>
  <c r="L1257" i="3"/>
  <c r="K1257" i="3"/>
  <c r="J1257" i="3"/>
  <c r="I1257" i="3"/>
  <c r="H1257" i="3"/>
  <c r="G1257" i="3"/>
  <c r="F1257" i="3"/>
  <c r="E1257" i="3"/>
  <c r="D1257" i="3"/>
  <c r="C1257" i="3"/>
  <c r="B1257" i="3"/>
  <c r="A1257" i="3"/>
  <c r="O1256" i="3"/>
  <c r="N1256" i="3"/>
  <c r="M1256" i="3"/>
  <c r="L1256" i="3"/>
  <c r="K1256" i="3"/>
  <c r="J1256" i="3"/>
  <c r="I1256" i="3"/>
  <c r="H1256" i="3"/>
  <c r="G1256" i="3"/>
  <c r="F1256" i="3"/>
  <c r="E1256" i="3"/>
  <c r="D1256" i="3"/>
  <c r="C1256" i="3"/>
  <c r="B1256" i="3"/>
  <c r="A1256" i="3"/>
  <c r="O1255" i="3"/>
  <c r="N1255" i="3"/>
  <c r="M1255" i="3"/>
  <c r="L1255" i="3"/>
  <c r="K1255" i="3"/>
  <c r="J1255" i="3"/>
  <c r="I1255" i="3"/>
  <c r="H1255" i="3"/>
  <c r="G1255" i="3"/>
  <c r="F1255" i="3"/>
  <c r="E1255" i="3"/>
  <c r="D1255" i="3"/>
  <c r="C1255" i="3"/>
  <c r="B1255" i="3"/>
  <c r="A1255" i="3"/>
  <c r="O1254" i="3"/>
  <c r="N1254" i="3"/>
  <c r="M1254" i="3"/>
  <c r="L1254" i="3"/>
  <c r="K1254" i="3"/>
  <c r="J1254" i="3"/>
  <c r="I1254" i="3"/>
  <c r="H1254" i="3"/>
  <c r="G1254" i="3"/>
  <c r="F1254" i="3"/>
  <c r="E1254" i="3"/>
  <c r="D1254" i="3"/>
  <c r="C1254" i="3"/>
  <c r="B1254" i="3"/>
  <c r="A1254" i="3"/>
  <c r="O1253" i="3"/>
  <c r="N1253" i="3"/>
  <c r="M1253" i="3"/>
  <c r="L1253" i="3"/>
  <c r="K1253" i="3"/>
  <c r="J1253" i="3"/>
  <c r="I1253" i="3"/>
  <c r="H1253" i="3"/>
  <c r="G1253" i="3"/>
  <c r="F1253" i="3"/>
  <c r="E1253" i="3"/>
  <c r="D1253" i="3"/>
  <c r="C1253" i="3"/>
  <c r="B1253" i="3"/>
  <c r="A1253" i="3"/>
  <c r="O1252" i="3"/>
  <c r="N1252" i="3"/>
  <c r="M1252" i="3"/>
  <c r="L1252" i="3"/>
  <c r="K1252" i="3"/>
  <c r="J1252" i="3"/>
  <c r="I1252" i="3"/>
  <c r="H1252" i="3"/>
  <c r="G1252" i="3"/>
  <c r="F1252" i="3"/>
  <c r="E1252" i="3"/>
  <c r="D1252" i="3"/>
  <c r="C1252" i="3"/>
  <c r="B1252" i="3"/>
  <c r="A1252" i="3"/>
  <c r="O1251" i="3"/>
  <c r="N1251" i="3"/>
  <c r="M1251" i="3"/>
  <c r="L1251" i="3"/>
  <c r="K1251" i="3"/>
  <c r="J1251" i="3"/>
  <c r="I1251" i="3"/>
  <c r="H1251" i="3"/>
  <c r="G1251" i="3"/>
  <c r="F1251" i="3"/>
  <c r="E1251" i="3"/>
  <c r="D1251" i="3"/>
  <c r="C1251" i="3"/>
  <c r="B1251" i="3"/>
  <c r="A1251" i="3"/>
  <c r="O1250" i="3"/>
  <c r="N1250" i="3"/>
  <c r="M1250" i="3"/>
  <c r="L1250" i="3"/>
  <c r="K1250" i="3"/>
  <c r="J1250" i="3"/>
  <c r="I1250" i="3"/>
  <c r="H1250" i="3"/>
  <c r="G1250" i="3"/>
  <c r="F1250" i="3"/>
  <c r="E1250" i="3"/>
  <c r="D1250" i="3"/>
  <c r="C1250" i="3"/>
  <c r="B1250" i="3"/>
  <c r="A1250" i="3"/>
  <c r="O1249" i="3"/>
  <c r="N1249" i="3"/>
  <c r="M1249" i="3"/>
  <c r="L1249" i="3"/>
  <c r="K1249" i="3"/>
  <c r="J1249" i="3"/>
  <c r="I1249" i="3"/>
  <c r="H1249" i="3"/>
  <c r="G1249" i="3"/>
  <c r="F1249" i="3"/>
  <c r="E1249" i="3"/>
  <c r="D1249" i="3"/>
  <c r="C1249" i="3"/>
  <c r="B1249" i="3"/>
  <c r="A1249" i="3"/>
  <c r="O1248" i="3"/>
  <c r="N1248" i="3"/>
  <c r="M1248" i="3"/>
  <c r="L1248" i="3"/>
  <c r="K1248" i="3"/>
  <c r="J1248" i="3"/>
  <c r="I1248" i="3"/>
  <c r="H1248" i="3"/>
  <c r="G1248" i="3"/>
  <c r="F1248" i="3"/>
  <c r="E1248" i="3"/>
  <c r="D1248" i="3"/>
  <c r="C1248" i="3"/>
  <c r="B1248" i="3"/>
  <c r="A1248" i="3"/>
  <c r="O1247" i="3"/>
  <c r="N1247" i="3"/>
  <c r="M1247" i="3"/>
  <c r="L1247" i="3"/>
  <c r="K1247" i="3"/>
  <c r="J1247" i="3"/>
  <c r="I1247" i="3"/>
  <c r="H1247" i="3"/>
  <c r="G1247" i="3"/>
  <c r="F1247" i="3"/>
  <c r="E1247" i="3"/>
  <c r="D1247" i="3"/>
  <c r="C1247" i="3"/>
  <c r="B1247" i="3"/>
  <c r="A1247" i="3"/>
  <c r="O1246" i="3"/>
  <c r="N1246" i="3"/>
  <c r="M1246" i="3"/>
  <c r="L1246" i="3"/>
  <c r="K1246" i="3"/>
  <c r="J1246" i="3"/>
  <c r="I1246" i="3"/>
  <c r="H1246" i="3"/>
  <c r="G1246" i="3"/>
  <c r="F1246" i="3"/>
  <c r="E1246" i="3"/>
  <c r="D1246" i="3"/>
  <c r="C1246" i="3"/>
  <c r="B1246" i="3"/>
  <c r="A1246" i="3"/>
  <c r="O1245" i="3"/>
  <c r="N1245" i="3"/>
  <c r="M1245" i="3"/>
  <c r="L1245" i="3"/>
  <c r="K1245" i="3"/>
  <c r="J1245" i="3"/>
  <c r="I1245" i="3"/>
  <c r="H1245" i="3"/>
  <c r="G1245" i="3"/>
  <c r="F1245" i="3"/>
  <c r="E1245" i="3"/>
  <c r="D1245" i="3"/>
  <c r="C1245" i="3"/>
  <c r="B1245" i="3"/>
  <c r="A1245" i="3"/>
  <c r="O1244" i="3"/>
  <c r="N1244" i="3"/>
  <c r="M1244" i="3"/>
  <c r="L1244" i="3"/>
  <c r="K1244" i="3"/>
  <c r="J1244" i="3"/>
  <c r="I1244" i="3"/>
  <c r="H1244" i="3"/>
  <c r="G1244" i="3"/>
  <c r="F1244" i="3"/>
  <c r="E1244" i="3"/>
  <c r="D1244" i="3"/>
  <c r="C1244" i="3"/>
  <c r="B1244" i="3"/>
  <c r="A1244" i="3"/>
  <c r="O1243" i="3"/>
  <c r="N1243" i="3"/>
  <c r="M1243" i="3"/>
  <c r="L1243" i="3"/>
  <c r="K1243" i="3"/>
  <c r="J1243" i="3"/>
  <c r="I1243" i="3"/>
  <c r="H1243" i="3"/>
  <c r="G1243" i="3"/>
  <c r="F1243" i="3"/>
  <c r="E1243" i="3"/>
  <c r="D1243" i="3"/>
  <c r="C1243" i="3"/>
  <c r="B1243" i="3"/>
  <c r="A1243" i="3"/>
  <c r="O1242" i="3"/>
  <c r="N1242" i="3"/>
  <c r="M1242" i="3"/>
  <c r="L1242" i="3"/>
  <c r="K1242" i="3"/>
  <c r="J1242" i="3"/>
  <c r="I1242" i="3"/>
  <c r="H1242" i="3"/>
  <c r="G1242" i="3"/>
  <c r="F1242" i="3"/>
  <c r="E1242" i="3"/>
  <c r="D1242" i="3"/>
  <c r="C1242" i="3"/>
  <c r="B1242" i="3"/>
  <c r="A1242" i="3"/>
  <c r="O1241" i="3"/>
  <c r="N1241" i="3"/>
  <c r="M1241" i="3"/>
  <c r="L1241" i="3"/>
  <c r="K1241" i="3"/>
  <c r="J1241" i="3"/>
  <c r="I1241" i="3"/>
  <c r="H1241" i="3"/>
  <c r="G1241" i="3"/>
  <c r="F1241" i="3"/>
  <c r="E1241" i="3"/>
  <c r="D1241" i="3"/>
  <c r="C1241" i="3"/>
  <c r="B1241" i="3"/>
  <c r="A1241" i="3"/>
  <c r="O1240" i="3"/>
  <c r="N1240" i="3"/>
  <c r="M1240" i="3"/>
  <c r="L1240" i="3"/>
  <c r="K1240" i="3"/>
  <c r="J1240" i="3"/>
  <c r="I1240" i="3"/>
  <c r="H1240" i="3"/>
  <c r="G1240" i="3"/>
  <c r="F1240" i="3"/>
  <c r="E1240" i="3"/>
  <c r="D1240" i="3"/>
  <c r="C1240" i="3"/>
  <c r="B1240" i="3"/>
  <c r="A1240" i="3"/>
  <c r="O1239" i="3"/>
  <c r="N1239" i="3"/>
  <c r="M1239" i="3"/>
  <c r="L1239" i="3"/>
  <c r="K1239" i="3"/>
  <c r="J1239" i="3"/>
  <c r="I1239" i="3"/>
  <c r="H1239" i="3"/>
  <c r="G1239" i="3"/>
  <c r="F1239" i="3"/>
  <c r="E1239" i="3"/>
  <c r="D1239" i="3"/>
  <c r="C1239" i="3"/>
  <c r="B1239" i="3"/>
  <c r="A1239" i="3"/>
  <c r="O1238" i="3"/>
  <c r="N1238" i="3"/>
  <c r="M1238" i="3"/>
  <c r="L1238" i="3"/>
  <c r="K1238" i="3"/>
  <c r="J1238" i="3"/>
  <c r="I1238" i="3"/>
  <c r="H1238" i="3"/>
  <c r="G1238" i="3"/>
  <c r="F1238" i="3"/>
  <c r="E1238" i="3"/>
  <c r="D1238" i="3"/>
  <c r="C1238" i="3"/>
  <c r="B1238" i="3"/>
  <c r="A1238" i="3"/>
  <c r="O1237" i="3"/>
  <c r="N1237" i="3"/>
  <c r="M1237" i="3"/>
  <c r="L1237" i="3"/>
  <c r="K1237" i="3"/>
  <c r="J1237" i="3"/>
  <c r="I1237" i="3"/>
  <c r="H1237" i="3"/>
  <c r="G1237" i="3"/>
  <c r="F1237" i="3"/>
  <c r="E1237" i="3"/>
  <c r="D1237" i="3"/>
  <c r="C1237" i="3"/>
  <c r="B1237" i="3"/>
  <c r="A1237" i="3"/>
  <c r="O1236" i="3"/>
  <c r="N1236" i="3"/>
  <c r="M1236" i="3"/>
  <c r="L1236" i="3"/>
  <c r="K1236" i="3"/>
  <c r="J1236" i="3"/>
  <c r="I1236" i="3"/>
  <c r="H1236" i="3"/>
  <c r="G1236" i="3"/>
  <c r="F1236" i="3"/>
  <c r="E1236" i="3"/>
  <c r="D1236" i="3"/>
  <c r="C1236" i="3"/>
  <c r="B1236" i="3"/>
  <c r="A1236" i="3"/>
  <c r="O1235" i="3"/>
  <c r="N1235" i="3"/>
  <c r="M1235" i="3"/>
  <c r="L1235" i="3"/>
  <c r="K1235" i="3"/>
  <c r="J1235" i="3"/>
  <c r="I1235" i="3"/>
  <c r="H1235" i="3"/>
  <c r="G1235" i="3"/>
  <c r="F1235" i="3"/>
  <c r="E1235" i="3"/>
  <c r="D1235" i="3"/>
  <c r="C1235" i="3"/>
  <c r="B1235" i="3"/>
  <c r="A1235" i="3"/>
  <c r="O1234" i="3"/>
  <c r="N1234" i="3"/>
  <c r="M1234" i="3"/>
  <c r="L1234" i="3"/>
  <c r="K1234" i="3"/>
  <c r="J1234" i="3"/>
  <c r="I1234" i="3"/>
  <c r="H1234" i="3"/>
  <c r="G1234" i="3"/>
  <c r="F1234" i="3"/>
  <c r="E1234" i="3"/>
  <c r="D1234" i="3"/>
  <c r="C1234" i="3"/>
  <c r="B1234" i="3"/>
  <c r="A1234" i="3"/>
  <c r="O1233" i="3"/>
  <c r="N1233" i="3"/>
  <c r="M1233" i="3"/>
  <c r="L1233" i="3"/>
  <c r="K1233" i="3"/>
  <c r="J1233" i="3"/>
  <c r="I1233" i="3"/>
  <c r="H1233" i="3"/>
  <c r="G1233" i="3"/>
  <c r="F1233" i="3"/>
  <c r="E1233" i="3"/>
  <c r="D1233" i="3"/>
  <c r="C1233" i="3"/>
  <c r="B1233" i="3"/>
  <c r="A1233" i="3"/>
  <c r="O1232" i="3"/>
  <c r="N1232" i="3"/>
  <c r="M1232" i="3"/>
  <c r="L1232" i="3"/>
  <c r="K1232" i="3"/>
  <c r="J1232" i="3"/>
  <c r="I1232" i="3"/>
  <c r="H1232" i="3"/>
  <c r="G1232" i="3"/>
  <c r="F1232" i="3"/>
  <c r="E1232" i="3"/>
  <c r="D1232" i="3"/>
  <c r="C1232" i="3"/>
  <c r="B1232" i="3"/>
  <c r="A1232" i="3"/>
  <c r="O1231" i="3"/>
  <c r="N1231" i="3"/>
  <c r="M1231" i="3"/>
  <c r="L1231" i="3"/>
  <c r="K1231" i="3"/>
  <c r="J1231" i="3"/>
  <c r="I1231" i="3"/>
  <c r="H1231" i="3"/>
  <c r="G1231" i="3"/>
  <c r="F1231" i="3"/>
  <c r="E1231" i="3"/>
  <c r="D1231" i="3"/>
  <c r="C1231" i="3"/>
  <c r="B1231" i="3"/>
  <c r="A1231" i="3"/>
  <c r="O1230" i="3"/>
  <c r="N1230" i="3"/>
  <c r="M1230" i="3"/>
  <c r="L1230" i="3"/>
  <c r="K1230" i="3"/>
  <c r="J1230" i="3"/>
  <c r="I1230" i="3"/>
  <c r="H1230" i="3"/>
  <c r="G1230" i="3"/>
  <c r="F1230" i="3"/>
  <c r="E1230" i="3"/>
  <c r="D1230" i="3"/>
  <c r="C1230" i="3"/>
  <c r="B1230" i="3"/>
  <c r="A1230" i="3"/>
  <c r="O1229" i="3"/>
  <c r="N1229" i="3"/>
  <c r="M1229" i="3"/>
  <c r="L1229" i="3"/>
  <c r="K1229" i="3"/>
  <c r="J1229" i="3"/>
  <c r="I1229" i="3"/>
  <c r="H1229" i="3"/>
  <c r="G1229" i="3"/>
  <c r="F1229" i="3"/>
  <c r="E1229" i="3"/>
  <c r="D1229" i="3"/>
  <c r="C1229" i="3"/>
  <c r="B1229" i="3"/>
  <c r="A1229" i="3"/>
  <c r="O1228" i="3"/>
  <c r="N1228" i="3"/>
  <c r="M1228" i="3"/>
  <c r="L1228" i="3"/>
  <c r="K1228" i="3"/>
  <c r="J1228" i="3"/>
  <c r="I1228" i="3"/>
  <c r="H1228" i="3"/>
  <c r="G1228" i="3"/>
  <c r="F1228" i="3"/>
  <c r="E1228" i="3"/>
  <c r="D1228" i="3"/>
  <c r="C1228" i="3"/>
  <c r="B1228" i="3"/>
  <c r="A1228" i="3"/>
  <c r="O1227" i="3"/>
  <c r="N1227" i="3"/>
  <c r="M1227" i="3"/>
  <c r="L1227" i="3"/>
  <c r="K1227" i="3"/>
  <c r="J1227" i="3"/>
  <c r="I1227" i="3"/>
  <c r="H1227" i="3"/>
  <c r="G1227" i="3"/>
  <c r="F1227" i="3"/>
  <c r="E1227" i="3"/>
  <c r="D1227" i="3"/>
  <c r="C1227" i="3"/>
  <c r="B1227" i="3"/>
  <c r="A1227" i="3"/>
  <c r="O1226" i="3"/>
  <c r="N1226" i="3"/>
  <c r="M1226" i="3"/>
  <c r="L1226" i="3"/>
  <c r="K1226" i="3"/>
  <c r="J1226" i="3"/>
  <c r="I1226" i="3"/>
  <c r="H1226" i="3"/>
  <c r="G1226" i="3"/>
  <c r="F1226" i="3"/>
  <c r="E1226" i="3"/>
  <c r="D1226" i="3"/>
  <c r="C1226" i="3"/>
  <c r="B1226" i="3"/>
  <c r="A1226" i="3"/>
  <c r="O1225" i="3"/>
  <c r="N1225" i="3"/>
  <c r="M1225" i="3"/>
  <c r="L1225" i="3"/>
  <c r="K1225" i="3"/>
  <c r="J1225" i="3"/>
  <c r="I1225" i="3"/>
  <c r="H1225" i="3"/>
  <c r="G1225" i="3"/>
  <c r="F1225" i="3"/>
  <c r="E1225" i="3"/>
  <c r="D1225" i="3"/>
  <c r="C1225" i="3"/>
  <c r="B1225" i="3"/>
  <c r="A1225" i="3"/>
  <c r="O1224" i="3"/>
  <c r="N1224" i="3"/>
  <c r="M1224" i="3"/>
  <c r="L1224" i="3"/>
  <c r="K1224" i="3"/>
  <c r="J1224" i="3"/>
  <c r="I1224" i="3"/>
  <c r="H1224" i="3"/>
  <c r="G1224" i="3"/>
  <c r="F1224" i="3"/>
  <c r="E1224" i="3"/>
  <c r="D1224" i="3"/>
  <c r="C1224" i="3"/>
  <c r="B1224" i="3"/>
  <c r="A1224" i="3"/>
  <c r="O1223" i="3"/>
  <c r="N1223" i="3"/>
  <c r="M1223" i="3"/>
  <c r="L1223" i="3"/>
  <c r="K1223" i="3"/>
  <c r="J1223" i="3"/>
  <c r="I1223" i="3"/>
  <c r="H1223" i="3"/>
  <c r="G1223" i="3"/>
  <c r="F1223" i="3"/>
  <c r="E1223" i="3"/>
  <c r="D1223" i="3"/>
  <c r="C1223" i="3"/>
  <c r="B1223" i="3"/>
  <c r="A1223" i="3"/>
  <c r="O1222" i="3"/>
  <c r="N1222" i="3"/>
  <c r="M1222" i="3"/>
  <c r="L1222" i="3"/>
  <c r="K1222" i="3"/>
  <c r="J1222" i="3"/>
  <c r="I1222" i="3"/>
  <c r="H1222" i="3"/>
  <c r="G1222" i="3"/>
  <c r="F1222" i="3"/>
  <c r="E1222" i="3"/>
  <c r="D1222" i="3"/>
  <c r="C1222" i="3"/>
  <c r="B1222" i="3"/>
  <c r="A1222" i="3"/>
  <c r="O1221" i="3"/>
  <c r="N1221" i="3"/>
  <c r="M1221" i="3"/>
  <c r="L1221" i="3"/>
  <c r="K1221" i="3"/>
  <c r="J1221" i="3"/>
  <c r="I1221" i="3"/>
  <c r="H1221" i="3"/>
  <c r="G1221" i="3"/>
  <c r="F1221" i="3"/>
  <c r="E1221" i="3"/>
  <c r="D1221" i="3"/>
  <c r="C1221" i="3"/>
  <c r="B1221" i="3"/>
  <c r="A1221" i="3"/>
  <c r="O1220" i="3"/>
  <c r="N1220" i="3"/>
  <c r="M1220" i="3"/>
  <c r="L1220" i="3"/>
  <c r="K1220" i="3"/>
  <c r="J1220" i="3"/>
  <c r="I1220" i="3"/>
  <c r="H1220" i="3"/>
  <c r="G1220" i="3"/>
  <c r="F1220" i="3"/>
  <c r="E1220" i="3"/>
  <c r="D1220" i="3"/>
  <c r="C1220" i="3"/>
  <c r="B1220" i="3"/>
  <c r="A1220" i="3"/>
  <c r="O1219" i="3"/>
  <c r="N1219" i="3"/>
  <c r="M1219" i="3"/>
  <c r="L1219" i="3"/>
  <c r="K1219" i="3"/>
  <c r="J1219" i="3"/>
  <c r="I1219" i="3"/>
  <c r="H1219" i="3"/>
  <c r="G1219" i="3"/>
  <c r="F1219" i="3"/>
  <c r="E1219" i="3"/>
  <c r="D1219" i="3"/>
  <c r="C1219" i="3"/>
  <c r="B1219" i="3"/>
  <c r="A1219" i="3"/>
  <c r="O1218" i="3"/>
  <c r="N1218" i="3"/>
  <c r="M1218" i="3"/>
  <c r="L1218" i="3"/>
  <c r="K1218" i="3"/>
  <c r="J1218" i="3"/>
  <c r="I1218" i="3"/>
  <c r="H1218" i="3"/>
  <c r="G1218" i="3"/>
  <c r="F1218" i="3"/>
  <c r="E1218" i="3"/>
  <c r="D1218" i="3"/>
  <c r="C1218" i="3"/>
  <c r="B1218" i="3"/>
  <c r="A1218" i="3"/>
  <c r="O1217" i="3"/>
  <c r="N1217" i="3"/>
  <c r="M1217" i="3"/>
  <c r="L1217" i="3"/>
  <c r="K1217" i="3"/>
  <c r="J1217" i="3"/>
  <c r="I1217" i="3"/>
  <c r="H1217" i="3"/>
  <c r="G1217" i="3"/>
  <c r="F1217" i="3"/>
  <c r="E1217" i="3"/>
  <c r="D1217" i="3"/>
  <c r="C1217" i="3"/>
  <c r="B1217" i="3"/>
  <c r="A1217" i="3"/>
  <c r="O1216" i="3"/>
  <c r="N1216" i="3"/>
  <c r="M1216" i="3"/>
  <c r="L1216" i="3"/>
  <c r="K1216" i="3"/>
  <c r="J1216" i="3"/>
  <c r="I1216" i="3"/>
  <c r="H1216" i="3"/>
  <c r="G1216" i="3"/>
  <c r="F1216" i="3"/>
  <c r="E1216" i="3"/>
  <c r="D1216" i="3"/>
  <c r="C1216" i="3"/>
  <c r="B1216" i="3"/>
  <c r="A1216" i="3"/>
  <c r="O1215" i="3"/>
  <c r="N1215" i="3"/>
  <c r="M1215" i="3"/>
  <c r="L1215" i="3"/>
  <c r="K1215" i="3"/>
  <c r="J1215" i="3"/>
  <c r="I1215" i="3"/>
  <c r="H1215" i="3"/>
  <c r="G1215" i="3"/>
  <c r="F1215" i="3"/>
  <c r="E1215" i="3"/>
  <c r="D1215" i="3"/>
  <c r="C1215" i="3"/>
  <c r="B1215" i="3"/>
  <c r="A1215" i="3"/>
  <c r="O1214" i="3"/>
  <c r="N1214" i="3"/>
  <c r="M1214" i="3"/>
  <c r="L1214" i="3"/>
  <c r="K1214" i="3"/>
  <c r="J1214" i="3"/>
  <c r="I1214" i="3"/>
  <c r="H1214" i="3"/>
  <c r="G1214" i="3"/>
  <c r="F1214" i="3"/>
  <c r="E1214" i="3"/>
  <c r="D1214" i="3"/>
  <c r="C1214" i="3"/>
  <c r="B1214" i="3"/>
  <c r="A1214" i="3"/>
  <c r="O1213" i="3"/>
  <c r="N1213" i="3"/>
  <c r="M1213" i="3"/>
  <c r="L1213" i="3"/>
  <c r="K1213" i="3"/>
  <c r="J1213" i="3"/>
  <c r="I1213" i="3"/>
  <c r="H1213" i="3"/>
  <c r="G1213" i="3"/>
  <c r="F1213" i="3"/>
  <c r="E1213" i="3"/>
  <c r="D1213" i="3"/>
  <c r="C1213" i="3"/>
  <c r="B1213" i="3"/>
  <c r="A1213" i="3"/>
  <c r="O1212" i="3"/>
  <c r="N1212" i="3"/>
  <c r="M1212" i="3"/>
  <c r="L1212" i="3"/>
  <c r="K1212" i="3"/>
  <c r="J1212" i="3"/>
  <c r="I1212" i="3"/>
  <c r="H1212" i="3"/>
  <c r="G1212" i="3"/>
  <c r="F1212" i="3"/>
  <c r="E1212" i="3"/>
  <c r="D1212" i="3"/>
  <c r="C1212" i="3"/>
  <c r="B1212" i="3"/>
  <c r="A1212" i="3"/>
  <c r="O1211" i="3"/>
  <c r="N1211" i="3"/>
  <c r="M1211" i="3"/>
  <c r="L1211" i="3"/>
  <c r="K1211" i="3"/>
  <c r="J1211" i="3"/>
  <c r="I1211" i="3"/>
  <c r="H1211" i="3"/>
  <c r="G1211" i="3"/>
  <c r="F1211" i="3"/>
  <c r="E1211" i="3"/>
  <c r="D1211" i="3"/>
  <c r="C1211" i="3"/>
  <c r="B1211" i="3"/>
  <c r="A1211" i="3"/>
  <c r="O1210" i="3"/>
  <c r="N1210" i="3"/>
  <c r="M1210" i="3"/>
  <c r="L1210" i="3"/>
  <c r="K1210" i="3"/>
  <c r="J1210" i="3"/>
  <c r="I1210" i="3"/>
  <c r="H1210" i="3"/>
  <c r="G1210" i="3"/>
  <c r="F1210" i="3"/>
  <c r="E1210" i="3"/>
  <c r="D1210" i="3"/>
  <c r="C1210" i="3"/>
  <c r="B1210" i="3"/>
  <c r="A1210" i="3"/>
  <c r="O1209" i="3"/>
  <c r="N1209" i="3"/>
  <c r="M1209" i="3"/>
  <c r="L1209" i="3"/>
  <c r="K1209" i="3"/>
  <c r="J1209" i="3"/>
  <c r="I1209" i="3"/>
  <c r="H1209" i="3"/>
  <c r="G1209" i="3"/>
  <c r="F1209" i="3"/>
  <c r="E1209" i="3"/>
  <c r="D1209" i="3"/>
  <c r="C1209" i="3"/>
  <c r="B1209" i="3"/>
  <c r="A1209" i="3"/>
  <c r="O1208" i="3"/>
  <c r="N1208" i="3"/>
  <c r="M1208" i="3"/>
  <c r="L1208" i="3"/>
  <c r="K1208" i="3"/>
  <c r="J1208" i="3"/>
  <c r="I1208" i="3"/>
  <c r="H1208" i="3"/>
  <c r="G1208" i="3"/>
  <c r="F1208" i="3"/>
  <c r="E1208" i="3"/>
  <c r="D1208" i="3"/>
  <c r="C1208" i="3"/>
  <c r="B1208" i="3"/>
  <c r="A1208" i="3"/>
  <c r="O1207" i="3"/>
  <c r="N1207" i="3"/>
  <c r="M1207" i="3"/>
  <c r="L1207" i="3"/>
  <c r="K1207" i="3"/>
  <c r="J1207" i="3"/>
  <c r="I1207" i="3"/>
  <c r="H1207" i="3"/>
  <c r="G1207" i="3"/>
  <c r="F1207" i="3"/>
  <c r="E1207" i="3"/>
  <c r="D1207" i="3"/>
  <c r="C1207" i="3"/>
  <c r="B1207" i="3"/>
  <c r="A1207" i="3"/>
  <c r="O1206" i="3"/>
  <c r="N1206" i="3"/>
  <c r="M1206" i="3"/>
  <c r="L1206" i="3"/>
  <c r="K1206" i="3"/>
  <c r="J1206" i="3"/>
  <c r="I1206" i="3"/>
  <c r="H1206" i="3"/>
  <c r="G1206" i="3"/>
  <c r="F1206" i="3"/>
  <c r="E1206" i="3"/>
  <c r="D1206" i="3"/>
  <c r="C1206" i="3"/>
  <c r="B1206" i="3"/>
  <c r="A1206" i="3"/>
  <c r="O1205" i="3"/>
  <c r="N1205" i="3"/>
  <c r="M1205" i="3"/>
  <c r="L1205" i="3"/>
  <c r="K1205" i="3"/>
  <c r="J1205" i="3"/>
  <c r="I1205" i="3"/>
  <c r="H1205" i="3"/>
  <c r="G1205" i="3"/>
  <c r="F1205" i="3"/>
  <c r="E1205" i="3"/>
  <c r="D1205" i="3"/>
  <c r="C1205" i="3"/>
  <c r="B1205" i="3"/>
  <c r="A1205" i="3"/>
  <c r="O1204" i="3"/>
  <c r="N1204" i="3"/>
  <c r="M1204" i="3"/>
  <c r="L1204" i="3"/>
  <c r="K1204" i="3"/>
  <c r="J1204" i="3"/>
  <c r="I1204" i="3"/>
  <c r="H1204" i="3"/>
  <c r="G1204" i="3"/>
  <c r="F1204" i="3"/>
  <c r="E1204" i="3"/>
  <c r="D1204" i="3"/>
  <c r="C1204" i="3"/>
  <c r="B1204" i="3"/>
  <c r="A1204" i="3"/>
  <c r="O1203" i="3"/>
  <c r="N1203" i="3"/>
  <c r="M1203" i="3"/>
  <c r="L1203" i="3"/>
  <c r="K1203" i="3"/>
  <c r="J1203" i="3"/>
  <c r="I1203" i="3"/>
  <c r="H1203" i="3"/>
  <c r="G1203" i="3"/>
  <c r="F1203" i="3"/>
  <c r="E1203" i="3"/>
  <c r="D1203" i="3"/>
  <c r="C1203" i="3"/>
  <c r="B1203" i="3"/>
  <c r="A1203" i="3"/>
  <c r="O1202" i="3"/>
  <c r="N1202" i="3"/>
  <c r="M1202" i="3"/>
  <c r="L1202" i="3"/>
  <c r="K1202" i="3"/>
  <c r="J1202" i="3"/>
  <c r="I1202" i="3"/>
  <c r="H1202" i="3"/>
  <c r="G1202" i="3"/>
  <c r="F1202" i="3"/>
  <c r="E1202" i="3"/>
  <c r="D1202" i="3"/>
  <c r="C1202" i="3"/>
  <c r="B1202" i="3"/>
  <c r="A1202" i="3"/>
  <c r="O1201" i="3"/>
  <c r="N1201" i="3"/>
  <c r="M1201" i="3"/>
  <c r="L1201" i="3"/>
  <c r="K1201" i="3"/>
  <c r="J1201" i="3"/>
  <c r="I1201" i="3"/>
  <c r="H1201" i="3"/>
  <c r="G1201" i="3"/>
  <c r="F1201" i="3"/>
  <c r="E1201" i="3"/>
  <c r="D1201" i="3"/>
  <c r="C1201" i="3"/>
  <c r="B1201" i="3"/>
  <c r="A1201" i="3"/>
  <c r="O1200" i="3"/>
  <c r="N1200" i="3"/>
  <c r="M1200" i="3"/>
  <c r="L1200" i="3"/>
  <c r="K1200" i="3"/>
  <c r="J1200" i="3"/>
  <c r="I1200" i="3"/>
  <c r="H1200" i="3"/>
  <c r="G1200" i="3"/>
  <c r="F1200" i="3"/>
  <c r="E1200" i="3"/>
  <c r="D1200" i="3"/>
  <c r="C1200" i="3"/>
  <c r="B1200" i="3"/>
  <c r="A1200" i="3"/>
  <c r="O1199" i="3"/>
  <c r="N1199" i="3"/>
  <c r="M1199" i="3"/>
  <c r="L1199" i="3"/>
  <c r="K1199" i="3"/>
  <c r="J1199" i="3"/>
  <c r="I1199" i="3"/>
  <c r="H1199" i="3"/>
  <c r="G1199" i="3"/>
  <c r="F1199" i="3"/>
  <c r="E1199" i="3"/>
  <c r="D1199" i="3"/>
  <c r="C1199" i="3"/>
  <c r="B1199" i="3"/>
  <c r="A1199" i="3"/>
  <c r="O1198" i="3"/>
  <c r="N1198" i="3"/>
  <c r="M1198" i="3"/>
  <c r="L1198" i="3"/>
  <c r="K1198" i="3"/>
  <c r="J1198" i="3"/>
  <c r="I1198" i="3"/>
  <c r="H1198" i="3"/>
  <c r="G1198" i="3"/>
  <c r="F1198" i="3"/>
  <c r="E1198" i="3"/>
  <c r="D1198" i="3"/>
  <c r="C1198" i="3"/>
  <c r="B1198" i="3"/>
  <c r="A1198" i="3"/>
  <c r="O1197" i="3"/>
  <c r="N1197" i="3"/>
  <c r="M1197" i="3"/>
  <c r="L1197" i="3"/>
  <c r="K1197" i="3"/>
  <c r="J1197" i="3"/>
  <c r="I1197" i="3"/>
  <c r="H1197" i="3"/>
  <c r="G1197" i="3"/>
  <c r="F1197" i="3"/>
  <c r="E1197" i="3"/>
  <c r="D1197" i="3"/>
  <c r="C1197" i="3"/>
  <c r="B1197" i="3"/>
  <c r="A1197" i="3"/>
  <c r="O1196" i="3"/>
  <c r="N1196" i="3"/>
  <c r="M1196" i="3"/>
  <c r="L1196" i="3"/>
  <c r="K1196" i="3"/>
  <c r="J1196" i="3"/>
  <c r="I1196" i="3"/>
  <c r="H1196" i="3"/>
  <c r="G1196" i="3"/>
  <c r="F1196" i="3"/>
  <c r="E1196" i="3"/>
  <c r="D1196" i="3"/>
  <c r="C1196" i="3"/>
  <c r="B1196" i="3"/>
  <c r="A1196" i="3"/>
  <c r="O1195" i="3"/>
  <c r="N1195" i="3"/>
  <c r="M1195" i="3"/>
  <c r="L1195" i="3"/>
  <c r="K1195" i="3"/>
  <c r="J1195" i="3"/>
  <c r="I1195" i="3"/>
  <c r="H1195" i="3"/>
  <c r="G1195" i="3"/>
  <c r="F1195" i="3"/>
  <c r="E1195" i="3"/>
  <c r="D1195" i="3"/>
  <c r="C1195" i="3"/>
  <c r="B1195" i="3"/>
  <c r="A1195" i="3"/>
  <c r="O1194" i="3"/>
  <c r="N1194" i="3"/>
  <c r="M1194" i="3"/>
  <c r="L1194" i="3"/>
  <c r="K1194" i="3"/>
  <c r="J1194" i="3"/>
  <c r="I1194" i="3"/>
  <c r="H1194" i="3"/>
  <c r="G1194" i="3"/>
  <c r="F1194" i="3"/>
  <c r="E1194" i="3"/>
  <c r="D1194" i="3"/>
  <c r="C1194" i="3"/>
  <c r="B1194" i="3"/>
  <c r="A1194" i="3"/>
  <c r="O1193" i="3"/>
  <c r="N1193" i="3"/>
  <c r="M1193" i="3"/>
  <c r="L1193" i="3"/>
  <c r="K1193" i="3"/>
  <c r="J1193" i="3"/>
  <c r="I1193" i="3"/>
  <c r="H1193" i="3"/>
  <c r="G1193" i="3"/>
  <c r="F1193" i="3"/>
  <c r="E1193" i="3"/>
  <c r="D1193" i="3"/>
  <c r="C1193" i="3"/>
  <c r="B1193" i="3"/>
  <c r="A1193" i="3"/>
  <c r="O1192" i="3"/>
  <c r="N1192" i="3"/>
  <c r="M1192" i="3"/>
  <c r="L1192" i="3"/>
  <c r="K1192" i="3"/>
  <c r="J1192" i="3"/>
  <c r="I1192" i="3"/>
  <c r="H1192" i="3"/>
  <c r="G1192" i="3"/>
  <c r="F1192" i="3"/>
  <c r="E1192" i="3"/>
  <c r="D1192" i="3"/>
  <c r="C1192" i="3"/>
  <c r="B1192" i="3"/>
  <c r="A1192" i="3"/>
  <c r="O1191" i="3"/>
  <c r="N1191" i="3"/>
  <c r="M1191" i="3"/>
  <c r="L1191" i="3"/>
  <c r="K1191" i="3"/>
  <c r="J1191" i="3"/>
  <c r="I1191" i="3"/>
  <c r="H1191" i="3"/>
  <c r="G1191" i="3"/>
  <c r="F1191" i="3"/>
  <c r="E1191" i="3"/>
  <c r="D1191" i="3"/>
  <c r="C1191" i="3"/>
  <c r="B1191" i="3"/>
  <c r="A1191" i="3"/>
  <c r="O1190" i="3"/>
  <c r="N1190" i="3"/>
  <c r="M1190" i="3"/>
  <c r="L1190" i="3"/>
  <c r="K1190" i="3"/>
  <c r="J1190" i="3"/>
  <c r="I1190" i="3"/>
  <c r="H1190" i="3"/>
  <c r="G1190" i="3"/>
  <c r="F1190" i="3"/>
  <c r="E1190" i="3"/>
  <c r="D1190" i="3"/>
  <c r="C1190" i="3"/>
  <c r="B1190" i="3"/>
  <c r="A1190" i="3"/>
  <c r="O1189" i="3"/>
  <c r="N1189" i="3"/>
  <c r="M1189" i="3"/>
  <c r="L1189" i="3"/>
  <c r="K1189" i="3"/>
  <c r="J1189" i="3"/>
  <c r="I1189" i="3"/>
  <c r="H1189" i="3"/>
  <c r="G1189" i="3"/>
  <c r="F1189" i="3"/>
  <c r="E1189" i="3"/>
  <c r="D1189" i="3"/>
  <c r="C1189" i="3"/>
  <c r="B1189" i="3"/>
  <c r="A1189" i="3"/>
  <c r="O1188" i="3"/>
  <c r="N1188" i="3"/>
  <c r="M1188" i="3"/>
  <c r="L1188" i="3"/>
  <c r="K1188" i="3"/>
  <c r="J1188" i="3"/>
  <c r="I1188" i="3"/>
  <c r="H1188" i="3"/>
  <c r="G1188" i="3"/>
  <c r="F1188" i="3"/>
  <c r="E1188" i="3"/>
  <c r="D1188" i="3"/>
  <c r="C1188" i="3"/>
  <c r="B1188" i="3"/>
  <c r="A1188" i="3"/>
  <c r="O1187" i="3"/>
  <c r="N1187" i="3"/>
  <c r="M1187" i="3"/>
  <c r="L1187" i="3"/>
  <c r="K1187" i="3"/>
  <c r="J1187" i="3"/>
  <c r="I1187" i="3"/>
  <c r="H1187" i="3"/>
  <c r="G1187" i="3"/>
  <c r="F1187" i="3"/>
  <c r="E1187" i="3"/>
  <c r="D1187" i="3"/>
  <c r="C1187" i="3"/>
  <c r="B1187" i="3"/>
  <c r="A1187" i="3"/>
  <c r="O1186" i="3"/>
  <c r="N1186" i="3"/>
  <c r="M1186" i="3"/>
  <c r="L1186" i="3"/>
  <c r="K1186" i="3"/>
  <c r="J1186" i="3"/>
  <c r="I1186" i="3"/>
  <c r="H1186" i="3"/>
  <c r="G1186" i="3"/>
  <c r="F1186" i="3"/>
  <c r="E1186" i="3"/>
  <c r="D1186" i="3"/>
  <c r="C1186" i="3"/>
  <c r="B1186" i="3"/>
  <c r="A1186" i="3"/>
  <c r="O1185" i="3"/>
  <c r="N1185" i="3"/>
  <c r="M1185" i="3"/>
  <c r="L1185" i="3"/>
  <c r="K1185" i="3"/>
  <c r="J1185" i="3"/>
  <c r="I1185" i="3"/>
  <c r="H1185" i="3"/>
  <c r="G1185" i="3"/>
  <c r="F1185" i="3"/>
  <c r="E1185" i="3"/>
  <c r="D1185" i="3"/>
  <c r="C1185" i="3"/>
  <c r="B1185" i="3"/>
  <c r="A1185" i="3"/>
  <c r="O1184" i="3"/>
  <c r="N1184" i="3"/>
  <c r="M1184" i="3"/>
  <c r="L1184" i="3"/>
  <c r="K1184" i="3"/>
  <c r="J1184" i="3"/>
  <c r="I1184" i="3"/>
  <c r="H1184" i="3"/>
  <c r="G1184" i="3"/>
  <c r="F1184" i="3"/>
  <c r="E1184" i="3"/>
  <c r="D1184" i="3"/>
  <c r="C1184" i="3"/>
  <c r="B1184" i="3"/>
  <c r="A1184" i="3"/>
  <c r="O1183" i="3"/>
  <c r="N1183" i="3"/>
  <c r="M1183" i="3"/>
  <c r="L1183" i="3"/>
  <c r="K1183" i="3"/>
  <c r="J1183" i="3"/>
  <c r="I1183" i="3"/>
  <c r="H1183" i="3"/>
  <c r="G1183" i="3"/>
  <c r="F1183" i="3"/>
  <c r="E1183" i="3"/>
  <c r="D1183" i="3"/>
  <c r="C1183" i="3"/>
  <c r="B1183" i="3"/>
  <c r="A1183" i="3"/>
  <c r="O1182" i="3"/>
  <c r="N1182" i="3"/>
  <c r="M1182" i="3"/>
  <c r="L1182" i="3"/>
  <c r="K1182" i="3"/>
  <c r="J1182" i="3"/>
  <c r="I1182" i="3"/>
  <c r="H1182" i="3"/>
  <c r="G1182" i="3"/>
  <c r="F1182" i="3"/>
  <c r="E1182" i="3"/>
  <c r="D1182" i="3"/>
  <c r="C1182" i="3"/>
  <c r="B1182" i="3"/>
  <c r="A1182" i="3"/>
  <c r="O1181" i="3"/>
  <c r="N1181" i="3"/>
  <c r="M1181" i="3"/>
  <c r="L1181" i="3"/>
  <c r="K1181" i="3"/>
  <c r="J1181" i="3"/>
  <c r="I1181" i="3"/>
  <c r="H1181" i="3"/>
  <c r="G1181" i="3"/>
  <c r="F1181" i="3"/>
  <c r="E1181" i="3"/>
  <c r="D1181" i="3"/>
  <c r="C1181" i="3"/>
  <c r="B1181" i="3"/>
  <c r="A1181" i="3"/>
  <c r="O1180" i="3"/>
  <c r="N1180" i="3"/>
  <c r="M1180" i="3"/>
  <c r="L1180" i="3"/>
  <c r="K1180" i="3"/>
  <c r="J1180" i="3"/>
  <c r="I1180" i="3"/>
  <c r="H1180" i="3"/>
  <c r="G1180" i="3"/>
  <c r="F1180" i="3"/>
  <c r="E1180" i="3"/>
  <c r="D1180" i="3"/>
  <c r="C1180" i="3"/>
  <c r="B1180" i="3"/>
  <c r="A1180" i="3"/>
  <c r="O1179" i="3"/>
  <c r="N1179" i="3"/>
  <c r="M1179" i="3"/>
  <c r="L1179" i="3"/>
  <c r="K1179" i="3"/>
  <c r="J1179" i="3"/>
  <c r="I1179" i="3"/>
  <c r="H1179" i="3"/>
  <c r="G1179" i="3"/>
  <c r="F1179" i="3"/>
  <c r="E1179" i="3"/>
  <c r="D1179" i="3"/>
  <c r="C1179" i="3"/>
  <c r="B1179" i="3"/>
  <c r="A1179" i="3"/>
  <c r="O1178" i="3"/>
  <c r="N1178" i="3"/>
  <c r="M1178" i="3"/>
  <c r="L1178" i="3"/>
  <c r="K1178" i="3"/>
  <c r="J1178" i="3"/>
  <c r="I1178" i="3"/>
  <c r="H1178" i="3"/>
  <c r="G1178" i="3"/>
  <c r="F1178" i="3"/>
  <c r="E1178" i="3"/>
  <c r="D1178" i="3"/>
  <c r="C1178" i="3"/>
  <c r="B1178" i="3"/>
  <c r="A1178" i="3"/>
  <c r="O1177" i="3"/>
  <c r="N1177" i="3"/>
  <c r="M1177" i="3"/>
  <c r="L1177" i="3"/>
  <c r="K1177" i="3"/>
  <c r="J1177" i="3"/>
  <c r="I1177" i="3"/>
  <c r="H1177" i="3"/>
  <c r="G1177" i="3"/>
  <c r="F1177" i="3"/>
  <c r="E1177" i="3"/>
  <c r="D1177" i="3"/>
  <c r="C1177" i="3"/>
  <c r="B1177" i="3"/>
  <c r="A1177" i="3"/>
  <c r="O1176" i="3"/>
  <c r="N1176" i="3"/>
  <c r="M1176" i="3"/>
  <c r="L1176" i="3"/>
  <c r="K1176" i="3"/>
  <c r="J1176" i="3"/>
  <c r="I1176" i="3"/>
  <c r="H1176" i="3"/>
  <c r="G1176" i="3"/>
  <c r="F1176" i="3"/>
  <c r="E1176" i="3"/>
  <c r="D1176" i="3"/>
  <c r="C1176" i="3"/>
  <c r="B1176" i="3"/>
  <c r="A1176" i="3"/>
  <c r="O1175" i="3"/>
  <c r="N1175" i="3"/>
  <c r="M1175" i="3"/>
  <c r="L1175" i="3"/>
  <c r="K1175" i="3"/>
  <c r="J1175" i="3"/>
  <c r="I1175" i="3"/>
  <c r="H1175" i="3"/>
  <c r="G1175" i="3"/>
  <c r="F1175" i="3"/>
  <c r="E1175" i="3"/>
  <c r="D1175" i="3"/>
  <c r="C1175" i="3"/>
  <c r="B1175" i="3"/>
  <c r="A1175" i="3"/>
  <c r="O1174" i="3"/>
  <c r="N1174" i="3"/>
  <c r="M1174" i="3"/>
  <c r="L1174" i="3"/>
  <c r="K1174" i="3"/>
  <c r="J1174" i="3"/>
  <c r="I1174" i="3"/>
  <c r="H1174" i="3"/>
  <c r="G1174" i="3"/>
  <c r="F1174" i="3"/>
  <c r="E1174" i="3"/>
  <c r="D1174" i="3"/>
  <c r="C1174" i="3"/>
  <c r="B1174" i="3"/>
  <c r="A1174" i="3"/>
  <c r="O1173" i="3"/>
  <c r="N1173" i="3"/>
  <c r="M1173" i="3"/>
  <c r="L1173" i="3"/>
  <c r="K1173" i="3"/>
  <c r="J1173" i="3"/>
  <c r="I1173" i="3"/>
  <c r="H1173" i="3"/>
  <c r="G1173" i="3"/>
  <c r="F1173" i="3"/>
  <c r="E1173" i="3"/>
  <c r="D1173" i="3"/>
  <c r="C1173" i="3"/>
  <c r="B1173" i="3"/>
  <c r="A1173" i="3"/>
  <c r="O1172" i="3"/>
  <c r="N1172" i="3"/>
  <c r="M1172" i="3"/>
  <c r="L1172" i="3"/>
  <c r="K1172" i="3"/>
  <c r="J1172" i="3"/>
  <c r="I1172" i="3"/>
  <c r="H1172" i="3"/>
  <c r="G1172" i="3"/>
  <c r="F1172" i="3"/>
  <c r="E1172" i="3"/>
  <c r="D1172" i="3"/>
  <c r="C1172" i="3"/>
  <c r="B1172" i="3"/>
  <c r="A1172" i="3"/>
  <c r="O1171" i="3"/>
  <c r="N1171" i="3"/>
  <c r="M1171" i="3"/>
  <c r="L1171" i="3"/>
  <c r="K1171" i="3"/>
  <c r="J1171" i="3"/>
  <c r="I1171" i="3"/>
  <c r="H1171" i="3"/>
  <c r="G1171" i="3"/>
  <c r="F1171" i="3"/>
  <c r="E1171" i="3"/>
  <c r="D1171" i="3"/>
  <c r="C1171" i="3"/>
  <c r="B1171" i="3"/>
  <c r="A1171" i="3"/>
  <c r="O1170" i="3"/>
  <c r="N1170" i="3"/>
  <c r="M1170" i="3"/>
  <c r="L1170" i="3"/>
  <c r="K1170" i="3"/>
  <c r="J1170" i="3"/>
  <c r="I1170" i="3"/>
  <c r="H1170" i="3"/>
  <c r="G1170" i="3"/>
  <c r="F1170" i="3"/>
  <c r="E1170" i="3"/>
  <c r="D1170" i="3"/>
  <c r="C1170" i="3"/>
  <c r="B1170" i="3"/>
  <c r="A1170" i="3"/>
  <c r="O1169" i="3"/>
  <c r="N1169" i="3"/>
  <c r="M1169" i="3"/>
  <c r="L1169" i="3"/>
  <c r="K1169" i="3"/>
  <c r="J1169" i="3"/>
  <c r="I1169" i="3"/>
  <c r="H1169" i="3"/>
  <c r="G1169" i="3"/>
  <c r="F1169" i="3"/>
  <c r="E1169" i="3"/>
  <c r="D1169" i="3"/>
  <c r="C1169" i="3"/>
  <c r="B1169" i="3"/>
  <c r="A1169" i="3"/>
  <c r="O1168" i="3"/>
  <c r="N1168" i="3"/>
  <c r="M1168" i="3"/>
  <c r="L1168" i="3"/>
  <c r="K1168" i="3"/>
  <c r="J1168" i="3"/>
  <c r="I1168" i="3"/>
  <c r="H1168" i="3"/>
  <c r="G1168" i="3"/>
  <c r="F1168" i="3"/>
  <c r="E1168" i="3"/>
  <c r="D1168" i="3"/>
  <c r="C1168" i="3"/>
  <c r="B1168" i="3"/>
  <c r="A1168" i="3"/>
  <c r="O1167" i="3"/>
  <c r="N1167" i="3"/>
  <c r="M1167" i="3"/>
  <c r="L1167" i="3"/>
  <c r="K1167" i="3"/>
  <c r="J1167" i="3"/>
  <c r="I1167" i="3"/>
  <c r="H1167" i="3"/>
  <c r="G1167" i="3"/>
  <c r="F1167" i="3"/>
  <c r="E1167" i="3"/>
  <c r="D1167" i="3"/>
  <c r="C1167" i="3"/>
  <c r="B1167" i="3"/>
  <c r="A1167" i="3"/>
  <c r="O1166" i="3"/>
  <c r="N1166" i="3"/>
  <c r="M1166" i="3"/>
  <c r="L1166" i="3"/>
  <c r="K1166" i="3"/>
  <c r="J1166" i="3"/>
  <c r="I1166" i="3"/>
  <c r="H1166" i="3"/>
  <c r="G1166" i="3"/>
  <c r="F1166" i="3"/>
  <c r="E1166" i="3"/>
  <c r="D1166" i="3"/>
  <c r="C1166" i="3"/>
  <c r="B1166" i="3"/>
  <c r="A1166" i="3"/>
  <c r="O1165" i="3"/>
  <c r="N1165" i="3"/>
  <c r="M1165" i="3"/>
  <c r="L1165" i="3"/>
  <c r="K1165" i="3"/>
  <c r="J1165" i="3"/>
  <c r="I1165" i="3"/>
  <c r="H1165" i="3"/>
  <c r="G1165" i="3"/>
  <c r="F1165" i="3"/>
  <c r="E1165" i="3"/>
  <c r="D1165" i="3"/>
  <c r="C1165" i="3"/>
  <c r="B1165" i="3"/>
  <c r="A1165" i="3"/>
  <c r="O1164" i="3"/>
  <c r="N1164" i="3"/>
  <c r="M1164" i="3"/>
  <c r="L1164" i="3"/>
  <c r="K1164" i="3"/>
  <c r="J1164" i="3"/>
  <c r="I1164" i="3"/>
  <c r="H1164" i="3"/>
  <c r="G1164" i="3"/>
  <c r="F1164" i="3"/>
  <c r="E1164" i="3"/>
  <c r="D1164" i="3"/>
  <c r="C1164" i="3"/>
  <c r="B1164" i="3"/>
  <c r="A1164" i="3"/>
  <c r="O1163" i="3"/>
  <c r="N1163" i="3"/>
  <c r="M1163" i="3"/>
  <c r="L1163" i="3"/>
  <c r="K1163" i="3"/>
  <c r="J1163" i="3"/>
  <c r="I1163" i="3"/>
  <c r="H1163" i="3"/>
  <c r="G1163" i="3"/>
  <c r="F1163" i="3"/>
  <c r="E1163" i="3"/>
  <c r="D1163" i="3"/>
  <c r="C1163" i="3"/>
  <c r="B1163" i="3"/>
  <c r="A1163" i="3"/>
  <c r="O1162" i="3"/>
  <c r="N1162" i="3"/>
  <c r="M1162" i="3"/>
  <c r="L1162" i="3"/>
  <c r="K1162" i="3"/>
  <c r="J1162" i="3"/>
  <c r="I1162" i="3"/>
  <c r="H1162" i="3"/>
  <c r="G1162" i="3"/>
  <c r="F1162" i="3"/>
  <c r="E1162" i="3"/>
  <c r="D1162" i="3"/>
  <c r="C1162" i="3"/>
  <c r="B1162" i="3"/>
  <c r="A1162" i="3"/>
  <c r="O1161" i="3"/>
  <c r="N1161" i="3"/>
  <c r="M1161" i="3"/>
  <c r="L1161" i="3"/>
  <c r="K1161" i="3"/>
  <c r="J1161" i="3"/>
  <c r="I1161" i="3"/>
  <c r="H1161" i="3"/>
  <c r="G1161" i="3"/>
  <c r="F1161" i="3"/>
  <c r="E1161" i="3"/>
  <c r="D1161" i="3"/>
  <c r="C1161" i="3"/>
  <c r="B1161" i="3"/>
  <c r="A1161" i="3"/>
  <c r="O1160" i="3"/>
  <c r="N1160" i="3"/>
  <c r="M1160" i="3"/>
  <c r="L1160" i="3"/>
  <c r="K1160" i="3"/>
  <c r="J1160" i="3"/>
  <c r="I1160" i="3"/>
  <c r="H1160" i="3"/>
  <c r="G1160" i="3"/>
  <c r="F1160" i="3"/>
  <c r="E1160" i="3"/>
  <c r="D1160" i="3"/>
  <c r="C1160" i="3"/>
  <c r="B1160" i="3"/>
  <c r="A1160" i="3"/>
  <c r="O1159" i="3"/>
  <c r="N1159" i="3"/>
  <c r="M1159" i="3"/>
  <c r="L1159" i="3"/>
  <c r="K1159" i="3"/>
  <c r="J1159" i="3"/>
  <c r="I1159" i="3"/>
  <c r="H1159" i="3"/>
  <c r="G1159" i="3"/>
  <c r="F1159" i="3"/>
  <c r="E1159" i="3"/>
  <c r="D1159" i="3"/>
  <c r="C1159" i="3"/>
  <c r="B1159" i="3"/>
  <c r="A1159" i="3"/>
  <c r="O1158" i="3"/>
  <c r="N1158" i="3"/>
  <c r="M1158" i="3"/>
  <c r="L1158" i="3"/>
  <c r="K1158" i="3"/>
  <c r="J1158" i="3"/>
  <c r="I1158" i="3"/>
  <c r="H1158" i="3"/>
  <c r="G1158" i="3"/>
  <c r="F1158" i="3"/>
  <c r="E1158" i="3"/>
  <c r="D1158" i="3"/>
  <c r="C1158" i="3"/>
  <c r="B1158" i="3"/>
  <c r="A1158" i="3"/>
  <c r="O1157" i="3"/>
  <c r="N1157" i="3"/>
  <c r="M1157" i="3"/>
  <c r="L1157" i="3"/>
  <c r="K1157" i="3"/>
  <c r="J1157" i="3"/>
  <c r="I1157" i="3"/>
  <c r="H1157" i="3"/>
  <c r="G1157" i="3"/>
  <c r="F1157" i="3"/>
  <c r="E1157" i="3"/>
  <c r="D1157" i="3"/>
  <c r="C1157" i="3"/>
  <c r="B1157" i="3"/>
  <c r="A1157" i="3"/>
  <c r="O1156" i="3"/>
  <c r="N1156" i="3"/>
  <c r="M1156" i="3"/>
  <c r="L1156" i="3"/>
  <c r="K1156" i="3"/>
  <c r="J1156" i="3"/>
  <c r="I1156" i="3"/>
  <c r="H1156" i="3"/>
  <c r="G1156" i="3"/>
  <c r="F1156" i="3"/>
  <c r="E1156" i="3"/>
  <c r="D1156" i="3"/>
  <c r="C1156" i="3"/>
  <c r="B1156" i="3"/>
  <c r="A1156" i="3"/>
  <c r="O1155" i="3"/>
  <c r="N1155" i="3"/>
  <c r="M1155" i="3"/>
  <c r="L1155" i="3"/>
  <c r="K1155" i="3"/>
  <c r="J1155" i="3"/>
  <c r="I1155" i="3"/>
  <c r="H1155" i="3"/>
  <c r="G1155" i="3"/>
  <c r="F1155" i="3"/>
  <c r="E1155" i="3"/>
  <c r="D1155" i="3"/>
  <c r="C1155" i="3"/>
  <c r="B1155" i="3"/>
  <c r="A1155" i="3"/>
  <c r="O1154" i="3"/>
  <c r="N1154" i="3"/>
  <c r="M1154" i="3"/>
  <c r="L1154" i="3"/>
  <c r="K1154" i="3"/>
  <c r="J1154" i="3"/>
  <c r="I1154" i="3"/>
  <c r="H1154" i="3"/>
  <c r="G1154" i="3"/>
  <c r="F1154" i="3"/>
  <c r="E1154" i="3"/>
  <c r="D1154" i="3"/>
  <c r="C1154" i="3"/>
  <c r="B1154" i="3"/>
  <c r="A1154" i="3"/>
  <c r="O1153" i="3"/>
  <c r="N1153" i="3"/>
  <c r="M1153" i="3"/>
  <c r="L1153" i="3"/>
  <c r="K1153" i="3"/>
  <c r="J1153" i="3"/>
  <c r="I1153" i="3"/>
  <c r="H1153" i="3"/>
  <c r="G1153" i="3"/>
  <c r="F1153" i="3"/>
  <c r="E1153" i="3"/>
  <c r="D1153" i="3"/>
  <c r="C1153" i="3"/>
  <c r="B1153" i="3"/>
  <c r="A1153" i="3"/>
  <c r="O1152" i="3"/>
  <c r="N1152" i="3"/>
  <c r="M1152" i="3"/>
  <c r="L1152" i="3"/>
  <c r="K1152" i="3"/>
  <c r="J1152" i="3"/>
  <c r="I1152" i="3"/>
  <c r="H1152" i="3"/>
  <c r="G1152" i="3"/>
  <c r="F1152" i="3"/>
  <c r="E1152" i="3"/>
  <c r="D1152" i="3"/>
  <c r="C1152" i="3"/>
  <c r="B1152" i="3"/>
  <c r="A1152" i="3"/>
  <c r="O1151" i="3"/>
  <c r="N1151" i="3"/>
  <c r="M1151" i="3"/>
  <c r="L1151" i="3"/>
  <c r="K1151" i="3"/>
  <c r="J1151" i="3"/>
  <c r="I1151" i="3"/>
  <c r="H1151" i="3"/>
  <c r="G1151" i="3"/>
  <c r="F1151" i="3"/>
  <c r="E1151" i="3"/>
  <c r="D1151" i="3"/>
  <c r="C1151" i="3"/>
  <c r="B1151" i="3"/>
  <c r="A1151" i="3"/>
  <c r="O1150" i="3"/>
  <c r="N1150" i="3"/>
  <c r="M1150" i="3"/>
  <c r="L1150" i="3"/>
  <c r="K1150" i="3"/>
  <c r="J1150" i="3"/>
  <c r="I1150" i="3"/>
  <c r="H1150" i="3"/>
  <c r="G1150" i="3"/>
  <c r="F1150" i="3"/>
  <c r="E1150" i="3"/>
  <c r="D1150" i="3"/>
  <c r="C1150" i="3"/>
  <c r="B1150" i="3"/>
  <c r="A1150" i="3"/>
  <c r="O1149" i="3"/>
  <c r="N1149" i="3"/>
  <c r="M1149" i="3"/>
  <c r="L1149" i="3"/>
  <c r="K1149" i="3"/>
  <c r="J1149" i="3"/>
  <c r="I1149" i="3"/>
  <c r="H1149" i="3"/>
  <c r="G1149" i="3"/>
  <c r="F1149" i="3"/>
  <c r="E1149" i="3"/>
  <c r="D1149" i="3"/>
  <c r="C1149" i="3"/>
  <c r="B1149" i="3"/>
  <c r="A1149" i="3"/>
  <c r="O1148" i="3"/>
  <c r="N1148" i="3"/>
  <c r="M1148" i="3"/>
  <c r="L1148" i="3"/>
  <c r="K1148" i="3"/>
  <c r="J1148" i="3"/>
  <c r="I1148" i="3"/>
  <c r="H1148" i="3"/>
  <c r="G1148" i="3"/>
  <c r="F1148" i="3"/>
  <c r="E1148" i="3"/>
  <c r="D1148" i="3"/>
  <c r="C1148" i="3"/>
  <c r="B1148" i="3"/>
  <c r="A1148" i="3"/>
  <c r="O1147" i="3"/>
  <c r="N1147" i="3"/>
  <c r="M1147" i="3"/>
  <c r="L1147" i="3"/>
  <c r="K1147" i="3"/>
  <c r="J1147" i="3"/>
  <c r="I1147" i="3"/>
  <c r="H1147" i="3"/>
  <c r="G1147" i="3"/>
  <c r="F1147" i="3"/>
  <c r="E1147" i="3"/>
  <c r="D1147" i="3"/>
  <c r="C1147" i="3"/>
  <c r="B1147" i="3"/>
  <c r="A1147" i="3"/>
  <c r="O1146" i="3"/>
  <c r="N1146" i="3"/>
  <c r="M1146" i="3"/>
  <c r="L1146" i="3"/>
  <c r="K1146" i="3"/>
  <c r="J1146" i="3"/>
  <c r="I1146" i="3"/>
  <c r="H1146" i="3"/>
  <c r="G1146" i="3"/>
  <c r="F1146" i="3"/>
  <c r="E1146" i="3"/>
  <c r="D1146" i="3"/>
  <c r="C1146" i="3"/>
  <c r="B1146" i="3"/>
  <c r="A1146" i="3"/>
  <c r="O1145" i="3"/>
  <c r="N1145" i="3"/>
  <c r="M1145" i="3"/>
  <c r="L1145" i="3"/>
  <c r="K1145" i="3"/>
  <c r="J1145" i="3"/>
  <c r="I1145" i="3"/>
  <c r="H1145" i="3"/>
  <c r="G1145" i="3"/>
  <c r="F1145" i="3"/>
  <c r="E1145" i="3"/>
  <c r="D1145" i="3"/>
  <c r="C1145" i="3"/>
  <c r="B1145" i="3"/>
  <c r="A1145" i="3"/>
  <c r="O1144" i="3"/>
  <c r="N1144" i="3"/>
  <c r="M1144" i="3"/>
  <c r="L1144" i="3"/>
  <c r="K1144" i="3"/>
  <c r="J1144" i="3"/>
  <c r="I1144" i="3"/>
  <c r="H1144" i="3"/>
  <c r="G1144" i="3"/>
  <c r="F1144" i="3"/>
  <c r="E1144" i="3"/>
  <c r="D1144" i="3"/>
  <c r="C1144" i="3"/>
  <c r="B1144" i="3"/>
  <c r="A1144" i="3"/>
  <c r="O1143" i="3"/>
  <c r="N1143" i="3"/>
  <c r="M1143" i="3"/>
  <c r="L1143" i="3"/>
  <c r="K1143" i="3"/>
  <c r="J1143" i="3"/>
  <c r="I1143" i="3"/>
  <c r="H1143" i="3"/>
  <c r="G1143" i="3"/>
  <c r="F1143" i="3"/>
  <c r="E1143" i="3"/>
  <c r="D1143" i="3"/>
  <c r="C1143" i="3"/>
  <c r="B1143" i="3"/>
  <c r="A1143" i="3"/>
  <c r="O1142" i="3"/>
  <c r="N1142" i="3"/>
  <c r="M1142" i="3"/>
  <c r="L1142" i="3"/>
  <c r="K1142" i="3"/>
  <c r="J1142" i="3"/>
  <c r="I1142" i="3"/>
  <c r="H1142" i="3"/>
  <c r="G1142" i="3"/>
  <c r="F1142" i="3"/>
  <c r="E1142" i="3"/>
  <c r="D1142" i="3"/>
  <c r="C1142" i="3"/>
  <c r="B1142" i="3"/>
  <c r="A1142" i="3"/>
  <c r="O1141" i="3"/>
  <c r="N1141" i="3"/>
  <c r="M1141" i="3"/>
  <c r="L1141" i="3"/>
  <c r="K1141" i="3"/>
  <c r="J1141" i="3"/>
  <c r="I1141" i="3"/>
  <c r="H1141" i="3"/>
  <c r="G1141" i="3"/>
  <c r="F1141" i="3"/>
  <c r="E1141" i="3"/>
  <c r="D1141" i="3"/>
  <c r="C1141" i="3"/>
  <c r="B1141" i="3"/>
  <c r="A1141" i="3"/>
  <c r="O1140" i="3"/>
  <c r="N1140" i="3"/>
  <c r="M1140" i="3"/>
  <c r="L1140" i="3"/>
  <c r="K1140" i="3"/>
  <c r="J1140" i="3"/>
  <c r="I1140" i="3"/>
  <c r="H1140" i="3"/>
  <c r="G1140" i="3"/>
  <c r="F1140" i="3"/>
  <c r="E1140" i="3"/>
  <c r="D1140" i="3"/>
  <c r="C1140" i="3"/>
  <c r="B1140" i="3"/>
  <c r="A1140" i="3"/>
  <c r="O1139" i="3"/>
  <c r="N1139" i="3"/>
  <c r="M1139" i="3"/>
  <c r="L1139" i="3"/>
  <c r="K1139" i="3"/>
  <c r="J1139" i="3"/>
  <c r="I1139" i="3"/>
  <c r="H1139" i="3"/>
  <c r="G1139" i="3"/>
  <c r="F1139" i="3"/>
  <c r="E1139" i="3"/>
  <c r="D1139" i="3"/>
  <c r="C1139" i="3"/>
  <c r="B1139" i="3"/>
  <c r="A1139" i="3"/>
  <c r="O1138" i="3"/>
  <c r="N1138" i="3"/>
  <c r="M1138" i="3"/>
  <c r="L1138" i="3"/>
  <c r="K1138" i="3"/>
  <c r="J1138" i="3"/>
  <c r="I1138" i="3"/>
  <c r="H1138" i="3"/>
  <c r="G1138" i="3"/>
  <c r="F1138" i="3"/>
  <c r="E1138" i="3"/>
  <c r="D1138" i="3"/>
  <c r="C1138" i="3"/>
  <c r="B1138" i="3"/>
  <c r="A1138" i="3"/>
  <c r="O1137" i="3"/>
  <c r="N1137" i="3"/>
  <c r="M1137" i="3"/>
  <c r="L1137" i="3"/>
  <c r="K1137" i="3"/>
  <c r="J1137" i="3"/>
  <c r="I1137" i="3"/>
  <c r="H1137" i="3"/>
  <c r="G1137" i="3"/>
  <c r="F1137" i="3"/>
  <c r="E1137" i="3"/>
  <c r="D1137" i="3"/>
  <c r="C1137" i="3"/>
  <c r="B1137" i="3"/>
  <c r="A1137" i="3"/>
  <c r="O1136" i="3"/>
  <c r="N1136" i="3"/>
  <c r="M1136" i="3"/>
  <c r="L1136" i="3"/>
  <c r="K1136" i="3"/>
  <c r="J1136" i="3"/>
  <c r="I1136" i="3"/>
  <c r="H1136" i="3"/>
  <c r="G1136" i="3"/>
  <c r="F1136" i="3"/>
  <c r="E1136" i="3"/>
  <c r="D1136" i="3"/>
  <c r="C1136" i="3"/>
  <c r="B1136" i="3"/>
  <c r="A1136" i="3"/>
  <c r="O1135" i="3"/>
  <c r="N1135" i="3"/>
  <c r="M1135" i="3"/>
  <c r="L1135" i="3"/>
  <c r="K1135" i="3"/>
  <c r="J1135" i="3"/>
  <c r="I1135" i="3"/>
  <c r="H1135" i="3"/>
  <c r="G1135" i="3"/>
  <c r="F1135" i="3"/>
  <c r="E1135" i="3"/>
  <c r="D1135" i="3"/>
  <c r="C1135" i="3"/>
  <c r="B1135" i="3"/>
  <c r="A1135" i="3"/>
  <c r="O1134" i="3"/>
  <c r="N1134" i="3"/>
  <c r="M1134" i="3"/>
  <c r="L1134" i="3"/>
  <c r="K1134" i="3"/>
  <c r="J1134" i="3"/>
  <c r="I1134" i="3"/>
  <c r="H1134" i="3"/>
  <c r="G1134" i="3"/>
  <c r="F1134" i="3"/>
  <c r="E1134" i="3"/>
  <c r="D1134" i="3"/>
  <c r="C1134" i="3"/>
  <c r="B1134" i="3"/>
  <c r="A1134" i="3"/>
  <c r="O1133" i="3"/>
  <c r="N1133" i="3"/>
  <c r="M1133" i="3"/>
  <c r="L1133" i="3"/>
  <c r="K1133" i="3"/>
  <c r="J1133" i="3"/>
  <c r="I1133" i="3"/>
  <c r="H1133" i="3"/>
  <c r="G1133" i="3"/>
  <c r="F1133" i="3"/>
  <c r="E1133" i="3"/>
  <c r="D1133" i="3"/>
  <c r="C1133" i="3"/>
  <c r="B1133" i="3"/>
  <c r="A1133" i="3"/>
  <c r="O1132" i="3"/>
  <c r="N1132" i="3"/>
  <c r="M1132" i="3"/>
  <c r="L1132" i="3"/>
  <c r="K1132" i="3"/>
  <c r="J1132" i="3"/>
  <c r="I1132" i="3"/>
  <c r="H1132" i="3"/>
  <c r="G1132" i="3"/>
  <c r="F1132" i="3"/>
  <c r="E1132" i="3"/>
  <c r="D1132" i="3"/>
  <c r="C1132" i="3"/>
  <c r="B1132" i="3"/>
  <c r="A1132" i="3"/>
  <c r="O1131" i="3"/>
  <c r="N1131" i="3"/>
  <c r="M1131" i="3"/>
  <c r="L1131" i="3"/>
  <c r="K1131" i="3"/>
  <c r="J1131" i="3"/>
  <c r="I1131" i="3"/>
  <c r="H1131" i="3"/>
  <c r="G1131" i="3"/>
  <c r="F1131" i="3"/>
  <c r="E1131" i="3"/>
  <c r="D1131" i="3"/>
  <c r="C1131" i="3"/>
  <c r="B1131" i="3"/>
  <c r="A1131" i="3"/>
  <c r="O1130" i="3"/>
  <c r="N1130" i="3"/>
  <c r="M1130" i="3"/>
  <c r="L1130" i="3"/>
  <c r="K1130" i="3"/>
  <c r="J1130" i="3"/>
  <c r="I1130" i="3"/>
  <c r="H1130" i="3"/>
  <c r="G1130" i="3"/>
  <c r="F1130" i="3"/>
  <c r="E1130" i="3"/>
  <c r="D1130" i="3"/>
  <c r="C1130" i="3"/>
  <c r="B1130" i="3"/>
  <c r="A1130" i="3"/>
  <c r="O1129" i="3"/>
  <c r="N1129" i="3"/>
  <c r="M1129" i="3"/>
  <c r="L1129" i="3"/>
  <c r="K1129" i="3"/>
  <c r="J1129" i="3"/>
  <c r="I1129" i="3"/>
  <c r="H1129" i="3"/>
  <c r="G1129" i="3"/>
  <c r="F1129" i="3"/>
  <c r="E1129" i="3"/>
  <c r="D1129" i="3"/>
  <c r="C1129" i="3"/>
  <c r="B1129" i="3"/>
  <c r="A1129" i="3"/>
  <c r="O1128" i="3"/>
  <c r="N1128" i="3"/>
  <c r="M1128" i="3"/>
  <c r="L1128" i="3"/>
  <c r="K1128" i="3"/>
  <c r="J1128" i="3"/>
  <c r="I1128" i="3"/>
  <c r="H1128" i="3"/>
  <c r="G1128" i="3"/>
  <c r="F1128" i="3"/>
  <c r="E1128" i="3"/>
  <c r="D1128" i="3"/>
  <c r="C1128" i="3"/>
  <c r="B1128" i="3"/>
  <c r="A1128" i="3"/>
  <c r="O1127" i="3"/>
  <c r="N1127" i="3"/>
  <c r="M1127" i="3"/>
  <c r="L1127" i="3"/>
  <c r="K1127" i="3"/>
  <c r="J1127" i="3"/>
  <c r="I1127" i="3"/>
  <c r="H1127" i="3"/>
  <c r="G1127" i="3"/>
  <c r="F1127" i="3"/>
  <c r="E1127" i="3"/>
  <c r="D1127" i="3"/>
  <c r="C1127" i="3"/>
  <c r="B1127" i="3"/>
  <c r="A1127" i="3"/>
  <c r="O1126" i="3"/>
  <c r="N1126" i="3"/>
  <c r="M1126" i="3"/>
  <c r="L1126" i="3"/>
  <c r="K1126" i="3"/>
  <c r="J1126" i="3"/>
  <c r="I1126" i="3"/>
  <c r="H1126" i="3"/>
  <c r="G1126" i="3"/>
  <c r="F1126" i="3"/>
  <c r="E1126" i="3"/>
  <c r="D1126" i="3"/>
  <c r="C1126" i="3"/>
  <c r="B1126" i="3"/>
  <c r="A1126" i="3"/>
  <c r="O1125" i="3"/>
  <c r="N1125" i="3"/>
  <c r="M1125" i="3"/>
  <c r="L1125" i="3"/>
  <c r="K1125" i="3"/>
  <c r="J1125" i="3"/>
  <c r="I1125" i="3"/>
  <c r="H1125" i="3"/>
  <c r="G1125" i="3"/>
  <c r="F1125" i="3"/>
  <c r="E1125" i="3"/>
  <c r="D1125" i="3"/>
  <c r="C1125" i="3"/>
  <c r="B1125" i="3"/>
  <c r="A1125" i="3"/>
  <c r="O1124" i="3"/>
  <c r="N1124" i="3"/>
  <c r="M1124" i="3"/>
  <c r="L1124" i="3"/>
  <c r="K1124" i="3"/>
  <c r="J1124" i="3"/>
  <c r="I1124" i="3"/>
  <c r="H1124" i="3"/>
  <c r="G1124" i="3"/>
  <c r="F1124" i="3"/>
  <c r="E1124" i="3"/>
  <c r="D1124" i="3"/>
  <c r="C1124" i="3"/>
  <c r="B1124" i="3"/>
  <c r="A1124" i="3"/>
  <c r="O1123" i="3"/>
  <c r="N1123" i="3"/>
  <c r="M1123" i="3"/>
  <c r="L1123" i="3"/>
  <c r="K1123" i="3"/>
  <c r="J1123" i="3"/>
  <c r="I1123" i="3"/>
  <c r="H1123" i="3"/>
  <c r="G1123" i="3"/>
  <c r="F1123" i="3"/>
  <c r="E1123" i="3"/>
  <c r="D1123" i="3"/>
  <c r="C1123" i="3"/>
  <c r="B1123" i="3"/>
  <c r="A1123" i="3"/>
  <c r="O1122" i="3"/>
  <c r="N1122" i="3"/>
  <c r="M1122" i="3"/>
  <c r="L1122" i="3"/>
  <c r="K1122" i="3"/>
  <c r="J1122" i="3"/>
  <c r="I1122" i="3"/>
  <c r="H1122" i="3"/>
  <c r="G1122" i="3"/>
  <c r="F1122" i="3"/>
  <c r="E1122" i="3"/>
  <c r="D1122" i="3"/>
  <c r="C1122" i="3"/>
  <c r="B1122" i="3"/>
  <c r="A1122" i="3"/>
  <c r="O1121" i="3"/>
  <c r="N1121" i="3"/>
  <c r="M1121" i="3"/>
  <c r="L1121" i="3"/>
  <c r="K1121" i="3"/>
  <c r="J1121" i="3"/>
  <c r="I1121" i="3"/>
  <c r="H1121" i="3"/>
  <c r="G1121" i="3"/>
  <c r="F1121" i="3"/>
  <c r="E1121" i="3"/>
  <c r="D1121" i="3"/>
  <c r="C1121" i="3"/>
  <c r="B1121" i="3"/>
  <c r="A1121" i="3"/>
  <c r="O1120" i="3"/>
  <c r="N1120" i="3"/>
  <c r="M1120" i="3"/>
  <c r="L1120" i="3"/>
  <c r="K1120" i="3"/>
  <c r="J1120" i="3"/>
  <c r="I1120" i="3"/>
  <c r="H1120" i="3"/>
  <c r="G1120" i="3"/>
  <c r="F1120" i="3"/>
  <c r="E1120" i="3"/>
  <c r="D1120" i="3"/>
  <c r="C1120" i="3"/>
  <c r="B1120" i="3"/>
  <c r="A1120" i="3"/>
  <c r="O1119" i="3"/>
  <c r="N1119" i="3"/>
  <c r="M1119" i="3"/>
  <c r="L1119" i="3"/>
  <c r="K1119" i="3"/>
  <c r="J1119" i="3"/>
  <c r="I1119" i="3"/>
  <c r="H1119" i="3"/>
  <c r="G1119" i="3"/>
  <c r="F1119" i="3"/>
  <c r="E1119" i="3"/>
  <c r="D1119" i="3"/>
  <c r="C1119" i="3"/>
  <c r="B1119" i="3"/>
  <c r="A1119" i="3"/>
  <c r="O1118" i="3"/>
  <c r="N1118" i="3"/>
  <c r="M1118" i="3"/>
  <c r="L1118" i="3"/>
  <c r="K1118" i="3"/>
  <c r="J1118" i="3"/>
  <c r="I1118" i="3"/>
  <c r="H1118" i="3"/>
  <c r="G1118" i="3"/>
  <c r="F1118" i="3"/>
  <c r="E1118" i="3"/>
  <c r="D1118" i="3"/>
  <c r="C1118" i="3"/>
  <c r="B1118" i="3"/>
  <c r="A1118" i="3"/>
  <c r="O1117" i="3"/>
  <c r="N1117" i="3"/>
  <c r="M1117" i="3"/>
  <c r="L1117" i="3"/>
  <c r="K1117" i="3"/>
  <c r="J1117" i="3"/>
  <c r="I1117" i="3"/>
  <c r="H1117" i="3"/>
  <c r="G1117" i="3"/>
  <c r="F1117" i="3"/>
  <c r="E1117" i="3"/>
  <c r="D1117" i="3"/>
  <c r="C1117" i="3"/>
  <c r="B1117" i="3"/>
  <c r="A1117" i="3"/>
  <c r="O1116" i="3"/>
  <c r="N1116" i="3"/>
  <c r="M1116" i="3"/>
  <c r="L1116" i="3"/>
  <c r="K1116" i="3"/>
  <c r="J1116" i="3"/>
  <c r="I1116" i="3"/>
  <c r="H1116" i="3"/>
  <c r="G1116" i="3"/>
  <c r="F1116" i="3"/>
  <c r="E1116" i="3"/>
  <c r="D1116" i="3"/>
  <c r="C1116" i="3"/>
  <c r="B1116" i="3"/>
  <c r="A1116" i="3"/>
  <c r="O1115" i="3"/>
  <c r="N1115" i="3"/>
  <c r="M1115" i="3"/>
  <c r="L1115" i="3"/>
  <c r="K1115" i="3"/>
  <c r="J1115" i="3"/>
  <c r="I1115" i="3"/>
  <c r="H1115" i="3"/>
  <c r="G1115" i="3"/>
  <c r="F1115" i="3"/>
  <c r="E1115" i="3"/>
  <c r="D1115" i="3"/>
  <c r="C1115" i="3"/>
  <c r="B1115" i="3"/>
  <c r="A1115" i="3"/>
  <c r="O1114" i="3"/>
  <c r="N1114" i="3"/>
  <c r="M1114" i="3"/>
  <c r="L1114" i="3"/>
  <c r="K1114" i="3"/>
  <c r="J1114" i="3"/>
  <c r="I1114" i="3"/>
  <c r="H1114" i="3"/>
  <c r="G1114" i="3"/>
  <c r="F1114" i="3"/>
  <c r="E1114" i="3"/>
  <c r="D1114" i="3"/>
  <c r="C1114" i="3"/>
  <c r="B1114" i="3"/>
  <c r="A1114" i="3"/>
  <c r="O1113" i="3"/>
  <c r="N1113" i="3"/>
  <c r="M1113" i="3"/>
  <c r="L1113" i="3"/>
  <c r="K1113" i="3"/>
  <c r="J1113" i="3"/>
  <c r="I1113" i="3"/>
  <c r="H1113" i="3"/>
  <c r="G1113" i="3"/>
  <c r="F1113" i="3"/>
  <c r="E1113" i="3"/>
  <c r="D1113" i="3"/>
  <c r="C1113" i="3"/>
  <c r="B1113" i="3"/>
  <c r="A1113" i="3"/>
  <c r="O1112" i="3"/>
  <c r="N1112" i="3"/>
  <c r="M1112" i="3"/>
  <c r="L1112" i="3"/>
  <c r="K1112" i="3"/>
  <c r="J1112" i="3"/>
  <c r="I1112" i="3"/>
  <c r="H1112" i="3"/>
  <c r="G1112" i="3"/>
  <c r="F1112" i="3"/>
  <c r="E1112" i="3"/>
  <c r="D1112" i="3"/>
  <c r="C1112" i="3"/>
  <c r="B1112" i="3"/>
  <c r="A1112" i="3"/>
  <c r="O1111" i="3"/>
  <c r="N1111" i="3"/>
  <c r="M1111" i="3"/>
  <c r="L1111" i="3"/>
  <c r="K1111" i="3"/>
  <c r="J1111" i="3"/>
  <c r="I1111" i="3"/>
  <c r="H1111" i="3"/>
  <c r="G1111" i="3"/>
  <c r="F1111" i="3"/>
  <c r="E1111" i="3"/>
  <c r="D1111" i="3"/>
  <c r="C1111" i="3"/>
  <c r="B1111" i="3"/>
  <c r="A1111" i="3"/>
  <c r="O1110" i="3"/>
  <c r="N1110" i="3"/>
  <c r="M1110" i="3"/>
  <c r="L1110" i="3"/>
  <c r="K1110" i="3"/>
  <c r="J1110" i="3"/>
  <c r="I1110" i="3"/>
  <c r="H1110" i="3"/>
  <c r="G1110" i="3"/>
  <c r="F1110" i="3"/>
  <c r="E1110" i="3"/>
  <c r="D1110" i="3"/>
  <c r="C1110" i="3"/>
  <c r="B1110" i="3"/>
  <c r="A1110" i="3"/>
  <c r="O1109" i="3"/>
  <c r="N1109" i="3"/>
  <c r="M1109" i="3"/>
  <c r="L1109" i="3"/>
  <c r="K1109" i="3"/>
  <c r="J1109" i="3"/>
  <c r="I1109" i="3"/>
  <c r="H1109" i="3"/>
  <c r="G1109" i="3"/>
  <c r="F1109" i="3"/>
  <c r="E1109" i="3"/>
  <c r="D1109" i="3"/>
  <c r="C1109" i="3"/>
  <c r="B1109" i="3"/>
  <c r="A1109" i="3"/>
  <c r="O1108" i="3"/>
  <c r="N1108" i="3"/>
  <c r="M1108" i="3"/>
  <c r="L1108" i="3"/>
  <c r="K1108" i="3"/>
  <c r="J1108" i="3"/>
  <c r="I1108" i="3"/>
  <c r="H1108" i="3"/>
  <c r="G1108" i="3"/>
  <c r="F1108" i="3"/>
  <c r="E1108" i="3"/>
  <c r="D1108" i="3"/>
  <c r="C1108" i="3"/>
  <c r="B1108" i="3"/>
  <c r="A1108" i="3"/>
  <c r="O1107" i="3"/>
  <c r="N1107" i="3"/>
  <c r="M1107" i="3"/>
  <c r="L1107" i="3"/>
  <c r="K1107" i="3"/>
  <c r="J1107" i="3"/>
  <c r="I1107" i="3"/>
  <c r="H1107" i="3"/>
  <c r="G1107" i="3"/>
  <c r="F1107" i="3"/>
  <c r="E1107" i="3"/>
  <c r="D1107" i="3"/>
  <c r="C1107" i="3"/>
  <c r="B1107" i="3"/>
  <c r="A1107" i="3"/>
  <c r="O1106" i="3"/>
  <c r="N1106" i="3"/>
  <c r="M1106" i="3"/>
  <c r="L1106" i="3"/>
  <c r="K1106" i="3"/>
  <c r="J1106" i="3"/>
  <c r="I1106" i="3"/>
  <c r="H1106" i="3"/>
  <c r="G1106" i="3"/>
  <c r="F1106" i="3"/>
  <c r="E1106" i="3"/>
  <c r="D1106" i="3"/>
  <c r="C1106" i="3"/>
  <c r="B1106" i="3"/>
  <c r="A1106" i="3"/>
  <c r="O1105" i="3"/>
  <c r="N1105" i="3"/>
  <c r="M1105" i="3"/>
  <c r="L1105" i="3"/>
  <c r="K1105" i="3"/>
  <c r="J1105" i="3"/>
  <c r="I1105" i="3"/>
  <c r="H1105" i="3"/>
  <c r="G1105" i="3"/>
  <c r="F1105" i="3"/>
  <c r="E1105" i="3"/>
  <c r="D1105" i="3"/>
  <c r="C1105" i="3"/>
  <c r="B1105" i="3"/>
  <c r="A1105" i="3"/>
  <c r="O1104" i="3"/>
  <c r="N1104" i="3"/>
  <c r="M1104" i="3"/>
  <c r="L1104" i="3"/>
  <c r="K1104" i="3"/>
  <c r="J1104" i="3"/>
  <c r="I1104" i="3"/>
  <c r="H1104" i="3"/>
  <c r="G1104" i="3"/>
  <c r="F1104" i="3"/>
  <c r="E1104" i="3"/>
  <c r="D1104" i="3"/>
  <c r="C1104" i="3"/>
  <c r="B1104" i="3"/>
  <c r="A1104" i="3"/>
  <c r="O1103" i="3"/>
  <c r="N1103" i="3"/>
  <c r="M1103" i="3"/>
  <c r="L1103" i="3"/>
  <c r="K1103" i="3"/>
  <c r="J1103" i="3"/>
  <c r="I1103" i="3"/>
  <c r="H1103" i="3"/>
  <c r="G1103" i="3"/>
  <c r="F1103" i="3"/>
  <c r="E1103" i="3"/>
  <c r="D1103" i="3"/>
  <c r="C1103" i="3"/>
  <c r="B1103" i="3"/>
  <c r="A1103" i="3"/>
  <c r="O1102" i="3"/>
  <c r="N1102" i="3"/>
  <c r="M1102" i="3"/>
  <c r="L1102" i="3"/>
  <c r="K1102" i="3"/>
  <c r="J1102" i="3"/>
  <c r="I1102" i="3"/>
  <c r="H1102" i="3"/>
  <c r="G1102" i="3"/>
  <c r="F1102" i="3"/>
  <c r="E1102" i="3"/>
  <c r="D1102" i="3"/>
  <c r="C1102" i="3"/>
  <c r="B1102" i="3"/>
  <c r="A1102" i="3"/>
  <c r="O1101" i="3"/>
  <c r="N1101" i="3"/>
  <c r="M1101" i="3"/>
  <c r="L1101" i="3"/>
  <c r="K1101" i="3"/>
  <c r="J1101" i="3"/>
  <c r="I1101" i="3"/>
  <c r="H1101" i="3"/>
  <c r="G1101" i="3"/>
  <c r="F1101" i="3"/>
  <c r="E1101" i="3"/>
  <c r="D1101" i="3"/>
  <c r="C1101" i="3"/>
  <c r="B1101" i="3"/>
  <c r="A1101" i="3"/>
  <c r="O1100" i="3"/>
  <c r="N1100" i="3"/>
  <c r="M1100" i="3"/>
  <c r="L1100" i="3"/>
  <c r="K1100" i="3"/>
  <c r="J1100" i="3"/>
  <c r="I1100" i="3"/>
  <c r="H1100" i="3"/>
  <c r="G1100" i="3"/>
  <c r="F1100" i="3"/>
  <c r="E1100" i="3"/>
  <c r="D1100" i="3"/>
  <c r="C1100" i="3"/>
  <c r="B1100" i="3"/>
  <c r="A1100" i="3"/>
  <c r="O1099" i="3"/>
  <c r="N1099" i="3"/>
  <c r="M1099" i="3"/>
  <c r="L1099" i="3"/>
  <c r="K1099" i="3"/>
  <c r="J1099" i="3"/>
  <c r="I1099" i="3"/>
  <c r="H1099" i="3"/>
  <c r="G1099" i="3"/>
  <c r="F1099" i="3"/>
  <c r="E1099" i="3"/>
  <c r="D1099" i="3"/>
  <c r="C1099" i="3"/>
  <c r="B1099" i="3"/>
  <c r="A1099" i="3"/>
  <c r="O1098" i="3"/>
  <c r="N1098" i="3"/>
  <c r="M1098" i="3"/>
  <c r="L1098" i="3"/>
  <c r="K1098" i="3"/>
  <c r="J1098" i="3"/>
  <c r="I1098" i="3"/>
  <c r="H1098" i="3"/>
  <c r="G1098" i="3"/>
  <c r="F1098" i="3"/>
  <c r="E1098" i="3"/>
  <c r="D1098" i="3"/>
  <c r="C1098" i="3"/>
  <c r="B1098" i="3"/>
  <c r="A1098" i="3"/>
  <c r="O1097" i="3"/>
  <c r="N1097" i="3"/>
  <c r="M1097" i="3"/>
  <c r="L1097" i="3"/>
  <c r="K1097" i="3"/>
  <c r="J1097" i="3"/>
  <c r="I1097" i="3"/>
  <c r="H1097" i="3"/>
  <c r="G1097" i="3"/>
  <c r="F1097" i="3"/>
  <c r="E1097" i="3"/>
  <c r="D1097" i="3"/>
  <c r="C1097" i="3"/>
  <c r="B1097" i="3"/>
  <c r="A1097" i="3"/>
  <c r="O1096" i="3"/>
  <c r="N1096" i="3"/>
  <c r="M1096" i="3"/>
  <c r="L1096" i="3"/>
  <c r="K1096" i="3"/>
  <c r="J1096" i="3"/>
  <c r="I1096" i="3"/>
  <c r="H1096" i="3"/>
  <c r="G1096" i="3"/>
  <c r="F1096" i="3"/>
  <c r="E1096" i="3"/>
  <c r="D1096" i="3"/>
  <c r="C1096" i="3"/>
  <c r="B1096" i="3"/>
  <c r="A1096" i="3"/>
  <c r="O1095" i="3"/>
  <c r="N1095" i="3"/>
  <c r="M1095" i="3"/>
  <c r="L1095" i="3"/>
  <c r="K1095" i="3"/>
  <c r="J1095" i="3"/>
  <c r="I1095" i="3"/>
  <c r="H1095" i="3"/>
  <c r="G1095" i="3"/>
  <c r="F1095" i="3"/>
  <c r="E1095" i="3"/>
  <c r="D1095" i="3"/>
  <c r="C1095" i="3"/>
  <c r="B1095" i="3"/>
  <c r="A1095" i="3"/>
  <c r="O1094" i="3"/>
  <c r="N1094" i="3"/>
  <c r="M1094" i="3"/>
  <c r="L1094" i="3"/>
  <c r="K1094" i="3"/>
  <c r="J1094" i="3"/>
  <c r="I1094" i="3"/>
  <c r="H1094" i="3"/>
  <c r="G1094" i="3"/>
  <c r="F1094" i="3"/>
  <c r="E1094" i="3"/>
  <c r="D1094" i="3"/>
  <c r="C1094" i="3"/>
  <c r="B1094" i="3"/>
  <c r="A1094" i="3"/>
  <c r="O1093" i="3"/>
  <c r="N1093" i="3"/>
  <c r="M1093" i="3"/>
  <c r="L1093" i="3"/>
  <c r="K1093" i="3"/>
  <c r="J1093" i="3"/>
  <c r="I1093" i="3"/>
  <c r="H1093" i="3"/>
  <c r="G1093" i="3"/>
  <c r="F1093" i="3"/>
  <c r="E1093" i="3"/>
  <c r="D1093" i="3"/>
  <c r="C1093" i="3"/>
  <c r="B1093" i="3"/>
  <c r="A1093" i="3"/>
  <c r="O1092" i="3"/>
  <c r="N1092" i="3"/>
  <c r="M1092" i="3"/>
  <c r="L1092" i="3"/>
  <c r="K1092" i="3"/>
  <c r="J1092" i="3"/>
  <c r="I1092" i="3"/>
  <c r="H1092" i="3"/>
  <c r="G1092" i="3"/>
  <c r="F1092" i="3"/>
  <c r="E1092" i="3"/>
  <c r="D1092" i="3"/>
  <c r="C1092" i="3"/>
  <c r="B1092" i="3"/>
  <c r="A1092" i="3"/>
  <c r="O1091" i="3"/>
  <c r="N1091" i="3"/>
  <c r="M1091" i="3"/>
  <c r="L1091" i="3"/>
  <c r="K1091" i="3"/>
  <c r="J1091" i="3"/>
  <c r="I1091" i="3"/>
  <c r="H1091" i="3"/>
  <c r="G1091" i="3"/>
  <c r="F1091" i="3"/>
  <c r="E1091" i="3"/>
  <c r="D1091" i="3"/>
  <c r="C1091" i="3"/>
  <c r="B1091" i="3"/>
  <c r="A1091" i="3"/>
  <c r="O1090" i="3"/>
  <c r="N1090" i="3"/>
  <c r="M1090" i="3"/>
  <c r="L1090" i="3"/>
  <c r="K1090" i="3"/>
  <c r="J1090" i="3"/>
  <c r="I1090" i="3"/>
  <c r="H1090" i="3"/>
  <c r="G1090" i="3"/>
  <c r="F1090" i="3"/>
  <c r="E1090" i="3"/>
  <c r="D1090" i="3"/>
  <c r="C1090" i="3"/>
  <c r="B1090" i="3"/>
  <c r="A1090" i="3"/>
  <c r="O1089" i="3"/>
  <c r="N1089" i="3"/>
  <c r="M1089" i="3"/>
  <c r="L1089" i="3"/>
  <c r="K1089" i="3"/>
  <c r="J1089" i="3"/>
  <c r="I1089" i="3"/>
  <c r="H1089" i="3"/>
  <c r="G1089" i="3"/>
  <c r="F1089" i="3"/>
  <c r="E1089" i="3"/>
  <c r="D1089" i="3"/>
  <c r="C1089" i="3"/>
  <c r="B1089" i="3"/>
  <c r="A1089" i="3"/>
  <c r="O1088" i="3"/>
  <c r="N1088" i="3"/>
  <c r="M1088" i="3"/>
  <c r="L1088" i="3"/>
  <c r="K1088" i="3"/>
  <c r="J1088" i="3"/>
  <c r="I1088" i="3"/>
  <c r="H1088" i="3"/>
  <c r="G1088" i="3"/>
  <c r="F1088" i="3"/>
  <c r="E1088" i="3"/>
  <c r="D1088" i="3"/>
  <c r="C1088" i="3"/>
  <c r="B1088" i="3"/>
  <c r="A1088" i="3"/>
  <c r="O1087" i="3"/>
  <c r="N1087" i="3"/>
  <c r="M1087" i="3"/>
  <c r="L1087" i="3"/>
  <c r="K1087" i="3"/>
  <c r="J1087" i="3"/>
  <c r="I1087" i="3"/>
  <c r="H1087" i="3"/>
  <c r="G1087" i="3"/>
  <c r="F1087" i="3"/>
  <c r="E1087" i="3"/>
  <c r="D1087" i="3"/>
  <c r="C1087" i="3"/>
  <c r="B1087" i="3"/>
  <c r="A1087" i="3"/>
  <c r="O1086" i="3"/>
  <c r="N1086" i="3"/>
  <c r="M1086" i="3"/>
  <c r="L1086" i="3"/>
  <c r="K1086" i="3"/>
  <c r="J1086" i="3"/>
  <c r="I1086" i="3"/>
  <c r="H1086" i="3"/>
  <c r="G1086" i="3"/>
  <c r="F1086" i="3"/>
  <c r="E1086" i="3"/>
  <c r="D1086" i="3"/>
  <c r="C1086" i="3"/>
  <c r="B1086" i="3"/>
  <c r="A1086" i="3"/>
  <c r="O1085" i="3"/>
  <c r="N1085" i="3"/>
  <c r="M1085" i="3"/>
  <c r="L1085" i="3"/>
  <c r="K1085" i="3"/>
  <c r="J1085" i="3"/>
  <c r="I1085" i="3"/>
  <c r="H1085" i="3"/>
  <c r="G1085" i="3"/>
  <c r="F1085" i="3"/>
  <c r="E1085" i="3"/>
  <c r="D1085" i="3"/>
  <c r="C1085" i="3"/>
  <c r="B1085" i="3"/>
  <c r="A1085" i="3"/>
  <c r="O1084" i="3"/>
  <c r="N1084" i="3"/>
  <c r="M1084" i="3"/>
  <c r="L1084" i="3"/>
  <c r="K1084" i="3"/>
  <c r="J1084" i="3"/>
  <c r="I1084" i="3"/>
  <c r="H1084" i="3"/>
  <c r="G1084" i="3"/>
  <c r="F1084" i="3"/>
  <c r="E1084" i="3"/>
  <c r="D1084" i="3"/>
  <c r="C1084" i="3"/>
  <c r="B1084" i="3"/>
  <c r="A1084" i="3"/>
  <c r="O1083" i="3"/>
  <c r="N1083" i="3"/>
  <c r="M1083" i="3"/>
  <c r="L1083" i="3"/>
  <c r="K1083" i="3"/>
  <c r="J1083" i="3"/>
  <c r="I1083" i="3"/>
  <c r="H1083" i="3"/>
  <c r="G1083" i="3"/>
  <c r="F1083" i="3"/>
  <c r="E1083" i="3"/>
  <c r="D1083" i="3"/>
  <c r="C1083" i="3"/>
  <c r="B1083" i="3"/>
  <c r="A1083" i="3"/>
  <c r="O1082" i="3"/>
  <c r="N1082" i="3"/>
  <c r="M1082" i="3"/>
  <c r="L1082" i="3"/>
  <c r="K1082" i="3"/>
  <c r="J1082" i="3"/>
  <c r="I1082" i="3"/>
  <c r="H1082" i="3"/>
  <c r="G1082" i="3"/>
  <c r="F1082" i="3"/>
  <c r="E1082" i="3"/>
  <c r="D1082" i="3"/>
  <c r="C1082" i="3"/>
  <c r="B1082" i="3"/>
  <c r="A1082" i="3"/>
  <c r="O1081" i="3"/>
  <c r="N1081" i="3"/>
  <c r="M1081" i="3"/>
  <c r="L1081" i="3"/>
  <c r="K1081" i="3"/>
  <c r="J1081" i="3"/>
  <c r="I1081" i="3"/>
  <c r="H1081" i="3"/>
  <c r="G1081" i="3"/>
  <c r="F1081" i="3"/>
  <c r="E1081" i="3"/>
  <c r="D1081" i="3"/>
  <c r="C1081" i="3"/>
  <c r="B1081" i="3"/>
  <c r="A1081" i="3"/>
  <c r="O1080" i="3"/>
  <c r="N1080" i="3"/>
  <c r="M1080" i="3"/>
  <c r="L1080" i="3"/>
  <c r="K1080" i="3"/>
  <c r="J1080" i="3"/>
  <c r="I1080" i="3"/>
  <c r="H1080" i="3"/>
  <c r="G1080" i="3"/>
  <c r="F1080" i="3"/>
  <c r="E1080" i="3"/>
  <c r="D1080" i="3"/>
  <c r="C1080" i="3"/>
  <c r="B1080" i="3"/>
  <c r="A1080" i="3"/>
  <c r="O1079" i="3"/>
  <c r="N1079" i="3"/>
  <c r="M1079" i="3"/>
  <c r="L1079" i="3"/>
  <c r="K1079" i="3"/>
  <c r="J1079" i="3"/>
  <c r="I1079" i="3"/>
  <c r="H1079" i="3"/>
  <c r="G1079" i="3"/>
  <c r="F1079" i="3"/>
  <c r="E1079" i="3"/>
  <c r="D1079" i="3"/>
  <c r="C1079" i="3"/>
  <c r="B1079" i="3"/>
  <c r="A1079" i="3"/>
  <c r="O1078" i="3"/>
  <c r="N1078" i="3"/>
  <c r="M1078" i="3"/>
  <c r="L1078" i="3"/>
  <c r="K1078" i="3"/>
  <c r="J1078" i="3"/>
  <c r="I1078" i="3"/>
  <c r="H1078" i="3"/>
  <c r="G1078" i="3"/>
  <c r="F1078" i="3"/>
  <c r="E1078" i="3"/>
  <c r="D1078" i="3"/>
  <c r="C1078" i="3"/>
  <c r="B1078" i="3"/>
  <c r="A1078" i="3"/>
  <c r="O1077" i="3"/>
  <c r="N1077" i="3"/>
  <c r="M1077" i="3"/>
  <c r="L1077" i="3"/>
  <c r="K1077" i="3"/>
  <c r="J1077" i="3"/>
  <c r="I1077" i="3"/>
  <c r="H1077" i="3"/>
  <c r="G1077" i="3"/>
  <c r="F1077" i="3"/>
  <c r="E1077" i="3"/>
  <c r="D1077" i="3"/>
  <c r="C1077" i="3"/>
  <c r="B1077" i="3"/>
  <c r="A1077" i="3"/>
  <c r="O1076" i="3"/>
  <c r="N1076" i="3"/>
  <c r="M1076" i="3"/>
  <c r="L1076" i="3"/>
  <c r="K1076" i="3"/>
  <c r="J1076" i="3"/>
  <c r="I1076" i="3"/>
  <c r="H1076" i="3"/>
  <c r="G1076" i="3"/>
  <c r="F1076" i="3"/>
  <c r="E1076" i="3"/>
  <c r="D1076" i="3"/>
  <c r="C1076" i="3"/>
  <c r="B1076" i="3"/>
  <c r="A1076" i="3"/>
  <c r="O1075" i="3"/>
  <c r="N1075" i="3"/>
  <c r="M1075" i="3"/>
  <c r="L1075" i="3"/>
  <c r="K1075" i="3"/>
  <c r="J1075" i="3"/>
  <c r="I1075" i="3"/>
  <c r="H1075" i="3"/>
  <c r="G1075" i="3"/>
  <c r="F1075" i="3"/>
  <c r="E1075" i="3"/>
  <c r="D1075" i="3"/>
  <c r="C1075" i="3"/>
  <c r="B1075" i="3"/>
  <c r="A1075" i="3"/>
  <c r="O1074" i="3"/>
  <c r="N1074" i="3"/>
  <c r="M1074" i="3"/>
  <c r="L1074" i="3"/>
  <c r="K1074" i="3"/>
  <c r="J1074" i="3"/>
  <c r="I1074" i="3"/>
  <c r="H1074" i="3"/>
  <c r="G1074" i="3"/>
  <c r="F1074" i="3"/>
  <c r="E1074" i="3"/>
  <c r="D1074" i="3"/>
  <c r="C1074" i="3"/>
  <c r="B1074" i="3"/>
  <c r="A1074" i="3"/>
  <c r="O1073" i="3"/>
  <c r="N1073" i="3"/>
  <c r="M1073" i="3"/>
  <c r="L1073" i="3"/>
  <c r="K1073" i="3"/>
  <c r="J1073" i="3"/>
  <c r="I1073" i="3"/>
  <c r="H1073" i="3"/>
  <c r="G1073" i="3"/>
  <c r="F1073" i="3"/>
  <c r="E1073" i="3"/>
  <c r="D1073" i="3"/>
  <c r="C1073" i="3"/>
  <c r="B1073" i="3"/>
  <c r="A1073" i="3"/>
  <c r="O1072" i="3"/>
  <c r="N1072" i="3"/>
  <c r="M1072" i="3"/>
  <c r="L1072" i="3"/>
  <c r="K1072" i="3"/>
  <c r="J1072" i="3"/>
  <c r="I1072" i="3"/>
  <c r="H1072" i="3"/>
  <c r="G1072" i="3"/>
  <c r="F1072" i="3"/>
  <c r="E1072" i="3"/>
  <c r="D1072" i="3"/>
  <c r="C1072" i="3"/>
  <c r="B1072" i="3"/>
  <c r="A1072" i="3"/>
  <c r="O1071" i="3"/>
  <c r="N1071" i="3"/>
  <c r="M1071" i="3"/>
  <c r="L1071" i="3"/>
  <c r="K1071" i="3"/>
  <c r="J1071" i="3"/>
  <c r="I1071" i="3"/>
  <c r="H1071" i="3"/>
  <c r="G1071" i="3"/>
  <c r="F1071" i="3"/>
  <c r="E1071" i="3"/>
  <c r="D1071" i="3"/>
  <c r="C1071" i="3"/>
  <c r="B1071" i="3"/>
  <c r="A1071" i="3"/>
  <c r="O1070" i="3"/>
  <c r="N1070" i="3"/>
  <c r="M1070" i="3"/>
  <c r="L1070" i="3"/>
  <c r="K1070" i="3"/>
  <c r="J1070" i="3"/>
  <c r="I1070" i="3"/>
  <c r="H1070" i="3"/>
  <c r="G1070" i="3"/>
  <c r="F1070" i="3"/>
  <c r="E1070" i="3"/>
  <c r="D1070" i="3"/>
  <c r="C1070" i="3"/>
  <c r="B1070" i="3"/>
  <c r="A1070" i="3"/>
  <c r="O1069" i="3"/>
  <c r="N1069" i="3"/>
  <c r="M1069" i="3"/>
  <c r="L1069" i="3"/>
  <c r="K1069" i="3"/>
  <c r="J1069" i="3"/>
  <c r="I1069" i="3"/>
  <c r="H1069" i="3"/>
  <c r="G1069" i="3"/>
  <c r="F1069" i="3"/>
  <c r="E1069" i="3"/>
  <c r="D1069" i="3"/>
  <c r="C1069" i="3"/>
  <c r="B1069" i="3"/>
  <c r="A1069" i="3"/>
  <c r="O1068" i="3"/>
  <c r="N1068" i="3"/>
  <c r="M1068" i="3"/>
  <c r="L1068" i="3"/>
  <c r="K1068" i="3"/>
  <c r="J1068" i="3"/>
  <c r="I1068" i="3"/>
  <c r="H1068" i="3"/>
  <c r="G1068" i="3"/>
  <c r="F1068" i="3"/>
  <c r="E1068" i="3"/>
  <c r="D1068" i="3"/>
  <c r="C1068" i="3"/>
  <c r="B1068" i="3"/>
  <c r="A1068" i="3"/>
  <c r="O1067" i="3"/>
  <c r="N1067" i="3"/>
  <c r="M1067" i="3"/>
  <c r="L1067" i="3"/>
  <c r="K1067" i="3"/>
  <c r="J1067" i="3"/>
  <c r="I1067" i="3"/>
  <c r="H1067" i="3"/>
  <c r="G1067" i="3"/>
  <c r="F1067" i="3"/>
  <c r="E1067" i="3"/>
  <c r="D1067" i="3"/>
  <c r="C1067" i="3"/>
  <c r="B1067" i="3"/>
  <c r="A1067" i="3"/>
  <c r="O1066" i="3"/>
  <c r="N1066" i="3"/>
  <c r="M1066" i="3"/>
  <c r="L1066" i="3"/>
  <c r="K1066" i="3"/>
  <c r="J1066" i="3"/>
  <c r="I1066" i="3"/>
  <c r="H1066" i="3"/>
  <c r="G1066" i="3"/>
  <c r="F1066" i="3"/>
  <c r="E1066" i="3"/>
  <c r="D1066" i="3"/>
  <c r="C1066" i="3"/>
  <c r="B1066" i="3"/>
  <c r="A1066" i="3"/>
  <c r="O1065" i="3"/>
  <c r="N1065" i="3"/>
  <c r="M1065" i="3"/>
  <c r="L1065" i="3"/>
  <c r="K1065" i="3"/>
  <c r="J1065" i="3"/>
  <c r="I1065" i="3"/>
  <c r="H1065" i="3"/>
  <c r="G1065" i="3"/>
  <c r="F1065" i="3"/>
  <c r="E1065" i="3"/>
  <c r="D1065" i="3"/>
  <c r="C1065" i="3"/>
  <c r="B1065" i="3"/>
  <c r="A1065" i="3"/>
  <c r="O1064" i="3"/>
  <c r="N1064" i="3"/>
  <c r="M1064" i="3"/>
  <c r="L1064" i="3"/>
  <c r="K1064" i="3"/>
  <c r="J1064" i="3"/>
  <c r="I1064" i="3"/>
  <c r="H1064" i="3"/>
  <c r="G1064" i="3"/>
  <c r="F1064" i="3"/>
  <c r="E1064" i="3"/>
  <c r="D1064" i="3"/>
  <c r="C1064" i="3"/>
  <c r="B1064" i="3"/>
  <c r="A1064" i="3"/>
  <c r="O1063" i="3"/>
  <c r="N1063" i="3"/>
  <c r="M1063" i="3"/>
  <c r="L1063" i="3"/>
  <c r="K1063" i="3"/>
  <c r="J1063" i="3"/>
  <c r="I1063" i="3"/>
  <c r="H1063" i="3"/>
  <c r="G1063" i="3"/>
  <c r="F1063" i="3"/>
  <c r="E1063" i="3"/>
  <c r="D1063" i="3"/>
  <c r="C1063" i="3"/>
  <c r="B1063" i="3"/>
  <c r="A1063" i="3"/>
  <c r="O1062" i="3"/>
  <c r="N1062" i="3"/>
  <c r="M1062" i="3"/>
  <c r="L1062" i="3"/>
  <c r="K1062" i="3"/>
  <c r="J1062" i="3"/>
  <c r="I1062" i="3"/>
  <c r="H1062" i="3"/>
  <c r="G1062" i="3"/>
  <c r="F1062" i="3"/>
  <c r="E1062" i="3"/>
  <c r="D1062" i="3"/>
  <c r="C1062" i="3"/>
  <c r="B1062" i="3"/>
  <c r="A1062" i="3"/>
  <c r="O1061" i="3"/>
  <c r="N1061" i="3"/>
  <c r="M1061" i="3"/>
  <c r="L1061" i="3"/>
  <c r="K1061" i="3"/>
  <c r="J1061" i="3"/>
  <c r="I1061" i="3"/>
  <c r="H1061" i="3"/>
  <c r="G1061" i="3"/>
  <c r="F1061" i="3"/>
  <c r="E1061" i="3"/>
  <c r="D1061" i="3"/>
  <c r="C1061" i="3"/>
  <c r="B1061" i="3"/>
  <c r="A1061" i="3"/>
  <c r="O1060" i="3"/>
  <c r="N1060" i="3"/>
  <c r="M1060" i="3"/>
  <c r="L1060" i="3"/>
  <c r="K1060" i="3"/>
  <c r="J1060" i="3"/>
  <c r="I1060" i="3"/>
  <c r="H1060" i="3"/>
  <c r="G1060" i="3"/>
  <c r="F1060" i="3"/>
  <c r="E1060" i="3"/>
  <c r="D1060" i="3"/>
  <c r="C1060" i="3"/>
  <c r="B1060" i="3"/>
  <c r="A1060" i="3"/>
  <c r="O1059" i="3"/>
  <c r="N1059" i="3"/>
  <c r="M1059" i="3"/>
  <c r="L1059" i="3"/>
  <c r="K1059" i="3"/>
  <c r="J1059" i="3"/>
  <c r="I1059" i="3"/>
  <c r="H1059" i="3"/>
  <c r="G1059" i="3"/>
  <c r="F1059" i="3"/>
  <c r="E1059" i="3"/>
  <c r="D1059" i="3"/>
  <c r="C1059" i="3"/>
  <c r="B1059" i="3"/>
  <c r="A1059" i="3"/>
  <c r="O1058" i="3"/>
  <c r="N1058" i="3"/>
  <c r="M1058" i="3"/>
  <c r="L1058" i="3"/>
  <c r="K1058" i="3"/>
  <c r="J1058" i="3"/>
  <c r="I1058" i="3"/>
  <c r="H1058" i="3"/>
  <c r="G1058" i="3"/>
  <c r="F1058" i="3"/>
  <c r="E1058" i="3"/>
  <c r="D1058" i="3"/>
  <c r="C1058" i="3"/>
  <c r="B1058" i="3"/>
  <c r="A1058" i="3"/>
  <c r="O1057" i="3"/>
  <c r="N1057" i="3"/>
  <c r="M1057" i="3"/>
  <c r="L1057" i="3"/>
  <c r="K1057" i="3"/>
  <c r="J1057" i="3"/>
  <c r="I1057" i="3"/>
  <c r="H1057" i="3"/>
  <c r="G1057" i="3"/>
  <c r="F1057" i="3"/>
  <c r="E1057" i="3"/>
  <c r="D1057" i="3"/>
  <c r="C1057" i="3"/>
  <c r="B1057" i="3"/>
  <c r="A1057" i="3"/>
  <c r="O1056" i="3"/>
  <c r="N1056" i="3"/>
  <c r="M1056" i="3"/>
  <c r="L1056" i="3"/>
  <c r="K1056" i="3"/>
  <c r="J1056" i="3"/>
  <c r="I1056" i="3"/>
  <c r="H1056" i="3"/>
  <c r="G1056" i="3"/>
  <c r="F1056" i="3"/>
  <c r="E1056" i="3"/>
  <c r="D1056" i="3"/>
  <c r="C1056" i="3"/>
  <c r="B1056" i="3"/>
  <c r="A1056" i="3"/>
  <c r="O1055" i="3"/>
  <c r="N1055" i="3"/>
  <c r="M1055" i="3"/>
  <c r="L1055" i="3"/>
  <c r="K1055" i="3"/>
  <c r="J1055" i="3"/>
  <c r="I1055" i="3"/>
  <c r="H1055" i="3"/>
  <c r="G1055" i="3"/>
  <c r="F1055" i="3"/>
  <c r="E1055" i="3"/>
  <c r="D1055" i="3"/>
  <c r="C1055" i="3"/>
  <c r="B1055" i="3"/>
  <c r="A1055" i="3"/>
  <c r="O1054" i="3"/>
  <c r="N1054" i="3"/>
  <c r="M1054" i="3"/>
  <c r="L1054" i="3"/>
  <c r="K1054" i="3"/>
  <c r="J1054" i="3"/>
  <c r="I1054" i="3"/>
  <c r="H1054" i="3"/>
  <c r="G1054" i="3"/>
  <c r="F1054" i="3"/>
  <c r="E1054" i="3"/>
  <c r="D1054" i="3"/>
  <c r="C1054" i="3"/>
  <c r="B1054" i="3"/>
  <c r="A1054" i="3"/>
  <c r="O1053" i="3"/>
  <c r="N1053" i="3"/>
  <c r="M1053" i="3"/>
  <c r="L1053" i="3"/>
  <c r="K1053" i="3"/>
  <c r="J1053" i="3"/>
  <c r="I1053" i="3"/>
  <c r="H1053" i="3"/>
  <c r="G1053" i="3"/>
  <c r="F1053" i="3"/>
  <c r="E1053" i="3"/>
  <c r="D1053" i="3"/>
  <c r="C1053" i="3"/>
  <c r="B1053" i="3"/>
  <c r="A1053" i="3"/>
  <c r="O1052" i="3"/>
  <c r="N1052" i="3"/>
  <c r="M1052" i="3"/>
  <c r="L1052" i="3"/>
  <c r="K1052" i="3"/>
  <c r="J1052" i="3"/>
  <c r="I1052" i="3"/>
  <c r="H1052" i="3"/>
  <c r="G1052" i="3"/>
  <c r="F1052" i="3"/>
  <c r="E1052" i="3"/>
  <c r="D1052" i="3"/>
  <c r="C1052" i="3"/>
  <c r="B1052" i="3"/>
  <c r="A1052" i="3"/>
  <c r="O1051" i="3"/>
  <c r="N1051" i="3"/>
  <c r="M1051" i="3"/>
  <c r="L1051" i="3"/>
  <c r="K1051" i="3"/>
  <c r="J1051" i="3"/>
  <c r="I1051" i="3"/>
  <c r="H1051" i="3"/>
  <c r="G1051" i="3"/>
  <c r="F1051" i="3"/>
  <c r="E1051" i="3"/>
  <c r="D1051" i="3"/>
  <c r="C1051" i="3"/>
  <c r="B1051" i="3"/>
  <c r="A1051" i="3"/>
  <c r="O1050" i="3"/>
  <c r="N1050" i="3"/>
  <c r="M1050" i="3"/>
  <c r="L1050" i="3"/>
  <c r="K1050" i="3"/>
  <c r="J1050" i="3"/>
  <c r="I1050" i="3"/>
  <c r="H1050" i="3"/>
  <c r="G1050" i="3"/>
  <c r="F1050" i="3"/>
  <c r="E1050" i="3"/>
  <c r="D1050" i="3"/>
  <c r="C1050" i="3"/>
  <c r="B1050" i="3"/>
  <c r="A1050" i="3"/>
  <c r="O1049" i="3"/>
  <c r="N1049" i="3"/>
  <c r="M1049" i="3"/>
  <c r="L1049" i="3"/>
  <c r="K1049" i="3"/>
  <c r="J1049" i="3"/>
  <c r="I1049" i="3"/>
  <c r="H1049" i="3"/>
  <c r="G1049" i="3"/>
  <c r="F1049" i="3"/>
  <c r="E1049" i="3"/>
  <c r="D1049" i="3"/>
  <c r="C1049" i="3"/>
  <c r="B1049" i="3"/>
  <c r="A1049" i="3"/>
  <c r="O1048" i="3"/>
  <c r="N1048" i="3"/>
  <c r="M1048" i="3"/>
  <c r="L1048" i="3"/>
  <c r="K1048" i="3"/>
  <c r="J1048" i="3"/>
  <c r="I1048" i="3"/>
  <c r="H1048" i="3"/>
  <c r="G1048" i="3"/>
  <c r="F1048" i="3"/>
  <c r="E1048" i="3"/>
  <c r="D1048" i="3"/>
  <c r="C1048" i="3"/>
  <c r="B1048" i="3"/>
  <c r="A1048" i="3"/>
  <c r="O1047" i="3"/>
  <c r="N1047" i="3"/>
  <c r="M1047" i="3"/>
  <c r="L1047" i="3"/>
  <c r="K1047" i="3"/>
  <c r="J1047" i="3"/>
  <c r="I1047" i="3"/>
  <c r="H1047" i="3"/>
  <c r="G1047" i="3"/>
  <c r="F1047" i="3"/>
  <c r="E1047" i="3"/>
  <c r="D1047" i="3"/>
  <c r="C1047" i="3"/>
  <c r="B1047" i="3"/>
  <c r="A1047" i="3"/>
  <c r="O1046" i="3"/>
  <c r="N1046" i="3"/>
  <c r="M1046" i="3"/>
  <c r="L1046" i="3"/>
  <c r="K1046" i="3"/>
  <c r="J1046" i="3"/>
  <c r="I1046" i="3"/>
  <c r="H1046" i="3"/>
  <c r="G1046" i="3"/>
  <c r="F1046" i="3"/>
  <c r="E1046" i="3"/>
  <c r="D1046" i="3"/>
  <c r="C1046" i="3"/>
  <c r="B1046" i="3"/>
  <c r="A1046" i="3"/>
  <c r="O1045" i="3"/>
  <c r="N1045" i="3"/>
  <c r="M1045" i="3"/>
  <c r="L1045" i="3"/>
  <c r="K1045" i="3"/>
  <c r="J1045" i="3"/>
  <c r="I1045" i="3"/>
  <c r="H1045" i="3"/>
  <c r="G1045" i="3"/>
  <c r="F1045" i="3"/>
  <c r="E1045" i="3"/>
  <c r="D1045" i="3"/>
  <c r="C1045" i="3"/>
  <c r="B1045" i="3"/>
  <c r="A1045" i="3"/>
  <c r="O1044" i="3"/>
  <c r="N1044" i="3"/>
  <c r="M1044" i="3"/>
  <c r="L1044" i="3"/>
  <c r="K1044" i="3"/>
  <c r="J1044" i="3"/>
  <c r="I1044" i="3"/>
  <c r="H1044" i="3"/>
  <c r="G1044" i="3"/>
  <c r="F1044" i="3"/>
  <c r="E1044" i="3"/>
  <c r="D1044" i="3"/>
  <c r="C1044" i="3"/>
  <c r="B1044" i="3"/>
  <c r="A1044" i="3"/>
  <c r="O1043" i="3"/>
  <c r="N1043" i="3"/>
  <c r="M1043" i="3"/>
  <c r="L1043" i="3"/>
  <c r="K1043" i="3"/>
  <c r="J1043" i="3"/>
  <c r="I1043" i="3"/>
  <c r="H1043" i="3"/>
  <c r="G1043" i="3"/>
  <c r="F1043" i="3"/>
  <c r="E1043" i="3"/>
  <c r="D1043" i="3"/>
  <c r="C1043" i="3"/>
  <c r="B1043" i="3"/>
  <c r="A1043" i="3"/>
  <c r="O1042" i="3"/>
  <c r="N1042" i="3"/>
  <c r="M1042" i="3"/>
  <c r="L1042" i="3"/>
  <c r="K1042" i="3"/>
  <c r="J1042" i="3"/>
  <c r="I1042" i="3"/>
  <c r="H1042" i="3"/>
  <c r="G1042" i="3"/>
  <c r="F1042" i="3"/>
  <c r="E1042" i="3"/>
  <c r="D1042" i="3"/>
  <c r="C1042" i="3"/>
  <c r="B1042" i="3"/>
  <c r="A1042" i="3"/>
  <c r="O1041" i="3"/>
  <c r="N1041" i="3"/>
  <c r="M1041" i="3"/>
  <c r="L1041" i="3"/>
  <c r="K1041" i="3"/>
  <c r="J1041" i="3"/>
  <c r="I1041" i="3"/>
  <c r="H1041" i="3"/>
  <c r="G1041" i="3"/>
  <c r="F1041" i="3"/>
  <c r="E1041" i="3"/>
  <c r="D1041" i="3"/>
  <c r="C1041" i="3"/>
  <c r="B1041" i="3"/>
  <c r="A1041" i="3"/>
  <c r="O1040" i="3"/>
  <c r="N1040" i="3"/>
  <c r="M1040" i="3"/>
  <c r="L1040" i="3"/>
  <c r="K1040" i="3"/>
  <c r="J1040" i="3"/>
  <c r="I1040" i="3"/>
  <c r="H1040" i="3"/>
  <c r="G1040" i="3"/>
  <c r="F1040" i="3"/>
  <c r="E1040" i="3"/>
  <c r="D1040" i="3"/>
  <c r="C1040" i="3"/>
  <c r="B1040" i="3"/>
  <c r="A1040" i="3"/>
  <c r="O1039" i="3"/>
  <c r="N1039" i="3"/>
  <c r="M1039" i="3"/>
  <c r="L1039" i="3"/>
  <c r="K1039" i="3"/>
  <c r="J1039" i="3"/>
  <c r="I1039" i="3"/>
  <c r="H1039" i="3"/>
  <c r="G1039" i="3"/>
  <c r="F1039" i="3"/>
  <c r="E1039" i="3"/>
  <c r="D1039" i="3"/>
  <c r="C1039" i="3"/>
  <c r="B1039" i="3"/>
  <c r="A1039" i="3"/>
  <c r="O1038" i="3"/>
  <c r="N1038" i="3"/>
  <c r="M1038" i="3"/>
  <c r="L1038" i="3"/>
  <c r="K1038" i="3"/>
  <c r="J1038" i="3"/>
  <c r="I1038" i="3"/>
  <c r="H1038" i="3"/>
  <c r="G1038" i="3"/>
  <c r="F1038" i="3"/>
  <c r="E1038" i="3"/>
  <c r="D1038" i="3"/>
  <c r="C1038" i="3"/>
  <c r="B1038" i="3"/>
  <c r="A1038" i="3"/>
  <c r="O1037" i="3"/>
  <c r="N1037" i="3"/>
  <c r="M1037" i="3"/>
  <c r="L1037" i="3"/>
  <c r="K1037" i="3"/>
  <c r="J1037" i="3"/>
  <c r="I1037" i="3"/>
  <c r="H1037" i="3"/>
  <c r="G1037" i="3"/>
  <c r="F1037" i="3"/>
  <c r="E1037" i="3"/>
  <c r="D1037" i="3"/>
  <c r="C1037" i="3"/>
  <c r="B1037" i="3"/>
  <c r="A1037" i="3"/>
  <c r="O1036" i="3"/>
  <c r="N1036" i="3"/>
  <c r="M1036" i="3"/>
  <c r="L1036" i="3"/>
  <c r="K1036" i="3"/>
  <c r="J1036" i="3"/>
  <c r="I1036" i="3"/>
  <c r="H1036" i="3"/>
  <c r="G1036" i="3"/>
  <c r="F1036" i="3"/>
  <c r="E1036" i="3"/>
  <c r="D1036" i="3"/>
  <c r="C1036" i="3"/>
  <c r="B1036" i="3"/>
  <c r="A1036" i="3"/>
  <c r="O1035" i="3"/>
  <c r="N1035" i="3"/>
  <c r="M1035" i="3"/>
  <c r="L1035" i="3"/>
  <c r="K1035" i="3"/>
  <c r="J1035" i="3"/>
  <c r="I1035" i="3"/>
  <c r="H1035" i="3"/>
  <c r="G1035" i="3"/>
  <c r="F1035" i="3"/>
  <c r="E1035" i="3"/>
  <c r="D1035" i="3"/>
  <c r="C1035" i="3"/>
  <c r="B1035" i="3"/>
  <c r="A1035" i="3"/>
  <c r="O1034" i="3"/>
  <c r="N1034" i="3"/>
  <c r="M1034" i="3"/>
  <c r="L1034" i="3"/>
  <c r="K1034" i="3"/>
  <c r="J1034" i="3"/>
  <c r="I1034" i="3"/>
  <c r="H1034" i="3"/>
  <c r="G1034" i="3"/>
  <c r="F1034" i="3"/>
  <c r="E1034" i="3"/>
  <c r="D1034" i="3"/>
  <c r="C1034" i="3"/>
  <c r="B1034" i="3"/>
  <c r="A1034" i="3"/>
  <c r="O1033" i="3"/>
  <c r="N1033" i="3"/>
  <c r="M1033" i="3"/>
  <c r="L1033" i="3"/>
  <c r="K1033" i="3"/>
  <c r="J1033" i="3"/>
  <c r="I1033" i="3"/>
  <c r="H1033" i="3"/>
  <c r="G1033" i="3"/>
  <c r="F1033" i="3"/>
  <c r="E1033" i="3"/>
  <c r="D1033" i="3"/>
  <c r="C1033" i="3"/>
  <c r="B1033" i="3"/>
  <c r="A1033" i="3"/>
  <c r="O1032" i="3"/>
  <c r="N1032" i="3"/>
  <c r="M1032" i="3"/>
  <c r="L1032" i="3"/>
  <c r="K1032" i="3"/>
  <c r="J1032" i="3"/>
  <c r="I1032" i="3"/>
  <c r="H1032" i="3"/>
  <c r="G1032" i="3"/>
  <c r="F1032" i="3"/>
  <c r="E1032" i="3"/>
  <c r="D1032" i="3"/>
  <c r="C1032" i="3"/>
  <c r="B1032" i="3"/>
  <c r="A1032" i="3"/>
  <c r="O1031" i="3"/>
  <c r="N1031" i="3"/>
  <c r="M1031" i="3"/>
  <c r="L1031" i="3"/>
  <c r="K1031" i="3"/>
  <c r="J1031" i="3"/>
  <c r="I1031" i="3"/>
  <c r="H1031" i="3"/>
  <c r="G1031" i="3"/>
  <c r="F1031" i="3"/>
  <c r="E1031" i="3"/>
  <c r="D1031" i="3"/>
  <c r="C1031" i="3"/>
  <c r="B1031" i="3"/>
  <c r="A1031" i="3"/>
  <c r="O1030" i="3"/>
  <c r="N1030" i="3"/>
  <c r="M1030" i="3"/>
  <c r="L1030" i="3"/>
  <c r="K1030" i="3"/>
  <c r="J1030" i="3"/>
  <c r="I1030" i="3"/>
  <c r="H1030" i="3"/>
  <c r="G1030" i="3"/>
  <c r="F1030" i="3"/>
  <c r="E1030" i="3"/>
  <c r="D1030" i="3"/>
  <c r="C1030" i="3"/>
  <c r="B1030" i="3"/>
  <c r="A1030" i="3"/>
  <c r="O1029" i="3"/>
  <c r="N1029" i="3"/>
  <c r="M1029" i="3"/>
  <c r="L1029" i="3"/>
  <c r="K1029" i="3"/>
  <c r="J1029" i="3"/>
  <c r="I1029" i="3"/>
  <c r="H1029" i="3"/>
  <c r="G1029" i="3"/>
  <c r="F1029" i="3"/>
  <c r="E1029" i="3"/>
  <c r="D1029" i="3"/>
  <c r="C1029" i="3"/>
  <c r="B1029" i="3"/>
  <c r="A1029" i="3"/>
  <c r="O1028" i="3"/>
  <c r="N1028" i="3"/>
  <c r="M1028" i="3"/>
  <c r="L1028" i="3"/>
  <c r="K1028" i="3"/>
  <c r="J1028" i="3"/>
  <c r="I1028" i="3"/>
  <c r="H1028" i="3"/>
  <c r="G1028" i="3"/>
  <c r="F1028" i="3"/>
  <c r="E1028" i="3"/>
  <c r="D1028" i="3"/>
  <c r="C1028" i="3"/>
  <c r="B1028" i="3"/>
  <c r="A1028" i="3"/>
  <c r="O1027" i="3"/>
  <c r="N1027" i="3"/>
  <c r="M1027" i="3"/>
  <c r="L1027" i="3"/>
  <c r="K1027" i="3"/>
  <c r="J1027" i="3"/>
  <c r="I1027" i="3"/>
  <c r="H1027" i="3"/>
  <c r="G1027" i="3"/>
  <c r="F1027" i="3"/>
  <c r="E1027" i="3"/>
  <c r="D1027" i="3"/>
  <c r="C1027" i="3"/>
  <c r="B1027" i="3"/>
  <c r="A1027" i="3"/>
  <c r="O1026" i="3"/>
  <c r="N1026" i="3"/>
  <c r="M1026" i="3"/>
  <c r="L1026" i="3"/>
  <c r="K1026" i="3"/>
  <c r="J1026" i="3"/>
  <c r="I1026" i="3"/>
  <c r="H1026" i="3"/>
  <c r="G1026" i="3"/>
  <c r="F1026" i="3"/>
  <c r="E1026" i="3"/>
  <c r="D1026" i="3"/>
  <c r="C1026" i="3"/>
  <c r="B1026" i="3"/>
  <c r="A1026" i="3"/>
  <c r="O1025" i="3"/>
  <c r="N1025" i="3"/>
  <c r="M1025" i="3"/>
  <c r="L1025" i="3"/>
  <c r="K1025" i="3"/>
  <c r="J1025" i="3"/>
  <c r="I1025" i="3"/>
  <c r="H1025" i="3"/>
  <c r="G1025" i="3"/>
  <c r="F1025" i="3"/>
  <c r="E1025" i="3"/>
  <c r="D1025" i="3"/>
  <c r="C1025" i="3"/>
  <c r="B1025" i="3"/>
  <c r="A1025" i="3"/>
  <c r="O1024" i="3"/>
  <c r="N1024" i="3"/>
  <c r="M1024" i="3"/>
  <c r="L1024" i="3"/>
  <c r="K1024" i="3"/>
  <c r="J1024" i="3"/>
  <c r="I1024" i="3"/>
  <c r="H1024" i="3"/>
  <c r="G1024" i="3"/>
  <c r="F1024" i="3"/>
  <c r="E1024" i="3"/>
  <c r="D1024" i="3"/>
  <c r="C1024" i="3"/>
  <c r="B1024" i="3"/>
  <c r="A1024" i="3"/>
  <c r="O1023" i="3"/>
  <c r="N1023" i="3"/>
  <c r="M1023" i="3"/>
  <c r="L1023" i="3"/>
  <c r="K1023" i="3"/>
  <c r="J1023" i="3"/>
  <c r="I1023" i="3"/>
  <c r="H1023" i="3"/>
  <c r="G1023" i="3"/>
  <c r="F1023" i="3"/>
  <c r="E1023" i="3"/>
  <c r="D1023" i="3"/>
  <c r="C1023" i="3"/>
  <c r="B1023" i="3"/>
  <c r="A1023" i="3"/>
  <c r="O1022" i="3"/>
  <c r="N1022" i="3"/>
  <c r="M1022" i="3"/>
  <c r="L1022" i="3"/>
  <c r="K1022" i="3"/>
  <c r="J1022" i="3"/>
  <c r="I1022" i="3"/>
  <c r="H1022" i="3"/>
  <c r="G1022" i="3"/>
  <c r="F1022" i="3"/>
  <c r="E1022" i="3"/>
  <c r="D1022" i="3"/>
  <c r="C1022" i="3"/>
  <c r="B1022" i="3"/>
  <c r="A1022" i="3"/>
  <c r="O1021" i="3"/>
  <c r="N1021" i="3"/>
  <c r="M1021" i="3"/>
  <c r="L1021" i="3"/>
  <c r="K1021" i="3"/>
  <c r="J1021" i="3"/>
  <c r="I1021" i="3"/>
  <c r="H1021" i="3"/>
  <c r="G1021" i="3"/>
  <c r="F1021" i="3"/>
  <c r="E1021" i="3"/>
  <c r="D1021" i="3"/>
  <c r="C1021" i="3"/>
  <c r="B1021" i="3"/>
  <c r="A1021" i="3"/>
  <c r="O1020" i="3"/>
  <c r="N1020" i="3"/>
  <c r="M1020" i="3"/>
  <c r="L1020" i="3"/>
  <c r="K1020" i="3"/>
  <c r="J1020" i="3"/>
  <c r="I1020" i="3"/>
  <c r="H1020" i="3"/>
  <c r="G1020" i="3"/>
  <c r="F1020" i="3"/>
  <c r="E1020" i="3"/>
  <c r="D1020" i="3"/>
  <c r="C1020" i="3"/>
  <c r="B1020" i="3"/>
  <c r="A1020" i="3"/>
  <c r="O1019" i="3"/>
  <c r="N1019" i="3"/>
  <c r="M1019" i="3"/>
  <c r="L1019" i="3"/>
  <c r="K1019" i="3"/>
  <c r="J1019" i="3"/>
  <c r="I1019" i="3"/>
  <c r="H1019" i="3"/>
  <c r="G1019" i="3"/>
  <c r="F1019" i="3"/>
  <c r="E1019" i="3"/>
  <c r="D1019" i="3"/>
  <c r="C1019" i="3"/>
  <c r="B1019" i="3"/>
  <c r="A1019" i="3"/>
  <c r="O1018" i="3"/>
  <c r="N1018" i="3"/>
  <c r="M1018" i="3"/>
  <c r="L1018" i="3"/>
  <c r="K1018" i="3"/>
  <c r="J1018" i="3"/>
  <c r="I1018" i="3"/>
  <c r="H1018" i="3"/>
  <c r="G1018" i="3"/>
  <c r="F1018" i="3"/>
  <c r="E1018" i="3"/>
  <c r="D1018" i="3"/>
  <c r="C1018" i="3"/>
  <c r="B1018" i="3"/>
  <c r="A1018" i="3"/>
  <c r="O1017" i="3"/>
  <c r="N1017" i="3"/>
  <c r="M1017" i="3"/>
  <c r="L1017" i="3"/>
  <c r="K1017" i="3"/>
  <c r="J1017" i="3"/>
  <c r="I1017" i="3"/>
  <c r="H1017" i="3"/>
  <c r="G1017" i="3"/>
  <c r="F1017" i="3"/>
  <c r="E1017" i="3"/>
  <c r="D1017" i="3"/>
  <c r="C1017" i="3"/>
  <c r="B1017" i="3"/>
  <c r="A1017" i="3"/>
  <c r="O1016" i="3"/>
  <c r="N1016" i="3"/>
  <c r="M1016" i="3"/>
  <c r="L1016" i="3"/>
  <c r="K1016" i="3"/>
  <c r="J1016" i="3"/>
  <c r="I1016" i="3"/>
  <c r="H1016" i="3"/>
  <c r="G1016" i="3"/>
  <c r="F1016" i="3"/>
  <c r="E1016" i="3"/>
  <c r="D1016" i="3"/>
  <c r="C1016" i="3"/>
  <c r="B1016" i="3"/>
  <c r="A1016" i="3"/>
  <c r="O1015" i="3"/>
  <c r="N1015" i="3"/>
  <c r="M1015" i="3"/>
  <c r="L1015" i="3"/>
  <c r="K1015" i="3"/>
  <c r="J1015" i="3"/>
  <c r="I1015" i="3"/>
  <c r="H1015" i="3"/>
  <c r="G1015" i="3"/>
  <c r="F1015" i="3"/>
  <c r="E1015" i="3"/>
  <c r="D1015" i="3"/>
  <c r="C1015" i="3"/>
  <c r="B1015" i="3"/>
  <c r="A1015" i="3"/>
  <c r="O1014" i="3"/>
  <c r="N1014" i="3"/>
  <c r="M1014" i="3"/>
  <c r="L1014" i="3"/>
  <c r="K1014" i="3"/>
  <c r="J1014" i="3"/>
  <c r="I1014" i="3"/>
  <c r="H1014" i="3"/>
  <c r="G1014" i="3"/>
  <c r="F1014" i="3"/>
  <c r="E1014" i="3"/>
  <c r="D1014" i="3"/>
  <c r="C1014" i="3"/>
  <c r="B1014" i="3"/>
  <c r="A1014" i="3"/>
  <c r="O1013" i="3"/>
  <c r="N1013" i="3"/>
  <c r="M1013" i="3"/>
  <c r="L1013" i="3"/>
  <c r="K1013" i="3"/>
  <c r="J1013" i="3"/>
  <c r="I1013" i="3"/>
  <c r="H1013" i="3"/>
  <c r="G1013" i="3"/>
  <c r="F1013" i="3"/>
  <c r="E1013" i="3"/>
  <c r="D1013" i="3"/>
  <c r="C1013" i="3"/>
  <c r="B1013" i="3"/>
  <c r="A1013" i="3"/>
  <c r="O1012" i="3"/>
  <c r="N1012" i="3"/>
  <c r="M1012" i="3"/>
  <c r="L1012" i="3"/>
  <c r="K1012" i="3"/>
  <c r="J1012" i="3"/>
  <c r="I1012" i="3"/>
  <c r="H1012" i="3"/>
  <c r="G1012" i="3"/>
  <c r="F1012" i="3"/>
  <c r="E1012" i="3"/>
  <c r="D1012" i="3"/>
  <c r="C1012" i="3"/>
  <c r="B1012" i="3"/>
  <c r="A1012" i="3"/>
  <c r="O1011" i="3"/>
  <c r="N1011" i="3"/>
  <c r="M1011" i="3"/>
  <c r="L1011" i="3"/>
  <c r="K1011" i="3"/>
  <c r="J1011" i="3"/>
  <c r="I1011" i="3"/>
  <c r="H1011" i="3"/>
  <c r="G1011" i="3"/>
  <c r="F1011" i="3"/>
  <c r="E1011" i="3"/>
  <c r="D1011" i="3"/>
  <c r="C1011" i="3"/>
  <c r="B1011" i="3"/>
  <c r="A1011" i="3"/>
  <c r="O1010" i="3"/>
  <c r="N1010" i="3"/>
  <c r="M1010" i="3"/>
  <c r="L1010" i="3"/>
  <c r="K1010" i="3"/>
  <c r="J1010" i="3"/>
  <c r="I1010" i="3"/>
  <c r="H1010" i="3"/>
  <c r="G1010" i="3"/>
  <c r="F1010" i="3"/>
  <c r="E1010" i="3"/>
  <c r="D1010" i="3"/>
  <c r="C1010" i="3"/>
  <c r="B1010" i="3"/>
  <c r="A1010" i="3"/>
  <c r="O1009" i="3"/>
  <c r="N1009" i="3"/>
  <c r="M1009" i="3"/>
  <c r="L1009" i="3"/>
  <c r="K1009" i="3"/>
  <c r="J1009" i="3"/>
  <c r="I1009" i="3"/>
  <c r="H1009" i="3"/>
  <c r="G1009" i="3"/>
  <c r="F1009" i="3"/>
  <c r="E1009" i="3"/>
  <c r="D1009" i="3"/>
  <c r="C1009" i="3"/>
  <c r="B1009" i="3"/>
  <c r="A1009" i="3"/>
  <c r="O1008" i="3"/>
  <c r="N1008" i="3"/>
  <c r="M1008" i="3"/>
  <c r="L1008" i="3"/>
  <c r="K1008" i="3"/>
  <c r="J1008" i="3"/>
  <c r="I1008" i="3"/>
  <c r="H1008" i="3"/>
  <c r="G1008" i="3"/>
  <c r="F1008" i="3"/>
  <c r="E1008" i="3"/>
  <c r="D1008" i="3"/>
  <c r="C1008" i="3"/>
  <c r="B1008" i="3"/>
  <c r="A1008" i="3"/>
  <c r="O1007" i="3"/>
  <c r="N1007" i="3"/>
  <c r="M1007" i="3"/>
  <c r="L1007" i="3"/>
  <c r="K1007" i="3"/>
  <c r="J1007" i="3"/>
  <c r="I1007" i="3"/>
  <c r="H1007" i="3"/>
  <c r="G1007" i="3"/>
  <c r="F1007" i="3"/>
  <c r="E1007" i="3"/>
  <c r="D1007" i="3"/>
  <c r="C1007" i="3"/>
  <c r="B1007" i="3"/>
  <c r="A1007" i="3"/>
  <c r="O1006" i="3"/>
  <c r="N1006" i="3"/>
  <c r="M1006" i="3"/>
  <c r="L1006" i="3"/>
  <c r="K1006" i="3"/>
  <c r="J1006" i="3"/>
  <c r="I1006" i="3"/>
  <c r="H1006" i="3"/>
  <c r="G1006" i="3"/>
  <c r="F1006" i="3"/>
  <c r="E1006" i="3"/>
  <c r="D1006" i="3"/>
  <c r="C1006" i="3"/>
  <c r="B1006" i="3"/>
  <c r="A1006" i="3"/>
  <c r="O1005" i="3"/>
  <c r="N1005" i="3"/>
  <c r="M1005" i="3"/>
  <c r="L1005" i="3"/>
  <c r="K1005" i="3"/>
  <c r="J1005" i="3"/>
  <c r="I1005" i="3"/>
  <c r="H1005" i="3"/>
  <c r="G1005" i="3"/>
  <c r="F1005" i="3"/>
  <c r="E1005" i="3"/>
  <c r="D1005" i="3"/>
  <c r="C1005" i="3"/>
  <c r="B1005" i="3"/>
  <c r="A1005" i="3"/>
  <c r="O1004" i="3"/>
  <c r="N1004" i="3"/>
  <c r="M1004" i="3"/>
  <c r="L1004" i="3"/>
  <c r="K1004" i="3"/>
  <c r="J1004" i="3"/>
  <c r="I1004" i="3"/>
  <c r="H1004" i="3"/>
  <c r="G1004" i="3"/>
  <c r="F1004" i="3"/>
  <c r="E1004" i="3"/>
  <c r="D1004" i="3"/>
  <c r="C1004" i="3"/>
  <c r="B1004" i="3"/>
  <c r="A1004" i="3"/>
  <c r="O1003" i="3"/>
  <c r="N1003" i="3"/>
  <c r="M1003" i="3"/>
  <c r="L1003" i="3"/>
  <c r="K1003" i="3"/>
  <c r="J1003" i="3"/>
  <c r="I1003" i="3"/>
  <c r="H1003" i="3"/>
  <c r="G1003" i="3"/>
  <c r="F1003" i="3"/>
  <c r="E1003" i="3"/>
  <c r="D1003" i="3"/>
  <c r="C1003" i="3"/>
  <c r="B1003" i="3"/>
  <c r="A1003" i="3"/>
  <c r="O1002" i="3"/>
  <c r="N1002" i="3"/>
  <c r="M1002" i="3"/>
  <c r="L1002" i="3"/>
  <c r="K1002" i="3"/>
  <c r="J1002" i="3"/>
  <c r="I1002" i="3"/>
  <c r="H1002" i="3"/>
  <c r="G1002" i="3"/>
  <c r="F1002" i="3"/>
  <c r="E1002" i="3"/>
  <c r="D1002" i="3"/>
  <c r="C1002" i="3"/>
  <c r="B1002" i="3"/>
  <c r="A1002" i="3"/>
  <c r="O1001" i="3"/>
  <c r="N1001" i="3"/>
  <c r="M1001" i="3"/>
  <c r="L1001" i="3"/>
  <c r="K1001" i="3"/>
  <c r="J1001" i="3"/>
  <c r="I1001" i="3"/>
  <c r="H1001" i="3"/>
  <c r="G1001" i="3"/>
  <c r="F1001" i="3"/>
  <c r="E1001" i="3"/>
  <c r="D1001" i="3"/>
  <c r="C1001" i="3"/>
  <c r="B1001" i="3"/>
  <c r="A1001" i="3"/>
  <c r="O1000" i="3"/>
  <c r="N1000" i="3"/>
  <c r="M1000" i="3"/>
  <c r="L1000" i="3"/>
  <c r="K1000" i="3"/>
  <c r="J1000" i="3"/>
  <c r="I1000" i="3"/>
  <c r="H1000" i="3"/>
  <c r="G1000" i="3"/>
  <c r="F1000" i="3"/>
  <c r="E1000" i="3"/>
  <c r="D1000" i="3"/>
  <c r="C1000" i="3"/>
  <c r="B1000" i="3"/>
  <c r="A1000" i="3"/>
  <c r="O999" i="3"/>
  <c r="N999" i="3"/>
  <c r="M999" i="3"/>
  <c r="L999" i="3"/>
  <c r="K999" i="3"/>
  <c r="J999" i="3"/>
  <c r="I999" i="3"/>
  <c r="H999" i="3"/>
  <c r="G999" i="3"/>
  <c r="F999" i="3"/>
  <c r="E999" i="3"/>
  <c r="D999" i="3"/>
  <c r="C999" i="3"/>
  <c r="B999" i="3"/>
  <c r="A999" i="3"/>
  <c r="O998" i="3"/>
  <c r="N998" i="3"/>
  <c r="M998" i="3"/>
  <c r="L998" i="3"/>
  <c r="K998" i="3"/>
  <c r="J998" i="3"/>
  <c r="I998" i="3"/>
  <c r="H998" i="3"/>
  <c r="G998" i="3"/>
  <c r="F998" i="3"/>
  <c r="E998" i="3"/>
  <c r="D998" i="3"/>
  <c r="C998" i="3"/>
  <c r="B998" i="3"/>
  <c r="A998" i="3"/>
  <c r="O997" i="3"/>
  <c r="N997" i="3"/>
  <c r="M997" i="3"/>
  <c r="L997" i="3"/>
  <c r="K997" i="3"/>
  <c r="J997" i="3"/>
  <c r="I997" i="3"/>
  <c r="H997" i="3"/>
  <c r="G997" i="3"/>
  <c r="F997" i="3"/>
  <c r="E997" i="3"/>
  <c r="D997" i="3"/>
  <c r="C997" i="3"/>
  <c r="B997" i="3"/>
  <c r="A997" i="3"/>
  <c r="O996" i="3"/>
  <c r="N996" i="3"/>
  <c r="M996" i="3"/>
  <c r="L996" i="3"/>
  <c r="K996" i="3"/>
  <c r="J996" i="3"/>
  <c r="I996" i="3"/>
  <c r="H996" i="3"/>
  <c r="G996" i="3"/>
  <c r="F996" i="3"/>
  <c r="E996" i="3"/>
  <c r="D996" i="3"/>
  <c r="C996" i="3"/>
  <c r="B996" i="3"/>
  <c r="A996" i="3"/>
  <c r="O995" i="3"/>
  <c r="N995" i="3"/>
  <c r="M995" i="3"/>
  <c r="L995" i="3"/>
  <c r="K995" i="3"/>
  <c r="J995" i="3"/>
  <c r="I995" i="3"/>
  <c r="H995" i="3"/>
  <c r="G995" i="3"/>
  <c r="F995" i="3"/>
  <c r="E995" i="3"/>
  <c r="D995" i="3"/>
  <c r="C995" i="3"/>
  <c r="B995" i="3"/>
  <c r="A995" i="3"/>
  <c r="O994" i="3"/>
  <c r="N994" i="3"/>
  <c r="M994" i="3"/>
  <c r="L994" i="3"/>
  <c r="K994" i="3"/>
  <c r="J994" i="3"/>
  <c r="I994" i="3"/>
  <c r="H994" i="3"/>
  <c r="G994" i="3"/>
  <c r="F994" i="3"/>
  <c r="E994" i="3"/>
  <c r="D994" i="3"/>
  <c r="C994" i="3"/>
  <c r="B994" i="3"/>
  <c r="A994" i="3"/>
  <c r="O993" i="3"/>
  <c r="N993" i="3"/>
  <c r="M993" i="3"/>
  <c r="L993" i="3"/>
  <c r="K993" i="3"/>
  <c r="J993" i="3"/>
  <c r="I993" i="3"/>
  <c r="H993" i="3"/>
  <c r="G993" i="3"/>
  <c r="F993" i="3"/>
  <c r="E993" i="3"/>
  <c r="D993" i="3"/>
  <c r="C993" i="3"/>
  <c r="B993" i="3"/>
  <c r="A993" i="3"/>
  <c r="O992" i="3"/>
  <c r="N992" i="3"/>
  <c r="M992" i="3"/>
  <c r="L992" i="3"/>
  <c r="K992" i="3"/>
  <c r="J992" i="3"/>
  <c r="I992" i="3"/>
  <c r="H992" i="3"/>
  <c r="G992" i="3"/>
  <c r="F992" i="3"/>
  <c r="E992" i="3"/>
  <c r="D992" i="3"/>
  <c r="C992" i="3"/>
  <c r="B992" i="3"/>
  <c r="A992" i="3"/>
  <c r="O991" i="3"/>
  <c r="N991" i="3"/>
  <c r="M991" i="3"/>
  <c r="L991" i="3"/>
  <c r="K991" i="3"/>
  <c r="J991" i="3"/>
  <c r="I991" i="3"/>
  <c r="H991" i="3"/>
  <c r="G991" i="3"/>
  <c r="F991" i="3"/>
  <c r="E991" i="3"/>
  <c r="D991" i="3"/>
  <c r="C991" i="3"/>
  <c r="B991" i="3"/>
  <c r="A991" i="3"/>
  <c r="O990" i="3"/>
  <c r="N990" i="3"/>
  <c r="M990" i="3"/>
  <c r="L990" i="3"/>
  <c r="K990" i="3"/>
  <c r="J990" i="3"/>
  <c r="I990" i="3"/>
  <c r="H990" i="3"/>
  <c r="G990" i="3"/>
  <c r="F990" i="3"/>
  <c r="E990" i="3"/>
  <c r="D990" i="3"/>
  <c r="C990" i="3"/>
  <c r="B990" i="3"/>
  <c r="A990" i="3"/>
  <c r="O989" i="3"/>
  <c r="N989" i="3"/>
  <c r="M989" i="3"/>
  <c r="L989" i="3"/>
  <c r="K989" i="3"/>
  <c r="J989" i="3"/>
  <c r="I989" i="3"/>
  <c r="H989" i="3"/>
  <c r="G989" i="3"/>
  <c r="F989" i="3"/>
  <c r="E989" i="3"/>
  <c r="D989" i="3"/>
  <c r="C989" i="3"/>
  <c r="B989" i="3"/>
  <c r="A989" i="3"/>
  <c r="O988" i="3"/>
  <c r="N988" i="3"/>
  <c r="M988" i="3"/>
  <c r="L988" i="3"/>
  <c r="K988" i="3"/>
  <c r="J988" i="3"/>
  <c r="I988" i="3"/>
  <c r="H988" i="3"/>
  <c r="G988" i="3"/>
  <c r="F988" i="3"/>
  <c r="E988" i="3"/>
  <c r="D988" i="3"/>
  <c r="C988" i="3"/>
  <c r="B988" i="3"/>
  <c r="A988" i="3"/>
  <c r="O987" i="3"/>
  <c r="N987" i="3"/>
  <c r="M987" i="3"/>
  <c r="L987" i="3"/>
  <c r="K987" i="3"/>
  <c r="J987" i="3"/>
  <c r="I987" i="3"/>
  <c r="H987" i="3"/>
  <c r="G987" i="3"/>
  <c r="F987" i="3"/>
  <c r="E987" i="3"/>
  <c r="D987" i="3"/>
  <c r="C987" i="3"/>
  <c r="B987" i="3"/>
  <c r="A987" i="3"/>
  <c r="O986" i="3"/>
  <c r="N986" i="3"/>
  <c r="M986" i="3"/>
  <c r="L986" i="3"/>
  <c r="K986" i="3"/>
  <c r="J986" i="3"/>
  <c r="I986" i="3"/>
  <c r="H986" i="3"/>
  <c r="G986" i="3"/>
  <c r="F986" i="3"/>
  <c r="E986" i="3"/>
  <c r="D986" i="3"/>
  <c r="C986" i="3"/>
  <c r="B986" i="3"/>
  <c r="A986" i="3"/>
  <c r="O985" i="3"/>
  <c r="N985" i="3"/>
  <c r="M985" i="3"/>
  <c r="L985" i="3"/>
  <c r="K985" i="3"/>
  <c r="J985" i="3"/>
  <c r="I985" i="3"/>
  <c r="H985" i="3"/>
  <c r="G985" i="3"/>
  <c r="F985" i="3"/>
  <c r="E985" i="3"/>
  <c r="D985" i="3"/>
  <c r="C985" i="3"/>
  <c r="B985" i="3"/>
  <c r="A985" i="3"/>
  <c r="O984" i="3"/>
  <c r="N984" i="3"/>
  <c r="M984" i="3"/>
  <c r="L984" i="3"/>
  <c r="K984" i="3"/>
  <c r="J984" i="3"/>
  <c r="I984" i="3"/>
  <c r="H984" i="3"/>
  <c r="G984" i="3"/>
  <c r="F984" i="3"/>
  <c r="E984" i="3"/>
  <c r="D984" i="3"/>
  <c r="C984" i="3"/>
  <c r="B984" i="3"/>
  <c r="A984" i="3"/>
  <c r="O983" i="3"/>
  <c r="N983" i="3"/>
  <c r="M983" i="3"/>
  <c r="L983" i="3"/>
  <c r="K983" i="3"/>
  <c r="J983" i="3"/>
  <c r="I983" i="3"/>
  <c r="H983" i="3"/>
  <c r="G983" i="3"/>
  <c r="F983" i="3"/>
  <c r="E983" i="3"/>
  <c r="D983" i="3"/>
  <c r="C983" i="3"/>
  <c r="B983" i="3"/>
  <c r="A983" i="3"/>
  <c r="O982" i="3"/>
  <c r="N982" i="3"/>
  <c r="M982" i="3"/>
  <c r="L982" i="3"/>
  <c r="K982" i="3"/>
  <c r="J982" i="3"/>
  <c r="I982" i="3"/>
  <c r="H982" i="3"/>
  <c r="G982" i="3"/>
  <c r="F982" i="3"/>
  <c r="E982" i="3"/>
  <c r="D982" i="3"/>
  <c r="C982" i="3"/>
  <c r="B982" i="3"/>
  <c r="A982" i="3"/>
  <c r="O981" i="3"/>
  <c r="N981" i="3"/>
  <c r="M981" i="3"/>
  <c r="L981" i="3"/>
  <c r="K981" i="3"/>
  <c r="J981" i="3"/>
  <c r="I981" i="3"/>
  <c r="H981" i="3"/>
  <c r="G981" i="3"/>
  <c r="F981" i="3"/>
  <c r="E981" i="3"/>
  <c r="D981" i="3"/>
  <c r="C981" i="3"/>
  <c r="B981" i="3"/>
  <c r="A981" i="3"/>
  <c r="O980" i="3"/>
  <c r="N980" i="3"/>
  <c r="M980" i="3"/>
  <c r="L980" i="3"/>
  <c r="K980" i="3"/>
  <c r="J980" i="3"/>
  <c r="I980" i="3"/>
  <c r="H980" i="3"/>
  <c r="G980" i="3"/>
  <c r="F980" i="3"/>
  <c r="E980" i="3"/>
  <c r="D980" i="3"/>
  <c r="C980" i="3"/>
  <c r="B980" i="3"/>
  <c r="A980" i="3"/>
  <c r="O979" i="3"/>
  <c r="N979" i="3"/>
  <c r="M979" i="3"/>
  <c r="L979" i="3"/>
  <c r="K979" i="3"/>
  <c r="J979" i="3"/>
  <c r="I979" i="3"/>
  <c r="H979" i="3"/>
  <c r="G979" i="3"/>
  <c r="F979" i="3"/>
  <c r="E979" i="3"/>
  <c r="D979" i="3"/>
  <c r="C979" i="3"/>
  <c r="B979" i="3"/>
  <c r="A979" i="3"/>
  <c r="O978" i="3"/>
  <c r="N978" i="3"/>
  <c r="M978" i="3"/>
  <c r="L978" i="3"/>
  <c r="K978" i="3"/>
  <c r="J978" i="3"/>
  <c r="I978" i="3"/>
  <c r="H978" i="3"/>
  <c r="G978" i="3"/>
  <c r="F978" i="3"/>
  <c r="E978" i="3"/>
  <c r="D978" i="3"/>
  <c r="C978" i="3"/>
  <c r="B978" i="3"/>
  <c r="A978" i="3"/>
  <c r="O977" i="3"/>
  <c r="N977" i="3"/>
  <c r="M977" i="3"/>
  <c r="L977" i="3"/>
  <c r="K977" i="3"/>
  <c r="J977" i="3"/>
  <c r="I977" i="3"/>
  <c r="H977" i="3"/>
  <c r="G977" i="3"/>
  <c r="F977" i="3"/>
  <c r="E977" i="3"/>
  <c r="D977" i="3"/>
  <c r="C977" i="3"/>
  <c r="B977" i="3"/>
  <c r="A977" i="3"/>
  <c r="O976" i="3"/>
  <c r="N976" i="3"/>
  <c r="M976" i="3"/>
  <c r="L976" i="3"/>
  <c r="K976" i="3"/>
  <c r="J976" i="3"/>
  <c r="I976" i="3"/>
  <c r="H976" i="3"/>
  <c r="G976" i="3"/>
  <c r="F976" i="3"/>
  <c r="E976" i="3"/>
  <c r="D976" i="3"/>
  <c r="C976" i="3"/>
  <c r="B976" i="3"/>
  <c r="A976" i="3"/>
  <c r="O975" i="3"/>
  <c r="N975" i="3"/>
  <c r="M975" i="3"/>
  <c r="L975" i="3"/>
  <c r="K975" i="3"/>
  <c r="J975" i="3"/>
  <c r="I975" i="3"/>
  <c r="H975" i="3"/>
  <c r="G975" i="3"/>
  <c r="F975" i="3"/>
  <c r="E975" i="3"/>
  <c r="D975" i="3"/>
  <c r="C975" i="3"/>
  <c r="B975" i="3"/>
  <c r="A975" i="3"/>
  <c r="O974" i="3"/>
  <c r="N974" i="3"/>
  <c r="M974" i="3"/>
  <c r="L974" i="3"/>
  <c r="K974" i="3"/>
  <c r="J974" i="3"/>
  <c r="I974" i="3"/>
  <c r="H974" i="3"/>
  <c r="G974" i="3"/>
  <c r="F974" i="3"/>
  <c r="E974" i="3"/>
  <c r="D974" i="3"/>
  <c r="C974" i="3"/>
  <c r="B974" i="3"/>
  <c r="A974" i="3"/>
  <c r="O973" i="3"/>
  <c r="N973" i="3"/>
  <c r="M973" i="3"/>
  <c r="L973" i="3"/>
  <c r="K973" i="3"/>
  <c r="J973" i="3"/>
  <c r="I973" i="3"/>
  <c r="H973" i="3"/>
  <c r="G973" i="3"/>
  <c r="F973" i="3"/>
  <c r="E973" i="3"/>
  <c r="D973" i="3"/>
  <c r="C973" i="3"/>
  <c r="B973" i="3"/>
  <c r="A973" i="3"/>
  <c r="O972" i="3"/>
  <c r="N972" i="3"/>
  <c r="M972" i="3"/>
  <c r="L972" i="3"/>
  <c r="K972" i="3"/>
  <c r="J972" i="3"/>
  <c r="I972" i="3"/>
  <c r="H972" i="3"/>
  <c r="G972" i="3"/>
  <c r="F972" i="3"/>
  <c r="E972" i="3"/>
  <c r="D972" i="3"/>
  <c r="C972" i="3"/>
  <c r="B972" i="3"/>
  <c r="A972" i="3"/>
  <c r="O971" i="3"/>
  <c r="N971" i="3"/>
  <c r="M971" i="3"/>
  <c r="L971" i="3"/>
  <c r="K971" i="3"/>
  <c r="J971" i="3"/>
  <c r="I971" i="3"/>
  <c r="H971" i="3"/>
  <c r="G971" i="3"/>
  <c r="F971" i="3"/>
  <c r="E971" i="3"/>
  <c r="D971" i="3"/>
  <c r="C971" i="3"/>
  <c r="B971" i="3"/>
  <c r="A971" i="3"/>
  <c r="O970" i="3"/>
  <c r="N970" i="3"/>
  <c r="M970" i="3"/>
  <c r="L970" i="3"/>
  <c r="K970" i="3"/>
  <c r="J970" i="3"/>
  <c r="I970" i="3"/>
  <c r="H970" i="3"/>
  <c r="G970" i="3"/>
  <c r="F970" i="3"/>
  <c r="E970" i="3"/>
  <c r="D970" i="3"/>
  <c r="C970" i="3"/>
  <c r="B970" i="3"/>
  <c r="A970" i="3"/>
  <c r="O969" i="3"/>
  <c r="N969" i="3"/>
  <c r="M969" i="3"/>
  <c r="L969" i="3"/>
  <c r="K969" i="3"/>
  <c r="J969" i="3"/>
  <c r="I969" i="3"/>
  <c r="H969" i="3"/>
  <c r="G969" i="3"/>
  <c r="F969" i="3"/>
  <c r="E969" i="3"/>
  <c r="D969" i="3"/>
  <c r="C969" i="3"/>
  <c r="B969" i="3"/>
  <c r="A969" i="3"/>
  <c r="O968" i="3"/>
  <c r="N968" i="3"/>
  <c r="M968" i="3"/>
  <c r="L968" i="3"/>
  <c r="K968" i="3"/>
  <c r="J968" i="3"/>
  <c r="I968" i="3"/>
  <c r="H968" i="3"/>
  <c r="G968" i="3"/>
  <c r="F968" i="3"/>
  <c r="E968" i="3"/>
  <c r="D968" i="3"/>
  <c r="C968" i="3"/>
  <c r="B968" i="3"/>
  <c r="A968" i="3"/>
  <c r="O967" i="3"/>
  <c r="N967" i="3"/>
  <c r="M967" i="3"/>
  <c r="L967" i="3"/>
  <c r="K967" i="3"/>
  <c r="J967" i="3"/>
  <c r="I967" i="3"/>
  <c r="H967" i="3"/>
  <c r="G967" i="3"/>
  <c r="F967" i="3"/>
  <c r="E967" i="3"/>
  <c r="D967" i="3"/>
  <c r="C967" i="3"/>
  <c r="B967" i="3"/>
  <c r="A967" i="3"/>
  <c r="O966" i="3"/>
  <c r="N966" i="3"/>
  <c r="M966" i="3"/>
  <c r="L966" i="3"/>
  <c r="K966" i="3"/>
  <c r="J966" i="3"/>
  <c r="I966" i="3"/>
  <c r="H966" i="3"/>
  <c r="G966" i="3"/>
  <c r="F966" i="3"/>
  <c r="E966" i="3"/>
  <c r="D966" i="3"/>
  <c r="C966" i="3"/>
  <c r="B966" i="3"/>
  <c r="A966" i="3"/>
  <c r="O965" i="3"/>
  <c r="N965" i="3"/>
  <c r="M965" i="3"/>
  <c r="L965" i="3"/>
  <c r="K965" i="3"/>
  <c r="J965" i="3"/>
  <c r="I965" i="3"/>
  <c r="H965" i="3"/>
  <c r="G965" i="3"/>
  <c r="F965" i="3"/>
  <c r="E965" i="3"/>
  <c r="D965" i="3"/>
  <c r="C965" i="3"/>
  <c r="B965" i="3"/>
  <c r="A965" i="3"/>
  <c r="O964" i="3"/>
  <c r="N964" i="3"/>
  <c r="M964" i="3"/>
  <c r="L964" i="3"/>
  <c r="K964" i="3"/>
  <c r="J964" i="3"/>
  <c r="I964" i="3"/>
  <c r="H964" i="3"/>
  <c r="G964" i="3"/>
  <c r="F964" i="3"/>
  <c r="E964" i="3"/>
  <c r="D964" i="3"/>
  <c r="C964" i="3"/>
  <c r="B964" i="3"/>
  <c r="A964" i="3"/>
  <c r="O963" i="3"/>
  <c r="N963" i="3"/>
  <c r="M963" i="3"/>
  <c r="L963" i="3"/>
  <c r="K963" i="3"/>
  <c r="J963" i="3"/>
  <c r="I963" i="3"/>
  <c r="H963" i="3"/>
  <c r="G963" i="3"/>
  <c r="F963" i="3"/>
  <c r="E963" i="3"/>
  <c r="D963" i="3"/>
  <c r="C963" i="3"/>
  <c r="B963" i="3"/>
  <c r="A963" i="3"/>
  <c r="O962" i="3"/>
  <c r="N962" i="3"/>
  <c r="M962" i="3"/>
  <c r="L962" i="3"/>
  <c r="K962" i="3"/>
  <c r="J962" i="3"/>
  <c r="I962" i="3"/>
  <c r="H962" i="3"/>
  <c r="G962" i="3"/>
  <c r="F962" i="3"/>
  <c r="E962" i="3"/>
  <c r="D962" i="3"/>
  <c r="C962" i="3"/>
  <c r="B962" i="3"/>
  <c r="A962" i="3"/>
  <c r="O961" i="3"/>
  <c r="N961" i="3"/>
  <c r="M961" i="3"/>
  <c r="L961" i="3"/>
  <c r="K961" i="3"/>
  <c r="J961" i="3"/>
  <c r="I961" i="3"/>
  <c r="H961" i="3"/>
  <c r="G961" i="3"/>
  <c r="F961" i="3"/>
  <c r="E961" i="3"/>
  <c r="D961" i="3"/>
  <c r="C961" i="3"/>
  <c r="B961" i="3"/>
  <c r="A961" i="3"/>
  <c r="O960" i="3"/>
  <c r="N960" i="3"/>
  <c r="M960" i="3"/>
  <c r="L960" i="3"/>
  <c r="K960" i="3"/>
  <c r="J960" i="3"/>
  <c r="I960" i="3"/>
  <c r="H960" i="3"/>
  <c r="G960" i="3"/>
  <c r="F960" i="3"/>
  <c r="E960" i="3"/>
  <c r="D960" i="3"/>
  <c r="C960" i="3"/>
  <c r="B960" i="3"/>
  <c r="A960" i="3"/>
  <c r="O959" i="3"/>
  <c r="N959" i="3"/>
  <c r="M959" i="3"/>
  <c r="L959" i="3"/>
  <c r="K959" i="3"/>
  <c r="J959" i="3"/>
  <c r="I959" i="3"/>
  <c r="H959" i="3"/>
  <c r="G959" i="3"/>
  <c r="F959" i="3"/>
  <c r="E959" i="3"/>
  <c r="D959" i="3"/>
  <c r="C959" i="3"/>
  <c r="B959" i="3"/>
  <c r="A959" i="3"/>
  <c r="O958" i="3"/>
  <c r="N958" i="3"/>
  <c r="M958" i="3"/>
  <c r="L958" i="3"/>
  <c r="K958" i="3"/>
  <c r="J958" i="3"/>
  <c r="I958" i="3"/>
  <c r="H958" i="3"/>
  <c r="G958" i="3"/>
  <c r="F958" i="3"/>
  <c r="E958" i="3"/>
  <c r="D958" i="3"/>
  <c r="C958" i="3"/>
  <c r="B958" i="3"/>
  <c r="A958" i="3"/>
  <c r="O957" i="3"/>
  <c r="N957" i="3"/>
  <c r="M957" i="3"/>
  <c r="L957" i="3"/>
  <c r="K957" i="3"/>
  <c r="J957" i="3"/>
  <c r="I957" i="3"/>
  <c r="H957" i="3"/>
  <c r="G957" i="3"/>
  <c r="F957" i="3"/>
  <c r="E957" i="3"/>
  <c r="D957" i="3"/>
  <c r="C957" i="3"/>
  <c r="B957" i="3"/>
  <c r="A957" i="3"/>
  <c r="O956" i="3"/>
  <c r="N956" i="3"/>
  <c r="M956" i="3"/>
  <c r="L956" i="3"/>
  <c r="K956" i="3"/>
  <c r="J956" i="3"/>
  <c r="I956" i="3"/>
  <c r="H956" i="3"/>
  <c r="G956" i="3"/>
  <c r="F956" i="3"/>
  <c r="E956" i="3"/>
  <c r="D956" i="3"/>
  <c r="C956" i="3"/>
  <c r="B956" i="3"/>
  <c r="A956" i="3"/>
  <c r="O955" i="3"/>
  <c r="N955" i="3"/>
  <c r="M955" i="3"/>
  <c r="L955" i="3"/>
  <c r="K955" i="3"/>
  <c r="J955" i="3"/>
  <c r="I955" i="3"/>
  <c r="H955" i="3"/>
  <c r="G955" i="3"/>
  <c r="F955" i="3"/>
  <c r="E955" i="3"/>
  <c r="D955" i="3"/>
  <c r="C955" i="3"/>
  <c r="B955" i="3"/>
  <c r="A955" i="3"/>
  <c r="O954" i="3"/>
  <c r="N954" i="3"/>
  <c r="M954" i="3"/>
  <c r="L954" i="3"/>
  <c r="K954" i="3"/>
  <c r="J954" i="3"/>
  <c r="I954" i="3"/>
  <c r="H954" i="3"/>
  <c r="G954" i="3"/>
  <c r="F954" i="3"/>
  <c r="E954" i="3"/>
  <c r="D954" i="3"/>
  <c r="C954" i="3"/>
  <c r="B954" i="3"/>
  <c r="A954" i="3"/>
  <c r="O953" i="3"/>
  <c r="N953" i="3"/>
  <c r="M953" i="3"/>
  <c r="L953" i="3"/>
  <c r="K953" i="3"/>
  <c r="J953" i="3"/>
  <c r="I953" i="3"/>
  <c r="H953" i="3"/>
  <c r="G953" i="3"/>
  <c r="F953" i="3"/>
  <c r="E953" i="3"/>
  <c r="D953" i="3"/>
  <c r="C953" i="3"/>
  <c r="B953" i="3"/>
  <c r="A953" i="3"/>
  <c r="O952" i="3"/>
  <c r="N952" i="3"/>
  <c r="M952" i="3"/>
  <c r="L952" i="3"/>
  <c r="K952" i="3"/>
  <c r="J952" i="3"/>
  <c r="I952" i="3"/>
  <c r="H952" i="3"/>
  <c r="G952" i="3"/>
  <c r="F952" i="3"/>
  <c r="E952" i="3"/>
  <c r="D952" i="3"/>
  <c r="C952" i="3"/>
  <c r="B952" i="3"/>
  <c r="A952" i="3"/>
  <c r="O951" i="3"/>
  <c r="N951" i="3"/>
  <c r="M951" i="3"/>
  <c r="L951" i="3"/>
  <c r="K951" i="3"/>
  <c r="J951" i="3"/>
  <c r="I951" i="3"/>
  <c r="H951" i="3"/>
  <c r="G951" i="3"/>
  <c r="F951" i="3"/>
  <c r="E951" i="3"/>
  <c r="D951" i="3"/>
  <c r="C951" i="3"/>
  <c r="B951" i="3"/>
  <c r="A951" i="3"/>
  <c r="O950" i="3"/>
  <c r="N950" i="3"/>
  <c r="M950" i="3"/>
  <c r="L950" i="3"/>
  <c r="K950" i="3"/>
  <c r="J950" i="3"/>
  <c r="I950" i="3"/>
  <c r="H950" i="3"/>
  <c r="G950" i="3"/>
  <c r="F950" i="3"/>
  <c r="E950" i="3"/>
  <c r="D950" i="3"/>
  <c r="C950" i="3"/>
  <c r="B950" i="3"/>
  <c r="A950" i="3"/>
  <c r="O949" i="3"/>
  <c r="N949" i="3"/>
  <c r="M949" i="3"/>
  <c r="L949" i="3"/>
  <c r="K949" i="3"/>
  <c r="J949" i="3"/>
  <c r="I949" i="3"/>
  <c r="H949" i="3"/>
  <c r="G949" i="3"/>
  <c r="F949" i="3"/>
  <c r="E949" i="3"/>
  <c r="D949" i="3"/>
  <c r="C949" i="3"/>
  <c r="B949" i="3"/>
  <c r="A949" i="3"/>
  <c r="O948" i="3"/>
  <c r="N948" i="3"/>
  <c r="M948" i="3"/>
  <c r="L948" i="3"/>
  <c r="K948" i="3"/>
  <c r="J948" i="3"/>
  <c r="I948" i="3"/>
  <c r="H948" i="3"/>
  <c r="G948" i="3"/>
  <c r="F948" i="3"/>
  <c r="E948" i="3"/>
  <c r="D948" i="3"/>
  <c r="C948" i="3"/>
  <c r="B948" i="3"/>
  <c r="A948" i="3"/>
  <c r="O947" i="3"/>
  <c r="N947" i="3"/>
  <c r="M947" i="3"/>
  <c r="L947" i="3"/>
  <c r="K947" i="3"/>
  <c r="J947" i="3"/>
  <c r="I947" i="3"/>
  <c r="H947" i="3"/>
  <c r="G947" i="3"/>
  <c r="F947" i="3"/>
  <c r="E947" i="3"/>
  <c r="D947" i="3"/>
  <c r="C947" i="3"/>
  <c r="B947" i="3"/>
  <c r="A947" i="3"/>
  <c r="O946" i="3"/>
  <c r="N946" i="3"/>
  <c r="M946" i="3"/>
  <c r="L946" i="3"/>
  <c r="K946" i="3"/>
  <c r="J946" i="3"/>
  <c r="I946" i="3"/>
  <c r="H946" i="3"/>
  <c r="G946" i="3"/>
  <c r="F946" i="3"/>
  <c r="E946" i="3"/>
  <c r="D946" i="3"/>
  <c r="C946" i="3"/>
  <c r="B946" i="3"/>
  <c r="A946" i="3"/>
  <c r="O945" i="3"/>
  <c r="N945" i="3"/>
  <c r="M945" i="3"/>
  <c r="L945" i="3"/>
  <c r="K945" i="3"/>
  <c r="J945" i="3"/>
  <c r="I945" i="3"/>
  <c r="H945" i="3"/>
  <c r="G945" i="3"/>
  <c r="F945" i="3"/>
  <c r="E945" i="3"/>
  <c r="D945" i="3"/>
  <c r="C945" i="3"/>
  <c r="B945" i="3"/>
  <c r="A945" i="3"/>
  <c r="O944" i="3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A944" i="3"/>
  <c r="O943" i="3"/>
  <c r="N943" i="3"/>
  <c r="M943" i="3"/>
  <c r="L943" i="3"/>
  <c r="K943" i="3"/>
  <c r="J943" i="3"/>
  <c r="I943" i="3"/>
  <c r="H943" i="3"/>
  <c r="G943" i="3"/>
  <c r="F943" i="3"/>
  <c r="E943" i="3"/>
  <c r="D943" i="3"/>
  <c r="C943" i="3"/>
  <c r="B943" i="3"/>
  <c r="A943" i="3"/>
  <c r="O942" i="3"/>
  <c r="N942" i="3"/>
  <c r="M942" i="3"/>
  <c r="L942" i="3"/>
  <c r="K942" i="3"/>
  <c r="J942" i="3"/>
  <c r="I942" i="3"/>
  <c r="H942" i="3"/>
  <c r="G942" i="3"/>
  <c r="F942" i="3"/>
  <c r="E942" i="3"/>
  <c r="D942" i="3"/>
  <c r="C942" i="3"/>
  <c r="B942" i="3"/>
  <c r="A942" i="3"/>
  <c r="O941" i="3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A941" i="3"/>
  <c r="O940" i="3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A940" i="3"/>
  <c r="O939" i="3"/>
  <c r="N939" i="3"/>
  <c r="M939" i="3"/>
  <c r="L939" i="3"/>
  <c r="K939" i="3"/>
  <c r="J939" i="3"/>
  <c r="I939" i="3"/>
  <c r="H939" i="3"/>
  <c r="G939" i="3"/>
  <c r="F939" i="3"/>
  <c r="E939" i="3"/>
  <c r="D939" i="3"/>
  <c r="C939" i="3"/>
  <c r="B939" i="3"/>
  <c r="A939" i="3"/>
  <c r="O938" i="3"/>
  <c r="N938" i="3"/>
  <c r="M938" i="3"/>
  <c r="L938" i="3"/>
  <c r="K938" i="3"/>
  <c r="J938" i="3"/>
  <c r="I938" i="3"/>
  <c r="H938" i="3"/>
  <c r="G938" i="3"/>
  <c r="F938" i="3"/>
  <c r="E938" i="3"/>
  <c r="D938" i="3"/>
  <c r="C938" i="3"/>
  <c r="B938" i="3"/>
  <c r="A938" i="3"/>
  <c r="O937" i="3"/>
  <c r="N937" i="3"/>
  <c r="M937" i="3"/>
  <c r="L937" i="3"/>
  <c r="K937" i="3"/>
  <c r="J937" i="3"/>
  <c r="I937" i="3"/>
  <c r="H937" i="3"/>
  <c r="G937" i="3"/>
  <c r="F937" i="3"/>
  <c r="E937" i="3"/>
  <c r="D937" i="3"/>
  <c r="C937" i="3"/>
  <c r="B937" i="3"/>
  <c r="A937" i="3"/>
  <c r="O936" i="3"/>
  <c r="N936" i="3"/>
  <c r="M936" i="3"/>
  <c r="L936" i="3"/>
  <c r="K936" i="3"/>
  <c r="J936" i="3"/>
  <c r="I936" i="3"/>
  <c r="H936" i="3"/>
  <c r="G936" i="3"/>
  <c r="F936" i="3"/>
  <c r="E936" i="3"/>
  <c r="D936" i="3"/>
  <c r="C936" i="3"/>
  <c r="B936" i="3"/>
  <c r="A936" i="3"/>
  <c r="O935" i="3"/>
  <c r="N935" i="3"/>
  <c r="M935" i="3"/>
  <c r="L935" i="3"/>
  <c r="K935" i="3"/>
  <c r="J935" i="3"/>
  <c r="I935" i="3"/>
  <c r="H935" i="3"/>
  <c r="G935" i="3"/>
  <c r="F935" i="3"/>
  <c r="E935" i="3"/>
  <c r="D935" i="3"/>
  <c r="C935" i="3"/>
  <c r="B935" i="3"/>
  <c r="A935" i="3"/>
  <c r="O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A934" i="3"/>
  <c r="O933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A933" i="3"/>
  <c r="O932" i="3"/>
  <c r="N932" i="3"/>
  <c r="M932" i="3"/>
  <c r="L932" i="3"/>
  <c r="K932" i="3"/>
  <c r="J932" i="3"/>
  <c r="I932" i="3"/>
  <c r="H932" i="3"/>
  <c r="G932" i="3"/>
  <c r="F932" i="3"/>
  <c r="E932" i="3"/>
  <c r="D932" i="3"/>
  <c r="C932" i="3"/>
  <c r="B932" i="3"/>
  <c r="A932" i="3"/>
  <c r="O931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A931" i="3"/>
  <c r="O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A930" i="3"/>
  <c r="O929" i="3"/>
  <c r="N929" i="3"/>
  <c r="M929" i="3"/>
  <c r="L929" i="3"/>
  <c r="K929" i="3"/>
  <c r="J929" i="3"/>
  <c r="I929" i="3"/>
  <c r="H929" i="3"/>
  <c r="G929" i="3"/>
  <c r="F929" i="3"/>
  <c r="E929" i="3"/>
  <c r="D929" i="3"/>
  <c r="C929" i="3"/>
  <c r="B929" i="3"/>
  <c r="A929" i="3"/>
  <c r="O928" i="3"/>
  <c r="N928" i="3"/>
  <c r="M928" i="3"/>
  <c r="L928" i="3"/>
  <c r="K928" i="3"/>
  <c r="J928" i="3"/>
  <c r="I928" i="3"/>
  <c r="H928" i="3"/>
  <c r="G928" i="3"/>
  <c r="F928" i="3"/>
  <c r="E928" i="3"/>
  <c r="D928" i="3"/>
  <c r="C928" i="3"/>
  <c r="B928" i="3"/>
  <c r="A928" i="3"/>
  <c r="O927" i="3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A927" i="3"/>
  <c r="O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A926" i="3"/>
  <c r="O925" i="3"/>
  <c r="N925" i="3"/>
  <c r="M925" i="3"/>
  <c r="L925" i="3"/>
  <c r="K925" i="3"/>
  <c r="J925" i="3"/>
  <c r="I925" i="3"/>
  <c r="H925" i="3"/>
  <c r="G925" i="3"/>
  <c r="F925" i="3"/>
  <c r="E925" i="3"/>
  <c r="D925" i="3"/>
  <c r="C925" i="3"/>
  <c r="B925" i="3"/>
  <c r="A925" i="3"/>
  <c r="O924" i="3"/>
  <c r="N924" i="3"/>
  <c r="M924" i="3"/>
  <c r="L924" i="3"/>
  <c r="K924" i="3"/>
  <c r="J924" i="3"/>
  <c r="I924" i="3"/>
  <c r="H924" i="3"/>
  <c r="G924" i="3"/>
  <c r="F924" i="3"/>
  <c r="E924" i="3"/>
  <c r="D924" i="3"/>
  <c r="C924" i="3"/>
  <c r="B924" i="3"/>
  <c r="A924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A923" i="3"/>
  <c r="O922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B922" i="3"/>
  <c r="A922" i="3"/>
  <c r="O921" i="3"/>
  <c r="N921" i="3"/>
  <c r="M921" i="3"/>
  <c r="L921" i="3"/>
  <c r="K921" i="3"/>
  <c r="J921" i="3"/>
  <c r="I921" i="3"/>
  <c r="H921" i="3"/>
  <c r="G921" i="3"/>
  <c r="F921" i="3"/>
  <c r="E921" i="3"/>
  <c r="D921" i="3"/>
  <c r="C921" i="3"/>
  <c r="B921" i="3"/>
  <c r="A921" i="3"/>
  <c r="O920" i="3"/>
  <c r="N920" i="3"/>
  <c r="M920" i="3"/>
  <c r="L920" i="3"/>
  <c r="K920" i="3"/>
  <c r="J920" i="3"/>
  <c r="I920" i="3"/>
  <c r="H920" i="3"/>
  <c r="G920" i="3"/>
  <c r="F920" i="3"/>
  <c r="E920" i="3"/>
  <c r="D920" i="3"/>
  <c r="C920" i="3"/>
  <c r="B920" i="3"/>
  <c r="A920" i="3"/>
  <c r="O919" i="3"/>
  <c r="N919" i="3"/>
  <c r="M919" i="3"/>
  <c r="L919" i="3"/>
  <c r="K919" i="3"/>
  <c r="J919" i="3"/>
  <c r="I919" i="3"/>
  <c r="H919" i="3"/>
  <c r="G919" i="3"/>
  <c r="F919" i="3"/>
  <c r="E919" i="3"/>
  <c r="D919" i="3"/>
  <c r="C919" i="3"/>
  <c r="B919" i="3"/>
  <c r="A919" i="3"/>
  <c r="O918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B918" i="3"/>
  <c r="A918" i="3"/>
  <c r="O917" i="3"/>
  <c r="N917" i="3"/>
  <c r="M917" i="3"/>
  <c r="L917" i="3"/>
  <c r="K917" i="3"/>
  <c r="J917" i="3"/>
  <c r="I917" i="3"/>
  <c r="H917" i="3"/>
  <c r="G917" i="3"/>
  <c r="F917" i="3"/>
  <c r="E917" i="3"/>
  <c r="D917" i="3"/>
  <c r="C917" i="3"/>
  <c r="B917" i="3"/>
  <c r="A917" i="3"/>
  <c r="O916" i="3"/>
  <c r="N916" i="3"/>
  <c r="M916" i="3"/>
  <c r="L916" i="3"/>
  <c r="K916" i="3"/>
  <c r="J916" i="3"/>
  <c r="I916" i="3"/>
  <c r="H916" i="3"/>
  <c r="G916" i="3"/>
  <c r="F916" i="3"/>
  <c r="E916" i="3"/>
  <c r="D916" i="3"/>
  <c r="C916" i="3"/>
  <c r="B916" i="3"/>
  <c r="A916" i="3"/>
  <c r="O915" i="3"/>
  <c r="N915" i="3"/>
  <c r="M915" i="3"/>
  <c r="L915" i="3"/>
  <c r="K915" i="3"/>
  <c r="J915" i="3"/>
  <c r="I915" i="3"/>
  <c r="H915" i="3"/>
  <c r="G915" i="3"/>
  <c r="F915" i="3"/>
  <c r="E915" i="3"/>
  <c r="D915" i="3"/>
  <c r="C915" i="3"/>
  <c r="B915" i="3"/>
  <c r="A915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A914" i="3"/>
  <c r="O913" i="3"/>
  <c r="N913" i="3"/>
  <c r="M913" i="3"/>
  <c r="L913" i="3"/>
  <c r="K913" i="3"/>
  <c r="J913" i="3"/>
  <c r="I913" i="3"/>
  <c r="H913" i="3"/>
  <c r="G913" i="3"/>
  <c r="F913" i="3"/>
  <c r="E913" i="3"/>
  <c r="D913" i="3"/>
  <c r="C913" i="3"/>
  <c r="B913" i="3"/>
  <c r="A913" i="3"/>
  <c r="O912" i="3"/>
  <c r="N912" i="3"/>
  <c r="M912" i="3"/>
  <c r="L912" i="3"/>
  <c r="K912" i="3"/>
  <c r="J912" i="3"/>
  <c r="I912" i="3"/>
  <c r="H912" i="3"/>
  <c r="G912" i="3"/>
  <c r="F912" i="3"/>
  <c r="E912" i="3"/>
  <c r="D912" i="3"/>
  <c r="C912" i="3"/>
  <c r="B912" i="3"/>
  <c r="A912" i="3"/>
  <c r="O911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A911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A910" i="3"/>
  <c r="O909" i="3"/>
  <c r="N909" i="3"/>
  <c r="M909" i="3"/>
  <c r="L909" i="3"/>
  <c r="K909" i="3"/>
  <c r="J909" i="3"/>
  <c r="I909" i="3"/>
  <c r="H909" i="3"/>
  <c r="G909" i="3"/>
  <c r="F909" i="3"/>
  <c r="E909" i="3"/>
  <c r="D909" i="3"/>
  <c r="C909" i="3"/>
  <c r="B909" i="3"/>
  <c r="A909" i="3"/>
  <c r="O908" i="3"/>
  <c r="N908" i="3"/>
  <c r="M908" i="3"/>
  <c r="L908" i="3"/>
  <c r="K908" i="3"/>
  <c r="J908" i="3"/>
  <c r="I908" i="3"/>
  <c r="H908" i="3"/>
  <c r="G908" i="3"/>
  <c r="F908" i="3"/>
  <c r="E908" i="3"/>
  <c r="D908" i="3"/>
  <c r="C908" i="3"/>
  <c r="B908" i="3"/>
  <c r="A908" i="3"/>
  <c r="O907" i="3"/>
  <c r="N907" i="3"/>
  <c r="M907" i="3"/>
  <c r="L907" i="3"/>
  <c r="K907" i="3"/>
  <c r="J907" i="3"/>
  <c r="I907" i="3"/>
  <c r="H907" i="3"/>
  <c r="G907" i="3"/>
  <c r="F907" i="3"/>
  <c r="E907" i="3"/>
  <c r="D907" i="3"/>
  <c r="C907" i="3"/>
  <c r="B907" i="3"/>
  <c r="A907" i="3"/>
  <c r="O906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A906" i="3"/>
  <c r="O905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B905" i="3"/>
  <c r="A905" i="3"/>
  <c r="O904" i="3"/>
  <c r="N904" i="3"/>
  <c r="M904" i="3"/>
  <c r="L904" i="3"/>
  <c r="K904" i="3"/>
  <c r="J904" i="3"/>
  <c r="I904" i="3"/>
  <c r="H904" i="3"/>
  <c r="G904" i="3"/>
  <c r="F904" i="3"/>
  <c r="E904" i="3"/>
  <c r="D904" i="3"/>
  <c r="C904" i="3"/>
  <c r="B904" i="3"/>
  <c r="A904" i="3"/>
  <c r="O903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B903" i="3"/>
  <c r="A903" i="3"/>
  <c r="O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B902" i="3"/>
  <c r="A902" i="3"/>
  <c r="O901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B901" i="3"/>
  <c r="A901" i="3"/>
  <c r="O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B900" i="3"/>
  <c r="A900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B899" i="3"/>
  <c r="A899" i="3"/>
  <c r="O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A898" i="3"/>
  <c r="O897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B897" i="3"/>
  <c r="A897" i="3"/>
  <c r="O896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B896" i="3"/>
  <c r="A896" i="3"/>
  <c r="O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B895" i="3"/>
  <c r="A895" i="3"/>
  <c r="O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A894" i="3"/>
  <c r="O893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B893" i="3"/>
  <c r="A893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A892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B891" i="3"/>
  <c r="A891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A890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B889" i="3"/>
  <c r="A889" i="3"/>
  <c r="O888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B888" i="3"/>
  <c r="A888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A887" i="3"/>
  <c r="O886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A886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B885" i="3"/>
  <c r="A885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B884" i="3"/>
  <c r="A884" i="3"/>
  <c r="O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B883" i="3"/>
  <c r="A883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A882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A881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A880" i="3"/>
  <c r="O879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B879" i="3"/>
  <c r="A879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A878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B877" i="3"/>
  <c r="A877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B876" i="3"/>
  <c r="A876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A875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A874" i="3"/>
  <c r="O873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B873" i="3"/>
  <c r="A873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A872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B871" i="3"/>
  <c r="A871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A870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B869" i="3"/>
  <c r="A869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B868" i="3"/>
  <c r="A868" i="3"/>
  <c r="O867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B867" i="3"/>
  <c r="A867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A866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B865" i="3"/>
  <c r="A865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B864" i="3"/>
  <c r="A864" i="3"/>
  <c r="O863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B863" i="3"/>
  <c r="A863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A862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B861" i="3"/>
  <c r="A861" i="3"/>
  <c r="O860" i="3"/>
  <c r="N860" i="3"/>
  <c r="M860" i="3"/>
  <c r="L860" i="3"/>
  <c r="K860" i="3"/>
  <c r="J860" i="3"/>
  <c r="I860" i="3"/>
  <c r="H860" i="3"/>
  <c r="G860" i="3"/>
  <c r="F860" i="3"/>
  <c r="E860" i="3"/>
  <c r="D860" i="3"/>
  <c r="C860" i="3"/>
  <c r="B860" i="3"/>
  <c r="A860" i="3"/>
  <c r="O859" i="3"/>
  <c r="N859" i="3"/>
  <c r="M859" i="3"/>
  <c r="L859" i="3"/>
  <c r="K859" i="3"/>
  <c r="J859" i="3"/>
  <c r="I859" i="3"/>
  <c r="H859" i="3"/>
  <c r="G859" i="3"/>
  <c r="F859" i="3"/>
  <c r="E859" i="3"/>
  <c r="D859" i="3"/>
  <c r="C859" i="3"/>
  <c r="B859" i="3"/>
  <c r="A859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B858" i="3"/>
  <c r="A858" i="3"/>
  <c r="O857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B857" i="3"/>
  <c r="A857" i="3"/>
  <c r="O856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B856" i="3"/>
  <c r="A856" i="3"/>
  <c r="O855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B855" i="3"/>
  <c r="A855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B854" i="3"/>
  <c r="A854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B853" i="3"/>
  <c r="A853" i="3"/>
  <c r="O852" i="3"/>
  <c r="N852" i="3"/>
  <c r="M852" i="3"/>
  <c r="L852" i="3"/>
  <c r="K852" i="3"/>
  <c r="J852" i="3"/>
  <c r="I852" i="3"/>
  <c r="H852" i="3"/>
  <c r="G852" i="3"/>
  <c r="F852" i="3"/>
  <c r="E852" i="3"/>
  <c r="D852" i="3"/>
  <c r="C852" i="3"/>
  <c r="B852" i="3"/>
  <c r="A852" i="3"/>
  <c r="O851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B851" i="3"/>
  <c r="A851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A850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A849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B848" i="3"/>
  <c r="A848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B847" i="3"/>
  <c r="A847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A846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B845" i="3"/>
  <c r="A845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A844" i="3"/>
  <c r="O843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B843" i="3"/>
  <c r="A843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A842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B841" i="3"/>
  <c r="A841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A840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B839" i="3"/>
  <c r="A839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A838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B837" i="3"/>
  <c r="A837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B836" i="3"/>
  <c r="A836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B835" i="3"/>
  <c r="A835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A834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A833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B832" i="3"/>
  <c r="A832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B831" i="3"/>
  <c r="A831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A830" i="3"/>
  <c r="O829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B829" i="3"/>
  <c r="A829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A828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B827" i="3"/>
  <c r="A827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A826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B825" i="3"/>
  <c r="A825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B824" i="3"/>
  <c r="A824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B823" i="3"/>
  <c r="A823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A822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B821" i="3"/>
  <c r="A821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B820" i="3"/>
  <c r="A820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A819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A818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A817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B816" i="3"/>
  <c r="A816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B815" i="3"/>
  <c r="A815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A814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A813" i="3"/>
  <c r="O812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B812" i="3"/>
  <c r="A812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B811" i="3"/>
  <c r="A811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A810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A809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A808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B807" i="3"/>
  <c r="A807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A806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B805" i="3"/>
  <c r="A805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B804" i="3"/>
  <c r="A804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A803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A802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B801" i="3"/>
  <c r="A801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B800" i="3"/>
  <c r="A800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B799" i="3"/>
  <c r="A799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A798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B797" i="3"/>
  <c r="A797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B796" i="3"/>
  <c r="A796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B795" i="3"/>
  <c r="A795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A794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B793" i="3"/>
  <c r="A793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B792" i="3"/>
  <c r="A792" i="3"/>
  <c r="O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B791" i="3"/>
  <c r="A791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B790" i="3"/>
  <c r="A790" i="3"/>
  <c r="O789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B789" i="3"/>
  <c r="A789" i="3"/>
  <c r="O788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B788" i="3"/>
  <c r="A788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B787" i="3"/>
  <c r="A787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A786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A785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B784" i="3"/>
  <c r="A784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B783" i="3"/>
  <c r="A783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A782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B781" i="3"/>
  <c r="A781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B780" i="3"/>
  <c r="A780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A779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A778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B777" i="3"/>
  <c r="A777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B776" i="3"/>
  <c r="A776" i="3"/>
  <c r="O775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B775" i="3"/>
  <c r="A775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B774" i="3"/>
  <c r="A774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B773" i="3"/>
  <c r="A773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B772" i="3"/>
  <c r="A772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B771" i="3"/>
  <c r="A771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A770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B769" i="3"/>
  <c r="A769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B768" i="3"/>
  <c r="A768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B767" i="3"/>
  <c r="A767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A766" i="3"/>
  <c r="O765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B765" i="3"/>
  <c r="A765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B764" i="3"/>
  <c r="A764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B763" i="3"/>
  <c r="A763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A762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A761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B760" i="3"/>
  <c r="A760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B759" i="3"/>
  <c r="A759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A758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B757" i="3"/>
  <c r="A757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B756" i="3"/>
  <c r="A756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B755" i="3"/>
  <c r="A755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A754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B753" i="3"/>
  <c r="A753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B752" i="3"/>
  <c r="A752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B751" i="3"/>
  <c r="A751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B750" i="3"/>
  <c r="A750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B749" i="3"/>
  <c r="A749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B748" i="3"/>
  <c r="A748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B747" i="3"/>
  <c r="A747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A746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B745" i="3"/>
  <c r="A745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B744" i="3"/>
  <c r="A744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B743" i="3"/>
  <c r="A743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A742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B741" i="3"/>
  <c r="A741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A740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B739" i="3"/>
  <c r="A739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A738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B737" i="3"/>
  <c r="A737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B736" i="3"/>
  <c r="A736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B735" i="3"/>
  <c r="A735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A734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A733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A732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B731" i="3"/>
  <c r="A731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A730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B729" i="3"/>
  <c r="A729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A728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B727" i="3"/>
  <c r="A727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A726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B725" i="3"/>
  <c r="A725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A724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B723" i="3"/>
  <c r="A723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A722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B721" i="3"/>
  <c r="A721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A720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B719" i="3"/>
  <c r="A719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A718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B717" i="3"/>
  <c r="A717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A716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B715" i="3"/>
  <c r="A715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A714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A713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A712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B711" i="3"/>
  <c r="A711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A710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B709" i="3"/>
  <c r="A709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A708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B707" i="3"/>
  <c r="A707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A706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B705" i="3"/>
  <c r="A705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A704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B703" i="3"/>
  <c r="A703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A702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B701" i="3"/>
  <c r="A701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A700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B699" i="3"/>
  <c r="A699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A698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B697" i="3"/>
  <c r="A697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A696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B695" i="3"/>
  <c r="A695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B694" i="3"/>
  <c r="A694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B693" i="3"/>
  <c r="A693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A692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B691" i="3"/>
  <c r="A691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A690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B689" i="3"/>
  <c r="A689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A688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B687" i="3"/>
  <c r="A687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B686" i="3"/>
  <c r="A686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B685" i="3"/>
  <c r="A685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A684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B683" i="3"/>
  <c r="A683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B682" i="3"/>
  <c r="A682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B681" i="3"/>
  <c r="A681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A680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B679" i="3"/>
  <c r="A679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B678" i="3"/>
  <c r="A678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B677" i="3"/>
  <c r="A677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A676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B675" i="3"/>
  <c r="A675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A674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A673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A672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B671" i="3"/>
  <c r="A671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B670" i="3"/>
  <c r="A670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B669" i="3"/>
  <c r="A669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B668" i="3"/>
  <c r="A668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B667" i="3"/>
  <c r="A667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B666" i="3"/>
  <c r="A666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B665" i="3"/>
  <c r="A665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A664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B663" i="3"/>
  <c r="A663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B662" i="3"/>
  <c r="A662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B661" i="3"/>
  <c r="A661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A660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B659" i="3"/>
  <c r="A659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B658" i="3"/>
  <c r="A658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B657" i="3"/>
  <c r="A657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A656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B655" i="3"/>
  <c r="A655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B654" i="3"/>
  <c r="A654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B653" i="3"/>
  <c r="A653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A652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B651" i="3"/>
  <c r="A651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B650" i="3"/>
  <c r="A650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B649" i="3"/>
  <c r="A649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A648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B647" i="3"/>
  <c r="A647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B646" i="3"/>
  <c r="A646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B645" i="3"/>
  <c r="A645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B644" i="3"/>
  <c r="A644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B643" i="3"/>
  <c r="A643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B642" i="3"/>
  <c r="A642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B641" i="3"/>
  <c r="A641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A640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B639" i="3"/>
  <c r="A639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B638" i="3"/>
  <c r="A638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B637" i="3"/>
  <c r="A637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B636" i="3"/>
  <c r="A636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B635" i="3"/>
  <c r="A635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B634" i="3"/>
  <c r="A634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B633" i="3"/>
  <c r="A633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A632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B631" i="3"/>
  <c r="A631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B630" i="3"/>
  <c r="A630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B629" i="3"/>
  <c r="A629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B628" i="3"/>
  <c r="A628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B627" i="3"/>
  <c r="A627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B626" i="3"/>
  <c r="A626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B625" i="3"/>
  <c r="A625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A624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B623" i="3"/>
  <c r="A623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B622" i="3"/>
  <c r="A622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B621" i="3"/>
  <c r="A621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A620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B619" i="3"/>
  <c r="A619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B618" i="3"/>
  <c r="A618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A617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A616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B615" i="3"/>
  <c r="A615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B614" i="3"/>
  <c r="A614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B613" i="3"/>
  <c r="A613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B612" i="3"/>
  <c r="A612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B611" i="3"/>
  <c r="A611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B610" i="3"/>
  <c r="A610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B609" i="3"/>
  <c r="A609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B608" i="3"/>
  <c r="A608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B607" i="3"/>
  <c r="A607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A606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B605" i="3"/>
  <c r="A605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B604" i="3"/>
  <c r="A604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B603" i="3"/>
  <c r="A603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B602" i="3"/>
  <c r="A602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A601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A600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A599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A598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A597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A596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A595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B594" i="3"/>
  <c r="A594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A593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A592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A591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A590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A589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A588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A587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A586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A585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A584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A583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A582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A581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A580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A579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A578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A577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A576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B575" i="3"/>
  <c r="A575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A574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B573" i="3"/>
  <c r="A573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A572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A571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A570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A569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A568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A567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A566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A565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A564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A563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A562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A561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A560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A559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A558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A557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A556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A555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A554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A553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A552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A551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A550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A549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A548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A547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A546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A545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A544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A543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A542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A541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A540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A539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A538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A537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A536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A535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A534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A533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A532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A531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A530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A529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A528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A525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A524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A523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A522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A521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A520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A519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A518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A517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A516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A515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A514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513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A512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A511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A510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A508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A507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A506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A505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A504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A503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A502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A501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A500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A499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A498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A497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A496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A495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A494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A493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A492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A491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A490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A489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A488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A486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A485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A484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A483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A481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A480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A479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A478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A477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A476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A475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A474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A473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A472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A471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A470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A469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A468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A467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A466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A465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A464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A463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A461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A460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A459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A458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A457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A456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A455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A453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A452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A451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A449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A448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A447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446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A445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A444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A436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A433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A432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A431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A428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A427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A426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A425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A424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A423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A421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A420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A419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A417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A416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A415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A413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A395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A393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A392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A387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A386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A385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A384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A381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A378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A377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A376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A373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A372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A371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A369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A367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A365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A364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A363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A362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A360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A356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A352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A343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A340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A332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A331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A328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A324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A320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A316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A311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A309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A308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A306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A302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A301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282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275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273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224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223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183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176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175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145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107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95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O64" i="3"/>
  <c r="N64" i="3"/>
  <c r="B64" i="5" s="1"/>
  <c r="M64" i="3"/>
  <c r="E64" i="5" s="1"/>
  <c r="L64" i="3"/>
  <c r="K64" i="3"/>
  <c r="J64" i="3"/>
  <c r="I64" i="3"/>
  <c r="H64" i="3"/>
  <c r="G64" i="3"/>
  <c r="F64" i="3"/>
  <c r="E64" i="3"/>
  <c r="D64" i="3"/>
  <c r="C64" i="3"/>
  <c r="B64" i="3"/>
  <c r="A64" i="3"/>
  <c r="A64" i="5" s="1"/>
  <c r="O63" i="3"/>
  <c r="N63" i="3"/>
  <c r="B63" i="5" s="1"/>
  <c r="M63" i="3"/>
  <c r="E63" i="5" s="1"/>
  <c r="L63" i="3"/>
  <c r="K63" i="3"/>
  <c r="J63" i="3"/>
  <c r="I63" i="3"/>
  <c r="H63" i="3"/>
  <c r="G63" i="3"/>
  <c r="F63" i="3"/>
  <c r="E63" i="3"/>
  <c r="D63" i="3"/>
  <c r="C63" i="3"/>
  <c r="B63" i="3"/>
  <c r="A63" i="3"/>
  <c r="A63" i="5" s="1"/>
  <c r="O62" i="3"/>
  <c r="N62" i="3"/>
  <c r="B62" i="5" s="1"/>
  <c r="M62" i="3"/>
  <c r="E62" i="5" s="1"/>
  <c r="L62" i="3"/>
  <c r="K62" i="3"/>
  <c r="J62" i="3"/>
  <c r="I62" i="3"/>
  <c r="H62" i="3"/>
  <c r="G62" i="3"/>
  <c r="F62" i="3"/>
  <c r="E62" i="3"/>
  <c r="D62" i="3"/>
  <c r="C62" i="3"/>
  <c r="B62" i="3"/>
  <c r="A62" i="3"/>
  <c r="A62" i="5" s="1"/>
  <c r="O61" i="3"/>
  <c r="N61" i="3"/>
  <c r="B61" i="5" s="1"/>
  <c r="M61" i="3"/>
  <c r="E61" i="5" s="1"/>
  <c r="L61" i="3"/>
  <c r="K61" i="3"/>
  <c r="J61" i="3"/>
  <c r="I61" i="3"/>
  <c r="H61" i="3"/>
  <c r="G61" i="3"/>
  <c r="F61" i="3"/>
  <c r="E61" i="3"/>
  <c r="D61" i="3"/>
  <c r="C61" i="3"/>
  <c r="B61" i="3"/>
  <c r="A61" i="3"/>
  <c r="A61" i="5" s="1"/>
  <c r="O60" i="3"/>
  <c r="N60" i="3"/>
  <c r="B60" i="5" s="1"/>
  <c r="M60" i="3"/>
  <c r="E60" i="5" s="1"/>
  <c r="L60" i="3"/>
  <c r="K60" i="3"/>
  <c r="J60" i="3"/>
  <c r="I60" i="3"/>
  <c r="H60" i="3"/>
  <c r="G60" i="3"/>
  <c r="F60" i="3"/>
  <c r="E60" i="3"/>
  <c r="D60" i="3"/>
  <c r="C60" i="3"/>
  <c r="B60" i="3"/>
  <c r="A60" i="3"/>
  <c r="A60" i="5" s="1"/>
  <c r="O59" i="3"/>
  <c r="N59" i="3"/>
  <c r="B59" i="5" s="1"/>
  <c r="M59" i="3"/>
  <c r="E59" i="5" s="1"/>
  <c r="L59" i="3"/>
  <c r="K59" i="3"/>
  <c r="J59" i="3"/>
  <c r="I59" i="3"/>
  <c r="H59" i="3"/>
  <c r="G59" i="3"/>
  <c r="F59" i="3"/>
  <c r="E59" i="3"/>
  <c r="D59" i="3"/>
  <c r="C59" i="3"/>
  <c r="B59" i="3"/>
  <c r="A59" i="3"/>
  <c r="A59" i="5" s="1"/>
  <c r="O58" i="3"/>
  <c r="N58" i="3"/>
  <c r="B58" i="5" s="1"/>
  <c r="M58" i="3"/>
  <c r="E58" i="5" s="1"/>
  <c r="L58" i="3"/>
  <c r="K58" i="3"/>
  <c r="J58" i="3"/>
  <c r="I58" i="3"/>
  <c r="H58" i="3"/>
  <c r="G58" i="3"/>
  <c r="F58" i="3"/>
  <c r="E58" i="3"/>
  <c r="D58" i="3"/>
  <c r="C58" i="3"/>
  <c r="B58" i="3"/>
  <c r="A58" i="3"/>
  <c r="A58" i="5" s="1"/>
  <c r="O57" i="3"/>
  <c r="N57" i="3"/>
  <c r="B57" i="5" s="1"/>
  <c r="M57" i="3"/>
  <c r="E57" i="5" s="1"/>
  <c r="L57" i="3"/>
  <c r="K57" i="3"/>
  <c r="J57" i="3"/>
  <c r="I57" i="3"/>
  <c r="H57" i="3"/>
  <c r="G57" i="3"/>
  <c r="F57" i="3"/>
  <c r="E57" i="3"/>
  <c r="D57" i="3"/>
  <c r="C57" i="3"/>
  <c r="B57" i="3"/>
  <c r="A57" i="3"/>
  <c r="A57" i="5" s="1"/>
  <c r="O56" i="3"/>
  <c r="N56" i="3"/>
  <c r="B56" i="5" s="1"/>
  <c r="M56" i="3"/>
  <c r="E56" i="5" s="1"/>
  <c r="L56" i="3"/>
  <c r="K56" i="3"/>
  <c r="J56" i="3"/>
  <c r="I56" i="3"/>
  <c r="H56" i="3"/>
  <c r="G56" i="3"/>
  <c r="F56" i="3"/>
  <c r="E56" i="3"/>
  <c r="D56" i="3"/>
  <c r="C56" i="3"/>
  <c r="B56" i="3"/>
  <c r="A56" i="3"/>
  <c r="A56" i="5" s="1"/>
  <c r="O55" i="3"/>
  <c r="N55" i="3"/>
  <c r="B55" i="5" s="1"/>
  <c r="M55" i="3"/>
  <c r="E55" i="5" s="1"/>
  <c r="L55" i="3"/>
  <c r="K55" i="3"/>
  <c r="J55" i="3"/>
  <c r="I55" i="3"/>
  <c r="H55" i="3"/>
  <c r="G55" i="3"/>
  <c r="F55" i="3"/>
  <c r="E55" i="3"/>
  <c r="D55" i="3"/>
  <c r="C55" i="3"/>
  <c r="B55" i="3"/>
  <c r="A55" i="3"/>
  <c r="A55" i="5" s="1"/>
  <c r="O54" i="3"/>
  <c r="N54" i="3"/>
  <c r="B54" i="5" s="1"/>
  <c r="M54" i="3"/>
  <c r="E54" i="5" s="1"/>
  <c r="L54" i="3"/>
  <c r="K54" i="3"/>
  <c r="J54" i="3"/>
  <c r="I54" i="3"/>
  <c r="H54" i="3"/>
  <c r="G54" i="3"/>
  <c r="F54" i="3"/>
  <c r="E54" i="3"/>
  <c r="D54" i="3"/>
  <c r="C54" i="3"/>
  <c r="B54" i="3"/>
  <c r="A54" i="3"/>
  <c r="A54" i="5" s="1"/>
  <c r="O53" i="3"/>
  <c r="N53" i="3"/>
  <c r="B53" i="5" s="1"/>
  <c r="M53" i="3"/>
  <c r="E53" i="5" s="1"/>
  <c r="L53" i="3"/>
  <c r="K53" i="3"/>
  <c r="J53" i="3"/>
  <c r="I53" i="3"/>
  <c r="H53" i="3"/>
  <c r="G53" i="3"/>
  <c r="F53" i="3"/>
  <c r="E53" i="3"/>
  <c r="D53" i="3"/>
  <c r="C53" i="3"/>
  <c r="B53" i="3"/>
  <c r="A53" i="3"/>
  <c r="A53" i="5" s="1"/>
  <c r="O52" i="3"/>
  <c r="N52" i="3"/>
  <c r="B52" i="5" s="1"/>
  <c r="M52" i="3"/>
  <c r="E52" i="5" s="1"/>
  <c r="L52" i="3"/>
  <c r="K52" i="3"/>
  <c r="J52" i="3"/>
  <c r="I52" i="3"/>
  <c r="H52" i="3"/>
  <c r="G52" i="3"/>
  <c r="F52" i="3"/>
  <c r="E52" i="3"/>
  <c r="D52" i="3"/>
  <c r="C52" i="3"/>
  <c r="B52" i="3"/>
  <c r="A52" i="3"/>
  <c r="A52" i="5" s="1"/>
  <c r="O51" i="3"/>
  <c r="N51" i="3"/>
  <c r="B51" i="5" s="1"/>
  <c r="M51" i="3"/>
  <c r="E51" i="5" s="1"/>
  <c r="L51" i="3"/>
  <c r="K51" i="3"/>
  <c r="J51" i="3"/>
  <c r="I51" i="3"/>
  <c r="H51" i="3"/>
  <c r="G51" i="3"/>
  <c r="F51" i="3"/>
  <c r="E51" i="3"/>
  <c r="D51" i="3"/>
  <c r="C51" i="3"/>
  <c r="B51" i="3"/>
  <c r="A51" i="3"/>
  <c r="A51" i="5" s="1"/>
  <c r="O50" i="3"/>
  <c r="N50" i="3"/>
  <c r="B50" i="5" s="1"/>
  <c r="M50" i="3"/>
  <c r="E50" i="5" s="1"/>
  <c r="L50" i="3"/>
  <c r="K50" i="3"/>
  <c r="J50" i="3"/>
  <c r="I50" i="3"/>
  <c r="H50" i="3"/>
  <c r="G50" i="3"/>
  <c r="F50" i="3"/>
  <c r="E50" i="3"/>
  <c r="D50" i="3"/>
  <c r="C50" i="3"/>
  <c r="B50" i="3"/>
  <c r="A50" i="3"/>
  <c r="A50" i="5" s="1"/>
  <c r="O49" i="3"/>
  <c r="N49" i="3"/>
  <c r="B49" i="5" s="1"/>
  <c r="M49" i="3"/>
  <c r="E49" i="5" s="1"/>
  <c r="L49" i="3"/>
  <c r="K49" i="3"/>
  <c r="J49" i="3"/>
  <c r="I49" i="3"/>
  <c r="H49" i="3"/>
  <c r="G49" i="3"/>
  <c r="F49" i="3"/>
  <c r="E49" i="3"/>
  <c r="D49" i="3"/>
  <c r="C49" i="3"/>
  <c r="B49" i="3"/>
  <c r="A49" i="3"/>
  <c r="A49" i="5" s="1"/>
  <c r="O48" i="3"/>
  <c r="N48" i="3"/>
  <c r="B48" i="5" s="1"/>
  <c r="M48" i="3"/>
  <c r="E48" i="5" s="1"/>
  <c r="L48" i="3"/>
  <c r="K48" i="3"/>
  <c r="J48" i="3"/>
  <c r="I48" i="3"/>
  <c r="H48" i="3"/>
  <c r="G48" i="3"/>
  <c r="F48" i="3"/>
  <c r="E48" i="3"/>
  <c r="D48" i="3"/>
  <c r="C48" i="3"/>
  <c r="B48" i="3"/>
  <c r="A48" i="3"/>
  <c r="A48" i="5" s="1"/>
  <c r="O47" i="3"/>
  <c r="N47" i="3"/>
  <c r="B47" i="5" s="1"/>
  <c r="M47" i="3"/>
  <c r="E47" i="5" s="1"/>
  <c r="L47" i="3"/>
  <c r="K47" i="3"/>
  <c r="J47" i="3"/>
  <c r="I47" i="3"/>
  <c r="H47" i="3"/>
  <c r="G47" i="3"/>
  <c r="F47" i="3"/>
  <c r="E47" i="3"/>
  <c r="D47" i="3"/>
  <c r="C47" i="3"/>
  <c r="B47" i="3"/>
  <c r="A47" i="3"/>
  <c r="A47" i="5" s="1"/>
  <c r="O46" i="3"/>
  <c r="N46" i="3"/>
  <c r="B46" i="5" s="1"/>
  <c r="M46" i="3"/>
  <c r="E46" i="5" s="1"/>
  <c r="L46" i="3"/>
  <c r="K46" i="3"/>
  <c r="J46" i="3"/>
  <c r="I46" i="3"/>
  <c r="H46" i="3"/>
  <c r="G46" i="3"/>
  <c r="F46" i="3"/>
  <c r="E46" i="3"/>
  <c r="D46" i="3"/>
  <c r="C46" i="3"/>
  <c r="B46" i="3"/>
  <c r="A46" i="3"/>
  <c r="A46" i="5" s="1"/>
  <c r="O45" i="3"/>
  <c r="N45" i="3"/>
  <c r="B45" i="5" s="1"/>
  <c r="M45" i="3"/>
  <c r="E45" i="5" s="1"/>
  <c r="L45" i="3"/>
  <c r="K45" i="3"/>
  <c r="J45" i="3"/>
  <c r="I45" i="3"/>
  <c r="H45" i="3"/>
  <c r="G45" i="3"/>
  <c r="F45" i="3"/>
  <c r="E45" i="3"/>
  <c r="D45" i="3"/>
  <c r="C45" i="3"/>
  <c r="B45" i="3"/>
  <c r="A45" i="3"/>
  <c r="A45" i="5" s="1"/>
  <c r="O44" i="3"/>
  <c r="N44" i="3"/>
  <c r="B44" i="5" s="1"/>
  <c r="M44" i="3"/>
  <c r="E44" i="5" s="1"/>
  <c r="L44" i="3"/>
  <c r="K44" i="3"/>
  <c r="J44" i="3"/>
  <c r="I44" i="3"/>
  <c r="H44" i="3"/>
  <c r="G44" i="3"/>
  <c r="F44" i="3"/>
  <c r="E44" i="3"/>
  <c r="D44" i="3"/>
  <c r="C44" i="3"/>
  <c r="B44" i="3"/>
  <c r="A44" i="3"/>
  <c r="A44" i="5" s="1"/>
  <c r="O43" i="3"/>
  <c r="N43" i="3"/>
  <c r="B43" i="5" s="1"/>
  <c r="M43" i="3"/>
  <c r="E43" i="5" s="1"/>
  <c r="L43" i="3"/>
  <c r="K43" i="3"/>
  <c r="J43" i="3"/>
  <c r="I43" i="3"/>
  <c r="H43" i="3"/>
  <c r="G43" i="3"/>
  <c r="F43" i="3"/>
  <c r="E43" i="3"/>
  <c r="D43" i="3"/>
  <c r="C43" i="3"/>
  <c r="B43" i="3"/>
  <c r="A43" i="3"/>
  <c r="A43" i="5" s="1"/>
  <c r="O42" i="3"/>
  <c r="N42" i="3"/>
  <c r="B42" i="5" s="1"/>
  <c r="M42" i="3"/>
  <c r="E42" i="5" s="1"/>
  <c r="L42" i="3"/>
  <c r="K42" i="3"/>
  <c r="J42" i="3"/>
  <c r="I42" i="3"/>
  <c r="H42" i="3"/>
  <c r="G42" i="3"/>
  <c r="F42" i="3"/>
  <c r="E42" i="3"/>
  <c r="D42" i="3"/>
  <c r="C42" i="3"/>
  <c r="B42" i="3"/>
  <c r="A42" i="3"/>
  <c r="A42" i="5" s="1"/>
  <c r="O41" i="3"/>
  <c r="N41" i="3"/>
  <c r="B41" i="5" s="1"/>
  <c r="M41" i="3"/>
  <c r="E41" i="5" s="1"/>
  <c r="L41" i="3"/>
  <c r="K41" i="3"/>
  <c r="J41" i="3"/>
  <c r="I41" i="3"/>
  <c r="H41" i="3"/>
  <c r="G41" i="3"/>
  <c r="F41" i="3"/>
  <c r="E41" i="3"/>
  <c r="D41" i="3"/>
  <c r="C41" i="3"/>
  <c r="B41" i="3"/>
  <c r="A41" i="3"/>
  <c r="A41" i="5" s="1"/>
  <c r="O40" i="3"/>
  <c r="N40" i="3"/>
  <c r="B40" i="5" s="1"/>
  <c r="M40" i="3"/>
  <c r="E40" i="5" s="1"/>
  <c r="L40" i="3"/>
  <c r="K40" i="3"/>
  <c r="J40" i="3"/>
  <c r="I40" i="3"/>
  <c r="H40" i="3"/>
  <c r="G40" i="3"/>
  <c r="F40" i="3"/>
  <c r="E40" i="3"/>
  <c r="D40" i="3"/>
  <c r="C40" i="3"/>
  <c r="B40" i="3"/>
  <c r="A40" i="3"/>
  <c r="A40" i="5" s="1"/>
  <c r="O39" i="3"/>
  <c r="N39" i="3"/>
  <c r="B39" i="5" s="1"/>
  <c r="M39" i="3"/>
  <c r="E39" i="5" s="1"/>
  <c r="L39" i="3"/>
  <c r="K39" i="3"/>
  <c r="J39" i="3"/>
  <c r="I39" i="3"/>
  <c r="H39" i="3"/>
  <c r="G39" i="3"/>
  <c r="F39" i="3"/>
  <c r="E39" i="3"/>
  <c r="D39" i="3"/>
  <c r="C39" i="3"/>
  <c r="B39" i="3"/>
  <c r="A39" i="3"/>
  <c r="A39" i="5" s="1"/>
  <c r="O38" i="3"/>
  <c r="N38" i="3"/>
  <c r="B38" i="5" s="1"/>
  <c r="M38" i="3"/>
  <c r="E38" i="5" s="1"/>
  <c r="L38" i="3"/>
  <c r="K38" i="3"/>
  <c r="J38" i="3"/>
  <c r="I38" i="3"/>
  <c r="H38" i="3"/>
  <c r="G38" i="3"/>
  <c r="F38" i="3"/>
  <c r="E38" i="3"/>
  <c r="D38" i="3"/>
  <c r="C38" i="3"/>
  <c r="B38" i="3"/>
  <c r="A38" i="3"/>
  <c r="A38" i="5" s="1"/>
  <c r="O37" i="3"/>
  <c r="N37" i="3"/>
  <c r="B37" i="5" s="1"/>
  <c r="M37" i="3"/>
  <c r="E37" i="5" s="1"/>
  <c r="L37" i="3"/>
  <c r="K37" i="3"/>
  <c r="J37" i="3"/>
  <c r="I37" i="3"/>
  <c r="H37" i="3"/>
  <c r="G37" i="3"/>
  <c r="F37" i="3"/>
  <c r="E37" i="3"/>
  <c r="D37" i="3"/>
  <c r="C37" i="3"/>
  <c r="B37" i="3"/>
  <c r="A37" i="3"/>
  <c r="A37" i="5" s="1"/>
  <c r="O36" i="3"/>
  <c r="N36" i="3"/>
  <c r="B36" i="5" s="1"/>
  <c r="M36" i="3"/>
  <c r="E36" i="5" s="1"/>
  <c r="L36" i="3"/>
  <c r="K36" i="3"/>
  <c r="J36" i="3"/>
  <c r="I36" i="3"/>
  <c r="H36" i="3"/>
  <c r="G36" i="3"/>
  <c r="F36" i="3"/>
  <c r="E36" i="3"/>
  <c r="D36" i="3"/>
  <c r="C36" i="3"/>
  <c r="B36" i="3"/>
  <c r="A36" i="3"/>
  <c r="A36" i="5" s="1"/>
  <c r="O35" i="3"/>
  <c r="N35" i="3"/>
  <c r="B35" i="5" s="1"/>
  <c r="M35" i="3"/>
  <c r="E35" i="5" s="1"/>
  <c r="L35" i="3"/>
  <c r="K35" i="3"/>
  <c r="J35" i="3"/>
  <c r="I35" i="3"/>
  <c r="H35" i="3"/>
  <c r="G35" i="3"/>
  <c r="F35" i="3"/>
  <c r="E35" i="3"/>
  <c r="D35" i="3"/>
  <c r="C35" i="3"/>
  <c r="B35" i="3"/>
  <c r="A35" i="3"/>
  <c r="A35" i="5" s="1"/>
  <c r="O34" i="3"/>
  <c r="N34" i="3"/>
  <c r="B34" i="5" s="1"/>
  <c r="M34" i="3"/>
  <c r="E34" i="5" s="1"/>
  <c r="L34" i="3"/>
  <c r="K34" i="3"/>
  <c r="J34" i="3"/>
  <c r="I34" i="3"/>
  <c r="H34" i="3"/>
  <c r="G34" i="3"/>
  <c r="F34" i="3"/>
  <c r="E34" i="3"/>
  <c r="D34" i="3"/>
  <c r="C34" i="3"/>
  <c r="B34" i="3"/>
  <c r="A34" i="3"/>
  <c r="A34" i="5" s="1"/>
  <c r="O33" i="3"/>
  <c r="N33" i="3"/>
  <c r="B33" i="5" s="1"/>
  <c r="M33" i="3"/>
  <c r="E33" i="5" s="1"/>
  <c r="L33" i="3"/>
  <c r="K33" i="3"/>
  <c r="J33" i="3"/>
  <c r="I33" i="3"/>
  <c r="H33" i="3"/>
  <c r="G33" i="3"/>
  <c r="F33" i="3"/>
  <c r="E33" i="3"/>
  <c r="D33" i="3"/>
  <c r="C33" i="3"/>
  <c r="B33" i="3"/>
  <c r="A33" i="3"/>
  <c r="A33" i="5" s="1"/>
  <c r="O32" i="3"/>
  <c r="N32" i="3"/>
  <c r="B32" i="5" s="1"/>
  <c r="M32" i="3"/>
  <c r="E32" i="5" s="1"/>
  <c r="L32" i="3"/>
  <c r="K32" i="3"/>
  <c r="J32" i="3"/>
  <c r="I32" i="3"/>
  <c r="H32" i="3"/>
  <c r="G32" i="3"/>
  <c r="F32" i="3"/>
  <c r="E32" i="3"/>
  <c r="D32" i="3"/>
  <c r="C32" i="3"/>
  <c r="B32" i="3"/>
  <c r="A32" i="3"/>
  <c r="A32" i="5" s="1"/>
  <c r="O31" i="3"/>
  <c r="N31" i="3"/>
  <c r="B31" i="5" s="1"/>
  <c r="M31" i="3"/>
  <c r="E31" i="5" s="1"/>
  <c r="L31" i="3"/>
  <c r="K31" i="3"/>
  <c r="J31" i="3"/>
  <c r="I31" i="3"/>
  <c r="H31" i="3"/>
  <c r="G31" i="3"/>
  <c r="F31" i="3"/>
  <c r="E31" i="3"/>
  <c r="D31" i="3"/>
  <c r="C31" i="3"/>
  <c r="B31" i="3"/>
  <c r="A31" i="3"/>
  <c r="A31" i="5" s="1"/>
  <c r="O30" i="3"/>
  <c r="N30" i="3"/>
  <c r="B30" i="5" s="1"/>
  <c r="M30" i="3"/>
  <c r="E30" i="5" s="1"/>
  <c r="L30" i="3"/>
  <c r="K30" i="3"/>
  <c r="J30" i="3"/>
  <c r="I30" i="3"/>
  <c r="H30" i="3"/>
  <c r="G30" i="3"/>
  <c r="F30" i="3"/>
  <c r="E30" i="3"/>
  <c r="D30" i="3"/>
  <c r="C30" i="3"/>
  <c r="B30" i="3"/>
  <c r="A30" i="3"/>
  <c r="A30" i="5" s="1"/>
  <c r="O29" i="3"/>
  <c r="N29" i="3"/>
  <c r="B29" i="5" s="1"/>
  <c r="M29" i="3"/>
  <c r="E29" i="5" s="1"/>
  <c r="L29" i="3"/>
  <c r="K29" i="3"/>
  <c r="J29" i="3"/>
  <c r="I29" i="3"/>
  <c r="H29" i="3"/>
  <c r="G29" i="3"/>
  <c r="F29" i="3"/>
  <c r="E29" i="3"/>
  <c r="D29" i="3"/>
  <c r="C29" i="3"/>
  <c r="B29" i="3"/>
  <c r="A29" i="3"/>
  <c r="A29" i="5" s="1"/>
  <c r="O28" i="3"/>
  <c r="N28" i="3"/>
  <c r="B28" i="5" s="1"/>
  <c r="M28" i="3"/>
  <c r="E28" i="5" s="1"/>
  <c r="L28" i="3"/>
  <c r="K28" i="3"/>
  <c r="J28" i="3"/>
  <c r="I28" i="3"/>
  <c r="H28" i="3"/>
  <c r="G28" i="3"/>
  <c r="F28" i="3"/>
  <c r="E28" i="3"/>
  <c r="D28" i="3"/>
  <c r="C28" i="3"/>
  <c r="B28" i="3"/>
  <c r="A28" i="3"/>
  <c r="A28" i="5" s="1"/>
  <c r="O27" i="3"/>
  <c r="N27" i="3"/>
  <c r="B27" i="5" s="1"/>
  <c r="M27" i="3"/>
  <c r="E27" i="5" s="1"/>
  <c r="L27" i="3"/>
  <c r="K27" i="3"/>
  <c r="J27" i="3"/>
  <c r="I27" i="3"/>
  <c r="H27" i="3"/>
  <c r="G27" i="3"/>
  <c r="F27" i="3"/>
  <c r="E27" i="3"/>
  <c r="D27" i="3"/>
  <c r="C27" i="3"/>
  <c r="B27" i="3"/>
  <c r="A27" i="3"/>
  <c r="A27" i="5" s="1"/>
  <c r="O26" i="3"/>
  <c r="N26" i="3"/>
  <c r="B26" i="5" s="1"/>
  <c r="M26" i="3"/>
  <c r="E26" i="5" s="1"/>
  <c r="L26" i="3"/>
  <c r="K26" i="3"/>
  <c r="J26" i="3"/>
  <c r="I26" i="3"/>
  <c r="H26" i="3"/>
  <c r="G26" i="3"/>
  <c r="F26" i="3"/>
  <c r="E26" i="3"/>
  <c r="D26" i="3"/>
  <c r="C26" i="3"/>
  <c r="B26" i="3"/>
  <c r="A26" i="3"/>
  <c r="A26" i="5" s="1"/>
  <c r="O25" i="3"/>
  <c r="N25" i="3"/>
  <c r="B25" i="5" s="1"/>
  <c r="M25" i="3"/>
  <c r="E25" i="5" s="1"/>
  <c r="L25" i="3"/>
  <c r="K25" i="3"/>
  <c r="J25" i="3"/>
  <c r="I25" i="3"/>
  <c r="H25" i="3"/>
  <c r="G25" i="3"/>
  <c r="F25" i="3"/>
  <c r="E25" i="3"/>
  <c r="D25" i="3"/>
  <c r="C25" i="3"/>
  <c r="B25" i="3"/>
  <c r="A25" i="3"/>
  <c r="A25" i="5" s="1"/>
  <c r="O24" i="3"/>
  <c r="N24" i="3"/>
  <c r="B24" i="5" s="1"/>
  <c r="M24" i="3"/>
  <c r="E24" i="5" s="1"/>
  <c r="L24" i="3"/>
  <c r="K24" i="3"/>
  <c r="J24" i="3"/>
  <c r="I24" i="3"/>
  <c r="H24" i="3"/>
  <c r="G24" i="3"/>
  <c r="F24" i="3"/>
  <c r="E24" i="3"/>
  <c r="D24" i="3"/>
  <c r="C24" i="3"/>
  <c r="B24" i="3"/>
  <c r="A24" i="3"/>
  <c r="A24" i="5" s="1"/>
  <c r="O23" i="3"/>
  <c r="N23" i="3"/>
  <c r="B23" i="5" s="1"/>
  <c r="M23" i="3"/>
  <c r="E23" i="5" s="1"/>
  <c r="L23" i="3"/>
  <c r="K23" i="3"/>
  <c r="J23" i="3"/>
  <c r="I23" i="3"/>
  <c r="H23" i="3"/>
  <c r="G23" i="3"/>
  <c r="F23" i="3"/>
  <c r="E23" i="3"/>
  <c r="D23" i="3"/>
  <c r="C23" i="3"/>
  <c r="B23" i="3"/>
  <c r="A23" i="3"/>
  <c r="A23" i="5" s="1"/>
  <c r="O22" i="3"/>
  <c r="N22" i="3"/>
  <c r="B22" i="5" s="1"/>
  <c r="M22" i="3"/>
  <c r="E22" i="5" s="1"/>
  <c r="L22" i="3"/>
  <c r="K22" i="3"/>
  <c r="J22" i="3"/>
  <c r="I22" i="3"/>
  <c r="H22" i="3"/>
  <c r="G22" i="3"/>
  <c r="F22" i="3"/>
  <c r="E22" i="3"/>
  <c r="D22" i="3"/>
  <c r="C22" i="3"/>
  <c r="B22" i="3"/>
  <c r="A22" i="3"/>
  <c r="A22" i="5" s="1"/>
  <c r="O21" i="3"/>
  <c r="N21" i="3"/>
  <c r="B21" i="5" s="1"/>
  <c r="M21" i="3"/>
  <c r="E21" i="5" s="1"/>
  <c r="L21" i="3"/>
  <c r="K21" i="3"/>
  <c r="J21" i="3"/>
  <c r="I21" i="3"/>
  <c r="H21" i="3"/>
  <c r="G21" i="3"/>
  <c r="F21" i="3"/>
  <c r="E21" i="3"/>
  <c r="D21" i="3"/>
  <c r="C21" i="3"/>
  <c r="B21" i="3"/>
  <c r="A21" i="3"/>
  <c r="A21" i="5" s="1"/>
  <c r="O20" i="3"/>
  <c r="N20" i="3"/>
  <c r="B20" i="5" s="1"/>
  <c r="M20" i="3"/>
  <c r="E20" i="5" s="1"/>
  <c r="L20" i="3"/>
  <c r="K20" i="3"/>
  <c r="J20" i="3"/>
  <c r="I20" i="3"/>
  <c r="H20" i="3"/>
  <c r="G20" i="3"/>
  <c r="F20" i="3"/>
  <c r="E20" i="3"/>
  <c r="D20" i="3"/>
  <c r="C20" i="3"/>
  <c r="B20" i="3"/>
  <c r="A20" i="3"/>
  <c r="A20" i="5" s="1"/>
  <c r="O19" i="3"/>
  <c r="N19" i="3"/>
  <c r="B19" i="5" s="1"/>
  <c r="M19" i="3"/>
  <c r="E19" i="5" s="1"/>
  <c r="L19" i="3"/>
  <c r="K19" i="3"/>
  <c r="J19" i="3"/>
  <c r="I19" i="3"/>
  <c r="H19" i="3"/>
  <c r="G19" i="3"/>
  <c r="F19" i="3"/>
  <c r="E19" i="3"/>
  <c r="D19" i="3"/>
  <c r="C19" i="3"/>
  <c r="B19" i="3"/>
  <c r="A19" i="3"/>
  <c r="A19" i="5" s="1"/>
  <c r="O18" i="3"/>
  <c r="N18" i="3"/>
  <c r="B18" i="5" s="1"/>
  <c r="M18" i="3"/>
  <c r="E18" i="5" s="1"/>
  <c r="L18" i="3"/>
  <c r="K18" i="3"/>
  <c r="J18" i="3"/>
  <c r="I18" i="3"/>
  <c r="H18" i="3"/>
  <c r="G18" i="3"/>
  <c r="F18" i="3"/>
  <c r="E18" i="3"/>
  <c r="D18" i="3"/>
  <c r="C18" i="3"/>
  <c r="B18" i="3"/>
  <c r="A18" i="3"/>
  <c r="A18" i="5" s="1"/>
  <c r="O17" i="3"/>
  <c r="N17" i="3"/>
  <c r="B17" i="5" s="1"/>
  <c r="M17" i="3"/>
  <c r="E17" i="5" s="1"/>
  <c r="L17" i="3"/>
  <c r="K17" i="3"/>
  <c r="J17" i="3"/>
  <c r="I17" i="3"/>
  <c r="H17" i="3"/>
  <c r="G17" i="3"/>
  <c r="F17" i="3"/>
  <c r="E17" i="3"/>
  <c r="D17" i="3"/>
  <c r="C17" i="3"/>
  <c r="B17" i="3"/>
  <c r="A17" i="3"/>
  <c r="A17" i="5" s="1"/>
  <c r="O16" i="3"/>
  <c r="N16" i="3"/>
  <c r="B16" i="5" s="1"/>
  <c r="M16" i="3"/>
  <c r="E16" i="5" s="1"/>
  <c r="L16" i="3"/>
  <c r="K16" i="3"/>
  <c r="J16" i="3"/>
  <c r="I16" i="3"/>
  <c r="H16" i="3"/>
  <c r="G16" i="3"/>
  <c r="F16" i="3"/>
  <c r="E16" i="3"/>
  <c r="D16" i="3"/>
  <c r="C16" i="3"/>
  <c r="B16" i="3"/>
  <c r="A16" i="3"/>
  <c r="A16" i="5" s="1"/>
  <c r="O15" i="3"/>
  <c r="N15" i="3"/>
  <c r="B15" i="5" s="1"/>
  <c r="M15" i="3"/>
  <c r="E15" i="5" s="1"/>
  <c r="L15" i="3"/>
  <c r="K15" i="3"/>
  <c r="J15" i="3"/>
  <c r="I15" i="3"/>
  <c r="H15" i="3"/>
  <c r="G15" i="3"/>
  <c r="F15" i="3"/>
  <c r="E15" i="3"/>
  <c r="D15" i="3"/>
  <c r="C15" i="3"/>
  <c r="B15" i="3"/>
  <c r="A15" i="3"/>
  <c r="A15" i="5" s="1"/>
  <c r="O14" i="3"/>
  <c r="N14" i="3"/>
  <c r="B14" i="5" s="1"/>
  <c r="M14" i="3"/>
  <c r="E14" i="5" s="1"/>
  <c r="L14" i="3"/>
  <c r="K14" i="3"/>
  <c r="J14" i="3"/>
  <c r="I14" i="3"/>
  <c r="H14" i="3"/>
  <c r="G14" i="3"/>
  <c r="F14" i="3"/>
  <c r="E14" i="3"/>
  <c r="D14" i="3"/>
  <c r="C14" i="3"/>
  <c r="B14" i="3"/>
  <c r="A14" i="3"/>
  <c r="A14" i="5" s="1"/>
  <c r="O13" i="3"/>
  <c r="N13" i="3"/>
  <c r="B13" i="5" s="1"/>
  <c r="M13" i="3"/>
  <c r="E13" i="5" s="1"/>
  <c r="L13" i="3"/>
  <c r="K13" i="3"/>
  <c r="J13" i="3"/>
  <c r="I13" i="3"/>
  <c r="H13" i="3"/>
  <c r="G13" i="3"/>
  <c r="F13" i="3"/>
  <c r="E13" i="3"/>
  <c r="D13" i="3"/>
  <c r="C13" i="3"/>
  <c r="B13" i="3"/>
  <c r="A13" i="3"/>
  <c r="A13" i="5" s="1"/>
  <c r="O12" i="3"/>
  <c r="N12" i="3"/>
  <c r="B12" i="5" s="1"/>
  <c r="M12" i="3"/>
  <c r="E12" i="5" s="1"/>
  <c r="L12" i="3"/>
  <c r="K12" i="3"/>
  <c r="J12" i="3"/>
  <c r="I12" i="3"/>
  <c r="H12" i="3"/>
  <c r="G12" i="3"/>
  <c r="F12" i="3"/>
  <c r="E12" i="3"/>
  <c r="D12" i="3"/>
  <c r="C12" i="3"/>
  <c r="B12" i="3"/>
  <c r="A12" i="3"/>
  <c r="A12" i="5" s="1"/>
  <c r="O11" i="3"/>
  <c r="N11" i="3"/>
  <c r="B11" i="5" s="1"/>
  <c r="M11" i="3"/>
  <c r="E11" i="5" s="1"/>
  <c r="L11" i="3"/>
  <c r="K11" i="3"/>
  <c r="J11" i="3"/>
  <c r="I11" i="3"/>
  <c r="H11" i="3"/>
  <c r="G11" i="3"/>
  <c r="F11" i="3"/>
  <c r="E11" i="3"/>
  <c r="D11" i="3"/>
  <c r="C11" i="3"/>
  <c r="B11" i="3"/>
  <c r="A11" i="3"/>
  <c r="A11" i="5" s="1"/>
  <c r="O10" i="3"/>
  <c r="N10" i="3"/>
  <c r="B10" i="5" s="1"/>
  <c r="M10" i="3"/>
  <c r="E10" i="5" s="1"/>
  <c r="L10" i="3"/>
  <c r="K10" i="3"/>
  <c r="J10" i="3"/>
  <c r="I10" i="3"/>
  <c r="H10" i="3"/>
  <c r="G10" i="3"/>
  <c r="F10" i="3"/>
  <c r="E10" i="3"/>
  <c r="D10" i="3"/>
  <c r="C10" i="3"/>
  <c r="B10" i="3"/>
  <c r="A10" i="3"/>
  <c r="A10" i="5" s="1"/>
  <c r="O9" i="3"/>
  <c r="N9" i="3"/>
  <c r="B9" i="5" s="1"/>
  <c r="M9" i="3"/>
  <c r="E9" i="5" s="1"/>
  <c r="L9" i="3"/>
  <c r="K9" i="3"/>
  <c r="J9" i="3"/>
  <c r="I9" i="3"/>
  <c r="H9" i="3"/>
  <c r="G9" i="3"/>
  <c r="F9" i="3"/>
  <c r="E9" i="3"/>
  <c r="D9" i="3"/>
  <c r="C9" i="3"/>
  <c r="B9" i="3"/>
  <c r="A9" i="3"/>
  <c r="A9" i="5" s="1"/>
  <c r="O8" i="3"/>
  <c r="N8" i="3"/>
  <c r="B8" i="5" s="1"/>
  <c r="M8" i="3"/>
  <c r="E8" i="5" s="1"/>
  <c r="L8" i="3"/>
  <c r="K8" i="3"/>
  <c r="J8" i="3"/>
  <c r="I8" i="3"/>
  <c r="H8" i="3"/>
  <c r="G8" i="3"/>
  <c r="F8" i="3"/>
  <c r="E8" i="3"/>
  <c r="D8" i="3"/>
  <c r="C8" i="3"/>
  <c r="B8" i="3"/>
  <c r="A8" i="3"/>
  <c r="A8" i="5" s="1"/>
  <c r="O7" i="3"/>
  <c r="E5" i="1" s="1"/>
  <c r="N7" i="3"/>
  <c r="B7" i="5" s="1"/>
  <c r="M7" i="3"/>
  <c r="E7" i="5" s="1"/>
  <c r="L7" i="3"/>
  <c r="K7" i="3"/>
  <c r="J7" i="3"/>
  <c r="I7" i="3"/>
  <c r="H7" i="3"/>
  <c r="G7" i="3"/>
  <c r="F7" i="3"/>
  <c r="E7" i="3"/>
  <c r="D7" i="3"/>
  <c r="C7" i="3"/>
  <c r="C8" i="1" s="1"/>
  <c r="B7" i="3"/>
  <c r="A7" i="3"/>
  <c r="A7" i="5" s="1"/>
  <c r="O6" i="3"/>
  <c r="N6" i="3"/>
  <c r="B6" i="5" s="1"/>
  <c r="M6" i="3"/>
  <c r="E6" i="5" s="1"/>
  <c r="L6" i="3"/>
  <c r="K6" i="3"/>
  <c r="J6" i="3"/>
  <c r="I6" i="3"/>
  <c r="H6" i="3"/>
  <c r="G6" i="3"/>
  <c r="F6" i="3"/>
  <c r="E6" i="3"/>
  <c r="D6" i="3"/>
  <c r="C6" i="3"/>
  <c r="B6" i="3"/>
  <c r="A6" i="3"/>
  <c r="A6" i="5" s="1"/>
  <c r="O5" i="3"/>
  <c r="N5" i="3"/>
  <c r="B5" i="5" s="1"/>
  <c r="M5" i="3"/>
  <c r="E5" i="5" s="1"/>
  <c r="L5" i="3"/>
  <c r="K5" i="3"/>
  <c r="J5" i="3"/>
  <c r="I5" i="3"/>
  <c r="H5" i="3"/>
  <c r="G5" i="3"/>
  <c r="F5" i="3"/>
  <c r="C21" i="4" s="1"/>
  <c r="E5" i="3"/>
  <c r="E8" i="1" s="1"/>
  <c r="D5" i="3"/>
  <c r="C5" i="3"/>
  <c r="B11" i="4" s="1"/>
  <c r="B5" i="3"/>
  <c r="A5" i="3"/>
  <c r="A5" i="5" s="1"/>
  <c r="A17" i="1"/>
  <c r="A16" i="1"/>
  <c r="A15" i="1"/>
  <c r="A14" i="1"/>
  <c r="A13" i="1"/>
  <c r="A12" i="1"/>
  <c r="G8" i="1"/>
  <c r="A8" i="1"/>
  <c r="G5" i="1"/>
  <c r="A5" i="1"/>
  <c r="G9" i="5" l="1"/>
  <c r="F9" i="5"/>
  <c r="D14" i="5"/>
  <c r="C14" i="5"/>
  <c r="C22" i="5"/>
  <c r="D22" i="5"/>
  <c r="C26" i="5"/>
  <c r="D26" i="5"/>
  <c r="F33" i="5"/>
  <c r="G33" i="5"/>
  <c r="F37" i="5"/>
  <c r="G37" i="5"/>
  <c r="C38" i="5"/>
  <c r="D38" i="5"/>
  <c r="C42" i="5"/>
  <c r="D42" i="5"/>
  <c r="C46" i="5"/>
  <c r="D46" i="5"/>
  <c r="F49" i="5"/>
  <c r="G49" i="5"/>
  <c r="F61" i="5"/>
  <c r="G61" i="5"/>
  <c r="B6" i="4"/>
  <c r="E7" i="4"/>
  <c r="C9" i="4"/>
  <c r="B10" i="4"/>
  <c r="B16" i="4"/>
  <c r="C17" i="4"/>
  <c r="E18" i="4"/>
  <c r="B20" i="4"/>
  <c r="G5" i="5"/>
  <c r="F5" i="5"/>
  <c r="D10" i="5"/>
  <c r="C10" i="5"/>
  <c r="C18" i="5"/>
  <c r="D18" i="5"/>
  <c r="F21" i="5"/>
  <c r="G21" i="5"/>
  <c r="F29" i="5"/>
  <c r="G29" i="5"/>
  <c r="C30" i="5"/>
  <c r="D30" i="5"/>
  <c r="C34" i="5"/>
  <c r="D34" i="5"/>
  <c r="F45" i="5"/>
  <c r="G45" i="5"/>
  <c r="C50" i="5"/>
  <c r="D50" i="5"/>
  <c r="F57" i="5"/>
  <c r="G57" i="5"/>
  <c r="C62" i="5"/>
  <c r="D62" i="5"/>
  <c r="C5" i="1"/>
  <c r="B24" i="4"/>
  <c r="E24" i="4"/>
  <c r="E23" i="4"/>
  <c r="E22" i="4"/>
  <c r="C24" i="4"/>
  <c r="C23" i="4"/>
  <c r="C22" i="4"/>
  <c r="D5" i="5"/>
  <c r="C5" i="5"/>
  <c r="G8" i="5"/>
  <c r="F8" i="5"/>
  <c r="D9" i="5"/>
  <c r="C9" i="5"/>
  <c r="G12" i="5"/>
  <c r="F12" i="5"/>
  <c r="D13" i="5"/>
  <c r="C13" i="5"/>
  <c r="G16" i="5"/>
  <c r="F16" i="5"/>
  <c r="C17" i="5"/>
  <c r="D17" i="5"/>
  <c r="G20" i="5"/>
  <c r="F20" i="5"/>
  <c r="D21" i="5"/>
  <c r="C21" i="5"/>
  <c r="G24" i="5"/>
  <c r="F24" i="5"/>
  <c r="D25" i="5"/>
  <c r="C25" i="5"/>
  <c r="F28" i="5"/>
  <c r="G28" i="5"/>
  <c r="D29" i="5"/>
  <c r="C29" i="5"/>
  <c r="G32" i="5"/>
  <c r="F32" i="5"/>
  <c r="C33" i="5"/>
  <c r="D33" i="5"/>
  <c r="G36" i="5"/>
  <c r="F36" i="5"/>
  <c r="D37" i="5"/>
  <c r="C37" i="5"/>
  <c r="G40" i="5"/>
  <c r="F40" i="5"/>
  <c r="D41" i="5"/>
  <c r="C41" i="5"/>
  <c r="F44" i="5"/>
  <c r="G44" i="5"/>
  <c r="D45" i="5"/>
  <c r="C45" i="5"/>
  <c r="G48" i="5"/>
  <c r="F48" i="5"/>
  <c r="C49" i="5"/>
  <c r="D49" i="5"/>
  <c r="G52" i="5"/>
  <c r="F52" i="5"/>
  <c r="D53" i="5"/>
  <c r="C53" i="5"/>
  <c r="G56" i="5"/>
  <c r="F56" i="5"/>
  <c r="D57" i="5"/>
  <c r="C57" i="5"/>
  <c r="F60" i="5"/>
  <c r="G60" i="5"/>
  <c r="D61" i="5"/>
  <c r="C61" i="5"/>
  <c r="G64" i="5"/>
  <c r="F64" i="5"/>
  <c r="C6" i="4"/>
  <c r="B7" i="4"/>
  <c r="E8" i="4"/>
  <c r="C10" i="4"/>
  <c r="B15" i="4"/>
  <c r="C16" i="4"/>
  <c r="E17" i="4"/>
  <c r="B19" i="4"/>
  <c r="C20" i="4"/>
  <c r="E21" i="4"/>
  <c r="D6" i="5"/>
  <c r="C6" i="5"/>
  <c r="G13" i="5"/>
  <c r="F13" i="5"/>
  <c r="F17" i="5"/>
  <c r="G17" i="5"/>
  <c r="F25" i="5"/>
  <c r="G25" i="5"/>
  <c r="F41" i="5"/>
  <c r="G41" i="5"/>
  <c r="F53" i="5"/>
  <c r="G53" i="5"/>
  <c r="C54" i="5"/>
  <c r="D54" i="5"/>
  <c r="C58" i="5"/>
  <c r="D58" i="5"/>
  <c r="E11" i="4"/>
  <c r="F11" i="4" s="1"/>
  <c r="G7" i="5"/>
  <c r="F7" i="5"/>
  <c r="D8" i="5"/>
  <c r="C8" i="5"/>
  <c r="G11" i="5"/>
  <c r="F11" i="5"/>
  <c r="D12" i="5"/>
  <c r="C12" i="5"/>
  <c r="G15" i="5"/>
  <c r="F15" i="5"/>
  <c r="D16" i="5"/>
  <c r="C16" i="5"/>
  <c r="G19" i="5"/>
  <c r="F19" i="5"/>
  <c r="C20" i="5"/>
  <c r="D20" i="5"/>
  <c r="G23" i="5"/>
  <c r="F23" i="5"/>
  <c r="D24" i="5"/>
  <c r="C24" i="5"/>
  <c r="G27" i="5"/>
  <c r="F27" i="5"/>
  <c r="D28" i="5"/>
  <c r="C28" i="5"/>
  <c r="F31" i="5"/>
  <c r="G31" i="5"/>
  <c r="D32" i="5"/>
  <c r="C32" i="5"/>
  <c r="G35" i="5"/>
  <c r="F35" i="5"/>
  <c r="C36" i="5"/>
  <c r="D36" i="5"/>
  <c r="G39" i="5"/>
  <c r="F39" i="5"/>
  <c r="D40" i="5"/>
  <c r="C40" i="5"/>
  <c r="G43" i="5"/>
  <c r="F43" i="5"/>
  <c r="D44" i="5"/>
  <c r="C44" i="5"/>
  <c r="F47" i="5"/>
  <c r="G47" i="5"/>
  <c r="D48" i="5"/>
  <c r="C48" i="5"/>
  <c r="G51" i="5"/>
  <c r="F51" i="5"/>
  <c r="C52" i="5"/>
  <c r="D52" i="5"/>
  <c r="G55" i="5"/>
  <c r="F55" i="5"/>
  <c r="D56" i="5"/>
  <c r="C56" i="5"/>
  <c r="G59" i="5"/>
  <c r="F59" i="5"/>
  <c r="D60" i="5"/>
  <c r="C60" i="5"/>
  <c r="F63" i="5"/>
  <c r="G63" i="5"/>
  <c r="C64" i="5"/>
  <c r="D64" i="5"/>
  <c r="C7" i="4"/>
  <c r="B8" i="4"/>
  <c r="E9" i="4"/>
  <c r="C11" i="4"/>
  <c r="D11" i="4" s="1"/>
  <c r="B17" i="1" s="1"/>
  <c r="C15" i="4"/>
  <c r="E16" i="4"/>
  <c r="B18" i="4"/>
  <c r="C19" i="4"/>
  <c r="E20" i="4"/>
  <c r="B22" i="4"/>
  <c r="D22" i="4" s="1"/>
  <c r="F6" i="5"/>
  <c r="G6" i="5"/>
  <c r="C7" i="5"/>
  <c r="D7" i="5"/>
  <c r="F10" i="5"/>
  <c r="G10" i="5"/>
  <c r="C11" i="5"/>
  <c r="D11" i="5"/>
  <c r="F14" i="5"/>
  <c r="G14" i="5"/>
  <c r="C15" i="5"/>
  <c r="D15" i="5"/>
  <c r="G18" i="5"/>
  <c r="F18" i="5"/>
  <c r="D19" i="5"/>
  <c r="C19" i="5"/>
  <c r="G22" i="5"/>
  <c r="F22" i="5"/>
  <c r="D23" i="5"/>
  <c r="C23" i="5"/>
  <c r="G26" i="5"/>
  <c r="F26" i="5"/>
  <c r="D27" i="5"/>
  <c r="C27" i="5"/>
  <c r="G30" i="5"/>
  <c r="F30" i="5"/>
  <c r="D31" i="5"/>
  <c r="C31" i="5"/>
  <c r="G34" i="5"/>
  <c r="F34" i="5"/>
  <c r="D35" i="5"/>
  <c r="C35" i="5"/>
  <c r="G38" i="5"/>
  <c r="F38" i="5"/>
  <c r="D39" i="5"/>
  <c r="C39" i="5"/>
  <c r="G42" i="5"/>
  <c r="F42" i="5"/>
  <c r="D43" i="5"/>
  <c r="C43" i="5"/>
  <c r="G46" i="5"/>
  <c r="F46" i="5"/>
  <c r="D47" i="5"/>
  <c r="C47" i="5"/>
  <c r="G50" i="5"/>
  <c r="F50" i="5"/>
  <c r="D51" i="5"/>
  <c r="C51" i="5"/>
  <c r="G54" i="5"/>
  <c r="F54" i="5"/>
  <c r="D55" i="5"/>
  <c r="C55" i="5"/>
  <c r="G58" i="5"/>
  <c r="F58" i="5"/>
  <c r="D59" i="5"/>
  <c r="C59" i="5"/>
  <c r="G62" i="5"/>
  <c r="F62" i="5"/>
  <c r="D63" i="5"/>
  <c r="C63" i="5"/>
  <c r="E6" i="4"/>
  <c r="C8" i="4"/>
  <c r="B9" i="4"/>
  <c r="E10" i="4"/>
  <c r="E15" i="4"/>
  <c r="B17" i="4"/>
  <c r="D17" i="4" s="1"/>
  <c r="C18" i="4"/>
  <c r="E19" i="4"/>
  <c r="B21" i="4"/>
  <c r="D21" i="4" s="1"/>
  <c r="B23" i="4"/>
  <c r="D23" i="4" s="1"/>
  <c r="D18" i="4" l="1"/>
  <c r="D7" i="4"/>
  <c r="B13" i="1" s="1"/>
  <c r="F7" i="4"/>
  <c r="D24" i="4"/>
  <c r="D20" i="4"/>
  <c r="D10" i="4"/>
  <c r="B16" i="1" s="1"/>
  <c r="F10" i="4"/>
  <c r="F8" i="4"/>
  <c r="D8" i="4"/>
  <c r="B14" i="1" s="1"/>
  <c r="D15" i="4"/>
  <c r="F9" i="4"/>
  <c r="D9" i="4"/>
  <c r="B15" i="1" s="1"/>
  <c r="D19" i="4"/>
  <c r="D16" i="4"/>
  <c r="D6" i="4"/>
  <c r="B12" i="1" s="1"/>
  <c r="F6" i="4"/>
</calcChain>
</file>

<file path=xl/sharedStrings.xml><?xml version="1.0" encoding="utf-8"?>
<sst xmlns="http://schemas.openxmlformats.org/spreadsheetml/2006/main" count="43204" uniqueCount="13866">
  <si>
    <t>INSURANCE CLAIMS — ANALYSIS DASHBOARD</t>
  </si>
  <si>
    <t>Data: 3,000-claim sample | Tejas Surana | Portfolio piece for Data &amp; Business Analyst role</t>
  </si>
  <si>
    <t>Total Claims Analyzed</t>
  </si>
  <si>
    <t>Total Fraud Claims</t>
  </si>
  <si>
    <t>Overall Fraud Rate</t>
  </si>
  <si>
    <t>Total Claim Amount ($)</t>
  </si>
  <si>
    <t>Avg Claim Amount ($)</t>
  </si>
  <si>
    <t>Highest-Risk Category (Motor)</t>
  </si>
  <si>
    <t>Fraud Claims &gt; $20,000</t>
  </si>
  <si>
    <t>Distinct States Covered</t>
  </si>
  <si>
    <t>Fraud Rate by Insurance Type</t>
  </si>
  <si>
    <t>Insurance Type</t>
  </si>
  <si>
    <t>Fraud Rate %</t>
  </si>
  <si>
    <t>RAW DATA — Insurance Claims (3,000-record sample, unedited source)</t>
  </si>
  <si>
    <t>TRANSACTION_ID</t>
  </si>
  <si>
    <t>CUSTOMER_NAME</t>
  </si>
  <si>
    <t>INSURANCE_TYPE</t>
  </si>
  <si>
    <t>PREMIUM_AMOUNT</t>
  </si>
  <si>
    <t>CLAIM_AMOUNT</t>
  </si>
  <si>
    <t>STATE</t>
  </si>
  <si>
    <t>CLAIM_STATUS</t>
  </si>
  <si>
    <t>INCIDENT_SEVERITY</t>
  </si>
  <si>
    <t>AUTHORITY_CONTACTED</t>
  </si>
  <si>
    <t>INCIDENT_CITY</t>
  </si>
  <si>
    <t>INCIDENT_STATE</t>
  </si>
  <si>
    <t>INCIDENT_HOUR_OF_THE_DAY</t>
  </si>
  <si>
    <t>VENDOR_ID</t>
  </si>
  <si>
    <t>AGENT_ID</t>
  </si>
  <si>
    <t>TXN00000001</t>
  </si>
  <si>
    <t>Christopher Demarest</t>
  </si>
  <si>
    <t>Health</t>
  </si>
  <si>
    <t>AZ</t>
  </si>
  <si>
    <t>A</t>
  </si>
  <si>
    <t>Major Loss</t>
  </si>
  <si>
    <t>Police</t>
  </si>
  <si>
    <t>Savannah</t>
  </si>
  <si>
    <t>GA</t>
  </si>
  <si>
    <t>VNDR00556</t>
  </si>
  <si>
    <t>AGENT00413</t>
  </si>
  <si>
    <t>TXN00000002</t>
  </si>
  <si>
    <t>Ricardo Gatlin</t>
  </si>
  <si>
    <t>Property</t>
  </si>
  <si>
    <t>CO</t>
  </si>
  <si>
    <t>Total Loss</t>
  </si>
  <si>
    <t>Ambulance</t>
  </si>
  <si>
    <t>Montgomery</t>
  </si>
  <si>
    <t>AL</t>
  </si>
  <si>
    <t>VNDR00592</t>
  </si>
  <si>
    <t>AGENT00769</t>
  </si>
  <si>
    <t>TXN00000003</t>
  </si>
  <si>
    <t>Lashawn Engles</t>
  </si>
  <si>
    <t>CA</t>
  </si>
  <si>
    <t>Grand Junction</t>
  </si>
  <si>
    <t>VNDR00031</t>
  </si>
  <si>
    <t>AGENT00883</t>
  </si>
  <si>
    <t>TXN00000004</t>
  </si>
  <si>
    <t>Steven Bassett</t>
  </si>
  <si>
    <t>Minor Loss</t>
  </si>
  <si>
    <t>VNDR00075</t>
  </si>
  <si>
    <t>AGENT00278</t>
  </si>
  <si>
    <t>TXN00000005</t>
  </si>
  <si>
    <t>Jason Rodriguez</t>
  </si>
  <si>
    <t>Travel</t>
  </si>
  <si>
    <t>Nashville</t>
  </si>
  <si>
    <t>TN</t>
  </si>
  <si>
    <t>VNDR00472</t>
  </si>
  <si>
    <t>AGENT00636</t>
  </si>
  <si>
    <t>TXN00000006</t>
  </si>
  <si>
    <t>Terrance Han</t>
  </si>
  <si>
    <t>Life</t>
  </si>
  <si>
    <t>Glendale</t>
  </si>
  <si>
    <t>AGENT00402</t>
  </si>
  <si>
    <t>TXN00000007</t>
  </si>
  <si>
    <t>Dennis Johnson</t>
  </si>
  <si>
    <t>FL</t>
  </si>
  <si>
    <t>Manchester</t>
  </si>
  <si>
    <t>CT</t>
  </si>
  <si>
    <t>VNDR00150</t>
  </si>
  <si>
    <t>AGENT00322</t>
  </si>
  <si>
    <t>TXN00000008</t>
  </si>
  <si>
    <t>Maryalice Martinez</t>
  </si>
  <si>
    <t>Motor</t>
  </si>
  <si>
    <t>Panama City Beach</t>
  </si>
  <si>
    <t>VNDR00326</t>
  </si>
  <si>
    <t>AGENT00152</t>
  </si>
  <si>
    <t>TXN00000009</t>
  </si>
  <si>
    <t>Nicholas Hamilton</t>
  </si>
  <si>
    <t>KY</t>
  </si>
  <si>
    <t>VNDR00437</t>
  </si>
  <si>
    <t>AGENT00450</t>
  </si>
  <si>
    <t>TXN00000010</t>
  </si>
  <si>
    <t>Nicholas Honokaupu</t>
  </si>
  <si>
    <t>San Leandro</t>
  </si>
  <si>
    <t>AGENT00682</t>
  </si>
  <si>
    <t>TXN00000011</t>
  </si>
  <si>
    <t>Janet Watts</t>
  </si>
  <si>
    <t>Crofton</t>
  </si>
  <si>
    <t>MD</t>
  </si>
  <si>
    <t>VNDR00163</t>
  </si>
  <si>
    <t>AGENT01091</t>
  </si>
  <si>
    <t>TXN00000012</t>
  </si>
  <si>
    <t>Patricia Garrett</t>
  </si>
  <si>
    <t>D</t>
  </si>
  <si>
    <t>AGENT00288</t>
  </si>
  <si>
    <t>TXN00000013</t>
  </si>
  <si>
    <t>Lisa Rosario</t>
  </si>
  <si>
    <t>AK</t>
  </si>
  <si>
    <t>Louisville</t>
  </si>
  <si>
    <t>VNDR00191</t>
  </si>
  <si>
    <t>AGENT00015</t>
  </si>
  <si>
    <t>TXN00000014</t>
  </si>
  <si>
    <t>Felicita Stoughton</t>
  </si>
  <si>
    <t>Anchorage</t>
  </si>
  <si>
    <t>AGENT01094</t>
  </si>
  <si>
    <t>TXN00000015</t>
  </si>
  <si>
    <t>David Pennington</t>
  </si>
  <si>
    <t>Mobile</t>
  </si>
  <si>
    <t>AR</t>
  </si>
  <si>
    <t>Arvada</t>
  </si>
  <si>
    <t>VNDR00135</t>
  </si>
  <si>
    <t>AGENT00324</t>
  </si>
  <si>
    <t>TXN00000016</t>
  </si>
  <si>
    <t>William Halcomb</t>
  </si>
  <si>
    <t>DC</t>
  </si>
  <si>
    <t>Fayetteville</t>
  </si>
  <si>
    <t>VNDR00051</t>
  </si>
  <si>
    <t>AGENT00608</t>
  </si>
  <si>
    <t>TXN00000017</t>
  </si>
  <si>
    <t>Michael Kimball</t>
  </si>
  <si>
    <t>Other</t>
  </si>
  <si>
    <t>Washington</t>
  </si>
  <si>
    <t>VNDR00238</t>
  </si>
  <si>
    <t>AGENT00911</t>
  </si>
  <si>
    <t>TXN00000018</t>
  </si>
  <si>
    <t>Mark Huang</t>
  </si>
  <si>
    <t>AGENT00079</t>
  </si>
  <si>
    <t>TXN00000019</t>
  </si>
  <si>
    <t>Marshall Worm</t>
  </si>
  <si>
    <t>Fitchburg</t>
  </si>
  <si>
    <t>MA</t>
  </si>
  <si>
    <t>VNDR00107</t>
  </si>
  <si>
    <t>AGENT00994</t>
  </si>
  <si>
    <t>TXN00000020</t>
  </si>
  <si>
    <t>Mary Carmona</t>
  </si>
  <si>
    <t>AGENT00490</t>
  </si>
  <si>
    <t>TXN00000021</t>
  </si>
  <si>
    <t>Stacey Lopez</t>
  </si>
  <si>
    <t>VT</t>
  </si>
  <si>
    <t>VNDR00215</t>
  </si>
  <si>
    <t>AGENT00446</t>
  </si>
  <si>
    <t>TXN00000022</t>
  </si>
  <si>
    <t>David Goodman</t>
  </si>
  <si>
    <t>AGENT00379</t>
  </si>
  <si>
    <t>TXN00000023</t>
  </si>
  <si>
    <t>Doris Yazzie</t>
  </si>
  <si>
    <t>Woodland</t>
  </si>
  <si>
    <t>VNDR00375</t>
  </si>
  <si>
    <t>AGENT00302</t>
  </si>
  <si>
    <t>TXN00000024</t>
  </si>
  <si>
    <t>Matt Mattis</t>
  </si>
  <si>
    <t>VNDR00585</t>
  </si>
  <si>
    <t>AGENT00266</t>
  </si>
  <si>
    <t>TXN00000025</t>
  </si>
  <si>
    <t>Roberto Trudel</t>
  </si>
  <si>
    <t>Lynn Haven</t>
  </si>
  <si>
    <t>AGENT00947</t>
  </si>
  <si>
    <t>TXN00000026</t>
  </si>
  <si>
    <t>Brian Conley</t>
  </si>
  <si>
    <t>AGENT00070</t>
  </si>
  <si>
    <t>TXN00000027</t>
  </si>
  <si>
    <t>Barbara Clouthier</t>
  </si>
  <si>
    <t>AGENT00739</t>
  </si>
  <si>
    <t>TXN00000028</t>
  </si>
  <si>
    <t>Elbert Felix</t>
  </si>
  <si>
    <t>Quincy</t>
  </si>
  <si>
    <t>VNDR00310</t>
  </si>
  <si>
    <t>AGENT01169</t>
  </si>
  <si>
    <t>TXN00000029</t>
  </si>
  <si>
    <t>Ronald Shaver</t>
  </si>
  <si>
    <t>Pasadena</t>
  </si>
  <si>
    <t>VNDR00339</t>
  </si>
  <si>
    <t>AGENT00431</t>
  </si>
  <si>
    <t>TXN00000030</t>
  </si>
  <si>
    <t>Lauren Loftin</t>
  </si>
  <si>
    <t>VNDR00233</t>
  </si>
  <si>
    <t>AGENT00546</t>
  </si>
  <si>
    <t>TXN00000031</t>
  </si>
  <si>
    <t>Mildred Whitten</t>
  </si>
  <si>
    <t>VNDR00249</t>
  </si>
  <si>
    <t>AGENT00531</t>
  </si>
  <si>
    <t>TXN00000032</t>
  </si>
  <si>
    <t>Alyssa Bowen</t>
  </si>
  <si>
    <t>AGENT01134</t>
  </si>
  <si>
    <t>TXN00000033</t>
  </si>
  <si>
    <t>James Hendrickson</t>
  </si>
  <si>
    <t>AGENT00552</t>
  </si>
  <si>
    <t>TXN00000034</t>
  </si>
  <si>
    <t>Brent Lusk</t>
  </si>
  <si>
    <t>VNDR00045</t>
  </si>
  <si>
    <t>AGENT00623</t>
  </si>
  <si>
    <t>TXN00000035</t>
  </si>
  <si>
    <t>Charles Johnson</t>
  </si>
  <si>
    <t>VNDR00226</t>
  </si>
  <si>
    <t>AGENT00313</t>
  </si>
  <si>
    <t>TXN00000036</t>
  </si>
  <si>
    <t>Gloria Davis</t>
  </si>
  <si>
    <t>AGENT00886</t>
  </si>
  <si>
    <t>TXN00000037</t>
  </si>
  <si>
    <t>Irene Metcalf</t>
  </si>
  <si>
    <t>Panama City</t>
  </si>
  <si>
    <t>AGENT00690</t>
  </si>
  <si>
    <t>TXN00000038</t>
  </si>
  <si>
    <t>Patsy Cantu</t>
  </si>
  <si>
    <t>AGENT00678</t>
  </si>
  <si>
    <t>TXN00000039</t>
  </si>
  <si>
    <t>Louis Yang</t>
  </si>
  <si>
    <t>VNDR00560</t>
  </si>
  <si>
    <t>AGENT00132</t>
  </si>
  <si>
    <t>TXN00000040</t>
  </si>
  <si>
    <t>Albert Wilkie</t>
  </si>
  <si>
    <t>AGENT00284</t>
  </si>
  <si>
    <t>TXN00000041</t>
  </si>
  <si>
    <t>Paula Davis</t>
  </si>
  <si>
    <t>VNDR00018</t>
  </si>
  <si>
    <t>AGENT00312</t>
  </si>
  <si>
    <t>TXN00000042</t>
  </si>
  <si>
    <t>Dorothy James</t>
  </si>
  <si>
    <t>AGENT00622</t>
  </si>
  <si>
    <t>TXN00000043</t>
  </si>
  <si>
    <t>Wayne Landrum</t>
  </si>
  <si>
    <t>Farmington</t>
  </si>
  <si>
    <t>VNDR00086</t>
  </si>
  <si>
    <t>AGENT00896</t>
  </si>
  <si>
    <t>TXN00000044</t>
  </si>
  <si>
    <t>Edward Igtanloc</t>
  </si>
  <si>
    <t>Oklahoma City</t>
  </si>
  <si>
    <t>OK</t>
  </si>
  <si>
    <t>AGENT00744</t>
  </si>
  <si>
    <t>TXN00000045</t>
  </si>
  <si>
    <t>Cheryl Silva</t>
  </si>
  <si>
    <t>AGENT00617</t>
  </si>
  <si>
    <t>TXN00000046</t>
  </si>
  <si>
    <t>Mary Cotton</t>
  </si>
  <si>
    <t>VNDR00071</t>
  </si>
  <si>
    <t>AGENT00969</t>
  </si>
  <si>
    <t>TXN00000047</t>
  </si>
  <si>
    <t>Harold Garcia</t>
  </si>
  <si>
    <t>AGENT00642</t>
  </si>
  <si>
    <t>TXN00000048</t>
  </si>
  <si>
    <t>Tori Mcbride</t>
  </si>
  <si>
    <t>Richmond</t>
  </si>
  <si>
    <t>VNDR00009</t>
  </si>
  <si>
    <t>AGENT00845</t>
  </si>
  <si>
    <t>TXN00000049</t>
  </si>
  <si>
    <t>Bertha Roseman</t>
  </si>
  <si>
    <t>AGENT00580</t>
  </si>
  <si>
    <t>TXN00000050</t>
  </si>
  <si>
    <t>Travis Louis</t>
  </si>
  <si>
    <t>VNDR00488</t>
  </si>
  <si>
    <t>AGENT00697</t>
  </si>
  <si>
    <t>TXN00000051</t>
  </si>
  <si>
    <t>Marion Dollyhigh</t>
  </si>
  <si>
    <t>Greensboro</t>
  </si>
  <si>
    <t>AGENT00780</t>
  </si>
  <si>
    <t>TXN00000052</t>
  </si>
  <si>
    <t>Thomas Lancon</t>
  </si>
  <si>
    <t>VNDR00277</t>
  </si>
  <si>
    <t>AGENT01183</t>
  </si>
  <si>
    <t>TXN00000053</t>
  </si>
  <si>
    <t>Wanda Ellison</t>
  </si>
  <si>
    <t>VNDR00025</t>
  </si>
  <si>
    <t>AGENT00293</t>
  </si>
  <si>
    <t>TXN00000054</t>
  </si>
  <si>
    <t>Donald Meehan</t>
  </si>
  <si>
    <t>VNDR00448</t>
  </si>
  <si>
    <t>AGENT01049</t>
  </si>
  <si>
    <t>TXN00000055</t>
  </si>
  <si>
    <t>Phillip Walker</t>
  </si>
  <si>
    <t>Glen Burnie</t>
  </si>
  <si>
    <t>VNDR00445</t>
  </si>
  <si>
    <t>AGENT00046</t>
  </si>
  <si>
    <t>TXN00000056</t>
  </si>
  <si>
    <t>Claire Carter</t>
  </si>
  <si>
    <t>Waltham</t>
  </si>
  <si>
    <t>VNDR00498</t>
  </si>
  <si>
    <t>AGENT00224</t>
  </si>
  <si>
    <t>TXN00000057</t>
  </si>
  <si>
    <t>Antony Ender</t>
  </si>
  <si>
    <t>Jackson</t>
  </si>
  <si>
    <t>VNDR00358</t>
  </si>
  <si>
    <t>AGENT00410</t>
  </si>
  <si>
    <t>TXN00000058</t>
  </si>
  <si>
    <t>John Tilley</t>
  </si>
  <si>
    <t>VNDR00164</t>
  </si>
  <si>
    <t>AGENT00515</t>
  </si>
  <si>
    <t>TXN00000059</t>
  </si>
  <si>
    <t>John Flores</t>
  </si>
  <si>
    <t>VNDR00083</t>
  </si>
  <si>
    <t>AGENT00824</t>
  </si>
  <si>
    <t>TXN00000060</t>
  </si>
  <si>
    <t>Edward Laderman</t>
  </si>
  <si>
    <t>TXN00000061</t>
  </si>
  <si>
    <t>Margaret Bolen</t>
  </si>
  <si>
    <t>Fairfax</t>
  </si>
  <si>
    <t>VNDR00457</t>
  </si>
  <si>
    <t>AGENT00308</t>
  </si>
  <si>
    <t>TXN00000062</t>
  </si>
  <si>
    <t>Calvin Eichelberger</t>
  </si>
  <si>
    <t>VNDR00383</t>
  </si>
  <si>
    <t>AGENT01028</t>
  </si>
  <si>
    <t>TXN00000063</t>
  </si>
  <si>
    <t>Arthur Mitchell</t>
  </si>
  <si>
    <t>VNDR00010</t>
  </si>
  <si>
    <t>AGENT00111</t>
  </si>
  <si>
    <t>TXN00000064</t>
  </si>
  <si>
    <t>Debra Oliphant</t>
  </si>
  <si>
    <t>Annapolis</t>
  </si>
  <si>
    <t>VNDR00269</t>
  </si>
  <si>
    <t>TXN00000065</t>
  </si>
  <si>
    <t>Mariann Hill</t>
  </si>
  <si>
    <t>Millersville</t>
  </si>
  <si>
    <t>VNDR00314</t>
  </si>
  <si>
    <t>AGENT00018</t>
  </si>
  <si>
    <t>TXN00000066</t>
  </si>
  <si>
    <t>Michael Beltrami</t>
  </si>
  <si>
    <t>AGENT00612</t>
  </si>
  <si>
    <t>TXN00000067</t>
  </si>
  <si>
    <t>Marion Coffey</t>
  </si>
  <si>
    <t>AGENT00141</t>
  </si>
  <si>
    <t>TXN00000068</t>
  </si>
  <si>
    <t>Denise Blake</t>
  </si>
  <si>
    <t>AGENT00572</t>
  </si>
  <si>
    <t>TXN00000069</t>
  </si>
  <si>
    <t>William Martin</t>
  </si>
  <si>
    <t>Oakland</t>
  </si>
  <si>
    <t>VNDR00239</t>
  </si>
  <si>
    <t>AGENT00565</t>
  </si>
  <si>
    <t>TXN00000070</t>
  </si>
  <si>
    <t>Jacqueline Simpson</t>
  </si>
  <si>
    <t>AGENT00603</t>
  </si>
  <si>
    <t>TXN00000071</t>
  </si>
  <si>
    <t>James Thurgood</t>
  </si>
  <si>
    <t>VNDR00033</t>
  </si>
  <si>
    <t>AGENT01107</t>
  </si>
  <si>
    <t>TXN00000072</t>
  </si>
  <si>
    <t>Mathew Sims</t>
  </si>
  <si>
    <t>VNDR00407</t>
  </si>
  <si>
    <t>AGENT00615</t>
  </si>
  <si>
    <t>TXN00000073</t>
  </si>
  <si>
    <t>Jeremy Riccio</t>
  </si>
  <si>
    <t>AGENT00309</t>
  </si>
  <si>
    <t>TXN00000074</t>
  </si>
  <si>
    <t>Susan Petersen</t>
  </si>
  <si>
    <t>VNDR00056</t>
  </si>
  <si>
    <t>AGENT00315</t>
  </si>
  <si>
    <t>TXN00000075</t>
  </si>
  <si>
    <t>Anthony Girard</t>
  </si>
  <si>
    <t>Telluride</t>
  </si>
  <si>
    <t>AGENT00561</t>
  </si>
  <si>
    <t>TXN00000076</t>
  </si>
  <si>
    <t>Eileen Svoboda</t>
  </si>
  <si>
    <t>Wheat Ridge</t>
  </si>
  <si>
    <t>VNDR00521</t>
  </si>
  <si>
    <t>AGENT00935</t>
  </si>
  <si>
    <t>TXN00000077</t>
  </si>
  <si>
    <t>William Zeigler</t>
  </si>
  <si>
    <t>Livermore</t>
  </si>
  <si>
    <t>AGENT00210</t>
  </si>
  <si>
    <t>TXN00000078</t>
  </si>
  <si>
    <t>James Hodges</t>
  </si>
  <si>
    <t>AGENT00283</t>
  </si>
  <si>
    <t>TXN00000079</t>
  </si>
  <si>
    <t>Carlos Montello</t>
  </si>
  <si>
    <t>AGENT00094</t>
  </si>
  <si>
    <t>TXN00000080</t>
  </si>
  <si>
    <t>Gary Enciso</t>
  </si>
  <si>
    <t>AGENT00680</t>
  </si>
  <si>
    <t>TXN00000081</t>
  </si>
  <si>
    <t>Melva Ramirez</t>
  </si>
  <si>
    <t>AGENT00319</t>
  </si>
  <si>
    <t>TXN00000082</t>
  </si>
  <si>
    <t>Richard Lavalle</t>
  </si>
  <si>
    <t>VNDR00287</t>
  </si>
  <si>
    <t>AGENT00630</t>
  </si>
  <si>
    <t>TXN00000083</t>
  </si>
  <si>
    <t>Marion Talley</t>
  </si>
  <si>
    <t>VNDR00466</t>
  </si>
  <si>
    <t>AGENT00559</t>
  </si>
  <si>
    <t>TXN00000084</t>
  </si>
  <si>
    <t>Diane Givens</t>
  </si>
  <si>
    <t>AGENT00771</t>
  </si>
  <si>
    <t>TXN00000085</t>
  </si>
  <si>
    <t>Jimmie Herbert</t>
  </si>
  <si>
    <t>Youngstown</t>
  </si>
  <si>
    <t>VNDR00077</t>
  </si>
  <si>
    <t>AGENT00304</t>
  </si>
  <si>
    <t>TXN00000086</t>
  </si>
  <si>
    <t>James Miles</t>
  </si>
  <si>
    <t>VNDR00541</t>
  </si>
  <si>
    <t>AGENT00167</t>
  </si>
  <si>
    <t>TXN00000087</t>
  </si>
  <si>
    <t>Monica Threlkeld</t>
  </si>
  <si>
    <t>Hesperia</t>
  </si>
  <si>
    <t>VNDR00588</t>
  </si>
  <si>
    <t>AGENT00792</t>
  </si>
  <si>
    <t>TXN00000088</t>
  </si>
  <si>
    <t>Tasha Bolds</t>
  </si>
  <si>
    <t>VNDR00394</t>
  </si>
  <si>
    <t>AGENT00001</t>
  </si>
  <si>
    <t>TXN00000089</t>
  </si>
  <si>
    <t>Joseph Walt</t>
  </si>
  <si>
    <t>Lowell</t>
  </si>
  <si>
    <t>AGENT00955</t>
  </si>
  <si>
    <t>TXN00000090</t>
  </si>
  <si>
    <t>Kate Tito</t>
  </si>
  <si>
    <t>AGENT00428</t>
  </si>
  <si>
    <t>TXN00000091</t>
  </si>
  <si>
    <t>Mary Todd</t>
  </si>
  <si>
    <t>AGENT01136</t>
  </si>
  <si>
    <t>TXN00000092</t>
  </si>
  <si>
    <t>Vivian Kiesel</t>
  </si>
  <si>
    <t>VNDR00532</t>
  </si>
  <si>
    <t>AGENT00573</t>
  </si>
  <si>
    <t>TXN00000093</t>
  </si>
  <si>
    <t>Anthony Carpenter</t>
  </si>
  <si>
    <t>VNDR00251</t>
  </si>
  <si>
    <t>AGENT00474</t>
  </si>
  <si>
    <t>TXN00000094</t>
  </si>
  <si>
    <t>Catherine Wells</t>
  </si>
  <si>
    <t>Moore</t>
  </si>
  <si>
    <t>AGENT00908</t>
  </si>
  <si>
    <t>TXN00000095</t>
  </si>
  <si>
    <t>Mariana Waller</t>
  </si>
  <si>
    <t>Davidsonville</t>
  </si>
  <si>
    <t>VNDR00508</t>
  </si>
  <si>
    <t>AGENT00254</t>
  </si>
  <si>
    <t>TXN00000096</t>
  </si>
  <si>
    <t>Brent Fly</t>
  </si>
  <si>
    <t>AGENT00482</t>
  </si>
  <si>
    <t>TXN00000097</t>
  </si>
  <si>
    <t>Christopher Lee</t>
  </si>
  <si>
    <t>AGENT00397</t>
  </si>
  <si>
    <t>TXN00000098</t>
  </si>
  <si>
    <t>Donna Delosh</t>
  </si>
  <si>
    <t>AGENT00786</t>
  </si>
  <si>
    <t>TXN00000099</t>
  </si>
  <si>
    <t>Alice Murphy</t>
  </si>
  <si>
    <t>VNDR00597</t>
  </si>
  <si>
    <t>AGENT00943</t>
  </si>
  <si>
    <t>TXN00000100</t>
  </si>
  <si>
    <t>Chester Castleberry</t>
  </si>
  <si>
    <t>Cupertino</t>
  </si>
  <si>
    <t>AGENT00011</t>
  </si>
  <si>
    <t>TXN00000101</t>
  </si>
  <si>
    <t>Mary Cloud</t>
  </si>
  <si>
    <t>VNDR00057</t>
  </si>
  <si>
    <t>AGENT00007</t>
  </si>
  <si>
    <t>TXN00000102</t>
  </si>
  <si>
    <t>Bernice Santomauro</t>
  </si>
  <si>
    <t>AGENT00691</t>
  </si>
  <si>
    <t>TXN00000103</t>
  </si>
  <si>
    <t>William Wilson</t>
  </si>
  <si>
    <t>VNDR00344</t>
  </si>
  <si>
    <t>AGENT00198</t>
  </si>
  <si>
    <t>TXN00000104</t>
  </si>
  <si>
    <t>Kara Williams</t>
  </si>
  <si>
    <t>AGENT00869</t>
  </si>
  <si>
    <t>TXN00000105</t>
  </si>
  <si>
    <t>Kenneth Hill</t>
  </si>
  <si>
    <t>Saint Albans City</t>
  </si>
  <si>
    <t>AGENT01177</t>
  </si>
  <si>
    <t>TXN00000106</t>
  </si>
  <si>
    <t>Nathaniel Graham</t>
  </si>
  <si>
    <t>Suisun City</t>
  </si>
  <si>
    <t>AGENT01119</t>
  </si>
  <si>
    <t>TXN00000107</t>
  </si>
  <si>
    <t>Gary Patten</t>
  </si>
  <si>
    <t>Hayward</t>
  </si>
  <si>
    <t>VNDR00474</t>
  </si>
  <si>
    <t>TXN00000108</t>
  </si>
  <si>
    <t>Martin Tommolino</t>
  </si>
  <si>
    <t>VNDR00360</t>
  </si>
  <si>
    <t>AGENT00265</t>
  </si>
  <si>
    <t>TXN00000109</t>
  </si>
  <si>
    <t>Michelle Thomas</t>
  </si>
  <si>
    <t>VNDR00046</t>
  </si>
  <si>
    <t>AGENT01042</t>
  </si>
  <si>
    <t>TXN00000110</t>
  </si>
  <si>
    <t>Fannie Williams</t>
  </si>
  <si>
    <t>AGENT00491</t>
  </si>
  <si>
    <t>TXN00000111</t>
  </si>
  <si>
    <t>Sean Billotte</t>
  </si>
  <si>
    <t>VNDR00170</t>
  </si>
  <si>
    <t>AGENT01181</t>
  </si>
  <si>
    <t>TXN00000112</t>
  </si>
  <si>
    <t>Ida Nam</t>
  </si>
  <si>
    <t>VNDR00423</t>
  </si>
  <si>
    <t>AGENT00028</t>
  </si>
  <si>
    <t>TXN00000113</t>
  </si>
  <si>
    <t>Sarah Toms</t>
  </si>
  <si>
    <t>Midwest City</t>
  </si>
  <si>
    <t>AGENT00383</t>
  </si>
  <si>
    <t>TXN00000114</t>
  </si>
  <si>
    <t>Jorge Anderson</t>
  </si>
  <si>
    <t>AGENT00438</t>
  </si>
  <si>
    <t>TXN00000115</t>
  </si>
  <si>
    <t>Jorge Silva</t>
  </si>
  <si>
    <t>TXN00000116</t>
  </si>
  <si>
    <t>Andrea Silver</t>
  </si>
  <si>
    <t>Colchester</t>
  </si>
  <si>
    <t>AGENT00694</t>
  </si>
  <si>
    <t>TXN00000117</t>
  </si>
  <si>
    <t>Jacinta Suiter</t>
  </si>
  <si>
    <t>VNDR00117</t>
  </si>
  <si>
    <t>AGENT01193</t>
  </si>
  <si>
    <t>TXN00000118</t>
  </si>
  <si>
    <t>Mary Hartman</t>
  </si>
  <si>
    <t>AGENT00353</t>
  </si>
  <si>
    <t>TXN00000119</t>
  </si>
  <si>
    <t>Nan Mottet</t>
  </si>
  <si>
    <t>AGENT00382</t>
  </si>
  <si>
    <t>TXN00000120</t>
  </si>
  <si>
    <t>Vivian Wallace</t>
  </si>
  <si>
    <t>Pooler</t>
  </si>
  <si>
    <t>VNDR00313</t>
  </si>
  <si>
    <t>AGENT00391</t>
  </si>
  <si>
    <t>TXN00000121</t>
  </si>
  <si>
    <t>Jonathan Hurley</t>
  </si>
  <si>
    <t>VNDR00256</t>
  </si>
  <si>
    <t>AGENT00861</t>
  </si>
  <si>
    <t>TXN00000122</t>
  </si>
  <si>
    <t>Victoria Learn</t>
  </si>
  <si>
    <t>Sacramento</t>
  </si>
  <si>
    <t>AGENT00476</t>
  </si>
  <si>
    <t>TXN00000123</t>
  </si>
  <si>
    <t>Michael Macklin</t>
  </si>
  <si>
    <t>AGENT01038</t>
  </si>
  <si>
    <t>TXN00000124</t>
  </si>
  <si>
    <t>Joe Capps</t>
  </si>
  <si>
    <t>VNDR00293</t>
  </si>
  <si>
    <t>AGENT00280</t>
  </si>
  <si>
    <t>TXN00000125</t>
  </si>
  <si>
    <t>Francine Scott</t>
  </si>
  <si>
    <t>Berkeley</t>
  </si>
  <si>
    <t>VNDR00591</t>
  </si>
  <si>
    <t>TXN00000126</t>
  </si>
  <si>
    <t>Brian Morison</t>
  </si>
  <si>
    <t>VNDR00519</t>
  </si>
  <si>
    <t>AGENT01006</t>
  </si>
  <si>
    <t>TXN00000127</t>
  </si>
  <si>
    <t>Steve Painter</t>
  </si>
  <si>
    <t>VNDR00280</t>
  </si>
  <si>
    <t>AGENT01114</t>
  </si>
  <si>
    <t>TXN00000128</t>
  </si>
  <si>
    <t>John Tefft</t>
  </si>
  <si>
    <t>VNDR00183</t>
  </si>
  <si>
    <t>AGENT00050</t>
  </si>
  <si>
    <t>TXN00000129</t>
  </si>
  <si>
    <t>Laura Nelson</t>
  </si>
  <si>
    <t>VNDR00599</t>
  </si>
  <si>
    <t>AGENT00226</t>
  </si>
  <si>
    <t>TXN00000130</t>
  </si>
  <si>
    <t>Daniel Keiss</t>
  </si>
  <si>
    <t>VNDR00517</t>
  </si>
  <si>
    <t>AGENT00460</t>
  </si>
  <si>
    <t>TXN00000131</t>
  </si>
  <si>
    <t>Everett Smudrick</t>
  </si>
  <si>
    <t>AGENT01109</t>
  </si>
  <si>
    <t>TXN00000132</t>
  </si>
  <si>
    <t>Jane Bell</t>
  </si>
  <si>
    <t>AGENT00271</t>
  </si>
  <si>
    <t>TXN00000133</t>
  </si>
  <si>
    <t>Orpha Mcclellan</t>
  </si>
  <si>
    <t>Aspen</t>
  </si>
  <si>
    <t>VNDR00348</t>
  </si>
  <si>
    <t>AGENT01085</t>
  </si>
  <si>
    <t>TXN00000134</t>
  </si>
  <si>
    <t>Ida Holder</t>
  </si>
  <si>
    <t>Montevallo</t>
  </si>
  <si>
    <t>AGENT01013</t>
  </si>
  <si>
    <t>TXN00000135</t>
  </si>
  <si>
    <t>Charles Turman</t>
  </si>
  <si>
    <t>AGENT00879</t>
  </si>
  <si>
    <t>TXN00000136</t>
  </si>
  <si>
    <t>Tony Crawley</t>
  </si>
  <si>
    <t>VNDR00496</t>
  </si>
  <si>
    <t>AGENT00088</t>
  </si>
  <si>
    <t>TXN00000137</t>
  </si>
  <si>
    <t>William Baez</t>
  </si>
  <si>
    <t>Thetford</t>
  </si>
  <si>
    <t>AGENT01100</t>
  </si>
  <si>
    <t>TXN00000138</t>
  </si>
  <si>
    <t>David Toney</t>
  </si>
  <si>
    <t>VNDR00548</t>
  </si>
  <si>
    <t>AGENT00341</t>
  </si>
  <si>
    <t>TXN00000139</t>
  </si>
  <si>
    <t>Sophia Meier</t>
  </si>
  <si>
    <t>TXN00000140</t>
  </si>
  <si>
    <t>Rodney Miller</t>
  </si>
  <si>
    <t>Fall River</t>
  </si>
  <si>
    <t>AGENT00639</t>
  </si>
  <si>
    <t>TXN00000141</t>
  </si>
  <si>
    <t>Gary Frey</t>
  </si>
  <si>
    <t>VNDR00583</t>
  </si>
  <si>
    <t>AGENT00929</t>
  </si>
  <si>
    <t>TXN00000142</t>
  </si>
  <si>
    <t>Julius Cooks</t>
  </si>
  <si>
    <t>VNDR00600</t>
  </si>
  <si>
    <t>TXN00000143</t>
  </si>
  <si>
    <t>Judy Solian</t>
  </si>
  <si>
    <t>AGENT00394</t>
  </si>
  <si>
    <t>TXN00000144</t>
  </si>
  <si>
    <t>Alice Weigel</t>
  </si>
  <si>
    <t>AGENT00976</t>
  </si>
  <si>
    <t>TXN00000145</t>
  </si>
  <si>
    <t>Laverne Gross</t>
  </si>
  <si>
    <t>VNDR00200</t>
  </si>
  <si>
    <t>AGENT00518</t>
  </si>
  <si>
    <t>TXN00000146</t>
  </si>
  <si>
    <t>Albert Dixon</t>
  </si>
  <si>
    <t>Nolensville</t>
  </si>
  <si>
    <t>AGENT01066</t>
  </si>
  <si>
    <t>TXN00000147</t>
  </si>
  <si>
    <t>Jeffrey James</t>
  </si>
  <si>
    <t>VNDR00137</t>
  </si>
  <si>
    <t>AGENT00648</t>
  </si>
  <si>
    <t>TXN00000148</t>
  </si>
  <si>
    <t>Kathlene Mcnamara</t>
  </si>
  <si>
    <t>Northfield</t>
  </si>
  <si>
    <t>VNDR00042</t>
  </si>
  <si>
    <t>AGENT00137</t>
  </si>
  <si>
    <t>TXN00000149</t>
  </si>
  <si>
    <t>Von Wolfe</t>
  </si>
  <si>
    <t>AGENT00092</t>
  </si>
  <si>
    <t>TXN00000150</t>
  </si>
  <si>
    <t>Michael Neff</t>
  </si>
  <si>
    <t>Bethel</t>
  </si>
  <si>
    <t>VNDR00430</t>
  </si>
  <si>
    <t>AGENT00345</t>
  </si>
  <si>
    <t>TXN00000151</t>
  </si>
  <si>
    <t>Tosha Thompson</t>
  </si>
  <si>
    <t>VNDR00412</t>
  </si>
  <si>
    <t>AGENT00168</t>
  </si>
  <si>
    <t>TXN00000152</t>
  </si>
  <si>
    <t>Catherine Sisco</t>
  </si>
  <si>
    <t>Pawlet</t>
  </si>
  <si>
    <t>VNDR00292</t>
  </si>
  <si>
    <t>TXN00000153</t>
  </si>
  <si>
    <t>Amber Cobb</t>
  </si>
  <si>
    <t>VNDR00586</t>
  </si>
  <si>
    <t>AGENT01074</t>
  </si>
  <si>
    <t>TXN00000154</t>
  </si>
  <si>
    <t>Jon Nobles</t>
  </si>
  <si>
    <t>VNDR00404</t>
  </si>
  <si>
    <t>AGENT00235</t>
  </si>
  <si>
    <t>TXN00000155</t>
  </si>
  <si>
    <t>Bill Kwok</t>
  </si>
  <si>
    <t>Arlington</t>
  </si>
  <si>
    <t>VNDR00093</t>
  </si>
  <si>
    <t>AGENT00468</t>
  </si>
  <si>
    <t>TXN00000156</t>
  </si>
  <si>
    <t>Deanna Humiston</t>
  </si>
  <si>
    <t>AGENT00031</t>
  </si>
  <si>
    <t>TXN00000157</t>
  </si>
  <si>
    <t>Lance Kher</t>
  </si>
  <si>
    <t>AGENT00855</t>
  </si>
  <si>
    <t>TXN00000158</t>
  </si>
  <si>
    <t>Linda Thruman</t>
  </si>
  <si>
    <t>AGENT01017</t>
  </si>
  <si>
    <t>TXN00000159</t>
  </si>
  <si>
    <t>Mike Robert</t>
  </si>
  <si>
    <t>Inverness</t>
  </si>
  <si>
    <t>VNDR00094</t>
  </si>
  <si>
    <t>TXN00000160</t>
  </si>
  <si>
    <t>Keith Martel</t>
  </si>
  <si>
    <t>VNDR00397</t>
  </si>
  <si>
    <t>AGENT00889</t>
  </si>
  <si>
    <t>TXN00000161</t>
  </si>
  <si>
    <t>Joe Introini</t>
  </si>
  <si>
    <t>Dracut</t>
  </si>
  <si>
    <t>AGENT00163</t>
  </si>
  <si>
    <t>TXN00000162</t>
  </si>
  <si>
    <t>Calvin Howell</t>
  </si>
  <si>
    <t>Severn</t>
  </si>
  <si>
    <t>AGENT00568</t>
  </si>
  <si>
    <t>TXN00000163</t>
  </si>
  <si>
    <t>Lillian Decker</t>
  </si>
  <si>
    <t>TXN00000164</t>
  </si>
  <si>
    <t>Roxann Waters</t>
  </si>
  <si>
    <t>Pike Road</t>
  </si>
  <si>
    <t>AGENT00194</t>
  </si>
  <si>
    <t>TXN00000165</t>
  </si>
  <si>
    <t>Perry Wright</t>
  </si>
  <si>
    <t>VNDR00482</t>
  </si>
  <si>
    <t>AGENT00696</t>
  </si>
  <si>
    <t>TXN00000166</t>
  </si>
  <si>
    <t>Florence Merritt</t>
  </si>
  <si>
    <t>Palmer</t>
  </si>
  <si>
    <t>VNDR00153</t>
  </si>
  <si>
    <t>AGENT00427</t>
  </si>
  <si>
    <t>TXN00000167</t>
  </si>
  <si>
    <t>Ann Knight</t>
  </si>
  <si>
    <t>TXN00000168</t>
  </si>
  <si>
    <t>Jason Marshall</t>
  </si>
  <si>
    <t>VNDR00456</t>
  </si>
  <si>
    <t>AGENT00437</t>
  </si>
  <si>
    <t>TXN00000169</t>
  </si>
  <si>
    <t>Ronald Porter</t>
  </si>
  <si>
    <t>Saint Matthews</t>
  </si>
  <si>
    <t>AGENT00299</t>
  </si>
  <si>
    <t>TXN00000170</t>
  </si>
  <si>
    <t>Gregory Drees</t>
  </si>
  <si>
    <t>AGENT00038</t>
  </si>
  <si>
    <t>TXN00000171</t>
  </si>
  <si>
    <t>Tony Hunter</t>
  </si>
  <si>
    <t>AGENT00781</t>
  </si>
  <si>
    <t>TXN00000172</t>
  </si>
  <si>
    <t>Edward Ruvalcaba</t>
  </si>
  <si>
    <t>AGENT01020</t>
  </si>
  <si>
    <t>TXN00000173</t>
  </si>
  <si>
    <t>Lloyd Roberts</t>
  </si>
  <si>
    <t>Boulder</t>
  </si>
  <si>
    <t>AGENT00297</t>
  </si>
  <si>
    <t>TXN00000174</t>
  </si>
  <si>
    <t>Warren Frink</t>
  </si>
  <si>
    <t>AGENT00933</t>
  </si>
  <si>
    <t>TXN00000175</t>
  </si>
  <si>
    <t>Robert Lawrence</t>
  </si>
  <si>
    <t>AGENT00646</t>
  </si>
  <si>
    <t>TXN00000176</t>
  </si>
  <si>
    <t>Cheryl Denny</t>
  </si>
  <si>
    <t>VNDR00060</t>
  </si>
  <si>
    <t>AGENT00388</t>
  </si>
  <si>
    <t>TXN00000177</t>
  </si>
  <si>
    <t>Walter Thibodeaux</t>
  </si>
  <si>
    <t>AGENT00905</t>
  </si>
  <si>
    <t>TXN00000178</t>
  </si>
  <si>
    <t>Patricia Benjamin</t>
  </si>
  <si>
    <t>VNDR00076</t>
  </si>
  <si>
    <t>AGENT00730</t>
  </si>
  <si>
    <t>TXN00000179</t>
  </si>
  <si>
    <t>Robert Mcneil</t>
  </si>
  <si>
    <t>VNDR00555</t>
  </si>
  <si>
    <t>AGENT00588</t>
  </si>
  <si>
    <t>TXN00000180</t>
  </si>
  <si>
    <t>James Sicard</t>
  </si>
  <si>
    <t>AGENT00523</t>
  </si>
  <si>
    <t>TXN00000181</t>
  </si>
  <si>
    <t>Elizabeth Rodriguez</t>
  </si>
  <si>
    <t>AGENT01176</t>
  </si>
  <si>
    <t>TXN00000182</t>
  </si>
  <si>
    <t>Mary Lopez</t>
  </si>
  <si>
    <t>VNDR00109</t>
  </si>
  <si>
    <t>AGENT00294</t>
  </si>
  <si>
    <t>TXN00000183</t>
  </si>
  <si>
    <t>Lexie Kirley</t>
  </si>
  <si>
    <t>VNDR00156</t>
  </si>
  <si>
    <t>AGENT01106</t>
  </si>
  <si>
    <t>TXN00000184</t>
  </si>
  <si>
    <t>Robert Gonzalez</t>
  </si>
  <si>
    <t>VNDR00470</t>
  </si>
  <si>
    <t>AGENT00757</t>
  </si>
  <si>
    <t>TXN00000185</t>
  </si>
  <si>
    <t>Mark Jones</t>
  </si>
  <si>
    <t>Scituate</t>
  </si>
  <si>
    <t>VNDR00429</t>
  </si>
  <si>
    <t>AGENT00543</t>
  </si>
  <si>
    <t>TXN00000186</t>
  </si>
  <si>
    <t>Angelo Belcher</t>
  </si>
  <si>
    <t>VNDR00211</t>
  </si>
  <si>
    <t>TXN00000187</t>
  </si>
  <si>
    <t>Jerry Flesher</t>
  </si>
  <si>
    <t>VNDR00019</t>
  </si>
  <si>
    <t>TXN00000188</t>
  </si>
  <si>
    <t>Christine Berryman</t>
  </si>
  <si>
    <t>AGENT01078</t>
  </si>
  <si>
    <t>TXN00000189</t>
  </si>
  <si>
    <t>Benjamin Peterson</t>
  </si>
  <si>
    <t>New Bedford</t>
  </si>
  <si>
    <t>AGENT01097</t>
  </si>
  <si>
    <t>TXN00000190</t>
  </si>
  <si>
    <t>Jeanette Craig</t>
  </si>
  <si>
    <t>VNDR00382</t>
  </si>
  <si>
    <t>AGENT00290</t>
  </si>
  <si>
    <t>TXN00000191</t>
  </si>
  <si>
    <t>Megan Finney</t>
  </si>
  <si>
    <t>VNDR00350</t>
  </si>
  <si>
    <t>AGENT00550</t>
  </si>
  <si>
    <t>TXN00000192</t>
  </si>
  <si>
    <t>Michelle Taylor</t>
  </si>
  <si>
    <t>TXN00000193</t>
  </si>
  <si>
    <t>James Pollitt</t>
  </si>
  <si>
    <t>AGENT00385</t>
  </si>
  <si>
    <t>TXN00000194</t>
  </si>
  <si>
    <t>Raymond Kiffer</t>
  </si>
  <si>
    <t>AGENT00877</t>
  </si>
  <si>
    <t>TXN00000195</t>
  </si>
  <si>
    <t>Roger Lambert</t>
  </si>
  <si>
    <t>VNDR00278</t>
  </si>
  <si>
    <t>AGENT00922</t>
  </si>
  <si>
    <t>TXN00000196</t>
  </si>
  <si>
    <t>Jessica Dawkins</t>
  </si>
  <si>
    <t>San Lorenzo</t>
  </si>
  <si>
    <t>VNDR00275</t>
  </si>
  <si>
    <t>AGENT00176</t>
  </si>
  <si>
    <t>TXN00000197</t>
  </si>
  <si>
    <t>Mary Bentz</t>
  </si>
  <si>
    <t>VNDR00279</t>
  </si>
  <si>
    <t>TXN00000198</t>
  </si>
  <si>
    <t>Susan Ridgeway</t>
  </si>
  <si>
    <t>Springfield</t>
  </si>
  <si>
    <t>AGENT01194</t>
  </si>
  <si>
    <t>TXN00000199</t>
  </si>
  <si>
    <t>James House</t>
  </si>
  <si>
    <t>AGENT00613</t>
  </si>
  <si>
    <t>TXN00000200</t>
  </si>
  <si>
    <t>Mac Offerdahl</t>
  </si>
  <si>
    <t>AGENT00704</t>
  </si>
  <si>
    <t>TXN00000201</t>
  </si>
  <si>
    <t>Brenda Eddins</t>
  </si>
  <si>
    <t>AGENT01072</t>
  </si>
  <si>
    <t>TXN00000202</t>
  </si>
  <si>
    <t>Annie Stumpf</t>
  </si>
  <si>
    <t>VNDR00305</t>
  </si>
  <si>
    <t>AGENT00086</t>
  </si>
  <si>
    <t>TXN00000203</t>
  </si>
  <si>
    <t>Susan Lewis</t>
  </si>
  <si>
    <t>AGENT00296</t>
  </si>
  <si>
    <t>TXN00000204</t>
  </si>
  <si>
    <t>Daniel Conklin</t>
  </si>
  <si>
    <t>Fremont</t>
  </si>
  <si>
    <t>VNDR00594</t>
  </si>
  <si>
    <t>AGENT00837</t>
  </si>
  <si>
    <t>TXN00000205</t>
  </si>
  <si>
    <t>Joseph Dinkel</t>
  </si>
  <si>
    <t>VNDR00540</t>
  </si>
  <si>
    <t>AGENT00788</t>
  </si>
  <si>
    <t>TXN00000206</t>
  </si>
  <si>
    <t>Elizabeth Perry</t>
  </si>
  <si>
    <t>Brookline</t>
  </si>
  <si>
    <t>VNDR00365</t>
  </si>
  <si>
    <t>AGENT01015</t>
  </si>
  <si>
    <t>TXN00000207</t>
  </si>
  <si>
    <t>Gail Mauldin</t>
  </si>
  <si>
    <t>TXN00000208</t>
  </si>
  <si>
    <t>Betty Bowman</t>
  </si>
  <si>
    <t>Mexico Beach</t>
  </si>
  <si>
    <t>VNDR00003</t>
  </si>
  <si>
    <t>AGENT00688</t>
  </si>
  <si>
    <t>TXN00000209</t>
  </si>
  <si>
    <t>Joseph Armstrong</t>
  </si>
  <si>
    <t>AGENT00907</t>
  </si>
  <si>
    <t>TXN00000210</t>
  </si>
  <si>
    <t>Richard Herrera</t>
  </si>
  <si>
    <t>Yucaipa</t>
  </si>
  <si>
    <t>TXN00000211</t>
  </si>
  <si>
    <t>Garry Rushing</t>
  </si>
  <si>
    <t>AGENT00274</t>
  </si>
  <si>
    <t>TXN00000212</t>
  </si>
  <si>
    <t>Eric Hutchinson</t>
  </si>
  <si>
    <t>Peoria</t>
  </si>
  <si>
    <t>AGENT00244</t>
  </si>
  <si>
    <t>TXN00000213</t>
  </si>
  <si>
    <t>Stuart Menist</t>
  </si>
  <si>
    <t>VNDR00461</t>
  </si>
  <si>
    <t>AGENT00227</t>
  </si>
  <si>
    <t>TXN00000214</t>
  </si>
  <si>
    <t>Gloria Knutson</t>
  </si>
  <si>
    <t>AGENT00921</t>
  </si>
  <si>
    <t>TXN00000215</t>
  </si>
  <si>
    <t>Rhonda Diemer</t>
  </si>
  <si>
    <t>AGENT00711</t>
  </si>
  <si>
    <t>TXN00000216</t>
  </si>
  <si>
    <t>Linda Hearn</t>
  </si>
  <si>
    <t>AGENT00426</t>
  </si>
  <si>
    <t>TXN00000217</t>
  </si>
  <si>
    <t>Mae Lowery</t>
  </si>
  <si>
    <t>AGENT00557</t>
  </si>
  <si>
    <t>TXN00000218</t>
  </si>
  <si>
    <t>Chester Barnard</t>
  </si>
  <si>
    <t>Holyoke</t>
  </si>
  <si>
    <t>VNDR00192</t>
  </si>
  <si>
    <t>AGENT00475</t>
  </si>
  <si>
    <t>TXN00000219</t>
  </si>
  <si>
    <t>Chris Hosley</t>
  </si>
  <si>
    <t>VNDR00247</t>
  </si>
  <si>
    <t>TXN00000220</t>
  </si>
  <si>
    <t>John Ho</t>
  </si>
  <si>
    <t>Melrose</t>
  </si>
  <si>
    <t>VNDR00447</t>
  </si>
  <si>
    <t>AGENT00093</t>
  </si>
  <si>
    <t>TXN00000221</t>
  </si>
  <si>
    <t>Peter Jones</t>
  </si>
  <si>
    <t>Randolph</t>
  </si>
  <si>
    <t>VNDR00395</t>
  </si>
  <si>
    <t>AGENT00162</t>
  </si>
  <si>
    <t>TXN00000222</t>
  </si>
  <si>
    <t>Ronald Stcharles</t>
  </si>
  <si>
    <t>VNDR00417</t>
  </si>
  <si>
    <t>TXN00000223</t>
  </si>
  <si>
    <t>Buddy Hinkle</t>
  </si>
  <si>
    <t>Crownsville</t>
  </si>
  <si>
    <t>AGENT00601</t>
  </si>
  <si>
    <t>TXN00000224</t>
  </si>
  <si>
    <t>Celestine Woods</t>
  </si>
  <si>
    <t>AGENT00709</t>
  </si>
  <si>
    <t>TXN00000225</t>
  </si>
  <si>
    <t>Jennifer Zimmerman</t>
  </si>
  <si>
    <t>AGENT00917</t>
  </si>
  <si>
    <t>TXN00000226</t>
  </si>
  <si>
    <t>Thomas Hickson</t>
  </si>
  <si>
    <t>VNDR00168</t>
  </si>
  <si>
    <t>AGENT00395</t>
  </si>
  <si>
    <t>TXN00000227</t>
  </si>
  <si>
    <t>Mildred Stone</t>
  </si>
  <si>
    <t>Webster</t>
  </si>
  <si>
    <t>VNDR00132</t>
  </si>
  <si>
    <t>TXN00000228</t>
  </si>
  <si>
    <t>Bryan Barbour</t>
  </si>
  <si>
    <t>Ione</t>
  </si>
  <si>
    <t>AGENT00242</t>
  </si>
  <si>
    <t>TXN00000229</t>
  </si>
  <si>
    <t>Andree Williams</t>
  </si>
  <si>
    <t>VNDR00216</t>
  </si>
  <si>
    <t>AGENT00129</t>
  </si>
  <si>
    <t>TXN00000230</t>
  </si>
  <si>
    <t>Anita Granado</t>
  </si>
  <si>
    <t>AGENT00063</t>
  </si>
  <si>
    <t>TXN00000231</t>
  </si>
  <si>
    <t>Marie Collins</t>
  </si>
  <si>
    <t>VNDR00535</t>
  </si>
  <si>
    <t>AGENT00497</t>
  </si>
  <si>
    <t>TXN00000232</t>
  </si>
  <si>
    <t>Hazel Ferris</t>
  </si>
  <si>
    <t>AGENT00459</t>
  </si>
  <si>
    <t>TXN00000233</t>
  </si>
  <si>
    <t>Randi Dinsmoor</t>
  </si>
  <si>
    <t>Greeley</t>
  </si>
  <si>
    <t>AGENT00980</t>
  </si>
  <si>
    <t>TXN00000234</t>
  </si>
  <si>
    <t>Darrel Ralph</t>
  </si>
  <si>
    <t>Hartford</t>
  </si>
  <si>
    <t>TXN00000235</t>
  </si>
  <si>
    <t>Walter Daughtry</t>
  </si>
  <si>
    <t>AGENT00660</t>
  </si>
  <si>
    <t>TXN00000236</t>
  </si>
  <si>
    <t>Robert Sim</t>
  </si>
  <si>
    <t>Newark</t>
  </si>
  <si>
    <t>AGENT00218</t>
  </si>
  <si>
    <t>TXN00000237</t>
  </si>
  <si>
    <t>Kevin Haggerty</t>
  </si>
  <si>
    <t>Montpelier</t>
  </si>
  <si>
    <t>VNDR00543</t>
  </si>
  <si>
    <t>TXN00000238</t>
  </si>
  <si>
    <t>Thomas Lelacheur</t>
  </si>
  <si>
    <t>VNDR00316</t>
  </si>
  <si>
    <t>AGENT01001</t>
  </si>
  <si>
    <t>TXN00000239</t>
  </si>
  <si>
    <t>Alisha Peterson</t>
  </si>
  <si>
    <t>Medford</t>
  </si>
  <si>
    <t>TXN00000240</t>
  </si>
  <si>
    <t>Julie Moore</t>
  </si>
  <si>
    <t>AGENT00806</t>
  </si>
  <si>
    <t>TXN00000241</t>
  </si>
  <si>
    <t>Jason Cearns</t>
  </si>
  <si>
    <t>VNDR00243</t>
  </si>
  <si>
    <t>TXN00000242</t>
  </si>
  <si>
    <t>Jeffrey Arnold</t>
  </si>
  <si>
    <t>AGENT01011</t>
  </si>
  <si>
    <t>TXN00000243</t>
  </si>
  <si>
    <t>Sarah Clermont</t>
  </si>
  <si>
    <t>VNDR00458</t>
  </si>
  <si>
    <t>AGENT00807</t>
  </si>
  <si>
    <t>TXN00000244</t>
  </si>
  <si>
    <t>John Knapp</t>
  </si>
  <si>
    <t>TXN00000245</t>
  </si>
  <si>
    <t>Robert Valasquez</t>
  </si>
  <si>
    <t>AGENT01086</t>
  </si>
  <si>
    <t>TXN00000246</t>
  </si>
  <si>
    <t>Viviana Cole</t>
  </si>
  <si>
    <t>AGENT00295</t>
  </si>
  <si>
    <t>TXN00000247</t>
  </si>
  <si>
    <t>Latonya Combs</t>
  </si>
  <si>
    <t>Hanford</t>
  </si>
  <si>
    <t>AGENT00864</t>
  </si>
  <si>
    <t>TXN00000248</t>
  </si>
  <si>
    <t>Dale Miller</t>
  </si>
  <si>
    <t>VNDR00204</t>
  </si>
  <si>
    <t>AGENT00974</t>
  </si>
  <si>
    <t>TXN00000249</t>
  </si>
  <si>
    <t>Delma Mallett</t>
  </si>
  <si>
    <t>Poultney</t>
  </si>
  <si>
    <t>AGENT00464</t>
  </si>
  <si>
    <t>TXN00000250</t>
  </si>
  <si>
    <t>Jennifer Macdonald</t>
  </si>
  <si>
    <t>VNDR00529</t>
  </si>
  <si>
    <t>AGENT00367</t>
  </si>
  <si>
    <t>TXN00000251</t>
  </si>
  <si>
    <t>Joan Potts</t>
  </si>
  <si>
    <t>AGENT00979</t>
  </si>
  <si>
    <t>TXN00000252</t>
  </si>
  <si>
    <t>Alice Vigue</t>
  </si>
  <si>
    <t>AGENT00412</t>
  </si>
  <si>
    <t>TXN00000253</t>
  </si>
  <si>
    <t>Steve Smith</t>
  </si>
  <si>
    <t>Gardner</t>
  </si>
  <si>
    <t>AGENT00121</t>
  </si>
  <si>
    <t>TXN00000254</t>
  </si>
  <si>
    <t>Rogelio Joseph</t>
  </si>
  <si>
    <t>VNDR00188</t>
  </si>
  <si>
    <t>TXN00000255</t>
  </si>
  <si>
    <t>Joseph White</t>
  </si>
  <si>
    <t>TXN00000256</t>
  </si>
  <si>
    <t>Leroy Huling</t>
  </si>
  <si>
    <t>VNDR00126</t>
  </si>
  <si>
    <t>AGENT00027</t>
  </si>
  <si>
    <t>TXN00000257</t>
  </si>
  <si>
    <t>Annabelle Krouse</t>
  </si>
  <si>
    <t>VNDR00546</t>
  </si>
  <si>
    <t>AGENT00014</t>
  </si>
  <si>
    <t>TXN00000258</t>
  </si>
  <si>
    <t>Tommy Young</t>
  </si>
  <si>
    <t>TXN00000259</t>
  </si>
  <si>
    <t>Daniel Stephen</t>
  </si>
  <si>
    <t>VNDR00550</t>
  </si>
  <si>
    <t>AGENT00808</t>
  </si>
  <si>
    <t>TXN00000260</t>
  </si>
  <si>
    <t>Jill Alonzo</t>
  </si>
  <si>
    <t>VNDR00228</t>
  </si>
  <si>
    <t>AGENT00982</t>
  </si>
  <si>
    <t>TXN00000261</t>
  </si>
  <si>
    <t>Timothy Williamson</t>
  </si>
  <si>
    <t>VNDR00307</t>
  </si>
  <si>
    <t>AGENT01068</t>
  </si>
  <si>
    <t>TXN00000262</t>
  </si>
  <si>
    <t>Kari Pritt</t>
  </si>
  <si>
    <t>VNDR00385</t>
  </si>
  <si>
    <t>AGENT00392</t>
  </si>
  <si>
    <t>TXN00000263</t>
  </si>
  <si>
    <t>Pedro Brown</t>
  </si>
  <si>
    <t>VNDR00582</t>
  </si>
  <si>
    <t>AGENT00072</t>
  </si>
  <si>
    <t>TXN00000264</t>
  </si>
  <si>
    <t>Jerrod Robidoux</t>
  </si>
  <si>
    <t>AGENT01103</t>
  </si>
  <si>
    <t>TXN00000265</t>
  </si>
  <si>
    <t>Richard Love</t>
  </si>
  <si>
    <t>AGENT01121</t>
  </si>
  <si>
    <t>TXN00000266</t>
  </si>
  <si>
    <t>Ryan Perez</t>
  </si>
  <si>
    <t>VNDR00509</t>
  </si>
  <si>
    <t>AGENT00480</t>
  </si>
  <si>
    <t>TXN00000267</t>
  </si>
  <si>
    <t>Marion Smith</t>
  </si>
  <si>
    <t>VNDR00187</t>
  </si>
  <si>
    <t>AGENT00173</t>
  </si>
  <si>
    <t>TXN00000268</t>
  </si>
  <si>
    <t>Lorena Ramirez</t>
  </si>
  <si>
    <t>VNDR00325</t>
  </si>
  <si>
    <t>AGENT00217</t>
  </si>
  <si>
    <t>TXN00000269</t>
  </si>
  <si>
    <t>Anna Jordan</t>
  </si>
  <si>
    <t>AGENT00673</t>
  </si>
  <si>
    <t>TXN00000270</t>
  </si>
  <si>
    <t>Margaret Reid</t>
  </si>
  <si>
    <t>AGENT00925</t>
  </si>
  <si>
    <t>TXN00000271</t>
  </si>
  <si>
    <t>William Archibald</t>
  </si>
  <si>
    <t>AGENT00789</t>
  </si>
  <si>
    <t>TXN00000272</t>
  </si>
  <si>
    <t>Ethel Forti</t>
  </si>
  <si>
    <t>Edmond</t>
  </si>
  <si>
    <t>VNDR00545</t>
  </si>
  <si>
    <t>AGENT00115</t>
  </si>
  <si>
    <t>TXN00000273</t>
  </si>
  <si>
    <t>Jeffrey Walters</t>
  </si>
  <si>
    <t>Soldotna</t>
  </si>
  <si>
    <t>VNDR00571</t>
  </si>
  <si>
    <t>AGENT00241</t>
  </si>
  <si>
    <t>TXN00000274</t>
  </si>
  <si>
    <t>Griselda Blackman</t>
  </si>
  <si>
    <t>AGENT00667</t>
  </si>
  <si>
    <t>TXN00000275</t>
  </si>
  <si>
    <t>Dale Goss</t>
  </si>
  <si>
    <t>TXN00000276</t>
  </si>
  <si>
    <t>Micheal Houston</t>
  </si>
  <si>
    <t>VNDR00538</t>
  </si>
  <si>
    <t>AGENT00037</t>
  </si>
  <si>
    <t>TXN00000277</t>
  </si>
  <si>
    <t>Christopher Vollmer</t>
  </si>
  <si>
    <t>AGENT00741</t>
  </si>
  <si>
    <t>TXN00000278</t>
  </si>
  <si>
    <t>Eugenia Burnett</t>
  </si>
  <si>
    <t>AGENT00843</t>
  </si>
  <si>
    <t>TXN00000279</t>
  </si>
  <si>
    <t>Ruth Harris</t>
  </si>
  <si>
    <t>Groton</t>
  </si>
  <si>
    <t>AGENT01090</t>
  </si>
  <si>
    <t>TXN00000280</t>
  </si>
  <si>
    <t>Walter Yoes</t>
  </si>
  <si>
    <t>AGENT00059</t>
  </si>
  <si>
    <t>TXN00000281</t>
  </si>
  <si>
    <t>William Farnsworth</t>
  </si>
  <si>
    <t>AGENT00467</t>
  </si>
  <si>
    <t>TXN00000282</t>
  </si>
  <si>
    <t>Darrell Vang</t>
  </si>
  <si>
    <t>TXN00000283</t>
  </si>
  <si>
    <t>Mitchell Schultz</t>
  </si>
  <si>
    <t>AGENT00542</t>
  </si>
  <si>
    <t>TXN00000284</t>
  </si>
  <si>
    <t>Andrea Rivera</t>
  </si>
  <si>
    <t>VNDR00377</t>
  </si>
  <si>
    <t>AGENT00647</t>
  </si>
  <si>
    <t>TXN00000285</t>
  </si>
  <si>
    <t>Stanley Harman</t>
  </si>
  <si>
    <t>TXN00000286</t>
  </si>
  <si>
    <t>Shantel Gray</t>
  </si>
  <si>
    <t>VNDR00570</t>
  </si>
  <si>
    <t>AGENT00633</t>
  </si>
  <si>
    <t>TXN00000287</t>
  </si>
  <si>
    <t>Garry Morreale</t>
  </si>
  <si>
    <t>VNDR00468</t>
  </si>
  <si>
    <t>AGENT01124</t>
  </si>
  <si>
    <t>TXN00000288</t>
  </si>
  <si>
    <t>Mary Plummer</t>
  </si>
  <si>
    <t>AGENT00048</t>
  </si>
  <si>
    <t>TXN00000289</t>
  </si>
  <si>
    <t>Richard Richmond</t>
  </si>
  <si>
    <t>AGENT00719</t>
  </si>
  <si>
    <t>TXN00000290</t>
  </si>
  <si>
    <t>Arlene Ortega</t>
  </si>
  <si>
    <t>AGENT01168</t>
  </si>
  <si>
    <t>TXN00000291</t>
  </si>
  <si>
    <t>Nadine Harris</t>
  </si>
  <si>
    <t>TXN00000292</t>
  </si>
  <si>
    <t>Michael Marks</t>
  </si>
  <si>
    <t>VNDR00366</t>
  </si>
  <si>
    <t>AGENT00658</t>
  </si>
  <si>
    <t>TXN00000293</t>
  </si>
  <si>
    <t>Geraldine Luck</t>
  </si>
  <si>
    <t>AGENT00352</t>
  </si>
  <si>
    <t>TXN00000294</t>
  </si>
  <si>
    <t>Delphine Ellison</t>
  </si>
  <si>
    <t>VNDR00012</t>
  </si>
  <si>
    <t>AGENT00077</t>
  </si>
  <si>
    <t>TXN00000295</t>
  </si>
  <si>
    <t>Vickie Lopez</t>
  </si>
  <si>
    <t>VNDR00266</t>
  </si>
  <si>
    <t>AGENT00161</t>
  </si>
  <si>
    <t>TXN00000296</t>
  </si>
  <si>
    <t>Arthur Herman</t>
  </si>
  <si>
    <t>VNDR00087</t>
  </si>
  <si>
    <t>AGENT00492</t>
  </si>
  <si>
    <t>TXN00000297</t>
  </si>
  <si>
    <t>Karen Gorman</t>
  </si>
  <si>
    <t>VNDR00106</t>
  </si>
  <si>
    <t>TXN00000298</t>
  </si>
  <si>
    <t>Jeannie Perez</t>
  </si>
  <si>
    <t>VNDR00484</t>
  </si>
  <si>
    <t>AGENT00110</t>
  </si>
  <si>
    <t>TXN00000299</t>
  </si>
  <si>
    <t>Russell Stclair</t>
  </si>
  <si>
    <t>Woodford</t>
  </si>
  <si>
    <t>AGENT00496</t>
  </si>
  <si>
    <t>TXN00000300</t>
  </si>
  <si>
    <t>Gabriel Vangieson</t>
  </si>
  <si>
    <t>AGENT00825</t>
  </si>
  <si>
    <t>TXN00000301</t>
  </si>
  <si>
    <t>Tony Mclennan</t>
  </si>
  <si>
    <t>AGENT00262</t>
  </si>
  <si>
    <t>TXN00000302</t>
  </si>
  <si>
    <t>Brianna Luna</t>
  </si>
  <si>
    <t>VNDR00414</t>
  </si>
  <si>
    <t>AGENT00977</t>
  </si>
  <si>
    <t>TXN00000303</t>
  </si>
  <si>
    <t>Bobbie Wampler</t>
  </si>
  <si>
    <t>Salem</t>
  </si>
  <si>
    <t>AGENT00906</t>
  </si>
  <si>
    <t>TXN00000304</t>
  </si>
  <si>
    <t>Graham Skinner</t>
  </si>
  <si>
    <t>AGENT00534</t>
  </si>
  <si>
    <t>TXN00000305</t>
  </si>
  <si>
    <t>Rebecca Ramirez</t>
  </si>
  <si>
    <t>TXN00000306</t>
  </si>
  <si>
    <t>Kristy Bradford</t>
  </si>
  <si>
    <t>Somerville</t>
  </si>
  <si>
    <t>VNDR00141</t>
  </si>
  <si>
    <t>AGENT00068</t>
  </si>
  <si>
    <t>TXN00000307</t>
  </si>
  <si>
    <t>Jennifer Walsh</t>
  </si>
  <si>
    <t>VNDR00222</t>
  </si>
  <si>
    <t>TXN00000308</t>
  </si>
  <si>
    <t>Imelda Hollen</t>
  </si>
  <si>
    <t>AGENT00938</t>
  </si>
  <si>
    <t>TXN00000309</t>
  </si>
  <si>
    <t>Nathan Yusef</t>
  </si>
  <si>
    <t>VNDR00513</t>
  </si>
  <si>
    <t>TXN00000310</t>
  </si>
  <si>
    <t>Jeanette Bickford</t>
  </si>
  <si>
    <t>TXN00000311</t>
  </si>
  <si>
    <t>Gina Butler</t>
  </si>
  <si>
    <t>VNDR00364</t>
  </si>
  <si>
    <t>TXN00000312</t>
  </si>
  <si>
    <t>Dorothy Henson</t>
  </si>
  <si>
    <t>VNDR00391</t>
  </si>
  <si>
    <t>AGENT00963</t>
  </si>
  <si>
    <t>TXN00000313</t>
  </si>
  <si>
    <t>Robert Williams</t>
  </si>
  <si>
    <t>Burlington</t>
  </si>
  <si>
    <t>VNDR00327</t>
  </si>
  <si>
    <t>AGENT00970</t>
  </si>
  <si>
    <t>TXN00000314</t>
  </si>
  <si>
    <t>Arthur Noman</t>
  </si>
  <si>
    <t>AGENT00369</t>
  </si>
  <si>
    <t>TXN00000315</t>
  </si>
  <si>
    <t>Kurt Barker</t>
  </si>
  <si>
    <t>Alameda</t>
  </si>
  <si>
    <t>AGENT00411</t>
  </si>
  <si>
    <t>TXN00000316</t>
  </si>
  <si>
    <t>Helen Brooks</t>
  </si>
  <si>
    <t>VNDR00301</t>
  </si>
  <si>
    <t>AGENT01138</t>
  </si>
  <si>
    <t>TXN00000317</t>
  </si>
  <si>
    <t>Lou Preston</t>
  </si>
  <si>
    <t>VNDR00584</t>
  </si>
  <si>
    <t>AGENT00966</t>
  </si>
  <si>
    <t>TXN00000318</t>
  </si>
  <si>
    <t>Thomas Conlisk</t>
  </si>
  <si>
    <t>VNDR00415</t>
  </si>
  <si>
    <t>AGENT00923</t>
  </si>
  <si>
    <t>TXN00000319</t>
  </si>
  <si>
    <t>Gerard Duncan</t>
  </si>
  <si>
    <t>AGENT00066</t>
  </si>
  <si>
    <t>TXN00000320</t>
  </si>
  <si>
    <t>Charlene Schnitker</t>
  </si>
  <si>
    <t>VNDR00324</t>
  </si>
  <si>
    <t>AGENT00614</t>
  </si>
  <si>
    <t>TXN00000321</t>
  </si>
  <si>
    <t>Lillian Carraway</t>
  </si>
  <si>
    <t>VNDR00564</t>
  </si>
  <si>
    <t>AGENT00940</t>
  </si>
  <si>
    <t>TXN00000322</t>
  </si>
  <si>
    <t>Sean Jackson</t>
  </si>
  <si>
    <t>TXN00000323</t>
  </si>
  <si>
    <t>Cherie Regalado</t>
  </si>
  <si>
    <t>VNDR00553</t>
  </si>
  <si>
    <t>AGENT01178</t>
  </si>
  <si>
    <t>TXN00000324</t>
  </si>
  <si>
    <t>Seth Keisler</t>
  </si>
  <si>
    <t>AGENT00705</t>
  </si>
  <si>
    <t>TXN00000325</t>
  </si>
  <si>
    <t>Shawn Mency</t>
  </si>
  <si>
    <t>VNDR00373</t>
  </si>
  <si>
    <t>AGENT00643</t>
  </si>
  <si>
    <t>TXN00000326</t>
  </si>
  <si>
    <t>George Harris</t>
  </si>
  <si>
    <t>VNDR00102</t>
  </si>
  <si>
    <t>AGENT00720</t>
  </si>
  <si>
    <t>TXN00000327</t>
  </si>
  <si>
    <t>Jeffrey Gutshall</t>
  </si>
  <si>
    <t>West Windsor</t>
  </si>
  <si>
    <t>VNDR00449</t>
  </si>
  <si>
    <t>AGENT00463</t>
  </si>
  <si>
    <t>TXN00000328</t>
  </si>
  <si>
    <t>Thomas Cagle</t>
  </si>
  <si>
    <t>VNDR00283</t>
  </si>
  <si>
    <t>AGENT00754</t>
  </si>
  <si>
    <t>TXN00000329</t>
  </si>
  <si>
    <t>David Peterson</t>
  </si>
  <si>
    <t>Selma</t>
  </si>
  <si>
    <t>AGENT00095</t>
  </si>
  <si>
    <t>TXN00000330</t>
  </si>
  <si>
    <t>Cindy Sartin</t>
  </si>
  <si>
    <t>VNDR00483</t>
  </si>
  <si>
    <t>AGENT00944</t>
  </si>
  <si>
    <t>TXN00000331</t>
  </si>
  <si>
    <t>Marilyn Henry</t>
  </si>
  <si>
    <t>VNDR00005</t>
  </si>
  <si>
    <t>AGENT00196</t>
  </si>
  <si>
    <t>TXN00000332</t>
  </si>
  <si>
    <t>Lena Daly</t>
  </si>
  <si>
    <t>AGENT01025</t>
  </si>
  <si>
    <t>TXN00000333</t>
  </si>
  <si>
    <t>Susan Scontras</t>
  </si>
  <si>
    <t>TXN00000334</t>
  </si>
  <si>
    <t>Larry Labarge</t>
  </si>
  <si>
    <t>VNDR00579</t>
  </si>
  <si>
    <t>AGENT00841</t>
  </si>
  <si>
    <t>TXN00000335</t>
  </si>
  <si>
    <t>Donna Cain</t>
  </si>
  <si>
    <t>VNDR00565</t>
  </si>
  <si>
    <t>AGENT00406</t>
  </si>
  <si>
    <t>TXN00000336</t>
  </si>
  <si>
    <t>Willie Murphy</t>
  </si>
  <si>
    <t>VNDR00319</t>
  </si>
  <si>
    <t>AGENT01009</t>
  </si>
  <si>
    <t>TXN00000337</t>
  </si>
  <si>
    <t>Richard Makhija</t>
  </si>
  <si>
    <t>AGENT01113</t>
  </si>
  <si>
    <t>TXN00000338</t>
  </si>
  <si>
    <t>Timothy Cuff</t>
  </si>
  <si>
    <t>Readsboro</t>
  </si>
  <si>
    <t>AGENT00247</t>
  </si>
  <si>
    <t>TXN00000339</t>
  </si>
  <si>
    <t>Kevin Ratliff</t>
  </si>
  <si>
    <t>AGENT00774</t>
  </si>
  <si>
    <t>TXN00000340</t>
  </si>
  <si>
    <t>Bettie Cook</t>
  </si>
  <si>
    <t>AGENT01039</t>
  </si>
  <si>
    <t>TXN00000341</t>
  </si>
  <si>
    <t>Teresa Montondo</t>
  </si>
  <si>
    <t>VNDR00321</t>
  </si>
  <si>
    <t>AGENT01056</t>
  </si>
  <si>
    <t>TXN00000342</t>
  </si>
  <si>
    <t>David Bailey</t>
  </si>
  <si>
    <t>TXN00000343</t>
  </si>
  <si>
    <t>Irene Nixon</t>
  </si>
  <si>
    <t>AGENT00763</t>
  </si>
  <si>
    <t>TXN00000344</t>
  </si>
  <si>
    <t>Lisa Prieto</t>
  </si>
  <si>
    <t>AGENT00237</t>
  </si>
  <si>
    <t>TXN00000345</t>
  </si>
  <si>
    <t>Norbert Crawford</t>
  </si>
  <si>
    <t>AGENT01195</t>
  </si>
  <si>
    <t>TXN00000346</t>
  </si>
  <si>
    <t>Timothy Carter</t>
  </si>
  <si>
    <t>TXN00000347</t>
  </si>
  <si>
    <t>David Lewis</t>
  </si>
  <si>
    <t>VNDR00406</t>
  </si>
  <si>
    <t>TXN00000348</t>
  </si>
  <si>
    <t>Doris Mercado</t>
  </si>
  <si>
    <t>AGENT00583</t>
  </si>
  <si>
    <t>TXN00000349</t>
  </si>
  <si>
    <t>Herman Decoteau</t>
  </si>
  <si>
    <t>TXN00000350</t>
  </si>
  <si>
    <t>Constance Platter</t>
  </si>
  <si>
    <t>VNDR00433</t>
  </si>
  <si>
    <t>AGENT00975</t>
  </si>
  <si>
    <t>TXN00000351</t>
  </si>
  <si>
    <t>Melissa Gonzalez</t>
  </si>
  <si>
    <t>AGENT00525</t>
  </si>
  <si>
    <t>TXN00000352</t>
  </si>
  <si>
    <t>Erin Willie</t>
  </si>
  <si>
    <t>AGENT00064</t>
  </si>
  <si>
    <t>TXN00000353</t>
  </si>
  <si>
    <t>Dreama Scurry</t>
  </si>
  <si>
    <t>VNDR00463</t>
  </si>
  <si>
    <t>TXN00000354</t>
  </si>
  <si>
    <t>Monica Handley</t>
  </si>
  <si>
    <t>TXN00000355</t>
  </si>
  <si>
    <t>Sharon Rawlings</t>
  </si>
  <si>
    <t>Reading</t>
  </si>
  <si>
    <t>VNDR00491</t>
  </si>
  <si>
    <t>AGENT00122</t>
  </si>
  <si>
    <t>TXN00000356</t>
  </si>
  <si>
    <t>Tonya Nutting</t>
  </si>
  <si>
    <t>AGENT00432</t>
  </si>
  <si>
    <t>TXN00000357</t>
  </si>
  <si>
    <t>Bradley Green</t>
  </si>
  <si>
    <t>TXN00000358</t>
  </si>
  <si>
    <t>Ingrid Bolin</t>
  </si>
  <si>
    <t>AGENT01060</t>
  </si>
  <si>
    <t>TXN00000359</t>
  </si>
  <si>
    <t>Sarah Cotto</t>
  </si>
  <si>
    <t>VNDR00175</t>
  </si>
  <si>
    <t>AGENT00116</t>
  </si>
  <si>
    <t>TXN00000360</t>
  </si>
  <si>
    <t>Christopher Larry</t>
  </si>
  <si>
    <t>VNDR00499</t>
  </si>
  <si>
    <t>AGENT00782</t>
  </si>
  <si>
    <t>TXN00000361</t>
  </si>
  <si>
    <t>Johnnie Collazo</t>
  </si>
  <si>
    <t>AGENT00577</t>
  </si>
  <si>
    <t>TXN00000362</t>
  </si>
  <si>
    <t>Angeline Wright</t>
  </si>
  <si>
    <t>Rancho Palos Verdes</t>
  </si>
  <si>
    <t>AGENT00650</t>
  </si>
  <si>
    <t>TXN00000363</t>
  </si>
  <si>
    <t>Dawn Rivas</t>
  </si>
  <si>
    <t>San Jose</t>
  </si>
  <si>
    <t>AGENT00423</t>
  </si>
  <si>
    <t>TXN00000364</t>
  </si>
  <si>
    <t>James Dubay</t>
  </si>
  <si>
    <t>VNDR00389</t>
  </si>
  <si>
    <t>AGENT00434</t>
  </si>
  <si>
    <t>TXN00000365</t>
  </si>
  <si>
    <t>Patricia Busby</t>
  </si>
  <si>
    <t>VNDR00066</t>
  </si>
  <si>
    <t>AGENT00409</t>
  </si>
  <si>
    <t>TXN00000366</t>
  </si>
  <si>
    <t>Jean Olson</t>
  </si>
  <si>
    <t>Thunderbolt</t>
  </si>
  <si>
    <t>VNDR00443</t>
  </si>
  <si>
    <t>AGENT00159</t>
  </si>
  <si>
    <t>TXN00000367</t>
  </si>
  <si>
    <t>Lynda Carter</t>
  </si>
  <si>
    <t>VNDR00527</t>
  </si>
  <si>
    <t>AGENT00197</t>
  </si>
  <si>
    <t>TXN00000368</t>
  </si>
  <si>
    <t>Keith Minton</t>
  </si>
  <si>
    <t>TXN00000369</t>
  </si>
  <si>
    <t>Victor Gorham</t>
  </si>
  <si>
    <t>TXN00000370</t>
  </si>
  <si>
    <t>Carol Ginsberg</t>
  </si>
  <si>
    <t>Sebastopol</t>
  </si>
  <si>
    <t>TXN00000371</t>
  </si>
  <si>
    <t>Harriet Harbin</t>
  </si>
  <si>
    <t>VNDR00197</t>
  </si>
  <si>
    <t>AGENT00832</t>
  </si>
  <si>
    <t>TXN00000372</t>
  </si>
  <si>
    <t>Randal Klein</t>
  </si>
  <si>
    <t>AGENT00253</t>
  </si>
  <si>
    <t>TXN00000373</t>
  </si>
  <si>
    <t>Virgie Tucker</t>
  </si>
  <si>
    <t>VNDR00206</t>
  </si>
  <si>
    <t>AGENT00333</t>
  </si>
  <si>
    <t>TXN00000374</t>
  </si>
  <si>
    <t>Robin Crawford</t>
  </si>
  <si>
    <t>TXN00000375</t>
  </si>
  <si>
    <t>Amanda Tusa</t>
  </si>
  <si>
    <t>Guildhall</t>
  </si>
  <si>
    <t>AGENT00796</t>
  </si>
  <si>
    <t>TXN00000376</t>
  </si>
  <si>
    <t>Frances Thomas</t>
  </si>
  <si>
    <t>Redding</t>
  </si>
  <si>
    <t>VNDR00398</t>
  </si>
  <si>
    <t>AGENT00928</t>
  </si>
  <si>
    <t>TXN00000377</t>
  </si>
  <si>
    <t>Christina Foster</t>
  </si>
  <si>
    <t>TXN00000378</t>
  </si>
  <si>
    <t>Faye Moore</t>
  </si>
  <si>
    <t>AGENT00420</t>
  </si>
  <si>
    <t>TXN00000379</t>
  </si>
  <si>
    <t>David Williams</t>
  </si>
  <si>
    <t>VNDR00034</t>
  </si>
  <si>
    <t>AGENT00214</t>
  </si>
  <si>
    <t>TXN00000380</t>
  </si>
  <si>
    <t>Paul Pao</t>
  </si>
  <si>
    <t>AGENT01069</t>
  </si>
  <si>
    <t>TXN00000381</t>
  </si>
  <si>
    <t>Evelyn Felix</t>
  </si>
  <si>
    <t>Westmore</t>
  </si>
  <si>
    <t>TXN00000382</t>
  </si>
  <si>
    <t>Nichole Hayhurst</t>
  </si>
  <si>
    <t>TXN00000383</t>
  </si>
  <si>
    <t>John Medina</t>
  </si>
  <si>
    <t>AGENT00553</t>
  </si>
  <si>
    <t>TXN00000384</t>
  </si>
  <si>
    <t>Mario Caruso</t>
  </si>
  <si>
    <t>AGENT01192</t>
  </si>
  <si>
    <t>TXN00000385</t>
  </si>
  <si>
    <t>Scott Phillips</t>
  </si>
  <si>
    <t>Evergreen</t>
  </si>
  <si>
    <t>AGENT00471</t>
  </si>
  <si>
    <t>TXN00000386</t>
  </si>
  <si>
    <t>Helen Brown</t>
  </si>
  <si>
    <t>VNDR00510</t>
  </si>
  <si>
    <t>AGENT00208</t>
  </si>
  <si>
    <t>TXN00000387</t>
  </si>
  <si>
    <t>John Hunter</t>
  </si>
  <si>
    <t>VNDR00500</t>
  </si>
  <si>
    <t>AGENT00396</t>
  </si>
  <si>
    <t>TXN00000388</t>
  </si>
  <si>
    <t>William Santiago</t>
  </si>
  <si>
    <t>Severna Park</t>
  </si>
  <si>
    <t>AGENT01041</t>
  </si>
  <si>
    <t>TXN00000389</t>
  </si>
  <si>
    <t>Eric Riveroll</t>
  </si>
  <si>
    <t>Barre</t>
  </si>
  <si>
    <t>AGENT01184</t>
  </si>
  <si>
    <t>TXN00000390</t>
  </si>
  <si>
    <t>Brandon Wilson</t>
  </si>
  <si>
    <t>Brookfield</t>
  </si>
  <si>
    <t>AGENT01057</t>
  </si>
  <si>
    <t>TXN00000391</t>
  </si>
  <si>
    <t>Sara Callis</t>
  </si>
  <si>
    <t>VNDR00306</t>
  </si>
  <si>
    <t>AGENT00652</t>
  </si>
  <si>
    <t>TXN00000392</t>
  </si>
  <si>
    <t>Dorothy Williams</t>
  </si>
  <si>
    <t>AGENT01144</t>
  </si>
  <si>
    <t>TXN00000393</t>
  </si>
  <si>
    <t>Rosemary Keller</t>
  </si>
  <si>
    <t>AGENT00231</t>
  </si>
  <si>
    <t>TXN00000394</t>
  </si>
  <si>
    <t>Robert Homan</t>
  </si>
  <si>
    <t>VNDR00335</t>
  </si>
  <si>
    <t>AGENT00563</t>
  </si>
  <si>
    <t>TXN00000395</t>
  </si>
  <si>
    <t>Jean Haught</t>
  </si>
  <si>
    <t>AGENT01098</t>
  </si>
  <si>
    <t>TXN00000396</t>
  </si>
  <si>
    <t>Christopher Reiber</t>
  </si>
  <si>
    <t>AGENT00099</t>
  </si>
  <si>
    <t>TXN00000397</t>
  </si>
  <si>
    <t>Wanda Chappell</t>
  </si>
  <si>
    <t>VNDR00262</t>
  </si>
  <si>
    <t>AGENT00746</t>
  </si>
  <si>
    <t>TXN00000398</t>
  </si>
  <si>
    <t>Carlos Chary</t>
  </si>
  <si>
    <t>Gambrills</t>
  </si>
  <si>
    <t>TXN00000399</t>
  </si>
  <si>
    <t>Ingrid Lee</t>
  </si>
  <si>
    <t>VNDR00453</t>
  </si>
  <si>
    <t>AGENT01197</t>
  </si>
  <si>
    <t>TXN00000400</t>
  </si>
  <si>
    <t>Blanche Cleaver</t>
  </si>
  <si>
    <t>AGENT01005</t>
  </si>
  <si>
    <t>TXN00000401</t>
  </si>
  <si>
    <t>Carmen Chavez</t>
  </si>
  <si>
    <t>AGENT00866</t>
  </si>
  <si>
    <t>TXN00000402</t>
  </si>
  <si>
    <t>Rex Smith</t>
  </si>
  <si>
    <t>VNDR00242</t>
  </si>
  <si>
    <t>AGENT00205</t>
  </si>
  <si>
    <t>TXN00000403</t>
  </si>
  <si>
    <t>Jesse Douglas</t>
  </si>
  <si>
    <t>TXN00000404</t>
  </si>
  <si>
    <t>Michael Eisele</t>
  </si>
  <si>
    <t>AGENT00952</t>
  </si>
  <si>
    <t>TXN00000405</t>
  </si>
  <si>
    <t>Richard Giebner</t>
  </si>
  <si>
    <t>TXN00000406</t>
  </si>
  <si>
    <t>Ruth Reamy</t>
  </si>
  <si>
    <t>AGENT01076</t>
  </si>
  <si>
    <t>TXN00000407</t>
  </si>
  <si>
    <t>Donald Caron</t>
  </si>
  <si>
    <t>VNDR00229</t>
  </si>
  <si>
    <t>AGENT00683</t>
  </si>
  <si>
    <t>TXN00000408</t>
  </si>
  <si>
    <t>Kari Evans</t>
  </si>
  <si>
    <t>Pueblo</t>
  </si>
  <si>
    <t>AGENT00718</t>
  </si>
  <si>
    <t>TXN00000409</t>
  </si>
  <si>
    <t>Christopher Zuchowski</t>
  </si>
  <si>
    <t>TXN00000410</t>
  </si>
  <si>
    <t>Jessica Thurmer</t>
  </si>
  <si>
    <t>Yarmouth</t>
  </si>
  <si>
    <t>VNDR00265</t>
  </si>
  <si>
    <t>TXN00000411</t>
  </si>
  <si>
    <t>Melinda Scerbo</t>
  </si>
  <si>
    <t>VNDR00189</t>
  </si>
  <si>
    <t>AGENT00833</t>
  </si>
  <si>
    <t>TXN00000412</t>
  </si>
  <si>
    <t>Harry Esquer</t>
  </si>
  <si>
    <t>VNDR00254</t>
  </si>
  <si>
    <t>AGENT00840</t>
  </si>
  <si>
    <t>TXN00000413</t>
  </si>
  <si>
    <t>Robert Flamand</t>
  </si>
  <si>
    <t>Guilford</t>
  </si>
  <si>
    <t>AGENT00762</t>
  </si>
  <si>
    <t>TXN00000414</t>
  </si>
  <si>
    <t>Robert Stoute</t>
  </si>
  <si>
    <t>VNDR00537</t>
  </si>
  <si>
    <t>AGENT00529</t>
  </si>
  <si>
    <t>TXN00000415</t>
  </si>
  <si>
    <t>Jan Huntley</t>
  </si>
  <si>
    <t>TXN00000416</t>
  </si>
  <si>
    <t>Jeremy Phillips</t>
  </si>
  <si>
    <t>VNDR00209</t>
  </si>
  <si>
    <t>TXN00000417</t>
  </si>
  <si>
    <t>Kathleen Joubert</t>
  </si>
  <si>
    <t>VNDR00336</t>
  </si>
  <si>
    <t>TXN00000418</t>
  </si>
  <si>
    <t>Kathleen Morales</t>
  </si>
  <si>
    <t>Orange</t>
  </si>
  <si>
    <t>TXN00000419</t>
  </si>
  <si>
    <t>Shirley Cobb</t>
  </si>
  <si>
    <t>TXN00000420</t>
  </si>
  <si>
    <t>Jerry Patterson</t>
  </si>
  <si>
    <t>AGENT00707</t>
  </si>
  <si>
    <t>TXN00000421</t>
  </si>
  <si>
    <t>Meridith Hoag</t>
  </si>
  <si>
    <t>AGENT00799</t>
  </si>
  <si>
    <t>TXN00000422</t>
  </si>
  <si>
    <t>Timothy Kelso</t>
  </si>
  <si>
    <t>Mount Tabor</t>
  </si>
  <si>
    <t>TXN00000423</t>
  </si>
  <si>
    <t>Joel Green</t>
  </si>
  <si>
    <t>VNDR00138</t>
  </si>
  <si>
    <t>AGENT00123</t>
  </si>
  <si>
    <t>TXN00000424</t>
  </si>
  <si>
    <t>Robert Tatum</t>
  </si>
  <si>
    <t>AGENT01102</t>
  </si>
  <si>
    <t>TXN00000425</t>
  </si>
  <si>
    <t>Preston Chatman</t>
  </si>
  <si>
    <t>AGENT00875</t>
  </si>
  <si>
    <t>TXN00000426</t>
  </si>
  <si>
    <t>Ian Pew</t>
  </si>
  <si>
    <t>Revere</t>
  </si>
  <si>
    <t>AGENT00344</t>
  </si>
  <si>
    <t>TXN00000427</t>
  </si>
  <si>
    <t>Janis Seay</t>
  </si>
  <si>
    <t>VNDR00593</t>
  </si>
  <si>
    <t>AGENT00109</t>
  </si>
  <si>
    <t>TXN00000428</t>
  </si>
  <si>
    <t>Mary Smith</t>
  </si>
  <si>
    <t>VNDR00427</t>
  </si>
  <si>
    <t>AGENT00067</t>
  </si>
  <si>
    <t>TXN00000429</t>
  </si>
  <si>
    <t>Margaret Chen</t>
  </si>
  <si>
    <t>TXN00000430</t>
  </si>
  <si>
    <t>Diane Ashford</t>
  </si>
  <si>
    <t>AGENT00044</t>
  </si>
  <si>
    <t>TXN00000431</t>
  </si>
  <si>
    <t>Samuel Haynes</t>
  </si>
  <si>
    <t>Watertown</t>
  </si>
  <si>
    <t>AGENT01019</t>
  </si>
  <si>
    <t>TXN00000432</t>
  </si>
  <si>
    <t>William Root</t>
  </si>
  <si>
    <t>AGENT01055</t>
  </si>
  <si>
    <t>TXN00000433</t>
  </si>
  <si>
    <t>James Clay</t>
  </si>
  <si>
    <t>AGENT00062</t>
  </si>
  <si>
    <t>TXN00000434</t>
  </si>
  <si>
    <t>Erik Hester</t>
  </si>
  <si>
    <t>VNDR00323</t>
  </si>
  <si>
    <t>AGENT00765</t>
  </si>
  <si>
    <t>TXN00000435</t>
  </si>
  <si>
    <t>Greg Davis</t>
  </si>
  <si>
    <t>TXN00000436</t>
  </si>
  <si>
    <t>Tabitha Moreno</t>
  </si>
  <si>
    <t>AGENT00767</t>
  </si>
  <si>
    <t>TXN00000437</t>
  </si>
  <si>
    <t>Isabel Imai</t>
  </si>
  <si>
    <t>VNDR00432</t>
  </si>
  <si>
    <t>TXN00000438</t>
  </si>
  <si>
    <t>Barbara Harness</t>
  </si>
  <si>
    <t>VNDR00104</t>
  </si>
  <si>
    <t>AGENT00148</t>
  </si>
  <si>
    <t>TXN00000439</t>
  </si>
  <si>
    <t>Robert Desatnik</t>
  </si>
  <si>
    <t>AGENT00140</t>
  </si>
  <si>
    <t>TXN00000440</t>
  </si>
  <si>
    <t>Rebecca Haney</t>
  </si>
  <si>
    <t>TXN00000441</t>
  </si>
  <si>
    <t>Alexander Dinkens</t>
  </si>
  <si>
    <t>Edgewater</t>
  </si>
  <si>
    <t>AGENT00022</t>
  </si>
  <si>
    <t>TXN00000442</t>
  </si>
  <si>
    <t>David Johnson</t>
  </si>
  <si>
    <t>AGENT00451</t>
  </si>
  <si>
    <t>TXN00000443</t>
  </si>
  <si>
    <t>Philip Yockey</t>
  </si>
  <si>
    <t>TXN00000444</t>
  </si>
  <si>
    <t>Erin Abreu</t>
  </si>
  <si>
    <t>Beverly Hills</t>
  </si>
  <si>
    <t>TXN00000445</t>
  </si>
  <si>
    <t>Ramonita Nunez</t>
  </si>
  <si>
    <t>VNDR00408</t>
  </si>
  <si>
    <t>AGENT01117</t>
  </si>
  <si>
    <t>TXN00000446</t>
  </si>
  <si>
    <t>Jeffrey Benner</t>
  </si>
  <si>
    <t>AGENT00429</t>
  </si>
  <si>
    <t>TXN00000447</t>
  </si>
  <si>
    <t>Donald Rieck</t>
  </si>
  <si>
    <t>AGENT00311</t>
  </si>
  <si>
    <t>TXN00000448</t>
  </si>
  <si>
    <t>Robert Canady</t>
  </si>
  <si>
    <t>TXN00000449</t>
  </si>
  <si>
    <t>Rachel Burnett</t>
  </si>
  <si>
    <t>VNDR00185</t>
  </si>
  <si>
    <t>AGENT00207</t>
  </si>
  <si>
    <t>TXN00000450</t>
  </si>
  <si>
    <t>Margie Welch</t>
  </si>
  <si>
    <t>VNDR00296</t>
  </si>
  <si>
    <t>AGENT00823</t>
  </si>
  <si>
    <t>TXN00000451</t>
  </si>
  <si>
    <t>John Stone</t>
  </si>
  <si>
    <t>AGENT00692</t>
  </si>
  <si>
    <t>TXN00000452</t>
  </si>
  <si>
    <t>Judy Greigo</t>
  </si>
  <si>
    <t>VNDR00479</t>
  </si>
  <si>
    <t>AGENT01187</t>
  </si>
  <si>
    <t>TXN00000453</t>
  </si>
  <si>
    <t>Kimberly Lesh</t>
  </si>
  <si>
    <t>AGENT00890</t>
  </si>
  <si>
    <t>TXN00000454</t>
  </si>
  <si>
    <t>Misty Tagaban</t>
  </si>
  <si>
    <t>Bethany</t>
  </si>
  <si>
    <t>AGENT00032</t>
  </si>
  <si>
    <t>TXN00000455</t>
  </si>
  <si>
    <t>Jerome Hall</t>
  </si>
  <si>
    <t>VNDR00123</t>
  </si>
  <si>
    <t>AGENT00107</t>
  </si>
  <si>
    <t>TXN00000456</t>
  </si>
  <si>
    <t>Denise Mackenzie</t>
  </si>
  <si>
    <t>VNDR00167</t>
  </si>
  <si>
    <t>AGENT00466</t>
  </si>
  <si>
    <t>TXN00000457</t>
  </si>
  <si>
    <t>Gary Green</t>
  </si>
  <si>
    <t>VNDR00115</t>
  </si>
  <si>
    <t>AGENT01199</t>
  </si>
  <si>
    <t>TXN00000458</t>
  </si>
  <si>
    <t>David Schmid</t>
  </si>
  <si>
    <t>VNDR00523</t>
  </si>
  <si>
    <t>AGENT00101</t>
  </si>
  <si>
    <t>TXN00000459</t>
  </si>
  <si>
    <t>Betty Jones</t>
  </si>
  <si>
    <t>TXN00000460</t>
  </si>
  <si>
    <t>Robert Book</t>
  </si>
  <si>
    <t>AGENT00516</t>
  </si>
  <si>
    <t>TXN00000461</t>
  </si>
  <si>
    <t>Darryl Ruddy</t>
  </si>
  <si>
    <t>AGENT00528</t>
  </si>
  <si>
    <t>TXN00000462</t>
  </si>
  <si>
    <t>Karen Combs</t>
  </si>
  <si>
    <t>Calhoun</t>
  </si>
  <si>
    <t>AGENT00665</t>
  </si>
  <si>
    <t>TXN00000463</t>
  </si>
  <si>
    <t>Sol Howard</t>
  </si>
  <si>
    <t>VNDR00410</t>
  </si>
  <si>
    <t>AGENT00822</t>
  </si>
  <si>
    <t>TXN00000464</t>
  </si>
  <si>
    <t>James Witzke</t>
  </si>
  <si>
    <t>TXN00000465</t>
  </si>
  <si>
    <t>Roger Dodson</t>
  </si>
  <si>
    <t>AGENT00436</t>
  </si>
  <si>
    <t>TXN00000466</t>
  </si>
  <si>
    <t>George Newman</t>
  </si>
  <si>
    <t>AGENT01058</t>
  </si>
  <si>
    <t>TXN00000467</t>
  </si>
  <si>
    <t>Marilyn Egan</t>
  </si>
  <si>
    <t>VNDR00524</t>
  </si>
  <si>
    <t>AGENT00334</t>
  </si>
  <si>
    <t>TXN00000468</t>
  </si>
  <si>
    <t>Richard Mages</t>
  </si>
  <si>
    <t>AGENT00768</t>
  </si>
  <si>
    <t>TXN00000469</t>
  </si>
  <si>
    <t>Milton Wisniewski</t>
  </si>
  <si>
    <t>AGENT00342</t>
  </si>
  <si>
    <t>TXN00000470</t>
  </si>
  <si>
    <t>Charlotte Wilson</t>
  </si>
  <si>
    <t>VNDR00503</t>
  </si>
  <si>
    <t>TXN00000471</t>
  </si>
  <si>
    <t>Kimberly Harder</t>
  </si>
  <si>
    <t>AGENT00649</t>
  </si>
  <si>
    <t>TXN00000472</t>
  </si>
  <si>
    <t>Linda Kincaid</t>
  </si>
  <si>
    <t>VNDR00090</t>
  </si>
  <si>
    <t>AGENT00989</t>
  </si>
  <si>
    <t>TXN00000473</t>
  </si>
  <si>
    <t>Alicia Soares</t>
  </si>
  <si>
    <t>VNDR00190</t>
  </si>
  <si>
    <t>AGENT00453</t>
  </si>
  <si>
    <t>TXN00000474</t>
  </si>
  <si>
    <t>Sonia Holland</t>
  </si>
  <si>
    <t>AGENT00433</t>
  </si>
  <si>
    <t>TXN00000475</t>
  </si>
  <si>
    <t>Jackie Maness</t>
  </si>
  <si>
    <t>AGENT00986</t>
  </si>
  <si>
    <t>TXN00000476</t>
  </si>
  <si>
    <t>Jennifer Townsend</t>
  </si>
  <si>
    <t>AGENT00472</t>
  </si>
  <si>
    <t>TXN00000477</t>
  </si>
  <si>
    <t>Brent Molter</t>
  </si>
  <si>
    <t>TXN00000478</t>
  </si>
  <si>
    <t>Marie Huston</t>
  </si>
  <si>
    <t>AGENT00250</t>
  </si>
  <si>
    <t>TXN00000479</t>
  </si>
  <si>
    <t>David Reed</t>
  </si>
  <si>
    <t>AGENT00030</t>
  </si>
  <si>
    <t>TXN00000480</t>
  </si>
  <si>
    <t>Jerrod Pundt</t>
  </si>
  <si>
    <t>AGENT00773</t>
  </si>
  <si>
    <t>TXN00000481</t>
  </si>
  <si>
    <t>Sylvester Ramirez</t>
  </si>
  <si>
    <t>VNDR00151</t>
  </si>
  <si>
    <t>AGENT00798</t>
  </si>
  <si>
    <t>TXN00000482</t>
  </si>
  <si>
    <t>Karen Clark</t>
  </si>
  <si>
    <t>North Reading</t>
  </si>
  <si>
    <t>VNDR00054</t>
  </si>
  <si>
    <t>AGENT01048</t>
  </si>
  <si>
    <t>TXN00000483</t>
  </si>
  <si>
    <t>Christina Petty</t>
  </si>
  <si>
    <t>VNDR00258</t>
  </si>
  <si>
    <t>AGENT00521</t>
  </si>
  <si>
    <t>TXN00000484</t>
  </si>
  <si>
    <t>Claire Zamora</t>
  </si>
  <si>
    <t>AGENT00761</t>
  </si>
  <si>
    <t>TXN00000485</t>
  </si>
  <si>
    <t>Douglas Hall</t>
  </si>
  <si>
    <t>VNDR00370</t>
  </si>
  <si>
    <t>AGENT00069</t>
  </si>
  <si>
    <t>TXN00000486</t>
  </si>
  <si>
    <t>Virginia Mccann</t>
  </si>
  <si>
    <t>AGENT00509</t>
  </si>
  <si>
    <t>TXN00000487</t>
  </si>
  <si>
    <t>Rachel Flowers</t>
  </si>
  <si>
    <t>TXN00000488</t>
  </si>
  <si>
    <t>Jeniffer Dyson</t>
  </si>
  <si>
    <t>AGENT00668</t>
  </si>
  <si>
    <t>TXN00000489</t>
  </si>
  <si>
    <t>Carrie Burwell</t>
  </si>
  <si>
    <t>AGENT00024</t>
  </si>
  <si>
    <t>TXN00000490</t>
  </si>
  <si>
    <t>George Davis</t>
  </si>
  <si>
    <t>VNDR00486</t>
  </si>
  <si>
    <t>AGENT00545</t>
  </si>
  <si>
    <t>TXN00000491</t>
  </si>
  <si>
    <t>Norma Manning</t>
  </si>
  <si>
    <t>AGENT00777</t>
  </si>
  <si>
    <t>TXN00000492</t>
  </si>
  <si>
    <t>John Brown</t>
  </si>
  <si>
    <t>TXN00000493</t>
  </si>
  <si>
    <t>Christie Anderson</t>
  </si>
  <si>
    <t>Lynn</t>
  </si>
  <si>
    <t>TXN00000494</t>
  </si>
  <si>
    <t>Russell Brogan</t>
  </si>
  <si>
    <t>AGENT01030</t>
  </si>
  <si>
    <t>TXN00000495</t>
  </si>
  <si>
    <t>Martha Varos</t>
  </si>
  <si>
    <t>VNDR00416</t>
  </si>
  <si>
    <t>TXN00000496</t>
  </si>
  <si>
    <t>Gregory Taylor</t>
  </si>
  <si>
    <t>Norman</t>
  </si>
  <si>
    <t>AGENT00920</t>
  </si>
  <si>
    <t>TXN00000497</t>
  </si>
  <si>
    <t>Gustavo Krueger</t>
  </si>
  <si>
    <t>AGENT00170</t>
  </si>
  <si>
    <t>TXN00000498</t>
  </si>
  <si>
    <t>Maria Sims</t>
  </si>
  <si>
    <t>TXN00000499</t>
  </si>
  <si>
    <t>Angelia Nettles</t>
  </si>
  <si>
    <t>TXN00000500</t>
  </si>
  <si>
    <t>Julius Morales</t>
  </si>
  <si>
    <t>Union City</t>
  </si>
  <si>
    <t>VNDR00176</t>
  </si>
  <si>
    <t>AGENT00846</t>
  </si>
  <si>
    <t>TXN00000501</t>
  </si>
  <si>
    <t>Ngoc Kotas</t>
  </si>
  <si>
    <t>VNDR00368</t>
  </si>
  <si>
    <t>TXN00000502</t>
  </si>
  <si>
    <t>Carol Miller</t>
  </si>
  <si>
    <t>VNDR00029</t>
  </si>
  <si>
    <t>AGENT00685</t>
  </si>
  <si>
    <t>TXN00000503</t>
  </si>
  <si>
    <t>Sabrina Campos</t>
  </si>
  <si>
    <t>VNDR00152</t>
  </si>
  <si>
    <t>TXN00000504</t>
  </si>
  <si>
    <t>Frances Moore</t>
  </si>
  <si>
    <t>Walpole</t>
  </si>
  <si>
    <t>TXN00000505</t>
  </si>
  <si>
    <t>Bruce Weinstein</t>
  </si>
  <si>
    <t>TXN00000506</t>
  </si>
  <si>
    <t>Arthur West</t>
  </si>
  <si>
    <t>AGENT00535</t>
  </si>
  <si>
    <t>TXN00000507</t>
  </si>
  <si>
    <t>Walter Botti</t>
  </si>
  <si>
    <t>TXN00000508</t>
  </si>
  <si>
    <t>Anna Alba</t>
  </si>
  <si>
    <t>Williston</t>
  </si>
  <si>
    <t>TXN00000509</t>
  </si>
  <si>
    <t>Diane Fairley</t>
  </si>
  <si>
    <t>VNDR00248</t>
  </si>
  <si>
    <t>AGENT00021</t>
  </si>
  <si>
    <t>TXN00000510</t>
  </si>
  <si>
    <t>Joseph Smith</t>
  </si>
  <si>
    <t>AGENT00712</t>
  </si>
  <si>
    <t>TXN00000511</t>
  </si>
  <si>
    <t>Mary Stewart</t>
  </si>
  <si>
    <t>TXN00000512</t>
  </si>
  <si>
    <t>Michael Certain</t>
  </si>
  <si>
    <t>AGENT00586</t>
  </si>
  <si>
    <t>TXN00000513</t>
  </si>
  <si>
    <t>Jeff Nieto</t>
  </si>
  <si>
    <t>VNDR00001</t>
  </si>
  <si>
    <t>AGENT00689</t>
  </si>
  <si>
    <t>TXN00000514</t>
  </si>
  <si>
    <t>Marge Kelly</t>
  </si>
  <si>
    <t>TXN00000515</t>
  </si>
  <si>
    <t>Katherine Metzler</t>
  </si>
  <si>
    <t>VNDR00378</t>
  </si>
  <si>
    <t>AGENT00723</t>
  </si>
  <si>
    <t>TXN00000516</t>
  </si>
  <si>
    <t>Margaret Cropper</t>
  </si>
  <si>
    <t>TXN00000517</t>
  </si>
  <si>
    <t>Elias Bishop</t>
  </si>
  <si>
    <t>AGENT00669</t>
  </si>
  <si>
    <t>TXN00000518</t>
  </si>
  <si>
    <t>Courtney Mills</t>
  </si>
  <si>
    <t>AGENT00124</t>
  </si>
  <si>
    <t>TXN00000519</t>
  </si>
  <si>
    <t>Barbara Arwood</t>
  </si>
  <si>
    <t>AGENT00713</t>
  </si>
  <si>
    <t>TXN00000520</t>
  </si>
  <si>
    <t>Bruce Schecter</t>
  </si>
  <si>
    <t>AGENT00100</t>
  </si>
  <si>
    <t>TXN00000521</t>
  </si>
  <si>
    <t>Alex Kendra</t>
  </si>
  <si>
    <t>AGENT00990</t>
  </si>
  <si>
    <t>TXN00000522</t>
  </si>
  <si>
    <t>Willie Robison</t>
  </si>
  <si>
    <t>TXN00000523</t>
  </si>
  <si>
    <t>William Kelley</t>
  </si>
  <si>
    <t>Arnold</t>
  </si>
  <si>
    <t>TXN00000524</t>
  </si>
  <si>
    <t>Laurie Aikens</t>
  </si>
  <si>
    <t>TXN00000525</t>
  </si>
  <si>
    <t>William Avery</t>
  </si>
  <si>
    <t>AGENT00679</t>
  </si>
  <si>
    <t>TXN00000526</t>
  </si>
  <si>
    <t>Daniel Thacker</t>
  </si>
  <si>
    <t>AGENT00430</t>
  </si>
  <si>
    <t>TXN00000527</t>
  </si>
  <si>
    <t>Delmar Arevalo</t>
  </si>
  <si>
    <t>TXN00000528</t>
  </si>
  <si>
    <t>James Schneider</t>
  </si>
  <si>
    <t>TXN00000529</t>
  </si>
  <si>
    <t>Edwin Martin</t>
  </si>
  <si>
    <t>VNDR00276</t>
  </si>
  <si>
    <t>AGENT01191</t>
  </si>
  <si>
    <t>TXN00000530</t>
  </si>
  <si>
    <t>Sharon Wright</t>
  </si>
  <si>
    <t>AGENT01110</t>
  </si>
  <si>
    <t>TXN00000531</t>
  </si>
  <si>
    <t>Carl Irwin</t>
  </si>
  <si>
    <t>Mesa</t>
  </si>
  <si>
    <t>VNDR00462</t>
  </si>
  <si>
    <t>TXN00000532</t>
  </si>
  <si>
    <t>Nancy Malloy</t>
  </si>
  <si>
    <t>AGENT00893</t>
  </si>
  <si>
    <t>TXN00000533</t>
  </si>
  <si>
    <t>Linda Austin</t>
  </si>
  <si>
    <t>AGENT00053</t>
  </si>
  <si>
    <t>TXN00000534</t>
  </si>
  <si>
    <t>Vernon Lowe</t>
  </si>
  <si>
    <t>VNDR00450</t>
  </si>
  <si>
    <t>TXN00000535</t>
  </si>
  <si>
    <t>Michael Brandes</t>
  </si>
  <si>
    <t>TXN00000536</t>
  </si>
  <si>
    <t>Robert Mitchelle</t>
  </si>
  <si>
    <t>VNDR00544</t>
  </si>
  <si>
    <t>AGENT01165</t>
  </si>
  <si>
    <t>TXN00000537</t>
  </si>
  <si>
    <t>Nathaniel Carter</t>
  </si>
  <si>
    <t>Escondido</t>
  </si>
  <si>
    <t>AGENT00566</t>
  </si>
  <si>
    <t>TXN00000538</t>
  </si>
  <si>
    <t>Tony Morris</t>
  </si>
  <si>
    <t>AGENT00551</t>
  </si>
  <si>
    <t>TXN00000539</t>
  </si>
  <si>
    <t>Ralph Hughes</t>
  </si>
  <si>
    <t>AGENT01175</t>
  </si>
  <si>
    <t>TXN00000540</t>
  </si>
  <si>
    <t>Charles Claussen</t>
  </si>
  <si>
    <t>AGENT00340</t>
  </si>
  <si>
    <t>TXN00000541</t>
  </si>
  <si>
    <t>Dana Shelly</t>
  </si>
  <si>
    <t>Aurora</t>
  </si>
  <si>
    <t>TXN00000542</t>
  </si>
  <si>
    <t>Daniel Palmer</t>
  </si>
  <si>
    <t>VNDR00171</t>
  </si>
  <si>
    <t>AGENT00023</t>
  </si>
  <si>
    <t>TXN00000543</t>
  </si>
  <si>
    <t>David Crown</t>
  </si>
  <si>
    <t>VNDR00142</t>
  </si>
  <si>
    <t>AGENT00731</t>
  </si>
  <si>
    <t>TXN00000544</t>
  </si>
  <si>
    <t>Connie Libby</t>
  </si>
  <si>
    <t>AGENT01040</t>
  </si>
  <si>
    <t>TXN00000545</t>
  </si>
  <si>
    <t>Robert Huang</t>
  </si>
  <si>
    <t>TXN00000546</t>
  </si>
  <si>
    <t>Scott Evans</t>
  </si>
  <si>
    <t>VNDR00139</t>
  </si>
  <si>
    <t>TXN00000547</t>
  </si>
  <si>
    <t>Latanya Neville</t>
  </si>
  <si>
    <t>TXN00000548</t>
  </si>
  <si>
    <t>Peter Faulkner</t>
  </si>
  <si>
    <t>AGENT00363</t>
  </si>
  <si>
    <t>TXN00000549</t>
  </si>
  <si>
    <t>Miriam Flynn</t>
  </si>
  <si>
    <t>AGENT01154</t>
  </si>
  <si>
    <t>TXN00000550</t>
  </si>
  <si>
    <t>Nancy Mason</t>
  </si>
  <si>
    <t>AGENT00539</t>
  </si>
  <si>
    <t>TXN00000551</t>
  </si>
  <si>
    <t>Joan Berry</t>
  </si>
  <si>
    <t>VNDR00460</t>
  </si>
  <si>
    <t>AGENT00051</t>
  </si>
  <si>
    <t>TXN00000552</t>
  </si>
  <si>
    <t>David Burns</t>
  </si>
  <si>
    <t>VNDR00122</t>
  </si>
  <si>
    <t>AGENT00414</t>
  </si>
  <si>
    <t>TXN00000553</t>
  </si>
  <si>
    <t>Matthew Lutz</t>
  </si>
  <si>
    <t>AGENT00377</t>
  </si>
  <si>
    <t>TXN00000554</t>
  </si>
  <si>
    <t>Pearl Updike</t>
  </si>
  <si>
    <t>AGENT00760</t>
  </si>
  <si>
    <t>TXN00000555</t>
  </si>
  <si>
    <t>Jose Sinclair</t>
  </si>
  <si>
    <t>Port Wentworth</t>
  </si>
  <si>
    <t>AGENT00102</t>
  </si>
  <si>
    <t>TXN00000556</t>
  </si>
  <si>
    <t>Melinda Ledesma</t>
  </si>
  <si>
    <t>VNDR00400</t>
  </si>
  <si>
    <t>AGENT00040</t>
  </si>
  <si>
    <t>TXN00000557</t>
  </si>
  <si>
    <t>Donald Dunn</t>
  </si>
  <si>
    <t>AGENT00279</t>
  </si>
  <si>
    <t>TXN00000558</t>
  </si>
  <si>
    <t>Jill Moore</t>
  </si>
  <si>
    <t>AGENT00740</t>
  </si>
  <si>
    <t>TXN00000559</t>
  </si>
  <si>
    <t>Jeremy Allie</t>
  </si>
  <si>
    <t>AGENT00978</t>
  </si>
  <si>
    <t>TXN00000560</t>
  </si>
  <si>
    <t>Nichole Huynh</t>
  </si>
  <si>
    <t>TXN00000561</t>
  </si>
  <si>
    <t>Anna Johnson</t>
  </si>
  <si>
    <t>Shaftsbury</t>
  </si>
  <si>
    <t>AGENT00469</t>
  </si>
  <si>
    <t>TXN00000562</t>
  </si>
  <si>
    <t>Joanne Booker</t>
  </si>
  <si>
    <t>TXN00000563</t>
  </si>
  <si>
    <t>Dominga Butler</t>
  </si>
  <si>
    <t>TXN00000564</t>
  </si>
  <si>
    <t>Tommy Tofil</t>
  </si>
  <si>
    <t>VNDR00332</t>
  </si>
  <si>
    <t>AGENT00375</t>
  </si>
  <si>
    <t>TXN00000565</t>
  </si>
  <si>
    <t>Adele Newborn</t>
  </si>
  <si>
    <t>Weathersfield</t>
  </si>
  <si>
    <t>TXN00000566</t>
  </si>
  <si>
    <t>Russell Castro</t>
  </si>
  <si>
    <t>Ardmore</t>
  </si>
  <si>
    <t>TXN00000567</t>
  </si>
  <si>
    <t>Dorothy Hart</t>
  </si>
  <si>
    <t>TXN00000568</t>
  </si>
  <si>
    <t>Betty Beasley</t>
  </si>
  <si>
    <t>AGENT00641</t>
  </si>
  <si>
    <t>TXN00000569</t>
  </si>
  <si>
    <t>Marcella Lanehart</t>
  </si>
  <si>
    <t>VNDR00295</t>
  </si>
  <si>
    <t>TXN00000570</t>
  </si>
  <si>
    <t>Claude Harrington</t>
  </si>
  <si>
    <t>VNDR00451</t>
  </si>
  <si>
    <t>AGENT00425</t>
  </si>
  <si>
    <t>TXN00000571</t>
  </si>
  <si>
    <t>Margaret Meritt</t>
  </si>
  <si>
    <t>VNDR00250</t>
  </si>
  <si>
    <t>TXN00000572</t>
  </si>
  <si>
    <t>Roy Green</t>
  </si>
  <si>
    <t>AGENT00724</t>
  </si>
  <si>
    <t>TXN00000573</t>
  </si>
  <si>
    <t>Carolyn Cronk</t>
  </si>
  <si>
    <t>AGENT00738</t>
  </si>
  <si>
    <t>TXN00000574</t>
  </si>
  <si>
    <t>Robert Meyer</t>
  </si>
  <si>
    <t>AGENT00948</t>
  </si>
  <si>
    <t>TXN00000575</t>
  </si>
  <si>
    <t>Allison Lysiak</t>
  </si>
  <si>
    <t>AGENT00286</t>
  </si>
  <si>
    <t>TXN00000576</t>
  </si>
  <si>
    <t>William Sena</t>
  </si>
  <si>
    <t>Port Charlotte</t>
  </si>
  <si>
    <t>AGENT00968</t>
  </si>
  <si>
    <t>TXN00000577</t>
  </si>
  <si>
    <t>Amanda Ramirez</t>
  </si>
  <si>
    <t>TXN00000578</t>
  </si>
  <si>
    <t>David Lam</t>
  </si>
  <si>
    <t>VNDR00504</t>
  </si>
  <si>
    <t>AGENT00972</t>
  </si>
  <si>
    <t>TXN00000579</t>
  </si>
  <si>
    <t>Kathy Curry</t>
  </si>
  <si>
    <t>VNDR00177</t>
  </si>
  <si>
    <t>TXN00000580</t>
  </si>
  <si>
    <t>Jonathan Henderson</t>
  </si>
  <si>
    <t>AGENT00174</t>
  </si>
  <si>
    <t>TXN00000581</t>
  </si>
  <si>
    <t>James Allen</t>
  </si>
  <si>
    <t>VNDR00074</t>
  </si>
  <si>
    <t>TXN00000582</t>
  </si>
  <si>
    <t>Patricia Woods</t>
  </si>
  <si>
    <t>TXN00000583</t>
  </si>
  <si>
    <t>Juan Ray</t>
  </si>
  <si>
    <t>AGENT01067</t>
  </si>
  <si>
    <t>TXN00000584</t>
  </si>
  <si>
    <t>Lacey Ross</t>
  </si>
  <si>
    <t>AGENT00555</t>
  </si>
  <si>
    <t>TXN00000585</t>
  </si>
  <si>
    <t>George Cothran</t>
  </si>
  <si>
    <t>AGENT00772</t>
  </si>
  <si>
    <t>TXN00000586</t>
  </si>
  <si>
    <t>William Oconnor</t>
  </si>
  <si>
    <t>VNDR00058</t>
  </si>
  <si>
    <t>AGENT00209</t>
  </si>
  <si>
    <t>TXN00000587</t>
  </si>
  <si>
    <t>Martin White</t>
  </si>
  <si>
    <t>AGENT00441</t>
  </si>
  <si>
    <t>TXN00000588</t>
  </si>
  <si>
    <t>James Marriot</t>
  </si>
  <si>
    <t>Westminster</t>
  </si>
  <si>
    <t>AGENT00899</t>
  </si>
  <si>
    <t>TXN00000589</t>
  </si>
  <si>
    <t>Cora Marrara</t>
  </si>
  <si>
    <t>AGENT00847</t>
  </si>
  <si>
    <t>TXN00000590</t>
  </si>
  <si>
    <t>Dewey Forbes</t>
  </si>
  <si>
    <t>AGENT00228</t>
  </si>
  <si>
    <t>TXN00000591</t>
  </si>
  <si>
    <t>Evelyn Montgomery</t>
  </si>
  <si>
    <t>AGENT00567</t>
  </si>
  <si>
    <t>TXN00000592</t>
  </si>
  <si>
    <t>Gilbert Foley</t>
  </si>
  <si>
    <t>AGENT00306</t>
  </si>
  <si>
    <t>TXN00000593</t>
  </si>
  <si>
    <t>Tami Anderson</t>
  </si>
  <si>
    <t>VNDR00161</t>
  </si>
  <si>
    <t>AGENT01092</t>
  </si>
  <si>
    <t>TXN00000594</t>
  </si>
  <si>
    <t>Raymond Morris</t>
  </si>
  <si>
    <t>AGENT00625</t>
  </si>
  <si>
    <t>TXN00000595</t>
  </si>
  <si>
    <t>Todd Watson</t>
  </si>
  <si>
    <t>VNDR00329</t>
  </si>
  <si>
    <t>AGENT00291</t>
  </si>
  <si>
    <t>TXN00000596</t>
  </si>
  <si>
    <t>Shirley Porter</t>
  </si>
  <si>
    <t>Deale</t>
  </si>
  <si>
    <t>AGENT00503</t>
  </si>
  <si>
    <t>TXN00000597</t>
  </si>
  <si>
    <t>Dixie Ramlall</t>
  </si>
  <si>
    <t>AGENT00710</t>
  </si>
  <si>
    <t>TXN00000598</t>
  </si>
  <si>
    <t>Cynthia Hollingshead</t>
  </si>
  <si>
    <t>AGENT01158</t>
  </si>
  <si>
    <t>TXN00000599</t>
  </si>
  <si>
    <t>Holli Fisher</t>
  </si>
  <si>
    <t>Odenton</t>
  </si>
  <si>
    <t>TXN00000600</t>
  </si>
  <si>
    <t>Melvin Bengtson</t>
  </si>
  <si>
    <t>TXN00000601</t>
  </si>
  <si>
    <t>James Ceraos</t>
  </si>
  <si>
    <t>AGENT00839</t>
  </si>
  <si>
    <t>TXN00000602</t>
  </si>
  <si>
    <t>Vanessa Bellamy</t>
  </si>
  <si>
    <t>AGENT00478</t>
  </si>
  <si>
    <t>TXN00000603</t>
  </si>
  <si>
    <t>Clint Dobey</t>
  </si>
  <si>
    <t>TXN00000604</t>
  </si>
  <si>
    <t>Wanda Carrara</t>
  </si>
  <si>
    <t>TXN00000605</t>
  </si>
  <si>
    <t>Robert Beals</t>
  </si>
  <si>
    <t>TXN00000606</t>
  </si>
  <si>
    <t>Kathy Barkhimer</t>
  </si>
  <si>
    <t>Conway</t>
  </si>
  <si>
    <t>AGENT00004</t>
  </si>
  <si>
    <t>TXN00000607</t>
  </si>
  <si>
    <t>Laura Campbell</t>
  </si>
  <si>
    <t>AGENT01188</t>
  </si>
  <si>
    <t>TXN00000608</t>
  </si>
  <si>
    <t>William Fortin</t>
  </si>
  <si>
    <t>AGENT00232</t>
  </si>
  <si>
    <t>TXN00000609</t>
  </si>
  <si>
    <t>Dorothy Balch</t>
  </si>
  <si>
    <t>AGENT00992</t>
  </si>
  <si>
    <t>TXN00000610</t>
  </si>
  <si>
    <t>Damien Holtzman</t>
  </si>
  <si>
    <t>AGENT00714</t>
  </si>
  <si>
    <t>TXN00000611</t>
  </si>
  <si>
    <t>Michael Pautz</t>
  </si>
  <si>
    <t>AGENT00871</t>
  </si>
  <si>
    <t>TXN00000612</t>
  </si>
  <si>
    <t>Keith Stephens</t>
  </si>
  <si>
    <t>AGENT00524</t>
  </si>
  <si>
    <t>TXN00000613</t>
  </si>
  <si>
    <t>Marion Blaine</t>
  </si>
  <si>
    <t>AGENT00403</t>
  </si>
  <si>
    <t>TXN00000614</t>
  </si>
  <si>
    <t>Laura Marcus</t>
  </si>
  <si>
    <t>Plymouth</t>
  </si>
  <si>
    <t>VNDR00418</t>
  </si>
  <si>
    <t>TXN00000615</t>
  </si>
  <si>
    <t>Charlotte Cordoba</t>
  </si>
  <si>
    <t>AGENT00026</t>
  </si>
  <si>
    <t>TXN00000616</t>
  </si>
  <si>
    <t>Francisca Santos</t>
  </si>
  <si>
    <t>AGENT00743</t>
  </si>
  <si>
    <t>TXN00000617</t>
  </si>
  <si>
    <t>Dustin Cabrera</t>
  </si>
  <si>
    <t>TXN00000618</t>
  </si>
  <si>
    <t>Jennifer Wardwell</t>
  </si>
  <si>
    <t>VNDR00469</t>
  </si>
  <si>
    <t>TXN00000619</t>
  </si>
  <si>
    <t>Gwendolyn Bojorquez</t>
  </si>
  <si>
    <t>AGENT00805</t>
  </si>
  <si>
    <t>TXN00000620</t>
  </si>
  <si>
    <t>William Goff</t>
  </si>
  <si>
    <t>Rutland</t>
  </si>
  <si>
    <t>AGENT00036</t>
  </si>
  <si>
    <t>TXN00000621</t>
  </si>
  <si>
    <t>Randall Johnson</t>
  </si>
  <si>
    <t>TXN00000622</t>
  </si>
  <si>
    <t>Charlie Garman</t>
  </si>
  <si>
    <t>AGENT00263</t>
  </si>
  <si>
    <t>TXN00000623</t>
  </si>
  <si>
    <t>Carol Mcleod</t>
  </si>
  <si>
    <t>AGENT00009</t>
  </si>
  <si>
    <t>TXN00000624</t>
  </si>
  <si>
    <t>Brenda Carrozza</t>
  </si>
  <si>
    <t>TXN00000625</t>
  </si>
  <si>
    <t>Robert Langone</t>
  </si>
  <si>
    <t>TXN00000626</t>
  </si>
  <si>
    <t>Julie Reyes</t>
  </si>
  <si>
    <t>TXN00000627</t>
  </si>
  <si>
    <t>Marvin Mewborn</t>
  </si>
  <si>
    <t>AGENT01152</t>
  </si>
  <si>
    <t>TXN00000628</t>
  </si>
  <si>
    <t>Jeremy Ingram</t>
  </si>
  <si>
    <t>TXN00000629</t>
  </si>
  <si>
    <t>Deborah Boudreaux</t>
  </si>
  <si>
    <t>AGENT00090</t>
  </si>
  <si>
    <t>TXN00000630</t>
  </si>
  <si>
    <t>Anna Sanders</t>
  </si>
  <si>
    <t>AGENT00270</t>
  </si>
  <si>
    <t>TXN00000631</t>
  </si>
  <si>
    <t>Beth Joseph</t>
  </si>
  <si>
    <t>VNDR00274</t>
  </si>
  <si>
    <t>AGENT00393</t>
  </si>
  <si>
    <t>TXN00000632</t>
  </si>
  <si>
    <t>Kirsten Sarnicola</t>
  </si>
  <si>
    <t>AGENT01164</t>
  </si>
  <si>
    <t>TXN00000633</t>
  </si>
  <si>
    <t>John Wright</t>
  </si>
  <si>
    <t>AGENT00716</t>
  </si>
  <si>
    <t>TXN00000634</t>
  </si>
  <si>
    <t>Marjorie Bane</t>
  </si>
  <si>
    <t>TXN00000635</t>
  </si>
  <si>
    <t>Gloria Viray</t>
  </si>
  <si>
    <t>AGENT00973</t>
  </si>
  <si>
    <t>TXN00000636</t>
  </si>
  <si>
    <t>Kay Schaefer</t>
  </si>
  <si>
    <t>TXN00000637</t>
  </si>
  <si>
    <t>Katie Perez</t>
  </si>
  <si>
    <t>TXN00000638</t>
  </si>
  <si>
    <t>Carlos Oden</t>
  </si>
  <si>
    <t>TXN00000639</t>
  </si>
  <si>
    <t>Sharon Bremer</t>
  </si>
  <si>
    <t>Tyndall Air Force Base</t>
  </si>
  <si>
    <t>VNDR00589</t>
  </si>
  <si>
    <t>AGENT00828</t>
  </si>
  <si>
    <t>TXN00000640</t>
  </si>
  <si>
    <t>Millard Garza</t>
  </si>
  <si>
    <t>AGENT00276</t>
  </si>
  <si>
    <t>TXN00000641</t>
  </si>
  <si>
    <t>Paul Richardson</t>
  </si>
  <si>
    <t>TXN00000642</t>
  </si>
  <si>
    <t>Doug Jones</t>
  </si>
  <si>
    <t>AGENT00130</t>
  </si>
  <si>
    <t>TXN00000643</t>
  </si>
  <si>
    <t>Thomas Fountain</t>
  </si>
  <si>
    <t>TXN00000644</t>
  </si>
  <si>
    <t>Ruth Calhoun</t>
  </si>
  <si>
    <t>VNDR00134</t>
  </si>
  <si>
    <t>TXN00000645</t>
  </si>
  <si>
    <t>Maria Womble</t>
  </si>
  <si>
    <t>TXN00000646</t>
  </si>
  <si>
    <t>Kristie Garcia</t>
  </si>
  <si>
    <t>AGENT01160</t>
  </si>
  <si>
    <t>TXN00000647</t>
  </si>
  <si>
    <t>Jesse Smith</t>
  </si>
  <si>
    <t>VNDR00590</t>
  </si>
  <si>
    <t>AGENT00910</t>
  </si>
  <si>
    <t>TXN00000648</t>
  </si>
  <si>
    <t>Charles Ruelas</t>
  </si>
  <si>
    <t>VNDR00112</t>
  </si>
  <si>
    <t>AGENT00151</t>
  </si>
  <si>
    <t>TXN00000649</t>
  </si>
  <si>
    <t>Karen Campos</t>
  </si>
  <si>
    <t>AGENT01063</t>
  </si>
  <si>
    <t>TXN00000650</t>
  </si>
  <si>
    <t>Kelli Stanton</t>
  </si>
  <si>
    <t>Chelmsford</t>
  </si>
  <si>
    <t>AGENT01131</t>
  </si>
  <si>
    <t>TXN00000651</t>
  </si>
  <si>
    <t>Lesia Smith</t>
  </si>
  <si>
    <t>VNDR00008</t>
  </si>
  <si>
    <t>TXN00000652</t>
  </si>
  <si>
    <t>Shirley Smith</t>
  </si>
  <si>
    <t>AGENT00727</t>
  </si>
  <si>
    <t>TXN00000653</t>
  </si>
  <si>
    <t>Bryan Worsham</t>
  </si>
  <si>
    <t>VNDR00202</t>
  </si>
  <si>
    <t>TXN00000654</t>
  </si>
  <si>
    <t>Paul Fredeen</t>
  </si>
  <si>
    <t>Litchfield Park</t>
  </si>
  <si>
    <t>AGENT00153</t>
  </si>
  <si>
    <t>TXN00000655</t>
  </si>
  <si>
    <t>Jeffrey Snipes</t>
  </si>
  <si>
    <t>Mountain View</t>
  </si>
  <si>
    <t>TXN00000656</t>
  </si>
  <si>
    <t>Lloyd Rowley</t>
  </si>
  <si>
    <t>AGENT00364</t>
  </si>
  <si>
    <t>TXN00000657</t>
  </si>
  <si>
    <t>Nannie Oates</t>
  </si>
  <si>
    <t>AGENT00759</t>
  </si>
  <si>
    <t>TXN00000658</t>
  </si>
  <si>
    <t>Lena Dupuis</t>
  </si>
  <si>
    <t>TXN00000659</t>
  </si>
  <si>
    <t>Howard Lawrence</t>
  </si>
  <si>
    <t>AGENT00264</t>
  </si>
  <si>
    <t>TXN00000660</t>
  </si>
  <si>
    <t>Pablo Mccarthy</t>
  </si>
  <si>
    <t>AGENT01172</t>
  </si>
  <si>
    <t>TXN00000661</t>
  </si>
  <si>
    <t>Eddie Walker</t>
  </si>
  <si>
    <t>AGENT00564</t>
  </si>
  <si>
    <t>TXN00000662</t>
  </si>
  <si>
    <t>Ray Holcomb</t>
  </si>
  <si>
    <t>Everett</t>
  </si>
  <si>
    <t>AGENT00408</t>
  </si>
  <si>
    <t>TXN00000663</t>
  </si>
  <si>
    <t>Genevieve Vann</t>
  </si>
  <si>
    <t>AGENT00181</t>
  </si>
  <si>
    <t>TXN00000664</t>
  </si>
  <si>
    <t>Barbara Powles</t>
  </si>
  <si>
    <t>TXN00000665</t>
  </si>
  <si>
    <t>Aaron Klingensmith</t>
  </si>
  <si>
    <t>AGENT01061</t>
  </si>
  <si>
    <t>TXN00000666</t>
  </si>
  <si>
    <t>James Sharpe</t>
  </si>
  <si>
    <t>AGENT00108</t>
  </si>
  <si>
    <t>TXN00000667</t>
  </si>
  <si>
    <t>Edward Magers</t>
  </si>
  <si>
    <t>Fresno</t>
  </si>
  <si>
    <t>AGENT01127</t>
  </si>
  <si>
    <t>TXN00000668</t>
  </si>
  <si>
    <t>Thomas Breitbart</t>
  </si>
  <si>
    <t>TXN00000669</t>
  </si>
  <si>
    <t>Regina Baldwin</t>
  </si>
  <si>
    <t>AGENT00797</t>
  </si>
  <si>
    <t>TXN00000670</t>
  </si>
  <si>
    <t>John Bergeron</t>
  </si>
  <si>
    <t>AGENT00179</t>
  </si>
  <si>
    <t>TXN00000671</t>
  </si>
  <si>
    <t>Robert Jennings</t>
  </si>
  <si>
    <t>AGENT00981</t>
  </si>
  <si>
    <t>TXN00000672</t>
  </si>
  <si>
    <t>Jacob Charron</t>
  </si>
  <si>
    <t>AGENT00003</t>
  </si>
  <si>
    <t>TXN00000673</t>
  </si>
  <si>
    <t>Jessie Oliver</t>
  </si>
  <si>
    <t>TXN00000674</t>
  </si>
  <si>
    <t>Lawrence Fetterhoff</t>
  </si>
  <si>
    <t>VNDR00159</t>
  </si>
  <si>
    <t>AGENT01089</t>
  </si>
  <si>
    <t>TXN00000675</t>
  </si>
  <si>
    <t>Terry Richard</t>
  </si>
  <si>
    <t>VNDR00399</t>
  </si>
  <si>
    <t>AGENT00223</t>
  </si>
  <si>
    <t>TXN00000676</t>
  </si>
  <si>
    <t>Randall Grenier</t>
  </si>
  <si>
    <t>Chicopee</t>
  </si>
  <si>
    <t>AGENT00488</t>
  </si>
  <si>
    <t>TXN00000677</t>
  </si>
  <si>
    <t>Rodolfo Moore</t>
  </si>
  <si>
    <t>AGENT00856</t>
  </si>
  <si>
    <t>TXN00000678</t>
  </si>
  <si>
    <t>Robert Lee</t>
  </si>
  <si>
    <t>AGENT00501</t>
  </si>
  <si>
    <t>TXN00000679</t>
  </si>
  <si>
    <t>Diane Freeman</t>
  </si>
  <si>
    <t>Bristol</t>
  </si>
  <si>
    <t>AGENT00424</t>
  </si>
  <si>
    <t>TXN00000680</t>
  </si>
  <si>
    <t>Sandra Mintz</t>
  </si>
  <si>
    <t>AGENT00399</t>
  </si>
  <si>
    <t>TXN00000681</t>
  </si>
  <si>
    <t>Olga Eldridge</t>
  </si>
  <si>
    <t>AGENT00358</t>
  </si>
  <si>
    <t>TXN00000682</t>
  </si>
  <si>
    <t>Ivory Pearson</t>
  </si>
  <si>
    <t>AGENT00510</t>
  </si>
  <si>
    <t>TXN00000683</t>
  </si>
  <si>
    <t>Michael Hayes</t>
  </si>
  <si>
    <t>AGENT00177</t>
  </si>
  <si>
    <t>TXN00000684</t>
  </si>
  <si>
    <t>Elaine Esqueda</t>
  </si>
  <si>
    <t>Linthicum Heights</t>
  </si>
  <si>
    <t>TXN00000685</t>
  </si>
  <si>
    <t>Bernice Hall</t>
  </si>
  <si>
    <t>TXN00000686</t>
  </si>
  <si>
    <t>Donald Guida</t>
  </si>
  <si>
    <t>VNDR00273</t>
  </si>
  <si>
    <t>AGENT00533</t>
  </si>
  <si>
    <t>TXN00000687</t>
  </si>
  <si>
    <t>Sadie Andrews</t>
  </si>
  <si>
    <t>AGENT00075</t>
  </si>
  <si>
    <t>TXN00000688</t>
  </si>
  <si>
    <t>Dewey Newell</t>
  </si>
  <si>
    <t>AGENT00201</t>
  </si>
  <si>
    <t>TXN00000689</t>
  </si>
  <si>
    <t>Alfred Ferguson</t>
  </si>
  <si>
    <t>Whitmore</t>
  </si>
  <si>
    <t>VNDR00425</t>
  </si>
  <si>
    <t>TXN00000690</t>
  </si>
  <si>
    <t>Kyle Herbert</t>
  </si>
  <si>
    <t>VNDR00072</t>
  </si>
  <si>
    <t>TXN00000691</t>
  </si>
  <si>
    <t>Chase Madden</t>
  </si>
  <si>
    <t>AGENT00984</t>
  </si>
  <si>
    <t>TXN00000692</t>
  </si>
  <si>
    <t>Jesus Clifton</t>
  </si>
  <si>
    <t>VNDR00402</t>
  </si>
  <si>
    <t>TXN00000693</t>
  </si>
  <si>
    <t>Robbin Williams</t>
  </si>
  <si>
    <t>AGENT00548</t>
  </si>
  <si>
    <t>TXN00000694</t>
  </si>
  <si>
    <t>Robert Wickes</t>
  </si>
  <si>
    <t>TXN00000695</t>
  </si>
  <si>
    <t>Anna Pepin</t>
  </si>
  <si>
    <t>AGENT00204</t>
  </si>
  <si>
    <t>TXN00000696</t>
  </si>
  <si>
    <t>Charles Washington</t>
  </si>
  <si>
    <t>TXN00000697</t>
  </si>
  <si>
    <t>Christopher Quezada</t>
  </si>
  <si>
    <t>TXN00000698</t>
  </si>
  <si>
    <t>Jacqueline Lockett</t>
  </si>
  <si>
    <t>Bakersfield</t>
  </si>
  <si>
    <t>AGENT00638</t>
  </si>
  <si>
    <t>TXN00000699</t>
  </si>
  <si>
    <t>William Maes</t>
  </si>
  <si>
    <t>TXN00000700</t>
  </si>
  <si>
    <t>Dena Saylor</t>
  </si>
  <si>
    <t>AGENT00721</t>
  </si>
  <si>
    <t>TXN00000701</t>
  </si>
  <si>
    <t>Alice Gruber</t>
  </si>
  <si>
    <t>TXN00000702</t>
  </si>
  <si>
    <t>Henry Russell</t>
  </si>
  <si>
    <t>VNDR00557</t>
  </si>
  <si>
    <t>AGENT00458</t>
  </si>
  <si>
    <t>TXN00000703</t>
  </si>
  <si>
    <t>Jessie Stamm</t>
  </si>
  <si>
    <t>VNDR00023</t>
  </si>
  <si>
    <t>TXN00000704</t>
  </si>
  <si>
    <t>Carol Elliott</t>
  </si>
  <si>
    <t>TXN00000705</t>
  </si>
  <si>
    <t>Andria Michalski</t>
  </si>
  <si>
    <t>Mountain Village</t>
  </si>
  <si>
    <t>TXN00000706</t>
  </si>
  <si>
    <t>James Leonhardt</t>
  </si>
  <si>
    <t>AGENT00499</t>
  </si>
  <si>
    <t>TXN00000707</t>
  </si>
  <si>
    <t>Bradley Young</t>
  </si>
  <si>
    <t>AGENT00666</t>
  </si>
  <si>
    <t>TXN00000708</t>
  </si>
  <si>
    <t>Joseph Riddle</t>
  </si>
  <si>
    <t>AGENT01096</t>
  </si>
  <si>
    <t>TXN00000709</t>
  </si>
  <si>
    <t>Alexander Mullins</t>
  </si>
  <si>
    <t>TXN00000710</t>
  </si>
  <si>
    <t>Joel Leister</t>
  </si>
  <si>
    <t>TXN00000711</t>
  </si>
  <si>
    <t>Terry Lohman</t>
  </si>
  <si>
    <t>TXN00000712</t>
  </si>
  <si>
    <t>Omar Keithly</t>
  </si>
  <si>
    <t>AGENT01075</t>
  </si>
  <si>
    <t>TXN00000713</t>
  </si>
  <si>
    <t>Mary Jones</t>
  </si>
  <si>
    <t>AGENT00918</t>
  </si>
  <si>
    <t>TXN00000714</t>
  </si>
  <si>
    <t>Gladys Mellott</t>
  </si>
  <si>
    <t>AGENT01148</t>
  </si>
  <si>
    <t>TXN00000715</t>
  </si>
  <si>
    <t>Justin Mula</t>
  </si>
  <si>
    <t>VNDR00255</t>
  </si>
  <si>
    <t>AGENT00753</t>
  </si>
  <si>
    <t>TXN00000716</t>
  </si>
  <si>
    <t>Bobby Ward</t>
  </si>
  <si>
    <t>TXN00000717</t>
  </si>
  <si>
    <t>Jaime Cramer</t>
  </si>
  <si>
    <t>AGENT00348</t>
  </si>
  <si>
    <t>TXN00000718</t>
  </si>
  <si>
    <t>Walter Ruiz</t>
  </si>
  <si>
    <t>AGENT00598</t>
  </si>
  <si>
    <t>TXN00000719</t>
  </si>
  <si>
    <t>Dennis Spurlock</t>
  </si>
  <si>
    <t>AGENT01052</t>
  </si>
  <si>
    <t>TXN00000720</t>
  </si>
  <si>
    <t>Neal Whitson</t>
  </si>
  <si>
    <t>AGENT00131</t>
  </si>
  <si>
    <t>TXN00000721</t>
  </si>
  <si>
    <t>Vanessa Schultz</t>
  </si>
  <si>
    <t>TXN00000722</t>
  </si>
  <si>
    <t>Justin Taveras</t>
  </si>
  <si>
    <t>AGENT00506</t>
  </si>
  <si>
    <t>TXN00000723</t>
  </si>
  <si>
    <t>Eddie Santana</t>
  </si>
  <si>
    <t>VNDR00193</t>
  </si>
  <si>
    <t>TXN00000724</t>
  </si>
  <si>
    <t>Gerald Conway</t>
  </si>
  <si>
    <t>VNDR00039</t>
  </si>
  <si>
    <t>TXN00000725</t>
  </si>
  <si>
    <t>Gertrude Chew</t>
  </si>
  <si>
    <t>TXN00000726</t>
  </si>
  <si>
    <t>Marvin Scherrer</t>
  </si>
  <si>
    <t>TXN00000727</t>
  </si>
  <si>
    <t>Donald Davis</t>
  </si>
  <si>
    <t>Pleasanton</t>
  </si>
  <si>
    <t>AGENT00061</t>
  </si>
  <si>
    <t>TXN00000728</t>
  </si>
  <si>
    <t>Cathy Hadley</t>
  </si>
  <si>
    <t>AGENT00578</t>
  </si>
  <si>
    <t>TXN00000729</t>
  </si>
  <si>
    <t>Duane Defosses</t>
  </si>
  <si>
    <t>TXN00000730</t>
  </si>
  <si>
    <t>Denis Wendler</t>
  </si>
  <si>
    <t>VNDR00260</t>
  </si>
  <si>
    <t>AGENT00199</t>
  </si>
  <si>
    <t>TXN00000731</t>
  </si>
  <si>
    <t>Josephine Kranz</t>
  </si>
  <si>
    <t>AGENT00260</t>
  </si>
  <si>
    <t>TXN00000732</t>
  </si>
  <si>
    <t>Lloyd Turner</t>
  </si>
  <si>
    <t>VNDR00354</t>
  </si>
  <si>
    <t>TXN00000733</t>
  </si>
  <si>
    <t>Mary Travis</t>
  </si>
  <si>
    <t>AGENT00258</t>
  </si>
  <si>
    <t>TXN00000734</t>
  </si>
  <si>
    <t>Fay Delosh</t>
  </si>
  <si>
    <t>Olivehurst</t>
  </si>
  <si>
    <t>TXN00000735</t>
  </si>
  <si>
    <t>Dawn Roses</t>
  </si>
  <si>
    <t>TXN00000736</t>
  </si>
  <si>
    <t>Lawrence Grizzle</t>
  </si>
  <si>
    <t>AGENT00486</t>
  </si>
  <si>
    <t>TXN00000737</t>
  </si>
  <si>
    <t>Timothy Adams</t>
  </si>
  <si>
    <t>VNDR00210</t>
  </si>
  <si>
    <t>TXN00000738</t>
  </si>
  <si>
    <t>John Davenport</t>
  </si>
  <si>
    <t>TXN00000739</t>
  </si>
  <si>
    <t>Louis White</t>
  </si>
  <si>
    <t>AGENT00307</t>
  </si>
  <si>
    <t>TXN00000740</t>
  </si>
  <si>
    <t>Felix Simas</t>
  </si>
  <si>
    <t>VNDR00598</t>
  </si>
  <si>
    <t>AGENT00632</t>
  </si>
  <si>
    <t>TXN00000741</t>
  </si>
  <si>
    <t>Francis Schultz</t>
  </si>
  <si>
    <t>TXN00000742</t>
  </si>
  <si>
    <t>Dana Athayde</t>
  </si>
  <si>
    <t>VNDR00169</t>
  </si>
  <si>
    <t>TXN00000743</t>
  </si>
  <si>
    <t>Elizabeth Turner</t>
  </si>
  <si>
    <t>Alburgh</t>
  </si>
  <si>
    <t>TXN00000744</t>
  </si>
  <si>
    <t>Geraldine Carroll</t>
  </si>
  <si>
    <t>TXN00000745</t>
  </si>
  <si>
    <t>Elizabeth Wegner</t>
  </si>
  <si>
    <t>VNDR00539</t>
  </si>
  <si>
    <t>TXN00000746</t>
  </si>
  <si>
    <t>Mary Cooper</t>
  </si>
  <si>
    <t>VNDR00043</t>
  </si>
  <si>
    <t>AGENT01155</t>
  </si>
  <si>
    <t>TXN00000747</t>
  </si>
  <si>
    <t>Linda Duttry</t>
  </si>
  <si>
    <t>VNDR00505</t>
  </si>
  <si>
    <t>TXN00000748</t>
  </si>
  <si>
    <t>Dean Barton</t>
  </si>
  <si>
    <t>TXN00000749</t>
  </si>
  <si>
    <t>Phillip Johnson</t>
  </si>
  <si>
    <t>AGENT00606</t>
  </si>
  <si>
    <t>TXN00000750</t>
  </si>
  <si>
    <t>Thomas Burket</t>
  </si>
  <si>
    <t>Worcester</t>
  </si>
  <si>
    <t>VNDR00330</t>
  </si>
  <si>
    <t>TXN00000751</t>
  </si>
  <si>
    <t>Gregg Humphreys</t>
  </si>
  <si>
    <t>TXN00000752</t>
  </si>
  <si>
    <t>Linda Moua</t>
  </si>
  <si>
    <t>TXN00000753</t>
  </si>
  <si>
    <t>Avis Koski</t>
  </si>
  <si>
    <t>AGENT00937</t>
  </si>
  <si>
    <t>TXN00000754</t>
  </si>
  <si>
    <t>Laura Neel</t>
  </si>
  <si>
    <t>AGENT00785</t>
  </si>
  <si>
    <t>TXN00000755</t>
  </si>
  <si>
    <t>Walter Chambers</t>
  </si>
  <si>
    <t>VNDR00267</t>
  </si>
  <si>
    <t>AGENT00160</t>
  </si>
  <si>
    <t>TXN00000756</t>
  </si>
  <si>
    <t>Fred Zinn</t>
  </si>
  <si>
    <t>AGENT00017</t>
  </si>
  <si>
    <t>TXN00000757</t>
  </si>
  <si>
    <t>Frank Nolte</t>
  </si>
  <si>
    <t>AGENT00081</t>
  </si>
  <si>
    <t>TXN00000758</t>
  </si>
  <si>
    <t>Leona Boocks</t>
  </si>
  <si>
    <t>AGENT00084</t>
  </si>
  <si>
    <t>TXN00000759</t>
  </si>
  <si>
    <t>William Valdez</t>
  </si>
  <si>
    <t>VNDR00530</t>
  </si>
  <si>
    <t>AGENT00485</t>
  </si>
  <si>
    <t>TXN00000760</t>
  </si>
  <si>
    <t>Linda Carter</t>
  </si>
  <si>
    <t>TXN00000761</t>
  </si>
  <si>
    <t>Lorie Bryant</t>
  </si>
  <si>
    <t>AGENT00292</t>
  </si>
  <si>
    <t>TXN00000762</t>
  </si>
  <si>
    <t>Lora Hodges</t>
  </si>
  <si>
    <t>TXN00000763</t>
  </si>
  <si>
    <t>Jack James</t>
  </si>
  <si>
    <t>VNDR00315</t>
  </si>
  <si>
    <t>AGENT00239</t>
  </si>
  <si>
    <t>TXN00000764</t>
  </si>
  <si>
    <t>Bobbie Hite</t>
  </si>
  <si>
    <t>Laurel</t>
  </si>
  <si>
    <t>AGENT00268</t>
  </si>
  <si>
    <t>TXN00000765</t>
  </si>
  <si>
    <t>Patrick Goad</t>
  </si>
  <si>
    <t>AGENT00794</t>
  </si>
  <si>
    <t>TXN00000766</t>
  </si>
  <si>
    <t>James Mckenzie</t>
  </si>
  <si>
    <t>TXN00000767</t>
  </si>
  <si>
    <t>Emelina Spoor</t>
  </si>
  <si>
    <t>AGENT00993</t>
  </si>
  <si>
    <t>TXN00000768</t>
  </si>
  <si>
    <t>Jeffrey Roberts</t>
  </si>
  <si>
    <t>TXN00000769</t>
  </si>
  <si>
    <t>Clifford Sinclair</t>
  </si>
  <si>
    <t>VNDR00386</t>
  </si>
  <si>
    <t>AGENT00222</t>
  </si>
  <si>
    <t>TXN00000770</t>
  </si>
  <si>
    <t>Jonathan Salvietti</t>
  </si>
  <si>
    <t>TXN00000771</t>
  </si>
  <si>
    <t>Evelyn Montenegro</t>
  </si>
  <si>
    <t>TXN00000772</t>
  </si>
  <si>
    <t>Robert Allen</t>
  </si>
  <si>
    <t>TXN00000773</t>
  </si>
  <si>
    <t>Beatrice Thomas</t>
  </si>
  <si>
    <t>Pittsford</t>
  </si>
  <si>
    <t>VNDR00431</t>
  </si>
  <si>
    <t>AGENT01104</t>
  </si>
  <si>
    <t>TXN00000774</t>
  </si>
  <si>
    <t>Christine Gongalves</t>
  </si>
  <si>
    <t>Grass Valley</t>
  </si>
  <si>
    <t>AGENT00815</t>
  </si>
  <si>
    <t>TXN00000775</t>
  </si>
  <si>
    <t>Carlos York</t>
  </si>
  <si>
    <t>AGENT01186</t>
  </si>
  <si>
    <t>TXN00000776</t>
  </si>
  <si>
    <t>Robert Ha</t>
  </si>
  <si>
    <t>TXN00000777</t>
  </si>
  <si>
    <t>Marvin Ulrich</t>
  </si>
  <si>
    <t>Hanover</t>
  </si>
  <si>
    <t>TXN00000778</t>
  </si>
  <si>
    <t>Jane Schmitt</t>
  </si>
  <si>
    <t>TXN00000779</t>
  </si>
  <si>
    <t>Ruby Ziglar</t>
  </si>
  <si>
    <t>AGENT00146</t>
  </si>
  <si>
    <t>TXN00000780</t>
  </si>
  <si>
    <t>Anna Harwood</t>
  </si>
  <si>
    <t>Madera</t>
  </si>
  <si>
    <t>AGENT00452</t>
  </si>
  <si>
    <t>TXN00000781</t>
  </si>
  <si>
    <t>Angela Hale</t>
  </si>
  <si>
    <t>AGENT00045</t>
  </si>
  <si>
    <t>TXN00000782</t>
  </si>
  <si>
    <t>Michele Wood</t>
  </si>
  <si>
    <t>VNDR00493</t>
  </si>
  <si>
    <t>TXN00000783</t>
  </si>
  <si>
    <t>Philip Wier</t>
  </si>
  <si>
    <t>TXN00000784</t>
  </si>
  <si>
    <t>Ronald Shipman</t>
  </si>
  <si>
    <t>AGENT00885</t>
  </si>
  <si>
    <t>TXN00000785</t>
  </si>
  <si>
    <t>Mary Sparks</t>
  </si>
  <si>
    <t>TXN00000786</t>
  </si>
  <si>
    <t>Arthur Leathers</t>
  </si>
  <si>
    <t>TXN00000787</t>
  </si>
  <si>
    <t>Ola Benack</t>
  </si>
  <si>
    <t>TXN00000788</t>
  </si>
  <si>
    <t>Enrique Payne</t>
  </si>
  <si>
    <t>AGENT00600</t>
  </si>
  <si>
    <t>TXN00000789</t>
  </si>
  <si>
    <t>Lidia Hernandez</t>
  </si>
  <si>
    <t>Van Buren</t>
  </si>
  <si>
    <t>TXN00000790</t>
  </si>
  <si>
    <t>Christie Cann</t>
  </si>
  <si>
    <t>TXN00000791</t>
  </si>
  <si>
    <t>Robert Hogue</t>
  </si>
  <si>
    <t>AGENT00764</t>
  </si>
  <si>
    <t>TXN00000792</t>
  </si>
  <si>
    <t>Rene Thompson</t>
  </si>
  <si>
    <t>TXN00000793</t>
  </si>
  <si>
    <t>Hazel Powell</t>
  </si>
  <si>
    <t>VNDR00119</t>
  </si>
  <si>
    <t>AGENT01022</t>
  </si>
  <si>
    <t>TXN00000794</t>
  </si>
  <si>
    <t>Gary Queen</t>
  </si>
  <si>
    <t>VNDR00081</t>
  </si>
  <si>
    <t>TXN00000795</t>
  </si>
  <si>
    <t>Larry Vix</t>
  </si>
  <si>
    <t>AGENT00005</t>
  </si>
  <si>
    <t>TXN00000796</t>
  </si>
  <si>
    <t>Melina Stuck</t>
  </si>
  <si>
    <t>AGENT01141</t>
  </si>
  <si>
    <t>TXN00000797</t>
  </si>
  <si>
    <t>Peter Marrufo</t>
  </si>
  <si>
    <t>TXN00000798</t>
  </si>
  <si>
    <t>Sandra Cogswell</t>
  </si>
  <si>
    <t>TXN00000799</t>
  </si>
  <si>
    <t>Corine Phillis</t>
  </si>
  <si>
    <t>Newfane</t>
  </si>
  <si>
    <t>VNDR00096</t>
  </si>
  <si>
    <t>AGENT01167</t>
  </si>
  <si>
    <t>TXN00000800</t>
  </si>
  <si>
    <t>Eric Eastlick</t>
  </si>
  <si>
    <t>TXN00000801</t>
  </si>
  <si>
    <t>Paulette Bebout</t>
  </si>
  <si>
    <t>Piedmont</t>
  </si>
  <si>
    <t>TXN00000802</t>
  </si>
  <si>
    <t>Morgan Bautista</t>
  </si>
  <si>
    <t>AGENT00611</t>
  </si>
  <si>
    <t>TXN00000803</t>
  </si>
  <si>
    <t>Kathy Marquez</t>
  </si>
  <si>
    <t>TXN00000804</t>
  </si>
  <si>
    <t>Victor Applegate</t>
  </si>
  <si>
    <t>VNDR00284</t>
  </si>
  <si>
    <t>AGENT01112</t>
  </si>
  <si>
    <t>TXN00000805</t>
  </si>
  <si>
    <t>Ann Vasquez</t>
  </si>
  <si>
    <t>AGENT00831</t>
  </si>
  <si>
    <t>TXN00000806</t>
  </si>
  <si>
    <t>Daniel Haas</t>
  </si>
  <si>
    <t>VNDR00186</t>
  </si>
  <si>
    <t>TXN00000807</t>
  </si>
  <si>
    <t>Joseph Jones</t>
  </si>
  <si>
    <t>TXN00000808</t>
  </si>
  <si>
    <t>Dan Barnes</t>
  </si>
  <si>
    <t>VNDR00154</t>
  </si>
  <si>
    <t>TXN00000809</t>
  </si>
  <si>
    <t>Rebecca Taylor</t>
  </si>
  <si>
    <t>TXN00000810</t>
  </si>
  <si>
    <t>In Mendez</t>
  </si>
  <si>
    <t>TXN00000811</t>
  </si>
  <si>
    <t>Derek Petermann</t>
  </si>
  <si>
    <t>TXN00000812</t>
  </si>
  <si>
    <t>Malcolm Fulton</t>
  </si>
  <si>
    <t>TXN00000813</t>
  </si>
  <si>
    <t>Ethel Leggett</t>
  </si>
  <si>
    <t>TXN00000814</t>
  </si>
  <si>
    <t>Isela Sreaves</t>
  </si>
  <si>
    <t>TXN00000815</t>
  </si>
  <si>
    <t>James Broughton</t>
  </si>
  <si>
    <t>VNDR00050</t>
  </si>
  <si>
    <t>AGENT01135</t>
  </si>
  <si>
    <t>TXN00000816</t>
  </si>
  <si>
    <t>Robert Belcher</t>
  </si>
  <si>
    <t>VNDR00120</t>
  </si>
  <si>
    <t>TXN00000817</t>
  </si>
  <si>
    <t>Mildred Gallegos</t>
  </si>
  <si>
    <t>AGENT01044</t>
  </si>
  <si>
    <t>TXN00000818</t>
  </si>
  <si>
    <t>Kenneth Swindell</t>
  </si>
  <si>
    <t>VNDR00401</t>
  </si>
  <si>
    <t>AGENT00287</t>
  </si>
  <si>
    <t>TXN00000819</t>
  </si>
  <si>
    <t>George Fletcher</t>
  </si>
  <si>
    <t>Lunenburg</t>
  </si>
  <si>
    <t>AGENT00389</t>
  </si>
  <si>
    <t>TXN00000820</t>
  </si>
  <si>
    <t>Reginald Block</t>
  </si>
  <si>
    <t>AGENT00927</t>
  </si>
  <si>
    <t>TXN00000821</t>
  </si>
  <si>
    <t>Vicente Warren</t>
  </si>
  <si>
    <t>TXN00000822</t>
  </si>
  <si>
    <t>Simon Crissler</t>
  </si>
  <si>
    <t>TXN00000823</t>
  </si>
  <si>
    <t>Graham Gammon</t>
  </si>
  <si>
    <t>Brentwood</t>
  </si>
  <si>
    <t>AGENT00854</t>
  </si>
  <si>
    <t>TXN00000824</t>
  </si>
  <si>
    <t>Julia Marcano</t>
  </si>
  <si>
    <t>TXN00000825</t>
  </si>
  <si>
    <t>Jeannine Mcconnell</t>
  </si>
  <si>
    <t>TXN00000826</t>
  </si>
  <si>
    <t>Joan Brasfield</t>
  </si>
  <si>
    <t>TXN00000827</t>
  </si>
  <si>
    <t>Carolyn Perry</t>
  </si>
  <si>
    <t>VNDR00002</t>
  </si>
  <si>
    <t>AGENT00726</t>
  </si>
  <si>
    <t>TXN00000828</t>
  </si>
  <si>
    <t>Elizabeth Johnson</t>
  </si>
  <si>
    <t>TXN00000829</t>
  </si>
  <si>
    <t>Nancy Levitz</t>
  </si>
  <si>
    <t>AGENT00016</t>
  </si>
  <si>
    <t>TXN00000830</t>
  </si>
  <si>
    <t>Joshua Goodwin</t>
  </si>
  <si>
    <t>AGENT00758</t>
  </si>
  <si>
    <t>TXN00000831</t>
  </si>
  <si>
    <t>Maria Hom</t>
  </si>
  <si>
    <t>Choctaw</t>
  </si>
  <si>
    <t>TXN00000832</t>
  </si>
  <si>
    <t>Claire Childress</t>
  </si>
  <si>
    <t>AGENT00373</t>
  </si>
  <si>
    <t>TXN00000833</t>
  </si>
  <si>
    <t>Blanche Roberson</t>
  </si>
  <si>
    <t>Westford</t>
  </si>
  <si>
    <t>AGENT00857</t>
  </si>
  <si>
    <t>TXN00000834</t>
  </si>
  <si>
    <t>Ernest Marvin</t>
  </si>
  <si>
    <t>TXN00000835</t>
  </si>
  <si>
    <t>Elias Leon</t>
  </si>
  <si>
    <t>VNDR00113</t>
  </si>
  <si>
    <t>AGENT00964</t>
  </si>
  <si>
    <t>TXN00000836</t>
  </si>
  <si>
    <t>Edward White</t>
  </si>
  <si>
    <t>TXN00000837</t>
  </si>
  <si>
    <t>Liza Thompson</t>
  </si>
  <si>
    <t>Moretown</t>
  </si>
  <si>
    <t>VNDR00473</t>
  </si>
  <si>
    <t>TXN00000838</t>
  </si>
  <si>
    <t>Drew Harrison</t>
  </si>
  <si>
    <t>AGENT00609</t>
  </si>
  <si>
    <t>TXN00000839</t>
  </si>
  <si>
    <t>Byron Piercy</t>
  </si>
  <si>
    <t>AGENT00034</t>
  </si>
  <si>
    <t>TXN00000840</t>
  </si>
  <si>
    <t>Greg Arispe</t>
  </si>
  <si>
    <t>TXN00000841</t>
  </si>
  <si>
    <t>Cathrine Fuller</t>
  </si>
  <si>
    <t>AGENT00346</t>
  </si>
  <si>
    <t>TXN00000842</t>
  </si>
  <si>
    <t>Evan Elliott</t>
  </si>
  <si>
    <t>AGENT01016</t>
  </si>
  <si>
    <t>TXN00000843</t>
  </si>
  <si>
    <t>James Cameron</t>
  </si>
  <si>
    <t>TXN00000844</t>
  </si>
  <si>
    <t>John Cook</t>
  </si>
  <si>
    <t>TXN00000845</t>
  </si>
  <si>
    <t>Arthur Echols</t>
  </si>
  <si>
    <t>TXN00000846</t>
  </si>
  <si>
    <t>Margaret Gahagan</t>
  </si>
  <si>
    <t>Holden</t>
  </si>
  <si>
    <t>AGENT00924</t>
  </si>
  <si>
    <t>TXN00000847</t>
  </si>
  <si>
    <t>Shirley Villanueva</t>
  </si>
  <si>
    <t>VNDR00520</t>
  </si>
  <si>
    <t>AGENT00261</t>
  </si>
  <si>
    <t>TXN00000848</t>
  </si>
  <si>
    <t>John Langston</t>
  </si>
  <si>
    <t>AGENT00215</t>
  </si>
  <si>
    <t>TXN00000849</t>
  </si>
  <si>
    <t>Shawn Lancaster</t>
  </si>
  <si>
    <t>AGENT01045</t>
  </si>
  <si>
    <t>TXN00000850</t>
  </si>
  <si>
    <t>Donny Weinstein</t>
  </si>
  <si>
    <t>TXN00000851</t>
  </si>
  <si>
    <t>John Lynch</t>
  </si>
  <si>
    <t>Tewksbury</t>
  </si>
  <si>
    <t>TXN00000852</t>
  </si>
  <si>
    <t>Christina Childress</t>
  </si>
  <si>
    <t>VNDR00049</t>
  </si>
  <si>
    <t>AGENT00229</t>
  </si>
  <si>
    <t>TXN00000853</t>
  </si>
  <si>
    <t>Roxanne Chiarini</t>
  </si>
  <si>
    <t>VNDR00221</t>
  </si>
  <si>
    <t>AGENT00096</t>
  </si>
  <si>
    <t>TXN00000854</t>
  </si>
  <si>
    <t>Dante Wesley</t>
  </si>
  <si>
    <t>AGENT00821</t>
  </si>
  <si>
    <t>TXN00000855</t>
  </si>
  <si>
    <t>Edward Ford</t>
  </si>
  <si>
    <t>AGENT00595</t>
  </si>
  <si>
    <t>TXN00000856</t>
  </si>
  <si>
    <t>Nell Henry</t>
  </si>
  <si>
    <t>AGENT00544</t>
  </si>
  <si>
    <t>TXN00000857</t>
  </si>
  <si>
    <t>Eric Owens</t>
  </si>
  <si>
    <t>AGENT00126</t>
  </si>
  <si>
    <t>TXN00000858</t>
  </si>
  <si>
    <t>Timothy Ayala</t>
  </si>
  <si>
    <t>TXN00000859</t>
  </si>
  <si>
    <t>Laura Larrabee</t>
  </si>
  <si>
    <t>AGENT00216</t>
  </si>
  <si>
    <t>TXN00000860</t>
  </si>
  <si>
    <t>Kristen Deblauw</t>
  </si>
  <si>
    <t>VNDR00369</t>
  </si>
  <si>
    <t>TXN00000861</t>
  </si>
  <si>
    <t>Lauren Gearhart</t>
  </si>
  <si>
    <t>TXN00000862</t>
  </si>
  <si>
    <t>Becky Meza</t>
  </si>
  <si>
    <t>AGENT00547</t>
  </si>
  <si>
    <t>TXN00000863</t>
  </si>
  <si>
    <t>Olga Sheehan</t>
  </si>
  <si>
    <t>AGENT00133</t>
  </si>
  <si>
    <t>TXN00000864</t>
  </si>
  <si>
    <t>Helen Robinson</t>
  </si>
  <si>
    <t>Maidstone</t>
  </si>
  <si>
    <t>TXN00000865</t>
  </si>
  <si>
    <t>Anthony Gallo</t>
  </si>
  <si>
    <t>TXN00000866</t>
  </si>
  <si>
    <t>Calvin Smith</t>
  </si>
  <si>
    <t>TXN00000867</t>
  </si>
  <si>
    <t>Jan Mcentire</t>
  </si>
  <si>
    <t>AGENT00722</t>
  </si>
  <si>
    <t>TXN00000868</t>
  </si>
  <si>
    <t>Tyler Mccormick</t>
  </si>
  <si>
    <t>AGENT00052</t>
  </si>
  <si>
    <t>TXN00000869</t>
  </si>
  <si>
    <t>Patty Romero</t>
  </si>
  <si>
    <t>TXN00000870</t>
  </si>
  <si>
    <t>Brandon Voss</t>
  </si>
  <si>
    <t>TXN00000871</t>
  </si>
  <si>
    <t>Jennifer Watson</t>
  </si>
  <si>
    <t>AGENT00873</t>
  </si>
  <si>
    <t>TXN00000872</t>
  </si>
  <si>
    <t>Jane Littlefield</t>
  </si>
  <si>
    <t>AGENT00787</t>
  </si>
  <si>
    <t>TXN00000873</t>
  </si>
  <si>
    <t>Pamela Luby</t>
  </si>
  <si>
    <t>Jeffersontown</t>
  </si>
  <si>
    <t>AGENT00157</t>
  </si>
  <si>
    <t>TXN00000874</t>
  </si>
  <si>
    <t>Scott Alvarez</t>
  </si>
  <si>
    <t>AGENT01140</t>
  </si>
  <si>
    <t>TXN00000875</t>
  </si>
  <si>
    <t>James Dixon</t>
  </si>
  <si>
    <t>Dublin</t>
  </si>
  <si>
    <t>TXN00000876</t>
  </si>
  <si>
    <t>TXN00000877</t>
  </si>
  <si>
    <t>Ann Amos</t>
  </si>
  <si>
    <t>TXN00000878</t>
  </si>
  <si>
    <t>Arnold Rivera</t>
  </si>
  <si>
    <t>TXN00000879</t>
  </si>
  <si>
    <t>Brenda Norman</t>
  </si>
  <si>
    <t>AGENT00852</t>
  </si>
  <si>
    <t>TXN00000880</t>
  </si>
  <si>
    <t>Shannon Bledsoe</t>
  </si>
  <si>
    <t>AGENT00737</t>
  </si>
  <si>
    <t>TXN00000881</t>
  </si>
  <si>
    <t>Jeffery Chernosky</t>
  </si>
  <si>
    <t>TXN00000882</t>
  </si>
  <si>
    <t>Thomas Smith</t>
  </si>
  <si>
    <t>AGENT00042</t>
  </si>
  <si>
    <t>TXN00000883</t>
  </si>
  <si>
    <t>Catherine Thomas</t>
  </si>
  <si>
    <t>Fountain</t>
  </si>
  <si>
    <t>TXN00000884</t>
  </si>
  <si>
    <t>Jason Smith</t>
  </si>
  <si>
    <t>AGENT00629</t>
  </si>
  <si>
    <t>TXN00000885</t>
  </si>
  <si>
    <t>Connie Gary</t>
  </si>
  <si>
    <t>AGENT00618</t>
  </si>
  <si>
    <t>TXN00000886</t>
  </si>
  <si>
    <t>Paul Crim</t>
  </si>
  <si>
    <t>TXN00000887</t>
  </si>
  <si>
    <t>Gene Elem</t>
  </si>
  <si>
    <t>TXN00000888</t>
  </si>
  <si>
    <t>Robert Kunzel</t>
  </si>
  <si>
    <t>TXN00000889</t>
  </si>
  <si>
    <t>Jenifer Chick</t>
  </si>
  <si>
    <t>TXN00000890</t>
  </si>
  <si>
    <t>Nathan Brown</t>
  </si>
  <si>
    <t>VNDR00454</t>
  </si>
  <si>
    <t>TXN00000891</t>
  </si>
  <si>
    <t>Paul Jones</t>
  </si>
  <si>
    <t>South Burlington</t>
  </si>
  <si>
    <t>AGENT00381</t>
  </si>
  <si>
    <t>TXN00000892</t>
  </si>
  <si>
    <t>Billy Lilly</t>
  </si>
  <si>
    <t>VNDR00355</t>
  </si>
  <si>
    <t>AGENT00502</t>
  </si>
  <si>
    <t>TXN00000893</t>
  </si>
  <si>
    <t>Jean Murray</t>
  </si>
  <si>
    <t>Santa Cruz</t>
  </si>
  <si>
    <t>TXN00000894</t>
  </si>
  <si>
    <t>Kenneth Carrillo</t>
  </si>
  <si>
    <t>TXN00000895</t>
  </si>
  <si>
    <t>Tanisha Hazel</t>
  </si>
  <si>
    <t>TXN00000896</t>
  </si>
  <si>
    <t>Steve Sain</t>
  </si>
  <si>
    <t>TXN00000897</t>
  </si>
  <si>
    <t>Allen Turney</t>
  </si>
  <si>
    <t>AGENT00736</t>
  </si>
  <si>
    <t>TXN00000898</t>
  </si>
  <si>
    <t>Don Cooper</t>
  </si>
  <si>
    <t>TXN00000899</t>
  </si>
  <si>
    <t>Lonnie Carrier</t>
  </si>
  <si>
    <t>Pittsfield</t>
  </si>
  <si>
    <t>AGENT01004</t>
  </si>
  <si>
    <t>TXN00000900</t>
  </si>
  <si>
    <t>Pamela Riggs</t>
  </si>
  <si>
    <t>AGENT00703</t>
  </si>
  <si>
    <t>TXN00000901</t>
  </si>
  <si>
    <t>John Cox</t>
  </si>
  <si>
    <t>TXN00000902</t>
  </si>
  <si>
    <t>Kenneth Martin</t>
  </si>
  <si>
    <t>TXN00000903</t>
  </si>
  <si>
    <t>Imogene Salinas</t>
  </si>
  <si>
    <t>VNDR00387</t>
  </si>
  <si>
    <t>AGENT00810</t>
  </si>
  <si>
    <t>TXN00000904</t>
  </si>
  <si>
    <t>Martha Patwell</t>
  </si>
  <si>
    <t>AGENT00851</t>
  </si>
  <si>
    <t>TXN00000905</t>
  </si>
  <si>
    <t>Nicole Sherman</t>
  </si>
  <si>
    <t>AGENT00681</t>
  </si>
  <si>
    <t>TXN00000906</t>
  </si>
  <si>
    <t>Jonathan Barrera</t>
  </si>
  <si>
    <t>VNDR00068</t>
  </si>
  <si>
    <t>AGENT00876</t>
  </si>
  <si>
    <t>TXN00000907</t>
  </si>
  <si>
    <t>Marissa Parker</t>
  </si>
  <si>
    <t>AGENT00445</t>
  </si>
  <si>
    <t>TXN00000908</t>
  </si>
  <si>
    <t>Connie Milligan</t>
  </si>
  <si>
    <t>AGENT00417</t>
  </si>
  <si>
    <t>TXN00000909</t>
  </si>
  <si>
    <t>Bob Sarracino</t>
  </si>
  <si>
    <t>AGENT01018</t>
  </si>
  <si>
    <t>TXN00000910</t>
  </si>
  <si>
    <t>Erica Revels</t>
  </si>
  <si>
    <t>King City</t>
  </si>
  <si>
    <t>AGENT00880</t>
  </si>
  <si>
    <t>TXN00000911</t>
  </si>
  <si>
    <t>Adrienne Mccarty</t>
  </si>
  <si>
    <t>AGENT00494</t>
  </si>
  <si>
    <t>TXN00000912</t>
  </si>
  <si>
    <t>Moises Stewart</t>
  </si>
  <si>
    <t>TXN00000913</t>
  </si>
  <si>
    <t>Marcia Billings</t>
  </si>
  <si>
    <t>AGENT00282</t>
  </si>
  <si>
    <t>TXN00000914</t>
  </si>
  <si>
    <t>Patrica Ellinwood</t>
  </si>
  <si>
    <t>Vallejo</t>
  </si>
  <si>
    <t>TXN00000915</t>
  </si>
  <si>
    <t>Joy Bueno</t>
  </si>
  <si>
    <t>TXN00000916</t>
  </si>
  <si>
    <t>Jack Bren</t>
  </si>
  <si>
    <t>TXN00000917</t>
  </si>
  <si>
    <t>Pearlie Galvez</t>
  </si>
  <si>
    <t>TXN00000918</t>
  </si>
  <si>
    <t>Norman Nguyen</t>
  </si>
  <si>
    <t>TXN00000919</t>
  </si>
  <si>
    <t>James Sutton</t>
  </si>
  <si>
    <t>TXN00000920</t>
  </si>
  <si>
    <t>Don Solorio</t>
  </si>
  <si>
    <t>TXN00000921</t>
  </si>
  <si>
    <t>Les Ikard</t>
  </si>
  <si>
    <t>VNDR00492</t>
  </si>
  <si>
    <t>AGENT00221</t>
  </si>
  <si>
    <t>TXN00000922</t>
  </si>
  <si>
    <t>Philip Patton</t>
  </si>
  <si>
    <t>TXN00000923</t>
  </si>
  <si>
    <t>Herbert Teel</t>
  </si>
  <si>
    <t>AGENT01026</t>
  </si>
  <si>
    <t>TXN00000924</t>
  </si>
  <si>
    <t>Marsha Heaton</t>
  </si>
  <si>
    <t>TXN00000925</t>
  </si>
  <si>
    <t>Nancy Crawford</t>
  </si>
  <si>
    <t>Mount Juliet</t>
  </si>
  <si>
    <t>TXN00000926</t>
  </si>
  <si>
    <t>Lowell Contreras</t>
  </si>
  <si>
    <t>TXN00000927</t>
  </si>
  <si>
    <t>Kenneth White</t>
  </si>
  <si>
    <t>TXN00000928</t>
  </si>
  <si>
    <t>Timothy Oneill</t>
  </si>
  <si>
    <t>VNDR00580</t>
  </si>
  <si>
    <t>TXN00000929</t>
  </si>
  <si>
    <t>Edgardo Schmidt</t>
  </si>
  <si>
    <t>VNDR00129</t>
  </si>
  <si>
    <t>AGENT00729</t>
  </si>
  <si>
    <t>TXN00000930</t>
  </si>
  <si>
    <t>Jo Shepard</t>
  </si>
  <si>
    <t>AGENT00010</t>
  </si>
  <si>
    <t>TXN00000931</t>
  </si>
  <si>
    <t>Tuyet King</t>
  </si>
  <si>
    <t>AGENT00439</t>
  </si>
  <si>
    <t>TXN00000932</t>
  </si>
  <si>
    <t>Tommy Metz</t>
  </si>
  <si>
    <t>AGENT00175</t>
  </si>
  <si>
    <t>TXN00000933</t>
  </si>
  <si>
    <t>Bernard Maples</t>
  </si>
  <si>
    <t>Brockton</t>
  </si>
  <si>
    <t>VNDR00244</t>
  </si>
  <si>
    <t>AGENT00725</t>
  </si>
  <si>
    <t>TXN00000934</t>
  </si>
  <si>
    <t>James Hook</t>
  </si>
  <si>
    <t>VNDR00403</t>
  </si>
  <si>
    <t>TXN00000935</t>
  </si>
  <si>
    <t>Patsy Richmond</t>
  </si>
  <si>
    <t>VNDR00166</t>
  </si>
  <si>
    <t>AGENT00504</t>
  </si>
  <si>
    <t>TXN00000936</t>
  </si>
  <si>
    <t>Efren Coker</t>
  </si>
  <si>
    <t>TXN00000937</t>
  </si>
  <si>
    <t>Luz Vance</t>
  </si>
  <si>
    <t>AGENT00230</t>
  </si>
  <si>
    <t>TXN00000938</t>
  </si>
  <si>
    <t>Shirley Peterson</t>
  </si>
  <si>
    <t>San Gabriel</t>
  </si>
  <si>
    <t>TXN00000939</t>
  </si>
  <si>
    <t>Allen Garcia</t>
  </si>
  <si>
    <t>AGENT00326</t>
  </si>
  <si>
    <t>TXN00000940</t>
  </si>
  <si>
    <t>Bobby Rice</t>
  </si>
  <si>
    <t>Tollhouse</t>
  </si>
  <si>
    <t>VNDR00100</t>
  </si>
  <si>
    <t>AGENT00653</t>
  </si>
  <si>
    <t>TXN00000941</t>
  </si>
  <si>
    <t>Margaret Applewhite</t>
  </si>
  <si>
    <t>AGENT00592</t>
  </si>
  <si>
    <t>TXN00000942</t>
  </si>
  <si>
    <t>Michele Aycock</t>
  </si>
  <si>
    <t>VNDR00108</t>
  </si>
  <si>
    <t>TXN00000943</t>
  </si>
  <si>
    <t>Lorene Hampton</t>
  </si>
  <si>
    <t>TXN00000944</t>
  </si>
  <si>
    <t>Teresa Ines</t>
  </si>
  <si>
    <t>TXN00000945</t>
  </si>
  <si>
    <t>Rita Dejesus</t>
  </si>
  <si>
    <t>AGENT00708</t>
  </si>
  <si>
    <t>TXN00000946</t>
  </si>
  <si>
    <t>Chung Odell</t>
  </si>
  <si>
    <t>AGENT00795</t>
  </si>
  <si>
    <t>TXN00000947</t>
  </si>
  <si>
    <t>Peter Palmer</t>
  </si>
  <si>
    <t>Goodlettsville</t>
  </si>
  <si>
    <t>AGENT00605</t>
  </si>
  <si>
    <t>TXN00000948</t>
  </si>
  <si>
    <t>Elda Brundidge</t>
  </si>
  <si>
    <t>Tyngsborough</t>
  </si>
  <si>
    <t>VNDR00312</t>
  </si>
  <si>
    <t>TXN00000949</t>
  </si>
  <si>
    <t>Gina Moorehouse</t>
  </si>
  <si>
    <t>AGENT00698</t>
  </si>
  <si>
    <t>TXN00000950</t>
  </si>
  <si>
    <t>Lillian Dewitt</t>
  </si>
  <si>
    <t>VNDR00549</t>
  </si>
  <si>
    <t>TXN00000951</t>
  </si>
  <si>
    <t>Yolanda Pipes</t>
  </si>
  <si>
    <t>TXN00000952</t>
  </si>
  <si>
    <t>Leona Wallen</t>
  </si>
  <si>
    <t>TXN00000953</t>
  </si>
  <si>
    <t>Janet Hess</t>
  </si>
  <si>
    <t>TXN00000954</t>
  </si>
  <si>
    <t>Ryan Hansen</t>
  </si>
  <si>
    <t>TXN00000955</t>
  </si>
  <si>
    <t>Clyde Ferris</t>
  </si>
  <si>
    <t>AGENT00752</t>
  </si>
  <si>
    <t>TXN00000956</t>
  </si>
  <si>
    <t>Shirley Wood</t>
  </si>
  <si>
    <t>Milford</t>
  </si>
  <si>
    <t>AGENT00470</t>
  </si>
  <si>
    <t>TXN00000957</t>
  </si>
  <si>
    <t>Frank Valerius</t>
  </si>
  <si>
    <t>O'Neals</t>
  </si>
  <si>
    <t>AGENT00150</t>
  </si>
  <si>
    <t>TXN00000958</t>
  </si>
  <si>
    <t>Wanda Melton</t>
  </si>
  <si>
    <t>AGENT00951</t>
  </si>
  <si>
    <t>TXN00000959</t>
  </si>
  <si>
    <t>Jasmine Quarnstrom</t>
  </si>
  <si>
    <t>AGENT00520</t>
  </si>
  <si>
    <t>TXN00000960</t>
  </si>
  <si>
    <t>Barbara Levin</t>
  </si>
  <si>
    <t>Truckee</t>
  </si>
  <si>
    <t>AGENT01198</t>
  </si>
  <si>
    <t>TXN00000961</t>
  </si>
  <si>
    <t>Charles Day</t>
  </si>
  <si>
    <t>AGENT01080</t>
  </si>
  <si>
    <t>TXN00000962</t>
  </si>
  <si>
    <t>Donald Jasso</t>
  </si>
  <si>
    <t>TXN00000963</t>
  </si>
  <si>
    <t>Hortense Parker</t>
  </si>
  <si>
    <t>AGENT01122</t>
  </si>
  <si>
    <t>TXN00000964</t>
  </si>
  <si>
    <t>Rachel Olson</t>
  </si>
  <si>
    <t>VNDR00477</t>
  </si>
  <si>
    <t>AGENT00386</t>
  </si>
  <si>
    <t>TXN00000965</t>
  </si>
  <si>
    <t>Charlene Steppig</t>
  </si>
  <si>
    <t>TXN00000966</t>
  </si>
  <si>
    <t>Clarence Kohn</t>
  </si>
  <si>
    <t>AGENT00610</t>
  </si>
  <si>
    <t>TXN00000967</t>
  </si>
  <si>
    <t>Erma Martin</t>
  </si>
  <si>
    <t>VNDR00318</t>
  </si>
  <si>
    <t>TXN00000968</t>
  </si>
  <si>
    <t>Lawrence Sherry</t>
  </si>
  <si>
    <t>TXN00000969</t>
  </si>
  <si>
    <t>Dennis Sanchez</t>
  </si>
  <si>
    <t>AGENT00733</t>
  </si>
  <si>
    <t>TXN00000970</t>
  </si>
  <si>
    <t>Kerry Spicer</t>
  </si>
  <si>
    <t>AGENT00165</t>
  </si>
  <si>
    <t>TXN00000971</t>
  </si>
  <si>
    <t>Dorothy King</t>
  </si>
  <si>
    <t>TXN00000972</t>
  </si>
  <si>
    <t>Candy Kym</t>
  </si>
  <si>
    <t>TXN00000973</t>
  </si>
  <si>
    <t>Obdulia Hart</t>
  </si>
  <si>
    <t>TXN00000974</t>
  </si>
  <si>
    <t>Kathleen Ogle</t>
  </si>
  <si>
    <t>AGENT00238</t>
  </si>
  <si>
    <t>TXN00000975</t>
  </si>
  <si>
    <t>Celestine Travis</t>
  </si>
  <si>
    <t>AGENT01189</t>
  </si>
  <si>
    <t>TXN00000976</t>
  </si>
  <si>
    <t>Guy Black</t>
  </si>
  <si>
    <t>TXN00000977</t>
  </si>
  <si>
    <t>Marie Hughes</t>
  </si>
  <si>
    <t>AGENT01071</t>
  </si>
  <si>
    <t>TXN00000978</t>
  </si>
  <si>
    <t>Sandra Snell</t>
  </si>
  <si>
    <t>AGENT01050</t>
  </si>
  <si>
    <t>TXN00000979</t>
  </si>
  <si>
    <t>Marshall Davis</t>
  </si>
  <si>
    <t>AGENT00128</t>
  </si>
  <si>
    <t>TXN00000980</t>
  </si>
  <si>
    <t>William Nystrom</t>
  </si>
  <si>
    <t>Townshend</t>
  </si>
  <si>
    <t>TXN00000981</t>
  </si>
  <si>
    <t>Peter Helm</t>
  </si>
  <si>
    <t>Castro Valley</t>
  </si>
  <si>
    <t>TXN00000982</t>
  </si>
  <si>
    <t>Gregory Brown</t>
  </si>
  <si>
    <t>AGENT00784</t>
  </si>
  <si>
    <t>TXN00000983</t>
  </si>
  <si>
    <t>Martha Arroliga</t>
  </si>
  <si>
    <t>TXN00000984</t>
  </si>
  <si>
    <t>Edyth Hogan</t>
  </si>
  <si>
    <t>TXN00000985</t>
  </si>
  <si>
    <t>Bette Teague</t>
  </si>
  <si>
    <t>TXN00000986</t>
  </si>
  <si>
    <t>Trevor Rowell</t>
  </si>
  <si>
    <t>TXN00000987</t>
  </si>
  <si>
    <t>Linda Ortega</t>
  </si>
  <si>
    <t>AGENT00756</t>
  </si>
  <si>
    <t>TXN00000988</t>
  </si>
  <si>
    <t>Michael Field</t>
  </si>
  <si>
    <t>TXN00000989</t>
  </si>
  <si>
    <t>Patricia Blach</t>
  </si>
  <si>
    <t>TXN00000990</t>
  </si>
  <si>
    <t>Rosalie Roberts</t>
  </si>
  <si>
    <t>TXN00000991</t>
  </si>
  <si>
    <t>Julie Cullum</t>
  </si>
  <si>
    <t>TXN00000992</t>
  </si>
  <si>
    <t>Phillip Carl</t>
  </si>
  <si>
    <t>TXN00000993</t>
  </si>
  <si>
    <t>Melvin Lee</t>
  </si>
  <si>
    <t>AGENT00576</t>
  </si>
  <si>
    <t>TXN00000994</t>
  </si>
  <si>
    <t>Cristal Coppedge</t>
  </si>
  <si>
    <t>Paso Robles</t>
  </si>
  <si>
    <t>AGENT00589</t>
  </si>
  <si>
    <t>TXN00000995</t>
  </si>
  <si>
    <t>Erica Neidich</t>
  </si>
  <si>
    <t>AGENT01084</t>
  </si>
  <si>
    <t>TXN00000996</t>
  </si>
  <si>
    <t>Scott Cole</t>
  </si>
  <si>
    <t>VNDR00114</t>
  </si>
  <si>
    <t>TXN00000997</t>
  </si>
  <si>
    <t>Brenda Castleman</t>
  </si>
  <si>
    <t>VNDR00440</t>
  </si>
  <si>
    <t>TXN00000998</t>
  </si>
  <si>
    <t>Joseph Lynch</t>
  </si>
  <si>
    <t>TXN00000999</t>
  </si>
  <si>
    <t>Robert Goodman</t>
  </si>
  <si>
    <t>VNDR00289</t>
  </si>
  <si>
    <t>TXN00001000</t>
  </si>
  <si>
    <t>Wilmer Robertson</t>
  </si>
  <si>
    <t>AGENT00089</t>
  </si>
  <si>
    <t>TXN00001001</t>
  </si>
  <si>
    <t>Mark Braswell</t>
  </si>
  <si>
    <t>TXN00001002</t>
  </si>
  <si>
    <t>Hazel Barone</t>
  </si>
  <si>
    <t>TXN00001003</t>
  </si>
  <si>
    <t>Patty Deloatch</t>
  </si>
  <si>
    <t>AGENT00530</t>
  </si>
  <si>
    <t>TXN00001004</t>
  </si>
  <si>
    <t>William Marcus</t>
  </si>
  <si>
    <t>TXN00001005</t>
  </si>
  <si>
    <t>Marjorie Madewell</t>
  </si>
  <si>
    <t>AGENT00932</t>
  </si>
  <si>
    <t>TXN00001006</t>
  </si>
  <si>
    <t>Charlene Sharpe</t>
  </si>
  <si>
    <t>AGENT00755</t>
  </si>
  <si>
    <t>TXN00001007</t>
  </si>
  <si>
    <t>Roger Sato</t>
  </si>
  <si>
    <t>Medway</t>
  </si>
  <si>
    <t>AGENT00560</t>
  </si>
  <si>
    <t>TXN00001008</t>
  </si>
  <si>
    <t>Grace Wong</t>
  </si>
  <si>
    <t>AGENT00370</t>
  </si>
  <si>
    <t>TXN00001009</t>
  </si>
  <si>
    <t>Ami Wells</t>
  </si>
  <si>
    <t>AGENT00078</t>
  </si>
  <si>
    <t>TXN00001010</t>
  </si>
  <si>
    <t>David Blake</t>
  </si>
  <si>
    <t>TXN00001011</t>
  </si>
  <si>
    <t>Felicita Mayes</t>
  </si>
  <si>
    <t>AGENT00419</t>
  </si>
  <si>
    <t>TXN00001012</t>
  </si>
  <si>
    <t>Mildred Johnson</t>
  </si>
  <si>
    <t>TXN00001013</t>
  </si>
  <si>
    <t>Robert Koch</t>
  </si>
  <si>
    <t>AGENT00484</t>
  </si>
  <si>
    <t>TXN00001014</t>
  </si>
  <si>
    <t>Therese Leon</t>
  </si>
  <si>
    <t>AGENT00909</t>
  </si>
  <si>
    <t>TXN00001015</t>
  </si>
  <si>
    <t>James Rodgers</t>
  </si>
  <si>
    <t>TXN00001016</t>
  </si>
  <si>
    <t>Rebecca Hightower</t>
  </si>
  <si>
    <t>TXN00001017</t>
  </si>
  <si>
    <t>Michell Cummings</t>
  </si>
  <si>
    <t>TXN00001018</t>
  </si>
  <si>
    <t>David Love</t>
  </si>
  <si>
    <t>AGENT00569</t>
  </si>
  <si>
    <t>TXN00001019</t>
  </si>
  <si>
    <t>Alta Hawkins</t>
  </si>
  <si>
    <t>VNDR00464</t>
  </si>
  <si>
    <t>AGENT00836</t>
  </si>
  <si>
    <t>TXN00001020</t>
  </si>
  <si>
    <t>Anthony Larkin</t>
  </si>
  <si>
    <t>AGENT00505</t>
  </si>
  <si>
    <t>TXN00001021</t>
  </si>
  <si>
    <t>Paulette Bryan</t>
  </si>
  <si>
    <t>AGENT00915</t>
  </si>
  <si>
    <t>TXN00001022</t>
  </si>
  <si>
    <t>Alma Justice</t>
  </si>
  <si>
    <t>TXN00001023</t>
  </si>
  <si>
    <t>Nathan Nelson</t>
  </si>
  <si>
    <t>Carlsbad</t>
  </si>
  <si>
    <t>AGENT00487</t>
  </si>
  <si>
    <t>TXN00001024</t>
  </si>
  <si>
    <t>Dorothy Mckenzie</t>
  </si>
  <si>
    <t>TXN00001025</t>
  </si>
  <si>
    <t>James Phillips</t>
  </si>
  <si>
    <t>AGENT00995</t>
  </si>
  <si>
    <t>TXN00001026</t>
  </si>
  <si>
    <t>John Mayhugh</t>
  </si>
  <si>
    <t>TXN00001027</t>
  </si>
  <si>
    <t>Lauren Loftis</t>
  </si>
  <si>
    <t>VNDR00162</t>
  </si>
  <si>
    <t>AGENT00748</t>
  </si>
  <si>
    <t>TXN00001028</t>
  </si>
  <si>
    <t>Nathan Anderson</t>
  </si>
  <si>
    <t>TXN00001029</t>
  </si>
  <si>
    <t>Robert Duron</t>
  </si>
  <si>
    <t>AGENT00054</t>
  </si>
  <si>
    <t>TXN00001030</t>
  </si>
  <si>
    <t>Donald Chiquito</t>
  </si>
  <si>
    <t>TXN00001031</t>
  </si>
  <si>
    <t>Marian Oneal</t>
  </si>
  <si>
    <t>Tampa</t>
  </si>
  <si>
    <t>VNDR00495</t>
  </si>
  <si>
    <t>AGENT00967</t>
  </si>
  <si>
    <t>TXN00001032</t>
  </si>
  <si>
    <t>Norma Abramson</t>
  </si>
  <si>
    <t>TXN00001033</t>
  </si>
  <si>
    <t>Robert Robinson</t>
  </si>
  <si>
    <t>TXN00001034</t>
  </si>
  <si>
    <t>Evelyn Champagne</t>
  </si>
  <si>
    <t>AGENT00103</t>
  </si>
  <si>
    <t>TXN00001035</t>
  </si>
  <si>
    <t>Leslie Ramirez</t>
  </si>
  <si>
    <t>TXN00001036</t>
  </si>
  <si>
    <t>William Hurley</t>
  </si>
  <si>
    <t>AGENT00554</t>
  </si>
  <si>
    <t>TXN00001037</t>
  </si>
  <si>
    <t>Raymond Shellenberger</t>
  </si>
  <si>
    <t>AGENT00507</t>
  </si>
  <si>
    <t>TXN00001038</t>
  </si>
  <si>
    <t>Ella Laseter</t>
  </si>
  <si>
    <t>TXN00001039</t>
  </si>
  <si>
    <t>David Hall</t>
  </si>
  <si>
    <t>AGENT00549</t>
  </si>
  <si>
    <t>TXN00001040</t>
  </si>
  <si>
    <t>Debra Marczak</t>
  </si>
  <si>
    <t>TXN00001041</t>
  </si>
  <si>
    <t>Suzanne Orozco</t>
  </si>
  <si>
    <t>TXN00001042</t>
  </si>
  <si>
    <t>John Boyer</t>
  </si>
  <si>
    <t>AGENT00532</t>
  </si>
  <si>
    <t>TXN00001043</t>
  </si>
  <si>
    <t>Maria Luciani</t>
  </si>
  <si>
    <t>TXN00001044</t>
  </si>
  <si>
    <t>Jimmie Rodriguez</t>
  </si>
  <si>
    <t>AGENT00956</t>
  </si>
  <si>
    <t>TXN00001045</t>
  </si>
  <si>
    <t>Ruben Wright</t>
  </si>
  <si>
    <t>Lithia</t>
  </si>
  <si>
    <t>TXN00001046</t>
  </si>
  <si>
    <t>Joyce Garcia</t>
  </si>
  <si>
    <t>AGENT01159</t>
  </si>
  <si>
    <t>TXN00001047</t>
  </si>
  <si>
    <t>Shari Gransberry</t>
  </si>
  <si>
    <t>TXN00001048</t>
  </si>
  <si>
    <t>Felicia Love</t>
  </si>
  <si>
    <t>TXN00001049</t>
  </si>
  <si>
    <t>Carol Magana</t>
  </si>
  <si>
    <t>TXN00001050</t>
  </si>
  <si>
    <t>Brigitte Milan</t>
  </si>
  <si>
    <t>AGENT00351</t>
  </si>
  <si>
    <t>TXN00001051</t>
  </si>
  <si>
    <t>Eddy Hamilton</t>
  </si>
  <si>
    <t>TXN00001052</t>
  </si>
  <si>
    <t>Arthur Sullivan</t>
  </si>
  <si>
    <t>AGENT00991</t>
  </si>
  <si>
    <t>TXN00001053</t>
  </si>
  <si>
    <t>David Medley</t>
  </si>
  <si>
    <t>VNDR00268</t>
  </si>
  <si>
    <t>AGENT00190</t>
  </si>
  <si>
    <t>TXN00001054</t>
  </si>
  <si>
    <t>Martin Cavazos</t>
  </si>
  <si>
    <t>TXN00001055</t>
  </si>
  <si>
    <t>Daniel Jones</t>
  </si>
  <si>
    <t>TXN00001056</t>
  </si>
  <si>
    <t>William Murray</t>
  </si>
  <si>
    <t>AGENT00479</t>
  </si>
  <si>
    <t>TXN00001057</t>
  </si>
  <si>
    <t>Orville Carbone</t>
  </si>
  <si>
    <t>AGENT00897</t>
  </si>
  <si>
    <t>TXN00001058</t>
  </si>
  <si>
    <t>Tammy Li</t>
  </si>
  <si>
    <t>TXN00001059</t>
  </si>
  <si>
    <t>John Leberte</t>
  </si>
  <si>
    <t>TXN00001060</t>
  </si>
  <si>
    <t>Nicholas Denes</t>
  </si>
  <si>
    <t>AGENT00971</t>
  </si>
  <si>
    <t>TXN00001061</t>
  </si>
  <si>
    <t>Dorothy Shafer</t>
  </si>
  <si>
    <t>AGENT01143</t>
  </si>
  <si>
    <t>TXN00001062</t>
  </si>
  <si>
    <t>James Poormon</t>
  </si>
  <si>
    <t>AGENT01062</t>
  </si>
  <si>
    <t>TXN00001063</t>
  </si>
  <si>
    <t>James Lyvers</t>
  </si>
  <si>
    <t>TXN00001064</t>
  </si>
  <si>
    <t>Amanda Turnbull</t>
  </si>
  <si>
    <t>AGENT00584</t>
  </si>
  <si>
    <t>TXN00001065</t>
  </si>
  <si>
    <t>Hal Perdue</t>
  </si>
  <si>
    <t>TXN00001066</t>
  </si>
  <si>
    <t>Susan Collins</t>
  </si>
  <si>
    <t>Golden</t>
  </si>
  <si>
    <t>VNDR00317</t>
  </si>
  <si>
    <t>TXN00001067</t>
  </si>
  <si>
    <t>Steve Loya</t>
  </si>
  <si>
    <t>AGENT00025</t>
  </si>
  <si>
    <t>TXN00001068</t>
  </si>
  <si>
    <t>Ricky Petrie</t>
  </si>
  <si>
    <t>TXN00001069</t>
  </si>
  <si>
    <t>Molly Marcus</t>
  </si>
  <si>
    <t>VNDR00252</t>
  </si>
  <si>
    <t>AGENT00301</t>
  </si>
  <si>
    <t>TXN00001070</t>
  </si>
  <si>
    <t>Phyllis Marco</t>
  </si>
  <si>
    <t>VNDR00037</t>
  </si>
  <si>
    <t>TXN00001071</t>
  </si>
  <si>
    <t>Juan Uribe</t>
  </si>
  <si>
    <t>TXN00001072</t>
  </si>
  <si>
    <t>Michael Hill</t>
  </si>
  <si>
    <t>TXN00001073</t>
  </si>
  <si>
    <t>James Dill</t>
  </si>
  <si>
    <t>TXN00001074</t>
  </si>
  <si>
    <t>Esther Griffith</t>
  </si>
  <si>
    <t>TXN00001075</t>
  </si>
  <si>
    <t>Tammy Pedraza</t>
  </si>
  <si>
    <t>TXN00001076</t>
  </si>
  <si>
    <t>Karen James</t>
  </si>
  <si>
    <t>AGENT01033</t>
  </si>
  <si>
    <t>TXN00001077</t>
  </si>
  <si>
    <t>Robert Palazzi</t>
  </si>
  <si>
    <t>TXN00001078</t>
  </si>
  <si>
    <t>Daniel Gonzales</t>
  </si>
  <si>
    <t>AGENT01108</t>
  </si>
  <si>
    <t>TXN00001079</t>
  </si>
  <si>
    <t>Michael Knaff</t>
  </si>
  <si>
    <t>TXN00001080</t>
  </si>
  <si>
    <t>Marty Beam</t>
  </si>
  <si>
    <t>TXN00001081</t>
  </si>
  <si>
    <t>David Pleasant</t>
  </si>
  <si>
    <t>TXN00001082</t>
  </si>
  <si>
    <t>Anna Moya</t>
  </si>
  <si>
    <t>AGENT00033</t>
  </si>
  <si>
    <t>TXN00001083</t>
  </si>
  <si>
    <t>Jacqueline Wilkinson</t>
  </si>
  <si>
    <t>AGENT00793</t>
  </si>
  <si>
    <t>TXN00001084</t>
  </si>
  <si>
    <t>Jerrold Brown</t>
  </si>
  <si>
    <t>Aquinnah</t>
  </si>
  <si>
    <t>VNDR00098</t>
  </si>
  <si>
    <t>TXN00001085</t>
  </si>
  <si>
    <t>Daniel Pettiford</t>
  </si>
  <si>
    <t>Carson</t>
  </si>
  <si>
    <t>TXN00001086</t>
  </si>
  <si>
    <t>Sharon Garland</t>
  </si>
  <si>
    <t>AGENT00390</t>
  </si>
  <si>
    <t>TXN00001087</t>
  </si>
  <si>
    <t>Victor Schroeder</t>
  </si>
  <si>
    <t>TXN00001088</t>
  </si>
  <si>
    <t>Eileen Frazier</t>
  </si>
  <si>
    <t>AGENT00236</t>
  </si>
  <si>
    <t>TXN00001089</t>
  </si>
  <si>
    <t>Susie Reynolds</t>
  </si>
  <si>
    <t>TXN00001090</t>
  </si>
  <si>
    <t>David Huard</t>
  </si>
  <si>
    <t>TXN00001091</t>
  </si>
  <si>
    <t>Victor Carbone</t>
  </si>
  <si>
    <t>TXN00001092</t>
  </si>
  <si>
    <t>Christina Mondell</t>
  </si>
  <si>
    <t>TXN00001093</t>
  </si>
  <si>
    <t>Ernest Vela</t>
  </si>
  <si>
    <t>TXN00001094</t>
  </si>
  <si>
    <t>Frank Calderon</t>
  </si>
  <si>
    <t>TXN00001095</t>
  </si>
  <si>
    <t>Judith Karr</t>
  </si>
  <si>
    <t>AGENT00819</t>
  </si>
  <si>
    <t>TXN00001096</t>
  </si>
  <si>
    <t>Latoya Mcninch</t>
  </si>
  <si>
    <t>TXN00001097</t>
  </si>
  <si>
    <t>Jennefer Shields</t>
  </si>
  <si>
    <t>TXN00001098</t>
  </si>
  <si>
    <t>Tom Sandoval</t>
  </si>
  <si>
    <t>TXN00001099</t>
  </si>
  <si>
    <t>John Mcpherson</t>
  </si>
  <si>
    <t>TXN00001100</t>
  </si>
  <si>
    <t>Lawrence Andrews</t>
  </si>
  <si>
    <t>AGENT00949</t>
  </si>
  <si>
    <t>TXN00001101</t>
  </si>
  <si>
    <t>Colby Johnson</t>
  </si>
  <si>
    <t>Hinesburg</t>
  </si>
  <si>
    <t>TXN00001102</t>
  </si>
  <si>
    <t>Kenneth Hunt</t>
  </si>
  <si>
    <t>AGENT00820</t>
  </si>
  <si>
    <t>TXN00001103</t>
  </si>
  <si>
    <t>Esther Bigham</t>
  </si>
  <si>
    <t>Prospect</t>
  </si>
  <si>
    <t>AGENT00813</t>
  </si>
  <si>
    <t>TXN00001104</t>
  </si>
  <si>
    <t>Elizabeth Mcknight</t>
  </si>
  <si>
    <t>Garden City</t>
  </si>
  <si>
    <t>AGENT00860</t>
  </si>
  <si>
    <t>TXN00001105</t>
  </si>
  <si>
    <t>Lula Woodruff</t>
  </si>
  <si>
    <t>VNDR00349</t>
  </si>
  <si>
    <t>TXN00001106</t>
  </si>
  <si>
    <t>Adam Perez</t>
  </si>
  <si>
    <t>TXN00001107</t>
  </si>
  <si>
    <t>Willie Mcintosh</t>
  </si>
  <si>
    <t>AGENT00489</t>
  </si>
  <si>
    <t>TXN00001108</t>
  </si>
  <si>
    <t>Randy Yates</t>
  </si>
  <si>
    <t>AGENT00376</t>
  </si>
  <si>
    <t>TXN00001109</t>
  </si>
  <si>
    <t>Lynne Good</t>
  </si>
  <si>
    <t>Del City</t>
  </si>
  <si>
    <t>TXN00001110</t>
  </si>
  <si>
    <t>Irvin Hooker</t>
  </si>
  <si>
    <t>AGENT00169</t>
  </si>
  <si>
    <t>TXN00001111</t>
  </si>
  <si>
    <t>Raymond Pound</t>
  </si>
  <si>
    <t>Castleton</t>
  </si>
  <si>
    <t>TXN00001112</t>
  </si>
  <si>
    <t>Ralph Bolden</t>
  </si>
  <si>
    <t>TXN00001113</t>
  </si>
  <si>
    <t>Robert Green</t>
  </si>
  <si>
    <t>TXN00001114</t>
  </si>
  <si>
    <t>Stephen Shaw</t>
  </si>
  <si>
    <t>AGENT00154</t>
  </si>
  <si>
    <t>TXN00001115</t>
  </si>
  <si>
    <t>Christopher Hatfield</t>
  </si>
  <si>
    <t>TXN00001116</t>
  </si>
  <si>
    <t>Emely Medas</t>
  </si>
  <si>
    <t>AGENT00082</t>
  </si>
  <si>
    <t>TXN00001117</t>
  </si>
  <si>
    <t>Jeffrey Geimer</t>
  </si>
  <si>
    <t>AGENT01035</t>
  </si>
  <si>
    <t>TXN00001118</t>
  </si>
  <si>
    <t>Paul Power</t>
  </si>
  <si>
    <t>AGENT00655</t>
  </si>
  <si>
    <t>TXN00001119</t>
  </si>
  <si>
    <t>Delbert Mccandless</t>
  </si>
  <si>
    <t>AGENT00013</t>
  </si>
  <si>
    <t>TXN00001120</t>
  </si>
  <si>
    <t>Ernest Coker</t>
  </si>
  <si>
    <t>AGENT00686</t>
  </si>
  <si>
    <t>TXN00001121</t>
  </si>
  <si>
    <t>Eve Camren</t>
  </si>
  <si>
    <t>AGENT00347</t>
  </si>
  <si>
    <t>TXN00001122</t>
  </si>
  <si>
    <t>Eddie Banks</t>
  </si>
  <si>
    <t>TXN00001123</t>
  </si>
  <si>
    <t>June Wang</t>
  </si>
  <si>
    <t>TXN00001124</t>
  </si>
  <si>
    <t>Bonita Yockey</t>
  </si>
  <si>
    <t>VNDR00422</t>
  </si>
  <si>
    <t>TXN00001125</t>
  </si>
  <si>
    <t>Eva Ledesma</t>
  </si>
  <si>
    <t>VNDR00004</t>
  </si>
  <si>
    <t>TXN00001126</t>
  </si>
  <si>
    <t>Grace Trower</t>
  </si>
  <si>
    <t>VNDR00574</t>
  </si>
  <si>
    <t>TXN00001127</t>
  </si>
  <si>
    <t>Paul Wasinger</t>
  </si>
  <si>
    <t>TXN00001128</t>
  </si>
  <si>
    <t>Betty Alvarez</t>
  </si>
  <si>
    <t>VNDR00587</t>
  </si>
  <si>
    <t>TXN00001129</t>
  </si>
  <si>
    <t>Sybil Mantini</t>
  </si>
  <si>
    <t>TXN00001130</t>
  </si>
  <si>
    <t>Elizabeth Chavarria</t>
  </si>
  <si>
    <t>TXN00001131</t>
  </si>
  <si>
    <t>Thomas Becnel</t>
  </si>
  <si>
    <t>AGENT00071</t>
  </si>
  <si>
    <t>TXN00001132</t>
  </si>
  <si>
    <t>Regina Turrie</t>
  </si>
  <si>
    <t>AGENT00329</t>
  </si>
  <si>
    <t>TXN00001133</t>
  </si>
  <si>
    <t>Cynthia Lollar</t>
  </si>
  <si>
    <t>AGENT00607</t>
  </si>
  <si>
    <t>TXN00001134</t>
  </si>
  <si>
    <t>Olga Caudle</t>
  </si>
  <si>
    <t>TXN00001135</t>
  </si>
  <si>
    <t>Vanessa Jones</t>
  </si>
  <si>
    <t>TXN00001136</t>
  </si>
  <si>
    <t>Sonya Isaacs</t>
  </si>
  <si>
    <t>TXN00001137</t>
  </si>
  <si>
    <t>Nancy Hill</t>
  </si>
  <si>
    <t>VNDR00099</t>
  </si>
  <si>
    <t>TXN00001138</t>
  </si>
  <si>
    <t>Lisa Yarrington</t>
  </si>
  <si>
    <t>TXN00001139</t>
  </si>
  <si>
    <t>Mary Leon</t>
  </si>
  <si>
    <t>TXN00001140</t>
  </si>
  <si>
    <t>Jeannette Smith</t>
  </si>
  <si>
    <t>AGENT01120</t>
  </si>
  <si>
    <t>TXN00001141</t>
  </si>
  <si>
    <t>Louise Poss</t>
  </si>
  <si>
    <t>AGENT00206</t>
  </si>
  <si>
    <t>TXN00001142</t>
  </si>
  <si>
    <t>Joellen Thompson</t>
  </si>
  <si>
    <t>TXN00001143</t>
  </si>
  <si>
    <t>Kerri Bissonnette</t>
  </si>
  <si>
    <t>TXN00001144</t>
  </si>
  <si>
    <t>Lucy Mcclure</t>
  </si>
  <si>
    <t>TXN00001145</t>
  </si>
  <si>
    <t>Susan Corrigan</t>
  </si>
  <si>
    <t>AGENT00183</t>
  </si>
  <si>
    <t>TXN00001146</t>
  </si>
  <si>
    <t>Flora Scipioni</t>
  </si>
  <si>
    <t>AGENT00321</t>
  </si>
  <si>
    <t>TXN00001147</t>
  </si>
  <si>
    <t>Harold Avery</t>
  </si>
  <si>
    <t>AGENT00327</t>
  </si>
  <si>
    <t>TXN00001148</t>
  </si>
  <si>
    <t>Matt Yokum</t>
  </si>
  <si>
    <t>VNDR00128</t>
  </si>
  <si>
    <t>TXN00001149</t>
  </si>
  <si>
    <t>Jennifer Paulson</t>
  </si>
  <si>
    <t>Windham</t>
  </si>
  <si>
    <t>AGENT00213</t>
  </si>
  <si>
    <t>TXN00001150</t>
  </si>
  <si>
    <t>Matthew Siefkes</t>
  </si>
  <si>
    <t>TXN00001151</t>
  </si>
  <si>
    <t>Guy Staggers</t>
  </si>
  <si>
    <t>TXN00001152</t>
  </si>
  <si>
    <t>Jean Cunningham</t>
  </si>
  <si>
    <t>AGENT00702</t>
  </si>
  <si>
    <t>TXN00001153</t>
  </si>
  <si>
    <t>Terri Filmore</t>
  </si>
  <si>
    <t>TXN00001154</t>
  </si>
  <si>
    <t>Carol New</t>
  </si>
  <si>
    <t>VNDR00512</t>
  </si>
  <si>
    <t>TXN00001155</t>
  </si>
  <si>
    <t>Huong Clay</t>
  </si>
  <si>
    <t>TXN00001156</t>
  </si>
  <si>
    <t>Julian Dees</t>
  </si>
  <si>
    <t>AGENT00269</t>
  </si>
  <si>
    <t>TXN00001157</t>
  </si>
  <si>
    <t>Rhonda Walker</t>
  </si>
  <si>
    <t>VNDR00179</t>
  </si>
  <si>
    <t>TXN00001158</t>
  </si>
  <si>
    <t>Rhonda Holt</t>
  </si>
  <si>
    <t>TXN00001159</t>
  </si>
  <si>
    <t>Vivian Gaver</t>
  </si>
  <si>
    <t>VNDR00224</t>
  </si>
  <si>
    <t>AGENT00330</t>
  </si>
  <si>
    <t>TXN00001160</t>
  </si>
  <si>
    <t>Eileen Sachs</t>
  </si>
  <si>
    <t>Easton</t>
  </si>
  <si>
    <t>VNDR00143</t>
  </si>
  <si>
    <t>AGENT00172</t>
  </si>
  <si>
    <t>TXN00001161</t>
  </si>
  <si>
    <t>George Searles</t>
  </si>
  <si>
    <t>Santa Clara</t>
  </si>
  <si>
    <t>VNDR00303</t>
  </si>
  <si>
    <t>AGENT00365</t>
  </si>
  <si>
    <t>TXN00001162</t>
  </si>
  <si>
    <t>Shauna Lincoln</t>
  </si>
  <si>
    <t>TXN00001163</t>
  </si>
  <si>
    <t>William Clifton</t>
  </si>
  <si>
    <t>TXN00001164</t>
  </si>
  <si>
    <t>Charles Burton</t>
  </si>
  <si>
    <t>AGENT00594</t>
  </si>
  <si>
    <t>TXN00001165</t>
  </si>
  <si>
    <t>Edward Hayes</t>
  </si>
  <si>
    <t>AGENT00339</t>
  </si>
  <si>
    <t>TXN00001166</t>
  </si>
  <si>
    <t>Lillie Madsen</t>
  </si>
  <si>
    <t>VNDR00359</t>
  </si>
  <si>
    <t>AGENT00644</t>
  </si>
  <si>
    <t>TXN00001167</t>
  </si>
  <si>
    <t>Jessica Nosal</t>
  </si>
  <si>
    <t>AGENT00298</t>
  </si>
  <si>
    <t>TXN00001168</t>
  </si>
  <si>
    <t>Tanya Deleon</t>
  </si>
  <si>
    <t>Stratton</t>
  </si>
  <si>
    <t>TXN00001169</t>
  </si>
  <si>
    <t>Suzanne Weiss</t>
  </si>
  <si>
    <t>TXN00001170</t>
  </si>
  <si>
    <t>Scott Young</t>
  </si>
  <si>
    <t>San Diego</t>
  </si>
  <si>
    <t>TXN00001171</t>
  </si>
  <si>
    <t>Kelly Holder</t>
  </si>
  <si>
    <t>Danville</t>
  </si>
  <si>
    <t>TXN00001172</t>
  </si>
  <si>
    <t>Leona Rivera</t>
  </si>
  <si>
    <t>Cambridge</t>
  </si>
  <si>
    <t>AGENT00243</t>
  </si>
  <si>
    <t>TXN00001173</t>
  </si>
  <si>
    <t>Gary Cooper</t>
  </si>
  <si>
    <t>AGENT00581</t>
  </si>
  <si>
    <t>TXN00001174</t>
  </si>
  <si>
    <t>Sharon Lairy</t>
  </si>
  <si>
    <t>AGENT00513</t>
  </si>
  <si>
    <t>TXN00001175</t>
  </si>
  <si>
    <t>Stephanie Bozek</t>
  </si>
  <si>
    <t>AGENT01031</t>
  </si>
  <si>
    <t>TXN00001176</t>
  </si>
  <si>
    <t>Gloria Mahn</t>
  </si>
  <si>
    <t>TXN00001177</t>
  </si>
  <si>
    <t>Edward Yarbrough</t>
  </si>
  <si>
    <t>TXN00001178</t>
  </si>
  <si>
    <t>Melodie Mccall</t>
  </si>
  <si>
    <t>AGENT00942</t>
  </si>
  <si>
    <t>TXN00001179</t>
  </si>
  <si>
    <t>Shawn Driscoll</t>
  </si>
  <si>
    <t>AGENT00593</t>
  </si>
  <si>
    <t>TXN00001180</t>
  </si>
  <si>
    <t>John Reyna</t>
  </si>
  <si>
    <t>TXN00001181</t>
  </si>
  <si>
    <t>Timothy Gabriele</t>
  </si>
  <si>
    <t>TXN00001182</t>
  </si>
  <si>
    <t>Terry Cruz</t>
  </si>
  <si>
    <t>Linda</t>
  </si>
  <si>
    <t>TXN00001183</t>
  </si>
  <si>
    <t>Ronald Garczynski</t>
  </si>
  <si>
    <t>VNDR00092</t>
  </si>
  <si>
    <t>AGENT00913</t>
  </si>
  <si>
    <t>TXN00001184</t>
  </si>
  <si>
    <t>Albert Ramos</t>
  </si>
  <si>
    <t>TXN00001185</t>
  </si>
  <si>
    <t>Bessie Lee</t>
  </si>
  <si>
    <t>TXN00001186</t>
  </si>
  <si>
    <t>Terry Flies</t>
  </si>
  <si>
    <t>Baltimore</t>
  </si>
  <si>
    <t>AGENT00556</t>
  </si>
  <si>
    <t>TXN00001187</t>
  </si>
  <si>
    <t>Eugene Ditzel</t>
  </si>
  <si>
    <t>VNDR00518</t>
  </si>
  <si>
    <t>TXN00001188</t>
  </si>
  <si>
    <t>Doris Harrison</t>
  </si>
  <si>
    <t>VNDR00125</t>
  </si>
  <si>
    <t>AGENT00495</t>
  </si>
  <si>
    <t>TXN00001189</t>
  </si>
  <si>
    <t>Dan Martin</t>
  </si>
  <si>
    <t>AGENT00888</t>
  </si>
  <si>
    <t>TXN00001190</t>
  </si>
  <si>
    <t>Paul Roper</t>
  </si>
  <si>
    <t>Marblehead</t>
  </si>
  <si>
    <t>TXN00001191</t>
  </si>
  <si>
    <t>Leslie Reynolds</t>
  </si>
  <si>
    <t>TXN00001192</t>
  </si>
  <si>
    <t>Danielle Saeteun</t>
  </si>
  <si>
    <t>AGENT00318</t>
  </si>
  <si>
    <t>TXN00001193</t>
  </si>
  <si>
    <t>Loren Mulder</t>
  </si>
  <si>
    <t>VNDR00144</t>
  </si>
  <si>
    <t>TXN00001194</t>
  </si>
  <si>
    <t>Johnny Golden</t>
  </si>
  <si>
    <t>AGENT00684</t>
  </si>
  <si>
    <t>TXN00001195</t>
  </si>
  <si>
    <t>Randy Jones</t>
  </si>
  <si>
    <t>VNDR00311</t>
  </si>
  <si>
    <t>TXN00001196</t>
  </si>
  <si>
    <t>Lillian Mcneil</t>
  </si>
  <si>
    <t>TXN00001197</t>
  </si>
  <si>
    <t>Dallas Macnab</t>
  </si>
  <si>
    <t>TXN00001198</t>
  </si>
  <si>
    <t>Lydia Cordes</t>
  </si>
  <si>
    <t>AGENT00874</t>
  </si>
  <si>
    <t>TXN00001199</t>
  </si>
  <si>
    <t>Kathleen Medders</t>
  </si>
  <si>
    <t>Wilmington</t>
  </si>
  <si>
    <t>TXN00001200</t>
  </si>
  <si>
    <t>Julie Hoover</t>
  </si>
  <si>
    <t>TXN00001201</t>
  </si>
  <si>
    <t>Ron Haycook</t>
  </si>
  <si>
    <t>AGENT00751</t>
  </si>
  <si>
    <t>TXN00001202</t>
  </si>
  <si>
    <t>TXN00001203</t>
  </si>
  <si>
    <t>Mary Stevenson</t>
  </si>
  <si>
    <t>AGENT00616</t>
  </si>
  <si>
    <t>TXN00001204</t>
  </si>
  <si>
    <t>Heather Henderson</t>
  </si>
  <si>
    <t>TXN00001205</t>
  </si>
  <si>
    <t>Carolyn Krebbs</t>
  </si>
  <si>
    <t>TXN00001206</t>
  </si>
  <si>
    <t>Gail Mitchell</t>
  </si>
  <si>
    <t>TXN00001207</t>
  </si>
  <si>
    <t>Freddie Rebello</t>
  </si>
  <si>
    <t>TXN00001208</t>
  </si>
  <si>
    <t>Matthew Vosmus</t>
  </si>
  <si>
    <t>TXN00001209</t>
  </si>
  <si>
    <t>Paul Harris</t>
  </si>
  <si>
    <t>TXN00001210</t>
  </si>
  <si>
    <t>Jerry Stevens</t>
  </si>
  <si>
    <t>Southport</t>
  </si>
  <si>
    <t>TXN00001211</t>
  </si>
  <si>
    <t>Violet Montoya</t>
  </si>
  <si>
    <t>VNDR00392</t>
  </si>
  <si>
    <t>AGENT00273</t>
  </si>
  <si>
    <t>TXN00001212</t>
  </si>
  <si>
    <t>Darlene Leigland</t>
  </si>
  <si>
    <t>TXN00001213</t>
  </si>
  <si>
    <t>Jon Bailey</t>
  </si>
  <si>
    <t>TXN00001214</t>
  </si>
  <si>
    <t>Craig Brown</t>
  </si>
  <si>
    <t>Swanton</t>
  </si>
  <si>
    <t>TXN00001215</t>
  </si>
  <si>
    <t>Tina Cheney</t>
  </si>
  <si>
    <t>TXN00001216</t>
  </si>
  <si>
    <t>Ralph Corona</t>
  </si>
  <si>
    <t>TXN00001217</t>
  </si>
  <si>
    <t>Jennifer Smith</t>
  </si>
  <si>
    <t>TXN00001218</t>
  </si>
  <si>
    <t>Christopher Pierce</t>
  </si>
  <si>
    <t>TXN00001219</t>
  </si>
  <si>
    <t>Charlotte Garcia</t>
  </si>
  <si>
    <t>Windsor</t>
  </si>
  <si>
    <t>TXN00001220</t>
  </si>
  <si>
    <t>John Hass</t>
  </si>
  <si>
    <t>TXN00001221</t>
  </si>
  <si>
    <t>Lourdes Checca</t>
  </si>
  <si>
    <t>TXN00001222</t>
  </si>
  <si>
    <t>Jack Regan</t>
  </si>
  <si>
    <t>Somerset</t>
  </si>
  <si>
    <t>TXN00001223</t>
  </si>
  <si>
    <t>Tim Wagner</t>
  </si>
  <si>
    <t>TXN00001224</t>
  </si>
  <si>
    <t>Alton Bradford</t>
  </si>
  <si>
    <t>TXN00001225</t>
  </si>
  <si>
    <t>Sean Turner</t>
  </si>
  <si>
    <t>TXN00001226</t>
  </si>
  <si>
    <t>Eloise Dunkley</t>
  </si>
  <si>
    <t>TXN00001227</t>
  </si>
  <si>
    <t>Grace Tate</t>
  </si>
  <si>
    <t>AGENT00272</t>
  </si>
  <si>
    <t>TXN00001228</t>
  </si>
  <si>
    <t>Barbara Russo</t>
  </si>
  <si>
    <t>TXN00001229</t>
  </si>
  <si>
    <t>Roger Lao</t>
  </si>
  <si>
    <t>TXN00001230</t>
  </si>
  <si>
    <t>Charles Keller</t>
  </si>
  <si>
    <t>AGENT00626</t>
  </si>
  <si>
    <t>TXN00001231</t>
  </si>
  <si>
    <t>Don Williams</t>
  </si>
  <si>
    <t>TXN00001232</t>
  </si>
  <si>
    <t>Arthur Silva</t>
  </si>
  <si>
    <t>Derby</t>
  </si>
  <si>
    <t>TXN00001233</t>
  </si>
  <si>
    <t>Gerald Jenkins</t>
  </si>
  <si>
    <t>TXN00001234</t>
  </si>
  <si>
    <t>William Finkbeiner</t>
  </si>
  <si>
    <t>TXN00001235</t>
  </si>
  <si>
    <t>Shirley Pugliese</t>
  </si>
  <si>
    <t>TXN00001236</t>
  </si>
  <si>
    <t>Hilda Bianchi</t>
  </si>
  <si>
    <t>AGENT01173</t>
  </si>
  <si>
    <t>TXN00001237</t>
  </si>
  <si>
    <t>Kelly Stamm</t>
  </si>
  <si>
    <t>AGENT00139</t>
  </si>
  <si>
    <t>TXN00001238</t>
  </si>
  <si>
    <t>Aaron Hearnen</t>
  </si>
  <si>
    <t>TXN00001239</t>
  </si>
  <si>
    <t>Roger Wilson</t>
  </si>
  <si>
    <t>AGENT00775</t>
  </si>
  <si>
    <t>TXN00001240</t>
  </si>
  <si>
    <t>Natalie Sims</t>
  </si>
  <si>
    <t>AGENT01012</t>
  </si>
  <si>
    <t>TXN00001241</t>
  </si>
  <si>
    <t>TXN00001242</t>
  </si>
  <si>
    <t>Geneva Fabela</t>
  </si>
  <si>
    <t>Needham</t>
  </si>
  <si>
    <t>TXN00001243</t>
  </si>
  <si>
    <t>Kathi Mitchell</t>
  </si>
  <si>
    <t>TXN00001244</t>
  </si>
  <si>
    <t>Holly Mullins</t>
  </si>
  <si>
    <t>AGENT00541</t>
  </si>
  <si>
    <t>TXN00001245</t>
  </si>
  <si>
    <t>Marie Adams</t>
  </si>
  <si>
    <t>TXN00001246</t>
  </si>
  <si>
    <t>Robert Robichaux</t>
  </si>
  <si>
    <t>TXN00001247</t>
  </si>
  <si>
    <t>Gary Dunbar</t>
  </si>
  <si>
    <t>AGENT00185</t>
  </si>
  <si>
    <t>TXN00001248</t>
  </si>
  <si>
    <t>Margaret Pascua</t>
  </si>
  <si>
    <t>TXN00001249</t>
  </si>
  <si>
    <t>Doris Rowe</t>
  </si>
  <si>
    <t>TXN00001250</t>
  </si>
  <si>
    <t>Chad Putnam</t>
  </si>
  <si>
    <t>TXN00001251</t>
  </si>
  <si>
    <t>Ruby Goldman</t>
  </si>
  <si>
    <t>TXN00001252</t>
  </si>
  <si>
    <t>Warren Davis</t>
  </si>
  <si>
    <t>AGENT01174</t>
  </si>
  <si>
    <t>TXN00001253</t>
  </si>
  <si>
    <t>Marie Espinoza</t>
  </si>
  <si>
    <t>TXN00001254</t>
  </si>
  <si>
    <t>Samuel Raines</t>
  </si>
  <si>
    <t>TXN00001255</t>
  </si>
  <si>
    <t>Donald White</t>
  </si>
  <si>
    <t>VNDR00067</t>
  </si>
  <si>
    <t>AGENT00961</t>
  </si>
  <si>
    <t>TXN00001256</t>
  </si>
  <si>
    <t>Sheryl Singleton</t>
  </si>
  <si>
    <t>TXN00001257</t>
  </si>
  <si>
    <t>Carol Keomanivong</t>
  </si>
  <si>
    <t>AGENT00849</t>
  </si>
  <si>
    <t>TXN00001258</t>
  </si>
  <si>
    <t>Lorenzo Eskind</t>
  </si>
  <si>
    <t>AGENT00914</t>
  </si>
  <si>
    <t>TXN00001259</t>
  </si>
  <si>
    <t>John Ellington</t>
  </si>
  <si>
    <t>TXN00001260</t>
  </si>
  <si>
    <t>Jennifer Brown</t>
  </si>
  <si>
    <t>TXN00001261</t>
  </si>
  <si>
    <t>Robert Windham</t>
  </si>
  <si>
    <t>AGENT00043</t>
  </si>
  <si>
    <t>TXN00001262</t>
  </si>
  <si>
    <t>Matthew Salisbury</t>
  </si>
  <si>
    <t>TXN00001263</t>
  </si>
  <si>
    <t>Audrey Leon</t>
  </si>
  <si>
    <t>TXN00001264</t>
  </si>
  <si>
    <t>Charlene Howard</t>
  </si>
  <si>
    <t>TXN00001265</t>
  </si>
  <si>
    <t>Eda Cox</t>
  </si>
  <si>
    <t>TXN00001266</t>
  </si>
  <si>
    <t>Raul Scholz</t>
  </si>
  <si>
    <t>AGENT01170</t>
  </si>
  <si>
    <t>TXN00001267</t>
  </si>
  <si>
    <t>Shane Whitener</t>
  </si>
  <si>
    <t>TXN00001268</t>
  </si>
  <si>
    <t>Vanessa Applewhite</t>
  </si>
  <si>
    <t>TXN00001269</t>
  </si>
  <si>
    <t>Richard Hwang</t>
  </si>
  <si>
    <t>VNDR00489</t>
  </si>
  <si>
    <t>TXN00001270</t>
  </si>
  <si>
    <t>Steven Houck</t>
  </si>
  <si>
    <t>TXN00001271</t>
  </si>
  <si>
    <t>Jose Dowst</t>
  </si>
  <si>
    <t>New Haven</t>
  </si>
  <si>
    <t>TXN00001272</t>
  </si>
  <si>
    <t>Julie Moses</t>
  </si>
  <si>
    <t>TXN00001273</t>
  </si>
  <si>
    <t>Mary Choate</t>
  </si>
  <si>
    <t>AGENT01139</t>
  </si>
  <si>
    <t>TXN00001274</t>
  </si>
  <si>
    <t>Carol Rivas</t>
  </si>
  <si>
    <t>AGENT00113</t>
  </si>
  <si>
    <t>TXN00001275</t>
  </si>
  <si>
    <t>Gina Fultz</t>
  </si>
  <si>
    <t>TXN00001276</t>
  </si>
  <si>
    <t>Faye Powers</t>
  </si>
  <si>
    <t>TXN00001277</t>
  </si>
  <si>
    <t>Ruth Viator</t>
  </si>
  <si>
    <t>AGENT00670</t>
  </si>
  <si>
    <t>TXN00001278</t>
  </si>
  <si>
    <t>Walter Cox</t>
  </si>
  <si>
    <t>TXN00001279</t>
  </si>
  <si>
    <t>AGENT00575</t>
  </si>
  <si>
    <t>TXN00001280</t>
  </si>
  <si>
    <t>Scott Cheek</t>
  </si>
  <si>
    <t>VNDR00568</t>
  </si>
  <si>
    <t>TXN00001281</t>
  </si>
  <si>
    <t>Glenn Page</t>
  </si>
  <si>
    <t>VNDR00263</t>
  </si>
  <si>
    <t>TXN00001282</t>
  </si>
  <si>
    <t>Melissa Honeycutt</t>
  </si>
  <si>
    <t>TXN00001283</t>
  </si>
  <si>
    <t>Johnny Nelson</t>
  </si>
  <si>
    <t>AGENT01093</t>
  </si>
  <si>
    <t>TXN00001284</t>
  </si>
  <si>
    <t>Marilyn Stevens</t>
  </si>
  <si>
    <t>TXN00001285</t>
  </si>
  <si>
    <t>James Coleman</t>
  </si>
  <si>
    <t>VNDR00562</t>
  </si>
  <si>
    <t>TXN00001286</t>
  </si>
  <si>
    <t>Frances Watson</t>
  </si>
  <si>
    <t>Spencer</t>
  </si>
  <si>
    <t>TXN00001287</t>
  </si>
  <si>
    <t>Christian Carp</t>
  </si>
  <si>
    <t>TXN00001288</t>
  </si>
  <si>
    <t>Patricia Webb</t>
  </si>
  <si>
    <t>TXN00001289</t>
  </si>
  <si>
    <t>Robert Beaufort</t>
  </si>
  <si>
    <t>TXN00001290</t>
  </si>
  <si>
    <t>Pamela Withers</t>
  </si>
  <si>
    <t>AGENT00750</t>
  </si>
  <si>
    <t>TXN00001291</t>
  </si>
  <si>
    <t>Mark Crosby</t>
  </si>
  <si>
    <t>AGENT00104</t>
  </si>
  <si>
    <t>TXN00001292</t>
  </si>
  <si>
    <t>Carl Leblanc</t>
  </si>
  <si>
    <t>TXN00001293</t>
  </si>
  <si>
    <t>Brian Lewis</t>
  </si>
  <si>
    <t>AGENT00374</t>
  </si>
  <si>
    <t>TXN00001294</t>
  </si>
  <si>
    <t>George Mccarthy</t>
  </si>
  <si>
    <t>AGENT00443</t>
  </si>
  <si>
    <t>TXN00001295</t>
  </si>
  <si>
    <t>Lucy Garrett</t>
  </si>
  <si>
    <t>TXN00001296</t>
  </si>
  <si>
    <t>Mary Beard</t>
  </si>
  <si>
    <t>AGENT00049</t>
  </si>
  <si>
    <t>TXN00001297</t>
  </si>
  <si>
    <t>Joseph Caughey</t>
  </si>
  <si>
    <t>TXN00001298</t>
  </si>
  <si>
    <t>Steven Lee</t>
  </si>
  <si>
    <t>TXN00001299</t>
  </si>
  <si>
    <t>Reginald Lewis</t>
  </si>
  <si>
    <t>TXN00001300</t>
  </si>
  <si>
    <t>Donnie Brown</t>
  </si>
  <si>
    <t>VNDR00078</t>
  </si>
  <si>
    <t>TXN00001301</t>
  </si>
  <si>
    <t>Kevin Rodriguez</t>
  </si>
  <si>
    <t>TXN00001302</t>
  </si>
  <si>
    <t>Alex Musto</t>
  </si>
  <si>
    <t>TXN00001303</t>
  </si>
  <si>
    <t>Lisa Gholston</t>
  </si>
  <si>
    <t>AGENT00384</t>
  </si>
  <si>
    <t>TXN00001304</t>
  </si>
  <si>
    <t>Elisa Farkas</t>
  </si>
  <si>
    <t>Easthampton</t>
  </si>
  <si>
    <t>AGENT00511</t>
  </si>
  <si>
    <t>TXN00001305</t>
  </si>
  <si>
    <t>Liberty Dowdy</t>
  </si>
  <si>
    <t>TXN00001306</t>
  </si>
  <si>
    <t>Paige Barrett</t>
  </si>
  <si>
    <t>TXN00001307</t>
  </si>
  <si>
    <t>James Thompson</t>
  </si>
  <si>
    <t>VNDR00082</t>
  </si>
  <si>
    <t>TXN00001308</t>
  </si>
  <si>
    <t>Michael Kinney</t>
  </si>
  <si>
    <t>AGENT00192</t>
  </si>
  <si>
    <t>TXN00001309</t>
  </si>
  <si>
    <t>Sara Morse</t>
  </si>
  <si>
    <t>TXN00001310</t>
  </si>
  <si>
    <t>David Grant</t>
  </si>
  <si>
    <t>TXN00001311</t>
  </si>
  <si>
    <t>Kim Dozier</t>
  </si>
  <si>
    <t>TXN00001312</t>
  </si>
  <si>
    <t>Beulah Cornelius</t>
  </si>
  <si>
    <t>AGENT00801</t>
  </si>
  <si>
    <t>TXN00001313</t>
  </si>
  <si>
    <t>Brittany James</t>
  </si>
  <si>
    <t>VNDR00566</t>
  </si>
  <si>
    <t>TXN00001314</t>
  </si>
  <si>
    <t>Jayson Garza</t>
  </si>
  <si>
    <t>TXN00001315</t>
  </si>
  <si>
    <t>Frances Hall</t>
  </si>
  <si>
    <t>TXN00001316</t>
  </si>
  <si>
    <t>Carla Nichols</t>
  </si>
  <si>
    <t>AGENT00659</t>
  </si>
  <si>
    <t>TXN00001317</t>
  </si>
  <si>
    <t>Heather Crouse</t>
  </si>
  <si>
    <t>TXN00001318</t>
  </si>
  <si>
    <t>Karen Moga</t>
  </si>
  <si>
    <t>AGENT00903</t>
  </si>
  <si>
    <t>TXN00001319</t>
  </si>
  <si>
    <t>Jody Dux</t>
  </si>
  <si>
    <t>AGENT00180</t>
  </si>
  <si>
    <t>TXN00001320</t>
  </si>
  <si>
    <t>Gary Walker</t>
  </si>
  <si>
    <t>TXN00001321</t>
  </si>
  <si>
    <t>Jim Dansby</t>
  </si>
  <si>
    <t>TXN00001322</t>
  </si>
  <si>
    <t>Justin Reed</t>
  </si>
  <si>
    <t>VNDR00575</t>
  </si>
  <si>
    <t>TXN00001323</t>
  </si>
  <si>
    <t>Altagracia Burns</t>
  </si>
  <si>
    <t>TXN00001324</t>
  </si>
  <si>
    <t>Elizabeth Ramirez</t>
  </si>
  <si>
    <t>AGENT00155</t>
  </si>
  <si>
    <t>TXN00001325</t>
  </si>
  <si>
    <t>Selena Lomago</t>
  </si>
  <si>
    <t>AGENT00717</t>
  </si>
  <si>
    <t>TXN00001326</t>
  </si>
  <si>
    <t>Donetta Mallory</t>
  </si>
  <si>
    <t>AGENT00057</t>
  </si>
  <si>
    <t>TXN00001327</t>
  </si>
  <si>
    <t>Annette Cross</t>
  </si>
  <si>
    <t>Agawam</t>
  </si>
  <si>
    <t>VNDR00282</t>
  </si>
  <si>
    <t>TXN00001328</t>
  </si>
  <si>
    <t>Marcella Brown</t>
  </si>
  <si>
    <t>TXN00001329</t>
  </si>
  <si>
    <t>Patricia English</t>
  </si>
  <si>
    <t>Newton</t>
  </si>
  <si>
    <t>TXN00001330</t>
  </si>
  <si>
    <t>Alan Guinane</t>
  </si>
  <si>
    <t>TXN00001331</t>
  </si>
  <si>
    <t>Diana Scott</t>
  </si>
  <si>
    <t>TXN00001332</t>
  </si>
  <si>
    <t>Gladys Miller</t>
  </si>
  <si>
    <t>AGENT00590</t>
  </si>
  <si>
    <t>TXN00001333</t>
  </si>
  <si>
    <t>Benjamin Cardona</t>
  </si>
  <si>
    <t>TXN00001334</t>
  </si>
  <si>
    <t>Aurore Scaglione</t>
  </si>
  <si>
    <t>VNDR00180</t>
  </si>
  <si>
    <t>AGENT00171</t>
  </si>
  <si>
    <t>TXN00001335</t>
  </si>
  <si>
    <t>Louis Martinez</t>
  </si>
  <si>
    <t>TXN00001336</t>
  </si>
  <si>
    <t>Gretchen Early</t>
  </si>
  <si>
    <t>TXN00001337</t>
  </si>
  <si>
    <t>Virginia Anderson</t>
  </si>
  <si>
    <t>AGENT01149</t>
  </si>
  <si>
    <t>TXN00001338</t>
  </si>
  <si>
    <t>Ruth Alford</t>
  </si>
  <si>
    <t>Falmouth</t>
  </si>
  <si>
    <t>AGENT01162</t>
  </si>
  <si>
    <t>TXN00001339</t>
  </si>
  <si>
    <t>Tracey Lytle</t>
  </si>
  <si>
    <t>TXN00001340</t>
  </si>
  <si>
    <t>Kenneth Wyatt</t>
  </si>
  <si>
    <t>AGENT00522</t>
  </si>
  <si>
    <t>TXN00001341</t>
  </si>
  <si>
    <t>Michelle Mcelroy</t>
  </si>
  <si>
    <t>TXN00001342</t>
  </si>
  <si>
    <t>George Majors</t>
  </si>
  <si>
    <t>TXN00001343</t>
  </si>
  <si>
    <t>John Smith</t>
  </si>
  <si>
    <t>TXN00001344</t>
  </si>
  <si>
    <t>Virginia Rankin</t>
  </si>
  <si>
    <t>AGENT00570</t>
  </si>
  <si>
    <t>TXN00001345</t>
  </si>
  <si>
    <t>Edward Green</t>
  </si>
  <si>
    <t>TXN00001346</t>
  </si>
  <si>
    <t>Lucina Krieger</t>
  </si>
  <si>
    <t>AGENT00483</t>
  </si>
  <si>
    <t>TXN00001347</t>
  </si>
  <si>
    <t>Mary Truax</t>
  </si>
  <si>
    <t>AGENT00656</t>
  </si>
  <si>
    <t>TXN00001348</t>
  </si>
  <si>
    <t>Donna Pierce</t>
  </si>
  <si>
    <t>AGENT00776</t>
  </si>
  <si>
    <t>TXN00001349</t>
  </si>
  <si>
    <t>Earl Shepherd</t>
  </si>
  <si>
    <t>TXN00001350</t>
  </si>
  <si>
    <t>Tracy Smith</t>
  </si>
  <si>
    <t>TXN00001351</t>
  </si>
  <si>
    <t>Paul Chai</t>
  </si>
  <si>
    <t>TXN00001352</t>
  </si>
  <si>
    <t>Luis Raymond</t>
  </si>
  <si>
    <t>TXN00001353</t>
  </si>
  <si>
    <t>Shawn Travis</t>
  </si>
  <si>
    <t>TXN00001354</t>
  </si>
  <si>
    <t>Brent Wilson</t>
  </si>
  <si>
    <t>AGENT00008</t>
  </si>
  <si>
    <t>TXN00001355</t>
  </si>
  <si>
    <t>Diana Wilcox</t>
  </si>
  <si>
    <t>AGENT01150</t>
  </si>
  <si>
    <t>TXN00001356</t>
  </si>
  <si>
    <t>Lawrence Rodriguez</t>
  </si>
  <si>
    <t>Auburn</t>
  </si>
  <si>
    <t>AGENT00323</t>
  </si>
  <si>
    <t>TXN00001357</t>
  </si>
  <si>
    <t>Anthony Ryder</t>
  </si>
  <si>
    <t>VNDR00353</t>
  </si>
  <si>
    <t>AGENT01095</t>
  </si>
  <si>
    <t>TXN00001358</t>
  </si>
  <si>
    <t>Dorothy Rodriquez</t>
  </si>
  <si>
    <t>TXN00001359</t>
  </si>
  <si>
    <t>Alexander Holder</t>
  </si>
  <si>
    <t>TXN00001360</t>
  </si>
  <si>
    <t>John Starr</t>
  </si>
  <si>
    <t>TXN00001361</t>
  </si>
  <si>
    <t>Karen Smith</t>
  </si>
  <si>
    <t>TXN00001362</t>
  </si>
  <si>
    <t>Gladys Fox</t>
  </si>
  <si>
    <t>TXN00001363</t>
  </si>
  <si>
    <t>Jason White</t>
  </si>
  <si>
    <t>TXN00001364</t>
  </si>
  <si>
    <t>Betty Means</t>
  </si>
  <si>
    <t>TXN00001365</t>
  </si>
  <si>
    <t>John Gomez</t>
  </si>
  <si>
    <t>AGENT00645</t>
  </si>
  <si>
    <t>TXN00001366</t>
  </si>
  <si>
    <t>Jerry Olsen</t>
  </si>
  <si>
    <t>TXN00001367</t>
  </si>
  <si>
    <t>Diane Hooper</t>
  </si>
  <si>
    <t>AGENT00407</t>
  </si>
  <si>
    <t>TXN00001368</t>
  </si>
  <si>
    <t>Javier From</t>
  </si>
  <si>
    <t>TXN00001369</t>
  </si>
  <si>
    <t>Candace Crawford</t>
  </si>
  <si>
    <t>TXN00001370</t>
  </si>
  <si>
    <t>William Lindsey</t>
  </si>
  <si>
    <t>AGENT00931</t>
  </si>
  <si>
    <t>TXN00001371</t>
  </si>
  <si>
    <t>Jeanne Cortez</t>
  </si>
  <si>
    <t>TXN00001372</t>
  </si>
  <si>
    <t>Agustin Zahar</t>
  </si>
  <si>
    <t>TXN00001373</t>
  </si>
  <si>
    <t>Maudie Youngblood</t>
  </si>
  <si>
    <t>AGENT00870</t>
  </si>
  <si>
    <t>TXN00001374</t>
  </si>
  <si>
    <t>Geneva Thomas</t>
  </si>
  <si>
    <t>TXN00001375</t>
  </si>
  <si>
    <t>Andrew Garcia</t>
  </si>
  <si>
    <t>VNDR00374</t>
  </si>
  <si>
    <t>TXN00001376</t>
  </si>
  <si>
    <t>Kimberly Doucette</t>
  </si>
  <si>
    <t>TXN00001377</t>
  </si>
  <si>
    <t>Terry Brown</t>
  </si>
  <si>
    <t>AGENT00988</t>
  </si>
  <si>
    <t>TXN00001378</t>
  </si>
  <si>
    <t>Martha Torrez</t>
  </si>
  <si>
    <t>VNDR00465</t>
  </si>
  <si>
    <t>TXN00001379</t>
  </si>
  <si>
    <t>Brooke Lane</t>
  </si>
  <si>
    <t>TXN00001380</t>
  </si>
  <si>
    <t>Loretta Rush</t>
  </si>
  <si>
    <t>TXN00001381</t>
  </si>
  <si>
    <t>Jeremy Purnell</t>
  </si>
  <si>
    <t>TXN00001382</t>
  </si>
  <si>
    <t>Russell Davis</t>
  </si>
  <si>
    <t>TXN00001383</t>
  </si>
  <si>
    <t>Nydia Bowser</t>
  </si>
  <si>
    <t>TXN00001384</t>
  </si>
  <si>
    <t>Shaun Santos</t>
  </si>
  <si>
    <t>TXN00001385</t>
  </si>
  <si>
    <t>Robert Monske</t>
  </si>
  <si>
    <t>TXN00001386</t>
  </si>
  <si>
    <t>Wesley George</t>
  </si>
  <si>
    <t>TXN00001387</t>
  </si>
  <si>
    <t>John Walsh</t>
  </si>
  <si>
    <t>TXN00001388</t>
  </si>
  <si>
    <t>Francisco Curtis</t>
  </si>
  <si>
    <t>AGENT00289</t>
  </si>
  <si>
    <t>TXN00001389</t>
  </si>
  <si>
    <t>Chad Mcintyre</t>
  </si>
  <si>
    <t>TXN00001390</t>
  </si>
  <si>
    <t>Donald Forget</t>
  </si>
  <si>
    <t>AGENT00114</t>
  </si>
  <si>
    <t>TXN00001391</t>
  </si>
  <si>
    <t>Leslie Stokes</t>
  </si>
  <si>
    <t>TXN00001392</t>
  </si>
  <si>
    <t>Michael Crane</t>
  </si>
  <si>
    <t>TXN00001393</t>
  </si>
  <si>
    <t>Amber Adams</t>
  </si>
  <si>
    <t>AGENT01083</t>
  </si>
  <si>
    <t>TXN00001394</t>
  </si>
  <si>
    <t>Georgia Hyett</t>
  </si>
  <si>
    <t>TXN00001395</t>
  </si>
  <si>
    <t>Jerry Coward</t>
  </si>
  <si>
    <t>TXN00001396</t>
  </si>
  <si>
    <t>Ruben Barclay</t>
  </si>
  <si>
    <t>TXN00001397</t>
  </si>
  <si>
    <t>Michael Foster</t>
  </si>
  <si>
    <t>TXN00001398</t>
  </si>
  <si>
    <t>Babette Simon</t>
  </si>
  <si>
    <t>TXN00001399</t>
  </si>
  <si>
    <t>Kevin Waldrop</t>
  </si>
  <si>
    <t>TXN00001400</t>
  </si>
  <si>
    <t>Nicole Smith</t>
  </si>
  <si>
    <t>TXN00001401</t>
  </si>
  <si>
    <t>Pam Stover</t>
  </si>
  <si>
    <t>TXN00001402</t>
  </si>
  <si>
    <t>James Hyde</t>
  </si>
  <si>
    <t>TXN00001403</t>
  </si>
  <si>
    <t>Edith Brown</t>
  </si>
  <si>
    <t>AGENT00349</t>
  </si>
  <si>
    <t>TXN00001404</t>
  </si>
  <si>
    <t>Michael Koopman</t>
  </si>
  <si>
    <t>TXN00001405</t>
  </si>
  <si>
    <t>Ashley Gaytan</t>
  </si>
  <si>
    <t>TXN00001406</t>
  </si>
  <si>
    <t>Carl Dunn</t>
  </si>
  <si>
    <t>TXN00001407</t>
  </si>
  <si>
    <t>Jose Moore</t>
  </si>
  <si>
    <t>AGENT00811</t>
  </si>
  <si>
    <t>TXN00001408</t>
  </si>
  <si>
    <t>Kimberly Chen</t>
  </si>
  <si>
    <t>AGENT00073</t>
  </si>
  <si>
    <t>TXN00001409</t>
  </si>
  <si>
    <t>April Bell</t>
  </si>
  <si>
    <t>VNDR00118</t>
  </si>
  <si>
    <t>TXN00001410</t>
  </si>
  <si>
    <t>Samantha Glickman</t>
  </si>
  <si>
    <t>VNDR00494</t>
  </si>
  <si>
    <t>TXN00001411</t>
  </si>
  <si>
    <t>Corey Ready</t>
  </si>
  <si>
    <t>AGENT01142</t>
  </si>
  <si>
    <t>TXN00001412</t>
  </si>
  <si>
    <t>Emmanuel Hawley</t>
  </si>
  <si>
    <t>AGENT00661</t>
  </si>
  <si>
    <t>TXN00001413</t>
  </si>
  <si>
    <t>Maria Kosmowski</t>
  </si>
  <si>
    <t>Harrah</t>
  </si>
  <si>
    <t>AGENT00118</t>
  </si>
  <si>
    <t>TXN00001414</t>
  </si>
  <si>
    <t>Antonio Lee</t>
  </si>
  <si>
    <t>TXN00001415</t>
  </si>
  <si>
    <t>Ramon Brackins</t>
  </si>
  <si>
    <t>AGENT00360</t>
  </si>
  <si>
    <t>TXN00001416</t>
  </si>
  <si>
    <t>Ralph Lord</t>
  </si>
  <si>
    <t>TXN00001417</t>
  </si>
  <si>
    <t>Timothy Noel</t>
  </si>
  <si>
    <t>TXN00001418</t>
  </si>
  <si>
    <t>Mary Butts</t>
  </si>
  <si>
    <t>TXN00001419</t>
  </si>
  <si>
    <t>Pat Menzel</t>
  </si>
  <si>
    <t>AGENT00881</t>
  </si>
  <si>
    <t>TXN00001420</t>
  </si>
  <si>
    <t>Stacy Stewart</t>
  </si>
  <si>
    <t>TXN00001421</t>
  </si>
  <si>
    <t>Ashley Holloway</t>
  </si>
  <si>
    <t>TXN00001422</t>
  </si>
  <si>
    <t>Anne Polanco</t>
  </si>
  <si>
    <t>TXN00001423</t>
  </si>
  <si>
    <t>Michelle Garcia</t>
  </si>
  <si>
    <t>TXN00001424</t>
  </si>
  <si>
    <t>Timothy Baldino</t>
  </si>
  <si>
    <t>AGENT01185</t>
  </si>
  <si>
    <t>TXN00001425</t>
  </si>
  <si>
    <t>David Hebrank</t>
  </si>
  <si>
    <t>AGENT00687</t>
  </si>
  <si>
    <t>TXN00001426</t>
  </si>
  <si>
    <t>Doris Koon</t>
  </si>
  <si>
    <t>TXN00001427</t>
  </si>
  <si>
    <t>Joyce Mcintyre</t>
  </si>
  <si>
    <t>TXN00001428</t>
  </si>
  <si>
    <t>Mildred Witt</t>
  </si>
  <si>
    <t>AGENT00672</t>
  </si>
  <si>
    <t>TXN00001429</t>
  </si>
  <si>
    <t>Paul Craig</t>
  </si>
  <si>
    <t>Saint Albans Town</t>
  </si>
  <si>
    <t>AGENT00455</t>
  </si>
  <si>
    <t>TXN00001430</t>
  </si>
  <si>
    <t>Steven Erickson</t>
  </si>
  <si>
    <t>TXN00001431</t>
  </si>
  <si>
    <t>Alberto Hodges</t>
  </si>
  <si>
    <t>TXN00001432</t>
  </si>
  <si>
    <t>Crystal Taylor</t>
  </si>
  <si>
    <t>AGENT01008</t>
  </si>
  <si>
    <t>TXN00001433</t>
  </si>
  <si>
    <t>Maris Allen</t>
  </si>
  <si>
    <t>TXN00001434</t>
  </si>
  <si>
    <t>Larry Burke</t>
  </si>
  <si>
    <t>AGENT00300</t>
  </si>
  <si>
    <t>TXN00001435</t>
  </si>
  <si>
    <t>Minnie Hux</t>
  </si>
  <si>
    <t>Essex</t>
  </si>
  <si>
    <t>VNDR00047</t>
  </si>
  <si>
    <t>TXN00001436</t>
  </si>
  <si>
    <t>Judy Clemmer</t>
  </si>
  <si>
    <t>TXN00001437</t>
  </si>
  <si>
    <t>Jonathan Curtis</t>
  </si>
  <si>
    <t>AGENT01032</t>
  </si>
  <si>
    <t>TXN00001438</t>
  </si>
  <si>
    <t>Milton Howerton</t>
  </si>
  <si>
    <t>Haverhill</t>
  </si>
  <si>
    <t>AGENT01051</t>
  </si>
  <si>
    <t>TXN00001439</t>
  </si>
  <si>
    <t>Vera James</t>
  </si>
  <si>
    <t>TXN00001440</t>
  </si>
  <si>
    <t>Jennie Westin</t>
  </si>
  <si>
    <t>TXN00001441</t>
  </si>
  <si>
    <t>Robin Townsend</t>
  </si>
  <si>
    <t>TXN00001442</t>
  </si>
  <si>
    <t>Willie Mcdonald</t>
  </si>
  <si>
    <t>TXN00001443</t>
  </si>
  <si>
    <t>Earl Hassinger</t>
  </si>
  <si>
    <t>TXN00001444</t>
  </si>
  <si>
    <t>Beverly Bennett</t>
  </si>
  <si>
    <t>AGENT00055</t>
  </si>
  <si>
    <t>TXN00001445</t>
  </si>
  <si>
    <t>Lori Urquhart</t>
  </si>
  <si>
    <t>AGENT01157</t>
  </si>
  <si>
    <t>TXN00001446</t>
  </si>
  <si>
    <t>Lena Saunders</t>
  </si>
  <si>
    <t>TXN00001447</t>
  </si>
  <si>
    <t>Alicia Helm</t>
  </si>
  <si>
    <t>TXN00001448</t>
  </si>
  <si>
    <t>Claude Darnstaedt</t>
  </si>
  <si>
    <t>Wheatland</t>
  </si>
  <si>
    <t>TXN00001449</t>
  </si>
  <si>
    <t>Nancy Cloyd</t>
  </si>
  <si>
    <t>TXN00001450</t>
  </si>
  <si>
    <t>Lloyd Ellis</t>
  </si>
  <si>
    <t>TXN00001451</t>
  </si>
  <si>
    <t>Jennifer Traxler</t>
  </si>
  <si>
    <t>TXN00001452</t>
  </si>
  <si>
    <t>Jennifer Gordon</t>
  </si>
  <si>
    <t>VNDR00420</t>
  </si>
  <si>
    <t>AGENT00749</t>
  </si>
  <si>
    <t>TXN00001453</t>
  </si>
  <si>
    <t>Saul Howard</t>
  </si>
  <si>
    <t>TXN00001454</t>
  </si>
  <si>
    <t>Judith Lopez</t>
  </si>
  <si>
    <t>AGENT00814</t>
  </si>
  <si>
    <t>TXN00001455</t>
  </si>
  <si>
    <t>Frank Carr</t>
  </si>
  <si>
    <t>TXN00001456</t>
  </si>
  <si>
    <t>Eddie Gilbert</t>
  </si>
  <si>
    <t>TXN00001457</t>
  </si>
  <si>
    <t>Timothy Mcknight</t>
  </si>
  <si>
    <t>TXN00001458</t>
  </si>
  <si>
    <t>Julia Snell</t>
  </si>
  <si>
    <t>AGENT00080</t>
  </si>
  <si>
    <t>TXN00001459</t>
  </si>
  <si>
    <t>Christopher Singletary</t>
  </si>
  <si>
    <t>TXN00001460</t>
  </si>
  <si>
    <t>Charlie Hanna</t>
  </si>
  <si>
    <t>TXN00001461</t>
  </si>
  <si>
    <t>Joan Barlow</t>
  </si>
  <si>
    <t>TXN00001462</t>
  </si>
  <si>
    <t>Eula Dini</t>
  </si>
  <si>
    <t>TXN00001463</t>
  </si>
  <si>
    <t>Jody Haywood</t>
  </si>
  <si>
    <t>TXN00001464</t>
  </si>
  <si>
    <t>Shawn Brown</t>
  </si>
  <si>
    <t>TXN00001465</t>
  </si>
  <si>
    <t>Samantha Young</t>
  </si>
  <si>
    <t>TXN00001466</t>
  </si>
  <si>
    <t>Geri Rodgers</t>
  </si>
  <si>
    <t>AGENT00303</t>
  </si>
  <si>
    <t>TXN00001467</t>
  </si>
  <si>
    <t>Sue Tillotson</t>
  </si>
  <si>
    <t>TXN00001468</t>
  </si>
  <si>
    <t>Anthony Conley</t>
  </si>
  <si>
    <t>TXN00001469</t>
  </si>
  <si>
    <t>Johnny Bledsoe</t>
  </si>
  <si>
    <t>TXN00001470</t>
  </si>
  <si>
    <t>Zachariah Callahan</t>
  </si>
  <si>
    <t>Twentynine Palms</t>
  </si>
  <si>
    <t>AGENT00156</t>
  </si>
  <si>
    <t>TXN00001471</t>
  </si>
  <si>
    <t>Traci Dorsey</t>
  </si>
  <si>
    <t>TXN00001472</t>
  </si>
  <si>
    <t>Thomas Pascual</t>
  </si>
  <si>
    <t>TXN00001473</t>
  </si>
  <si>
    <t>Ted Alvarado</t>
  </si>
  <si>
    <t>VNDR00232</t>
  </si>
  <si>
    <t>TXN00001474</t>
  </si>
  <si>
    <t>Ricky Berry</t>
  </si>
  <si>
    <t>VNDR00361</t>
  </si>
  <si>
    <t>TXN00001475</t>
  </si>
  <si>
    <t>Joseph Reyes</t>
  </si>
  <si>
    <t>TXN00001476</t>
  </si>
  <si>
    <t>Thelma Henry</t>
  </si>
  <si>
    <t>TXN00001477</t>
  </si>
  <si>
    <t>Terry Khan</t>
  </si>
  <si>
    <t>TXN00001478</t>
  </si>
  <si>
    <t>Adrian Cena</t>
  </si>
  <si>
    <t>TXN00001479</t>
  </si>
  <si>
    <t>Denise Hayes</t>
  </si>
  <si>
    <t>AGENT00400</t>
  </si>
  <si>
    <t>TXN00001480</t>
  </si>
  <si>
    <t>James Cruz</t>
  </si>
  <si>
    <t>Underhill</t>
  </si>
  <si>
    <t>TXN00001481</t>
  </si>
  <si>
    <t>Miguel Holland</t>
  </si>
  <si>
    <t>Peabody</t>
  </si>
  <si>
    <t>AGENT00558</t>
  </si>
  <si>
    <t>TXN00001482</t>
  </si>
  <si>
    <t>Joann Bane</t>
  </si>
  <si>
    <t>AGENT00091</t>
  </si>
  <si>
    <t>TXN00001483</t>
  </si>
  <si>
    <t>Ann Rogers</t>
  </si>
  <si>
    <t>Hingham</t>
  </si>
  <si>
    <t>TXN00001484</t>
  </si>
  <si>
    <t>Deborah Barker</t>
  </si>
  <si>
    <t>AGENT00456</t>
  </si>
  <si>
    <t>TXN00001485</t>
  </si>
  <si>
    <t>Harry Padilla</t>
  </si>
  <si>
    <t>AGENT00418</t>
  </si>
  <si>
    <t>TXN00001486</t>
  </si>
  <si>
    <t>John Albers</t>
  </si>
  <si>
    <t>AGENT01156</t>
  </si>
  <si>
    <t>TXN00001487</t>
  </si>
  <si>
    <t>Joseph Wingate</t>
  </si>
  <si>
    <t>TXN00001488</t>
  </si>
  <si>
    <t>Sheila Douglas</t>
  </si>
  <si>
    <t>TXN00001489</t>
  </si>
  <si>
    <t>Harry Norris</t>
  </si>
  <si>
    <t>AGENT01145</t>
  </si>
  <si>
    <t>TXN00001490</t>
  </si>
  <si>
    <t>Reginald Guercio</t>
  </si>
  <si>
    <t>AGENT00041</t>
  </si>
  <si>
    <t>TXN00001491</t>
  </si>
  <si>
    <t>Naomi Spriggs</t>
  </si>
  <si>
    <t>AGENT01163</t>
  </si>
  <si>
    <t>TXN00001492</t>
  </si>
  <si>
    <t>Lance Angles</t>
  </si>
  <si>
    <t>TXN00001493</t>
  </si>
  <si>
    <t>Kyle Richardson</t>
  </si>
  <si>
    <t>TXN00001494</t>
  </si>
  <si>
    <t>Mary Owen</t>
  </si>
  <si>
    <t>TXN00001495</t>
  </si>
  <si>
    <t>Kenneth Currie</t>
  </si>
  <si>
    <t>AGENT00361</t>
  </si>
  <si>
    <t>TXN00001496</t>
  </si>
  <si>
    <t>Anastasia Hawk</t>
  </si>
  <si>
    <t>VNDR00234</t>
  </si>
  <si>
    <t>TXN00001497</t>
  </si>
  <si>
    <t>Hal Holland</t>
  </si>
  <si>
    <t>TXN00001498</t>
  </si>
  <si>
    <t>Ruthie Shea</t>
  </si>
  <si>
    <t>AGENT01182</t>
  </si>
  <si>
    <t>TXN00001499</t>
  </si>
  <si>
    <t>Sharon Butler</t>
  </si>
  <si>
    <t>TXN00001500</t>
  </si>
  <si>
    <t>Nickolas Blanchard</t>
  </si>
  <si>
    <t>TXN00001501</t>
  </si>
  <si>
    <t>Jessie Laubhan</t>
  </si>
  <si>
    <t>Attleboro</t>
  </si>
  <si>
    <t>TXN00001502</t>
  </si>
  <si>
    <t>Louise Wilson</t>
  </si>
  <si>
    <t>TXN00001503</t>
  </si>
  <si>
    <t>Madelyn Riojas</t>
  </si>
  <si>
    <t>TXN00001504</t>
  </si>
  <si>
    <t>Lorraine Perry</t>
  </si>
  <si>
    <t>VNDR00297</t>
  </si>
  <si>
    <t>TXN00001505</t>
  </si>
  <si>
    <t>Kelly Valenzuela</t>
  </si>
  <si>
    <t>TXN00001506</t>
  </si>
  <si>
    <t>Mary Lamarche</t>
  </si>
  <si>
    <t>TXN00001507</t>
  </si>
  <si>
    <t>James Sindelar</t>
  </si>
  <si>
    <t>AGENT00158</t>
  </si>
  <si>
    <t>TXN00001508</t>
  </si>
  <si>
    <t>Juanita Merten</t>
  </si>
  <si>
    <t>TXN00001509</t>
  </si>
  <si>
    <t>Bianca Kilday</t>
  </si>
  <si>
    <t>AGENT00259</t>
  </si>
  <si>
    <t>TXN00001510</t>
  </si>
  <si>
    <t>Eileen Stephenson</t>
  </si>
  <si>
    <t>TXN00001511</t>
  </si>
  <si>
    <t>Kristin Womack</t>
  </si>
  <si>
    <t>TXN00001512</t>
  </si>
  <si>
    <t>Suzanne Minnich</t>
  </si>
  <si>
    <t>TXN00001513</t>
  </si>
  <si>
    <t>Ann Luebke</t>
  </si>
  <si>
    <t>TXN00001514</t>
  </si>
  <si>
    <t>Alexander Anderson</t>
  </si>
  <si>
    <t>AGENT00591</t>
  </si>
  <si>
    <t>TXN00001515</t>
  </si>
  <si>
    <t>Danielle Allen</t>
  </si>
  <si>
    <t>AGENT00620</t>
  </si>
  <si>
    <t>TXN00001516</t>
  </si>
  <si>
    <t>Ralph Dockery</t>
  </si>
  <si>
    <t>Waddell</t>
  </si>
  <si>
    <t>AGENT00320</t>
  </si>
  <si>
    <t>TXN00001517</t>
  </si>
  <si>
    <t>Elroy Renner</t>
  </si>
  <si>
    <t>TXN00001518</t>
  </si>
  <si>
    <t>Lester Tanaka</t>
  </si>
  <si>
    <t>TXN00001519</t>
  </si>
  <si>
    <t>Helen Craze</t>
  </si>
  <si>
    <t>AGENT00465</t>
  </si>
  <si>
    <t>TXN00001520</t>
  </si>
  <si>
    <t>Justin Davis</t>
  </si>
  <si>
    <t>TXN00001521</t>
  </si>
  <si>
    <t>Kathleen Wong</t>
  </si>
  <si>
    <t>TXN00001522</t>
  </si>
  <si>
    <t>Michael Jones</t>
  </si>
  <si>
    <t>AGENT00039</t>
  </si>
  <si>
    <t>TXN00001523</t>
  </si>
  <si>
    <t>Rodney Emerson</t>
  </si>
  <si>
    <t>TXN00001524</t>
  </si>
  <si>
    <t>Paige Greenlaw</t>
  </si>
  <si>
    <t>TXN00001525</t>
  </si>
  <si>
    <t>Chad Johnson</t>
  </si>
  <si>
    <t>TXN00001526</t>
  </si>
  <si>
    <t>Douglas Blankenship</t>
  </si>
  <si>
    <t>TXN00001527</t>
  </si>
  <si>
    <t>Arlene Hervey</t>
  </si>
  <si>
    <t>VNDR00205</t>
  </si>
  <si>
    <t>TXN00001528</t>
  </si>
  <si>
    <t>Paul Randle</t>
  </si>
  <si>
    <t>AGENT00693</t>
  </si>
  <si>
    <t>TXN00001529</t>
  </si>
  <si>
    <t>Walter Ostermann</t>
  </si>
  <si>
    <t>TXN00001530</t>
  </si>
  <si>
    <t>Raquel Ryan</t>
  </si>
  <si>
    <t>TXN00001531</t>
  </si>
  <si>
    <t>James Polczynski</t>
  </si>
  <si>
    <t>TXN00001532</t>
  </si>
  <si>
    <t>Irene Kimmes</t>
  </si>
  <si>
    <t>TXN00001533</t>
  </si>
  <si>
    <t>Mia Meadows</t>
  </si>
  <si>
    <t>AGENT00904</t>
  </si>
  <si>
    <t>TXN00001534</t>
  </si>
  <si>
    <t>Stephen Sloan</t>
  </si>
  <si>
    <t>Baldwin Park</t>
  </si>
  <si>
    <t>TXN00001535</t>
  </si>
  <si>
    <t>Carter Perry</t>
  </si>
  <si>
    <t>AGENT00187</t>
  </si>
  <si>
    <t>TXN00001536</t>
  </si>
  <si>
    <t>Brian Ruiz</t>
  </si>
  <si>
    <t>AGENT00233</t>
  </si>
  <si>
    <t>TXN00001537</t>
  </si>
  <si>
    <t>Melissa Mcgehee</t>
  </si>
  <si>
    <t>AGENT00676</t>
  </si>
  <si>
    <t>TXN00001538</t>
  </si>
  <si>
    <t>Robert Simpson</t>
  </si>
  <si>
    <t>AGENT00526</t>
  </si>
  <si>
    <t>TXN00001539</t>
  </si>
  <si>
    <t>Gladys Webb</t>
  </si>
  <si>
    <t>AGENT01064</t>
  </si>
  <si>
    <t>TXN00001540</t>
  </si>
  <si>
    <t>James Gross</t>
  </si>
  <si>
    <t>TXN00001541</t>
  </si>
  <si>
    <t>Jimmy Boyer</t>
  </si>
  <si>
    <t>AGENT00834</t>
  </si>
  <si>
    <t>TXN00001542</t>
  </si>
  <si>
    <t>Anthony Cox</t>
  </si>
  <si>
    <t>TXN00001543</t>
  </si>
  <si>
    <t>Elsie Oneil</t>
  </si>
  <si>
    <t>TXN00001544</t>
  </si>
  <si>
    <t>Racheal Ledwell</t>
  </si>
  <si>
    <t>TXN00001545</t>
  </si>
  <si>
    <t>Jacqueline Woodard</t>
  </si>
  <si>
    <t>VNDR00343</t>
  </si>
  <si>
    <t>AGENT00858</t>
  </si>
  <si>
    <t>TXN00001546</t>
  </si>
  <si>
    <t>Michelle Conn</t>
  </si>
  <si>
    <t>AGENT00663</t>
  </si>
  <si>
    <t>TXN00001547</t>
  </si>
  <si>
    <t>Tonya Boss</t>
  </si>
  <si>
    <t>AGENT00398</t>
  </si>
  <si>
    <t>TXN00001548</t>
  </si>
  <si>
    <t>Wilbert Labbe</t>
  </si>
  <si>
    <t>AGENT00891</t>
  </si>
  <si>
    <t>TXN00001549</t>
  </si>
  <si>
    <t>Albert Mahoney</t>
  </si>
  <si>
    <t>TXN00001550</t>
  </si>
  <si>
    <t>Ronald Bannister</t>
  </si>
  <si>
    <t>AGENT01125</t>
  </si>
  <si>
    <t>TXN00001551</t>
  </si>
  <si>
    <t>Jean Lapoint</t>
  </si>
  <si>
    <t>TXN00001552</t>
  </si>
  <si>
    <t>Stephen Ferrell</t>
  </si>
  <si>
    <t>AGENT00251</t>
  </si>
  <si>
    <t>TXN00001553</t>
  </si>
  <si>
    <t>Stuart Green</t>
  </si>
  <si>
    <t>Shelburne</t>
  </si>
  <si>
    <t>TXN00001554</t>
  </si>
  <si>
    <t>Phillip Hendershot</t>
  </si>
  <si>
    <t>AGENT00225</t>
  </si>
  <si>
    <t>TXN00001555</t>
  </si>
  <si>
    <t>Raymond Clark</t>
  </si>
  <si>
    <t>TXN00001556</t>
  </si>
  <si>
    <t>Myrna Hemrich</t>
  </si>
  <si>
    <t>TXN00001557</t>
  </si>
  <si>
    <t>Rhonda Eslinger</t>
  </si>
  <si>
    <t>TXN00001558</t>
  </si>
  <si>
    <t>Kevin Allison</t>
  </si>
  <si>
    <t>AGENT00624</t>
  </si>
  <si>
    <t>TXN00001559</t>
  </si>
  <si>
    <t>Benjamin Dahl</t>
  </si>
  <si>
    <t>TXN00001560</t>
  </si>
  <si>
    <t>Ruth Hoskins</t>
  </si>
  <si>
    <t>TXN00001561</t>
  </si>
  <si>
    <t>Caroline Henderson</t>
  </si>
  <si>
    <t>AGENT00182</t>
  </si>
  <si>
    <t>TXN00001562</t>
  </si>
  <si>
    <t>Micheal Kher</t>
  </si>
  <si>
    <t>TXN00001563</t>
  </si>
  <si>
    <t>Margaret Hines</t>
  </si>
  <si>
    <t>Rancho Cordova</t>
  </si>
  <si>
    <t>TXN00001564</t>
  </si>
  <si>
    <t>Pedro Vadenais</t>
  </si>
  <si>
    <t>AGENT00778</t>
  </si>
  <si>
    <t>TXN00001565</t>
  </si>
  <si>
    <t>Tandy Thomas</t>
  </si>
  <si>
    <t>Bloomingdale</t>
  </si>
  <si>
    <t>TXN00001566</t>
  </si>
  <si>
    <t>Leslie Mann</t>
  </si>
  <si>
    <t>TXN00001567</t>
  </si>
  <si>
    <t>Jules Hughes</t>
  </si>
  <si>
    <t>TXN00001568</t>
  </si>
  <si>
    <t>James Weiss</t>
  </si>
  <si>
    <t>TXN00001569</t>
  </si>
  <si>
    <t>Phyllis Mimnaugh</t>
  </si>
  <si>
    <t>VNDR00052</t>
  </si>
  <si>
    <t>TXN00001570</t>
  </si>
  <si>
    <t>Mark Gardner</t>
  </si>
  <si>
    <t>TXN00001571</t>
  </si>
  <si>
    <t>Wayne Osborn</t>
  </si>
  <si>
    <t>AGENT00838</t>
  </si>
  <si>
    <t>TXN00001572</t>
  </si>
  <si>
    <t>William Gaines</t>
  </si>
  <si>
    <t>TXN00001573</t>
  </si>
  <si>
    <t>Angel Holmberg</t>
  </si>
  <si>
    <t>TXN00001574</t>
  </si>
  <si>
    <t>Eric Gier</t>
  </si>
  <si>
    <t>TXN00001575</t>
  </si>
  <si>
    <t>Judith Noble</t>
  </si>
  <si>
    <t>TXN00001576</t>
  </si>
  <si>
    <t>Betty Morehead</t>
  </si>
  <si>
    <t>TXN00001577</t>
  </si>
  <si>
    <t>Lorri Whitefield</t>
  </si>
  <si>
    <t>TXN00001578</t>
  </si>
  <si>
    <t>Tonia Simmons</t>
  </si>
  <si>
    <t>TXN00001579</t>
  </si>
  <si>
    <t>Lillie Kenny</t>
  </si>
  <si>
    <t>TXN00001580</t>
  </si>
  <si>
    <t>Bryan Smith</t>
  </si>
  <si>
    <t>AGENT00867</t>
  </si>
  <si>
    <t>TXN00001581</t>
  </si>
  <si>
    <t>Michael Johnson</t>
  </si>
  <si>
    <t>TXN00001582</t>
  </si>
  <si>
    <t>Gail Daly</t>
  </si>
  <si>
    <t>TXN00001583</t>
  </si>
  <si>
    <t>John Montoya</t>
  </si>
  <si>
    <t>Warr Acres</t>
  </si>
  <si>
    <t>TXN00001584</t>
  </si>
  <si>
    <t>David Scott</t>
  </si>
  <si>
    <t>AGENT01118</t>
  </si>
  <si>
    <t>TXN00001585</t>
  </si>
  <si>
    <t>Donna Young</t>
  </si>
  <si>
    <t>TXN00001586</t>
  </si>
  <si>
    <t>Matthew Carnevale</t>
  </si>
  <si>
    <t>AGENT01043</t>
  </si>
  <si>
    <t>TXN00001587</t>
  </si>
  <si>
    <t>Thomas Meyer</t>
  </si>
  <si>
    <t>TXN00001588</t>
  </si>
  <si>
    <t>Naomi Hoover</t>
  </si>
  <si>
    <t>TXN00001589</t>
  </si>
  <si>
    <t>Gary Houston</t>
  </si>
  <si>
    <t>TXN00001590</t>
  </si>
  <si>
    <t>Marvin Salamy</t>
  </si>
  <si>
    <t>AGENT00083</t>
  </si>
  <si>
    <t>TXN00001591</t>
  </si>
  <si>
    <t>Arthur Devaney</t>
  </si>
  <si>
    <t>TXN00001592</t>
  </si>
  <si>
    <t>Stacey Burnett</t>
  </si>
  <si>
    <t>TXN00001593</t>
  </si>
  <si>
    <t>Barbara Vega</t>
  </si>
  <si>
    <t>AGENT00540</t>
  </si>
  <si>
    <t>TXN00001594</t>
  </si>
  <si>
    <t>Molly Hamel</t>
  </si>
  <si>
    <t>TXN00001595</t>
  </si>
  <si>
    <t>Phillip Luckner</t>
  </si>
  <si>
    <t>TXN00001596</t>
  </si>
  <si>
    <t>Thomas James</t>
  </si>
  <si>
    <t>VNDR00101</t>
  </si>
  <si>
    <t>TXN00001597</t>
  </si>
  <si>
    <t>Thomas Austin</t>
  </si>
  <si>
    <t>AGENT01123</t>
  </si>
  <si>
    <t>TXN00001598</t>
  </si>
  <si>
    <t>James Brown</t>
  </si>
  <si>
    <t>TXN00001599</t>
  </si>
  <si>
    <t>Mildred Gaston</t>
  </si>
  <si>
    <t>TXN00001600</t>
  </si>
  <si>
    <t>Bobby Holbrook</t>
  </si>
  <si>
    <t>TXN00001601</t>
  </si>
  <si>
    <t>Leslie Dennis</t>
  </si>
  <si>
    <t>AGENT00816</t>
  </si>
  <si>
    <t>TXN00001602</t>
  </si>
  <si>
    <t>Davida Martin</t>
  </si>
  <si>
    <t>TXN00001603</t>
  </si>
  <si>
    <t>Manuel Bradbury</t>
  </si>
  <si>
    <t>TXN00001604</t>
  </si>
  <si>
    <t>Elizabeth Engelhardt</t>
  </si>
  <si>
    <t>TXN00001605</t>
  </si>
  <si>
    <t>Doris Johnson</t>
  </si>
  <si>
    <t>TXN00001606</t>
  </si>
  <si>
    <t>Timothy Bullock</t>
  </si>
  <si>
    <t>TXN00001607</t>
  </si>
  <si>
    <t>Myrtle Silverstein</t>
  </si>
  <si>
    <t>TXN00001608</t>
  </si>
  <si>
    <t>James Levine</t>
  </si>
  <si>
    <t>TXN00001609</t>
  </si>
  <si>
    <t>Teresa Rogers</t>
  </si>
  <si>
    <t>TXN00001610</t>
  </si>
  <si>
    <t>John Hannan</t>
  </si>
  <si>
    <t>TXN00001611</t>
  </si>
  <si>
    <t>Bobby Ard</t>
  </si>
  <si>
    <t>TXN00001612</t>
  </si>
  <si>
    <t>Jonathan Francis</t>
  </si>
  <si>
    <t>TXN00001613</t>
  </si>
  <si>
    <t>Alexander Mills</t>
  </si>
  <si>
    <t>TXN00001614</t>
  </si>
  <si>
    <t>Phil Wallis</t>
  </si>
  <si>
    <t>TXN00001615</t>
  </si>
  <si>
    <t>Arnold Adair</t>
  </si>
  <si>
    <t>TXN00001616</t>
  </si>
  <si>
    <t>Zenaida Norman</t>
  </si>
  <si>
    <t>AGENT00631</t>
  </si>
  <si>
    <t>TXN00001617</t>
  </si>
  <si>
    <t>Crystal Shively</t>
  </si>
  <si>
    <t>TXN00001618</t>
  </si>
  <si>
    <t>John Moore</t>
  </si>
  <si>
    <t>AGENT00884</t>
  </si>
  <si>
    <t>TXN00001619</t>
  </si>
  <si>
    <t>Tara Curran</t>
  </si>
  <si>
    <t>VNDR00040</t>
  </si>
  <si>
    <t>AGENT00202</t>
  </si>
  <si>
    <t>TXN00001620</t>
  </si>
  <si>
    <t>Susan Jones</t>
  </si>
  <si>
    <t>TXN00001621</t>
  </si>
  <si>
    <t>Barbara Peebles</t>
  </si>
  <si>
    <t>Homer</t>
  </si>
  <si>
    <t>AGENT00117</t>
  </si>
  <si>
    <t>TXN00001622</t>
  </si>
  <si>
    <t>Goldie Daigle</t>
  </si>
  <si>
    <t>TXN00001623</t>
  </si>
  <si>
    <t>Donald Mayoras</t>
  </si>
  <si>
    <t>TXN00001624</t>
  </si>
  <si>
    <t>Laura Trantham</t>
  </si>
  <si>
    <t>TXN00001625</t>
  </si>
  <si>
    <t>Noemi Fairley</t>
  </si>
  <si>
    <t>TXN00001626</t>
  </si>
  <si>
    <t>Scott Jennrich</t>
  </si>
  <si>
    <t>TXN00001627</t>
  </si>
  <si>
    <t>Louis Aronson</t>
  </si>
  <si>
    <t>TXN00001628</t>
  </si>
  <si>
    <t>Elizabeth Brock</t>
  </si>
  <si>
    <t>Santa Rosa</t>
  </si>
  <si>
    <t>TXN00001629</t>
  </si>
  <si>
    <t>Paul Serrano</t>
  </si>
  <si>
    <t>TXN00001630</t>
  </si>
  <si>
    <t>Eric Charles</t>
  </si>
  <si>
    <t>AGENT01010</t>
  </si>
  <si>
    <t>TXN00001631</t>
  </si>
  <si>
    <t>Marylee File</t>
  </si>
  <si>
    <t>AGENT00514</t>
  </si>
  <si>
    <t>TXN00001632</t>
  </si>
  <si>
    <t>Marion Baker</t>
  </si>
  <si>
    <t>TXN00001633</t>
  </si>
  <si>
    <t>Dominick Smith</t>
  </si>
  <si>
    <t>TXN00001634</t>
  </si>
  <si>
    <t>Raymond Martin</t>
  </si>
  <si>
    <t>TXN00001635</t>
  </si>
  <si>
    <t>David Hopkins</t>
  </si>
  <si>
    <t>TXN00001636</t>
  </si>
  <si>
    <t>Manuel Schoonmaker</t>
  </si>
  <si>
    <t>TXN00001637</t>
  </si>
  <si>
    <t>Clarence Smith</t>
  </si>
  <si>
    <t>AGENT00892</t>
  </si>
  <si>
    <t>TXN00001638</t>
  </si>
  <si>
    <t>David Magallan</t>
  </si>
  <si>
    <t>TXN00001639</t>
  </si>
  <si>
    <t>Mary Wright</t>
  </si>
  <si>
    <t>TXN00001640</t>
  </si>
  <si>
    <t>Thomas Diehl</t>
  </si>
  <si>
    <t>TXN00001641</t>
  </si>
  <si>
    <t>Jim Cheatom</t>
  </si>
  <si>
    <t>TXN00001642</t>
  </si>
  <si>
    <t>Rita Evans</t>
  </si>
  <si>
    <t>Eureka</t>
  </si>
  <si>
    <t>TXN00001643</t>
  </si>
  <si>
    <t>Jerry Sanford</t>
  </si>
  <si>
    <t>TXN00001644</t>
  </si>
  <si>
    <t>James Sandridge</t>
  </si>
  <si>
    <t>TXN00001645</t>
  </si>
  <si>
    <t>Phillis Ly</t>
  </si>
  <si>
    <t>TXN00001646</t>
  </si>
  <si>
    <t>Theodore Mccoy</t>
  </si>
  <si>
    <t>TXN00001647</t>
  </si>
  <si>
    <t>Russell Wilcox</t>
  </si>
  <si>
    <t>TXN00001648</t>
  </si>
  <si>
    <t>Paul Acuna</t>
  </si>
  <si>
    <t>TXN00001649</t>
  </si>
  <si>
    <t>Russell Hill</t>
  </si>
  <si>
    <t>TXN00001650</t>
  </si>
  <si>
    <t>Jessica Greer</t>
  </si>
  <si>
    <t>TXN00001651</t>
  </si>
  <si>
    <t>Edna Armstrong</t>
  </si>
  <si>
    <t>AGENT00916</t>
  </si>
  <si>
    <t>TXN00001652</t>
  </si>
  <si>
    <t>Maud Urrutia</t>
  </si>
  <si>
    <t>Ludlow</t>
  </si>
  <si>
    <t>TXN00001653</t>
  </si>
  <si>
    <t>Winnie Durant</t>
  </si>
  <si>
    <t>Chico</t>
  </si>
  <si>
    <t>VNDR00064</t>
  </si>
  <si>
    <t>TXN00001654</t>
  </si>
  <si>
    <t>Harley Smith</t>
  </si>
  <si>
    <t>AGENT00602</t>
  </si>
  <si>
    <t>TXN00001655</t>
  </si>
  <si>
    <t>Barbara Withers</t>
  </si>
  <si>
    <t>TXN00001656</t>
  </si>
  <si>
    <t>Priscilla Wright</t>
  </si>
  <si>
    <t>TXN00001657</t>
  </si>
  <si>
    <t>Everett Hall</t>
  </si>
  <si>
    <t>TXN00001658</t>
  </si>
  <si>
    <t>Joseph Brandenburg</t>
  </si>
  <si>
    <t>TXN00001659</t>
  </si>
  <si>
    <t>Ashley George</t>
  </si>
  <si>
    <t>TXN00001660</t>
  </si>
  <si>
    <t>Gordon Blankenship</t>
  </si>
  <si>
    <t>AGENT00706</t>
  </si>
  <si>
    <t>TXN00001661</t>
  </si>
  <si>
    <t>Thomas Gaines</t>
  </si>
  <si>
    <t>AGENT00211</t>
  </si>
  <si>
    <t>TXN00001662</t>
  </si>
  <si>
    <t>Marilyn Bullinger</t>
  </si>
  <si>
    <t>AGENT00766</t>
  </si>
  <si>
    <t>TXN00001663</t>
  </si>
  <si>
    <t>Albert Matthes</t>
  </si>
  <si>
    <t>AGENT01147</t>
  </si>
  <si>
    <t>TXN00001664</t>
  </si>
  <si>
    <t>Dorothy Garcia</t>
  </si>
  <si>
    <t>TXN00001665</t>
  </si>
  <si>
    <t>Leona Nixon</t>
  </si>
  <si>
    <t>TXN00001666</t>
  </si>
  <si>
    <t>Palmer Miller</t>
  </si>
  <si>
    <t>TXN00001667</t>
  </si>
  <si>
    <t>Josephine Pyle</t>
  </si>
  <si>
    <t>Wheelock</t>
  </si>
  <si>
    <t>TXN00001668</t>
  </si>
  <si>
    <t>Tanesha Dickinson</t>
  </si>
  <si>
    <t>TXN00001669</t>
  </si>
  <si>
    <t>Mildred Sparks</t>
  </si>
  <si>
    <t>TXN00001670</t>
  </si>
  <si>
    <t>Joseph Wong</t>
  </si>
  <si>
    <t>TXN00001671</t>
  </si>
  <si>
    <t>Flora Troke</t>
  </si>
  <si>
    <t>AGENT00887</t>
  </si>
  <si>
    <t>TXN00001672</t>
  </si>
  <si>
    <t>Steven Roberts</t>
  </si>
  <si>
    <t>TXN00001673</t>
  </si>
  <si>
    <t>Travis Brazil</t>
  </si>
  <si>
    <t>TXN00001674</t>
  </si>
  <si>
    <t>Tim Mimnaugh</t>
  </si>
  <si>
    <t>TXN00001675</t>
  </si>
  <si>
    <t>Riva Hunter</t>
  </si>
  <si>
    <t>TXN00001676</t>
  </si>
  <si>
    <t>Douglas Richardson</t>
  </si>
  <si>
    <t>TXN00001677</t>
  </si>
  <si>
    <t>Letha Haack</t>
  </si>
  <si>
    <t>TXN00001678</t>
  </si>
  <si>
    <t>Hattie Diaz</t>
  </si>
  <si>
    <t>TXN00001679</t>
  </si>
  <si>
    <t>Loretta Pierson</t>
  </si>
  <si>
    <t>TXN00001680</t>
  </si>
  <si>
    <t>Dennis Fuller</t>
  </si>
  <si>
    <t>TXN00001681</t>
  </si>
  <si>
    <t>Sergio Griggs</t>
  </si>
  <si>
    <t>VNDR00286</t>
  </si>
  <si>
    <t>TXN00001682</t>
  </si>
  <si>
    <t>Teresa Mcalpine</t>
  </si>
  <si>
    <t>Hubbardston</t>
  </si>
  <si>
    <t>AGENT00357</t>
  </si>
  <si>
    <t>TXN00001683</t>
  </si>
  <si>
    <t>Jorge Jones</t>
  </si>
  <si>
    <t>Brooklyn Park</t>
  </si>
  <si>
    <t>TXN00001684</t>
  </si>
  <si>
    <t>AGENT00562</t>
  </si>
  <si>
    <t>TXN00001685</t>
  </si>
  <si>
    <t>Alfred Tait</t>
  </si>
  <si>
    <t>AGENT00803</t>
  </si>
  <si>
    <t>TXN00001686</t>
  </si>
  <si>
    <t>Penny Pickel</t>
  </si>
  <si>
    <t>TXN00001687</t>
  </si>
  <si>
    <t>Diane Mcchristian</t>
  </si>
  <si>
    <t>Braintree</t>
  </si>
  <si>
    <t>TXN00001688</t>
  </si>
  <si>
    <t>Thomas White</t>
  </si>
  <si>
    <t>TXN00001689</t>
  </si>
  <si>
    <t>Ralph Mello</t>
  </si>
  <si>
    <t>TXN00001690</t>
  </si>
  <si>
    <t>Sara Felten</t>
  </si>
  <si>
    <t>TXN00001691</t>
  </si>
  <si>
    <t>Todd Kelley</t>
  </si>
  <si>
    <t>TXN00001692</t>
  </si>
  <si>
    <t>William Oliver</t>
  </si>
  <si>
    <t>TXN00001693</t>
  </si>
  <si>
    <t>Shawn Strickland</t>
  </si>
  <si>
    <t>AGENT00930</t>
  </si>
  <si>
    <t>TXN00001694</t>
  </si>
  <si>
    <t>Norman Jordan</t>
  </si>
  <si>
    <t>TXN00001695</t>
  </si>
  <si>
    <t>Helen Benz</t>
  </si>
  <si>
    <t>TXN00001696</t>
  </si>
  <si>
    <t>Irene Trinh</t>
  </si>
  <si>
    <t>AGENT00734</t>
  </si>
  <si>
    <t>TXN00001697</t>
  </si>
  <si>
    <t>Rogelio Richards</t>
  </si>
  <si>
    <t>TXN00001698</t>
  </si>
  <si>
    <t>David Peoples</t>
  </si>
  <si>
    <t>TXN00001699</t>
  </si>
  <si>
    <t>Morris Butler</t>
  </si>
  <si>
    <t>TXN00001700</t>
  </si>
  <si>
    <t>Tennille Bieber</t>
  </si>
  <si>
    <t>TXN00001701</t>
  </si>
  <si>
    <t>Allen Phares</t>
  </si>
  <si>
    <t>TXN00001702</t>
  </si>
  <si>
    <t>Dominick Daniels</t>
  </si>
  <si>
    <t>TXN00001703</t>
  </si>
  <si>
    <t>Stanley Limones</t>
  </si>
  <si>
    <t>TXN00001704</t>
  </si>
  <si>
    <t>Earl Fort</t>
  </si>
  <si>
    <t>TXN00001705</t>
  </si>
  <si>
    <t>Tommy Perry</t>
  </si>
  <si>
    <t>Los Angeles</t>
  </si>
  <si>
    <t>AGENT01200</t>
  </si>
  <si>
    <t>TXN00001706</t>
  </si>
  <si>
    <t>Thomas Burnham</t>
  </si>
  <si>
    <t>AGENT00277</t>
  </si>
  <si>
    <t>TXN00001707</t>
  </si>
  <si>
    <t>Ada Vermeesch</t>
  </si>
  <si>
    <t>TXN00001708</t>
  </si>
  <si>
    <t>Monica Mention</t>
  </si>
  <si>
    <t>TXN00001709</t>
  </si>
  <si>
    <t>Ebony Payson</t>
  </si>
  <si>
    <t>TXN00001710</t>
  </si>
  <si>
    <t>Rebecca Lance</t>
  </si>
  <si>
    <t>TXN00001711</t>
  </si>
  <si>
    <t>Mary Mckie</t>
  </si>
  <si>
    <t>TXN00001712</t>
  </si>
  <si>
    <t>Kandice Pickle</t>
  </si>
  <si>
    <t>Plantation</t>
  </si>
  <si>
    <t>AGENT00006</t>
  </si>
  <si>
    <t>TXN00001713</t>
  </si>
  <si>
    <t>Albert Waters</t>
  </si>
  <si>
    <t>TXN00001714</t>
  </si>
  <si>
    <t>Anthony Kornbluth</t>
  </si>
  <si>
    <t>TXN00001715</t>
  </si>
  <si>
    <t>William Vaughan</t>
  </si>
  <si>
    <t>TXN00001716</t>
  </si>
  <si>
    <t>Hilton Henderson</t>
  </si>
  <si>
    <t>TXN00001717</t>
  </si>
  <si>
    <t>Chris Border</t>
  </si>
  <si>
    <t>TXN00001718</t>
  </si>
  <si>
    <t>Thomas Pitts</t>
  </si>
  <si>
    <t>TXN00001719</t>
  </si>
  <si>
    <t>Alberta Hassard</t>
  </si>
  <si>
    <t>TXN00001720</t>
  </si>
  <si>
    <t>Herman Headrick</t>
  </si>
  <si>
    <t>TXN00001721</t>
  </si>
  <si>
    <t>Wayne Garcia</t>
  </si>
  <si>
    <t>TXN00001722</t>
  </si>
  <si>
    <t>David Stewart</t>
  </si>
  <si>
    <t>TXN00001723</t>
  </si>
  <si>
    <t>Barbara Bernes</t>
  </si>
  <si>
    <t>TXN00001724</t>
  </si>
  <si>
    <t>Michael Cruz</t>
  </si>
  <si>
    <t>Riva</t>
  </si>
  <si>
    <t>TXN00001725</t>
  </si>
  <si>
    <t>Peter Bryan</t>
  </si>
  <si>
    <t>TXN00001726</t>
  </si>
  <si>
    <t>Ernest Cook</t>
  </si>
  <si>
    <t>TXN00001727</t>
  </si>
  <si>
    <t>John Jurasek</t>
  </si>
  <si>
    <t>TXN00001728</t>
  </si>
  <si>
    <t>Henry Gardner</t>
  </si>
  <si>
    <t>TXN00001729</t>
  </si>
  <si>
    <t>Jesse Rawson</t>
  </si>
  <si>
    <t>TXN00001730</t>
  </si>
  <si>
    <t>Edward Ferguson</t>
  </si>
  <si>
    <t>AGENT01099</t>
  </si>
  <si>
    <t>TXN00001731</t>
  </si>
  <si>
    <t>Madelyn Gordon</t>
  </si>
  <si>
    <t>TXN00001732</t>
  </si>
  <si>
    <t>Theresa Ortega</t>
  </si>
  <si>
    <t>TXN00001733</t>
  </si>
  <si>
    <t>Brenda Solomon</t>
  </si>
  <si>
    <t>TXN00001734</t>
  </si>
  <si>
    <t>Darrel Fitzgerald</t>
  </si>
  <si>
    <t>TXN00001735</t>
  </si>
  <si>
    <t>Peter Hermans</t>
  </si>
  <si>
    <t>TXN00001736</t>
  </si>
  <si>
    <t>John Morris</t>
  </si>
  <si>
    <t>TXN00001737</t>
  </si>
  <si>
    <t>Ida Rose</t>
  </si>
  <si>
    <t>TXN00001738</t>
  </si>
  <si>
    <t>Dan Buchholz</t>
  </si>
  <si>
    <t>TXN00001739</t>
  </si>
  <si>
    <t>Phylis Ness</t>
  </si>
  <si>
    <t>TXN00001740</t>
  </si>
  <si>
    <t>Ann Farber</t>
  </si>
  <si>
    <t>TXN00001741</t>
  </si>
  <si>
    <t>Jasmine Lewis</t>
  </si>
  <si>
    <t>AGENT00076</t>
  </si>
  <si>
    <t>TXN00001742</t>
  </si>
  <si>
    <t>Tonya Wheeler</t>
  </si>
  <si>
    <t>AGENT00657</t>
  </si>
  <si>
    <t>TXN00001743</t>
  </si>
  <si>
    <t>Scott Hart</t>
  </si>
  <si>
    <t>TXN00001744</t>
  </si>
  <si>
    <t>Dale Thompson</t>
  </si>
  <si>
    <t>AGENT00380</t>
  </si>
  <si>
    <t>TXN00001745</t>
  </si>
  <si>
    <t>Melinda Creger</t>
  </si>
  <si>
    <t>Mammoth Lakes</t>
  </si>
  <si>
    <t>AGENT00950</t>
  </si>
  <si>
    <t>TXN00001746</t>
  </si>
  <si>
    <t>Matthew Pelletier</t>
  </si>
  <si>
    <t>TXN00001747</t>
  </si>
  <si>
    <t>George Whorley</t>
  </si>
  <si>
    <t>TXN00001748</t>
  </si>
  <si>
    <t>Adam Laub</t>
  </si>
  <si>
    <t>TXN00001749</t>
  </si>
  <si>
    <t>Madlyn Colon</t>
  </si>
  <si>
    <t>AGENT00936</t>
  </si>
  <si>
    <t>TXN00001750</t>
  </si>
  <si>
    <t>Terry Tibbert</t>
  </si>
  <si>
    <t>TXN00001751</t>
  </si>
  <si>
    <t>Edward Menden</t>
  </si>
  <si>
    <t>TXN00001752</t>
  </si>
  <si>
    <t>Billy Macaraeg</t>
  </si>
  <si>
    <t>AGENT01034</t>
  </si>
  <si>
    <t>TXN00001753</t>
  </si>
  <si>
    <t>Brian Phillips</t>
  </si>
  <si>
    <t>TXN00001754</t>
  </si>
  <si>
    <t>Mary Fountain</t>
  </si>
  <si>
    <t>TXN00001755</t>
  </si>
  <si>
    <t>Benny Johnson</t>
  </si>
  <si>
    <t>TXN00001756</t>
  </si>
  <si>
    <t>Donnie Williams</t>
  </si>
  <si>
    <t>AGENT00677</t>
  </si>
  <si>
    <t>TXN00001757</t>
  </si>
  <si>
    <t>Ruth Lawton</t>
  </si>
  <si>
    <t>TXN00001758</t>
  </si>
  <si>
    <t>Warren Harrison</t>
  </si>
  <si>
    <t>TXN00001759</t>
  </si>
  <si>
    <t>Diane Brownlow</t>
  </si>
  <si>
    <t>TXN00001760</t>
  </si>
  <si>
    <t>Linda Neal</t>
  </si>
  <si>
    <t>TXN00001761</t>
  </si>
  <si>
    <t>Pauline Grollimund</t>
  </si>
  <si>
    <t>TXN00001762</t>
  </si>
  <si>
    <t>Alberta Powell</t>
  </si>
  <si>
    <t>TXN00001763</t>
  </si>
  <si>
    <t>Trista Villalobos</t>
  </si>
  <si>
    <t>TXN00001764</t>
  </si>
  <si>
    <t>Clark Rosa</t>
  </si>
  <si>
    <t>AGENT00654</t>
  </si>
  <si>
    <t>TXN00001765</t>
  </si>
  <si>
    <t>Lori Leedy</t>
  </si>
  <si>
    <t>AGENT00234</t>
  </si>
  <si>
    <t>TXN00001766</t>
  </si>
  <si>
    <t>Rachel Ramirez</t>
  </si>
  <si>
    <t>TXN00001767</t>
  </si>
  <si>
    <t>Melissa Moralez</t>
  </si>
  <si>
    <t>TXN00001768</t>
  </si>
  <si>
    <t>Sharon Carrell</t>
  </si>
  <si>
    <t>TXN00001769</t>
  </si>
  <si>
    <t>Lawrence Larson</t>
  </si>
  <si>
    <t>TXN00001770</t>
  </si>
  <si>
    <t>Angela Lappin</t>
  </si>
  <si>
    <t>TXN00001771</t>
  </si>
  <si>
    <t>Tracy Calhoun</t>
  </si>
  <si>
    <t>TXN00001772</t>
  </si>
  <si>
    <t>Bryan Cash</t>
  </si>
  <si>
    <t>TXN00001773</t>
  </si>
  <si>
    <t>Mary Batty</t>
  </si>
  <si>
    <t>TXN00001774</t>
  </si>
  <si>
    <t>Dennis Leasure</t>
  </si>
  <si>
    <t>AGENT00362</t>
  </si>
  <si>
    <t>TXN00001775</t>
  </si>
  <si>
    <t>Juan Vallery</t>
  </si>
  <si>
    <t>TXN00001776</t>
  </si>
  <si>
    <t>Elizabeth Ferrell</t>
  </si>
  <si>
    <t>TXN00001777</t>
  </si>
  <si>
    <t>Benjamin Baisley</t>
  </si>
  <si>
    <t>TXN00001778</t>
  </si>
  <si>
    <t>John Delaney</t>
  </si>
  <si>
    <t>TXN00001779</t>
  </si>
  <si>
    <t>Kathryn Murphy</t>
  </si>
  <si>
    <t>AGENT00537</t>
  </si>
  <si>
    <t>TXN00001780</t>
  </si>
  <si>
    <t>Nancy Gonzalez</t>
  </si>
  <si>
    <t>TXN00001781</t>
  </si>
  <si>
    <t>Robbie Alfano</t>
  </si>
  <si>
    <t>TXN00001782</t>
  </si>
  <si>
    <t>George Robinson</t>
  </si>
  <si>
    <t>TXN00001783</t>
  </si>
  <si>
    <t>Harriet Vashaw</t>
  </si>
  <si>
    <t>TXN00001784</t>
  </si>
  <si>
    <t>Albert Ogden</t>
  </si>
  <si>
    <t>AGENT00188</t>
  </si>
  <si>
    <t>TXN00001785</t>
  </si>
  <si>
    <t>Heather Raines</t>
  </si>
  <si>
    <t>AGENT00314</t>
  </si>
  <si>
    <t>TXN00001786</t>
  </si>
  <si>
    <t>Ray Thomas</t>
  </si>
  <si>
    <t>TXN00001787</t>
  </si>
  <si>
    <t>Alesha Catano</t>
  </si>
  <si>
    <t>TXN00001788</t>
  </si>
  <si>
    <t>Robert Sottile</t>
  </si>
  <si>
    <t>TXN00001789</t>
  </si>
  <si>
    <t>Robert Knox</t>
  </si>
  <si>
    <t>TXN00001790</t>
  </si>
  <si>
    <t>Chris Tutor</t>
  </si>
  <si>
    <t>TXN00001791</t>
  </si>
  <si>
    <t>Margarita Nicholas</t>
  </si>
  <si>
    <t>TXN00001792</t>
  </si>
  <si>
    <t>Lieselotte Unterseher</t>
  </si>
  <si>
    <t>TXN00001793</t>
  </si>
  <si>
    <t>Donald Gaucin</t>
  </si>
  <si>
    <t>TXN00001794</t>
  </si>
  <si>
    <t>Sherman Constance</t>
  </si>
  <si>
    <t>TXN00001795</t>
  </si>
  <si>
    <t>Edward Davis</t>
  </si>
  <si>
    <t>TXN00001796</t>
  </si>
  <si>
    <t>Mark Bruce</t>
  </si>
  <si>
    <t>TXN00001797</t>
  </si>
  <si>
    <t>Fred Medved</t>
  </si>
  <si>
    <t>TXN00001798</t>
  </si>
  <si>
    <t>Christian Mason</t>
  </si>
  <si>
    <t>TXN00001799</t>
  </si>
  <si>
    <t>Maria Peoples</t>
  </si>
  <si>
    <t>Pelham</t>
  </si>
  <si>
    <t>TXN00001800</t>
  </si>
  <si>
    <t>Andrea Sommerville</t>
  </si>
  <si>
    <t>VNDR00214</t>
  </si>
  <si>
    <t>TXN00001801</t>
  </si>
  <si>
    <t>Jessica Montgomery</t>
  </si>
  <si>
    <t>TXN00001802</t>
  </si>
  <si>
    <t>Albert Sarkin</t>
  </si>
  <si>
    <t>VNDR00478</t>
  </si>
  <si>
    <t>AGENT00536</t>
  </si>
  <si>
    <t>TXN00001803</t>
  </si>
  <si>
    <t>Nicole Gonzalez</t>
  </si>
  <si>
    <t>TXN00001804</t>
  </si>
  <si>
    <t>Min Teal</t>
  </si>
  <si>
    <t>AGENT00058</t>
  </si>
  <si>
    <t>TXN00001805</t>
  </si>
  <si>
    <t>Mercedes Powell</t>
  </si>
  <si>
    <t>AGENT00671</t>
  </si>
  <si>
    <t>TXN00001806</t>
  </si>
  <si>
    <t>Linda Stutzman</t>
  </si>
  <si>
    <t>TXN00001807</t>
  </si>
  <si>
    <t>Dolores Snyder</t>
  </si>
  <si>
    <t>TXN00001808</t>
  </si>
  <si>
    <t>Louise Eubanks</t>
  </si>
  <si>
    <t>TXN00001809</t>
  </si>
  <si>
    <t>Julia Dominguez</t>
  </si>
  <si>
    <t>TXN00001810</t>
  </si>
  <si>
    <t>Monty Valerio</t>
  </si>
  <si>
    <t>TXN00001811</t>
  </si>
  <si>
    <t>Joshua Cooper</t>
  </si>
  <si>
    <t>TXN00001812</t>
  </si>
  <si>
    <t>Lisa Heath</t>
  </si>
  <si>
    <t>TXN00001813</t>
  </si>
  <si>
    <t>Gary Thomas</t>
  </si>
  <si>
    <t>TXN00001814</t>
  </si>
  <si>
    <t>Peter Brown</t>
  </si>
  <si>
    <t>TXN00001815</t>
  </si>
  <si>
    <t>Joseph Dobson</t>
  </si>
  <si>
    <t>TXN00001816</t>
  </si>
  <si>
    <t>Nichole Ramirez</t>
  </si>
  <si>
    <t>TXN00001817</t>
  </si>
  <si>
    <t>Crystal Williams</t>
  </si>
  <si>
    <t>TXN00001818</t>
  </si>
  <si>
    <t>Michael Young</t>
  </si>
  <si>
    <t>AGENT00800</t>
  </si>
  <si>
    <t>TXN00001819</t>
  </si>
  <si>
    <t>Gloria Haigh</t>
  </si>
  <si>
    <t>VNDR00533</t>
  </si>
  <si>
    <t>TXN00001820</t>
  </si>
  <si>
    <t>Kenneth Duffy</t>
  </si>
  <si>
    <t>Shelburne Falls</t>
  </si>
  <si>
    <t>TXN00001821</t>
  </si>
  <si>
    <t>Terrie Orbin</t>
  </si>
  <si>
    <t>TXN00001822</t>
  </si>
  <si>
    <t>Juan James</t>
  </si>
  <si>
    <t>TXN00001823</t>
  </si>
  <si>
    <t>Heather Clark</t>
  </si>
  <si>
    <t>TXN00001824</t>
  </si>
  <si>
    <t>William Wolfgang</t>
  </si>
  <si>
    <t>TXN00001825</t>
  </si>
  <si>
    <t>William Johnson</t>
  </si>
  <si>
    <t>TXN00001826</t>
  </si>
  <si>
    <t>Eva Pratt</t>
  </si>
  <si>
    <t>TXN00001827</t>
  </si>
  <si>
    <t>Krista Brown</t>
  </si>
  <si>
    <t>TXN00001828</t>
  </si>
  <si>
    <t>Helen Sanchez</t>
  </si>
  <si>
    <t>VNDR00552</t>
  </si>
  <si>
    <t>TXN00001829</t>
  </si>
  <si>
    <t>Jenny Hayes</t>
  </si>
  <si>
    <t>AGENT01196</t>
  </si>
  <si>
    <t>TXN00001830</t>
  </si>
  <si>
    <t>Edward Simpson</t>
  </si>
  <si>
    <t>TXN00001831</t>
  </si>
  <si>
    <t>Nathaniel Transou</t>
  </si>
  <si>
    <t>VNDR00020</t>
  </si>
  <si>
    <t>TXN00001832</t>
  </si>
  <si>
    <t>Don Davis</t>
  </si>
  <si>
    <t>VNDR00203</t>
  </si>
  <si>
    <t>TXN00001833</t>
  </si>
  <si>
    <t>Judy Showalter</t>
  </si>
  <si>
    <t>AGENT00983</t>
  </si>
  <si>
    <t>TXN00001834</t>
  </si>
  <si>
    <t>Angela Mcfee</t>
  </si>
  <si>
    <t>TXN00001835</t>
  </si>
  <si>
    <t>Denise Lemons</t>
  </si>
  <si>
    <t>TXN00001836</t>
  </si>
  <si>
    <t>Renee Stevens</t>
  </si>
  <si>
    <t>TXN00001837</t>
  </si>
  <si>
    <t>Tammy Poston</t>
  </si>
  <si>
    <t>TXN00001838</t>
  </si>
  <si>
    <t>Judy Biller</t>
  </si>
  <si>
    <t>TXN00001839</t>
  </si>
  <si>
    <t>Tony Merhar</t>
  </si>
  <si>
    <t>TXN00001840</t>
  </si>
  <si>
    <t>Jill Aquino</t>
  </si>
  <si>
    <t>TXN00001841</t>
  </si>
  <si>
    <t>Angela White</t>
  </si>
  <si>
    <t>TXN00001842</t>
  </si>
  <si>
    <t>Jorge Mathews</t>
  </si>
  <si>
    <t>TXN00001843</t>
  </si>
  <si>
    <t>Brenda Weske</t>
  </si>
  <si>
    <t>VNDR00393</t>
  </si>
  <si>
    <t>AGENT00844</t>
  </si>
  <si>
    <t>TXN00001844</t>
  </si>
  <si>
    <t>Douglas Carrillo</t>
  </si>
  <si>
    <t>TXN00001845</t>
  </si>
  <si>
    <t>Ann Walks</t>
  </si>
  <si>
    <t>TXN00001846</t>
  </si>
  <si>
    <t>Jeanne Shirley</t>
  </si>
  <si>
    <t>AGENT01146</t>
  </si>
  <si>
    <t>TXN00001847</t>
  </si>
  <si>
    <t>Jennifer Flynn</t>
  </si>
  <si>
    <t>TXN00001848</t>
  </si>
  <si>
    <t>Wayne Kelley</t>
  </si>
  <si>
    <t>AGENT00599</t>
  </si>
  <si>
    <t>TXN00001849</t>
  </si>
  <si>
    <t>Zola Chowenhill</t>
  </si>
  <si>
    <t>TXN00001850</t>
  </si>
  <si>
    <t>Carol Gravel</t>
  </si>
  <si>
    <t>AGENT00387</t>
  </si>
  <si>
    <t>TXN00001851</t>
  </si>
  <si>
    <t>Robert Franciscus</t>
  </si>
  <si>
    <t>TXN00001852</t>
  </si>
  <si>
    <t>Alisha Sullivan</t>
  </si>
  <si>
    <t>TXN00001853</t>
  </si>
  <si>
    <t>Sybil Lozon</t>
  </si>
  <si>
    <t>TXN00001854</t>
  </si>
  <si>
    <t>Charles Gaines</t>
  </si>
  <si>
    <t>AGENT00919</t>
  </si>
  <si>
    <t>TXN00001855</t>
  </si>
  <si>
    <t>Jay Salley</t>
  </si>
  <si>
    <t>TXN00001856</t>
  </si>
  <si>
    <t>Robert Drake</t>
  </si>
  <si>
    <t>TXN00001857</t>
  </si>
  <si>
    <t>Timothy Fitzpatrick</t>
  </si>
  <si>
    <t>TXN00001858</t>
  </si>
  <si>
    <t>Richard Barber</t>
  </si>
  <si>
    <t>TXN00001859</t>
  </si>
  <si>
    <t>Anthony Ayala</t>
  </si>
  <si>
    <t>TXN00001860</t>
  </si>
  <si>
    <t>Julie Hood</t>
  </si>
  <si>
    <t>TXN00001861</t>
  </si>
  <si>
    <t>Matthew Clayton</t>
  </si>
  <si>
    <t>TXN00001862</t>
  </si>
  <si>
    <t>Gordon Davis</t>
  </si>
  <si>
    <t>TXN00001863</t>
  </si>
  <si>
    <t>Lucia Santorelli</t>
  </si>
  <si>
    <t>VNDR00261</t>
  </si>
  <si>
    <t>TXN00001864</t>
  </si>
  <si>
    <t>Donna Baines</t>
  </si>
  <si>
    <t>TXN00001865</t>
  </si>
  <si>
    <t>Robert Torres</t>
  </si>
  <si>
    <t>TXN00001866</t>
  </si>
  <si>
    <t>Howard Grassi</t>
  </si>
  <si>
    <t>AGENT00945</t>
  </si>
  <si>
    <t>TXN00001867</t>
  </si>
  <si>
    <t>Raul Kilgallon</t>
  </si>
  <si>
    <t>AGENT01088</t>
  </si>
  <si>
    <t>TXN00001868</t>
  </si>
  <si>
    <t>Heidi Whaley</t>
  </si>
  <si>
    <t>TXN00001869</t>
  </si>
  <si>
    <t>William Castor</t>
  </si>
  <si>
    <t>TXN00001870</t>
  </si>
  <si>
    <t>Glenn Mckelvey</t>
  </si>
  <si>
    <t>Vacaville</t>
  </si>
  <si>
    <t>AGENT00634</t>
  </si>
  <si>
    <t>TXN00001871</t>
  </si>
  <si>
    <t>Deanna Morris</t>
  </si>
  <si>
    <t>TXN00001872</t>
  </si>
  <si>
    <t>Richard Deeds</t>
  </si>
  <si>
    <t>AGENT00878</t>
  </si>
  <si>
    <t>TXN00001873</t>
  </si>
  <si>
    <t>Brenna Arnold</t>
  </si>
  <si>
    <t>TXN00001874</t>
  </si>
  <si>
    <t>Teri Hunnings</t>
  </si>
  <si>
    <t>AGENT00336</t>
  </si>
  <si>
    <t>TXN00001875</t>
  </si>
  <si>
    <t>Ryan Albrecht</t>
  </si>
  <si>
    <t>TXN00001876</t>
  </si>
  <si>
    <t>Lester Bullins</t>
  </si>
  <si>
    <t>TXN00001877</t>
  </si>
  <si>
    <t>Jay Louis</t>
  </si>
  <si>
    <t>VNDR00511</t>
  </si>
  <si>
    <t>TXN00001878</t>
  </si>
  <si>
    <t>Lynne Davis</t>
  </si>
  <si>
    <t>TXN00001879</t>
  </si>
  <si>
    <t>Bobby Underwood</t>
  </si>
  <si>
    <t>TXN00001880</t>
  </si>
  <si>
    <t>Raymond Robertson</t>
  </si>
  <si>
    <t>TXN00001881</t>
  </si>
  <si>
    <t>Lisa Miller</t>
  </si>
  <si>
    <t>TXN00001882</t>
  </si>
  <si>
    <t>Shae Edwards</t>
  </si>
  <si>
    <t>TXN00001883</t>
  </si>
  <si>
    <t>Keith Costa</t>
  </si>
  <si>
    <t>AGENT00421</t>
  </si>
  <si>
    <t>TXN00001884</t>
  </si>
  <si>
    <t>Nettie Davis</t>
  </si>
  <si>
    <t>TXN00001885</t>
  </si>
  <si>
    <t>Carol Harbin</t>
  </si>
  <si>
    <t>AGENT01065</t>
  </si>
  <si>
    <t>TXN00001886</t>
  </si>
  <si>
    <t>Maria Krajcer</t>
  </si>
  <si>
    <t>TXN00001887</t>
  </si>
  <si>
    <t>Hanna Zeigler</t>
  </si>
  <si>
    <t>AGENT00715</t>
  </si>
  <si>
    <t>TXN00001888</t>
  </si>
  <si>
    <t>Keith Coombs</t>
  </si>
  <si>
    <t>TXN00001889</t>
  </si>
  <si>
    <t>Kathy Dixon</t>
  </si>
  <si>
    <t>TXN00001890</t>
  </si>
  <si>
    <t>Elizabeth Blaschke</t>
  </si>
  <si>
    <t>TXN00001891</t>
  </si>
  <si>
    <t>Dwain Duncan</t>
  </si>
  <si>
    <t>AGENT00447</t>
  </si>
  <si>
    <t>TXN00001892</t>
  </si>
  <si>
    <t>Patty Hayward</t>
  </si>
  <si>
    <t>TXN00001893</t>
  </si>
  <si>
    <t>Deon Coulter</t>
  </si>
  <si>
    <t>TXN00001894</t>
  </si>
  <si>
    <t>Tina Maruschak</t>
  </si>
  <si>
    <t>TXN00001895</t>
  </si>
  <si>
    <t>Michael John</t>
  </si>
  <si>
    <t>AGENT00310</t>
  </si>
  <si>
    <t>TXN00001896</t>
  </si>
  <si>
    <t>Charles Odom</t>
  </si>
  <si>
    <t>TXN00001897</t>
  </si>
  <si>
    <t>Grace Barton</t>
  </si>
  <si>
    <t>TXN00001898</t>
  </si>
  <si>
    <t>Patricia Wasilewski</t>
  </si>
  <si>
    <t>TXN00001899</t>
  </si>
  <si>
    <t>Harry Talbert</t>
  </si>
  <si>
    <t>TXN00001900</t>
  </si>
  <si>
    <t>Richard Mondragon</t>
  </si>
  <si>
    <t>South Lake Tahoe</t>
  </si>
  <si>
    <t>AGENT01021</t>
  </si>
  <si>
    <t>TXN00001901</t>
  </si>
  <si>
    <t>Willie Kitchin</t>
  </si>
  <si>
    <t>TXN00001902</t>
  </si>
  <si>
    <t>Leanne Hanson</t>
  </si>
  <si>
    <t>TXN00001903</t>
  </si>
  <si>
    <t>Loyd Cash</t>
  </si>
  <si>
    <t>TXN00001904</t>
  </si>
  <si>
    <t>Melissa Sutton</t>
  </si>
  <si>
    <t>TXN00001905</t>
  </si>
  <si>
    <t>Brad Brasure</t>
  </si>
  <si>
    <t>TXN00001906</t>
  </si>
  <si>
    <t>Darryl Gandy</t>
  </si>
  <si>
    <t>TXN00001907</t>
  </si>
  <si>
    <t>Benjamin Essex</t>
  </si>
  <si>
    <t>TXN00001908</t>
  </si>
  <si>
    <t>Randall Baker</t>
  </si>
  <si>
    <t>TXN00001909</t>
  </si>
  <si>
    <t>Michael Ricci</t>
  </si>
  <si>
    <t>TXN00001910</t>
  </si>
  <si>
    <t>David Mimaki</t>
  </si>
  <si>
    <t>AGENT00571</t>
  </si>
  <si>
    <t>TXN00001911</t>
  </si>
  <si>
    <t>Eddie Mcdonald</t>
  </si>
  <si>
    <t>TXN00001912</t>
  </si>
  <si>
    <t>Matthew Mahn</t>
  </si>
  <si>
    <t>TXN00001913</t>
  </si>
  <si>
    <t>Dorothy Mortimer</t>
  </si>
  <si>
    <t>VNDR00357</t>
  </si>
  <si>
    <t>TXN00001914</t>
  </si>
  <si>
    <t>Matthew Burt</t>
  </si>
  <si>
    <t>TXN00001915</t>
  </si>
  <si>
    <t>Heidi Allison</t>
  </si>
  <si>
    <t>VNDR00240</t>
  </si>
  <si>
    <t>TXN00001916</t>
  </si>
  <si>
    <t>Dorothy Wiggins</t>
  </si>
  <si>
    <t>TXN00001917</t>
  </si>
  <si>
    <t>Elmer Padel</t>
  </si>
  <si>
    <t>AGENT00002</t>
  </si>
  <si>
    <t>TXN00001918</t>
  </si>
  <si>
    <t>Alexander Shelby</t>
  </si>
  <si>
    <t>TXN00001919</t>
  </si>
  <si>
    <t>Terrence Seaman</t>
  </si>
  <si>
    <t>Woodbury</t>
  </si>
  <si>
    <t>TXN00001920</t>
  </si>
  <si>
    <t>Fred Foret</t>
  </si>
  <si>
    <t>AGENT00305</t>
  </si>
  <si>
    <t>TXN00001921</t>
  </si>
  <si>
    <t>Karl Petrie</t>
  </si>
  <si>
    <t>AGENT00212</t>
  </si>
  <si>
    <t>TXN00001922</t>
  </si>
  <si>
    <t>Arthur Cianflone</t>
  </si>
  <si>
    <t>TXN00001923</t>
  </si>
  <si>
    <t>Duane Watkins</t>
  </si>
  <si>
    <t>AGENT01054</t>
  </si>
  <si>
    <t>TXN00001924</t>
  </si>
  <si>
    <t>Ralph Liu</t>
  </si>
  <si>
    <t>VNDR00372</t>
  </si>
  <si>
    <t>TXN00001925</t>
  </si>
  <si>
    <t>Roy Tedford</t>
  </si>
  <si>
    <t>TXN00001926</t>
  </si>
  <si>
    <t>Patricia Spicer</t>
  </si>
  <si>
    <t>TXN00001927</t>
  </si>
  <si>
    <t>Anna Steiner</t>
  </si>
  <si>
    <t>Chelsea</t>
  </si>
  <si>
    <t>TXN00001928</t>
  </si>
  <si>
    <t>John Gonzales</t>
  </si>
  <si>
    <t>TXN00001929</t>
  </si>
  <si>
    <t>Margaret Willier</t>
  </si>
  <si>
    <t>AGENT00267</t>
  </si>
  <si>
    <t>TXN00001930</t>
  </si>
  <si>
    <t>Randy Andrews</t>
  </si>
  <si>
    <t>AGENT00779</t>
  </si>
  <si>
    <t>TXN00001931</t>
  </si>
  <si>
    <t>Gabriel Osmun</t>
  </si>
  <si>
    <t>TXN00001932</t>
  </si>
  <si>
    <t>Nell Debarros</t>
  </si>
  <si>
    <t>AGENT00958</t>
  </si>
  <si>
    <t>TXN00001933</t>
  </si>
  <si>
    <t>Yvonne Cooper</t>
  </si>
  <si>
    <t>TXN00001934</t>
  </si>
  <si>
    <t>Cassi Cousin</t>
  </si>
  <si>
    <t>Wolcott</t>
  </si>
  <si>
    <t>TXN00001935</t>
  </si>
  <si>
    <t>Carol Reynolds</t>
  </si>
  <si>
    <t>TXN00001936</t>
  </si>
  <si>
    <t>David Zabel</t>
  </si>
  <si>
    <t>AGENT00827</t>
  </si>
  <si>
    <t>TXN00001937</t>
  </si>
  <si>
    <t>Nicholas Conley</t>
  </si>
  <si>
    <t>TXN00001938</t>
  </si>
  <si>
    <t>Julie Deal</t>
  </si>
  <si>
    <t>TXN00001939</t>
  </si>
  <si>
    <t>Kathleen Fields</t>
  </si>
  <si>
    <t>TXN00001940</t>
  </si>
  <si>
    <t>Cira Gaccione</t>
  </si>
  <si>
    <t>TXN00001941</t>
  </si>
  <si>
    <t>Sarah Downs</t>
  </si>
  <si>
    <t>TXN00001942</t>
  </si>
  <si>
    <t>Fernando Neal</t>
  </si>
  <si>
    <t>TXN00001943</t>
  </si>
  <si>
    <t>Eloise Thompson</t>
  </si>
  <si>
    <t>TXN00001944</t>
  </si>
  <si>
    <t>Marlene Mcgill</t>
  </si>
  <si>
    <t>AGENT01166</t>
  </si>
  <si>
    <t>TXN00001945</t>
  </si>
  <si>
    <t>Jennie Garnett</t>
  </si>
  <si>
    <t>AGENT00954</t>
  </si>
  <si>
    <t>TXN00001946</t>
  </si>
  <si>
    <t>Shelton Sales</t>
  </si>
  <si>
    <t>TXN00001947</t>
  </si>
  <si>
    <t>James Callen</t>
  </si>
  <si>
    <t>TXN00001948</t>
  </si>
  <si>
    <t>Emile Autry</t>
  </si>
  <si>
    <t>TXN00001949</t>
  </si>
  <si>
    <t>Jerry Hogan</t>
  </si>
  <si>
    <t>TXN00001950</t>
  </si>
  <si>
    <t>Judy Callaway</t>
  </si>
  <si>
    <t>TXN00001951</t>
  </si>
  <si>
    <t>John Chambers</t>
  </si>
  <si>
    <t>North Little Rock</t>
  </si>
  <si>
    <t>TXN00001952</t>
  </si>
  <si>
    <t>Ruth Comstock</t>
  </si>
  <si>
    <t>TXN00001953</t>
  </si>
  <si>
    <t>Eura Bobo</t>
  </si>
  <si>
    <t>TXN00001954</t>
  </si>
  <si>
    <t>Graig Mcgraw</t>
  </si>
  <si>
    <t>TXN00001955</t>
  </si>
  <si>
    <t>Sheldon Henry</t>
  </si>
  <si>
    <t>TXN00001956</t>
  </si>
  <si>
    <t>Edward Jansen</t>
  </si>
  <si>
    <t>VNDR00419</t>
  </si>
  <si>
    <t>TXN00001957</t>
  </si>
  <si>
    <t>Jason Collier</t>
  </si>
  <si>
    <t>TXN00001958</t>
  </si>
  <si>
    <t>Johnathan Sheehan</t>
  </si>
  <si>
    <t>TXN00001959</t>
  </si>
  <si>
    <t>Ralph Smith</t>
  </si>
  <si>
    <t>TXN00001960</t>
  </si>
  <si>
    <t>Joshua Goodman</t>
  </si>
  <si>
    <t>TXN00001961</t>
  </si>
  <si>
    <t>Bennett Vinson</t>
  </si>
  <si>
    <t>Huntington</t>
  </si>
  <si>
    <t>TXN00001962</t>
  </si>
  <si>
    <t>James Englert</t>
  </si>
  <si>
    <t>VNDR00434</t>
  </si>
  <si>
    <t>TXN00001963</t>
  </si>
  <si>
    <t>Frank Trudnowski</t>
  </si>
  <si>
    <t>TXN00001964</t>
  </si>
  <si>
    <t>Michael Mctaggart</t>
  </si>
  <si>
    <t>Methuen</t>
  </si>
  <si>
    <t>TXN00001965</t>
  </si>
  <si>
    <t>Derrick Balnis</t>
  </si>
  <si>
    <t>TXN00001966</t>
  </si>
  <si>
    <t>Virginia Rogers</t>
  </si>
  <si>
    <t>TXN00001967</t>
  </si>
  <si>
    <t>Jonathan Garrett</t>
  </si>
  <si>
    <t>TXN00001968</t>
  </si>
  <si>
    <t>Ramona Brandt</t>
  </si>
  <si>
    <t>TXN00001969</t>
  </si>
  <si>
    <t>Doris Whitacre</t>
  </si>
  <si>
    <t>TXN00001970</t>
  </si>
  <si>
    <t>Clifton Fish</t>
  </si>
  <si>
    <t>TXN00001971</t>
  </si>
  <si>
    <t>Donald Carver</t>
  </si>
  <si>
    <t>TXN00001972</t>
  </si>
  <si>
    <t>James Willis</t>
  </si>
  <si>
    <t>TXN00001973</t>
  </si>
  <si>
    <t>Ryann Cauterucci</t>
  </si>
  <si>
    <t>TXN00001974</t>
  </si>
  <si>
    <t>Vincent Graham</t>
  </si>
  <si>
    <t>TXN00001975</t>
  </si>
  <si>
    <t>John Clem</t>
  </si>
  <si>
    <t>TXN00001976</t>
  </si>
  <si>
    <t>Donna Burns</t>
  </si>
  <si>
    <t>TXN00001977</t>
  </si>
  <si>
    <t>Anthony Lee</t>
  </si>
  <si>
    <t>TXN00001978</t>
  </si>
  <si>
    <t>Andrew Crisp</t>
  </si>
  <si>
    <t>AGENT01023</t>
  </si>
  <si>
    <t>TXN00001979</t>
  </si>
  <si>
    <t>Melissa Cook</t>
  </si>
  <si>
    <t>AGENT00946</t>
  </si>
  <si>
    <t>TXN00001980</t>
  </si>
  <si>
    <t>Patricia Sjogren</t>
  </si>
  <si>
    <t>Tybee Island</t>
  </si>
  <si>
    <t>TXN00001981</t>
  </si>
  <si>
    <t>Jessica Waldren</t>
  </si>
  <si>
    <t>TXN00001982</t>
  </si>
  <si>
    <t>Sharon Dong</t>
  </si>
  <si>
    <t>TXN00001983</t>
  </si>
  <si>
    <t>Terisa Renwick</t>
  </si>
  <si>
    <t>TXN00001984</t>
  </si>
  <si>
    <t>Misty Lopez</t>
  </si>
  <si>
    <t>TXN00001985</t>
  </si>
  <si>
    <t>Chanda Phillips</t>
  </si>
  <si>
    <t>TXN00001986</t>
  </si>
  <si>
    <t>Marcus Leblanc</t>
  </si>
  <si>
    <t>TXN00001987</t>
  </si>
  <si>
    <t>Heather Jackson</t>
  </si>
  <si>
    <t>TXN00001988</t>
  </si>
  <si>
    <t>Jose Mcleod</t>
  </si>
  <si>
    <t>TXN00001989</t>
  </si>
  <si>
    <t>Ronald Durbin</t>
  </si>
  <si>
    <t>TXN00001990</t>
  </si>
  <si>
    <t>Robert Thompson</t>
  </si>
  <si>
    <t>TXN00001991</t>
  </si>
  <si>
    <t>Cecilia Gustafson</t>
  </si>
  <si>
    <t>TXN00001992</t>
  </si>
  <si>
    <t>Maria Swedenburg</t>
  </si>
  <si>
    <t>AGENT00020</t>
  </si>
  <si>
    <t>TXN00001993</t>
  </si>
  <si>
    <t>Stacy Patel</t>
  </si>
  <si>
    <t>TXN00001994</t>
  </si>
  <si>
    <t>Melissa Schmidt</t>
  </si>
  <si>
    <t>Salinas</t>
  </si>
  <si>
    <t>TXN00001995</t>
  </si>
  <si>
    <t>Richard Durham</t>
  </si>
  <si>
    <t>TXN00001996</t>
  </si>
  <si>
    <t>Addie Connor</t>
  </si>
  <si>
    <t>TXN00001997</t>
  </si>
  <si>
    <t>Karen Harrington</t>
  </si>
  <si>
    <t>TXN00001998</t>
  </si>
  <si>
    <t>Alvaro Williams</t>
  </si>
  <si>
    <t>TXN00001999</t>
  </si>
  <si>
    <t>Michael Quero</t>
  </si>
  <si>
    <t>TXN00002000</t>
  </si>
  <si>
    <t>Nell Suniga</t>
  </si>
  <si>
    <t>TXN00002001</t>
  </si>
  <si>
    <t>Lawrence Williams</t>
  </si>
  <si>
    <t>Littleton</t>
  </si>
  <si>
    <t>TXN00002002</t>
  </si>
  <si>
    <t>Norman Easter</t>
  </si>
  <si>
    <t>AGENT01128</t>
  </si>
  <si>
    <t>TXN00002003</t>
  </si>
  <si>
    <t>Gena Torres</t>
  </si>
  <si>
    <t>AGENT00240</t>
  </si>
  <si>
    <t>TXN00002004</t>
  </si>
  <si>
    <t>Margaret Parker</t>
  </si>
  <si>
    <t>AGENT01105</t>
  </si>
  <si>
    <t>TXN00002005</t>
  </si>
  <si>
    <t>Dale Dennison</t>
  </si>
  <si>
    <t>TXN00002006</t>
  </si>
  <si>
    <t>Marguerite Crow</t>
  </si>
  <si>
    <t>TXN00002007</t>
  </si>
  <si>
    <t>Holly Arterbury</t>
  </si>
  <si>
    <t>TXN00002008</t>
  </si>
  <si>
    <t>Andrew Wilkerson</t>
  </si>
  <si>
    <t>TXN00002009</t>
  </si>
  <si>
    <t>Michael Mayoka</t>
  </si>
  <si>
    <t>TXN00002010</t>
  </si>
  <si>
    <t>Jackie Rowan</t>
  </si>
  <si>
    <t>TXN00002011</t>
  </si>
  <si>
    <t>Michael Foy</t>
  </si>
  <si>
    <t>TXN00002012</t>
  </si>
  <si>
    <t>Ginger Gurnett</t>
  </si>
  <si>
    <t>TXN00002013</t>
  </si>
  <si>
    <t>Richard Lawrence</t>
  </si>
  <si>
    <t>TXN00002014</t>
  </si>
  <si>
    <t>Allan Fountain</t>
  </si>
  <si>
    <t>TXN00002015</t>
  </si>
  <si>
    <t>Chloe Engle</t>
  </si>
  <si>
    <t>TXN00002016</t>
  </si>
  <si>
    <t>Harold Hughes</t>
  </si>
  <si>
    <t>VNDR00006</t>
  </si>
  <si>
    <t>TXN00002017</t>
  </si>
  <si>
    <t>Marcia Willis</t>
  </si>
  <si>
    <t>TXN00002018</t>
  </si>
  <si>
    <t>Michelle Lanasa</t>
  </si>
  <si>
    <t>TXN00002019</t>
  </si>
  <si>
    <t>William Brown</t>
  </si>
  <si>
    <t>TXN00002020</t>
  </si>
  <si>
    <t>Julie Ontiveros</t>
  </si>
  <si>
    <t>TXN00002021</t>
  </si>
  <si>
    <t>Daisy Olewine</t>
  </si>
  <si>
    <t>TXN00002022</t>
  </si>
  <si>
    <t>Georgia Ikard</t>
  </si>
  <si>
    <t>TXN00002023</t>
  </si>
  <si>
    <t>Nathan Morrow</t>
  </si>
  <si>
    <t>AGENT00184</t>
  </si>
  <si>
    <t>TXN00002024</t>
  </si>
  <si>
    <t>William Mcclanahan</t>
  </si>
  <si>
    <t>TXN00002025</t>
  </si>
  <si>
    <t>Kathleen Lloyd</t>
  </si>
  <si>
    <t>TXN00002026</t>
  </si>
  <si>
    <t>Ruth Clouser</t>
  </si>
  <si>
    <t>Greenfield</t>
  </si>
  <si>
    <t>TXN00002027</t>
  </si>
  <si>
    <t>James Hill</t>
  </si>
  <si>
    <t>West Brattleboro</t>
  </si>
  <si>
    <t>TXN00002028</t>
  </si>
  <si>
    <t>Jack Roy</t>
  </si>
  <si>
    <t>TXN00002029</t>
  </si>
  <si>
    <t>Christine Rubio</t>
  </si>
  <si>
    <t>Nichols Hills</t>
  </si>
  <si>
    <t>TXN00002030</t>
  </si>
  <si>
    <t>Edna Drakes</t>
  </si>
  <si>
    <t>TXN00002031</t>
  </si>
  <si>
    <t>Mary Romero</t>
  </si>
  <si>
    <t>AGENT00378</t>
  </si>
  <si>
    <t>TXN00002032</t>
  </si>
  <si>
    <t>Troy Bradley</t>
  </si>
  <si>
    <t>AGENT00695</t>
  </si>
  <si>
    <t>TXN00002033</t>
  </si>
  <si>
    <t>Andrew Griffin</t>
  </si>
  <si>
    <t>TXN00002034</t>
  </si>
  <si>
    <t>Frank Walker</t>
  </si>
  <si>
    <t>TXN00002035</t>
  </si>
  <si>
    <t>Jean Anding</t>
  </si>
  <si>
    <t>TXN00002036</t>
  </si>
  <si>
    <t>Albert Thompson</t>
  </si>
  <si>
    <t>TXN00002037</t>
  </si>
  <si>
    <t>Howard Johnson</t>
  </si>
  <si>
    <t>TXN00002038</t>
  </si>
  <si>
    <t>Carrie Long</t>
  </si>
  <si>
    <t>TXN00002039</t>
  </si>
  <si>
    <t>Kenneth Zellers</t>
  </si>
  <si>
    <t>TXN00002040</t>
  </si>
  <si>
    <t>Dorothy Bosley</t>
  </si>
  <si>
    <t>TXN00002041</t>
  </si>
  <si>
    <t>Glenda Hart</t>
  </si>
  <si>
    <t>TXN00002042</t>
  </si>
  <si>
    <t>TXN00002043</t>
  </si>
  <si>
    <t>Blake Diederich</t>
  </si>
  <si>
    <t>TXN00002044</t>
  </si>
  <si>
    <t>Melinda Lappin</t>
  </si>
  <si>
    <t>AGENT00527</t>
  </si>
  <si>
    <t>TXN00002045</t>
  </si>
  <si>
    <t>William Montney</t>
  </si>
  <si>
    <t>AGENT00735</t>
  </si>
  <si>
    <t>TXN00002046</t>
  </si>
  <si>
    <t>Gary Winter</t>
  </si>
  <si>
    <t>TXN00002047</t>
  </si>
  <si>
    <t>Janet Gietz</t>
  </si>
  <si>
    <t>TXN00002048</t>
  </si>
  <si>
    <t>Johnathan Medina</t>
  </si>
  <si>
    <t>TXN00002049</t>
  </si>
  <si>
    <t>Harold Kiffer</t>
  </si>
  <si>
    <t>TXN00002050</t>
  </si>
  <si>
    <t>Russell Johnston</t>
  </si>
  <si>
    <t>TXN00002051</t>
  </si>
  <si>
    <t>Dexter Steiner</t>
  </si>
  <si>
    <t>TXN00002052</t>
  </si>
  <si>
    <t>Mikki Miosky</t>
  </si>
  <si>
    <t>TXN00002053</t>
  </si>
  <si>
    <t>Charlotte Hayes</t>
  </si>
  <si>
    <t>AGENT00902</t>
  </si>
  <si>
    <t>TXN00002054</t>
  </si>
  <si>
    <t>Luanne Heath</t>
  </si>
  <si>
    <t>TXN00002055</t>
  </si>
  <si>
    <t>Bobby Jefferson</t>
  </si>
  <si>
    <t>TXN00002056</t>
  </si>
  <si>
    <t>George Hutt</t>
  </si>
  <si>
    <t>TXN00002057</t>
  </si>
  <si>
    <t>Shirley Simmons</t>
  </si>
  <si>
    <t>TXN00002058</t>
  </si>
  <si>
    <t>Carmine Gravitt</t>
  </si>
  <si>
    <t>TXN00002059</t>
  </si>
  <si>
    <t>Stephanie Huerta</t>
  </si>
  <si>
    <t>Westfield</t>
  </si>
  <si>
    <t>AGENT00830</t>
  </si>
  <si>
    <t>TXN00002060</t>
  </si>
  <si>
    <t>Rob Alvarado</t>
  </si>
  <si>
    <t>TXN00002061</t>
  </si>
  <si>
    <t>Marcy Johnson</t>
  </si>
  <si>
    <t>TXN00002062</t>
  </si>
  <si>
    <t>Howard Robinson</t>
  </si>
  <si>
    <t>TXN00002063</t>
  </si>
  <si>
    <t>Carl Morgan</t>
  </si>
  <si>
    <t>TXN00002064</t>
  </si>
  <si>
    <t>John Blakeney</t>
  </si>
  <si>
    <t>TXN00002065</t>
  </si>
  <si>
    <t>Gary Richards</t>
  </si>
  <si>
    <t>TXN00002066</t>
  </si>
  <si>
    <t>Nina Mayse</t>
  </si>
  <si>
    <t>TXN00002067</t>
  </si>
  <si>
    <t>Evelin Pecanty</t>
  </si>
  <si>
    <t>TXN00002068</t>
  </si>
  <si>
    <t>Sandra Johnson</t>
  </si>
  <si>
    <t>TXN00002069</t>
  </si>
  <si>
    <t>Brandon Osmer</t>
  </si>
  <si>
    <t>TXN00002070</t>
  </si>
  <si>
    <t>Marie Lank</t>
  </si>
  <si>
    <t>TXN00002071</t>
  </si>
  <si>
    <t>Shirley Wermers</t>
  </si>
  <si>
    <t>TXN00002072</t>
  </si>
  <si>
    <t>Chuck Tellez</t>
  </si>
  <si>
    <t>TXN00002073</t>
  </si>
  <si>
    <t>Melissa Burns</t>
  </si>
  <si>
    <t>TXN00002074</t>
  </si>
  <si>
    <t>Gloria Skinnen</t>
  </si>
  <si>
    <t>AGENT00745</t>
  </si>
  <si>
    <t>TXN00002075</t>
  </si>
  <si>
    <t>Shane Newman</t>
  </si>
  <si>
    <t>AGENT00449</t>
  </si>
  <si>
    <t>TXN00002076</t>
  </si>
  <si>
    <t>Kristi Nguyen</t>
  </si>
  <si>
    <t>TXN00002077</t>
  </si>
  <si>
    <t>Richard Cobb</t>
  </si>
  <si>
    <t>AGENT00098</t>
  </si>
  <si>
    <t>TXN00002078</t>
  </si>
  <si>
    <t>Melanie Langlois</t>
  </si>
  <si>
    <t>TXN00002079</t>
  </si>
  <si>
    <t>Janet Verduzco</t>
  </si>
  <si>
    <t>TXN00002080</t>
  </si>
  <si>
    <t>Harold Allen</t>
  </si>
  <si>
    <t>AGENT00619</t>
  </si>
  <si>
    <t>TXN00002081</t>
  </si>
  <si>
    <t>James Jones</t>
  </si>
  <si>
    <t>TXN00002082</t>
  </si>
  <si>
    <t>Lee Stone</t>
  </si>
  <si>
    <t>AGENT00112</t>
  </si>
  <si>
    <t>TXN00002083</t>
  </si>
  <si>
    <t>Ernest Elletson</t>
  </si>
  <si>
    <t>TXN00002084</t>
  </si>
  <si>
    <t>Gregory Conner</t>
  </si>
  <si>
    <t>TXN00002085</t>
  </si>
  <si>
    <t>Jeremy Ares</t>
  </si>
  <si>
    <t>TXN00002086</t>
  </si>
  <si>
    <t>Robert Welch</t>
  </si>
  <si>
    <t>TXN00002087</t>
  </si>
  <si>
    <t>Andre Barlett</t>
  </si>
  <si>
    <t>TXN00002088</t>
  </si>
  <si>
    <t>Mina Layman</t>
  </si>
  <si>
    <t>TXN00002089</t>
  </si>
  <si>
    <t>Carlton Mccalla</t>
  </si>
  <si>
    <t>AGENT00872</t>
  </si>
  <si>
    <t>TXN00002090</t>
  </si>
  <si>
    <t>Lyndsey Bernier</t>
  </si>
  <si>
    <t>TXN00002091</t>
  </si>
  <si>
    <t>Margaret Palmer</t>
  </si>
  <si>
    <t>AGENT01132</t>
  </si>
  <si>
    <t>TXN00002092</t>
  </si>
  <si>
    <t>Arlene Perego</t>
  </si>
  <si>
    <t>TXN00002093</t>
  </si>
  <si>
    <t>Luann Cox</t>
  </si>
  <si>
    <t>TXN00002094</t>
  </si>
  <si>
    <t>Allen Chandler</t>
  </si>
  <si>
    <t>TXN00002095</t>
  </si>
  <si>
    <t>Gary Perkins</t>
  </si>
  <si>
    <t>TXN00002096</t>
  </si>
  <si>
    <t>John Crumpton</t>
  </si>
  <si>
    <t>TXN00002097</t>
  </si>
  <si>
    <t>Thomas Thomas</t>
  </si>
  <si>
    <t>AGENT00193</t>
  </si>
  <si>
    <t>TXN00002098</t>
  </si>
  <si>
    <t>Lauren Raymond</t>
  </si>
  <si>
    <t>TXN00002099</t>
  </si>
  <si>
    <t>Katherine Dunn</t>
  </si>
  <si>
    <t>TXN00002100</t>
  </si>
  <si>
    <t>Patrick Rasmussen</t>
  </si>
  <si>
    <t>TXN00002101</t>
  </si>
  <si>
    <t>Barbara Papp</t>
  </si>
  <si>
    <t>TXN00002102</t>
  </si>
  <si>
    <t>Roger Atkinson</t>
  </si>
  <si>
    <t>AGENT00356</t>
  </si>
  <si>
    <t>TXN00002103</t>
  </si>
  <si>
    <t>Christopher Cloutier</t>
  </si>
  <si>
    <t>TXN00002104</t>
  </si>
  <si>
    <t>Anthony Mayo</t>
  </si>
  <si>
    <t>TXN00002105</t>
  </si>
  <si>
    <t>Alma Charles</t>
  </si>
  <si>
    <t>TXN00002106</t>
  </si>
  <si>
    <t>Frances Deluca</t>
  </si>
  <si>
    <t>TXN00002107</t>
  </si>
  <si>
    <t>Arthur Salmon</t>
  </si>
  <si>
    <t>TXN00002108</t>
  </si>
  <si>
    <t>Tony Medina</t>
  </si>
  <si>
    <t>TXN00002109</t>
  </si>
  <si>
    <t>Carl Dowling</t>
  </si>
  <si>
    <t>TXN00002110</t>
  </si>
  <si>
    <t>Ruth Elder</t>
  </si>
  <si>
    <t>AGENT00285</t>
  </si>
  <si>
    <t>TXN00002111</t>
  </si>
  <si>
    <t>Graciela Flores</t>
  </si>
  <si>
    <t>TXN00002112</t>
  </si>
  <si>
    <t>Jennifer Shupe</t>
  </si>
  <si>
    <t>TXN00002113</t>
  </si>
  <si>
    <t>Troy Stoddard</t>
  </si>
  <si>
    <t>TXN00002114</t>
  </si>
  <si>
    <t>Rebecca Wheaton</t>
  </si>
  <si>
    <t>TXN00002115</t>
  </si>
  <si>
    <t>Jessie Rose</t>
  </si>
  <si>
    <t>TXN00002116</t>
  </si>
  <si>
    <t>Louis Cooper</t>
  </si>
  <si>
    <t>TXN00002117</t>
  </si>
  <si>
    <t>Belinda Koopman</t>
  </si>
  <si>
    <t>TXN00002118</t>
  </si>
  <si>
    <t>Peter Clark</t>
  </si>
  <si>
    <t>TXN00002119</t>
  </si>
  <si>
    <t>Ida Luna</t>
  </si>
  <si>
    <t>AGENT00354</t>
  </si>
  <si>
    <t>TXN00002120</t>
  </si>
  <si>
    <t>Ashley Fulkerson</t>
  </si>
  <si>
    <t>AGENT00835</t>
  </si>
  <si>
    <t>TXN00002121</t>
  </si>
  <si>
    <t>Christine Knight</t>
  </si>
  <si>
    <t>VNDR00290</t>
  </si>
  <si>
    <t>TXN00002122</t>
  </si>
  <si>
    <t>Hannelore Chidester</t>
  </si>
  <si>
    <t>TXN00002123</t>
  </si>
  <si>
    <t>David Handley</t>
  </si>
  <si>
    <t>TXN00002124</t>
  </si>
  <si>
    <t>Vickie Wallace</t>
  </si>
  <si>
    <t>AGENT00939</t>
  </si>
  <si>
    <t>TXN00002125</t>
  </si>
  <si>
    <t>Chad Weaver</t>
  </si>
  <si>
    <t>TXN00002126</t>
  </si>
  <si>
    <t>Rod Bolden</t>
  </si>
  <si>
    <t>TXN00002127</t>
  </si>
  <si>
    <t>Milagros Remis</t>
  </si>
  <si>
    <t>TXN00002128</t>
  </si>
  <si>
    <t>Rudolph Vickers</t>
  </si>
  <si>
    <t>TXN00002129</t>
  </si>
  <si>
    <t>Nicole Williams</t>
  </si>
  <si>
    <t>TXN00002130</t>
  </si>
  <si>
    <t>Rachel Mcculough</t>
  </si>
  <si>
    <t>TXN00002131</t>
  </si>
  <si>
    <t>Katrina Olive</t>
  </si>
  <si>
    <t>TXN00002132</t>
  </si>
  <si>
    <t>Victor Bell</t>
  </si>
  <si>
    <t>AGENT00135</t>
  </si>
  <si>
    <t>TXN00002133</t>
  </si>
  <si>
    <t>David Riddle</t>
  </si>
  <si>
    <t>VNDR00506</t>
  </si>
  <si>
    <t>TXN00002134</t>
  </si>
  <si>
    <t>Sean Fisher</t>
  </si>
  <si>
    <t>TXN00002135</t>
  </si>
  <si>
    <t>Sharon Greek</t>
  </si>
  <si>
    <t>Antioch</t>
  </si>
  <si>
    <t>TXN00002136</t>
  </si>
  <si>
    <t>Myrtle Orabuena</t>
  </si>
  <si>
    <t>TXN00002137</t>
  </si>
  <si>
    <t>Samantha Neonakis</t>
  </si>
  <si>
    <t>TXN00002138</t>
  </si>
  <si>
    <t>Michael Veloz</t>
  </si>
  <si>
    <t>TXN00002139</t>
  </si>
  <si>
    <t>Margaret Abbott</t>
  </si>
  <si>
    <t>TXN00002140</t>
  </si>
  <si>
    <t>Chris Jackson</t>
  </si>
  <si>
    <t>TXN00002141</t>
  </si>
  <si>
    <t>Suzanne Torres</t>
  </si>
  <si>
    <t>TXN00002142</t>
  </si>
  <si>
    <t>Anne Dempsey</t>
  </si>
  <si>
    <t>TXN00002143</t>
  </si>
  <si>
    <t>Douglas Sneeden</t>
  </si>
  <si>
    <t>TXN00002144</t>
  </si>
  <si>
    <t>Oliver Scott</t>
  </si>
  <si>
    <t>TXN00002145</t>
  </si>
  <si>
    <t>Cynthia Perales</t>
  </si>
  <si>
    <t>TXN00002146</t>
  </si>
  <si>
    <t>Carolyn Preciado</t>
  </si>
  <si>
    <t>TXN00002147</t>
  </si>
  <si>
    <t>Elaine Barrett</t>
  </si>
  <si>
    <t>Athol</t>
  </si>
  <si>
    <t>TXN00002148</t>
  </si>
  <si>
    <t>Alfredo Antonio</t>
  </si>
  <si>
    <t>TXN00002149</t>
  </si>
  <si>
    <t>Sandra Reynolds</t>
  </si>
  <si>
    <t>AGENT00355</t>
  </si>
  <si>
    <t>TXN00002150</t>
  </si>
  <si>
    <t>Dennis Pugh</t>
  </si>
  <si>
    <t>TXN00002151</t>
  </si>
  <si>
    <t>Jonathan Couch</t>
  </si>
  <si>
    <t>AGENT00596</t>
  </si>
  <si>
    <t>TXN00002152</t>
  </si>
  <si>
    <t>Peggy Robinson</t>
  </si>
  <si>
    <t>AGENT00809</t>
  </si>
  <si>
    <t>TXN00002153</t>
  </si>
  <si>
    <t>Rodney Fuhrman</t>
  </si>
  <si>
    <t>TXN00002154</t>
  </si>
  <si>
    <t>Alejandro Mitchell</t>
  </si>
  <si>
    <t>AGENT00350</t>
  </si>
  <si>
    <t>TXN00002155</t>
  </si>
  <si>
    <t>Arthur Broughton</t>
  </si>
  <si>
    <t>TXN00002156</t>
  </si>
  <si>
    <t>Clay Bracken</t>
  </si>
  <si>
    <t>TXN00002157</t>
  </si>
  <si>
    <t>William Waston</t>
  </si>
  <si>
    <t>TXN00002158</t>
  </si>
  <si>
    <t>Edward Norris</t>
  </si>
  <si>
    <t>TXN00002159</t>
  </si>
  <si>
    <t>Matthew Nitz</t>
  </si>
  <si>
    <t>TXN00002160</t>
  </si>
  <si>
    <t>Mary Bowlin</t>
  </si>
  <si>
    <t>TXN00002161</t>
  </si>
  <si>
    <t>Kenneth Clemmons</t>
  </si>
  <si>
    <t>AGENT01007</t>
  </si>
  <si>
    <t>TXN00002162</t>
  </si>
  <si>
    <t>Dale Richey</t>
  </si>
  <si>
    <t>AGENT00508</t>
  </si>
  <si>
    <t>TXN00002163</t>
  </si>
  <si>
    <t>Colby Cervantez</t>
  </si>
  <si>
    <t>Roseville</t>
  </si>
  <si>
    <t>TXN00002164</t>
  </si>
  <si>
    <t>Mildred Tower</t>
  </si>
  <si>
    <t>TXN00002165</t>
  </si>
  <si>
    <t>Dewey Ortega</t>
  </si>
  <si>
    <t>TXN00002166</t>
  </si>
  <si>
    <t>Tim Mello</t>
  </si>
  <si>
    <t>TXN00002167</t>
  </si>
  <si>
    <t>Laura Imperial</t>
  </si>
  <si>
    <t>TXN00002168</t>
  </si>
  <si>
    <t>Sharon Garcia</t>
  </si>
  <si>
    <t>TXN00002169</t>
  </si>
  <si>
    <t>Teresa Petitt</t>
  </si>
  <si>
    <t>TXN00002170</t>
  </si>
  <si>
    <t>Lance Watson</t>
  </si>
  <si>
    <t>TXN00002171</t>
  </si>
  <si>
    <t>Lillian Fruman</t>
  </si>
  <si>
    <t>TXN00002172</t>
  </si>
  <si>
    <t>Grant Baugh</t>
  </si>
  <si>
    <t>TXN00002173</t>
  </si>
  <si>
    <t>Erin Ribron</t>
  </si>
  <si>
    <t>TXN00002174</t>
  </si>
  <si>
    <t>Margaret Staples</t>
  </si>
  <si>
    <t>TXN00002175</t>
  </si>
  <si>
    <t>Marie Hayes</t>
  </si>
  <si>
    <t>TXN00002176</t>
  </si>
  <si>
    <t>Melanie Richardson</t>
  </si>
  <si>
    <t>TXN00002177</t>
  </si>
  <si>
    <t>Eugene Bonifer</t>
  </si>
  <si>
    <t>TXN00002178</t>
  </si>
  <si>
    <t>Dorothy Winters</t>
  </si>
  <si>
    <t>TXN00002179</t>
  </si>
  <si>
    <t>Antoinette Morgan</t>
  </si>
  <si>
    <t>TXN00002180</t>
  </si>
  <si>
    <t>Carol Rowell</t>
  </si>
  <si>
    <t>AGENT00962</t>
  </si>
  <si>
    <t>TXN00002181</t>
  </si>
  <si>
    <t>Clarence Pittman</t>
  </si>
  <si>
    <t>TXN00002182</t>
  </si>
  <si>
    <t>William Young</t>
  </si>
  <si>
    <t>AGENT00019</t>
  </si>
  <si>
    <t>TXN00002183</t>
  </si>
  <si>
    <t>Jessica Ecker</t>
  </si>
  <si>
    <t>AGENT00627</t>
  </si>
  <si>
    <t>TXN00002184</t>
  </si>
  <si>
    <t>Clarissa Brandwein</t>
  </si>
  <si>
    <t>Dartmouth</t>
  </si>
  <si>
    <t>TXN00002185</t>
  </si>
  <si>
    <t>Robert Wheeler</t>
  </si>
  <si>
    <t>Pioneer</t>
  </si>
  <si>
    <t>TXN00002186</t>
  </si>
  <si>
    <t>Jennifer Jonason</t>
  </si>
  <si>
    <t>Kenai</t>
  </si>
  <si>
    <t>AGENT00422</t>
  </si>
  <si>
    <t>TXN00002187</t>
  </si>
  <si>
    <t>Brenda Dell</t>
  </si>
  <si>
    <t>TXN00002188</t>
  </si>
  <si>
    <t>Jeffery Johnson</t>
  </si>
  <si>
    <t>TXN00002189</t>
  </si>
  <si>
    <t>Terry Miller</t>
  </si>
  <si>
    <t>AGENT00675</t>
  </si>
  <si>
    <t>TXN00002190</t>
  </si>
  <si>
    <t>Robert Young</t>
  </si>
  <si>
    <t>TXN00002191</t>
  </si>
  <si>
    <t>Timothy Parks</t>
  </si>
  <si>
    <t>TXN00002192</t>
  </si>
  <si>
    <t>Carol Bronk</t>
  </si>
  <si>
    <t>TXN00002193</t>
  </si>
  <si>
    <t>Edward Mendez</t>
  </si>
  <si>
    <t>TXN00002194</t>
  </si>
  <si>
    <t>Randall Thompson</t>
  </si>
  <si>
    <t>AGENT00895</t>
  </si>
  <si>
    <t>TXN00002195</t>
  </si>
  <si>
    <t>Josephine Saldana</t>
  </si>
  <si>
    <t>TXN00002196</t>
  </si>
  <si>
    <t>Larry Reyes</t>
  </si>
  <si>
    <t>TXN00002197</t>
  </si>
  <si>
    <t>Suzan Rector</t>
  </si>
  <si>
    <t>TXN00002198</t>
  </si>
  <si>
    <t>Gloria Samons</t>
  </si>
  <si>
    <t>Merritt Island</t>
  </si>
  <si>
    <t>TXN00002199</t>
  </si>
  <si>
    <t>Juanita Vogler</t>
  </si>
  <si>
    <t>TXN00002200</t>
  </si>
  <si>
    <t>Raymond Ramos</t>
  </si>
  <si>
    <t>AGENT00742</t>
  </si>
  <si>
    <t>TXN00002201</t>
  </si>
  <si>
    <t>Jennifer Nutt</t>
  </si>
  <si>
    <t>TXN00002202</t>
  </si>
  <si>
    <t>David Minter</t>
  </si>
  <si>
    <t>TXN00002203</t>
  </si>
  <si>
    <t>Barbara Williams</t>
  </si>
  <si>
    <t>AGENT00440</t>
  </si>
  <si>
    <t>TXN00002204</t>
  </si>
  <si>
    <t>Guy Bouchard</t>
  </si>
  <si>
    <t>TXN00002205</t>
  </si>
  <si>
    <t>Erica Rasmussen</t>
  </si>
  <si>
    <t>TXN00002206</t>
  </si>
  <si>
    <t>Ross Vaden</t>
  </si>
  <si>
    <t>AGENT00136</t>
  </si>
  <si>
    <t>TXN00002207</t>
  </si>
  <si>
    <t>Tina Parrish</t>
  </si>
  <si>
    <t>TXN00002208</t>
  </si>
  <si>
    <t>Michele Lumpkin</t>
  </si>
  <si>
    <t>TXN00002209</t>
  </si>
  <si>
    <t>Elizabeth Morgan</t>
  </si>
  <si>
    <t>TXN00002210</t>
  </si>
  <si>
    <t>Timothy Shippy</t>
  </si>
  <si>
    <t>AGENT00125</t>
  </si>
  <si>
    <t>TXN00002211</t>
  </si>
  <si>
    <t>Earl Masse</t>
  </si>
  <si>
    <t>TXN00002212</t>
  </si>
  <si>
    <t>Ana Stecklein</t>
  </si>
  <si>
    <t>TXN00002213</t>
  </si>
  <si>
    <t>Jose Sullivan</t>
  </si>
  <si>
    <t>TXN00002214</t>
  </si>
  <si>
    <t>Robert Holder</t>
  </si>
  <si>
    <t>TXN00002215</t>
  </si>
  <si>
    <t>Ronald Doane</t>
  </si>
  <si>
    <t>Newport</t>
  </si>
  <si>
    <t>TXN00002216</t>
  </si>
  <si>
    <t>Dylan Sarracino</t>
  </si>
  <si>
    <t>Barnard</t>
  </si>
  <si>
    <t>TXN00002217</t>
  </si>
  <si>
    <t>Steven Grilli</t>
  </si>
  <si>
    <t>TXN00002218</t>
  </si>
  <si>
    <t>Joyce Acosta</t>
  </si>
  <si>
    <t>TXN00002219</t>
  </si>
  <si>
    <t>Charlotte Audia</t>
  </si>
  <si>
    <t>AGENT00191</t>
  </si>
  <si>
    <t>TXN00002220</t>
  </si>
  <si>
    <t>Octavio Woods</t>
  </si>
  <si>
    <t>TXN00002221</t>
  </si>
  <si>
    <t>Deborah Le</t>
  </si>
  <si>
    <t>TXN00002222</t>
  </si>
  <si>
    <t>George Angulo</t>
  </si>
  <si>
    <t>AGENT00926</t>
  </si>
  <si>
    <t>TXN00002223</t>
  </si>
  <si>
    <t>Kevin Metz</t>
  </si>
  <si>
    <t>TXN00002224</t>
  </si>
  <si>
    <t>Tammy Gales</t>
  </si>
  <si>
    <t>Marlborough</t>
  </si>
  <si>
    <t>TXN00002225</t>
  </si>
  <si>
    <t>John Ordonez</t>
  </si>
  <si>
    <t>TXN00002226</t>
  </si>
  <si>
    <t>Buford Taylor</t>
  </si>
  <si>
    <t>TXN00002227</t>
  </si>
  <si>
    <t>Edward Hamons</t>
  </si>
  <si>
    <t>TXN00002228</t>
  </si>
  <si>
    <t>James Culver</t>
  </si>
  <si>
    <t>TXN00002229</t>
  </si>
  <si>
    <t>TXN00002230</t>
  </si>
  <si>
    <t>Jacqueline Castillo</t>
  </si>
  <si>
    <t>AGENT00635</t>
  </si>
  <si>
    <t>TXN00002231</t>
  </si>
  <si>
    <t>Terry Lohr</t>
  </si>
  <si>
    <t>TXN00002232</t>
  </si>
  <si>
    <t>Michele Isham</t>
  </si>
  <si>
    <t>TXN00002233</t>
  </si>
  <si>
    <t>Richard Kintner</t>
  </si>
  <si>
    <t>TXN00002234</t>
  </si>
  <si>
    <t>William Adams</t>
  </si>
  <si>
    <t>AGENT01070</t>
  </si>
  <si>
    <t>TXN00002235</t>
  </si>
  <si>
    <t>Alejandro Haggard</t>
  </si>
  <si>
    <t>TXN00002236</t>
  </si>
  <si>
    <t>Lawrence Testa</t>
  </si>
  <si>
    <t>TXN00002237</t>
  </si>
  <si>
    <t>Richard Coleman</t>
  </si>
  <si>
    <t>TXN00002238</t>
  </si>
  <si>
    <t>James Wilcox</t>
  </si>
  <si>
    <t>TXN00002239</t>
  </si>
  <si>
    <t>Daniel Marsh</t>
  </si>
  <si>
    <t>TXN00002240</t>
  </si>
  <si>
    <t>Mandi Delgado</t>
  </si>
  <si>
    <t>TXN00002241</t>
  </si>
  <si>
    <t>Darla Clark</t>
  </si>
  <si>
    <t>TXN00002242</t>
  </si>
  <si>
    <t>James Wireman</t>
  </si>
  <si>
    <t>AGENT01137</t>
  </si>
  <si>
    <t>TXN00002243</t>
  </si>
  <si>
    <t>James Hobbs</t>
  </si>
  <si>
    <t>TXN00002244</t>
  </si>
  <si>
    <t>Jason Coyle</t>
  </si>
  <si>
    <t>TXN00002245</t>
  </si>
  <si>
    <t>John Harley</t>
  </si>
  <si>
    <t>TXN00002246</t>
  </si>
  <si>
    <t>Patricia Humann</t>
  </si>
  <si>
    <t>TXN00002247</t>
  </si>
  <si>
    <t>Ralph Warren</t>
  </si>
  <si>
    <t>TXN00002248</t>
  </si>
  <si>
    <t>Herlinda Damelio</t>
  </si>
  <si>
    <t>AGENT00728</t>
  </si>
  <si>
    <t>TXN00002249</t>
  </si>
  <si>
    <t>Anne Forsythe</t>
  </si>
  <si>
    <t>Palm Bay</t>
  </si>
  <si>
    <t>TXN00002250</t>
  </si>
  <si>
    <t>Danny White</t>
  </si>
  <si>
    <t>TXN00002251</t>
  </si>
  <si>
    <t>Teresa Romero</t>
  </si>
  <si>
    <t>AGENT00859</t>
  </si>
  <si>
    <t>TXN00002252</t>
  </si>
  <si>
    <t>Corine Bergquist</t>
  </si>
  <si>
    <t>TXN00002253</t>
  </si>
  <si>
    <t>Kyle Mcbride</t>
  </si>
  <si>
    <t>TXN00002254</t>
  </si>
  <si>
    <t>Wilbert Rifenbark</t>
  </si>
  <si>
    <t>TXN00002255</t>
  </si>
  <si>
    <t>Harry Alexander</t>
  </si>
  <si>
    <t>TXN00002256</t>
  </si>
  <si>
    <t>Patrick Williams</t>
  </si>
  <si>
    <t>AGENT00442</t>
  </si>
  <si>
    <t>TXN00002257</t>
  </si>
  <si>
    <t>Deborah Stephens</t>
  </si>
  <si>
    <t>TXN00002258</t>
  </si>
  <si>
    <t>Deborah Demaria</t>
  </si>
  <si>
    <t>TXN00002259</t>
  </si>
  <si>
    <t>Anthony Lane</t>
  </si>
  <si>
    <t>TXN00002260</t>
  </si>
  <si>
    <t>Mary Lane</t>
  </si>
  <si>
    <t>TXN00002261</t>
  </si>
  <si>
    <t>Kathleen Oconnor</t>
  </si>
  <si>
    <t>TXN00002262</t>
  </si>
  <si>
    <t>Jennifer Beebe</t>
  </si>
  <si>
    <t>TXN00002263</t>
  </si>
  <si>
    <t>Rachel Whittaker</t>
  </si>
  <si>
    <t>TXN00002264</t>
  </si>
  <si>
    <t>Jonathan Kaufman</t>
  </si>
  <si>
    <t>TXN00002265</t>
  </si>
  <si>
    <t>Cathy Bain</t>
  </si>
  <si>
    <t>TXN00002266</t>
  </si>
  <si>
    <t>Grace Munyon</t>
  </si>
  <si>
    <t>TXN00002267</t>
  </si>
  <si>
    <t>Alan Hernandez</t>
  </si>
  <si>
    <t>TXN00002268</t>
  </si>
  <si>
    <t>Earlene Mclean</t>
  </si>
  <si>
    <t>TXN00002269</t>
  </si>
  <si>
    <t>Doris Ray</t>
  </si>
  <si>
    <t>TXN00002270</t>
  </si>
  <si>
    <t>Blanche Hedrick</t>
  </si>
  <si>
    <t>TXN00002271</t>
  </si>
  <si>
    <t>Courtney Hodges</t>
  </si>
  <si>
    <t>TXN00002272</t>
  </si>
  <si>
    <t>Mack Esparza</t>
  </si>
  <si>
    <t>TXN00002273</t>
  </si>
  <si>
    <t>Wade Petersen</t>
  </si>
  <si>
    <t>TXN00002274</t>
  </si>
  <si>
    <t>David Short</t>
  </si>
  <si>
    <t>TXN00002275</t>
  </si>
  <si>
    <t>Charles Hernandez</t>
  </si>
  <si>
    <t>TXN00002276</t>
  </si>
  <si>
    <t>Sabrina Mara</t>
  </si>
  <si>
    <t>TXN00002277</t>
  </si>
  <si>
    <t>Alice Arguelles</t>
  </si>
  <si>
    <t>TXN00002278</t>
  </si>
  <si>
    <t>Donald Villarreal</t>
  </si>
  <si>
    <t>TXN00002279</t>
  </si>
  <si>
    <t>John Ellis</t>
  </si>
  <si>
    <t>TXN00002280</t>
  </si>
  <si>
    <t>Joan Alford</t>
  </si>
  <si>
    <t>West Sacramento</t>
  </si>
  <si>
    <t>TXN00002281</t>
  </si>
  <si>
    <t>Ladonna Bohne</t>
  </si>
  <si>
    <t>TXN00002282</t>
  </si>
  <si>
    <t>Thaddeus Mishar</t>
  </si>
  <si>
    <t>TXN00002283</t>
  </si>
  <si>
    <t>Ivan Tobin</t>
  </si>
  <si>
    <t>AGENT00317</t>
  </si>
  <si>
    <t>TXN00002284</t>
  </si>
  <si>
    <t>Oscar Reza</t>
  </si>
  <si>
    <t>TXN00002285</t>
  </si>
  <si>
    <t>Chris Smith</t>
  </si>
  <si>
    <t>AGENT00249</t>
  </si>
  <si>
    <t>TXN00002286</t>
  </si>
  <si>
    <t>Trisha Samuels</t>
  </si>
  <si>
    <t>TXN00002287</t>
  </si>
  <si>
    <t>Heather Casey</t>
  </si>
  <si>
    <t>AGENT00143</t>
  </si>
  <si>
    <t>TXN00002288</t>
  </si>
  <si>
    <t>Ken Kirker</t>
  </si>
  <si>
    <t>TXN00002289</t>
  </si>
  <si>
    <t>Kenneth Duffield</t>
  </si>
  <si>
    <t>TXN00002290</t>
  </si>
  <si>
    <t>Luis Blair</t>
  </si>
  <si>
    <t>TXN00002291</t>
  </si>
  <si>
    <t>James Bird</t>
  </si>
  <si>
    <t>Westport</t>
  </si>
  <si>
    <t>TXN00002292</t>
  </si>
  <si>
    <t>James Hatfield</t>
  </si>
  <si>
    <t>TXN00002293</t>
  </si>
  <si>
    <t>Anthony Johnston</t>
  </si>
  <si>
    <t>TXN00002294</t>
  </si>
  <si>
    <t>Brian Oberpriller</t>
  </si>
  <si>
    <t>TXN00002295</t>
  </si>
  <si>
    <t>Kathryn Batiste</t>
  </si>
  <si>
    <t>AGENT00338</t>
  </si>
  <si>
    <t>TXN00002296</t>
  </si>
  <si>
    <t>Jasmin Neville</t>
  </si>
  <si>
    <t>TXN00002297</t>
  </si>
  <si>
    <t>Henry Fritsch</t>
  </si>
  <si>
    <t>TXN00002298</t>
  </si>
  <si>
    <t>Terrence Shipps</t>
  </si>
  <si>
    <t>AGENT00812</t>
  </si>
  <si>
    <t>TXN00002299</t>
  </si>
  <si>
    <t>Mona Avery</t>
  </si>
  <si>
    <t>TXN00002300</t>
  </si>
  <si>
    <t>Richard Brown</t>
  </si>
  <si>
    <t>TXN00002301</t>
  </si>
  <si>
    <t>Natasha Coe</t>
  </si>
  <si>
    <t>TXN00002302</t>
  </si>
  <si>
    <t>Frank Fields</t>
  </si>
  <si>
    <t>TXN00002303</t>
  </si>
  <si>
    <t>Flora Chamberlain</t>
  </si>
  <si>
    <t>TXN00002304</t>
  </si>
  <si>
    <t>Betty Harper</t>
  </si>
  <si>
    <t>TXN00002305</t>
  </si>
  <si>
    <t>Jacob Jones</t>
  </si>
  <si>
    <t>TXN00002306</t>
  </si>
  <si>
    <t>Misty Fanney</t>
  </si>
  <si>
    <t>AGENT01024</t>
  </si>
  <si>
    <t>TXN00002307</t>
  </si>
  <si>
    <t>Natashia Jeune</t>
  </si>
  <si>
    <t>TXN00002308</t>
  </si>
  <si>
    <t>Gladys Perry</t>
  </si>
  <si>
    <t>TXN00002309</t>
  </si>
  <si>
    <t>Jack Allison</t>
  </si>
  <si>
    <t>TXN00002310</t>
  </si>
  <si>
    <t>Boyd Trajillo</t>
  </si>
  <si>
    <t>TXN00002311</t>
  </si>
  <si>
    <t>Jo Larson</t>
  </si>
  <si>
    <t>AGENT00219</t>
  </si>
  <si>
    <t>TXN00002312</t>
  </si>
  <si>
    <t>Terry Glover</t>
  </si>
  <si>
    <t>TXN00002313</t>
  </si>
  <si>
    <t>Dorothy Nalley</t>
  </si>
  <si>
    <t>TXN00002314</t>
  </si>
  <si>
    <t>Nancy Whittle</t>
  </si>
  <si>
    <t>TXN00002315</t>
  </si>
  <si>
    <t>Mitchell Vineyard</t>
  </si>
  <si>
    <t>TXN00002316</t>
  </si>
  <si>
    <t>Karen Duffey</t>
  </si>
  <si>
    <t>TXN00002317</t>
  </si>
  <si>
    <t>Whitney Byers</t>
  </si>
  <si>
    <t>TXN00002318</t>
  </si>
  <si>
    <t>Robert Paul</t>
  </si>
  <si>
    <t>TXN00002319</t>
  </si>
  <si>
    <t>Shannon Burton</t>
  </si>
  <si>
    <t>TXN00002320</t>
  </si>
  <si>
    <t>Luisa Marshall</t>
  </si>
  <si>
    <t>TXN00002321</t>
  </si>
  <si>
    <t>Katelyn Cianciola</t>
  </si>
  <si>
    <t>TXN00002322</t>
  </si>
  <si>
    <t>Lan Eoff</t>
  </si>
  <si>
    <t>AGENT00699</t>
  </si>
  <si>
    <t>TXN00002323</t>
  </si>
  <si>
    <t>Charles Wadley</t>
  </si>
  <si>
    <t>AGENT01047</t>
  </si>
  <si>
    <t>TXN00002324</t>
  </si>
  <si>
    <t>Tony Mcandrew</t>
  </si>
  <si>
    <t>AGENT00029</t>
  </si>
  <si>
    <t>TXN00002325</t>
  </si>
  <si>
    <t>Samuel Lind</t>
  </si>
  <si>
    <t>TXN00002326</t>
  </si>
  <si>
    <t>Clora Anderson</t>
  </si>
  <si>
    <t>TXN00002327</t>
  </si>
  <si>
    <t>Monica Jarvis</t>
  </si>
  <si>
    <t>TXN00002328</t>
  </si>
  <si>
    <t>Goldie Iraheta</t>
  </si>
  <si>
    <t>TXN00002329</t>
  </si>
  <si>
    <t>Amanda Fletcher</t>
  </si>
  <si>
    <t>TXN00002330</t>
  </si>
  <si>
    <t>Colleen Johnson</t>
  </si>
  <si>
    <t>TXN00002331</t>
  </si>
  <si>
    <t>Chester George</t>
  </si>
  <si>
    <t>TXN00002332</t>
  </si>
  <si>
    <t>Erika Bottone</t>
  </si>
  <si>
    <t>TXN00002333</t>
  </si>
  <si>
    <t>Steven Carmack</t>
  </si>
  <si>
    <t>TXN00002334</t>
  </si>
  <si>
    <t>Shelly Benson</t>
  </si>
  <si>
    <t>VNDR00084</t>
  </si>
  <si>
    <t>TXN00002335</t>
  </si>
  <si>
    <t>Garland Macdougall</t>
  </si>
  <si>
    <t>TXN00002336</t>
  </si>
  <si>
    <t>Clifton Deluca</t>
  </si>
  <si>
    <t>TXN00002337</t>
  </si>
  <si>
    <t>Ron Morrison</t>
  </si>
  <si>
    <t>TXN00002338</t>
  </si>
  <si>
    <t>John Park</t>
  </si>
  <si>
    <t>TXN00002339</t>
  </si>
  <si>
    <t>Melvin Newlon</t>
  </si>
  <si>
    <t>TXN00002340</t>
  </si>
  <si>
    <t>Danny Lawrence</t>
  </si>
  <si>
    <t>TXN00002341</t>
  </si>
  <si>
    <t>Christa Nance</t>
  </si>
  <si>
    <t>TXN00002342</t>
  </si>
  <si>
    <t>Daniel Thornton</t>
  </si>
  <si>
    <t>TXN00002343</t>
  </si>
  <si>
    <t>Tracey Miner</t>
  </si>
  <si>
    <t>TXN00002344</t>
  </si>
  <si>
    <t>Garnet Williamson</t>
  </si>
  <si>
    <t>TXN00002345</t>
  </si>
  <si>
    <t>Michele Longbrake</t>
  </si>
  <si>
    <t>TXN00002346</t>
  </si>
  <si>
    <t>Daniel Wong</t>
  </si>
  <si>
    <t>TXN00002347</t>
  </si>
  <si>
    <t>Jack Linden</t>
  </si>
  <si>
    <t>TXN00002348</t>
  </si>
  <si>
    <t>Gerardo Parker</t>
  </si>
  <si>
    <t>TXN00002349</t>
  </si>
  <si>
    <t>Houston Lemus</t>
  </si>
  <si>
    <t>TXN00002350</t>
  </si>
  <si>
    <t>Michael Yokley</t>
  </si>
  <si>
    <t>TXN00002351</t>
  </si>
  <si>
    <t>Corey Monford</t>
  </si>
  <si>
    <t>TXN00002352</t>
  </si>
  <si>
    <t>Holly Herring</t>
  </si>
  <si>
    <t>AGENT00941</t>
  </si>
  <si>
    <t>TXN00002353</t>
  </si>
  <si>
    <t>Jennifer Carswell</t>
  </si>
  <si>
    <t>AGENT00818</t>
  </si>
  <si>
    <t>TXN00002354</t>
  </si>
  <si>
    <t>Cynthia Mcfarland</t>
  </si>
  <si>
    <t>TXN00002355</t>
  </si>
  <si>
    <t>Melanie Cardona</t>
  </si>
  <si>
    <t>TXN00002356</t>
  </si>
  <si>
    <t>Lillian Bemis</t>
  </si>
  <si>
    <t>TXN00002357</t>
  </si>
  <si>
    <t>Jean Jaime</t>
  </si>
  <si>
    <t>TXN00002358</t>
  </si>
  <si>
    <t>Wayne Timme</t>
  </si>
  <si>
    <t>TXN00002359</t>
  </si>
  <si>
    <t>Lee Maldonado</t>
  </si>
  <si>
    <t>TXN00002360</t>
  </si>
  <si>
    <t>Robert Golden</t>
  </si>
  <si>
    <t>TXN00002361</t>
  </si>
  <si>
    <t>Anna Solorio</t>
  </si>
  <si>
    <t>AGENT00664</t>
  </si>
  <si>
    <t>TXN00002362</t>
  </si>
  <si>
    <t>David Hodge</t>
  </si>
  <si>
    <t>TXN00002363</t>
  </si>
  <si>
    <t>Arnold Swelgart</t>
  </si>
  <si>
    <t>TXN00002364</t>
  </si>
  <si>
    <t>Virginia Morris</t>
  </si>
  <si>
    <t>TXN00002365</t>
  </si>
  <si>
    <t>Ryan Beecher</t>
  </si>
  <si>
    <t>TXN00002366</t>
  </si>
  <si>
    <t>Isabelle Valencia</t>
  </si>
  <si>
    <t>AGENT01087</t>
  </si>
  <si>
    <t>TXN00002367</t>
  </si>
  <si>
    <t>Eliza Hall</t>
  </si>
  <si>
    <t>TXN00002368</t>
  </si>
  <si>
    <t>Christopher Nock</t>
  </si>
  <si>
    <t>TXN00002369</t>
  </si>
  <si>
    <t>Jerry Poblete</t>
  </si>
  <si>
    <t>TXN00002370</t>
  </si>
  <si>
    <t>Kathryn Blumenstock</t>
  </si>
  <si>
    <t>TXN00002371</t>
  </si>
  <si>
    <t>Corinne Bundy</t>
  </si>
  <si>
    <t>VNDR00381</t>
  </si>
  <si>
    <t>TXN00002372</t>
  </si>
  <si>
    <t>Myra Nunnally</t>
  </si>
  <si>
    <t>TXN00002373</t>
  </si>
  <si>
    <t>Helen Acquaviva</t>
  </si>
  <si>
    <t>Saugus</t>
  </si>
  <si>
    <t>TXN00002374</t>
  </si>
  <si>
    <t>Joseph Chinn</t>
  </si>
  <si>
    <t>TXN00002375</t>
  </si>
  <si>
    <t>Manuel Barker</t>
  </si>
  <si>
    <t>TXN00002376</t>
  </si>
  <si>
    <t>Susan Wilson</t>
  </si>
  <si>
    <t>TXN00002377</t>
  </si>
  <si>
    <t>Eric Melear</t>
  </si>
  <si>
    <t>TXN00002378</t>
  </si>
  <si>
    <t>Rosalva Janson</t>
  </si>
  <si>
    <t>TXN00002379</t>
  </si>
  <si>
    <t>Robert Valdez</t>
  </si>
  <si>
    <t>TXN00002380</t>
  </si>
  <si>
    <t>Gregory Kelly</t>
  </si>
  <si>
    <t>TXN00002381</t>
  </si>
  <si>
    <t>TXN00002382</t>
  </si>
  <si>
    <t>Timothy Stewart</t>
  </si>
  <si>
    <t>TXN00002383</t>
  </si>
  <si>
    <t>Ladonna Gray</t>
  </si>
  <si>
    <t>TXN00002384</t>
  </si>
  <si>
    <t>Spencer Stewart</t>
  </si>
  <si>
    <t>TXN00002385</t>
  </si>
  <si>
    <t>Theresa Jenkins</t>
  </si>
  <si>
    <t>TXN00002386</t>
  </si>
  <si>
    <t>Jason Nelson</t>
  </si>
  <si>
    <t>TXN00002387</t>
  </si>
  <si>
    <t>Willie Webb</t>
  </si>
  <si>
    <t>TXN00002388</t>
  </si>
  <si>
    <t>Jeff Stengle</t>
  </si>
  <si>
    <t>TXN00002389</t>
  </si>
  <si>
    <t>Marcus Klopfer</t>
  </si>
  <si>
    <t>TXN00002390</t>
  </si>
  <si>
    <t>Richard Stone</t>
  </si>
  <si>
    <t>TXN00002391</t>
  </si>
  <si>
    <t>Mary Renaud</t>
  </si>
  <si>
    <t>TXN00002392</t>
  </si>
  <si>
    <t>Melody Pruzansky</t>
  </si>
  <si>
    <t>TXN00002393</t>
  </si>
  <si>
    <t>Emil Ryan</t>
  </si>
  <si>
    <t>TXN00002394</t>
  </si>
  <si>
    <t>Rodney Velarde</t>
  </si>
  <si>
    <t>TXN00002395</t>
  </si>
  <si>
    <t>Kimberly Godine</t>
  </si>
  <si>
    <t>Burke</t>
  </si>
  <si>
    <t>TXN00002396</t>
  </si>
  <si>
    <t>Lindsey Johnson</t>
  </si>
  <si>
    <t>TXN00002397</t>
  </si>
  <si>
    <t>David Price</t>
  </si>
  <si>
    <t>TXN00002398</t>
  </si>
  <si>
    <t>Sarah Bonner</t>
  </si>
  <si>
    <t>TXN00002399</t>
  </si>
  <si>
    <t>Richard Trofholz</t>
  </si>
  <si>
    <t>TXN00002400</t>
  </si>
  <si>
    <t>Joseph Vierra</t>
  </si>
  <si>
    <t>TXN00002401</t>
  </si>
  <si>
    <t>Ethel Conner</t>
  </si>
  <si>
    <t>TXN00002402</t>
  </si>
  <si>
    <t>Corina Barnes</t>
  </si>
  <si>
    <t>TXN00002403</t>
  </si>
  <si>
    <t>Dean Holder</t>
  </si>
  <si>
    <t>TXN00002404</t>
  </si>
  <si>
    <t>Betty Price</t>
  </si>
  <si>
    <t>VNDR00079</t>
  </si>
  <si>
    <t>TXN00002405</t>
  </si>
  <si>
    <t>Sharon Vinton</t>
  </si>
  <si>
    <t>TXN00002406</t>
  </si>
  <si>
    <t>Ward Trantham</t>
  </si>
  <si>
    <t>TXN00002407</t>
  </si>
  <si>
    <t>Donna Ross</t>
  </si>
  <si>
    <t>TXN00002408</t>
  </si>
  <si>
    <t>Julie Lewis</t>
  </si>
  <si>
    <t>TXN00002409</t>
  </si>
  <si>
    <t>Mitchell Carter</t>
  </si>
  <si>
    <t>TXN00002410</t>
  </si>
  <si>
    <t>Jeffrey Gundlach</t>
  </si>
  <si>
    <t>TXN00002411</t>
  </si>
  <si>
    <t>Mark Ledford</t>
  </si>
  <si>
    <t>Monte Rio</t>
  </si>
  <si>
    <t>TXN00002412</t>
  </si>
  <si>
    <t>Jama Kressler</t>
  </si>
  <si>
    <t>TXN00002413</t>
  </si>
  <si>
    <t>Kathleen Boggs</t>
  </si>
  <si>
    <t>VNDR00103</t>
  </si>
  <si>
    <t>TXN00002414</t>
  </si>
  <si>
    <t>Robert Flores</t>
  </si>
  <si>
    <t>TXN00002415</t>
  </si>
  <si>
    <t>Christina Musto</t>
  </si>
  <si>
    <t>Oakhurst</t>
  </si>
  <si>
    <t>TXN00002416</t>
  </si>
  <si>
    <t>Penney Martinez</t>
  </si>
  <si>
    <t>TXN00002417</t>
  </si>
  <si>
    <t>Abbie Markley</t>
  </si>
  <si>
    <t>TXN00002418</t>
  </si>
  <si>
    <t>Amy Blakeman</t>
  </si>
  <si>
    <t>TXN00002419</t>
  </si>
  <si>
    <t>Rose Greer</t>
  </si>
  <si>
    <t>TXN00002420</t>
  </si>
  <si>
    <t>Daryl Micale</t>
  </si>
  <si>
    <t>TXN00002421</t>
  </si>
  <si>
    <t>Karen Mcclain</t>
  </si>
  <si>
    <t>TXN00002422</t>
  </si>
  <si>
    <t>Carlos Daley</t>
  </si>
  <si>
    <t>TXN00002423</t>
  </si>
  <si>
    <t>Martha Tuenge</t>
  </si>
  <si>
    <t>TXN00002424</t>
  </si>
  <si>
    <t>Harry Rodriguez</t>
  </si>
  <si>
    <t>AGENT00477</t>
  </si>
  <si>
    <t>TXN00002425</t>
  </si>
  <si>
    <t>Margaret Keith</t>
  </si>
  <si>
    <t>AGENT00245</t>
  </si>
  <si>
    <t>TXN00002426</t>
  </si>
  <si>
    <t>Steven Woods</t>
  </si>
  <si>
    <t>TXN00002427</t>
  </si>
  <si>
    <t>Mindy Krumwiede</t>
  </si>
  <si>
    <t>TXN00002428</t>
  </si>
  <si>
    <t>Kathy Keim</t>
  </si>
  <si>
    <t>TXN00002429</t>
  </si>
  <si>
    <t>Robert Ramirez</t>
  </si>
  <si>
    <t>AGENT00853</t>
  </si>
  <si>
    <t>TXN00002430</t>
  </si>
  <si>
    <t>John Singer</t>
  </si>
  <si>
    <t>TXN00002431</t>
  </si>
  <si>
    <t>Lauren Perine</t>
  </si>
  <si>
    <t>TXN00002432</t>
  </si>
  <si>
    <t>John Racine</t>
  </si>
  <si>
    <t>TXN00002433</t>
  </si>
  <si>
    <t>Adam Mauro</t>
  </si>
  <si>
    <t>TXN00002434</t>
  </si>
  <si>
    <t>Eugene Brown</t>
  </si>
  <si>
    <t>TXN00002435</t>
  </si>
  <si>
    <t>Harold Garwood</t>
  </si>
  <si>
    <t>TXN00002436</t>
  </si>
  <si>
    <t>Sheilah Hargrove</t>
  </si>
  <si>
    <t>TXN00002437</t>
  </si>
  <si>
    <t>Richard Sieracki</t>
  </si>
  <si>
    <t>TXN00002438</t>
  </si>
  <si>
    <t>Adam Swindle</t>
  </si>
  <si>
    <t>TXN00002439</t>
  </si>
  <si>
    <t>Bernadette Freeman</t>
  </si>
  <si>
    <t>TXN00002440</t>
  </si>
  <si>
    <t>Percy Sarkis</t>
  </si>
  <si>
    <t>TXN00002441</t>
  </si>
  <si>
    <t>Jose Ecklund</t>
  </si>
  <si>
    <t>Lyndon</t>
  </si>
  <si>
    <t>TXN00002442</t>
  </si>
  <si>
    <t>Wanda Byrd</t>
  </si>
  <si>
    <t>AGENT01053</t>
  </si>
  <si>
    <t>TXN00002443</t>
  </si>
  <si>
    <t>Amanda Gotch</t>
  </si>
  <si>
    <t>TXN00002444</t>
  </si>
  <si>
    <t>Kathy Miller</t>
  </si>
  <si>
    <t>TXN00002445</t>
  </si>
  <si>
    <t>John Gasiewski</t>
  </si>
  <si>
    <t>TXN00002446</t>
  </si>
  <si>
    <t>Joann Conn</t>
  </si>
  <si>
    <t>AGENT00405</t>
  </si>
  <si>
    <t>TXN00002447</t>
  </si>
  <si>
    <t>Carmen Grisham</t>
  </si>
  <si>
    <t>TXN00002448</t>
  </si>
  <si>
    <t>Sherry Goodson</t>
  </si>
  <si>
    <t>AGENT00065</t>
  </si>
  <si>
    <t>TXN00002449</t>
  </si>
  <si>
    <t>Erika Kimble</t>
  </si>
  <si>
    <t>TXN00002450</t>
  </si>
  <si>
    <t>John Martin</t>
  </si>
  <si>
    <t>TXN00002451</t>
  </si>
  <si>
    <t>Jason Brussel</t>
  </si>
  <si>
    <t>TXN00002452</t>
  </si>
  <si>
    <t>Edward Dees</t>
  </si>
  <si>
    <t>TXN00002453</t>
  </si>
  <si>
    <t>Patrick Smith</t>
  </si>
  <si>
    <t>TXN00002454</t>
  </si>
  <si>
    <t>Kimberly Krause</t>
  </si>
  <si>
    <t>TXN00002455</t>
  </si>
  <si>
    <t>Judy Adams</t>
  </si>
  <si>
    <t>AGENT00256</t>
  </si>
  <si>
    <t>TXN00002456</t>
  </si>
  <si>
    <t>Shirley White</t>
  </si>
  <si>
    <t>TXN00002457</t>
  </si>
  <si>
    <t>Deborah Foster</t>
  </si>
  <si>
    <t>TXN00002458</t>
  </si>
  <si>
    <t>Bryan Mcphearson</t>
  </si>
  <si>
    <t>TXN00002459</t>
  </si>
  <si>
    <t>Dennis Twyman</t>
  </si>
  <si>
    <t>TXN00002460</t>
  </si>
  <si>
    <t>Glen Douglas</t>
  </si>
  <si>
    <t>TXN00002461</t>
  </si>
  <si>
    <t>Jason Fishback</t>
  </si>
  <si>
    <t>TXN00002462</t>
  </si>
  <si>
    <t>Roland Gilmore</t>
  </si>
  <si>
    <t>TXN00002463</t>
  </si>
  <si>
    <t>Ramona Vacca</t>
  </si>
  <si>
    <t>TXN00002464</t>
  </si>
  <si>
    <t>Margaret Corley</t>
  </si>
  <si>
    <t>TXN00002465</t>
  </si>
  <si>
    <t>Art Eden</t>
  </si>
  <si>
    <t>TXN00002466</t>
  </si>
  <si>
    <t>Janice Hoelscher</t>
  </si>
  <si>
    <t>Pismo Beach</t>
  </si>
  <si>
    <t>TXN00002467</t>
  </si>
  <si>
    <t>Florence Fowler</t>
  </si>
  <si>
    <t>TXN00002468</t>
  </si>
  <si>
    <t>Joseph Meadows</t>
  </si>
  <si>
    <t>AGENT00275</t>
  </si>
  <si>
    <t>TXN00002469</t>
  </si>
  <si>
    <t>Nancy Edwards</t>
  </si>
  <si>
    <t>TXN00002470</t>
  </si>
  <si>
    <t>Katherine Hall</t>
  </si>
  <si>
    <t>TXN00002471</t>
  </si>
  <si>
    <t>Shawnna Cortez</t>
  </si>
  <si>
    <t>TXN00002472</t>
  </si>
  <si>
    <t>Eileen Keys</t>
  </si>
  <si>
    <t>TXN00002473</t>
  </si>
  <si>
    <t>Charlotte Riggleman</t>
  </si>
  <si>
    <t>TXN00002474</t>
  </si>
  <si>
    <t>Renee Cunningham</t>
  </si>
  <si>
    <t>TXN00002475</t>
  </si>
  <si>
    <t>Burton Hoyle</t>
  </si>
  <si>
    <t>AGENT00770</t>
  </si>
  <si>
    <t>TXN00002476</t>
  </si>
  <si>
    <t>Jamie Blair</t>
  </si>
  <si>
    <t>TXN00002477</t>
  </si>
  <si>
    <t>Mary Staley</t>
  </si>
  <si>
    <t>Barnstable</t>
  </si>
  <si>
    <t>TXN00002478</t>
  </si>
  <si>
    <t>Jose Hatfield</t>
  </si>
  <si>
    <t>TXN00002479</t>
  </si>
  <si>
    <t>Bonnie Mangina</t>
  </si>
  <si>
    <t>TXN00002480</t>
  </si>
  <si>
    <t>Susan Shell</t>
  </si>
  <si>
    <t>Sutter Creek</t>
  </si>
  <si>
    <t>AGENT00195</t>
  </si>
  <si>
    <t>TXN00002481</t>
  </si>
  <si>
    <t>Matilda Mcbryde</t>
  </si>
  <si>
    <t>TXN00002482</t>
  </si>
  <si>
    <t>Lacey Barton</t>
  </si>
  <si>
    <t>TXN00002483</t>
  </si>
  <si>
    <t>Nancy Peterson</t>
  </si>
  <si>
    <t>AGENT00255</t>
  </si>
  <si>
    <t>TXN00002484</t>
  </si>
  <si>
    <t>Richard Paredes</t>
  </si>
  <si>
    <t>TXN00002485</t>
  </si>
  <si>
    <t>Carleen Eller</t>
  </si>
  <si>
    <t>TXN00002486</t>
  </si>
  <si>
    <t>Ernesto Weaver</t>
  </si>
  <si>
    <t>TXN00002487</t>
  </si>
  <si>
    <t>David Stubblefield</t>
  </si>
  <si>
    <t>TXN00002488</t>
  </si>
  <si>
    <t>Erin Smith</t>
  </si>
  <si>
    <t>TXN00002489</t>
  </si>
  <si>
    <t>Maria Burney</t>
  </si>
  <si>
    <t>TXN00002490</t>
  </si>
  <si>
    <t>Charles Kingery</t>
  </si>
  <si>
    <t>TXN00002491</t>
  </si>
  <si>
    <t>William Lamontagne</t>
  </si>
  <si>
    <t>AGENT00498</t>
  </si>
  <si>
    <t>TXN00002492</t>
  </si>
  <si>
    <t>Edward Rogers</t>
  </si>
  <si>
    <t>TXN00002493</t>
  </si>
  <si>
    <t>Jessica Fusco</t>
  </si>
  <si>
    <t>TXN00002494</t>
  </si>
  <si>
    <t>Joseph Mesta</t>
  </si>
  <si>
    <t>TXN00002495</t>
  </si>
  <si>
    <t>Sherry Nunez</t>
  </si>
  <si>
    <t>TXN00002496</t>
  </si>
  <si>
    <t>Thomas Hall</t>
  </si>
  <si>
    <t>TXN00002497</t>
  </si>
  <si>
    <t>Richard Stewart</t>
  </si>
  <si>
    <t>TXN00002498</t>
  </si>
  <si>
    <t>Lakisha Reis</t>
  </si>
  <si>
    <t>TXN00002499</t>
  </si>
  <si>
    <t>Lisa Johnson</t>
  </si>
  <si>
    <t>Oroville</t>
  </si>
  <si>
    <t>TXN00002500</t>
  </si>
  <si>
    <t>Robert Acosta</t>
  </si>
  <si>
    <t>TXN00002501</t>
  </si>
  <si>
    <t>Hortencia Bench</t>
  </si>
  <si>
    <t>TXN00002502</t>
  </si>
  <si>
    <t>Samuel Jolley</t>
  </si>
  <si>
    <t>TXN00002503</t>
  </si>
  <si>
    <t>Ralph Oakden</t>
  </si>
  <si>
    <t>TXN00002504</t>
  </si>
  <si>
    <t>Mark Hernandez</t>
  </si>
  <si>
    <t>TXN00002505</t>
  </si>
  <si>
    <t>Henry Maize</t>
  </si>
  <si>
    <t>TXN00002506</t>
  </si>
  <si>
    <t>Wiley Thomas</t>
  </si>
  <si>
    <t>TXN00002507</t>
  </si>
  <si>
    <t>Anthony Quick</t>
  </si>
  <si>
    <t>TXN00002508</t>
  </si>
  <si>
    <t>John Chamblee</t>
  </si>
  <si>
    <t>TXN00002509</t>
  </si>
  <si>
    <t>Evelyn Mattera</t>
  </si>
  <si>
    <t>TXN00002510</t>
  </si>
  <si>
    <t>Cecilia Newberry</t>
  </si>
  <si>
    <t>TXN00002511</t>
  </si>
  <si>
    <t>Patricia Banks</t>
  </si>
  <si>
    <t>AGENT00957</t>
  </si>
  <si>
    <t>TXN00002512</t>
  </si>
  <si>
    <t>Geneva Ferraro</t>
  </si>
  <si>
    <t>TXN00002513</t>
  </si>
  <si>
    <t>Annette Mccaslin</t>
  </si>
  <si>
    <t>TXN00002514</t>
  </si>
  <si>
    <t>Charles Rose</t>
  </si>
  <si>
    <t>VNDR00578</t>
  </si>
  <si>
    <t>TXN00002515</t>
  </si>
  <si>
    <t>Jessie Beal</t>
  </si>
  <si>
    <t>TXN00002516</t>
  </si>
  <si>
    <t>Mary Osuna</t>
  </si>
  <si>
    <t>TXN00002517</t>
  </si>
  <si>
    <t>Tanika Yeiser</t>
  </si>
  <si>
    <t>TXN00002518</t>
  </si>
  <si>
    <t>Jerry Thomas</t>
  </si>
  <si>
    <t>TXN00002519</t>
  </si>
  <si>
    <t>Timothy Cage</t>
  </si>
  <si>
    <t>AGENT00850</t>
  </si>
  <si>
    <t>TXN00002520</t>
  </si>
  <si>
    <t>Linda Ament</t>
  </si>
  <si>
    <t>TXN00002521</t>
  </si>
  <si>
    <t>Debra Jacob</t>
  </si>
  <si>
    <t>TXN00002522</t>
  </si>
  <si>
    <t>Tracey Sloan</t>
  </si>
  <si>
    <t>TXN00002523</t>
  </si>
  <si>
    <t>Lula Brooks</t>
  </si>
  <si>
    <t>Indian Springs Village</t>
  </si>
  <si>
    <t>TXN00002524</t>
  </si>
  <si>
    <t>Jesus Burton</t>
  </si>
  <si>
    <t>TXN00002525</t>
  </si>
  <si>
    <t>Vincent Santos</t>
  </si>
  <si>
    <t>TXN00002526</t>
  </si>
  <si>
    <t>John Elliott</t>
  </si>
  <si>
    <t>TXN00002527</t>
  </si>
  <si>
    <t>Danny Murphy</t>
  </si>
  <si>
    <t>TXN00002528</t>
  </si>
  <si>
    <t>Cynthia Backes</t>
  </si>
  <si>
    <t>TXN00002529</t>
  </si>
  <si>
    <t>Rose Anspach</t>
  </si>
  <si>
    <t>TXN00002530</t>
  </si>
  <si>
    <t>Bronwyn Wilbur</t>
  </si>
  <si>
    <t>AGENT00120</t>
  </si>
  <si>
    <t>TXN00002531</t>
  </si>
  <si>
    <t>Timothy Rizzo</t>
  </si>
  <si>
    <t>TXN00002532</t>
  </si>
  <si>
    <t>Julie Replogle</t>
  </si>
  <si>
    <t>TXN00002533</t>
  </si>
  <si>
    <t>Mickey Myers</t>
  </si>
  <si>
    <t>TXN00002534</t>
  </si>
  <si>
    <t>Shelley Adams</t>
  </si>
  <si>
    <t>TXN00002535</t>
  </si>
  <si>
    <t>Joyce Maloney</t>
  </si>
  <si>
    <t>TXN00002536</t>
  </si>
  <si>
    <t>Warren Sawyer</t>
  </si>
  <si>
    <t>VNDR00428</t>
  </si>
  <si>
    <t>TXN00002537</t>
  </si>
  <si>
    <t>Elizabeth Trombly</t>
  </si>
  <si>
    <t>TXN00002538</t>
  </si>
  <si>
    <t>Marlene Simmons</t>
  </si>
  <si>
    <t>AGENT01073</t>
  </si>
  <si>
    <t>TXN00002539</t>
  </si>
  <si>
    <t>Nancy Luckett</t>
  </si>
  <si>
    <t>TXN00002540</t>
  </si>
  <si>
    <t>Elaine Madigan</t>
  </si>
  <si>
    <t>TXN00002541</t>
  </si>
  <si>
    <t>Sarah Meagher</t>
  </si>
  <si>
    <t>TXN00002542</t>
  </si>
  <si>
    <t>Marie Curtis</t>
  </si>
  <si>
    <t>TXN00002543</t>
  </si>
  <si>
    <t>TXN00002544</t>
  </si>
  <si>
    <t>Herbert Hannah</t>
  </si>
  <si>
    <t>AGENT00783</t>
  </si>
  <si>
    <t>TXN00002545</t>
  </si>
  <si>
    <t>Odell Hall</t>
  </si>
  <si>
    <t>TXN00002546</t>
  </si>
  <si>
    <t>Bradley Peterson</t>
  </si>
  <si>
    <t>TXN00002547</t>
  </si>
  <si>
    <t>Pearlie Betts</t>
  </si>
  <si>
    <t>TXN00002548</t>
  </si>
  <si>
    <t>Dolly Rutledge</t>
  </si>
  <si>
    <t>TXN00002549</t>
  </si>
  <si>
    <t>Jason Clanton</t>
  </si>
  <si>
    <t>TXN00002550</t>
  </si>
  <si>
    <t>Melanie Eastman</t>
  </si>
  <si>
    <t>TXN00002551</t>
  </si>
  <si>
    <t>Benjamin Wagner</t>
  </si>
  <si>
    <t>AGENT00105</t>
  </si>
  <si>
    <t>TXN00002552</t>
  </si>
  <si>
    <t>Brooks Coughlin</t>
  </si>
  <si>
    <t>AGENT00512</t>
  </si>
  <si>
    <t>TXN00002553</t>
  </si>
  <si>
    <t>Timothy Pratt</t>
  </si>
  <si>
    <t>TXN00002554</t>
  </si>
  <si>
    <t>Susannah Blaine</t>
  </si>
  <si>
    <t>TXN00002555</t>
  </si>
  <si>
    <t>Evelyn Lummus</t>
  </si>
  <si>
    <t>TXN00002556</t>
  </si>
  <si>
    <t>John Coleman</t>
  </si>
  <si>
    <t>TXN00002557</t>
  </si>
  <si>
    <t>Doris Morales</t>
  </si>
  <si>
    <t>TXN00002558</t>
  </si>
  <si>
    <t>Gloria Perkins</t>
  </si>
  <si>
    <t>TXN00002559</t>
  </si>
  <si>
    <t>Russel Gonzales</t>
  </si>
  <si>
    <t>TXN00002560</t>
  </si>
  <si>
    <t>Gordon Casale</t>
  </si>
  <si>
    <t>TXN00002561</t>
  </si>
  <si>
    <t>Joan Malm</t>
  </si>
  <si>
    <t>AGENT00337</t>
  </si>
  <si>
    <t>TXN00002562</t>
  </si>
  <si>
    <t>Margaret Sargent</t>
  </si>
  <si>
    <t>VNDR00522</t>
  </si>
  <si>
    <t>TXN00002563</t>
  </si>
  <si>
    <t>Louis Scheer</t>
  </si>
  <si>
    <t>TXN00002564</t>
  </si>
  <si>
    <t>Joan Dorsey</t>
  </si>
  <si>
    <t>TXN00002565</t>
  </si>
  <si>
    <t>Ellen Buck</t>
  </si>
  <si>
    <t>AGENT00127</t>
  </si>
  <si>
    <t>TXN00002566</t>
  </si>
  <si>
    <t>Alex Johnson</t>
  </si>
  <si>
    <t>TXN00002567</t>
  </si>
  <si>
    <t>Patricia Thomas</t>
  </si>
  <si>
    <t>Lexington</t>
  </si>
  <si>
    <t>TXN00002568</t>
  </si>
  <si>
    <t>Kevin Milton</t>
  </si>
  <si>
    <t>TXN00002569</t>
  </si>
  <si>
    <t>John Darden</t>
  </si>
  <si>
    <t>TXN00002570</t>
  </si>
  <si>
    <t>Margaret Bly</t>
  </si>
  <si>
    <t>TXN00002571</t>
  </si>
  <si>
    <t>Thomas Olvera</t>
  </si>
  <si>
    <t>TXN00002572</t>
  </si>
  <si>
    <t>Andrew Stewart</t>
  </si>
  <si>
    <t>TXN00002573</t>
  </si>
  <si>
    <t>Manuel Stewart</t>
  </si>
  <si>
    <t>TXN00002574</t>
  </si>
  <si>
    <t>Matthew Anderson</t>
  </si>
  <si>
    <t>TXN00002575</t>
  </si>
  <si>
    <t>Jarrod Wells</t>
  </si>
  <si>
    <t>TXN00002576</t>
  </si>
  <si>
    <t>Robert Gochenour</t>
  </si>
  <si>
    <t>TXN00002577</t>
  </si>
  <si>
    <t>Leslie Allen</t>
  </si>
  <si>
    <t>TXN00002578</t>
  </si>
  <si>
    <t>Issac Bonn</t>
  </si>
  <si>
    <t>TXN00002579</t>
  </si>
  <si>
    <t>Yolanda Beek</t>
  </si>
  <si>
    <t>TXN00002580</t>
  </si>
  <si>
    <t>Ryan Creason</t>
  </si>
  <si>
    <t>TXN00002581</t>
  </si>
  <si>
    <t>Charles Roberts</t>
  </si>
  <si>
    <t>TXN00002582</t>
  </si>
  <si>
    <t>Diane Durkin</t>
  </si>
  <si>
    <t>TXN00002583</t>
  </si>
  <si>
    <t>Judith Frazier</t>
  </si>
  <si>
    <t>TXN00002584</t>
  </si>
  <si>
    <t>Paulette Mcvay</t>
  </si>
  <si>
    <t>TXN00002585</t>
  </si>
  <si>
    <t>Christopher Emery</t>
  </si>
  <si>
    <t>TXN00002586</t>
  </si>
  <si>
    <t>Denise Shallenberger</t>
  </si>
  <si>
    <t>TXN00002587</t>
  </si>
  <si>
    <t>George Haines</t>
  </si>
  <si>
    <t>TXN00002588</t>
  </si>
  <si>
    <t>Willie Laster</t>
  </si>
  <si>
    <t>TXN00002589</t>
  </si>
  <si>
    <t>Ethel Chirino</t>
  </si>
  <si>
    <t>TXN00002590</t>
  </si>
  <si>
    <t>Mary Jenkins</t>
  </si>
  <si>
    <t>TXN00002591</t>
  </si>
  <si>
    <t>Mark Champlin</t>
  </si>
  <si>
    <t>TXN00002592</t>
  </si>
  <si>
    <t>Rose Hane</t>
  </si>
  <si>
    <t>TXN00002593</t>
  </si>
  <si>
    <t>Kimberly Lewis</t>
  </si>
  <si>
    <t>TXN00002594</t>
  </si>
  <si>
    <t>Sharon Jackson</t>
  </si>
  <si>
    <t>TXN00002595</t>
  </si>
  <si>
    <t>Ezra Crews</t>
  </si>
  <si>
    <t>AGENT00056</t>
  </si>
  <si>
    <t>TXN00002596</t>
  </si>
  <si>
    <t>Earl Rodriguez</t>
  </si>
  <si>
    <t>TXN00002597</t>
  </si>
  <si>
    <t>Paul Treadwell</t>
  </si>
  <si>
    <t>Lincoln</t>
  </si>
  <si>
    <t>TXN00002598</t>
  </si>
  <si>
    <t>Claire Walker</t>
  </si>
  <si>
    <t>TXN00002599</t>
  </si>
  <si>
    <t>Sandra Waage</t>
  </si>
  <si>
    <t>TXN00002600</t>
  </si>
  <si>
    <t>Sherry Schaller</t>
  </si>
  <si>
    <t>TXN00002601</t>
  </si>
  <si>
    <t>Cathy Dozier</t>
  </si>
  <si>
    <t>TXN00002602</t>
  </si>
  <si>
    <t>James Stover</t>
  </si>
  <si>
    <t>TXN00002603</t>
  </si>
  <si>
    <t>Maribel Pratt</t>
  </si>
  <si>
    <t>TXN00002604</t>
  </si>
  <si>
    <t>William Justiss</t>
  </si>
  <si>
    <t>AGENT00791</t>
  </si>
  <si>
    <t>TXN00002605</t>
  </si>
  <si>
    <t>Michael Ashpole</t>
  </si>
  <si>
    <t>TXN00002606</t>
  </si>
  <si>
    <t>Charles Ayala</t>
  </si>
  <si>
    <t>TXN00002607</t>
  </si>
  <si>
    <t>Irene Bone</t>
  </si>
  <si>
    <t>TXN00002608</t>
  </si>
  <si>
    <t>Debbra Gates</t>
  </si>
  <si>
    <t>AGENT01079</t>
  </si>
  <si>
    <t>TXN00002609</t>
  </si>
  <si>
    <t>Matthew Castellucci</t>
  </si>
  <si>
    <t>TXN00002610</t>
  </si>
  <si>
    <t>Melanie Laxen</t>
  </si>
  <si>
    <t>TXN00002611</t>
  </si>
  <si>
    <t>Carmen Brown</t>
  </si>
  <si>
    <t>AGENT00701</t>
  </si>
  <si>
    <t>TXN00002612</t>
  </si>
  <si>
    <t>Joshua Mccann</t>
  </si>
  <si>
    <t>TXN00002613</t>
  </si>
  <si>
    <t>Eric Hearn</t>
  </si>
  <si>
    <t>Redlands</t>
  </si>
  <si>
    <t>AGENT01153</t>
  </si>
  <si>
    <t>TXN00002614</t>
  </si>
  <si>
    <t>Brenda Carranza</t>
  </si>
  <si>
    <t>TXN00002615</t>
  </si>
  <si>
    <t>Randy Hoke</t>
  </si>
  <si>
    <t>TXN00002616</t>
  </si>
  <si>
    <t>Margaret Scholler</t>
  </si>
  <si>
    <t>TXN00002617</t>
  </si>
  <si>
    <t>Rick Hicks</t>
  </si>
  <si>
    <t>TXN00002618</t>
  </si>
  <si>
    <t>Sylvia Fair</t>
  </si>
  <si>
    <t>TXN00002619</t>
  </si>
  <si>
    <t>William Garcia</t>
  </si>
  <si>
    <t>Stowe</t>
  </si>
  <si>
    <t>TXN00002620</t>
  </si>
  <si>
    <t>Brandon Thomas</t>
  </si>
  <si>
    <t>TXN00002621</t>
  </si>
  <si>
    <t>Lewis Smith</t>
  </si>
  <si>
    <t>TXN00002622</t>
  </si>
  <si>
    <t>Richard Guiterrez</t>
  </si>
  <si>
    <t>AGENT00144</t>
  </si>
  <si>
    <t>TXN00002623</t>
  </si>
  <si>
    <t>Tina Marks</t>
  </si>
  <si>
    <t>TXN00002624</t>
  </si>
  <si>
    <t>Wayne Burback</t>
  </si>
  <si>
    <t>TXN00002625</t>
  </si>
  <si>
    <t>Charles Crasco</t>
  </si>
  <si>
    <t>TXN00002626</t>
  </si>
  <si>
    <t>Sarah Chadwick</t>
  </si>
  <si>
    <t>TXN00002627</t>
  </si>
  <si>
    <t>Edward Eastman</t>
  </si>
  <si>
    <t>TXN00002628</t>
  </si>
  <si>
    <t>Cynthia Osborn</t>
  </si>
  <si>
    <t>TXN00002629</t>
  </si>
  <si>
    <t>Bruce Scott</t>
  </si>
  <si>
    <t>TXN00002630</t>
  </si>
  <si>
    <t>Catherine Stadler</t>
  </si>
  <si>
    <t>TXN00002631</t>
  </si>
  <si>
    <t>Martha Morris</t>
  </si>
  <si>
    <t>TXN00002632</t>
  </si>
  <si>
    <t>Benjamin Brocklehurst</t>
  </si>
  <si>
    <t>TXN00002633</t>
  </si>
  <si>
    <t>Robert Mensalvas</t>
  </si>
  <si>
    <t>TXN00002634</t>
  </si>
  <si>
    <t>Curtis Madina</t>
  </si>
  <si>
    <t>TXN00002635</t>
  </si>
  <si>
    <t>Joseph Castro</t>
  </si>
  <si>
    <t>TXN00002636</t>
  </si>
  <si>
    <t>Sammy Curran</t>
  </si>
  <si>
    <t>TXN00002637</t>
  </si>
  <si>
    <t>Matthew Contreras</t>
  </si>
  <si>
    <t>TXN00002638</t>
  </si>
  <si>
    <t>Monica Nimmons</t>
  </si>
  <si>
    <t>TXN00002639</t>
  </si>
  <si>
    <t>Troy Horne</t>
  </si>
  <si>
    <t>TXN00002640</t>
  </si>
  <si>
    <t>Jeremiah Thorpe</t>
  </si>
  <si>
    <t>TXN00002641</t>
  </si>
  <si>
    <t>Stacy Dellosso</t>
  </si>
  <si>
    <t>TXN00002642</t>
  </si>
  <si>
    <t>David Calnick</t>
  </si>
  <si>
    <t>TXN00002643</t>
  </si>
  <si>
    <t>Joshua Schroeder</t>
  </si>
  <si>
    <t>Rohnert Park</t>
  </si>
  <si>
    <t>TXN00002644</t>
  </si>
  <si>
    <t>Rachel Mccoy</t>
  </si>
  <si>
    <t>AGENT00959</t>
  </si>
  <si>
    <t>TXN00002645</t>
  </si>
  <si>
    <t>Georgia Bates</t>
  </si>
  <si>
    <t>AGENT00651</t>
  </si>
  <si>
    <t>TXN00002646</t>
  </si>
  <si>
    <t>Tara Sargent</t>
  </si>
  <si>
    <t>TXN00002647</t>
  </si>
  <si>
    <t>Ralph Friedman</t>
  </si>
  <si>
    <t>AGENT00246</t>
  </si>
  <si>
    <t>TXN00002648</t>
  </si>
  <si>
    <t>Laurie Murphy</t>
  </si>
  <si>
    <t>TXN00002649</t>
  </si>
  <si>
    <t>Karen Price</t>
  </si>
  <si>
    <t>TXN00002650</t>
  </si>
  <si>
    <t>Anthony Lindblad</t>
  </si>
  <si>
    <t>TXN00002651</t>
  </si>
  <si>
    <t>Nick Kehoe</t>
  </si>
  <si>
    <t>AGENT00582</t>
  </si>
  <si>
    <t>TXN00002652</t>
  </si>
  <si>
    <t>Christian Daniels</t>
  </si>
  <si>
    <t>AGENT00145</t>
  </si>
  <si>
    <t>TXN00002653</t>
  </si>
  <si>
    <t>Brooke Lawrence</t>
  </si>
  <si>
    <t>TXN00002654</t>
  </si>
  <si>
    <t>David Garcia</t>
  </si>
  <si>
    <t>TXN00002655</t>
  </si>
  <si>
    <t>Roy Taylor</t>
  </si>
  <si>
    <t>TXN00002656</t>
  </si>
  <si>
    <t>William Tollison</t>
  </si>
  <si>
    <t>TXN00002657</t>
  </si>
  <si>
    <t>George Denney</t>
  </si>
  <si>
    <t>TXN00002658</t>
  </si>
  <si>
    <t>Helena Newby</t>
  </si>
  <si>
    <t>TXN00002659</t>
  </si>
  <si>
    <t>Kevin Mann</t>
  </si>
  <si>
    <t>AGENT00035</t>
  </si>
  <si>
    <t>TXN00002660</t>
  </si>
  <si>
    <t>Darlene Griffin</t>
  </si>
  <si>
    <t>TXN00002661</t>
  </si>
  <si>
    <t>Travis Porter</t>
  </si>
  <si>
    <t>TXN00002662</t>
  </si>
  <si>
    <t>Brad Bissonnette</t>
  </si>
  <si>
    <t>TXN00002663</t>
  </si>
  <si>
    <t>Richard Kurth</t>
  </si>
  <si>
    <t>TXN00002664</t>
  </si>
  <si>
    <t>Anthony Webster</t>
  </si>
  <si>
    <t>AGENT00493</t>
  </si>
  <si>
    <t>TXN00002665</t>
  </si>
  <si>
    <t>TXN00002666</t>
  </si>
  <si>
    <t>Linda Moore</t>
  </si>
  <si>
    <t>TXN00002667</t>
  </si>
  <si>
    <t>David Patterson</t>
  </si>
  <si>
    <t>TXN00002668</t>
  </si>
  <si>
    <t>Charles Jordan</t>
  </si>
  <si>
    <t>TXN00002669</t>
  </si>
  <si>
    <t>Lela Clark</t>
  </si>
  <si>
    <t>TXN00002670</t>
  </si>
  <si>
    <t>Mary Geller</t>
  </si>
  <si>
    <t>TXN00002671</t>
  </si>
  <si>
    <t>Betty Mendelson</t>
  </si>
  <si>
    <t>AGENT00997</t>
  </si>
  <si>
    <t>TXN00002672</t>
  </si>
  <si>
    <t>Genevieve White</t>
  </si>
  <si>
    <t>AGENT00328</t>
  </si>
  <si>
    <t>TXN00002673</t>
  </si>
  <si>
    <t>Kenneth Cobb</t>
  </si>
  <si>
    <t>TXN00002674</t>
  </si>
  <si>
    <t>Dawn Fulk</t>
  </si>
  <si>
    <t>TXN00002675</t>
  </si>
  <si>
    <t>Barry Bell</t>
  </si>
  <si>
    <t>TXN00002676</t>
  </si>
  <si>
    <t>Meghan Myers</t>
  </si>
  <si>
    <t>TXN00002677</t>
  </si>
  <si>
    <t>Ruth Blamer</t>
  </si>
  <si>
    <t>TXN00002678</t>
  </si>
  <si>
    <t>Daniel Keath</t>
  </si>
  <si>
    <t>TXN00002679</t>
  </si>
  <si>
    <t>Melissa Langston</t>
  </si>
  <si>
    <t>TXN00002680</t>
  </si>
  <si>
    <t>Doris Tongue</t>
  </si>
  <si>
    <t>TXN00002681</t>
  </si>
  <si>
    <t>Edna Mendoza</t>
  </si>
  <si>
    <t>TXN00002682</t>
  </si>
  <si>
    <t>Florence Cooper</t>
  </si>
  <si>
    <t>TXN00002683</t>
  </si>
  <si>
    <t>Susan Odonnell</t>
  </si>
  <si>
    <t>TXN00002684</t>
  </si>
  <si>
    <t>Anthony Miller</t>
  </si>
  <si>
    <t>TXN00002685</t>
  </si>
  <si>
    <t>Brenda Mccarter</t>
  </si>
  <si>
    <t>TXN00002686</t>
  </si>
  <si>
    <t>Andy Williams</t>
  </si>
  <si>
    <t>TXN00002687</t>
  </si>
  <si>
    <t>Verna Leclaire</t>
  </si>
  <si>
    <t>TXN00002688</t>
  </si>
  <si>
    <t>Shirly Craine</t>
  </si>
  <si>
    <t>TXN00002689</t>
  </si>
  <si>
    <t>William Rivas</t>
  </si>
  <si>
    <t>TXN00002690</t>
  </si>
  <si>
    <t>Marjorie Alston</t>
  </si>
  <si>
    <t>TXN00002691</t>
  </si>
  <si>
    <t>Teri Enge</t>
  </si>
  <si>
    <t>TXN00002692</t>
  </si>
  <si>
    <t>William Evans</t>
  </si>
  <si>
    <t>AGENT00119</t>
  </si>
  <si>
    <t>TXN00002693</t>
  </si>
  <si>
    <t>Destiny Campbell</t>
  </si>
  <si>
    <t>TXN00002694</t>
  </si>
  <si>
    <t>Carrie Brooks</t>
  </si>
  <si>
    <t>TXN00002695</t>
  </si>
  <si>
    <t>Susan Sterner</t>
  </si>
  <si>
    <t>TXN00002696</t>
  </si>
  <si>
    <t>Manuel Tester</t>
  </si>
  <si>
    <t>TXN00002697</t>
  </si>
  <si>
    <t>William Schaeffer</t>
  </si>
  <si>
    <t>TXN00002698</t>
  </si>
  <si>
    <t>Mary Kimes</t>
  </si>
  <si>
    <t>TXN00002699</t>
  </si>
  <si>
    <t>Rebecca Washburn</t>
  </si>
  <si>
    <t>TXN00002700</t>
  </si>
  <si>
    <t>Brian Maas</t>
  </si>
  <si>
    <t>TXN00002701</t>
  </si>
  <si>
    <t>Cordia Bahl</t>
  </si>
  <si>
    <t>TXN00002702</t>
  </si>
  <si>
    <t>Terry Boston</t>
  </si>
  <si>
    <t>TXN00002703</t>
  </si>
  <si>
    <t>Phillip Alarcon</t>
  </si>
  <si>
    <t>AGENT00325</t>
  </si>
  <si>
    <t>TXN00002704</t>
  </si>
  <si>
    <t>Georgia Seel</t>
  </si>
  <si>
    <t>TXN00002705</t>
  </si>
  <si>
    <t>George Halstead</t>
  </si>
  <si>
    <t>TXN00002706</t>
  </si>
  <si>
    <t>Heide Page</t>
  </si>
  <si>
    <t>TXN00002707</t>
  </si>
  <si>
    <t>Mark Casale</t>
  </si>
  <si>
    <t>AGENT00203</t>
  </si>
  <si>
    <t>TXN00002708</t>
  </si>
  <si>
    <t>John Taylor</t>
  </si>
  <si>
    <t>TXN00002709</t>
  </si>
  <si>
    <t>Dale Sweeney</t>
  </si>
  <si>
    <t>TXN00002710</t>
  </si>
  <si>
    <t>Barbara Arnold</t>
  </si>
  <si>
    <t>TXN00002711</t>
  </si>
  <si>
    <t>Bertha Chen</t>
  </si>
  <si>
    <t>TXN00002712</t>
  </si>
  <si>
    <t>Ryan Duffy</t>
  </si>
  <si>
    <t>TXN00002713</t>
  </si>
  <si>
    <t>Patricia Clark</t>
  </si>
  <si>
    <t>TXN00002714</t>
  </si>
  <si>
    <t>Phil Curtis</t>
  </si>
  <si>
    <t>TXN00002715</t>
  </si>
  <si>
    <t>Tommy Mccollom</t>
  </si>
  <si>
    <t>TXN00002716</t>
  </si>
  <si>
    <t>Francisca Baer</t>
  </si>
  <si>
    <t>TXN00002717</t>
  </si>
  <si>
    <t>Thomas Fisher</t>
  </si>
  <si>
    <t>TXN00002718</t>
  </si>
  <si>
    <t>Misty Bowman</t>
  </si>
  <si>
    <t>TXN00002719</t>
  </si>
  <si>
    <t>Maria Couture</t>
  </si>
  <si>
    <t>TXN00002720</t>
  </si>
  <si>
    <t>Kathryn Smith</t>
  </si>
  <si>
    <t>TXN00002721</t>
  </si>
  <si>
    <t>Richard Cottingham</t>
  </si>
  <si>
    <t>TXN00002722</t>
  </si>
  <si>
    <t>Timothy Sills</t>
  </si>
  <si>
    <t>TXN00002723</t>
  </si>
  <si>
    <t>Bill Meyer</t>
  </si>
  <si>
    <t>TXN00002724</t>
  </si>
  <si>
    <t>Luis Garcia</t>
  </si>
  <si>
    <t>TXN00002725</t>
  </si>
  <si>
    <t>Nicole Barnes</t>
  </si>
  <si>
    <t>TXN00002726</t>
  </si>
  <si>
    <t>Rose Nolte</t>
  </si>
  <si>
    <t>TXN00002727</t>
  </si>
  <si>
    <t>Maurita Thomas</t>
  </si>
  <si>
    <t>AGENT01115</t>
  </si>
  <si>
    <t>TXN00002728</t>
  </si>
  <si>
    <t>Stephanie Honeycutt</t>
  </si>
  <si>
    <t>TXN00002729</t>
  </si>
  <si>
    <t>Connie Sequeira</t>
  </si>
  <si>
    <t>TXN00002730</t>
  </si>
  <si>
    <t>Thomas Fuhrman</t>
  </si>
  <si>
    <t>TXN00002731</t>
  </si>
  <si>
    <t>Chris Williams</t>
  </si>
  <si>
    <t>AGENT00368</t>
  </si>
  <si>
    <t>TXN00002732</t>
  </si>
  <si>
    <t>Karen Roberts</t>
  </si>
  <si>
    <t>TXN00002733</t>
  </si>
  <si>
    <t>Miguel Luttrell</t>
  </si>
  <si>
    <t>TXN00002734</t>
  </si>
  <si>
    <t>Donald Rush</t>
  </si>
  <si>
    <t>TXN00002735</t>
  </si>
  <si>
    <t>Lisa Mcmurray</t>
  </si>
  <si>
    <t>TXN00002736</t>
  </si>
  <si>
    <t>Mary Whitmore</t>
  </si>
  <si>
    <t>AGENT00901</t>
  </si>
  <si>
    <t>TXN00002737</t>
  </si>
  <si>
    <t>Debra Heyne</t>
  </si>
  <si>
    <t>TXN00002738</t>
  </si>
  <si>
    <t>David Gambrel</t>
  </si>
  <si>
    <t>TXN00002739</t>
  </si>
  <si>
    <t>Johnson Bradway</t>
  </si>
  <si>
    <t>TXN00002740</t>
  </si>
  <si>
    <t>James Peters</t>
  </si>
  <si>
    <t>TXN00002741</t>
  </si>
  <si>
    <t>Rafael Nance</t>
  </si>
  <si>
    <t>TXN00002742</t>
  </si>
  <si>
    <t>Ora Boyer</t>
  </si>
  <si>
    <t>TXN00002743</t>
  </si>
  <si>
    <t>Matthew Covey</t>
  </si>
  <si>
    <t>TXN00002744</t>
  </si>
  <si>
    <t>David Sommer</t>
  </si>
  <si>
    <t>TXN00002745</t>
  </si>
  <si>
    <t>Diana Earl</t>
  </si>
  <si>
    <t>TXN00002746</t>
  </si>
  <si>
    <t>Jennifer Snelgrove</t>
  </si>
  <si>
    <t>TXN00002747</t>
  </si>
  <si>
    <t>Jeannette Harris</t>
  </si>
  <si>
    <t>TXN00002748</t>
  </si>
  <si>
    <t>Archie Semaan</t>
  </si>
  <si>
    <t>TXN00002749</t>
  </si>
  <si>
    <t>Gerald Davila</t>
  </si>
  <si>
    <t>TXN00002750</t>
  </si>
  <si>
    <t>Dianna Nieland</t>
  </si>
  <si>
    <t>TXN00002751</t>
  </si>
  <si>
    <t>Miranda Masella</t>
  </si>
  <si>
    <t>TXN00002752</t>
  </si>
  <si>
    <t>Michael Otoole</t>
  </si>
  <si>
    <t>AGENT01014</t>
  </si>
  <si>
    <t>TXN00002753</t>
  </si>
  <si>
    <t>Delores Spengler</t>
  </si>
  <si>
    <t>TXN00002754</t>
  </si>
  <si>
    <t>Christine Washington</t>
  </si>
  <si>
    <t>AGENT00359</t>
  </si>
  <si>
    <t>TXN00002755</t>
  </si>
  <si>
    <t>Alvaro Mcglade</t>
  </si>
  <si>
    <t>AGENT00662</t>
  </si>
  <si>
    <t>TXN00002756</t>
  </si>
  <si>
    <t>Ellen Bond</t>
  </si>
  <si>
    <t>TXN00002757</t>
  </si>
  <si>
    <t>Earl Barnett</t>
  </si>
  <si>
    <t>TXN00002758</t>
  </si>
  <si>
    <t>Adelle Lizarraga</t>
  </si>
  <si>
    <t>TXN00002759</t>
  </si>
  <si>
    <t>Dominick Croom</t>
  </si>
  <si>
    <t>TXN00002760</t>
  </si>
  <si>
    <t>Virginia Bennett</t>
  </si>
  <si>
    <t>TXN00002761</t>
  </si>
  <si>
    <t>Bernard Dillow</t>
  </si>
  <si>
    <t>TXN00002762</t>
  </si>
  <si>
    <t>Beau Hayes</t>
  </si>
  <si>
    <t>TXN00002763</t>
  </si>
  <si>
    <t>John Saunders</t>
  </si>
  <si>
    <t>TXN00002764</t>
  </si>
  <si>
    <t>Elenore Campbell</t>
  </si>
  <si>
    <t>TXN00002765</t>
  </si>
  <si>
    <t>Lydia Burden</t>
  </si>
  <si>
    <t>TXN00002766</t>
  </si>
  <si>
    <t>Lisa Henriksen</t>
  </si>
  <si>
    <t>TXN00002767</t>
  </si>
  <si>
    <t>Pamela Gossard</t>
  </si>
  <si>
    <t>TXN00002768</t>
  </si>
  <si>
    <t>James Monath</t>
  </si>
  <si>
    <t>TXN00002769</t>
  </si>
  <si>
    <t>Tommy Polk</t>
  </si>
  <si>
    <t>TXN00002770</t>
  </si>
  <si>
    <t>Joseph Henderson</t>
  </si>
  <si>
    <t>TXN00002771</t>
  </si>
  <si>
    <t>George Whitley</t>
  </si>
  <si>
    <t>TXN00002772</t>
  </si>
  <si>
    <t>Ashley Sweet</t>
  </si>
  <si>
    <t>TXN00002773</t>
  </si>
  <si>
    <t>Diane Hartly</t>
  </si>
  <si>
    <t>TXN00002774</t>
  </si>
  <si>
    <t>Jolanda Gaier</t>
  </si>
  <si>
    <t>TXN00002775</t>
  </si>
  <si>
    <t>Hector Stuble</t>
  </si>
  <si>
    <t>TXN00002776</t>
  </si>
  <si>
    <t>Raymond Brock</t>
  </si>
  <si>
    <t>AGENT01130</t>
  </si>
  <si>
    <t>TXN00002777</t>
  </si>
  <si>
    <t>Grace Pierce</t>
  </si>
  <si>
    <t>AGENT00142</t>
  </si>
  <si>
    <t>TXN00002778</t>
  </si>
  <si>
    <t>Victoria Sincell</t>
  </si>
  <si>
    <t>TXN00002779</t>
  </si>
  <si>
    <t>Valerie Mcdaniel</t>
  </si>
  <si>
    <t>TXN00002780</t>
  </si>
  <si>
    <t>Patricia Mccullough</t>
  </si>
  <si>
    <t>AGENT00865</t>
  </si>
  <si>
    <t>TXN00002781</t>
  </si>
  <si>
    <t>Leah Gibson</t>
  </si>
  <si>
    <t>TXN00002782</t>
  </si>
  <si>
    <t>Charles Heard</t>
  </si>
  <si>
    <t>AGENT00189</t>
  </si>
  <si>
    <t>TXN00002783</t>
  </si>
  <si>
    <t>Randy Thomas</t>
  </si>
  <si>
    <t>VNDR00351</t>
  </si>
  <si>
    <t>TXN00002784</t>
  </si>
  <si>
    <t>Virgil Buker</t>
  </si>
  <si>
    <t>TXN00002785</t>
  </si>
  <si>
    <t>Marie Wilson</t>
  </si>
  <si>
    <t>TXN00002786</t>
  </si>
  <si>
    <t>Francisca Alvarez</t>
  </si>
  <si>
    <t>TXN00002787</t>
  </si>
  <si>
    <t>Homer Snellen</t>
  </si>
  <si>
    <t>TXN00002788</t>
  </si>
  <si>
    <t>June Dupree</t>
  </si>
  <si>
    <t>TXN00002789</t>
  </si>
  <si>
    <t>Donna Ivey</t>
  </si>
  <si>
    <t>TXN00002790</t>
  </si>
  <si>
    <t>Carmen James</t>
  </si>
  <si>
    <t>TXN00002791</t>
  </si>
  <si>
    <t>Amy Sinclair</t>
  </si>
  <si>
    <t>TXN00002792</t>
  </si>
  <si>
    <t>Karlene Minucci</t>
  </si>
  <si>
    <t>TXN00002793</t>
  </si>
  <si>
    <t>Patricia Kedzierski</t>
  </si>
  <si>
    <t>TXN00002794</t>
  </si>
  <si>
    <t>Gerardo Moore</t>
  </si>
  <si>
    <t>TXN00002795</t>
  </si>
  <si>
    <t>Pearl Nickles</t>
  </si>
  <si>
    <t>TXN00002796</t>
  </si>
  <si>
    <t>John James</t>
  </si>
  <si>
    <t>TXN00002797</t>
  </si>
  <si>
    <t>Allison Miller</t>
  </si>
  <si>
    <t>AGENT00996</t>
  </si>
  <si>
    <t>TXN00002798</t>
  </si>
  <si>
    <t>David Cerda</t>
  </si>
  <si>
    <t>TXN00002799</t>
  </si>
  <si>
    <t>Guadalupe Mcintyre</t>
  </si>
  <si>
    <t>TXN00002800</t>
  </si>
  <si>
    <t>Nancy Dominquez</t>
  </si>
  <si>
    <t>TXN00002801</t>
  </si>
  <si>
    <t>William Jackson</t>
  </si>
  <si>
    <t>TXN00002802</t>
  </si>
  <si>
    <t>Yolanda Lane</t>
  </si>
  <si>
    <t>TXN00002803</t>
  </si>
  <si>
    <t>Kevin Barron</t>
  </si>
  <si>
    <t>TXN00002804</t>
  </si>
  <si>
    <t>Lourdes Jefferson</t>
  </si>
  <si>
    <t>TXN00002805</t>
  </si>
  <si>
    <t>Mary Huss</t>
  </si>
  <si>
    <t>TXN00002806</t>
  </si>
  <si>
    <t>Ronald Lalonde</t>
  </si>
  <si>
    <t>TXN00002807</t>
  </si>
  <si>
    <t>TXN00002808</t>
  </si>
  <si>
    <t>Hien Ritchie</t>
  </si>
  <si>
    <t>TXN00002809</t>
  </si>
  <si>
    <t>Daniel King</t>
  </si>
  <si>
    <t>TXN00002810</t>
  </si>
  <si>
    <t>Ronny Swanson</t>
  </si>
  <si>
    <t>TXN00002811</t>
  </si>
  <si>
    <t>George Schmidt</t>
  </si>
  <si>
    <t>TXN00002812</t>
  </si>
  <si>
    <t>Jeffrey Pullman</t>
  </si>
  <si>
    <t>TXN00002813</t>
  </si>
  <si>
    <t>Betty Kolb</t>
  </si>
  <si>
    <t>TXN00002814</t>
  </si>
  <si>
    <t>Amy Alfonso</t>
  </si>
  <si>
    <t>TXN00002815</t>
  </si>
  <si>
    <t>Barry Telschow</t>
  </si>
  <si>
    <t>TXN00002816</t>
  </si>
  <si>
    <t>Karen Mcclallen</t>
  </si>
  <si>
    <t>TXN00002817</t>
  </si>
  <si>
    <t>Troy Costa</t>
  </si>
  <si>
    <t>TXN00002818</t>
  </si>
  <si>
    <t>Tim Hill</t>
  </si>
  <si>
    <t>AGENT00987</t>
  </si>
  <si>
    <t>TXN00002819</t>
  </si>
  <si>
    <t>Harold Jones</t>
  </si>
  <si>
    <t>TXN00002820</t>
  </si>
  <si>
    <t>James Poling</t>
  </si>
  <si>
    <t>TXN00002821</t>
  </si>
  <si>
    <t>Donna Chestnut</t>
  </si>
  <si>
    <t>TXN00002822</t>
  </si>
  <si>
    <t>Michael Holt</t>
  </si>
  <si>
    <t>TXN00002823</t>
  </si>
  <si>
    <t>Elizabeth Wilson</t>
  </si>
  <si>
    <t>TXN00002824</t>
  </si>
  <si>
    <t>Marlen Wright</t>
  </si>
  <si>
    <t>TXN00002825</t>
  </si>
  <si>
    <t>John Jeansonne</t>
  </si>
  <si>
    <t>TXN00002826</t>
  </si>
  <si>
    <t>Timothy Romero</t>
  </si>
  <si>
    <t>TXN00002827</t>
  </si>
  <si>
    <t>Ashley Emery</t>
  </si>
  <si>
    <t>TXN00002828</t>
  </si>
  <si>
    <t>Stephanie Welch</t>
  </si>
  <si>
    <t>TXN00002829</t>
  </si>
  <si>
    <t>Joseph Whitesel</t>
  </si>
  <si>
    <t>TXN00002830</t>
  </si>
  <si>
    <t>Anna Mcdonald</t>
  </si>
  <si>
    <t>TXN00002831</t>
  </si>
  <si>
    <t>Isabella Lotts</t>
  </si>
  <si>
    <t>TXN00002832</t>
  </si>
  <si>
    <t>Kent Pate</t>
  </si>
  <si>
    <t>TXN00002833</t>
  </si>
  <si>
    <t>Tyler Callaway</t>
  </si>
  <si>
    <t>TXN00002834</t>
  </si>
  <si>
    <t>John Sledge</t>
  </si>
  <si>
    <t>TXN00002835</t>
  </si>
  <si>
    <t>Anabel Sayles</t>
  </si>
  <si>
    <t>TXN00002836</t>
  </si>
  <si>
    <t>Shelley Rivera</t>
  </si>
  <si>
    <t>TXN00002837</t>
  </si>
  <si>
    <t>Maryann Walter</t>
  </si>
  <si>
    <t>TXN00002838</t>
  </si>
  <si>
    <t>Lisa Bell</t>
  </si>
  <si>
    <t>TXN00002839</t>
  </si>
  <si>
    <t>Morgan Emry</t>
  </si>
  <si>
    <t>TXN00002840</t>
  </si>
  <si>
    <t>Angela Caminiti</t>
  </si>
  <si>
    <t>AGENT00999</t>
  </si>
  <si>
    <t>TXN00002841</t>
  </si>
  <si>
    <t>Evelyn Hill</t>
  </si>
  <si>
    <t>TXN00002842</t>
  </si>
  <si>
    <t>Mary Cuadrado</t>
  </si>
  <si>
    <t>TXN00002843</t>
  </si>
  <si>
    <t>Mary Dotson</t>
  </si>
  <si>
    <t>TXN00002844</t>
  </si>
  <si>
    <t>James Bailey</t>
  </si>
  <si>
    <t>TXN00002845</t>
  </si>
  <si>
    <t>Bertha Natoli</t>
  </si>
  <si>
    <t>TXN00002846</t>
  </si>
  <si>
    <t>Stanley Young</t>
  </si>
  <si>
    <t>TXN00002847</t>
  </si>
  <si>
    <t>Nancy Martens</t>
  </si>
  <si>
    <t>TXN00002848</t>
  </si>
  <si>
    <t>Roger Napier</t>
  </si>
  <si>
    <t>TXN00002849</t>
  </si>
  <si>
    <t>Linda Mcnair</t>
  </si>
  <si>
    <t>TXN00002850</t>
  </si>
  <si>
    <t>Maria Johnson</t>
  </si>
  <si>
    <t>TXN00002851</t>
  </si>
  <si>
    <t>Kenneth Warfield</t>
  </si>
  <si>
    <t>TXN00002852</t>
  </si>
  <si>
    <t>Kim Hughes</t>
  </si>
  <si>
    <t>TXN00002853</t>
  </si>
  <si>
    <t>Hope Pereira</t>
  </si>
  <si>
    <t>TXN00002854</t>
  </si>
  <si>
    <t>Julian Pool</t>
  </si>
  <si>
    <t>TXN00002855</t>
  </si>
  <si>
    <t>Arielle Amburgey</t>
  </si>
  <si>
    <t>TXN00002856</t>
  </si>
  <si>
    <t>Jamie Vise</t>
  </si>
  <si>
    <t>TXN00002857</t>
  </si>
  <si>
    <t>Richard May</t>
  </si>
  <si>
    <t>TXN00002858</t>
  </si>
  <si>
    <t>James King</t>
  </si>
  <si>
    <t>TXN00002859</t>
  </si>
  <si>
    <t>Richard Scott</t>
  </si>
  <si>
    <t>TXN00002860</t>
  </si>
  <si>
    <t>Tracy Torres</t>
  </si>
  <si>
    <t>TXN00002861</t>
  </si>
  <si>
    <t>Allan Baumeister</t>
  </si>
  <si>
    <t>TXN00002862</t>
  </si>
  <si>
    <t>Mary Landis</t>
  </si>
  <si>
    <t>TXN00002863</t>
  </si>
  <si>
    <t>Avery Nicholson</t>
  </si>
  <si>
    <t>TXN00002864</t>
  </si>
  <si>
    <t>Lisa Everts</t>
  </si>
  <si>
    <t>TXN00002865</t>
  </si>
  <si>
    <t>Joan Shapiro</t>
  </si>
  <si>
    <t>TXN00002866</t>
  </si>
  <si>
    <t>Teresa Anderson</t>
  </si>
  <si>
    <t>TXN00002867</t>
  </si>
  <si>
    <t>Mitchell Jackson</t>
  </si>
  <si>
    <t>TXN00002868</t>
  </si>
  <si>
    <t>Barbara Landers</t>
  </si>
  <si>
    <t>AGENT00332</t>
  </si>
  <si>
    <t>TXN00002869</t>
  </si>
  <si>
    <t>Henry Sousa</t>
  </si>
  <si>
    <t>TXN00002870</t>
  </si>
  <si>
    <t>Ben Smith</t>
  </si>
  <si>
    <t>TXN00002871</t>
  </si>
  <si>
    <t>Jeanne Neumeyer</t>
  </si>
  <si>
    <t>TXN00002872</t>
  </si>
  <si>
    <t>Dennis Collier</t>
  </si>
  <si>
    <t>TXN00002873</t>
  </si>
  <si>
    <t>Joe Ballew</t>
  </si>
  <si>
    <t>TXN00002874</t>
  </si>
  <si>
    <t>Kim Cope</t>
  </si>
  <si>
    <t>TXN00002875</t>
  </si>
  <si>
    <t>Lashawn Donalson</t>
  </si>
  <si>
    <t>Belchertown</t>
  </si>
  <si>
    <t>TXN00002876</t>
  </si>
  <si>
    <t>Jewel Wright</t>
  </si>
  <si>
    <t>TXN00002877</t>
  </si>
  <si>
    <t>Roberta Horton</t>
  </si>
  <si>
    <t>TXN00002878</t>
  </si>
  <si>
    <t>John Tomassi</t>
  </si>
  <si>
    <t>TXN00002879</t>
  </si>
  <si>
    <t>Shaun Stubblefield</t>
  </si>
  <si>
    <t>AGENT00585</t>
  </si>
  <si>
    <t>TXN00002880</t>
  </si>
  <si>
    <t>Michael Krampitz</t>
  </si>
  <si>
    <t>TXN00002881</t>
  </si>
  <si>
    <t>Horace Hendrickson</t>
  </si>
  <si>
    <t>TXN00002882</t>
  </si>
  <si>
    <t>Virginia Branch</t>
  </si>
  <si>
    <t>TXN00002883</t>
  </si>
  <si>
    <t>Billy Boyer</t>
  </si>
  <si>
    <t>TXN00002884</t>
  </si>
  <si>
    <t>Susan Hennessey</t>
  </si>
  <si>
    <t>TXN00002885</t>
  </si>
  <si>
    <t>Carol Stone</t>
  </si>
  <si>
    <t>TXN00002886</t>
  </si>
  <si>
    <t>Jimmy Keith</t>
  </si>
  <si>
    <t>TXN00002887</t>
  </si>
  <si>
    <t>Sonia Shaw</t>
  </si>
  <si>
    <t>TXN00002888</t>
  </si>
  <si>
    <t>Maria Wright</t>
  </si>
  <si>
    <t>TXN00002889</t>
  </si>
  <si>
    <t>Mary Huffman</t>
  </si>
  <si>
    <t>AGENT00085</t>
  </si>
  <si>
    <t>TXN00002890</t>
  </si>
  <si>
    <t>Jackie Smith</t>
  </si>
  <si>
    <t>TXN00002891</t>
  </si>
  <si>
    <t>Salvatore Bertolini</t>
  </si>
  <si>
    <t>TXN00002892</t>
  </si>
  <si>
    <t>Lottie Carswell</t>
  </si>
  <si>
    <t>AGENT00335</t>
  </si>
  <si>
    <t>TXN00002893</t>
  </si>
  <si>
    <t>Arthur Susko</t>
  </si>
  <si>
    <t>AGENT00519</t>
  </si>
  <si>
    <t>TXN00002894</t>
  </si>
  <si>
    <t>Paula Garcia</t>
  </si>
  <si>
    <t>TXN00002895</t>
  </si>
  <si>
    <t>Thomas Christian</t>
  </si>
  <si>
    <t>TXN00002896</t>
  </si>
  <si>
    <t>Mildred Smith</t>
  </si>
  <si>
    <t>Millis</t>
  </si>
  <si>
    <t>TXN00002897</t>
  </si>
  <si>
    <t>Lloyd Shupe</t>
  </si>
  <si>
    <t>TXN00002898</t>
  </si>
  <si>
    <t>Hilma Gaines</t>
  </si>
  <si>
    <t>TXN00002899</t>
  </si>
  <si>
    <t>TXN00002900</t>
  </si>
  <si>
    <t>Jeffrey Porter</t>
  </si>
  <si>
    <t>TXN00002901</t>
  </si>
  <si>
    <t>Georgia Neault</t>
  </si>
  <si>
    <t>Fort Collins</t>
  </si>
  <si>
    <t>TXN00002902</t>
  </si>
  <si>
    <t>Zane Garner</t>
  </si>
  <si>
    <t>TXN00002903</t>
  </si>
  <si>
    <t>Florence Tidmore</t>
  </si>
  <si>
    <t>TXN00002904</t>
  </si>
  <si>
    <t>Helen Clark</t>
  </si>
  <si>
    <t>TXN00002905</t>
  </si>
  <si>
    <t>Brenda Gerard</t>
  </si>
  <si>
    <t>TXN00002906</t>
  </si>
  <si>
    <t>Charles Smith</t>
  </si>
  <si>
    <t>TXN00002907</t>
  </si>
  <si>
    <t>Thomas Cummings</t>
  </si>
  <si>
    <t>TXN00002908</t>
  </si>
  <si>
    <t>Kerry Harris</t>
  </si>
  <si>
    <t>TXN00002909</t>
  </si>
  <si>
    <t>Steven Hunt</t>
  </si>
  <si>
    <t>AGENT00220</t>
  </si>
  <si>
    <t>TXN00002910</t>
  </si>
  <si>
    <t>Ella Anderson</t>
  </si>
  <si>
    <t>TXN00002911</t>
  </si>
  <si>
    <t>Irene Martinez</t>
  </si>
  <si>
    <t>TXN00002912</t>
  </si>
  <si>
    <t>Mabel Eaton</t>
  </si>
  <si>
    <t>TXN00002913</t>
  </si>
  <si>
    <t>Mathew Wilder</t>
  </si>
  <si>
    <t>TXN00002914</t>
  </si>
  <si>
    <t>Michael Botti</t>
  </si>
  <si>
    <t>Elk Grove</t>
  </si>
  <si>
    <t>TXN00002915</t>
  </si>
  <si>
    <t>Jeffrey Salafia</t>
  </si>
  <si>
    <t>TXN00002916</t>
  </si>
  <si>
    <t>Monica Hill</t>
  </si>
  <si>
    <t>TXN00002917</t>
  </si>
  <si>
    <t>Vesta Daner</t>
  </si>
  <si>
    <t>TXN00002918</t>
  </si>
  <si>
    <t>Michelle Koontz</t>
  </si>
  <si>
    <t>TXN00002919</t>
  </si>
  <si>
    <t>Seymour Petersen</t>
  </si>
  <si>
    <t>TXN00002920</t>
  </si>
  <si>
    <t>Ronald Day</t>
  </si>
  <si>
    <t>TXN00002921</t>
  </si>
  <si>
    <t>Jose Zeck</t>
  </si>
  <si>
    <t>TXN00002922</t>
  </si>
  <si>
    <t>Marcus Caron</t>
  </si>
  <si>
    <t>TXN00002923</t>
  </si>
  <si>
    <t>Joseph Edwards</t>
  </si>
  <si>
    <t>TXN00002924</t>
  </si>
  <si>
    <t>George Connor</t>
  </si>
  <si>
    <t>TXN00002925</t>
  </si>
  <si>
    <t>Ana Finney</t>
  </si>
  <si>
    <t>TXN00002926</t>
  </si>
  <si>
    <t>Kenneth Haynesworth</t>
  </si>
  <si>
    <t>TXN00002927</t>
  </si>
  <si>
    <t>Jimmy Byrne</t>
  </si>
  <si>
    <t>TXN00002928</t>
  </si>
  <si>
    <t>Roy Paetzold</t>
  </si>
  <si>
    <t>TXN00002929</t>
  </si>
  <si>
    <t>Robert Davidson</t>
  </si>
  <si>
    <t>TXN00002930</t>
  </si>
  <si>
    <t>Ernesto Vaughn</t>
  </si>
  <si>
    <t>Davis</t>
  </si>
  <si>
    <t>TXN00002931</t>
  </si>
  <si>
    <t>Joseph Covert</t>
  </si>
  <si>
    <t>TXN00002932</t>
  </si>
  <si>
    <t>Wanda Pastian</t>
  </si>
  <si>
    <t>TXN00002933</t>
  </si>
  <si>
    <t>Cynthia Collins</t>
  </si>
  <si>
    <t>TXN00002934</t>
  </si>
  <si>
    <t>William Seabolt</t>
  </si>
  <si>
    <t>TXN00002935</t>
  </si>
  <si>
    <t>Dorothy Ruic</t>
  </si>
  <si>
    <t>TXN00002936</t>
  </si>
  <si>
    <t>James Mendez</t>
  </si>
  <si>
    <t>TXN00002937</t>
  </si>
  <si>
    <t>Martha Dalton</t>
  </si>
  <si>
    <t>TXN00002938</t>
  </si>
  <si>
    <t>Laura Rummel</t>
  </si>
  <si>
    <t>AGENT01077</t>
  </si>
  <si>
    <t>TXN00002939</t>
  </si>
  <si>
    <t>Sue Paulson</t>
  </si>
  <si>
    <t>TXN00002940</t>
  </si>
  <si>
    <t>Carolyn Gregoire</t>
  </si>
  <si>
    <t>TXN00002941</t>
  </si>
  <si>
    <t>TXN00002942</t>
  </si>
  <si>
    <t>Mary Wilson</t>
  </si>
  <si>
    <t>TXN00002943</t>
  </si>
  <si>
    <t>Stephen Smith</t>
  </si>
  <si>
    <t>TXN00002944</t>
  </si>
  <si>
    <t>Jose Rodriguez</t>
  </si>
  <si>
    <t>TXN00002945</t>
  </si>
  <si>
    <t>Clifford Burch</t>
  </si>
  <si>
    <t>TXN00002946</t>
  </si>
  <si>
    <t>Mark Dimaio</t>
  </si>
  <si>
    <t>TXN00002947</t>
  </si>
  <si>
    <t>Anne Powers</t>
  </si>
  <si>
    <t>TXN00002948</t>
  </si>
  <si>
    <t>Ronald Woodlock</t>
  </si>
  <si>
    <t>TXN00002949</t>
  </si>
  <si>
    <t>Maude Philo</t>
  </si>
  <si>
    <t>TXN00002950</t>
  </si>
  <si>
    <t>Nicole Otis</t>
  </si>
  <si>
    <t>TXN00002951</t>
  </si>
  <si>
    <t>Irene Tackitt</t>
  </si>
  <si>
    <t>TXN00002952</t>
  </si>
  <si>
    <t>Florence Brown</t>
  </si>
  <si>
    <t>TXN00002953</t>
  </si>
  <si>
    <t>Lena Stewart</t>
  </si>
  <si>
    <t>TXN00002954</t>
  </si>
  <si>
    <t>Stacie Mcarthur</t>
  </si>
  <si>
    <t>TXN00002955</t>
  </si>
  <si>
    <t>Joseph Massey</t>
  </si>
  <si>
    <t>TXN00002956</t>
  </si>
  <si>
    <t>Abel Cortes</t>
  </si>
  <si>
    <t>TXN00002957</t>
  </si>
  <si>
    <t>Ruth Cunningham</t>
  </si>
  <si>
    <t>TXN00002958</t>
  </si>
  <si>
    <t>Ronald Weaver</t>
  </si>
  <si>
    <t>TXN00002959</t>
  </si>
  <si>
    <t>Donald Crain</t>
  </si>
  <si>
    <t>TXN00002960</t>
  </si>
  <si>
    <t>Pamela Johnson</t>
  </si>
  <si>
    <t>TXN00002961</t>
  </si>
  <si>
    <t>Melissa Greene</t>
  </si>
  <si>
    <t>TXN00002962</t>
  </si>
  <si>
    <t>Kenneth Thomas</t>
  </si>
  <si>
    <t>TXN00002963</t>
  </si>
  <si>
    <t>Joseph Simmons</t>
  </si>
  <si>
    <t>TXN00002964</t>
  </si>
  <si>
    <t>Cynthia Enfinger</t>
  </si>
  <si>
    <t>TXN00002965</t>
  </si>
  <si>
    <t>Adam Yokoyama</t>
  </si>
  <si>
    <t>TXN00002966</t>
  </si>
  <si>
    <t>Benjamin Newlan</t>
  </si>
  <si>
    <t>AGENT00404</t>
  </si>
  <si>
    <t>TXN00002967</t>
  </si>
  <si>
    <t>Gloria Ollis</t>
  </si>
  <si>
    <t>TXN00002968</t>
  </si>
  <si>
    <t>Carol Paulseth</t>
  </si>
  <si>
    <t>TXN00002969</t>
  </si>
  <si>
    <t>Candice Chappell</t>
  </si>
  <si>
    <t>TXN00002970</t>
  </si>
  <si>
    <t>Brian Kubat</t>
  </si>
  <si>
    <t>TXN00002971</t>
  </si>
  <si>
    <t>Angie Drum</t>
  </si>
  <si>
    <t>TXN00002972</t>
  </si>
  <si>
    <t>Max Hane</t>
  </si>
  <si>
    <t>TXN00002973</t>
  </si>
  <si>
    <t>Clara Zasso</t>
  </si>
  <si>
    <t>TXN00002974</t>
  </si>
  <si>
    <t>Jeffrey Richardson</t>
  </si>
  <si>
    <t>TXN00002975</t>
  </si>
  <si>
    <t>Felicia Naval</t>
  </si>
  <si>
    <t>TXN00002976</t>
  </si>
  <si>
    <t>Simon Entriken</t>
  </si>
  <si>
    <t>AGENT00147</t>
  </si>
  <si>
    <t>TXN00002977</t>
  </si>
  <si>
    <t>Craig Watkins</t>
  </si>
  <si>
    <t>TXN00002978</t>
  </si>
  <si>
    <t>Julie Holland</t>
  </si>
  <si>
    <t>TXN00002979</t>
  </si>
  <si>
    <t>Rosa Terkelsen</t>
  </si>
  <si>
    <t>TXN00002980</t>
  </si>
  <si>
    <t>Vincent Obannon</t>
  </si>
  <si>
    <t>TXN00002981</t>
  </si>
  <si>
    <t>Tara Bozeman</t>
  </si>
  <si>
    <t>TXN00002982</t>
  </si>
  <si>
    <t>Guadalupe Bayles</t>
  </si>
  <si>
    <t>TXN00002983</t>
  </si>
  <si>
    <t>Cynthia Morin</t>
  </si>
  <si>
    <t>TXN00002984</t>
  </si>
  <si>
    <t>David Holdsworth</t>
  </si>
  <si>
    <t>TXN00002985</t>
  </si>
  <si>
    <t>Julie Duncan</t>
  </si>
  <si>
    <t>TXN00002986</t>
  </si>
  <si>
    <t>Jerry Miller</t>
  </si>
  <si>
    <t>TXN00002987</t>
  </si>
  <si>
    <t>Velva Taylor</t>
  </si>
  <si>
    <t>TXN00002988</t>
  </si>
  <si>
    <t>Elisabeth Fernandez</t>
  </si>
  <si>
    <t>TXN00002989</t>
  </si>
  <si>
    <t>Laura Wright</t>
  </si>
  <si>
    <t>TXN00002990</t>
  </si>
  <si>
    <t>Leslie Chapman</t>
  </si>
  <si>
    <t>TXN00002991</t>
  </si>
  <si>
    <t>Kevin Walker</t>
  </si>
  <si>
    <t>TXN00002992</t>
  </si>
  <si>
    <t>Daniel Born</t>
  </si>
  <si>
    <t>TXN00002993</t>
  </si>
  <si>
    <t>William Campos</t>
  </si>
  <si>
    <t>TXN00002994</t>
  </si>
  <si>
    <t>Paul Carl</t>
  </si>
  <si>
    <t>TXN00002995</t>
  </si>
  <si>
    <t>Sherry Cardona</t>
  </si>
  <si>
    <t>TXN00002996</t>
  </si>
  <si>
    <t>TXN00002997</t>
  </si>
  <si>
    <t>Santa Fitch</t>
  </si>
  <si>
    <t>TXN00002998</t>
  </si>
  <si>
    <t>Frances Willis</t>
  </si>
  <si>
    <t>TXN00002999</t>
  </si>
  <si>
    <t>Stefanie Pina</t>
  </si>
  <si>
    <t>TXN00003000</t>
  </si>
  <si>
    <t>John Leath</t>
  </si>
  <si>
    <t>CLEANED DATA — Output of data-cleaning steps applied to Raw_Claims_Data</t>
  </si>
  <si>
    <t>Cleaning steps applied: (1) Blank AUTHORITY_CONTACTED -&gt; 'None'  (2) Blank VENDOR_ID -&gt; 'N/A'  (3) Derived Fraud flag from CLAIM_STATUS  (4) TRIM applied to text fields</t>
  </si>
  <si>
    <t>AUTHORITY_CONTACTED_CLEAN</t>
  </si>
  <si>
    <t>VENDOR_ID_CLEAN</t>
  </si>
  <si>
    <t>IsFraud</t>
  </si>
  <si>
    <t>PIVOT-STYLE SUMMARY — Claims &amp; Fraud by Insurance Type and State</t>
  </si>
  <si>
    <t>Built with SUMIFS/COUNTIFS off Cleaned_Data (3,000-row sample). To convert to a live native PivotTable: select Cleaned_Data!A4:O3004 -&gt; Insert -&gt; PivotTable.</t>
  </si>
  <si>
    <t>By Insurance Type</t>
  </si>
  <si>
    <t>Total Claims</t>
  </si>
  <si>
    <t>Fraud Claims</t>
  </si>
  <si>
    <t>Total Claim Amount</t>
  </si>
  <si>
    <t>Avg Claim Amount</t>
  </si>
  <si>
    <t>By State (Top 10 by Claim Volume)</t>
  </si>
  <si>
    <t>LOOKUP EXAMPLES — INDEX/MATCH pulling Agent &amp; Vendor details across sheets</t>
  </si>
  <si>
    <t>Demonstrates cross-sheet lookups: Cleaned_Data -&gt; Agents sheet and Cleaned_Data -&gt; Vendors sheet</t>
  </si>
  <si>
    <t>Agent Name (INDEX/MATCH)</t>
  </si>
  <si>
    <t>Agent City (INDEX/MATCH)</t>
  </si>
  <si>
    <t>Vendor Name (INDEX/MATCH)</t>
  </si>
  <si>
    <t>Vendor City (INDEX/MATCH)</t>
  </si>
  <si>
    <t>LOOKUP TABLE — Agents (from employee_data_2_.csv)</t>
  </si>
  <si>
    <t>AGENT_NAME</t>
  </si>
  <si>
    <t>DATE_OF_JOINING</t>
  </si>
  <si>
    <t>ADDRESS_LINE1</t>
  </si>
  <si>
    <t>ADDRESS_LINE2</t>
  </si>
  <si>
    <t>CITY</t>
  </si>
  <si>
    <t>POSTAL_CODE</t>
  </si>
  <si>
    <t>EMP_ROUTING_NUMBER</t>
  </si>
  <si>
    <t>EMP_ACCT_NUMBER</t>
  </si>
  <si>
    <t>Ray Johns</t>
  </si>
  <si>
    <t>1993-06-05</t>
  </si>
  <si>
    <t>1402 Maggies Way</t>
  </si>
  <si>
    <t>Waterbury Center</t>
  </si>
  <si>
    <t>HKUN51252328472585</t>
  </si>
  <si>
    <t>Angelo Borjon</t>
  </si>
  <si>
    <t>2005-12-27</t>
  </si>
  <si>
    <t>414 Tanya Pass</t>
  </si>
  <si>
    <t>OPIS19290040088204</t>
  </si>
  <si>
    <t>Candy Spellman</t>
  </si>
  <si>
    <t>2003-09-02</t>
  </si>
  <si>
    <t>606 National Street</t>
  </si>
  <si>
    <t>#306</t>
  </si>
  <si>
    <t>YSCJ67489688482590</t>
  </si>
  <si>
    <t>2004-09-23</t>
  </si>
  <si>
    <t>235 Hugh Thomas Drive</t>
  </si>
  <si>
    <t>ZANG21285355574581</t>
  </si>
  <si>
    <t>Mildred Diaz</t>
  </si>
  <si>
    <t>2011-06-21</t>
  </si>
  <si>
    <t>3426 Broadview Street</t>
  </si>
  <si>
    <t>DZFS82244494451134</t>
  </si>
  <si>
    <t>Linda Butler</t>
  </si>
  <si>
    <t>2000-09-02</t>
  </si>
  <si>
    <t>10383 Eagle River Lane</t>
  </si>
  <si>
    <t>TIDG93550966796680</t>
  </si>
  <si>
    <t>Michael Hoskins</t>
  </si>
  <si>
    <t>1993-10-26</t>
  </si>
  <si>
    <t>5011 West New World Drive</t>
  </si>
  <si>
    <t>OVFE89299102977291</t>
  </si>
  <si>
    <t>Carolyn Quesada</t>
  </si>
  <si>
    <t>2003-11-15</t>
  </si>
  <si>
    <t>2538 East 40th Plaza</t>
  </si>
  <si>
    <t>HOSW68784912234194</t>
  </si>
  <si>
    <t>Marilyn Allen</t>
  </si>
  <si>
    <t>2009-12-24</t>
  </si>
  <si>
    <t>4840 Reservoir Road Northwest</t>
  </si>
  <si>
    <t>NXRT72066780733033</t>
  </si>
  <si>
    <t>Bernard Haug</t>
  </si>
  <si>
    <t>1992-09-04</t>
  </si>
  <si>
    <t>2278 North Windswept Lane</t>
  </si>
  <si>
    <t>ADZX82914131196683</t>
  </si>
  <si>
    <t>Nancy Coronado</t>
  </si>
  <si>
    <t>2002-01-31</t>
  </si>
  <si>
    <t>357 Chaplin Street Southeast</t>
  </si>
  <si>
    <t>CEIG07819775081568</t>
  </si>
  <si>
    <t>AGENT00012</t>
  </si>
  <si>
    <t>Jeffrey Forbis</t>
  </si>
  <si>
    <t>2010-08-05</t>
  </si>
  <si>
    <t>2619 North Quality Lane</t>
  </si>
  <si>
    <t>#315</t>
  </si>
  <si>
    <t>IQRF67979220911116</t>
  </si>
  <si>
    <t>Carolyn Jones</t>
  </si>
  <si>
    <t>2004-06-03</t>
  </si>
  <si>
    <t>6214 Herzog Street</t>
  </si>
  <si>
    <t>OBTC64157859730067</t>
  </si>
  <si>
    <t>Larry Dryer</t>
  </si>
  <si>
    <t>2005-02-22</t>
  </si>
  <si>
    <t>6630 MacArthur Boulevard</t>
  </si>
  <si>
    <t>#19</t>
  </si>
  <si>
    <t>FXNK82621091893099</t>
  </si>
  <si>
    <t>Charles George</t>
  </si>
  <si>
    <t>1998-01-31</t>
  </si>
  <si>
    <t>4717 Forest Hills Drive</t>
  </si>
  <si>
    <t>Noble</t>
  </si>
  <si>
    <t>PEUK68232037630713</t>
  </si>
  <si>
    <t>Lawrence French</t>
  </si>
  <si>
    <t>2001-03-27</t>
  </si>
  <si>
    <t>6223 Kilmer Loop</t>
  </si>
  <si>
    <t>#206</t>
  </si>
  <si>
    <t>FHIJ73978869917642</t>
  </si>
  <si>
    <t>Robert Gordon</t>
  </si>
  <si>
    <t>2003-09-09</t>
  </si>
  <si>
    <t>1100 Cleveland Street</t>
  </si>
  <si>
    <t>SXOO45515923150315</t>
  </si>
  <si>
    <t>Rita Allaire</t>
  </si>
  <si>
    <t>1990-09-30</t>
  </si>
  <si>
    <t>9457 Winfield Place</t>
  </si>
  <si>
    <t>LROE33621282470193</t>
  </si>
  <si>
    <t>Letitia Friedman</t>
  </si>
  <si>
    <t>2015-03-03</t>
  </si>
  <si>
    <t>2728 Hale Avenue</t>
  </si>
  <si>
    <t>HQBC86092587568338</t>
  </si>
  <si>
    <t>Freddy Kelly</t>
  </si>
  <si>
    <t>2004-11-07</t>
  </si>
  <si>
    <t>514 East 38th Street</t>
  </si>
  <si>
    <t>CSDO98178213155606</t>
  </si>
  <si>
    <t>Robert Barnes</t>
  </si>
  <si>
    <t>1992-08-01</t>
  </si>
  <si>
    <t>54 Pine Meadow Drive</t>
  </si>
  <si>
    <t>Hyde Park</t>
  </si>
  <si>
    <t>QBCN62231485753777</t>
  </si>
  <si>
    <t>Jeffery Mcbride</t>
  </si>
  <si>
    <t>1997-01-13</t>
  </si>
  <si>
    <t>2032 4th Street Northwest</t>
  </si>
  <si>
    <t>QESE68363490537237</t>
  </si>
  <si>
    <t>Amy Venice</t>
  </si>
  <si>
    <t>2009-12-11</t>
  </si>
  <si>
    <t>386 Pratt Road</t>
  </si>
  <si>
    <t>AQEJ74503862345483</t>
  </si>
  <si>
    <t>Herbert Harris</t>
  </si>
  <si>
    <t>1991-05-10</t>
  </si>
  <si>
    <t>2433 Southwest 36th Street</t>
  </si>
  <si>
    <t>ZOKM64306961771096</t>
  </si>
  <si>
    <t>Elizabeth Mobley</t>
  </si>
  <si>
    <t>2010-12-08</t>
  </si>
  <si>
    <t>19020 North 68th Avenue</t>
  </si>
  <si>
    <t>LJXW49594989067332</t>
  </si>
  <si>
    <t>Josephine Amorosi</t>
  </si>
  <si>
    <t>2011-09-23</t>
  </si>
  <si>
    <t>1650 North Sang Avenue</t>
  </si>
  <si>
    <t>#211</t>
  </si>
  <si>
    <t>OFDO18308945661277</t>
  </si>
  <si>
    <t>Jaqueline Hanson</t>
  </si>
  <si>
    <t>2010-04-20</t>
  </si>
  <si>
    <t>6506 North Lagoon Drive</t>
  </si>
  <si>
    <t>HNDV98515562374050</t>
  </si>
  <si>
    <t>Pam Evans</t>
  </si>
  <si>
    <t>2012-07-30</t>
  </si>
  <si>
    <t>5575 South Dakota Avenue Northeast</t>
  </si>
  <si>
    <t>FMOY86795555984406</t>
  </si>
  <si>
    <t>Heather Cantwell</t>
  </si>
  <si>
    <t>1995-04-19</t>
  </si>
  <si>
    <t>6521 North 65th Avenue</t>
  </si>
  <si>
    <t>#1D</t>
  </si>
  <si>
    <t>YLQJ78001413271998</t>
  </si>
  <si>
    <t>Georgia Kenny</t>
  </si>
  <si>
    <t>1996-02-21</t>
  </si>
  <si>
    <t>33300 Mission Boulevard</t>
  </si>
  <si>
    <t>#APT 174</t>
  </si>
  <si>
    <t>NKHZ89593337512392</t>
  </si>
  <si>
    <t>Grace Rogers</t>
  </si>
  <si>
    <t>2007-09-16</t>
  </si>
  <si>
    <t>5436 Dorbrandt Street</t>
  </si>
  <si>
    <t>#APT 000002</t>
  </si>
  <si>
    <t>VQTA51524709318568</t>
  </si>
  <si>
    <t>Russell Frost</t>
  </si>
  <si>
    <t>1991-08-07</t>
  </si>
  <si>
    <t>329 Mill Road</t>
  </si>
  <si>
    <t>OBQY16641865636698</t>
  </si>
  <si>
    <t>Arturo Cole</t>
  </si>
  <si>
    <t>1996-11-15</t>
  </si>
  <si>
    <t>72 Salmon Road</t>
  </si>
  <si>
    <t>VQGP85136893422980</t>
  </si>
  <si>
    <t>Yvonne Sanders</t>
  </si>
  <si>
    <t>2007-06-01</t>
  </si>
  <si>
    <t>3808 Richland Avenue</t>
  </si>
  <si>
    <t>QVPX46594207904513</t>
  </si>
  <si>
    <t>David Dolan</t>
  </si>
  <si>
    <t>1996-11-22</t>
  </si>
  <si>
    <t>849 East Victoria Street</t>
  </si>
  <si>
    <t>#204</t>
  </si>
  <si>
    <t>YMXC17374311568980</t>
  </si>
  <si>
    <t>Gregory Williamson</t>
  </si>
  <si>
    <t>1991-09-11</t>
  </si>
  <si>
    <t>1460 Berger Street</t>
  </si>
  <si>
    <t>CTEP60853938359624</t>
  </si>
  <si>
    <t>Teresa Garcia</t>
  </si>
  <si>
    <t>2016-12-19</t>
  </si>
  <si>
    <t>140 West Cooper Avenue</t>
  </si>
  <si>
    <t>YMCR98701072871529</t>
  </si>
  <si>
    <t>Harold Ward</t>
  </si>
  <si>
    <t>1993-01-24</t>
  </si>
  <si>
    <t>171 Brickhill Circle</t>
  </si>
  <si>
    <t>XFPA46888061021143</t>
  </si>
  <si>
    <t>Jeremy Fields</t>
  </si>
  <si>
    <t>2002-06-10</t>
  </si>
  <si>
    <t>2115 Longest Avenue</t>
  </si>
  <si>
    <t>NFAG41955904385274</t>
  </si>
  <si>
    <t>Michael Riley</t>
  </si>
  <si>
    <t>2010-12-15</t>
  </si>
  <si>
    <t>224 Michael Sears Road</t>
  </si>
  <si>
    <t>BPIU33548981266102</t>
  </si>
  <si>
    <t>John Tallman</t>
  </si>
  <si>
    <t>2006-04-22</t>
  </si>
  <si>
    <t>2313 Mansfield Avenue</t>
  </si>
  <si>
    <t>YCPM81152663783872</t>
  </si>
  <si>
    <t>Esther Ahmed</t>
  </si>
  <si>
    <t>2010-02-27</t>
  </si>
  <si>
    <t>119 Redwood Road</t>
  </si>
  <si>
    <t>ECWS51885965503134</t>
  </si>
  <si>
    <t>Mary Norris</t>
  </si>
  <si>
    <t>2011-08-07</t>
  </si>
  <si>
    <t>5073 West 65th Place</t>
  </si>
  <si>
    <t>IDSZ07874822883626</t>
  </si>
  <si>
    <t>Earnest White</t>
  </si>
  <si>
    <t>2013-08-21</t>
  </si>
  <si>
    <t>7564 Moore Court</t>
  </si>
  <si>
    <t>EHGZ29425971599083</t>
  </si>
  <si>
    <t>Frances Melia</t>
  </si>
  <si>
    <t>2001-03-09</t>
  </si>
  <si>
    <t>2139 Glynnwood Drive</t>
  </si>
  <si>
    <t>SRTU89087626370729</t>
  </si>
  <si>
    <t>William Ramos</t>
  </si>
  <si>
    <t>2001-11-11</t>
  </si>
  <si>
    <t>22825 Paseo Place</t>
  </si>
  <si>
    <t>XAYL42110131828573</t>
  </si>
  <si>
    <t>AGENT00047</t>
  </si>
  <si>
    <t>Henry Arends</t>
  </si>
  <si>
    <t>2009-06-13</t>
  </si>
  <si>
    <t>60 Bagley Street</t>
  </si>
  <si>
    <t>Saint Johnsbury</t>
  </si>
  <si>
    <t>XWPZ93429840455468</t>
  </si>
  <si>
    <t>Olivia Cramer</t>
  </si>
  <si>
    <t>2008-03-27</t>
  </si>
  <si>
    <t>91 Eldridge Street</t>
  </si>
  <si>
    <t>WMWV30338113870706</t>
  </si>
  <si>
    <t>Saul Conyers</t>
  </si>
  <si>
    <t>2007-12-06</t>
  </si>
  <si>
    <t>6215 Sheridan Boulevard</t>
  </si>
  <si>
    <t>CYQL68368026925344</t>
  </si>
  <si>
    <t>Barry Reynolds</t>
  </si>
  <si>
    <t>2009-06-22</t>
  </si>
  <si>
    <t>8417 Timothy Lane</t>
  </si>
  <si>
    <t>EZLV62055894696180</t>
  </si>
  <si>
    <t>Andrea Schiller</t>
  </si>
  <si>
    <t>2006-04-19</t>
  </si>
  <si>
    <t>190 Countryside Drive</t>
  </si>
  <si>
    <t>NITF34871271224826</t>
  </si>
  <si>
    <t>Evelyn Mckinney</t>
  </si>
  <si>
    <t>2018-05-02</t>
  </si>
  <si>
    <t>20 Dearborn Drive</t>
  </si>
  <si>
    <t>LLBJ02457725590016</t>
  </si>
  <si>
    <t>Stella Gilbert</t>
  </si>
  <si>
    <t>1991-10-12</t>
  </si>
  <si>
    <t>811 River Dell Drive</t>
  </si>
  <si>
    <t>JGCC61882192321093</t>
  </si>
  <si>
    <t>William Vang</t>
  </si>
  <si>
    <t>1990-12-21</t>
  </si>
  <si>
    <t>2 Addison Place</t>
  </si>
  <si>
    <t>JQXV46284052600592</t>
  </si>
  <si>
    <t>Wendi Hensley</t>
  </si>
  <si>
    <t>1992-02-21</t>
  </si>
  <si>
    <t>7730 Wilkinson Road</t>
  </si>
  <si>
    <t>FFJG64443961824050</t>
  </si>
  <si>
    <t>Daniel Nance</t>
  </si>
  <si>
    <t>2016-11-28</t>
  </si>
  <si>
    <t>2500 Medallion Drive</t>
  </si>
  <si>
    <t>#APT 148</t>
  </si>
  <si>
    <t>ZTMC18946634687958</t>
  </si>
  <si>
    <t>Debra Tripp</t>
  </si>
  <si>
    <t>2011-03-12</t>
  </si>
  <si>
    <t>3194 Bladensburg Road Northeast</t>
  </si>
  <si>
    <t>QINB62773712676016</t>
  </si>
  <si>
    <t>Nannie Thomas</t>
  </si>
  <si>
    <t>1994-08-31</t>
  </si>
  <si>
    <t>827 10th Street Northeast</t>
  </si>
  <si>
    <t>EFRK76795304452686</t>
  </si>
  <si>
    <t>Suzanne Amador</t>
  </si>
  <si>
    <t>2008-12-14</t>
  </si>
  <si>
    <t>903 Burton Avenue</t>
  </si>
  <si>
    <t>QTVE06059221536957</t>
  </si>
  <si>
    <t>AGENT00060</t>
  </si>
  <si>
    <t>Vincent Rule</t>
  </si>
  <si>
    <t>2000-12-21</t>
  </si>
  <si>
    <t>2502 Adrienne Way</t>
  </si>
  <si>
    <t>NNQD57441399397776</t>
  </si>
  <si>
    <t>Curtis Griffin</t>
  </si>
  <si>
    <t>1994-07-29</t>
  </si>
  <si>
    <t>1780 142nd Avenue</t>
  </si>
  <si>
    <t>TGGO48192632068582</t>
  </si>
  <si>
    <t>Diane Marburger</t>
  </si>
  <si>
    <t>2012-08-24</t>
  </si>
  <si>
    <t>2001 Van Hoose Drive</t>
  </si>
  <si>
    <t>WRNQ45980898120540</t>
  </si>
  <si>
    <t>Leslie Lee</t>
  </si>
  <si>
    <t>1998-10-17</t>
  </si>
  <si>
    <t>13525 West Stella Lane</t>
  </si>
  <si>
    <t>OGPU80098723132854</t>
  </si>
  <si>
    <t>James Evans</t>
  </si>
  <si>
    <t>2003-05-29</t>
  </si>
  <si>
    <t>93 Marble Hill Road</t>
  </si>
  <si>
    <t>Waitsfield</t>
  </si>
  <si>
    <t>ZEZK82145385865138</t>
  </si>
  <si>
    <t>Elizabeth Curry</t>
  </si>
  <si>
    <t>2009-08-17</t>
  </si>
  <si>
    <t>13066 North 56th Avenue</t>
  </si>
  <si>
    <t>KMRU23249802615601</t>
  </si>
  <si>
    <t>Danielle Visvardis</t>
  </si>
  <si>
    <t>2014-09-16</t>
  </si>
  <si>
    <t>35 Keach Avenue</t>
  </si>
  <si>
    <t>OJKV85329684741331</t>
  </si>
  <si>
    <t>Jonathan Smith</t>
  </si>
  <si>
    <t>2003-08-09</t>
  </si>
  <si>
    <t>9401 3rd Street Road</t>
  </si>
  <si>
    <t>NDPW31134564002955</t>
  </si>
  <si>
    <t>Debra Ortega</t>
  </si>
  <si>
    <t>2015-06-17</t>
  </si>
  <si>
    <t>61 Plymouth Lane</t>
  </si>
  <si>
    <t>JDKI55297566920709</t>
  </si>
  <si>
    <t>Christian Nusbaum</t>
  </si>
  <si>
    <t>2016-07-21</t>
  </si>
  <si>
    <t>3752 Roswell Place</t>
  </si>
  <si>
    <t>ALUK17983608896834</t>
  </si>
  <si>
    <t>Sylvia Buckley</t>
  </si>
  <si>
    <t>1996-10-19</t>
  </si>
  <si>
    <t>517 Retford Drive</t>
  </si>
  <si>
    <t>RJVH50696223589264</t>
  </si>
  <si>
    <t>Karen Olsen</t>
  </si>
  <si>
    <t>2003-07-17</t>
  </si>
  <si>
    <t>649 Praderia Circle</t>
  </si>
  <si>
    <t>UEZH74224396771892</t>
  </si>
  <si>
    <t>Kate Mendes</t>
  </si>
  <si>
    <t>1992-12-02</t>
  </si>
  <si>
    <t>100 Birney Street</t>
  </si>
  <si>
    <t>#A6</t>
  </si>
  <si>
    <t>QCWW55532754732879</t>
  </si>
  <si>
    <t>Edgar Vazquez</t>
  </si>
  <si>
    <t>2011-07-07</t>
  </si>
  <si>
    <t>4516 Old Seward Highway</t>
  </si>
  <si>
    <t>TKLO18911599752642</t>
  </si>
  <si>
    <t>AGENT00074</t>
  </si>
  <si>
    <t>Claire Decinti</t>
  </si>
  <si>
    <t>1999-04-22</t>
  </si>
  <si>
    <t>29 Vista Flores</t>
  </si>
  <si>
    <t>UFJE04852683509089</t>
  </si>
  <si>
    <t>Judy Kesselman</t>
  </si>
  <si>
    <t>2001-02-10</t>
  </si>
  <si>
    <t>89 Plaistow Road</t>
  </si>
  <si>
    <t>QLXR90238004955533</t>
  </si>
  <si>
    <t>Jason Dowling</t>
  </si>
  <si>
    <t>1996-04-27</t>
  </si>
  <si>
    <t>OPHP95210778945160</t>
  </si>
  <si>
    <t>Larry Sheley</t>
  </si>
  <si>
    <t>1993-08-08</t>
  </si>
  <si>
    <t>313 Lone Oak Drive</t>
  </si>
  <si>
    <t>SOYF56326872937503</t>
  </si>
  <si>
    <t>Shane Mclarty</t>
  </si>
  <si>
    <t>2017-04-10</t>
  </si>
  <si>
    <t>369 Ruth Avenue</t>
  </si>
  <si>
    <t>SJAH52896250686985</t>
  </si>
  <si>
    <t>Rivka Robinson</t>
  </si>
  <si>
    <t>1997-12-11</t>
  </si>
  <si>
    <t>1008 Rhode Island Avenue Northwest</t>
  </si>
  <si>
    <t>SAHS72824131306931</t>
  </si>
  <si>
    <t>Gary Simmons</t>
  </si>
  <si>
    <t>2014-07-10</t>
  </si>
  <si>
    <t>11843 North 60th Avenue</t>
  </si>
  <si>
    <t>QHOY59291625073441</t>
  </si>
  <si>
    <t>Frances Kocka</t>
  </si>
  <si>
    <t>1995-07-02</t>
  </si>
  <si>
    <t>5244 West Port Au Prince Lane</t>
  </si>
  <si>
    <t>FVXO69898679507549</t>
  </si>
  <si>
    <t>Bruce Rollins</t>
  </si>
  <si>
    <t>2015-03-13</t>
  </si>
  <si>
    <t>1054 Overton Lea Road</t>
  </si>
  <si>
    <t>BCPF23838135591983</t>
  </si>
  <si>
    <t>Christopher Fontenot</t>
  </si>
  <si>
    <t>1990-06-29</t>
  </si>
  <si>
    <t>9904 Daniel Drive</t>
  </si>
  <si>
    <t>DHZC54326133627820</t>
  </si>
  <si>
    <t>Brandon Fujii</t>
  </si>
  <si>
    <t>2011-07-08</t>
  </si>
  <si>
    <t>4231 Laurel Street</t>
  </si>
  <si>
    <t>#APT 000101</t>
  </si>
  <si>
    <t>NEEJ23567656975840</t>
  </si>
  <si>
    <t>Suzanne Rutan</t>
  </si>
  <si>
    <t>2000-12-19</t>
  </si>
  <si>
    <t>2237 Northwest 18th Street</t>
  </si>
  <si>
    <t>BQAF82775764630550</t>
  </si>
  <si>
    <t>Shelia Morales</t>
  </si>
  <si>
    <t>2002-04-22</t>
  </si>
  <si>
    <t>517 Wesley Avenue</t>
  </si>
  <si>
    <t>UPBY22009074123142</t>
  </si>
  <si>
    <t>AGENT00087</t>
  </si>
  <si>
    <t>Hazel Riegel</t>
  </si>
  <si>
    <t>1998-11-27</t>
  </si>
  <si>
    <t>1265 Xavier Avenue</t>
  </si>
  <si>
    <t>OGCK36406214425828</t>
  </si>
  <si>
    <t>Sara Keith</t>
  </si>
  <si>
    <t>2009-01-28</t>
  </si>
  <si>
    <t>ADPI28499084429103</t>
  </si>
  <si>
    <t>Jill Chreene</t>
  </si>
  <si>
    <t>1996-02-20</t>
  </si>
  <si>
    <t>45 Baldridge Road</t>
  </si>
  <si>
    <t>ENOI80640229461509</t>
  </si>
  <si>
    <t>Joshua Cherry</t>
  </si>
  <si>
    <t>1990-11-22</t>
  </si>
  <si>
    <t>305 Brookside Court</t>
  </si>
  <si>
    <t>DQEH00142970374186</t>
  </si>
  <si>
    <t>Marie Driver</t>
  </si>
  <si>
    <t>1998-04-27</t>
  </si>
  <si>
    <t>GPYT43428078920971</t>
  </si>
  <si>
    <t>Gary Fernandez</t>
  </si>
  <si>
    <t>2010-03-03</t>
  </si>
  <si>
    <t>802 East 37th Street</t>
  </si>
  <si>
    <t>STSZ52823814965754</t>
  </si>
  <si>
    <t>Christian Rau</t>
  </si>
  <si>
    <t>2015-01-13</t>
  </si>
  <si>
    <t>5526 Thalman Drive</t>
  </si>
  <si>
    <t>PBOE57461807615642</t>
  </si>
  <si>
    <t>Claudia Lennon</t>
  </si>
  <si>
    <t>2013-04-29</t>
  </si>
  <si>
    <t>2008 Aberdeen Drive</t>
  </si>
  <si>
    <t>WUGY06547890280364</t>
  </si>
  <si>
    <t>Brenda Poston</t>
  </si>
  <si>
    <t>2018-01-13</t>
  </si>
  <si>
    <t>138 Bolton Street</t>
  </si>
  <si>
    <t>XDLC76847404990684</t>
  </si>
  <si>
    <t>Terry Shaw</t>
  </si>
  <si>
    <t>1990-07-03</t>
  </si>
  <si>
    <t>5650 West 60th Avenue</t>
  </si>
  <si>
    <t>VNZL86085621326610</t>
  </si>
  <si>
    <t>AGENT00097</t>
  </si>
  <si>
    <t>Walter Wetzel</t>
  </si>
  <si>
    <t>1999-05-01</t>
  </si>
  <si>
    <t>3546 Rosa L Parks Avenue</t>
  </si>
  <si>
    <t>SLNQ04446939633511</t>
  </si>
  <si>
    <t>Fred Watson</t>
  </si>
  <si>
    <t>1994-09-24</t>
  </si>
  <si>
    <t>9321 Amy Lane</t>
  </si>
  <si>
    <t>CZNF45094583427140</t>
  </si>
  <si>
    <t>Sandra Hayashi</t>
  </si>
  <si>
    <t>2003-01-31</t>
  </si>
  <si>
    <t>5157 West Kerry Lane</t>
  </si>
  <si>
    <t>YBDR91472107054002</t>
  </si>
  <si>
    <t>Steve Hayes</t>
  </si>
  <si>
    <t>2014-09-21</t>
  </si>
  <si>
    <t>12061 Johns Road</t>
  </si>
  <si>
    <t>UDHO82054814895933</t>
  </si>
  <si>
    <t>Gary Rogers</t>
  </si>
  <si>
    <t>2000-07-21</t>
  </si>
  <si>
    <t>7650 West 68th Avenue</t>
  </si>
  <si>
    <t>XRRJ16577189083309</t>
  </si>
  <si>
    <t>Mary Baker</t>
  </si>
  <si>
    <t>1996-04-09</t>
  </si>
  <si>
    <t>4418 15th Street Northwest</t>
  </si>
  <si>
    <t>SPCS72717026359906</t>
  </si>
  <si>
    <t>Jeffery Filgo</t>
  </si>
  <si>
    <t>1995-07-06</t>
  </si>
  <si>
    <t>4113 Holiday Drive</t>
  </si>
  <si>
    <t>HUII66210152910986</t>
  </si>
  <si>
    <t>Howard Carter</t>
  </si>
  <si>
    <t>1997-09-22</t>
  </si>
  <si>
    <t>20228 Crabtree Street</t>
  </si>
  <si>
    <t>KXZS94811967878848</t>
  </si>
  <si>
    <t>Jonathan Labonte</t>
  </si>
  <si>
    <t>1992-01-07</t>
  </si>
  <si>
    <t>6516 Nile Circle</t>
  </si>
  <si>
    <t>DFEM16996667441685</t>
  </si>
  <si>
    <t>AGENT00106</t>
  </si>
  <si>
    <t>Alice Burcham</t>
  </si>
  <si>
    <t>1997-05-09</t>
  </si>
  <si>
    <t>1504 East 55th Street</t>
  </si>
  <si>
    <t>LLNW82567313369027</t>
  </si>
  <si>
    <t>Heather Miramontes</t>
  </si>
  <si>
    <t>2000-09-11</t>
  </si>
  <si>
    <t>162 Wells Street</t>
  </si>
  <si>
    <t>LMBX96096792073917</t>
  </si>
  <si>
    <t>Tiffany Blackwell</t>
  </si>
  <si>
    <t>2003-04-08</t>
  </si>
  <si>
    <t>416 Waverly Avenue</t>
  </si>
  <si>
    <t>WITM20186430304200</t>
  </si>
  <si>
    <t>Jesse Nunes</t>
  </si>
  <si>
    <t>2003-05-10</t>
  </si>
  <si>
    <t>802 Virginia Avenue</t>
  </si>
  <si>
    <t>HNZN42464536844646</t>
  </si>
  <si>
    <t>Joseph Stauffer</t>
  </si>
  <si>
    <t>1997-02-23</t>
  </si>
  <si>
    <t>1725 Oxford Street</t>
  </si>
  <si>
    <t>#R 108</t>
  </si>
  <si>
    <t>ALQU58439924888973</t>
  </si>
  <si>
    <t>Philip Mabrey</t>
  </si>
  <si>
    <t>2013-09-07</t>
  </si>
  <si>
    <t>333 Saint Charles Avenue</t>
  </si>
  <si>
    <t>#B2</t>
  </si>
  <si>
    <t>RHJK50643422441905</t>
  </si>
  <si>
    <t>Trina Chaney</t>
  </si>
  <si>
    <t>2009-01-07</t>
  </si>
  <si>
    <t>345 Buckland Hills Drive</t>
  </si>
  <si>
    <t>#7</t>
  </si>
  <si>
    <t>UAWD51398466677419</t>
  </si>
  <si>
    <t>Ethel Cotton</t>
  </si>
  <si>
    <t>2013-01-04</t>
  </si>
  <si>
    <t>1106 Mission Drive</t>
  </si>
  <si>
    <t>UGSR40783642965200</t>
  </si>
  <si>
    <t>Paul Bream</t>
  </si>
  <si>
    <t>2003-08-30</t>
  </si>
  <si>
    <t>151 Main Street</t>
  </si>
  <si>
    <t>OVRT16024868092231</t>
  </si>
  <si>
    <t>Joyce Adams</t>
  </si>
  <si>
    <t>1992-05-29</t>
  </si>
  <si>
    <t>4316 Sunnybrook Drive</t>
  </si>
  <si>
    <t>TYWY22450802056578</t>
  </si>
  <si>
    <t>Christopher Allen</t>
  </si>
  <si>
    <t>1998-04-21</t>
  </si>
  <si>
    <t>11 Water Street</t>
  </si>
  <si>
    <t>Holbrook</t>
  </si>
  <si>
    <t>JZWU32952168308378</t>
  </si>
  <si>
    <t>Janice Hammen</t>
  </si>
  <si>
    <t>1994-06-14</t>
  </si>
  <si>
    <t>412 Virginia Avenue</t>
  </si>
  <si>
    <t>UBRW42701656864184</t>
  </si>
  <si>
    <t>Carl Balado</t>
  </si>
  <si>
    <t>2007-10-26</t>
  </si>
  <si>
    <t>1713 Apian Way</t>
  </si>
  <si>
    <t>RPES05613584687957</t>
  </si>
  <si>
    <t>Ronald Smith</t>
  </si>
  <si>
    <t>1992-01-18</t>
  </si>
  <si>
    <t>4695 East Huntsville Road</t>
  </si>
  <si>
    <t>NIXJ72088657512487</t>
  </si>
  <si>
    <t>Janet Scales</t>
  </si>
  <si>
    <t>2010-06-16</t>
  </si>
  <si>
    <t>MMNU73101889052814</t>
  </si>
  <si>
    <t>Ryan Barnes</t>
  </si>
  <si>
    <t>2009-06-01</t>
  </si>
  <si>
    <t>3871 Galactica Drive</t>
  </si>
  <si>
    <t>JFVQ57124504079273</t>
  </si>
  <si>
    <t>Tom Williams</t>
  </si>
  <si>
    <t>2004-12-14</t>
  </si>
  <si>
    <t>404 Dewey Street</t>
  </si>
  <si>
    <t>OYBM20818788650169</t>
  </si>
  <si>
    <t>Tanya Fontenot</t>
  </si>
  <si>
    <t>1991-02-23</t>
  </si>
  <si>
    <t>8391 West 52nd Avenue</t>
  </si>
  <si>
    <t>XZCQ98298098271803</t>
  </si>
  <si>
    <t>Kelly Dover</t>
  </si>
  <si>
    <t>1999-08-28</t>
  </si>
  <si>
    <t>81 Reynolds Drive</t>
  </si>
  <si>
    <t>IFPF36153563728876</t>
  </si>
  <si>
    <t>Salvador Soriano</t>
  </si>
  <si>
    <t>2013-11-17</t>
  </si>
  <si>
    <t>1906 Palmetto Avenue</t>
  </si>
  <si>
    <t>ISEH62450075102462</t>
  </si>
  <si>
    <t>Dianne Halsema</t>
  </si>
  <si>
    <t>2006-08-24</t>
  </si>
  <si>
    <t>1915 Southeast 29th Street</t>
  </si>
  <si>
    <t>MING61197704851443</t>
  </si>
  <si>
    <t>Kenneth Perez</t>
  </si>
  <si>
    <t>2005-04-11</t>
  </si>
  <si>
    <t>15557 Sutter Creek Road</t>
  </si>
  <si>
    <t>SHDG91485551835615</t>
  </si>
  <si>
    <t>Richard Kessler</t>
  </si>
  <si>
    <t>1998-01-03</t>
  </si>
  <si>
    <t>6420 Via Baron</t>
  </si>
  <si>
    <t>YAJV22766086736134</t>
  </si>
  <si>
    <t>Marie Sena</t>
  </si>
  <si>
    <t>2013-05-06</t>
  </si>
  <si>
    <t>3377 Sandstone Court</t>
  </si>
  <si>
    <t>RZWE74160085444678</t>
  </si>
  <si>
    <t>Richard Watts</t>
  </si>
  <si>
    <t>2011-03-19</t>
  </si>
  <si>
    <t>2521 Naylor Road Southeast</t>
  </si>
  <si>
    <t>PUKF19142478946120</t>
  </si>
  <si>
    <t>Donald Saxton</t>
  </si>
  <si>
    <t>1992-06-14</t>
  </si>
  <si>
    <t>304 Wilmington Island Road</t>
  </si>
  <si>
    <t>DCAN62751870067861</t>
  </si>
  <si>
    <t>Peggy Williams</t>
  </si>
  <si>
    <t>2004-12-16</t>
  </si>
  <si>
    <t>20117 Lucas Avenue</t>
  </si>
  <si>
    <t>TMNN23369854159891</t>
  </si>
  <si>
    <t>Teresa Parks</t>
  </si>
  <si>
    <t>2013-06-01</t>
  </si>
  <si>
    <t>14854 Bay View Circle</t>
  </si>
  <si>
    <t>JFZC77710743796020</t>
  </si>
  <si>
    <t>AGENT00134</t>
  </si>
  <si>
    <t>Santiago Somers</t>
  </si>
  <si>
    <t>2002-08-13</t>
  </si>
  <si>
    <t>5644 Kipling Parkway</t>
  </si>
  <si>
    <t>#108</t>
  </si>
  <si>
    <t>XFQA63597986657637</t>
  </si>
  <si>
    <t>Robert Blair</t>
  </si>
  <si>
    <t>1999-10-12</t>
  </si>
  <si>
    <t>110 Central Junction Boulevard</t>
  </si>
  <si>
    <t>MWYN16173495302954</t>
  </si>
  <si>
    <t>Denise Newsome</t>
  </si>
  <si>
    <t>1998-03-31</t>
  </si>
  <si>
    <t>646 Clinton Street</t>
  </si>
  <si>
    <t>YZYV93862018658615</t>
  </si>
  <si>
    <t>Dominick Ellis</t>
  </si>
  <si>
    <t>1998-05-20</t>
  </si>
  <si>
    <t>4132 Carmichael Road</t>
  </si>
  <si>
    <t>QETP76845349259624</t>
  </si>
  <si>
    <t>AGENT00138</t>
  </si>
  <si>
    <t>Linda Grier</t>
  </si>
  <si>
    <t>1996-07-19</t>
  </si>
  <si>
    <t>8063 Regency Drive</t>
  </si>
  <si>
    <t>LQYC45802922128910</t>
  </si>
  <si>
    <t>Norman Sledge</t>
  </si>
  <si>
    <t>1996-02-22</t>
  </si>
  <si>
    <t>201 West Montgomery Cross Road</t>
  </si>
  <si>
    <t>#170</t>
  </si>
  <si>
    <t>IRNM90562834585835</t>
  </si>
  <si>
    <t>Sergio Randolph</t>
  </si>
  <si>
    <t>1997-03-21</t>
  </si>
  <si>
    <t>6002 Jo Danielle Place</t>
  </si>
  <si>
    <t>JEPU40751768652777</t>
  </si>
  <si>
    <t>Mike Cress</t>
  </si>
  <si>
    <t>2003-04-18</t>
  </si>
  <si>
    <t>71 Racine Road</t>
  </si>
  <si>
    <t>YAMO72600055800315</t>
  </si>
  <si>
    <t>Leland Low</t>
  </si>
  <si>
    <t>2016-07-01</t>
  </si>
  <si>
    <t>6672 Urban Court</t>
  </si>
  <si>
    <t>PLLC29856287335279</t>
  </si>
  <si>
    <t>Malinda Hughes</t>
  </si>
  <si>
    <t>2012-07-07</t>
  </si>
  <si>
    <t>2511 Hearst Avenue</t>
  </si>
  <si>
    <t>#R 113</t>
  </si>
  <si>
    <t>SVJI45453277281696</t>
  </si>
  <si>
    <t>Lillie Mcdonald</t>
  </si>
  <si>
    <t>2001-12-09</t>
  </si>
  <si>
    <t>2931 Shady Oaks Drive</t>
  </si>
  <si>
    <t>Evans</t>
  </si>
  <si>
    <t>MGBL88634897191497</t>
  </si>
  <si>
    <t>Leann Hernandez</t>
  </si>
  <si>
    <t>2005-07-22</t>
  </si>
  <si>
    <t>1040 West 27th Avenue</t>
  </si>
  <si>
    <t>#APT 000401</t>
  </si>
  <si>
    <t>TXAK63423410061225</t>
  </si>
  <si>
    <t>Margaret Swindell</t>
  </si>
  <si>
    <t>2009-06-14</t>
  </si>
  <si>
    <t>409 Snook Lane</t>
  </si>
  <si>
    <t>QVFG35766455928932</t>
  </si>
  <si>
    <t>Brian Webb</t>
  </si>
  <si>
    <t>2013-05-25</t>
  </si>
  <si>
    <t>302 Depot Road</t>
  </si>
  <si>
    <t>Boxborough</t>
  </si>
  <si>
    <t>MXWR41652136283889</t>
  </si>
  <si>
    <t>Vanessa White</t>
  </si>
  <si>
    <t>1999-05-10</t>
  </si>
  <si>
    <t>14003 Crossbranch Court</t>
  </si>
  <si>
    <t>PFUC93393760492722</t>
  </si>
  <si>
    <t>AGENT00149</t>
  </si>
  <si>
    <t>Penny Diemer</t>
  </si>
  <si>
    <t>2009-12-12</t>
  </si>
  <si>
    <t>179 Blue Ridge Drive</t>
  </si>
  <si>
    <t>USCV31305768758392</t>
  </si>
  <si>
    <t>Leonardo Varghese</t>
  </si>
  <si>
    <t>2001-09-21</t>
  </si>
  <si>
    <t>332 33rd Avenue North</t>
  </si>
  <si>
    <t>EJPE24885719228817</t>
  </si>
  <si>
    <t>Lois House</t>
  </si>
  <si>
    <t>2008-02-11</t>
  </si>
  <si>
    <t>5 Tranquil Place</t>
  </si>
  <si>
    <t>TVXH79568379625411</t>
  </si>
  <si>
    <t>John Hensel</t>
  </si>
  <si>
    <t>1995-11-11</t>
  </si>
  <si>
    <t>10124 Watsonville Road</t>
  </si>
  <si>
    <t>UVWP07029161363261</t>
  </si>
  <si>
    <t>Pat Hartman</t>
  </si>
  <si>
    <t>2004-08-18</t>
  </si>
  <si>
    <t>1427 H Street</t>
  </si>
  <si>
    <t>COJY43165008841029</t>
  </si>
  <si>
    <t>Jacquelyn Webb</t>
  </si>
  <si>
    <t>2008-02-27</t>
  </si>
  <si>
    <t>1217 Southwest 91st Street</t>
  </si>
  <si>
    <t>AEBQ75971385350660</t>
  </si>
  <si>
    <t>Doris Spaulding</t>
  </si>
  <si>
    <t>2001-05-08</t>
  </si>
  <si>
    <t>1708 Melody Drive</t>
  </si>
  <si>
    <t>PWTI70127579450750</t>
  </si>
  <si>
    <t>1996-08-09</t>
  </si>
  <si>
    <t>653 Stratton Arlington Road</t>
  </si>
  <si>
    <t>GKTO74921047166260</t>
  </si>
  <si>
    <t>Johnnie Mclain</t>
  </si>
  <si>
    <t>2010-06-07</t>
  </si>
  <si>
    <t>731 Mumford Street</t>
  </si>
  <si>
    <t>#APT 000003</t>
  </si>
  <si>
    <t>AZRK89286617238422</t>
  </si>
  <si>
    <t>Jim Rippee</t>
  </si>
  <si>
    <t>2017-09-21</t>
  </si>
  <si>
    <t>15510 Champion Lakes Place</t>
  </si>
  <si>
    <t>EAYK96313131410012</t>
  </si>
  <si>
    <t>John Hemphill</t>
  </si>
  <si>
    <t>1993-03-08</t>
  </si>
  <si>
    <t>4506 Eads Place Northeast</t>
  </si>
  <si>
    <t>WTPA16296950940035</t>
  </si>
  <si>
    <t>Daniel Wilcox</t>
  </si>
  <si>
    <t>2000-06-16</t>
  </si>
  <si>
    <t>14 Hillside Terrace</t>
  </si>
  <si>
    <t>Richford</t>
  </si>
  <si>
    <t>IZOE76167794874454</t>
  </si>
  <si>
    <t>Michael Furnace</t>
  </si>
  <si>
    <t>2017-09-17</t>
  </si>
  <si>
    <t>113 Hammarlee Road</t>
  </si>
  <si>
    <t>SCNI85390333161952</t>
  </si>
  <si>
    <t>Jackie Ruiz</t>
  </si>
  <si>
    <t>1996-02-26</t>
  </si>
  <si>
    <t>3701 Lake Towne Drive</t>
  </si>
  <si>
    <t>AMCT83994932333649</t>
  </si>
  <si>
    <t>George Bastian</t>
  </si>
  <si>
    <t>2009-05-06</t>
  </si>
  <si>
    <t>165 Saint John Street</t>
  </si>
  <si>
    <t>ENTG39935273621267</t>
  </si>
  <si>
    <t>AGENT00164</t>
  </si>
  <si>
    <t>Joanne Bynoe</t>
  </si>
  <si>
    <t>208 Solitude Circle</t>
  </si>
  <si>
    <t>SDTN98964167071302</t>
  </si>
  <si>
    <t>Victoria Hicks</t>
  </si>
  <si>
    <t>2005-03-03</t>
  </si>
  <si>
    <t>36043 Soapberry Commons</t>
  </si>
  <si>
    <t>JILP51941436097769</t>
  </si>
  <si>
    <t>AGENT00166</t>
  </si>
  <si>
    <t>Alison Allison</t>
  </si>
  <si>
    <t>1995-05-18</t>
  </si>
  <si>
    <t>18713 Shilstone Way</t>
  </si>
  <si>
    <t>ZBHE10731156234340</t>
  </si>
  <si>
    <t>William Wiggins</t>
  </si>
  <si>
    <t>1993-01-13</t>
  </si>
  <si>
    <t>7435 East Tulare Avenue</t>
  </si>
  <si>
    <t>LYDU21770348434555</t>
  </si>
  <si>
    <t>Maria Mcdonald</t>
  </si>
  <si>
    <t>2009-09-20</t>
  </si>
  <si>
    <t>332 Concord Avenue</t>
  </si>
  <si>
    <t>ZGWL00073320688349</t>
  </si>
  <si>
    <t>Shanna Palacios</t>
  </si>
  <si>
    <t>1998-05-19</t>
  </si>
  <si>
    <t>2034 Fairfax Road</t>
  </si>
  <si>
    <t>TQXY26292484775616</t>
  </si>
  <si>
    <t>Kyle Allen</t>
  </si>
  <si>
    <t>2012-02-27</t>
  </si>
  <si>
    <t>110 Allen Place</t>
  </si>
  <si>
    <t>PAXH79615273190990</t>
  </si>
  <si>
    <t>John Lolley</t>
  </si>
  <si>
    <t>2007-12-27</t>
  </si>
  <si>
    <t>832 51st Street Northeast</t>
  </si>
  <si>
    <t>JZXJ74654461136435</t>
  </si>
  <si>
    <t>Sonia Barnhill</t>
  </si>
  <si>
    <t>1992-10-21</t>
  </si>
  <si>
    <t>4800 Huffman Road</t>
  </si>
  <si>
    <t>EJIE95130382071153</t>
  </si>
  <si>
    <t>James Schroepfer</t>
  </si>
  <si>
    <t>2007-05-29</t>
  </si>
  <si>
    <t>7822 Club Crest Drive</t>
  </si>
  <si>
    <t>VMTW45915669251781</t>
  </si>
  <si>
    <t>Leonard Martin</t>
  </si>
  <si>
    <t>2008-10-02</t>
  </si>
  <si>
    <t>303 Addison Drive</t>
  </si>
  <si>
    <t>QHBF55719196862096</t>
  </si>
  <si>
    <t>Mario Willis</t>
  </si>
  <si>
    <t>2004-12-05</t>
  </si>
  <si>
    <t>5721 Frank Hough Road</t>
  </si>
  <si>
    <t>XQLZ50054087067496</t>
  </si>
  <si>
    <t>Oscar Reinke</t>
  </si>
  <si>
    <t>2013-04-24</t>
  </si>
  <si>
    <t>219 Bidwell Street</t>
  </si>
  <si>
    <t>AESZ02821096465092</t>
  </si>
  <si>
    <t>Fran Maney</t>
  </si>
  <si>
    <t>1997-01-11</t>
  </si>
  <si>
    <t>52 Park Street</t>
  </si>
  <si>
    <t>IAIL25377459103962</t>
  </si>
  <si>
    <t>AGENT00178</t>
  </si>
  <si>
    <t>Jeffrey Clark</t>
  </si>
  <si>
    <t>2011-05-02</t>
  </si>
  <si>
    <t>680 Quintana Road</t>
  </si>
  <si>
    <t>Morro Bay</t>
  </si>
  <si>
    <t>VIGK15164101502073</t>
  </si>
  <si>
    <t>Gregory Maxwell</t>
  </si>
  <si>
    <t>2002-05-21</t>
  </si>
  <si>
    <t>2812 Jasper Street Southeast</t>
  </si>
  <si>
    <t>IDER71365286654914</t>
  </si>
  <si>
    <t>Chad Cardwell</t>
  </si>
  <si>
    <t>2007-11-07</t>
  </si>
  <si>
    <t>150 Somersby Boulevard</t>
  </si>
  <si>
    <t>BTMC97900389166781</t>
  </si>
  <si>
    <t>Judy Harris</t>
  </si>
  <si>
    <t>2002-01-21</t>
  </si>
  <si>
    <t>5458 Zephyr Court</t>
  </si>
  <si>
    <t>NVTN35684931814011</t>
  </si>
  <si>
    <t>Arlene Lopez</t>
  </si>
  <si>
    <t>1993-05-06</t>
  </si>
  <si>
    <t>600 Crosby Boulevard</t>
  </si>
  <si>
    <t>NJRW78881113761056</t>
  </si>
  <si>
    <t>Grady Gorsky</t>
  </si>
  <si>
    <t>2012-02-04</t>
  </si>
  <si>
    <t>107 Guaymas Place</t>
  </si>
  <si>
    <t>RMRL57102486081025</t>
  </si>
  <si>
    <t>Christopher Moore</t>
  </si>
  <si>
    <t>2008-05-24</t>
  </si>
  <si>
    <t>45430 Lauri Lane</t>
  </si>
  <si>
    <t>NWDU13653050056755</t>
  </si>
  <si>
    <t>Michael Wolfe</t>
  </si>
  <si>
    <t>2012-03-31</t>
  </si>
  <si>
    <t>1521 North Olympic Club Avenue</t>
  </si>
  <si>
    <t>#201</t>
  </si>
  <si>
    <t>PJRC74612789577629</t>
  </si>
  <si>
    <t>AGENT00186</t>
  </si>
  <si>
    <t>Clifford Price</t>
  </si>
  <si>
    <t>2009-03-10</t>
  </si>
  <si>
    <t>533 Forest Ridge Court</t>
  </si>
  <si>
    <t>AIVI67955605321178</t>
  </si>
  <si>
    <t>Marilyn Ledford</t>
  </si>
  <si>
    <t>1997-03-03</t>
  </si>
  <si>
    <t>8216 West Citrus Way</t>
  </si>
  <si>
    <t>RLTH58433333832039</t>
  </si>
  <si>
    <t>Judith Sweet</t>
  </si>
  <si>
    <t>1997-01-21</t>
  </si>
  <si>
    <t>5112 Southwest 124th Place</t>
  </si>
  <si>
    <t>EFCZ97947569108450</t>
  </si>
  <si>
    <t>Trevor Munoz</t>
  </si>
  <si>
    <t>2002-03-26</t>
  </si>
  <si>
    <t>4463 Cato Road</t>
  </si>
  <si>
    <t>IYBT37542514188685</t>
  </si>
  <si>
    <t>Mary Jackson</t>
  </si>
  <si>
    <t>2004-11-05</t>
  </si>
  <si>
    <t>1734 Tamarack Street Northwest</t>
  </si>
  <si>
    <t>NKJO75165298436333</t>
  </si>
  <si>
    <t>Eric Keith</t>
  </si>
  <si>
    <t>1990-10-21</t>
  </si>
  <si>
    <t>8041 Elton Street</t>
  </si>
  <si>
    <t>IPSX04043058539238</t>
  </si>
  <si>
    <t>Hassan Taylor</t>
  </si>
  <si>
    <t>2014-01-08</t>
  </si>
  <si>
    <t>7804 Abercorn Street</t>
  </si>
  <si>
    <t>#11</t>
  </si>
  <si>
    <t>HDXM12099111647725</t>
  </si>
  <si>
    <t>John Buck</t>
  </si>
  <si>
    <t>2017-05-22</t>
  </si>
  <si>
    <t>9300 C Street</t>
  </si>
  <si>
    <t>LUJJ77789794761154</t>
  </si>
  <si>
    <t>Denita Hall</t>
  </si>
  <si>
    <t>2008-07-28</t>
  </si>
  <si>
    <t>316 Sourwood Court</t>
  </si>
  <si>
    <t>R</t>
  </si>
  <si>
    <t>DJWY72063543186227</t>
  </si>
  <si>
    <t>Kathryn Lowe</t>
  </si>
  <si>
    <t>2017-11-28</t>
  </si>
  <si>
    <t>31 Baileys Mills Road</t>
  </si>
  <si>
    <t>GAHQ60911896915908</t>
  </si>
  <si>
    <t>Michael Davila</t>
  </si>
  <si>
    <t>2017-01-29</t>
  </si>
  <si>
    <t>182 Irving Street</t>
  </si>
  <si>
    <t>ZHGA08493883379404</t>
  </si>
  <si>
    <t>Gerald Barretto</t>
  </si>
  <si>
    <t>2009-03-26</t>
  </si>
  <si>
    <t>353 Cotswold Cmns</t>
  </si>
  <si>
    <t>BAAI34026288073944</t>
  </si>
  <si>
    <t>William Jones</t>
  </si>
  <si>
    <t>2011-11-25</t>
  </si>
  <si>
    <t>5510 Montgomery Street</t>
  </si>
  <si>
    <t>#4</t>
  </si>
  <si>
    <t>BTGV58603148834770</t>
  </si>
  <si>
    <t>Norman Hendon</t>
  </si>
  <si>
    <t>2015-02-18</t>
  </si>
  <si>
    <t>6086 Kennedy Drive</t>
  </si>
  <si>
    <t>BWQK16475640793235</t>
  </si>
  <si>
    <t>AGENT00200</t>
  </si>
  <si>
    <t>Kayla Place</t>
  </si>
  <si>
    <t>2015-01-26</t>
  </si>
  <si>
    <t>3321 Furman Boulevard</t>
  </si>
  <si>
    <t>LNGE01232861109444</t>
  </si>
  <si>
    <t>Martha Ray</t>
  </si>
  <si>
    <t>1998-04-25</t>
  </si>
  <si>
    <t>43626 Bryant Street</t>
  </si>
  <si>
    <t>TOGM97365738807213</t>
  </si>
  <si>
    <t>Michael Grimes</t>
  </si>
  <si>
    <t>2016-06-06</t>
  </si>
  <si>
    <t>4511 43rd Place Northwest</t>
  </si>
  <si>
    <t>QNKT83675204348187</t>
  </si>
  <si>
    <t>Linda Adair</t>
  </si>
  <si>
    <t>2014-04-10</t>
  </si>
  <si>
    <t>643 Farragut Street Northwest</t>
  </si>
  <si>
    <t>EXAW56017001053835</t>
  </si>
  <si>
    <t>Gary Carter</t>
  </si>
  <si>
    <t>1991-06-04</t>
  </si>
  <si>
    <t>2740 Collie Hill Way</t>
  </si>
  <si>
    <t>APT A</t>
  </si>
  <si>
    <t>WNEH49335676371770</t>
  </si>
  <si>
    <t>Rebekah Dawson</t>
  </si>
  <si>
    <t>2010-02-26</t>
  </si>
  <si>
    <t>1426 C Street Southeast</t>
  </si>
  <si>
    <t>QOVO18132119366727</t>
  </si>
  <si>
    <t>Wm Combs</t>
  </si>
  <si>
    <t>2006-03-13</t>
  </si>
  <si>
    <t>6225 West Citrus Way</t>
  </si>
  <si>
    <t>MQLF98815592482868</t>
  </si>
  <si>
    <t>2004-11-25</t>
  </si>
  <si>
    <t>1025 Rose Anne Road</t>
  </si>
  <si>
    <t>EESW97762633824478</t>
  </si>
  <si>
    <t>Irene Echeverria</t>
  </si>
  <si>
    <t>2008-01-16</t>
  </si>
  <si>
    <t>3388 Thomasson Lane</t>
  </si>
  <si>
    <t>Fairfield</t>
  </si>
  <si>
    <t>JASY13623305730371</t>
  </si>
  <si>
    <t>John Fullmer</t>
  </si>
  <si>
    <t>2011-04-05</t>
  </si>
  <si>
    <t>1738 Annabellas Drive</t>
  </si>
  <si>
    <t>NMNQ41784992350129</t>
  </si>
  <si>
    <t>Susan Morace</t>
  </si>
  <si>
    <t>2011-04-21</t>
  </si>
  <si>
    <t>3138 Banneker Drive Northeast</t>
  </si>
  <si>
    <t>BMAQ41191552040977</t>
  </si>
  <si>
    <t>Lillian Floyd</t>
  </si>
  <si>
    <t>2013-08-15</t>
  </si>
  <si>
    <t>1504 P Street Northwest</t>
  </si>
  <si>
    <t>JSML94439206575103</t>
  </si>
  <si>
    <t>Lynne Collins</t>
  </si>
  <si>
    <t>2012-05-07</t>
  </si>
  <si>
    <t>208 Waterford Drive</t>
  </si>
  <si>
    <t>PNMV36254650353386</t>
  </si>
  <si>
    <t>Christopher Flores</t>
  </si>
  <si>
    <t>1993-07-02</t>
  </si>
  <si>
    <t>QFNT47099727237312</t>
  </si>
  <si>
    <t>Margaret Burks</t>
  </si>
  <si>
    <t>1995-06-22</t>
  </si>
  <si>
    <t>4423 Lilac Avenue</t>
  </si>
  <si>
    <t>JFSW88063308750512</t>
  </si>
  <si>
    <t>Alejandro Moran</t>
  </si>
  <si>
    <t>2006-11-23</t>
  </si>
  <si>
    <t>2611 Bluefield Avenue</t>
  </si>
  <si>
    <t>KFWA66041008934552</t>
  </si>
  <si>
    <t>Claudia Layden</t>
  </si>
  <si>
    <t>2008-04-13</t>
  </si>
  <si>
    <t>319 Elderwood Court</t>
  </si>
  <si>
    <t>IUWS06450684521589</t>
  </si>
  <si>
    <t>Deborah Zeller</t>
  </si>
  <si>
    <t>2014-09-08</t>
  </si>
  <si>
    <t>33 South Hill Avenue</t>
  </si>
  <si>
    <t>FQWT10040224769176</t>
  </si>
  <si>
    <t>Tina Vallejo</t>
  </si>
  <si>
    <t>2008-10-12</t>
  </si>
  <si>
    <t>16 Pine Hill Street</t>
  </si>
  <si>
    <t>RJTG23019625021632</t>
  </si>
  <si>
    <t>Gary Grigsby</t>
  </si>
  <si>
    <t>2008-11-20</t>
  </si>
  <si>
    <t>3079 North Bentley Ridge</t>
  </si>
  <si>
    <t>XMCG40879190513403</t>
  </si>
  <si>
    <t>Debbie Beegle</t>
  </si>
  <si>
    <t>2002-11-20</t>
  </si>
  <si>
    <t>6702 Johnny Mercer Boulevard</t>
  </si>
  <si>
    <t>FSQA78369607893428</t>
  </si>
  <si>
    <t>Stephen Romney</t>
  </si>
  <si>
    <t>2015-10-11</t>
  </si>
  <si>
    <t>13116 West Palo Verde Drive</t>
  </si>
  <si>
    <t>ILUG49182581918859</t>
  </si>
  <si>
    <t>Jewell Johnson</t>
  </si>
  <si>
    <t>2012-11-19</t>
  </si>
  <si>
    <t>4405 West Solano Drive South</t>
  </si>
  <si>
    <t>UVOS49712303537381</t>
  </si>
  <si>
    <t>Elizabeth Dayton</t>
  </si>
  <si>
    <t>2007-11-12</t>
  </si>
  <si>
    <t>6029 Wright Street</t>
  </si>
  <si>
    <t>FPXV72855656026039</t>
  </si>
  <si>
    <t>Evelyn Ortiz</t>
  </si>
  <si>
    <t>2009-08-24</t>
  </si>
  <si>
    <t>10340 West 62nd Place</t>
  </si>
  <si>
    <t>BAUZ02979385845875</t>
  </si>
  <si>
    <t>Judith Piacente</t>
  </si>
  <si>
    <t>2006-03-01</t>
  </si>
  <si>
    <t>35 Lakewood Circle South</t>
  </si>
  <si>
    <t>NPGC64240650788776</t>
  </si>
  <si>
    <t>David Stephenson</t>
  </si>
  <si>
    <t>1999-06-10</t>
  </si>
  <si>
    <t>117 East Cook Avenue</t>
  </si>
  <si>
    <t>VXPO10262783761493</t>
  </si>
  <si>
    <t>Percy Rodriguez</t>
  </si>
  <si>
    <t>2018-02-20</t>
  </si>
  <si>
    <t>164 Tensaw Road</t>
  </si>
  <si>
    <t>WFZK08515785157270</t>
  </si>
  <si>
    <t>Omar Butler</t>
  </si>
  <si>
    <t>1994-02-06</t>
  </si>
  <si>
    <t>1414 East Anderson Street</t>
  </si>
  <si>
    <t>#317</t>
  </si>
  <si>
    <t>JZHF32977098270599</t>
  </si>
  <si>
    <t>Roman Hartman</t>
  </si>
  <si>
    <t>1994-09-20</t>
  </si>
  <si>
    <t>341 West Tudor Road</t>
  </si>
  <si>
    <t>#STE 000103</t>
  </si>
  <si>
    <t>SELT22288189415035</t>
  </si>
  <si>
    <t>Mark Lee</t>
  </si>
  <si>
    <t>1997-08-27</t>
  </si>
  <si>
    <t>5458 30th Street Northwest</t>
  </si>
  <si>
    <t>TGRY84542818365252</t>
  </si>
  <si>
    <t>Melissa Whitman</t>
  </si>
  <si>
    <t>2000-05-04</t>
  </si>
  <si>
    <t>OTDS37104679806550</t>
  </si>
  <si>
    <t>Mildred Drummond</t>
  </si>
  <si>
    <t>2017-01-10</t>
  </si>
  <si>
    <t>1809 Cedar Drive</t>
  </si>
  <si>
    <t>QOSB00717110307956</t>
  </si>
  <si>
    <t>Carol Battles</t>
  </si>
  <si>
    <t>1991-02-03</t>
  </si>
  <si>
    <t>2732 West 67th Avenue</t>
  </si>
  <si>
    <t>NZHV11988621239028</t>
  </si>
  <si>
    <t>Marvin Ritter</t>
  </si>
  <si>
    <t>607 North 46th Avenue</t>
  </si>
  <si>
    <t>QRBY91504647957012</t>
  </si>
  <si>
    <t>Barbara Pearce</t>
  </si>
  <si>
    <t>2008-02-28</t>
  </si>
  <si>
    <t>18687 County Road 97</t>
  </si>
  <si>
    <t>VKOM16514483048060</t>
  </si>
  <si>
    <t>Jan Jones</t>
  </si>
  <si>
    <t>1991-10-04</t>
  </si>
  <si>
    <t>6624 Strawberry Lane</t>
  </si>
  <si>
    <t>AXUE10516084182276</t>
  </si>
  <si>
    <t>Julie Matthews</t>
  </si>
  <si>
    <t>2013-06-29</t>
  </si>
  <si>
    <t>1780 Poplar Ridge Road</t>
  </si>
  <si>
    <t>VKUS02526513306634</t>
  </si>
  <si>
    <t>Robert Sampsell</t>
  </si>
  <si>
    <t>2002-11-03</t>
  </si>
  <si>
    <t>83 Kennedy Road</t>
  </si>
  <si>
    <t>GEQA32233051572866</t>
  </si>
  <si>
    <t>Mildred Howell</t>
  </si>
  <si>
    <t>2009-05-21</t>
  </si>
  <si>
    <t>9740 Rhythm Road</t>
  </si>
  <si>
    <t>VMCH14705299609812</t>
  </si>
  <si>
    <t>Ruth Ferrell</t>
  </si>
  <si>
    <t>2012-11-26</t>
  </si>
  <si>
    <t>205 Homestead Street</t>
  </si>
  <si>
    <t>#B3</t>
  </si>
  <si>
    <t>METB40247168251211</t>
  </si>
  <si>
    <t>Kevin Howard</t>
  </si>
  <si>
    <t>2012-02-24</t>
  </si>
  <si>
    <t>2036 Gorgas Street</t>
  </si>
  <si>
    <t>BWBJ65233954548645</t>
  </si>
  <si>
    <t>Nellie Holt</t>
  </si>
  <si>
    <t>2017-09-04</t>
  </si>
  <si>
    <t>709 Mildred Street</t>
  </si>
  <si>
    <t>CVDB19591836111810</t>
  </si>
  <si>
    <t>Lindsay Bolin</t>
  </si>
  <si>
    <t>2014-01-25</t>
  </si>
  <si>
    <t>824 Main Street</t>
  </si>
  <si>
    <t>KUQG53559621086903</t>
  </si>
  <si>
    <t>David Dutton</t>
  </si>
  <si>
    <t>2017-05-31</t>
  </si>
  <si>
    <t>4876 Norris Road</t>
  </si>
  <si>
    <t>NHMU15278349805447</t>
  </si>
  <si>
    <t>Angelica Rayburn</t>
  </si>
  <si>
    <t>2005-09-12</t>
  </si>
  <si>
    <t>7 South University Avenue</t>
  </si>
  <si>
    <t>#13</t>
  </si>
  <si>
    <t>IVIO15904971117334</t>
  </si>
  <si>
    <t>Rafael Scott</t>
  </si>
  <si>
    <t>2001-03-04</t>
  </si>
  <si>
    <t>3440 Brookhaven Road</t>
  </si>
  <si>
    <t>HOQD36732602223233</t>
  </si>
  <si>
    <t>Brenda Estrada</t>
  </si>
  <si>
    <t>2003-08-04</t>
  </si>
  <si>
    <t>2245 Southwest Binkley Street</t>
  </si>
  <si>
    <t>QWNN87023534166202</t>
  </si>
  <si>
    <t>AGENT00248</t>
  </si>
  <si>
    <t>Orville Noto</t>
  </si>
  <si>
    <t>1991-05-17</t>
  </si>
  <si>
    <t>3959 Fairlands Drive</t>
  </si>
  <si>
    <t>EJSM50999194892837</t>
  </si>
  <si>
    <t>Clayton Bickers</t>
  </si>
  <si>
    <t>2010-04-13</t>
  </si>
  <si>
    <t>82 Lookout Mountain Drive</t>
  </si>
  <si>
    <t>UQVC89157527330054</t>
  </si>
  <si>
    <t>Adrian Calderon</t>
  </si>
  <si>
    <t>2002-06-28</t>
  </si>
  <si>
    <t>XJQX83120411040885</t>
  </si>
  <si>
    <t>James Alexander</t>
  </si>
  <si>
    <t>2015-02-24</t>
  </si>
  <si>
    <t>201 Lee Boulevard</t>
  </si>
  <si>
    <t>VLGI44707698706022</t>
  </si>
  <si>
    <t>AGENT00252</t>
  </si>
  <si>
    <t>Harold Bonn</t>
  </si>
  <si>
    <t>1991-10-07</t>
  </si>
  <si>
    <t>3815 Williams Street</t>
  </si>
  <si>
    <t>AZAJ71244348138481</t>
  </si>
  <si>
    <t>Michael Cauffman</t>
  </si>
  <si>
    <t>1996-10-09</t>
  </si>
  <si>
    <t>2802 US Highway 98</t>
  </si>
  <si>
    <t>BLDG F</t>
  </si>
  <si>
    <t>DKAK08589868996878</t>
  </si>
  <si>
    <t>Freda Dudley</t>
  </si>
  <si>
    <t>2013-01-17</t>
  </si>
  <si>
    <t>1363 Dean Forest Road</t>
  </si>
  <si>
    <t>AHEF60771774635030</t>
  </si>
  <si>
    <t>Dorothy Inabinet</t>
  </si>
  <si>
    <t>2009-10-05</t>
  </si>
  <si>
    <t>2613 Cottonwood Street</t>
  </si>
  <si>
    <t>YBPZ21449800711384</t>
  </si>
  <si>
    <t>Margaret Styons</t>
  </si>
  <si>
    <t>1995-09-09</t>
  </si>
  <si>
    <t>803 Kay Lane</t>
  </si>
  <si>
    <t>LLIU27368345999658</t>
  </si>
  <si>
    <t>AGENT00257</t>
  </si>
  <si>
    <t>Floyd Ruiz</t>
  </si>
  <si>
    <t>2002-06-22</t>
  </si>
  <si>
    <t>954 Dowler Drive</t>
  </si>
  <si>
    <t>NPRV40932107822625</t>
  </si>
  <si>
    <t>Daniel Kissee</t>
  </si>
  <si>
    <t>2014-09-13</t>
  </si>
  <si>
    <t>66 Ocala Drive</t>
  </si>
  <si>
    <t>KUTO70478339995941</t>
  </si>
  <si>
    <t>Jerome Chittenden</t>
  </si>
  <si>
    <t>2012-09-04</t>
  </si>
  <si>
    <t>1349 Burkhart Avenue</t>
  </si>
  <si>
    <t>UGTS19286892131039</t>
  </si>
  <si>
    <t>Cleveland Feyh</t>
  </si>
  <si>
    <t>1991-08-28</t>
  </si>
  <si>
    <t>595 West 54th Street</t>
  </si>
  <si>
    <t>NWAC18728876175042</t>
  </si>
  <si>
    <t>Jorge Yusef</t>
  </si>
  <si>
    <t>2000-11-21</t>
  </si>
  <si>
    <t>204 North Holt Street</t>
  </si>
  <si>
    <t>DURH33454307433857</t>
  </si>
  <si>
    <t>Stuart Lopez</t>
  </si>
  <si>
    <t>2002-06-23</t>
  </si>
  <si>
    <t>4900 Cambridge Way</t>
  </si>
  <si>
    <t>VWII94517745930110</t>
  </si>
  <si>
    <t>Marita Swearengin</t>
  </si>
  <si>
    <t>1991-11-04</t>
  </si>
  <si>
    <t>2443 Sierra Nevada Road</t>
  </si>
  <si>
    <t>#N5</t>
  </si>
  <si>
    <t>DUHO49821807349704</t>
  </si>
  <si>
    <t>Alfredo Roy</t>
  </si>
  <si>
    <t>2002-05-31</t>
  </si>
  <si>
    <t>1194 Cragmont Avenue</t>
  </si>
  <si>
    <t>M</t>
  </si>
  <si>
    <t>QIJJ36053901151211</t>
  </si>
  <si>
    <t>Roberta Lewis</t>
  </si>
  <si>
    <t>2000-06-01</t>
  </si>
  <si>
    <t>6609 Westshire Drive</t>
  </si>
  <si>
    <t>INKC72804181399367</t>
  </si>
  <si>
    <t>Theresa Pelfrey</t>
  </si>
  <si>
    <t>2015-09-01</t>
  </si>
  <si>
    <t>7529 West 72nd Avenue</t>
  </si>
  <si>
    <t>BRGO46743678530228</t>
  </si>
  <si>
    <t>Richard Sideris</t>
  </si>
  <si>
    <t>1999-10-09</t>
  </si>
  <si>
    <t>6435 West Hillsborough Avenue</t>
  </si>
  <si>
    <t>#Lot 11</t>
  </si>
  <si>
    <t>PDRO70439464398469</t>
  </si>
  <si>
    <t>Ryan Lehman</t>
  </si>
  <si>
    <t>2004-08-29</t>
  </si>
  <si>
    <t>3500 Blanchard Drive Southwest</t>
  </si>
  <si>
    <t>XSKC94811893184253</t>
  </si>
  <si>
    <t>Lorraine Johnson</t>
  </si>
  <si>
    <t>2011-09-27</t>
  </si>
  <si>
    <t>114 Middle Road</t>
  </si>
  <si>
    <t>RVWP11210385537621</t>
  </si>
  <si>
    <t>Robert Inks</t>
  </si>
  <si>
    <t>2017-01-18</t>
  </si>
  <si>
    <t>6315 North Oro Vista Court</t>
  </si>
  <si>
    <t>HEGJ16427601758994</t>
  </si>
  <si>
    <t>John Krammes</t>
  </si>
  <si>
    <t>2008-02-08</t>
  </si>
  <si>
    <t>5631 West Colter Street</t>
  </si>
  <si>
    <t>#2129</t>
  </si>
  <si>
    <t>TECT01077710803789</t>
  </si>
  <si>
    <t>Jordon Morris</t>
  </si>
  <si>
    <t>2007-08-03</t>
  </si>
  <si>
    <t>DERU48468464061363</t>
  </si>
  <si>
    <t>Belinda Robertson</t>
  </si>
  <si>
    <t>2002-11-06</t>
  </si>
  <si>
    <t>3142 West Finger Road</t>
  </si>
  <si>
    <t>FNZX38989351360985</t>
  </si>
  <si>
    <t>Jenny Blessing</t>
  </si>
  <si>
    <t>1999-10-01</t>
  </si>
  <si>
    <t>398 Gove Hill Road</t>
  </si>
  <si>
    <t>BEYV68962518495175</t>
  </si>
  <si>
    <t>John Kirby</t>
  </si>
  <si>
    <t>2002-01-05</t>
  </si>
  <si>
    <t>100 Fenwick Village Drive</t>
  </si>
  <si>
    <t>IVHW30780059896161</t>
  </si>
  <si>
    <t>Michael Robbins</t>
  </si>
  <si>
    <t>1996-07-07</t>
  </si>
  <si>
    <t>3337 Woodpark Court</t>
  </si>
  <si>
    <t>TDSW80535235884482</t>
  </si>
  <si>
    <t>Joseph Elmore</t>
  </si>
  <si>
    <t>2015-05-22</t>
  </si>
  <si>
    <t>8506 West 54th Avenue</t>
  </si>
  <si>
    <t>#205</t>
  </si>
  <si>
    <t>DYVJ46647899487365</t>
  </si>
  <si>
    <t>Patricia Tucker</t>
  </si>
  <si>
    <t>2007-06-12</t>
  </si>
  <si>
    <t>YEPN16077902472499</t>
  </si>
  <si>
    <t>Claude High</t>
  </si>
  <si>
    <t>1995-04-09</t>
  </si>
  <si>
    <t>310 Timrod Road</t>
  </si>
  <si>
    <t>DNMC87222324499501</t>
  </si>
  <si>
    <t>Randy Wren</t>
  </si>
  <si>
    <t>2008-06-18</t>
  </si>
  <si>
    <t>412 West Ila Street</t>
  </si>
  <si>
    <t>VDUY15456292336402</t>
  </si>
  <si>
    <t>AGENT00281</t>
  </si>
  <si>
    <t>Ann Campos</t>
  </si>
  <si>
    <t>2009-06-05</t>
  </si>
  <si>
    <t>3605 Normandy Place South</t>
  </si>
  <si>
    <t>MTKF19981306616069</t>
  </si>
  <si>
    <t>Marty Lanier</t>
  </si>
  <si>
    <t>2016-07-22</t>
  </si>
  <si>
    <t>5472 Sunstar Common</t>
  </si>
  <si>
    <t>ZEWC78514705856352</t>
  </si>
  <si>
    <t>Stefani Good</t>
  </si>
  <si>
    <t>2000-03-11</t>
  </si>
  <si>
    <t>7770 West Bell Road</t>
  </si>
  <si>
    <t>CSAT63812134769169</t>
  </si>
  <si>
    <t>Laura Carroll</t>
  </si>
  <si>
    <t>2007-05-31</t>
  </si>
  <si>
    <t>7144 Marlborough Terrace</t>
  </si>
  <si>
    <t>EXSJ20983551845112</t>
  </si>
  <si>
    <t>Anthony Leatherwood</t>
  </si>
  <si>
    <t>2009-03-21</t>
  </si>
  <si>
    <t>2008 Ashton Avenue</t>
  </si>
  <si>
    <t>WRIP09952843498623</t>
  </si>
  <si>
    <t>Hans Woodward</t>
  </si>
  <si>
    <t>1994-04-13</t>
  </si>
  <si>
    <t>2A Cleveland Park Rd</t>
  </si>
  <si>
    <t>Freetown</t>
  </si>
  <si>
    <t>XRVA66616546586512</t>
  </si>
  <si>
    <t>Barbera Payne</t>
  </si>
  <si>
    <t>2007-04-19</t>
  </si>
  <si>
    <t>8112 Equestrian Drive</t>
  </si>
  <si>
    <t>HQYG34167239938619</t>
  </si>
  <si>
    <t>Michael Fowler</t>
  </si>
  <si>
    <t>2002-10-08</t>
  </si>
  <si>
    <t>1500 South Division Street</t>
  </si>
  <si>
    <t>Guthrie</t>
  </si>
  <si>
    <t>GBXZ93703464051375</t>
  </si>
  <si>
    <t>Kayla Pearson</t>
  </si>
  <si>
    <t>1998-09-06</t>
  </si>
  <si>
    <t>5556 West Northview Avenue</t>
  </si>
  <si>
    <t>DMKD84569037114488</t>
  </si>
  <si>
    <t>Marjorie Roberts</t>
  </si>
  <si>
    <t>1990-06-25</t>
  </si>
  <si>
    <t>6604 Northwest 130th Street</t>
  </si>
  <si>
    <t>DWIE17910023519002</t>
  </si>
  <si>
    <t>Jeff Johnson</t>
  </si>
  <si>
    <t>1995-01-06</t>
  </si>
  <si>
    <t>9302 West 58th Avenue</t>
  </si>
  <si>
    <t>GYIH94027264344515</t>
  </si>
  <si>
    <t>Agnes Alsip</t>
  </si>
  <si>
    <t>2018-01-23</t>
  </si>
  <si>
    <t>57 Hidden Lake Court</t>
  </si>
  <si>
    <t>EJPU56178255713432</t>
  </si>
  <si>
    <t>Judy Drinkwater</t>
  </si>
  <si>
    <t>1993-10-31</t>
  </si>
  <si>
    <t>8467 Chase Drive</t>
  </si>
  <si>
    <t>CXHX31274722743745</t>
  </si>
  <si>
    <t>Gary Scott</t>
  </si>
  <si>
    <t>2008-04-25</t>
  </si>
  <si>
    <t>7800 River Mist Avenue</t>
  </si>
  <si>
    <t>PARI90724186883025</t>
  </si>
  <si>
    <t>Alfred Hensley</t>
  </si>
  <si>
    <t>2001-06-30</t>
  </si>
  <si>
    <t>815 West Market Street</t>
  </si>
  <si>
    <t>#6</t>
  </si>
  <si>
    <t>YPQU81854413719701</t>
  </si>
  <si>
    <t>Vernon Stanfield</t>
  </si>
  <si>
    <t>2005-04-21</t>
  </si>
  <si>
    <t>1915 Dean Forest Road</t>
  </si>
  <si>
    <t>OJLQ51615469531457</t>
  </si>
  <si>
    <t>David Parkin</t>
  </si>
  <si>
    <t>1995-02-14</t>
  </si>
  <si>
    <t>15 Cranberry Hill Road</t>
  </si>
  <si>
    <t>SNDD57954845762194</t>
  </si>
  <si>
    <t>Mickey Flanigan</t>
  </si>
  <si>
    <t>2013-12-13</t>
  </si>
  <si>
    <t>7720 Allison Street</t>
  </si>
  <si>
    <t>#105</t>
  </si>
  <si>
    <t>WGRV76341037686492</t>
  </si>
  <si>
    <t>Virginia Huston</t>
  </si>
  <si>
    <t>2000-02-20</t>
  </si>
  <si>
    <t>29 Lucian Street</t>
  </si>
  <si>
    <t>OEQY12119736922567</t>
  </si>
  <si>
    <t>Sean Tate</t>
  </si>
  <si>
    <t>2007-08-11</t>
  </si>
  <si>
    <t>3722 Kisling Loop</t>
  </si>
  <si>
    <t>UOWC48757314577153</t>
  </si>
  <si>
    <t>Devorah Mignot</t>
  </si>
  <si>
    <t>1995-10-19</t>
  </si>
  <si>
    <t>NRUK51746904761365</t>
  </si>
  <si>
    <t>Brenda Trent</t>
  </si>
  <si>
    <t>7506 Harvey Street</t>
  </si>
  <si>
    <t>BIVD24339360938518</t>
  </si>
  <si>
    <t>Deana Hetzler</t>
  </si>
  <si>
    <t>2007-04-11</t>
  </si>
  <si>
    <t>8293 Grayson Grove</t>
  </si>
  <si>
    <t>LSUS34811724040758</t>
  </si>
  <si>
    <t>Andrea Storey</t>
  </si>
  <si>
    <t>2010-08-22</t>
  </si>
  <si>
    <t>32512 Christine Drive</t>
  </si>
  <si>
    <t>IYTL50462408661308</t>
  </si>
  <si>
    <t>Randall Gutierrez</t>
  </si>
  <si>
    <t>1997-08-15</t>
  </si>
  <si>
    <t>3111 Gentilly Court</t>
  </si>
  <si>
    <t>RHGZ58145713328181</t>
  </si>
  <si>
    <t>Mary Talley</t>
  </si>
  <si>
    <t>2010-02-07</t>
  </si>
  <si>
    <t>2014 Clemens Road</t>
  </si>
  <si>
    <t>EXRD38087098184129</t>
  </si>
  <si>
    <t>John Roberts</t>
  </si>
  <si>
    <t>2005-07-16</t>
  </si>
  <si>
    <t>11933 West 71st Avenue</t>
  </si>
  <si>
    <t>PVRG49722540071013</t>
  </si>
  <si>
    <t>Ernesto Brown</t>
  </si>
  <si>
    <t>4182 North Valley Lake Drive</t>
  </si>
  <si>
    <t>BBGB88504168531175</t>
  </si>
  <si>
    <t>Lee Nieland</t>
  </si>
  <si>
    <t>2018-01-30</t>
  </si>
  <si>
    <t>1852 Cherry Road</t>
  </si>
  <si>
    <t>XHMI64603654388189</t>
  </si>
  <si>
    <t>Donna Tanaka</t>
  </si>
  <si>
    <t>2006-09-23</t>
  </si>
  <si>
    <t>523 10th Street</t>
  </si>
  <si>
    <t>FSMJ43913088999687</t>
  </si>
  <si>
    <t>Harry Butts</t>
  </si>
  <si>
    <t>2000-10-02</t>
  </si>
  <si>
    <t>3065 East Pebblestone Drive</t>
  </si>
  <si>
    <t>OEPX84532578164043</t>
  </si>
  <si>
    <t>Danielle Caddell</t>
  </si>
  <si>
    <t>1998-07-09</t>
  </si>
  <si>
    <t>NFUY75139296831747</t>
  </si>
  <si>
    <t>Jean Cedeno</t>
  </si>
  <si>
    <t>2011-03-10</t>
  </si>
  <si>
    <t>12371 Atlanta Highway</t>
  </si>
  <si>
    <t>WQLL86041147288019</t>
  </si>
  <si>
    <t>Rosemary Turman</t>
  </si>
  <si>
    <t>1998-07-16</t>
  </si>
  <si>
    <t>CEKK26900746315541</t>
  </si>
  <si>
    <t>Jean Mcdonald</t>
  </si>
  <si>
    <t>2016-09-02</t>
  </si>
  <si>
    <t>310 West Trinity Lane</t>
  </si>
  <si>
    <t>TGAG92624349214341</t>
  </si>
  <si>
    <t>AGENT00316</t>
  </si>
  <si>
    <t>Elizabeth King</t>
  </si>
  <si>
    <t>2017-01-23</t>
  </si>
  <si>
    <t>1010 10th Street Northeast</t>
  </si>
  <si>
    <t>OBER96265606106283</t>
  </si>
  <si>
    <t>Rita Hix</t>
  </si>
  <si>
    <t>2009-04-30</t>
  </si>
  <si>
    <t>400 D Street</t>
  </si>
  <si>
    <t>#STE 1B</t>
  </si>
  <si>
    <t>CSEY12174387126856</t>
  </si>
  <si>
    <t>Annie Sykes</t>
  </si>
  <si>
    <t>2010-01-14</t>
  </si>
  <si>
    <t>7854 Webster Way</t>
  </si>
  <si>
    <t>RFLE45089183651129</t>
  </si>
  <si>
    <t>Frances Kimble</t>
  </si>
  <si>
    <t>2010-03-17</t>
  </si>
  <si>
    <t>24147 Clinton Court</t>
  </si>
  <si>
    <t>UQCT68193176921717</t>
  </si>
  <si>
    <t>Melody Lopez</t>
  </si>
  <si>
    <t>1998-01-13</t>
  </si>
  <si>
    <t>7841 West Kristal Way</t>
  </si>
  <si>
    <t>ZFUB55016113437449</t>
  </si>
  <si>
    <t>George Ellis</t>
  </si>
  <si>
    <t>2004-11-22</t>
  </si>
  <si>
    <t>6880 Xavier Circle</t>
  </si>
  <si>
    <t>#2</t>
  </si>
  <si>
    <t>WELP57323653332858</t>
  </si>
  <si>
    <t>Edgar Talley</t>
  </si>
  <si>
    <t>2013-06-02</t>
  </si>
  <si>
    <t>44 Elm Street</t>
  </si>
  <si>
    <t>East Longmeadow</t>
  </si>
  <si>
    <t>FBBJ92261917454231</t>
  </si>
  <si>
    <t>Blanche Pace</t>
  </si>
  <si>
    <t>2010-10-06</t>
  </si>
  <si>
    <t>4012 Heritage Place Drive</t>
  </si>
  <si>
    <t>HTDP55082821036681</t>
  </si>
  <si>
    <t>Barbara Hernandez</t>
  </si>
  <si>
    <t>1994-12-13</t>
  </si>
  <si>
    <t>105 Ridgecrest Court</t>
  </si>
  <si>
    <t>JANY27171527955107</t>
  </si>
  <si>
    <t>Beverly Veil</t>
  </si>
  <si>
    <t>2006-03-12</t>
  </si>
  <si>
    <t>WGZU29143512909346</t>
  </si>
  <si>
    <t>Rowena Nakken</t>
  </si>
  <si>
    <t>2015-03-29</t>
  </si>
  <si>
    <t>6041 North 72nd Lane</t>
  </si>
  <si>
    <t>YAKH13775954963825</t>
  </si>
  <si>
    <t>Julie Kimsey</t>
  </si>
  <si>
    <t>2013-01-08</t>
  </si>
  <si>
    <t>KPYQ83740387230591</t>
  </si>
  <si>
    <t>James Obrien</t>
  </si>
  <si>
    <t>1996-12-27</t>
  </si>
  <si>
    <t>BZKH15202412505347</t>
  </si>
  <si>
    <t>James Gilmartin</t>
  </si>
  <si>
    <t>2011-12-12</t>
  </si>
  <si>
    <t>1710 Massachusetts Avenue Southeast</t>
  </si>
  <si>
    <t>WYSE60824318400251</t>
  </si>
  <si>
    <t>Amy Ballance</t>
  </si>
  <si>
    <t>2014-11-25</t>
  </si>
  <si>
    <t>1304 Northern Hills Road</t>
  </si>
  <si>
    <t>TQUV41896107081017</t>
  </si>
  <si>
    <t>AGENT00331</t>
  </si>
  <si>
    <t>Colton Murphy</t>
  </si>
  <si>
    <t>2012-07-02</t>
  </si>
  <si>
    <t>LDGC08197419384109</t>
  </si>
  <si>
    <t>Willie Mortensen</t>
  </si>
  <si>
    <t>2008-09-10</t>
  </si>
  <si>
    <t>20933 River Park Drive</t>
  </si>
  <si>
    <t>QWDE88574026819023</t>
  </si>
  <si>
    <t>Catherine Rojas</t>
  </si>
  <si>
    <t>1996-10-20</t>
  </si>
  <si>
    <t>JVHE37383396422364</t>
  </si>
  <si>
    <t>Barbara Corriveau</t>
  </si>
  <si>
    <t>1996-01-09</t>
  </si>
  <si>
    <t>62 High Street</t>
  </si>
  <si>
    <t>DXYM05173134231954</t>
  </si>
  <si>
    <t>Jermaine Davis</t>
  </si>
  <si>
    <t>2002-08-17</t>
  </si>
  <si>
    <t>507 Castlebrook Drive</t>
  </si>
  <si>
    <t>NOGB21383964127613</t>
  </si>
  <si>
    <t>Wanda Koehl</t>
  </si>
  <si>
    <t>2015-02-12</t>
  </si>
  <si>
    <t>8709 Peeble Lane</t>
  </si>
  <si>
    <t>WHMG69840697587968</t>
  </si>
  <si>
    <t>Misty Ohara</t>
  </si>
  <si>
    <t>2000-03-01</t>
  </si>
  <si>
    <t>2196 East Jonquil Road</t>
  </si>
  <si>
    <t>PHPT29879348970185</t>
  </si>
  <si>
    <t>Kristine Hamilton</t>
  </si>
  <si>
    <t>2003-04-10</t>
  </si>
  <si>
    <t>111 Rosemary Street</t>
  </si>
  <si>
    <t>MMJY02760648775816</t>
  </si>
  <si>
    <t>James Mason</t>
  </si>
  <si>
    <t>1998-08-02</t>
  </si>
  <si>
    <t>16 Ambassador Drive</t>
  </si>
  <si>
    <t>BLDG</t>
  </si>
  <si>
    <t>WZIQ14868146670560</t>
  </si>
  <si>
    <t>John Ozment</t>
  </si>
  <si>
    <t>1995-05-26</t>
  </si>
  <si>
    <t>1257 John Street</t>
  </si>
  <si>
    <t>HEOE23703878575795</t>
  </si>
  <si>
    <t>Caitlin Heiden</t>
  </si>
  <si>
    <t>2013-12-09</t>
  </si>
  <si>
    <t>7187 Holland Court</t>
  </si>
  <si>
    <t>JCYJ11703676767406</t>
  </si>
  <si>
    <t>James Horn</t>
  </si>
  <si>
    <t>1999-07-14</t>
  </si>
  <si>
    <t>3537 West Chevaux Drive</t>
  </si>
  <si>
    <t>QCMT64286396497603</t>
  </si>
  <si>
    <t>AGENT00343</t>
  </si>
  <si>
    <t>Heather Piper</t>
  </si>
  <si>
    <t>2006-10-15</t>
  </si>
  <si>
    <t>25793 Durrwood Court</t>
  </si>
  <si>
    <t>ZJUW48526906348975</t>
  </si>
  <si>
    <t>Socorro Jones</t>
  </si>
  <si>
    <t>2009-08-19</t>
  </si>
  <si>
    <t>9036 Calico Court</t>
  </si>
  <si>
    <t>MKOK75330346342045</t>
  </si>
  <si>
    <t>Alfredo Dilsaver</t>
  </si>
  <si>
    <t>1992-02-08</t>
  </si>
  <si>
    <t>1324 Beddington Park</t>
  </si>
  <si>
    <t>VVAR69738570528964</t>
  </si>
  <si>
    <t>Ruby Candelaria</t>
  </si>
  <si>
    <t>6460 Vermont 113</t>
  </si>
  <si>
    <t>Vershire</t>
  </si>
  <si>
    <t>TMQF02822563758157</t>
  </si>
  <si>
    <t>Tammie Ansbro</t>
  </si>
  <si>
    <t>2001-12-05</t>
  </si>
  <si>
    <t>DDUN82472386873418</t>
  </si>
  <si>
    <t>Cindy Darden</t>
  </si>
  <si>
    <t>2012-06-04</t>
  </si>
  <si>
    <t>189 Danforth Street</t>
  </si>
  <si>
    <t>Framingham</t>
  </si>
  <si>
    <t>WLCQ94922778123091</t>
  </si>
  <si>
    <t>Ralph Peyser</t>
  </si>
  <si>
    <t>1999-11-08</t>
  </si>
  <si>
    <t>25800 Industrial Boulevard</t>
  </si>
  <si>
    <t>V</t>
  </si>
  <si>
    <t>BNPC16175693569448</t>
  </si>
  <si>
    <t>Jessica Lipkin</t>
  </si>
  <si>
    <t>2012-03-05</t>
  </si>
  <si>
    <t>20097 Butterfield Drive</t>
  </si>
  <si>
    <t>WLFF02268378201690</t>
  </si>
  <si>
    <t>Sally Hayden</t>
  </si>
  <si>
    <t>2015-10-19</t>
  </si>
  <si>
    <t>1709 7th Avenue Northwest</t>
  </si>
  <si>
    <t>REFX57687915628904</t>
  </si>
  <si>
    <t>Twila Martin</t>
  </si>
  <si>
    <t>2010-05-13</t>
  </si>
  <si>
    <t>15509 East 7th Circle</t>
  </si>
  <si>
    <t>APNJ58942128579435</t>
  </si>
  <si>
    <t>Sara Fincher</t>
  </si>
  <si>
    <t>2018-05-12</t>
  </si>
  <si>
    <t>8509 Olde Gate</t>
  </si>
  <si>
    <t>LQZS06791544469089</t>
  </si>
  <si>
    <t>Steven Reed</t>
  </si>
  <si>
    <t>1996-06-21</t>
  </si>
  <si>
    <t>10304 North 179th Drive</t>
  </si>
  <si>
    <t>GMWA06254070069388</t>
  </si>
  <si>
    <t>Gilberte Emerson</t>
  </si>
  <si>
    <t>2009-12-26</t>
  </si>
  <si>
    <t>YLRS87443467882327</t>
  </si>
  <si>
    <t>Helen Goldman</t>
  </si>
  <si>
    <t>2007-06-20</t>
  </si>
  <si>
    <t>QMDY10930390312428</t>
  </si>
  <si>
    <t>Monty Smith</t>
  </si>
  <si>
    <t>2009-08-29</t>
  </si>
  <si>
    <t>243 Kentucky Avenue</t>
  </si>
  <si>
    <t>HCPY79538816725677</t>
  </si>
  <si>
    <t>Mary Tademy</t>
  </si>
  <si>
    <t>1996-10-24</t>
  </si>
  <si>
    <t>12493 West 84th Circle</t>
  </si>
  <si>
    <t>UMFF66290948364439</t>
  </si>
  <si>
    <t>Jennifer Harrison</t>
  </si>
  <si>
    <t>1998-04-24</t>
  </si>
  <si>
    <t>2400 Merry Street</t>
  </si>
  <si>
    <t>GRIB89071322999289</t>
  </si>
  <si>
    <t>Carlene Juarez</t>
  </si>
  <si>
    <t>425 Middle Turnpike East</t>
  </si>
  <si>
    <t>VPWH81170103480111</t>
  </si>
  <si>
    <t>Margaret Glover</t>
  </si>
  <si>
    <t>1995-10-13</t>
  </si>
  <si>
    <t>6818 North Lagoon Drive</t>
  </si>
  <si>
    <t>NIML29802849665247</t>
  </si>
  <si>
    <t>Rosie Charles</t>
  </si>
  <si>
    <t>2006-09-16</t>
  </si>
  <si>
    <t>639 Saltzman Road</t>
  </si>
  <si>
    <t>RZZP82985847744020</t>
  </si>
  <si>
    <t>Elizabeth Kettle</t>
  </si>
  <si>
    <t>2016-08-04</t>
  </si>
  <si>
    <t>6862 North 44th Avenue</t>
  </si>
  <si>
    <t>#3</t>
  </si>
  <si>
    <t>MFJX34202114178317</t>
  </si>
  <si>
    <t>Carole Silva</t>
  </si>
  <si>
    <t>2001-11-05</t>
  </si>
  <si>
    <t>8007 Kendrick Crossing Lane</t>
  </si>
  <si>
    <t>JVLQ82793329373091</t>
  </si>
  <si>
    <t>Arthur Anderson</t>
  </si>
  <si>
    <t>2018-01-07</t>
  </si>
  <si>
    <t>1693 Alice Court</t>
  </si>
  <si>
    <t>RZNF89391087830425</t>
  </si>
  <si>
    <t>AGENT00366</t>
  </si>
  <si>
    <t>Marcus Sitko</t>
  </si>
  <si>
    <t>2015-09-24</t>
  </si>
  <si>
    <t>10202 Vista Drive</t>
  </si>
  <si>
    <t>JFPC82450682158442</t>
  </si>
  <si>
    <t>Nancy Marbley</t>
  </si>
  <si>
    <t>1992-12-19</t>
  </si>
  <si>
    <t>368 Winthrop Court</t>
  </si>
  <si>
    <t>LIZA69382527886640</t>
  </si>
  <si>
    <t>Helen Curry</t>
  </si>
  <si>
    <t>1996-10-12</t>
  </si>
  <si>
    <t>324 East Drive</t>
  </si>
  <si>
    <t>IQTG72913714973337</t>
  </si>
  <si>
    <t>Joel Buss</t>
  </si>
  <si>
    <t>2009-03-24</t>
  </si>
  <si>
    <t>2 Ambelwood Way</t>
  </si>
  <si>
    <t>KPXM67631895215308</t>
  </si>
  <si>
    <t>Nadine Bovee</t>
  </si>
  <si>
    <t>1996-08-27</t>
  </si>
  <si>
    <t>PSPH36233790519990</t>
  </si>
  <si>
    <t>AGENT00371</t>
  </si>
  <si>
    <t>Alan Henriquez</t>
  </si>
  <si>
    <t>2012-05-12</t>
  </si>
  <si>
    <t>11515 Leemont Drive</t>
  </si>
  <si>
    <t>QUEZ36147774241734</t>
  </si>
  <si>
    <t>AGENT00372</t>
  </si>
  <si>
    <t>Elizabeth Frazier</t>
  </si>
  <si>
    <t>6101 North 60th Avenue</t>
  </si>
  <si>
    <t>KRBP05821940003729</t>
  </si>
  <si>
    <t>Rose Suazo</t>
  </si>
  <si>
    <t>2015-08-07</t>
  </si>
  <si>
    <t>200 Edgewood Way</t>
  </si>
  <si>
    <t>RYUZ56143191730812</t>
  </si>
  <si>
    <t>Robert Walker</t>
  </si>
  <si>
    <t>2017-11-05</t>
  </si>
  <si>
    <t>417 West Park Place</t>
  </si>
  <si>
    <t>WADW71343427132407</t>
  </si>
  <si>
    <t>Robert Fulk</t>
  </si>
  <si>
    <t>720 South River Landing Road</t>
  </si>
  <si>
    <t>DHLN50244598043205</t>
  </si>
  <si>
    <t>David Donnelly</t>
  </si>
  <si>
    <t>2013-08-22</t>
  </si>
  <si>
    <t>1710 Monroe Street Northeast</t>
  </si>
  <si>
    <t>KNFE28917030645414</t>
  </si>
  <si>
    <t>Robert Coldiron</t>
  </si>
  <si>
    <t>2005-09-23</t>
  </si>
  <si>
    <t>1954 Wilson Court</t>
  </si>
  <si>
    <t>IYFX91193619827578</t>
  </si>
  <si>
    <t>William Mckay</t>
  </si>
  <si>
    <t>2016-11-23</t>
  </si>
  <si>
    <t>776 Morrill Road</t>
  </si>
  <si>
    <t>RJKC79788694475742</t>
  </si>
  <si>
    <t>Tracy Straight</t>
  </si>
  <si>
    <t>1995-02-19</t>
  </si>
  <si>
    <t>1613 Ensenada Way</t>
  </si>
  <si>
    <t>OVEJ89780285680805</t>
  </si>
  <si>
    <t>Louise Turney</t>
  </si>
  <si>
    <t>2016-12-29</t>
  </si>
  <si>
    <t>488 Mill Road</t>
  </si>
  <si>
    <t>HSHJ68813346254970</t>
  </si>
  <si>
    <t>Margaret Batchelor</t>
  </si>
  <si>
    <t>2007-08-09</t>
  </si>
  <si>
    <t>35 Pilgrim Lane</t>
  </si>
  <si>
    <t>RYXJ62992083002994</t>
  </si>
  <si>
    <t>Deborah Cendejas</t>
  </si>
  <si>
    <t>1992-02-18</t>
  </si>
  <si>
    <t>1110 Okie Street Northeast</t>
  </si>
  <si>
    <t>NWFO69387051407835</t>
  </si>
  <si>
    <t>Fredrick Killen</t>
  </si>
  <si>
    <t>2014-01-27</t>
  </si>
  <si>
    <t>15254 North 52nd Avenue</t>
  </si>
  <si>
    <t>WOZA09167511663652</t>
  </si>
  <si>
    <t>Rhonda Mason</t>
  </si>
  <si>
    <t>2003-05-11</t>
  </si>
  <si>
    <t>743 East 9th Avenue</t>
  </si>
  <si>
    <t>#STE 000200</t>
  </si>
  <si>
    <t>KLQT92187768324244</t>
  </si>
  <si>
    <t>Sarah Pearce</t>
  </si>
  <si>
    <t>2009-01-01</t>
  </si>
  <si>
    <t>919 Windsor Avenue</t>
  </si>
  <si>
    <t>AYOP97438105670078</t>
  </si>
  <si>
    <t>Justin Bowers</t>
  </si>
  <si>
    <t>2008-08-11</t>
  </si>
  <si>
    <t>BJXF04490976905729</t>
  </si>
  <si>
    <t>Emma Hardwick</t>
  </si>
  <si>
    <t>1992-03-23</t>
  </si>
  <si>
    <t>420 D Street Northwest</t>
  </si>
  <si>
    <t>HZEG95549272426124</t>
  </si>
  <si>
    <t>Larry Scott</t>
  </si>
  <si>
    <t>2003-01-06</t>
  </si>
  <si>
    <t>622 Thomas Street</t>
  </si>
  <si>
    <t>VLYQ85993784438975</t>
  </si>
  <si>
    <t>Gene Jeffries</t>
  </si>
  <si>
    <t>2010-09-26</t>
  </si>
  <si>
    <t>37608 2nd Street</t>
  </si>
  <si>
    <t>BRHH83305582034016</t>
  </si>
  <si>
    <t>Robert Pender</t>
  </si>
  <si>
    <t>2008-08-10</t>
  </si>
  <si>
    <t>95 Claiborne Street</t>
  </si>
  <si>
    <t>HGRF12804623651188</t>
  </si>
  <si>
    <t>Bernice Mcneeley</t>
  </si>
  <si>
    <t>2014-10-21</t>
  </si>
  <si>
    <t>178 Old Homestead Road</t>
  </si>
  <si>
    <t>VAUX84281971835797</t>
  </si>
  <si>
    <t>Ramon Brandt</t>
  </si>
  <si>
    <t>2015-04-26</t>
  </si>
  <si>
    <t>YAXK08412747667904</t>
  </si>
  <si>
    <t>Diane Ebeid</t>
  </si>
  <si>
    <t>2016-01-23</t>
  </si>
  <si>
    <t>449 Saratoga Lane</t>
  </si>
  <si>
    <t>XYNI34366036282232</t>
  </si>
  <si>
    <t>Thomas Fannin</t>
  </si>
  <si>
    <t>1995-04-05</t>
  </si>
  <si>
    <t>CRQT37628890356070</t>
  </si>
  <si>
    <t>Randall Anna</t>
  </si>
  <si>
    <t>2001-02-18</t>
  </si>
  <si>
    <t>4617 East 3rd Street</t>
  </si>
  <si>
    <t>QRDZ64558803394539</t>
  </si>
  <si>
    <t>Majorie Holt</t>
  </si>
  <si>
    <t>2016-01-02</t>
  </si>
  <si>
    <t>168 Partridge Hill Road</t>
  </si>
  <si>
    <t>Charlton</t>
  </si>
  <si>
    <t>JXNU21877969579943</t>
  </si>
  <si>
    <t>Humberto Tanguay</t>
  </si>
  <si>
    <t>1993-01-16</t>
  </si>
  <si>
    <t>24 Lambert Street</t>
  </si>
  <si>
    <t>MFRY04945416317648</t>
  </si>
  <si>
    <t>Sarah Roorda</t>
  </si>
  <si>
    <t>2008-07-21</t>
  </si>
  <si>
    <t>42223 Edgewood Street</t>
  </si>
  <si>
    <t>MNXJ28627002467180</t>
  </si>
  <si>
    <t>Olivia Bancroft</t>
  </si>
  <si>
    <t>1997-03-11</t>
  </si>
  <si>
    <t>6100 Bullard Drive</t>
  </si>
  <si>
    <t>NALW60283580461203</t>
  </si>
  <si>
    <t>Sarah Brown</t>
  </si>
  <si>
    <t>2000-02-16</t>
  </si>
  <si>
    <t>589 East Main Street</t>
  </si>
  <si>
    <t>MRDK98065587889550</t>
  </si>
  <si>
    <t>AGENT00401</t>
  </si>
  <si>
    <t>Carissa Niemann</t>
  </si>
  <si>
    <t>2000-05-06</t>
  </si>
  <si>
    <t>30 Tanner Street</t>
  </si>
  <si>
    <t>USGP28260319794433</t>
  </si>
  <si>
    <t>Luciano Jackson</t>
  </si>
  <si>
    <t>2009-08-01</t>
  </si>
  <si>
    <t>10826 Pointe Royal Drive</t>
  </si>
  <si>
    <t>VHQA45663806811975</t>
  </si>
  <si>
    <t>Thomas Cunha</t>
  </si>
  <si>
    <t>QQMG77370752100416</t>
  </si>
  <si>
    <t>Terry Reitan</t>
  </si>
  <si>
    <t>1998-08-10</t>
  </si>
  <si>
    <t>5 Winslow Circle</t>
  </si>
  <si>
    <t>RPOU36078367297415</t>
  </si>
  <si>
    <t>Dianne Purcell</t>
  </si>
  <si>
    <t>2001-09-07</t>
  </si>
  <si>
    <t>6221 West Wethersfield Road</t>
  </si>
  <si>
    <t>EPNF08883176807488</t>
  </si>
  <si>
    <t>John Hill</t>
  </si>
  <si>
    <t>1999-06-18</t>
  </si>
  <si>
    <t>7645 Marshall Street</t>
  </si>
  <si>
    <t>EAXZ53556452280292</t>
  </si>
  <si>
    <t>Tanner Payne</t>
  </si>
  <si>
    <t>1990-11-18</t>
  </si>
  <si>
    <t>3620 Bentfield Drive</t>
  </si>
  <si>
    <t>DLXY13136537397170</t>
  </si>
  <si>
    <t>Mary Ryan</t>
  </si>
  <si>
    <t>1997-03-12</t>
  </si>
  <si>
    <t>9222 Sandra Grace Road</t>
  </si>
  <si>
    <t>UOZX71337063226651</t>
  </si>
  <si>
    <t>Darryl Hafenstein</t>
  </si>
  <si>
    <t>2006-09-04</t>
  </si>
  <si>
    <t>113 Dove Lane</t>
  </si>
  <si>
    <t>NTME32902031154866</t>
  </si>
  <si>
    <t>Ken Tantillo</t>
  </si>
  <si>
    <t>2006-12-18</t>
  </si>
  <si>
    <t>212 Ambleside Drive</t>
  </si>
  <si>
    <t>DPVY54309816267613</t>
  </si>
  <si>
    <t>Michael Proctor</t>
  </si>
  <si>
    <t>2012-10-19</t>
  </si>
  <si>
    <t>2716 Fairmont Drive</t>
  </si>
  <si>
    <t>OYNJ07118193601103</t>
  </si>
  <si>
    <t>Sondra Roder</t>
  </si>
  <si>
    <t>2000-02-15</t>
  </si>
  <si>
    <t>IBRI20475606365976</t>
  </si>
  <si>
    <t>Amy Wangler</t>
  </si>
  <si>
    <t>1994-01-06</t>
  </si>
  <si>
    <t>584 Rural Hill Road</t>
  </si>
  <si>
    <t>LRZO53254369804934</t>
  </si>
  <si>
    <t>Christine Carter</t>
  </si>
  <si>
    <t>2016-06-17</t>
  </si>
  <si>
    <t>106 Varnum Street Northwest</t>
  </si>
  <si>
    <t>MNQC41165368811882</t>
  </si>
  <si>
    <t>AGENT00415</t>
  </si>
  <si>
    <t>Angel Alexander</t>
  </si>
  <si>
    <t>2012-08-26</t>
  </si>
  <si>
    <t>44 Downey Drive</t>
  </si>
  <si>
    <t>CLKD05622028357384</t>
  </si>
  <si>
    <t>AGENT00416</t>
  </si>
  <si>
    <t>Todd Bell</t>
  </si>
  <si>
    <t>2016-10-17</t>
  </si>
  <si>
    <t>4728 Rockland Trail</t>
  </si>
  <si>
    <t>NYFO37028288593503</t>
  </si>
  <si>
    <t>Thomas Hull</t>
  </si>
  <si>
    <t>1999-02-20</t>
  </si>
  <si>
    <t>512 Tennyson Road</t>
  </si>
  <si>
    <t>XRJO86134323079339</t>
  </si>
  <si>
    <t>Laura Harris</t>
  </si>
  <si>
    <t>2003-01-18</t>
  </si>
  <si>
    <t>3 Dayton Street</t>
  </si>
  <si>
    <t>TEUS71549591731930</t>
  </si>
  <si>
    <t>Brian Harris</t>
  </si>
  <si>
    <t>2002-06-18</t>
  </si>
  <si>
    <t>188 Saint Matthews Avenue</t>
  </si>
  <si>
    <t>#1</t>
  </si>
  <si>
    <t>BGTH83925172672329</t>
  </si>
  <si>
    <t>Joyce Fortner</t>
  </si>
  <si>
    <t>2012-05-30</t>
  </si>
  <si>
    <t>2317 Fernwood Drive</t>
  </si>
  <si>
    <t>YIMO57878391250040</t>
  </si>
  <si>
    <t>Susan Gigliotti</t>
  </si>
  <si>
    <t>1996-08-24</t>
  </si>
  <si>
    <t>287 Lawndale Drive</t>
  </si>
  <si>
    <t>ZJBW96346956902594</t>
  </si>
  <si>
    <t>Maggie Gentile</t>
  </si>
  <si>
    <t>2007-12-14</t>
  </si>
  <si>
    <t>1402 North Capitol Street Northwest</t>
  </si>
  <si>
    <t>BFOO93971714984441</t>
  </si>
  <si>
    <t>Kellie Floto</t>
  </si>
  <si>
    <t>2017-04-24</t>
  </si>
  <si>
    <t>240 Chatham Lane</t>
  </si>
  <si>
    <t>JAQH88147997249541</t>
  </si>
  <si>
    <t>Robert Obrien</t>
  </si>
  <si>
    <t>1991-04-05</t>
  </si>
  <si>
    <t>653 Vermont 12</t>
  </si>
  <si>
    <t>Hartland</t>
  </si>
  <si>
    <t>MCSF30551894259763</t>
  </si>
  <si>
    <t>William Howard</t>
  </si>
  <si>
    <t>2012-05-27</t>
  </si>
  <si>
    <t>6069 Jay Street</t>
  </si>
  <si>
    <t>YMLP85589426834508</t>
  </si>
  <si>
    <t>Alan Mcmanus</t>
  </si>
  <si>
    <t>2009-01-18</t>
  </si>
  <si>
    <t>4200 Northwest 59th Street</t>
  </si>
  <si>
    <t>KYSN26778057936347</t>
  </si>
  <si>
    <t>James Haynes</t>
  </si>
  <si>
    <t>2001-01-10</t>
  </si>
  <si>
    <t>136 Acacia Drive</t>
  </si>
  <si>
    <t>Blue Lake</t>
  </si>
  <si>
    <t>LKKN56423451171273</t>
  </si>
  <si>
    <t>Donita Taylor</t>
  </si>
  <si>
    <t>2011-07-05</t>
  </si>
  <si>
    <t>7030 Cotton Blossom Lane</t>
  </si>
  <si>
    <t>HOZI46697621159422</t>
  </si>
  <si>
    <t>Richard Farrell</t>
  </si>
  <si>
    <t>1991-11-01</t>
  </si>
  <si>
    <t>7085 Gladiola Street</t>
  </si>
  <si>
    <t>YJBN13704125782276</t>
  </si>
  <si>
    <t>James Mitchell</t>
  </si>
  <si>
    <t>2006-11-09</t>
  </si>
  <si>
    <t>1238 Roanwood Way</t>
  </si>
  <si>
    <t>Concord</t>
  </si>
  <si>
    <t>TKYX13428267813471</t>
  </si>
  <si>
    <t>Sunshine Lopez</t>
  </si>
  <si>
    <t>2008-04-05</t>
  </si>
  <si>
    <t>332 Stafford Road</t>
  </si>
  <si>
    <t>ZZDC51369291716341</t>
  </si>
  <si>
    <t>Merle Stancil</t>
  </si>
  <si>
    <t>2001-05-09</t>
  </si>
  <si>
    <t>7025 Queen Street</t>
  </si>
  <si>
    <t>SWDI15114623287274</t>
  </si>
  <si>
    <t>Shawna Bailey</t>
  </si>
  <si>
    <t>1990-07-16</t>
  </si>
  <si>
    <t>6717 North 59th Avenue</t>
  </si>
  <si>
    <t>EXXY46092142611244</t>
  </si>
  <si>
    <t>Edward Odom</t>
  </si>
  <si>
    <t>2005-10-05</t>
  </si>
  <si>
    <t>7407 North 75th Drive</t>
  </si>
  <si>
    <t>BMHH11863984588776</t>
  </si>
  <si>
    <t>AGENT00435</t>
  </si>
  <si>
    <t>Eugene Brox</t>
  </si>
  <si>
    <t>1996-11-09</t>
  </si>
  <si>
    <t>1729 Frankford Street Southeast</t>
  </si>
  <si>
    <t>OEIB44255461327063</t>
  </si>
  <si>
    <t>1994-06-12</t>
  </si>
  <si>
    <t>3203 US Highway 98</t>
  </si>
  <si>
    <t>XQUS13370919440022</t>
  </si>
  <si>
    <t>Sarah Mcnish</t>
  </si>
  <si>
    <t>2007-12-19</t>
  </si>
  <si>
    <t>1010 M Street Northwest</t>
  </si>
  <si>
    <t>WXSX39930950381614</t>
  </si>
  <si>
    <t>Hollis Mcmillian</t>
  </si>
  <si>
    <t>2014-11-22</t>
  </si>
  <si>
    <t>173 Center Street</t>
  </si>
  <si>
    <t>BETA17225310488201</t>
  </si>
  <si>
    <t>Nancy Hannah</t>
  </si>
  <si>
    <t>2017-03-29</t>
  </si>
  <si>
    <t>5516 West Indore Drive</t>
  </si>
  <si>
    <t>HBNP18234871216132</t>
  </si>
  <si>
    <t>Betty Zeigler</t>
  </si>
  <si>
    <t>2015-07-29</t>
  </si>
  <si>
    <t>3413 Pheasant Run Road</t>
  </si>
  <si>
    <t>VHKD52219612810099</t>
  </si>
  <si>
    <t>Charles Earl</t>
  </si>
  <si>
    <t>2000-05-23</t>
  </si>
  <si>
    <t>87 Horseshoe Drive</t>
  </si>
  <si>
    <t>VSSB08251063617960</t>
  </si>
  <si>
    <t>John Morrison</t>
  </si>
  <si>
    <t>1997-11-12</t>
  </si>
  <si>
    <t>6911 Steven Road</t>
  </si>
  <si>
    <t>NMMK70098867241334</t>
  </si>
  <si>
    <t>Linda Driver</t>
  </si>
  <si>
    <t>1998-04-18</t>
  </si>
  <si>
    <t>3320 Peterkin Avenue</t>
  </si>
  <si>
    <t>QTGV53633530541958</t>
  </si>
  <si>
    <t>AGENT00444</t>
  </si>
  <si>
    <t>Cinthia Carpenter</t>
  </si>
  <si>
    <t>2010-05-11</t>
  </si>
  <si>
    <t>4971 Janet Court</t>
  </si>
  <si>
    <t>BHCI57845702102300</t>
  </si>
  <si>
    <t>Kara Steele</t>
  </si>
  <si>
    <t>2015-05-10</t>
  </si>
  <si>
    <t>10980 Splendor Loop</t>
  </si>
  <si>
    <t>IMHL36547634742921</t>
  </si>
  <si>
    <t>Christina Bock</t>
  </si>
  <si>
    <t>2009-10-30</t>
  </si>
  <si>
    <t>1481 Stannage Avenue</t>
  </si>
  <si>
    <t>PRDU66700551824530</t>
  </si>
  <si>
    <t>Sandy Loucks</t>
  </si>
  <si>
    <t>2001-09-30</t>
  </si>
  <si>
    <t>AKHO31419783536992</t>
  </si>
  <si>
    <t>AGENT00448</t>
  </si>
  <si>
    <t>Joseph Peterson</t>
  </si>
  <si>
    <t>2000-03-31</t>
  </si>
  <si>
    <t>8595 West 81st Drive</t>
  </si>
  <si>
    <t>LSMX78931700492462</t>
  </si>
  <si>
    <t>Richard Saucedo</t>
  </si>
  <si>
    <t>2017-05-26</t>
  </si>
  <si>
    <t>1528 Spruce Street</t>
  </si>
  <si>
    <t>NAYT16036899395717</t>
  </si>
  <si>
    <t>Peter Thomas</t>
  </si>
  <si>
    <t>2017-10-12</t>
  </si>
  <si>
    <t>VHVZ90875461509264</t>
  </si>
  <si>
    <t>Michael Dike</t>
  </si>
  <si>
    <t>2008-05-31</t>
  </si>
  <si>
    <t>112 West Center Street</t>
  </si>
  <si>
    <t>#210</t>
  </si>
  <si>
    <t>TMIW24882180835989</t>
  </si>
  <si>
    <t>David Mcintire</t>
  </si>
  <si>
    <t>2008-04-11</t>
  </si>
  <si>
    <t>4511 Sloat Road</t>
  </si>
  <si>
    <t>GFSN82473099368327</t>
  </si>
  <si>
    <t>Jose Hannaford</t>
  </si>
  <si>
    <t>2006-11-16</t>
  </si>
  <si>
    <t>3115 North Lake Boulevard</t>
  </si>
  <si>
    <t>#87</t>
  </si>
  <si>
    <t>Tahoe City</t>
  </si>
  <si>
    <t>NIXG93847376319318</t>
  </si>
  <si>
    <t>AGENT00454</t>
  </si>
  <si>
    <t>Roscoe Ricci</t>
  </si>
  <si>
    <t>1993-07-31</t>
  </si>
  <si>
    <t>7802 Titan Court</t>
  </si>
  <si>
    <t>ATCS39937420961534</t>
  </si>
  <si>
    <t>Roger Hacker</t>
  </si>
  <si>
    <t>2004-01-20</t>
  </si>
  <si>
    <t>324 Martin Luther King Junior Boulevard</t>
  </si>
  <si>
    <t>RQPZ51134446128060</t>
  </si>
  <si>
    <t>David Harris</t>
  </si>
  <si>
    <t>2015-11-28</t>
  </si>
  <si>
    <t>130 Carolina Cherry Circle</t>
  </si>
  <si>
    <t>UZBN08780943180288</t>
  </si>
  <si>
    <t>AGENT00457</t>
  </si>
  <si>
    <t>Chester Kuehn</t>
  </si>
  <si>
    <t>2014-01-13</t>
  </si>
  <si>
    <t>111 Lakeview Terrace</t>
  </si>
  <si>
    <t>EZDI37314538375022</t>
  </si>
  <si>
    <t>Nina Delker</t>
  </si>
  <si>
    <t>1991-09-23</t>
  </si>
  <si>
    <t>XEEL24701039571551</t>
  </si>
  <si>
    <t>Jerry Hoopes</t>
  </si>
  <si>
    <t>1709 Travers Court</t>
  </si>
  <si>
    <t>OTRZ57787402320507</t>
  </si>
  <si>
    <t>Jamie Williams</t>
  </si>
  <si>
    <t>2012-05-26</t>
  </si>
  <si>
    <t>3208 Southwest 65th Street</t>
  </si>
  <si>
    <t>JKVG12606874362124</t>
  </si>
  <si>
    <t>AGENT00461</t>
  </si>
  <si>
    <t>Michael Braddock</t>
  </si>
  <si>
    <t>2016-10-07</t>
  </si>
  <si>
    <t>276 Adams Street</t>
  </si>
  <si>
    <t>CQXA79282078922080</t>
  </si>
  <si>
    <t>AGENT00462</t>
  </si>
  <si>
    <t>Charles Tabares</t>
  </si>
  <si>
    <t>1994-03-23</t>
  </si>
  <si>
    <t>305 Broderick Place</t>
  </si>
  <si>
    <t>DFSL93500407057180</t>
  </si>
  <si>
    <t>Randy Preston</t>
  </si>
  <si>
    <t>2012-04-29</t>
  </si>
  <si>
    <t>20375 Wisteria Street</t>
  </si>
  <si>
    <t>ACUF34043300469332</t>
  </si>
  <si>
    <t>Dana Ewing</t>
  </si>
  <si>
    <t>2011-05-05</t>
  </si>
  <si>
    <t>2809 Rowland Avenue</t>
  </si>
  <si>
    <t>C</t>
  </si>
  <si>
    <t>CSNM77966094608659</t>
  </si>
  <si>
    <t>Allison Taylor</t>
  </si>
  <si>
    <t>2012-09-03</t>
  </si>
  <si>
    <t>5275 North 59th Avenue</t>
  </si>
  <si>
    <t>XUJY57155767436014</t>
  </si>
  <si>
    <t>Mary Beals</t>
  </si>
  <si>
    <t>1991-09-28</t>
  </si>
  <si>
    <t>VZKX59096953043342</t>
  </si>
  <si>
    <t>Thomas Marshall</t>
  </si>
  <si>
    <t>2004-02-28</t>
  </si>
  <si>
    <t>7003 9th Street Northwest</t>
  </si>
  <si>
    <t>ECRF32705945426281</t>
  </si>
  <si>
    <t>Andrea Beaucage</t>
  </si>
  <si>
    <t>1993-04-18</t>
  </si>
  <si>
    <t>10891 Kamishak Bay Circle</t>
  </si>
  <si>
    <t>PTCJ53639942509675</t>
  </si>
  <si>
    <t>Stephen Fanter</t>
  </si>
  <si>
    <t>2012-04-03</t>
  </si>
  <si>
    <t>GTKL26505520087137</t>
  </si>
  <si>
    <t>Charles Turner</t>
  </si>
  <si>
    <t>2010-04-04</t>
  </si>
  <si>
    <t>238 La Salle Avenue</t>
  </si>
  <si>
    <t>SZRH95298250554447</t>
  </si>
  <si>
    <t>Mary Porter</t>
  </si>
  <si>
    <t>2017-10-18</t>
  </si>
  <si>
    <t>313 Wiley Street</t>
  </si>
  <si>
    <t>YOEZ20036566193962</t>
  </si>
  <si>
    <t>Harold Campbell</t>
  </si>
  <si>
    <t>2003-11-26</t>
  </si>
  <si>
    <t>529 Barr Hill Road</t>
  </si>
  <si>
    <t>EIOF34399569188648</t>
  </si>
  <si>
    <t>AGENT00473</t>
  </si>
  <si>
    <t>Kenneth Bottorff</t>
  </si>
  <si>
    <t>2013-11-02</t>
  </si>
  <si>
    <t>615 Long Hunter Court</t>
  </si>
  <si>
    <t>UUMS63437538279203</t>
  </si>
  <si>
    <t>Antoinette Rehkop</t>
  </si>
  <si>
    <t>2003-04-05</t>
  </si>
  <si>
    <t>1 Portsmouth Road</t>
  </si>
  <si>
    <t>IGXL71581076733788</t>
  </si>
  <si>
    <t>Brittany Ramirez</t>
  </si>
  <si>
    <t>2006-04-08</t>
  </si>
  <si>
    <t>2650 East Huntsville Road</t>
  </si>
  <si>
    <t>XHCA33038167585769</t>
  </si>
  <si>
    <t>Melvin Schmidt</t>
  </si>
  <si>
    <t>1997-11-13</t>
  </si>
  <si>
    <t>1309 Clay Avenue</t>
  </si>
  <si>
    <t>SJPS19143578027267</t>
  </si>
  <si>
    <t>Rebecca Santarelli</t>
  </si>
  <si>
    <t>2006-09-17</t>
  </si>
  <si>
    <t>1628 Button Bay Road</t>
  </si>
  <si>
    <t>Vergennes</t>
  </si>
  <si>
    <t>FHJS00996273274909</t>
  </si>
  <si>
    <t>Sharon Kilgore</t>
  </si>
  <si>
    <t>1997-11-14</t>
  </si>
  <si>
    <t>720 Southwest 2nd Street</t>
  </si>
  <si>
    <t>HIPJ29573864716097</t>
  </si>
  <si>
    <t>Letha Staton</t>
  </si>
  <si>
    <t>2006-03-18</t>
  </si>
  <si>
    <t>407 Bon Air Avenue</t>
  </si>
  <si>
    <t>SXRG49518125777847</t>
  </si>
  <si>
    <t>Richard Burns</t>
  </si>
  <si>
    <t>1995-11-21</t>
  </si>
  <si>
    <t>UZPT92866673714396</t>
  </si>
  <si>
    <t>AGENT00481</t>
  </si>
  <si>
    <t>Mary Scribner</t>
  </si>
  <si>
    <t>2000-07-15</t>
  </si>
  <si>
    <t>14505 Landis Villa Drive</t>
  </si>
  <si>
    <t>VZTY16125395831114</t>
  </si>
  <si>
    <t>Jose Dame</t>
  </si>
  <si>
    <t>2011-01-14</t>
  </si>
  <si>
    <t>422 Richmond Street</t>
  </si>
  <si>
    <t>El Cerrito</t>
  </si>
  <si>
    <t>HPOF21663336466032</t>
  </si>
  <si>
    <t>Simone Linstrom</t>
  </si>
  <si>
    <t>1996-04-17</t>
  </si>
  <si>
    <t>9828 East Pueblo Avenue</t>
  </si>
  <si>
    <t>UXCO62719579215029</t>
  </si>
  <si>
    <t>Wilson Herrick</t>
  </si>
  <si>
    <t>2005-09-10</t>
  </si>
  <si>
    <t>JBXU01498161517512</t>
  </si>
  <si>
    <t>Peter Bailey</t>
  </si>
  <si>
    <t>KPVA49265206229213</t>
  </si>
  <si>
    <t>Ray Higdon</t>
  </si>
  <si>
    <t>2006-12-13</t>
  </si>
  <si>
    <t>320 Northwest 22nd Street</t>
  </si>
  <si>
    <t>DHIW17515685743180</t>
  </si>
  <si>
    <t>Deborah Bolyard</t>
  </si>
  <si>
    <t>2004-01-16</t>
  </si>
  <si>
    <t>500 Revere Beach Boulevard</t>
  </si>
  <si>
    <t>#109</t>
  </si>
  <si>
    <t>ZKSN56421576154802</t>
  </si>
  <si>
    <t>Jeanine Chee</t>
  </si>
  <si>
    <t>1999-04-29</t>
  </si>
  <si>
    <t>1353 West 27th Avenue</t>
  </si>
  <si>
    <t>#APT 000004</t>
  </si>
  <si>
    <t>TXJY27066918107936</t>
  </si>
  <si>
    <t>Molly Martz</t>
  </si>
  <si>
    <t>1993-09-04</t>
  </si>
  <si>
    <t>200 Pheasant Avenue</t>
  </si>
  <si>
    <t>#103</t>
  </si>
  <si>
    <t>DDKE87686585749418</t>
  </si>
  <si>
    <t>Kenneth Elmer</t>
  </si>
  <si>
    <t>2015-06-12</t>
  </si>
  <si>
    <t>5222 West Laurie Lane</t>
  </si>
  <si>
    <t>MKKM02244049362842</t>
  </si>
  <si>
    <t>Joel Nix</t>
  </si>
  <si>
    <t>2011-10-09</t>
  </si>
  <si>
    <t>2204 7th Street Road</t>
  </si>
  <si>
    <t>#12</t>
  </si>
  <si>
    <t>KNFB87745766098749</t>
  </si>
  <si>
    <t>James Wood</t>
  </si>
  <si>
    <t>2006-04-17</t>
  </si>
  <si>
    <t>145 Grau Drive</t>
  </si>
  <si>
    <t>JTOD18691427214945</t>
  </si>
  <si>
    <t>Sandra Chau</t>
  </si>
  <si>
    <t>1999-10-17</t>
  </si>
  <si>
    <t>2220 Kirk Avenue</t>
  </si>
  <si>
    <t>QRFK47483948493722</t>
  </si>
  <si>
    <t>Hilary Ruffo</t>
  </si>
  <si>
    <t>1993-08-27</t>
  </si>
  <si>
    <t>2200 East Victory Drive</t>
  </si>
  <si>
    <t>#36</t>
  </si>
  <si>
    <t>SPXQ77595485036799</t>
  </si>
  <si>
    <t>Marcia Ramirez</t>
  </si>
  <si>
    <t>2000-05-26</t>
  </si>
  <si>
    <t>DKTZ30698400929297</t>
  </si>
  <si>
    <t>Shawn Mitchell</t>
  </si>
  <si>
    <t>2014-07-31</t>
  </si>
  <si>
    <t>534 North 31st Street</t>
  </si>
  <si>
    <t>LHIW00740480584275</t>
  </si>
  <si>
    <t>Donnell Phillips</t>
  </si>
  <si>
    <t>2007-07-17</t>
  </si>
  <si>
    <t>QWJG46929390411011</t>
  </si>
  <si>
    <t>Connie Phillips</t>
  </si>
  <si>
    <t>1991-03-20</t>
  </si>
  <si>
    <t>WXRR87231993168106</t>
  </si>
  <si>
    <t>Carolyn Todd</t>
  </si>
  <si>
    <t>1991-07-23</t>
  </si>
  <si>
    <t>6 Little Country Place</t>
  </si>
  <si>
    <t>XAIF08873734168541</t>
  </si>
  <si>
    <t>AGENT00500</t>
  </si>
  <si>
    <t>Matthew Reed</t>
  </si>
  <si>
    <t>1998-06-24</t>
  </si>
  <si>
    <t>4430 Davenport Street Northwest</t>
  </si>
  <si>
    <t>IBPR73140748648287</t>
  </si>
  <si>
    <t>Shirley Conway</t>
  </si>
  <si>
    <t>1998-02-10</t>
  </si>
  <si>
    <t>6870 West 52nd Avenue</t>
  </si>
  <si>
    <t>WAKW28184364133404</t>
  </si>
  <si>
    <t>Yvonne Rogers</t>
  </si>
  <si>
    <t>2005-07-09</t>
  </si>
  <si>
    <t>HYTX26194372543701</t>
  </si>
  <si>
    <t>Robbie Sampley</t>
  </si>
  <si>
    <t>2002-10-12</t>
  </si>
  <si>
    <t>188 River Road</t>
  </si>
  <si>
    <t>FYEK44430441167551</t>
  </si>
  <si>
    <t>Chris Trahan</t>
  </si>
  <si>
    <t>1992-10-28</t>
  </si>
  <si>
    <t>8852 Broderick Street</t>
  </si>
  <si>
    <t>MHRM45195396069914</t>
  </si>
  <si>
    <t>Janet Stevens</t>
  </si>
  <si>
    <t>2001-06-24</t>
  </si>
  <si>
    <t>6739 Taft Court</t>
  </si>
  <si>
    <t>PWAO86532672813496</t>
  </si>
  <si>
    <t>Olive Buchanan</t>
  </si>
  <si>
    <t>2005-03-08</t>
  </si>
  <si>
    <t>57 Birdie Lane</t>
  </si>
  <si>
    <t>VSLV03033980723317</t>
  </si>
  <si>
    <t>Gabriel Lucas</t>
  </si>
  <si>
    <t>2002-05-15</t>
  </si>
  <si>
    <t>1497 Greenbrier Road</t>
  </si>
  <si>
    <t>STSL49432873622592</t>
  </si>
  <si>
    <t>Lilia Fletcher</t>
  </si>
  <si>
    <t>2007-03-02</t>
  </si>
  <si>
    <t>ZZER99726733708912</t>
  </si>
  <si>
    <t>Ryan Otoole</t>
  </si>
  <si>
    <t>2006-05-18</t>
  </si>
  <si>
    <t>6821 Northwest 25th Street</t>
  </si>
  <si>
    <t>TQIY84450202267835</t>
  </si>
  <si>
    <t>Katherine Williams</t>
  </si>
  <si>
    <t>2008-11-14</t>
  </si>
  <si>
    <t>419 Wabasso Avenue</t>
  </si>
  <si>
    <t>LGJF22122370861596</t>
  </si>
  <si>
    <t>Delores Scott</t>
  </si>
  <si>
    <t>1996-12-31</t>
  </si>
  <si>
    <t>308 Woodleaf Court</t>
  </si>
  <si>
    <t>SJBS60977585100947</t>
  </si>
  <si>
    <t>Patricia Burnett</t>
  </si>
  <si>
    <t>2012-04-20</t>
  </si>
  <si>
    <t>11 Pine Point Road</t>
  </si>
  <si>
    <t>Duxbury</t>
  </si>
  <si>
    <t>QZFW48305508312453</t>
  </si>
  <si>
    <t>Thomas Freeman</t>
  </si>
  <si>
    <t>2007-07-15</t>
  </si>
  <si>
    <t>1902 6th Street Northwest</t>
  </si>
  <si>
    <t>TKPT52274600149459</t>
  </si>
  <si>
    <t>Isaura Cole</t>
  </si>
  <si>
    <t>6800 West Bell Road</t>
  </si>
  <si>
    <t>FNKN39860465383057</t>
  </si>
  <si>
    <t>Janelle Hill</t>
  </si>
  <si>
    <t>2004-09-30</t>
  </si>
  <si>
    <t>2787 West Blackstone Crossing</t>
  </si>
  <si>
    <t>CBPQ53135288819291</t>
  </si>
  <si>
    <t>Jose Wood</t>
  </si>
  <si>
    <t>2012-09-12</t>
  </si>
  <si>
    <t>159 North Pawlet Road</t>
  </si>
  <si>
    <t>TETY26266215008435</t>
  </si>
  <si>
    <t>AGENT00517</t>
  </si>
  <si>
    <t>Betty Henderson</t>
  </si>
  <si>
    <t>2010-06-29</t>
  </si>
  <si>
    <t>578 Vermont 30</t>
  </si>
  <si>
    <t>JKQF47464977170463</t>
  </si>
  <si>
    <t>Carl Heck</t>
  </si>
  <si>
    <t>2017-03-17</t>
  </si>
  <si>
    <t>7 Oliver Street</t>
  </si>
  <si>
    <t>MHWI68779784533944</t>
  </si>
  <si>
    <t>William Clark</t>
  </si>
  <si>
    <t>2016-07-07</t>
  </si>
  <si>
    <t>2375 Main Street</t>
  </si>
  <si>
    <t>B</t>
  </si>
  <si>
    <t>NBDI51833525671741</t>
  </si>
  <si>
    <t>Geraldine Ritter</t>
  </si>
  <si>
    <t>2008-08-14</t>
  </si>
  <si>
    <t>14525 South Brent Drive</t>
  </si>
  <si>
    <t>KJYU55706865820032</t>
  </si>
  <si>
    <t>Sarah Gabriel</t>
  </si>
  <si>
    <t>82 East Foster Street</t>
  </si>
  <si>
    <t>DCGV47349877384233</t>
  </si>
  <si>
    <t>Dexter Herman</t>
  </si>
  <si>
    <t>2002-02-17</t>
  </si>
  <si>
    <t>VLAD32658440635841</t>
  </si>
  <si>
    <t>Sandra Lemieux</t>
  </si>
  <si>
    <t>1998-07-05</t>
  </si>
  <si>
    <t>15267 Hesperian Boulevard</t>
  </si>
  <si>
    <t>#32</t>
  </si>
  <si>
    <t>VMXW63720930448123</t>
  </si>
  <si>
    <t>Sylvia Bapties</t>
  </si>
  <si>
    <t>1990-10-12</t>
  </si>
  <si>
    <t>1061 Sumatra Street</t>
  </si>
  <si>
    <t>DZBE89656821496344</t>
  </si>
  <si>
    <t>Don Ritchie</t>
  </si>
  <si>
    <t>1992-07-13</t>
  </si>
  <si>
    <t>WLDW69828184634133</t>
  </si>
  <si>
    <t>Doris Aragon</t>
  </si>
  <si>
    <t>2004-11-14</t>
  </si>
  <si>
    <t>34 Harris Street</t>
  </si>
  <si>
    <t>XEEZ66762920856584</t>
  </si>
  <si>
    <t>Ian Garrett</t>
  </si>
  <si>
    <t>2005-05-13</t>
  </si>
  <si>
    <t>14 Tranquil Place</t>
  </si>
  <si>
    <t>JQYC53887687398484</t>
  </si>
  <si>
    <t>Victoria Miles</t>
  </si>
  <si>
    <t>1999-08-02</t>
  </si>
  <si>
    <t>202 Pepperbush Road</t>
  </si>
  <si>
    <t>BYMT01156766372261</t>
  </si>
  <si>
    <t>David Fitzpatrick</t>
  </si>
  <si>
    <t>1990-09-02</t>
  </si>
  <si>
    <t>1403 Lincoln Street</t>
  </si>
  <si>
    <t>JVMQ34552697602225</t>
  </si>
  <si>
    <t>Richard Schexnayder</t>
  </si>
  <si>
    <t>2014-04-23</t>
  </si>
  <si>
    <t>260 Rio Del Mar Boulevard</t>
  </si>
  <si>
    <t>##14</t>
  </si>
  <si>
    <t>Aptos</t>
  </si>
  <si>
    <t>JWWK88813233248731</t>
  </si>
  <si>
    <t>Tara Walling</t>
  </si>
  <si>
    <t>2017-06-21</t>
  </si>
  <si>
    <t>706 James Road</t>
  </si>
  <si>
    <t>VRME87332443963861</t>
  </si>
  <si>
    <t>John Lester</t>
  </si>
  <si>
    <t>2017-11-21</t>
  </si>
  <si>
    <t>1275 South Holland Drive</t>
  </si>
  <si>
    <t>SKOQ30843505901458</t>
  </si>
  <si>
    <t>Barbara Rentz</t>
  </si>
  <si>
    <t>2012-09-10</t>
  </si>
  <si>
    <t>1330 West 82nd Avenue</t>
  </si>
  <si>
    <t>LGPF52857893133871</t>
  </si>
  <si>
    <t>Richard Sheehan</t>
  </si>
  <si>
    <t>1992-04-07</t>
  </si>
  <si>
    <t>1317 Allison Street Northeast</t>
  </si>
  <si>
    <t>EBQR35861097974167</t>
  </si>
  <si>
    <t>William Defalco</t>
  </si>
  <si>
    <t>2009-05-03</t>
  </si>
  <si>
    <t>501 West Maple Street</t>
  </si>
  <si>
    <t>#203</t>
  </si>
  <si>
    <t>QWIS19057186642056</t>
  </si>
  <si>
    <t>Florence Ashlock</t>
  </si>
  <si>
    <t>1997-11-19</t>
  </si>
  <si>
    <t>6605 North 93RD Avenue</t>
  </si>
  <si>
    <t>#1016</t>
  </si>
  <si>
    <t>CCMK46615837914743</t>
  </si>
  <si>
    <t>Jaime Villanueva</t>
  </si>
  <si>
    <t>2011-02-06</t>
  </si>
  <si>
    <t>4922 West Cholla Street</t>
  </si>
  <si>
    <t>YKAK14779293164527</t>
  </si>
  <si>
    <t>AGENT00538</t>
  </si>
  <si>
    <t>Gerald Kolmer</t>
  </si>
  <si>
    <t>2002-12-11</t>
  </si>
  <si>
    <t>109 Summit Street</t>
  </si>
  <si>
    <t>JQON18573227734226</t>
  </si>
  <si>
    <t>Bryan Mccurdy</t>
  </si>
  <si>
    <t>222 Plymouth Street</t>
  </si>
  <si>
    <t>Middleborough</t>
  </si>
  <si>
    <t>EBSW96237417378482</t>
  </si>
  <si>
    <t>William Harper</t>
  </si>
  <si>
    <t>2003-12-28</t>
  </si>
  <si>
    <t>1352 Purdue Street</t>
  </si>
  <si>
    <t>JHVR06078435504022</t>
  </si>
  <si>
    <t>Travis Velasco</t>
  </si>
  <si>
    <t>2000-07-08</t>
  </si>
  <si>
    <t>2944 Sheldon Jackson Street</t>
  </si>
  <si>
    <t>YPHP86695790141268</t>
  </si>
  <si>
    <t>Andrew Tomczak</t>
  </si>
  <si>
    <t>2015-06-30</t>
  </si>
  <si>
    <t>2927 Martin Luther King Junior Avenue Southeast</t>
  </si>
  <si>
    <t>UQWD73134171011676</t>
  </si>
  <si>
    <t>Lucia Holt</t>
  </si>
  <si>
    <t>1991-08-13</t>
  </si>
  <si>
    <t>2362 Acushnet Avenue</t>
  </si>
  <si>
    <t>JWGH51436192201226</t>
  </si>
  <si>
    <t>Virginia Baker</t>
  </si>
  <si>
    <t>2014-03-02</t>
  </si>
  <si>
    <t>2811 Battery Place Northwest</t>
  </si>
  <si>
    <t>RXLF01194000870291</t>
  </si>
  <si>
    <t>Bruce Weeden</t>
  </si>
  <si>
    <t>2013-02-08</t>
  </si>
  <si>
    <t>2170 Benton Boulevard</t>
  </si>
  <si>
    <t>#2107</t>
  </si>
  <si>
    <t>IXBO09746976340386</t>
  </si>
  <si>
    <t>Charles Wilson</t>
  </si>
  <si>
    <t>2013-07-03</t>
  </si>
  <si>
    <t>8505 Waters Avenue</t>
  </si>
  <si>
    <t>#66</t>
  </si>
  <si>
    <t>IGLT11842426840743</t>
  </si>
  <si>
    <t>Richard Anderson</t>
  </si>
  <si>
    <t>2012-12-11</t>
  </si>
  <si>
    <t>4050 Bryce Road</t>
  </si>
  <si>
    <t>QRYU45721132675234</t>
  </si>
  <si>
    <t>Dorothy Bruce</t>
  </si>
  <si>
    <t>2016-08-19</t>
  </si>
  <si>
    <t>6401 Green Meadow Lane</t>
  </si>
  <si>
    <t>SWQC78372010020262</t>
  </si>
  <si>
    <t>Anthony Contreras</t>
  </si>
  <si>
    <t>2015-06-08</t>
  </si>
  <si>
    <t>HBNU22645836243561</t>
  </si>
  <si>
    <t>Oscar Travis</t>
  </si>
  <si>
    <t>1998-10-05</t>
  </si>
  <si>
    <t>1772 150th Avenue</t>
  </si>
  <si>
    <t>ULLZ62567144767074</t>
  </si>
  <si>
    <t>Rickey Ellis</t>
  </si>
  <si>
    <t>2004-04-04</t>
  </si>
  <si>
    <t>628 Ayrlie Water Road</t>
  </si>
  <si>
    <t>Gibson Island</t>
  </si>
  <si>
    <t>YDBS90187404610916</t>
  </si>
  <si>
    <t>Lauren Kimble</t>
  </si>
  <si>
    <t>1998-07-29</t>
  </si>
  <si>
    <t>6534 Benton Circle</t>
  </si>
  <si>
    <t>WJEL03829766240130</t>
  </si>
  <si>
    <t>Jerry Clark</t>
  </si>
  <si>
    <t>1999-11-26</t>
  </si>
  <si>
    <t>18 Densmore Drive</t>
  </si>
  <si>
    <t>RZTK26920955460540</t>
  </si>
  <si>
    <t>Daniel Benevides</t>
  </si>
  <si>
    <t>1991-07-25</t>
  </si>
  <si>
    <t>120 Wells Avenue</t>
  </si>
  <si>
    <t>MYHZ80353422323761</t>
  </si>
  <si>
    <t>Dorothy Bedell</t>
  </si>
  <si>
    <t>2016-05-10</t>
  </si>
  <si>
    <t>18318 Pioneer Drive</t>
  </si>
  <si>
    <t>DSHA98189560402864</t>
  </si>
  <si>
    <t>Pearl Bowdry</t>
  </si>
  <si>
    <t>2008-10-05</t>
  </si>
  <si>
    <t>7573 National Drive</t>
  </si>
  <si>
    <t>MDVF18134752766902</t>
  </si>
  <si>
    <t>Martha Terry</t>
  </si>
  <si>
    <t>2012-03-25</t>
  </si>
  <si>
    <t>1828 East Parkshore Drive</t>
  </si>
  <si>
    <t>#8</t>
  </si>
  <si>
    <t>ONJP27698284445532</t>
  </si>
  <si>
    <t>Cecile Pasceri</t>
  </si>
  <si>
    <t>1993-04-04</t>
  </si>
  <si>
    <t>1635 Generals Highway</t>
  </si>
  <si>
    <t>WBAI68516250478999</t>
  </si>
  <si>
    <t>Walter Hardesty</t>
  </si>
  <si>
    <t>2006-02-26</t>
  </si>
  <si>
    <t>4500 Margalo Avenue</t>
  </si>
  <si>
    <t>FYYB27614002271378</t>
  </si>
  <si>
    <t>Delphia Sammarco</t>
  </si>
  <si>
    <t>2002-06-07</t>
  </si>
  <si>
    <t>1514 16th Street Southeast</t>
  </si>
  <si>
    <t>YUYM81976952621743</t>
  </si>
  <si>
    <t>Julia Constant</t>
  </si>
  <si>
    <t>2015-08-14</t>
  </si>
  <si>
    <t>DYDB12733304382982</t>
  </si>
  <si>
    <t>Steve Gray</t>
  </si>
  <si>
    <t>2008-11-26</t>
  </si>
  <si>
    <t>737 Nelson Road</t>
  </si>
  <si>
    <t>RAEC61737569608050</t>
  </si>
  <si>
    <t>Arthur Gordon</t>
  </si>
  <si>
    <t>2001-03-11</t>
  </si>
  <si>
    <t>922 Judge Court East</t>
  </si>
  <si>
    <t>West River</t>
  </si>
  <si>
    <t>XRKS19473964978781</t>
  </si>
  <si>
    <t>Mary Harris</t>
  </si>
  <si>
    <t>1991-03-27</t>
  </si>
  <si>
    <t>GLDY73277543388571</t>
  </si>
  <si>
    <t>Jonathan Onusko</t>
  </si>
  <si>
    <t>1997-04-09</t>
  </si>
  <si>
    <t>3449 Rockway Avenue</t>
  </si>
  <si>
    <t>IEPT05177412022149</t>
  </si>
  <si>
    <t>Paul Ragland</t>
  </si>
  <si>
    <t>2014-02-05</t>
  </si>
  <si>
    <t>DFQL30132049053767</t>
  </si>
  <si>
    <t>Albert Tardiff</t>
  </si>
  <si>
    <t>1998-08-30</t>
  </si>
  <si>
    <t>19404 North 77th Avenue</t>
  </si>
  <si>
    <t>CRUA62629462360388</t>
  </si>
  <si>
    <t>Brian Christensen</t>
  </si>
  <si>
    <t>2001-01-12</t>
  </si>
  <si>
    <t>10406 Sunlight Lane</t>
  </si>
  <si>
    <t>GWIE66542276134665</t>
  </si>
  <si>
    <t>Alvin Herrman</t>
  </si>
  <si>
    <t>1992-08-05</t>
  </si>
  <si>
    <t>5434 West Beck Lane</t>
  </si>
  <si>
    <t>ICFW60802284624094</t>
  </si>
  <si>
    <t>Michael Holbrook</t>
  </si>
  <si>
    <t>1999-09-12</t>
  </si>
  <si>
    <t>275 Ridge Lane</t>
  </si>
  <si>
    <t>SJPG80515222647554</t>
  </si>
  <si>
    <t>Michele Downs</t>
  </si>
  <si>
    <t>2008-07-07</t>
  </si>
  <si>
    <t>3302 Woodland Park Drive</t>
  </si>
  <si>
    <t>#APT 000001</t>
  </si>
  <si>
    <t>NQEP84089536681234</t>
  </si>
  <si>
    <t>Harriett Williamson</t>
  </si>
  <si>
    <t>2001-07-05</t>
  </si>
  <si>
    <t>89 High Ledge Circle</t>
  </si>
  <si>
    <t>XGHB57744889716207</t>
  </si>
  <si>
    <t>Diane Burge</t>
  </si>
  <si>
    <t>2013-04-17</t>
  </si>
  <si>
    <t>108 Springer Lane</t>
  </si>
  <si>
    <t>RTKX42239312918907</t>
  </si>
  <si>
    <t>AGENT00574</t>
  </si>
  <si>
    <t>Jacqueline Craft</t>
  </si>
  <si>
    <t>2004-06-06</t>
  </si>
  <si>
    <t>2349 East Tall Oaks Drive</t>
  </si>
  <si>
    <t>LCLZ29392256890357</t>
  </si>
  <si>
    <t>Donna Boucher</t>
  </si>
  <si>
    <t>2015-04-12</t>
  </si>
  <si>
    <t>95 Middle Turnpike West</t>
  </si>
  <si>
    <t>F</t>
  </si>
  <si>
    <t>FAOW19361546349414</t>
  </si>
  <si>
    <t>Bertha Reynolds</t>
  </si>
  <si>
    <t>2001-08-23</t>
  </si>
  <si>
    <t>343 Daman Drive</t>
  </si>
  <si>
    <t>ZSVG11290363445874</t>
  </si>
  <si>
    <t>David Magill</t>
  </si>
  <si>
    <t>2014-07-30</t>
  </si>
  <si>
    <t>6007 Yarrow Street</t>
  </si>
  <si>
    <t>H</t>
  </si>
  <si>
    <t>YTFR95617613434924</t>
  </si>
  <si>
    <t>Richard Swinford</t>
  </si>
  <si>
    <t>1992-04-04</t>
  </si>
  <si>
    <t>17 Stratfield Avenue</t>
  </si>
  <si>
    <t>QZPI27185447505141</t>
  </si>
  <si>
    <t>AGENT00579</t>
  </si>
  <si>
    <t>Lori Peterson</t>
  </si>
  <si>
    <t>2000-08-24</t>
  </si>
  <si>
    <t>702 East 53rd Street</t>
  </si>
  <si>
    <t>TGDN50853066591121</t>
  </si>
  <si>
    <t>John Hassan</t>
  </si>
  <si>
    <t>1997-07-05</t>
  </si>
  <si>
    <t>11330 Elmore Road</t>
  </si>
  <si>
    <t>CNOL13767821635403</t>
  </si>
  <si>
    <t>Angel Elliott</t>
  </si>
  <si>
    <t>1998-03-27</t>
  </si>
  <si>
    <t>49 West Street</t>
  </si>
  <si>
    <t>Bolton</t>
  </si>
  <si>
    <t>ADBK63366133318123</t>
  </si>
  <si>
    <t>Michael Reed</t>
  </si>
  <si>
    <t>2015-03-12</t>
  </si>
  <si>
    <t>439 Crestmont Drive</t>
  </si>
  <si>
    <t>HCQB64970746728804</t>
  </si>
  <si>
    <t>Thomas Brauer</t>
  </si>
  <si>
    <t>2018-04-25</t>
  </si>
  <si>
    <t>1109 East Glenn Lane</t>
  </si>
  <si>
    <t>JJUX37904390045101</t>
  </si>
  <si>
    <t>William Bassett</t>
  </si>
  <si>
    <t>2000-12-17</t>
  </si>
  <si>
    <t>11 Alden Court</t>
  </si>
  <si>
    <t>TRJZ32128486968463</t>
  </si>
  <si>
    <t>Matthew Stepp</t>
  </si>
  <si>
    <t>2008-08-15</t>
  </si>
  <si>
    <t>1405 Monroe Street Northeast</t>
  </si>
  <si>
    <t>HMBH91923119509584</t>
  </si>
  <si>
    <t>Danny Morrison</t>
  </si>
  <si>
    <t>1991-07-13</t>
  </si>
  <si>
    <t>5805 Armada Drive</t>
  </si>
  <si>
    <t>KQSI68696013489393</t>
  </si>
  <si>
    <t>AGENT00587</t>
  </si>
  <si>
    <t>Evelyn Carter</t>
  </si>
  <si>
    <t>2003-09-06</t>
  </si>
  <si>
    <t>68 Hampstead Place</t>
  </si>
  <si>
    <t>WKYP84200710790150</t>
  </si>
  <si>
    <t>John Travis</t>
  </si>
  <si>
    <t>2006-10-23</t>
  </si>
  <si>
    <t>6740 Dickerson Drive</t>
  </si>
  <si>
    <t>DTQF63262847405938</t>
  </si>
  <si>
    <t>Jeffrey Jackson</t>
  </si>
  <si>
    <t>2003-11-10</t>
  </si>
  <si>
    <t>525 Merrill Lane</t>
  </si>
  <si>
    <t>#308</t>
  </si>
  <si>
    <t>OUNC56060127138531</t>
  </si>
  <si>
    <t>Ronnie Carter</t>
  </si>
  <si>
    <t>2008-09-05</t>
  </si>
  <si>
    <t>26 Battery Drive</t>
  </si>
  <si>
    <t>MCEH41501467631795</t>
  </si>
  <si>
    <t>Jill Noble</t>
  </si>
  <si>
    <t>2001-12-16</t>
  </si>
  <si>
    <t>814 Miner Road</t>
  </si>
  <si>
    <t>KDJO86436904919476</t>
  </si>
  <si>
    <t>Sara Ruiz</t>
  </si>
  <si>
    <t>6817 Brentwood Street</t>
  </si>
  <si>
    <t>UUHZ96198984673909</t>
  </si>
  <si>
    <t>Jennifer Wright</t>
  </si>
  <si>
    <t>2006-02-15</t>
  </si>
  <si>
    <t>6398 Jellison Way</t>
  </si>
  <si>
    <t>JFBY40287930112813</t>
  </si>
  <si>
    <t>Susan Russell</t>
  </si>
  <si>
    <t>2003-09-15</t>
  </si>
  <si>
    <t>CYOF71038872733701</t>
  </si>
  <si>
    <t>Patricia Taylor</t>
  </si>
  <si>
    <t>514 Flower Lane</t>
  </si>
  <si>
    <t>RPFH06439472196380</t>
  </si>
  <si>
    <t>Robert Janus</t>
  </si>
  <si>
    <t>417 R Street Northwest</t>
  </si>
  <si>
    <t>HVDM52091064162815</t>
  </si>
  <si>
    <t>AGENT00597</t>
  </si>
  <si>
    <t>Loretta Branson</t>
  </si>
  <si>
    <t>2014-07-01</t>
  </si>
  <si>
    <t>6385 Oak Street</t>
  </si>
  <si>
    <t>#101</t>
  </si>
  <si>
    <t>YGNT96551520045803</t>
  </si>
  <si>
    <t>Alicia Workman</t>
  </si>
  <si>
    <t>2002-06-16</t>
  </si>
  <si>
    <t>16133 Hillsborough Boulevard</t>
  </si>
  <si>
    <t>OKOU37178934919357</t>
  </si>
  <si>
    <t>James Miller</t>
  </si>
  <si>
    <t>756 Neponset Street</t>
  </si>
  <si>
    <t>Norwood</t>
  </si>
  <si>
    <t>EEBM54419770525909</t>
  </si>
  <si>
    <t>Ray Kutz</t>
  </si>
  <si>
    <t>2003-11-11</t>
  </si>
  <si>
    <t>6140 Fenton Street</t>
  </si>
  <si>
    <t>NCWX77972965928094</t>
  </si>
  <si>
    <t>Evelyn Bacot</t>
  </si>
  <si>
    <t>1994-10-04</t>
  </si>
  <si>
    <t>4714 Narrow Lane Road</t>
  </si>
  <si>
    <t>CLWF93560008625068</t>
  </si>
  <si>
    <t>Brandi Twitchell</t>
  </si>
  <si>
    <t>1992-01-09</t>
  </si>
  <si>
    <t>2032 Gorgas Street</t>
  </si>
  <si>
    <t>OHNG43067157046501</t>
  </si>
  <si>
    <t>Eleanor Timko</t>
  </si>
  <si>
    <t>1993-09-27</t>
  </si>
  <si>
    <t>1636 Briarview Court</t>
  </si>
  <si>
    <t>UMBO35567858615366</t>
  </si>
  <si>
    <t>AGENT00604</t>
  </si>
  <si>
    <t>Thelma Salinas</t>
  </si>
  <si>
    <t>2014-03-26</t>
  </si>
  <si>
    <t>DGVB07549034057872</t>
  </si>
  <si>
    <t>Frances Smith</t>
  </si>
  <si>
    <t>1999-02-15</t>
  </si>
  <si>
    <t>2140 East 56th Avenue</t>
  </si>
  <si>
    <t>#APT 11</t>
  </si>
  <si>
    <t>WTXV39834350087069</t>
  </si>
  <si>
    <t>Jamie Collins</t>
  </si>
  <si>
    <t>2000-08-30</t>
  </si>
  <si>
    <t>21402 Caribbean Lane</t>
  </si>
  <si>
    <t>FFZW44378389913229</t>
  </si>
  <si>
    <t>Joyce Bumgardner</t>
  </si>
  <si>
    <t>2005-04-19</t>
  </si>
  <si>
    <t>4001 Teton Lane</t>
  </si>
  <si>
    <t>OSZO80842587993756</t>
  </si>
  <si>
    <t>Renee Zaldana</t>
  </si>
  <si>
    <t>61 Callahan Way</t>
  </si>
  <si>
    <t>#B4</t>
  </si>
  <si>
    <t>NSVP36826783847299</t>
  </si>
  <si>
    <t>Mathew Prater</t>
  </si>
  <si>
    <t>1993-09-17</t>
  </si>
  <si>
    <t>265 Slater Street</t>
  </si>
  <si>
    <t>#122</t>
  </si>
  <si>
    <t>QJYO20624112375027</t>
  </si>
  <si>
    <t>Gene Duarte</t>
  </si>
  <si>
    <t>1991-09-03</t>
  </si>
  <si>
    <t>707 Pinkston Street</t>
  </si>
  <si>
    <t>JEXA30694642859503</t>
  </si>
  <si>
    <t>Michael Olson</t>
  </si>
  <si>
    <t>2008-03-13</t>
  </si>
  <si>
    <t>6413 Kendall Street</t>
  </si>
  <si>
    <t>YGRA01648028734366</t>
  </si>
  <si>
    <t>Susan Mincey</t>
  </si>
  <si>
    <t>1998-02-17</t>
  </si>
  <si>
    <t>8526 Preston Highway</t>
  </si>
  <si>
    <t>TZWA74673988653551</t>
  </si>
  <si>
    <t>Samuel Keppler</t>
  </si>
  <si>
    <t>1998-07-03</t>
  </si>
  <si>
    <t>126 Garth Road</t>
  </si>
  <si>
    <t>IUAX28675937232100</t>
  </si>
  <si>
    <t>Scott Leist</t>
  </si>
  <si>
    <t>2006-06-13</t>
  </si>
  <si>
    <t>2212 Daffin Drive</t>
  </si>
  <si>
    <t>HRLE54786511063463</t>
  </si>
  <si>
    <t>Kira Bilodeau</t>
  </si>
  <si>
    <t>1998-01-24</t>
  </si>
  <si>
    <t>8390 Alkire Street</t>
  </si>
  <si>
    <t>KHMF15325688370799</t>
  </si>
  <si>
    <t>Dave Mitchelle</t>
  </si>
  <si>
    <t>2014-01-14</t>
  </si>
  <si>
    <t>1720 Quacco Road</t>
  </si>
  <si>
    <t>ROAR80452850798035</t>
  </si>
  <si>
    <t>Michael Brim</t>
  </si>
  <si>
    <t>2001-11-28</t>
  </si>
  <si>
    <t>812 Southwest 151st Street</t>
  </si>
  <si>
    <t>RQVC56806537011933</t>
  </si>
  <si>
    <t>David Carr</t>
  </si>
  <si>
    <t>2006-09-10</t>
  </si>
  <si>
    <t>DVJG70290892536299</t>
  </si>
  <si>
    <t>Billie Barefield</t>
  </si>
  <si>
    <t>2011-06-24</t>
  </si>
  <si>
    <t>1318 22nd Street Northwest</t>
  </si>
  <si>
    <t>SWPK82286039441636</t>
  </si>
  <si>
    <t>Bobbie Burwell</t>
  </si>
  <si>
    <t>2007-04-17</t>
  </si>
  <si>
    <t>6820 West 84th Circle</t>
  </si>
  <si>
    <t>#27</t>
  </si>
  <si>
    <t>YRFO26788026017179</t>
  </si>
  <si>
    <t>AGENT00621</t>
  </si>
  <si>
    <t>Richard Murphy</t>
  </si>
  <si>
    <t>1990-11-06</t>
  </si>
  <si>
    <t>YNDF61139863255362</t>
  </si>
  <si>
    <t>Roscoe Wooden</t>
  </si>
  <si>
    <t>2015-01-04</t>
  </si>
  <si>
    <t>YPYD26891395401546</t>
  </si>
  <si>
    <t>William Crume</t>
  </si>
  <si>
    <t>1993-01-23</t>
  </si>
  <si>
    <t>UZFW20387729447576</t>
  </si>
  <si>
    <t>Stacey Louis</t>
  </si>
  <si>
    <t>2007-05-17</t>
  </si>
  <si>
    <t>312 Shepherd Hills Drive</t>
  </si>
  <si>
    <t>QQBF44190523404491</t>
  </si>
  <si>
    <t>Mary Vick</t>
  </si>
  <si>
    <t>1995-05-24</t>
  </si>
  <si>
    <t>31130 Meadowbrook Avenue</t>
  </si>
  <si>
    <t>VNNA98931302210059</t>
  </si>
  <si>
    <t>Wayne Rios</t>
  </si>
  <si>
    <t>2001-07-07</t>
  </si>
  <si>
    <t>6108 Iris Way</t>
  </si>
  <si>
    <t>QGDP68238115999189</t>
  </si>
  <si>
    <t>Lori Rutledge</t>
  </si>
  <si>
    <t>2011-07-31</t>
  </si>
  <si>
    <t>55 Sunrise Avenue</t>
  </si>
  <si>
    <t>KBUT63963678994960</t>
  </si>
  <si>
    <t>AGENT00628</t>
  </si>
  <si>
    <t>Marsha Kingsley</t>
  </si>
  <si>
    <t>2015-05-05</t>
  </si>
  <si>
    <t>NHJQ77011799626371</t>
  </si>
  <si>
    <t>Brandy Fuentez</t>
  </si>
  <si>
    <t>2004-11-27</t>
  </si>
  <si>
    <t>269 Park Street</t>
  </si>
  <si>
    <t>AZZU89621541741541</t>
  </si>
  <si>
    <t>Myrtle Mackie</t>
  </si>
  <si>
    <t>2014-04-20</t>
  </si>
  <si>
    <t>17 Gregory Street</t>
  </si>
  <si>
    <t>Middleton</t>
  </si>
  <si>
    <t>KCVN88530832059160</t>
  </si>
  <si>
    <t>Ashley Baird</t>
  </si>
  <si>
    <t>2000-01-06</t>
  </si>
  <si>
    <t>5908 Sedberry Road</t>
  </si>
  <si>
    <t>ANWS73471466897301</t>
  </si>
  <si>
    <t>Caitlin Campbell</t>
  </si>
  <si>
    <t>2012-10-13</t>
  </si>
  <si>
    <t>615 Sand Road</t>
  </si>
  <si>
    <t>XAKS56109046835689</t>
  </si>
  <si>
    <t>Clarence Mcclendon</t>
  </si>
  <si>
    <t>2016-09-18</t>
  </si>
  <si>
    <t>129 Glen Street</t>
  </si>
  <si>
    <t>BQGO93011033024305</t>
  </si>
  <si>
    <t>Constance Padel</t>
  </si>
  <si>
    <t>2012-03-24</t>
  </si>
  <si>
    <t>7230 Montagne Circle</t>
  </si>
  <si>
    <t>CJAV18487059296054</t>
  </si>
  <si>
    <t>Allison Bailey</t>
  </si>
  <si>
    <t>2008-02-12</t>
  </si>
  <si>
    <t>KNVH89157938825411</t>
  </si>
  <si>
    <t>Brenda Bean</t>
  </si>
  <si>
    <t>2010-01-19</t>
  </si>
  <si>
    <t>HZBK86544578578547</t>
  </si>
  <si>
    <t>AGENT00637</t>
  </si>
  <si>
    <t>Martha Dunne</t>
  </si>
  <si>
    <t>2005-08-21</t>
  </si>
  <si>
    <t>AUVY95899589989315</t>
  </si>
  <si>
    <t>Kathryn Mckee</t>
  </si>
  <si>
    <t>2009-02-27</t>
  </si>
  <si>
    <t>433 Keith Street</t>
  </si>
  <si>
    <t>JAAM59754788821266</t>
  </si>
  <si>
    <t>Shelby Richards</t>
  </si>
  <si>
    <t>1995-03-01</t>
  </si>
  <si>
    <t>YFFY90307447508970</t>
  </si>
  <si>
    <t>AGENT00640</t>
  </si>
  <si>
    <t>Mary Woods</t>
  </si>
  <si>
    <t>2017-09-09</t>
  </si>
  <si>
    <t>6208 Ingalls Street</t>
  </si>
  <si>
    <t>BRDV96635053177481</t>
  </si>
  <si>
    <t>Tom Lee</t>
  </si>
  <si>
    <t>2014-09-10</t>
  </si>
  <si>
    <t>20251 North 75th Avenue</t>
  </si>
  <si>
    <t>#1046</t>
  </si>
  <si>
    <t>VOJR74904013203854</t>
  </si>
  <si>
    <t>Toni Singh</t>
  </si>
  <si>
    <t>1998-10-03</t>
  </si>
  <si>
    <t>82 Linnmore Drive</t>
  </si>
  <si>
    <t>TTLQ72519681961221</t>
  </si>
  <si>
    <t>Alicia Richards</t>
  </si>
  <si>
    <t>2017-07-02</t>
  </si>
  <si>
    <t>13531 West 72nd Drive</t>
  </si>
  <si>
    <t>WHUW52431575594960</t>
  </si>
  <si>
    <t>James Castlen</t>
  </si>
  <si>
    <t>1995-03-09</t>
  </si>
  <si>
    <t>OSBH26669290374903</t>
  </si>
  <si>
    <t>Anthony Joshi</t>
  </si>
  <si>
    <t>780 South Wilmington Avenue</t>
  </si>
  <si>
    <t>#107</t>
  </si>
  <si>
    <t>UDIU74137618897848</t>
  </si>
  <si>
    <t>Emma Tubbs</t>
  </si>
  <si>
    <t>2000-07-19</t>
  </si>
  <si>
    <t>8757 Lamar Circle</t>
  </si>
  <si>
    <t>OLLC58353704570145</t>
  </si>
  <si>
    <t>Jefferson Tadlock</t>
  </si>
  <si>
    <t>2006-07-19</t>
  </si>
  <si>
    <t>16 Clark Street</t>
  </si>
  <si>
    <t>OGSV96527095278678</t>
  </si>
  <si>
    <t>Melody Koontz</t>
  </si>
  <si>
    <t>2016-08-08</t>
  </si>
  <si>
    <t>JJSX89053809481785</t>
  </si>
  <si>
    <t>Maria Briggs</t>
  </si>
  <si>
    <t>2004-06-09</t>
  </si>
  <si>
    <t>8 Chestnut Street</t>
  </si>
  <si>
    <t>Winchester</t>
  </si>
  <si>
    <t>FYKV59205749345056</t>
  </si>
  <si>
    <t>Marvin Robinson</t>
  </si>
  <si>
    <t>2010-01-04</t>
  </si>
  <si>
    <t>HDUS87165704171779</t>
  </si>
  <si>
    <t>Ernestine Baxter</t>
  </si>
  <si>
    <t>2012-02-08</t>
  </si>
  <si>
    <t>125 13th Street Northeast</t>
  </si>
  <si>
    <t>ROMK21749388007277</t>
  </si>
  <si>
    <t>Emily Kilgore</t>
  </si>
  <si>
    <t>2015-07-05</t>
  </si>
  <si>
    <t>10 Dalry Lane</t>
  </si>
  <si>
    <t>XOPU88386115381018</t>
  </si>
  <si>
    <t>William Stewart</t>
  </si>
  <si>
    <t>1995-06-21</t>
  </si>
  <si>
    <t>5813 Hammermill Loop</t>
  </si>
  <si>
    <t>CNNU54862281779962</t>
  </si>
  <si>
    <t>Dominique Touhey</t>
  </si>
  <si>
    <t>2015-10-28</t>
  </si>
  <si>
    <t>7728 Twin Oaks Road</t>
  </si>
  <si>
    <t>CIZQ08140146021893</t>
  </si>
  <si>
    <t>Jason Davis</t>
  </si>
  <si>
    <t>2007-08-28</t>
  </si>
  <si>
    <t>23 Cove Drive</t>
  </si>
  <si>
    <t>RPVT21295941179689</t>
  </si>
  <si>
    <t>Matthew Harrison</t>
  </si>
  <si>
    <t>1994-09-23</t>
  </si>
  <si>
    <t>5108 Franklin Street</t>
  </si>
  <si>
    <t>RWBP35636232413860</t>
  </si>
  <si>
    <t>David Agnew</t>
  </si>
  <si>
    <t>1992-02-27</t>
  </si>
  <si>
    <t>2068 Happy Lane</t>
  </si>
  <si>
    <t>LLNH57077072069884</t>
  </si>
  <si>
    <t>Edwin Raines</t>
  </si>
  <si>
    <t>2004-08-04</t>
  </si>
  <si>
    <t>921 5th Street Southeast</t>
  </si>
  <si>
    <t>XPKX99355654990748</t>
  </si>
  <si>
    <t>Julie Lang</t>
  </si>
  <si>
    <t>1997-06-27</t>
  </si>
  <si>
    <t>5118 Augusta Road</t>
  </si>
  <si>
    <t>IZES51945739300744</t>
  </si>
  <si>
    <t>Ralph Roberson</t>
  </si>
  <si>
    <t>2006-11-15</t>
  </si>
  <si>
    <t>ICDB32128617490150</t>
  </si>
  <si>
    <t>Johnny Borders</t>
  </si>
  <si>
    <t>1993-11-14</t>
  </si>
  <si>
    <t>52 Oleary Drive</t>
  </si>
  <si>
    <t>YWYB09426389497608</t>
  </si>
  <si>
    <t>Ernestine Dedrick</t>
  </si>
  <si>
    <t>2009-07-10</t>
  </si>
  <si>
    <t>211 West Oak Street</t>
  </si>
  <si>
    <t>#519</t>
  </si>
  <si>
    <t>WBBE30048438051090</t>
  </si>
  <si>
    <t>Foster Rucker</t>
  </si>
  <si>
    <t>1998-06-26</t>
  </si>
  <si>
    <t>5224 Wasena Avenue</t>
  </si>
  <si>
    <t>EXKI90620202756763</t>
  </si>
  <si>
    <t>Howard Planas</t>
  </si>
  <si>
    <t>1994-03-01</t>
  </si>
  <si>
    <t>1644 Queenstown Road</t>
  </si>
  <si>
    <t>EEGB27145038898026</t>
  </si>
  <si>
    <t>Peggy Shaw</t>
  </si>
  <si>
    <t>1995-07-31</t>
  </si>
  <si>
    <t>121 Alpine Way</t>
  </si>
  <si>
    <t>DVYU91103041490325</t>
  </si>
  <si>
    <t>Fernando Tippets</t>
  </si>
  <si>
    <t>2003-11-29</t>
  </si>
  <si>
    <t>1601 East 19th Street</t>
  </si>
  <si>
    <t>RCFC24798885219758</t>
  </si>
  <si>
    <t>Jim Espinosa</t>
  </si>
  <si>
    <t>2002-02-02</t>
  </si>
  <si>
    <t>3522 Whiting Avenue</t>
  </si>
  <si>
    <t>LUYP79563697514529</t>
  </si>
  <si>
    <t>Carol Prescott</t>
  </si>
  <si>
    <t>2010-01-03</t>
  </si>
  <si>
    <t>22062 Cameron Street</t>
  </si>
  <si>
    <t>MFGK84558491042065</t>
  </si>
  <si>
    <t>Clayton Veit</t>
  </si>
  <si>
    <t>1997-02-11</t>
  </si>
  <si>
    <t>201 Juniper Springs Drive</t>
  </si>
  <si>
    <t>#311</t>
  </si>
  <si>
    <t>OXBN46370701796955</t>
  </si>
  <si>
    <t>Susan Sanders</t>
  </si>
  <si>
    <t>2013-05-23</t>
  </si>
  <si>
    <t>18 Curry Lane</t>
  </si>
  <si>
    <t>ORYZ98607247789430</t>
  </si>
  <si>
    <t>Stacy Bird</t>
  </si>
  <si>
    <t>2010-07-28</t>
  </si>
  <si>
    <t>203 East Gwinnett Street</t>
  </si>
  <si>
    <t>HSPW43317740884549</t>
  </si>
  <si>
    <t>Amos Casillas</t>
  </si>
  <si>
    <t>3578 Galindo Street</t>
  </si>
  <si>
    <t>LLMW71263718564186</t>
  </si>
  <si>
    <t>Virginia Vorse</t>
  </si>
  <si>
    <t>2002-03-21</t>
  </si>
  <si>
    <t>238 Brookley Avenue Southwest</t>
  </si>
  <si>
    <t>TDQU90289065114883</t>
  </si>
  <si>
    <t>AGENT00674</t>
  </si>
  <si>
    <t>Carlos Nelson</t>
  </si>
  <si>
    <t>3635 Bisquier Drive</t>
  </si>
  <si>
    <t>TFOA38470735340374</t>
  </si>
  <si>
    <t>Cindy Wilcox</t>
  </si>
  <si>
    <t>2003-06-28</t>
  </si>
  <si>
    <t>18505 Onyx Avenue</t>
  </si>
  <si>
    <t>JVPY11961720479895</t>
  </si>
  <si>
    <t>Elizabeth Baeza</t>
  </si>
  <si>
    <t>2017-12-15</t>
  </si>
  <si>
    <t>FJIZ12270593266753</t>
  </si>
  <si>
    <t>Mary Apilado</t>
  </si>
  <si>
    <t>2007-04-06</t>
  </si>
  <si>
    <t>3623 Chateau Lane</t>
  </si>
  <si>
    <t>WWXC41560089108197</t>
  </si>
  <si>
    <t>Norman Brown</t>
  </si>
  <si>
    <t>2004-04-05</t>
  </si>
  <si>
    <t>SRIK72670179976106</t>
  </si>
  <si>
    <t>Clara Barnett</t>
  </si>
  <si>
    <t>1994-08-25</t>
  </si>
  <si>
    <t>503 Early Street</t>
  </si>
  <si>
    <t>GBEQ56216719351752</t>
  </si>
  <si>
    <t>Martha Hanni</t>
  </si>
  <si>
    <t>2011-04-13</t>
  </si>
  <si>
    <t>224 Charter Oak Street</t>
  </si>
  <si>
    <t>IATZ67264889365770</t>
  </si>
  <si>
    <t>Luciano Urbina</t>
  </si>
  <si>
    <t>1993-02-23</t>
  </si>
  <si>
    <t>210 Long Hill Court</t>
  </si>
  <si>
    <t>BGGM89243030428001</t>
  </si>
  <si>
    <t>Michael Ortiz</t>
  </si>
  <si>
    <t>2000-08-10</t>
  </si>
  <si>
    <t>4221 Thompson Avenue</t>
  </si>
  <si>
    <t>APT C</t>
  </si>
  <si>
    <t>GETW44783556180552</t>
  </si>
  <si>
    <t>Elodia Brown</t>
  </si>
  <si>
    <t>1994-05-23</t>
  </si>
  <si>
    <t>2246 West Fairview Avenue</t>
  </si>
  <si>
    <t>YFUS50365353381727</t>
  </si>
  <si>
    <t>Candace Oleson</t>
  </si>
  <si>
    <t>2355 Pearl Point</t>
  </si>
  <si>
    <t>#5?</t>
  </si>
  <si>
    <t>OFXE87743824386822</t>
  </si>
  <si>
    <t>Willie Drew</t>
  </si>
  <si>
    <t>2000-04-11</t>
  </si>
  <si>
    <t>6755 Mulberry Drive</t>
  </si>
  <si>
    <t>TJBL20924249329692</t>
  </si>
  <si>
    <t>Louise Garst</t>
  </si>
  <si>
    <t>2003-09-19</t>
  </si>
  <si>
    <t>901 Samson Road</t>
  </si>
  <si>
    <t>WMIM86031404126690</t>
  </si>
  <si>
    <t>Crystal Bostic</t>
  </si>
  <si>
    <t>1996-08-21</t>
  </si>
  <si>
    <t>12 Saint Andrews Crossover</t>
  </si>
  <si>
    <t>DPFM11027936696516</t>
  </si>
  <si>
    <t>Glenda Briney</t>
  </si>
  <si>
    <t>1991-03-08</t>
  </si>
  <si>
    <t>123 Villa View Court</t>
  </si>
  <si>
    <t>MTTH95957536259621</t>
  </si>
  <si>
    <t>Connie Hunt</t>
  </si>
  <si>
    <t>8347 Ames Way</t>
  </si>
  <si>
    <t>RRAW42401084580663</t>
  </si>
  <si>
    <t>Robert Ward</t>
  </si>
  <si>
    <t>2010-08-21</t>
  </si>
  <si>
    <t>IYLB01551123255113</t>
  </si>
  <si>
    <t>Terri Kranz</t>
  </si>
  <si>
    <t>2002-04-27</t>
  </si>
  <si>
    <t>100 East Joyce Boulevard</t>
  </si>
  <si>
    <t>#110</t>
  </si>
  <si>
    <t>GYTD73994023491979</t>
  </si>
  <si>
    <t>Allen Bailey</t>
  </si>
  <si>
    <t>1998-02-02</t>
  </si>
  <si>
    <t>175 Creek Road</t>
  </si>
  <si>
    <t>EZYT07652367617981</t>
  </si>
  <si>
    <t>Gerald Proctor</t>
  </si>
  <si>
    <t>1991-06-26</t>
  </si>
  <si>
    <t>6228 West Larkspur Drive</t>
  </si>
  <si>
    <t>EMJW57212535532687</t>
  </si>
  <si>
    <t>Jean Dominguez</t>
  </si>
  <si>
    <t>2004-11-01</t>
  </si>
  <si>
    <t>91 Rushforde Drive</t>
  </si>
  <si>
    <t>OVPX20253547941417</t>
  </si>
  <si>
    <t>Michael Pat</t>
  </si>
  <si>
    <t>1995-11-13</t>
  </si>
  <si>
    <t>195 Kennedy Road</t>
  </si>
  <si>
    <t>OREC54576649068870</t>
  </si>
  <si>
    <t>James Harrison</t>
  </si>
  <si>
    <t>1999-02-17</t>
  </si>
  <si>
    <t>4231 Miramonte Way</t>
  </si>
  <si>
    <t>MTLU64833212099714</t>
  </si>
  <si>
    <t>Judy Hall</t>
  </si>
  <si>
    <t>2015-11-02</t>
  </si>
  <si>
    <t>3301 Nora Lane</t>
  </si>
  <si>
    <t>IIYP82972083715600</t>
  </si>
  <si>
    <t>Noemi Guerrero</t>
  </si>
  <si>
    <t>2008-12-11</t>
  </si>
  <si>
    <t>6741 West Robert E Lee Street</t>
  </si>
  <si>
    <t>OCWO57036660163687</t>
  </si>
  <si>
    <t>Chris Edmonds</t>
  </si>
  <si>
    <t>2001-06-04</t>
  </si>
  <si>
    <t>721 Vermont 5A</t>
  </si>
  <si>
    <t>PKLU99131859094504</t>
  </si>
  <si>
    <t>AGENT00700</t>
  </si>
  <si>
    <t>Jonas Walker</t>
  </si>
  <si>
    <t>2010-07-03</t>
  </si>
  <si>
    <t>5701 North 67th Avenue</t>
  </si>
  <si>
    <t>#143</t>
  </si>
  <si>
    <t>XBRM45985607924602</t>
  </si>
  <si>
    <t>Jenny Mikelson</t>
  </si>
  <si>
    <t>2007-06-03</t>
  </si>
  <si>
    <t>4207 Ranch Drive</t>
  </si>
  <si>
    <t>WQPU13332494521276</t>
  </si>
  <si>
    <t>William Cole</t>
  </si>
  <si>
    <t>1990-10-19</t>
  </si>
  <si>
    <t>445 Industrial Lane</t>
  </si>
  <si>
    <t>QXDO22681546578888</t>
  </si>
  <si>
    <t>Sherri Bowser</t>
  </si>
  <si>
    <t>2010-05-20</t>
  </si>
  <si>
    <t>562 South Pierremont Drive</t>
  </si>
  <si>
    <t>MPPD30974505387293</t>
  </si>
  <si>
    <t>Jane Townsend</t>
  </si>
  <si>
    <t>2006-06-28</t>
  </si>
  <si>
    <t>WEXH15220852313416</t>
  </si>
  <si>
    <t>William Ruder</t>
  </si>
  <si>
    <t>1998-07-13</t>
  </si>
  <si>
    <t>625 West Main Street</t>
  </si>
  <si>
    <t>LSOS96690617427602</t>
  </si>
  <si>
    <t>Laura Staggs</t>
  </si>
  <si>
    <t>2013-05-27</t>
  </si>
  <si>
    <t>YXDG83270893264779</t>
  </si>
  <si>
    <t>Nancy Tseng</t>
  </si>
  <si>
    <t>2004-07-26</t>
  </si>
  <si>
    <t>10277 West 52nd Place</t>
  </si>
  <si>
    <t>LMUY79282718378411</t>
  </si>
  <si>
    <t>Fannie Miranda</t>
  </si>
  <si>
    <t>2017-03-01</t>
  </si>
  <si>
    <t>EEFO95528172901511</t>
  </si>
  <si>
    <t>Richard Joyner</t>
  </si>
  <si>
    <t>2001-06-03</t>
  </si>
  <si>
    <t>8496 Isles Court</t>
  </si>
  <si>
    <t>OOIC37870726148650</t>
  </si>
  <si>
    <t>Michelle Theriot</t>
  </si>
  <si>
    <t>2011-09-11</t>
  </si>
  <si>
    <t>XRPY43879523165458</t>
  </si>
  <si>
    <t>Casey King</t>
  </si>
  <si>
    <t>2013-06-11</t>
  </si>
  <si>
    <t>6342 Kendall Street</t>
  </si>
  <si>
    <t>WORU53796535852278</t>
  </si>
  <si>
    <t>Karen Brown</t>
  </si>
  <si>
    <t>2002-01-18</t>
  </si>
  <si>
    <t>7416 West Maryland Avenue</t>
  </si>
  <si>
    <t>USSO25470337259298</t>
  </si>
  <si>
    <t>Ashley Jackson</t>
  </si>
  <si>
    <t>2017-06-01</t>
  </si>
  <si>
    <t>38 Bruce Road</t>
  </si>
  <si>
    <t>GIIL40932135292496</t>
  </si>
  <si>
    <t>Elias Bergan</t>
  </si>
  <si>
    <t>159 Adams Street</t>
  </si>
  <si>
    <t>RNSR12078640175736</t>
  </si>
  <si>
    <t>Everett Lopez</t>
  </si>
  <si>
    <t>1994-09-11</t>
  </si>
  <si>
    <t>2811 Mechanics Avenue</t>
  </si>
  <si>
    <t>USTH76027461137126</t>
  </si>
  <si>
    <t>David Zuluaga</t>
  </si>
  <si>
    <t>1994-02-21</t>
  </si>
  <si>
    <t>505 Tarpon Street</t>
  </si>
  <si>
    <t>MPHZ02120812103723</t>
  </si>
  <si>
    <t>Richard Mckinney</t>
  </si>
  <si>
    <t>2011-06-26</t>
  </si>
  <si>
    <t>904 Walthour Road</t>
  </si>
  <si>
    <t>VAYV39833638906096</t>
  </si>
  <si>
    <t>Cheryl Haynes</t>
  </si>
  <si>
    <t>2016-01-16</t>
  </si>
  <si>
    <t>1432 Bell Trace Drive</t>
  </si>
  <si>
    <t>ZEUE58024564070846</t>
  </si>
  <si>
    <t>Jose Jones</t>
  </si>
  <si>
    <t>1999-12-24</t>
  </si>
  <si>
    <t>4719 Bayou Bluff Trail</t>
  </si>
  <si>
    <t>EOGL03909673347965</t>
  </si>
  <si>
    <t>Margaret Collier</t>
  </si>
  <si>
    <t>2004-12-17</t>
  </si>
  <si>
    <t>134 Butternut Road</t>
  </si>
  <si>
    <t>SXCC32221412802623</t>
  </si>
  <si>
    <t>Martin Murphy</t>
  </si>
  <si>
    <t>2016-01-31</t>
  </si>
  <si>
    <t>942 Lewis Road</t>
  </si>
  <si>
    <t>KNFN24040900286563</t>
  </si>
  <si>
    <t>Kim Coll</t>
  </si>
  <si>
    <t>84 Orange Street</t>
  </si>
  <si>
    <t>UHYX17949274769737</t>
  </si>
  <si>
    <t>Thomas Phariss</t>
  </si>
  <si>
    <t>1992-10-25</t>
  </si>
  <si>
    <t>833 Williamson Road</t>
  </si>
  <si>
    <t>EBOR81785887630878</t>
  </si>
  <si>
    <t>Dortha Davis</t>
  </si>
  <si>
    <t>137 Gazebo East Drive</t>
  </si>
  <si>
    <t>BACR30580673763617</t>
  </si>
  <si>
    <t>Mary Williams</t>
  </si>
  <si>
    <t>1996-01-15</t>
  </si>
  <si>
    <t>400 South 28th Street</t>
  </si>
  <si>
    <t>WUEX85324655130250</t>
  </si>
  <si>
    <t>Phil Murat</t>
  </si>
  <si>
    <t>1993-06-04</t>
  </si>
  <si>
    <t>4 Elm Street</t>
  </si>
  <si>
    <t>BIDG01180310048223</t>
  </si>
  <si>
    <t>Evelyn Hurt</t>
  </si>
  <si>
    <t>1992-03-03</t>
  </si>
  <si>
    <t>KMJH52780517995171</t>
  </si>
  <si>
    <t>Robert Rusher</t>
  </si>
  <si>
    <t>2010-09-28</t>
  </si>
  <si>
    <t>UFWI41917141456417</t>
  </si>
  <si>
    <t>Samuel Tolman</t>
  </si>
  <si>
    <t>1994-07-26</t>
  </si>
  <si>
    <t>8307 Brookline Place</t>
  </si>
  <si>
    <t>IAPR53111299634150</t>
  </si>
  <si>
    <t>Enrique Acosta</t>
  </si>
  <si>
    <t>2008-01-18</t>
  </si>
  <si>
    <t>1025 West 19th Street</t>
  </si>
  <si>
    <t>#UNIT 1-C</t>
  </si>
  <si>
    <t>DJVJ74435239345668</t>
  </si>
  <si>
    <t>Lacy Powers</t>
  </si>
  <si>
    <t>2006-04-28</t>
  </si>
  <si>
    <t>XXYM13977744559426</t>
  </si>
  <si>
    <t>AGENT00732</t>
  </si>
  <si>
    <t>Sylvia Tran</t>
  </si>
  <si>
    <t>1998-02-14</t>
  </si>
  <si>
    <t>13426 West Rovey Avenue</t>
  </si>
  <si>
    <t>BUEF26778074641089</t>
  </si>
  <si>
    <t>Karla Cota</t>
  </si>
  <si>
    <t>2004-11-04</t>
  </si>
  <si>
    <t>WZUZ47286017585544</t>
  </si>
  <si>
    <t>Patrick Baptiste</t>
  </si>
  <si>
    <t>2006-10-29</t>
  </si>
  <si>
    <t>ZDYL56720363417602</t>
  </si>
  <si>
    <t>Kieth Black</t>
  </si>
  <si>
    <t>2014-12-07</t>
  </si>
  <si>
    <t>MLUA72927234160695</t>
  </si>
  <si>
    <t>Robert Dixon</t>
  </si>
  <si>
    <t>1992-07-22</t>
  </si>
  <si>
    <t>KRWY48011121107397</t>
  </si>
  <si>
    <t>Joan Schuldt</t>
  </si>
  <si>
    <t>2007-11-21</t>
  </si>
  <si>
    <t>1303 Buckingham Court</t>
  </si>
  <si>
    <t>XVHU89858926305688</t>
  </si>
  <si>
    <t>Marco Lopez</t>
  </si>
  <si>
    <t>1995-12-10</t>
  </si>
  <si>
    <t>COFC08386208195303</t>
  </si>
  <si>
    <t>Jonathan Ortiz</t>
  </si>
  <si>
    <t>2000-08-21</t>
  </si>
  <si>
    <t>112 Joyner Avenue</t>
  </si>
  <si>
    <t>MBAT56906496705600</t>
  </si>
  <si>
    <t>Aletha Cooper</t>
  </si>
  <si>
    <t>2002-02-25</t>
  </si>
  <si>
    <t>JRZI52173304983605</t>
  </si>
  <si>
    <t>Michael Buchanan</t>
  </si>
  <si>
    <t>1994-08-04</t>
  </si>
  <si>
    <t>5024 West Christy Drive</t>
  </si>
  <si>
    <t>UKPK55210468685879</t>
  </si>
  <si>
    <t>Robert Densmore</t>
  </si>
  <si>
    <t>2004-06-04</t>
  </si>
  <si>
    <t>NGIT17934239569724</t>
  </si>
  <si>
    <t>Roberto Wetzel</t>
  </si>
  <si>
    <t>2015-12-23</t>
  </si>
  <si>
    <t>5927 Camrose Drive</t>
  </si>
  <si>
    <t>ILYT51246161591223</t>
  </si>
  <si>
    <t>Dorothy Rodriguez</t>
  </si>
  <si>
    <t>1997-05-11</t>
  </si>
  <si>
    <t>7326 North 62nd Avenue</t>
  </si>
  <si>
    <t>PAAF08106561476700</t>
  </si>
  <si>
    <t>Paul Yocom</t>
  </si>
  <si>
    <t>2003-11-22</t>
  </si>
  <si>
    <t>205 Harrison Avenue</t>
  </si>
  <si>
    <t>ZZVF73401481480542</t>
  </si>
  <si>
    <t>Christopher Harris</t>
  </si>
  <si>
    <t>2012-04-21</t>
  </si>
  <si>
    <t>NCGN57941628761369</t>
  </si>
  <si>
    <t>AGENT00747</t>
  </si>
  <si>
    <t>Tanya Caswell</t>
  </si>
  <si>
    <t>2010-12-20</t>
  </si>
  <si>
    <t>6231 North 67th Avenue</t>
  </si>
  <si>
    <t>#241</t>
  </si>
  <si>
    <t>KNKP48360922060006</t>
  </si>
  <si>
    <t>Anna Paulo</t>
  </si>
  <si>
    <t>1995-12-08</t>
  </si>
  <si>
    <t>14006 Coffee Bluff Road</t>
  </si>
  <si>
    <t>TCMW10900616565961</t>
  </si>
  <si>
    <t>Richard Melendez</t>
  </si>
  <si>
    <t>2014-01-31</t>
  </si>
  <si>
    <t>6148 Avon Avenue</t>
  </si>
  <si>
    <t>FMER82406294371368</t>
  </si>
  <si>
    <t>Mildred Whitmore</t>
  </si>
  <si>
    <t>2000-05-28</t>
  </si>
  <si>
    <t>735 West Treadwell Street</t>
  </si>
  <si>
    <t>#33</t>
  </si>
  <si>
    <t>LYCA65725413836979</t>
  </si>
  <si>
    <t>Mirta Parson</t>
  </si>
  <si>
    <t>1995-01-04</t>
  </si>
  <si>
    <t>8150 North 61st Avenue</t>
  </si>
  <si>
    <t>#3128</t>
  </si>
  <si>
    <t>VZXR80370495332798</t>
  </si>
  <si>
    <t>Trevor Bishop</t>
  </si>
  <si>
    <t>2006-05-25</t>
  </si>
  <si>
    <t>123 Remember Baker Lane</t>
  </si>
  <si>
    <t>ZVMB76679814731989</t>
  </si>
  <si>
    <t>Constance Nathanson</t>
  </si>
  <si>
    <t>2002-09-11</t>
  </si>
  <si>
    <t>401 East Northern Lights Boulevard</t>
  </si>
  <si>
    <t>#STE 000203</t>
  </si>
  <si>
    <t>AHKS13267881745159</t>
  </si>
  <si>
    <t>Ismael Miller</t>
  </si>
  <si>
    <t>2008-05-13</t>
  </si>
  <si>
    <t>829 Dunbarton Road</t>
  </si>
  <si>
    <t>XNWS76935130667048</t>
  </si>
  <si>
    <t>Patricia Williams</t>
  </si>
  <si>
    <t>2001-10-23</t>
  </si>
  <si>
    <t>JZGZ79820608498513</t>
  </si>
  <si>
    <t>Elizabeth Smith</t>
  </si>
  <si>
    <t>2006-11-12</t>
  </si>
  <si>
    <t>5209 North Dewey Avenue</t>
  </si>
  <si>
    <t>UJTV56045666041146</t>
  </si>
  <si>
    <t>Nora Stump</t>
  </si>
  <si>
    <t>2004-05-11</t>
  </si>
  <si>
    <t>1552 Gibson Street</t>
  </si>
  <si>
    <t>UUIU01234750263613</t>
  </si>
  <si>
    <t>David Bernal</t>
  </si>
  <si>
    <t>1994-10-06</t>
  </si>
  <si>
    <t>109 East 64th Street</t>
  </si>
  <si>
    <t>ISBH08519322964478</t>
  </si>
  <si>
    <t>Cynthia Lowe</t>
  </si>
  <si>
    <t>2013-04-13</t>
  </si>
  <si>
    <t>4604 Virginia Loop Road</t>
  </si>
  <si>
    <t>GESF59239270176709</t>
  </si>
  <si>
    <t>Emil Savage</t>
  </si>
  <si>
    <t>2000-12-24</t>
  </si>
  <si>
    <t>1456 East 39th Street</t>
  </si>
  <si>
    <t>JRJF09344321419765</t>
  </si>
  <si>
    <t>Marlene West</t>
  </si>
  <si>
    <t>1998-02-06</t>
  </si>
  <si>
    <t>1838 Crofton Parkway</t>
  </si>
  <si>
    <t>TYOR11750163944440</t>
  </si>
  <si>
    <t>Juanita Mccommons</t>
  </si>
  <si>
    <t>1990-10-29</t>
  </si>
  <si>
    <t>1606 Trevilian Way</t>
  </si>
  <si>
    <t>RQFW77703169405063</t>
  </si>
  <si>
    <t>Paul Banerjee</t>
  </si>
  <si>
    <t>2000-03-10</t>
  </si>
  <si>
    <t>36360 Beech Place</t>
  </si>
  <si>
    <t>FGHL73287223075108</t>
  </si>
  <si>
    <t>Kimberly Zwolinski</t>
  </si>
  <si>
    <t>2009-06-09</t>
  </si>
  <si>
    <t>2750 Gilmore Lane</t>
  </si>
  <si>
    <t>##C304</t>
  </si>
  <si>
    <t>HVXC93762868079973</t>
  </si>
  <si>
    <t>Pam Ault</t>
  </si>
  <si>
    <t>1993-05-14</t>
  </si>
  <si>
    <t>921 Woodmont Boulevard</t>
  </si>
  <si>
    <t>VCKW64278641688514</t>
  </si>
  <si>
    <t>Ellen Chon</t>
  </si>
  <si>
    <t>1513 Cathy Street</t>
  </si>
  <si>
    <t>RZFY09608498076430</t>
  </si>
  <si>
    <t>Mike Purnell</t>
  </si>
  <si>
    <t>1995-12-13</t>
  </si>
  <si>
    <t>463 East Rutgers Loop</t>
  </si>
  <si>
    <t>OTKF45817288783146</t>
  </si>
  <si>
    <t>Magdalena Kirby</t>
  </si>
  <si>
    <t>2017-01-09</t>
  </si>
  <si>
    <t>1429 Harrison Avenue</t>
  </si>
  <si>
    <t>TKNS20975985027875</t>
  </si>
  <si>
    <t>Jessica Montez</t>
  </si>
  <si>
    <t>2004-05-28</t>
  </si>
  <si>
    <t>6114 West Glenn Drive</t>
  </si>
  <si>
    <t>XBYG14382904542874</t>
  </si>
  <si>
    <t>James Santiago</t>
  </si>
  <si>
    <t>1990-12-02</t>
  </si>
  <si>
    <t>2115 Northwest 22nd Street</t>
  </si>
  <si>
    <t>YVCD80951872205447</t>
  </si>
  <si>
    <t>Roger Burns</t>
  </si>
  <si>
    <t>1995-04-13</t>
  </si>
  <si>
    <t>2320 Northwest 113th Place</t>
  </si>
  <si>
    <t>YFCY12225670168302</t>
  </si>
  <si>
    <t>Colleen Penn</t>
  </si>
  <si>
    <t>8070 Holland Court</t>
  </si>
  <si>
    <t>VKKF13807138297626</t>
  </si>
  <si>
    <t>David Brandenberger</t>
  </si>
  <si>
    <t>1998-12-20</t>
  </si>
  <si>
    <t>7002 Secrest Court</t>
  </si>
  <si>
    <t>GTAV70288209620092</t>
  </si>
  <si>
    <t>Alfred Acuna</t>
  </si>
  <si>
    <t>1994-10-20</t>
  </si>
  <si>
    <t>601 Farragut Place Northeast</t>
  </si>
  <si>
    <t>PIFF65477094991415</t>
  </si>
  <si>
    <t>Jewel Freeman</t>
  </si>
  <si>
    <t>1997-08-23</t>
  </si>
  <si>
    <t>2961 Vinson Road</t>
  </si>
  <si>
    <t>XFYU46649709265041</t>
  </si>
  <si>
    <t>Joshua Pagano</t>
  </si>
  <si>
    <t>5837 West Evans Drive</t>
  </si>
  <si>
    <t>MQOV49257367913158</t>
  </si>
  <si>
    <t>Eleanor Lagatta</t>
  </si>
  <si>
    <t>2013-05-07</t>
  </si>
  <si>
    <t>19590 East Batavia Drive</t>
  </si>
  <si>
    <t>VSBL61657648943649</t>
  </si>
  <si>
    <t>Bernice Ross</t>
  </si>
  <si>
    <t>6716 South Mariposa Lane</t>
  </si>
  <si>
    <t>JSCN22209739562046</t>
  </si>
  <si>
    <t>Melissa Scott</t>
  </si>
  <si>
    <t>2723 East Joyce Boulevard</t>
  </si>
  <si>
    <t>LFOJ76068590051807</t>
  </si>
  <si>
    <t>Yvonne Coomer</t>
  </si>
  <si>
    <t>1996-12-22</t>
  </si>
  <si>
    <t>QETK08575748855967</t>
  </si>
  <si>
    <t>Matthew Williams</t>
  </si>
  <si>
    <t>2001-09-11</t>
  </si>
  <si>
    <t>RKPF65577879292009</t>
  </si>
  <si>
    <t>Wilma Rubio</t>
  </si>
  <si>
    <t>2003-06-23</t>
  </si>
  <si>
    <t>3521 Stargate Circle</t>
  </si>
  <si>
    <t>DGEH29043479300598</t>
  </si>
  <si>
    <t>Lynette Curran</t>
  </si>
  <si>
    <t>2007-09-17</t>
  </si>
  <si>
    <t>328 Missouri Avenue Northwest</t>
  </si>
  <si>
    <t>QYSP42393450473141</t>
  </si>
  <si>
    <t>Deanna Elmore</t>
  </si>
  <si>
    <t>1997-06-07</t>
  </si>
  <si>
    <t>86 Highland Street</t>
  </si>
  <si>
    <t>KQNJ27700258311279</t>
  </si>
  <si>
    <t>Larry Wakham</t>
  </si>
  <si>
    <t>2007-07-05</t>
  </si>
  <si>
    <t>5170 Hickory Hollow Parkway</t>
  </si>
  <si>
    <t>#935</t>
  </si>
  <si>
    <t>CZMD33244971821468</t>
  </si>
  <si>
    <t>Victor Perrin</t>
  </si>
  <si>
    <t>1993-02-11</t>
  </si>
  <si>
    <t>9912 Shirewick Way</t>
  </si>
  <si>
    <t>WREH18805592939657</t>
  </si>
  <si>
    <t>Etta Brooks</t>
  </si>
  <si>
    <t>1992-06-11</t>
  </si>
  <si>
    <t>404 Summit Oaks Drive</t>
  </si>
  <si>
    <t>HHFP43163557471552</t>
  </si>
  <si>
    <t>Casey Bachman</t>
  </si>
  <si>
    <t>2002-09-25</t>
  </si>
  <si>
    <t>5 Westlund Avenue</t>
  </si>
  <si>
    <t>UDMI34511497635281</t>
  </si>
  <si>
    <t>Alison Baron</t>
  </si>
  <si>
    <t>2005-12-20</t>
  </si>
  <si>
    <t>12438 West 83rd Avenue</t>
  </si>
  <si>
    <t>ZOKJ58669207517623</t>
  </si>
  <si>
    <t>AGENT00790</t>
  </si>
  <si>
    <t>Clay Harmon</t>
  </si>
  <si>
    <t>2011-05-31</t>
  </si>
  <si>
    <t>JCRX73671014067008</t>
  </si>
  <si>
    <t>Donald Seta</t>
  </si>
  <si>
    <t>2005-05-10</t>
  </si>
  <si>
    <t>YBEN03080813600157</t>
  </si>
  <si>
    <t>Beatrice Pontius</t>
  </si>
  <si>
    <t>2008-09-12</t>
  </si>
  <si>
    <t>301 East Court</t>
  </si>
  <si>
    <t>WGLU91093350238065</t>
  </si>
  <si>
    <t>Walter Prue</t>
  </si>
  <si>
    <t>2002-12-31</t>
  </si>
  <si>
    <t>2515 60th Avenue</t>
  </si>
  <si>
    <t>BAXA89381280611101</t>
  </si>
  <si>
    <t>Gladys Parsons</t>
  </si>
  <si>
    <t>2009-08-27</t>
  </si>
  <si>
    <t>801 Dale Road</t>
  </si>
  <si>
    <t>AMBO95503724715116</t>
  </si>
  <si>
    <t>Bradley Jackson</t>
  </si>
  <si>
    <t>1997-11-30</t>
  </si>
  <si>
    <t>2522 Fountain Avenue</t>
  </si>
  <si>
    <t>IIMU29927518317064</t>
  </si>
  <si>
    <t>Joseph Pluemer</t>
  </si>
  <si>
    <t>225 Almond Street</t>
  </si>
  <si>
    <t>#3E</t>
  </si>
  <si>
    <t>CPIE92788049884734</t>
  </si>
  <si>
    <t>Andrew Hayes</t>
  </si>
  <si>
    <t>OCDI17572309475800</t>
  </si>
  <si>
    <t>Christopher Radtke</t>
  </si>
  <si>
    <t>2004-01-28</t>
  </si>
  <si>
    <t>335 C Street Southeast</t>
  </si>
  <si>
    <t>WMJU28742598062474</t>
  </si>
  <si>
    <t>Jimmy Sisk</t>
  </si>
  <si>
    <t>172 Alburg Springs Road</t>
  </si>
  <si>
    <t>YBLK66557864254932</t>
  </si>
  <si>
    <t>Barbara Brown</t>
  </si>
  <si>
    <t>EJOB60466615122073</t>
  </si>
  <si>
    <t>Michelle Lewis</t>
  </si>
  <si>
    <t>2009-11-10</t>
  </si>
  <si>
    <t>915 Hargrove Street</t>
  </si>
  <si>
    <t>NOXF88478228225457</t>
  </si>
  <si>
    <t>AGENT00802</t>
  </si>
  <si>
    <t>Brenda Meadows</t>
  </si>
  <si>
    <t>1996-03-16</t>
  </si>
  <si>
    <t>131 Kent Drive</t>
  </si>
  <si>
    <t>DIWZ26137725050469</t>
  </si>
  <si>
    <t>Milissa Scott</t>
  </si>
  <si>
    <t>2014-01-02</t>
  </si>
  <si>
    <t>6912 Sunrise Drive</t>
  </si>
  <si>
    <t>UAXI24173614972675</t>
  </si>
  <si>
    <t>AGENT00804</t>
  </si>
  <si>
    <t>Kenna Olsen</t>
  </si>
  <si>
    <t>2002-03-29</t>
  </si>
  <si>
    <t>4216 Park Boulevard</t>
  </si>
  <si>
    <t>HJSN43241333425233</t>
  </si>
  <si>
    <t>Brian Blocker</t>
  </si>
  <si>
    <t>1991-10-29</t>
  </si>
  <si>
    <t>19141 Pine Ridge Circle</t>
  </si>
  <si>
    <t>DEAY88166750293874</t>
  </si>
  <si>
    <t>Martin Eaton</t>
  </si>
  <si>
    <t>2011-12-18</t>
  </si>
  <si>
    <t>1622 Orchard Avenue</t>
  </si>
  <si>
    <t>WXDR94299421306504</t>
  </si>
  <si>
    <t>Don Filkins</t>
  </si>
  <si>
    <t>2000-08-18</t>
  </si>
  <si>
    <t>ZPQG99654820130887</t>
  </si>
  <si>
    <t>Barbara Gunn</t>
  </si>
  <si>
    <t>1996-09-23</t>
  </si>
  <si>
    <t>119 Antioch Pike</t>
  </si>
  <si>
    <t>KOGL13906991508808</t>
  </si>
  <si>
    <t>Peter Henry</t>
  </si>
  <si>
    <t>1992-09-19</t>
  </si>
  <si>
    <t>984 Greendale Avenue</t>
  </si>
  <si>
    <t>BVXI96875379001134</t>
  </si>
  <si>
    <t>George Ryan</t>
  </si>
  <si>
    <t>2015-04-08</t>
  </si>
  <si>
    <t>2315 Kezey Court</t>
  </si>
  <si>
    <t>WBBX65031047298613</t>
  </si>
  <si>
    <t>Rebecca Harness</t>
  </si>
  <si>
    <t>1995-06-03</t>
  </si>
  <si>
    <t>3215 Madsen Street</t>
  </si>
  <si>
    <t>GXYX92034745478697</t>
  </si>
  <si>
    <t>Erin Merson</t>
  </si>
  <si>
    <t>2011-01-10</t>
  </si>
  <si>
    <t>6687 Xenon Drive</t>
  </si>
  <si>
    <t>QKTP91520477334037</t>
  </si>
  <si>
    <t>Joshua Loftin</t>
  </si>
  <si>
    <t>2000-05-15</t>
  </si>
  <si>
    <t>36 Grove Street</t>
  </si>
  <si>
    <t>XXSP62987305722400</t>
  </si>
  <si>
    <t>Kelli Miles</t>
  </si>
  <si>
    <t>1998-11-21</t>
  </si>
  <si>
    <t>4822 Piney Branch Road Northwest</t>
  </si>
  <si>
    <t>XRZQ13584913503046</t>
  </si>
  <si>
    <t>Inez Mackenzie</t>
  </si>
  <si>
    <t>1994-10-30</t>
  </si>
  <si>
    <t>505 North Washington Avenue</t>
  </si>
  <si>
    <t>NRMG94209445993365</t>
  </si>
  <si>
    <t>Joshua Windham</t>
  </si>
  <si>
    <t>1993-11-18</t>
  </si>
  <si>
    <t>JOPI68440838320234</t>
  </si>
  <si>
    <t>AGENT00817</t>
  </si>
  <si>
    <t>Jason Diederich</t>
  </si>
  <si>
    <t>1991-07-16</t>
  </si>
  <si>
    <t>2017 North Hartford Drive</t>
  </si>
  <si>
    <t>HXPW46027713239858</t>
  </si>
  <si>
    <t>Mary Ruffin</t>
  </si>
  <si>
    <t>1999-04-13</t>
  </si>
  <si>
    <t>12013 Blue Moon Avenue</t>
  </si>
  <si>
    <t>IUPW63790077475335</t>
  </si>
  <si>
    <t>John Bronstein</t>
  </si>
  <si>
    <t>2016-06-15</t>
  </si>
  <si>
    <t>537 East Waldburg Street</t>
  </si>
  <si>
    <t>XPFB23932399005317</t>
  </si>
  <si>
    <t>Marianne Montalvan</t>
  </si>
  <si>
    <t>MNNB66456945150241</t>
  </si>
  <si>
    <t>Melinda Smith</t>
  </si>
  <si>
    <t>2012-08-22</t>
  </si>
  <si>
    <t>BSRY60227494621328</t>
  </si>
  <si>
    <t>Frederick Patterson</t>
  </si>
  <si>
    <t>2001-03-17</t>
  </si>
  <si>
    <t>721 Bay Ridge Avenue</t>
  </si>
  <si>
    <t>RUWY51620735679755</t>
  </si>
  <si>
    <t>David Neal</t>
  </si>
  <si>
    <t>2005-03-12</t>
  </si>
  <si>
    <t>207 Maple Hill Road</t>
  </si>
  <si>
    <t>AOQK60543672262625</t>
  </si>
  <si>
    <t>Roger Ewing</t>
  </si>
  <si>
    <t>2004-09-28</t>
  </si>
  <si>
    <t>SSOI84857173204962</t>
  </si>
  <si>
    <t>Todd Edwards</t>
  </si>
  <si>
    <t>2009-11-28</t>
  </si>
  <si>
    <t>1076 Foster Street</t>
  </si>
  <si>
    <t>XWOU72050918565436</t>
  </si>
  <si>
    <t>AGENT00826</t>
  </si>
  <si>
    <t>Brian Hansen</t>
  </si>
  <si>
    <t>2013-06-20</t>
  </si>
  <si>
    <t>78 School Street</t>
  </si>
  <si>
    <t>Woburn</t>
  </si>
  <si>
    <t>XLYF11319880288339</t>
  </si>
  <si>
    <t>Craig Baade</t>
  </si>
  <si>
    <t>1993-04-15</t>
  </si>
  <si>
    <t>AFJA83462286878953</t>
  </si>
  <si>
    <t>John Mccarter</t>
  </si>
  <si>
    <t>2011-03-07</t>
  </si>
  <si>
    <t>LZTC21800046381810</t>
  </si>
  <si>
    <t>AGENT00829</t>
  </si>
  <si>
    <t>Loretta Ramos</t>
  </si>
  <si>
    <t>1997-04-05</t>
  </si>
  <si>
    <t>77 Gerald Drive</t>
  </si>
  <si>
    <t>VVLY44099137227167</t>
  </si>
  <si>
    <t>John Barnum</t>
  </si>
  <si>
    <t>1999-01-27</t>
  </si>
  <si>
    <t>PISF83882587481110</t>
  </si>
  <si>
    <t>Chris Jenkins</t>
  </si>
  <si>
    <t>2005-06-10</t>
  </si>
  <si>
    <t>40700 Penn Lane</t>
  </si>
  <si>
    <t>CSGY00618561257876</t>
  </si>
  <si>
    <t>Andrea Deleon</t>
  </si>
  <si>
    <t>2016-01-22</t>
  </si>
  <si>
    <t>3420 Northwest 41st Street</t>
  </si>
  <si>
    <t>AGZN99793722750020</t>
  </si>
  <si>
    <t>Yvonne Mckeown</t>
  </si>
  <si>
    <t>1994-01-16</t>
  </si>
  <si>
    <t>3728 9th Street Northwest</t>
  </si>
  <si>
    <t>ECBE23418262797433</t>
  </si>
  <si>
    <t>Joseph Wendt</t>
  </si>
  <si>
    <t>1997-07-12</t>
  </si>
  <si>
    <t>247 Summit Street</t>
  </si>
  <si>
    <t>VXMU53090406226326</t>
  </si>
  <si>
    <t>Kyle Collins</t>
  </si>
  <si>
    <t>1992-08-04</t>
  </si>
  <si>
    <t>9110 North 63rd Drive</t>
  </si>
  <si>
    <t>JEMH34227743031647</t>
  </si>
  <si>
    <t>Adam Dixon</t>
  </si>
  <si>
    <t>2014-06-21</t>
  </si>
  <si>
    <t>31770 Alvarado Boulevard</t>
  </si>
  <si>
    <t>#102</t>
  </si>
  <si>
    <t>SJZS08070310097282</t>
  </si>
  <si>
    <t>John Colson</t>
  </si>
  <si>
    <t>2000-04-25</t>
  </si>
  <si>
    <t>OXBW43865777883048</t>
  </si>
  <si>
    <t>Elbert Duncan</t>
  </si>
  <si>
    <t>1995-06-27</t>
  </si>
  <si>
    <t>915 Sacramento Street</t>
  </si>
  <si>
    <t>TBPA99360546201238</t>
  </si>
  <si>
    <t>Lisa Lopez</t>
  </si>
  <si>
    <t>2000-08-09</t>
  </si>
  <si>
    <t>5036 Jericho Street</t>
  </si>
  <si>
    <t>QKKQ33904177754368</t>
  </si>
  <si>
    <t>Sandra Hobbs</t>
  </si>
  <si>
    <t>2010-07-06</t>
  </si>
  <si>
    <t>10 Erick Road</t>
  </si>
  <si>
    <t>#47</t>
  </si>
  <si>
    <t>Mansfield</t>
  </si>
  <si>
    <t>HIJJ54919321957377</t>
  </si>
  <si>
    <t>Robert Ruderman</t>
  </si>
  <si>
    <t>713 Ringgold Drive</t>
  </si>
  <si>
    <t>KLWL75576871164848</t>
  </si>
  <si>
    <t>AGENT00842</t>
  </si>
  <si>
    <t>Janean Mccaffrey</t>
  </si>
  <si>
    <t>1993-07-13</t>
  </si>
  <si>
    <t>2 Spencer Street</t>
  </si>
  <si>
    <t>EQYA09522848732589</t>
  </si>
  <si>
    <t>Lee Strebe</t>
  </si>
  <si>
    <t>2008-01-27</t>
  </si>
  <si>
    <t>1318 4th Street Southwest</t>
  </si>
  <si>
    <t>NMND47127042323398</t>
  </si>
  <si>
    <t>Kelly Coombs</t>
  </si>
  <si>
    <t>1991-11-22</t>
  </si>
  <si>
    <t>110 Oxford Road</t>
  </si>
  <si>
    <t>XGTL98525614281505</t>
  </si>
  <si>
    <t>Josephine Kraemer</t>
  </si>
  <si>
    <t>2017-11-07</t>
  </si>
  <si>
    <t>4604 West 19th Court</t>
  </si>
  <si>
    <t>CFVD19520852636468</t>
  </si>
  <si>
    <t>Arleen Heard</t>
  </si>
  <si>
    <t>2007-11-02</t>
  </si>
  <si>
    <t>95 Briarwood Drive</t>
  </si>
  <si>
    <t>EPIX67610212987021</t>
  </si>
  <si>
    <t>Rose Cole</t>
  </si>
  <si>
    <t>2015-08-21</t>
  </si>
  <si>
    <t>1314 89th Avenue</t>
  </si>
  <si>
    <t>PZIF98327364974832</t>
  </si>
  <si>
    <t>AGENT00848</t>
  </si>
  <si>
    <t>Columbus Newton</t>
  </si>
  <si>
    <t>2013-10-28</t>
  </si>
  <si>
    <t>ETYM22493236286783</t>
  </si>
  <si>
    <t>Debbra Collins</t>
  </si>
  <si>
    <t>2007-03-13</t>
  </si>
  <si>
    <t>TBYC82344045862959</t>
  </si>
  <si>
    <t>Flora Treadway</t>
  </si>
  <si>
    <t>2006-02-03</t>
  </si>
  <si>
    <t>22424 Birchwood Loop Road</t>
  </si>
  <si>
    <t>UCFT71216119360151</t>
  </si>
  <si>
    <t>Sandra Holloway</t>
  </si>
  <si>
    <t>2013-01-07</t>
  </si>
  <si>
    <t>4 Stemson Way</t>
  </si>
  <si>
    <t>MWGP08083997541638</t>
  </si>
  <si>
    <t>Kelli Rivas</t>
  </si>
  <si>
    <t>2009-01-14</t>
  </si>
  <si>
    <t>1413 G Street</t>
  </si>
  <si>
    <t>#STE 000001</t>
  </si>
  <si>
    <t>RSIX37682190265113</t>
  </si>
  <si>
    <t>Christina Schwart</t>
  </si>
  <si>
    <t>GZAY41352995514708</t>
  </si>
  <si>
    <t>Jerry Barke</t>
  </si>
  <si>
    <t>2004-12-01</t>
  </si>
  <si>
    <t>JUHM41347070590620</t>
  </si>
  <si>
    <t>Cynthia Thompson</t>
  </si>
  <si>
    <t>2685 California Street</t>
  </si>
  <si>
    <t>#APT 305</t>
  </si>
  <si>
    <t>MMVE05499741651584</t>
  </si>
  <si>
    <t>Carol Ducharme</t>
  </si>
  <si>
    <t>2011-02-10</t>
  </si>
  <si>
    <t>2335 Orchard View Lane</t>
  </si>
  <si>
    <t>TVVJ42309473752610</t>
  </si>
  <si>
    <t>Sharon Grace</t>
  </si>
  <si>
    <t>1991-12-28</t>
  </si>
  <si>
    <t>3340 Woodpark Drive</t>
  </si>
  <si>
    <t>UOWY07683168058803</t>
  </si>
  <si>
    <t>Arthur Hurley</t>
  </si>
  <si>
    <t>2000-10-04</t>
  </si>
  <si>
    <t>3414 Vance Lane</t>
  </si>
  <si>
    <t>VDJE50751529345390</t>
  </si>
  <si>
    <t>Sally Gonzalez</t>
  </si>
  <si>
    <t>1998-09-02</t>
  </si>
  <si>
    <t>540 East Appleby Road</t>
  </si>
  <si>
    <t>SRUF39113242773159</t>
  </si>
  <si>
    <t>Christopher Sincell</t>
  </si>
  <si>
    <t>1991-05-16</t>
  </si>
  <si>
    <t>UAXN13326048259112</t>
  </si>
  <si>
    <t>Sheryl Chang</t>
  </si>
  <si>
    <t>GUEP26903893681976</t>
  </si>
  <si>
    <t>AGENT00862</t>
  </si>
  <si>
    <t>Earl Knight</t>
  </si>
  <si>
    <t>1999-09-29</t>
  </si>
  <si>
    <t>DKAG06883220241612</t>
  </si>
  <si>
    <t>AGENT00863</t>
  </si>
  <si>
    <t>1996-06-08</t>
  </si>
  <si>
    <t>OLBB33201159859153</t>
  </si>
  <si>
    <t>Christopher Knopp</t>
  </si>
  <si>
    <t>1996-05-01</t>
  </si>
  <si>
    <t>207 Joe Street</t>
  </si>
  <si>
    <t>XOOY26152717478445</t>
  </si>
  <si>
    <t>Elena Perez</t>
  </si>
  <si>
    <t>2017-04-08</t>
  </si>
  <si>
    <t>7100 Old Seward Highway</t>
  </si>
  <si>
    <t>STE M</t>
  </si>
  <si>
    <t>KSFL91784748172798</t>
  </si>
  <si>
    <t>Fredrick Barcia</t>
  </si>
  <si>
    <t>2262 Hall Place Northwest</t>
  </si>
  <si>
    <t>HVAI70769552722930</t>
  </si>
  <si>
    <t>Marcia Knowles</t>
  </si>
  <si>
    <t>1991-03-16</t>
  </si>
  <si>
    <t>6234 West Behrend Drive</t>
  </si>
  <si>
    <t>#1134</t>
  </si>
  <si>
    <t>XWPM20407976259173</t>
  </si>
  <si>
    <t>AGENT00868</t>
  </si>
  <si>
    <t>Robert Inman</t>
  </si>
  <si>
    <t>2014-03-18</t>
  </si>
  <si>
    <t>2313 South 4th Street</t>
  </si>
  <si>
    <t>FVDG29901605762222</t>
  </si>
  <si>
    <t>Natalie Gunther</t>
  </si>
  <si>
    <t>2003-12-19</t>
  </si>
  <si>
    <t>945 South 5th Street</t>
  </si>
  <si>
    <t>#1020</t>
  </si>
  <si>
    <t>AYVU08555971665195</t>
  </si>
  <si>
    <t>Wade Gonzalez</t>
  </si>
  <si>
    <t>2007-03-18</t>
  </si>
  <si>
    <t>HEND69782634415553</t>
  </si>
  <si>
    <t>Charles Milam</t>
  </si>
  <si>
    <t>1999-04-26</t>
  </si>
  <si>
    <t>NPJT28339550872419</t>
  </si>
  <si>
    <t>Bill Tutt</t>
  </si>
  <si>
    <t>TAZC05322528382814</t>
  </si>
  <si>
    <t>Kathryn Lloyd</t>
  </si>
  <si>
    <t>1997-03-28</t>
  </si>
  <si>
    <t>1405 Tolkien Drive</t>
  </si>
  <si>
    <t>RLOF07467346476701</t>
  </si>
  <si>
    <t>Michelle Perez</t>
  </si>
  <si>
    <t>2000-02-28</t>
  </si>
  <si>
    <t>17794 West 77th Lane</t>
  </si>
  <si>
    <t>GQQI58917387378544</t>
  </si>
  <si>
    <t>Phillip Moore</t>
  </si>
  <si>
    <t>2012-02-10</t>
  </si>
  <si>
    <t>1811 1st Street Northwest</t>
  </si>
  <si>
    <t>DTLV06647218265090</t>
  </si>
  <si>
    <t>Freda Holland</t>
  </si>
  <si>
    <t>2005-11-25</t>
  </si>
  <si>
    <t>23 Columbia Drive</t>
  </si>
  <si>
    <t>PTKY01724671481657</t>
  </si>
  <si>
    <t>Jacob Williamson</t>
  </si>
  <si>
    <t>2011-06-16</t>
  </si>
  <si>
    <t>FBWW97151458509461</t>
  </si>
  <si>
    <t>Lori Creamer</t>
  </si>
  <si>
    <t>2012-08-30</t>
  </si>
  <si>
    <t>400 US Highway 98</t>
  </si>
  <si>
    <t>BXFI23783776853249</t>
  </si>
  <si>
    <t>Raymundo Pelchat</t>
  </si>
  <si>
    <t>2010-08-20</t>
  </si>
  <si>
    <t>4981 Shirley Way</t>
  </si>
  <si>
    <t>HLCL83413501366269</t>
  </si>
  <si>
    <t>Albert Garcia</t>
  </si>
  <si>
    <t>1998-01-02</t>
  </si>
  <si>
    <t>7513 Lois Street</t>
  </si>
  <si>
    <t>JVEL16425361356294</t>
  </si>
  <si>
    <t>Maria Middleton</t>
  </si>
  <si>
    <t>2014-07-19</t>
  </si>
  <si>
    <t>3612 Jim Robison Drive</t>
  </si>
  <si>
    <t>IUWU58004923635520</t>
  </si>
  <si>
    <t>AGENT00882</t>
  </si>
  <si>
    <t>Robert Musgrave</t>
  </si>
  <si>
    <t>2011-03-14</t>
  </si>
  <si>
    <t>TTBO91144059831906</t>
  </si>
  <si>
    <t>Howard Smith</t>
  </si>
  <si>
    <t>2004-08-01</t>
  </si>
  <si>
    <t>2500 Snowdoun Chambers Road</t>
  </si>
  <si>
    <t>WRXH14597428306333</t>
  </si>
  <si>
    <t>Dawn Krans</t>
  </si>
  <si>
    <t>1993-10-24</t>
  </si>
  <si>
    <t>16572 East Wyman Road</t>
  </si>
  <si>
    <t>RXDB62048600071032</t>
  </si>
  <si>
    <t>David Montes</t>
  </si>
  <si>
    <t>1998-03-15</t>
  </si>
  <si>
    <t>178 Phillips Road</t>
  </si>
  <si>
    <t>Bourne</t>
  </si>
  <si>
    <t>LGBK05811090127269</t>
  </si>
  <si>
    <t>Larry Miller</t>
  </si>
  <si>
    <t>2004-10-20</t>
  </si>
  <si>
    <t>103 Razz Way</t>
  </si>
  <si>
    <t>FTOT36944483714748</t>
  </si>
  <si>
    <t>Ross Herndon</t>
  </si>
  <si>
    <t>1994-09-22</t>
  </si>
  <si>
    <t>119 Matthew Lane</t>
  </si>
  <si>
    <t>GPVO18298689511515</t>
  </si>
  <si>
    <t>Norma Patterson</t>
  </si>
  <si>
    <t>2000-07-17</t>
  </si>
  <si>
    <t>27 Leary Drive</t>
  </si>
  <si>
    <t>ZBVU79468164949657</t>
  </si>
  <si>
    <t>2015-11-06</t>
  </si>
  <si>
    <t>2008 North Shannon Drive</t>
  </si>
  <si>
    <t>#9</t>
  </si>
  <si>
    <t>UGBX39578532587710</t>
  </si>
  <si>
    <t>Dave Netzer</t>
  </si>
  <si>
    <t>2000-12-27</t>
  </si>
  <si>
    <t>5005 North Miller Avenue</t>
  </si>
  <si>
    <t>XXBJ36607535482437</t>
  </si>
  <si>
    <t>Molly Hutchinson</t>
  </si>
  <si>
    <t>2005-01-03</t>
  </si>
  <si>
    <t>2310 Donleigh Court</t>
  </si>
  <si>
    <t>ZZPF06066948153456</t>
  </si>
  <si>
    <t>Richard Gouty</t>
  </si>
  <si>
    <t>5712 Saulsbury Street</t>
  </si>
  <si>
    <t>DCBM51257585329024</t>
  </si>
  <si>
    <t>Robert Villareal</t>
  </si>
  <si>
    <t>2018-01-29</t>
  </si>
  <si>
    <t>IXEZ51619621113989</t>
  </si>
  <si>
    <t>AGENT00894</t>
  </si>
  <si>
    <t>Opal Faulkner</t>
  </si>
  <si>
    <t>1997-01-15</t>
  </si>
  <si>
    <t>2829 Cambridge Court</t>
  </si>
  <si>
    <t>OEAF03297316754278</t>
  </si>
  <si>
    <t>Darla Hines</t>
  </si>
  <si>
    <t>2016-05-04</t>
  </si>
  <si>
    <t>1013 Balboa Avenue</t>
  </si>
  <si>
    <t>#A</t>
  </si>
  <si>
    <t>Capitola</t>
  </si>
  <si>
    <t>DXTO09310200645381</t>
  </si>
  <si>
    <t>Callie Lewis</t>
  </si>
  <si>
    <t>2015-09-19</t>
  </si>
  <si>
    <t>OHJG54561980157606</t>
  </si>
  <si>
    <t>Calvin Lewis</t>
  </si>
  <si>
    <t>2006-04-12</t>
  </si>
  <si>
    <t>212 Burk Way</t>
  </si>
  <si>
    <t>VFUK72369692237675</t>
  </si>
  <si>
    <t>AGENT00898</t>
  </si>
  <si>
    <t>Rebecca Stanton</t>
  </si>
  <si>
    <t>1999-03-05</t>
  </si>
  <si>
    <t>23501 Ida Lane</t>
  </si>
  <si>
    <t>JYNL31754262484137</t>
  </si>
  <si>
    <t>Shaun Miller</t>
  </si>
  <si>
    <t>1993-09-24</t>
  </si>
  <si>
    <t>6206 Waters Avenue</t>
  </si>
  <si>
    <t>RXOM55299081774449</t>
  </si>
  <si>
    <t>AGENT00900</t>
  </si>
  <si>
    <t>Shelley Rollins</t>
  </si>
  <si>
    <t>2006-01-07</t>
  </si>
  <si>
    <t>NMYI61215186659511</t>
  </si>
  <si>
    <t>Mildred Fair</t>
  </si>
  <si>
    <t>2006-03-21</t>
  </si>
  <si>
    <t>241 Braxton Way</t>
  </si>
  <si>
    <t>EFTW49458662897847</t>
  </si>
  <si>
    <t>Janet Inman</t>
  </si>
  <si>
    <t>2008-05-07</t>
  </si>
  <si>
    <t>940 Ironwood Drive</t>
  </si>
  <si>
    <t>SYGD36662645988269</t>
  </si>
  <si>
    <t>April Child</t>
  </si>
  <si>
    <t>1994-01-10</t>
  </si>
  <si>
    <t>2130 Loren Circle</t>
  </si>
  <si>
    <t>JWSG22808612742303</t>
  </si>
  <si>
    <t>Pamela Moncivais</t>
  </si>
  <si>
    <t>2015-10-02</t>
  </si>
  <si>
    <t>2544 Worthington Way</t>
  </si>
  <si>
    <t>NHQM40505653330039</t>
  </si>
  <si>
    <t>William Daigle</t>
  </si>
  <si>
    <t>2008-10-28</t>
  </si>
  <si>
    <t>1215 Joseph Avenue</t>
  </si>
  <si>
    <t>VSDL47976592583820</t>
  </si>
  <si>
    <t>Tamara Watts</t>
  </si>
  <si>
    <t>2017-09-28</t>
  </si>
  <si>
    <t>TZPI60334481028224</t>
  </si>
  <si>
    <t>John Werkhoven</t>
  </si>
  <si>
    <t>1997-07-19</t>
  </si>
  <si>
    <t>SEXC37418837185167</t>
  </si>
  <si>
    <t>Robert Dargan</t>
  </si>
  <si>
    <t>2010-11-13</t>
  </si>
  <si>
    <t>560 Penstock Drive</t>
  </si>
  <si>
    <t>BKCO89107948053686</t>
  </si>
  <si>
    <t>Jasmin Bryant</t>
  </si>
  <si>
    <t>2001-07-02</t>
  </si>
  <si>
    <t>21 Carver Lane</t>
  </si>
  <si>
    <t>ACSU88684527226850</t>
  </si>
  <si>
    <t>Vincent Ragan</t>
  </si>
  <si>
    <t>1200 S Street</t>
  </si>
  <si>
    <t>BWWJ88696170406004</t>
  </si>
  <si>
    <t>Troy Caldwell</t>
  </si>
  <si>
    <t>1990-10-04</t>
  </si>
  <si>
    <t>14 6th Street</t>
  </si>
  <si>
    <t>QBSF82653869882343</t>
  </si>
  <si>
    <t>AGENT00912</t>
  </si>
  <si>
    <t>Gordon Contreras</t>
  </si>
  <si>
    <t>1996-02-06</t>
  </si>
  <si>
    <t>1644 New Jersey Avenue Northwest</t>
  </si>
  <si>
    <t>BFGZ44986245376610</t>
  </si>
  <si>
    <t>Rhonda Wright</t>
  </si>
  <si>
    <t>2010-04-07</t>
  </si>
  <si>
    <t>24 Amherst Drive</t>
  </si>
  <si>
    <t>QDEW34764638651019</t>
  </si>
  <si>
    <t>John Wilson</t>
  </si>
  <si>
    <t>2009-12-28</t>
  </si>
  <si>
    <t>313 Monroe Street</t>
  </si>
  <si>
    <t>ACTC55088008993331</t>
  </si>
  <si>
    <t>Tina Estrada</t>
  </si>
  <si>
    <t>1994-05-05</t>
  </si>
  <si>
    <t>14285 Wycliff Way</t>
  </si>
  <si>
    <t>Magalia</t>
  </si>
  <si>
    <t>UNWQ05382804642604</t>
  </si>
  <si>
    <t>Luis Knutsen</t>
  </si>
  <si>
    <t>2001-07-16</t>
  </si>
  <si>
    <t>16 Conway Street</t>
  </si>
  <si>
    <t>MZVI84276520254573</t>
  </si>
  <si>
    <t>Maria Essig</t>
  </si>
  <si>
    <t>1994-03-25</t>
  </si>
  <si>
    <t>8423 Pioneer Drive</t>
  </si>
  <si>
    <t>LXRO12105380340927</t>
  </si>
  <si>
    <t>Bettie Greene</t>
  </si>
  <si>
    <t>2006-05-01</t>
  </si>
  <si>
    <t>RNUX48509968709730</t>
  </si>
  <si>
    <t>Aurelio Phillips</t>
  </si>
  <si>
    <t>2004-12-04</t>
  </si>
  <si>
    <t>3298 Chestnut Street Northwest</t>
  </si>
  <si>
    <t>OLTV51833519594985</t>
  </si>
  <si>
    <t>Yolanda Samples</t>
  </si>
  <si>
    <t>1996-08-11</t>
  </si>
  <si>
    <t>517 Copperfield Way</t>
  </si>
  <si>
    <t>QAET07383008394788</t>
  </si>
  <si>
    <t>Alex Erps</t>
  </si>
  <si>
    <t>2014-03-04</t>
  </si>
  <si>
    <t>EQSN81454242555709</t>
  </si>
  <si>
    <t>Rebecca Marr</t>
  </si>
  <si>
    <t>4525 West Frier Drive</t>
  </si>
  <si>
    <t>GWPL54828632784079</t>
  </si>
  <si>
    <t>Jason Collins</t>
  </si>
  <si>
    <t>2012-06-19</t>
  </si>
  <si>
    <t>JHBK93657793995499</t>
  </si>
  <si>
    <t>Nicholas Martinez</t>
  </si>
  <si>
    <t>2004-05-18</t>
  </si>
  <si>
    <t>BPZH22308893965488</t>
  </si>
  <si>
    <t>Lois Newberry</t>
  </si>
  <si>
    <t>2012-06-20</t>
  </si>
  <si>
    <t>302 Elberta Street</t>
  </si>
  <si>
    <t>QGYC27392737161427</t>
  </si>
  <si>
    <t>Annie Bobbitt</t>
  </si>
  <si>
    <t>ZMHJ26207149189349</t>
  </si>
  <si>
    <t>Maria Lynn</t>
  </si>
  <si>
    <t>2010-04-16</t>
  </si>
  <si>
    <t>302 East Granada Street</t>
  </si>
  <si>
    <t>AAZI21883736448048</t>
  </si>
  <si>
    <t>Linda Lawrence</t>
  </si>
  <si>
    <t>1711 Lore Road</t>
  </si>
  <si>
    <t>#APT 000106</t>
  </si>
  <si>
    <t>WOJM08159165907634</t>
  </si>
  <si>
    <t>Krista Cates</t>
  </si>
  <si>
    <t>1993-06-07</t>
  </si>
  <si>
    <t>553 South Arlington Road</t>
  </si>
  <si>
    <t>IUKO84188686190049</t>
  </si>
  <si>
    <t>Lewis Robertson</t>
  </si>
  <si>
    <t>2000-05-14</t>
  </si>
  <si>
    <t>3110 East Victory Drive</t>
  </si>
  <si>
    <t>JYAR87870811099441</t>
  </si>
  <si>
    <t>Teresa Hosey</t>
  </si>
  <si>
    <t>1997-01-07</t>
  </si>
  <si>
    <t>58 North U.S.A Drive</t>
  </si>
  <si>
    <t>MKRQ16932147550119</t>
  </si>
  <si>
    <t>Carl Chiarelli</t>
  </si>
  <si>
    <t>1995-02-17</t>
  </si>
  <si>
    <t>IMAD22493718509641</t>
  </si>
  <si>
    <t>Lynette Blight</t>
  </si>
  <si>
    <t>1997-04-12</t>
  </si>
  <si>
    <t>3504 East 5th Street</t>
  </si>
  <si>
    <t>YPEZ59098206851118</t>
  </si>
  <si>
    <t>AGENT00934</t>
  </si>
  <si>
    <t>Roy Baldwin</t>
  </si>
  <si>
    <t>110 Castle Hill</t>
  </si>
  <si>
    <t>GDVA32269160355556</t>
  </si>
  <si>
    <t>Adam Villar</t>
  </si>
  <si>
    <t>2009-05-18</t>
  </si>
  <si>
    <t>FMCB37381150648042</t>
  </si>
  <si>
    <t>Charles Dennison</t>
  </si>
  <si>
    <t>2000-06-30</t>
  </si>
  <si>
    <t>BODY05594930421043</t>
  </si>
  <si>
    <t>Darrell Kuhls</t>
  </si>
  <si>
    <t>1998-04-09</t>
  </si>
  <si>
    <t>AZRL30260929322810</t>
  </si>
  <si>
    <t>Robert Guardado</t>
  </si>
  <si>
    <t>2100 Sandy Creek Trail</t>
  </si>
  <si>
    <t>RMAP04530013965958</t>
  </si>
  <si>
    <t>Robin Mrozinski</t>
  </si>
  <si>
    <t>2014-09-27</t>
  </si>
  <si>
    <t>FTKH59275277733909</t>
  </si>
  <si>
    <t>John Galvan</t>
  </si>
  <si>
    <t>2006-09-11</t>
  </si>
  <si>
    <t>8513 Pipit Court</t>
  </si>
  <si>
    <t>FTFN91957485632914</t>
  </si>
  <si>
    <t>Marsha Smith</t>
  </si>
  <si>
    <t>1991-09-16</t>
  </si>
  <si>
    <t>623 Rhode Island Avenue Northwest</t>
  </si>
  <si>
    <t>FXLC15443702117736</t>
  </si>
  <si>
    <t>Scott Clarke</t>
  </si>
  <si>
    <t>2018-06-24</t>
  </si>
  <si>
    <t>4936 Sequoia Avenue</t>
  </si>
  <si>
    <t>HUET71473731388385</t>
  </si>
  <si>
    <t>Jessica Perkins</t>
  </si>
  <si>
    <t>565 North Lakeshore Drive</t>
  </si>
  <si>
    <t>DMEO67186631936426</t>
  </si>
  <si>
    <t>Melvin Stacey</t>
  </si>
  <si>
    <t>2002-01-09</t>
  </si>
  <si>
    <t>5801 South Watterson Trail</t>
  </si>
  <si>
    <t>BPCX07855178723562</t>
  </si>
  <si>
    <t>Martin Mendez</t>
  </si>
  <si>
    <t>1993-11-13</t>
  </si>
  <si>
    <t>1405 Mercedes Avenue</t>
  </si>
  <si>
    <t>APARTMENT G</t>
  </si>
  <si>
    <t>DAIT65668858740270</t>
  </si>
  <si>
    <t>Joseph Wight</t>
  </si>
  <si>
    <t>3505 Albee Drive</t>
  </si>
  <si>
    <t>ZOYM31450481797861</t>
  </si>
  <si>
    <t>Luis Castleman</t>
  </si>
  <si>
    <t>2008-05-23</t>
  </si>
  <si>
    <t>2223 North Fernwood Court</t>
  </si>
  <si>
    <t>DVYX31108568499849</t>
  </si>
  <si>
    <t>Martha Deloach</t>
  </si>
  <si>
    <t>1995-12-24</t>
  </si>
  <si>
    <t>YAUZ20761079813336</t>
  </si>
  <si>
    <t>William Brunson</t>
  </si>
  <si>
    <t>1992-12-26</t>
  </si>
  <si>
    <t>294 East Lakeshore Drive</t>
  </si>
  <si>
    <t>OUJR43327183747823</t>
  </si>
  <si>
    <t>Leigh Stogsdill</t>
  </si>
  <si>
    <t>1992-06-21</t>
  </si>
  <si>
    <t>2414 Parker Street</t>
  </si>
  <si>
    <t>#R 16</t>
  </si>
  <si>
    <t>PZWL02024439546066</t>
  </si>
  <si>
    <t>Zella Sons</t>
  </si>
  <si>
    <t>2002-07-20</t>
  </si>
  <si>
    <t>VEBZ10255487702223</t>
  </si>
  <si>
    <t>James Volk</t>
  </si>
  <si>
    <t>1996-08-30</t>
  </si>
  <si>
    <t>JSZJ26000202617327</t>
  </si>
  <si>
    <t>AGENT00953</t>
  </si>
  <si>
    <t>Patrick Strickland</t>
  </si>
  <si>
    <t>2013-10-24</t>
  </si>
  <si>
    <t>QMPS27927468997102</t>
  </si>
  <si>
    <t>Beverly Henline</t>
  </si>
  <si>
    <t>1996-07-17</t>
  </si>
  <si>
    <t>302 Black Sky Lane</t>
  </si>
  <si>
    <t>PFJL93101543489606</t>
  </si>
  <si>
    <t>Bryan Dondero</t>
  </si>
  <si>
    <t>2011-11-22</t>
  </si>
  <si>
    <t>XFVS57996633902953</t>
  </si>
  <si>
    <t>Carolyn Doran</t>
  </si>
  <si>
    <t>1997-12-24</t>
  </si>
  <si>
    <t>BTFK48034643047412</t>
  </si>
  <si>
    <t>Sheryl Berry</t>
  </si>
  <si>
    <t>2013-02-12</t>
  </si>
  <si>
    <t>4136 East Virginia Lane</t>
  </si>
  <si>
    <t>HYCT80298806408574</t>
  </si>
  <si>
    <t>Luz Mcnally</t>
  </si>
  <si>
    <t>2011-06-17</t>
  </si>
  <si>
    <t>682 Brighton Way</t>
  </si>
  <si>
    <t>JBTN28057875480519</t>
  </si>
  <si>
    <t>Richard Hauser</t>
  </si>
  <si>
    <t>2002-05-04</t>
  </si>
  <si>
    <t>80 North East Street</t>
  </si>
  <si>
    <t>OZCE27214873960065</t>
  </si>
  <si>
    <t>AGENT00960</t>
  </si>
  <si>
    <t>Sandra Nesbitt</t>
  </si>
  <si>
    <t>1613 Katrina Circle</t>
  </si>
  <si>
    <t>WSSP17813771994830</t>
  </si>
  <si>
    <t>Joyce Hall</t>
  </si>
  <si>
    <t>1996-01-05</t>
  </si>
  <si>
    <t>7180 West Paraiso Drive</t>
  </si>
  <si>
    <t>NCHV12868584145965</t>
  </si>
  <si>
    <t>Audra Brown</t>
  </si>
  <si>
    <t>2008-06-13</t>
  </si>
  <si>
    <t>25 Edwards Street</t>
  </si>
  <si>
    <t>NIQC64950287382615</t>
  </si>
  <si>
    <t>Sally Fogle</t>
  </si>
  <si>
    <t>1991-07-28</t>
  </si>
  <si>
    <t>PKOF88242482252124</t>
  </si>
  <si>
    <t>Clara Bendel</t>
  </si>
  <si>
    <t>2009-06-23</t>
  </si>
  <si>
    <t>20 Masters Way</t>
  </si>
  <si>
    <t>VFVX82860788996720</t>
  </si>
  <si>
    <t>AGENT00965</t>
  </si>
  <si>
    <t>Joan Norton</t>
  </si>
  <si>
    <t>1997-01-17</t>
  </si>
  <si>
    <t>6518 Dolphin Court</t>
  </si>
  <si>
    <t>SNHM46325775074444</t>
  </si>
  <si>
    <t>Clifford Hernandez</t>
  </si>
  <si>
    <t>1998-02-27</t>
  </si>
  <si>
    <t>6000 Parker Drive</t>
  </si>
  <si>
    <t>ABUB93465153719995</t>
  </si>
  <si>
    <t>Misti Garnes</t>
  </si>
  <si>
    <t>2004-06-29</t>
  </si>
  <si>
    <t>5055 West 58th Avenue</t>
  </si>
  <si>
    <t>NHMV54799955261174</t>
  </si>
  <si>
    <t>Kathryn Lehman</t>
  </si>
  <si>
    <t>QGEO85815599863994</t>
  </si>
  <si>
    <t>Julian Holland</t>
  </si>
  <si>
    <t>1990-09-10</t>
  </si>
  <si>
    <t>141 West Leslie Lane</t>
  </si>
  <si>
    <t>ZCGA42160773116840</t>
  </si>
  <si>
    <t>Dawn Adams</t>
  </si>
  <si>
    <t>PDOK14898870482648</t>
  </si>
  <si>
    <t>Billy Caudill</t>
  </si>
  <si>
    <t>2011-02-12</t>
  </si>
  <si>
    <t>IANM36092415011357</t>
  </si>
  <si>
    <t>Ruth Jordan</t>
  </si>
  <si>
    <t>1991-02-08</t>
  </si>
  <si>
    <t>YOXE26654991109131</t>
  </si>
  <si>
    <t>Michael Chan</t>
  </si>
  <si>
    <t>2012-12-07</t>
  </si>
  <si>
    <t>344 Island Road</t>
  </si>
  <si>
    <t>ZSAS43056927949472</t>
  </si>
  <si>
    <t>Lee Leach</t>
  </si>
  <si>
    <t>2013-09-25</t>
  </si>
  <si>
    <t>218 Turtle Cove</t>
  </si>
  <si>
    <t>UOYH42163403562001</t>
  </si>
  <si>
    <t>James Trotter</t>
  </si>
  <si>
    <t>1991-12-10</t>
  </si>
  <si>
    <t>46 Deslauriers Street</t>
  </si>
  <si>
    <t>AVKH23003883829174</t>
  </si>
  <si>
    <t>Eva Wallen</t>
  </si>
  <si>
    <t>2012-07-19</t>
  </si>
  <si>
    <t>1911 East 58th Avenue</t>
  </si>
  <si>
    <t>NATS46515351835677</t>
  </si>
  <si>
    <t>Alan Martinez</t>
  </si>
  <si>
    <t>1995-06-10</t>
  </si>
  <si>
    <t>6985 Woodstock Road</t>
  </si>
  <si>
    <t>NCTS27512537805332</t>
  </si>
  <si>
    <t>Elaine Burney</t>
  </si>
  <si>
    <t>2005-04-20</t>
  </si>
  <si>
    <t>WING80506589957019</t>
  </si>
  <si>
    <t>Irene Gonzalez</t>
  </si>
  <si>
    <t>1998-08-06</t>
  </si>
  <si>
    <t>1816 U Place Southeast</t>
  </si>
  <si>
    <t>JWMT80044896908915</t>
  </si>
  <si>
    <t>Gary Stiles</t>
  </si>
  <si>
    <t>2011-05-04</t>
  </si>
  <si>
    <t>119 Oakland Street</t>
  </si>
  <si>
    <t>EMFD60069652268552</t>
  </si>
  <si>
    <t>Kevin Marshall</t>
  </si>
  <si>
    <t>1999-10-08</t>
  </si>
  <si>
    <t>IFND43458415973807</t>
  </si>
  <si>
    <t>Elizabeth Kauffman</t>
  </si>
  <si>
    <t>1997-05-01</t>
  </si>
  <si>
    <t>1209 Parker Street</t>
  </si>
  <si>
    <t>SXOP26476614225466</t>
  </si>
  <si>
    <t>David Montanye</t>
  </si>
  <si>
    <t>2010-10-11</t>
  </si>
  <si>
    <t>5615 West Acoma Drive</t>
  </si>
  <si>
    <t>#24</t>
  </si>
  <si>
    <t>YORL15461977550820</t>
  </si>
  <si>
    <t>Roger Mccollum</t>
  </si>
  <si>
    <t>2012-03-09</t>
  </si>
  <si>
    <t>1605 Remington Road</t>
  </si>
  <si>
    <t>WXFT76296314851059</t>
  </si>
  <si>
    <t>AGENT00985</t>
  </si>
  <si>
    <t>Sherman Dammen</t>
  </si>
  <si>
    <t>2008-02-15</t>
  </si>
  <si>
    <t>VRSD75701502673381</t>
  </si>
  <si>
    <t>Christopher Lazor</t>
  </si>
  <si>
    <t>1991-11-23</t>
  </si>
  <si>
    <t>241 Methuen Street</t>
  </si>
  <si>
    <t>WKSS33168603128803</t>
  </si>
  <si>
    <t>Arlene Johnson</t>
  </si>
  <si>
    <t>1997-10-18</t>
  </si>
  <si>
    <t>1026 Orchard Avenue</t>
  </si>
  <si>
    <t>IAUJ09204314260175</t>
  </si>
  <si>
    <t>Richard Swavely</t>
  </si>
  <si>
    <t>1995-12-07</t>
  </si>
  <si>
    <t>MPUB89458177001992</t>
  </si>
  <si>
    <t>Stephen Snider</t>
  </si>
  <si>
    <t>1991-05-28</t>
  </si>
  <si>
    <t>327 Idlewylde Drive</t>
  </si>
  <si>
    <t>FWAI90732952122914</t>
  </si>
  <si>
    <t>Louise Sarkin</t>
  </si>
  <si>
    <t>2018-02-25</t>
  </si>
  <si>
    <t>3100 Gentilly Court</t>
  </si>
  <si>
    <t>VROH76718289076846</t>
  </si>
  <si>
    <t>Earl King</t>
  </si>
  <si>
    <t>2016-01-29</t>
  </si>
  <si>
    <t>1537 Northwest 123rd Street</t>
  </si>
  <si>
    <t>HRIS80445836569157</t>
  </si>
  <si>
    <t>James Velasco</t>
  </si>
  <si>
    <t>2017-12-25</t>
  </si>
  <si>
    <t>809 Blue Ridge Drive</t>
  </si>
  <si>
    <t>ARCO40171458717938</t>
  </si>
  <si>
    <t>2015-02-20</t>
  </si>
  <si>
    <t>17 Elm Street</t>
  </si>
  <si>
    <t>QBWJ47860091629889</t>
  </si>
  <si>
    <t>Geraldine Lopez</t>
  </si>
  <si>
    <t>2001-04-30</t>
  </si>
  <si>
    <t>8380 West 67th Avenue</t>
  </si>
  <si>
    <t>YLMV72211135178869</t>
  </si>
  <si>
    <t>2007-01-27</t>
  </si>
  <si>
    <t>1401 Saint George Avenue</t>
  </si>
  <si>
    <t>KFAH75504310963207</t>
  </si>
  <si>
    <t>Lisa Jones</t>
  </si>
  <si>
    <t>1999-03-29</t>
  </si>
  <si>
    <t>4712 Cherokee Heights Road</t>
  </si>
  <si>
    <t>YEUS72714555462903</t>
  </si>
  <si>
    <t>Efren Anna</t>
  </si>
  <si>
    <t>1993-09-22</t>
  </si>
  <si>
    <t>MCJY16334309418672</t>
  </si>
  <si>
    <t>AGENT00998</t>
  </si>
  <si>
    <t>Winifred Sampson</t>
  </si>
  <si>
    <t>1992-11-21</t>
  </si>
  <si>
    <t>8848 North New World Drive</t>
  </si>
  <si>
    <t>IBQU39269930876901</t>
  </si>
  <si>
    <t>Judith Sissel</t>
  </si>
  <si>
    <t>2002-08-19</t>
  </si>
  <si>
    <t>3035 Osprey Circle</t>
  </si>
  <si>
    <t>GFEV38798391386454</t>
  </si>
  <si>
    <t>AGENT01000</t>
  </si>
  <si>
    <t>Rodney Iles</t>
  </si>
  <si>
    <t>1995-04-03</t>
  </si>
  <si>
    <t>72 Bentley Avenue</t>
  </si>
  <si>
    <t>JPGV06688115531516</t>
  </si>
  <si>
    <t>Bradley Bautista</t>
  </si>
  <si>
    <t>1992-07-23</t>
  </si>
  <si>
    <t>5311 Chenoweth Park Lane</t>
  </si>
  <si>
    <t>DSWC38667733377833</t>
  </si>
  <si>
    <t>AGENT01002</t>
  </si>
  <si>
    <t>Keith Thomas</t>
  </si>
  <si>
    <t>HJKO59123090737147</t>
  </si>
  <si>
    <t>AGENT01003</t>
  </si>
  <si>
    <t>Ana Ashford</t>
  </si>
  <si>
    <t>2003-10-06</t>
  </si>
  <si>
    <t>YSYL03316833595997</t>
  </si>
  <si>
    <t>Robert Lopez</t>
  </si>
  <si>
    <t>2010-11-14</t>
  </si>
  <si>
    <t>KXHP27430194211625</t>
  </si>
  <si>
    <t>Gertrude Collier</t>
  </si>
  <si>
    <t>2016-05-01</t>
  </si>
  <si>
    <t>306 Rural Hill Court</t>
  </si>
  <si>
    <t>CLIZ54573987574957</t>
  </si>
  <si>
    <t>Teresa Sedrakyan</t>
  </si>
  <si>
    <t>1990-11-30</t>
  </si>
  <si>
    <t>9 Thomas Street</t>
  </si>
  <si>
    <t>Ashland</t>
  </si>
  <si>
    <t>ADRV42619145551812</t>
  </si>
  <si>
    <t>Roosevelt Holsopple</t>
  </si>
  <si>
    <t>1992-12-16</t>
  </si>
  <si>
    <t>ICXI68882879170147</t>
  </si>
  <si>
    <t>Jessica Huskey</t>
  </si>
  <si>
    <t>2010-12-10</t>
  </si>
  <si>
    <t>1004 Bellflower Street</t>
  </si>
  <si>
    <t>TNVX06018153772360</t>
  </si>
  <si>
    <t>Maria Garcia</t>
  </si>
  <si>
    <t>1991-06-15</t>
  </si>
  <si>
    <t>7910 West Krall Street</t>
  </si>
  <si>
    <t>GVVQ15497190494244</t>
  </si>
  <si>
    <t>Wilfred Jenkins</t>
  </si>
  <si>
    <t>2005-02-12</t>
  </si>
  <si>
    <t>VMNG01845238425818</t>
  </si>
  <si>
    <t>Gabriel Duenes</t>
  </si>
  <si>
    <t>BWAF86042010737099</t>
  </si>
  <si>
    <t>Shane Salazar</t>
  </si>
  <si>
    <t>2006-05-29</t>
  </si>
  <si>
    <t>XSUW00965694877936</t>
  </si>
  <si>
    <t>Brittany Hull</t>
  </si>
  <si>
    <t>2000-05-19</t>
  </si>
  <si>
    <t>1713 Arrow Cove Lane</t>
  </si>
  <si>
    <t>WPSQ66669309289118</t>
  </si>
  <si>
    <t>Alphonso Shirey</t>
  </si>
  <si>
    <t>2016-04-27</t>
  </si>
  <si>
    <t>6407 West Monte Cristo Avenue</t>
  </si>
  <si>
    <t>ECIE41611419663228</t>
  </si>
  <si>
    <t>Alexandra Morvant</t>
  </si>
  <si>
    <t>1998-07-01</t>
  </si>
  <si>
    <t>2337 Nebraska Avenue</t>
  </si>
  <si>
    <t>BAJN34272673771226</t>
  </si>
  <si>
    <t>Elise Oconor</t>
  </si>
  <si>
    <t>2004-10-07</t>
  </si>
  <si>
    <t>127 Grand Heron Drive</t>
  </si>
  <si>
    <t>AALM95160238035073</t>
  </si>
  <si>
    <t>Pamela Polanco</t>
  </si>
  <si>
    <t>1992-05-18</t>
  </si>
  <si>
    <t>90 Mountain Street</t>
  </si>
  <si>
    <t>MPMU99014280725101</t>
  </si>
  <si>
    <t>Theresa Aliaga</t>
  </si>
  <si>
    <t>2002-08-28</t>
  </si>
  <si>
    <t>89 Frances Drive</t>
  </si>
  <si>
    <t>GJVA44842820142878</t>
  </si>
  <si>
    <t>Sharon Thompson</t>
  </si>
  <si>
    <t>2000-11-12</t>
  </si>
  <si>
    <t>8121 Copper Creek Drive</t>
  </si>
  <si>
    <t>UJFW57941152705935</t>
  </si>
  <si>
    <t>Willie Colquitt</t>
  </si>
  <si>
    <t>2005-11-01</t>
  </si>
  <si>
    <t>EIQP83316037055517</t>
  </si>
  <si>
    <t>Frances Moye</t>
  </si>
  <si>
    <t>2016-02-20</t>
  </si>
  <si>
    <t>KSGR27342492869371</t>
  </si>
  <si>
    <t>Emily Mellas</t>
  </si>
  <si>
    <t>1996-06-22</t>
  </si>
  <si>
    <t>725 65th Street</t>
  </si>
  <si>
    <t>SDCG02767734317509</t>
  </si>
  <si>
    <t>David Taylor</t>
  </si>
  <si>
    <t>1997-10-24</t>
  </si>
  <si>
    <t>706 Seagrove Road</t>
  </si>
  <si>
    <t>IICB08084124025420</t>
  </si>
  <si>
    <t>Derek Mcnorton</t>
  </si>
  <si>
    <t>1995-08-28</t>
  </si>
  <si>
    <t>ICWD72269551644238</t>
  </si>
  <si>
    <t>Ronald Fassett</t>
  </si>
  <si>
    <t>2011-08-27</t>
  </si>
  <si>
    <t>1276 Bending Creek Drive</t>
  </si>
  <si>
    <t>ZGUU45112093181543</t>
  </si>
  <si>
    <t>Edward Hesse</t>
  </si>
  <si>
    <t>2004-01-30</t>
  </si>
  <si>
    <t>MGCE66759031728970</t>
  </si>
  <si>
    <t>AGENT01027</t>
  </si>
  <si>
    <t>Peter Bates</t>
  </si>
  <si>
    <t>2001-07-22</t>
  </si>
  <si>
    <t>3469 North Par Court</t>
  </si>
  <si>
    <t>WURP39860255825021</t>
  </si>
  <si>
    <t>Andrea Castilla</t>
  </si>
  <si>
    <t>2013-03-17</t>
  </si>
  <si>
    <t>5470 Atlanta Highway</t>
  </si>
  <si>
    <t>YJXS04901758045402</t>
  </si>
  <si>
    <t>AGENT01029</t>
  </si>
  <si>
    <t>Scott Beadle</t>
  </si>
  <si>
    <t>2005-06-24</t>
  </si>
  <si>
    <t>10 Bramblebush Drive</t>
  </si>
  <si>
    <t>EQSV75087122315651</t>
  </si>
  <si>
    <t>Johnnie Wynn</t>
  </si>
  <si>
    <t>1992-08-13</t>
  </si>
  <si>
    <t>123 Elizabeth Drive</t>
  </si>
  <si>
    <t>KIDA83731780358016</t>
  </si>
  <si>
    <t>Charles Whipps</t>
  </si>
  <si>
    <t>2003-10-11</t>
  </si>
  <si>
    <t>PYTS04757760204636</t>
  </si>
  <si>
    <t>James Williams</t>
  </si>
  <si>
    <t>2016-06-24</t>
  </si>
  <si>
    <t>127 Andover Drive</t>
  </si>
  <si>
    <t>QHSS71393453023732</t>
  </si>
  <si>
    <t>Dana Solomon</t>
  </si>
  <si>
    <t>1992-09-03</t>
  </si>
  <si>
    <t>OULV38940562491804</t>
  </si>
  <si>
    <t>Charles Caddel</t>
  </si>
  <si>
    <t>2001-04-03</t>
  </si>
  <si>
    <t>7301 Northwest 113th Terrace</t>
  </si>
  <si>
    <t>WBDJ31356898450596</t>
  </si>
  <si>
    <t>Patrick Murray</t>
  </si>
  <si>
    <t>1997-03-24</t>
  </si>
  <si>
    <t>1514 Wyoming Avenue</t>
  </si>
  <si>
    <t>SYFA88691606041741</t>
  </si>
  <si>
    <t>AGENT01036</t>
  </si>
  <si>
    <t>Leana Bond</t>
  </si>
  <si>
    <t>2010-03-12</t>
  </si>
  <si>
    <t>7841 North 59th Lane</t>
  </si>
  <si>
    <t>#G37</t>
  </si>
  <si>
    <t>JVLK78433928529070</t>
  </si>
  <si>
    <t>AGENT01037</t>
  </si>
  <si>
    <t>Mary Franklin</t>
  </si>
  <si>
    <t>1990-10-18</t>
  </si>
  <si>
    <t>642 Sagamore Drive</t>
  </si>
  <si>
    <t>ZQWV22817299546112</t>
  </si>
  <si>
    <t>Edward Harling</t>
  </si>
  <si>
    <t>2000-12-04</t>
  </si>
  <si>
    <t>1404 James Way</t>
  </si>
  <si>
    <t>JBBC38367729435304</t>
  </si>
  <si>
    <t>Michael Ingle</t>
  </si>
  <si>
    <t>2010-03-21</t>
  </si>
  <si>
    <t>11 North Vineyard Drive</t>
  </si>
  <si>
    <t>Pueblo West</t>
  </si>
  <si>
    <t>OBUE08532725994091</t>
  </si>
  <si>
    <t>Jamie Rowland</t>
  </si>
  <si>
    <t>1998-03-06</t>
  </si>
  <si>
    <t>7401 West Arrowhead Clubhouse Drive</t>
  </si>
  <si>
    <t>#2031</t>
  </si>
  <si>
    <t>NBDP27578140398901</t>
  </si>
  <si>
    <t>Daniel Mora</t>
  </si>
  <si>
    <t>60 Willow Lakes Drive</t>
  </si>
  <si>
    <t>OLTV21486344794943</t>
  </si>
  <si>
    <t>Alisa Hohman</t>
  </si>
  <si>
    <t>2011-05-12</t>
  </si>
  <si>
    <t>DKNT15155595349374</t>
  </si>
  <si>
    <t>Josephine Miller</t>
  </si>
  <si>
    <t>2010 Rising Hill Drive</t>
  </si>
  <si>
    <t>DCWZ70838758103437</t>
  </si>
  <si>
    <t>Steve Castillo</t>
  </si>
  <si>
    <t>1998-08-24</t>
  </si>
  <si>
    <t>19448 Currant Drive</t>
  </si>
  <si>
    <t>KDRC02531764980418</t>
  </si>
  <si>
    <t>Pete Begley</t>
  </si>
  <si>
    <t>1992-01-11</t>
  </si>
  <si>
    <t>37 Fieldside Drive</t>
  </si>
  <si>
    <t>BSKU43445159098917</t>
  </si>
  <si>
    <t>AGENT01046</t>
  </si>
  <si>
    <t>Rose Perino</t>
  </si>
  <si>
    <t>595 West 15th Street</t>
  </si>
  <si>
    <t>KNCP12643598222202</t>
  </si>
  <si>
    <t>Steven Jensen</t>
  </si>
  <si>
    <t>2017-05-10</t>
  </si>
  <si>
    <t>EVLG97727122263571</t>
  </si>
  <si>
    <t>John Worsley</t>
  </si>
  <si>
    <t>5108 Bass Place Southeast</t>
  </si>
  <si>
    <t>HXOX90849841040302</t>
  </si>
  <si>
    <t>Jazmin Lewison</t>
  </si>
  <si>
    <t>1996-01-21</t>
  </si>
  <si>
    <t>3141 North Lancaster Lane</t>
  </si>
  <si>
    <t>DRKT56753972724850</t>
  </si>
  <si>
    <t>David Daniel</t>
  </si>
  <si>
    <t>1994-02-10</t>
  </si>
  <si>
    <t>DCOD74527654101310</t>
  </si>
  <si>
    <t>David Webb</t>
  </si>
  <si>
    <t>2015-09-15</t>
  </si>
  <si>
    <t>EPHE22051707639045</t>
  </si>
  <si>
    <t>Casey Tidwell</t>
  </si>
  <si>
    <t>169 Avenida Drive</t>
  </si>
  <si>
    <t>AOEW15827174501486</t>
  </si>
  <si>
    <t>Emma Moreno</t>
  </si>
  <si>
    <t>2015-08-28</t>
  </si>
  <si>
    <t>OUAG79618631265483</t>
  </si>
  <si>
    <t>Michael Blalock</t>
  </si>
  <si>
    <t>2008-09-25</t>
  </si>
  <si>
    <t>848 Vermont 14</t>
  </si>
  <si>
    <t>TYIH56206438423496</t>
  </si>
  <si>
    <t>Terry Lochen</t>
  </si>
  <si>
    <t>91 85th Avenue</t>
  </si>
  <si>
    <t>OYRT55475664206662</t>
  </si>
  <si>
    <t>James Murphy</t>
  </si>
  <si>
    <t>2015-06-28</t>
  </si>
  <si>
    <t>ZYMP03966144069968</t>
  </si>
  <si>
    <t>Boyd Christie</t>
  </si>
  <si>
    <t>2002-05-02</t>
  </si>
  <si>
    <t>3300 Gatsby Lane</t>
  </si>
  <si>
    <t>UFJN99265127694758</t>
  </si>
  <si>
    <t>Eva Robinson</t>
  </si>
  <si>
    <t>1994-12-14</t>
  </si>
  <si>
    <t>SHSH13136801318998</t>
  </si>
  <si>
    <t>AGENT01059</t>
  </si>
  <si>
    <t>Theodore Carrillo</t>
  </si>
  <si>
    <t>2005-03-17</t>
  </si>
  <si>
    <t>6116 West Charter Oak Road</t>
  </si>
  <si>
    <t>GLNW60464098164507</t>
  </si>
  <si>
    <t>Lesa Minton</t>
  </si>
  <si>
    <t>1993-10-19</t>
  </si>
  <si>
    <t>LADK56297497118028</t>
  </si>
  <si>
    <t>Alma Hamblin</t>
  </si>
  <si>
    <t>1991-08-05</t>
  </si>
  <si>
    <t>BOBK32919513096302</t>
  </si>
  <si>
    <t>Berta Kellogg</t>
  </si>
  <si>
    <t>2017-09-06</t>
  </si>
  <si>
    <t>2835 Jed Road</t>
  </si>
  <si>
    <t>GOFZ19423639020866</t>
  </si>
  <si>
    <t>Jacqueline Krous</t>
  </si>
  <si>
    <t>2012-03-17</t>
  </si>
  <si>
    <t>137 East 53rd Avenue</t>
  </si>
  <si>
    <t>PENR49583753092914</t>
  </si>
  <si>
    <t>Cynthia Kern</t>
  </si>
  <si>
    <t>1994-05-03</t>
  </si>
  <si>
    <t>IDZW43668733158045</t>
  </si>
  <si>
    <t>Fern Hatcher</t>
  </si>
  <si>
    <t>1997-12-16</t>
  </si>
  <si>
    <t>1707 6th Street Northwest</t>
  </si>
  <si>
    <t>GRBA63248218676140</t>
  </si>
  <si>
    <t>Amy King</t>
  </si>
  <si>
    <t>2001-02-13</t>
  </si>
  <si>
    <t>1217 Cottondale Road</t>
  </si>
  <si>
    <t>HZLW85857491419867</t>
  </si>
  <si>
    <t>Danny Heckman</t>
  </si>
  <si>
    <t>1990-09-01</t>
  </si>
  <si>
    <t>6816 West 84th Circle</t>
  </si>
  <si>
    <t>#42</t>
  </si>
  <si>
    <t>JLWE78318625884589</t>
  </si>
  <si>
    <t>Patrick Snyder</t>
  </si>
  <si>
    <t>1992-01-05</t>
  </si>
  <si>
    <t>12245 West 71st Place</t>
  </si>
  <si>
    <t>LAXH61417383223924</t>
  </si>
  <si>
    <t>Olga Baer</t>
  </si>
  <si>
    <t>1995-10-22</t>
  </si>
  <si>
    <t>8801 North 63rd Drive</t>
  </si>
  <si>
    <t>ZJNS82881223815951</t>
  </si>
  <si>
    <t>John Dishon</t>
  </si>
  <si>
    <t>2017-07-04</t>
  </si>
  <si>
    <t>ULMH92393568749541</t>
  </si>
  <si>
    <t>Gary Grande</t>
  </si>
  <si>
    <t>2002-05-12</t>
  </si>
  <si>
    <t>FNSJ58919205182569</t>
  </si>
  <si>
    <t>Paul Brown</t>
  </si>
  <si>
    <t>4253 San Juan Avenue</t>
  </si>
  <si>
    <t>PIJT73994037701639</t>
  </si>
  <si>
    <t>Andrea Manuel</t>
  </si>
  <si>
    <t>2013-08-19</t>
  </si>
  <si>
    <t>2411 Alteras Drive</t>
  </si>
  <si>
    <t>QRCZ28152148869808</t>
  </si>
  <si>
    <t>Nathan Masterson</t>
  </si>
  <si>
    <t>142 Ash Drive</t>
  </si>
  <si>
    <t>WIUR26299670945260</t>
  </si>
  <si>
    <t>Sylvia Hawkins</t>
  </si>
  <si>
    <t>1996-03-22</t>
  </si>
  <si>
    <t>5156 South Dakota Avenue Northeast</t>
  </si>
  <si>
    <t>PMBA89132320063296</t>
  </si>
  <si>
    <t>George Eder</t>
  </si>
  <si>
    <t>2012-02-06</t>
  </si>
  <si>
    <t>3145 19th Avenue Court</t>
  </si>
  <si>
    <t>TXJO37459913418306</t>
  </si>
  <si>
    <t>Sandra Tucker</t>
  </si>
  <si>
    <t>1993-12-14</t>
  </si>
  <si>
    <t>1600 20th Street Northwest</t>
  </si>
  <si>
    <t>MWUV90171735909928</t>
  </si>
  <si>
    <t>Patricia Gloeckner</t>
  </si>
  <si>
    <t>2003-08-26</t>
  </si>
  <si>
    <t>4486 U.S. 5</t>
  </si>
  <si>
    <t>CBJO77411509045929</t>
  </si>
  <si>
    <t>Willie Issa</t>
  </si>
  <si>
    <t>2011-07-30</t>
  </si>
  <si>
    <t>7300 West 74th Place</t>
  </si>
  <si>
    <t>NOFF75208509577603</t>
  </si>
  <si>
    <t>Kay Gallo</t>
  </si>
  <si>
    <t>1999-06-07</t>
  </si>
  <si>
    <t>6823 Forsythe Drive</t>
  </si>
  <si>
    <t>FRXZ26362755674674</t>
  </si>
  <si>
    <t>AGENT01081</t>
  </si>
  <si>
    <t>Bernice Cobb</t>
  </si>
  <si>
    <t>1998-08-21</t>
  </si>
  <si>
    <t>65 Arcellia Drive</t>
  </si>
  <si>
    <t>BKVD90903094051304</t>
  </si>
  <si>
    <t>AGENT01082</t>
  </si>
  <si>
    <t>Robin White</t>
  </si>
  <si>
    <t>2008-08-09</t>
  </si>
  <si>
    <t>UDWN48503731617947</t>
  </si>
  <si>
    <t>Mark Fischer</t>
  </si>
  <si>
    <t>3101 Penland Parkway</t>
  </si>
  <si>
    <t>#STE H6</t>
  </si>
  <si>
    <t>UEFR31732805108655</t>
  </si>
  <si>
    <t>Heather Arterburn</t>
  </si>
  <si>
    <t>2010-07-20</t>
  </si>
  <si>
    <t>21 Soling Avenue</t>
  </si>
  <si>
    <t>KBUT54712977778071</t>
  </si>
  <si>
    <t>Leo Gaydos</t>
  </si>
  <si>
    <t>2015-08-09</t>
  </si>
  <si>
    <t>1157 1st Street Northwest</t>
  </si>
  <si>
    <t>ZCYG93471807643444</t>
  </si>
  <si>
    <t>Barbara Betancourt</t>
  </si>
  <si>
    <t>2013-08-24</t>
  </si>
  <si>
    <t>34 Belair Drive</t>
  </si>
  <si>
    <t>EISG65894271513444</t>
  </si>
  <si>
    <t>Dorothy Cooper</t>
  </si>
  <si>
    <t>2010-12-31</t>
  </si>
  <si>
    <t>6451 West Bell Road</t>
  </si>
  <si>
    <t>#1144</t>
  </si>
  <si>
    <t>CNGS88004254244772</t>
  </si>
  <si>
    <t>Wesley Burger</t>
  </si>
  <si>
    <t>2008-11-25</t>
  </si>
  <si>
    <t>UYHG28999580464685</t>
  </si>
  <si>
    <t>William See</t>
  </si>
  <si>
    <t>2009-02-14</t>
  </si>
  <si>
    <t>4001 19th Place Northeast</t>
  </si>
  <si>
    <t>FYWM91015014813184</t>
  </si>
  <si>
    <t>David Pastrano</t>
  </si>
  <si>
    <t>1999-10-21</t>
  </si>
  <si>
    <t>7952 South Algonquian Way</t>
  </si>
  <si>
    <t>VSWF12872946962625</t>
  </si>
  <si>
    <t>Joshua Losey</t>
  </si>
  <si>
    <t>2004-10-09</t>
  </si>
  <si>
    <t>YIAT74328087165676</t>
  </si>
  <si>
    <t>Anthony Campbell</t>
  </si>
  <si>
    <t>2003-01-10</t>
  </si>
  <si>
    <t>NFPH16758474374216</t>
  </si>
  <si>
    <t>Jose Northrup</t>
  </si>
  <si>
    <t>1994-07-12</t>
  </si>
  <si>
    <t>KJFP17097585893789</t>
  </si>
  <si>
    <t>Robert Venable</t>
  </si>
  <si>
    <t>1997-04-15</t>
  </si>
  <si>
    <t>3949 Ethan Allen Highway</t>
  </si>
  <si>
    <t>TOGM23655710729269</t>
  </si>
  <si>
    <t>Luke Carrero</t>
  </si>
  <si>
    <t>2014-02-03</t>
  </si>
  <si>
    <t>XIRE02859555877975</t>
  </si>
  <si>
    <t>Robert Beier</t>
  </si>
  <si>
    <t>2016-07-28</t>
  </si>
  <si>
    <t>TRLF76954827966895</t>
  </si>
  <si>
    <t>Barbara Miller</t>
  </si>
  <si>
    <t>1993-09-28</t>
  </si>
  <si>
    <t>189 Dalton Avenue</t>
  </si>
  <si>
    <t>ZXPJ13504297261189</t>
  </si>
  <si>
    <t>Adriane Clennon</t>
  </si>
  <si>
    <t>1992-01-23</t>
  </si>
  <si>
    <t>1828 Ridgewick Road</t>
  </si>
  <si>
    <t>ZQPO57034598566562</t>
  </si>
  <si>
    <t>Zachariah Mason</t>
  </si>
  <si>
    <t>1999-09-05</t>
  </si>
  <si>
    <t>97 Lincoln Street</t>
  </si>
  <si>
    <t>CZDH58385846311648</t>
  </si>
  <si>
    <t>Denice Harp</t>
  </si>
  <si>
    <t>2010-09-25</t>
  </si>
  <si>
    <t>555 North Dupont Avenue</t>
  </si>
  <si>
    <t>#C-55</t>
  </si>
  <si>
    <t>EDBR26335668618036</t>
  </si>
  <si>
    <t>AGENT01101</t>
  </si>
  <si>
    <t>Andre Gault</t>
  </si>
  <si>
    <t>1991-05-13</t>
  </si>
  <si>
    <t>109 High Street</t>
  </si>
  <si>
    <t>RFSG53619839392836</t>
  </si>
  <si>
    <t>Anne Hunt</t>
  </si>
  <si>
    <t>501 Running Creek Place</t>
  </si>
  <si>
    <t>NQDE41034698109748</t>
  </si>
  <si>
    <t>Linda Ledford</t>
  </si>
  <si>
    <t>2003-01-04</t>
  </si>
  <si>
    <t>5420 Allison Street</t>
  </si>
  <si>
    <t>#202</t>
  </si>
  <si>
    <t>TPGL65339981309343</t>
  </si>
  <si>
    <t>Mitchell Cooks</t>
  </si>
  <si>
    <t>1994-04-24</t>
  </si>
  <si>
    <t>2555 West 69th Court</t>
  </si>
  <si>
    <t>FOJU51018344352747</t>
  </si>
  <si>
    <t>Betty Walker</t>
  </si>
  <si>
    <t>2007-01-06</t>
  </si>
  <si>
    <t>631 West 32nd Avenue</t>
  </si>
  <si>
    <t>#APT 000134</t>
  </si>
  <si>
    <t>NJKV77708814426610</t>
  </si>
  <si>
    <t>Isaac Willard</t>
  </si>
  <si>
    <t>MXTU71998315230492</t>
  </si>
  <si>
    <t>Greg Mclaughlin</t>
  </si>
  <si>
    <t>1995-03-16</t>
  </si>
  <si>
    <t>LXKK59804609985447</t>
  </si>
  <si>
    <t>Sharon Wheeler</t>
  </si>
  <si>
    <t>1997-10-19</t>
  </si>
  <si>
    <t>487 Maury Street</t>
  </si>
  <si>
    <t>LNXZ12444869440499</t>
  </si>
  <si>
    <t>Rita Landes</t>
  </si>
  <si>
    <t>2007-04-02</t>
  </si>
  <si>
    <t>5732 Jean Drive</t>
  </si>
  <si>
    <t>BRRW88733394012251</t>
  </si>
  <si>
    <t>Bryan Rasmussen</t>
  </si>
  <si>
    <t>2002-12-29</t>
  </si>
  <si>
    <t>FSAZ17147087796594</t>
  </si>
  <si>
    <t>AGENT01111</t>
  </si>
  <si>
    <t>Beverly Williams</t>
  </si>
  <si>
    <t>2007-06-10</t>
  </si>
  <si>
    <t>420 Cove Villa Street</t>
  </si>
  <si>
    <t>KXXV44627753914038</t>
  </si>
  <si>
    <t>Patricia Short</t>
  </si>
  <si>
    <t>2018-06-14</t>
  </si>
  <si>
    <t>3365 Wyndham Drive</t>
  </si>
  <si>
    <t>EMFU19704828659582</t>
  </si>
  <si>
    <t>Michael Snyder</t>
  </si>
  <si>
    <t>1999-03-11</t>
  </si>
  <si>
    <t>3528 Seasons Drive</t>
  </si>
  <si>
    <t>CPQH33140995971920</t>
  </si>
  <si>
    <t>Dianne Peters</t>
  </si>
  <si>
    <t>2010-03-13</t>
  </si>
  <si>
    <t>GZXQ72626875674734</t>
  </si>
  <si>
    <t>Alex Peters</t>
  </si>
  <si>
    <t>1999-10-27</t>
  </si>
  <si>
    <t>XHCB23587207054938</t>
  </si>
  <si>
    <t>AGENT01116</t>
  </si>
  <si>
    <t>Todd Martin</t>
  </si>
  <si>
    <t>2006-07-15</t>
  </si>
  <si>
    <t>11655 West 81st Avenue</t>
  </si>
  <si>
    <t>NBML10383032780273</t>
  </si>
  <si>
    <t>Karen Rawling</t>
  </si>
  <si>
    <t>1995-08-17</t>
  </si>
  <si>
    <t>2300 Deer Path Circle</t>
  </si>
  <si>
    <t>#207</t>
  </si>
  <si>
    <t>Hurstbourne Acres</t>
  </si>
  <si>
    <t>WUQR55295375300441</t>
  </si>
  <si>
    <t>William Leslie</t>
  </si>
  <si>
    <t>1993-12-07</t>
  </si>
  <si>
    <t>8010 Holland Court</t>
  </si>
  <si>
    <t>WDBF04875368521876</t>
  </si>
  <si>
    <t>Robin Justice</t>
  </si>
  <si>
    <t>2007-09-20</t>
  </si>
  <si>
    <t>2906 Clare Avenue</t>
  </si>
  <si>
    <t>DDYP46800697706803</t>
  </si>
  <si>
    <t>Leslie Philbert</t>
  </si>
  <si>
    <t>2004-07-09</t>
  </si>
  <si>
    <t>OWIB00405090558563</t>
  </si>
  <si>
    <t>Julia Holmgren</t>
  </si>
  <si>
    <t>1996-02-23</t>
  </si>
  <si>
    <t>98 Lincoln Street</t>
  </si>
  <si>
    <t>RRDL03101713257724</t>
  </si>
  <si>
    <t>Ray Dunlap</t>
  </si>
  <si>
    <t>2008-04-09</t>
  </si>
  <si>
    <t>7132 South Villa Avenue</t>
  </si>
  <si>
    <t>IJCW59552466164957</t>
  </si>
  <si>
    <t>Aiko Audet</t>
  </si>
  <si>
    <t>VIBC21834847408003</t>
  </si>
  <si>
    <t>Julie Sims</t>
  </si>
  <si>
    <t>2013-10-03</t>
  </si>
  <si>
    <t>1751 Shoreham Drive</t>
  </si>
  <si>
    <t>HVGD77251517751606</t>
  </si>
  <si>
    <t>Frank Valenzuela</t>
  </si>
  <si>
    <t>2005-09-20</t>
  </si>
  <si>
    <t>NNQU86427922489744</t>
  </si>
  <si>
    <t>AGENT01126</t>
  </si>
  <si>
    <t>Robyn Garcia</t>
  </si>
  <si>
    <t>1994-04-14</t>
  </si>
  <si>
    <t>6016 Northwest 27th Street</t>
  </si>
  <si>
    <t>QIKZ71312173435698</t>
  </si>
  <si>
    <t>1999-06-02</t>
  </si>
  <si>
    <t>5150 West Eugie Avenue</t>
  </si>
  <si>
    <t>#2021</t>
  </si>
  <si>
    <t>KWFF64231400629759</t>
  </si>
  <si>
    <t>John Castle</t>
  </si>
  <si>
    <t>2017-09-01</t>
  </si>
  <si>
    <t>EHQP71620345073896</t>
  </si>
  <si>
    <t>AGENT01129</t>
  </si>
  <si>
    <t>Christopher Amin</t>
  </si>
  <si>
    <t>1991-08-18</t>
  </si>
  <si>
    <t>539 Palermo Road</t>
  </si>
  <si>
    <t>CQZB56687647502612</t>
  </si>
  <si>
    <t>Lauren Resh</t>
  </si>
  <si>
    <t>2018-01-10</t>
  </si>
  <si>
    <t>CWKZ12126490450067</t>
  </si>
  <si>
    <t>Keith Davis</t>
  </si>
  <si>
    <t>2009-06-29</t>
  </si>
  <si>
    <t>2508 Grant Avenue</t>
  </si>
  <si>
    <t>KIEA60161900865575</t>
  </si>
  <si>
    <t>Henry Howell</t>
  </si>
  <si>
    <t>2012-04-06</t>
  </si>
  <si>
    <t>1400 Rosa L Parks Boulevard</t>
  </si>
  <si>
    <t>#305</t>
  </si>
  <si>
    <t>NNFW45837622329933</t>
  </si>
  <si>
    <t>AGENT01133</t>
  </si>
  <si>
    <t>Cynthia Illsley</t>
  </si>
  <si>
    <t>2010-06-06</t>
  </si>
  <si>
    <t>TUWA05740803604845</t>
  </si>
  <si>
    <t>Joanna Bailey</t>
  </si>
  <si>
    <t>2007-12-25</t>
  </si>
  <si>
    <t>129 Lark Lane</t>
  </si>
  <si>
    <t>GTAT20473263158624</t>
  </si>
  <si>
    <t>Shannon Kee</t>
  </si>
  <si>
    <t>2005-01-05</t>
  </si>
  <si>
    <t>218 Durham Park Way</t>
  </si>
  <si>
    <t>RBVL36704528593687</t>
  </si>
  <si>
    <t>Melissa Dolecki</t>
  </si>
  <si>
    <t>1996-03-14</t>
  </si>
  <si>
    <t>4308 Princess Lane</t>
  </si>
  <si>
    <t>XPNS54217771686001</t>
  </si>
  <si>
    <t>Dominique Martin</t>
  </si>
  <si>
    <t>2004-09-26</t>
  </si>
  <si>
    <t>529 Wesley Avenue</t>
  </si>
  <si>
    <t>EKPX63804367076064</t>
  </si>
  <si>
    <t>Allen Ayers</t>
  </si>
  <si>
    <t>1991-08-29</t>
  </si>
  <si>
    <t>15253 North 62nd Avenue</t>
  </si>
  <si>
    <t>GIBU73154559610834</t>
  </si>
  <si>
    <t>Lois Sheets</t>
  </si>
  <si>
    <t>2001-10-31</t>
  </si>
  <si>
    <t>93 Hamlin Street</t>
  </si>
  <si>
    <t>AQBC77458425590634</t>
  </si>
  <si>
    <t>Willie Smith</t>
  </si>
  <si>
    <t>2013-10-13</t>
  </si>
  <si>
    <t>327 Fairway Boulevard</t>
  </si>
  <si>
    <t>DSSU56691374816080</t>
  </si>
  <si>
    <t>Cynthia Hines</t>
  </si>
  <si>
    <t>2012-02-14</t>
  </si>
  <si>
    <t>5628 West Tonopah Drive</t>
  </si>
  <si>
    <t>NWWO91289873263071</t>
  </si>
  <si>
    <t>Frank Kuss</t>
  </si>
  <si>
    <t>2006-06-02</t>
  </si>
  <si>
    <t>3313 Daisy Trail</t>
  </si>
  <si>
    <t>MJMZ05224189300735</t>
  </si>
  <si>
    <t>George Milligan</t>
  </si>
  <si>
    <t>OUCG23516255074800</t>
  </si>
  <si>
    <t>Karen Parker</t>
  </si>
  <si>
    <t>1999-09-18</t>
  </si>
  <si>
    <t>312 Northwest 90th Street</t>
  </si>
  <si>
    <t>LQRX58976259076318</t>
  </si>
  <si>
    <t>Jacqueline Scott</t>
  </si>
  <si>
    <t>2005-09-08</t>
  </si>
  <si>
    <t>NKXW31315566001212</t>
  </si>
  <si>
    <t>Charla Dash</t>
  </si>
  <si>
    <t>2004-02-02</t>
  </si>
  <si>
    <t>HNNQ68207689226173</t>
  </si>
  <si>
    <t>Robert Talamantes</t>
  </si>
  <si>
    <t>2001-11-14</t>
  </si>
  <si>
    <t>CUIL84782370383352</t>
  </si>
  <si>
    <t>Charles Magnusson</t>
  </si>
  <si>
    <t>2010-06-05</t>
  </si>
  <si>
    <t>VJWV17240007003873</t>
  </si>
  <si>
    <t>Bonnie Ray</t>
  </si>
  <si>
    <t>2011-01-29</t>
  </si>
  <si>
    <t>SDSO11999382319253</t>
  </si>
  <si>
    <t>David Hernandez</t>
  </si>
  <si>
    <t>2005-08-13</t>
  </si>
  <si>
    <t>PUDS25971686370419</t>
  </si>
  <si>
    <t>AGENT01151</t>
  </si>
  <si>
    <t>Clarence Saul</t>
  </si>
  <si>
    <t>2015-02-07</t>
  </si>
  <si>
    <t>5 Hibiscus Avenue</t>
  </si>
  <si>
    <t>CDGR25596012808172</t>
  </si>
  <si>
    <t>Michael Linzan</t>
  </si>
  <si>
    <t>2012-01-22</t>
  </si>
  <si>
    <t>TRZR67662304561493</t>
  </si>
  <si>
    <t>John Lewis</t>
  </si>
  <si>
    <t>2006-08-14</t>
  </si>
  <si>
    <t>938 Elkridge Landing Road</t>
  </si>
  <si>
    <t>BXXW01185535158669</t>
  </si>
  <si>
    <t>Nichole Wright</t>
  </si>
  <si>
    <t>2012-11-24</t>
  </si>
  <si>
    <t>382 Ocean Avenue</t>
  </si>
  <si>
    <t>#1602</t>
  </si>
  <si>
    <t>VHZY63199732822150</t>
  </si>
  <si>
    <t>Francisca Carrier</t>
  </si>
  <si>
    <t>1999-11-14</t>
  </si>
  <si>
    <t>7030 West Krall Street</t>
  </si>
  <si>
    <t>MLXV61642493632845</t>
  </si>
  <si>
    <t>Margaret Wehling</t>
  </si>
  <si>
    <t>1997-09-09</t>
  </si>
  <si>
    <t>3729 East Mission Boulevard</t>
  </si>
  <si>
    <t>ZWRE47036500901617</t>
  </si>
  <si>
    <t>Valerie Roush</t>
  </si>
  <si>
    <t>1998-07-27</t>
  </si>
  <si>
    <t>8474 Chase Drive</t>
  </si>
  <si>
    <t>JVCR31181647833032</t>
  </si>
  <si>
    <t>Paul Hanson</t>
  </si>
  <si>
    <t>2014-10-25</t>
  </si>
  <si>
    <t>8886 West 77th Circle</t>
  </si>
  <si>
    <t>FWLK42166461459287</t>
  </si>
  <si>
    <t>Benjamin Lanier</t>
  </si>
  <si>
    <t>2002-03-25</t>
  </si>
  <si>
    <t>6601 West Ocotillo Road</t>
  </si>
  <si>
    <t>FKEK88266613663573</t>
  </si>
  <si>
    <t>Scott Mcintyre</t>
  </si>
  <si>
    <t>2012-12-15</t>
  </si>
  <si>
    <t>TFBB74652243371601</t>
  </si>
  <si>
    <t>AGENT01161</t>
  </si>
  <si>
    <t>Charlotte Payne</t>
  </si>
  <si>
    <t>2012-10-12</t>
  </si>
  <si>
    <t>200 Boulder Road</t>
  </si>
  <si>
    <t>HEWS38892486083575</t>
  </si>
  <si>
    <t>James Martinez</t>
  </si>
  <si>
    <t>2707 Eden Street</t>
  </si>
  <si>
    <t>FPTQ96765927624344</t>
  </si>
  <si>
    <t>William Rodriguez</t>
  </si>
  <si>
    <t>2011-07-02</t>
  </si>
  <si>
    <t>202 Deer Run Trail</t>
  </si>
  <si>
    <t>CJAB01621611505729</t>
  </si>
  <si>
    <t>George Perry</t>
  </si>
  <si>
    <t>1425 Claremont Circle</t>
  </si>
  <si>
    <t>OIDF58943422901532</t>
  </si>
  <si>
    <t>Charles Vanetten</t>
  </si>
  <si>
    <t>1996-07-18</t>
  </si>
  <si>
    <t>2849 Leawood Drive</t>
  </si>
  <si>
    <t>IWMW93520782300327</t>
  </si>
  <si>
    <t>Lynn Bailey</t>
  </si>
  <si>
    <t>1990-12-04</t>
  </si>
  <si>
    <t>6902 West Sherri Jean Lane</t>
  </si>
  <si>
    <t>NIMJ52479035223537</t>
  </si>
  <si>
    <t>Jessica Bromley</t>
  </si>
  <si>
    <t>1991-04-01</t>
  </si>
  <si>
    <t>YTOA20834394541416</t>
  </si>
  <si>
    <t>Donald Olivarez</t>
  </si>
  <si>
    <t>2002-07-21</t>
  </si>
  <si>
    <t>26466 Mockingbird Lane</t>
  </si>
  <si>
    <t>HOGR48891443344322</t>
  </si>
  <si>
    <t>Tracey Banks</t>
  </si>
  <si>
    <t>2015-01-02</t>
  </si>
  <si>
    <t>269 Hugh Thomas Drive</t>
  </si>
  <si>
    <t>SZSL98136625814720</t>
  </si>
  <si>
    <t>Lonnie Mcgill</t>
  </si>
  <si>
    <t>2016-11-14</t>
  </si>
  <si>
    <t>1613 Maple Timber Court</t>
  </si>
  <si>
    <t>AFLL24788515530496</t>
  </si>
  <si>
    <t>AGENT01171</t>
  </si>
  <si>
    <t>John Roten</t>
  </si>
  <si>
    <t>1997-04-26</t>
  </si>
  <si>
    <t>EBDK39686914794251</t>
  </si>
  <si>
    <t>Katherine Garcia</t>
  </si>
  <si>
    <t>2017-01-03</t>
  </si>
  <si>
    <t>9223 Elgin Circle</t>
  </si>
  <si>
    <t>JMTY84637120051395</t>
  </si>
  <si>
    <t>William Petersen</t>
  </si>
  <si>
    <t>1993-02-01</t>
  </si>
  <si>
    <t>29076 Little Big Horn Drive</t>
  </si>
  <si>
    <t>CIIZ57116493258140</t>
  </si>
  <si>
    <t>Trina Hill</t>
  </si>
  <si>
    <t>1994-11-10</t>
  </si>
  <si>
    <t>YREY17581973672000</t>
  </si>
  <si>
    <t>Nidia Snider</t>
  </si>
  <si>
    <t>2002-01-25</t>
  </si>
  <si>
    <t>3904 Martagon Circle</t>
  </si>
  <si>
    <t>RTAC43103044983545</t>
  </si>
  <si>
    <t>Archie Coy</t>
  </si>
  <si>
    <t>2012-06-15</t>
  </si>
  <si>
    <t>517 West 33rd Street</t>
  </si>
  <si>
    <t>ZHPK73546811768588</t>
  </si>
  <si>
    <t>Jeffrey Merrell</t>
  </si>
  <si>
    <t>2013-07-10</t>
  </si>
  <si>
    <t>DIDX84463472014031</t>
  </si>
  <si>
    <t>David Young</t>
  </si>
  <si>
    <t>1991-11-14</t>
  </si>
  <si>
    <t>324 Tulip Oak Court</t>
  </si>
  <si>
    <t>ICHY15750986592631</t>
  </si>
  <si>
    <t>AGENT01179</t>
  </si>
  <si>
    <t>Ryan Schneider</t>
  </si>
  <si>
    <t>2005-12-02</t>
  </si>
  <si>
    <t>ZENU27802453990220</t>
  </si>
  <si>
    <t>AGENT01180</t>
  </si>
  <si>
    <t>Leo Leblanc</t>
  </si>
  <si>
    <t>1993-09-23</t>
  </si>
  <si>
    <t>10175 West 58th Place</t>
  </si>
  <si>
    <t>#505</t>
  </si>
  <si>
    <t>PEUS96668175846313</t>
  </si>
  <si>
    <t>Bonita Holcomb</t>
  </si>
  <si>
    <t>2001-11-10</t>
  </si>
  <si>
    <t>2052 East 42nd Street</t>
  </si>
  <si>
    <t>TOJB34348311140084</t>
  </si>
  <si>
    <t>Micah Tucker</t>
  </si>
  <si>
    <t>LYFY39514467763614</t>
  </si>
  <si>
    <t>Elisa Guerrero</t>
  </si>
  <si>
    <t>1991-09-06</t>
  </si>
  <si>
    <t>3 Furman Place</t>
  </si>
  <si>
    <t>EIHW29270106624817</t>
  </si>
  <si>
    <t>James Ayers</t>
  </si>
  <si>
    <t>2008-11-10</t>
  </si>
  <si>
    <t>1609 Porter Avenue</t>
  </si>
  <si>
    <t>MTDS80945137889409</t>
  </si>
  <si>
    <t>Edith Sutton</t>
  </si>
  <si>
    <t>552 Maynadier Lane</t>
  </si>
  <si>
    <t>YTXT48057984183124</t>
  </si>
  <si>
    <t>Peggie Green</t>
  </si>
  <si>
    <t>2006-04-02</t>
  </si>
  <si>
    <t>DDKE49056288813901</t>
  </si>
  <si>
    <t>Stella Long</t>
  </si>
  <si>
    <t>2016-06-11</t>
  </si>
  <si>
    <t>3116 Northwest 61st Terrace</t>
  </si>
  <si>
    <t>SRDA69960535905588</t>
  </si>
  <si>
    <t>Kenneth Bullard</t>
  </si>
  <si>
    <t>2009-05-15</t>
  </si>
  <si>
    <t>9399 Yucca Way</t>
  </si>
  <si>
    <t>YEAW55756362400588</t>
  </si>
  <si>
    <t>Bruce Matheny</t>
  </si>
  <si>
    <t>2001-05-29</t>
  </si>
  <si>
    <t>22 Star Farms Drive</t>
  </si>
  <si>
    <t>UCWF95930273347109</t>
  </si>
  <si>
    <t>AGENT01190</t>
  </si>
  <si>
    <t>Shana Giffin</t>
  </si>
  <si>
    <t>2007-12-03</t>
  </si>
  <si>
    <t>212 Holiday Circle</t>
  </si>
  <si>
    <t>UZPL92052774127594</t>
  </si>
  <si>
    <t>Amy Helton</t>
  </si>
  <si>
    <t>1993-03-17</t>
  </si>
  <si>
    <t>DXOY20775459250224</t>
  </si>
  <si>
    <t>Maria Fitzgerald</t>
  </si>
  <si>
    <t>2236 Susitna Drive</t>
  </si>
  <si>
    <t>WMQO78155993850287</t>
  </si>
  <si>
    <t>Manuel Montgomery</t>
  </si>
  <si>
    <t>1995-08-23</t>
  </si>
  <si>
    <t>3114 US Highway 98</t>
  </si>
  <si>
    <t>KOSK18300077480523</t>
  </si>
  <si>
    <t>Trudy Lamar</t>
  </si>
  <si>
    <t>2006-07-21</t>
  </si>
  <si>
    <t>125 Connors Street</t>
  </si>
  <si>
    <t>#516</t>
  </si>
  <si>
    <t>MYAY55414261381950</t>
  </si>
  <si>
    <t>Sarah Razo</t>
  </si>
  <si>
    <t>1992-09-06</t>
  </si>
  <si>
    <t>1608 Gales Street Northeast</t>
  </si>
  <si>
    <t>PKVG82448072710348</t>
  </si>
  <si>
    <t>Myrtle Mccatty</t>
  </si>
  <si>
    <t>2005-09-14</t>
  </si>
  <si>
    <t>3553 Brandywine Street Northwest</t>
  </si>
  <si>
    <t>EWBR19907574832501</t>
  </si>
  <si>
    <t>John Dorsey</t>
  </si>
  <si>
    <t>1993-12-04</t>
  </si>
  <si>
    <t>2315 Chestnut Street</t>
  </si>
  <si>
    <t>KGEJ74846009867837</t>
  </si>
  <si>
    <t>Ruth Bigbee</t>
  </si>
  <si>
    <t>1993-09-05</t>
  </si>
  <si>
    <t>1983 Reidsville Street</t>
  </si>
  <si>
    <t>RASV88064214164820</t>
  </si>
  <si>
    <t>Tommie Camacho</t>
  </si>
  <si>
    <t>2004-10-25</t>
  </si>
  <si>
    <t>5821 Taft Street</t>
  </si>
  <si>
    <t>UOFO11656245339211</t>
  </si>
  <si>
    <t>Virginia Stachura</t>
  </si>
  <si>
    <t>1999-05-25</t>
  </si>
  <si>
    <t>3579 2nd Avenue</t>
  </si>
  <si>
    <t>ALYY24945545778511</t>
  </si>
  <si>
    <t>LOOKUP TABLE — Vendors (from vendor_data_2_.csv)</t>
  </si>
  <si>
    <t>VENDOR_NAME</t>
  </si>
  <si>
    <t>King, Proctor and Jones</t>
  </si>
  <si>
    <t>2027 North Shannon Drive</t>
  </si>
  <si>
    <t>#5</t>
  </si>
  <si>
    <t>Garcia Ltd</t>
  </si>
  <si>
    <t>5701 East Shirley Lane</t>
  </si>
  <si>
    <t>Cherry LLC</t>
  </si>
  <si>
    <t>Mays-Benson</t>
  </si>
  <si>
    <t>227 West Montgomery Cross Road</t>
  </si>
  <si>
    <t>#736</t>
  </si>
  <si>
    <t>Wilson PLC</t>
  </si>
  <si>
    <t>23 North Hill Street</t>
  </si>
  <si>
    <t>Wallace Inc</t>
  </si>
  <si>
    <t>6324 Moore Circle</t>
  </si>
  <si>
    <t>VNDR00007</t>
  </si>
  <si>
    <t>Alexander, Huynh and Hall</t>
  </si>
  <si>
    <t>Young, Williams and Pope</t>
  </si>
  <si>
    <t>Flores, Haas and Fox</t>
  </si>
  <si>
    <t>7912 Depew Street</t>
  </si>
  <si>
    <t>Mcclure Ltd</t>
  </si>
  <si>
    <t>VNDR00011</t>
  </si>
  <si>
    <t>Morton LLC</t>
  </si>
  <si>
    <t>Robertson, Perkins and Walton</t>
  </si>
  <si>
    <t>5029 Montclair Drive</t>
  </si>
  <si>
    <t>VNDR00013</t>
  </si>
  <si>
    <t>Thomas Group</t>
  </si>
  <si>
    <t>2269 Eastern Boulevard</t>
  </si>
  <si>
    <t>VNDR00014</t>
  </si>
  <si>
    <t>Smith-Murphy</t>
  </si>
  <si>
    <t>618 Ava Circle Northeast</t>
  </si>
  <si>
    <t>VNDR00015</t>
  </si>
  <si>
    <t>Parker-Blake</t>
  </si>
  <si>
    <t>3704 Hughes Road</t>
  </si>
  <si>
    <t>VNDR00016</t>
  </si>
  <si>
    <t>Navarro PLC</t>
  </si>
  <si>
    <t>5856 Parfet Court</t>
  </si>
  <si>
    <t>VNDR00017</t>
  </si>
  <si>
    <t>Reese Ltd</t>
  </si>
  <si>
    <t>302 Mcmillin Street</t>
  </si>
  <si>
    <t>Bradley Ltd</t>
  </si>
  <si>
    <t>4510 Eastern Avenue Northeast</t>
  </si>
  <si>
    <t>Wells-Hooper</t>
  </si>
  <si>
    <t>Hamilton, Alexander and Wilkins</t>
  </si>
  <si>
    <t>328 17th Street</t>
  </si>
  <si>
    <t>VNDR00021</t>
  </si>
  <si>
    <t>Willis, Griffin and Olsen</t>
  </si>
  <si>
    <t>3373 Runnymede Place Northwest</t>
  </si>
  <si>
    <t>VNDR00022</t>
  </si>
  <si>
    <t>Paul Group</t>
  </si>
  <si>
    <t>18330 North 79th Avenue</t>
  </si>
  <si>
    <t>#3155</t>
  </si>
  <si>
    <t>Mckinney-Campbell</t>
  </si>
  <si>
    <t>8219 Minor Lane</t>
  </si>
  <si>
    <t>VNDR00024</t>
  </si>
  <si>
    <t>Rodriguez PLC</t>
  </si>
  <si>
    <t>Wright Group</t>
  </si>
  <si>
    <t>3231 North Kings Cross</t>
  </si>
  <si>
    <t>VNDR00026</t>
  </si>
  <si>
    <t>Bray PLC</t>
  </si>
  <si>
    <t>736 Middle Turnpike East</t>
  </si>
  <si>
    <t>VNDR00027</t>
  </si>
  <si>
    <t>Bennett, Padilla and Williams</t>
  </si>
  <si>
    <t>4024 Northwest 16th Street</t>
  </si>
  <si>
    <t>VNDR00028</t>
  </si>
  <si>
    <t>Hawkins, Hernandez and Carter</t>
  </si>
  <si>
    <t>38676 Greenwich Circle</t>
  </si>
  <si>
    <t>Grant-Carter</t>
  </si>
  <si>
    <t>4439 Gale Street</t>
  </si>
  <si>
    <t>VNDR00030</t>
  </si>
  <si>
    <t>Smith Inc</t>
  </si>
  <si>
    <t>38 Renwick Road</t>
  </si>
  <si>
    <t>Johnson Ltd</t>
  </si>
  <si>
    <t>VNDR00032</t>
  </si>
  <si>
    <t>Horne, Hinton and Lee</t>
  </si>
  <si>
    <t>1516 Ringe Drive</t>
  </si>
  <si>
    <t>Hooper-Garrett</t>
  </si>
  <si>
    <t>1522 South 36th Street</t>
  </si>
  <si>
    <t>Davis and Sons</t>
  </si>
  <si>
    <t>1079 East Kentucky Street</t>
  </si>
  <si>
    <t>VNDR00035</t>
  </si>
  <si>
    <t>Dixon Group</t>
  </si>
  <si>
    <t>841 Whittier Hill Road</t>
  </si>
  <si>
    <t>VNDR00036</t>
  </si>
  <si>
    <t>Bryant, Murray and Lee</t>
  </si>
  <si>
    <t>4075 North Cadillac Drive</t>
  </si>
  <si>
    <t>Schmitt-Johnson</t>
  </si>
  <si>
    <t>3901 Old Seward Highway</t>
  </si>
  <si>
    <t>#STE 000016</t>
  </si>
  <si>
    <t>VNDR00038</t>
  </si>
  <si>
    <t>Hoover and Sons</t>
  </si>
  <si>
    <t>1430 South Gay Avenue</t>
  </si>
  <si>
    <t>Thomas and Sons</t>
  </si>
  <si>
    <t>85 West Seymeria Drive</t>
  </si>
  <si>
    <t>Reynolds-Tucker</t>
  </si>
  <si>
    <t>46 Lilac Street</t>
  </si>
  <si>
    <t>VNDR00041</t>
  </si>
  <si>
    <t>Miller-Hall</t>
  </si>
  <si>
    <t>8569 Vermont 9</t>
  </si>
  <si>
    <t>Armstrong-Summers</t>
  </si>
  <si>
    <t>Poole Ltd</t>
  </si>
  <si>
    <t>VNDR00044</t>
  </si>
  <si>
    <t>Garza, Giles and Palmer</t>
  </si>
  <si>
    <t>7509 Linda Lane</t>
  </si>
  <si>
    <t>Bell PLC</t>
  </si>
  <si>
    <t>17480 Beaujolais Circle</t>
  </si>
  <si>
    <t>Anderson Inc</t>
  </si>
  <si>
    <t>Solis-Morales</t>
  </si>
  <si>
    <t>1407 Walden Court</t>
  </si>
  <si>
    <t>VNDR00048</t>
  </si>
  <si>
    <t>Cooke, Wallace and Perry</t>
  </si>
  <si>
    <t>Rose Ltd</t>
  </si>
  <si>
    <t>1123 Glenwood Avenue</t>
  </si>
  <si>
    <t>Rivera, Johnson and Drake</t>
  </si>
  <si>
    <t>243 New State Road</t>
  </si>
  <si>
    <t>A-D</t>
  </si>
  <si>
    <t>Roberts-Garcia</t>
  </si>
  <si>
    <t>Garcia-Brown</t>
  </si>
  <si>
    <t>124 Rod Key Street</t>
  </si>
  <si>
    <t>VNDR00053</t>
  </si>
  <si>
    <t>Kelly-Mosley</t>
  </si>
  <si>
    <t>441 Merritt Avenue</t>
  </si>
  <si>
    <t>Brown, Johnston and Anderson</t>
  </si>
  <si>
    <t>VNDR00055</t>
  </si>
  <si>
    <t>Morris, Patton and Rodriguez</t>
  </si>
  <si>
    <t>8521 Crystal Street</t>
  </si>
  <si>
    <t>Russell, Mills and Calderon</t>
  </si>
  <si>
    <t>1823 Dinger Road</t>
  </si>
  <si>
    <t>Mckinney-Riley</t>
  </si>
  <si>
    <t>Estrada PLC</t>
  </si>
  <si>
    <t>3 Mad Anthony Lane</t>
  </si>
  <si>
    <t>VNDR00059</t>
  </si>
  <si>
    <t>Long, Cooper and Vance</t>
  </si>
  <si>
    <t>16502 South Main Street</t>
  </si>
  <si>
    <t>Gardena</t>
  </si>
  <si>
    <t>Taylor, Holt and Stout</t>
  </si>
  <si>
    <t>19 Heritage</t>
  </si>
  <si>
    <t>VNDR00061</t>
  </si>
  <si>
    <t>Green Ltd</t>
  </si>
  <si>
    <t>165 Quincy Shore Drive</t>
  </si>
  <si>
    <t>#C27</t>
  </si>
  <si>
    <t>VNDR00062</t>
  </si>
  <si>
    <t>Ramos Ltd</t>
  </si>
  <si>
    <t>VNDR00063</t>
  </si>
  <si>
    <t>Lowe-Wilson</t>
  </si>
  <si>
    <t>5630 Silverado Way</t>
  </si>
  <si>
    <t>#STE A8</t>
  </si>
  <si>
    <t>Hill Ltd</t>
  </si>
  <si>
    <t>712 Southwest 1st Street</t>
  </si>
  <si>
    <t>VNDR00065</t>
  </si>
  <si>
    <t>Whitehead-Roberson</t>
  </si>
  <si>
    <t>Hart-Carpenter</t>
  </si>
  <si>
    <t>266 South J Street</t>
  </si>
  <si>
    <t>Weaver-Ellis</t>
  </si>
  <si>
    <t>8820 Culebra Street</t>
  </si>
  <si>
    <t>Moore Group</t>
  </si>
  <si>
    <t>13583 West 68th Avenue</t>
  </si>
  <si>
    <t>VNDR00069</t>
  </si>
  <si>
    <t>Escobar, Fields and Moran</t>
  </si>
  <si>
    <t>1015 Castle Road</t>
  </si>
  <si>
    <t>VNDR00070</t>
  </si>
  <si>
    <t>Graves and Sons</t>
  </si>
  <si>
    <t>Martinez-Thomas</t>
  </si>
  <si>
    <t>Thompson-Wilson</t>
  </si>
  <si>
    <t>7711 North 51st Avenue</t>
  </si>
  <si>
    <t>#1180</t>
  </si>
  <si>
    <t>VNDR00073</t>
  </si>
  <si>
    <t>Griffin-Shaw</t>
  </si>
  <si>
    <t>125 Summer Street</t>
  </si>
  <si>
    <t>Fox-Anderson</t>
  </si>
  <si>
    <t>Blackwell-Foster</t>
  </si>
  <si>
    <t>3609 Meadow Drive</t>
  </si>
  <si>
    <t>Schaefer, Paul and Ayala</t>
  </si>
  <si>
    <t>4300 Kansas Avenue Northwest</t>
  </si>
  <si>
    <t>Bartlett-Winters</t>
  </si>
  <si>
    <t>Young Ltd</t>
  </si>
  <si>
    <t>835 Shiloh Court</t>
  </si>
  <si>
    <t>Lopez-Wilson</t>
  </si>
  <si>
    <t>VNDR00080</t>
  </si>
  <si>
    <t>Cooper Ltd</t>
  </si>
  <si>
    <t>Perez-Richards</t>
  </si>
  <si>
    <t>8704 Bayberry Place</t>
  </si>
  <si>
    <t>Barnes PLC</t>
  </si>
  <si>
    <t>2409 Park Street</t>
  </si>
  <si>
    <t>Kennedy, Benjamin and Young</t>
  </si>
  <si>
    <t>Smith-Schwartz</t>
  </si>
  <si>
    <t>1520 H Street Northwest</t>
  </si>
  <si>
    <t>VNDR00085</t>
  </si>
  <si>
    <t>Pratt, Jenkins and Willis</t>
  </si>
  <si>
    <t>Guerrero, Norman and Baker</t>
  </si>
  <si>
    <t>55 Russells Mills Road</t>
  </si>
  <si>
    <t>Davis PLC</t>
  </si>
  <si>
    <t>VNDR00088</t>
  </si>
  <si>
    <t>Richards, Yates and Rich</t>
  </si>
  <si>
    <t>8726 Downey Road</t>
  </si>
  <si>
    <t>VNDR00089</t>
  </si>
  <si>
    <t>Miller-Schmidt</t>
  </si>
  <si>
    <t>Harris-Joyce</t>
  </si>
  <si>
    <t>2222 Martin Luther King Junior Boulevard</t>
  </si>
  <si>
    <t>VNDR00091</t>
  </si>
  <si>
    <t>Hatfield, Jones and Jensen</t>
  </si>
  <si>
    <t>Knapp-Thornton</t>
  </si>
  <si>
    <t>Mullins-Ramsey</t>
  </si>
  <si>
    <t>1345 G Street Southeast</t>
  </si>
  <si>
    <t>Payne-Smith</t>
  </si>
  <si>
    <t>334 North Cove Boulevard</t>
  </si>
  <si>
    <t>VNDR00095</t>
  </si>
  <si>
    <t>Ramsey Group</t>
  </si>
  <si>
    <t>4331 Foeburn Lane</t>
  </si>
  <si>
    <t>Villanueva Ltd</t>
  </si>
  <si>
    <t>7256 West 84th Way</t>
  </si>
  <si>
    <t>#918</t>
  </si>
  <si>
    <t>VNDR00097</t>
  </si>
  <si>
    <t>Mitchell, Jackson and Norris</t>
  </si>
  <si>
    <t>Rodriguez Inc</t>
  </si>
  <si>
    <t>1641 Kramer Street Northeast</t>
  </si>
  <si>
    <t>Welch, Keller and Hicks</t>
  </si>
  <si>
    <t>1820 22nd Street Southeast</t>
  </si>
  <si>
    <t>Lamb-Campbell</t>
  </si>
  <si>
    <t>295 Townes Drive</t>
  </si>
  <si>
    <t>Walker Group</t>
  </si>
  <si>
    <t>4216 Winter Lake Drive</t>
  </si>
  <si>
    <t>Padilla-Allen</t>
  </si>
  <si>
    <t>Harris LLC</t>
  </si>
  <si>
    <t>3325 Dix Street Northeast</t>
  </si>
  <si>
    <t>Reese-Mckinney</t>
  </si>
  <si>
    <t>20 Garfield Street</t>
  </si>
  <si>
    <t>VNDR00105</t>
  </si>
  <si>
    <t>Sanchez, Jensen and Carter</t>
  </si>
  <si>
    <t>5396 North Reese Avenue</t>
  </si>
  <si>
    <t>Gilbert PLC</t>
  </si>
  <si>
    <t>Kaiser, Sanford and Lopez</t>
  </si>
  <si>
    <t>Pham Ltd</t>
  </si>
  <si>
    <t>Hudson PLC</t>
  </si>
  <si>
    <t>VNDR00110</t>
  </si>
  <si>
    <t>Sanchez-Browning</t>
  </si>
  <si>
    <t>11150 Sun Valley Drive</t>
  </si>
  <si>
    <t>VNDR00111</t>
  </si>
  <si>
    <t>Callahan, Ponce and Joyce</t>
  </si>
  <si>
    <t>112 Mallard Drive</t>
  </si>
  <si>
    <t>Sellers, Thompson and Mcdonald</t>
  </si>
  <si>
    <t>7202 Jump Street</t>
  </si>
  <si>
    <t>Walker PLC</t>
  </si>
  <si>
    <t>89 Barrensdale Drive</t>
  </si>
  <si>
    <t>Mayo-Green</t>
  </si>
  <si>
    <t>King, Novak and Perez</t>
  </si>
  <si>
    <t>9008 Grayson Grove Court</t>
  </si>
  <si>
    <t>VNDR00116</t>
  </si>
  <si>
    <t>Smith-Carpenter</t>
  </si>
  <si>
    <t>1623 Mines Road</t>
  </si>
  <si>
    <t>Brown, Baker and Lucas</t>
  </si>
  <si>
    <t>Davis-Walker</t>
  </si>
  <si>
    <t>600 West North Street</t>
  </si>
  <si>
    <t>#D2</t>
  </si>
  <si>
    <t>Miller, Patel and Anderson</t>
  </si>
  <si>
    <t>1129 I Street</t>
  </si>
  <si>
    <t>Cunningham-Harrison</t>
  </si>
  <si>
    <t>5624 Oakes Drive</t>
  </si>
  <si>
    <t>VNDR00121</t>
  </si>
  <si>
    <t>Watson-Hendrix</t>
  </si>
  <si>
    <t>711 Parker Street</t>
  </si>
  <si>
    <t>Valentine Inc</t>
  </si>
  <si>
    <t>Ramos, Anderson and Mejia</t>
  </si>
  <si>
    <t>1452 55th Avenue</t>
  </si>
  <si>
    <t>VNDR00124</t>
  </si>
  <si>
    <t>Taylor-Bailey</t>
  </si>
  <si>
    <t>1209 Meehan Road</t>
  </si>
  <si>
    <t>Thompson Inc</t>
  </si>
  <si>
    <t>2504 Longest Avenue</t>
  </si>
  <si>
    <t>Ward Inc</t>
  </si>
  <si>
    <t>112 Walnut Street</t>
  </si>
  <si>
    <t>VNDR00127</t>
  </si>
  <si>
    <t>Sanders-Irwin</t>
  </si>
  <si>
    <t>1801 Dodge Trail</t>
  </si>
  <si>
    <t>Tucker Inc</t>
  </si>
  <si>
    <t>607 Trails End Road</t>
  </si>
  <si>
    <t>Norris, Arnold and Young</t>
  </si>
  <si>
    <t>57413 Taku Avenue</t>
  </si>
  <si>
    <t>VNDR00130</t>
  </si>
  <si>
    <t>Hernandez Group</t>
  </si>
  <si>
    <t>4709 Blagden Terrace Northwest</t>
  </si>
  <si>
    <t>VNDR00131</t>
  </si>
  <si>
    <t>Cowan-Sanders</t>
  </si>
  <si>
    <t>24647 Patricia Court</t>
  </si>
  <si>
    <t>Gregory and Sons</t>
  </si>
  <si>
    <t>800 Quacco Road</t>
  </si>
  <si>
    <t>VNDR00133</t>
  </si>
  <si>
    <t>Hays-Rose</t>
  </si>
  <si>
    <t>6040 West Kings Avenue</t>
  </si>
  <si>
    <t>Miller Ltd</t>
  </si>
  <si>
    <t>Shields-Bush</t>
  </si>
  <si>
    <t>740 East 34th Street</t>
  </si>
  <si>
    <t>VNDR00136</t>
  </si>
  <si>
    <t>Hall, Andersen and Williamson</t>
  </si>
  <si>
    <t>Johnson, Cook and Harrington</t>
  </si>
  <si>
    <t>4 Chamois Court</t>
  </si>
  <si>
    <t>Hayden Inc</t>
  </si>
  <si>
    <t>210 Seaman</t>
  </si>
  <si>
    <t>McCrory</t>
  </si>
  <si>
    <t>Kim Ltd</t>
  </si>
  <si>
    <t>6452 El Camino Real</t>
  </si>
  <si>
    <t>Atascadero</t>
  </si>
  <si>
    <t>VNDR00140</t>
  </si>
  <si>
    <t>Horne Inc</t>
  </si>
  <si>
    <t>Holder-Robinson</t>
  </si>
  <si>
    <t>1820 Scenic Avenue</t>
  </si>
  <si>
    <t>Rice-Perry</t>
  </si>
  <si>
    <t>Henderson Inc</t>
  </si>
  <si>
    <t>316 20th Street Northeast</t>
  </si>
  <si>
    <t>Knight-Ortiz</t>
  </si>
  <si>
    <t>1583 Elberta Court</t>
  </si>
  <si>
    <t>VNDR00145</t>
  </si>
  <si>
    <t>Martin-Meadows</t>
  </si>
  <si>
    <t>620 Veta Avenue</t>
  </si>
  <si>
    <t>VNDR00146</t>
  </si>
  <si>
    <t>Pope, Becker and Peters</t>
  </si>
  <si>
    <t>VNDR00147</t>
  </si>
  <si>
    <t>Jones, Robinson and Miller</t>
  </si>
  <si>
    <t>516 Southwest 60th Terrace</t>
  </si>
  <si>
    <t>VNDR00148</t>
  </si>
  <si>
    <t>Hill-Thomas</t>
  </si>
  <si>
    <t>VNDR00149</t>
  </si>
  <si>
    <t>Bullock-Henry</t>
  </si>
  <si>
    <t>Moreno LLC</t>
  </si>
  <si>
    <t>1261 Sioux Terrace</t>
  </si>
  <si>
    <t>Jones Group</t>
  </si>
  <si>
    <t>Morris-Howe</t>
  </si>
  <si>
    <t>Payne, Johnson and Cox</t>
  </si>
  <si>
    <t>Byrd-Richards</t>
  </si>
  <si>
    <t>605 Main Street</t>
  </si>
  <si>
    <t>VNDR00155</t>
  </si>
  <si>
    <t>Reyes and Sons</t>
  </si>
  <si>
    <t>115 Maple Street</t>
  </si>
  <si>
    <t>Daniels-Camacho</t>
  </si>
  <si>
    <t>5814 Carriage Brook Road</t>
  </si>
  <si>
    <t>VNDR00157</t>
  </si>
  <si>
    <t>Thompson Ltd</t>
  </si>
  <si>
    <t>2248 South Sutherland Drive</t>
  </si>
  <si>
    <t>VNDR00158</t>
  </si>
  <si>
    <t>Nguyen PLC</t>
  </si>
  <si>
    <t>4700 10th Street Northeast</t>
  </si>
  <si>
    <t>Warren-Brandt</t>
  </si>
  <si>
    <t>VNDR00160</t>
  </si>
  <si>
    <t>Ford, Adams and Rocha</t>
  </si>
  <si>
    <t>3810 Camp Ground Road</t>
  </si>
  <si>
    <t>Vasquez-Payne</t>
  </si>
  <si>
    <t>240 Lynwood Drive</t>
  </si>
  <si>
    <t>Kerr, Gutierrez and Dennis</t>
  </si>
  <si>
    <t>24 Haven Drive</t>
  </si>
  <si>
    <t>Foster-Sanchez</t>
  </si>
  <si>
    <t>4255 Tanager Common</t>
  </si>
  <si>
    <t>Perkins Group</t>
  </si>
  <si>
    <t>VNDR00165</t>
  </si>
  <si>
    <t>James, Patel and Cummings</t>
  </si>
  <si>
    <t>1515 Northwest 19th Street</t>
  </si>
  <si>
    <t>Nelson-Russell</t>
  </si>
  <si>
    <t>Diaz Group</t>
  </si>
  <si>
    <t>5385 Iris Street</t>
  </si>
  <si>
    <t>Miller, Bryant and Vega</t>
  </si>
  <si>
    <t>4050 Lake Otis Parkway</t>
  </si>
  <si>
    <t>#STE 000102</t>
  </si>
  <si>
    <t>Hicks Group</t>
  </si>
  <si>
    <t>3384 North Southridge Drive</t>
  </si>
  <si>
    <t>Smith-Blake</t>
  </si>
  <si>
    <t>8506 Laviento Drive</t>
  </si>
  <si>
    <t>Franco, Watson and Murray</t>
  </si>
  <si>
    <t>VNDR00172</t>
  </si>
  <si>
    <t>Turner, Fox and Kemp</t>
  </si>
  <si>
    <t>703 Elizabeth Barcus Way</t>
  </si>
  <si>
    <t>Fortuna</t>
  </si>
  <si>
    <t>VNDR00173</t>
  </si>
  <si>
    <t>Kaufman, Rodriguez and Sharp</t>
  </si>
  <si>
    <t>618 Amberjack Drive</t>
  </si>
  <si>
    <t>VNDR00174</t>
  </si>
  <si>
    <t>Garcia-Johnson</t>
  </si>
  <si>
    <t>Stokes, Lane and Smith</t>
  </si>
  <si>
    <t>6073 Harlan Street</t>
  </si>
  <si>
    <t>Mason-Collins</t>
  </si>
  <si>
    <t>Castillo-Gates</t>
  </si>
  <si>
    <t>VNDR00178</t>
  </si>
  <si>
    <t>Norman and Sons</t>
  </si>
  <si>
    <t>46 Sugarloaf Hill Road</t>
  </si>
  <si>
    <t>Warren</t>
  </si>
  <si>
    <t>Carter and Sons</t>
  </si>
  <si>
    <t>7431 Gilbert Road</t>
  </si>
  <si>
    <t>Cole Group</t>
  </si>
  <si>
    <t>12091 Mierkey Road</t>
  </si>
  <si>
    <t>VNDR00181</t>
  </si>
  <si>
    <t>Vargas, Bryant and Jackson</t>
  </si>
  <si>
    <t>VNDR00182</t>
  </si>
  <si>
    <t>5116 Feys Court</t>
  </si>
  <si>
    <t>Johnson, Espinoza and Kelley</t>
  </si>
  <si>
    <t>VNDR00184</t>
  </si>
  <si>
    <t>Singleton, Ramos and White</t>
  </si>
  <si>
    <t>Harmon, Manning and Bradley</t>
  </si>
  <si>
    <t>Smith PLC</t>
  </si>
  <si>
    <t>2314 Marian Bay Circle</t>
  </si>
  <si>
    <t>Mendoza, Moran and Parker</t>
  </si>
  <si>
    <t>6463 Vrain Street</t>
  </si>
  <si>
    <t>Miller, Miller and Davis</t>
  </si>
  <si>
    <t>3620 Colmar Drive</t>
  </si>
  <si>
    <t>Hill LLC</t>
  </si>
  <si>
    <t>Short Inc</t>
  </si>
  <si>
    <t>8447 West 51st Avenue</t>
  </si>
  <si>
    <t>Armstrong-Ramirez</t>
  </si>
  <si>
    <t>Lewis-Campbell</t>
  </si>
  <si>
    <t>819 Beazer Lane</t>
  </si>
  <si>
    <t>Hensley-Day</t>
  </si>
  <si>
    <t>4 Village Lake Drive</t>
  </si>
  <si>
    <t>VNDR00194</t>
  </si>
  <si>
    <t>Reed LLC</t>
  </si>
  <si>
    <t>VNDR00195</t>
  </si>
  <si>
    <t>Nichols Inc</t>
  </si>
  <si>
    <t>700 Revels Drive</t>
  </si>
  <si>
    <t>VNDR00196</t>
  </si>
  <si>
    <t>Kent-Barrett</t>
  </si>
  <si>
    <t>2402 Eastbridge Court</t>
  </si>
  <si>
    <t>Miller, Perez and Cannon</t>
  </si>
  <si>
    <t>30 Curtis Road</t>
  </si>
  <si>
    <t>#509</t>
  </si>
  <si>
    <t>Milton</t>
  </si>
  <si>
    <t>VNDR00198</t>
  </si>
  <si>
    <t>Phillips, Mccoy and Miles</t>
  </si>
  <si>
    <t>3483 Canyon Creek Drive</t>
  </si>
  <si>
    <t>VNDR00199</t>
  </si>
  <si>
    <t>Moody-Tate</t>
  </si>
  <si>
    <t>12800 Saunders Road</t>
  </si>
  <si>
    <t>Meyer-Stevenson</t>
  </si>
  <si>
    <t>10911 Torrington Road</t>
  </si>
  <si>
    <t>VNDR00201</t>
  </si>
  <si>
    <t>Wilkinson, Baldwin and Butler</t>
  </si>
  <si>
    <t>White, Mills and Terry</t>
  </si>
  <si>
    <t>4738 Mallard Common</t>
  </si>
  <si>
    <t>Smith Ltd</t>
  </si>
  <si>
    <t>545 East Muhammad Ali Boulevard</t>
  </si>
  <si>
    <t>Ray and Sons</t>
  </si>
  <si>
    <t>7703 Laird Street</t>
  </si>
  <si>
    <t>Parker, Hamilton and Garrett</t>
  </si>
  <si>
    <t>3652 East Blue Stone Drive</t>
  </si>
  <si>
    <t>Carr, Smith and Prince</t>
  </si>
  <si>
    <t>VNDR00207</t>
  </si>
  <si>
    <t>Allison LLC</t>
  </si>
  <si>
    <t>3104 Southwest 46th Street</t>
  </si>
  <si>
    <t>VNDR00208</t>
  </si>
  <si>
    <t>Mcmahon PLC</t>
  </si>
  <si>
    <t>7090 West 64th Avenue</t>
  </si>
  <si>
    <t>Hill, Blair and Rice</t>
  </si>
  <si>
    <t>1700 William E Summers III Avenue</t>
  </si>
  <si>
    <t>Ross-Martin</t>
  </si>
  <si>
    <t>2 Cockle Shell Road</t>
  </si>
  <si>
    <t>Keller, Fuentes and Smith</t>
  </si>
  <si>
    <t>82 Queen Court</t>
  </si>
  <si>
    <t>VNDR00212</t>
  </si>
  <si>
    <t>Bennett, Benjamin and Blankenship</t>
  </si>
  <si>
    <t>VNDR00213</t>
  </si>
  <si>
    <t>Gonzalez LLC</t>
  </si>
  <si>
    <t>6 Oak Street</t>
  </si>
  <si>
    <t>Town of Rockingham</t>
  </si>
  <si>
    <t>Mcdowell, Mcmillan and Taylor</t>
  </si>
  <si>
    <t>1226 Blossom Circle</t>
  </si>
  <si>
    <t>Mooney, Nicholson and Martinez</t>
  </si>
  <si>
    <t>Smith-Zimmerman</t>
  </si>
  <si>
    <t>5600 Carmichael Road</t>
  </si>
  <si>
    <t>VNDR00217</t>
  </si>
  <si>
    <t>Johnson LLC</t>
  </si>
  <si>
    <t>712 Wilsonwood Place</t>
  </si>
  <si>
    <t>VNDR00218</t>
  </si>
  <si>
    <t>Brewer, Hinton and Forbes</t>
  </si>
  <si>
    <t>1267 Martin Street</t>
  </si>
  <si>
    <t>VNDR00219</t>
  </si>
  <si>
    <t>Sanchez, Hammond and Ward</t>
  </si>
  <si>
    <t>218 Oleander Drive</t>
  </si>
  <si>
    <t>VNDR00220</t>
  </si>
  <si>
    <t>Gardner Group</t>
  </si>
  <si>
    <t>Moore-Bradley</t>
  </si>
  <si>
    <t>3 Kimball Street</t>
  </si>
  <si>
    <t>Webb-Henderson</t>
  </si>
  <si>
    <t>2209 East Manor Drive</t>
  </si>
  <si>
    <t>VNDR00223</t>
  </si>
  <si>
    <t>James-Davis</t>
  </si>
  <si>
    <t>Davis, Terrell and Galloway</t>
  </si>
  <si>
    <t>4503 North Council Road</t>
  </si>
  <si>
    <t>VNDR00225</t>
  </si>
  <si>
    <t>Martinez, Jones and Frederick</t>
  </si>
  <si>
    <t>Ortega-Michael</t>
  </si>
  <si>
    <t>2 Misty Marsh Drive</t>
  </si>
  <si>
    <t>VNDR00227</t>
  </si>
  <si>
    <t>Salazar PLC</t>
  </si>
  <si>
    <t>7981 Robinson Way</t>
  </si>
  <si>
    <t>Bell, Hernandez and Reynolds</t>
  </si>
  <si>
    <t>Contreras, Harris and Green</t>
  </si>
  <si>
    <t>2741 31st Place Northeast</t>
  </si>
  <si>
    <t>VNDR00230</t>
  </si>
  <si>
    <t>Diaz, George and Allen</t>
  </si>
  <si>
    <t>VNDR00231</t>
  </si>
  <si>
    <t>Kaufman LLC</t>
  </si>
  <si>
    <t>3819 Vineyard Avenue</t>
  </si>
  <si>
    <t>#59</t>
  </si>
  <si>
    <t>Myers, Hayes and Jones</t>
  </si>
  <si>
    <t>45 Heathcote Circle</t>
  </si>
  <si>
    <t>Cardenas-Mcknight</t>
  </si>
  <si>
    <t>7420 Bearfoot Circle</t>
  </si>
  <si>
    <t>Herrera LLC</t>
  </si>
  <si>
    <t>VNDR00235</t>
  </si>
  <si>
    <t>Jacobs-Howell</t>
  </si>
  <si>
    <t>131 Westerly Street</t>
  </si>
  <si>
    <t>VNDR00236</t>
  </si>
  <si>
    <t>11 Proctor Circle</t>
  </si>
  <si>
    <t>VNDR00237</t>
  </si>
  <si>
    <t>Hernandez Inc</t>
  </si>
  <si>
    <t>351 Porter Street</t>
  </si>
  <si>
    <t>Moore Inc</t>
  </si>
  <si>
    <t>2643 North Sierra Avenue</t>
  </si>
  <si>
    <t>Brooks-Bowen</t>
  </si>
  <si>
    <t>4408 Northwest 55th Street</t>
  </si>
  <si>
    <t>Mcdonald, Beasley and Knox</t>
  </si>
  <si>
    <t>132 Tensaw Road</t>
  </si>
  <si>
    <t>VNDR00241</t>
  </si>
  <si>
    <t>Fuentes-Wells</t>
  </si>
  <si>
    <t>644 Byam Road</t>
  </si>
  <si>
    <t>Hurley PLC</t>
  </si>
  <si>
    <t>2195 Cantelou Road</t>
  </si>
  <si>
    <t>Alvarado, Garcia and Thomas</t>
  </si>
  <si>
    <t>Michael LLC</t>
  </si>
  <si>
    <t>VNDR00245</t>
  </si>
  <si>
    <t>Roberts Ltd</t>
  </si>
  <si>
    <t>VNDR00246</t>
  </si>
  <si>
    <t>Fields, Bolton and Sullivan</t>
  </si>
  <si>
    <t>39 Tania Drive</t>
  </si>
  <si>
    <t>Brown Inc</t>
  </si>
  <si>
    <t>11522 Country Spring Court</t>
  </si>
  <si>
    <t>Beltran Ltd</t>
  </si>
  <si>
    <t>534 Turpin Street</t>
  </si>
  <si>
    <t>Mora, Bass and Romero</t>
  </si>
  <si>
    <t>Palmer-Mccall</t>
  </si>
  <si>
    <t>Sanchez LLC</t>
  </si>
  <si>
    <t>154 Lyness Street</t>
  </si>
  <si>
    <t>Livingston-Martin</t>
  </si>
  <si>
    <t>8277 Lamar Place</t>
  </si>
  <si>
    <t>VNDR00253</t>
  </si>
  <si>
    <t>Palmer, Whitehead and Mcdonald</t>
  </si>
  <si>
    <t>Wilson-Kelly</t>
  </si>
  <si>
    <t>Meadows, Wiggins and Lewis</t>
  </si>
  <si>
    <t>50 Winthrop Avenue</t>
  </si>
  <si>
    <t>Lawrence</t>
  </si>
  <si>
    <t>Barrett and Sons</t>
  </si>
  <si>
    <t>VNDR00257</t>
  </si>
  <si>
    <t>Park-Gallagher</t>
  </si>
  <si>
    <t>894 Windmill Park Lane</t>
  </si>
  <si>
    <t>Rodriguez-Thompson</t>
  </si>
  <si>
    <t>VNDR00259</t>
  </si>
  <si>
    <t>Jones and Sons</t>
  </si>
  <si>
    <t>Freeman, Branch and Mueller</t>
  </si>
  <si>
    <t>4812 Alton Place Northwest</t>
  </si>
  <si>
    <t>Blake, Jackson and Scott</t>
  </si>
  <si>
    <t>Lee PLC</t>
  </si>
  <si>
    <t>1650 Garland Avenue</t>
  </si>
  <si>
    <t>Jones-Banks</t>
  </si>
  <si>
    <t>VNDR00264</t>
  </si>
  <si>
    <t>Hancock LLC</t>
  </si>
  <si>
    <t>525 Middle Turnpike West</t>
  </si>
  <si>
    <t>Sawyer-Pineda</t>
  </si>
  <si>
    <t>65 Lowry Road</t>
  </si>
  <si>
    <t>Avila-Baker</t>
  </si>
  <si>
    <t>14 Huntington Street</t>
  </si>
  <si>
    <t>Mercado Inc</t>
  </si>
  <si>
    <t>Williams-Robinson</t>
  </si>
  <si>
    <t>Davies LLC</t>
  </si>
  <si>
    <t>VNDR00270</t>
  </si>
  <si>
    <t>Herrera, Williams and Fields</t>
  </si>
  <si>
    <t>13213 Spanish Moss Road</t>
  </si>
  <si>
    <t>VNDR00271</t>
  </si>
  <si>
    <t>Arnold, Harvey and Reynolds</t>
  </si>
  <si>
    <t>231 South Kimbrel Avenue</t>
  </si>
  <si>
    <t>VNDR00272</t>
  </si>
  <si>
    <t>Alvarez, Heath and Mccarthy</t>
  </si>
  <si>
    <t>8262 Elvaton Road</t>
  </si>
  <si>
    <t>Watkins Inc</t>
  </si>
  <si>
    <t>6342 West Wheeler Road</t>
  </si>
  <si>
    <t>Black-Fuentes</t>
  </si>
  <si>
    <t>12 Winter Street</t>
  </si>
  <si>
    <t>Hardin and Sons</t>
  </si>
  <si>
    <t>122 40th Avenue North</t>
  </si>
  <si>
    <t>Davis-Ferguson</t>
  </si>
  <si>
    <t>704 Crescent Road</t>
  </si>
  <si>
    <t>Baker and Sons</t>
  </si>
  <si>
    <t>606 Lincoln Street</t>
  </si>
  <si>
    <t>Garcia, Hall and Williams</t>
  </si>
  <si>
    <t>Rodriguez, Anderson and Chambers</t>
  </si>
  <si>
    <t>6022 West Alice Avenue</t>
  </si>
  <si>
    <t>James-Fowler</t>
  </si>
  <si>
    <t>73455 Twentynine Palms Highway</t>
  </si>
  <si>
    <t>VNDR00281</t>
  </si>
  <si>
    <t>Kemp, Harris and Calhoun</t>
  </si>
  <si>
    <t>Holmes, Bishop and Nunez</t>
  </si>
  <si>
    <t>349 North Sabine Pass Road</t>
  </si>
  <si>
    <t>Sosa, Pugh and Hughes</t>
  </si>
  <si>
    <t>Thornton and Sons</t>
  </si>
  <si>
    <t>2185 Howe Pond Road</t>
  </si>
  <si>
    <t>VNDR00285</t>
  </si>
  <si>
    <t>Tran-Williams</t>
  </si>
  <si>
    <t>235 Brock Bridge Road</t>
  </si>
  <si>
    <t>Smith, Clayton and Perez</t>
  </si>
  <si>
    <t>813 Holt Grove Court</t>
  </si>
  <si>
    <t>VNDR00288</t>
  </si>
  <si>
    <t>Miller-Walter</t>
  </si>
  <si>
    <t>Ochoa-Morris</t>
  </si>
  <si>
    <t>Pierce Group</t>
  </si>
  <si>
    <t>9545 West 74th Avenue</t>
  </si>
  <si>
    <t>VNDR00291</t>
  </si>
  <si>
    <t>Davis-Brown</t>
  </si>
  <si>
    <t>2703 Woolsey Street</t>
  </si>
  <si>
    <t>#R 1</t>
  </si>
  <si>
    <t>Wilson and Sons</t>
  </si>
  <si>
    <t>21 Longview Bluff Drive East</t>
  </si>
  <si>
    <t>Brown Ltd</t>
  </si>
  <si>
    <t>594 Putnam Avenue</t>
  </si>
  <si>
    <t>VNDR00294</t>
  </si>
  <si>
    <t>Richardson, Alvarado and Pruitt</t>
  </si>
  <si>
    <t>5514 West Wedington Drive</t>
  </si>
  <si>
    <t>Cox-Ward</t>
  </si>
  <si>
    <t>4112 Rockdale Street</t>
  </si>
  <si>
    <t>Robinson and Sons</t>
  </si>
  <si>
    <t>831 21st Street Northeast</t>
  </si>
  <si>
    <t>Wilkins Group</t>
  </si>
  <si>
    <t>406 Ashwood Court</t>
  </si>
  <si>
    <t>VNDR00298</t>
  </si>
  <si>
    <t>Warren-Wilson</t>
  </si>
  <si>
    <t>2035 Ninth Street</t>
  </si>
  <si>
    <t>R A</t>
  </si>
  <si>
    <t>VNDR00299</t>
  </si>
  <si>
    <t>Ware LLC</t>
  </si>
  <si>
    <t>20 Hacker Street</t>
  </si>
  <si>
    <t>VNDR00300</t>
  </si>
  <si>
    <t>Quinn Ltd</t>
  </si>
  <si>
    <t>Sanchez, Nichols and Robinson</t>
  </si>
  <si>
    <t>949 South Lawrence Street</t>
  </si>
  <si>
    <t>VNDR00302</t>
  </si>
  <si>
    <t>Simpson and Sons</t>
  </si>
  <si>
    <t>19 Euston Street</t>
  </si>
  <si>
    <t>#1F</t>
  </si>
  <si>
    <t>Dawson Inc</t>
  </si>
  <si>
    <t>2076 North Crossover Road</t>
  </si>
  <si>
    <t>VNDR00304</t>
  </si>
  <si>
    <t>Lester LLC</t>
  </si>
  <si>
    <t>1601 Algonquin Parkway</t>
  </si>
  <si>
    <t>Campbell, Maldonado and Mullins</t>
  </si>
  <si>
    <t>2426 East Onyx Trail</t>
  </si>
  <si>
    <t>Hubbard LLC</t>
  </si>
  <si>
    <t>9030 Pennington PIace</t>
  </si>
  <si>
    <t>Reeves, Brown and Burch</t>
  </si>
  <si>
    <t>467 North Mountain Ranch Road</t>
  </si>
  <si>
    <t>VNDR00308</t>
  </si>
  <si>
    <t>Bennett-Barrera</t>
  </si>
  <si>
    <t>VNDR00309</t>
  </si>
  <si>
    <t>Cortez-Mathis</t>
  </si>
  <si>
    <t>217 Northeast 1st Street</t>
  </si>
  <si>
    <t>Salinas-Ferrell</t>
  </si>
  <si>
    <t>Russell-Perkins</t>
  </si>
  <si>
    <t>126 Marjorie Lane</t>
  </si>
  <si>
    <t>Roberts Inc</t>
  </si>
  <si>
    <t>10202 North 51st Drive</t>
  </si>
  <si>
    <t>Jackson PLC</t>
  </si>
  <si>
    <t>Clarke Ltd</t>
  </si>
  <si>
    <t>1742 Allerford Drive</t>
  </si>
  <si>
    <t>Hall-Anderson</t>
  </si>
  <si>
    <t>1405 East 55th Street</t>
  </si>
  <si>
    <t>Harris-Griffin</t>
  </si>
  <si>
    <t>Gonzales, Collins and Rose</t>
  </si>
  <si>
    <t>1566 Wingate Park Court</t>
  </si>
  <si>
    <t>Martinez, Mccoy and Herring</t>
  </si>
  <si>
    <t>Jones-Hill</t>
  </si>
  <si>
    <t>5747 West Missouri Avenue</t>
  </si>
  <si>
    <t>VNDR00320</t>
  </si>
  <si>
    <t>Preston-Graham</t>
  </si>
  <si>
    <t>Pearson, Harris and Townsend</t>
  </si>
  <si>
    <t>VNDR00322</t>
  </si>
  <si>
    <t>Tanner Inc</t>
  </si>
  <si>
    <t>Lynn, Smith and Nelson</t>
  </si>
  <si>
    <t>Webb-Gomez</t>
  </si>
  <si>
    <t>5611 Kendall Court</t>
  </si>
  <si>
    <t>Sanders-Stark</t>
  </si>
  <si>
    <t>642 South 2nd Street</t>
  </si>
  <si>
    <t>#608</t>
  </si>
  <si>
    <t>Stewart Ltd</t>
  </si>
  <si>
    <t>Kelly, Jones and Barnett</t>
  </si>
  <si>
    <t>474 Merritt Avenue</t>
  </si>
  <si>
    <t>VNDR00328</t>
  </si>
  <si>
    <t>Jackson-Solomon</t>
  </si>
  <si>
    <t>718 Newhall Drive</t>
  </si>
  <si>
    <t>Smith-Price</t>
  </si>
  <si>
    <t>Baker, Tucker and Anderson</t>
  </si>
  <si>
    <t>406 East Waldburg Street</t>
  </si>
  <si>
    <t>VNDR00331</t>
  </si>
  <si>
    <t>Baker LLC</t>
  </si>
  <si>
    <t>901 North Lincoln Boulevard</t>
  </si>
  <si>
    <t>Garcia, Payne and Kelley</t>
  </si>
  <si>
    <t>VNDR00333</t>
  </si>
  <si>
    <t>Howard-Richards</t>
  </si>
  <si>
    <t>461 Alder Street</t>
  </si>
  <si>
    <t>VNDR00334</t>
  </si>
  <si>
    <t>Lee, Richards and Hicks</t>
  </si>
  <si>
    <t>Mason Ltd</t>
  </si>
  <si>
    <t>1870 A Street</t>
  </si>
  <si>
    <t>Anderson, Johnson and Kaiser</t>
  </si>
  <si>
    <t>VNDR00337</t>
  </si>
  <si>
    <t>Snyder PLC</t>
  </si>
  <si>
    <t>11300 Lillian Lane</t>
  </si>
  <si>
    <t>VNDR00338</t>
  </si>
  <si>
    <t>Peters and Sons</t>
  </si>
  <si>
    <t>Hickman-Mendoza</t>
  </si>
  <si>
    <t>7404 West Crest Lane</t>
  </si>
  <si>
    <t>VNDR00340</t>
  </si>
  <si>
    <t>Wyatt-Stone</t>
  </si>
  <si>
    <t>8 Village Circle</t>
  </si>
  <si>
    <t>VNDR00341</t>
  </si>
  <si>
    <t>Perry-Gray</t>
  </si>
  <si>
    <t>VNDR00342</t>
  </si>
  <si>
    <t>Rogers-Henry</t>
  </si>
  <si>
    <t>Gray-Murray</t>
  </si>
  <si>
    <t>Lewis Ltd</t>
  </si>
  <si>
    <t>VNDR00345</t>
  </si>
  <si>
    <t>Schroeder-Bryan</t>
  </si>
  <si>
    <t>12039 West 85th Drive</t>
  </si>
  <si>
    <t>VNDR00346</t>
  </si>
  <si>
    <t>Smith-Stewart</t>
  </si>
  <si>
    <t>VNDR00347</t>
  </si>
  <si>
    <t>Decker, Miller and Gibson</t>
  </si>
  <si>
    <t>244 La Normandy Drive</t>
  </si>
  <si>
    <t>Lee and Sons</t>
  </si>
  <si>
    <t>4726 West Palmaire Avenue</t>
  </si>
  <si>
    <t>Martinez and Sons</t>
  </si>
  <si>
    <t>341 Oakland Street</t>
  </si>
  <si>
    <t>King Inc</t>
  </si>
  <si>
    <t>Hunt-Russo</t>
  </si>
  <si>
    <t>VNDR00352</t>
  </si>
  <si>
    <t>Thompson-Williams</t>
  </si>
  <si>
    <t>88 Pine Valley Road</t>
  </si>
  <si>
    <t>Compton, Khan and Cabrera</t>
  </si>
  <si>
    <t>63 Dorchester Street</t>
  </si>
  <si>
    <t>Stevens-Mills</t>
  </si>
  <si>
    <t>802 Madison Street Northwest</t>
  </si>
  <si>
    <t>Gonzalez-Hernandez</t>
  </si>
  <si>
    <t>VNDR00356</t>
  </si>
  <si>
    <t>Clements, Leon and Wright</t>
  </si>
  <si>
    <t>Best PLC</t>
  </si>
  <si>
    <t>Hernandez PLC</t>
  </si>
  <si>
    <t>2224 East Tall Oaks Drive</t>
  </si>
  <si>
    <t>Perez PLC</t>
  </si>
  <si>
    <t>37 Rushforde Drive</t>
  </si>
  <si>
    <t>Smith-Booth</t>
  </si>
  <si>
    <t>1123 Ardee Avenue</t>
  </si>
  <si>
    <t>Boyd-Fleming</t>
  </si>
  <si>
    <t>9515 West 74th Avenue</t>
  </si>
  <si>
    <t>VNDR00362</t>
  </si>
  <si>
    <t>Andersen, Davis and Washington</t>
  </si>
  <si>
    <t>68 Route 66</t>
  </si>
  <si>
    <t>VNDR00363</t>
  </si>
  <si>
    <t>Hamilton-Todd</t>
  </si>
  <si>
    <t>64 Roseberry Circle</t>
  </si>
  <si>
    <t>Medina-Wilkinson</t>
  </si>
  <si>
    <t>4438 Maine Avenue</t>
  </si>
  <si>
    <t>Jones-Monroe</t>
  </si>
  <si>
    <t>5309 Darling Hill Road</t>
  </si>
  <si>
    <t>Barnes, Mills and Hill</t>
  </si>
  <si>
    <t>376 Whites Road</t>
  </si>
  <si>
    <t>VNDR00367</t>
  </si>
  <si>
    <t>Baker, Newman and Graham</t>
  </si>
  <si>
    <t>Walker-Hines</t>
  </si>
  <si>
    <t>Nguyen, Rogers and Diaz</t>
  </si>
  <si>
    <t>Hernandez LLC</t>
  </si>
  <si>
    <t>VNDR00371</t>
  </si>
  <si>
    <t>Monroe-Charles</t>
  </si>
  <si>
    <t>Murray, Miller and Oliver</t>
  </si>
  <si>
    <t>Martinez, Sims and Thomas</t>
  </si>
  <si>
    <t>Young-Kelley</t>
  </si>
  <si>
    <t>Ortega, Maldonado and Carson</t>
  </si>
  <si>
    <t>VNDR00376</t>
  </si>
  <si>
    <t>Wood LLC</t>
  </si>
  <si>
    <t>8404 West Myrtle Avenue</t>
  </si>
  <si>
    <t>Daniels, Waters and Norris</t>
  </si>
  <si>
    <t>3437 Sommerville Drive</t>
  </si>
  <si>
    <t>Reed, Bartlett and Miles</t>
  </si>
  <si>
    <t>37 East Broad Street</t>
  </si>
  <si>
    <t>VNDR00379</t>
  </si>
  <si>
    <t>Stone-Johnson</t>
  </si>
  <si>
    <t>VNDR00380</t>
  </si>
  <si>
    <t>Cook-Molina</t>
  </si>
  <si>
    <t>11 Eclipse Court</t>
  </si>
  <si>
    <t>Massey Ltd</t>
  </si>
  <si>
    <t>2622 Martin Luther King Junior Boulevard</t>
  </si>
  <si>
    <t>Smith Group</t>
  </si>
  <si>
    <t>4667 Benning Road Southeast</t>
  </si>
  <si>
    <t>Dawson, Taylor and Chavez</t>
  </si>
  <si>
    <t>VNDR00384</t>
  </si>
  <si>
    <t>Richards PLC</t>
  </si>
  <si>
    <t>534 Hamilton Street Northeast</t>
  </si>
  <si>
    <t>Smith, Ayala and West</t>
  </si>
  <si>
    <t>3100 Don Juan Court</t>
  </si>
  <si>
    <t>Simpson Inc</t>
  </si>
  <si>
    <t>325 Baxter Lane</t>
  </si>
  <si>
    <t>Smith-Strickland</t>
  </si>
  <si>
    <t>314 Cherrywood Drive</t>
  </si>
  <si>
    <t>VNDR00388</t>
  </si>
  <si>
    <t>Perez Ltd</t>
  </si>
  <si>
    <t>108 Chalmers Avenue</t>
  </si>
  <si>
    <t>House PLC</t>
  </si>
  <si>
    <t>8 Chandler Street</t>
  </si>
  <si>
    <t>VNDR00390</t>
  </si>
  <si>
    <t>Moore-Jensen</t>
  </si>
  <si>
    <t>33 Linscott Road</t>
  </si>
  <si>
    <t>Frazier-Butler</t>
  </si>
  <si>
    <t>7401 North 61st Drive</t>
  </si>
  <si>
    <t>Rodriguez-Carpenter</t>
  </si>
  <si>
    <t>72 Milford Road</t>
  </si>
  <si>
    <t>Williams-Obrien</t>
  </si>
  <si>
    <t>8820 Vaughn Road</t>
  </si>
  <si>
    <t>Hart PLC</t>
  </si>
  <si>
    <t>1108 Slater Street</t>
  </si>
  <si>
    <t>Mitchell-Dalton</t>
  </si>
  <si>
    <t>2732 North Ashbrook Drive</t>
  </si>
  <si>
    <t>VNDR00396</t>
  </si>
  <si>
    <t>Holmes-Herrera</t>
  </si>
  <si>
    <t>Fisher, Gonzales and Robbins</t>
  </si>
  <si>
    <t>8101 Vaughn Road</t>
  </si>
  <si>
    <t>Proctor-Schaefer</t>
  </si>
  <si>
    <t>2057 Lucas Street</t>
  </si>
  <si>
    <t>Collins-Stone</t>
  </si>
  <si>
    <t>Ross, Ruiz and Smith</t>
  </si>
  <si>
    <t>1528 Stafford Avenue</t>
  </si>
  <si>
    <t>Moore, Fisher and Cardenas</t>
  </si>
  <si>
    <t>713 Millard Fuller Drive</t>
  </si>
  <si>
    <t>Richardson-King</t>
  </si>
  <si>
    <t>3919 Landherr Drive</t>
  </si>
  <si>
    <t>Foster-Perry</t>
  </si>
  <si>
    <t>4300 Woodley Square</t>
  </si>
  <si>
    <t>Ortiz-Tucker</t>
  </si>
  <si>
    <t>7737 Wynlakes Boulevard</t>
  </si>
  <si>
    <t>VNDR00405</t>
  </si>
  <si>
    <t>Martinez, Pruitt and Murray</t>
  </si>
  <si>
    <t>1422 North Dawn Drive</t>
  </si>
  <si>
    <t>Lawson PLC</t>
  </si>
  <si>
    <t>Wilson, Acosta and Chapman</t>
  </si>
  <si>
    <t>Wright PLC</t>
  </si>
  <si>
    <t>VNDR00409</t>
  </si>
  <si>
    <t>Simmons, Hall and Johnston</t>
  </si>
  <si>
    <t>2040 Innes Circle</t>
  </si>
  <si>
    <t>Fleming Group</t>
  </si>
  <si>
    <t>VNDR00411</t>
  </si>
  <si>
    <t>Strong-Curry</t>
  </si>
  <si>
    <t>Williams Ltd</t>
  </si>
  <si>
    <t>5119 Marla Drive</t>
  </si>
  <si>
    <t>VNDR00413</t>
  </si>
  <si>
    <t>Payne PLC</t>
  </si>
  <si>
    <t>5606 Olde Wadsworth Boulevard</t>
  </si>
  <si>
    <t>#20</t>
  </si>
  <si>
    <t>Nelson and Sons</t>
  </si>
  <si>
    <t>Wells Group</t>
  </si>
  <si>
    <t>640 Hilliard Street</t>
  </si>
  <si>
    <t>#6000</t>
  </si>
  <si>
    <t>Contreras, Sanchez and Harris</t>
  </si>
  <si>
    <t>42 West Louise Street</t>
  </si>
  <si>
    <t>Wong-Meza</t>
  </si>
  <si>
    <t>133 White Cap Way</t>
  </si>
  <si>
    <t>Fernandez Inc</t>
  </si>
  <si>
    <t>3823 Shannon Run Trail</t>
  </si>
  <si>
    <t>Garcia, Robles and Meza</t>
  </si>
  <si>
    <t>882 Plantation Way</t>
  </si>
  <si>
    <t>Miller, Duncan and Reynolds</t>
  </si>
  <si>
    <t>40902 Ingersoll Terrace</t>
  </si>
  <si>
    <t>#APT 205</t>
  </si>
  <si>
    <t>VNDR00421</t>
  </si>
  <si>
    <t>Russo Inc</t>
  </si>
  <si>
    <t>Martin, Cole and Williams</t>
  </si>
  <si>
    <t>16896 West 85th Lane</t>
  </si>
  <si>
    <t>Maynard, Foster and Rangel</t>
  </si>
  <si>
    <t>VNDR00424</t>
  </si>
  <si>
    <t>Hubbard, Brown and Lopez</t>
  </si>
  <si>
    <t>Nguyen-Hess</t>
  </si>
  <si>
    <t>VNDR00426</t>
  </si>
  <si>
    <t>Hicks, Jackson and Perry</t>
  </si>
  <si>
    <t>Jackson-Williams</t>
  </si>
  <si>
    <t>1612 Beech Street</t>
  </si>
  <si>
    <t>Carroll, Wheeler and Martinez</t>
  </si>
  <si>
    <t>262 Mitchell Street</t>
  </si>
  <si>
    <t>Mora-Rivas</t>
  </si>
  <si>
    <t>3189 Main Street</t>
  </si>
  <si>
    <t>Salazar and Sons</t>
  </si>
  <si>
    <t>840 Inglewood Drive</t>
  </si>
  <si>
    <t>Campbell LLC</t>
  </si>
  <si>
    <t>720 East Muhammad Ali Boulevard</t>
  </si>
  <si>
    <t>Cohen, Johnson and Silva</t>
  </si>
  <si>
    <t>103 North East Avenue</t>
  </si>
  <si>
    <t>Sanchez PLC</t>
  </si>
  <si>
    <t>Price, Rodriguez and Brown</t>
  </si>
  <si>
    <t>VNDR00435</t>
  </si>
  <si>
    <t>Wilson-Byrd</t>
  </si>
  <si>
    <t>6851 Howard Avenue</t>
  </si>
  <si>
    <t>VNDR00436</t>
  </si>
  <si>
    <t>George-Hunt</t>
  </si>
  <si>
    <t>3770 North Front Street</t>
  </si>
  <si>
    <t>Hanson Inc</t>
  </si>
  <si>
    <t>910 Arlington Terrace</t>
  </si>
  <si>
    <t>VNDR00438</t>
  </si>
  <si>
    <t>Jordan-Gordon</t>
  </si>
  <si>
    <t>VNDR00439</t>
  </si>
  <si>
    <t>Moran-Garcia</t>
  </si>
  <si>
    <t>5430 Brookdale Avenue</t>
  </si>
  <si>
    <t>Hawkins, Hansen and Gonzalez</t>
  </si>
  <si>
    <t>VNDR00441</t>
  </si>
  <si>
    <t>Dunn LLC</t>
  </si>
  <si>
    <t>2755 Country Drive</t>
  </si>
  <si>
    <t>#244</t>
  </si>
  <si>
    <t>VNDR00442</t>
  </si>
  <si>
    <t>Johnson, Hoffman and Higgins</t>
  </si>
  <si>
    <t>798 Airport Road</t>
  </si>
  <si>
    <t>Nelson, Benson and Francis</t>
  </si>
  <si>
    <t>6241 Hudson Creek Drive</t>
  </si>
  <si>
    <t>VNDR00444</t>
  </si>
  <si>
    <t>Fox, Thomas and Huff</t>
  </si>
  <si>
    <t>Bass, Garcia and Garcia</t>
  </si>
  <si>
    <t>VNDR00446</t>
  </si>
  <si>
    <t>Boyd-George</t>
  </si>
  <si>
    <t>Johnson, Hernandez and Mcguire</t>
  </si>
  <si>
    <t>361 Parmley Lane</t>
  </si>
  <si>
    <t>Jackson and Sons</t>
  </si>
  <si>
    <t>12300 Apache Avenue</t>
  </si>
  <si>
    <t>Daugherty Ltd</t>
  </si>
  <si>
    <t>1250 Pram Place</t>
  </si>
  <si>
    <t>Green, Perry and Anderson</t>
  </si>
  <si>
    <t>Hicks, Patton and Cook</t>
  </si>
  <si>
    <t>7229 Lewis Place</t>
  </si>
  <si>
    <t>APT B</t>
  </si>
  <si>
    <t>VNDR00452</t>
  </si>
  <si>
    <t>Gutierrez Ltd</t>
  </si>
  <si>
    <t>24020 Reese Road</t>
  </si>
  <si>
    <t>Burton PLC</t>
  </si>
  <si>
    <t>1918 Spruce Street</t>
  </si>
  <si>
    <t>Irwin, Perez and Young</t>
  </si>
  <si>
    <t>10763 West 54th Place</t>
  </si>
  <si>
    <t>VNDR00455</t>
  </si>
  <si>
    <t>Miller PLC</t>
  </si>
  <si>
    <t>Reyes, Joseph and Gutierrez</t>
  </si>
  <si>
    <t>104 Bennington Street</t>
  </si>
  <si>
    <t>Kramer and Sons</t>
  </si>
  <si>
    <t>Anderson-Wilson</t>
  </si>
  <si>
    <t>22207 Quinterno Court</t>
  </si>
  <si>
    <t>VNDR00459</t>
  </si>
  <si>
    <t>Hubbard Inc</t>
  </si>
  <si>
    <t>Phillips-Vega</t>
  </si>
  <si>
    <t>171 Tolland Turnpike</t>
  </si>
  <si>
    <t>Gardner, May and Wallace</t>
  </si>
  <si>
    <t>12816 West 65th Way</t>
  </si>
  <si>
    <t>Perez-Rosario</t>
  </si>
  <si>
    <t>Spencer, Johnson and Blair</t>
  </si>
  <si>
    <t>836 Lamont Street Northwest</t>
  </si>
  <si>
    <t>Garcia PLC</t>
  </si>
  <si>
    <t>Wood Group</t>
  </si>
  <si>
    <t>1433 Bretton View Road</t>
  </si>
  <si>
    <t>VNDR00467</t>
  </si>
  <si>
    <t>Elliott and Sons</t>
  </si>
  <si>
    <t>2464 Windham Hill Road</t>
  </si>
  <si>
    <t>Adams, Mcneil and Gray</t>
  </si>
  <si>
    <t>Jackson-Nguyen</t>
  </si>
  <si>
    <t>1817 Beech Street</t>
  </si>
  <si>
    <t>VNDR00471</t>
  </si>
  <si>
    <t>Cordova, Taylor and Huber</t>
  </si>
  <si>
    <t>81 Lyness Street</t>
  </si>
  <si>
    <t>Evans-Scott</t>
  </si>
  <si>
    <t>Griffin Ltd</t>
  </si>
  <si>
    <t>2441 Chase Park Drive</t>
  </si>
  <si>
    <t>Brown, Morris and Castro</t>
  </si>
  <si>
    <t>1207 Branch Lane</t>
  </si>
  <si>
    <t>VNDR00475</t>
  </si>
  <si>
    <t>Duncan-Marshall</t>
  </si>
  <si>
    <t>VNDR00476</t>
  </si>
  <si>
    <t>Walker-Thornton</t>
  </si>
  <si>
    <t>Elliott-Brown</t>
  </si>
  <si>
    <t>1505 Rosewood Avenue</t>
  </si>
  <si>
    <t>Graham, Barrett and Cooper</t>
  </si>
  <si>
    <t>White-Mcintosh</t>
  </si>
  <si>
    <t>1205 Southwest 128th Street</t>
  </si>
  <si>
    <t>VNDR00480</t>
  </si>
  <si>
    <t>Davis Ltd</t>
  </si>
  <si>
    <t>22538 6th Street</t>
  </si>
  <si>
    <t>VNDR00481</t>
  </si>
  <si>
    <t>King and Sons</t>
  </si>
  <si>
    <t>5408 Iris Street</t>
  </si>
  <si>
    <t>Hardy Inc</t>
  </si>
  <si>
    <t>2732 Rosedale Place</t>
  </si>
  <si>
    <t>Palmer PLC</t>
  </si>
  <si>
    <t>14206 James Rees Way</t>
  </si>
  <si>
    <t>Ross, Palmer and Baker</t>
  </si>
  <si>
    <t>VNDR00485</t>
  </si>
  <si>
    <t>Sims and Sons</t>
  </si>
  <si>
    <t>Taylor-Price</t>
  </si>
  <si>
    <t>1521 159th Avenue</t>
  </si>
  <si>
    <t>VNDR00487</t>
  </si>
  <si>
    <t>Mcgee and Sons</t>
  </si>
  <si>
    <t>5688 Johnson Court</t>
  </si>
  <si>
    <t>Walker-Ingram</t>
  </si>
  <si>
    <t>4770 Balboa Way</t>
  </si>
  <si>
    <t>Young, Moore and Medina</t>
  </si>
  <si>
    <t>883 Rodney Drive</t>
  </si>
  <si>
    <t>VNDR00490</t>
  </si>
  <si>
    <t>Patton, Cole and Miller</t>
  </si>
  <si>
    <t>Powell, Chavez and Phelps</t>
  </si>
  <si>
    <t>903 East 20th Avenue</t>
  </si>
  <si>
    <t>Hunter PLC</t>
  </si>
  <si>
    <t>908 Lodge Hill Road</t>
  </si>
  <si>
    <t>Rojas, Brown and Floyd</t>
  </si>
  <si>
    <t>Riley PLC</t>
  </si>
  <si>
    <t>2715 Thornbrook Court</t>
  </si>
  <si>
    <t>Rosario-Smith</t>
  </si>
  <si>
    <t>Hunter-Estrada</t>
  </si>
  <si>
    <t>VNDR00497</t>
  </si>
  <si>
    <t>Smith-Clark</t>
  </si>
  <si>
    <t>2121 Stepping Stone Trail</t>
  </si>
  <si>
    <t>Green, Hernandez and Conley</t>
  </si>
  <si>
    <t>4 Eastview Lane</t>
  </si>
  <si>
    <t>Galloway and Sons</t>
  </si>
  <si>
    <t>VNDR00501</t>
  </si>
  <si>
    <t>Mcclain, Davenport and Williams</t>
  </si>
  <si>
    <t>4296 North Blossom Court</t>
  </si>
  <si>
    <t>VNDR00502</t>
  </si>
  <si>
    <t>Wilson-Torres</t>
  </si>
  <si>
    <t>8409 Gullane Court</t>
  </si>
  <si>
    <t>Williams Inc</t>
  </si>
  <si>
    <t>26 Wetherell Street</t>
  </si>
  <si>
    <t>Shaw-Guzman</t>
  </si>
  <si>
    <t>153 Atlantic Avenue</t>
  </si>
  <si>
    <t>Salisbury</t>
  </si>
  <si>
    <t>Brown-Morris</t>
  </si>
  <si>
    <t>39247 Sundale Drive</t>
  </si>
  <si>
    <t>VNDR00507</t>
  </si>
  <si>
    <t>Green-Anderson</t>
  </si>
  <si>
    <t>Conway, Meyer and White</t>
  </si>
  <si>
    <t>Barnes-Fox</t>
  </si>
  <si>
    <t>Morton Ltd</t>
  </si>
  <si>
    <t>Miller, Williams and Mcgee</t>
  </si>
  <si>
    <t>6160 Norm Drive</t>
  </si>
  <si>
    <t>Petersen Ltd</t>
  </si>
  <si>
    <t>96 Green Manor Road</t>
  </si>
  <si>
    <t>Cooper, Nielsen and Vasquez</t>
  </si>
  <si>
    <t>VNDR00514</t>
  </si>
  <si>
    <t>14 Short Circle</t>
  </si>
  <si>
    <t>VNDR00515</t>
  </si>
  <si>
    <t>Brown LLC</t>
  </si>
  <si>
    <t>1770 Colony Way</t>
  </si>
  <si>
    <t>VNDR00516</t>
  </si>
  <si>
    <t>Brown-Blake</t>
  </si>
  <si>
    <t>8 Watkins Road</t>
  </si>
  <si>
    <t>Zimmerman-Ortega</t>
  </si>
  <si>
    <t>159 Downey Drive</t>
  </si>
  <si>
    <t>Gomez, Griffin and Davis</t>
  </si>
  <si>
    <t>2928 Avon Road</t>
  </si>
  <si>
    <t>Luna, Meyer and Lopez</t>
  </si>
  <si>
    <t>22572 Toreador Drive</t>
  </si>
  <si>
    <t>Kane, Beard and Cox</t>
  </si>
  <si>
    <t>6754 Field Street</t>
  </si>
  <si>
    <t>Gordon, Young and Webster</t>
  </si>
  <si>
    <t>Moore-Elliott</t>
  </si>
  <si>
    <t>6444 North 67th Avenue</t>
  </si>
  <si>
    <t>#1081</t>
  </si>
  <si>
    <t>Baker Ltd</t>
  </si>
  <si>
    <t>Ayala PLC</t>
  </si>
  <si>
    <t>52 Linnmore Drive</t>
  </si>
  <si>
    <t>VNDR00525</t>
  </si>
  <si>
    <t>Irwin-Frank</t>
  </si>
  <si>
    <t>5936 North 80th Drive</t>
  </si>
  <si>
    <t>VNDR00526</t>
  </si>
  <si>
    <t>Weber, Wilson and Nelson</t>
  </si>
  <si>
    <t>307 Joel Street</t>
  </si>
  <si>
    <t>Gardner, Hendricks and Peterson</t>
  </si>
  <si>
    <t>VNDR00528</t>
  </si>
  <si>
    <t>Walsh PLC</t>
  </si>
  <si>
    <t>12403 Deerfield Road</t>
  </si>
  <si>
    <t>Brooks-Henry</t>
  </si>
  <si>
    <t>Wilson-Rowland</t>
  </si>
  <si>
    <t>17361 Baronoff Avenue</t>
  </si>
  <si>
    <t>VNDR00531</t>
  </si>
  <si>
    <t>Cole, Kim and Silva</t>
  </si>
  <si>
    <t>Duffy, Martinez and Jones</t>
  </si>
  <si>
    <t>Harris Ltd</t>
  </si>
  <si>
    <t>195 Nursery Street</t>
  </si>
  <si>
    <t>#D10</t>
  </si>
  <si>
    <t>VNDR00534</t>
  </si>
  <si>
    <t>Barnett LLC</t>
  </si>
  <si>
    <t>1718 Underwood Road</t>
  </si>
  <si>
    <t>French and Sons</t>
  </si>
  <si>
    <t>2399 East 14th Street</t>
  </si>
  <si>
    <t>#29</t>
  </si>
  <si>
    <t>VNDR00536</t>
  </si>
  <si>
    <t>Hicks-Moore</t>
  </si>
  <si>
    <t>Johnson, Hurst and Mendoza</t>
  </si>
  <si>
    <t>5708 West Union Hills Drive</t>
  </si>
  <si>
    <t>35 Pilot Knob Lane</t>
  </si>
  <si>
    <t>Fuller, Smith and Black</t>
  </si>
  <si>
    <t>Robinson-Hernandez</t>
  </si>
  <si>
    <t>VNDR00542</t>
  </si>
  <si>
    <t>Boyd, Dickerson and White</t>
  </si>
  <si>
    <t>Adams-Johnson</t>
  </si>
  <si>
    <t>Miller, Jensen and Bridges</t>
  </si>
  <si>
    <t>Myers-Brown</t>
  </si>
  <si>
    <t>7703 Aragorn Court</t>
  </si>
  <si>
    <t>Peterson-Mayo</t>
  </si>
  <si>
    <t>3604 Ridgehaven Drive</t>
  </si>
  <si>
    <t>VNDR00547</t>
  </si>
  <si>
    <t>Potter Inc</t>
  </si>
  <si>
    <t>Ellis-Weiss</t>
  </si>
  <si>
    <t>108 Croft Drive</t>
  </si>
  <si>
    <t>Richardson, Bates and Olson</t>
  </si>
  <si>
    <t>Thompson, Robertson and Berry</t>
  </si>
  <si>
    <t>7 Vantine Avenue</t>
  </si>
  <si>
    <t>VNDR00551</t>
  </si>
  <si>
    <t>Jones, Roberts and Mullen</t>
  </si>
  <si>
    <t>6620 North 61st Drive</t>
  </si>
  <si>
    <t>Young-Marshall</t>
  </si>
  <si>
    <t>152 Teddy Drive</t>
  </si>
  <si>
    <t>Cooper, Lopez and Jones</t>
  </si>
  <si>
    <t>16020 North 69th Avenue</t>
  </si>
  <si>
    <t>VNDR00554</t>
  </si>
  <si>
    <t>Downs-Kramer</t>
  </si>
  <si>
    <t>10819 Bluegrass Parkway</t>
  </si>
  <si>
    <t>Ramsey Inc</t>
  </si>
  <si>
    <t>3114 West 20th Court</t>
  </si>
  <si>
    <t>Bridges and Sons</t>
  </si>
  <si>
    <t>VNDR00558</t>
  </si>
  <si>
    <t>Armstrong, Hancock and Miller</t>
  </si>
  <si>
    <t>VNDR00559</t>
  </si>
  <si>
    <t>Singleton, Jones and Long</t>
  </si>
  <si>
    <t>Brown Group</t>
  </si>
  <si>
    <t>6950 Reno Drive</t>
  </si>
  <si>
    <t>VNDR00561</t>
  </si>
  <si>
    <t>Romero-Williams</t>
  </si>
  <si>
    <t>Stephens Group</t>
  </si>
  <si>
    <t>8716 Astrid Avenue</t>
  </si>
  <si>
    <t>VNDR00563</t>
  </si>
  <si>
    <t>Ewing, Hudson and Davis</t>
  </si>
  <si>
    <t>Trujillo, Jones and Sloan</t>
  </si>
  <si>
    <t>1508 Massachusetts Avenue Southeast</t>
  </si>
  <si>
    <t>Ochoa and Sons</t>
  </si>
  <si>
    <t>Benson-Hayes</t>
  </si>
  <si>
    <t>33655 5th Street</t>
  </si>
  <si>
    <t>VNDR00567</t>
  </si>
  <si>
    <t>Herrera, Wade and Vega</t>
  </si>
  <si>
    <t>429 Patterson Street</t>
  </si>
  <si>
    <t>Green, Allen and Collins</t>
  </si>
  <si>
    <t>VNDR00569</t>
  </si>
  <si>
    <t>Miller-Allen</t>
  </si>
  <si>
    <t>Norman, Gardner and Noble</t>
  </si>
  <si>
    <t>James PLC</t>
  </si>
  <si>
    <t>7905 Old Heady Road</t>
  </si>
  <si>
    <t>VNDR00572</t>
  </si>
  <si>
    <t>Russell, Kelley and Soto</t>
  </si>
  <si>
    <t>435 Porter Lake Drive</t>
  </si>
  <si>
    <t>#187</t>
  </si>
  <si>
    <t>VNDR00573</t>
  </si>
  <si>
    <t>Simpson Group</t>
  </si>
  <si>
    <t>2307 East 72nd Avenue</t>
  </si>
  <si>
    <t>Warren Inc</t>
  </si>
  <si>
    <t>396 Hartford Road</t>
  </si>
  <si>
    <t>Buck-Tran</t>
  </si>
  <si>
    <t>56 Channing Drive</t>
  </si>
  <si>
    <t>VNDR00576</t>
  </si>
  <si>
    <t>Barnes, Moore and Morris</t>
  </si>
  <si>
    <t>2375 South School Avenue</t>
  </si>
  <si>
    <t>VNDR00577</t>
  </si>
  <si>
    <t>Smith, Simmons and Perez</t>
  </si>
  <si>
    <t>314 South 17th Street</t>
  </si>
  <si>
    <t>Hoover-Murray</t>
  </si>
  <si>
    <t>10927 West 59th Avenue</t>
  </si>
  <si>
    <t>Bullock-Flores</t>
  </si>
  <si>
    <t>Dennis LLC</t>
  </si>
  <si>
    <t>511 Norton Avenue</t>
  </si>
  <si>
    <t>VNDR00581</t>
  </si>
  <si>
    <t>Cooper, Jones and Maldonado</t>
  </si>
  <si>
    <t>Richards and Sons</t>
  </si>
  <si>
    <t>416 Ridge Street Northwest</t>
  </si>
  <si>
    <t>Powers-Burgess</t>
  </si>
  <si>
    <t>Garrett, Wagner and Edwards</t>
  </si>
  <si>
    <t>Solomon Ltd</t>
  </si>
  <si>
    <t>1835 Pointer Lane</t>
  </si>
  <si>
    <t>Stewart-Pierce</t>
  </si>
  <si>
    <t>95 Central Street</t>
  </si>
  <si>
    <t>Brown-Cook</t>
  </si>
  <si>
    <t>5102 Ander Drive</t>
  </si>
  <si>
    <t>Jenkins Group</t>
  </si>
  <si>
    <t>1217 Bay Street</t>
  </si>
  <si>
    <t>#318-A</t>
  </si>
  <si>
    <t>Mercer-Stuart</t>
  </si>
  <si>
    <t>Riley-Kelly</t>
  </si>
  <si>
    <t>Hoffman-Roberts</t>
  </si>
  <si>
    <t>3228 Chettenham Drive</t>
  </si>
  <si>
    <t>Morales, Campbell and Washington</t>
  </si>
  <si>
    <t>Walter Group</t>
  </si>
  <si>
    <t>7911 Deronia Avenue</t>
  </si>
  <si>
    <t>Stewart-Bennett</t>
  </si>
  <si>
    <t>VNDR00595</t>
  </si>
  <si>
    <t>Hutchinson, Matthews and Wilcox</t>
  </si>
  <si>
    <t>VNDR00596</t>
  </si>
  <si>
    <t>Rhodes-Mendez</t>
  </si>
  <si>
    <t>1689 Fisher Pond Road</t>
  </si>
  <si>
    <t>Ortiz-Donovan</t>
  </si>
  <si>
    <t>140 South Hill Avenue</t>
  </si>
  <si>
    <t>Newton, Hodges and Henry</t>
  </si>
  <si>
    <t>Reeves-Leonard</t>
  </si>
  <si>
    <t>12420 West Montebello Avenue</t>
  </si>
  <si>
    <t>Jacobs, Fox and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</si>
</sst>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\$#,##0"/>
  </numFmts>
  <fonts count="8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i/>
      <sz val="9"/>
      <color rgb="FF808080"/>
      <name val="Arial"/>
      <family val="2"/>
    </font>
    <font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4"/>
      <color rgb="FF1F4E78"/>
      <name val="Arial"/>
      <family val="2"/>
    </font>
    <font>
      <i/>
      <sz val="9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7" fillId="0" borderId="0" xfId="0" applyFont="1" applyBorder="1"/>
    <xf numFmtId="0" fontId="6" fillId="0" borderId="0" xfId="0" applyFont="1" applyBorder="1"/>
    <xf numFmtId="165" fontId="1" fillId="0" borderId="1" xfId="0" applyNumberFormat="1" applyFont="1" applyBorder="1"/>
    <xf numFmtId="164" fontId="1" fillId="0" borderId="1" xfId="0" applyNumberFormat="1" applyFont="1" applyBorder="1"/>
    <xf numFmtId="3" fontId="1" fillId="0" borderId="1" xfId="0" applyNumberFormat="1" applyFont="1" applyBorder="1"/>
    <xf numFmtId="0" fontId="3" fillId="0" borderId="1" xfId="0" applyFont="1" applyBorder="1"/>
    <xf numFmtId="0" fontId="2" fillId="0" borderId="0" xfId="0" applyFont="1" applyBorder="1"/>
    <xf numFmtId="0" fontId="1" fillId="0" borderId="0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Rate % by Insurance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Summary_Dashboard!$B$11</c:f>
              <c:strCache>
                <c:ptCount val="1"/>
                <c:pt idx="0">
                  <c:v>Fraud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Summary_Dashboard!$A$12:$A$17</c:f>
              <c:strCache>
                <c:ptCount val="6"/>
                <c:pt idx="0">
                  <c:v>Health</c:v>
                </c:pt>
                <c:pt idx="1">
                  <c:v>Life</c:v>
                </c:pt>
                <c:pt idx="2">
                  <c:v>Mobile</c:v>
                </c:pt>
                <c:pt idx="3">
                  <c:v>Motor</c:v>
                </c:pt>
                <c:pt idx="4">
                  <c:v>Property</c:v>
                </c:pt>
                <c:pt idx="5">
                  <c:v>Travel</c:v>
                </c:pt>
              </c:strCache>
            </c:strRef>
          </c:cat>
          <c:val>
            <c:numRef>
              <c:f>Summary_Dashboard!$B$12:$B$17</c:f>
              <c:numCache>
                <c:formatCode>0.0%</c:formatCode>
                <c:ptCount val="6"/>
                <c:pt idx="0">
                  <c:v>6.6132264529058113E-2</c:v>
                </c:pt>
                <c:pt idx="1">
                  <c:v>4.4176706827309238E-2</c:v>
                </c:pt>
                <c:pt idx="2">
                  <c:v>5.4924242424242424E-2</c:v>
                </c:pt>
                <c:pt idx="3">
                  <c:v>6.3559322033898302E-2</c:v>
                </c:pt>
                <c:pt idx="4">
                  <c:v>5.128205128205128E-2</c:v>
                </c:pt>
                <c:pt idx="5">
                  <c:v>5.4435483870967742E-2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173464"/>
        <c:axId val="370173072"/>
      </c:barChart>
      <c:catAx>
        <c:axId val="37017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173072"/>
        <c:crosses val="autoZero"/>
        <c:auto val="1"/>
        <c:lblAlgn val="ctr"/>
        <c:lblOffset val="100"/>
        <c:noMultiLvlLbl val="0"/>
      </c:catAx>
      <c:valAx>
        <c:axId val="370173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173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Rate % by Insurance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Pivot_Analysis!$D$5</c:f>
              <c:strCache>
                <c:ptCount val="1"/>
                <c:pt idx="0">
                  <c:v>Fraud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Pivot_Analysis!$A$6:$A$11</c:f>
              <c:strCache>
                <c:ptCount val="6"/>
                <c:pt idx="0">
                  <c:v>Health</c:v>
                </c:pt>
                <c:pt idx="1">
                  <c:v>Life</c:v>
                </c:pt>
                <c:pt idx="2">
                  <c:v>Mobile</c:v>
                </c:pt>
                <c:pt idx="3">
                  <c:v>Motor</c:v>
                </c:pt>
                <c:pt idx="4">
                  <c:v>Property</c:v>
                </c:pt>
                <c:pt idx="5">
                  <c:v>Travel</c:v>
                </c:pt>
              </c:strCache>
            </c:strRef>
          </c:cat>
          <c:val>
            <c:numRef>
              <c:f>Pivot_Analysis!$D$6:$D$11</c:f>
              <c:numCache>
                <c:formatCode>0.0%</c:formatCode>
                <c:ptCount val="6"/>
                <c:pt idx="0">
                  <c:v>6.6132264529058113E-2</c:v>
                </c:pt>
                <c:pt idx="1">
                  <c:v>4.4176706827309238E-2</c:v>
                </c:pt>
                <c:pt idx="2">
                  <c:v>5.4924242424242424E-2</c:v>
                </c:pt>
                <c:pt idx="3">
                  <c:v>6.3559322033898302E-2</c:v>
                </c:pt>
                <c:pt idx="4">
                  <c:v>5.128205128205128E-2</c:v>
                </c:pt>
                <c:pt idx="5">
                  <c:v>5.4435483870967742E-2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173856"/>
        <c:axId val="370567752"/>
      </c:barChart>
      <c:catAx>
        <c:axId val="370173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Insurance Type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567752"/>
        <c:crosses val="autoZero"/>
        <c:auto val="1"/>
        <c:lblAlgn val="ctr"/>
        <c:lblOffset val="100"/>
        <c:noMultiLvlLbl val="0"/>
      </c:catAx>
      <c:valAx>
        <c:axId val="370567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173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1016000</xdr:colOff>
      <xdr:row>9</xdr:row>
      <xdr:rowOff>24160</xdr:rowOff>
    </xdr:from>
    <xdr:to>
      <xdr:col>8</xdr:col>
      <xdr:colOff>19360</xdr:colOff>
      <xdr:row>24</xdr:row>
      <xdr:rowOff>64790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16</xdr:col>
      <xdr:colOff>256320</xdr:colOff>
      <xdr:row>17</xdr:row>
      <xdr:rowOff>182880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zoomScaleNormal="100" workbookViewId="0">
      <selection activeCell="K9" sqref="K9"/>
    </sheetView>
  </sheetViews>
  <sheetFormatPr defaultColWidth="8.6328125" defaultRowHeight="14.5" x14ac:dyDescent="0.35"/>
  <cols>
    <col min="1" max="8" width="16" customWidth="1"/>
  </cols>
  <sheetData>
    <row r="1" spans="1:8" ht="23" x14ac:dyDescent="0.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35">
      <c r="A2" s="7" t="s">
        <v>1</v>
      </c>
      <c r="B2" s="7"/>
      <c r="C2" s="7"/>
      <c r="D2" s="7"/>
      <c r="E2" s="7"/>
      <c r="F2" s="7"/>
      <c r="G2" s="7"/>
      <c r="H2" s="7"/>
    </row>
    <row r="4" spans="1:8" x14ac:dyDescent="0.35">
      <c r="A4" s="6" t="s">
        <v>2</v>
      </c>
      <c r="B4" s="6"/>
      <c r="C4" s="6" t="s">
        <v>3</v>
      </c>
      <c r="D4" s="6"/>
      <c r="E4" s="6" t="s">
        <v>4</v>
      </c>
      <c r="F4" s="6"/>
      <c r="G4" s="6" t="s">
        <v>5</v>
      </c>
      <c r="H4" s="6"/>
    </row>
    <row r="5" spans="1:8" ht="23" x14ac:dyDescent="0.5">
      <c r="A5" s="5">
        <f>COUNTA(Cleaned_Data!$A$5:$A$3004)</f>
        <v>3000</v>
      </c>
      <c r="B5" s="5"/>
      <c r="C5" s="5">
        <f>COUNTIFS(Cleaned_Data!$O$5:$O$3004,1)</f>
        <v>167</v>
      </c>
      <c r="D5" s="5"/>
      <c r="E5" s="4">
        <f>COUNTIFS(Cleaned_Data!$O$5:$O$3004,1)/COUNTA(Cleaned_Data!$A$5:$A$3004)</f>
        <v>5.566666666666667E-2</v>
      </c>
      <c r="F5" s="4"/>
      <c r="G5" s="3">
        <f>SUM(Cleaned_Data!$E$5:$E$3004)</f>
        <v>49461800</v>
      </c>
      <c r="H5" s="3"/>
    </row>
    <row r="7" spans="1:8" x14ac:dyDescent="0.35">
      <c r="A7" s="6" t="s">
        <v>6</v>
      </c>
      <c r="B7" s="6"/>
      <c r="C7" s="6" t="s">
        <v>7</v>
      </c>
      <c r="D7" s="6"/>
      <c r="E7" s="6" t="s">
        <v>8</v>
      </c>
      <c r="F7" s="6"/>
      <c r="G7" s="6" t="s">
        <v>9</v>
      </c>
      <c r="H7" s="6"/>
    </row>
    <row r="8" spans="1:8" ht="23" x14ac:dyDescent="0.5">
      <c r="A8" s="3">
        <f>AVERAGE(Cleaned_Data!$E$5:$E$3004)</f>
        <v>16487.266666666666</v>
      </c>
      <c r="B8" s="3"/>
      <c r="C8" s="4">
        <f>COUNTIFS(Cleaned_Data!$C$5:$C$3004,"Motor",Cleaned_Data!$O$5:$O$3004,1)/COUNTIFS(Cleaned_Data!$C$5:$C$3004,"Motor")</f>
        <v>6.3559322033898302E-2</v>
      </c>
      <c r="D8" s="4"/>
      <c r="E8" s="5">
        <f>COUNTIFS(Cleaned_Data!$E$5:$E$3004,"&gt;20000",Cleaned_Data!$O$5:$O$3004,1)</f>
        <v>37</v>
      </c>
      <c r="F8" s="5"/>
      <c r="G8" s="5">
        <f>SUMPRODUCT((Cleaned_Data!$F$5:$F$3004&lt;&gt;"")/COUNTIF(Cleaned_Data!$F$5:$F$3004,Cleaned_Data!$F$5:$F$3004&amp;""))</f>
        <v>15.99999999999994</v>
      </c>
      <c r="H8" s="5"/>
    </row>
    <row r="10" spans="1:8" x14ac:dyDescent="0.35">
      <c r="A10" s="9" t="s">
        <v>10</v>
      </c>
    </row>
    <row r="11" spans="1:8" x14ac:dyDescent="0.35">
      <c r="A11" s="10" t="s">
        <v>11</v>
      </c>
      <c r="B11" s="10" t="s">
        <v>12</v>
      </c>
    </row>
    <row r="12" spans="1:8" x14ac:dyDescent="0.35">
      <c r="A12" t="str">
        <f>Pivot_Analysis!A6</f>
        <v>Health</v>
      </c>
      <c r="B12" s="11">
        <f>Pivot_Analysis!D6</f>
        <v>6.6132264529058113E-2</v>
      </c>
    </row>
    <row r="13" spans="1:8" x14ac:dyDescent="0.35">
      <c r="A13" t="str">
        <f>Pivot_Analysis!A7</f>
        <v>Life</v>
      </c>
      <c r="B13" s="11">
        <f>Pivot_Analysis!D7</f>
        <v>4.4176706827309238E-2</v>
      </c>
    </row>
    <row r="14" spans="1:8" x14ac:dyDescent="0.35">
      <c r="A14" t="str">
        <f>Pivot_Analysis!A8</f>
        <v>Mobile</v>
      </c>
      <c r="B14" s="11">
        <f>Pivot_Analysis!D8</f>
        <v>5.4924242424242424E-2</v>
      </c>
    </row>
    <row r="15" spans="1:8" x14ac:dyDescent="0.35">
      <c r="A15" t="str">
        <f>Pivot_Analysis!A9</f>
        <v>Motor</v>
      </c>
      <c r="B15" s="11">
        <f>Pivot_Analysis!D9</f>
        <v>6.3559322033898302E-2</v>
      </c>
    </row>
    <row r="16" spans="1:8" x14ac:dyDescent="0.35">
      <c r="A16" t="str">
        <f>Pivot_Analysis!A10</f>
        <v>Property</v>
      </c>
      <c r="B16" s="11">
        <f>Pivot_Analysis!D10</f>
        <v>5.128205128205128E-2</v>
      </c>
    </row>
    <row r="17" spans="1:2" x14ac:dyDescent="0.35">
      <c r="A17" t="str">
        <f>Pivot_Analysis!A11</f>
        <v>Travel</v>
      </c>
      <c r="B17" s="11">
        <f>Pivot_Analysis!D11</f>
        <v>5.4435483870967742E-2</v>
      </c>
    </row>
  </sheetData>
  <mergeCells count="18">
    <mergeCell ref="A8:B8"/>
    <mergeCell ref="C8:D8"/>
    <mergeCell ref="E8:F8"/>
    <mergeCell ref="G8:H8"/>
    <mergeCell ref="A5:B5"/>
    <mergeCell ref="C5:D5"/>
    <mergeCell ref="E5:F5"/>
    <mergeCell ref="G5:H5"/>
    <mergeCell ref="A7:B7"/>
    <mergeCell ref="C7:D7"/>
    <mergeCell ref="E7:F7"/>
    <mergeCell ref="G7:H7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3"/>
  <sheetViews>
    <sheetView zoomScaleNormal="100" workbookViewId="0">
      <pane ySplit="3" topLeftCell="A4" activePane="bottomLeft" state="frozen"/>
      <selection pane="bottomLeft" sqref="A1:N1"/>
    </sheetView>
  </sheetViews>
  <sheetFormatPr defaultColWidth="8.6328125" defaultRowHeight="14.5" x14ac:dyDescent="0.35"/>
  <cols>
    <col min="1" max="1" width="16.54296875" bestFit="1" customWidth="1"/>
    <col min="2" max="2" width="20.81640625" bestFit="1" customWidth="1"/>
    <col min="3" max="3" width="17.08984375" bestFit="1" customWidth="1"/>
    <col min="4" max="4" width="18.36328125" bestFit="1" customWidth="1"/>
    <col min="5" max="5" width="15.36328125" bestFit="1" customWidth="1"/>
    <col min="6" max="6" width="10" customWidth="1"/>
    <col min="7" max="7" width="14.6328125" bestFit="1" customWidth="1"/>
    <col min="8" max="8" width="19" customWidth="1"/>
    <col min="9" max="9" width="23.81640625" bestFit="1" customWidth="1"/>
    <col min="10" max="10" width="24" customWidth="1"/>
    <col min="11" max="11" width="16.1796875" bestFit="1" customWidth="1"/>
    <col min="12" max="12" width="28.6328125" bestFit="1" customWidth="1"/>
    <col min="13" max="13" width="11.1796875" bestFit="1" customWidth="1"/>
    <col min="14" max="14" width="12" customWidth="1"/>
  </cols>
  <sheetData>
    <row r="1" spans="1:14" ht="18" x14ac:dyDescent="0.4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35">
      <c r="A3" s="10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spans="1:14" x14ac:dyDescent="0.35">
      <c r="A4" t="s">
        <v>28</v>
      </c>
      <c r="B4" t="s">
        <v>29</v>
      </c>
      <c r="C4" t="s">
        <v>30</v>
      </c>
      <c r="D4">
        <v>157.13</v>
      </c>
      <c r="E4">
        <v>9000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>
        <v>4</v>
      </c>
      <c r="M4" t="s">
        <v>37</v>
      </c>
      <c r="N4" t="s">
        <v>38</v>
      </c>
    </row>
    <row r="5" spans="1:14" x14ac:dyDescent="0.35">
      <c r="A5" t="s">
        <v>39</v>
      </c>
      <c r="B5" t="s">
        <v>40</v>
      </c>
      <c r="C5" t="s">
        <v>41</v>
      </c>
      <c r="D5">
        <v>141.71</v>
      </c>
      <c r="E5">
        <v>26000</v>
      </c>
      <c r="F5" t="s">
        <v>42</v>
      </c>
      <c r="G5" t="s">
        <v>32</v>
      </c>
      <c r="H5" t="s">
        <v>43</v>
      </c>
      <c r="I5" t="s">
        <v>44</v>
      </c>
      <c r="J5" t="s">
        <v>45</v>
      </c>
      <c r="K5" t="s">
        <v>46</v>
      </c>
      <c r="L5">
        <v>0</v>
      </c>
      <c r="M5" t="s">
        <v>47</v>
      </c>
      <c r="N5" t="s">
        <v>48</v>
      </c>
    </row>
    <row r="6" spans="1:14" x14ac:dyDescent="0.35">
      <c r="A6" t="s">
        <v>49</v>
      </c>
      <c r="B6" t="s">
        <v>50</v>
      </c>
      <c r="C6" t="s">
        <v>41</v>
      </c>
      <c r="D6">
        <v>157.24</v>
      </c>
      <c r="E6">
        <v>13000</v>
      </c>
      <c r="F6" t="s">
        <v>51</v>
      </c>
      <c r="G6" t="s">
        <v>32</v>
      </c>
      <c r="H6" t="s">
        <v>43</v>
      </c>
      <c r="I6" t="s">
        <v>34</v>
      </c>
      <c r="J6" t="s">
        <v>52</v>
      </c>
      <c r="K6" t="s">
        <v>42</v>
      </c>
      <c r="L6">
        <v>19</v>
      </c>
      <c r="M6" t="s">
        <v>53</v>
      </c>
      <c r="N6" t="s">
        <v>54</v>
      </c>
    </row>
    <row r="7" spans="1:14" x14ac:dyDescent="0.35">
      <c r="A7" t="s">
        <v>55</v>
      </c>
      <c r="B7" t="s">
        <v>56</v>
      </c>
      <c r="C7" t="s">
        <v>30</v>
      </c>
      <c r="D7">
        <v>172.87</v>
      </c>
      <c r="E7">
        <v>16000</v>
      </c>
      <c r="F7" t="s">
        <v>36</v>
      </c>
      <c r="G7" t="s">
        <v>32</v>
      </c>
      <c r="H7" t="s">
        <v>57</v>
      </c>
      <c r="I7" t="s">
        <v>44</v>
      </c>
      <c r="J7" t="s">
        <v>35</v>
      </c>
      <c r="K7" t="s">
        <v>36</v>
      </c>
      <c r="L7">
        <v>12</v>
      </c>
      <c r="M7" t="s">
        <v>58</v>
      </c>
      <c r="N7" t="s">
        <v>59</v>
      </c>
    </row>
    <row r="8" spans="1:14" x14ac:dyDescent="0.35">
      <c r="A8" t="s">
        <v>60</v>
      </c>
      <c r="B8" t="s">
        <v>61</v>
      </c>
      <c r="C8" t="s">
        <v>62</v>
      </c>
      <c r="D8">
        <v>88.53</v>
      </c>
      <c r="E8">
        <v>3000</v>
      </c>
      <c r="F8" t="s">
        <v>51</v>
      </c>
      <c r="G8" t="s">
        <v>32</v>
      </c>
      <c r="H8" t="s">
        <v>33</v>
      </c>
      <c r="I8" t="s">
        <v>34</v>
      </c>
      <c r="J8" t="s">
        <v>63</v>
      </c>
      <c r="K8" t="s">
        <v>64</v>
      </c>
      <c r="L8">
        <v>18</v>
      </c>
      <c r="M8" t="s">
        <v>65</v>
      </c>
      <c r="N8" t="s">
        <v>66</v>
      </c>
    </row>
    <row r="9" spans="1:14" x14ac:dyDescent="0.35">
      <c r="A9" t="s">
        <v>67</v>
      </c>
      <c r="B9" t="s">
        <v>68</v>
      </c>
      <c r="C9" t="s">
        <v>69</v>
      </c>
      <c r="D9">
        <v>87.02</v>
      </c>
      <c r="E9">
        <v>63000</v>
      </c>
      <c r="F9" t="s">
        <v>31</v>
      </c>
      <c r="G9" t="s">
        <v>32</v>
      </c>
      <c r="H9" t="s">
        <v>33</v>
      </c>
      <c r="I9" t="s">
        <v>44</v>
      </c>
      <c r="J9" t="s">
        <v>70</v>
      </c>
      <c r="K9" t="s">
        <v>31</v>
      </c>
      <c r="L9">
        <v>0</v>
      </c>
      <c r="N9" t="s">
        <v>71</v>
      </c>
    </row>
    <row r="10" spans="1:14" x14ac:dyDescent="0.35">
      <c r="A10" t="s">
        <v>72</v>
      </c>
      <c r="B10" t="s">
        <v>73</v>
      </c>
      <c r="C10" t="s">
        <v>30</v>
      </c>
      <c r="D10">
        <v>197.23</v>
      </c>
      <c r="E10">
        <v>3000</v>
      </c>
      <c r="F10" t="s">
        <v>74</v>
      </c>
      <c r="G10" t="s">
        <v>32</v>
      </c>
      <c r="H10" t="s">
        <v>33</v>
      </c>
      <c r="I10" t="s">
        <v>34</v>
      </c>
      <c r="J10" t="s">
        <v>75</v>
      </c>
      <c r="K10" t="s">
        <v>76</v>
      </c>
      <c r="L10">
        <v>10</v>
      </c>
      <c r="M10" t="s">
        <v>77</v>
      </c>
      <c r="N10" t="s">
        <v>78</v>
      </c>
    </row>
    <row r="11" spans="1:14" x14ac:dyDescent="0.35">
      <c r="A11" t="s">
        <v>79</v>
      </c>
      <c r="B11" t="s">
        <v>80</v>
      </c>
      <c r="C11" t="s">
        <v>81</v>
      </c>
      <c r="D11">
        <v>83.77</v>
      </c>
      <c r="E11">
        <v>8000</v>
      </c>
      <c r="F11" t="s">
        <v>36</v>
      </c>
      <c r="G11" t="s">
        <v>32</v>
      </c>
      <c r="H11" t="s">
        <v>43</v>
      </c>
      <c r="I11" t="s">
        <v>34</v>
      </c>
      <c r="J11" t="s">
        <v>82</v>
      </c>
      <c r="K11" t="s">
        <v>74</v>
      </c>
      <c r="L11">
        <v>10</v>
      </c>
      <c r="M11" t="s">
        <v>83</v>
      </c>
      <c r="N11" t="s">
        <v>84</v>
      </c>
    </row>
    <row r="12" spans="1:14" x14ac:dyDescent="0.35">
      <c r="A12" t="s">
        <v>85</v>
      </c>
      <c r="B12" t="s">
        <v>86</v>
      </c>
      <c r="C12" t="s">
        <v>81</v>
      </c>
      <c r="D12">
        <v>82.14</v>
      </c>
      <c r="E12">
        <v>5000</v>
      </c>
      <c r="F12" t="s">
        <v>87</v>
      </c>
      <c r="G12" t="s">
        <v>32</v>
      </c>
      <c r="H12" t="s">
        <v>33</v>
      </c>
      <c r="I12" t="s">
        <v>34</v>
      </c>
      <c r="J12" t="s">
        <v>70</v>
      </c>
      <c r="K12" t="s">
        <v>31</v>
      </c>
      <c r="L12">
        <v>22</v>
      </c>
      <c r="M12" t="s">
        <v>88</v>
      </c>
      <c r="N12" t="s">
        <v>89</v>
      </c>
    </row>
    <row r="13" spans="1:14" x14ac:dyDescent="0.35">
      <c r="A13" t="s">
        <v>90</v>
      </c>
      <c r="B13" t="s">
        <v>91</v>
      </c>
      <c r="C13" t="s">
        <v>62</v>
      </c>
      <c r="D13">
        <v>71.290000000000006</v>
      </c>
      <c r="E13">
        <v>4000</v>
      </c>
      <c r="F13" t="s">
        <v>46</v>
      </c>
      <c r="G13" t="s">
        <v>32</v>
      </c>
      <c r="H13" t="s">
        <v>33</v>
      </c>
      <c r="J13" t="s">
        <v>92</v>
      </c>
      <c r="K13" t="s">
        <v>51</v>
      </c>
      <c r="L13">
        <v>4</v>
      </c>
      <c r="N13" t="s">
        <v>93</v>
      </c>
    </row>
    <row r="14" spans="1:14" x14ac:dyDescent="0.35">
      <c r="A14" t="s">
        <v>94</v>
      </c>
      <c r="B14" t="s">
        <v>95</v>
      </c>
      <c r="C14" t="s">
        <v>69</v>
      </c>
      <c r="D14">
        <v>61.45</v>
      </c>
      <c r="E14">
        <v>92000</v>
      </c>
      <c r="F14" t="s">
        <v>76</v>
      </c>
      <c r="G14" t="s">
        <v>32</v>
      </c>
      <c r="H14" t="s">
        <v>33</v>
      </c>
      <c r="I14" t="s">
        <v>44</v>
      </c>
      <c r="J14" t="s">
        <v>96</v>
      </c>
      <c r="K14" t="s">
        <v>97</v>
      </c>
      <c r="L14">
        <v>23</v>
      </c>
      <c r="M14" t="s">
        <v>98</v>
      </c>
      <c r="N14" t="s">
        <v>99</v>
      </c>
    </row>
    <row r="15" spans="1:14" x14ac:dyDescent="0.35">
      <c r="A15" t="s">
        <v>100</v>
      </c>
      <c r="B15" t="s">
        <v>101</v>
      </c>
      <c r="C15" t="s">
        <v>81</v>
      </c>
      <c r="D15">
        <v>101.15</v>
      </c>
      <c r="E15">
        <v>8000</v>
      </c>
      <c r="F15" t="s">
        <v>64</v>
      </c>
      <c r="G15" t="s">
        <v>102</v>
      </c>
      <c r="H15" t="s">
        <v>33</v>
      </c>
      <c r="I15" t="s">
        <v>44</v>
      </c>
      <c r="J15" t="s">
        <v>75</v>
      </c>
      <c r="K15" t="s">
        <v>76</v>
      </c>
      <c r="L15">
        <v>3</v>
      </c>
      <c r="N15" t="s">
        <v>103</v>
      </c>
    </row>
    <row r="16" spans="1:14" x14ac:dyDescent="0.35">
      <c r="A16" t="s">
        <v>104</v>
      </c>
      <c r="B16" t="s">
        <v>105</v>
      </c>
      <c r="C16" t="s">
        <v>30</v>
      </c>
      <c r="D16">
        <v>157.94999999999999</v>
      </c>
      <c r="E16">
        <v>11000</v>
      </c>
      <c r="F16" t="s">
        <v>106</v>
      </c>
      <c r="G16" t="s">
        <v>32</v>
      </c>
      <c r="H16" t="s">
        <v>33</v>
      </c>
      <c r="J16" t="s">
        <v>107</v>
      </c>
      <c r="K16" t="s">
        <v>87</v>
      </c>
      <c r="L16">
        <v>22</v>
      </c>
      <c r="M16" t="s">
        <v>108</v>
      </c>
      <c r="N16" t="s">
        <v>109</v>
      </c>
    </row>
    <row r="17" spans="1:14" x14ac:dyDescent="0.35">
      <c r="A17" t="s">
        <v>110</v>
      </c>
      <c r="B17" t="s">
        <v>111</v>
      </c>
      <c r="C17" t="s">
        <v>69</v>
      </c>
      <c r="D17">
        <v>64.16</v>
      </c>
      <c r="E17">
        <v>51000</v>
      </c>
      <c r="F17" t="s">
        <v>36</v>
      </c>
      <c r="G17" t="s">
        <v>32</v>
      </c>
      <c r="H17" t="s">
        <v>43</v>
      </c>
      <c r="I17" t="s">
        <v>44</v>
      </c>
      <c r="J17" t="s">
        <v>112</v>
      </c>
      <c r="K17" t="s">
        <v>106</v>
      </c>
      <c r="L17">
        <v>0</v>
      </c>
      <c r="N17" t="s">
        <v>113</v>
      </c>
    </row>
    <row r="18" spans="1:14" x14ac:dyDescent="0.35">
      <c r="A18" t="s">
        <v>114</v>
      </c>
      <c r="B18" t="s">
        <v>115</v>
      </c>
      <c r="C18" t="s">
        <v>116</v>
      </c>
      <c r="D18">
        <v>6.76</v>
      </c>
      <c r="E18">
        <v>700</v>
      </c>
      <c r="F18" t="s">
        <v>117</v>
      </c>
      <c r="G18" t="s">
        <v>32</v>
      </c>
      <c r="H18" t="s">
        <v>33</v>
      </c>
      <c r="I18" t="s">
        <v>34</v>
      </c>
      <c r="J18" t="s">
        <v>118</v>
      </c>
      <c r="K18" t="s">
        <v>42</v>
      </c>
      <c r="L18">
        <v>11</v>
      </c>
      <c r="M18" t="s">
        <v>119</v>
      </c>
      <c r="N18" t="s">
        <v>120</v>
      </c>
    </row>
    <row r="19" spans="1:14" x14ac:dyDescent="0.35">
      <c r="A19" t="s">
        <v>121</v>
      </c>
      <c r="B19" t="s">
        <v>122</v>
      </c>
      <c r="C19" t="s">
        <v>81</v>
      </c>
      <c r="D19">
        <v>128.72999999999999</v>
      </c>
      <c r="E19">
        <v>9000</v>
      </c>
      <c r="F19" t="s">
        <v>123</v>
      </c>
      <c r="G19" t="s">
        <v>32</v>
      </c>
      <c r="H19" t="s">
        <v>57</v>
      </c>
      <c r="I19" t="s">
        <v>34</v>
      </c>
      <c r="J19" t="s">
        <v>124</v>
      </c>
      <c r="K19" t="s">
        <v>117</v>
      </c>
      <c r="L19">
        <v>22</v>
      </c>
      <c r="M19" t="s">
        <v>125</v>
      </c>
      <c r="N19" t="s">
        <v>126</v>
      </c>
    </row>
    <row r="20" spans="1:14" x14ac:dyDescent="0.35">
      <c r="A20" t="s">
        <v>127</v>
      </c>
      <c r="B20" t="s">
        <v>128</v>
      </c>
      <c r="C20" t="s">
        <v>41</v>
      </c>
      <c r="D20">
        <v>114.42</v>
      </c>
      <c r="E20">
        <v>39000</v>
      </c>
      <c r="F20" t="s">
        <v>76</v>
      </c>
      <c r="G20" t="s">
        <v>32</v>
      </c>
      <c r="H20" t="s">
        <v>33</v>
      </c>
      <c r="I20" t="s">
        <v>129</v>
      </c>
      <c r="J20" t="s">
        <v>130</v>
      </c>
      <c r="K20" t="s">
        <v>123</v>
      </c>
      <c r="L20">
        <v>2</v>
      </c>
      <c r="M20" t="s">
        <v>131</v>
      </c>
      <c r="N20" t="s">
        <v>132</v>
      </c>
    </row>
    <row r="21" spans="1:14" x14ac:dyDescent="0.35">
      <c r="A21" t="s">
        <v>133</v>
      </c>
      <c r="B21" t="s">
        <v>134</v>
      </c>
      <c r="C21" t="s">
        <v>41</v>
      </c>
      <c r="D21">
        <v>157.18</v>
      </c>
      <c r="E21">
        <v>40000</v>
      </c>
      <c r="F21" t="s">
        <v>42</v>
      </c>
      <c r="G21" t="s">
        <v>32</v>
      </c>
      <c r="H21" t="s">
        <v>33</v>
      </c>
      <c r="I21" t="s">
        <v>34</v>
      </c>
      <c r="J21" t="s">
        <v>45</v>
      </c>
      <c r="K21" t="s">
        <v>46</v>
      </c>
      <c r="L21">
        <v>14</v>
      </c>
      <c r="N21" t="s">
        <v>135</v>
      </c>
    </row>
    <row r="22" spans="1:14" x14ac:dyDescent="0.35">
      <c r="A22" t="s">
        <v>136</v>
      </c>
      <c r="B22" t="s">
        <v>137</v>
      </c>
      <c r="C22" t="s">
        <v>81</v>
      </c>
      <c r="D22">
        <v>116.55</v>
      </c>
      <c r="E22">
        <v>8000</v>
      </c>
      <c r="F22" t="s">
        <v>76</v>
      </c>
      <c r="G22" t="s">
        <v>32</v>
      </c>
      <c r="H22" t="s">
        <v>43</v>
      </c>
      <c r="I22" t="s">
        <v>44</v>
      </c>
      <c r="J22" t="s">
        <v>138</v>
      </c>
      <c r="K22" t="s">
        <v>139</v>
      </c>
      <c r="L22">
        <v>20</v>
      </c>
      <c r="M22" t="s">
        <v>140</v>
      </c>
      <c r="N22" t="s">
        <v>141</v>
      </c>
    </row>
    <row r="23" spans="1:14" x14ac:dyDescent="0.35">
      <c r="A23" t="s">
        <v>142</v>
      </c>
      <c r="B23" t="s">
        <v>143</v>
      </c>
      <c r="C23" t="s">
        <v>69</v>
      </c>
      <c r="D23">
        <v>77.17</v>
      </c>
      <c r="E23">
        <v>68000</v>
      </c>
      <c r="F23" t="s">
        <v>123</v>
      </c>
      <c r="G23" t="s">
        <v>32</v>
      </c>
      <c r="H23" t="s">
        <v>43</v>
      </c>
      <c r="J23" t="s">
        <v>118</v>
      </c>
      <c r="K23" t="s">
        <v>42</v>
      </c>
      <c r="L23">
        <v>1</v>
      </c>
      <c r="N23" t="s">
        <v>144</v>
      </c>
    </row>
    <row r="24" spans="1:14" x14ac:dyDescent="0.35">
      <c r="A24" t="s">
        <v>145</v>
      </c>
      <c r="B24" t="s">
        <v>146</v>
      </c>
      <c r="C24" t="s">
        <v>30</v>
      </c>
      <c r="D24">
        <v>155.22999999999999</v>
      </c>
      <c r="E24">
        <v>17000</v>
      </c>
      <c r="F24" t="s">
        <v>147</v>
      </c>
      <c r="G24" t="s">
        <v>32</v>
      </c>
      <c r="H24" t="s">
        <v>43</v>
      </c>
      <c r="I24" t="s">
        <v>129</v>
      </c>
      <c r="J24" t="s">
        <v>118</v>
      </c>
      <c r="K24" t="s">
        <v>42</v>
      </c>
      <c r="L24">
        <v>3</v>
      </c>
      <c r="M24" t="s">
        <v>148</v>
      </c>
      <c r="N24" t="s">
        <v>149</v>
      </c>
    </row>
    <row r="25" spans="1:14" x14ac:dyDescent="0.35">
      <c r="A25" t="s">
        <v>150</v>
      </c>
      <c r="B25" t="s">
        <v>151</v>
      </c>
      <c r="C25" t="s">
        <v>116</v>
      </c>
      <c r="D25">
        <v>9.15</v>
      </c>
      <c r="E25">
        <v>300</v>
      </c>
      <c r="F25" t="s">
        <v>51</v>
      </c>
      <c r="G25" t="s">
        <v>32</v>
      </c>
      <c r="H25" t="s">
        <v>33</v>
      </c>
      <c r="I25" t="s">
        <v>44</v>
      </c>
      <c r="J25" t="s">
        <v>130</v>
      </c>
      <c r="K25" t="s">
        <v>123</v>
      </c>
      <c r="L25">
        <v>18</v>
      </c>
      <c r="N25" t="s">
        <v>152</v>
      </c>
    </row>
    <row r="26" spans="1:14" x14ac:dyDescent="0.35">
      <c r="A26" t="s">
        <v>153</v>
      </c>
      <c r="B26" t="s">
        <v>154</v>
      </c>
      <c r="C26" t="s">
        <v>69</v>
      </c>
      <c r="D26">
        <v>81.45</v>
      </c>
      <c r="E26">
        <v>80000</v>
      </c>
      <c r="F26" t="s">
        <v>74</v>
      </c>
      <c r="G26" t="s">
        <v>32</v>
      </c>
      <c r="H26" t="s">
        <v>33</v>
      </c>
      <c r="I26" t="s">
        <v>44</v>
      </c>
      <c r="J26" t="s">
        <v>155</v>
      </c>
      <c r="K26" t="s">
        <v>51</v>
      </c>
      <c r="L26">
        <v>7</v>
      </c>
      <c r="M26" t="s">
        <v>156</v>
      </c>
      <c r="N26" t="s">
        <v>157</v>
      </c>
    </row>
    <row r="27" spans="1:14" x14ac:dyDescent="0.35">
      <c r="A27" t="s">
        <v>158</v>
      </c>
      <c r="B27" t="s">
        <v>159</v>
      </c>
      <c r="C27" t="s">
        <v>41</v>
      </c>
      <c r="D27">
        <v>153.04</v>
      </c>
      <c r="E27">
        <v>10000</v>
      </c>
      <c r="F27" t="s">
        <v>106</v>
      </c>
      <c r="G27" t="s">
        <v>32</v>
      </c>
      <c r="H27" t="s">
        <v>43</v>
      </c>
      <c r="J27" t="s">
        <v>118</v>
      </c>
      <c r="K27" t="s">
        <v>42</v>
      </c>
      <c r="L27">
        <v>22</v>
      </c>
      <c r="M27" t="s">
        <v>160</v>
      </c>
      <c r="N27" t="s">
        <v>161</v>
      </c>
    </row>
    <row r="28" spans="1:14" x14ac:dyDescent="0.35">
      <c r="A28" t="s">
        <v>162</v>
      </c>
      <c r="B28" t="s">
        <v>163</v>
      </c>
      <c r="C28" t="s">
        <v>41</v>
      </c>
      <c r="D28">
        <v>120.31</v>
      </c>
      <c r="E28">
        <v>30000</v>
      </c>
      <c r="F28" t="s">
        <v>36</v>
      </c>
      <c r="G28" t="s">
        <v>32</v>
      </c>
      <c r="H28" t="s">
        <v>57</v>
      </c>
      <c r="I28" t="s">
        <v>34</v>
      </c>
      <c r="J28" t="s">
        <v>164</v>
      </c>
      <c r="K28" t="s">
        <v>74</v>
      </c>
      <c r="L28">
        <v>10</v>
      </c>
      <c r="N28" t="s">
        <v>165</v>
      </c>
    </row>
    <row r="29" spans="1:14" x14ac:dyDescent="0.35">
      <c r="A29" t="s">
        <v>166</v>
      </c>
      <c r="B29" t="s">
        <v>167</v>
      </c>
      <c r="C29" t="s">
        <v>41</v>
      </c>
      <c r="D29">
        <v>87.09</v>
      </c>
      <c r="E29">
        <v>37000</v>
      </c>
      <c r="F29" t="s">
        <v>97</v>
      </c>
      <c r="G29" t="s">
        <v>32</v>
      </c>
      <c r="H29" t="s">
        <v>57</v>
      </c>
      <c r="I29" t="s">
        <v>34</v>
      </c>
      <c r="J29" t="s">
        <v>63</v>
      </c>
      <c r="K29" t="s">
        <v>64</v>
      </c>
      <c r="L29">
        <v>13</v>
      </c>
      <c r="M29" t="s">
        <v>125</v>
      </c>
      <c r="N29" t="s">
        <v>168</v>
      </c>
    </row>
    <row r="30" spans="1:14" x14ac:dyDescent="0.35">
      <c r="A30" t="s">
        <v>169</v>
      </c>
      <c r="B30" t="s">
        <v>170</v>
      </c>
      <c r="C30" t="s">
        <v>30</v>
      </c>
      <c r="D30">
        <v>130.78</v>
      </c>
      <c r="E30">
        <v>17000</v>
      </c>
      <c r="F30" t="s">
        <v>51</v>
      </c>
      <c r="G30" t="s">
        <v>32</v>
      </c>
      <c r="H30" t="s">
        <v>43</v>
      </c>
      <c r="I30" t="s">
        <v>34</v>
      </c>
      <c r="J30" t="s">
        <v>35</v>
      </c>
      <c r="K30" t="s">
        <v>36</v>
      </c>
      <c r="L30">
        <v>11</v>
      </c>
      <c r="N30" t="s">
        <v>171</v>
      </c>
    </row>
    <row r="31" spans="1:14" x14ac:dyDescent="0.35">
      <c r="A31" t="s">
        <v>172</v>
      </c>
      <c r="B31" t="s">
        <v>173</v>
      </c>
      <c r="C31" t="s">
        <v>30</v>
      </c>
      <c r="D31">
        <v>119.4</v>
      </c>
      <c r="E31">
        <v>19000</v>
      </c>
      <c r="F31" t="s">
        <v>117</v>
      </c>
      <c r="G31" t="s">
        <v>32</v>
      </c>
      <c r="H31" t="s">
        <v>57</v>
      </c>
      <c r="I31" t="s">
        <v>34</v>
      </c>
      <c r="J31" t="s">
        <v>174</v>
      </c>
      <c r="K31" t="s">
        <v>139</v>
      </c>
      <c r="L31">
        <v>0</v>
      </c>
      <c r="M31" t="s">
        <v>175</v>
      </c>
      <c r="N31" t="s">
        <v>176</v>
      </c>
    </row>
    <row r="32" spans="1:14" x14ac:dyDescent="0.35">
      <c r="A32" t="s">
        <v>177</v>
      </c>
      <c r="B32" t="s">
        <v>178</v>
      </c>
      <c r="C32" t="s">
        <v>41</v>
      </c>
      <c r="D32">
        <v>159.19999999999999</v>
      </c>
      <c r="E32">
        <v>37000</v>
      </c>
      <c r="F32" t="s">
        <v>46</v>
      </c>
      <c r="G32" t="s">
        <v>32</v>
      </c>
      <c r="H32" t="s">
        <v>57</v>
      </c>
      <c r="J32" t="s">
        <v>179</v>
      </c>
      <c r="K32" t="s">
        <v>97</v>
      </c>
      <c r="L32">
        <v>7</v>
      </c>
      <c r="M32" t="s">
        <v>180</v>
      </c>
      <c r="N32" t="s">
        <v>181</v>
      </c>
    </row>
    <row r="33" spans="1:14" x14ac:dyDescent="0.35">
      <c r="A33" t="s">
        <v>182</v>
      </c>
      <c r="B33" t="s">
        <v>183</v>
      </c>
      <c r="C33" t="s">
        <v>116</v>
      </c>
      <c r="D33">
        <v>8.32</v>
      </c>
      <c r="E33">
        <v>600</v>
      </c>
      <c r="F33" t="s">
        <v>64</v>
      </c>
      <c r="G33" t="s">
        <v>32</v>
      </c>
      <c r="H33" t="s">
        <v>33</v>
      </c>
      <c r="I33" t="s">
        <v>34</v>
      </c>
      <c r="J33" t="s">
        <v>118</v>
      </c>
      <c r="K33" t="s">
        <v>42</v>
      </c>
      <c r="L33">
        <v>19</v>
      </c>
      <c r="M33" t="s">
        <v>184</v>
      </c>
      <c r="N33" t="s">
        <v>185</v>
      </c>
    </row>
    <row r="34" spans="1:14" x14ac:dyDescent="0.35">
      <c r="A34" t="s">
        <v>186</v>
      </c>
      <c r="B34" t="s">
        <v>187</v>
      </c>
      <c r="C34" t="s">
        <v>30</v>
      </c>
      <c r="D34">
        <v>147.69999999999999</v>
      </c>
      <c r="E34">
        <v>13000</v>
      </c>
      <c r="F34" t="s">
        <v>31</v>
      </c>
      <c r="G34" t="s">
        <v>32</v>
      </c>
      <c r="H34" t="s">
        <v>33</v>
      </c>
      <c r="I34" t="s">
        <v>44</v>
      </c>
      <c r="J34" t="s">
        <v>118</v>
      </c>
      <c r="K34" t="s">
        <v>42</v>
      </c>
      <c r="L34">
        <v>3</v>
      </c>
      <c r="M34" t="s">
        <v>188</v>
      </c>
      <c r="N34" t="s">
        <v>189</v>
      </c>
    </row>
    <row r="35" spans="1:14" x14ac:dyDescent="0.35">
      <c r="A35" t="s">
        <v>190</v>
      </c>
      <c r="B35" t="s">
        <v>191</v>
      </c>
      <c r="C35" t="s">
        <v>41</v>
      </c>
      <c r="D35">
        <v>124.45</v>
      </c>
      <c r="E35">
        <v>15000</v>
      </c>
      <c r="F35" t="s">
        <v>97</v>
      </c>
      <c r="G35" t="s">
        <v>32</v>
      </c>
      <c r="H35" t="s">
        <v>57</v>
      </c>
      <c r="I35" t="s">
        <v>44</v>
      </c>
      <c r="J35" t="s">
        <v>45</v>
      </c>
      <c r="K35" t="s">
        <v>46</v>
      </c>
      <c r="L35">
        <v>22</v>
      </c>
      <c r="N35" t="s">
        <v>192</v>
      </c>
    </row>
    <row r="36" spans="1:14" x14ac:dyDescent="0.35">
      <c r="A36" t="s">
        <v>193</v>
      </c>
      <c r="B36" t="s">
        <v>194</v>
      </c>
      <c r="C36" t="s">
        <v>69</v>
      </c>
      <c r="D36">
        <v>51.18</v>
      </c>
      <c r="E36">
        <v>27000</v>
      </c>
      <c r="F36" t="s">
        <v>123</v>
      </c>
      <c r="G36" t="s">
        <v>32</v>
      </c>
      <c r="H36" t="s">
        <v>57</v>
      </c>
      <c r="I36" t="s">
        <v>34</v>
      </c>
      <c r="J36" t="s">
        <v>107</v>
      </c>
      <c r="K36" t="s">
        <v>87</v>
      </c>
      <c r="L36">
        <v>0</v>
      </c>
      <c r="N36" t="s">
        <v>195</v>
      </c>
    </row>
    <row r="37" spans="1:14" x14ac:dyDescent="0.35">
      <c r="A37" t="s">
        <v>196</v>
      </c>
      <c r="B37" t="s">
        <v>197</v>
      </c>
      <c r="C37" t="s">
        <v>116</v>
      </c>
      <c r="D37">
        <v>8.3800000000000008</v>
      </c>
      <c r="E37">
        <v>100</v>
      </c>
      <c r="F37" t="s">
        <v>139</v>
      </c>
      <c r="G37" t="s">
        <v>32</v>
      </c>
      <c r="H37" t="s">
        <v>57</v>
      </c>
      <c r="I37" t="s">
        <v>129</v>
      </c>
      <c r="J37" t="s">
        <v>75</v>
      </c>
      <c r="K37" t="s">
        <v>76</v>
      </c>
      <c r="L37">
        <v>17</v>
      </c>
      <c r="M37" t="s">
        <v>198</v>
      </c>
      <c r="N37" t="s">
        <v>199</v>
      </c>
    </row>
    <row r="38" spans="1:14" x14ac:dyDescent="0.35">
      <c r="A38" t="s">
        <v>200</v>
      </c>
      <c r="B38" t="s">
        <v>201</v>
      </c>
      <c r="C38" t="s">
        <v>69</v>
      </c>
      <c r="D38">
        <v>95.16</v>
      </c>
      <c r="E38">
        <v>74000</v>
      </c>
      <c r="F38" t="s">
        <v>51</v>
      </c>
      <c r="G38" t="s">
        <v>32</v>
      </c>
      <c r="H38" t="s">
        <v>33</v>
      </c>
      <c r="J38" t="s">
        <v>107</v>
      </c>
      <c r="K38" t="s">
        <v>87</v>
      </c>
      <c r="L38">
        <v>13</v>
      </c>
      <c r="M38" t="s">
        <v>202</v>
      </c>
      <c r="N38" t="s">
        <v>203</v>
      </c>
    </row>
    <row r="39" spans="1:14" x14ac:dyDescent="0.35">
      <c r="A39" t="s">
        <v>204</v>
      </c>
      <c r="B39" t="s">
        <v>205</v>
      </c>
      <c r="C39" t="s">
        <v>69</v>
      </c>
      <c r="D39">
        <v>66.73</v>
      </c>
      <c r="E39">
        <v>69000</v>
      </c>
      <c r="F39" t="s">
        <v>42</v>
      </c>
      <c r="G39" t="s">
        <v>32</v>
      </c>
      <c r="H39" t="s">
        <v>57</v>
      </c>
      <c r="I39" t="s">
        <v>44</v>
      </c>
      <c r="J39" t="s">
        <v>179</v>
      </c>
      <c r="K39" t="s">
        <v>97</v>
      </c>
      <c r="L39">
        <v>7</v>
      </c>
      <c r="N39" t="s">
        <v>206</v>
      </c>
    </row>
    <row r="40" spans="1:14" x14ac:dyDescent="0.35">
      <c r="A40" t="s">
        <v>207</v>
      </c>
      <c r="B40" t="s">
        <v>208</v>
      </c>
      <c r="C40" t="s">
        <v>116</v>
      </c>
      <c r="D40">
        <v>8.27</v>
      </c>
      <c r="E40">
        <v>300</v>
      </c>
      <c r="F40" t="s">
        <v>74</v>
      </c>
      <c r="G40" t="s">
        <v>32</v>
      </c>
      <c r="H40" t="s">
        <v>57</v>
      </c>
      <c r="I40" t="s">
        <v>34</v>
      </c>
      <c r="J40" t="s">
        <v>209</v>
      </c>
      <c r="K40" t="s">
        <v>74</v>
      </c>
      <c r="L40">
        <v>8</v>
      </c>
      <c r="N40" t="s">
        <v>210</v>
      </c>
    </row>
    <row r="41" spans="1:14" x14ac:dyDescent="0.35">
      <c r="A41" t="s">
        <v>211</v>
      </c>
      <c r="B41" t="s">
        <v>212</v>
      </c>
      <c r="C41" t="s">
        <v>69</v>
      </c>
      <c r="D41">
        <v>50.3</v>
      </c>
      <c r="E41">
        <v>18000</v>
      </c>
      <c r="F41" t="s">
        <v>51</v>
      </c>
      <c r="G41" t="s">
        <v>32</v>
      </c>
      <c r="H41" t="s">
        <v>43</v>
      </c>
      <c r="I41" t="s">
        <v>34</v>
      </c>
      <c r="J41" t="s">
        <v>45</v>
      </c>
      <c r="K41" t="s">
        <v>46</v>
      </c>
      <c r="L41">
        <v>14</v>
      </c>
      <c r="N41" t="s">
        <v>213</v>
      </c>
    </row>
    <row r="42" spans="1:14" x14ac:dyDescent="0.35">
      <c r="A42" t="s">
        <v>214</v>
      </c>
      <c r="B42" t="s">
        <v>215</v>
      </c>
      <c r="C42" t="s">
        <v>116</v>
      </c>
      <c r="D42">
        <v>6.59</v>
      </c>
      <c r="E42">
        <v>600</v>
      </c>
      <c r="F42" t="s">
        <v>87</v>
      </c>
      <c r="G42" t="s">
        <v>32</v>
      </c>
      <c r="H42" t="s">
        <v>57</v>
      </c>
      <c r="I42" t="s">
        <v>44</v>
      </c>
      <c r="J42" t="s">
        <v>130</v>
      </c>
      <c r="K42" t="s">
        <v>123</v>
      </c>
      <c r="L42">
        <v>6</v>
      </c>
      <c r="M42" t="s">
        <v>216</v>
      </c>
      <c r="N42" t="s">
        <v>217</v>
      </c>
    </row>
    <row r="43" spans="1:14" x14ac:dyDescent="0.35">
      <c r="A43" t="s">
        <v>218</v>
      </c>
      <c r="B43" t="s">
        <v>219</v>
      </c>
      <c r="C43" t="s">
        <v>116</v>
      </c>
      <c r="D43">
        <v>11.04</v>
      </c>
      <c r="E43">
        <v>600</v>
      </c>
      <c r="F43" t="s">
        <v>139</v>
      </c>
      <c r="G43" t="s">
        <v>32</v>
      </c>
      <c r="H43" t="s">
        <v>43</v>
      </c>
      <c r="I43" t="s">
        <v>129</v>
      </c>
      <c r="J43" t="s">
        <v>75</v>
      </c>
      <c r="K43" t="s">
        <v>76</v>
      </c>
      <c r="L43">
        <v>0</v>
      </c>
      <c r="N43" t="s">
        <v>220</v>
      </c>
    </row>
    <row r="44" spans="1:14" x14ac:dyDescent="0.35">
      <c r="A44" t="s">
        <v>221</v>
      </c>
      <c r="B44" t="s">
        <v>222</v>
      </c>
      <c r="C44" t="s">
        <v>69</v>
      </c>
      <c r="D44">
        <v>86.77</v>
      </c>
      <c r="E44">
        <v>34000</v>
      </c>
      <c r="F44" t="s">
        <v>123</v>
      </c>
      <c r="G44" t="s">
        <v>32</v>
      </c>
      <c r="H44" t="s">
        <v>33</v>
      </c>
      <c r="I44" t="s">
        <v>44</v>
      </c>
      <c r="J44" t="s">
        <v>75</v>
      </c>
      <c r="K44" t="s">
        <v>76</v>
      </c>
      <c r="L44">
        <v>2</v>
      </c>
      <c r="M44" t="s">
        <v>223</v>
      </c>
      <c r="N44" t="s">
        <v>224</v>
      </c>
    </row>
    <row r="45" spans="1:14" x14ac:dyDescent="0.35">
      <c r="A45" t="s">
        <v>225</v>
      </c>
      <c r="B45" t="s">
        <v>226</v>
      </c>
      <c r="C45" t="s">
        <v>81</v>
      </c>
      <c r="D45">
        <v>89.11</v>
      </c>
      <c r="E45">
        <v>2000</v>
      </c>
      <c r="F45" t="s">
        <v>147</v>
      </c>
      <c r="G45" t="s">
        <v>32</v>
      </c>
      <c r="H45" t="s">
        <v>57</v>
      </c>
      <c r="I45" t="s">
        <v>34</v>
      </c>
      <c r="J45" t="s">
        <v>112</v>
      </c>
      <c r="K45" t="s">
        <v>106</v>
      </c>
      <c r="L45">
        <v>14</v>
      </c>
      <c r="M45" t="s">
        <v>216</v>
      </c>
      <c r="N45" t="s">
        <v>227</v>
      </c>
    </row>
    <row r="46" spans="1:14" x14ac:dyDescent="0.35">
      <c r="A46" t="s">
        <v>228</v>
      </c>
      <c r="B46" t="s">
        <v>229</v>
      </c>
      <c r="C46" t="s">
        <v>41</v>
      </c>
      <c r="D46">
        <v>140.72</v>
      </c>
      <c r="E46">
        <v>35000</v>
      </c>
      <c r="F46" t="s">
        <v>76</v>
      </c>
      <c r="G46" t="s">
        <v>32</v>
      </c>
      <c r="H46" t="s">
        <v>43</v>
      </c>
      <c r="I46" t="s">
        <v>34</v>
      </c>
      <c r="J46" t="s">
        <v>230</v>
      </c>
      <c r="K46" t="s">
        <v>117</v>
      </c>
      <c r="L46">
        <v>0</v>
      </c>
      <c r="M46" t="s">
        <v>231</v>
      </c>
      <c r="N46" t="s">
        <v>232</v>
      </c>
    </row>
    <row r="47" spans="1:14" x14ac:dyDescent="0.35">
      <c r="A47" t="s">
        <v>233</v>
      </c>
      <c r="B47" t="s">
        <v>234</v>
      </c>
      <c r="C47" t="s">
        <v>41</v>
      </c>
      <c r="D47">
        <v>129.9</v>
      </c>
      <c r="E47">
        <v>18000</v>
      </c>
      <c r="F47" t="s">
        <v>74</v>
      </c>
      <c r="G47" t="s">
        <v>32</v>
      </c>
      <c r="H47" t="s">
        <v>57</v>
      </c>
      <c r="I47" t="s">
        <v>44</v>
      </c>
      <c r="J47" t="s">
        <v>235</v>
      </c>
      <c r="K47" t="s">
        <v>236</v>
      </c>
      <c r="L47">
        <v>18</v>
      </c>
      <c r="N47" t="s">
        <v>237</v>
      </c>
    </row>
    <row r="48" spans="1:14" x14ac:dyDescent="0.35">
      <c r="A48" t="s">
        <v>238</v>
      </c>
      <c r="B48" t="s">
        <v>239</v>
      </c>
      <c r="C48" t="s">
        <v>69</v>
      </c>
      <c r="D48">
        <v>84.99</v>
      </c>
      <c r="E48">
        <v>66000</v>
      </c>
      <c r="F48" t="s">
        <v>46</v>
      </c>
      <c r="G48" t="s">
        <v>32</v>
      </c>
      <c r="H48" t="s">
        <v>57</v>
      </c>
      <c r="I48" t="s">
        <v>44</v>
      </c>
      <c r="J48" t="s">
        <v>45</v>
      </c>
      <c r="K48" t="s">
        <v>46</v>
      </c>
      <c r="L48">
        <v>16</v>
      </c>
      <c r="N48" t="s">
        <v>240</v>
      </c>
    </row>
    <row r="49" spans="1:14" x14ac:dyDescent="0.35">
      <c r="A49" t="s">
        <v>241</v>
      </c>
      <c r="B49" t="s">
        <v>242</v>
      </c>
      <c r="C49" t="s">
        <v>62</v>
      </c>
      <c r="D49">
        <v>90.04</v>
      </c>
      <c r="E49">
        <v>5000</v>
      </c>
      <c r="F49" t="s">
        <v>31</v>
      </c>
      <c r="G49" t="s">
        <v>32</v>
      </c>
      <c r="H49" t="s">
        <v>57</v>
      </c>
      <c r="J49" t="s">
        <v>230</v>
      </c>
      <c r="K49" t="s">
        <v>117</v>
      </c>
      <c r="L49">
        <v>5</v>
      </c>
      <c r="M49" t="s">
        <v>243</v>
      </c>
      <c r="N49" t="s">
        <v>244</v>
      </c>
    </row>
    <row r="50" spans="1:14" x14ac:dyDescent="0.35">
      <c r="A50" t="s">
        <v>245</v>
      </c>
      <c r="B50" t="s">
        <v>246</v>
      </c>
      <c r="C50" t="s">
        <v>81</v>
      </c>
      <c r="D50">
        <v>117.72</v>
      </c>
      <c r="E50">
        <v>7000</v>
      </c>
      <c r="F50" t="s">
        <v>51</v>
      </c>
      <c r="G50" t="s">
        <v>102</v>
      </c>
      <c r="H50" t="s">
        <v>33</v>
      </c>
      <c r="I50" t="s">
        <v>34</v>
      </c>
      <c r="J50" t="s">
        <v>118</v>
      </c>
      <c r="K50" t="s">
        <v>42</v>
      </c>
      <c r="L50">
        <v>0</v>
      </c>
      <c r="N50" t="s">
        <v>247</v>
      </c>
    </row>
    <row r="51" spans="1:14" x14ac:dyDescent="0.35">
      <c r="A51" t="s">
        <v>248</v>
      </c>
      <c r="B51" t="s">
        <v>249</v>
      </c>
      <c r="C51" t="s">
        <v>41</v>
      </c>
      <c r="D51">
        <v>109.74</v>
      </c>
      <c r="E51">
        <v>15000</v>
      </c>
      <c r="F51" t="s">
        <v>147</v>
      </c>
      <c r="G51" t="s">
        <v>102</v>
      </c>
      <c r="H51" t="s">
        <v>57</v>
      </c>
      <c r="J51" t="s">
        <v>250</v>
      </c>
      <c r="K51" t="s">
        <v>147</v>
      </c>
      <c r="L51">
        <v>2</v>
      </c>
      <c r="M51" t="s">
        <v>251</v>
      </c>
      <c r="N51" t="s">
        <v>252</v>
      </c>
    </row>
    <row r="52" spans="1:14" x14ac:dyDescent="0.35">
      <c r="A52" t="s">
        <v>253</v>
      </c>
      <c r="B52" t="s">
        <v>254</v>
      </c>
      <c r="C52" t="s">
        <v>116</v>
      </c>
      <c r="D52">
        <v>9.0500000000000007</v>
      </c>
      <c r="E52">
        <v>300</v>
      </c>
      <c r="F52" t="s">
        <v>87</v>
      </c>
      <c r="G52" t="s">
        <v>32</v>
      </c>
      <c r="H52" t="s">
        <v>33</v>
      </c>
      <c r="I52" t="s">
        <v>44</v>
      </c>
      <c r="J52" t="s">
        <v>130</v>
      </c>
      <c r="K52" t="s">
        <v>123</v>
      </c>
      <c r="L52">
        <v>22</v>
      </c>
      <c r="N52" t="s">
        <v>255</v>
      </c>
    </row>
    <row r="53" spans="1:14" x14ac:dyDescent="0.35">
      <c r="A53" t="s">
        <v>256</v>
      </c>
      <c r="B53" t="s">
        <v>257</v>
      </c>
      <c r="C53" t="s">
        <v>81</v>
      </c>
      <c r="D53">
        <v>116.99</v>
      </c>
      <c r="E53">
        <v>10000</v>
      </c>
      <c r="F53" t="s">
        <v>31</v>
      </c>
      <c r="G53" t="s">
        <v>32</v>
      </c>
      <c r="H53" t="s">
        <v>57</v>
      </c>
      <c r="I53" t="s">
        <v>44</v>
      </c>
      <c r="J53" t="s">
        <v>70</v>
      </c>
      <c r="K53" t="s">
        <v>31</v>
      </c>
      <c r="L53">
        <v>13</v>
      </c>
      <c r="M53" t="s">
        <v>258</v>
      </c>
      <c r="N53" t="s">
        <v>259</v>
      </c>
    </row>
    <row r="54" spans="1:14" x14ac:dyDescent="0.35">
      <c r="A54" t="s">
        <v>260</v>
      </c>
      <c r="B54" t="s">
        <v>261</v>
      </c>
      <c r="C54" t="s">
        <v>116</v>
      </c>
      <c r="D54">
        <v>11.04</v>
      </c>
      <c r="E54">
        <v>400</v>
      </c>
      <c r="F54" t="s">
        <v>87</v>
      </c>
      <c r="G54" t="s">
        <v>32</v>
      </c>
      <c r="H54" t="s">
        <v>43</v>
      </c>
      <c r="I54" t="s">
        <v>44</v>
      </c>
      <c r="J54" t="s">
        <v>262</v>
      </c>
      <c r="K54" t="s">
        <v>147</v>
      </c>
      <c r="L54">
        <v>22</v>
      </c>
      <c r="N54" t="s">
        <v>263</v>
      </c>
    </row>
    <row r="55" spans="1:14" x14ac:dyDescent="0.35">
      <c r="A55" t="s">
        <v>264</v>
      </c>
      <c r="B55" t="s">
        <v>265</v>
      </c>
      <c r="C55" t="s">
        <v>116</v>
      </c>
      <c r="D55">
        <v>6.63</v>
      </c>
      <c r="E55">
        <v>600</v>
      </c>
      <c r="F55" t="s">
        <v>147</v>
      </c>
      <c r="G55" t="s">
        <v>32</v>
      </c>
      <c r="H55" t="s">
        <v>43</v>
      </c>
      <c r="I55" t="s">
        <v>129</v>
      </c>
      <c r="J55" t="s">
        <v>45</v>
      </c>
      <c r="K55" t="s">
        <v>46</v>
      </c>
      <c r="L55">
        <v>22</v>
      </c>
      <c r="M55" t="s">
        <v>266</v>
      </c>
      <c r="N55" t="s">
        <v>267</v>
      </c>
    </row>
    <row r="56" spans="1:14" x14ac:dyDescent="0.35">
      <c r="A56" t="s">
        <v>268</v>
      </c>
      <c r="B56" t="s">
        <v>269</v>
      </c>
      <c r="C56" t="s">
        <v>81</v>
      </c>
      <c r="D56">
        <v>82.82</v>
      </c>
      <c r="E56">
        <v>9000</v>
      </c>
      <c r="F56" t="s">
        <v>236</v>
      </c>
      <c r="G56" t="s">
        <v>32</v>
      </c>
      <c r="H56" t="s">
        <v>33</v>
      </c>
      <c r="I56" t="s">
        <v>44</v>
      </c>
      <c r="J56" t="s">
        <v>112</v>
      </c>
      <c r="K56" t="s">
        <v>106</v>
      </c>
      <c r="L56">
        <v>21</v>
      </c>
      <c r="M56" t="s">
        <v>270</v>
      </c>
      <c r="N56" t="s">
        <v>271</v>
      </c>
    </row>
    <row r="57" spans="1:14" x14ac:dyDescent="0.35">
      <c r="A57" t="s">
        <v>272</v>
      </c>
      <c r="B57" t="s">
        <v>273</v>
      </c>
      <c r="C57" t="s">
        <v>41</v>
      </c>
      <c r="D57">
        <v>104.05</v>
      </c>
      <c r="E57">
        <v>16000</v>
      </c>
      <c r="F57" t="s">
        <v>236</v>
      </c>
      <c r="G57" t="s">
        <v>32</v>
      </c>
      <c r="H57" t="s">
        <v>57</v>
      </c>
      <c r="I57" t="s">
        <v>44</v>
      </c>
      <c r="J57" t="s">
        <v>35</v>
      </c>
      <c r="K57" t="s">
        <v>36</v>
      </c>
      <c r="L57">
        <v>5</v>
      </c>
      <c r="M57" t="s">
        <v>274</v>
      </c>
      <c r="N57" t="s">
        <v>275</v>
      </c>
    </row>
    <row r="58" spans="1:14" x14ac:dyDescent="0.35">
      <c r="A58" t="s">
        <v>276</v>
      </c>
      <c r="B58" t="s">
        <v>277</v>
      </c>
      <c r="C58" t="s">
        <v>41</v>
      </c>
      <c r="D58">
        <v>137.02000000000001</v>
      </c>
      <c r="E58">
        <v>19000</v>
      </c>
      <c r="F58" t="s">
        <v>46</v>
      </c>
      <c r="G58" t="s">
        <v>32</v>
      </c>
      <c r="H58" t="s">
        <v>43</v>
      </c>
      <c r="I58" t="s">
        <v>44</v>
      </c>
      <c r="J58" t="s">
        <v>278</v>
      </c>
      <c r="K58" t="s">
        <v>97</v>
      </c>
      <c r="L58">
        <v>9</v>
      </c>
      <c r="M58" t="s">
        <v>279</v>
      </c>
      <c r="N58" t="s">
        <v>280</v>
      </c>
    </row>
    <row r="59" spans="1:14" x14ac:dyDescent="0.35">
      <c r="A59" t="s">
        <v>281</v>
      </c>
      <c r="B59" t="s">
        <v>282</v>
      </c>
      <c r="C59" t="s">
        <v>62</v>
      </c>
      <c r="D59">
        <v>75.989999999999995</v>
      </c>
      <c r="E59">
        <v>3000</v>
      </c>
      <c r="F59" t="s">
        <v>147</v>
      </c>
      <c r="G59" t="s">
        <v>32</v>
      </c>
      <c r="H59" t="s">
        <v>43</v>
      </c>
      <c r="I59" t="s">
        <v>44</v>
      </c>
      <c r="J59" t="s">
        <v>283</v>
      </c>
      <c r="K59" t="s">
        <v>139</v>
      </c>
      <c r="L59">
        <v>19</v>
      </c>
      <c r="M59" t="s">
        <v>284</v>
      </c>
      <c r="N59" t="s">
        <v>285</v>
      </c>
    </row>
    <row r="60" spans="1:14" x14ac:dyDescent="0.35">
      <c r="A60" t="s">
        <v>286</v>
      </c>
      <c r="B60" t="s">
        <v>287</v>
      </c>
      <c r="C60" t="s">
        <v>81</v>
      </c>
      <c r="D60">
        <v>92.71</v>
      </c>
      <c r="E60">
        <v>2000</v>
      </c>
      <c r="F60" t="s">
        <v>97</v>
      </c>
      <c r="G60" t="s">
        <v>32</v>
      </c>
      <c r="H60" t="s">
        <v>43</v>
      </c>
      <c r="I60" t="s">
        <v>34</v>
      </c>
      <c r="J60" t="s">
        <v>288</v>
      </c>
      <c r="K60" t="s">
        <v>51</v>
      </c>
      <c r="L60">
        <v>7</v>
      </c>
      <c r="M60" t="s">
        <v>289</v>
      </c>
      <c r="N60" t="s">
        <v>290</v>
      </c>
    </row>
    <row r="61" spans="1:14" x14ac:dyDescent="0.35">
      <c r="A61" t="s">
        <v>291</v>
      </c>
      <c r="B61" t="s">
        <v>292</v>
      </c>
      <c r="C61" t="s">
        <v>41</v>
      </c>
      <c r="D61">
        <v>111.33</v>
      </c>
      <c r="E61">
        <v>30000</v>
      </c>
      <c r="F61" t="s">
        <v>117</v>
      </c>
      <c r="G61" t="s">
        <v>32</v>
      </c>
      <c r="H61" t="s">
        <v>43</v>
      </c>
      <c r="I61" t="s">
        <v>44</v>
      </c>
      <c r="J61" t="s">
        <v>112</v>
      </c>
      <c r="K61" t="s">
        <v>106</v>
      </c>
      <c r="L61">
        <v>14</v>
      </c>
      <c r="M61" t="s">
        <v>293</v>
      </c>
      <c r="N61" t="s">
        <v>294</v>
      </c>
    </row>
    <row r="62" spans="1:14" x14ac:dyDescent="0.35">
      <c r="A62" t="s">
        <v>295</v>
      </c>
      <c r="B62" t="s">
        <v>296</v>
      </c>
      <c r="C62" t="s">
        <v>116</v>
      </c>
      <c r="D62">
        <v>8.51</v>
      </c>
      <c r="E62">
        <v>300</v>
      </c>
      <c r="F62" t="s">
        <v>147</v>
      </c>
      <c r="G62" t="s">
        <v>32</v>
      </c>
      <c r="H62" t="s">
        <v>33</v>
      </c>
      <c r="I62" t="s">
        <v>44</v>
      </c>
      <c r="J62" t="s">
        <v>235</v>
      </c>
      <c r="K62" t="s">
        <v>236</v>
      </c>
      <c r="L62">
        <v>21</v>
      </c>
      <c r="M62" t="s">
        <v>297</v>
      </c>
      <c r="N62" t="s">
        <v>298</v>
      </c>
    </row>
    <row r="63" spans="1:14" x14ac:dyDescent="0.35">
      <c r="A63" t="s">
        <v>299</v>
      </c>
      <c r="B63" t="s">
        <v>300</v>
      </c>
      <c r="C63" t="s">
        <v>62</v>
      </c>
      <c r="D63">
        <v>97.08</v>
      </c>
      <c r="E63">
        <v>2000</v>
      </c>
      <c r="F63" t="s">
        <v>36</v>
      </c>
      <c r="G63" t="s">
        <v>32</v>
      </c>
      <c r="H63" t="s">
        <v>43</v>
      </c>
      <c r="J63" t="s">
        <v>107</v>
      </c>
      <c r="K63" t="s">
        <v>87</v>
      </c>
      <c r="L63">
        <v>11</v>
      </c>
      <c r="N63" t="s">
        <v>103</v>
      </c>
    </row>
    <row r="64" spans="1:14" x14ac:dyDescent="0.35">
      <c r="A64" t="s">
        <v>301</v>
      </c>
      <c r="B64" t="s">
        <v>302</v>
      </c>
      <c r="C64" t="s">
        <v>41</v>
      </c>
      <c r="D64">
        <v>155.05000000000001</v>
      </c>
      <c r="E64">
        <v>16000</v>
      </c>
      <c r="F64" t="s">
        <v>46</v>
      </c>
      <c r="G64" t="s">
        <v>32</v>
      </c>
      <c r="H64" t="s">
        <v>57</v>
      </c>
      <c r="I64" t="s">
        <v>44</v>
      </c>
      <c r="J64" t="s">
        <v>303</v>
      </c>
      <c r="K64" t="s">
        <v>147</v>
      </c>
      <c r="L64">
        <v>15</v>
      </c>
      <c r="M64" t="s">
        <v>304</v>
      </c>
      <c r="N64" t="s">
        <v>305</v>
      </c>
    </row>
    <row r="65" spans="1:14" x14ac:dyDescent="0.35">
      <c r="A65" t="s">
        <v>306</v>
      </c>
      <c r="B65" t="s">
        <v>307</v>
      </c>
      <c r="C65" t="s">
        <v>41</v>
      </c>
      <c r="D65">
        <v>124.97</v>
      </c>
      <c r="E65">
        <v>35000</v>
      </c>
      <c r="F65" t="s">
        <v>123</v>
      </c>
      <c r="G65" t="s">
        <v>32</v>
      </c>
      <c r="H65" t="s">
        <v>43</v>
      </c>
      <c r="I65" t="s">
        <v>129</v>
      </c>
      <c r="J65" t="s">
        <v>235</v>
      </c>
      <c r="K65" t="s">
        <v>236</v>
      </c>
      <c r="L65">
        <v>21</v>
      </c>
      <c r="M65" t="s">
        <v>308</v>
      </c>
      <c r="N65" t="s">
        <v>309</v>
      </c>
    </row>
    <row r="66" spans="1:14" x14ac:dyDescent="0.35">
      <c r="A66" t="s">
        <v>310</v>
      </c>
      <c r="B66" t="s">
        <v>311</v>
      </c>
      <c r="C66" t="s">
        <v>41</v>
      </c>
      <c r="D66">
        <v>151.81</v>
      </c>
      <c r="E66">
        <v>15000</v>
      </c>
      <c r="F66" t="s">
        <v>74</v>
      </c>
      <c r="G66" t="s">
        <v>32</v>
      </c>
      <c r="H66" t="s">
        <v>57</v>
      </c>
      <c r="I66" t="s">
        <v>44</v>
      </c>
      <c r="J66" t="s">
        <v>70</v>
      </c>
      <c r="K66" t="s">
        <v>31</v>
      </c>
      <c r="L66">
        <v>20</v>
      </c>
      <c r="M66" t="s">
        <v>312</v>
      </c>
      <c r="N66" t="s">
        <v>313</v>
      </c>
    </row>
    <row r="67" spans="1:14" x14ac:dyDescent="0.35">
      <c r="A67" t="s">
        <v>314</v>
      </c>
      <c r="B67" t="s">
        <v>315</v>
      </c>
      <c r="C67" t="s">
        <v>41</v>
      </c>
      <c r="D67">
        <v>121.54</v>
      </c>
      <c r="E67">
        <v>31000</v>
      </c>
      <c r="F67" t="s">
        <v>64</v>
      </c>
      <c r="G67" t="s">
        <v>32</v>
      </c>
      <c r="H67" t="s">
        <v>33</v>
      </c>
      <c r="I67" t="s">
        <v>34</v>
      </c>
      <c r="J67" t="s">
        <v>316</v>
      </c>
      <c r="K67" t="s">
        <v>97</v>
      </c>
      <c r="L67">
        <v>22</v>
      </c>
      <c r="M67" t="s">
        <v>317</v>
      </c>
      <c r="N67" t="s">
        <v>259</v>
      </c>
    </row>
    <row r="68" spans="1:14" x14ac:dyDescent="0.35">
      <c r="A68" t="s">
        <v>318</v>
      </c>
      <c r="B68" t="s">
        <v>319</v>
      </c>
      <c r="C68" t="s">
        <v>62</v>
      </c>
      <c r="D68">
        <v>77.47</v>
      </c>
      <c r="E68">
        <v>3000</v>
      </c>
      <c r="F68" t="s">
        <v>51</v>
      </c>
      <c r="G68" t="s">
        <v>102</v>
      </c>
      <c r="H68" t="s">
        <v>43</v>
      </c>
      <c r="I68" t="s">
        <v>44</v>
      </c>
      <c r="J68" t="s">
        <v>320</v>
      </c>
      <c r="K68" t="s">
        <v>97</v>
      </c>
      <c r="L68">
        <v>12</v>
      </c>
      <c r="M68" t="s">
        <v>321</v>
      </c>
      <c r="N68" t="s">
        <v>322</v>
      </c>
    </row>
    <row r="69" spans="1:14" x14ac:dyDescent="0.35">
      <c r="A69" t="s">
        <v>323</v>
      </c>
      <c r="B69" t="s">
        <v>324</v>
      </c>
      <c r="C69" t="s">
        <v>69</v>
      </c>
      <c r="D69">
        <v>67.55</v>
      </c>
      <c r="E69">
        <v>96000</v>
      </c>
      <c r="F69" t="s">
        <v>147</v>
      </c>
      <c r="G69" t="s">
        <v>32</v>
      </c>
      <c r="H69" t="s">
        <v>33</v>
      </c>
      <c r="I69" t="s">
        <v>34</v>
      </c>
      <c r="J69" t="s">
        <v>75</v>
      </c>
      <c r="K69" t="s">
        <v>76</v>
      </c>
      <c r="L69">
        <v>13</v>
      </c>
      <c r="N69" t="s">
        <v>325</v>
      </c>
    </row>
    <row r="70" spans="1:14" x14ac:dyDescent="0.35">
      <c r="A70" t="s">
        <v>326</v>
      </c>
      <c r="B70" t="s">
        <v>327</v>
      </c>
      <c r="C70" t="s">
        <v>62</v>
      </c>
      <c r="D70">
        <v>98.49</v>
      </c>
      <c r="E70">
        <v>2000</v>
      </c>
      <c r="F70" t="s">
        <v>97</v>
      </c>
      <c r="G70" t="s">
        <v>32</v>
      </c>
      <c r="H70" t="s">
        <v>43</v>
      </c>
      <c r="I70" t="s">
        <v>129</v>
      </c>
      <c r="J70" t="s">
        <v>112</v>
      </c>
      <c r="K70" t="s">
        <v>106</v>
      </c>
      <c r="L70">
        <v>5</v>
      </c>
      <c r="M70" t="s">
        <v>308</v>
      </c>
      <c r="N70" t="s">
        <v>328</v>
      </c>
    </row>
    <row r="71" spans="1:14" x14ac:dyDescent="0.35">
      <c r="A71" t="s">
        <v>329</v>
      </c>
      <c r="B71" t="s">
        <v>330</v>
      </c>
      <c r="C71" t="s">
        <v>116</v>
      </c>
      <c r="D71">
        <v>11.21</v>
      </c>
      <c r="E71">
        <v>400</v>
      </c>
      <c r="F71" t="s">
        <v>87</v>
      </c>
      <c r="G71" t="s">
        <v>32</v>
      </c>
      <c r="H71" t="s">
        <v>43</v>
      </c>
      <c r="I71" t="s">
        <v>129</v>
      </c>
      <c r="J71" t="s">
        <v>75</v>
      </c>
      <c r="K71" t="s">
        <v>76</v>
      </c>
      <c r="L71">
        <v>10</v>
      </c>
      <c r="N71" t="s">
        <v>331</v>
      </c>
    </row>
    <row r="72" spans="1:14" x14ac:dyDescent="0.35">
      <c r="A72" t="s">
        <v>332</v>
      </c>
      <c r="B72" t="s">
        <v>333</v>
      </c>
      <c r="C72" t="s">
        <v>30</v>
      </c>
      <c r="D72">
        <v>156.19999999999999</v>
      </c>
      <c r="E72">
        <v>3000</v>
      </c>
      <c r="F72" t="s">
        <v>64</v>
      </c>
      <c r="G72" t="s">
        <v>32</v>
      </c>
      <c r="H72" t="s">
        <v>43</v>
      </c>
      <c r="I72" t="s">
        <v>34</v>
      </c>
      <c r="J72" t="s">
        <v>334</v>
      </c>
      <c r="K72" t="s">
        <v>51</v>
      </c>
      <c r="L72">
        <v>7</v>
      </c>
      <c r="M72" t="s">
        <v>335</v>
      </c>
      <c r="N72" t="s">
        <v>336</v>
      </c>
    </row>
    <row r="73" spans="1:14" x14ac:dyDescent="0.35">
      <c r="A73" t="s">
        <v>337</v>
      </c>
      <c r="B73" t="s">
        <v>338</v>
      </c>
      <c r="C73" t="s">
        <v>116</v>
      </c>
      <c r="D73">
        <v>7.23</v>
      </c>
      <c r="E73">
        <v>100</v>
      </c>
      <c r="F73" t="s">
        <v>236</v>
      </c>
      <c r="G73" t="s">
        <v>32</v>
      </c>
      <c r="H73" t="s">
        <v>33</v>
      </c>
      <c r="I73" t="s">
        <v>129</v>
      </c>
      <c r="J73" t="s">
        <v>124</v>
      </c>
      <c r="K73" t="s">
        <v>117</v>
      </c>
      <c r="L73">
        <v>9</v>
      </c>
      <c r="N73" t="s">
        <v>339</v>
      </c>
    </row>
    <row r="74" spans="1:14" x14ac:dyDescent="0.35">
      <c r="A74" t="s">
        <v>340</v>
      </c>
      <c r="B74" t="s">
        <v>341</v>
      </c>
      <c r="C74" t="s">
        <v>116</v>
      </c>
      <c r="D74">
        <v>11.63</v>
      </c>
      <c r="E74">
        <v>400</v>
      </c>
      <c r="F74" t="s">
        <v>97</v>
      </c>
      <c r="G74" t="s">
        <v>32</v>
      </c>
      <c r="H74" t="s">
        <v>43</v>
      </c>
      <c r="I74" t="s">
        <v>44</v>
      </c>
      <c r="J74" t="s">
        <v>112</v>
      </c>
      <c r="K74" t="s">
        <v>106</v>
      </c>
      <c r="L74">
        <v>1</v>
      </c>
      <c r="M74" t="s">
        <v>342</v>
      </c>
      <c r="N74" t="s">
        <v>343</v>
      </c>
    </row>
    <row r="75" spans="1:14" x14ac:dyDescent="0.35">
      <c r="A75" t="s">
        <v>344</v>
      </c>
      <c r="B75" t="s">
        <v>345</v>
      </c>
      <c r="C75" t="s">
        <v>62</v>
      </c>
      <c r="D75">
        <v>74.36</v>
      </c>
      <c r="E75">
        <v>5000</v>
      </c>
      <c r="F75" t="s">
        <v>36</v>
      </c>
      <c r="G75" t="s">
        <v>32</v>
      </c>
      <c r="H75" t="s">
        <v>43</v>
      </c>
      <c r="I75" t="s">
        <v>34</v>
      </c>
      <c r="J75" t="s">
        <v>118</v>
      </c>
      <c r="K75" t="s">
        <v>42</v>
      </c>
      <c r="L75">
        <v>5</v>
      </c>
      <c r="M75" t="s">
        <v>346</v>
      </c>
      <c r="N75" t="s">
        <v>347</v>
      </c>
    </row>
    <row r="76" spans="1:14" x14ac:dyDescent="0.35">
      <c r="A76" t="s">
        <v>348</v>
      </c>
      <c r="B76" t="s">
        <v>349</v>
      </c>
      <c r="C76" t="s">
        <v>69</v>
      </c>
      <c r="D76">
        <v>76.97</v>
      </c>
      <c r="E76">
        <v>99000</v>
      </c>
      <c r="F76" t="s">
        <v>117</v>
      </c>
      <c r="G76" t="s">
        <v>32</v>
      </c>
      <c r="H76" t="s">
        <v>57</v>
      </c>
      <c r="I76" t="s">
        <v>44</v>
      </c>
      <c r="J76" t="s">
        <v>82</v>
      </c>
      <c r="K76" t="s">
        <v>74</v>
      </c>
      <c r="L76">
        <v>3</v>
      </c>
      <c r="N76" t="s">
        <v>350</v>
      </c>
    </row>
    <row r="77" spans="1:14" x14ac:dyDescent="0.35">
      <c r="A77" t="s">
        <v>351</v>
      </c>
      <c r="B77" t="s">
        <v>352</v>
      </c>
      <c r="C77" t="s">
        <v>116</v>
      </c>
      <c r="D77">
        <v>6.15</v>
      </c>
      <c r="E77">
        <v>300</v>
      </c>
      <c r="F77" t="s">
        <v>42</v>
      </c>
      <c r="G77" t="s">
        <v>32</v>
      </c>
      <c r="H77" t="s">
        <v>43</v>
      </c>
      <c r="I77" t="s">
        <v>44</v>
      </c>
      <c r="J77" t="s">
        <v>45</v>
      </c>
      <c r="K77" t="s">
        <v>46</v>
      </c>
      <c r="L77">
        <v>9</v>
      </c>
      <c r="M77" t="s">
        <v>353</v>
      </c>
      <c r="N77" t="s">
        <v>354</v>
      </c>
    </row>
    <row r="78" spans="1:14" x14ac:dyDescent="0.35">
      <c r="A78" t="s">
        <v>355</v>
      </c>
      <c r="B78" t="s">
        <v>356</v>
      </c>
      <c r="C78" t="s">
        <v>69</v>
      </c>
      <c r="D78">
        <v>78.34</v>
      </c>
      <c r="E78">
        <v>52000</v>
      </c>
      <c r="F78" t="s">
        <v>64</v>
      </c>
      <c r="G78" t="s">
        <v>32</v>
      </c>
      <c r="H78" t="s">
        <v>57</v>
      </c>
      <c r="I78" t="s">
        <v>44</v>
      </c>
      <c r="J78" t="s">
        <v>357</v>
      </c>
      <c r="K78" t="s">
        <v>42</v>
      </c>
      <c r="L78">
        <v>17</v>
      </c>
      <c r="N78" t="s">
        <v>358</v>
      </c>
    </row>
    <row r="79" spans="1:14" x14ac:dyDescent="0.35">
      <c r="A79" t="s">
        <v>359</v>
      </c>
      <c r="B79" t="s">
        <v>360</v>
      </c>
      <c r="C79" t="s">
        <v>69</v>
      </c>
      <c r="D79">
        <v>67.88</v>
      </c>
      <c r="E79">
        <v>59000</v>
      </c>
      <c r="F79" t="s">
        <v>36</v>
      </c>
      <c r="G79" t="s">
        <v>32</v>
      </c>
      <c r="H79" t="s">
        <v>33</v>
      </c>
      <c r="I79" t="s">
        <v>44</v>
      </c>
      <c r="J79" t="s">
        <v>361</v>
      </c>
      <c r="K79" t="s">
        <v>42</v>
      </c>
      <c r="L79">
        <v>19</v>
      </c>
      <c r="M79" t="s">
        <v>362</v>
      </c>
      <c r="N79" t="s">
        <v>363</v>
      </c>
    </row>
    <row r="80" spans="1:14" x14ac:dyDescent="0.35">
      <c r="A80" t="s">
        <v>364</v>
      </c>
      <c r="B80" t="s">
        <v>365</v>
      </c>
      <c r="C80" t="s">
        <v>69</v>
      </c>
      <c r="D80">
        <v>68.72</v>
      </c>
      <c r="E80">
        <v>60000</v>
      </c>
      <c r="F80" t="s">
        <v>64</v>
      </c>
      <c r="G80" t="s">
        <v>32</v>
      </c>
      <c r="H80" t="s">
        <v>33</v>
      </c>
      <c r="J80" t="s">
        <v>366</v>
      </c>
      <c r="K80" t="s">
        <v>51</v>
      </c>
      <c r="L80">
        <v>5</v>
      </c>
      <c r="M80" t="s">
        <v>258</v>
      </c>
      <c r="N80" t="s">
        <v>367</v>
      </c>
    </row>
    <row r="81" spans="1:14" x14ac:dyDescent="0.35">
      <c r="A81" t="s">
        <v>368</v>
      </c>
      <c r="B81" t="s">
        <v>369</v>
      </c>
      <c r="C81" t="s">
        <v>69</v>
      </c>
      <c r="D81">
        <v>86.31</v>
      </c>
      <c r="E81">
        <v>39000</v>
      </c>
      <c r="F81" t="s">
        <v>51</v>
      </c>
      <c r="G81" t="s">
        <v>32</v>
      </c>
      <c r="H81" t="s">
        <v>33</v>
      </c>
      <c r="I81" t="s">
        <v>44</v>
      </c>
      <c r="J81" t="s">
        <v>124</v>
      </c>
      <c r="K81" t="s">
        <v>117</v>
      </c>
      <c r="L81">
        <v>17</v>
      </c>
      <c r="N81" t="s">
        <v>370</v>
      </c>
    </row>
    <row r="82" spans="1:14" x14ac:dyDescent="0.35">
      <c r="A82" t="s">
        <v>371</v>
      </c>
      <c r="B82" t="s">
        <v>372</v>
      </c>
      <c r="C82" t="s">
        <v>81</v>
      </c>
      <c r="D82">
        <v>100.14</v>
      </c>
      <c r="E82">
        <v>7000</v>
      </c>
      <c r="F82" t="s">
        <v>139</v>
      </c>
      <c r="G82" t="s">
        <v>32</v>
      </c>
      <c r="H82" t="s">
        <v>33</v>
      </c>
      <c r="I82" t="s">
        <v>34</v>
      </c>
      <c r="J82" t="s">
        <v>334</v>
      </c>
      <c r="K82" t="s">
        <v>51</v>
      </c>
      <c r="L82">
        <v>15</v>
      </c>
      <c r="N82" t="s">
        <v>373</v>
      </c>
    </row>
    <row r="83" spans="1:14" x14ac:dyDescent="0.35">
      <c r="A83" t="s">
        <v>374</v>
      </c>
      <c r="B83" t="s">
        <v>375</v>
      </c>
      <c r="C83" t="s">
        <v>62</v>
      </c>
      <c r="D83">
        <v>81.790000000000006</v>
      </c>
      <c r="E83">
        <v>4000</v>
      </c>
      <c r="F83" t="s">
        <v>42</v>
      </c>
      <c r="G83" t="s">
        <v>32</v>
      </c>
      <c r="H83" t="s">
        <v>33</v>
      </c>
      <c r="I83" t="s">
        <v>44</v>
      </c>
      <c r="J83" t="s">
        <v>124</v>
      </c>
      <c r="K83" t="s">
        <v>117</v>
      </c>
      <c r="L83">
        <v>4</v>
      </c>
      <c r="N83" t="s">
        <v>376</v>
      </c>
    </row>
    <row r="84" spans="1:14" x14ac:dyDescent="0.35">
      <c r="A84" t="s">
        <v>377</v>
      </c>
      <c r="B84" t="s">
        <v>378</v>
      </c>
      <c r="C84" t="s">
        <v>69</v>
      </c>
      <c r="D84">
        <v>88.05</v>
      </c>
      <c r="E84">
        <v>79000</v>
      </c>
      <c r="F84" t="s">
        <v>236</v>
      </c>
      <c r="G84" t="s">
        <v>32</v>
      </c>
      <c r="H84" t="s">
        <v>57</v>
      </c>
      <c r="I84" t="s">
        <v>44</v>
      </c>
      <c r="J84" t="s">
        <v>35</v>
      </c>
      <c r="K84" t="s">
        <v>36</v>
      </c>
      <c r="L84">
        <v>21</v>
      </c>
      <c r="N84" t="s">
        <v>379</v>
      </c>
    </row>
    <row r="85" spans="1:14" x14ac:dyDescent="0.35">
      <c r="A85" t="s">
        <v>380</v>
      </c>
      <c r="B85" t="s">
        <v>381</v>
      </c>
      <c r="C85" t="s">
        <v>62</v>
      </c>
      <c r="D85">
        <v>89.36</v>
      </c>
      <c r="E85">
        <v>2000</v>
      </c>
      <c r="F85" t="s">
        <v>76</v>
      </c>
      <c r="G85" t="s">
        <v>32</v>
      </c>
      <c r="H85" t="s">
        <v>33</v>
      </c>
      <c r="I85" t="s">
        <v>44</v>
      </c>
      <c r="J85" t="s">
        <v>35</v>
      </c>
      <c r="K85" t="s">
        <v>36</v>
      </c>
      <c r="L85">
        <v>10</v>
      </c>
      <c r="M85" t="s">
        <v>382</v>
      </c>
      <c r="N85" t="s">
        <v>383</v>
      </c>
    </row>
    <row r="86" spans="1:14" x14ac:dyDescent="0.35">
      <c r="A86" t="s">
        <v>384</v>
      </c>
      <c r="B86" t="s">
        <v>385</v>
      </c>
      <c r="C86" t="s">
        <v>69</v>
      </c>
      <c r="D86">
        <v>95.04</v>
      </c>
      <c r="E86">
        <v>14000</v>
      </c>
      <c r="F86" t="s">
        <v>97</v>
      </c>
      <c r="G86" t="s">
        <v>32</v>
      </c>
      <c r="H86" t="s">
        <v>57</v>
      </c>
      <c r="I86" t="s">
        <v>44</v>
      </c>
      <c r="J86" t="s">
        <v>112</v>
      </c>
      <c r="K86" t="s">
        <v>106</v>
      </c>
      <c r="L86">
        <v>10</v>
      </c>
      <c r="M86" t="s">
        <v>386</v>
      </c>
      <c r="N86" t="s">
        <v>387</v>
      </c>
    </row>
    <row r="87" spans="1:14" x14ac:dyDescent="0.35">
      <c r="A87" t="s">
        <v>388</v>
      </c>
      <c r="B87" t="s">
        <v>389</v>
      </c>
      <c r="C87" t="s">
        <v>116</v>
      </c>
      <c r="D87">
        <v>11.57</v>
      </c>
      <c r="E87">
        <v>100</v>
      </c>
      <c r="F87" t="s">
        <v>64</v>
      </c>
      <c r="G87" t="s">
        <v>32</v>
      </c>
      <c r="H87" t="s">
        <v>57</v>
      </c>
      <c r="J87" t="s">
        <v>209</v>
      </c>
      <c r="K87" t="s">
        <v>74</v>
      </c>
      <c r="L87">
        <v>13</v>
      </c>
      <c r="N87" t="s">
        <v>390</v>
      </c>
    </row>
    <row r="88" spans="1:14" x14ac:dyDescent="0.35">
      <c r="A88" t="s">
        <v>391</v>
      </c>
      <c r="B88" t="s">
        <v>392</v>
      </c>
      <c r="C88" t="s">
        <v>81</v>
      </c>
      <c r="D88">
        <v>109.33</v>
      </c>
      <c r="E88">
        <v>6000</v>
      </c>
      <c r="F88" t="s">
        <v>117</v>
      </c>
      <c r="G88" t="s">
        <v>32</v>
      </c>
      <c r="H88" t="s">
        <v>43</v>
      </c>
      <c r="J88" t="s">
        <v>393</v>
      </c>
      <c r="K88" t="s">
        <v>74</v>
      </c>
      <c r="L88">
        <v>0</v>
      </c>
      <c r="M88" t="s">
        <v>394</v>
      </c>
      <c r="N88" t="s">
        <v>395</v>
      </c>
    </row>
    <row r="89" spans="1:14" x14ac:dyDescent="0.35">
      <c r="A89" t="s">
        <v>396</v>
      </c>
      <c r="B89" t="s">
        <v>397</v>
      </c>
      <c r="C89" t="s">
        <v>81</v>
      </c>
      <c r="D89">
        <v>126.63</v>
      </c>
      <c r="E89">
        <v>1000</v>
      </c>
      <c r="F89" t="s">
        <v>64</v>
      </c>
      <c r="G89" t="s">
        <v>32</v>
      </c>
      <c r="H89" t="s">
        <v>33</v>
      </c>
      <c r="I89" t="s">
        <v>34</v>
      </c>
      <c r="J89" t="s">
        <v>118</v>
      </c>
      <c r="K89" t="s">
        <v>42</v>
      </c>
      <c r="L89">
        <v>9</v>
      </c>
      <c r="M89" t="s">
        <v>398</v>
      </c>
      <c r="N89" t="s">
        <v>399</v>
      </c>
    </row>
    <row r="90" spans="1:14" x14ac:dyDescent="0.35">
      <c r="A90" t="s">
        <v>400</v>
      </c>
      <c r="B90" t="s">
        <v>401</v>
      </c>
      <c r="C90" t="s">
        <v>69</v>
      </c>
      <c r="D90">
        <v>77.650000000000006</v>
      </c>
      <c r="E90">
        <v>78000</v>
      </c>
      <c r="F90" t="s">
        <v>74</v>
      </c>
      <c r="G90" t="s">
        <v>32</v>
      </c>
      <c r="H90" t="s">
        <v>33</v>
      </c>
      <c r="I90" t="s">
        <v>44</v>
      </c>
      <c r="J90" t="s">
        <v>402</v>
      </c>
      <c r="K90" t="s">
        <v>51</v>
      </c>
      <c r="L90">
        <v>16</v>
      </c>
      <c r="M90" t="s">
        <v>403</v>
      </c>
      <c r="N90" t="s">
        <v>404</v>
      </c>
    </row>
    <row r="91" spans="1:14" x14ac:dyDescent="0.35">
      <c r="A91" t="s">
        <v>405</v>
      </c>
      <c r="B91" t="s">
        <v>406</v>
      </c>
      <c r="C91" t="s">
        <v>81</v>
      </c>
      <c r="D91">
        <v>82</v>
      </c>
      <c r="E91">
        <v>10000</v>
      </c>
      <c r="F91" t="s">
        <v>42</v>
      </c>
      <c r="G91" t="s">
        <v>32</v>
      </c>
      <c r="H91" t="s">
        <v>57</v>
      </c>
      <c r="J91" t="s">
        <v>164</v>
      </c>
      <c r="K91" t="s">
        <v>74</v>
      </c>
      <c r="L91">
        <v>4</v>
      </c>
      <c r="M91" t="s">
        <v>407</v>
      </c>
      <c r="N91" t="s">
        <v>408</v>
      </c>
    </row>
    <row r="92" spans="1:14" x14ac:dyDescent="0.35">
      <c r="A92" t="s">
        <v>409</v>
      </c>
      <c r="B92" t="s">
        <v>410</v>
      </c>
      <c r="C92" t="s">
        <v>30</v>
      </c>
      <c r="D92">
        <v>102.63</v>
      </c>
      <c r="E92">
        <v>9000</v>
      </c>
      <c r="F92" t="s">
        <v>51</v>
      </c>
      <c r="G92" t="s">
        <v>32</v>
      </c>
      <c r="H92" t="s">
        <v>33</v>
      </c>
      <c r="J92" t="s">
        <v>411</v>
      </c>
      <c r="K92" t="s">
        <v>139</v>
      </c>
      <c r="L92">
        <v>4</v>
      </c>
      <c r="N92" t="s">
        <v>412</v>
      </c>
    </row>
    <row r="93" spans="1:14" x14ac:dyDescent="0.35">
      <c r="A93" t="s">
        <v>413</v>
      </c>
      <c r="B93" t="s">
        <v>414</v>
      </c>
      <c r="C93" t="s">
        <v>30</v>
      </c>
      <c r="D93">
        <v>199.63</v>
      </c>
      <c r="E93">
        <v>16000</v>
      </c>
      <c r="F93" t="s">
        <v>31</v>
      </c>
      <c r="G93" t="s">
        <v>32</v>
      </c>
      <c r="H93" t="s">
        <v>33</v>
      </c>
      <c r="I93" t="s">
        <v>34</v>
      </c>
      <c r="J93" t="s">
        <v>209</v>
      </c>
      <c r="K93" t="s">
        <v>74</v>
      </c>
      <c r="L93">
        <v>9</v>
      </c>
      <c r="N93" t="s">
        <v>415</v>
      </c>
    </row>
    <row r="94" spans="1:14" x14ac:dyDescent="0.35">
      <c r="A94" t="s">
        <v>416</v>
      </c>
      <c r="B94" t="s">
        <v>417</v>
      </c>
      <c r="C94" t="s">
        <v>62</v>
      </c>
      <c r="D94">
        <v>62.02</v>
      </c>
      <c r="E94">
        <v>1000</v>
      </c>
      <c r="F94" t="s">
        <v>76</v>
      </c>
      <c r="G94" t="s">
        <v>32</v>
      </c>
      <c r="H94" t="s">
        <v>57</v>
      </c>
      <c r="I94" t="s">
        <v>44</v>
      </c>
      <c r="J94" t="s">
        <v>235</v>
      </c>
      <c r="K94" t="s">
        <v>236</v>
      </c>
      <c r="L94">
        <v>22</v>
      </c>
      <c r="M94" t="s">
        <v>231</v>
      </c>
      <c r="N94" t="s">
        <v>418</v>
      </c>
    </row>
    <row r="95" spans="1:14" x14ac:dyDescent="0.35">
      <c r="A95" t="s">
        <v>419</v>
      </c>
      <c r="B95" t="s">
        <v>420</v>
      </c>
      <c r="C95" t="s">
        <v>30</v>
      </c>
      <c r="D95">
        <v>153.52000000000001</v>
      </c>
      <c r="E95">
        <v>19000</v>
      </c>
      <c r="F95" t="s">
        <v>87</v>
      </c>
      <c r="G95" t="s">
        <v>32</v>
      </c>
      <c r="H95" t="s">
        <v>57</v>
      </c>
      <c r="I95" t="s">
        <v>129</v>
      </c>
      <c r="J95" t="s">
        <v>63</v>
      </c>
      <c r="K95" t="s">
        <v>64</v>
      </c>
      <c r="L95">
        <v>9</v>
      </c>
      <c r="M95" t="s">
        <v>421</v>
      </c>
      <c r="N95" t="s">
        <v>422</v>
      </c>
    </row>
    <row r="96" spans="1:14" x14ac:dyDescent="0.35">
      <c r="A96" t="s">
        <v>423</v>
      </c>
      <c r="B96" t="s">
        <v>424</v>
      </c>
      <c r="C96" t="s">
        <v>30</v>
      </c>
      <c r="D96">
        <v>116.27</v>
      </c>
      <c r="E96">
        <v>7000</v>
      </c>
      <c r="F96" t="s">
        <v>147</v>
      </c>
      <c r="G96" t="s">
        <v>32</v>
      </c>
      <c r="H96" t="s">
        <v>33</v>
      </c>
      <c r="I96" t="s">
        <v>44</v>
      </c>
      <c r="J96" t="s">
        <v>334</v>
      </c>
      <c r="K96" t="s">
        <v>51</v>
      </c>
      <c r="L96">
        <v>7</v>
      </c>
      <c r="M96" t="s">
        <v>425</v>
      </c>
      <c r="N96" t="s">
        <v>426</v>
      </c>
    </row>
    <row r="97" spans="1:14" x14ac:dyDescent="0.35">
      <c r="A97" t="s">
        <v>427</v>
      </c>
      <c r="B97" t="s">
        <v>428</v>
      </c>
      <c r="C97" t="s">
        <v>62</v>
      </c>
      <c r="D97">
        <v>72.52</v>
      </c>
      <c r="E97">
        <v>1000</v>
      </c>
      <c r="F97" t="s">
        <v>236</v>
      </c>
      <c r="G97" t="s">
        <v>32</v>
      </c>
      <c r="H97" t="s">
        <v>43</v>
      </c>
      <c r="I97" t="s">
        <v>34</v>
      </c>
      <c r="J97" t="s">
        <v>429</v>
      </c>
      <c r="K97" t="s">
        <v>236</v>
      </c>
      <c r="L97">
        <v>10</v>
      </c>
      <c r="N97" t="s">
        <v>430</v>
      </c>
    </row>
    <row r="98" spans="1:14" x14ac:dyDescent="0.35">
      <c r="A98" t="s">
        <v>431</v>
      </c>
      <c r="B98" t="s">
        <v>432</v>
      </c>
      <c r="C98" t="s">
        <v>69</v>
      </c>
      <c r="D98">
        <v>83.23</v>
      </c>
      <c r="E98">
        <v>95000</v>
      </c>
      <c r="F98" t="s">
        <v>46</v>
      </c>
      <c r="G98" t="s">
        <v>32</v>
      </c>
      <c r="H98" t="s">
        <v>33</v>
      </c>
      <c r="J98" t="s">
        <v>433</v>
      </c>
      <c r="K98" t="s">
        <v>97</v>
      </c>
      <c r="L98">
        <v>6</v>
      </c>
      <c r="M98" t="s">
        <v>434</v>
      </c>
      <c r="N98" t="s">
        <v>435</v>
      </c>
    </row>
    <row r="99" spans="1:14" x14ac:dyDescent="0.35">
      <c r="A99" t="s">
        <v>436</v>
      </c>
      <c r="B99" t="s">
        <v>437</v>
      </c>
      <c r="C99" t="s">
        <v>81</v>
      </c>
      <c r="D99">
        <v>116.8</v>
      </c>
      <c r="E99">
        <v>9000</v>
      </c>
      <c r="F99" t="s">
        <v>123</v>
      </c>
      <c r="G99" t="s">
        <v>32</v>
      </c>
      <c r="H99" t="s">
        <v>43</v>
      </c>
      <c r="I99" t="s">
        <v>44</v>
      </c>
      <c r="J99" t="s">
        <v>112</v>
      </c>
      <c r="K99" t="s">
        <v>106</v>
      </c>
      <c r="L99">
        <v>13</v>
      </c>
      <c r="N99" t="s">
        <v>438</v>
      </c>
    </row>
    <row r="100" spans="1:14" x14ac:dyDescent="0.35">
      <c r="A100" t="s">
        <v>439</v>
      </c>
      <c r="B100" t="s">
        <v>440</v>
      </c>
      <c r="C100" t="s">
        <v>69</v>
      </c>
      <c r="D100">
        <v>82.05</v>
      </c>
      <c r="E100">
        <v>15000</v>
      </c>
      <c r="F100" t="s">
        <v>123</v>
      </c>
      <c r="G100" t="s">
        <v>32</v>
      </c>
      <c r="H100" t="s">
        <v>43</v>
      </c>
      <c r="J100" t="s">
        <v>130</v>
      </c>
      <c r="K100" t="s">
        <v>123</v>
      </c>
      <c r="L100">
        <v>8</v>
      </c>
      <c r="N100" t="s">
        <v>441</v>
      </c>
    </row>
    <row r="101" spans="1:14" x14ac:dyDescent="0.35">
      <c r="A101" t="s">
        <v>442</v>
      </c>
      <c r="B101" t="s">
        <v>443</v>
      </c>
      <c r="C101" t="s">
        <v>69</v>
      </c>
      <c r="D101">
        <v>75.599999999999994</v>
      </c>
      <c r="E101">
        <v>41000</v>
      </c>
      <c r="F101" t="s">
        <v>64</v>
      </c>
      <c r="G101" t="s">
        <v>32</v>
      </c>
      <c r="H101" t="s">
        <v>43</v>
      </c>
      <c r="I101" t="s">
        <v>34</v>
      </c>
      <c r="J101" t="s">
        <v>209</v>
      </c>
      <c r="K101" t="s">
        <v>74</v>
      </c>
      <c r="L101">
        <v>7</v>
      </c>
      <c r="N101" t="s">
        <v>444</v>
      </c>
    </row>
    <row r="102" spans="1:14" x14ac:dyDescent="0.35">
      <c r="A102" t="s">
        <v>445</v>
      </c>
      <c r="B102" t="s">
        <v>446</v>
      </c>
      <c r="C102" t="s">
        <v>116</v>
      </c>
      <c r="D102">
        <v>9.14</v>
      </c>
      <c r="E102">
        <v>300</v>
      </c>
      <c r="F102" t="s">
        <v>31</v>
      </c>
      <c r="G102" t="s">
        <v>32</v>
      </c>
      <c r="H102" t="s">
        <v>57</v>
      </c>
      <c r="I102" t="s">
        <v>44</v>
      </c>
      <c r="J102" t="s">
        <v>35</v>
      </c>
      <c r="K102" t="s">
        <v>36</v>
      </c>
      <c r="L102">
        <v>10</v>
      </c>
      <c r="M102" t="s">
        <v>447</v>
      </c>
      <c r="N102" t="s">
        <v>448</v>
      </c>
    </row>
    <row r="103" spans="1:14" x14ac:dyDescent="0.35">
      <c r="A103" t="s">
        <v>449</v>
      </c>
      <c r="B103" t="s">
        <v>450</v>
      </c>
      <c r="C103" t="s">
        <v>116</v>
      </c>
      <c r="D103">
        <v>11.34</v>
      </c>
      <c r="E103">
        <v>200</v>
      </c>
      <c r="F103" t="s">
        <v>106</v>
      </c>
      <c r="G103" t="s">
        <v>32</v>
      </c>
      <c r="H103" t="s">
        <v>33</v>
      </c>
      <c r="I103" t="s">
        <v>44</v>
      </c>
      <c r="J103" t="s">
        <v>451</v>
      </c>
      <c r="K103" t="s">
        <v>51</v>
      </c>
      <c r="L103">
        <v>13</v>
      </c>
      <c r="N103" t="s">
        <v>452</v>
      </c>
    </row>
    <row r="104" spans="1:14" x14ac:dyDescent="0.35">
      <c r="A104" t="s">
        <v>453</v>
      </c>
      <c r="B104" t="s">
        <v>454</v>
      </c>
      <c r="C104" t="s">
        <v>41</v>
      </c>
      <c r="D104">
        <v>89.76</v>
      </c>
      <c r="E104">
        <v>31000</v>
      </c>
      <c r="F104" t="s">
        <v>36</v>
      </c>
      <c r="G104" t="s">
        <v>32</v>
      </c>
      <c r="H104" t="s">
        <v>33</v>
      </c>
      <c r="I104" t="s">
        <v>44</v>
      </c>
      <c r="J104" t="s">
        <v>70</v>
      </c>
      <c r="K104" t="s">
        <v>31</v>
      </c>
      <c r="L104">
        <v>10</v>
      </c>
      <c r="M104" t="s">
        <v>455</v>
      </c>
      <c r="N104" t="s">
        <v>456</v>
      </c>
    </row>
    <row r="105" spans="1:14" x14ac:dyDescent="0.35">
      <c r="A105" t="s">
        <v>457</v>
      </c>
      <c r="B105" t="s">
        <v>458</v>
      </c>
      <c r="C105" t="s">
        <v>81</v>
      </c>
      <c r="D105">
        <v>136.47</v>
      </c>
      <c r="E105">
        <v>1000</v>
      </c>
      <c r="F105" t="s">
        <v>106</v>
      </c>
      <c r="G105" t="s">
        <v>32</v>
      </c>
      <c r="H105" t="s">
        <v>43</v>
      </c>
      <c r="I105" t="s">
        <v>44</v>
      </c>
      <c r="J105" t="s">
        <v>70</v>
      </c>
      <c r="K105" t="s">
        <v>31</v>
      </c>
      <c r="L105">
        <v>23</v>
      </c>
      <c r="N105" t="s">
        <v>459</v>
      </c>
    </row>
    <row r="106" spans="1:14" x14ac:dyDescent="0.35">
      <c r="A106" t="s">
        <v>460</v>
      </c>
      <c r="B106" t="s">
        <v>461</v>
      </c>
      <c r="C106" t="s">
        <v>81</v>
      </c>
      <c r="D106">
        <v>127.87</v>
      </c>
      <c r="E106">
        <v>7000</v>
      </c>
      <c r="F106" t="s">
        <v>74</v>
      </c>
      <c r="G106" t="s">
        <v>32</v>
      </c>
      <c r="H106" t="s">
        <v>43</v>
      </c>
      <c r="J106" t="s">
        <v>45</v>
      </c>
      <c r="K106" t="s">
        <v>46</v>
      </c>
      <c r="L106">
        <v>8</v>
      </c>
      <c r="M106" t="s">
        <v>462</v>
      </c>
      <c r="N106" t="s">
        <v>463</v>
      </c>
    </row>
    <row r="107" spans="1:14" x14ac:dyDescent="0.35">
      <c r="A107" t="s">
        <v>464</v>
      </c>
      <c r="B107" t="s">
        <v>465</v>
      </c>
      <c r="C107" t="s">
        <v>62</v>
      </c>
      <c r="D107">
        <v>60.87</v>
      </c>
      <c r="E107">
        <v>3000</v>
      </c>
      <c r="F107" t="s">
        <v>123</v>
      </c>
      <c r="G107" t="s">
        <v>32</v>
      </c>
      <c r="H107" t="s">
        <v>57</v>
      </c>
      <c r="I107" t="s">
        <v>34</v>
      </c>
      <c r="J107" t="s">
        <v>130</v>
      </c>
      <c r="K107" t="s">
        <v>123</v>
      </c>
      <c r="L107">
        <v>7</v>
      </c>
      <c r="N107" t="s">
        <v>466</v>
      </c>
    </row>
    <row r="108" spans="1:14" x14ac:dyDescent="0.35">
      <c r="A108" t="s">
        <v>467</v>
      </c>
      <c r="B108" t="s">
        <v>468</v>
      </c>
      <c r="C108" t="s">
        <v>69</v>
      </c>
      <c r="D108">
        <v>92.65</v>
      </c>
      <c r="E108">
        <v>19000</v>
      </c>
      <c r="F108" t="s">
        <v>139</v>
      </c>
      <c r="G108" t="s">
        <v>32</v>
      </c>
      <c r="H108" t="s">
        <v>33</v>
      </c>
      <c r="I108" t="s">
        <v>34</v>
      </c>
      <c r="J108" t="s">
        <v>469</v>
      </c>
      <c r="K108" t="s">
        <v>147</v>
      </c>
      <c r="L108">
        <v>1</v>
      </c>
      <c r="N108" t="s">
        <v>470</v>
      </c>
    </row>
    <row r="109" spans="1:14" x14ac:dyDescent="0.35">
      <c r="A109" t="s">
        <v>471</v>
      </c>
      <c r="B109" t="s">
        <v>472</v>
      </c>
      <c r="C109" t="s">
        <v>69</v>
      </c>
      <c r="D109">
        <v>96.95</v>
      </c>
      <c r="E109">
        <v>50000</v>
      </c>
      <c r="F109" t="s">
        <v>97</v>
      </c>
      <c r="G109" t="s">
        <v>32</v>
      </c>
      <c r="H109" t="s">
        <v>33</v>
      </c>
      <c r="I109" t="s">
        <v>44</v>
      </c>
      <c r="J109" t="s">
        <v>473</v>
      </c>
      <c r="K109" t="s">
        <v>51</v>
      </c>
      <c r="L109">
        <v>5</v>
      </c>
      <c r="N109" t="s">
        <v>474</v>
      </c>
    </row>
    <row r="110" spans="1:14" x14ac:dyDescent="0.35">
      <c r="A110" t="s">
        <v>475</v>
      </c>
      <c r="B110" t="s">
        <v>476</v>
      </c>
      <c r="C110" t="s">
        <v>69</v>
      </c>
      <c r="D110">
        <v>69.59</v>
      </c>
      <c r="E110">
        <v>84000</v>
      </c>
      <c r="F110" t="s">
        <v>46</v>
      </c>
      <c r="G110" t="s">
        <v>32</v>
      </c>
      <c r="H110" t="s">
        <v>57</v>
      </c>
      <c r="I110" t="s">
        <v>129</v>
      </c>
      <c r="J110" t="s">
        <v>477</v>
      </c>
      <c r="K110" t="s">
        <v>51</v>
      </c>
      <c r="L110">
        <v>12</v>
      </c>
      <c r="M110" t="s">
        <v>478</v>
      </c>
      <c r="N110" t="s">
        <v>339</v>
      </c>
    </row>
    <row r="111" spans="1:14" x14ac:dyDescent="0.35">
      <c r="A111" t="s">
        <v>479</v>
      </c>
      <c r="B111" t="s">
        <v>480</v>
      </c>
      <c r="C111" t="s">
        <v>41</v>
      </c>
      <c r="D111">
        <v>94.33</v>
      </c>
      <c r="E111">
        <v>20000</v>
      </c>
      <c r="F111" t="s">
        <v>117</v>
      </c>
      <c r="G111" t="s">
        <v>32</v>
      </c>
      <c r="H111" t="s">
        <v>33</v>
      </c>
      <c r="I111" t="s">
        <v>44</v>
      </c>
      <c r="J111" t="s">
        <v>45</v>
      </c>
      <c r="K111" t="s">
        <v>46</v>
      </c>
      <c r="L111">
        <v>11</v>
      </c>
      <c r="M111" t="s">
        <v>481</v>
      </c>
      <c r="N111" t="s">
        <v>482</v>
      </c>
    </row>
    <row r="112" spans="1:14" x14ac:dyDescent="0.35">
      <c r="A112" t="s">
        <v>483</v>
      </c>
      <c r="B112" t="s">
        <v>484</v>
      </c>
      <c r="C112" t="s">
        <v>69</v>
      </c>
      <c r="D112">
        <v>71.650000000000006</v>
      </c>
      <c r="E112">
        <v>78000</v>
      </c>
      <c r="F112" t="s">
        <v>123</v>
      </c>
      <c r="G112" t="s">
        <v>32</v>
      </c>
      <c r="H112" t="s">
        <v>43</v>
      </c>
      <c r="I112" t="s">
        <v>34</v>
      </c>
      <c r="J112" t="s">
        <v>63</v>
      </c>
      <c r="K112" t="s">
        <v>64</v>
      </c>
      <c r="L112">
        <v>14</v>
      </c>
      <c r="M112" t="s">
        <v>485</v>
      </c>
      <c r="N112" t="s">
        <v>486</v>
      </c>
    </row>
    <row r="113" spans="1:14" x14ac:dyDescent="0.35">
      <c r="A113" t="s">
        <v>487</v>
      </c>
      <c r="B113" t="s">
        <v>488</v>
      </c>
      <c r="C113" t="s">
        <v>62</v>
      </c>
      <c r="D113">
        <v>96.33</v>
      </c>
      <c r="E113">
        <v>2000</v>
      </c>
      <c r="F113" t="s">
        <v>51</v>
      </c>
      <c r="G113" t="s">
        <v>32</v>
      </c>
      <c r="H113" t="s">
        <v>57</v>
      </c>
      <c r="I113" t="s">
        <v>44</v>
      </c>
      <c r="J113" t="s">
        <v>75</v>
      </c>
      <c r="K113" t="s">
        <v>76</v>
      </c>
      <c r="L113">
        <v>21</v>
      </c>
      <c r="M113" t="s">
        <v>184</v>
      </c>
      <c r="N113" t="s">
        <v>489</v>
      </c>
    </row>
    <row r="114" spans="1:14" x14ac:dyDescent="0.35">
      <c r="A114" t="s">
        <v>490</v>
      </c>
      <c r="B114" t="s">
        <v>491</v>
      </c>
      <c r="C114" t="s">
        <v>116</v>
      </c>
      <c r="D114">
        <v>9.58</v>
      </c>
      <c r="E114">
        <v>600</v>
      </c>
      <c r="F114" t="s">
        <v>36</v>
      </c>
      <c r="G114" t="s">
        <v>32</v>
      </c>
      <c r="H114" t="s">
        <v>33</v>
      </c>
      <c r="I114" t="s">
        <v>129</v>
      </c>
      <c r="J114" t="s">
        <v>130</v>
      </c>
      <c r="K114" t="s">
        <v>123</v>
      </c>
      <c r="L114">
        <v>5</v>
      </c>
      <c r="M114" t="s">
        <v>492</v>
      </c>
      <c r="N114" t="s">
        <v>493</v>
      </c>
    </row>
    <row r="115" spans="1:14" x14ac:dyDescent="0.35">
      <c r="A115" t="s">
        <v>494</v>
      </c>
      <c r="B115" t="s">
        <v>495</v>
      </c>
      <c r="C115" t="s">
        <v>81</v>
      </c>
      <c r="D115">
        <v>134.55000000000001</v>
      </c>
      <c r="E115">
        <v>6000</v>
      </c>
      <c r="F115" t="s">
        <v>36</v>
      </c>
      <c r="G115" t="s">
        <v>32</v>
      </c>
      <c r="H115" t="s">
        <v>33</v>
      </c>
      <c r="I115" t="s">
        <v>44</v>
      </c>
      <c r="J115" t="s">
        <v>112</v>
      </c>
      <c r="K115" t="s">
        <v>106</v>
      </c>
      <c r="L115">
        <v>0</v>
      </c>
      <c r="M115" t="s">
        <v>496</v>
      </c>
      <c r="N115" t="s">
        <v>497</v>
      </c>
    </row>
    <row r="116" spans="1:14" x14ac:dyDescent="0.35">
      <c r="A116" t="s">
        <v>498</v>
      </c>
      <c r="B116" t="s">
        <v>499</v>
      </c>
      <c r="C116" t="s">
        <v>81</v>
      </c>
      <c r="D116">
        <v>107.72</v>
      </c>
      <c r="E116">
        <v>3000</v>
      </c>
      <c r="F116" t="s">
        <v>76</v>
      </c>
      <c r="G116" t="s">
        <v>32</v>
      </c>
      <c r="H116" t="s">
        <v>43</v>
      </c>
      <c r="I116" t="s">
        <v>34</v>
      </c>
      <c r="J116" t="s">
        <v>500</v>
      </c>
      <c r="K116" t="s">
        <v>236</v>
      </c>
      <c r="L116">
        <v>12</v>
      </c>
      <c r="N116" t="s">
        <v>501</v>
      </c>
    </row>
    <row r="117" spans="1:14" x14ac:dyDescent="0.35">
      <c r="A117" t="s">
        <v>502</v>
      </c>
      <c r="B117" t="s">
        <v>503</v>
      </c>
      <c r="C117" t="s">
        <v>30</v>
      </c>
      <c r="D117">
        <v>189.17</v>
      </c>
      <c r="E117">
        <v>10000</v>
      </c>
      <c r="F117" t="s">
        <v>87</v>
      </c>
      <c r="G117" t="s">
        <v>102</v>
      </c>
      <c r="H117" t="s">
        <v>43</v>
      </c>
      <c r="I117" t="s">
        <v>34</v>
      </c>
      <c r="J117" t="s">
        <v>118</v>
      </c>
      <c r="K117" t="s">
        <v>42</v>
      </c>
      <c r="L117">
        <v>17</v>
      </c>
      <c r="N117" t="s">
        <v>504</v>
      </c>
    </row>
    <row r="118" spans="1:14" x14ac:dyDescent="0.35">
      <c r="A118" t="s">
        <v>505</v>
      </c>
      <c r="B118" t="s">
        <v>506</v>
      </c>
      <c r="C118" t="s">
        <v>62</v>
      </c>
      <c r="D118">
        <v>61.14</v>
      </c>
      <c r="E118">
        <v>3000</v>
      </c>
      <c r="F118" t="s">
        <v>64</v>
      </c>
      <c r="G118" t="s">
        <v>32</v>
      </c>
      <c r="H118" t="s">
        <v>33</v>
      </c>
      <c r="I118" t="s">
        <v>44</v>
      </c>
      <c r="J118" t="s">
        <v>75</v>
      </c>
      <c r="K118" t="s">
        <v>76</v>
      </c>
      <c r="L118">
        <v>8</v>
      </c>
      <c r="N118" t="s">
        <v>244</v>
      </c>
    </row>
    <row r="119" spans="1:14" x14ac:dyDescent="0.35">
      <c r="A119" t="s">
        <v>507</v>
      </c>
      <c r="B119" t="s">
        <v>508</v>
      </c>
      <c r="C119" t="s">
        <v>116</v>
      </c>
      <c r="D119">
        <v>8.41</v>
      </c>
      <c r="E119">
        <v>100</v>
      </c>
      <c r="F119" t="s">
        <v>76</v>
      </c>
      <c r="G119" t="s">
        <v>32</v>
      </c>
      <c r="H119" t="s">
        <v>33</v>
      </c>
      <c r="I119" t="s">
        <v>44</v>
      </c>
      <c r="J119" t="s">
        <v>509</v>
      </c>
      <c r="K119" t="s">
        <v>147</v>
      </c>
      <c r="L119">
        <v>20</v>
      </c>
      <c r="M119" t="s">
        <v>156</v>
      </c>
      <c r="N119" t="s">
        <v>510</v>
      </c>
    </row>
    <row r="120" spans="1:14" x14ac:dyDescent="0.35">
      <c r="A120" t="s">
        <v>511</v>
      </c>
      <c r="B120" t="s">
        <v>512</v>
      </c>
      <c r="C120" t="s">
        <v>69</v>
      </c>
      <c r="D120">
        <v>82.01</v>
      </c>
      <c r="E120">
        <v>100000</v>
      </c>
      <c r="F120" t="s">
        <v>51</v>
      </c>
      <c r="G120" t="s">
        <v>32</v>
      </c>
      <c r="H120" t="s">
        <v>43</v>
      </c>
      <c r="I120" t="s">
        <v>44</v>
      </c>
      <c r="J120" t="s">
        <v>124</v>
      </c>
      <c r="K120" t="s">
        <v>117</v>
      </c>
      <c r="L120">
        <v>23</v>
      </c>
      <c r="M120" t="s">
        <v>513</v>
      </c>
      <c r="N120" t="s">
        <v>514</v>
      </c>
    </row>
    <row r="121" spans="1:14" x14ac:dyDescent="0.35">
      <c r="A121" t="s">
        <v>515</v>
      </c>
      <c r="B121" t="s">
        <v>516</v>
      </c>
      <c r="C121" t="s">
        <v>41</v>
      </c>
      <c r="D121">
        <v>116.87</v>
      </c>
      <c r="E121">
        <v>21000</v>
      </c>
      <c r="F121" t="s">
        <v>147</v>
      </c>
      <c r="G121" t="s">
        <v>32</v>
      </c>
      <c r="H121" t="s">
        <v>33</v>
      </c>
      <c r="I121" t="s">
        <v>34</v>
      </c>
      <c r="J121" t="s">
        <v>75</v>
      </c>
      <c r="K121" t="s">
        <v>76</v>
      </c>
      <c r="L121">
        <v>5</v>
      </c>
      <c r="N121" t="s">
        <v>517</v>
      </c>
    </row>
    <row r="122" spans="1:14" x14ac:dyDescent="0.35">
      <c r="A122" t="s">
        <v>518</v>
      </c>
      <c r="B122" t="s">
        <v>519</v>
      </c>
      <c r="C122" t="s">
        <v>116</v>
      </c>
      <c r="D122">
        <v>6.19</v>
      </c>
      <c r="E122">
        <v>700</v>
      </c>
      <c r="F122" t="s">
        <v>51</v>
      </c>
      <c r="G122" t="s">
        <v>32</v>
      </c>
      <c r="H122" t="s">
        <v>57</v>
      </c>
      <c r="I122" t="s">
        <v>44</v>
      </c>
      <c r="J122" t="s">
        <v>278</v>
      </c>
      <c r="K122" t="s">
        <v>97</v>
      </c>
      <c r="L122">
        <v>7</v>
      </c>
      <c r="N122" t="s">
        <v>520</v>
      </c>
    </row>
    <row r="123" spans="1:14" x14ac:dyDescent="0.35">
      <c r="A123" t="s">
        <v>521</v>
      </c>
      <c r="B123" t="s">
        <v>522</v>
      </c>
      <c r="C123" t="s">
        <v>62</v>
      </c>
      <c r="D123">
        <v>95.96</v>
      </c>
      <c r="E123">
        <v>4000</v>
      </c>
      <c r="F123" t="s">
        <v>42</v>
      </c>
      <c r="G123" t="s">
        <v>32</v>
      </c>
      <c r="H123" t="s">
        <v>57</v>
      </c>
      <c r="I123" t="s">
        <v>129</v>
      </c>
      <c r="J123" t="s">
        <v>523</v>
      </c>
      <c r="K123" t="s">
        <v>36</v>
      </c>
      <c r="L123">
        <v>18</v>
      </c>
      <c r="M123" t="s">
        <v>524</v>
      </c>
      <c r="N123" t="s">
        <v>525</v>
      </c>
    </row>
    <row r="124" spans="1:14" x14ac:dyDescent="0.35">
      <c r="A124" t="s">
        <v>526</v>
      </c>
      <c r="B124" t="s">
        <v>527</v>
      </c>
      <c r="C124" t="s">
        <v>69</v>
      </c>
      <c r="D124">
        <v>56.22</v>
      </c>
      <c r="E124">
        <v>97000</v>
      </c>
      <c r="F124" t="s">
        <v>236</v>
      </c>
      <c r="G124" t="s">
        <v>102</v>
      </c>
      <c r="H124" t="s">
        <v>33</v>
      </c>
      <c r="I124" t="s">
        <v>34</v>
      </c>
      <c r="J124" t="s">
        <v>209</v>
      </c>
      <c r="K124" t="s">
        <v>74</v>
      </c>
      <c r="L124">
        <v>12</v>
      </c>
      <c r="M124" t="s">
        <v>528</v>
      </c>
      <c r="N124" t="s">
        <v>529</v>
      </c>
    </row>
    <row r="125" spans="1:14" x14ac:dyDescent="0.35">
      <c r="A125" t="s">
        <v>530</v>
      </c>
      <c r="B125" t="s">
        <v>531</v>
      </c>
      <c r="C125" t="s">
        <v>116</v>
      </c>
      <c r="D125">
        <v>10.220000000000001</v>
      </c>
      <c r="E125">
        <v>700</v>
      </c>
      <c r="F125" t="s">
        <v>42</v>
      </c>
      <c r="G125" t="s">
        <v>32</v>
      </c>
      <c r="H125" t="s">
        <v>33</v>
      </c>
      <c r="I125" t="s">
        <v>34</v>
      </c>
      <c r="J125" t="s">
        <v>532</v>
      </c>
      <c r="K125" t="s">
        <v>51</v>
      </c>
      <c r="L125">
        <v>14</v>
      </c>
      <c r="N125" t="s">
        <v>533</v>
      </c>
    </row>
    <row r="126" spans="1:14" x14ac:dyDescent="0.35">
      <c r="A126" t="s">
        <v>534</v>
      </c>
      <c r="B126" t="s">
        <v>535</v>
      </c>
      <c r="C126" t="s">
        <v>41</v>
      </c>
      <c r="D126">
        <v>139.5</v>
      </c>
      <c r="E126">
        <v>15000</v>
      </c>
      <c r="F126" t="s">
        <v>106</v>
      </c>
      <c r="G126" t="s">
        <v>102</v>
      </c>
      <c r="H126" t="s">
        <v>57</v>
      </c>
      <c r="I126" t="s">
        <v>44</v>
      </c>
      <c r="J126" t="s">
        <v>118</v>
      </c>
      <c r="K126" t="s">
        <v>42</v>
      </c>
      <c r="L126">
        <v>18</v>
      </c>
      <c r="N126" t="s">
        <v>536</v>
      </c>
    </row>
    <row r="127" spans="1:14" x14ac:dyDescent="0.35">
      <c r="A127" t="s">
        <v>537</v>
      </c>
      <c r="B127" t="s">
        <v>538</v>
      </c>
      <c r="C127" t="s">
        <v>62</v>
      </c>
      <c r="D127">
        <v>59.16</v>
      </c>
      <c r="E127">
        <v>4000</v>
      </c>
      <c r="F127" t="s">
        <v>123</v>
      </c>
      <c r="G127" t="s">
        <v>32</v>
      </c>
      <c r="H127" t="s">
        <v>33</v>
      </c>
      <c r="I127" t="s">
        <v>34</v>
      </c>
      <c r="J127" t="s">
        <v>35</v>
      </c>
      <c r="K127" t="s">
        <v>36</v>
      </c>
      <c r="L127">
        <v>13</v>
      </c>
      <c r="M127" t="s">
        <v>539</v>
      </c>
      <c r="N127" t="s">
        <v>540</v>
      </c>
    </row>
    <row r="128" spans="1:14" x14ac:dyDescent="0.35">
      <c r="A128" t="s">
        <v>541</v>
      </c>
      <c r="B128" t="s">
        <v>542</v>
      </c>
      <c r="C128" t="s">
        <v>69</v>
      </c>
      <c r="D128">
        <v>74.25</v>
      </c>
      <c r="E128">
        <v>86000</v>
      </c>
      <c r="F128" t="s">
        <v>139</v>
      </c>
      <c r="G128" t="s">
        <v>32</v>
      </c>
      <c r="H128" t="s">
        <v>57</v>
      </c>
      <c r="J128" t="s">
        <v>543</v>
      </c>
      <c r="K128" t="s">
        <v>51</v>
      </c>
      <c r="L128">
        <v>17</v>
      </c>
      <c r="M128" t="s">
        <v>544</v>
      </c>
      <c r="N128" t="s">
        <v>540</v>
      </c>
    </row>
    <row r="129" spans="1:14" x14ac:dyDescent="0.35">
      <c r="A129" t="s">
        <v>545</v>
      </c>
      <c r="B129" t="s">
        <v>546</v>
      </c>
      <c r="C129" t="s">
        <v>69</v>
      </c>
      <c r="D129">
        <v>51.12</v>
      </c>
      <c r="E129">
        <v>36000</v>
      </c>
      <c r="F129" t="s">
        <v>87</v>
      </c>
      <c r="G129" t="s">
        <v>32</v>
      </c>
      <c r="H129" t="s">
        <v>43</v>
      </c>
      <c r="J129" t="s">
        <v>500</v>
      </c>
      <c r="K129" t="s">
        <v>236</v>
      </c>
      <c r="L129">
        <v>5</v>
      </c>
      <c r="M129" t="s">
        <v>547</v>
      </c>
      <c r="N129" t="s">
        <v>548</v>
      </c>
    </row>
    <row r="130" spans="1:14" x14ac:dyDescent="0.35">
      <c r="A130" t="s">
        <v>549</v>
      </c>
      <c r="B130" t="s">
        <v>550</v>
      </c>
      <c r="C130" t="s">
        <v>69</v>
      </c>
      <c r="D130">
        <v>52.71</v>
      </c>
      <c r="E130">
        <v>43000</v>
      </c>
      <c r="F130" t="s">
        <v>46</v>
      </c>
      <c r="G130" t="s">
        <v>32</v>
      </c>
      <c r="H130" t="s">
        <v>43</v>
      </c>
      <c r="I130" t="s">
        <v>34</v>
      </c>
      <c r="J130" t="s">
        <v>112</v>
      </c>
      <c r="K130" t="s">
        <v>106</v>
      </c>
      <c r="L130">
        <v>5</v>
      </c>
      <c r="M130" t="s">
        <v>551</v>
      </c>
      <c r="N130" t="s">
        <v>552</v>
      </c>
    </row>
    <row r="131" spans="1:14" x14ac:dyDescent="0.35">
      <c r="A131" t="s">
        <v>553</v>
      </c>
      <c r="B131" t="s">
        <v>554</v>
      </c>
      <c r="C131" t="s">
        <v>81</v>
      </c>
      <c r="D131">
        <v>111.08</v>
      </c>
      <c r="E131">
        <v>5000</v>
      </c>
      <c r="F131" t="s">
        <v>31</v>
      </c>
      <c r="G131" t="s">
        <v>32</v>
      </c>
      <c r="H131" t="s">
        <v>57</v>
      </c>
      <c r="I131" t="s">
        <v>129</v>
      </c>
      <c r="J131" t="s">
        <v>35</v>
      </c>
      <c r="K131" t="s">
        <v>36</v>
      </c>
      <c r="L131">
        <v>23</v>
      </c>
      <c r="M131" t="s">
        <v>555</v>
      </c>
      <c r="N131" t="s">
        <v>556</v>
      </c>
    </row>
    <row r="132" spans="1:14" x14ac:dyDescent="0.35">
      <c r="A132" t="s">
        <v>557</v>
      </c>
      <c r="B132" t="s">
        <v>558</v>
      </c>
      <c r="C132" t="s">
        <v>41</v>
      </c>
      <c r="D132">
        <v>120.86</v>
      </c>
      <c r="E132">
        <v>39000</v>
      </c>
      <c r="F132" t="s">
        <v>74</v>
      </c>
      <c r="G132" t="s">
        <v>32</v>
      </c>
      <c r="H132" t="s">
        <v>57</v>
      </c>
      <c r="J132" t="s">
        <v>112</v>
      </c>
      <c r="K132" t="s">
        <v>106</v>
      </c>
      <c r="L132">
        <v>10</v>
      </c>
      <c r="M132" t="s">
        <v>559</v>
      </c>
      <c r="N132" t="s">
        <v>560</v>
      </c>
    </row>
    <row r="133" spans="1:14" x14ac:dyDescent="0.35">
      <c r="A133" t="s">
        <v>561</v>
      </c>
      <c r="B133" t="s">
        <v>562</v>
      </c>
      <c r="C133" t="s">
        <v>69</v>
      </c>
      <c r="D133">
        <v>53.86</v>
      </c>
      <c r="E133">
        <v>92000</v>
      </c>
      <c r="F133" t="s">
        <v>64</v>
      </c>
      <c r="G133" t="s">
        <v>32</v>
      </c>
      <c r="H133" t="s">
        <v>33</v>
      </c>
      <c r="I133" t="s">
        <v>34</v>
      </c>
      <c r="J133" t="s">
        <v>63</v>
      </c>
      <c r="K133" t="s">
        <v>64</v>
      </c>
      <c r="L133">
        <v>18</v>
      </c>
      <c r="M133" t="s">
        <v>563</v>
      </c>
      <c r="N133" t="s">
        <v>564</v>
      </c>
    </row>
    <row r="134" spans="1:14" x14ac:dyDescent="0.35">
      <c r="A134" t="s">
        <v>565</v>
      </c>
      <c r="B134" t="s">
        <v>566</v>
      </c>
      <c r="C134" t="s">
        <v>116</v>
      </c>
      <c r="D134">
        <v>10.39</v>
      </c>
      <c r="E134">
        <v>300</v>
      </c>
      <c r="F134" t="s">
        <v>31</v>
      </c>
      <c r="G134" t="s">
        <v>32</v>
      </c>
      <c r="H134" t="s">
        <v>43</v>
      </c>
      <c r="J134" t="s">
        <v>75</v>
      </c>
      <c r="K134" t="s">
        <v>76</v>
      </c>
      <c r="L134">
        <v>18</v>
      </c>
      <c r="N134" t="s">
        <v>567</v>
      </c>
    </row>
    <row r="135" spans="1:14" x14ac:dyDescent="0.35">
      <c r="A135" t="s">
        <v>568</v>
      </c>
      <c r="B135" t="s">
        <v>569</v>
      </c>
      <c r="C135" t="s">
        <v>81</v>
      </c>
      <c r="D135">
        <v>91.56</v>
      </c>
      <c r="E135">
        <v>5000</v>
      </c>
      <c r="F135" t="s">
        <v>42</v>
      </c>
      <c r="G135" t="s">
        <v>32</v>
      </c>
      <c r="H135" t="s">
        <v>57</v>
      </c>
      <c r="J135" t="s">
        <v>209</v>
      </c>
      <c r="K135" t="s">
        <v>74</v>
      </c>
      <c r="L135">
        <v>9</v>
      </c>
      <c r="N135" t="s">
        <v>570</v>
      </c>
    </row>
    <row r="136" spans="1:14" x14ac:dyDescent="0.35">
      <c r="A136" t="s">
        <v>571</v>
      </c>
      <c r="B136" t="s">
        <v>572</v>
      </c>
      <c r="C136" t="s">
        <v>41</v>
      </c>
      <c r="D136">
        <v>140.85</v>
      </c>
      <c r="E136">
        <v>13000</v>
      </c>
      <c r="F136" t="s">
        <v>46</v>
      </c>
      <c r="G136" t="s">
        <v>32</v>
      </c>
      <c r="H136" t="s">
        <v>43</v>
      </c>
      <c r="I136" t="s">
        <v>44</v>
      </c>
      <c r="J136" t="s">
        <v>573</v>
      </c>
      <c r="K136" t="s">
        <v>42</v>
      </c>
      <c r="L136">
        <v>8</v>
      </c>
      <c r="M136" t="s">
        <v>574</v>
      </c>
      <c r="N136" t="s">
        <v>575</v>
      </c>
    </row>
    <row r="137" spans="1:14" x14ac:dyDescent="0.35">
      <c r="A137" t="s">
        <v>576</v>
      </c>
      <c r="B137" t="s">
        <v>577</v>
      </c>
      <c r="C137" t="s">
        <v>62</v>
      </c>
      <c r="D137">
        <v>64.31</v>
      </c>
      <c r="E137">
        <v>4000</v>
      </c>
      <c r="F137" t="s">
        <v>87</v>
      </c>
      <c r="G137" t="s">
        <v>32</v>
      </c>
      <c r="H137" t="s">
        <v>33</v>
      </c>
      <c r="I137" t="s">
        <v>129</v>
      </c>
      <c r="J137" t="s">
        <v>578</v>
      </c>
      <c r="K137" t="s">
        <v>46</v>
      </c>
      <c r="L137">
        <v>8</v>
      </c>
      <c r="N137" t="s">
        <v>579</v>
      </c>
    </row>
    <row r="138" spans="1:14" x14ac:dyDescent="0.35">
      <c r="A138" t="s">
        <v>580</v>
      </c>
      <c r="B138" t="s">
        <v>581</v>
      </c>
      <c r="C138" t="s">
        <v>62</v>
      </c>
      <c r="D138">
        <v>68.83</v>
      </c>
      <c r="E138">
        <v>5000</v>
      </c>
      <c r="F138" t="s">
        <v>117</v>
      </c>
      <c r="G138" t="s">
        <v>32</v>
      </c>
      <c r="H138" t="s">
        <v>43</v>
      </c>
      <c r="I138" t="s">
        <v>44</v>
      </c>
      <c r="J138" t="s">
        <v>509</v>
      </c>
      <c r="K138" t="s">
        <v>147</v>
      </c>
      <c r="L138">
        <v>22</v>
      </c>
      <c r="N138" t="s">
        <v>582</v>
      </c>
    </row>
    <row r="139" spans="1:14" x14ac:dyDescent="0.35">
      <c r="A139" t="s">
        <v>583</v>
      </c>
      <c r="B139" t="s">
        <v>584</v>
      </c>
      <c r="C139" t="s">
        <v>62</v>
      </c>
      <c r="D139">
        <v>59.33</v>
      </c>
      <c r="E139">
        <v>3000</v>
      </c>
      <c r="F139" t="s">
        <v>46</v>
      </c>
      <c r="G139" t="s">
        <v>32</v>
      </c>
      <c r="H139" t="s">
        <v>43</v>
      </c>
      <c r="I139" t="s">
        <v>44</v>
      </c>
      <c r="J139" t="s">
        <v>82</v>
      </c>
      <c r="K139" t="s">
        <v>74</v>
      </c>
      <c r="L139">
        <v>12</v>
      </c>
      <c r="M139" t="s">
        <v>585</v>
      </c>
      <c r="N139" t="s">
        <v>586</v>
      </c>
    </row>
    <row r="140" spans="1:14" x14ac:dyDescent="0.35">
      <c r="A140" t="s">
        <v>587</v>
      </c>
      <c r="B140" t="s">
        <v>588</v>
      </c>
      <c r="C140" t="s">
        <v>81</v>
      </c>
      <c r="D140">
        <v>129.58000000000001</v>
      </c>
      <c r="E140">
        <v>4000</v>
      </c>
      <c r="F140" t="s">
        <v>117</v>
      </c>
      <c r="G140" t="s">
        <v>32</v>
      </c>
      <c r="H140" t="s">
        <v>57</v>
      </c>
      <c r="I140" t="s">
        <v>34</v>
      </c>
      <c r="J140" t="s">
        <v>589</v>
      </c>
      <c r="K140" t="s">
        <v>147</v>
      </c>
      <c r="L140">
        <v>5</v>
      </c>
      <c r="M140" t="s">
        <v>496</v>
      </c>
      <c r="N140" t="s">
        <v>590</v>
      </c>
    </row>
    <row r="141" spans="1:14" x14ac:dyDescent="0.35">
      <c r="A141" t="s">
        <v>591</v>
      </c>
      <c r="B141" t="s">
        <v>592</v>
      </c>
      <c r="C141" t="s">
        <v>116</v>
      </c>
      <c r="D141">
        <v>11.46</v>
      </c>
      <c r="E141">
        <v>100</v>
      </c>
      <c r="F141" t="s">
        <v>147</v>
      </c>
      <c r="G141" t="s">
        <v>32</v>
      </c>
      <c r="H141" t="s">
        <v>57</v>
      </c>
      <c r="I141" t="s">
        <v>129</v>
      </c>
      <c r="J141" t="s">
        <v>124</v>
      </c>
      <c r="K141" t="s">
        <v>117</v>
      </c>
      <c r="L141">
        <v>23</v>
      </c>
      <c r="M141" t="s">
        <v>593</v>
      </c>
      <c r="N141" t="s">
        <v>594</v>
      </c>
    </row>
    <row r="142" spans="1:14" x14ac:dyDescent="0.35">
      <c r="A142" t="s">
        <v>595</v>
      </c>
      <c r="B142" t="s">
        <v>596</v>
      </c>
      <c r="C142" t="s">
        <v>116</v>
      </c>
      <c r="D142">
        <v>6.75</v>
      </c>
      <c r="E142">
        <v>200</v>
      </c>
      <c r="F142" t="s">
        <v>76</v>
      </c>
      <c r="G142" t="s">
        <v>32</v>
      </c>
      <c r="H142" t="s">
        <v>57</v>
      </c>
      <c r="J142" t="s">
        <v>130</v>
      </c>
      <c r="K142" t="s">
        <v>123</v>
      </c>
      <c r="L142">
        <v>4</v>
      </c>
      <c r="N142" t="s">
        <v>275</v>
      </c>
    </row>
    <row r="143" spans="1:14" x14ac:dyDescent="0.35">
      <c r="A143" t="s">
        <v>597</v>
      </c>
      <c r="B143" t="s">
        <v>598</v>
      </c>
      <c r="C143" t="s">
        <v>30</v>
      </c>
      <c r="D143">
        <v>121.26</v>
      </c>
      <c r="E143">
        <v>3000</v>
      </c>
      <c r="F143" t="s">
        <v>97</v>
      </c>
      <c r="G143" t="s">
        <v>32</v>
      </c>
      <c r="H143" t="s">
        <v>43</v>
      </c>
      <c r="I143" t="s">
        <v>44</v>
      </c>
      <c r="J143" t="s">
        <v>599</v>
      </c>
      <c r="K143" t="s">
        <v>139</v>
      </c>
      <c r="L143">
        <v>7</v>
      </c>
      <c r="M143" t="s">
        <v>156</v>
      </c>
      <c r="N143" t="s">
        <v>600</v>
      </c>
    </row>
    <row r="144" spans="1:14" x14ac:dyDescent="0.35">
      <c r="A144" t="s">
        <v>601</v>
      </c>
      <c r="B144" t="s">
        <v>602</v>
      </c>
      <c r="C144" t="s">
        <v>30</v>
      </c>
      <c r="D144">
        <v>188.54</v>
      </c>
      <c r="E144">
        <v>17000</v>
      </c>
      <c r="F144" t="s">
        <v>106</v>
      </c>
      <c r="G144" t="s">
        <v>32</v>
      </c>
      <c r="H144" t="s">
        <v>57</v>
      </c>
      <c r="I144" t="s">
        <v>34</v>
      </c>
      <c r="J144" t="s">
        <v>35</v>
      </c>
      <c r="K144" t="s">
        <v>36</v>
      </c>
      <c r="L144">
        <v>10</v>
      </c>
      <c r="M144" t="s">
        <v>603</v>
      </c>
      <c r="N144" t="s">
        <v>604</v>
      </c>
    </row>
    <row r="145" spans="1:14" x14ac:dyDescent="0.35">
      <c r="A145" t="s">
        <v>605</v>
      </c>
      <c r="B145" t="s">
        <v>606</v>
      </c>
      <c r="C145" t="s">
        <v>41</v>
      </c>
      <c r="D145">
        <v>105.82</v>
      </c>
      <c r="E145">
        <v>31000</v>
      </c>
      <c r="F145" t="s">
        <v>36</v>
      </c>
      <c r="G145" t="s">
        <v>32</v>
      </c>
      <c r="H145" t="s">
        <v>33</v>
      </c>
      <c r="J145" t="s">
        <v>107</v>
      </c>
      <c r="K145" t="s">
        <v>87</v>
      </c>
      <c r="L145">
        <v>2</v>
      </c>
      <c r="M145" t="s">
        <v>607</v>
      </c>
      <c r="N145" t="s">
        <v>470</v>
      </c>
    </row>
    <row r="146" spans="1:14" x14ac:dyDescent="0.35">
      <c r="A146" t="s">
        <v>608</v>
      </c>
      <c r="B146" t="s">
        <v>609</v>
      </c>
      <c r="C146" t="s">
        <v>116</v>
      </c>
      <c r="D146">
        <v>7.6</v>
      </c>
      <c r="E146">
        <v>100</v>
      </c>
      <c r="F146" t="s">
        <v>42</v>
      </c>
      <c r="G146" t="s">
        <v>32</v>
      </c>
      <c r="H146" t="s">
        <v>57</v>
      </c>
      <c r="I146" t="s">
        <v>44</v>
      </c>
      <c r="J146" t="s">
        <v>130</v>
      </c>
      <c r="K146" t="s">
        <v>123</v>
      </c>
      <c r="L146">
        <v>18</v>
      </c>
      <c r="M146" t="s">
        <v>58</v>
      </c>
      <c r="N146" t="s">
        <v>610</v>
      </c>
    </row>
    <row r="147" spans="1:14" x14ac:dyDescent="0.35">
      <c r="A147" t="s">
        <v>611</v>
      </c>
      <c r="B147" t="s">
        <v>612</v>
      </c>
      <c r="C147" t="s">
        <v>116</v>
      </c>
      <c r="D147">
        <v>6.08</v>
      </c>
      <c r="E147">
        <v>200</v>
      </c>
      <c r="F147" t="s">
        <v>97</v>
      </c>
      <c r="G147" t="s">
        <v>32</v>
      </c>
      <c r="H147" t="s">
        <v>33</v>
      </c>
      <c r="J147" t="s">
        <v>278</v>
      </c>
      <c r="K147" t="s">
        <v>97</v>
      </c>
      <c r="L147">
        <v>10</v>
      </c>
      <c r="M147" t="s">
        <v>524</v>
      </c>
      <c r="N147" t="s">
        <v>613</v>
      </c>
    </row>
    <row r="148" spans="1:14" x14ac:dyDescent="0.35">
      <c r="A148" t="s">
        <v>614</v>
      </c>
      <c r="B148" t="s">
        <v>615</v>
      </c>
      <c r="C148" t="s">
        <v>41</v>
      </c>
      <c r="D148">
        <v>147.74</v>
      </c>
      <c r="E148">
        <v>11000</v>
      </c>
      <c r="F148" t="s">
        <v>64</v>
      </c>
      <c r="G148" t="s">
        <v>32</v>
      </c>
      <c r="H148" t="s">
        <v>57</v>
      </c>
      <c r="I148" t="s">
        <v>34</v>
      </c>
      <c r="J148" t="s">
        <v>523</v>
      </c>
      <c r="K148" t="s">
        <v>36</v>
      </c>
      <c r="L148">
        <v>0</v>
      </c>
      <c r="M148" t="s">
        <v>616</v>
      </c>
      <c r="N148" t="s">
        <v>617</v>
      </c>
    </row>
    <row r="149" spans="1:14" x14ac:dyDescent="0.35">
      <c r="A149" t="s">
        <v>618</v>
      </c>
      <c r="B149" t="s">
        <v>619</v>
      </c>
      <c r="C149" t="s">
        <v>116</v>
      </c>
      <c r="D149">
        <v>6.91</v>
      </c>
      <c r="E149">
        <v>100</v>
      </c>
      <c r="F149" t="s">
        <v>139</v>
      </c>
      <c r="G149" t="s">
        <v>32</v>
      </c>
      <c r="H149" t="s">
        <v>57</v>
      </c>
      <c r="J149" t="s">
        <v>620</v>
      </c>
      <c r="K149" t="s">
        <v>64</v>
      </c>
      <c r="L149">
        <v>16</v>
      </c>
      <c r="N149" t="s">
        <v>621</v>
      </c>
    </row>
    <row r="150" spans="1:14" x14ac:dyDescent="0.35">
      <c r="A150" t="s">
        <v>622</v>
      </c>
      <c r="B150" t="s">
        <v>623</v>
      </c>
      <c r="C150" t="s">
        <v>69</v>
      </c>
      <c r="D150">
        <v>70.03</v>
      </c>
      <c r="E150">
        <v>39000</v>
      </c>
      <c r="F150" t="s">
        <v>117</v>
      </c>
      <c r="G150" t="s">
        <v>32</v>
      </c>
      <c r="H150" t="s">
        <v>43</v>
      </c>
      <c r="I150" t="s">
        <v>34</v>
      </c>
      <c r="J150" t="s">
        <v>63</v>
      </c>
      <c r="K150" t="s">
        <v>64</v>
      </c>
      <c r="L150">
        <v>6</v>
      </c>
      <c r="M150" t="s">
        <v>624</v>
      </c>
      <c r="N150" t="s">
        <v>625</v>
      </c>
    </row>
    <row r="151" spans="1:14" x14ac:dyDescent="0.35">
      <c r="A151" t="s">
        <v>626</v>
      </c>
      <c r="B151" t="s">
        <v>627</v>
      </c>
      <c r="C151" t="s">
        <v>41</v>
      </c>
      <c r="D151">
        <v>129.38999999999999</v>
      </c>
      <c r="E151">
        <v>29000</v>
      </c>
      <c r="F151" t="s">
        <v>51</v>
      </c>
      <c r="G151" t="s">
        <v>32</v>
      </c>
      <c r="H151" t="s">
        <v>57</v>
      </c>
      <c r="I151" t="s">
        <v>129</v>
      </c>
      <c r="J151" t="s">
        <v>628</v>
      </c>
      <c r="K151" t="s">
        <v>87</v>
      </c>
      <c r="L151">
        <v>21</v>
      </c>
      <c r="M151" t="s">
        <v>629</v>
      </c>
      <c r="N151" t="s">
        <v>630</v>
      </c>
    </row>
    <row r="152" spans="1:14" x14ac:dyDescent="0.35">
      <c r="A152" t="s">
        <v>631</v>
      </c>
      <c r="B152" t="s">
        <v>632</v>
      </c>
      <c r="C152" t="s">
        <v>62</v>
      </c>
      <c r="D152">
        <v>56.73</v>
      </c>
      <c r="E152">
        <v>5000</v>
      </c>
      <c r="F152" t="s">
        <v>76</v>
      </c>
      <c r="G152" t="s">
        <v>32</v>
      </c>
      <c r="H152" t="s">
        <v>43</v>
      </c>
      <c r="I152" t="s">
        <v>44</v>
      </c>
      <c r="J152" t="s">
        <v>107</v>
      </c>
      <c r="K152" t="s">
        <v>87</v>
      </c>
      <c r="L152">
        <v>11</v>
      </c>
      <c r="N152" t="s">
        <v>633</v>
      </c>
    </row>
    <row r="153" spans="1:14" x14ac:dyDescent="0.35">
      <c r="A153" t="s">
        <v>634</v>
      </c>
      <c r="B153" t="s">
        <v>635</v>
      </c>
      <c r="C153" t="s">
        <v>69</v>
      </c>
      <c r="D153">
        <v>67.5</v>
      </c>
      <c r="E153">
        <v>34000</v>
      </c>
      <c r="F153" t="s">
        <v>74</v>
      </c>
      <c r="G153" t="s">
        <v>32</v>
      </c>
      <c r="H153" t="s">
        <v>43</v>
      </c>
      <c r="I153" t="s">
        <v>44</v>
      </c>
      <c r="J153" t="s">
        <v>636</v>
      </c>
      <c r="K153" t="s">
        <v>147</v>
      </c>
      <c r="L153">
        <v>17</v>
      </c>
      <c r="M153" t="s">
        <v>637</v>
      </c>
      <c r="N153" t="s">
        <v>638</v>
      </c>
    </row>
    <row r="154" spans="1:14" x14ac:dyDescent="0.35">
      <c r="A154" t="s">
        <v>639</v>
      </c>
      <c r="B154" t="s">
        <v>640</v>
      </c>
      <c r="C154" t="s">
        <v>41</v>
      </c>
      <c r="D154">
        <v>91.55</v>
      </c>
      <c r="E154">
        <v>28000</v>
      </c>
      <c r="F154" t="s">
        <v>74</v>
      </c>
      <c r="G154" t="s">
        <v>32</v>
      </c>
      <c r="H154" t="s">
        <v>33</v>
      </c>
      <c r="I154" t="s">
        <v>34</v>
      </c>
      <c r="J154" t="s">
        <v>316</v>
      </c>
      <c r="K154" t="s">
        <v>97</v>
      </c>
      <c r="L154">
        <v>19</v>
      </c>
      <c r="M154" t="s">
        <v>641</v>
      </c>
      <c r="N154" t="s">
        <v>642</v>
      </c>
    </row>
    <row r="155" spans="1:14" x14ac:dyDescent="0.35">
      <c r="A155" t="s">
        <v>643</v>
      </c>
      <c r="B155" t="s">
        <v>644</v>
      </c>
      <c r="C155" t="s">
        <v>30</v>
      </c>
      <c r="D155">
        <v>135.82</v>
      </c>
      <c r="E155">
        <v>16000</v>
      </c>
      <c r="F155" t="s">
        <v>74</v>
      </c>
      <c r="G155" t="s">
        <v>32</v>
      </c>
      <c r="H155" t="s">
        <v>33</v>
      </c>
      <c r="J155" t="s">
        <v>645</v>
      </c>
      <c r="K155" t="s">
        <v>147</v>
      </c>
      <c r="L155">
        <v>10</v>
      </c>
      <c r="M155" t="s">
        <v>646</v>
      </c>
      <c r="N155" t="s">
        <v>525</v>
      </c>
    </row>
    <row r="156" spans="1:14" x14ac:dyDescent="0.35">
      <c r="A156" t="s">
        <v>647</v>
      </c>
      <c r="B156" t="s">
        <v>648</v>
      </c>
      <c r="C156" t="s">
        <v>116</v>
      </c>
      <c r="D156">
        <v>7.21</v>
      </c>
      <c r="E156">
        <v>500</v>
      </c>
      <c r="F156" t="s">
        <v>87</v>
      </c>
      <c r="G156" t="s">
        <v>32</v>
      </c>
      <c r="H156" t="s">
        <v>57</v>
      </c>
      <c r="I156" t="s">
        <v>34</v>
      </c>
      <c r="J156" t="s">
        <v>118</v>
      </c>
      <c r="K156" t="s">
        <v>42</v>
      </c>
      <c r="L156">
        <v>3</v>
      </c>
      <c r="M156" t="s">
        <v>649</v>
      </c>
      <c r="N156" t="s">
        <v>650</v>
      </c>
    </row>
    <row r="157" spans="1:14" x14ac:dyDescent="0.35">
      <c r="A157" t="s">
        <v>651</v>
      </c>
      <c r="B157" t="s">
        <v>652</v>
      </c>
      <c r="C157" t="s">
        <v>116</v>
      </c>
      <c r="D157">
        <v>6.79</v>
      </c>
      <c r="E157">
        <v>300</v>
      </c>
      <c r="F157" t="s">
        <v>117</v>
      </c>
      <c r="G157" t="s">
        <v>32</v>
      </c>
      <c r="H157" t="s">
        <v>43</v>
      </c>
      <c r="I157" t="s">
        <v>34</v>
      </c>
      <c r="J157" t="s">
        <v>451</v>
      </c>
      <c r="K157" t="s">
        <v>51</v>
      </c>
      <c r="L157">
        <v>5</v>
      </c>
      <c r="M157" t="s">
        <v>653</v>
      </c>
      <c r="N157" t="s">
        <v>654</v>
      </c>
    </row>
    <row r="158" spans="1:14" x14ac:dyDescent="0.35">
      <c r="A158" t="s">
        <v>655</v>
      </c>
      <c r="B158" t="s">
        <v>656</v>
      </c>
      <c r="C158" t="s">
        <v>81</v>
      </c>
      <c r="D158">
        <v>80.73</v>
      </c>
      <c r="E158">
        <v>4000</v>
      </c>
      <c r="F158" t="s">
        <v>51</v>
      </c>
      <c r="G158" t="s">
        <v>32</v>
      </c>
      <c r="H158" t="s">
        <v>57</v>
      </c>
      <c r="I158" t="s">
        <v>34</v>
      </c>
      <c r="J158" t="s">
        <v>657</v>
      </c>
      <c r="K158" t="s">
        <v>139</v>
      </c>
      <c r="L158">
        <v>16</v>
      </c>
      <c r="M158" t="s">
        <v>658</v>
      </c>
      <c r="N158" t="s">
        <v>659</v>
      </c>
    </row>
    <row r="159" spans="1:14" x14ac:dyDescent="0.35">
      <c r="A159" t="s">
        <v>660</v>
      </c>
      <c r="B159" t="s">
        <v>661</v>
      </c>
      <c r="C159" t="s">
        <v>30</v>
      </c>
      <c r="D159">
        <v>124.56</v>
      </c>
      <c r="E159">
        <v>8000</v>
      </c>
      <c r="F159" t="s">
        <v>51</v>
      </c>
      <c r="G159" t="s">
        <v>32</v>
      </c>
      <c r="H159" t="s">
        <v>43</v>
      </c>
      <c r="I159" t="s">
        <v>44</v>
      </c>
      <c r="J159" t="s">
        <v>118</v>
      </c>
      <c r="K159" t="s">
        <v>42</v>
      </c>
      <c r="L159">
        <v>16</v>
      </c>
      <c r="N159" t="s">
        <v>662</v>
      </c>
    </row>
    <row r="160" spans="1:14" x14ac:dyDescent="0.35">
      <c r="A160" t="s">
        <v>663</v>
      </c>
      <c r="B160" t="s">
        <v>664</v>
      </c>
      <c r="C160" t="s">
        <v>41</v>
      </c>
      <c r="D160">
        <v>117.59</v>
      </c>
      <c r="E160">
        <v>34000</v>
      </c>
      <c r="F160" t="s">
        <v>236</v>
      </c>
      <c r="G160" t="s">
        <v>32</v>
      </c>
      <c r="H160" t="s">
        <v>33</v>
      </c>
      <c r="I160" t="s">
        <v>34</v>
      </c>
      <c r="J160" t="s">
        <v>124</v>
      </c>
      <c r="K160" t="s">
        <v>117</v>
      </c>
      <c r="L160">
        <v>8</v>
      </c>
      <c r="N160" t="s">
        <v>665</v>
      </c>
    </row>
    <row r="161" spans="1:14" x14ac:dyDescent="0.35">
      <c r="A161" t="s">
        <v>666</v>
      </c>
      <c r="B161" t="s">
        <v>667</v>
      </c>
      <c r="C161" t="s">
        <v>41</v>
      </c>
      <c r="D161">
        <v>124.28</v>
      </c>
      <c r="E161">
        <v>33000</v>
      </c>
      <c r="F161" t="s">
        <v>31</v>
      </c>
      <c r="G161" t="s">
        <v>32</v>
      </c>
      <c r="H161" t="s">
        <v>43</v>
      </c>
      <c r="I161" t="s">
        <v>44</v>
      </c>
      <c r="J161" t="s">
        <v>75</v>
      </c>
      <c r="K161" t="s">
        <v>76</v>
      </c>
      <c r="L161">
        <v>22</v>
      </c>
      <c r="M161" t="s">
        <v>148</v>
      </c>
      <c r="N161" t="s">
        <v>668</v>
      </c>
    </row>
    <row r="162" spans="1:14" x14ac:dyDescent="0.35">
      <c r="A162" t="s">
        <v>669</v>
      </c>
      <c r="B162" t="s">
        <v>670</v>
      </c>
      <c r="C162" t="s">
        <v>41</v>
      </c>
      <c r="D162">
        <v>123.41</v>
      </c>
      <c r="E162">
        <v>24000</v>
      </c>
      <c r="F162" t="s">
        <v>139</v>
      </c>
      <c r="G162" t="s">
        <v>32</v>
      </c>
      <c r="H162" t="s">
        <v>43</v>
      </c>
      <c r="I162" t="s">
        <v>44</v>
      </c>
      <c r="J162" t="s">
        <v>671</v>
      </c>
      <c r="K162" t="s">
        <v>74</v>
      </c>
      <c r="L162">
        <v>20</v>
      </c>
      <c r="M162" t="s">
        <v>672</v>
      </c>
      <c r="N162" t="s">
        <v>604</v>
      </c>
    </row>
    <row r="163" spans="1:14" x14ac:dyDescent="0.35">
      <c r="A163" t="s">
        <v>673</v>
      </c>
      <c r="B163" t="s">
        <v>674</v>
      </c>
      <c r="C163" t="s">
        <v>30</v>
      </c>
      <c r="D163">
        <v>121.92</v>
      </c>
      <c r="E163">
        <v>20000</v>
      </c>
      <c r="F163" t="s">
        <v>42</v>
      </c>
      <c r="G163" t="s">
        <v>32</v>
      </c>
      <c r="H163" t="s">
        <v>43</v>
      </c>
      <c r="J163" t="s">
        <v>45</v>
      </c>
      <c r="K163" t="s">
        <v>46</v>
      </c>
      <c r="L163">
        <v>9</v>
      </c>
      <c r="M163" t="s">
        <v>675</v>
      </c>
      <c r="N163" t="s">
        <v>676</v>
      </c>
    </row>
    <row r="164" spans="1:14" x14ac:dyDescent="0.35">
      <c r="A164" t="s">
        <v>677</v>
      </c>
      <c r="B164" t="s">
        <v>678</v>
      </c>
      <c r="C164" t="s">
        <v>69</v>
      </c>
      <c r="D164">
        <v>55.99</v>
      </c>
      <c r="E164">
        <v>90000</v>
      </c>
      <c r="F164" t="s">
        <v>97</v>
      </c>
      <c r="G164" t="s">
        <v>32</v>
      </c>
      <c r="H164" t="s">
        <v>33</v>
      </c>
      <c r="J164" t="s">
        <v>679</v>
      </c>
      <c r="K164" t="s">
        <v>139</v>
      </c>
      <c r="L164">
        <v>22</v>
      </c>
      <c r="N164" t="s">
        <v>680</v>
      </c>
    </row>
    <row r="165" spans="1:14" x14ac:dyDescent="0.35">
      <c r="A165" t="s">
        <v>681</v>
      </c>
      <c r="B165" t="s">
        <v>682</v>
      </c>
      <c r="C165" t="s">
        <v>30</v>
      </c>
      <c r="D165">
        <v>187.72</v>
      </c>
      <c r="E165">
        <v>1000</v>
      </c>
      <c r="F165" t="s">
        <v>117</v>
      </c>
      <c r="G165" t="s">
        <v>102</v>
      </c>
      <c r="H165" t="s">
        <v>57</v>
      </c>
      <c r="J165" t="s">
        <v>683</v>
      </c>
      <c r="K165" t="s">
        <v>97</v>
      </c>
      <c r="L165">
        <v>19</v>
      </c>
      <c r="N165" t="s">
        <v>684</v>
      </c>
    </row>
    <row r="166" spans="1:14" x14ac:dyDescent="0.35">
      <c r="A166" t="s">
        <v>685</v>
      </c>
      <c r="B166" t="s">
        <v>686</v>
      </c>
      <c r="C166" t="s">
        <v>41</v>
      </c>
      <c r="D166">
        <v>146.79</v>
      </c>
      <c r="E166">
        <v>32000</v>
      </c>
      <c r="F166" t="s">
        <v>117</v>
      </c>
      <c r="G166" t="s">
        <v>32</v>
      </c>
      <c r="H166" t="s">
        <v>43</v>
      </c>
      <c r="I166" t="s">
        <v>44</v>
      </c>
      <c r="J166" t="s">
        <v>35</v>
      </c>
      <c r="K166" t="s">
        <v>36</v>
      </c>
      <c r="L166">
        <v>6</v>
      </c>
      <c r="N166" t="s">
        <v>604</v>
      </c>
    </row>
    <row r="167" spans="1:14" x14ac:dyDescent="0.35">
      <c r="A167" t="s">
        <v>687</v>
      </c>
      <c r="B167" t="s">
        <v>688</v>
      </c>
      <c r="C167" t="s">
        <v>41</v>
      </c>
      <c r="D167">
        <v>120.07</v>
      </c>
      <c r="E167">
        <v>33000</v>
      </c>
      <c r="F167" t="s">
        <v>42</v>
      </c>
      <c r="G167" t="s">
        <v>32</v>
      </c>
      <c r="H167" t="s">
        <v>33</v>
      </c>
      <c r="I167" t="s">
        <v>44</v>
      </c>
      <c r="J167" t="s">
        <v>689</v>
      </c>
      <c r="K167" t="s">
        <v>46</v>
      </c>
      <c r="L167">
        <v>14</v>
      </c>
      <c r="N167" t="s">
        <v>690</v>
      </c>
    </row>
    <row r="168" spans="1:14" x14ac:dyDescent="0.35">
      <c r="A168" t="s">
        <v>691</v>
      </c>
      <c r="B168" t="s">
        <v>692</v>
      </c>
      <c r="C168" t="s">
        <v>41</v>
      </c>
      <c r="D168">
        <v>129.97</v>
      </c>
      <c r="E168">
        <v>15000</v>
      </c>
      <c r="F168" t="s">
        <v>139</v>
      </c>
      <c r="G168" t="s">
        <v>32</v>
      </c>
      <c r="H168" t="s">
        <v>43</v>
      </c>
      <c r="I168" t="s">
        <v>34</v>
      </c>
      <c r="J168" t="s">
        <v>124</v>
      </c>
      <c r="K168" t="s">
        <v>117</v>
      </c>
      <c r="L168">
        <v>13</v>
      </c>
      <c r="M168" t="s">
        <v>693</v>
      </c>
      <c r="N168" t="s">
        <v>694</v>
      </c>
    </row>
    <row r="169" spans="1:14" x14ac:dyDescent="0.35">
      <c r="A169" t="s">
        <v>695</v>
      </c>
      <c r="B169" t="s">
        <v>696</v>
      </c>
      <c r="C169" t="s">
        <v>81</v>
      </c>
      <c r="D169">
        <v>110.4</v>
      </c>
      <c r="E169">
        <v>1000</v>
      </c>
      <c r="F169" t="s">
        <v>46</v>
      </c>
      <c r="G169" t="s">
        <v>32</v>
      </c>
      <c r="H169" t="s">
        <v>57</v>
      </c>
      <c r="I169" t="s">
        <v>44</v>
      </c>
      <c r="J169" t="s">
        <v>697</v>
      </c>
      <c r="K169" t="s">
        <v>139</v>
      </c>
      <c r="L169">
        <v>6</v>
      </c>
      <c r="M169" t="s">
        <v>698</v>
      </c>
      <c r="N169" t="s">
        <v>699</v>
      </c>
    </row>
    <row r="170" spans="1:14" x14ac:dyDescent="0.35">
      <c r="A170" t="s">
        <v>700</v>
      </c>
      <c r="B170" t="s">
        <v>701</v>
      </c>
      <c r="C170" t="s">
        <v>116</v>
      </c>
      <c r="D170">
        <v>6.76</v>
      </c>
      <c r="E170">
        <v>300</v>
      </c>
      <c r="F170" t="s">
        <v>236</v>
      </c>
      <c r="G170" t="s">
        <v>32</v>
      </c>
      <c r="H170" t="s">
        <v>33</v>
      </c>
      <c r="J170" t="s">
        <v>683</v>
      </c>
      <c r="K170" t="s">
        <v>97</v>
      </c>
      <c r="L170">
        <v>10</v>
      </c>
      <c r="N170" t="s">
        <v>195</v>
      </c>
    </row>
    <row r="171" spans="1:14" x14ac:dyDescent="0.35">
      <c r="A171" t="s">
        <v>702</v>
      </c>
      <c r="B171" t="s">
        <v>703</v>
      </c>
      <c r="C171" t="s">
        <v>116</v>
      </c>
      <c r="D171">
        <v>9.49</v>
      </c>
      <c r="E171">
        <v>700</v>
      </c>
      <c r="F171" t="s">
        <v>139</v>
      </c>
      <c r="G171" t="s">
        <v>32</v>
      </c>
      <c r="H171" t="s">
        <v>43</v>
      </c>
      <c r="I171" t="s">
        <v>129</v>
      </c>
      <c r="J171" t="s">
        <v>63</v>
      </c>
      <c r="K171" t="s">
        <v>64</v>
      </c>
      <c r="L171">
        <v>18</v>
      </c>
      <c r="M171" t="s">
        <v>704</v>
      </c>
      <c r="N171" t="s">
        <v>705</v>
      </c>
    </row>
    <row r="172" spans="1:14" x14ac:dyDescent="0.35">
      <c r="A172" t="s">
        <v>706</v>
      </c>
      <c r="B172" t="s">
        <v>707</v>
      </c>
      <c r="C172" t="s">
        <v>116</v>
      </c>
      <c r="D172">
        <v>11.87</v>
      </c>
      <c r="E172">
        <v>400</v>
      </c>
      <c r="F172" t="s">
        <v>97</v>
      </c>
      <c r="G172" t="s">
        <v>32</v>
      </c>
      <c r="H172" t="s">
        <v>43</v>
      </c>
      <c r="J172" t="s">
        <v>708</v>
      </c>
      <c r="K172" t="s">
        <v>87</v>
      </c>
      <c r="L172">
        <v>18</v>
      </c>
      <c r="M172" t="s">
        <v>394</v>
      </c>
      <c r="N172" t="s">
        <v>709</v>
      </c>
    </row>
    <row r="173" spans="1:14" x14ac:dyDescent="0.35">
      <c r="A173" t="s">
        <v>710</v>
      </c>
      <c r="B173" t="s">
        <v>711</v>
      </c>
      <c r="C173" t="s">
        <v>41</v>
      </c>
      <c r="D173">
        <v>109.65</v>
      </c>
      <c r="E173">
        <v>17000</v>
      </c>
      <c r="F173" t="s">
        <v>64</v>
      </c>
      <c r="G173" t="s">
        <v>32</v>
      </c>
      <c r="H173" t="s">
        <v>57</v>
      </c>
      <c r="J173" t="s">
        <v>70</v>
      </c>
      <c r="K173" t="s">
        <v>31</v>
      </c>
      <c r="L173">
        <v>22</v>
      </c>
      <c r="N173" t="s">
        <v>712</v>
      </c>
    </row>
    <row r="174" spans="1:14" x14ac:dyDescent="0.35">
      <c r="A174" t="s">
        <v>713</v>
      </c>
      <c r="B174" t="s">
        <v>714</v>
      </c>
      <c r="C174" t="s">
        <v>30</v>
      </c>
      <c r="D174">
        <v>164.79</v>
      </c>
      <c r="E174">
        <v>8000</v>
      </c>
      <c r="F174" t="s">
        <v>36</v>
      </c>
      <c r="G174" t="s">
        <v>32</v>
      </c>
      <c r="H174" t="s">
        <v>57</v>
      </c>
      <c r="I174" t="s">
        <v>34</v>
      </c>
      <c r="J174" t="s">
        <v>45</v>
      </c>
      <c r="K174" t="s">
        <v>46</v>
      </c>
      <c r="L174">
        <v>13</v>
      </c>
      <c r="N174" t="s">
        <v>715</v>
      </c>
    </row>
    <row r="175" spans="1:14" x14ac:dyDescent="0.35">
      <c r="A175" t="s">
        <v>716</v>
      </c>
      <c r="B175" t="s">
        <v>717</v>
      </c>
      <c r="C175" t="s">
        <v>41</v>
      </c>
      <c r="D175">
        <v>133.52000000000001</v>
      </c>
      <c r="E175">
        <v>13000</v>
      </c>
      <c r="F175" t="s">
        <v>123</v>
      </c>
      <c r="G175" t="s">
        <v>32</v>
      </c>
      <c r="H175" t="s">
        <v>33</v>
      </c>
      <c r="J175" t="s">
        <v>63</v>
      </c>
      <c r="K175" t="s">
        <v>64</v>
      </c>
      <c r="L175">
        <v>1</v>
      </c>
      <c r="N175" t="s">
        <v>718</v>
      </c>
    </row>
    <row r="176" spans="1:14" x14ac:dyDescent="0.35">
      <c r="A176" t="s">
        <v>719</v>
      </c>
      <c r="B176" t="s">
        <v>720</v>
      </c>
      <c r="C176" t="s">
        <v>116</v>
      </c>
      <c r="D176">
        <v>9.69</v>
      </c>
      <c r="E176">
        <v>300</v>
      </c>
      <c r="F176" t="s">
        <v>36</v>
      </c>
      <c r="G176" t="s">
        <v>32</v>
      </c>
      <c r="H176" t="s">
        <v>57</v>
      </c>
      <c r="I176" t="s">
        <v>44</v>
      </c>
      <c r="J176" t="s">
        <v>721</v>
      </c>
      <c r="K176" t="s">
        <v>42</v>
      </c>
      <c r="L176">
        <v>0</v>
      </c>
      <c r="N176" t="s">
        <v>722</v>
      </c>
    </row>
    <row r="177" spans="1:14" x14ac:dyDescent="0.35">
      <c r="A177" t="s">
        <v>723</v>
      </c>
      <c r="B177" t="s">
        <v>724</v>
      </c>
      <c r="C177" t="s">
        <v>116</v>
      </c>
      <c r="D177">
        <v>11.11</v>
      </c>
      <c r="E177">
        <v>100</v>
      </c>
      <c r="F177" t="s">
        <v>236</v>
      </c>
      <c r="G177" t="s">
        <v>32</v>
      </c>
      <c r="H177" t="s">
        <v>57</v>
      </c>
      <c r="I177" t="s">
        <v>44</v>
      </c>
      <c r="J177" t="s">
        <v>209</v>
      </c>
      <c r="K177" t="s">
        <v>74</v>
      </c>
      <c r="L177">
        <v>18</v>
      </c>
      <c r="M177" t="s">
        <v>175</v>
      </c>
      <c r="N177" t="s">
        <v>725</v>
      </c>
    </row>
    <row r="178" spans="1:14" x14ac:dyDescent="0.35">
      <c r="A178" t="s">
        <v>726</v>
      </c>
      <c r="B178" t="s">
        <v>727</v>
      </c>
      <c r="C178" t="s">
        <v>69</v>
      </c>
      <c r="D178">
        <v>89.74</v>
      </c>
      <c r="E178">
        <v>99000</v>
      </c>
      <c r="F178" t="s">
        <v>147</v>
      </c>
      <c r="G178" t="s">
        <v>32</v>
      </c>
      <c r="H178" t="s">
        <v>43</v>
      </c>
      <c r="I178" t="s">
        <v>44</v>
      </c>
      <c r="J178" t="s">
        <v>683</v>
      </c>
      <c r="K178" t="s">
        <v>97</v>
      </c>
      <c r="L178">
        <v>2</v>
      </c>
      <c r="N178" t="s">
        <v>728</v>
      </c>
    </row>
    <row r="179" spans="1:14" x14ac:dyDescent="0.35">
      <c r="A179" t="s">
        <v>729</v>
      </c>
      <c r="B179" t="s">
        <v>730</v>
      </c>
      <c r="C179" t="s">
        <v>62</v>
      </c>
      <c r="D179">
        <v>79.900000000000006</v>
      </c>
      <c r="E179">
        <v>5000</v>
      </c>
      <c r="F179" t="s">
        <v>74</v>
      </c>
      <c r="G179" t="s">
        <v>32</v>
      </c>
      <c r="H179" t="s">
        <v>57</v>
      </c>
      <c r="I179" t="s">
        <v>129</v>
      </c>
      <c r="J179" t="s">
        <v>107</v>
      </c>
      <c r="K179" t="s">
        <v>87</v>
      </c>
      <c r="L179">
        <v>15</v>
      </c>
      <c r="M179" t="s">
        <v>731</v>
      </c>
      <c r="N179" t="s">
        <v>732</v>
      </c>
    </row>
    <row r="180" spans="1:14" x14ac:dyDescent="0.35">
      <c r="A180" t="s">
        <v>733</v>
      </c>
      <c r="B180" t="s">
        <v>734</v>
      </c>
      <c r="C180" t="s">
        <v>30</v>
      </c>
      <c r="D180">
        <v>140.37</v>
      </c>
      <c r="E180">
        <v>5000</v>
      </c>
      <c r="F180" t="s">
        <v>117</v>
      </c>
      <c r="G180" t="s">
        <v>32</v>
      </c>
      <c r="H180" t="s">
        <v>57</v>
      </c>
      <c r="I180" t="s">
        <v>34</v>
      </c>
      <c r="J180" t="s">
        <v>118</v>
      </c>
      <c r="K180" t="s">
        <v>42</v>
      </c>
      <c r="L180">
        <v>3</v>
      </c>
      <c r="N180" t="s">
        <v>735</v>
      </c>
    </row>
    <row r="181" spans="1:14" x14ac:dyDescent="0.35">
      <c r="A181" t="s">
        <v>736</v>
      </c>
      <c r="B181" t="s">
        <v>737</v>
      </c>
      <c r="C181" t="s">
        <v>62</v>
      </c>
      <c r="D181">
        <v>79.180000000000007</v>
      </c>
      <c r="E181">
        <v>2000</v>
      </c>
      <c r="F181" t="s">
        <v>51</v>
      </c>
      <c r="G181" t="s">
        <v>32</v>
      </c>
      <c r="H181" t="s">
        <v>33</v>
      </c>
      <c r="I181" t="s">
        <v>44</v>
      </c>
      <c r="J181" t="s">
        <v>70</v>
      </c>
      <c r="K181" t="s">
        <v>31</v>
      </c>
      <c r="L181">
        <v>7</v>
      </c>
      <c r="M181" t="s">
        <v>738</v>
      </c>
      <c r="N181" t="s">
        <v>739</v>
      </c>
    </row>
    <row r="182" spans="1:14" x14ac:dyDescent="0.35">
      <c r="A182" t="s">
        <v>740</v>
      </c>
      <c r="B182" t="s">
        <v>741</v>
      </c>
      <c r="C182" t="s">
        <v>62</v>
      </c>
      <c r="D182">
        <v>85.43</v>
      </c>
      <c r="E182">
        <v>4000</v>
      </c>
      <c r="F182" t="s">
        <v>147</v>
      </c>
      <c r="G182" t="s">
        <v>32</v>
      </c>
      <c r="H182" t="s">
        <v>43</v>
      </c>
      <c r="I182" t="s">
        <v>129</v>
      </c>
      <c r="J182" t="s">
        <v>63</v>
      </c>
      <c r="K182" t="s">
        <v>64</v>
      </c>
      <c r="L182">
        <v>10</v>
      </c>
      <c r="M182" t="s">
        <v>742</v>
      </c>
      <c r="N182" t="s">
        <v>743</v>
      </c>
    </row>
    <row r="183" spans="1:14" x14ac:dyDescent="0.35">
      <c r="A183" t="s">
        <v>744</v>
      </c>
      <c r="B183" t="s">
        <v>745</v>
      </c>
      <c r="C183" t="s">
        <v>81</v>
      </c>
      <c r="D183">
        <v>112.42</v>
      </c>
      <c r="E183">
        <v>4000</v>
      </c>
      <c r="F183" t="s">
        <v>97</v>
      </c>
      <c r="G183" t="s">
        <v>32</v>
      </c>
      <c r="H183" t="s">
        <v>43</v>
      </c>
      <c r="J183" t="s">
        <v>209</v>
      </c>
      <c r="K183" t="s">
        <v>74</v>
      </c>
      <c r="L183">
        <v>1</v>
      </c>
      <c r="M183" t="s">
        <v>425</v>
      </c>
      <c r="N183" t="s">
        <v>746</v>
      </c>
    </row>
    <row r="184" spans="1:14" x14ac:dyDescent="0.35">
      <c r="A184" t="s">
        <v>747</v>
      </c>
      <c r="B184" t="s">
        <v>748</v>
      </c>
      <c r="C184" t="s">
        <v>116</v>
      </c>
      <c r="D184">
        <v>10.57</v>
      </c>
      <c r="E184">
        <v>300</v>
      </c>
      <c r="F184" t="s">
        <v>139</v>
      </c>
      <c r="G184" t="s">
        <v>102</v>
      </c>
      <c r="H184" t="s">
        <v>43</v>
      </c>
      <c r="I184" t="s">
        <v>129</v>
      </c>
      <c r="J184" t="s">
        <v>70</v>
      </c>
      <c r="K184" t="s">
        <v>31</v>
      </c>
      <c r="L184">
        <v>6</v>
      </c>
      <c r="N184" t="s">
        <v>749</v>
      </c>
    </row>
    <row r="185" spans="1:14" x14ac:dyDescent="0.35">
      <c r="A185" t="s">
        <v>750</v>
      </c>
      <c r="B185" t="s">
        <v>751</v>
      </c>
      <c r="C185" t="s">
        <v>116</v>
      </c>
      <c r="D185">
        <v>6.37</v>
      </c>
      <c r="E185">
        <v>300</v>
      </c>
      <c r="F185" t="s">
        <v>76</v>
      </c>
      <c r="G185" t="s">
        <v>32</v>
      </c>
      <c r="H185" t="s">
        <v>43</v>
      </c>
      <c r="I185" t="s">
        <v>44</v>
      </c>
      <c r="J185" t="s">
        <v>130</v>
      </c>
      <c r="K185" t="s">
        <v>123</v>
      </c>
      <c r="L185">
        <v>16</v>
      </c>
      <c r="M185" t="s">
        <v>752</v>
      </c>
      <c r="N185" t="s">
        <v>753</v>
      </c>
    </row>
    <row r="186" spans="1:14" x14ac:dyDescent="0.35">
      <c r="A186" t="s">
        <v>754</v>
      </c>
      <c r="B186" t="s">
        <v>755</v>
      </c>
      <c r="C186" t="s">
        <v>69</v>
      </c>
      <c r="D186">
        <v>61.5</v>
      </c>
      <c r="E186">
        <v>38000</v>
      </c>
      <c r="F186" t="s">
        <v>51</v>
      </c>
      <c r="G186" t="s">
        <v>32</v>
      </c>
      <c r="H186" t="s">
        <v>43</v>
      </c>
      <c r="I186" t="s">
        <v>129</v>
      </c>
      <c r="J186" t="s">
        <v>63</v>
      </c>
      <c r="K186" t="s">
        <v>64</v>
      </c>
      <c r="L186">
        <v>12</v>
      </c>
      <c r="M186" t="s">
        <v>756</v>
      </c>
      <c r="N186" t="s">
        <v>757</v>
      </c>
    </row>
    <row r="187" spans="1:14" x14ac:dyDescent="0.35">
      <c r="A187" t="s">
        <v>758</v>
      </c>
      <c r="B187" t="s">
        <v>759</v>
      </c>
      <c r="C187" t="s">
        <v>116</v>
      </c>
      <c r="D187">
        <v>10.6</v>
      </c>
      <c r="E187">
        <v>400</v>
      </c>
      <c r="F187" t="s">
        <v>74</v>
      </c>
      <c r="G187" t="s">
        <v>32</v>
      </c>
      <c r="H187" t="s">
        <v>57</v>
      </c>
      <c r="I187" t="s">
        <v>44</v>
      </c>
      <c r="K187" t="s">
        <v>147</v>
      </c>
      <c r="L187">
        <v>22</v>
      </c>
      <c r="M187" t="s">
        <v>760</v>
      </c>
      <c r="N187" t="s">
        <v>761</v>
      </c>
    </row>
    <row r="188" spans="1:14" x14ac:dyDescent="0.35">
      <c r="A188" t="s">
        <v>762</v>
      </c>
      <c r="B188" t="s">
        <v>763</v>
      </c>
      <c r="C188" t="s">
        <v>30</v>
      </c>
      <c r="D188">
        <v>183.13</v>
      </c>
      <c r="E188">
        <v>12000</v>
      </c>
      <c r="F188" t="s">
        <v>87</v>
      </c>
      <c r="G188" t="s">
        <v>32</v>
      </c>
      <c r="H188" t="s">
        <v>43</v>
      </c>
      <c r="I188" t="s">
        <v>44</v>
      </c>
      <c r="J188" t="s">
        <v>764</v>
      </c>
      <c r="K188" t="s">
        <v>139</v>
      </c>
      <c r="L188">
        <v>20</v>
      </c>
      <c r="M188" t="s">
        <v>765</v>
      </c>
      <c r="N188" t="s">
        <v>766</v>
      </c>
    </row>
    <row r="189" spans="1:14" x14ac:dyDescent="0.35">
      <c r="A189" t="s">
        <v>767</v>
      </c>
      <c r="B189" t="s">
        <v>768</v>
      </c>
      <c r="C189" t="s">
        <v>41</v>
      </c>
      <c r="D189">
        <v>111.63</v>
      </c>
      <c r="E189">
        <v>17000</v>
      </c>
      <c r="F189" t="s">
        <v>97</v>
      </c>
      <c r="G189" t="s">
        <v>32</v>
      </c>
      <c r="H189" t="s">
        <v>33</v>
      </c>
      <c r="I189" t="s">
        <v>44</v>
      </c>
      <c r="J189" t="s">
        <v>107</v>
      </c>
      <c r="K189" t="s">
        <v>87</v>
      </c>
      <c r="L189">
        <v>6</v>
      </c>
      <c r="M189" t="s">
        <v>769</v>
      </c>
      <c r="N189" t="s">
        <v>390</v>
      </c>
    </row>
    <row r="190" spans="1:14" x14ac:dyDescent="0.35">
      <c r="A190" t="s">
        <v>770</v>
      </c>
      <c r="B190" t="s">
        <v>771</v>
      </c>
      <c r="C190" t="s">
        <v>41</v>
      </c>
      <c r="D190">
        <v>115.92</v>
      </c>
      <c r="E190">
        <v>15000</v>
      </c>
      <c r="F190" t="s">
        <v>42</v>
      </c>
      <c r="G190" t="s">
        <v>102</v>
      </c>
      <c r="H190" t="s">
        <v>43</v>
      </c>
      <c r="I190" t="s">
        <v>44</v>
      </c>
      <c r="J190" t="s">
        <v>107</v>
      </c>
      <c r="K190" t="s">
        <v>87</v>
      </c>
      <c r="L190">
        <v>21</v>
      </c>
      <c r="M190" t="s">
        <v>772</v>
      </c>
      <c r="N190" t="s">
        <v>161</v>
      </c>
    </row>
    <row r="191" spans="1:14" x14ac:dyDescent="0.35">
      <c r="A191" t="s">
        <v>773</v>
      </c>
      <c r="B191" t="s">
        <v>774</v>
      </c>
      <c r="C191" t="s">
        <v>41</v>
      </c>
      <c r="D191">
        <v>98.83</v>
      </c>
      <c r="E191">
        <v>10000</v>
      </c>
      <c r="F191" t="s">
        <v>123</v>
      </c>
      <c r="G191" t="s">
        <v>32</v>
      </c>
      <c r="H191" t="s">
        <v>43</v>
      </c>
      <c r="I191" t="s">
        <v>44</v>
      </c>
      <c r="J191" t="s">
        <v>209</v>
      </c>
      <c r="K191" t="s">
        <v>74</v>
      </c>
      <c r="L191">
        <v>5</v>
      </c>
      <c r="N191" t="s">
        <v>775</v>
      </c>
    </row>
    <row r="192" spans="1:14" x14ac:dyDescent="0.35">
      <c r="A192" t="s">
        <v>776</v>
      </c>
      <c r="B192" t="s">
        <v>777</v>
      </c>
      <c r="C192" t="s">
        <v>116</v>
      </c>
      <c r="D192">
        <v>10.52</v>
      </c>
      <c r="E192">
        <v>700</v>
      </c>
      <c r="F192" t="s">
        <v>36</v>
      </c>
      <c r="G192" t="s">
        <v>32</v>
      </c>
      <c r="H192" t="s">
        <v>33</v>
      </c>
      <c r="I192" t="s">
        <v>44</v>
      </c>
      <c r="J192" t="s">
        <v>778</v>
      </c>
      <c r="K192" t="s">
        <v>139</v>
      </c>
      <c r="L192">
        <v>15</v>
      </c>
      <c r="M192" t="s">
        <v>346</v>
      </c>
      <c r="N192" t="s">
        <v>779</v>
      </c>
    </row>
    <row r="193" spans="1:14" x14ac:dyDescent="0.35">
      <c r="A193" t="s">
        <v>780</v>
      </c>
      <c r="B193" t="s">
        <v>781</v>
      </c>
      <c r="C193" t="s">
        <v>41</v>
      </c>
      <c r="D193">
        <v>149.71</v>
      </c>
      <c r="E193">
        <v>30000</v>
      </c>
      <c r="F193" t="s">
        <v>147</v>
      </c>
      <c r="G193" t="s">
        <v>32</v>
      </c>
      <c r="H193" t="s">
        <v>43</v>
      </c>
      <c r="I193" t="s">
        <v>129</v>
      </c>
      <c r="J193" t="s">
        <v>118</v>
      </c>
      <c r="K193" t="s">
        <v>42</v>
      </c>
      <c r="L193">
        <v>7</v>
      </c>
      <c r="M193" t="s">
        <v>782</v>
      </c>
      <c r="N193" t="s">
        <v>783</v>
      </c>
    </row>
    <row r="194" spans="1:14" x14ac:dyDescent="0.35">
      <c r="A194" t="s">
        <v>784</v>
      </c>
      <c r="B194" t="s">
        <v>785</v>
      </c>
      <c r="C194" t="s">
        <v>116</v>
      </c>
      <c r="D194">
        <v>7.79</v>
      </c>
      <c r="E194">
        <v>500</v>
      </c>
      <c r="F194" t="s">
        <v>87</v>
      </c>
      <c r="G194" t="s">
        <v>32</v>
      </c>
      <c r="H194" t="s">
        <v>43</v>
      </c>
      <c r="I194" t="s">
        <v>34</v>
      </c>
      <c r="J194" t="s">
        <v>477</v>
      </c>
      <c r="K194" t="s">
        <v>51</v>
      </c>
      <c r="L194">
        <v>14</v>
      </c>
      <c r="M194" t="s">
        <v>786</v>
      </c>
      <c r="N194" t="s">
        <v>787</v>
      </c>
    </row>
    <row r="195" spans="1:14" x14ac:dyDescent="0.35">
      <c r="A195" t="s">
        <v>788</v>
      </c>
      <c r="B195" t="s">
        <v>789</v>
      </c>
      <c r="C195" t="s">
        <v>41</v>
      </c>
      <c r="D195">
        <v>141.85</v>
      </c>
      <c r="E195">
        <v>29000</v>
      </c>
      <c r="F195" t="s">
        <v>51</v>
      </c>
      <c r="G195" t="s">
        <v>32</v>
      </c>
      <c r="H195" t="s">
        <v>57</v>
      </c>
      <c r="I195" t="s">
        <v>44</v>
      </c>
      <c r="J195" t="s">
        <v>636</v>
      </c>
      <c r="K195" t="s">
        <v>147</v>
      </c>
      <c r="L195">
        <v>16</v>
      </c>
      <c r="N195" t="s">
        <v>501</v>
      </c>
    </row>
    <row r="196" spans="1:14" x14ac:dyDescent="0.35">
      <c r="A196" t="s">
        <v>790</v>
      </c>
      <c r="B196" t="s">
        <v>791</v>
      </c>
      <c r="C196" t="s">
        <v>62</v>
      </c>
      <c r="D196">
        <v>96.15</v>
      </c>
      <c r="E196">
        <v>5000</v>
      </c>
      <c r="F196" t="s">
        <v>147</v>
      </c>
      <c r="G196" t="s">
        <v>32</v>
      </c>
      <c r="H196" t="s">
        <v>43</v>
      </c>
      <c r="I196" t="s">
        <v>34</v>
      </c>
      <c r="J196" t="s">
        <v>118</v>
      </c>
      <c r="K196" t="s">
        <v>42</v>
      </c>
      <c r="L196">
        <v>23</v>
      </c>
      <c r="N196" t="s">
        <v>792</v>
      </c>
    </row>
    <row r="197" spans="1:14" x14ac:dyDescent="0.35">
      <c r="A197" t="s">
        <v>793</v>
      </c>
      <c r="B197" t="s">
        <v>794</v>
      </c>
      <c r="C197" t="s">
        <v>41</v>
      </c>
      <c r="D197">
        <v>94.3</v>
      </c>
      <c r="E197">
        <v>15000</v>
      </c>
      <c r="F197" t="s">
        <v>97</v>
      </c>
      <c r="G197" t="s">
        <v>32</v>
      </c>
      <c r="H197" t="s">
        <v>57</v>
      </c>
      <c r="I197" t="s">
        <v>44</v>
      </c>
      <c r="J197" t="s">
        <v>45</v>
      </c>
      <c r="K197" t="s">
        <v>46</v>
      </c>
      <c r="L197">
        <v>20</v>
      </c>
      <c r="N197" t="s">
        <v>795</v>
      </c>
    </row>
    <row r="198" spans="1:14" x14ac:dyDescent="0.35">
      <c r="A198" t="s">
        <v>796</v>
      </c>
      <c r="B198" t="s">
        <v>797</v>
      </c>
      <c r="C198" t="s">
        <v>62</v>
      </c>
      <c r="D198">
        <v>53.44</v>
      </c>
      <c r="E198">
        <v>4000</v>
      </c>
      <c r="F198" t="s">
        <v>31</v>
      </c>
      <c r="G198" t="s">
        <v>32</v>
      </c>
      <c r="H198" t="s">
        <v>33</v>
      </c>
      <c r="J198" t="s">
        <v>130</v>
      </c>
      <c r="K198" t="s">
        <v>123</v>
      </c>
      <c r="L198">
        <v>20</v>
      </c>
      <c r="M198" t="s">
        <v>798</v>
      </c>
      <c r="N198" t="s">
        <v>799</v>
      </c>
    </row>
    <row r="199" spans="1:14" x14ac:dyDescent="0.35">
      <c r="A199" t="s">
        <v>800</v>
      </c>
      <c r="B199" t="s">
        <v>801</v>
      </c>
      <c r="C199" t="s">
        <v>41</v>
      </c>
      <c r="D199">
        <v>135.07</v>
      </c>
      <c r="E199">
        <v>32000</v>
      </c>
      <c r="F199" t="s">
        <v>74</v>
      </c>
      <c r="G199" t="s">
        <v>32</v>
      </c>
      <c r="H199" t="s">
        <v>43</v>
      </c>
      <c r="I199" t="s">
        <v>44</v>
      </c>
      <c r="J199" t="s">
        <v>802</v>
      </c>
      <c r="K199" t="s">
        <v>51</v>
      </c>
      <c r="L199">
        <v>5</v>
      </c>
      <c r="M199" t="s">
        <v>803</v>
      </c>
      <c r="N199" t="s">
        <v>804</v>
      </c>
    </row>
    <row r="200" spans="1:14" x14ac:dyDescent="0.35">
      <c r="A200" t="s">
        <v>805</v>
      </c>
      <c r="B200" t="s">
        <v>806</v>
      </c>
      <c r="C200" t="s">
        <v>30</v>
      </c>
      <c r="D200">
        <v>145.91999999999999</v>
      </c>
      <c r="E200">
        <v>11000</v>
      </c>
      <c r="F200" t="s">
        <v>147</v>
      </c>
      <c r="G200" t="s">
        <v>32</v>
      </c>
      <c r="H200" t="s">
        <v>43</v>
      </c>
      <c r="I200" t="s">
        <v>44</v>
      </c>
      <c r="J200" t="s">
        <v>45</v>
      </c>
      <c r="K200" t="s">
        <v>46</v>
      </c>
      <c r="L200">
        <v>6</v>
      </c>
      <c r="M200" t="s">
        <v>807</v>
      </c>
      <c r="N200" t="s">
        <v>171</v>
      </c>
    </row>
    <row r="201" spans="1:14" x14ac:dyDescent="0.35">
      <c r="A201" t="s">
        <v>808</v>
      </c>
      <c r="B201" t="s">
        <v>809</v>
      </c>
      <c r="C201" t="s">
        <v>30</v>
      </c>
      <c r="D201">
        <v>148.66</v>
      </c>
      <c r="E201">
        <v>16000</v>
      </c>
      <c r="F201" t="s">
        <v>87</v>
      </c>
      <c r="G201" t="s">
        <v>32</v>
      </c>
      <c r="H201" t="s">
        <v>57</v>
      </c>
      <c r="I201" t="s">
        <v>34</v>
      </c>
      <c r="J201" t="s">
        <v>810</v>
      </c>
      <c r="K201" t="s">
        <v>139</v>
      </c>
      <c r="L201">
        <v>2</v>
      </c>
      <c r="N201" t="s">
        <v>811</v>
      </c>
    </row>
    <row r="202" spans="1:14" x14ac:dyDescent="0.35">
      <c r="A202" t="s">
        <v>812</v>
      </c>
      <c r="B202" t="s">
        <v>813</v>
      </c>
      <c r="C202" t="s">
        <v>41</v>
      </c>
      <c r="D202">
        <v>130.11000000000001</v>
      </c>
      <c r="E202">
        <v>13000</v>
      </c>
      <c r="F202" t="s">
        <v>97</v>
      </c>
      <c r="G202" t="s">
        <v>32</v>
      </c>
      <c r="H202" t="s">
        <v>33</v>
      </c>
      <c r="I202" t="s">
        <v>44</v>
      </c>
      <c r="J202" t="s">
        <v>112</v>
      </c>
      <c r="K202" t="s">
        <v>106</v>
      </c>
      <c r="L202">
        <v>11</v>
      </c>
      <c r="N202" t="s">
        <v>814</v>
      </c>
    </row>
    <row r="203" spans="1:14" x14ac:dyDescent="0.35">
      <c r="A203" t="s">
        <v>815</v>
      </c>
      <c r="B203" t="s">
        <v>816</v>
      </c>
      <c r="C203" t="s">
        <v>116</v>
      </c>
      <c r="D203">
        <v>9.68</v>
      </c>
      <c r="E203">
        <v>400</v>
      </c>
      <c r="F203" t="s">
        <v>42</v>
      </c>
      <c r="G203" t="s">
        <v>32</v>
      </c>
      <c r="H203" t="s">
        <v>43</v>
      </c>
      <c r="I203" t="s">
        <v>34</v>
      </c>
      <c r="J203" t="s">
        <v>209</v>
      </c>
      <c r="K203" t="s">
        <v>74</v>
      </c>
      <c r="L203">
        <v>6</v>
      </c>
      <c r="M203" t="s">
        <v>297</v>
      </c>
      <c r="N203" t="s">
        <v>817</v>
      </c>
    </row>
    <row r="204" spans="1:14" x14ac:dyDescent="0.35">
      <c r="A204" t="s">
        <v>818</v>
      </c>
      <c r="B204" t="s">
        <v>819</v>
      </c>
      <c r="C204" t="s">
        <v>62</v>
      </c>
      <c r="D204">
        <v>87.89</v>
      </c>
      <c r="E204">
        <v>2000</v>
      </c>
      <c r="F204" t="s">
        <v>42</v>
      </c>
      <c r="G204" t="s">
        <v>32</v>
      </c>
      <c r="H204" t="s">
        <v>43</v>
      </c>
      <c r="I204" t="s">
        <v>34</v>
      </c>
      <c r="J204" t="s">
        <v>35</v>
      </c>
      <c r="K204" t="s">
        <v>36</v>
      </c>
      <c r="L204">
        <v>18</v>
      </c>
      <c r="N204" t="s">
        <v>820</v>
      </c>
    </row>
    <row r="205" spans="1:14" x14ac:dyDescent="0.35">
      <c r="A205" t="s">
        <v>821</v>
      </c>
      <c r="B205" t="s">
        <v>822</v>
      </c>
      <c r="C205" t="s">
        <v>62</v>
      </c>
      <c r="D205">
        <v>57.47</v>
      </c>
      <c r="E205">
        <v>1000</v>
      </c>
      <c r="F205" t="s">
        <v>97</v>
      </c>
      <c r="G205" t="s">
        <v>32</v>
      </c>
      <c r="H205" t="s">
        <v>57</v>
      </c>
      <c r="I205" t="s">
        <v>44</v>
      </c>
      <c r="J205" t="s">
        <v>63</v>
      </c>
      <c r="K205" t="s">
        <v>64</v>
      </c>
      <c r="L205">
        <v>4</v>
      </c>
      <c r="M205" t="s">
        <v>823</v>
      </c>
      <c r="N205" t="s">
        <v>824</v>
      </c>
    </row>
    <row r="206" spans="1:14" x14ac:dyDescent="0.35">
      <c r="A206" t="s">
        <v>825</v>
      </c>
      <c r="B206" t="s">
        <v>826</v>
      </c>
      <c r="C206" t="s">
        <v>69</v>
      </c>
      <c r="D206">
        <v>69.5</v>
      </c>
      <c r="E206">
        <v>35000</v>
      </c>
      <c r="F206" t="s">
        <v>51</v>
      </c>
      <c r="G206" t="s">
        <v>32</v>
      </c>
      <c r="H206" t="s">
        <v>43</v>
      </c>
      <c r="I206" t="s">
        <v>129</v>
      </c>
      <c r="J206" t="s">
        <v>45</v>
      </c>
      <c r="K206" t="s">
        <v>46</v>
      </c>
      <c r="L206">
        <v>17</v>
      </c>
      <c r="M206" t="s">
        <v>297</v>
      </c>
      <c r="N206" t="s">
        <v>827</v>
      </c>
    </row>
    <row r="207" spans="1:14" x14ac:dyDescent="0.35">
      <c r="A207" t="s">
        <v>828</v>
      </c>
      <c r="B207" t="s">
        <v>829</v>
      </c>
      <c r="C207" t="s">
        <v>69</v>
      </c>
      <c r="D207">
        <v>83.46</v>
      </c>
      <c r="E207">
        <v>99000</v>
      </c>
      <c r="F207" t="s">
        <v>51</v>
      </c>
      <c r="G207" t="s">
        <v>32</v>
      </c>
      <c r="H207" t="s">
        <v>33</v>
      </c>
      <c r="I207" t="s">
        <v>44</v>
      </c>
      <c r="J207" t="s">
        <v>830</v>
      </c>
      <c r="K207" t="s">
        <v>51</v>
      </c>
      <c r="L207">
        <v>12</v>
      </c>
      <c r="M207" t="s">
        <v>831</v>
      </c>
      <c r="N207" t="s">
        <v>832</v>
      </c>
    </row>
    <row r="208" spans="1:14" x14ac:dyDescent="0.35">
      <c r="A208" t="s">
        <v>833</v>
      </c>
      <c r="B208" t="s">
        <v>834</v>
      </c>
      <c r="C208" t="s">
        <v>116</v>
      </c>
      <c r="D208">
        <v>7.92</v>
      </c>
      <c r="E208">
        <v>400</v>
      </c>
      <c r="F208" t="s">
        <v>106</v>
      </c>
      <c r="G208" t="s">
        <v>32</v>
      </c>
      <c r="H208" t="s">
        <v>57</v>
      </c>
      <c r="I208" t="s">
        <v>34</v>
      </c>
      <c r="J208" t="s">
        <v>63</v>
      </c>
      <c r="K208" t="s">
        <v>64</v>
      </c>
      <c r="L208">
        <v>20</v>
      </c>
      <c r="M208" t="s">
        <v>835</v>
      </c>
      <c r="N208" t="s">
        <v>836</v>
      </c>
    </row>
    <row r="209" spans="1:14" x14ac:dyDescent="0.35">
      <c r="A209" t="s">
        <v>837</v>
      </c>
      <c r="B209" t="s">
        <v>838</v>
      </c>
      <c r="C209" t="s">
        <v>81</v>
      </c>
      <c r="D209">
        <v>71.180000000000007</v>
      </c>
      <c r="E209">
        <v>7000</v>
      </c>
      <c r="F209" t="s">
        <v>106</v>
      </c>
      <c r="G209" t="s">
        <v>32</v>
      </c>
      <c r="H209" t="s">
        <v>57</v>
      </c>
      <c r="I209" t="s">
        <v>129</v>
      </c>
      <c r="J209" t="s">
        <v>839</v>
      </c>
      <c r="K209" t="s">
        <v>139</v>
      </c>
      <c r="L209">
        <v>6</v>
      </c>
      <c r="M209" t="s">
        <v>840</v>
      </c>
      <c r="N209" t="s">
        <v>841</v>
      </c>
    </row>
    <row r="210" spans="1:14" x14ac:dyDescent="0.35">
      <c r="A210" t="s">
        <v>842</v>
      </c>
      <c r="B210" t="s">
        <v>843</v>
      </c>
      <c r="C210" t="s">
        <v>30</v>
      </c>
      <c r="D210">
        <v>181.29</v>
      </c>
      <c r="E210">
        <v>6000</v>
      </c>
      <c r="F210" t="s">
        <v>76</v>
      </c>
      <c r="G210" t="s">
        <v>32</v>
      </c>
      <c r="H210" t="s">
        <v>33</v>
      </c>
      <c r="J210" t="s">
        <v>366</v>
      </c>
      <c r="K210" t="s">
        <v>51</v>
      </c>
      <c r="L210">
        <v>4</v>
      </c>
      <c r="N210" t="s">
        <v>379</v>
      </c>
    </row>
    <row r="211" spans="1:14" x14ac:dyDescent="0.35">
      <c r="A211" t="s">
        <v>844</v>
      </c>
      <c r="B211" t="s">
        <v>845</v>
      </c>
      <c r="C211" t="s">
        <v>62</v>
      </c>
      <c r="D211">
        <v>91.27</v>
      </c>
      <c r="E211">
        <v>2000</v>
      </c>
      <c r="F211" t="s">
        <v>51</v>
      </c>
      <c r="G211" t="s">
        <v>32</v>
      </c>
      <c r="H211" t="s">
        <v>33</v>
      </c>
      <c r="J211" t="s">
        <v>846</v>
      </c>
      <c r="K211" t="s">
        <v>74</v>
      </c>
      <c r="L211">
        <v>20</v>
      </c>
      <c r="M211" t="s">
        <v>847</v>
      </c>
      <c r="N211" t="s">
        <v>848</v>
      </c>
    </row>
    <row r="212" spans="1:14" x14ac:dyDescent="0.35">
      <c r="A212" t="s">
        <v>849</v>
      </c>
      <c r="B212" t="s">
        <v>850</v>
      </c>
      <c r="C212" t="s">
        <v>62</v>
      </c>
      <c r="D212">
        <v>82.11</v>
      </c>
      <c r="E212">
        <v>2000</v>
      </c>
      <c r="F212" t="s">
        <v>31</v>
      </c>
      <c r="G212" t="s">
        <v>32</v>
      </c>
      <c r="H212" t="s">
        <v>33</v>
      </c>
      <c r="J212" t="s">
        <v>35</v>
      </c>
      <c r="K212" t="s">
        <v>36</v>
      </c>
      <c r="L212">
        <v>17</v>
      </c>
      <c r="M212" t="s">
        <v>317</v>
      </c>
      <c r="N212" t="s">
        <v>851</v>
      </c>
    </row>
    <row r="213" spans="1:14" x14ac:dyDescent="0.35">
      <c r="A213" t="s">
        <v>852</v>
      </c>
      <c r="B213" t="s">
        <v>853</v>
      </c>
      <c r="C213" t="s">
        <v>81</v>
      </c>
      <c r="D213">
        <v>78.650000000000006</v>
      </c>
      <c r="E213">
        <v>3000</v>
      </c>
      <c r="F213" t="s">
        <v>51</v>
      </c>
      <c r="G213" t="s">
        <v>32</v>
      </c>
      <c r="H213" t="s">
        <v>43</v>
      </c>
      <c r="I213" t="s">
        <v>129</v>
      </c>
      <c r="J213" t="s">
        <v>854</v>
      </c>
      <c r="K213" t="s">
        <v>51</v>
      </c>
      <c r="L213">
        <v>10</v>
      </c>
      <c r="N213" t="s">
        <v>560</v>
      </c>
    </row>
    <row r="214" spans="1:14" x14ac:dyDescent="0.35">
      <c r="A214" t="s">
        <v>855</v>
      </c>
      <c r="B214" t="s">
        <v>856</v>
      </c>
      <c r="C214" t="s">
        <v>62</v>
      </c>
      <c r="D214">
        <v>65.44</v>
      </c>
      <c r="E214">
        <v>4000</v>
      </c>
      <c r="F214" t="s">
        <v>117</v>
      </c>
      <c r="G214" t="s">
        <v>32</v>
      </c>
      <c r="H214" t="s">
        <v>43</v>
      </c>
      <c r="I214" t="s">
        <v>44</v>
      </c>
      <c r="J214" t="s">
        <v>839</v>
      </c>
      <c r="K214" t="s">
        <v>139</v>
      </c>
      <c r="L214">
        <v>7</v>
      </c>
      <c r="N214" t="s">
        <v>857</v>
      </c>
    </row>
    <row r="215" spans="1:14" x14ac:dyDescent="0.35">
      <c r="A215" t="s">
        <v>858</v>
      </c>
      <c r="B215" t="s">
        <v>859</v>
      </c>
      <c r="C215" t="s">
        <v>69</v>
      </c>
      <c r="D215">
        <v>80.75</v>
      </c>
      <c r="E215">
        <v>16000</v>
      </c>
      <c r="F215" t="s">
        <v>42</v>
      </c>
      <c r="G215" t="s">
        <v>32</v>
      </c>
      <c r="H215" t="s">
        <v>57</v>
      </c>
      <c r="I215" t="s">
        <v>44</v>
      </c>
      <c r="J215" t="s">
        <v>860</v>
      </c>
      <c r="K215" t="s">
        <v>31</v>
      </c>
      <c r="L215">
        <v>4</v>
      </c>
      <c r="N215" t="s">
        <v>861</v>
      </c>
    </row>
    <row r="216" spans="1:14" x14ac:dyDescent="0.35">
      <c r="A216" t="s">
        <v>862</v>
      </c>
      <c r="B216" t="s">
        <v>863</v>
      </c>
      <c r="C216" t="s">
        <v>81</v>
      </c>
      <c r="D216">
        <v>95.58</v>
      </c>
      <c r="E216">
        <v>5000</v>
      </c>
      <c r="F216" t="s">
        <v>117</v>
      </c>
      <c r="G216" t="s">
        <v>32</v>
      </c>
      <c r="H216" t="s">
        <v>33</v>
      </c>
      <c r="J216" t="s">
        <v>35</v>
      </c>
      <c r="K216" t="s">
        <v>36</v>
      </c>
      <c r="L216">
        <v>11</v>
      </c>
      <c r="M216" t="s">
        <v>864</v>
      </c>
      <c r="N216" t="s">
        <v>865</v>
      </c>
    </row>
    <row r="217" spans="1:14" x14ac:dyDescent="0.35">
      <c r="A217" t="s">
        <v>866</v>
      </c>
      <c r="B217" t="s">
        <v>867</v>
      </c>
      <c r="C217" t="s">
        <v>62</v>
      </c>
      <c r="D217">
        <v>88.24</v>
      </c>
      <c r="E217">
        <v>4000</v>
      </c>
      <c r="F217" t="s">
        <v>147</v>
      </c>
      <c r="G217" t="s">
        <v>32</v>
      </c>
      <c r="H217" t="s">
        <v>43</v>
      </c>
      <c r="I217" t="s">
        <v>44</v>
      </c>
      <c r="J217" t="s">
        <v>107</v>
      </c>
      <c r="K217" t="s">
        <v>87</v>
      </c>
      <c r="L217">
        <v>23</v>
      </c>
      <c r="N217" t="s">
        <v>868</v>
      </c>
    </row>
    <row r="218" spans="1:14" x14ac:dyDescent="0.35">
      <c r="A218" t="s">
        <v>869</v>
      </c>
      <c r="B218" t="s">
        <v>870</v>
      </c>
      <c r="C218" t="s">
        <v>41</v>
      </c>
      <c r="D218">
        <v>106.79</v>
      </c>
      <c r="E218">
        <v>17000</v>
      </c>
      <c r="F218" t="s">
        <v>36</v>
      </c>
      <c r="G218" t="s">
        <v>102</v>
      </c>
      <c r="H218" t="s">
        <v>33</v>
      </c>
      <c r="I218" t="s">
        <v>34</v>
      </c>
      <c r="J218" t="s">
        <v>334</v>
      </c>
      <c r="K218" t="s">
        <v>51</v>
      </c>
      <c r="L218">
        <v>14</v>
      </c>
      <c r="N218" t="s">
        <v>871</v>
      </c>
    </row>
    <row r="219" spans="1:14" x14ac:dyDescent="0.35">
      <c r="A219" t="s">
        <v>872</v>
      </c>
      <c r="B219" t="s">
        <v>873</v>
      </c>
      <c r="C219" t="s">
        <v>41</v>
      </c>
      <c r="D219">
        <v>97.11</v>
      </c>
      <c r="E219">
        <v>12000</v>
      </c>
      <c r="F219" t="s">
        <v>147</v>
      </c>
      <c r="G219" t="s">
        <v>32</v>
      </c>
      <c r="H219" t="s">
        <v>57</v>
      </c>
      <c r="I219" t="s">
        <v>129</v>
      </c>
      <c r="J219" t="s">
        <v>209</v>
      </c>
      <c r="K219" t="s">
        <v>74</v>
      </c>
      <c r="L219">
        <v>18</v>
      </c>
      <c r="N219" t="s">
        <v>874</v>
      </c>
    </row>
    <row r="220" spans="1:14" x14ac:dyDescent="0.35">
      <c r="A220" t="s">
        <v>875</v>
      </c>
      <c r="B220" t="s">
        <v>876</v>
      </c>
      <c r="C220" t="s">
        <v>41</v>
      </c>
      <c r="D220">
        <v>151.43</v>
      </c>
      <c r="E220">
        <v>13000</v>
      </c>
      <c r="F220" t="s">
        <v>64</v>
      </c>
      <c r="G220" t="s">
        <v>32</v>
      </c>
      <c r="H220" t="s">
        <v>43</v>
      </c>
      <c r="I220" t="s">
        <v>44</v>
      </c>
      <c r="J220" t="s">
        <v>334</v>
      </c>
      <c r="K220" t="s">
        <v>51</v>
      </c>
      <c r="L220">
        <v>5</v>
      </c>
      <c r="N220" t="s">
        <v>877</v>
      </c>
    </row>
    <row r="221" spans="1:14" x14ac:dyDescent="0.35">
      <c r="A221" t="s">
        <v>878</v>
      </c>
      <c r="B221" t="s">
        <v>879</v>
      </c>
      <c r="C221" t="s">
        <v>69</v>
      </c>
      <c r="D221">
        <v>74.48</v>
      </c>
      <c r="E221">
        <v>11000</v>
      </c>
      <c r="F221" t="s">
        <v>36</v>
      </c>
      <c r="G221" t="s">
        <v>102</v>
      </c>
      <c r="H221" t="s">
        <v>43</v>
      </c>
      <c r="J221" t="s">
        <v>880</v>
      </c>
      <c r="K221" t="s">
        <v>139</v>
      </c>
      <c r="L221">
        <v>5</v>
      </c>
      <c r="M221" t="s">
        <v>881</v>
      </c>
      <c r="N221" t="s">
        <v>882</v>
      </c>
    </row>
    <row r="222" spans="1:14" x14ac:dyDescent="0.35">
      <c r="A222" t="s">
        <v>883</v>
      </c>
      <c r="B222" t="s">
        <v>884</v>
      </c>
      <c r="C222" t="s">
        <v>41</v>
      </c>
      <c r="D222">
        <v>116.93</v>
      </c>
      <c r="E222">
        <v>15000</v>
      </c>
      <c r="F222" t="s">
        <v>147</v>
      </c>
      <c r="G222" t="s">
        <v>32</v>
      </c>
      <c r="H222" t="s">
        <v>57</v>
      </c>
      <c r="I222" t="s">
        <v>44</v>
      </c>
      <c r="J222" t="s">
        <v>75</v>
      </c>
      <c r="K222" t="s">
        <v>76</v>
      </c>
      <c r="L222">
        <v>15</v>
      </c>
      <c r="M222" t="s">
        <v>885</v>
      </c>
      <c r="N222" t="s">
        <v>244</v>
      </c>
    </row>
    <row r="223" spans="1:14" x14ac:dyDescent="0.35">
      <c r="A223" t="s">
        <v>886</v>
      </c>
      <c r="B223" t="s">
        <v>887</v>
      </c>
      <c r="C223" t="s">
        <v>69</v>
      </c>
      <c r="D223">
        <v>60.07</v>
      </c>
      <c r="E223">
        <v>45000</v>
      </c>
      <c r="F223" t="s">
        <v>147</v>
      </c>
      <c r="G223" t="s">
        <v>102</v>
      </c>
      <c r="H223" t="s">
        <v>33</v>
      </c>
      <c r="I223" t="s">
        <v>44</v>
      </c>
      <c r="J223" t="s">
        <v>888</v>
      </c>
      <c r="K223" t="s">
        <v>139</v>
      </c>
      <c r="L223">
        <v>20</v>
      </c>
      <c r="M223" t="s">
        <v>889</v>
      </c>
      <c r="N223" t="s">
        <v>890</v>
      </c>
    </row>
    <row r="224" spans="1:14" x14ac:dyDescent="0.35">
      <c r="A224" t="s">
        <v>891</v>
      </c>
      <c r="B224" t="s">
        <v>892</v>
      </c>
      <c r="C224" t="s">
        <v>30</v>
      </c>
      <c r="D224">
        <v>190.93</v>
      </c>
      <c r="E224">
        <v>1000</v>
      </c>
      <c r="F224" t="s">
        <v>76</v>
      </c>
      <c r="G224" t="s">
        <v>32</v>
      </c>
      <c r="H224" t="s">
        <v>33</v>
      </c>
      <c r="I224" t="s">
        <v>129</v>
      </c>
      <c r="J224" t="s">
        <v>893</v>
      </c>
      <c r="K224" t="s">
        <v>147</v>
      </c>
      <c r="L224">
        <v>2</v>
      </c>
      <c r="M224" t="s">
        <v>894</v>
      </c>
      <c r="N224" t="s">
        <v>895</v>
      </c>
    </row>
    <row r="225" spans="1:14" x14ac:dyDescent="0.35">
      <c r="A225" t="s">
        <v>896</v>
      </c>
      <c r="B225" t="s">
        <v>897</v>
      </c>
      <c r="C225" t="s">
        <v>41</v>
      </c>
      <c r="D225">
        <v>111.07</v>
      </c>
      <c r="E225">
        <v>19000</v>
      </c>
      <c r="F225" t="s">
        <v>36</v>
      </c>
      <c r="G225" t="s">
        <v>32</v>
      </c>
      <c r="H225" t="s">
        <v>57</v>
      </c>
      <c r="I225" t="s">
        <v>129</v>
      </c>
      <c r="J225" t="s">
        <v>130</v>
      </c>
      <c r="K225" t="s">
        <v>123</v>
      </c>
      <c r="L225">
        <v>16</v>
      </c>
      <c r="M225" t="s">
        <v>898</v>
      </c>
      <c r="N225" t="s">
        <v>78</v>
      </c>
    </row>
    <row r="226" spans="1:14" x14ac:dyDescent="0.35">
      <c r="A226" t="s">
        <v>899</v>
      </c>
      <c r="B226" t="s">
        <v>900</v>
      </c>
      <c r="C226" t="s">
        <v>30</v>
      </c>
      <c r="D226">
        <v>119.13</v>
      </c>
      <c r="E226">
        <v>13000</v>
      </c>
      <c r="F226" t="s">
        <v>147</v>
      </c>
      <c r="G226" t="s">
        <v>32</v>
      </c>
      <c r="H226" t="s">
        <v>33</v>
      </c>
      <c r="J226" t="s">
        <v>901</v>
      </c>
      <c r="K226" t="s">
        <v>97</v>
      </c>
      <c r="L226">
        <v>10</v>
      </c>
      <c r="N226" t="s">
        <v>902</v>
      </c>
    </row>
    <row r="227" spans="1:14" x14ac:dyDescent="0.35">
      <c r="A227" t="s">
        <v>903</v>
      </c>
      <c r="B227" t="s">
        <v>904</v>
      </c>
      <c r="C227" t="s">
        <v>62</v>
      </c>
      <c r="D227">
        <v>76.13</v>
      </c>
      <c r="E227">
        <v>3000</v>
      </c>
      <c r="F227" t="s">
        <v>31</v>
      </c>
      <c r="G227" t="s">
        <v>32</v>
      </c>
      <c r="H227" t="s">
        <v>57</v>
      </c>
      <c r="J227" t="s">
        <v>70</v>
      </c>
      <c r="K227" t="s">
        <v>31</v>
      </c>
      <c r="L227">
        <v>15</v>
      </c>
      <c r="N227" t="s">
        <v>905</v>
      </c>
    </row>
    <row r="228" spans="1:14" x14ac:dyDescent="0.35">
      <c r="A228" t="s">
        <v>906</v>
      </c>
      <c r="B228" t="s">
        <v>907</v>
      </c>
      <c r="C228" t="s">
        <v>116</v>
      </c>
      <c r="D228">
        <v>8.51</v>
      </c>
      <c r="E228">
        <v>500</v>
      </c>
      <c r="F228" t="s">
        <v>74</v>
      </c>
      <c r="G228" t="s">
        <v>32</v>
      </c>
      <c r="H228" t="s">
        <v>57</v>
      </c>
      <c r="J228" t="s">
        <v>130</v>
      </c>
      <c r="K228" t="s">
        <v>123</v>
      </c>
      <c r="L228">
        <v>2</v>
      </c>
      <c r="N228" t="s">
        <v>908</v>
      </c>
    </row>
    <row r="229" spans="1:14" x14ac:dyDescent="0.35">
      <c r="A229" t="s">
        <v>909</v>
      </c>
      <c r="B229" t="s">
        <v>910</v>
      </c>
      <c r="C229" t="s">
        <v>30</v>
      </c>
      <c r="D229">
        <v>118.33</v>
      </c>
      <c r="E229">
        <v>7000</v>
      </c>
      <c r="F229" t="s">
        <v>117</v>
      </c>
      <c r="G229" t="s">
        <v>32</v>
      </c>
      <c r="H229" t="s">
        <v>33</v>
      </c>
      <c r="J229" t="s">
        <v>75</v>
      </c>
      <c r="K229" t="s">
        <v>76</v>
      </c>
      <c r="L229">
        <v>3</v>
      </c>
      <c r="M229" t="s">
        <v>911</v>
      </c>
      <c r="N229" t="s">
        <v>912</v>
      </c>
    </row>
    <row r="230" spans="1:14" x14ac:dyDescent="0.35">
      <c r="A230" t="s">
        <v>913</v>
      </c>
      <c r="B230" t="s">
        <v>914</v>
      </c>
      <c r="C230" t="s">
        <v>41</v>
      </c>
      <c r="D230">
        <v>137.68</v>
      </c>
      <c r="E230">
        <v>15000</v>
      </c>
      <c r="F230" t="s">
        <v>46</v>
      </c>
      <c r="G230" t="s">
        <v>32</v>
      </c>
      <c r="H230" t="s">
        <v>43</v>
      </c>
      <c r="J230" t="s">
        <v>915</v>
      </c>
      <c r="K230" t="s">
        <v>139</v>
      </c>
      <c r="L230">
        <v>1</v>
      </c>
      <c r="M230" t="s">
        <v>916</v>
      </c>
      <c r="N230" t="s">
        <v>171</v>
      </c>
    </row>
    <row r="231" spans="1:14" x14ac:dyDescent="0.35">
      <c r="A231" t="s">
        <v>917</v>
      </c>
      <c r="B231" t="s">
        <v>918</v>
      </c>
      <c r="C231" t="s">
        <v>69</v>
      </c>
      <c r="D231">
        <v>98.28</v>
      </c>
      <c r="E231">
        <v>49000</v>
      </c>
      <c r="F231" t="s">
        <v>123</v>
      </c>
      <c r="G231" t="s">
        <v>102</v>
      </c>
      <c r="H231" t="s">
        <v>43</v>
      </c>
      <c r="I231" t="s">
        <v>44</v>
      </c>
      <c r="J231" t="s">
        <v>919</v>
      </c>
      <c r="K231" t="s">
        <v>51</v>
      </c>
      <c r="L231">
        <v>15</v>
      </c>
      <c r="M231" t="s">
        <v>297</v>
      </c>
      <c r="N231" t="s">
        <v>920</v>
      </c>
    </row>
    <row r="232" spans="1:14" x14ac:dyDescent="0.35">
      <c r="A232" t="s">
        <v>921</v>
      </c>
      <c r="B232" t="s">
        <v>922</v>
      </c>
      <c r="C232" t="s">
        <v>41</v>
      </c>
      <c r="D232">
        <v>111.12</v>
      </c>
      <c r="E232">
        <v>34000</v>
      </c>
      <c r="F232" t="s">
        <v>97</v>
      </c>
      <c r="G232" t="s">
        <v>32</v>
      </c>
      <c r="H232" t="s">
        <v>33</v>
      </c>
      <c r="I232" t="s">
        <v>44</v>
      </c>
      <c r="J232" t="s">
        <v>70</v>
      </c>
      <c r="K232" t="s">
        <v>31</v>
      </c>
      <c r="L232">
        <v>6</v>
      </c>
      <c r="M232" t="s">
        <v>923</v>
      </c>
      <c r="N232" t="s">
        <v>924</v>
      </c>
    </row>
    <row r="233" spans="1:14" x14ac:dyDescent="0.35">
      <c r="A233" t="s">
        <v>925</v>
      </c>
      <c r="B233" t="s">
        <v>926</v>
      </c>
      <c r="C233" t="s">
        <v>81</v>
      </c>
      <c r="D233">
        <v>92.14</v>
      </c>
      <c r="E233">
        <v>1000</v>
      </c>
      <c r="F233" t="s">
        <v>236</v>
      </c>
      <c r="G233" t="s">
        <v>32</v>
      </c>
      <c r="H233" t="s">
        <v>33</v>
      </c>
      <c r="I233" t="s">
        <v>129</v>
      </c>
      <c r="J233" t="s">
        <v>209</v>
      </c>
      <c r="K233" t="s">
        <v>74</v>
      </c>
      <c r="L233">
        <v>7</v>
      </c>
      <c r="M233" t="s">
        <v>698</v>
      </c>
      <c r="N233" t="s">
        <v>927</v>
      </c>
    </row>
    <row r="234" spans="1:14" x14ac:dyDescent="0.35">
      <c r="A234" t="s">
        <v>928</v>
      </c>
      <c r="B234" t="s">
        <v>929</v>
      </c>
      <c r="C234" t="s">
        <v>62</v>
      </c>
      <c r="D234">
        <v>53.47</v>
      </c>
      <c r="E234">
        <v>5000</v>
      </c>
      <c r="F234" t="s">
        <v>147</v>
      </c>
      <c r="G234" t="s">
        <v>102</v>
      </c>
      <c r="H234" t="s">
        <v>57</v>
      </c>
      <c r="I234" t="s">
        <v>44</v>
      </c>
      <c r="J234" t="s">
        <v>334</v>
      </c>
      <c r="K234" t="s">
        <v>51</v>
      </c>
      <c r="L234">
        <v>16</v>
      </c>
      <c r="M234" t="s">
        <v>930</v>
      </c>
      <c r="N234" t="s">
        <v>931</v>
      </c>
    </row>
    <row r="235" spans="1:14" x14ac:dyDescent="0.35">
      <c r="A235" t="s">
        <v>932</v>
      </c>
      <c r="B235" t="s">
        <v>933</v>
      </c>
      <c r="C235" t="s">
        <v>41</v>
      </c>
      <c r="D235">
        <v>133.58000000000001</v>
      </c>
      <c r="E235">
        <v>30000</v>
      </c>
      <c r="F235" t="s">
        <v>106</v>
      </c>
      <c r="G235" t="s">
        <v>32</v>
      </c>
      <c r="H235" t="s">
        <v>43</v>
      </c>
      <c r="I235" t="s">
        <v>44</v>
      </c>
      <c r="J235" t="s">
        <v>63</v>
      </c>
      <c r="K235" t="s">
        <v>64</v>
      </c>
      <c r="L235">
        <v>15</v>
      </c>
      <c r="M235" t="s">
        <v>58</v>
      </c>
      <c r="N235" t="s">
        <v>934</v>
      </c>
    </row>
    <row r="236" spans="1:14" x14ac:dyDescent="0.35">
      <c r="A236" t="s">
        <v>935</v>
      </c>
      <c r="B236" t="s">
        <v>936</v>
      </c>
      <c r="C236" t="s">
        <v>30</v>
      </c>
      <c r="D236">
        <v>129.55000000000001</v>
      </c>
      <c r="E236">
        <v>5000</v>
      </c>
      <c r="F236" t="s">
        <v>236</v>
      </c>
      <c r="G236" t="s">
        <v>32</v>
      </c>
      <c r="H236" t="s">
        <v>43</v>
      </c>
      <c r="I236" t="s">
        <v>44</v>
      </c>
      <c r="J236" t="s">
        <v>937</v>
      </c>
      <c r="K236" t="s">
        <v>42</v>
      </c>
      <c r="L236">
        <v>8</v>
      </c>
      <c r="M236" t="s">
        <v>524</v>
      </c>
      <c r="N236" t="s">
        <v>938</v>
      </c>
    </row>
    <row r="237" spans="1:14" x14ac:dyDescent="0.35">
      <c r="A237" t="s">
        <v>939</v>
      </c>
      <c r="B237" t="s">
        <v>940</v>
      </c>
      <c r="C237" t="s">
        <v>81</v>
      </c>
      <c r="D237">
        <v>136.01</v>
      </c>
      <c r="E237">
        <v>5000</v>
      </c>
      <c r="F237" t="s">
        <v>76</v>
      </c>
      <c r="G237" t="s">
        <v>32</v>
      </c>
      <c r="H237" t="s">
        <v>33</v>
      </c>
      <c r="I237" t="s">
        <v>129</v>
      </c>
      <c r="J237" t="s">
        <v>941</v>
      </c>
      <c r="K237" t="s">
        <v>147</v>
      </c>
      <c r="L237">
        <v>15</v>
      </c>
      <c r="M237" t="s">
        <v>637</v>
      </c>
      <c r="N237" t="s">
        <v>78</v>
      </c>
    </row>
    <row r="238" spans="1:14" x14ac:dyDescent="0.35">
      <c r="A238" t="s">
        <v>942</v>
      </c>
      <c r="B238" t="s">
        <v>943</v>
      </c>
      <c r="C238" t="s">
        <v>30</v>
      </c>
      <c r="D238">
        <v>149.02000000000001</v>
      </c>
      <c r="E238">
        <v>2000</v>
      </c>
      <c r="F238" t="s">
        <v>106</v>
      </c>
      <c r="G238" t="s">
        <v>32</v>
      </c>
      <c r="H238" t="s">
        <v>33</v>
      </c>
      <c r="I238" t="s">
        <v>44</v>
      </c>
      <c r="J238" t="s">
        <v>118</v>
      </c>
      <c r="K238" t="s">
        <v>42</v>
      </c>
      <c r="L238">
        <v>19</v>
      </c>
      <c r="N238" t="s">
        <v>944</v>
      </c>
    </row>
    <row r="239" spans="1:14" x14ac:dyDescent="0.35">
      <c r="A239" t="s">
        <v>945</v>
      </c>
      <c r="B239" t="s">
        <v>946</v>
      </c>
      <c r="C239" t="s">
        <v>41</v>
      </c>
      <c r="D239">
        <v>120.41</v>
      </c>
      <c r="E239">
        <v>10000</v>
      </c>
      <c r="F239" t="s">
        <v>236</v>
      </c>
      <c r="G239" t="s">
        <v>32</v>
      </c>
      <c r="H239" t="s">
        <v>33</v>
      </c>
      <c r="I239" t="s">
        <v>44</v>
      </c>
      <c r="J239" t="s">
        <v>947</v>
      </c>
      <c r="K239" t="s">
        <v>51</v>
      </c>
      <c r="L239">
        <v>1</v>
      </c>
      <c r="N239" t="s">
        <v>948</v>
      </c>
    </row>
    <row r="240" spans="1:14" x14ac:dyDescent="0.35">
      <c r="A240" t="s">
        <v>949</v>
      </c>
      <c r="B240" t="s">
        <v>950</v>
      </c>
      <c r="C240" t="s">
        <v>116</v>
      </c>
      <c r="D240">
        <v>7.03</v>
      </c>
      <c r="E240">
        <v>700</v>
      </c>
      <c r="F240" t="s">
        <v>117</v>
      </c>
      <c r="G240" t="s">
        <v>32</v>
      </c>
      <c r="H240" t="s">
        <v>43</v>
      </c>
      <c r="I240" t="s">
        <v>44</v>
      </c>
      <c r="J240" t="s">
        <v>951</v>
      </c>
      <c r="K240" t="s">
        <v>147</v>
      </c>
      <c r="L240">
        <v>11</v>
      </c>
      <c r="M240" t="s">
        <v>952</v>
      </c>
      <c r="N240" t="s">
        <v>66</v>
      </c>
    </row>
    <row r="241" spans="1:14" x14ac:dyDescent="0.35">
      <c r="A241" t="s">
        <v>953</v>
      </c>
      <c r="B241" t="s">
        <v>954</v>
      </c>
      <c r="C241" t="s">
        <v>41</v>
      </c>
      <c r="D241">
        <v>127.6</v>
      </c>
      <c r="E241">
        <v>28000</v>
      </c>
      <c r="F241" t="s">
        <v>106</v>
      </c>
      <c r="G241" t="s">
        <v>32</v>
      </c>
      <c r="H241" t="s">
        <v>43</v>
      </c>
      <c r="I241" t="s">
        <v>129</v>
      </c>
      <c r="J241" t="s">
        <v>209</v>
      </c>
      <c r="K241" t="s">
        <v>74</v>
      </c>
      <c r="L241">
        <v>7</v>
      </c>
      <c r="M241" t="s">
        <v>955</v>
      </c>
      <c r="N241" t="s">
        <v>956</v>
      </c>
    </row>
    <row r="242" spans="1:14" x14ac:dyDescent="0.35">
      <c r="A242" t="s">
        <v>957</v>
      </c>
      <c r="B242" t="s">
        <v>958</v>
      </c>
      <c r="C242" t="s">
        <v>41</v>
      </c>
      <c r="D242">
        <v>80.98</v>
      </c>
      <c r="E242">
        <v>30000</v>
      </c>
      <c r="F242" t="s">
        <v>42</v>
      </c>
      <c r="G242" t="s">
        <v>32</v>
      </c>
      <c r="H242" t="s">
        <v>57</v>
      </c>
      <c r="I242" t="s">
        <v>44</v>
      </c>
      <c r="J242" t="s">
        <v>959</v>
      </c>
      <c r="K242" t="s">
        <v>139</v>
      </c>
      <c r="L242">
        <v>20</v>
      </c>
      <c r="M242" t="s">
        <v>544</v>
      </c>
      <c r="N242" t="s">
        <v>224</v>
      </c>
    </row>
    <row r="243" spans="1:14" x14ac:dyDescent="0.35">
      <c r="A243" t="s">
        <v>960</v>
      </c>
      <c r="B243" t="s">
        <v>961</v>
      </c>
      <c r="C243" t="s">
        <v>69</v>
      </c>
      <c r="D243">
        <v>73.52</v>
      </c>
      <c r="E243">
        <v>55000</v>
      </c>
      <c r="F243" t="s">
        <v>51</v>
      </c>
      <c r="G243" t="s">
        <v>32</v>
      </c>
      <c r="H243" t="s">
        <v>43</v>
      </c>
      <c r="J243" t="s">
        <v>75</v>
      </c>
      <c r="K243" t="s">
        <v>76</v>
      </c>
      <c r="L243">
        <v>16</v>
      </c>
      <c r="N243" t="s">
        <v>962</v>
      </c>
    </row>
    <row r="244" spans="1:14" x14ac:dyDescent="0.35">
      <c r="A244" t="s">
        <v>963</v>
      </c>
      <c r="B244" t="s">
        <v>964</v>
      </c>
      <c r="C244" t="s">
        <v>62</v>
      </c>
      <c r="D244">
        <v>57.72</v>
      </c>
      <c r="E244">
        <v>5000</v>
      </c>
      <c r="F244" t="s">
        <v>87</v>
      </c>
      <c r="G244" t="s">
        <v>32</v>
      </c>
      <c r="H244" t="s">
        <v>33</v>
      </c>
      <c r="I244" t="s">
        <v>44</v>
      </c>
      <c r="J244" t="s">
        <v>636</v>
      </c>
      <c r="K244" t="s">
        <v>147</v>
      </c>
      <c r="L244">
        <v>17</v>
      </c>
      <c r="M244" t="s">
        <v>965</v>
      </c>
      <c r="N244" t="s">
        <v>814</v>
      </c>
    </row>
    <row r="245" spans="1:14" x14ac:dyDescent="0.35">
      <c r="A245" t="s">
        <v>966</v>
      </c>
      <c r="B245" t="s">
        <v>967</v>
      </c>
      <c r="C245" t="s">
        <v>116</v>
      </c>
      <c r="D245">
        <v>10.61</v>
      </c>
      <c r="E245">
        <v>700</v>
      </c>
      <c r="F245" t="s">
        <v>106</v>
      </c>
      <c r="G245" t="s">
        <v>32</v>
      </c>
      <c r="H245" t="s">
        <v>43</v>
      </c>
      <c r="I245" t="s">
        <v>44</v>
      </c>
      <c r="J245" t="s">
        <v>75</v>
      </c>
      <c r="K245" t="s">
        <v>76</v>
      </c>
      <c r="L245">
        <v>7</v>
      </c>
      <c r="N245" t="s">
        <v>968</v>
      </c>
    </row>
    <row r="246" spans="1:14" x14ac:dyDescent="0.35">
      <c r="A246" t="s">
        <v>969</v>
      </c>
      <c r="B246" t="s">
        <v>970</v>
      </c>
      <c r="C246" t="s">
        <v>69</v>
      </c>
      <c r="D246">
        <v>74.66</v>
      </c>
      <c r="E246">
        <v>63000</v>
      </c>
      <c r="F246" t="s">
        <v>117</v>
      </c>
      <c r="G246" t="s">
        <v>32</v>
      </c>
      <c r="H246" t="s">
        <v>43</v>
      </c>
      <c r="I246" t="s">
        <v>129</v>
      </c>
      <c r="J246" t="s">
        <v>124</v>
      </c>
      <c r="K246" t="s">
        <v>117</v>
      </c>
      <c r="L246">
        <v>8</v>
      </c>
      <c r="M246" t="s">
        <v>971</v>
      </c>
      <c r="N246" t="s">
        <v>972</v>
      </c>
    </row>
    <row r="247" spans="1:14" x14ac:dyDescent="0.35">
      <c r="A247" t="s">
        <v>973</v>
      </c>
      <c r="B247" t="s">
        <v>974</v>
      </c>
      <c r="C247" t="s">
        <v>62</v>
      </c>
      <c r="D247">
        <v>77.349999999999994</v>
      </c>
      <c r="E247">
        <v>1000</v>
      </c>
      <c r="F247" t="s">
        <v>51</v>
      </c>
      <c r="G247" t="s">
        <v>32</v>
      </c>
      <c r="H247" t="s">
        <v>33</v>
      </c>
      <c r="I247" t="s">
        <v>44</v>
      </c>
      <c r="J247" t="s">
        <v>599</v>
      </c>
      <c r="K247" t="s">
        <v>139</v>
      </c>
      <c r="L247">
        <v>0</v>
      </c>
      <c r="M247" t="s">
        <v>835</v>
      </c>
      <c r="N247" t="s">
        <v>322</v>
      </c>
    </row>
    <row r="248" spans="1:14" x14ac:dyDescent="0.35">
      <c r="A248" t="s">
        <v>975</v>
      </c>
      <c r="B248" t="s">
        <v>976</v>
      </c>
      <c r="C248" t="s">
        <v>41</v>
      </c>
      <c r="D248">
        <v>130.65</v>
      </c>
      <c r="E248">
        <v>39000</v>
      </c>
      <c r="F248" t="s">
        <v>42</v>
      </c>
      <c r="G248" t="s">
        <v>32</v>
      </c>
      <c r="H248" t="s">
        <v>43</v>
      </c>
      <c r="I248" t="s">
        <v>34</v>
      </c>
      <c r="J248" t="s">
        <v>124</v>
      </c>
      <c r="K248" t="s">
        <v>117</v>
      </c>
      <c r="L248">
        <v>13</v>
      </c>
      <c r="N248" t="s">
        <v>977</v>
      </c>
    </row>
    <row r="249" spans="1:14" x14ac:dyDescent="0.35">
      <c r="A249" t="s">
        <v>978</v>
      </c>
      <c r="B249" t="s">
        <v>979</v>
      </c>
      <c r="C249" t="s">
        <v>116</v>
      </c>
      <c r="D249">
        <v>10.199999999999999</v>
      </c>
      <c r="E249">
        <v>400</v>
      </c>
      <c r="F249" t="s">
        <v>46</v>
      </c>
      <c r="G249" t="s">
        <v>32</v>
      </c>
      <c r="H249" t="s">
        <v>43</v>
      </c>
      <c r="J249" t="s">
        <v>107</v>
      </c>
      <c r="K249" t="s">
        <v>87</v>
      </c>
      <c r="L249">
        <v>8</v>
      </c>
      <c r="N249" t="s">
        <v>980</v>
      </c>
    </row>
    <row r="250" spans="1:14" x14ac:dyDescent="0.35">
      <c r="A250" t="s">
        <v>981</v>
      </c>
      <c r="B250" t="s">
        <v>982</v>
      </c>
      <c r="C250" t="s">
        <v>81</v>
      </c>
      <c r="D250">
        <v>123.3</v>
      </c>
      <c r="E250">
        <v>1000</v>
      </c>
      <c r="F250" t="s">
        <v>51</v>
      </c>
      <c r="G250" t="s">
        <v>32</v>
      </c>
      <c r="H250" t="s">
        <v>43</v>
      </c>
      <c r="I250" t="s">
        <v>44</v>
      </c>
      <c r="J250" t="s">
        <v>983</v>
      </c>
      <c r="K250" t="s">
        <v>51</v>
      </c>
      <c r="L250">
        <v>7</v>
      </c>
      <c r="N250" t="s">
        <v>984</v>
      </c>
    </row>
    <row r="251" spans="1:14" x14ac:dyDescent="0.35">
      <c r="A251" t="s">
        <v>985</v>
      </c>
      <c r="B251" t="s">
        <v>986</v>
      </c>
      <c r="C251" t="s">
        <v>81</v>
      </c>
      <c r="D251">
        <v>90.32</v>
      </c>
      <c r="E251">
        <v>5000</v>
      </c>
      <c r="F251" t="s">
        <v>46</v>
      </c>
      <c r="G251" t="s">
        <v>32</v>
      </c>
      <c r="H251" t="s">
        <v>43</v>
      </c>
      <c r="I251" t="s">
        <v>129</v>
      </c>
      <c r="J251" t="s">
        <v>209</v>
      </c>
      <c r="K251" t="s">
        <v>74</v>
      </c>
      <c r="L251">
        <v>0</v>
      </c>
      <c r="M251" t="s">
        <v>987</v>
      </c>
      <c r="N251" t="s">
        <v>988</v>
      </c>
    </row>
    <row r="252" spans="1:14" x14ac:dyDescent="0.35">
      <c r="A252" t="s">
        <v>989</v>
      </c>
      <c r="B252" t="s">
        <v>990</v>
      </c>
      <c r="C252" t="s">
        <v>116</v>
      </c>
      <c r="D252">
        <v>10.18</v>
      </c>
      <c r="E252">
        <v>200</v>
      </c>
      <c r="F252" t="s">
        <v>147</v>
      </c>
      <c r="G252" t="s">
        <v>32</v>
      </c>
      <c r="H252" t="s">
        <v>33</v>
      </c>
      <c r="I252" t="s">
        <v>44</v>
      </c>
      <c r="J252" t="s">
        <v>991</v>
      </c>
      <c r="K252" t="s">
        <v>147</v>
      </c>
      <c r="L252">
        <v>19</v>
      </c>
      <c r="N252" t="s">
        <v>992</v>
      </c>
    </row>
    <row r="253" spans="1:14" x14ac:dyDescent="0.35">
      <c r="A253" t="s">
        <v>993</v>
      </c>
      <c r="B253" t="s">
        <v>994</v>
      </c>
      <c r="C253" t="s">
        <v>30</v>
      </c>
      <c r="D253">
        <v>190.93</v>
      </c>
      <c r="E253">
        <v>4000</v>
      </c>
      <c r="F253" t="s">
        <v>51</v>
      </c>
      <c r="G253" t="s">
        <v>32</v>
      </c>
      <c r="H253" t="s">
        <v>33</v>
      </c>
      <c r="I253" t="s">
        <v>44</v>
      </c>
      <c r="J253" t="s">
        <v>75</v>
      </c>
      <c r="K253" t="s">
        <v>76</v>
      </c>
      <c r="L253">
        <v>14</v>
      </c>
      <c r="M253" t="s">
        <v>995</v>
      </c>
      <c r="N253" t="s">
        <v>996</v>
      </c>
    </row>
    <row r="254" spans="1:14" x14ac:dyDescent="0.35">
      <c r="A254" t="s">
        <v>997</v>
      </c>
      <c r="B254" t="s">
        <v>998</v>
      </c>
      <c r="C254" t="s">
        <v>116</v>
      </c>
      <c r="D254">
        <v>11.64</v>
      </c>
      <c r="E254">
        <v>100</v>
      </c>
      <c r="F254" t="s">
        <v>46</v>
      </c>
      <c r="G254" t="s">
        <v>32</v>
      </c>
      <c r="H254" t="s">
        <v>33</v>
      </c>
      <c r="I254" t="s">
        <v>34</v>
      </c>
      <c r="J254" t="s">
        <v>500</v>
      </c>
      <c r="K254" t="s">
        <v>236</v>
      </c>
      <c r="L254">
        <v>6</v>
      </c>
      <c r="M254" t="s">
        <v>231</v>
      </c>
      <c r="N254" t="s">
        <v>999</v>
      </c>
    </row>
    <row r="255" spans="1:14" x14ac:dyDescent="0.35">
      <c r="A255" t="s">
        <v>1000</v>
      </c>
      <c r="B255" t="s">
        <v>1001</v>
      </c>
      <c r="C255" t="s">
        <v>81</v>
      </c>
      <c r="D255">
        <v>74.819999999999993</v>
      </c>
      <c r="E255">
        <v>6000</v>
      </c>
      <c r="F255" t="s">
        <v>139</v>
      </c>
      <c r="G255" t="s">
        <v>102</v>
      </c>
      <c r="H255" t="s">
        <v>57</v>
      </c>
      <c r="J255" t="s">
        <v>112</v>
      </c>
      <c r="K255" t="s">
        <v>106</v>
      </c>
      <c r="L255">
        <v>2</v>
      </c>
      <c r="M255" t="s">
        <v>563</v>
      </c>
      <c r="N255" t="s">
        <v>1002</v>
      </c>
    </row>
    <row r="256" spans="1:14" x14ac:dyDescent="0.35">
      <c r="A256" t="s">
        <v>1003</v>
      </c>
      <c r="B256" t="s">
        <v>1004</v>
      </c>
      <c r="C256" t="s">
        <v>62</v>
      </c>
      <c r="D256">
        <v>98.9</v>
      </c>
      <c r="E256">
        <v>3000</v>
      </c>
      <c r="F256" t="s">
        <v>147</v>
      </c>
      <c r="G256" t="s">
        <v>32</v>
      </c>
      <c r="H256" t="s">
        <v>43</v>
      </c>
      <c r="I256" t="s">
        <v>44</v>
      </c>
      <c r="J256" t="s">
        <v>1005</v>
      </c>
      <c r="K256" t="s">
        <v>139</v>
      </c>
      <c r="L256">
        <v>6</v>
      </c>
      <c r="N256" t="s">
        <v>1006</v>
      </c>
    </row>
    <row r="257" spans="1:14" x14ac:dyDescent="0.35">
      <c r="A257" t="s">
        <v>1007</v>
      </c>
      <c r="B257" t="s">
        <v>1008</v>
      </c>
      <c r="C257" t="s">
        <v>81</v>
      </c>
      <c r="D257">
        <v>70.94</v>
      </c>
      <c r="E257">
        <v>4000</v>
      </c>
      <c r="F257" t="s">
        <v>97</v>
      </c>
      <c r="G257" t="s">
        <v>32</v>
      </c>
      <c r="H257" t="s">
        <v>43</v>
      </c>
      <c r="I257" t="s">
        <v>44</v>
      </c>
      <c r="J257" t="s">
        <v>92</v>
      </c>
      <c r="K257" t="s">
        <v>51</v>
      </c>
      <c r="L257">
        <v>10</v>
      </c>
      <c r="M257" t="s">
        <v>1009</v>
      </c>
      <c r="N257" t="s">
        <v>415</v>
      </c>
    </row>
    <row r="258" spans="1:14" x14ac:dyDescent="0.35">
      <c r="A258" t="s">
        <v>1010</v>
      </c>
      <c r="B258" t="s">
        <v>1011</v>
      </c>
      <c r="C258" t="s">
        <v>81</v>
      </c>
      <c r="D258">
        <v>106.17</v>
      </c>
      <c r="E258">
        <v>2000</v>
      </c>
      <c r="F258" t="s">
        <v>123</v>
      </c>
      <c r="G258" t="s">
        <v>32</v>
      </c>
      <c r="H258" t="s">
        <v>57</v>
      </c>
      <c r="J258" t="s">
        <v>107</v>
      </c>
      <c r="K258" t="s">
        <v>87</v>
      </c>
      <c r="L258">
        <v>23</v>
      </c>
      <c r="N258" t="s">
        <v>857</v>
      </c>
    </row>
    <row r="259" spans="1:14" x14ac:dyDescent="0.35">
      <c r="A259" t="s">
        <v>1012</v>
      </c>
      <c r="B259" t="s">
        <v>1013</v>
      </c>
      <c r="C259" t="s">
        <v>69</v>
      </c>
      <c r="D259">
        <v>88.45</v>
      </c>
      <c r="E259">
        <v>80000</v>
      </c>
      <c r="F259" t="s">
        <v>31</v>
      </c>
      <c r="G259" t="s">
        <v>32</v>
      </c>
      <c r="H259" t="s">
        <v>33</v>
      </c>
      <c r="I259" t="s">
        <v>44</v>
      </c>
      <c r="J259" t="s">
        <v>278</v>
      </c>
      <c r="K259" t="s">
        <v>97</v>
      </c>
      <c r="L259">
        <v>6</v>
      </c>
      <c r="M259" t="s">
        <v>1014</v>
      </c>
      <c r="N259" t="s">
        <v>1015</v>
      </c>
    </row>
    <row r="260" spans="1:14" x14ac:dyDescent="0.35">
      <c r="A260" t="s">
        <v>1016</v>
      </c>
      <c r="B260" t="s">
        <v>1017</v>
      </c>
      <c r="C260" t="s">
        <v>62</v>
      </c>
      <c r="D260">
        <v>75.38</v>
      </c>
      <c r="E260">
        <v>4000</v>
      </c>
      <c r="F260" t="s">
        <v>31</v>
      </c>
      <c r="G260" t="s">
        <v>32</v>
      </c>
      <c r="H260" t="s">
        <v>33</v>
      </c>
      <c r="I260" t="s">
        <v>34</v>
      </c>
      <c r="J260" t="s">
        <v>118</v>
      </c>
      <c r="K260" t="s">
        <v>42</v>
      </c>
      <c r="L260">
        <v>10</v>
      </c>
      <c r="M260" t="s">
        <v>1018</v>
      </c>
      <c r="N260" t="s">
        <v>1019</v>
      </c>
    </row>
    <row r="261" spans="1:14" x14ac:dyDescent="0.35">
      <c r="A261" t="s">
        <v>1020</v>
      </c>
      <c r="B261" t="s">
        <v>1021</v>
      </c>
      <c r="C261" t="s">
        <v>69</v>
      </c>
      <c r="D261">
        <v>57.15</v>
      </c>
      <c r="E261">
        <v>54000</v>
      </c>
      <c r="F261" t="s">
        <v>42</v>
      </c>
      <c r="G261" t="s">
        <v>32</v>
      </c>
      <c r="H261" t="s">
        <v>57</v>
      </c>
      <c r="J261" t="s">
        <v>112</v>
      </c>
      <c r="K261" t="s">
        <v>106</v>
      </c>
      <c r="L261">
        <v>13</v>
      </c>
      <c r="N261" t="s">
        <v>38</v>
      </c>
    </row>
    <row r="262" spans="1:14" x14ac:dyDescent="0.35">
      <c r="A262" t="s">
        <v>1022</v>
      </c>
      <c r="B262" t="s">
        <v>1023</v>
      </c>
      <c r="C262" t="s">
        <v>81</v>
      </c>
      <c r="D262">
        <v>73.44</v>
      </c>
      <c r="E262">
        <v>1000</v>
      </c>
      <c r="F262" t="s">
        <v>117</v>
      </c>
      <c r="G262" t="s">
        <v>32</v>
      </c>
      <c r="H262" t="s">
        <v>33</v>
      </c>
      <c r="I262" t="s">
        <v>44</v>
      </c>
      <c r="J262" t="s">
        <v>112</v>
      </c>
      <c r="K262" t="s">
        <v>106</v>
      </c>
      <c r="L262">
        <v>18</v>
      </c>
      <c r="M262" t="s">
        <v>1024</v>
      </c>
      <c r="N262" t="s">
        <v>1025</v>
      </c>
    </row>
    <row r="263" spans="1:14" x14ac:dyDescent="0.35">
      <c r="A263" t="s">
        <v>1026</v>
      </c>
      <c r="B263" t="s">
        <v>1027</v>
      </c>
      <c r="C263" t="s">
        <v>116</v>
      </c>
      <c r="D263">
        <v>9.6</v>
      </c>
      <c r="E263">
        <v>200</v>
      </c>
      <c r="F263" t="s">
        <v>51</v>
      </c>
      <c r="G263" t="s">
        <v>32</v>
      </c>
      <c r="H263" t="s">
        <v>57</v>
      </c>
      <c r="I263" t="s">
        <v>129</v>
      </c>
      <c r="J263" t="s">
        <v>209</v>
      </c>
      <c r="K263" t="s">
        <v>74</v>
      </c>
      <c r="L263">
        <v>11</v>
      </c>
      <c r="M263" t="s">
        <v>1028</v>
      </c>
      <c r="N263" t="s">
        <v>1029</v>
      </c>
    </row>
    <row r="264" spans="1:14" x14ac:dyDescent="0.35">
      <c r="A264" t="s">
        <v>1030</v>
      </c>
      <c r="B264" t="s">
        <v>1031</v>
      </c>
      <c r="C264" t="s">
        <v>81</v>
      </c>
      <c r="D264">
        <v>129.97</v>
      </c>
      <c r="E264">
        <v>4000</v>
      </c>
      <c r="F264" t="s">
        <v>64</v>
      </c>
      <c r="G264" t="s">
        <v>102</v>
      </c>
      <c r="H264" t="s">
        <v>33</v>
      </c>
      <c r="I264" t="s">
        <v>129</v>
      </c>
      <c r="J264" t="s">
        <v>112</v>
      </c>
      <c r="K264" t="s">
        <v>106</v>
      </c>
      <c r="L264">
        <v>6</v>
      </c>
      <c r="M264" t="s">
        <v>1032</v>
      </c>
      <c r="N264" t="s">
        <v>1033</v>
      </c>
    </row>
    <row r="265" spans="1:14" x14ac:dyDescent="0.35">
      <c r="A265" t="s">
        <v>1034</v>
      </c>
      <c r="B265" t="s">
        <v>1035</v>
      </c>
      <c r="C265" t="s">
        <v>69</v>
      </c>
      <c r="D265">
        <v>52.48</v>
      </c>
      <c r="E265">
        <v>73000</v>
      </c>
      <c r="F265" t="s">
        <v>51</v>
      </c>
      <c r="G265" t="s">
        <v>32</v>
      </c>
      <c r="H265" t="s">
        <v>57</v>
      </c>
      <c r="I265" t="s">
        <v>44</v>
      </c>
      <c r="J265" t="s">
        <v>429</v>
      </c>
      <c r="K265" t="s">
        <v>236</v>
      </c>
      <c r="L265">
        <v>16</v>
      </c>
      <c r="M265" t="s">
        <v>1036</v>
      </c>
      <c r="N265" t="s">
        <v>1037</v>
      </c>
    </row>
    <row r="266" spans="1:14" x14ac:dyDescent="0.35">
      <c r="A266" t="s">
        <v>1038</v>
      </c>
      <c r="B266" t="s">
        <v>1039</v>
      </c>
      <c r="C266" t="s">
        <v>81</v>
      </c>
      <c r="D266">
        <v>134.18</v>
      </c>
      <c r="E266">
        <v>4000</v>
      </c>
      <c r="F266" t="s">
        <v>236</v>
      </c>
      <c r="G266" t="s">
        <v>32</v>
      </c>
      <c r="H266" t="s">
        <v>57</v>
      </c>
      <c r="I266" t="s">
        <v>34</v>
      </c>
      <c r="J266" t="s">
        <v>45</v>
      </c>
      <c r="K266" t="s">
        <v>46</v>
      </c>
      <c r="L266">
        <v>1</v>
      </c>
      <c r="M266" t="s">
        <v>1040</v>
      </c>
      <c r="N266" t="s">
        <v>1041</v>
      </c>
    </row>
    <row r="267" spans="1:14" x14ac:dyDescent="0.35">
      <c r="A267" t="s">
        <v>1042</v>
      </c>
      <c r="B267" t="s">
        <v>1043</v>
      </c>
      <c r="C267" t="s">
        <v>62</v>
      </c>
      <c r="D267">
        <v>66.98</v>
      </c>
      <c r="E267">
        <v>5000</v>
      </c>
      <c r="F267" t="s">
        <v>87</v>
      </c>
      <c r="G267" t="s">
        <v>32</v>
      </c>
      <c r="H267" t="s">
        <v>33</v>
      </c>
      <c r="I267" t="s">
        <v>44</v>
      </c>
      <c r="J267" t="s">
        <v>830</v>
      </c>
      <c r="K267" t="s">
        <v>51</v>
      </c>
      <c r="L267">
        <v>19</v>
      </c>
      <c r="N267" t="s">
        <v>1044</v>
      </c>
    </row>
    <row r="268" spans="1:14" x14ac:dyDescent="0.35">
      <c r="A268" t="s">
        <v>1045</v>
      </c>
      <c r="B268" t="s">
        <v>1046</v>
      </c>
      <c r="C268" t="s">
        <v>116</v>
      </c>
      <c r="D268">
        <v>7.38</v>
      </c>
      <c r="E268">
        <v>400</v>
      </c>
      <c r="F268" t="s">
        <v>51</v>
      </c>
      <c r="G268" t="s">
        <v>32</v>
      </c>
      <c r="H268" t="s">
        <v>43</v>
      </c>
      <c r="I268" t="s">
        <v>34</v>
      </c>
      <c r="J268" t="s">
        <v>130</v>
      </c>
      <c r="K268" t="s">
        <v>123</v>
      </c>
      <c r="L268">
        <v>23</v>
      </c>
      <c r="M268" t="s">
        <v>864</v>
      </c>
      <c r="N268" t="s">
        <v>1047</v>
      </c>
    </row>
    <row r="269" spans="1:14" x14ac:dyDescent="0.35">
      <c r="A269" t="s">
        <v>1048</v>
      </c>
      <c r="B269" t="s">
        <v>1049</v>
      </c>
      <c r="C269" t="s">
        <v>30</v>
      </c>
      <c r="D269">
        <v>149.03</v>
      </c>
      <c r="E269">
        <v>2000</v>
      </c>
      <c r="F269" t="s">
        <v>74</v>
      </c>
      <c r="G269" t="s">
        <v>32</v>
      </c>
      <c r="H269" t="s">
        <v>33</v>
      </c>
      <c r="J269" t="s">
        <v>75</v>
      </c>
      <c r="K269" t="s">
        <v>76</v>
      </c>
      <c r="L269">
        <v>19</v>
      </c>
      <c r="M269" t="s">
        <v>1050</v>
      </c>
      <c r="N269" t="s">
        <v>1051</v>
      </c>
    </row>
    <row r="270" spans="1:14" x14ac:dyDescent="0.35">
      <c r="A270" t="s">
        <v>1052</v>
      </c>
      <c r="B270" t="s">
        <v>1053</v>
      </c>
      <c r="C270" t="s">
        <v>81</v>
      </c>
      <c r="D270">
        <v>134.54</v>
      </c>
      <c r="E270">
        <v>6000</v>
      </c>
      <c r="F270" t="s">
        <v>123</v>
      </c>
      <c r="G270" t="s">
        <v>32</v>
      </c>
      <c r="H270" t="s">
        <v>43</v>
      </c>
      <c r="I270" t="s">
        <v>34</v>
      </c>
      <c r="J270" t="s">
        <v>124</v>
      </c>
      <c r="K270" t="s">
        <v>117</v>
      </c>
      <c r="L270">
        <v>1</v>
      </c>
      <c r="M270" t="s">
        <v>1054</v>
      </c>
      <c r="N270" t="s">
        <v>1055</v>
      </c>
    </row>
    <row r="271" spans="1:14" x14ac:dyDescent="0.35">
      <c r="A271" t="s">
        <v>1056</v>
      </c>
      <c r="B271" t="s">
        <v>1057</v>
      </c>
      <c r="C271" t="s">
        <v>62</v>
      </c>
      <c r="D271">
        <v>61.82</v>
      </c>
      <c r="E271">
        <v>1000</v>
      </c>
      <c r="F271" t="s">
        <v>117</v>
      </c>
      <c r="G271" t="s">
        <v>32</v>
      </c>
      <c r="H271" t="s">
        <v>43</v>
      </c>
      <c r="I271" t="s">
        <v>44</v>
      </c>
      <c r="J271" t="s">
        <v>112</v>
      </c>
      <c r="K271" t="s">
        <v>106</v>
      </c>
      <c r="L271">
        <v>1</v>
      </c>
      <c r="M271" t="s">
        <v>1058</v>
      </c>
      <c r="N271" t="s">
        <v>1059</v>
      </c>
    </row>
    <row r="272" spans="1:14" x14ac:dyDescent="0.35">
      <c r="A272" t="s">
        <v>1060</v>
      </c>
      <c r="B272" t="s">
        <v>1061</v>
      </c>
      <c r="C272" t="s">
        <v>62</v>
      </c>
      <c r="D272">
        <v>89.56</v>
      </c>
      <c r="E272">
        <v>5000</v>
      </c>
      <c r="F272" t="s">
        <v>139</v>
      </c>
      <c r="G272" t="s">
        <v>32</v>
      </c>
      <c r="H272" t="s">
        <v>33</v>
      </c>
      <c r="I272" t="s">
        <v>44</v>
      </c>
      <c r="J272" t="s">
        <v>75</v>
      </c>
      <c r="K272" t="s">
        <v>76</v>
      </c>
      <c r="L272">
        <v>12</v>
      </c>
      <c r="M272" t="s">
        <v>496</v>
      </c>
      <c r="N272" t="s">
        <v>1062</v>
      </c>
    </row>
    <row r="273" spans="1:14" x14ac:dyDescent="0.35">
      <c r="A273" t="s">
        <v>1063</v>
      </c>
      <c r="B273" t="s">
        <v>1064</v>
      </c>
      <c r="C273" t="s">
        <v>62</v>
      </c>
      <c r="D273">
        <v>72.489999999999995</v>
      </c>
      <c r="E273">
        <v>1000</v>
      </c>
      <c r="F273" t="s">
        <v>117</v>
      </c>
      <c r="G273" t="s">
        <v>32</v>
      </c>
      <c r="H273" t="s">
        <v>43</v>
      </c>
      <c r="I273" t="s">
        <v>34</v>
      </c>
      <c r="J273" t="s">
        <v>45</v>
      </c>
      <c r="K273" t="s">
        <v>46</v>
      </c>
      <c r="L273">
        <v>1</v>
      </c>
      <c r="M273" t="s">
        <v>312</v>
      </c>
      <c r="N273" t="s">
        <v>1065</v>
      </c>
    </row>
    <row r="274" spans="1:14" x14ac:dyDescent="0.35">
      <c r="A274" t="s">
        <v>1066</v>
      </c>
      <c r="B274" t="s">
        <v>1067</v>
      </c>
      <c r="C274" t="s">
        <v>69</v>
      </c>
      <c r="D274">
        <v>82.7</v>
      </c>
      <c r="E274">
        <v>72000</v>
      </c>
      <c r="F274" t="s">
        <v>51</v>
      </c>
      <c r="G274" t="s">
        <v>32</v>
      </c>
      <c r="H274" t="s">
        <v>43</v>
      </c>
      <c r="I274" t="s">
        <v>34</v>
      </c>
      <c r="J274" t="s">
        <v>107</v>
      </c>
      <c r="K274" t="s">
        <v>87</v>
      </c>
      <c r="L274">
        <v>5</v>
      </c>
      <c r="N274" t="s">
        <v>1068</v>
      </c>
    </row>
    <row r="275" spans="1:14" x14ac:dyDescent="0.35">
      <c r="A275" t="s">
        <v>1069</v>
      </c>
      <c r="B275" t="s">
        <v>1070</v>
      </c>
      <c r="C275" t="s">
        <v>30</v>
      </c>
      <c r="D275">
        <v>131.69999999999999</v>
      </c>
      <c r="E275">
        <v>11000</v>
      </c>
      <c r="F275" t="s">
        <v>117</v>
      </c>
      <c r="G275" t="s">
        <v>32</v>
      </c>
      <c r="H275" t="s">
        <v>33</v>
      </c>
      <c r="J275" t="s">
        <v>1071</v>
      </c>
      <c r="K275" t="s">
        <v>236</v>
      </c>
      <c r="L275">
        <v>20</v>
      </c>
      <c r="M275" t="s">
        <v>1072</v>
      </c>
      <c r="N275" t="s">
        <v>1073</v>
      </c>
    </row>
    <row r="276" spans="1:14" x14ac:dyDescent="0.35">
      <c r="A276" t="s">
        <v>1074</v>
      </c>
      <c r="B276" t="s">
        <v>1075</v>
      </c>
      <c r="C276" t="s">
        <v>41</v>
      </c>
      <c r="D276">
        <v>153.34</v>
      </c>
      <c r="E276">
        <v>27000</v>
      </c>
      <c r="F276" t="s">
        <v>236</v>
      </c>
      <c r="G276" t="s">
        <v>32</v>
      </c>
      <c r="H276" t="s">
        <v>33</v>
      </c>
      <c r="I276" t="s">
        <v>129</v>
      </c>
      <c r="J276" t="s">
        <v>1076</v>
      </c>
      <c r="K276" t="s">
        <v>106</v>
      </c>
      <c r="L276">
        <v>12</v>
      </c>
      <c r="M276" t="s">
        <v>1077</v>
      </c>
      <c r="N276" t="s">
        <v>1078</v>
      </c>
    </row>
    <row r="277" spans="1:14" x14ac:dyDescent="0.35">
      <c r="A277" t="s">
        <v>1079</v>
      </c>
      <c r="B277" t="s">
        <v>1080</v>
      </c>
      <c r="C277" t="s">
        <v>30</v>
      </c>
      <c r="D277">
        <v>180.34</v>
      </c>
      <c r="E277">
        <v>12000</v>
      </c>
      <c r="F277" t="s">
        <v>106</v>
      </c>
      <c r="G277" t="s">
        <v>32</v>
      </c>
      <c r="H277" t="s">
        <v>43</v>
      </c>
      <c r="I277" t="s">
        <v>44</v>
      </c>
      <c r="J277" t="s">
        <v>118</v>
      </c>
      <c r="K277" t="s">
        <v>42</v>
      </c>
      <c r="L277">
        <v>23</v>
      </c>
      <c r="N277" t="s">
        <v>1081</v>
      </c>
    </row>
    <row r="278" spans="1:14" x14ac:dyDescent="0.35">
      <c r="A278" t="s">
        <v>1082</v>
      </c>
      <c r="B278" t="s">
        <v>1083</v>
      </c>
      <c r="C278" t="s">
        <v>116</v>
      </c>
      <c r="D278">
        <v>8.74</v>
      </c>
      <c r="E278">
        <v>100</v>
      </c>
      <c r="F278" t="s">
        <v>74</v>
      </c>
      <c r="G278" t="s">
        <v>32</v>
      </c>
      <c r="H278" t="s">
        <v>57</v>
      </c>
      <c r="I278" t="s">
        <v>44</v>
      </c>
      <c r="J278" t="s">
        <v>112</v>
      </c>
      <c r="K278" t="s">
        <v>106</v>
      </c>
      <c r="L278">
        <v>6</v>
      </c>
      <c r="M278" t="s">
        <v>731</v>
      </c>
      <c r="N278" t="s">
        <v>373</v>
      </c>
    </row>
    <row r="279" spans="1:14" x14ac:dyDescent="0.35">
      <c r="A279" t="s">
        <v>1084</v>
      </c>
      <c r="B279" t="s">
        <v>1085</v>
      </c>
      <c r="C279" t="s">
        <v>41</v>
      </c>
      <c r="D279">
        <v>85.41</v>
      </c>
      <c r="E279">
        <v>29000</v>
      </c>
      <c r="F279" t="s">
        <v>64</v>
      </c>
      <c r="G279" t="s">
        <v>32</v>
      </c>
      <c r="H279" t="s">
        <v>33</v>
      </c>
      <c r="I279" t="s">
        <v>44</v>
      </c>
      <c r="J279" t="s">
        <v>107</v>
      </c>
      <c r="K279" t="s">
        <v>87</v>
      </c>
      <c r="L279">
        <v>6</v>
      </c>
      <c r="M279" t="s">
        <v>1086</v>
      </c>
      <c r="N279" t="s">
        <v>1087</v>
      </c>
    </row>
    <row r="280" spans="1:14" x14ac:dyDescent="0.35">
      <c r="A280" t="s">
        <v>1088</v>
      </c>
      <c r="B280" t="s">
        <v>1089</v>
      </c>
      <c r="C280" t="s">
        <v>30</v>
      </c>
      <c r="D280">
        <v>141.15</v>
      </c>
      <c r="E280">
        <v>11000</v>
      </c>
      <c r="F280" t="s">
        <v>87</v>
      </c>
      <c r="G280" t="s">
        <v>32</v>
      </c>
      <c r="H280" t="s">
        <v>57</v>
      </c>
      <c r="I280" t="s">
        <v>129</v>
      </c>
      <c r="J280" t="s">
        <v>107</v>
      </c>
      <c r="K280" t="s">
        <v>87</v>
      </c>
      <c r="L280">
        <v>10</v>
      </c>
      <c r="N280" t="s">
        <v>1090</v>
      </c>
    </row>
    <row r="281" spans="1:14" x14ac:dyDescent="0.35">
      <c r="A281" t="s">
        <v>1091</v>
      </c>
      <c r="B281" t="s">
        <v>1092</v>
      </c>
      <c r="C281" t="s">
        <v>116</v>
      </c>
      <c r="D281">
        <v>8.58</v>
      </c>
      <c r="E281">
        <v>700</v>
      </c>
      <c r="F281" t="s">
        <v>123</v>
      </c>
      <c r="G281" t="s">
        <v>32</v>
      </c>
      <c r="H281" t="s">
        <v>43</v>
      </c>
      <c r="I281" t="s">
        <v>44</v>
      </c>
      <c r="J281" t="s">
        <v>70</v>
      </c>
      <c r="K281" t="s">
        <v>31</v>
      </c>
      <c r="L281">
        <v>6</v>
      </c>
      <c r="N281" t="s">
        <v>1093</v>
      </c>
    </row>
    <row r="282" spans="1:14" x14ac:dyDescent="0.35">
      <c r="A282" t="s">
        <v>1094</v>
      </c>
      <c r="B282" t="s">
        <v>1095</v>
      </c>
      <c r="C282" t="s">
        <v>41</v>
      </c>
      <c r="D282">
        <v>120.98</v>
      </c>
      <c r="E282">
        <v>19000</v>
      </c>
      <c r="F282" t="s">
        <v>106</v>
      </c>
      <c r="G282" t="s">
        <v>32</v>
      </c>
      <c r="H282" t="s">
        <v>57</v>
      </c>
      <c r="I282" t="s">
        <v>34</v>
      </c>
      <c r="J282" t="s">
        <v>1096</v>
      </c>
      <c r="K282" t="s">
        <v>76</v>
      </c>
      <c r="L282">
        <v>12</v>
      </c>
      <c r="M282" t="s">
        <v>930</v>
      </c>
      <c r="N282" t="s">
        <v>1097</v>
      </c>
    </row>
    <row r="283" spans="1:14" x14ac:dyDescent="0.35">
      <c r="A283" t="s">
        <v>1098</v>
      </c>
      <c r="B283" t="s">
        <v>1099</v>
      </c>
      <c r="C283" t="s">
        <v>116</v>
      </c>
      <c r="D283">
        <v>8.25</v>
      </c>
      <c r="E283">
        <v>200</v>
      </c>
      <c r="F283" t="s">
        <v>74</v>
      </c>
      <c r="G283" t="s">
        <v>32</v>
      </c>
      <c r="H283" t="s">
        <v>43</v>
      </c>
      <c r="I283" t="s">
        <v>34</v>
      </c>
      <c r="J283" t="s">
        <v>45</v>
      </c>
      <c r="K283" t="s">
        <v>46</v>
      </c>
      <c r="L283">
        <v>14</v>
      </c>
      <c r="M283" t="s">
        <v>823</v>
      </c>
      <c r="N283" t="s">
        <v>1100</v>
      </c>
    </row>
    <row r="284" spans="1:14" x14ac:dyDescent="0.35">
      <c r="A284" t="s">
        <v>1101</v>
      </c>
      <c r="B284" t="s">
        <v>1102</v>
      </c>
      <c r="C284" t="s">
        <v>81</v>
      </c>
      <c r="D284">
        <v>93.9</v>
      </c>
      <c r="E284">
        <v>2000</v>
      </c>
      <c r="F284" t="s">
        <v>139</v>
      </c>
      <c r="G284" t="s">
        <v>32</v>
      </c>
      <c r="H284" t="s">
        <v>33</v>
      </c>
      <c r="I284" t="s">
        <v>34</v>
      </c>
      <c r="J284" t="s">
        <v>130</v>
      </c>
      <c r="K284" t="s">
        <v>123</v>
      </c>
      <c r="L284">
        <v>3</v>
      </c>
      <c r="N284" t="s">
        <v>1103</v>
      </c>
    </row>
    <row r="285" spans="1:14" x14ac:dyDescent="0.35">
      <c r="A285" t="s">
        <v>1104</v>
      </c>
      <c r="B285" t="s">
        <v>1105</v>
      </c>
      <c r="C285" t="s">
        <v>116</v>
      </c>
      <c r="D285">
        <v>7.7</v>
      </c>
      <c r="E285">
        <v>200</v>
      </c>
      <c r="F285" t="s">
        <v>87</v>
      </c>
      <c r="G285" t="s">
        <v>32</v>
      </c>
      <c r="H285" t="s">
        <v>57</v>
      </c>
      <c r="J285" t="s">
        <v>209</v>
      </c>
      <c r="K285" t="s">
        <v>74</v>
      </c>
      <c r="L285">
        <v>6</v>
      </c>
      <c r="M285" t="s">
        <v>184</v>
      </c>
      <c r="N285" t="s">
        <v>1051</v>
      </c>
    </row>
    <row r="286" spans="1:14" x14ac:dyDescent="0.35">
      <c r="A286" t="s">
        <v>1106</v>
      </c>
      <c r="B286" t="s">
        <v>1107</v>
      </c>
      <c r="C286" t="s">
        <v>30</v>
      </c>
      <c r="D286">
        <v>117.02</v>
      </c>
      <c r="E286">
        <v>19000</v>
      </c>
      <c r="F286" t="s">
        <v>42</v>
      </c>
      <c r="G286" t="s">
        <v>32</v>
      </c>
      <c r="H286" t="s">
        <v>57</v>
      </c>
      <c r="I286" t="s">
        <v>44</v>
      </c>
      <c r="J286" t="s">
        <v>118</v>
      </c>
      <c r="K286" t="s">
        <v>42</v>
      </c>
      <c r="L286">
        <v>19</v>
      </c>
      <c r="N286" t="s">
        <v>1108</v>
      </c>
    </row>
    <row r="287" spans="1:14" x14ac:dyDescent="0.35">
      <c r="A287" t="s">
        <v>1109</v>
      </c>
      <c r="B287" t="s">
        <v>1110</v>
      </c>
      <c r="C287" t="s">
        <v>30</v>
      </c>
      <c r="D287">
        <v>113.93</v>
      </c>
      <c r="E287">
        <v>10000</v>
      </c>
      <c r="F287" t="s">
        <v>36</v>
      </c>
      <c r="G287" t="s">
        <v>102</v>
      </c>
      <c r="H287" t="s">
        <v>33</v>
      </c>
      <c r="I287" t="s">
        <v>44</v>
      </c>
      <c r="J287" t="s">
        <v>500</v>
      </c>
      <c r="K287" t="s">
        <v>236</v>
      </c>
      <c r="L287">
        <v>6</v>
      </c>
      <c r="M287" t="s">
        <v>1111</v>
      </c>
      <c r="N287" t="s">
        <v>1112</v>
      </c>
    </row>
    <row r="288" spans="1:14" x14ac:dyDescent="0.35">
      <c r="A288" t="s">
        <v>1113</v>
      </c>
      <c r="B288" t="s">
        <v>1114</v>
      </c>
      <c r="C288" t="s">
        <v>41</v>
      </c>
      <c r="D288">
        <v>127.79</v>
      </c>
      <c r="E288">
        <v>36000</v>
      </c>
      <c r="F288" t="s">
        <v>64</v>
      </c>
      <c r="G288" t="s">
        <v>32</v>
      </c>
      <c r="H288" t="s">
        <v>57</v>
      </c>
      <c r="I288" t="s">
        <v>34</v>
      </c>
      <c r="J288" t="s">
        <v>35</v>
      </c>
      <c r="K288" t="s">
        <v>36</v>
      </c>
      <c r="L288">
        <v>10</v>
      </c>
      <c r="N288" t="s">
        <v>567</v>
      </c>
    </row>
    <row r="289" spans="1:14" x14ac:dyDescent="0.35">
      <c r="A289" t="s">
        <v>1115</v>
      </c>
      <c r="B289" t="s">
        <v>1116</v>
      </c>
      <c r="C289" t="s">
        <v>81</v>
      </c>
      <c r="D289">
        <v>115.54</v>
      </c>
      <c r="E289">
        <v>5000</v>
      </c>
      <c r="F289" t="s">
        <v>123</v>
      </c>
      <c r="G289" t="s">
        <v>32</v>
      </c>
      <c r="H289" t="s">
        <v>43</v>
      </c>
      <c r="I289" t="s">
        <v>44</v>
      </c>
      <c r="J289" t="s">
        <v>155</v>
      </c>
      <c r="K289" t="s">
        <v>51</v>
      </c>
      <c r="L289">
        <v>5</v>
      </c>
      <c r="M289" t="s">
        <v>1117</v>
      </c>
      <c r="N289" t="s">
        <v>1118</v>
      </c>
    </row>
    <row r="290" spans="1:14" x14ac:dyDescent="0.35">
      <c r="A290" t="s">
        <v>1119</v>
      </c>
      <c r="B290" t="s">
        <v>1120</v>
      </c>
      <c r="C290" t="s">
        <v>69</v>
      </c>
      <c r="D290">
        <v>75.849999999999994</v>
      </c>
      <c r="E290">
        <v>60000</v>
      </c>
      <c r="F290" t="s">
        <v>236</v>
      </c>
      <c r="G290" t="s">
        <v>32</v>
      </c>
      <c r="H290" t="s">
        <v>43</v>
      </c>
      <c r="I290" t="s">
        <v>34</v>
      </c>
      <c r="J290" t="s">
        <v>107</v>
      </c>
      <c r="K290" t="s">
        <v>87</v>
      </c>
      <c r="L290">
        <v>12</v>
      </c>
      <c r="M290" t="s">
        <v>1121</v>
      </c>
      <c r="N290" t="s">
        <v>1122</v>
      </c>
    </row>
    <row r="291" spans="1:14" x14ac:dyDescent="0.35">
      <c r="A291" t="s">
        <v>1123</v>
      </c>
      <c r="B291" t="s">
        <v>1124</v>
      </c>
      <c r="C291" t="s">
        <v>41</v>
      </c>
      <c r="D291">
        <v>159.97999999999999</v>
      </c>
      <c r="E291">
        <v>25000</v>
      </c>
      <c r="F291" t="s">
        <v>51</v>
      </c>
      <c r="G291" t="s">
        <v>32</v>
      </c>
      <c r="H291" t="s">
        <v>43</v>
      </c>
      <c r="J291" t="s">
        <v>112</v>
      </c>
      <c r="K291" t="s">
        <v>106</v>
      </c>
      <c r="L291">
        <v>1</v>
      </c>
      <c r="M291" t="s">
        <v>772</v>
      </c>
      <c r="N291" t="s">
        <v>1125</v>
      </c>
    </row>
    <row r="292" spans="1:14" x14ac:dyDescent="0.35">
      <c r="A292" t="s">
        <v>1126</v>
      </c>
      <c r="B292" t="s">
        <v>1127</v>
      </c>
      <c r="C292" t="s">
        <v>116</v>
      </c>
      <c r="D292">
        <v>8.6</v>
      </c>
      <c r="E292">
        <v>400</v>
      </c>
      <c r="F292" t="s">
        <v>74</v>
      </c>
      <c r="G292" t="s">
        <v>32</v>
      </c>
      <c r="H292" t="s">
        <v>57</v>
      </c>
      <c r="I292" t="s">
        <v>44</v>
      </c>
      <c r="J292" t="s">
        <v>118</v>
      </c>
      <c r="K292" t="s">
        <v>42</v>
      </c>
      <c r="L292">
        <v>15</v>
      </c>
      <c r="N292" t="s">
        <v>1128</v>
      </c>
    </row>
    <row r="293" spans="1:14" x14ac:dyDescent="0.35">
      <c r="A293" t="s">
        <v>1129</v>
      </c>
      <c r="B293" t="s">
        <v>1130</v>
      </c>
      <c r="C293" t="s">
        <v>41</v>
      </c>
      <c r="D293">
        <v>145</v>
      </c>
      <c r="E293">
        <v>23000</v>
      </c>
      <c r="F293" t="s">
        <v>51</v>
      </c>
      <c r="G293" t="s">
        <v>32</v>
      </c>
      <c r="H293" t="s">
        <v>57</v>
      </c>
      <c r="I293" t="s">
        <v>44</v>
      </c>
      <c r="J293" t="s">
        <v>70</v>
      </c>
      <c r="K293" t="s">
        <v>31</v>
      </c>
      <c r="L293">
        <v>10</v>
      </c>
      <c r="M293" t="s">
        <v>742</v>
      </c>
      <c r="N293" t="s">
        <v>1131</v>
      </c>
    </row>
    <row r="294" spans="1:14" x14ac:dyDescent="0.35">
      <c r="A294" t="s">
        <v>1132</v>
      </c>
      <c r="B294" t="s">
        <v>1133</v>
      </c>
      <c r="C294" t="s">
        <v>69</v>
      </c>
      <c r="D294">
        <v>93.84</v>
      </c>
      <c r="E294">
        <v>44000</v>
      </c>
      <c r="F294" t="s">
        <v>147</v>
      </c>
      <c r="G294" t="s">
        <v>32</v>
      </c>
      <c r="H294" t="s">
        <v>33</v>
      </c>
      <c r="J294" t="s">
        <v>683</v>
      </c>
      <c r="K294" t="s">
        <v>97</v>
      </c>
      <c r="L294">
        <v>11</v>
      </c>
      <c r="N294" t="s">
        <v>890</v>
      </c>
    </row>
    <row r="295" spans="1:14" x14ac:dyDescent="0.35">
      <c r="A295" t="s">
        <v>1134</v>
      </c>
      <c r="B295" t="s">
        <v>1135</v>
      </c>
      <c r="C295" t="s">
        <v>69</v>
      </c>
      <c r="D295">
        <v>52.94</v>
      </c>
      <c r="E295">
        <v>47000</v>
      </c>
      <c r="F295" t="s">
        <v>106</v>
      </c>
      <c r="G295" t="s">
        <v>32</v>
      </c>
      <c r="H295" t="s">
        <v>43</v>
      </c>
      <c r="I295" t="s">
        <v>129</v>
      </c>
      <c r="J295" t="s">
        <v>130</v>
      </c>
      <c r="K295" t="s">
        <v>123</v>
      </c>
      <c r="L295">
        <v>8</v>
      </c>
      <c r="M295" t="s">
        <v>1136</v>
      </c>
      <c r="N295" t="s">
        <v>1137</v>
      </c>
    </row>
    <row r="296" spans="1:14" x14ac:dyDescent="0.35">
      <c r="A296" t="s">
        <v>1138</v>
      </c>
      <c r="B296" t="s">
        <v>1139</v>
      </c>
      <c r="C296" t="s">
        <v>41</v>
      </c>
      <c r="D296">
        <v>149.77000000000001</v>
      </c>
      <c r="E296">
        <v>27000</v>
      </c>
      <c r="F296" t="s">
        <v>76</v>
      </c>
      <c r="G296" t="s">
        <v>32</v>
      </c>
      <c r="H296" t="s">
        <v>57</v>
      </c>
      <c r="I296" t="s">
        <v>44</v>
      </c>
      <c r="J296" t="s">
        <v>118</v>
      </c>
      <c r="K296" t="s">
        <v>42</v>
      </c>
      <c r="L296">
        <v>1</v>
      </c>
      <c r="N296" t="s">
        <v>1140</v>
      </c>
    </row>
    <row r="297" spans="1:14" x14ac:dyDescent="0.35">
      <c r="A297" t="s">
        <v>1141</v>
      </c>
      <c r="B297" t="s">
        <v>1142</v>
      </c>
      <c r="C297" t="s">
        <v>41</v>
      </c>
      <c r="D297">
        <v>103.98</v>
      </c>
      <c r="E297">
        <v>25000</v>
      </c>
      <c r="F297" t="s">
        <v>36</v>
      </c>
      <c r="G297" t="s">
        <v>32</v>
      </c>
      <c r="H297" t="s">
        <v>43</v>
      </c>
      <c r="I297" t="s">
        <v>129</v>
      </c>
      <c r="J297" t="s">
        <v>130</v>
      </c>
      <c r="K297" t="s">
        <v>123</v>
      </c>
      <c r="L297">
        <v>0</v>
      </c>
      <c r="M297" t="s">
        <v>1143</v>
      </c>
      <c r="N297" t="s">
        <v>1144</v>
      </c>
    </row>
    <row r="298" spans="1:14" x14ac:dyDescent="0.35">
      <c r="A298" t="s">
        <v>1145</v>
      </c>
      <c r="B298" t="s">
        <v>1146</v>
      </c>
      <c r="C298" t="s">
        <v>41</v>
      </c>
      <c r="D298">
        <v>138.1</v>
      </c>
      <c r="E298">
        <v>23000</v>
      </c>
      <c r="F298" t="s">
        <v>42</v>
      </c>
      <c r="G298" t="s">
        <v>32</v>
      </c>
      <c r="H298" t="s">
        <v>43</v>
      </c>
      <c r="I298" t="s">
        <v>44</v>
      </c>
      <c r="J298" t="s">
        <v>63</v>
      </c>
      <c r="K298" t="s">
        <v>64</v>
      </c>
      <c r="L298">
        <v>6</v>
      </c>
      <c r="M298" t="s">
        <v>1147</v>
      </c>
      <c r="N298" t="s">
        <v>1148</v>
      </c>
    </row>
    <row r="299" spans="1:14" x14ac:dyDescent="0.35">
      <c r="A299" t="s">
        <v>1149</v>
      </c>
      <c r="B299" t="s">
        <v>1150</v>
      </c>
      <c r="C299" t="s">
        <v>69</v>
      </c>
      <c r="D299">
        <v>82.08</v>
      </c>
      <c r="E299">
        <v>89000</v>
      </c>
      <c r="F299" t="s">
        <v>31</v>
      </c>
      <c r="G299" t="s">
        <v>32</v>
      </c>
      <c r="H299" t="s">
        <v>33</v>
      </c>
      <c r="J299" t="s">
        <v>118</v>
      </c>
      <c r="K299" t="s">
        <v>42</v>
      </c>
      <c r="L299">
        <v>12</v>
      </c>
      <c r="M299" t="s">
        <v>1151</v>
      </c>
      <c r="N299" t="s">
        <v>1152</v>
      </c>
    </row>
    <row r="300" spans="1:14" x14ac:dyDescent="0.35">
      <c r="A300" t="s">
        <v>1153</v>
      </c>
      <c r="B300" t="s">
        <v>1154</v>
      </c>
      <c r="C300" t="s">
        <v>69</v>
      </c>
      <c r="D300">
        <v>56.26</v>
      </c>
      <c r="E300">
        <v>70000</v>
      </c>
      <c r="F300" t="s">
        <v>236</v>
      </c>
      <c r="G300" t="s">
        <v>32</v>
      </c>
      <c r="H300" t="s">
        <v>43</v>
      </c>
      <c r="I300" t="s">
        <v>44</v>
      </c>
      <c r="J300" t="s">
        <v>70</v>
      </c>
      <c r="K300" t="s">
        <v>31</v>
      </c>
      <c r="L300">
        <v>19</v>
      </c>
      <c r="M300" t="s">
        <v>1155</v>
      </c>
      <c r="N300" t="s">
        <v>501</v>
      </c>
    </row>
    <row r="301" spans="1:14" x14ac:dyDescent="0.35">
      <c r="A301" t="s">
        <v>1156</v>
      </c>
      <c r="B301" t="s">
        <v>1157</v>
      </c>
      <c r="C301" t="s">
        <v>62</v>
      </c>
      <c r="D301">
        <v>74.959999999999994</v>
      </c>
      <c r="E301">
        <v>1000</v>
      </c>
      <c r="F301" t="s">
        <v>87</v>
      </c>
      <c r="G301" t="s">
        <v>32</v>
      </c>
      <c r="H301" t="s">
        <v>43</v>
      </c>
      <c r="I301" t="s">
        <v>44</v>
      </c>
      <c r="J301" t="s">
        <v>35</v>
      </c>
      <c r="K301" t="s">
        <v>36</v>
      </c>
      <c r="L301">
        <v>13</v>
      </c>
      <c r="M301" t="s">
        <v>1158</v>
      </c>
      <c r="N301" t="s">
        <v>1159</v>
      </c>
    </row>
    <row r="302" spans="1:14" x14ac:dyDescent="0.35">
      <c r="A302" t="s">
        <v>1160</v>
      </c>
      <c r="B302" t="s">
        <v>1161</v>
      </c>
      <c r="C302" t="s">
        <v>116</v>
      </c>
      <c r="D302">
        <v>9.51</v>
      </c>
      <c r="E302">
        <v>100</v>
      </c>
      <c r="F302" t="s">
        <v>147</v>
      </c>
      <c r="G302" t="s">
        <v>32</v>
      </c>
      <c r="H302" t="s">
        <v>57</v>
      </c>
      <c r="I302" t="s">
        <v>129</v>
      </c>
      <c r="J302" t="s">
        <v>1162</v>
      </c>
      <c r="K302" t="s">
        <v>147</v>
      </c>
      <c r="L302">
        <v>4</v>
      </c>
      <c r="N302" t="s">
        <v>1163</v>
      </c>
    </row>
    <row r="303" spans="1:14" x14ac:dyDescent="0.35">
      <c r="A303" t="s">
        <v>1164</v>
      </c>
      <c r="B303" t="s">
        <v>1165</v>
      </c>
      <c r="C303" t="s">
        <v>30</v>
      </c>
      <c r="D303">
        <v>107.93</v>
      </c>
      <c r="E303">
        <v>19000</v>
      </c>
      <c r="F303" t="s">
        <v>74</v>
      </c>
      <c r="G303" t="s">
        <v>102</v>
      </c>
      <c r="H303" t="s">
        <v>33</v>
      </c>
      <c r="I303" t="s">
        <v>44</v>
      </c>
      <c r="J303" t="s">
        <v>63</v>
      </c>
      <c r="K303" t="s">
        <v>64</v>
      </c>
      <c r="L303">
        <v>10</v>
      </c>
      <c r="N303" t="s">
        <v>1166</v>
      </c>
    </row>
    <row r="304" spans="1:14" x14ac:dyDescent="0.35">
      <c r="A304" t="s">
        <v>1167</v>
      </c>
      <c r="B304" t="s">
        <v>1168</v>
      </c>
      <c r="C304" t="s">
        <v>41</v>
      </c>
      <c r="D304">
        <v>105.12</v>
      </c>
      <c r="E304">
        <v>21000</v>
      </c>
      <c r="F304" t="s">
        <v>97</v>
      </c>
      <c r="G304" t="s">
        <v>32</v>
      </c>
      <c r="H304" t="s">
        <v>33</v>
      </c>
      <c r="I304" t="s">
        <v>44</v>
      </c>
      <c r="J304" t="s">
        <v>124</v>
      </c>
      <c r="K304" t="s">
        <v>117</v>
      </c>
      <c r="L304">
        <v>8</v>
      </c>
      <c r="M304" t="s">
        <v>398</v>
      </c>
      <c r="N304" t="s">
        <v>1169</v>
      </c>
    </row>
    <row r="305" spans="1:14" x14ac:dyDescent="0.35">
      <c r="A305" t="s">
        <v>1170</v>
      </c>
      <c r="B305" t="s">
        <v>1171</v>
      </c>
      <c r="C305" t="s">
        <v>41</v>
      </c>
      <c r="D305">
        <v>87.66</v>
      </c>
      <c r="E305">
        <v>21000</v>
      </c>
      <c r="F305" t="s">
        <v>236</v>
      </c>
      <c r="G305" t="s">
        <v>32</v>
      </c>
      <c r="H305" t="s">
        <v>33</v>
      </c>
      <c r="J305" t="s">
        <v>888</v>
      </c>
      <c r="K305" t="s">
        <v>139</v>
      </c>
      <c r="L305">
        <v>5</v>
      </c>
      <c r="M305" t="s">
        <v>1172</v>
      </c>
      <c r="N305" t="s">
        <v>1173</v>
      </c>
    </row>
    <row r="306" spans="1:14" x14ac:dyDescent="0.35">
      <c r="A306" t="s">
        <v>1174</v>
      </c>
      <c r="B306" t="s">
        <v>1175</v>
      </c>
      <c r="C306" t="s">
        <v>41</v>
      </c>
      <c r="D306">
        <v>149.62</v>
      </c>
      <c r="E306">
        <v>25000</v>
      </c>
      <c r="F306" t="s">
        <v>64</v>
      </c>
      <c r="G306" t="s">
        <v>32</v>
      </c>
      <c r="H306" t="s">
        <v>57</v>
      </c>
      <c r="I306" t="s">
        <v>44</v>
      </c>
      <c r="J306" t="s">
        <v>1176</v>
      </c>
      <c r="K306" t="s">
        <v>139</v>
      </c>
      <c r="L306">
        <v>15</v>
      </c>
      <c r="N306" t="s">
        <v>1177</v>
      </c>
    </row>
    <row r="307" spans="1:14" x14ac:dyDescent="0.35">
      <c r="A307" t="s">
        <v>1178</v>
      </c>
      <c r="B307" t="s">
        <v>1179</v>
      </c>
      <c r="C307" t="s">
        <v>81</v>
      </c>
      <c r="D307">
        <v>103.16</v>
      </c>
      <c r="E307">
        <v>3000</v>
      </c>
      <c r="F307" t="s">
        <v>46</v>
      </c>
      <c r="G307" t="s">
        <v>32</v>
      </c>
      <c r="H307" t="s">
        <v>57</v>
      </c>
      <c r="J307" t="s">
        <v>75</v>
      </c>
      <c r="K307" t="s">
        <v>76</v>
      </c>
      <c r="L307">
        <v>0</v>
      </c>
      <c r="N307" t="s">
        <v>1180</v>
      </c>
    </row>
    <row r="308" spans="1:14" x14ac:dyDescent="0.35">
      <c r="A308" t="s">
        <v>1181</v>
      </c>
      <c r="B308" t="s">
        <v>1182</v>
      </c>
      <c r="C308" t="s">
        <v>30</v>
      </c>
      <c r="D308">
        <v>151.57</v>
      </c>
      <c r="E308">
        <v>5000</v>
      </c>
      <c r="F308" t="s">
        <v>31</v>
      </c>
      <c r="G308" t="s">
        <v>32</v>
      </c>
      <c r="H308" t="s">
        <v>43</v>
      </c>
      <c r="K308" t="s">
        <v>147</v>
      </c>
      <c r="L308">
        <v>22</v>
      </c>
      <c r="N308" t="s">
        <v>799</v>
      </c>
    </row>
    <row r="309" spans="1:14" x14ac:dyDescent="0.35">
      <c r="A309" t="s">
        <v>1183</v>
      </c>
      <c r="B309" t="s">
        <v>1184</v>
      </c>
      <c r="C309" t="s">
        <v>81</v>
      </c>
      <c r="D309">
        <v>124.6</v>
      </c>
      <c r="E309">
        <v>5000</v>
      </c>
      <c r="F309" t="s">
        <v>46</v>
      </c>
      <c r="G309" t="s">
        <v>32</v>
      </c>
      <c r="H309" t="s">
        <v>43</v>
      </c>
      <c r="I309" t="s">
        <v>129</v>
      </c>
      <c r="J309" t="s">
        <v>1185</v>
      </c>
      <c r="K309" t="s">
        <v>139</v>
      </c>
      <c r="L309">
        <v>22</v>
      </c>
      <c r="M309" t="s">
        <v>1186</v>
      </c>
      <c r="N309" t="s">
        <v>1187</v>
      </c>
    </row>
    <row r="310" spans="1:14" x14ac:dyDescent="0.35">
      <c r="A310" t="s">
        <v>1188</v>
      </c>
      <c r="B310" t="s">
        <v>1189</v>
      </c>
      <c r="C310" t="s">
        <v>81</v>
      </c>
      <c r="D310">
        <v>106.34</v>
      </c>
      <c r="E310">
        <v>8000</v>
      </c>
      <c r="F310" t="s">
        <v>106</v>
      </c>
      <c r="G310" t="s">
        <v>102</v>
      </c>
      <c r="H310" t="s">
        <v>57</v>
      </c>
      <c r="I310" t="s">
        <v>129</v>
      </c>
      <c r="J310" t="s">
        <v>75</v>
      </c>
      <c r="K310" t="s">
        <v>76</v>
      </c>
      <c r="L310">
        <v>3</v>
      </c>
      <c r="M310" t="s">
        <v>1190</v>
      </c>
      <c r="N310" t="s">
        <v>501</v>
      </c>
    </row>
    <row r="311" spans="1:14" x14ac:dyDescent="0.35">
      <c r="A311" t="s">
        <v>1191</v>
      </c>
      <c r="B311" t="s">
        <v>1192</v>
      </c>
      <c r="C311" t="s">
        <v>41</v>
      </c>
      <c r="D311">
        <v>128.91999999999999</v>
      </c>
      <c r="E311">
        <v>24000</v>
      </c>
      <c r="F311" t="s">
        <v>87</v>
      </c>
      <c r="G311" t="s">
        <v>32</v>
      </c>
      <c r="H311" t="s">
        <v>33</v>
      </c>
      <c r="I311" t="s">
        <v>129</v>
      </c>
      <c r="J311" t="s">
        <v>721</v>
      </c>
      <c r="K311" t="s">
        <v>42</v>
      </c>
      <c r="L311">
        <v>18</v>
      </c>
      <c r="M311" t="s">
        <v>987</v>
      </c>
      <c r="N311" t="s">
        <v>1193</v>
      </c>
    </row>
    <row r="312" spans="1:14" x14ac:dyDescent="0.35">
      <c r="A312" t="s">
        <v>1194</v>
      </c>
      <c r="B312" t="s">
        <v>1195</v>
      </c>
      <c r="C312" t="s">
        <v>30</v>
      </c>
      <c r="D312">
        <v>116.33</v>
      </c>
      <c r="E312">
        <v>4000</v>
      </c>
      <c r="F312" t="s">
        <v>74</v>
      </c>
      <c r="G312" t="s">
        <v>32</v>
      </c>
      <c r="H312" t="s">
        <v>33</v>
      </c>
      <c r="I312" t="s">
        <v>34</v>
      </c>
      <c r="J312" t="s">
        <v>112</v>
      </c>
      <c r="K312" t="s">
        <v>106</v>
      </c>
      <c r="L312">
        <v>15</v>
      </c>
      <c r="M312" t="s">
        <v>1196</v>
      </c>
      <c r="N312" t="s">
        <v>868</v>
      </c>
    </row>
    <row r="313" spans="1:14" x14ac:dyDescent="0.35">
      <c r="A313" t="s">
        <v>1197</v>
      </c>
      <c r="B313" t="s">
        <v>1198</v>
      </c>
      <c r="C313" t="s">
        <v>81</v>
      </c>
      <c r="D313">
        <v>96.1</v>
      </c>
      <c r="E313">
        <v>6000</v>
      </c>
      <c r="F313" t="s">
        <v>106</v>
      </c>
      <c r="G313" t="s">
        <v>32</v>
      </c>
      <c r="H313" t="s">
        <v>57</v>
      </c>
      <c r="J313" t="s">
        <v>107</v>
      </c>
      <c r="K313" t="s">
        <v>87</v>
      </c>
      <c r="L313">
        <v>12</v>
      </c>
      <c r="N313" t="s">
        <v>739</v>
      </c>
    </row>
    <row r="314" spans="1:14" x14ac:dyDescent="0.35">
      <c r="A314" t="s">
        <v>1199</v>
      </c>
      <c r="B314" t="s">
        <v>1200</v>
      </c>
      <c r="C314" t="s">
        <v>30</v>
      </c>
      <c r="D314">
        <v>107.76</v>
      </c>
      <c r="E314">
        <v>4000</v>
      </c>
      <c r="F314" t="s">
        <v>36</v>
      </c>
      <c r="G314" t="s">
        <v>32</v>
      </c>
      <c r="H314" t="s">
        <v>43</v>
      </c>
      <c r="I314" t="s">
        <v>34</v>
      </c>
      <c r="J314" t="s">
        <v>118</v>
      </c>
      <c r="K314" t="s">
        <v>42</v>
      </c>
      <c r="L314">
        <v>9</v>
      </c>
      <c r="M314" t="s">
        <v>1201</v>
      </c>
      <c r="N314" t="s">
        <v>59</v>
      </c>
    </row>
    <row r="315" spans="1:14" x14ac:dyDescent="0.35">
      <c r="A315" t="s">
        <v>1202</v>
      </c>
      <c r="B315" t="s">
        <v>1203</v>
      </c>
      <c r="C315" t="s">
        <v>62</v>
      </c>
      <c r="D315">
        <v>77.48</v>
      </c>
      <c r="E315">
        <v>5000</v>
      </c>
      <c r="F315" t="s">
        <v>46</v>
      </c>
      <c r="G315" t="s">
        <v>32</v>
      </c>
      <c r="H315" t="s">
        <v>43</v>
      </c>
      <c r="I315" t="s">
        <v>44</v>
      </c>
      <c r="J315" t="s">
        <v>107</v>
      </c>
      <c r="K315" t="s">
        <v>87</v>
      </c>
      <c r="L315">
        <v>1</v>
      </c>
      <c r="M315" t="s">
        <v>1204</v>
      </c>
      <c r="N315" t="s">
        <v>1205</v>
      </c>
    </row>
    <row r="316" spans="1:14" x14ac:dyDescent="0.35">
      <c r="A316" t="s">
        <v>1206</v>
      </c>
      <c r="B316" t="s">
        <v>1207</v>
      </c>
      <c r="C316" t="s">
        <v>62</v>
      </c>
      <c r="D316">
        <v>94.66</v>
      </c>
      <c r="E316">
        <v>5000</v>
      </c>
      <c r="F316" t="s">
        <v>42</v>
      </c>
      <c r="G316" t="s">
        <v>102</v>
      </c>
      <c r="H316" t="s">
        <v>57</v>
      </c>
      <c r="I316" t="s">
        <v>44</v>
      </c>
      <c r="J316" t="s">
        <v>1208</v>
      </c>
      <c r="K316" t="s">
        <v>147</v>
      </c>
      <c r="L316">
        <v>9</v>
      </c>
      <c r="M316" t="s">
        <v>1209</v>
      </c>
      <c r="N316" t="s">
        <v>1210</v>
      </c>
    </row>
    <row r="317" spans="1:14" x14ac:dyDescent="0.35">
      <c r="A317" t="s">
        <v>1211</v>
      </c>
      <c r="B317" t="s">
        <v>1212</v>
      </c>
      <c r="C317" t="s">
        <v>116</v>
      </c>
      <c r="D317">
        <v>7.16</v>
      </c>
      <c r="E317">
        <v>100</v>
      </c>
      <c r="F317" t="s">
        <v>76</v>
      </c>
      <c r="G317" t="s">
        <v>32</v>
      </c>
      <c r="H317" t="s">
        <v>57</v>
      </c>
      <c r="I317" t="s">
        <v>34</v>
      </c>
      <c r="J317" t="s">
        <v>124</v>
      </c>
      <c r="K317" t="s">
        <v>117</v>
      </c>
      <c r="L317">
        <v>9</v>
      </c>
      <c r="M317" t="s">
        <v>421</v>
      </c>
      <c r="N317" t="s">
        <v>1213</v>
      </c>
    </row>
    <row r="318" spans="1:14" x14ac:dyDescent="0.35">
      <c r="A318" t="s">
        <v>1214</v>
      </c>
      <c r="B318" t="s">
        <v>1215</v>
      </c>
      <c r="C318" t="s">
        <v>69</v>
      </c>
      <c r="D318">
        <v>98.98</v>
      </c>
      <c r="E318">
        <v>36000</v>
      </c>
      <c r="F318" t="s">
        <v>31</v>
      </c>
      <c r="G318" t="s">
        <v>32</v>
      </c>
      <c r="H318" t="s">
        <v>33</v>
      </c>
      <c r="I318" t="s">
        <v>34</v>
      </c>
      <c r="J318" t="s">
        <v>1216</v>
      </c>
      <c r="K318" t="s">
        <v>51</v>
      </c>
      <c r="L318">
        <v>16</v>
      </c>
      <c r="M318" t="s">
        <v>1209</v>
      </c>
      <c r="N318" t="s">
        <v>1217</v>
      </c>
    </row>
    <row r="319" spans="1:14" x14ac:dyDescent="0.35">
      <c r="A319" t="s">
        <v>1218</v>
      </c>
      <c r="B319" t="s">
        <v>1219</v>
      </c>
      <c r="C319" t="s">
        <v>41</v>
      </c>
      <c r="D319">
        <v>141.91</v>
      </c>
      <c r="E319">
        <v>17000</v>
      </c>
      <c r="F319" t="s">
        <v>31</v>
      </c>
      <c r="G319" t="s">
        <v>32</v>
      </c>
      <c r="H319" t="s">
        <v>33</v>
      </c>
      <c r="I319" t="s">
        <v>34</v>
      </c>
      <c r="J319" t="s">
        <v>130</v>
      </c>
      <c r="K319" t="s">
        <v>123</v>
      </c>
      <c r="L319">
        <v>0</v>
      </c>
      <c r="M319" t="s">
        <v>1220</v>
      </c>
      <c r="N319" t="s">
        <v>1221</v>
      </c>
    </row>
    <row r="320" spans="1:14" x14ac:dyDescent="0.35">
      <c r="A320" t="s">
        <v>1222</v>
      </c>
      <c r="B320" t="s">
        <v>1223</v>
      </c>
      <c r="C320" t="s">
        <v>81</v>
      </c>
      <c r="D320">
        <v>110.44</v>
      </c>
      <c r="E320">
        <v>3000</v>
      </c>
      <c r="F320" t="s">
        <v>139</v>
      </c>
      <c r="G320" t="s">
        <v>32</v>
      </c>
      <c r="H320" t="s">
        <v>43</v>
      </c>
      <c r="I320" t="s">
        <v>44</v>
      </c>
      <c r="J320" t="s">
        <v>70</v>
      </c>
      <c r="K320" t="s">
        <v>31</v>
      </c>
      <c r="L320">
        <v>19</v>
      </c>
      <c r="M320" t="s">
        <v>1224</v>
      </c>
      <c r="N320" t="s">
        <v>1225</v>
      </c>
    </row>
    <row r="321" spans="1:14" x14ac:dyDescent="0.35">
      <c r="A321" t="s">
        <v>1226</v>
      </c>
      <c r="B321" t="s">
        <v>1227</v>
      </c>
      <c r="C321" t="s">
        <v>30</v>
      </c>
      <c r="D321">
        <v>125.57</v>
      </c>
      <c r="E321">
        <v>5000</v>
      </c>
      <c r="F321" t="s">
        <v>117</v>
      </c>
      <c r="G321" t="s">
        <v>32</v>
      </c>
      <c r="H321" t="s">
        <v>57</v>
      </c>
      <c r="I321" t="s">
        <v>44</v>
      </c>
      <c r="J321" t="s">
        <v>63</v>
      </c>
      <c r="K321" t="s">
        <v>64</v>
      </c>
      <c r="L321">
        <v>23</v>
      </c>
      <c r="M321" t="s">
        <v>1228</v>
      </c>
      <c r="N321" t="s">
        <v>1229</v>
      </c>
    </row>
    <row r="322" spans="1:14" x14ac:dyDescent="0.35">
      <c r="A322" t="s">
        <v>1230</v>
      </c>
      <c r="B322" t="s">
        <v>1231</v>
      </c>
      <c r="C322" t="s">
        <v>30</v>
      </c>
      <c r="D322">
        <v>151.18</v>
      </c>
      <c r="E322">
        <v>2000</v>
      </c>
      <c r="F322" t="s">
        <v>147</v>
      </c>
      <c r="G322" t="s">
        <v>32</v>
      </c>
      <c r="H322" t="s">
        <v>57</v>
      </c>
      <c r="I322" t="s">
        <v>34</v>
      </c>
      <c r="J322" t="s">
        <v>179</v>
      </c>
      <c r="K322" t="s">
        <v>97</v>
      </c>
      <c r="L322">
        <v>6</v>
      </c>
      <c r="M322" t="s">
        <v>555</v>
      </c>
      <c r="N322" t="s">
        <v>1232</v>
      </c>
    </row>
    <row r="323" spans="1:14" x14ac:dyDescent="0.35">
      <c r="A323" t="s">
        <v>1233</v>
      </c>
      <c r="B323" t="s">
        <v>1234</v>
      </c>
      <c r="C323" t="s">
        <v>30</v>
      </c>
      <c r="D323">
        <v>181.48</v>
      </c>
      <c r="E323">
        <v>10000</v>
      </c>
      <c r="F323" t="s">
        <v>46</v>
      </c>
      <c r="G323" t="s">
        <v>32</v>
      </c>
      <c r="H323" t="s">
        <v>57</v>
      </c>
      <c r="I323" t="s">
        <v>44</v>
      </c>
      <c r="J323" t="s">
        <v>45</v>
      </c>
      <c r="K323" t="s">
        <v>46</v>
      </c>
      <c r="L323">
        <v>3</v>
      </c>
      <c r="M323" t="s">
        <v>1235</v>
      </c>
      <c r="N323" t="s">
        <v>1236</v>
      </c>
    </row>
    <row r="324" spans="1:14" x14ac:dyDescent="0.35">
      <c r="A324" t="s">
        <v>1237</v>
      </c>
      <c r="B324" t="s">
        <v>1238</v>
      </c>
      <c r="C324" t="s">
        <v>81</v>
      </c>
      <c r="D324">
        <v>121.7</v>
      </c>
      <c r="E324">
        <v>4000</v>
      </c>
      <c r="F324" t="s">
        <v>87</v>
      </c>
      <c r="G324" t="s">
        <v>32</v>
      </c>
      <c r="H324" t="s">
        <v>33</v>
      </c>
      <c r="I324" t="s">
        <v>34</v>
      </c>
      <c r="J324" t="s">
        <v>124</v>
      </c>
      <c r="K324" t="s">
        <v>117</v>
      </c>
      <c r="L324">
        <v>8</v>
      </c>
      <c r="M324" t="s">
        <v>1239</v>
      </c>
      <c r="N324" t="s">
        <v>1240</v>
      </c>
    </row>
    <row r="325" spans="1:14" x14ac:dyDescent="0.35">
      <c r="A325" t="s">
        <v>1241</v>
      </c>
      <c r="B325" t="s">
        <v>1242</v>
      </c>
      <c r="C325" t="s">
        <v>81</v>
      </c>
      <c r="D325">
        <v>114.12</v>
      </c>
      <c r="E325">
        <v>5000</v>
      </c>
      <c r="F325" t="s">
        <v>117</v>
      </c>
      <c r="G325" t="s">
        <v>32</v>
      </c>
      <c r="H325" t="s">
        <v>43</v>
      </c>
      <c r="I325" t="s">
        <v>129</v>
      </c>
      <c r="J325" t="s">
        <v>316</v>
      </c>
      <c r="K325" t="s">
        <v>97</v>
      </c>
      <c r="L325">
        <v>20</v>
      </c>
      <c r="N325" t="s">
        <v>579</v>
      </c>
    </row>
    <row r="326" spans="1:14" x14ac:dyDescent="0.35">
      <c r="A326" t="s">
        <v>1243</v>
      </c>
      <c r="B326" t="s">
        <v>1244</v>
      </c>
      <c r="C326" t="s">
        <v>41</v>
      </c>
      <c r="D326">
        <v>83.07</v>
      </c>
      <c r="E326">
        <v>19000</v>
      </c>
      <c r="F326" t="s">
        <v>123</v>
      </c>
      <c r="G326" t="s">
        <v>32</v>
      </c>
      <c r="H326" t="s">
        <v>43</v>
      </c>
      <c r="I326" t="s">
        <v>129</v>
      </c>
      <c r="J326" t="s">
        <v>70</v>
      </c>
      <c r="K326" t="s">
        <v>31</v>
      </c>
      <c r="L326">
        <v>20</v>
      </c>
      <c r="M326" t="s">
        <v>1245</v>
      </c>
      <c r="N326" t="s">
        <v>1246</v>
      </c>
    </row>
    <row r="327" spans="1:14" x14ac:dyDescent="0.35">
      <c r="A327" t="s">
        <v>1247</v>
      </c>
      <c r="B327" t="s">
        <v>1248</v>
      </c>
      <c r="C327" t="s">
        <v>81</v>
      </c>
      <c r="D327">
        <v>104.64</v>
      </c>
      <c r="E327">
        <v>8000</v>
      </c>
      <c r="F327" t="s">
        <v>51</v>
      </c>
      <c r="G327" t="s">
        <v>32</v>
      </c>
      <c r="H327" t="s">
        <v>43</v>
      </c>
      <c r="I327" t="s">
        <v>44</v>
      </c>
      <c r="J327" t="s">
        <v>63</v>
      </c>
      <c r="K327" t="s">
        <v>64</v>
      </c>
      <c r="L327">
        <v>1</v>
      </c>
      <c r="N327" t="s">
        <v>1249</v>
      </c>
    </row>
    <row r="328" spans="1:14" x14ac:dyDescent="0.35">
      <c r="A328" t="s">
        <v>1250</v>
      </c>
      <c r="B328" t="s">
        <v>1251</v>
      </c>
      <c r="C328" t="s">
        <v>81</v>
      </c>
      <c r="D328">
        <v>97.13</v>
      </c>
      <c r="E328">
        <v>6000</v>
      </c>
      <c r="F328" t="s">
        <v>42</v>
      </c>
      <c r="G328" t="s">
        <v>32</v>
      </c>
      <c r="H328" t="s">
        <v>33</v>
      </c>
      <c r="I328" t="s">
        <v>129</v>
      </c>
      <c r="J328" t="s">
        <v>124</v>
      </c>
      <c r="K328" t="s">
        <v>117</v>
      </c>
      <c r="L328">
        <v>12</v>
      </c>
      <c r="M328" t="s">
        <v>1252</v>
      </c>
      <c r="N328" t="s">
        <v>1253</v>
      </c>
    </row>
    <row r="329" spans="1:14" x14ac:dyDescent="0.35">
      <c r="A329" t="s">
        <v>1254</v>
      </c>
      <c r="B329" t="s">
        <v>1255</v>
      </c>
      <c r="C329" t="s">
        <v>41</v>
      </c>
      <c r="D329">
        <v>108.04</v>
      </c>
      <c r="E329">
        <v>14000</v>
      </c>
      <c r="F329" t="s">
        <v>123</v>
      </c>
      <c r="G329" t="s">
        <v>32</v>
      </c>
      <c r="H329" t="s">
        <v>33</v>
      </c>
      <c r="J329" t="s">
        <v>721</v>
      </c>
      <c r="K329" t="s">
        <v>42</v>
      </c>
      <c r="L329">
        <v>1</v>
      </c>
      <c r="M329" t="s">
        <v>1256</v>
      </c>
      <c r="N329" t="s">
        <v>1257</v>
      </c>
    </row>
    <row r="330" spans="1:14" x14ac:dyDescent="0.35">
      <c r="A330" t="s">
        <v>1258</v>
      </c>
      <c r="B330" t="s">
        <v>1259</v>
      </c>
      <c r="C330" t="s">
        <v>62</v>
      </c>
      <c r="D330">
        <v>69.61</v>
      </c>
      <c r="E330">
        <v>5000</v>
      </c>
      <c r="F330" t="s">
        <v>117</v>
      </c>
      <c r="G330" t="s">
        <v>32</v>
      </c>
      <c r="H330" t="s">
        <v>33</v>
      </c>
      <c r="I330" t="s">
        <v>44</v>
      </c>
      <c r="J330" t="s">
        <v>1260</v>
      </c>
      <c r="K330" t="s">
        <v>147</v>
      </c>
      <c r="L330">
        <v>1</v>
      </c>
      <c r="M330" t="s">
        <v>1261</v>
      </c>
      <c r="N330" t="s">
        <v>1262</v>
      </c>
    </row>
    <row r="331" spans="1:14" x14ac:dyDescent="0.35">
      <c r="A331" t="s">
        <v>1263</v>
      </c>
      <c r="B331" t="s">
        <v>1264</v>
      </c>
      <c r="C331" t="s">
        <v>69</v>
      </c>
      <c r="D331">
        <v>57.03</v>
      </c>
      <c r="E331">
        <v>78000</v>
      </c>
      <c r="F331" t="s">
        <v>64</v>
      </c>
      <c r="G331" t="s">
        <v>32</v>
      </c>
      <c r="H331" t="s">
        <v>33</v>
      </c>
      <c r="I331" t="s">
        <v>34</v>
      </c>
      <c r="J331" t="s">
        <v>107</v>
      </c>
      <c r="K331" t="s">
        <v>87</v>
      </c>
      <c r="L331">
        <v>11</v>
      </c>
      <c r="M331" t="s">
        <v>1265</v>
      </c>
      <c r="N331" t="s">
        <v>1266</v>
      </c>
    </row>
    <row r="332" spans="1:14" x14ac:dyDescent="0.35">
      <c r="A332" t="s">
        <v>1267</v>
      </c>
      <c r="B332" t="s">
        <v>1268</v>
      </c>
      <c r="C332" t="s">
        <v>30</v>
      </c>
      <c r="D332">
        <v>168.21</v>
      </c>
      <c r="E332">
        <v>16000</v>
      </c>
      <c r="F332" t="s">
        <v>51</v>
      </c>
      <c r="G332" t="s">
        <v>32</v>
      </c>
      <c r="H332" t="s">
        <v>33</v>
      </c>
      <c r="I332" t="s">
        <v>44</v>
      </c>
      <c r="J332" t="s">
        <v>1269</v>
      </c>
      <c r="K332" t="s">
        <v>51</v>
      </c>
      <c r="L332">
        <v>10</v>
      </c>
      <c r="N332" t="s">
        <v>1270</v>
      </c>
    </row>
    <row r="333" spans="1:14" x14ac:dyDescent="0.35">
      <c r="A333" t="s">
        <v>1271</v>
      </c>
      <c r="B333" t="s">
        <v>1272</v>
      </c>
      <c r="C333" t="s">
        <v>41</v>
      </c>
      <c r="D333">
        <v>93.49</v>
      </c>
      <c r="E333">
        <v>23000</v>
      </c>
      <c r="F333" t="s">
        <v>117</v>
      </c>
      <c r="G333" t="s">
        <v>32</v>
      </c>
      <c r="H333" t="s">
        <v>33</v>
      </c>
      <c r="I333" t="s">
        <v>129</v>
      </c>
      <c r="J333" t="s">
        <v>107</v>
      </c>
      <c r="K333" t="s">
        <v>87</v>
      </c>
      <c r="L333">
        <v>23</v>
      </c>
      <c r="M333" t="s">
        <v>1273</v>
      </c>
      <c r="N333" t="s">
        <v>1274</v>
      </c>
    </row>
    <row r="334" spans="1:14" x14ac:dyDescent="0.35">
      <c r="A334" t="s">
        <v>1275</v>
      </c>
      <c r="B334" t="s">
        <v>1276</v>
      </c>
      <c r="C334" t="s">
        <v>30</v>
      </c>
      <c r="D334">
        <v>117.76</v>
      </c>
      <c r="E334">
        <v>5000</v>
      </c>
      <c r="F334" t="s">
        <v>147</v>
      </c>
      <c r="G334" t="s">
        <v>32</v>
      </c>
      <c r="H334" t="s">
        <v>43</v>
      </c>
      <c r="I334" t="s">
        <v>44</v>
      </c>
      <c r="J334" t="s">
        <v>1071</v>
      </c>
      <c r="K334" t="s">
        <v>236</v>
      </c>
      <c r="L334">
        <v>16</v>
      </c>
      <c r="M334" t="s">
        <v>1277</v>
      </c>
      <c r="N334" t="s">
        <v>1278</v>
      </c>
    </row>
    <row r="335" spans="1:14" x14ac:dyDescent="0.35">
      <c r="A335" t="s">
        <v>1279</v>
      </c>
      <c r="B335" t="s">
        <v>1280</v>
      </c>
      <c r="C335" t="s">
        <v>116</v>
      </c>
      <c r="D335">
        <v>7.05</v>
      </c>
      <c r="E335">
        <v>300</v>
      </c>
      <c r="F335" t="s">
        <v>123</v>
      </c>
      <c r="G335" t="s">
        <v>32</v>
      </c>
      <c r="H335" t="s">
        <v>57</v>
      </c>
      <c r="I335" t="s">
        <v>44</v>
      </c>
      <c r="J335" t="s">
        <v>107</v>
      </c>
      <c r="K335" t="s">
        <v>87</v>
      </c>
      <c r="L335">
        <v>17</v>
      </c>
      <c r="M335" t="s">
        <v>270</v>
      </c>
      <c r="N335" t="s">
        <v>1281</v>
      </c>
    </row>
    <row r="336" spans="1:14" x14ac:dyDescent="0.35">
      <c r="A336" t="s">
        <v>1282</v>
      </c>
      <c r="B336" t="s">
        <v>1283</v>
      </c>
      <c r="C336" t="s">
        <v>41</v>
      </c>
      <c r="D336">
        <v>124.09</v>
      </c>
      <c r="E336">
        <v>25000</v>
      </c>
      <c r="F336" t="s">
        <v>36</v>
      </c>
      <c r="G336" t="s">
        <v>32</v>
      </c>
      <c r="H336" t="s">
        <v>57</v>
      </c>
      <c r="I336" t="s">
        <v>44</v>
      </c>
      <c r="J336" t="s">
        <v>70</v>
      </c>
      <c r="K336" t="s">
        <v>31</v>
      </c>
      <c r="L336">
        <v>6</v>
      </c>
      <c r="M336" t="s">
        <v>835</v>
      </c>
      <c r="N336" t="s">
        <v>1221</v>
      </c>
    </row>
    <row r="337" spans="1:14" x14ac:dyDescent="0.35">
      <c r="A337" t="s">
        <v>1284</v>
      </c>
      <c r="B337" t="s">
        <v>1285</v>
      </c>
      <c r="C337" t="s">
        <v>41</v>
      </c>
      <c r="D337">
        <v>158.57</v>
      </c>
      <c r="E337">
        <v>11000</v>
      </c>
      <c r="F337" t="s">
        <v>36</v>
      </c>
      <c r="G337" t="s">
        <v>32</v>
      </c>
      <c r="H337" t="s">
        <v>57</v>
      </c>
      <c r="I337" t="s">
        <v>44</v>
      </c>
      <c r="J337" t="s">
        <v>235</v>
      </c>
      <c r="K337" t="s">
        <v>236</v>
      </c>
      <c r="L337">
        <v>23</v>
      </c>
      <c r="M337" t="s">
        <v>1286</v>
      </c>
      <c r="N337" t="s">
        <v>1287</v>
      </c>
    </row>
    <row r="338" spans="1:14" x14ac:dyDescent="0.35">
      <c r="A338" t="s">
        <v>1288</v>
      </c>
      <c r="B338" t="s">
        <v>1289</v>
      </c>
      <c r="C338" t="s">
        <v>41</v>
      </c>
      <c r="D338">
        <v>142.09</v>
      </c>
      <c r="E338">
        <v>28000</v>
      </c>
      <c r="F338" t="s">
        <v>36</v>
      </c>
      <c r="G338" t="s">
        <v>32</v>
      </c>
      <c r="H338" t="s">
        <v>43</v>
      </c>
      <c r="I338" t="s">
        <v>34</v>
      </c>
      <c r="J338" t="s">
        <v>209</v>
      </c>
      <c r="K338" t="s">
        <v>74</v>
      </c>
      <c r="L338">
        <v>23</v>
      </c>
      <c r="M338" t="s">
        <v>1290</v>
      </c>
      <c r="N338" t="s">
        <v>1291</v>
      </c>
    </row>
    <row r="339" spans="1:14" x14ac:dyDescent="0.35">
      <c r="A339" t="s">
        <v>1292</v>
      </c>
      <c r="B339" t="s">
        <v>1293</v>
      </c>
      <c r="C339" t="s">
        <v>81</v>
      </c>
      <c r="D339">
        <v>81.75</v>
      </c>
      <c r="E339">
        <v>1000</v>
      </c>
      <c r="F339" t="s">
        <v>236</v>
      </c>
      <c r="G339" t="s">
        <v>32</v>
      </c>
      <c r="H339" t="s">
        <v>33</v>
      </c>
      <c r="I339" t="s">
        <v>34</v>
      </c>
      <c r="J339" t="s">
        <v>130</v>
      </c>
      <c r="K339" t="s">
        <v>123</v>
      </c>
      <c r="L339">
        <v>23</v>
      </c>
      <c r="M339" t="s">
        <v>1294</v>
      </c>
      <c r="N339" t="s">
        <v>1295</v>
      </c>
    </row>
    <row r="340" spans="1:14" x14ac:dyDescent="0.35">
      <c r="A340" t="s">
        <v>1296</v>
      </c>
      <c r="B340" t="s">
        <v>1297</v>
      </c>
      <c r="C340" t="s">
        <v>41</v>
      </c>
      <c r="D340">
        <v>95.6</v>
      </c>
      <c r="E340">
        <v>26000</v>
      </c>
      <c r="F340" t="s">
        <v>106</v>
      </c>
      <c r="G340" t="s">
        <v>32</v>
      </c>
      <c r="H340" t="s">
        <v>57</v>
      </c>
      <c r="I340" t="s">
        <v>34</v>
      </c>
      <c r="J340" t="s">
        <v>45</v>
      </c>
      <c r="K340" t="s">
        <v>46</v>
      </c>
      <c r="L340">
        <v>20</v>
      </c>
      <c r="M340" t="s">
        <v>180</v>
      </c>
      <c r="N340" t="s">
        <v>1298</v>
      </c>
    </row>
    <row r="341" spans="1:14" x14ac:dyDescent="0.35">
      <c r="A341" t="s">
        <v>1299</v>
      </c>
      <c r="B341" t="s">
        <v>1300</v>
      </c>
      <c r="C341" t="s">
        <v>62</v>
      </c>
      <c r="D341">
        <v>56.41</v>
      </c>
      <c r="E341">
        <v>1000</v>
      </c>
      <c r="F341" t="s">
        <v>42</v>
      </c>
      <c r="G341" t="s">
        <v>32</v>
      </c>
      <c r="H341" t="s">
        <v>43</v>
      </c>
      <c r="I341" t="s">
        <v>44</v>
      </c>
      <c r="J341" t="s">
        <v>1301</v>
      </c>
      <c r="K341" t="s">
        <v>147</v>
      </c>
      <c r="L341">
        <v>6</v>
      </c>
      <c r="N341" t="s">
        <v>1302</v>
      </c>
    </row>
    <row r="342" spans="1:14" x14ac:dyDescent="0.35">
      <c r="A342" t="s">
        <v>1303</v>
      </c>
      <c r="B342" t="s">
        <v>1304</v>
      </c>
      <c r="C342" t="s">
        <v>62</v>
      </c>
      <c r="D342">
        <v>66</v>
      </c>
      <c r="E342">
        <v>5000</v>
      </c>
      <c r="F342" t="s">
        <v>139</v>
      </c>
      <c r="G342" t="s">
        <v>32</v>
      </c>
      <c r="H342" t="s">
        <v>57</v>
      </c>
      <c r="I342" t="s">
        <v>129</v>
      </c>
      <c r="J342" t="s">
        <v>112</v>
      </c>
      <c r="K342" t="s">
        <v>106</v>
      </c>
      <c r="L342">
        <v>16</v>
      </c>
      <c r="M342" t="s">
        <v>1072</v>
      </c>
      <c r="N342" t="s">
        <v>1305</v>
      </c>
    </row>
    <row r="343" spans="1:14" x14ac:dyDescent="0.35">
      <c r="A343" t="s">
        <v>1306</v>
      </c>
      <c r="B343" t="s">
        <v>1307</v>
      </c>
      <c r="C343" t="s">
        <v>30</v>
      </c>
      <c r="D343">
        <v>169.13</v>
      </c>
      <c r="E343">
        <v>6000</v>
      </c>
      <c r="F343" t="s">
        <v>117</v>
      </c>
      <c r="G343" t="s">
        <v>32</v>
      </c>
      <c r="H343" t="s">
        <v>43</v>
      </c>
      <c r="I343" t="s">
        <v>44</v>
      </c>
      <c r="J343" t="s">
        <v>75</v>
      </c>
      <c r="K343" t="s">
        <v>76</v>
      </c>
      <c r="L343">
        <v>14</v>
      </c>
      <c r="M343" t="s">
        <v>1155</v>
      </c>
      <c r="N343" t="s">
        <v>1308</v>
      </c>
    </row>
    <row r="344" spans="1:14" x14ac:dyDescent="0.35">
      <c r="A344" t="s">
        <v>1309</v>
      </c>
      <c r="B344" t="s">
        <v>1310</v>
      </c>
      <c r="C344" t="s">
        <v>69</v>
      </c>
      <c r="D344">
        <v>98.75</v>
      </c>
      <c r="E344">
        <v>19000</v>
      </c>
      <c r="F344" t="s">
        <v>31</v>
      </c>
      <c r="G344" t="s">
        <v>32</v>
      </c>
      <c r="H344" t="s">
        <v>33</v>
      </c>
      <c r="J344" t="s">
        <v>70</v>
      </c>
      <c r="K344" t="s">
        <v>31</v>
      </c>
      <c r="L344">
        <v>19</v>
      </c>
      <c r="M344" t="s">
        <v>1311</v>
      </c>
      <c r="N344" t="s">
        <v>1312</v>
      </c>
    </row>
    <row r="345" spans="1:14" x14ac:dyDescent="0.35">
      <c r="A345" t="s">
        <v>1313</v>
      </c>
      <c r="B345" t="s">
        <v>1314</v>
      </c>
      <c r="C345" t="s">
        <v>81</v>
      </c>
      <c r="D345">
        <v>90.83</v>
      </c>
      <c r="E345">
        <v>4000</v>
      </c>
      <c r="F345" t="s">
        <v>46</v>
      </c>
      <c r="G345" t="s">
        <v>32</v>
      </c>
      <c r="H345" t="s">
        <v>33</v>
      </c>
      <c r="I345" t="s">
        <v>34</v>
      </c>
      <c r="J345" t="s">
        <v>35</v>
      </c>
      <c r="K345" t="s">
        <v>36</v>
      </c>
      <c r="L345">
        <v>14</v>
      </c>
      <c r="M345" t="s">
        <v>698</v>
      </c>
      <c r="N345" t="s">
        <v>980</v>
      </c>
    </row>
    <row r="346" spans="1:14" x14ac:dyDescent="0.35">
      <c r="A346" t="s">
        <v>1315</v>
      </c>
      <c r="B346" t="s">
        <v>1316</v>
      </c>
      <c r="C346" t="s">
        <v>30</v>
      </c>
      <c r="D346">
        <v>181.09</v>
      </c>
      <c r="E346">
        <v>15000</v>
      </c>
      <c r="F346" t="s">
        <v>123</v>
      </c>
      <c r="G346" t="s">
        <v>32</v>
      </c>
      <c r="H346" t="s">
        <v>57</v>
      </c>
      <c r="I346" t="s">
        <v>34</v>
      </c>
      <c r="J346" t="s">
        <v>107</v>
      </c>
      <c r="K346" t="s">
        <v>87</v>
      </c>
      <c r="L346">
        <v>4</v>
      </c>
      <c r="N346" t="s">
        <v>1317</v>
      </c>
    </row>
    <row r="347" spans="1:14" x14ac:dyDescent="0.35">
      <c r="A347" t="s">
        <v>1318</v>
      </c>
      <c r="B347" t="s">
        <v>1319</v>
      </c>
      <c r="C347" t="s">
        <v>81</v>
      </c>
      <c r="D347">
        <v>137.71</v>
      </c>
      <c r="E347">
        <v>8000</v>
      </c>
      <c r="F347" t="s">
        <v>74</v>
      </c>
      <c r="G347" t="s">
        <v>32</v>
      </c>
      <c r="H347" t="s">
        <v>33</v>
      </c>
      <c r="J347" t="s">
        <v>130</v>
      </c>
      <c r="K347" t="s">
        <v>123</v>
      </c>
      <c r="L347">
        <v>11</v>
      </c>
      <c r="N347" t="s">
        <v>1320</v>
      </c>
    </row>
    <row r="348" spans="1:14" x14ac:dyDescent="0.35">
      <c r="A348" t="s">
        <v>1321</v>
      </c>
      <c r="B348" t="s">
        <v>1322</v>
      </c>
      <c r="C348" t="s">
        <v>81</v>
      </c>
      <c r="D348">
        <v>87.64</v>
      </c>
      <c r="E348">
        <v>10000</v>
      </c>
      <c r="F348" t="s">
        <v>87</v>
      </c>
      <c r="G348" t="s">
        <v>32</v>
      </c>
      <c r="H348" t="s">
        <v>43</v>
      </c>
      <c r="I348" t="s">
        <v>44</v>
      </c>
      <c r="J348" t="s">
        <v>35</v>
      </c>
      <c r="K348" t="s">
        <v>36</v>
      </c>
      <c r="L348">
        <v>12</v>
      </c>
      <c r="M348" t="s">
        <v>840</v>
      </c>
      <c r="N348" t="s">
        <v>1323</v>
      </c>
    </row>
    <row r="349" spans="1:14" x14ac:dyDescent="0.35">
      <c r="A349" t="s">
        <v>1324</v>
      </c>
      <c r="B349" t="s">
        <v>1325</v>
      </c>
      <c r="C349" t="s">
        <v>30</v>
      </c>
      <c r="D349">
        <v>120.46</v>
      </c>
      <c r="E349">
        <v>11000</v>
      </c>
      <c r="F349" t="s">
        <v>76</v>
      </c>
      <c r="G349" t="s">
        <v>32</v>
      </c>
      <c r="H349" t="s">
        <v>43</v>
      </c>
      <c r="I349" t="s">
        <v>129</v>
      </c>
      <c r="J349" t="s">
        <v>523</v>
      </c>
      <c r="K349" t="s">
        <v>36</v>
      </c>
      <c r="L349">
        <v>15</v>
      </c>
      <c r="N349" t="s">
        <v>749</v>
      </c>
    </row>
    <row r="350" spans="1:14" x14ac:dyDescent="0.35">
      <c r="A350" t="s">
        <v>1326</v>
      </c>
      <c r="B350" t="s">
        <v>1327</v>
      </c>
      <c r="C350" t="s">
        <v>116</v>
      </c>
      <c r="D350">
        <v>10.9</v>
      </c>
      <c r="E350">
        <v>700</v>
      </c>
      <c r="F350" t="s">
        <v>76</v>
      </c>
      <c r="G350" t="s">
        <v>32</v>
      </c>
      <c r="H350" t="s">
        <v>33</v>
      </c>
      <c r="I350" t="s">
        <v>44</v>
      </c>
      <c r="J350" t="s">
        <v>124</v>
      </c>
      <c r="K350" t="s">
        <v>117</v>
      </c>
      <c r="L350">
        <v>17</v>
      </c>
      <c r="M350" t="s">
        <v>1328</v>
      </c>
      <c r="N350" t="s">
        <v>444</v>
      </c>
    </row>
    <row r="351" spans="1:14" x14ac:dyDescent="0.35">
      <c r="A351" t="s">
        <v>1329</v>
      </c>
      <c r="B351" t="s">
        <v>1330</v>
      </c>
      <c r="C351" t="s">
        <v>81</v>
      </c>
      <c r="D351">
        <v>108.84</v>
      </c>
      <c r="E351">
        <v>4000</v>
      </c>
      <c r="F351" t="s">
        <v>42</v>
      </c>
      <c r="G351" t="s">
        <v>32</v>
      </c>
      <c r="H351" t="s">
        <v>57</v>
      </c>
      <c r="J351" t="s">
        <v>45</v>
      </c>
      <c r="K351" t="s">
        <v>46</v>
      </c>
      <c r="L351">
        <v>6</v>
      </c>
      <c r="N351" t="s">
        <v>1331</v>
      </c>
    </row>
    <row r="352" spans="1:14" x14ac:dyDescent="0.35">
      <c r="A352" t="s">
        <v>1332</v>
      </c>
      <c r="B352" t="s">
        <v>1333</v>
      </c>
      <c r="C352" t="s">
        <v>30</v>
      </c>
      <c r="D352">
        <v>126.27</v>
      </c>
      <c r="E352">
        <v>16000</v>
      </c>
      <c r="F352" t="s">
        <v>36</v>
      </c>
      <c r="G352" t="s">
        <v>32</v>
      </c>
      <c r="H352" t="s">
        <v>57</v>
      </c>
      <c r="I352" t="s">
        <v>44</v>
      </c>
      <c r="J352" t="s">
        <v>124</v>
      </c>
      <c r="K352" t="s">
        <v>117</v>
      </c>
      <c r="L352">
        <v>6</v>
      </c>
      <c r="M352" t="s">
        <v>1158</v>
      </c>
      <c r="N352" t="s">
        <v>766</v>
      </c>
    </row>
    <row r="353" spans="1:14" x14ac:dyDescent="0.35">
      <c r="A353" t="s">
        <v>1334</v>
      </c>
      <c r="B353" t="s">
        <v>1335</v>
      </c>
      <c r="C353" t="s">
        <v>62</v>
      </c>
      <c r="D353">
        <v>76.45</v>
      </c>
      <c r="E353">
        <v>1000</v>
      </c>
      <c r="F353" t="s">
        <v>76</v>
      </c>
      <c r="G353" t="s">
        <v>32</v>
      </c>
      <c r="H353" t="s">
        <v>33</v>
      </c>
      <c r="I353" t="s">
        <v>44</v>
      </c>
      <c r="J353" t="s">
        <v>75</v>
      </c>
      <c r="K353" t="s">
        <v>76</v>
      </c>
      <c r="L353">
        <v>2</v>
      </c>
      <c r="M353" t="s">
        <v>1336</v>
      </c>
      <c r="N353" t="s">
        <v>1337</v>
      </c>
    </row>
    <row r="354" spans="1:14" x14ac:dyDescent="0.35">
      <c r="A354" t="s">
        <v>1338</v>
      </c>
      <c r="B354" t="s">
        <v>1339</v>
      </c>
      <c r="C354" t="s">
        <v>116</v>
      </c>
      <c r="D354">
        <v>9.5</v>
      </c>
      <c r="E354">
        <v>300</v>
      </c>
      <c r="F354" t="s">
        <v>64</v>
      </c>
      <c r="G354" t="s">
        <v>32</v>
      </c>
      <c r="H354" t="s">
        <v>33</v>
      </c>
      <c r="I354" t="s">
        <v>34</v>
      </c>
      <c r="J354" t="s">
        <v>75</v>
      </c>
      <c r="K354" t="s">
        <v>76</v>
      </c>
      <c r="L354">
        <v>4</v>
      </c>
      <c r="N354" t="s">
        <v>1340</v>
      </c>
    </row>
    <row r="355" spans="1:14" x14ac:dyDescent="0.35">
      <c r="A355" t="s">
        <v>1341</v>
      </c>
      <c r="B355" t="s">
        <v>1342</v>
      </c>
      <c r="C355" t="s">
        <v>41</v>
      </c>
      <c r="D355">
        <v>128.02000000000001</v>
      </c>
      <c r="E355">
        <v>15000</v>
      </c>
      <c r="F355" t="s">
        <v>123</v>
      </c>
      <c r="G355" t="s">
        <v>32</v>
      </c>
      <c r="H355" t="s">
        <v>57</v>
      </c>
      <c r="I355" t="s">
        <v>44</v>
      </c>
      <c r="J355" t="s">
        <v>118</v>
      </c>
      <c r="K355" t="s">
        <v>42</v>
      </c>
      <c r="L355">
        <v>6</v>
      </c>
      <c r="M355" t="s">
        <v>293</v>
      </c>
      <c r="N355" t="s">
        <v>1343</v>
      </c>
    </row>
    <row r="356" spans="1:14" x14ac:dyDescent="0.35">
      <c r="A356" t="s">
        <v>1344</v>
      </c>
      <c r="B356" t="s">
        <v>1345</v>
      </c>
      <c r="C356" t="s">
        <v>41</v>
      </c>
      <c r="D356">
        <v>141.30000000000001</v>
      </c>
      <c r="E356">
        <v>28000</v>
      </c>
      <c r="F356" t="s">
        <v>64</v>
      </c>
      <c r="G356" t="s">
        <v>102</v>
      </c>
      <c r="H356" t="s">
        <v>43</v>
      </c>
      <c r="I356" t="s">
        <v>44</v>
      </c>
      <c r="J356" t="s">
        <v>70</v>
      </c>
      <c r="K356" t="s">
        <v>31</v>
      </c>
      <c r="L356">
        <v>15</v>
      </c>
      <c r="M356" t="s">
        <v>1346</v>
      </c>
      <c r="N356" t="s">
        <v>48</v>
      </c>
    </row>
    <row r="357" spans="1:14" x14ac:dyDescent="0.35">
      <c r="A357" t="s">
        <v>1347</v>
      </c>
      <c r="B357" t="s">
        <v>1348</v>
      </c>
      <c r="C357" t="s">
        <v>41</v>
      </c>
      <c r="D357">
        <v>87.56</v>
      </c>
      <c r="E357">
        <v>11000</v>
      </c>
      <c r="F357" t="s">
        <v>117</v>
      </c>
      <c r="G357" t="s">
        <v>102</v>
      </c>
      <c r="H357" t="s">
        <v>43</v>
      </c>
      <c r="J357" t="s">
        <v>1071</v>
      </c>
      <c r="K357" t="s">
        <v>236</v>
      </c>
      <c r="L357">
        <v>18</v>
      </c>
      <c r="N357" t="s">
        <v>851</v>
      </c>
    </row>
    <row r="358" spans="1:14" x14ac:dyDescent="0.35">
      <c r="A358" t="s">
        <v>1349</v>
      </c>
      <c r="B358" t="s">
        <v>1350</v>
      </c>
      <c r="C358" t="s">
        <v>81</v>
      </c>
      <c r="D358">
        <v>104.97</v>
      </c>
      <c r="E358">
        <v>1000</v>
      </c>
      <c r="F358" t="s">
        <v>76</v>
      </c>
      <c r="G358" t="s">
        <v>32</v>
      </c>
      <c r="H358" t="s">
        <v>57</v>
      </c>
      <c r="I358" t="s">
        <v>44</v>
      </c>
      <c r="J358" t="s">
        <v>1351</v>
      </c>
      <c r="K358" t="s">
        <v>147</v>
      </c>
      <c r="L358">
        <v>21</v>
      </c>
      <c r="M358" t="s">
        <v>1352</v>
      </c>
      <c r="N358" t="s">
        <v>1353</v>
      </c>
    </row>
    <row r="359" spans="1:14" x14ac:dyDescent="0.35">
      <c r="A359" t="s">
        <v>1354</v>
      </c>
      <c r="B359" t="s">
        <v>1355</v>
      </c>
      <c r="C359" t="s">
        <v>62</v>
      </c>
      <c r="D359">
        <v>75.209999999999994</v>
      </c>
      <c r="E359">
        <v>4000</v>
      </c>
      <c r="F359" t="s">
        <v>76</v>
      </c>
      <c r="G359" t="s">
        <v>32</v>
      </c>
      <c r="H359" t="s">
        <v>33</v>
      </c>
      <c r="I359" t="s">
        <v>129</v>
      </c>
      <c r="J359" t="s">
        <v>35</v>
      </c>
      <c r="K359" t="s">
        <v>36</v>
      </c>
      <c r="L359">
        <v>10</v>
      </c>
      <c r="M359" t="s">
        <v>83</v>
      </c>
      <c r="N359" t="s">
        <v>1356</v>
      </c>
    </row>
    <row r="360" spans="1:14" x14ac:dyDescent="0.35">
      <c r="A360" t="s">
        <v>1357</v>
      </c>
      <c r="B360" t="s">
        <v>1358</v>
      </c>
      <c r="C360" t="s">
        <v>116</v>
      </c>
      <c r="D360">
        <v>9.89</v>
      </c>
      <c r="E360">
        <v>400</v>
      </c>
      <c r="F360" t="s">
        <v>74</v>
      </c>
      <c r="G360" t="s">
        <v>32</v>
      </c>
      <c r="H360" t="s">
        <v>43</v>
      </c>
      <c r="I360" t="s">
        <v>34</v>
      </c>
      <c r="J360" t="s">
        <v>130</v>
      </c>
      <c r="K360" t="s">
        <v>123</v>
      </c>
      <c r="L360">
        <v>3</v>
      </c>
      <c r="M360" t="s">
        <v>1294</v>
      </c>
      <c r="N360" t="s">
        <v>905</v>
      </c>
    </row>
    <row r="361" spans="1:14" x14ac:dyDescent="0.35">
      <c r="A361" t="s">
        <v>1359</v>
      </c>
      <c r="B361" t="s">
        <v>1360</v>
      </c>
      <c r="C361" t="s">
        <v>62</v>
      </c>
      <c r="D361">
        <v>62.99</v>
      </c>
      <c r="E361">
        <v>2000</v>
      </c>
      <c r="F361" t="s">
        <v>97</v>
      </c>
      <c r="G361" t="s">
        <v>32</v>
      </c>
      <c r="H361" t="s">
        <v>33</v>
      </c>
      <c r="I361" t="s">
        <v>34</v>
      </c>
      <c r="J361" t="s">
        <v>543</v>
      </c>
      <c r="K361" t="s">
        <v>51</v>
      </c>
      <c r="L361">
        <v>2</v>
      </c>
      <c r="M361" t="s">
        <v>593</v>
      </c>
      <c r="N361" t="s">
        <v>1361</v>
      </c>
    </row>
    <row r="362" spans="1:14" x14ac:dyDescent="0.35">
      <c r="A362" t="s">
        <v>1362</v>
      </c>
      <c r="B362" t="s">
        <v>1363</v>
      </c>
      <c r="C362" t="s">
        <v>81</v>
      </c>
      <c r="D362">
        <v>101.29</v>
      </c>
      <c r="E362">
        <v>4000</v>
      </c>
      <c r="F362" t="s">
        <v>147</v>
      </c>
      <c r="G362" t="s">
        <v>32</v>
      </c>
      <c r="H362" t="s">
        <v>33</v>
      </c>
      <c r="I362" t="s">
        <v>34</v>
      </c>
      <c r="J362" t="s">
        <v>118</v>
      </c>
      <c r="K362" t="s">
        <v>42</v>
      </c>
      <c r="L362">
        <v>9</v>
      </c>
      <c r="M362" t="s">
        <v>1364</v>
      </c>
      <c r="N362" t="s">
        <v>1365</v>
      </c>
    </row>
    <row r="363" spans="1:14" x14ac:dyDescent="0.35">
      <c r="A363" t="s">
        <v>1366</v>
      </c>
      <c r="B363" t="s">
        <v>1367</v>
      </c>
      <c r="C363" t="s">
        <v>81</v>
      </c>
      <c r="D363">
        <v>121.21</v>
      </c>
      <c r="E363">
        <v>7000</v>
      </c>
      <c r="F363" t="s">
        <v>51</v>
      </c>
      <c r="G363" t="s">
        <v>32</v>
      </c>
      <c r="H363" t="s">
        <v>57</v>
      </c>
      <c r="J363" t="s">
        <v>124</v>
      </c>
      <c r="K363" t="s">
        <v>117</v>
      </c>
      <c r="L363">
        <v>5</v>
      </c>
      <c r="M363" t="s">
        <v>1368</v>
      </c>
      <c r="N363" t="s">
        <v>1369</v>
      </c>
    </row>
    <row r="364" spans="1:14" x14ac:dyDescent="0.35">
      <c r="A364" t="s">
        <v>1370</v>
      </c>
      <c r="B364" t="s">
        <v>1371</v>
      </c>
      <c r="C364" t="s">
        <v>30</v>
      </c>
      <c r="D364">
        <v>157.08000000000001</v>
      </c>
      <c r="E364">
        <v>5000</v>
      </c>
      <c r="F364" t="s">
        <v>31</v>
      </c>
      <c r="G364" t="s">
        <v>32</v>
      </c>
      <c r="H364" t="s">
        <v>43</v>
      </c>
      <c r="I364" t="s">
        <v>44</v>
      </c>
      <c r="J364" t="s">
        <v>45</v>
      </c>
      <c r="K364" t="s">
        <v>46</v>
      </c>
      <c r="L364">
        <v>6</v>
      </c>
      <c r="M364" t="s">
        <v>752</v>
      </c>
      <c r="N364" t="s">
        <v>1372</v>
      </c>
    </row>
    <row r="365" spans="1:14" x14ac:dyDescent="0.35">
      <c r="A365" t="s">
        <v>1373</v>
      </c>
      <c r="B365" t="s">
        <v>1374</v>
      </c>
      <c r="C365" t="s">
        <v>116</v>
      </c>
      <c r="D365">
        <v>10.28</v>
      </c>
      <c r="E365">
        <v>500</v>
      </c>
      <c r="F365" t="s">
        <v>42</v>
      </c>
      <c r="G365" t="s">
        <v>32</v>
      </c>
      <c r="H365" t="s">
        <v>43</v>
      </c>
      <c r="I365" t="s">
        <v>44</v>
      </c>
      <c r="J365" t="s">
        <v>1375</v>
      </c>
      <c r="K365" t="s">
        <v>51</v>
      </c>
      <c r="L365">
        <v>0</v>
      </c>
      <c r="M365" t="s">
        <v>629</v>
      </c>
      <c r="N365" t="s">
        <v>1376</v>
      </c>
    </row>
    <row r="366" spans="1:14" x14ac:dyDescent="0.35">
      <c r="A366" t="s">
        <v>1377</v>
      </c>
      <c r="B366" t="s">
        <v>1378</v>
      </c>
      <c r="C366" t="s">
        <v>81</v>
      </c>
      <c r="D366">
        <v>126.97</v>
      </c>
      <c r="E366">
        <v>5000</v>
      </c>
      <c r="F366" t="s">
        <v>42</v>
      </c>
      <c r="G366" t="s">
        <v>32</v>
      </c>
      <c r="H366" t="s">
        <v>33</v>
      </c>
      <c r="I366" t="s">
        <v>44</v>
      </c>
      <c r="J366" t="s">
        <v>1379</v>
      </c>
      <c r="K366" t="s">
        <v>51</v>
      </c>
      <c r="L366">
        <v>11</v>
      </c>
      <c r="N366" t="s">
        <v>1380</v>
      </c>
    </row>
    <row r="367" spans="1:14" x14ac:dyDescent="0.35">
      <c r="A367" t="s">
        <v>1381</v>
      </c>
      <c r="B367" t="s">
        <v>1382</v>
      </c>
      <c r="C367" t="s">
        <v>62</v>
      </c>
      <c r="D367">
        <v>56.77</v>
      </c>
      <c r="E367">
        <v>5000</v>
      </c>
      <c r="F367" t="s">
        <v>74</v>
      </c>
      <c r="G367" t="s">
        <v>32</v>
      </c>
      <c r="H367" t="s">
        <v>57</v>
      </c>
      <c r="J367" t="s">
        <v>316</v>
      </c>
      <c r="K367" t="s">
        <v>97</v>
      </c>
      <c r="L367">
        <v>15</v>
      </c>
      <c r="M367" t="s">
        <v>1383</v>
      </c>
      <c r="N367" t="s">
        <v>1384</v>
      </c>
    </row>
    <row r="368" spans="1:14" x14ac:dyDescent="0.35">
      <c r="A368" t="s">
        <v>1385</v>
      </c>
      <c r="B368" t="s">
        <v>1386</v>
      </c>
      <c r="C368" t="s">
        <v>116</v>
      </c>
      <c r="D368">
        <v>10.66</v>
      </c>
      <c r="E368">
        <v>100</v>
      </c>
      <c r="F368" t="s">
        <v>87</v>
      </c>
      <c r="G368" t="s">
        <v>32</v>
      </c>
      <c r="H368" t="s">
        <v>33</v>
      </c>
      <c r="J368" t="s">
        <v>35</v>
      </c>
      <c r="K368" t="s">
        <v>36</v>
      </c>
      <c r="L368">
        <v>14</v>
      </c>
      <c r="M368" t="s">
        <v>1387</v>
      </c>
      <c r="N368" t="s">
        <v>1388</v>
      </c>
    </row>
    <row r="369" spans="1:14" x14ac:dyDescent="0.35">
      <c r="A369" t="s">
        <v>1389</v>
      </c>
      <c r="B369" t="s">
        <v>1390</v>
      </c>
      <c r="C369" t="s">
        <v>41</v>
      </c>
      <c r="D369">
        <v>159.35</v>
      </c>
      <c r="E369">
        <v>25000</v>
      </c>
      <c r="F369" t="s">
        <v>46</v>
      </c>
      <c r="G369" t="s">
        <v>32</v>
      </c>
      <c r="H369" t="s">
        <v>43</v>
      </c>
      <c r="J369" t="s">
        <v>1391</v>
      </c>
      <c r="K369" t="s">
        <v>36</v>
      </c>
      <c r="L369">
        <v>13</v>
      </c>
      <c r="M369" t="s">
        <v>1392</v>
      </c>
      <c r="N369" t="s">
        <v>1393</v>
      </c>
    </row>
    <row r="370" spans="1:14" x14ac:dyDescent="0.35">
      <c r="A370" t="s">
        <v>1394</v>
      </c>
      <c r="B370" t="s">
        <v>1395</v>
      </c>
      <c r="C370" t="s">
        <v>81</v>
      </c>
      <c r="D370">
        <v>104.23</v>
      </c>
      <c r="E370">
        <v>1000</v>
      </c>
      <c r="F370" t="s">
        <v>64</v>
      </c>
      <c r="G370" t="s">
        <v>32</v>
      </c>
      <c r="H370" t="s">
        <v>43</v>
      </c>
      <c r="J370" t="s">
        <v>179</v>
      </c>
      <c r="K370" t="s">
        <v>97</v>
      </c>
      <c r="L370">
        <v>9</v>
      </c>
      <c r="M370" t="s">
        <v>1396</v>
      </c>
      <c r="N370" t="s">
        <v>1397</v>
      </c>
    </row>
    <row r="371" spans="1:14" x14ac:dyDescent="0.35">
      <c r="A371" t="s">
        <v>1398</v>
      </c>
      <c r="B371" t="s">
        <v>1399</v>
      </c>
      <c r="C371" t="s">
        <v>116</v>
      </c>
      <c r="D371">
        <v>7.24</v>
      </c>
      <c r="E371">
        <v>300</v>
      </c>
      <c r="F371" t="s">
        <v>117</v>
      </c>
      <c r="G371" t="s">
        <v>32</v>
      </c>
      <c r="H371" t="s">
        <v>43</v>
      </c>
      <c r="J371" t="s">
        <v>235</v>
      </c>
      <c r="K371" t="s">
        <v>236</v>
      </c>
      <c r="L371">
        <v>5</v>
      </c>
      <c r="M371" t="s">
        <v>1117</v>
      </c>
      <c r="N371" t="s">
        <v>694</v>
      </c>
    </row>
    <row r="372" spans="1:14" x14ac:dyDescent="0.35">
      <c r="A372" t="s">
        <v>1400</v>
      </c>
      <c r="B372" t="s">
        <v>1401</v>
      </c>
      <c r="C372" t="s">
        <v>116</v>
      </c>
      <c r="D372">
        <v>9.31</v>
      </c>
      <c r="E372">
        <v>600</v>
      </c>
      <c r="F372" t="s">
        <v>123</v>
      </c>
      <c r="G372" t="s">
        <v>32</v>
      </c>
      <c r="H372" t="s">
        <v>57</v>
      </c>
      <c r="I372" t="s">
        <v>34</v>
      </c>
      <c r="J372" t="s">
        <v>35</v>
      </c>
      <c r="K372" t="s">
        <v>36</v>
      </c>
      <c r="L372">
        <v>6</v>
      </c>
      <c r="M372" t="s">
        <v>1252</v>
      </c>
      <c r="N372" t="s">
        <v>463</v>
      </c>
    </row>
    <row r="373" spans="1:14" x14ac:dyDescent="0.35">
      <c r="A373" t="s">
        <v>1402</v>
      </c>
      <c r="B373" t="s">
        <v>1403</v>
      </c>
      <c r="C373" t="s">
        <v>81</v>
      </c>
      <c r="D373">
        <v>104.1</v>
      </c>
      <c r="E373">
        <v>6000</v>
      </c>
      <c r="F373" t="s">
        <v>147</v>
      </c>
      <c r="G373" t="s">
        <v>32</v>
      </c>
      <c r="H373" t="s">
        <v>57</v>
      </c>
      <c r="I373" t="s">
        <v>34</v>
      </c>
      <c r="J373" t="s">
        <v>1404</v>
      </c>
      <c r="K373" t="s">
        <v>51</v>
      </c>
      <c r="L373">
        <v>6</v>
      </c>
      <c r="M373" t="s">
        <v>603</v>
      </c>
      <c r="N373" t="s">
        <v>699</v>
      </c>
    </row>
    <row r="374" spans="1:14" x14ac:dyDescent="0.35">
      <c r="A374" t="s">
        <v>1405</v>
      </c>
      <c r="B374" t="s">
        <v>1406</v>
      </c>
      <c r="C374" t="s">
        <v>69</v>
      </c>
      <c r="D374">
        <v>56.91</v>
      </c>
      <c r="E374">
        <v>58000</v>
      </c>
      <c r="F374" t="s">
        <v>87</v>
      </c>
      <c r="G374" t="s">
        <v>32</v>
      </c>
      <c r="H374" t="s">
        <v>43</v>
      </c>
      <c r="I374" t="s">
        <v>44</v>
      </c>
      <c r="J374" t="s">
        <v>45</v>
      </c>
      <c r="K374" t="s">
        <v>46</v>
      </c>
      <c r="L374">
        <v>20</v>
      </c>
      <c r="M374" t="s">
        <v>1407</v>
      </c>
      <c r="N374" t="s">
        <v>1408</v>
      </c>
    </row>
    <row r="375" spans="1:14" x14ac:dyDescent="0.35">
      <c r="A375" t="s">
        <v>1409</v>
      </c>
      <c r="B375" t="s">
        <v>1410</v>
      </c>
      <c r="C375" t="s">
        <v>30</v>
      </c>
      <c r="D375">
        <v>183.36</v>
      </c>
      <c r="E375">
        <v>6000</v>
      </c>
      <c r="F375" t="s">
        <v>36</v>
      </c>
      <c r="G375" t="s">
        <v>32</v>
      </c>
      <c r="H375" t="s">
        <v>57</v>
      </c>
      <c r="I375" t="s">
        <v>44</v>
      </c>
      <c r="J375" t="s">
        <v>45</v>
      </c>
      <c r="K375" t="s">
        <v>46</v>
      </c>
      <c r="L375">
        <v>17</v>
      </c>
      <c r="N375" t="s">
        <v>1411</v>
      </c>
    </row>
    <row r="376" spans="1:14" x14ac:dyDescent="0.35">
      <c r="A376" t="s">
        <v>1412</v>
      </c>
      <c r="B376" t="s">
        <v>1413</v>
      </c>
      <c r="C376" t="s">
        <v>116</v>
      </c>
      <c r="D376">
        <v>9.24</v>
      </c>
      <c r="E376">
        <v>200</v>
      </c>
      <c r="F376" t="s">
        <v>147</v>
      </c>
      <c r="G376" t="s">
        <v>32</v>
      </c>
      <c r="H376" t="s">
        <v>33</v>
      </c>
      <c r="I376" t="s">
        <v>44</v>
      </c>
      <c r="J376" t="s">
        <v>278</v>
      </c>
      <c r="K376" t="s">
        <v>97</v>
      </c>
      <c r="L376">
        <v>19</v>
      </c>
      <c r="M376" t="s">
        <v>1414</v>
      </c>
      <c r="N376" t="s">
        <v>1415</v>
      </c>
    </row>
    <row r="377" spans="1:14" x14ac:dyDescent="0.35">
      <c r="A377" t="s">
        <v>1416</v>
      </c>
      <c r="B377" t="s">
        <v>1417</v>
      </c>
      <c r="C377" t="s">
        <v>116</v>
      </c>
      <c r="D377">
        <v>8.43</v>
      </c>
      <c r="E377">
        <v>700</v>
      </c>
      <c r="F377" t="s">
        <v>236</v>
      </c>
      <c r="G377" t="s">
        <v>32</v>
      </c>
      <c r="H377" t="s">
        <v>43</v>
      </c>
      <c r="I377" t="s">
        <v>44</v>
      </c>
      <c r="J377" t="s">
        <v>35</v>
      </c>
      <c r="K377" t="s">
        <v>36</v>
      </c>
      <c r="L377">
        <v>23</v>
      </c>
      <c r="M377" t="s">
        <v>693</v>
      </c>
      <c r="N377" t="s">
        <v>354</v>
      </c>
    </row>
    <row r="378" spans="1:14" x14ac:dyDescent="0.35">
      <c r="A378" t="s">
        <v>1418</v>
      </c>
      <c r="B378" t="s">
        <v>1419</v>
      </c>
      <c r="C378" t="s">
        <v>116</v>
      </c>
      <c r="D378">
        <v>8.86</v>
      </c>
      <c r="E378">
        <v>500</v>
      </c>
      <c r="F378" t="s">
        <v>117</v>
      </c>
      <c r="G378" t="s">
        <v>32</v>
      </c>
      <c r="H378" t="s">
        <v>57</v>
      </c>
      <c r="J378" t="s">
        <v>1420</v>
      </c>
      <c r="K378" t="s">
        <v>147</v>
      </c>
      <c r="L378">
        <v>12</v>
      </c>
      <c r="M378" t="s">
        <v>312</v>
      </c>
      <c r="N378" t="s">
        <v>1421</v>
      </c>
    </row>
    <row r="379" spans="1:14" x14ac:dyDescent="0.35">
      <c r="A379" t="s">
        <v>1422</v>
      </c>
      <c r="B379" t="s">
        <v>1423</v>
      </c>
      <c r="C379" t="s">
        <v>41</v>
      </c>
      <c r="D379">
        <v>84.51</v>
      </c>
      <c r="E379">
        <v>11000</v>
      </c>
      <c r="F379" t="s">
        <v>46</v>
      </c>
      <c r="G379" t="s">
        <v>32</v>
      </c>
      <c r="H379" t="s">
        <v>57</v>
      </c>
      <c r="J379" t="s">
        <v>1424</v>
      </c>
      <c r="K379" t="s">
        <v>51</v>
      </c>
      <c r="L379">
        <v>22</v>
      </c>
      <c r="M379" t="s">
        <v>1425</v>
      </c>
      <c r="N379" t="s">
        <v>1426</v>
      </c>
    </row>
    <row r="380" spans="1:14" x14ac:dyDescent="0.35">
      <c r="A380" t="s">
        <v>1427</v>
      </c>
      <c r="B380" t="s">
        <v>1428</v>
      </c>
      <c r="C380" t="s">
        <v>81</v>
      </c>
      <c r="D380">
        <v>139.24</v>
      </c>
      <c r="E380">
        <v>4000</v>
      </c>
      <c r="F380" t="s">
        <v>87</v>
      </c>
      <c r="G380" t="s">
        <v>32</v>
      </c>
      <c r="H380" t="s">
        <v>57</v>
      </c>
      <c r="I380" t="s">
        <v>44</v>
      </c>
      <c r="J380" t="s">
        <v>45</v>
      </c>
      <c r="K380" t="s">
        <v>46</v>
      </c>
      <c r="L380">
        <v>1</v>
      </c>
      <c r="M380" t="s">
        <v>1245</v>
      </c>
      <c r="N380" t="s">
        <v>305</v>
      </c>
    </row>
    <row r="381" spans="1:14" x14ac:dyDescent="0.35">
      <c r="A381" t="s">
        <v>1429</v>
      </c>
      <c r="B381" t="s">
        <v>1430</v>
      </c>
      <c r="C381" t="s">
        <v>30</v>
      </c>
      <c r="D381">
        <v>195.7</v>
      </c>
      <c r="E381">
        <v>5000</v>
      </c>
      <c r="F381" t="s">
        <v>117</v>
      </c>
      <c r="G381" t="s">
        <v>32</v>
      </c>
      <c r="H381" t="s">
        <v>43</v>
      </c>
      <c r="I381" t="s">
        <v>44</v>
      </c>
      <c r="J381" t="s">
        <v>70</v>
      </c>
      <c r="K381" t="s">
        <v>31</v>
      </c>
      <c r="L381">
        <v>15</v>
      </c>
      <c r="N381" t="s">
        <v>1431</v>
      </c>
    </row>
    <row r="382" spans="1:14" x14ac:dyDescent="0.35">
      <c r="A382" t="s">
        <v>1432</v>
      </c>
      <c r="B382" t="s">
        <v>1433</v>
      </c>
      <c r="C382" t="s">
        <v>30</v>
      </c>
      <c r="D382">
        <v>135.65</v>
      </c>
      <c r="E382">
        <v>10000</v>
      </c>
      <c r="F382" t="s">
        <v>31</v>
      </c>
      <c r="G382" t="s">
        <v>32</v>
      </c>
      <c r="H382" t="s">
        <v>43</v>
      </c>
      <c r="J382" t="s">
        <v>107</v>
      </c>
      <c r="K382" t="s">
        <v>87</v>
      </c>
      <c r="L382">
        <v>23</v>
      </c>
      <c r="M382" t="s">
        <v>1434</v>
      </c>
      <c r="N382" t="s">
        <v>1435</v>
      </c>
    </row>
    <row r="383" spans="1:14" x14ac:dyDescent="0.35">
      <c r="A383" t="s">
        <v>1436</v>
      </c>
      <c r="B383" t="s">
        <v>1437</v>
      </c>
      <c r="C383" t="s">
        <v>62</v>
      </c>
      <c r="D383">
        <v>94.8</v>
      </c>
      <c r="E383">
        <v>4000</v>
      </c>
      <c r="F383" t="s">
        <v>36</v>
      </c>
      <c r="G383" t="s">
        <v>32</v>
      </c>
      <c r="H383" t="s">
        <v>33</v>
      </c>
      <c r="I383" t="s">
        <v>34</v>
      </c>
      <c r="J383" t="s">
        <v>112</v>
      </c>
      <c r="K383" t="s">
        <v>106</v>
      </c>
      <c r="L383">
        <v>1</v>
      </c>
      <c r="M383" t="s">
        <v>952</v>
      </c>
      <c r="N383" t="s">
        <v>1438</v>
      </c>
    </row>
    <row r="384" spans="1:14" x14ac:dyDescent="0.35">
      <c r="A384" t="s">
        <v>1439</v>
      </c>
      <c r="B384" t="s">
        <v>1440</v>
      </c>
      <c r="C384" t="s">
        <v>116</v>
      </c>
      <c r="D384">
        <v>11.32</v>
      </c>
      <c r="E384">
        <v>600</v>
      </c>
      <c r="F384" t="s">
        <v>76</v>
      </c>
      <c r="G384" t="s">
        <v>32</v>
      </c>
      <c r="H384" t="s">
        <v>33</v>
      </c>
      <c r="I384" t="s">
        <v>34</v>
      </c>
      <c r="J384" t="s">
        <v>1441</v>
      </c>
      <c r="K384" t="s">
        <v>147</v>
      </c>
      <c r="L384">
        <v>19</v>
      </c>
      <c r="N384" t="s">
        <v>804</v>
      </c>
    </row>
    <row r="385" spans="1:14" x14ac:dyDescent="0.35">
      <c r="A385" t="s">
        <v>1442</v>
      </c>
      <c r="B385" t="s">
        <v>1443</v>
      </c>
      <c r="C385" t="s">
        <v>41</v>
      </c>
      <c r="D385">
        <v>94.03</v>
      </c>
      <c r="E385">
        <v>19000</v>
      </c>
      <c r="F385" t="s">
        <v>106</v>
      </c>
      <c r="G385" t="s">
        <v>32</v>
      </c>
      <c r="H385" t="s">
        <v>33</v>
      </c>
      <c r="I385" t="s">
        <v>44</v>
      </c>
      <c r="J385" t="s">
        <v>130</v>
      </c>
      <c r="K385" t="s">
        <v>123</v>
      </c>
      <c r="L385">
        <v>16</v>
      </c>
      <c r="M385" t="s">
        <v>1290</v>
      </c>
      <c r="N385" t="s">
        <v>902</v>
      </c>
    </row>
    <row r="386" spans="1:14" x14ac:dyDescent="0.35">
      <c r="A386" t="s">
        <v>1444</v>
      </c>
      <c r="B386" t="s">
        <v>1445</v>
      </c>
      <c r="C386" t="s">
        <v>116</v>
      </c>
      <c r="D386">
        <v>8.3800000000000008</v>
      </c>
      <c r="E386">
        <v>700</v>
      </c>
      <c r="F386" t="s">
        <v>76</v>
      </c>
      <c r="G386" t="s">
        <v>32</v>
      </c>
      <c r="H386" t="s">
        <v>57</v>
      </c>
      <c r="I386" t="s">
        <v>34</v>
      </c>
      <c r="J386" t="s">
        <v>45</v>
      </c>
      <c r="K386" t="s">
        <v>46</v>
      </c>
      <c r="L386">
        <v>16</v>
      </c>
      <c r="M386" t="s">
        <v>398</v>
      </c>
      <c r="N386" t="s">
        <v>1446</v>
      </c>
    </row>
    <row r="387" spans="1:14" x14ac:dyDescent="0.35">
      <c r="A387" t="s">
        <v>1447</v>
      </c>
      <c r="B387" t="s">
        <v>1448</v>
      </c>
      <c r="C387" t="s">
        <v>30</v>
      </c>
      <c r="D387">
        <v>193.07</v>
      </c>
      <c r="E387">
        <v>15000</v>
      </c>
      <c r="F387" t="s">
        <v>51</v>
      </c>
      <c r="G387" t="s">
        <v>32</v>
      </c>
      <c r="H387" t="s">
        <v>33</v>
      </c>
      <c r="I387" t="s">
        <v>34</v>
      </c>
      <c r="J387" t="s">
        <v>1216</v>
      </c>
      <c r="K387" t="s">
        <v>51</v>
      </c>
      <c r="L387">
        <v>8</v>
      </c>
      <c r="M387" t="s">
        <v>274</v>
      </c>
      <c r="N387" t="s">
        <v>1449</v>
      </c>
    </row>
    <row r="388" spans="1:14" x14ac:dyDescent="0.35">
      <c r="A388" t="s">
        <v>1450</v>
      </c>
      <c r="B388" t="s">
        <v>1451</v>
      </c>
      <c r="C388" t="s">
        <v>30</v>
      </c>
      <c r="D388">
        <v>141.38999999999999</v>
      </c>
      <c r="E388">
        <v>12000</v>
      </c>
      <c r="F388" t="s">
        <v>123</v>
      </c>
      <c r="G388" t="s">
        <v>32</v>
      </c>
      <c r="H388" t="s">
        <v>57</v>
      </c>
      <c r="I388" t="s">
        <v>129</v>
      </c>
      <c r="J388" t="s">
        <v>1452</v>
      </c>
      <c r="K388" t="s">
        <v>42</v>
      </c>
      <c r="L388">
        <v>7</v>
      </c>
      <c r="N388" t="s">
        <v>1453</v>
      </c>
    </row>
    <row r="389" spans="1:14" x14ac:dyDescent="0.35">
      <c r="A389" t="s">
        <v>1454</v>
      </c>
      <c r="B389" t="s">
        <v>1455</v>
      </c>
      <c r="C389" t="s">
        <v>69</v>
      </c>
      <c r="D389">
        <v>57.19</v>
      </c>
      <c r="E389">
        <v>47000</v>
      </c>
      <c r="F389" t="s">
        <v>123</v>
      </c>
      <c r="G389" t="s">
        <v>32</v>
      </c>
      <c r="H389" t="s">
        <v>43</v>
      </c>
      <c r="I389" t="s">
        <v>34</v>
      </c>
      <c r="J389" t="s">
        <v>75</v>
      </c>
      <c r="K389" t="s">
        <v>76</v>
      </c>
      <c r="L389">
        <v>17</v>
      </c>
      <c r="M389" t="s">
        <v>1456</v>
      </c>
      <c r="N389" t="s">
        <v>1457</v>
      </c>
    </row>
    <row r="390" spans="1:14" x14ac:dyDescent="0.35">
      <c r="A390" t="s">
        <v>1458</v>
      </c>
      <c r="B390" t="s">
        <v>1459</v>
      </c>
      <c r="C390" t="s">
        <v>41</v>
      </c>
      <c r="D390">
        <v>108.51</v>
      </c>
      <c r="E390">
        <v>32000</v>
      </c>
      <c r="F390" t="s">
        <v>36</v>
      </c>
      <c r="G390" t="s">
        <v>32</v>
      </c>
      <c r="H390" t="s">
        <v>33</v>
      </c>
      <c r="I390" t="s">
        <v>44</v>
      </c>
      <c r="J390" t="s">
        <v>63</v>
      </c>
      <c r="K390" t="s">
        <v>64</v>
      </c>
      <c r="L390">
        <v>3</v>
      </c>
      <c r="M390" t="s">
        <v>1460</v>
      </c>
      <c r="N390" t="s">
        <v>1461</v>
      </c>
    </row>
    <row r="391" spans="1:14" x14ac:dyDescent="0.35">
      <c r="A391" t="s">
        <v>1462</v>
      </c>
      <c r="B391" t="s">
        <v>1463</v>
      </c>
      <c r="C391" t="s">
        <v>30</v>
      </c>
      <c r="D391">
        <v>102.47</v>
      </c>
      <c r="E391">
        <v>18000</v>
      </c>
      <c r="F391" t="s">
        <v>106</v>
      </c>
      <c r="G391" t="s">
        <v>32</v>
      </c>
      <c r="H391" t="s">
        <v>43</v>
      </c>
      <c r="I391" t="s">
        <v>129</v>
      </c>
      <c r="J391" t="s">
        <v>1464</v>
      </c>
      <c r="K391" t="s">
        <v>97</v>
      </c>
      <c r="L391">
        <v>12</v>
      </c>
      <c r="M391" t="s">
        <v>769</v>
      </c>
      <c r="N391" t="s">
        <v>1465</v>
      </c>
    </row>
    <row r="392" spans="1:14" x14ac:dyDescent="0.35">
      <c r="A392" t="s">
        <v>1466</v>
      </c>
      <c r="B392" t="s">
        <v>1467</v>
      </c>
      <c r="C392" t="s">
        <v>62</v>
      </c>
      <c r="D392">
        <v>55.97</v>
      </c>
      <c r="E392">
        <v>4000</v>
      </c>
      <c r="F392" t="s">
        <v>51</v>
      </c>
      <c r="G392" t="s">
        <v>32</v>
      </c>
      <c r="H392" t="s">
        <v>33</v>
      </c>
      <c r="I392" t="s">
        <v>34</v>
      </c>
      <c r="J392" t="s">
        <v>1468</v>
      </c>
      <c r="K392" t="s">
        <v>147</v>
      </c>
      <c r="L392">
        <v>12</v>
      </c>
      <c r="M392" t="s">
        <v>243</v>
      </c>
      <c r="N392" t="s">
        <v>1469</v>
      </c>
    </row>
    <row r="393" spans="1:14" x14ac:dyDescent="0.35">
      <c r="A393" t="s">
        <v>1470</v>
      </c>
      <c r="B393" t="s">
        <v>1471</v>
      </c>
      <c r="C393" t="s">
        <v>81</v>
      </c>
      <c r="D393">
        <v>112.53</v>
      </c>
      <c r="E393">
        <v>8000</v>
      </c>
      <c r="F393" t="s">
        <v>117</v>
      </c>
      <c r="G393" t="s">
        <v>32</v>
      </c>
      <c r="H393" t="s">
        <v>43</v>
      </c>
      <c r="J393" t="s">
        <v>1472</v>
      </c>
      <c r="K393" t="s">
        <v>147</v>
      </c>
      <c r="L393">
        <v>9</v>
      </c>
      <c r="N393" t="s">
        <v>1473</v>
      </c>
    </row>
    <row r="394" spans="1:14" x14ac:dyDescent="0.35">
      <c r="A394" t="s">
        <v>1474</v>
      </c>
      <c r="B394" t="s">
        <v>1475</v>
      </c>
      <c r="C394" t="s">
        <v>116</v>
      </c>
      <c r="D394">
        <v>6.97</v>
      </c>
      <c r="E394">
        <v>700</v>
      </c>
      <c r="F394" t="s">
        <v>123</v>
      </c>
      <c r="G394" t="s">
        <v>32</v>
      </c>
      <c r="H394" t="s">
        <v>57</v>
      </c>
      <c r="I394" t="s">
        <v>129</v>
      </c>
      <c r="J394" t="s">
        <v>70</v>
      </c>
      <c r="K394" t="s">
        <v>31</v>
      </c>
      <c r="L394">
        <v>18</v>
      </c>
      <c r="M394" t="s">
        <v>1476</v>
      </c>
      <c r="N394" t="s">
        <v>1477</v>
      </c>
    </row>
    <row r="395" spans="1:14" x14ac:dyDescent="0.35">
      <c r="A395" t="s">
        <v>1478</v>
      </c>
      <c r="B395" t="s">
        <v>1479</v>
      </c>
      <c r="C395" t="s">
        <v>69</v>
      </c>
      <c r="D395">
        <v>78.38</v>
      </c>
      <c r="E395">
        <v>56000</v>
      </c>
      <c r="F395" t="s">
        <v>51</v>
      </c>
      <c r="G395" t="s">
        <v>32</v>
      </c>
      <c r="H395" t="s">
        <v>33</v>
      </c>
      <c r="I395" t="s">
        <v>44</v>
      </c>
      <c r="J395" t="s">
        <v>70</v>
      </c>
      <c r="K395" t="s">
        <v>31</v>
      </c>
      <c r="L395">
        <v>11</v>
      </c>
      <c r="M395" t="s">
        <v>37</v>
      </c>
      <c r="N395" t="s">
        <v>1480</v>
      </c>
    </row>
    <row r="396" spans="1:14" x14ac:dyDescent="0.35">
      <c r="A396" t="s">
        <v>1481</v>
      </c>
      <c r="B396" t="s">
        <v>1482</v>
      </c>
      <c r="C396" t="s">
        <v>41</v>
      </c>
      <c r="D396">
        <v>105.72</v>
      </c>
      <c r="E396">
        <v>26000</v>
      </c>
      <c r="F396" t="s">
        <v>236</v>
      </c>
      <c r="G396" t="s">
        <v>32</v>
      </c>
      <c r="H396" t="s">
        <v>33</v>
      </c>
      <c r="I396" t="s">
        <v>34</v>
      </c>
      <c r="J396" t="s">
        <v>830</v>
      </c>
      <c r="K396" t="s">
        <v>51</v>
      </c>
      <c r="L396">
        <v>6</v>
      </c>
      <c r="M396" t="s">
        <v>1252</v>
      </c>
      <c r="N396" t="s">
        <v>1483</v>
      </c>
    </row>
    <row r="397" spans="1:14" x14ac:dyDescent="0.35">
      <c r="A397" t="s">
        <v>1484</v>
      </c>
      <c r="B397" t="s">
        <v>1485</v>
      </c>
      <c r="C397" t="s">
        <v>81</v>
      </c>
      <c r="D397">
        <v>113.33</v>
      </c>
      <c r="E397">
        <v>2000</v>
      </c>
      <c r="F397" t="s">
        <v>106</v>
      </c>
      <c r="G397" t="s">
        <v>32</v>
      </c>
      <c r="H397" t="s">
        <v>33</v>
      </c>
      <c r="I397" t="s">
        <v>44</v>
      </c>
      <c r="J397" t="s">
        <v>235</v>
      </c>
      <c r="K397" t="s">
        <v>236</v>
      </c>
      <c r="L397">
        <v>15</v>
      </c>
      <c r="M397" t="s">
        <v>1486</v>
      </c>
      <c r="N397" t="s">
        <v>1487</v>
      </c>
    </row>
    <row r="398" spans="1:14" x14ac:dyDescent="0.35">
      <c r="A398" t="s">
        <v>1488</v>
      </c>
      <c r="B398" t="s">
        <v>1489</v>
      </c>
      <c r="C398" t="s">
        <v>62</v>
      </c>
      <c r="D398">
        <v>97.88</v>
      </c>
      <c r="E398">
        <v>2000</v>
      </c>
      <c r="F398" t="s">
        <v>123</v>
      </c>
      <c r="G398" t="s">
        <v>32</v>
      </c>
      <c r="H398" t="s">
        <v>57</v>
      </c>
      <c r="I398" t="s">
        <v>44</v>
      </c>
      <c r="J398" t="s">
        <v>45</v>
      </c>
      <c r="K398" t="s">
        <v>46</v>
      </c>
      <c r="L398">
        <v>10</v>
      </c>
      <c r="M398" t="s">
        <v>382</v>
      </c>
      <c r="N398" t="s">
        <v>1490</v>
      </c>
    </row>
    <row r="399" spans="1:14" x14ac:dyDescent="0.35">
      <c r="A399" t="s">
        <v>1491</v>
      </c>
      <c r="B399" t="s">
        <v>1492</v>
      </c>
      <c r="C399" t="s">
        <v>69</v>
      </c>
      <c r="D399">
        <v>87.54</v>
      </c>
      <c r="E399">
        <v>11000</v>
      </c>
      <c r="F399" t="s">
        <v>76</v>
      </c>
      <c r="G399" t="s">
        <v>32</v>
      </c>
      <c r="H399" t="s">
        <v>57</v>
      </c>
      <c r="I399" t="s">
        <v>34</v>
      </c>
      <c r="J399" t="s">
        <v>107</v>
      </c>
      <c r="K399" t="s">
        <v>87</v>
      </c>
      <c r="L399">
        <v>4</v>
      </c>
      <c r="M399" t="s">
        <v>616</v>
      </c>
      <c r="N399" t="s">
        <v>1493</v>
      </c>
    </row>
    <row r="400" spans="1:14" x14ac:dyDescent="0.35">
      <c r="A400" t="s">
        <v>1494</v>
      </c>
      <c r="B400" t="s">
        <v>1495</v>
      </c>
      <c r="C400" t="s">
        <v>81</v>
      </c>
      <c r="D400">
        <v>78.64</v>
      </c>
      <c r="E400">
        <v>9000</v>
      </c>
      <c r="F400" t="s">
        <v>139</v>
      </c>
      <c r="G400" t="s">
        <v>32</v>
      </c>
      <c r="H400" t="s">
        <v>33</v>
      </c>
      <c r="J400" t="s">
        <v>1071</v>
      </c>
      <c r="K400" t="s">
        <v>236</v>
      </c>
      <c r="L400">
        <v>14</v>
      </c>
      <c r="M400" t="s">
        <v>1496</v>
      </c>
      <c r="N400" t="s">
        <v>1497</v>
      </c>
    </row>
    <row r="401" spans="1:14" x14ac:dyDescent="0.35">
      <c r="A401" t="s">
        <v>1498</v>
      </c>
      <c r="B401" t="s">
        <v>1499</v>
      </c>
      <c r="C401" t="s">
        <v>30</v>
      </c>
      <c r="D401">
        <v>154.16999999999999</v>
      </c>
      <c r="E401">
        <v>15000</v>
      </c>
      <c r="F401" t="s">
        <v>74</v>
      </c>
      <c r="G401" t="s">
        <v>32</v>
      </c>
      <c r="H401" t="s">
        <v>33</v>
      </c>
      <c r="I401" t="s">
        <v>44</v>
      </c>
      <c r="J401" t="s">
        <v>1500</v>
      </c>
      <c r="K401" t="s">
        <v>97</v>
      </c>
      <c r="L401">
        <v>9</v>
      </c>
      <c r="M401" t="s">
        <v>760</v>
      </c>
      <c r="N401" t="s">
        <v>1193</v>
      </c>
    </row>
    <row r="402" spans="1:14" x14ac:dyDescent="0.35">
      <c r="A402" t="s">
        <v>1501</v>
      </c>
      <c r="B402" t="s">
        <v>1502</v>
      </c>
      <c r="C402" t="s">
        <v>69</v>
      </c>
      <c r="D402">
        <v>81.13</v>
      </c>
      <c r="E402">
        <v>67000</v>
      </c>
      <c r="F402" t="s">
        <v>106</v>
      </c>
      <c r="G402" t="s">
        <v>32</v>
      </c>
      <c r="H402" t="s">
        <v>57</v>
      </c>
      <c r="I402" t="s">
        <v>44</v>
      </c>
      <c r="J402" t="s">
        <v>75</v>
      </c>
      <c r="K402" t="s">
        <v>76</v>
      </c>
      <c r="L402">
        <v>21</v>
      </c>
      <c r="M402" t="s">
        <v>1503</v>
      </c>
      <c r="N402" t="s">
        <v>1504</v>
      </c>
    </row>
    <row r="403" spans="1:14" x14ac:dyDescent="0.35">
      <c r="A403" t="s">
        <v>1505</v>
      </c>
      <c r="B403" t="s">
        <v>1506</v>
      </c>
      <c r="C403" t="s">
        <v>69</v>
      </c>
      <c r="D403">
        <v>61.9</v>
      </c>
      <c r="E403">
        <v>86000</v>
      </c>
      <c r="F403" t="s">
        <v>106</v>
      </c>
      <c r="G403" t="s">
        <v>32</v>
      </c>
      <c r="H403" t="s">
        <v>57</v>
      </c>
      <c r="I403" t="s">
        <v>34</v>
      </c>
      <c r="J403" t="s">
        <v>830</v>
      </c>
      <c r="K403" t="s">
        <v>51</v>
      </c>
      <c r="L403">
        <v>3</v>
      </c>
      <c r="M403" t="s">
        <v>786</v>
      </c>
      <c r="N403" t="s">
        <v>1507</v>
      </c>
    </row>
    <row r="404" spans="1:14" x14ac:dyDescent="0.35">
      <c r="A404" t="s">
        <v>1508</v>
      </c>
      <c r="B404" t="s">
        <v>1509</v>
      </c>
      <c r="C404" t="s">
        <v>41</v>
      </c>
      <c r="D404">
        <v>82.78</v>
      </c>
      <c r="E404">
        <v>14000</v>
      </c>
      <c r="F404" t="s">
        <v>74</v>
      </c>
      <c r="G404" t="s">
        <v>32</v>
      </c>
      <c r="H404" t="s">
        <v>43</v>
      </c>
      <c r="I404" t="s">
        <v>129</v>
      </c>
      <c r="J404" t="s">
        <v>118</v>
      </c>
      <c r="K404" t="s">
        <v>42</v>
      </c>
      <c r="L404">
        <v>15</v>
      </c>
      <c r="M404" t="s">
        <v>629</v>
      </c>
      <c r="N404" t="s">
        <v>1510</v>
      </c>
    </row>
    <row r="405" spans="1:14" x14ac:dyDescent="0.35">
      <c r="A405" t="s">
        <v>1511</v>
      </c>
      <c r="B405" t="s">
        <v>1512</v>
      </c>
      <c r="C405" t="s">
        <v>116</v>
      </c>
      <c r="D405">
        <v>9.2899999999999991</v>
      </c>
      <c r="E405">
        <v>500</v>
      </c>
      <c r="F405" t="s">
        <v>36</v>
      </c>
      <c r="G405" t="s">
        <v>32</v>
      </c>
      <c r="H405" t="s">
        <v>43</v>
      </c>
      <c r="I405" t="s">
        <v>44</v>
      </c>
      <c r="J405" t="s">
        <v>35</v>
      </c>
      <c r="K405" t="s">
        <v>36</v>
      </c>
      <c r="L405">
        <v>10</v>
      </c>
      <c r="M405" t="s">
        <v>1513</v>
      </c>
      <c r="N405" t="s">
        <v>1514</v>
      </c>
    </row>
    <row r="406" spans="1:14" x14ac:dyDescent="0.35">
      <c r="A406" t="s">
        <v>1515</v>
      </c>
      <c r="B406" t="s">
        <v>1516</v>
      </c>
      <c r="C406" t="s">
        <v>116</v>
      </c>
      <c r="D406">
        <v>6.88</v>
      </c>
      <c r="E406">
        <v>200</v>
      </c>
      <c r="F406" t="s">
        <v>87</v>
      </c>
      <c r="G406" t="s">
        <v>32</v>
      </c>
      <c r="H406" t="s">
        <v>33</v>
      </c>
      <c r="I406" t="s">
        <v>44</v>
      </c>
      <c r="J406" t="s">
        <v>45</v>
      </c>
      <c r="K406" t="s">
        <v>46</v>
      </c>
      <c r="L406">
        <v>16</v>
      </c>
      <c r="M406" t="s">
        <v>752</v>
      </c>
      <c r="N406" t="s">
        <v>871</v>
      </c>
    </row>
    <row r="407" spans="1:14" x14ac:dyDescent="0.35">
      <c r="A407" t="s">
        <v>1517</v>
      </c>
      <c r="B407" t="s">
        <v>1518</v>
      </c>
      <c r="C407" t="s">
        <v>69</v>
      </c>
      <c r="D407">
        <v>60.94</v>
      </c>
      <c r="E407">
        <v>31000</v>
      </c>
      <c r="F407" t="s">
        <v>117</v>
      </c>
      <c r="G407" t="s">
        <v>102</v>
      </c>
      <c r="H407" t="s">
        <v>57</v>
      </c>
      <c r="I407" t="s">
        <v>44</v>
      </c>
      <c r="J407" t="s">
        <v>45</v>
      </c>
      <c r="K407" t="s">
        <v>46</v>
      </c>
      <c r="L407">
        <v>9</v>
      </c>
      <c r="N407" t="s">
        <v>1519</v>
      </c>
    </row>
    <row r="408" spans="1:14" x14ac:dyDescent="0.35">
      <c r="A408" t="s">
        <v>1520</v>
      </c>
      <c r="B408" t="s">
        <v>1521</v>
      </c>
      <c r="C408" t="s">
        <v>116</v>
      </c>
      <c r="D408">
        <v>6.74</v>
      </c>
      <c r="E408">
        <v>200</v>
      </c>
      <c r="F408" t="s">
        <v>46</v>
      </c>
      <c r="G408" t="s">
        <v>32</v>
      </c>
      <c r="H408" t="s">
        <v>33</v>
      </c>
      <c r="J408" t="s">
        <v>235</v>
      </c>
      <c r="K408" t="s">
        <v>236</v>
      </c>
      <c r="L408">
        <v>17</v>
      </c>
      <c r="N408" t="s">
        <v>141</v>
      </c>
    </row>
    <row r="409" spans="1:14" x14ac:dyDescent="0.35">
      <c r="A409" t="s">
        <v>1522</v>
      </c>
      <c r="B409" t="s">
        <v>1523</v>
      </c>
      <c r="C409" t="s">
        <v>30</v>
      </c>
      <c r="D409">
        <v>172.4</v>
      </c>
      <c r="E409">
        <v>19000</v>
      </c>
      <c r="F409" t="s">
        <v>76</v>
      </c>
      <c r="G409" t="s">
        <v>32</v>
      </c>
      <c r="H409" t="s">
        <v>57</v>
      </c>
      <c r="I409" t="s">
        <v>34</v>
      </c>
      <c r="J409" t="s">
        <v>92</v>
      </c>
      <c r="K409" t="s">
        <v>51</v>
      </c>
      <c r="L409">
        <v>22</v>
      </c>
      <c r="M409" t="s">
        <v>1040</v>
      </c>
      <c r="N409" t="s">
        <v>1524</v>
      </c>
    </row>
    <row r="410" spans="1:14" x14ac:dyDescent="0.35">
      <c r="A410" t="s">
        <v>1525</v>
      </c>
      <c r="B410" t="s">
        <v>1526</v>
      </c>
      <c r="C410" t="s">
        <v>41</v>
      </c>
      <c r="D410">
        <v>124.37</v>
      </c>
      <c r="E410">
        <v>39000</v>
      </c>
      <c r="F410" t="s">
        <v>51</v>
      </c>
      <c r="G410" t="s">
        <v>32</v>
      </c>
      <c r="H410" t="s">
        <v>57</v>
      </c>
      <c r="I410" t="s">
        <v>34</v>
      </c>
      <c r="J410" t="s">
        <v>45</v>
      </c>
      <c r="K410" t="s">
        <v>46</v>
      </c>
      <c r="L410">
        <v>7</v>
      </c>
      <c r="M410" t="s">
        <v>1527</v>
      </c>
      <c r="N410" t="s">
        <v>1528</v>
      </c>
    </row>
    <row r="411" spans="1:14" x14ac:dyDescent="0.35">
      <c r="A411" t="s">
        <v>1529</v>
      </c>
      <c r="B411" t="s">
        <v>1530</v>
      </c>
      <c r="C411" t="s">
        <v>41</v>
      </c>
      <c r="D411">
        <v>97.16</v>
      </c>
      <c r="E411">
        <v>18000</v>
      </c>
      <c r="F411" t="s">
        <v>87</v>
      </c>
      <c r="G411" t="s">
        <v>32</v>
      </c>
      <c r="H411" t="s">
        <v>43</v>
      </c>
      <c r="I411" t="s">
        <v>129</v>
      </c>
      <c r="J411" t="s">
        <v>1531</v>
      </c>
      <c r="K411" t="s">
        <v>42</v>
      </c>
      <c r="L411">
        <v>2</v>
      </c>
      <c r="M411" t="s">
        <v>898</v>
      </c>
      <c r="N411" t="s">
        <v>1532</v>
      </c>
    </row>
    <row r="412" spans="1:14" x14ac:dyDescent="0.35">
      <c r="A412" t="s">
        <v>1533</v>
      </c>
      <c r="B412" t="s">
        <v>1534</v>
      </c>
      <c r="C412" t="s">
        <v>116</v>
      </c>
      <c r="D412">
        <v>11.33</v>
      </c>
      <c r="E412">
        <v>400</v>
      </c>
      <c r="F412" t="s">
        <v>139</v>
      </c>
      <c r="G412" t="s">
        <v>32</v>
      </c>
      <c r="H412" t="s">
        <v>43</v>
      </c>
      <c r="J412" t="s">
        <v>477</v>
      </c>
      <c r="K412" t="s">
        <v>51</v>
      </c>
      <c r="L412">
        <v>4</v>
      </c>
      <c r="M412" t="s">
        <v>1117</v>
      </c>
      <c r="N412" t="s">
        <v>217</v>
      </c>
    </row>
    <row r="413" spans="1:14" x14ac:dyDescent="0.35">
      <c r="A413" t="s">
        <v>1535</v>
      </c>
      <c r="B413" t="s">
        <v>1536</v>
      </c>
      <c r="C413" t="s">
        <v>116</v>
      </c>
      <c r="D413">
        <v>6.14</v>
      </c>
      <c r="E413">
        <v>600</v>
      </c>
      <c r="F413" t="s">
        <v>31</v>
      </c>
      <c r="G413" t="s">
        <v>32</v>
      </c>
      <c r="H413" t="s">
        <v>57</v>
      </c>
      <c r="J413" t="s">
        <v>1537</v>
      </c>
      <c r="K413" t="s">
        <v>139</v>
      </c>
      <c r="L413">
        <v>6</v>
      </c>
      <c r="M413" t="s">
        <v>1538</v>
      </c>
      <c r="N413" t="s">
        <v>787</v>
      </c>
    </row>
    <row r="414" spans="1:14" x14ac:dyDescent="0.35">
      <c r="A414" t="s">
        <v>1539</v>
      </c>
      <c r="B414" t="s">
        <v>1540</v>
      </c>
      <c r="C414" t="s">
        <v>81</v>
      </c>
      <c r="D414">
        <v>91.97</v>
      </c>
      <c r="E414">
        <v>2000</v>
      </c>
      <c r="F414" t="s">
        <v>147</v>
      </c>
      <c r="G414" t="s">
        <v>32</v>
      </c>
      <c r="H414" t="s">
        <v>43</v>
      </c>
      <c r="I414" t="s">
        <v>44</v>
      </c>
      <c r="J414" t="s">
        <v>45</v>
      </c>
      <c r="K414" t="s">
        <v>46</v>
      </c>
      <c r="L414">
        <v>11</v>
      </c>
      <c r="M414" t="s">
        <v>1541</v>
      </c>
      <c r="N414" t="s">
        <v>1542</v>
      </c>
    </row>
    <row r="415" spans="1:14" x14ac:dyDescent="0.35">
      <c r="A415" t="s">
        <v>1543</v>
      </c>
      <c r="B415" t="s">
        <v>1544</v>
      </c>
      <c r="C415" t="s">
        <v>116</v>
      </c>
      <c r="D415">
        <v>9.91</v>
      </c>
      <c r="E415">
        <v>500</v>
      </c>
      <c r="F415" t="s">
        <v>51</v>
      </c>
      <c r="G415" t="s">
        <v>32</v>
      </c>
      <c r="H415" t="s">
        <v>43</v>
      </c>
      <c r="I415" t="s">
        <v>34</v>
      </c>
      <c r="J415" t="s">
        <v>45</v>
      </c>
      <c r="K415" t="s">
        <v>46</v>
      </c>
      <c r="L415">
        <v>11</v>
      </c>
      <c r="M415" t="s">
        <v>1545</v>
      </c>
      <c r="N415" t="s">
        <v>1546</v>
      </c>
    </row>
    <row r="416" spans="1:14" x14ac:dyDescent="0.35">
      <c r="A416" t="s">
        <v>1547</v>
      </c>
      <c r="B416" t="s">
        <v>1548</v>
      </c>
      <c r="C416" t="s">
        <v>116</v>
      </c>
      <c r="D416">
        <v>9.06</v>
      </c>
      <c r="E416">
        <v>600</v>
      </c>
      <c r="F416" t="s">
        <v>46</v>
      </c>
      <c r="G416" t="s">
        <v>32</v>
      </c>
      <c r="H416" t="s">
        <v>33</v>
      </c>
      <c r="I416" t="s">
        <v>44</v>
      </c>
      <c r="J416" t="s">
        <v>1549</v>
      </c>
      <c r="K416" t="s">
        <v>147</v>
      </c>
      <c r="L416">
        <v>10</v>
      </c>
      <c r="N416" t="s">
        <v>1550</v>
      </c>
    </row>
    <row r="417" spans="1:14" x14ac:dyDescent="0.35">
      <c r="A417" t="s">
        <v>1551</v>
      </c>
      <c r="B417" t="s">
        <v>1552</v>
      </c>
      <c r="C417" t="s">
        <v>30</v>
      </c>
      <c r="D417">
        <v>108.02</v>
      </c>
      <c r="E417">
        <v>15000</v>
      </c>
      <c r="F417" t="s">
        <v>46</v>
      </c>
      <c r="G417" t="s">
        <v>32</v>
      </c>
      <c r="H417" t="s">
        <v>33</v>
      </c>
      <c r="I417" t="s">
        <v>129</v>
      </c>
      <c r="J417" t="s">
        <v>683</v>
      </c>
      <c r="K417" t="s">
        <v>97</v>
      </c>
      <c r="L417">
        <v>13</v>
      </c>
      <c r="M417" t="s">
        <v>1553</v>
      </c>
      <c r="N417" t="s">
        <v>1554</v>
      </c>
    </row>
    <row r="418" spans="1:14" x14ac:dyDescent="0.35">
      <c r="A418" t="s">
        <v>1555</v>
      </c>
      <c r="B418" t="s">
        <v>1556</v>
      </c>
      <c r="C418" t="s">
        <v>81</v>
      </c>
      <c r="D418">
        <v>133.72</v>
      </c>
      <c r="E418">
        <v>9000</v>
      </c>
      <c r="F418" t="s">
        <v>51</v>
      </c>
      <c r="G418" t="s">
        <v>32</v>
      </c>
      <c r="H418" t="s">
        <v>33</v>
      </c>
      <c r="I418" t="s">
        <v>44</v>
      </c>
      <c r="J418" t="s">
        <v>209</v>
      </c>
      <c r="K418" t="s">
        <v>74</v>
      </c>
      <c r="L418">
        <v>17</v>
      </c>
      <c r="M418" t="s">
        <v>649</v>
      </c>
      <c r="N418" t="s">
        <v>977</v>
      </c>
    </row>
    <row r="419" spans="1:14" x14ac:dyDescent="0.35">
      <c r="A419" t="s">
        <v>1557</v>
      </c>
      <c r="B419" t="s">
        <v>1558</v>
      </c>
      <c r="C419" t="s">
        <v>62</v>
      </c>
      <c r="D419">
        <v>52.67</v>
      </c>
      <c r="E419">
        <v>4000</v>
      </c>
      <c r="F419" t="s">
        <v>236</v>
      </c>
      <c r="G419" t="s">
        <v>32</v>
      </c>
      <c r="H419" t="s">
        <v>33</v>
      </c>
      <c r="I419" t="s">
        <v>44</v>
      </c>
      <c r="J419" t="s">
        <v>63</v>
      </c>
      <c r="K419" t="s">
        <v>64</v>
      </c>
      <c r="L419">
        <v>22</v>
      </c>
      <c r="M419" t="s">
        <v>1559</v>
      </c>
      <c r="N419" t="s">
        <v>851</v>
      </c>
    </row>
    <row r="420" spans="1:14" x14ac:dyDescent="0.35">
      <c r="A420" t="s">
        <v>1560</v>
      </c>
      <c r="B420" t="s">
        <v>1561</v>
      </c>
      <c r="C420" t="s">
        <v>116</v>
      </c>
      <c r="D420">
        <v>8.59</v>
      </c>
      <c r="E420">
        <v>100</v>
      </c>
      <c r="F420" t="s">
        <v>147</v>
      </c>
      <c r="G420" t="s">
        <v>32</v>
      </c>
      <c r="H420" t="s">
        <v>33</v>
      </c>
      <c r="I420" t="s">
        <v>34</v>
      </c>
      <c r="J420" t="s">
        <v>63</v>
      </c>
      <c r="K420" t="s">
        <v>64</v>
      </c>
      <c r="L420">
        <v>3</v>
      </c>
      <c r="M420" t="s">
        <v>1562</v>
      </c>
      <c r="N420" t="s">
        <v>1169</v>
      </c>
    </row>
    <row r="421" spans="1:14" x14ac:dyDescent="0.35">
      <c r="A421" t="s">
        <v>1563</v>
      </c>
      <c r="B421" t="s">
        <v>1564</v>
      </c>
      <c r="C421" t="s">
        <v>62</v>
      </c>
      <c r="D421">
        <v>60.08</v>
      </c>
      <c r="E421">
        <v>1000</v>
      </c>
      <c r="F421" t="s">
        <v>97</v>
      </c>
      <c r="G421" t="s">
        <v>32</v>
      </c>
      <c r="H421" t="s">
        <v>57</v>
      </c>
      <c r="I421" t="s">
        <v>34</v>
      </c>
      <c r="J421" t="s">
        <v>1565</v>
      </c>
      <c r="K421" t="s">
        <v>51</v>
      </c>
      <c r="L421">
        <v>15</v>
      </c>
      <c r="N421" t="s">
        <v>1122</v>
      </c>
    </row>
    <row r="422" spans="1:14" x14ac:dyDescent="0.35">
      <c r="A422" t="s">
        <v>1566</v>
      </c>
      <c r="B422" t="s">
        <v>1567</v>
      </c>
      <c r="C422" t="s">
        <v>69</v>
      </c>
      <c r="D422">
        <v>75.45</v>
      </c>
      <c r="E422">
        <v>74000</v>
      </c>
      <c r="F422" t="s">
        <v>139</v>
      </c>
      <c r="G422" t="s">
        <v>32</v>
      </c>
      <c r="H422" t="s">
        <v>57</v>
      </c>
      <c r="J422" t="s">
        <v>179</v>
      </c>
      <c r="K422" t="s">
        <v>97</v>
      </c>
      <c r="L422">
        <v>16</v>
      </c>
      <c r="M422" t="s">
        <v>803</v>
      </c>
      <c r="N422" t="s">
        <v>203</v>
      </c>
    </row>
    <row r="423" spans="1:14" x14ac:dyDescent="0.35">
      <c r="A423" t="s">
        <v>1568</v>
      </c>
      <c r="B423" t="s">
        <v>1569</v>
      </c>
      <c r="C423" t="s">
        <v>81</v>
      </c>
      <c r="D423">
        <v>91.89</v>
      </c>
      <c r="E423">
        <v>6000</v>
      </c>
      <c r="F423" t="s">
        <v>123</v>
      </c>
      <c r="G423" t="s">
        <v>32</v>
      </c>
      <c r="H423" t="s">
        <v>43</v>
      </c>
      <c r="I423" t="s">
        <v>44</v>
      </c>
      <c r="J423" t="s">
        <v>366</v>
      </c>
      <c r="K423" t="s">
        <v>51</v>
      </c>
      <c r="L423">
        <v>20</v>
      </c>
      <c r="M423" t="s">
        <v>1032</v>
      </c>
      <c r="N423" t="s">
        <v>1570</v>
      </c>
    </row>
    <row r="424" spans="1:14" x14ac:dyDescent="0.35">
      <c r="A424" t="s">
        <v>1571</v>
      </c>
      <c r="B424" t="s">
        <v>1572</v>
      </c>
      <c r="C424" t="s">
        <v>30</v>
      </c>
      <c r="D424">
        <v>103.4</v>
      </c>
      <c r="E424">
        <v>2000</v>
      </c>
      <c r="F424" t="s">
        <v>117</v>
      </c>
      <c r="G424" t="s">
        <v>102</v>
      </c>
      <c r="H424" t="s">
        <v>33</v>
      </c>
      <c r="I424" t="s">
        <v>34</v>
      </c>
      <c r="J424" t="s">
        <v>130</v>
      </c>
      <c r="K424" t="s">
        <v>123</v>
      </c>
      <c r="L424">
        <v>16</v>
      </c>
      <c r="N424" t="s">
        <v>1573</v>
      </c>
    </row>
    <row r="425" spans="1:14" x14ac:dyDescent="0.35">
      <c r="A425" t="s">
        <v>1574</v>
      </c>
      <c r="B425" t="s">
        <v>1575</v>
      </c>
      <c r="C425" t="s">
        <v>116</v>
      </c>
      <c r="D425">
        <v>9.01</v>
      </c>
      <c r="E425">
        <v>400</v>
      </c>
      <c r="F425" t="s">
        <v>76</v>
      </c>
      <c r="G425" t="s">
        <v>32</v>
      </c>
      <c r="H425" t="s">
        <v>43</v>
      </c>
      <c r="J425" t="s">
        <v>1576</v>
      </c>
      <c r="K425" t="s">
        <v>147</v>
      </c>
      <c r="L425">
        <v>12</v>
      </c>
      <c r="N425" t="s">
        <v>1187</v>
      </c>
    </row>
    <row r="426" spans="1:14" x14ac:dyDescent="0.35">
      <c r="A426" t="s">
        <v>1577</v>
      </c>
      <c r="B426" t="s">
        <v>1578</v>
      </c>
      <c r="C426" t="s">
        <v>69</v>
      </c>
      <c r="D426">
        <v>75.680000000000007</v>
      </c>
      <c r="E426">
        <v>86000</v>
      </c>
      <c r="F426" t="s">
        <v>87</v>
      </c>
      <c r="G426" t="s">
        <v>32</v>
      </c>
      <c r="H426" t="s">
        <v>43</v>
      </c>
      <c r="I426" t="s">
        <v>34</v>
      </c>
      <c r="J426" t="s">
        <v>209</v>
      </c>
      <c r="K426" t="s">
        <v>74</v>
      </c>
      <c r="L426">
        <v>5</v>
      </c>
      <c r="M426" t="s">
        <v>1579</v>
      </c>
      <c r="N426" t="s">
        <v>1580</v>
      </c>
    </row>
    <row r="427" spans="1:14" x14ac:dyDescent="0.35">
      <c r="A427" t="s">
        <v>1581</v>
      </c>
      <c r="B427" t="s">
        <v>1582</v>
      </c>
      <c r="C427" t="s">
        <v>41</v>
      </c>
      <c r="D427">
        <v>85.89</v>
      </c>
      <c r="E427">
        <v>20000</v>
      </c>
      <c r="F427" t="s">
        <v>31</v>
      </c>
      <c r="G427" t="s">
        <v>32</v>
      </c>
      <c r="H427" t="s">
        <v>33</v>
      </c>
      <c r="I427" t="s">
        <v>34</v>
      </c>
      <c r="J427" t="s">
        <v>393</v>
      </c>
      <c r="K427" t="s">
        <v>74</v>
      </c>
      <c r="L427">
        <v>4</v>
      </c>
      <c r="N427" t="s">
        <v>1583</v>
      </c>
    </row>
    <row r="428" spans="1:14" x14ac:dyDescent="0.35">
      <c r="A428" t="s">
        <v>1584</v>
      </c>
      <c r="B428" t="s">
        <v>1585</v>
      </c>
      <c r="C428" t="s">
        <v>69</v>
      </c>
      <c r="D428">
        <v>65.959999999999994</v>
      </c>
      <c r="E428">
        <v>99000</v>
      </c>
      <c r="F428" t="s">
        <v>117</v>
      </c>
      <c r="G428" t="s">
        <v>32</v>
      </c>
      <c r="H428" t="s">
        <v>43</v>
      </c>
      <c r="I428" t="s">
        <v>34</v>
      </c>
      <c r="J428" t="s">
        <v>63</v>
      </c>
      <c r="K428" t="s">
        <v>64</v>
      </c>
      <c r="L428">
        <v>8</v>
      </c>
      <c r="N428" t="s">
        <v>1586</v>
      </c>
    </row>
    <row r="429" spans="1:14" x14ac:dyDescent="0.35">
      <c r="A429" t="s">
        <v>1587</v>
      </c>
      <c r="B429" t="s">
        <v>1588</v>
      </c>
      <c r="C429" t="s">
        <v>81</v>
      </c>
      <c r="D429">
        <v>116.49</v>
      </c>
      <c r="E429">
        <v>8000</v>
      </c>
      <c r="F429" t="s">
        <v>76</v>
      </c>
      <c r="G429" t="s">
        <v>32</v>
      </c>
      <c r="H429" t="s">
        <v>33</v>
      </c>
      <c r="I429" t="s">
        <v>44</v>
      </c>
      <c r="J429" t="s">
        <v>1589</v>
      </c>
      <c r="K429" t="s">
        <v>139</v>
      </c>
      <c r="L429">
        <v>19</v>
      </c>
      <c r="N429" t="s">
        <v>1590</v>
      </c>
    </row>
    <row r="430" spans="1:14" x14ac:dyDescent="0.35">
      <c r="A430" t="s">
        <v>1591</v>
      </c>
      <c r="B430" t="s">
        <v>1592</v>
      </c>
      <c r="C430" t="s">
        <v>62</v>
      </c>
      <c r="D430">
        <v>50.11</v>
      </c>
      <c r="E430">
        <v>3000</v>
      </c>
      <c r="F430" t="s">
        <v>76</v>
      </c>
      <c r="G430" t="s">
        <v>32</v>
      </c>
      <c r="H430" t="s">
        <v>43</v>
      </c>
      <c r="I430" t="s">
        <v>34</v>
      </c>
      <c r="J430" t="s">
        <v>63</v>
      </c>
      <c r="K430" t="s">
        <v>64</v>
      </c>
      <c r="L430">
        <v>12</v>
      </c>
      <c r="M430" t="s">
        <v>1593</v>
      </c>
      <c r="N430" t="s">
        <v>1594</v>
      </c>
    </row>
    <row r="431" spans="1:14" x14ac:dyDescent="0.35">
      <c r="A431" t="s">
        <v>1595</v>
      </c>
      <c r="B431" t="s">
        <v>1596</v>
      </c>
      <c r="C431" t="s">
        <v>41</v>
      </c>
      <c r="D431">
        <v>141.35</v>
      </c>
      <c r="E431">
        <v>30000</v>
      </c>
      <c r="F431" t="s">
        <v>74</v>
      </c>
      <c r="G431" t="s">
        <v>32</v>
      </c>
      <c r="H431" t="s">
        <v>57</v>
      </c>
      <c r="I431" t="s">
        <v>44</v>
      </c>
      <c r="K431" t="s">
        <v>147</v>
      </c>
      <c r="L431">
        <v>15</v>
      </c>
      <c r="M431" t="s">
        <v>1597</v>
      </c>
      <c r="N431" t="s">
        <v>1598</v>
      </c>
    </row>
    <row r="432" spans="1:14" x14ac:dyDescent="0.35">
      <c r="A432" t="s">
        <v>1599</v>
      </c>
      <c r="B432" t="s">
        <v>1600</v>
      </c>
      <c r="C432" t="s">
        <v>62</v>
      </c>
      <c r="D432">
        <v>83.47</v>
      </c>
      <c r="E432">
        <v>2000</v>
      </c>
      <c r="F432" t="s">
        <v>51</v>
      </c>
      <c r="G432" t="s">
        <v>32</v>
      </c>
      <c r="H432" t="s">
        <v>43</v>
      </c>
      <c r="I432" t="s">
        <v>44</v>
      </c>
      <c r="J432" t="s">
        <v>235</v>
      </c>
      <c r="K432" t="s">
        <v>236</v>
      </c>
      <c r="L432">
        <v>14</v>
      </c>
      <c r="M432" t="s">
        <v>653</v>
      </c>
      <c r="N432" t="s">
        <v>271</v>
      </c>
    </row>
    <row r="433" spans="1:14" x14ac:dyDescent="0.35">
      <c r="A433" t="s">
        <v>1601</v>
      </c>
      <c r="B433" t="s">
        <v>1602</v>
      </c>
      <c r="C433" t="s">
        <v>69</v>
      </c>
      <c r="D433">
        <v>66.06</v>
      </c>
      <c r="E433">
        <v>52000</v>
      </c>
      <c r="F433" t="s">
        <v>139</v>
      </c>
      <c r="G433" t="s">
        <v>32</v>
      </c>
      <c r="H433" t="s">
        <v>57</v>
      </c>
      <c r="J433" t="s">
        <v>35</v>
      </c>
      <c r="K433" t="s">
        <v>36</v>
      </c>
      <c r="L433">
        <v>23</v>
      </c>
      <c r="N433" t="s">
        <v>1603</v>
      </c>
    </row>
    <row r="434" spans="1:14" x14ac:dyDescent="0.35">
      <c r="A434" t="s">
        <v>1604</v>
      </c>
      <c r="B434" t="s">
        <v>1605</v>
      </c>
      <c r="C434" t="s">
        <v>62</v>
      </c>
      <c r="D434">
        <v>85.53</v>
      </c>
      <c r="E434">
        <v>1000</v>
      </c>
      <c r="F434" t="s">
        <v>236</v>
      </c>
      <c r="G434" t="s">
        <v>32</v>
      </c>
      <c r="H434" t="s">
        <v>57</v>
      </c>
      <c r="J434" t="s">
        <v>1606</v>
      </c>
      <c r="K434" t="s">
        <v>139</v>
      </c>
      <c r="L434">
        <v>9</v>
      </c>
      <c r="N434" t="s">
        <v>1607</v>
      </c>
    </row>
    <row r="435" spans="1:14" x14ac:dyDescent="0.35">
      <c r="A435" t="s">
        <v>1608</v>
      </c>
      <c r="B435" t="s">
        <v>1609</v>
      </c>
      <c r="C435" t="s">
        <v>116</v>
      </c>
      <c r="D435">
        <v>8.8000000000000007</v>
      </c>
      <c r="E435">
        <v>400</v>
      </c>
      <c r="F435" t="s">
        <v>123</v>
      </c>
      <c r="G435" t="s">
        <v>32</v>
      </c>
      <c r="H435" t="s">
        <v>43</v>
      </c>
      <c r="I435" t="s">
        <v>129</v>
      </c>
      <c r="J435" t="s">
        <v>334</v>
      </c>
      <c r="K435" t="s">
        <v>51</v>
      </c>
      <c r="L435">
        <v>5</v>
      </c>
      <c r="N435" t="s">
        <v>1610</v>
      </c>
    </row>
    <row r="436" spans="1:14" x14ac:dyDescent="0.35">
      <c r="A436" t="s">
        <v>1611</v>
      </c>
      <c r="B436" t="s">
        <v>1612</v>
      </c>
      <c r="C436" t="s">
        <v>62</v>
      </c>
      <c r="D436">
        <v>64.400000000000006</v>
      </c>
      <c r="E436">
        <v>2000</v>
      </c>
      <c r="F436" t="s">
        <v>76</v>
      </c>
      <c r="G436" t="s">
        <v>32</v>
      </c>
      <c r="H436" t="s">
        <v>43</v>
      </c>
      <c r="I436" t="s">
        <v>44</v>
      </c>
      <c r="J436" t="s">
        <v>35</v>
      </c>
      <c r="K436" t="s">
        <v>36</v>
      </c>
      <c r="L436">
        <v>7</v>
      </c>
      <c r="N436" t="s">
        <v>1613</v>
      </c>
    </row>
    <row r="437" spans="1:14" x14ac:dyDescent="0.35">
      <c r="A437" t="s">
        <v>1614</v>
      </c>
      <c r="B437" t="s">
        <v>1615</v>
      </c>
      <c r="C437" t="s">
        <v>30</v>
      </c>
      <c r="D437">
        <v>109.65</v>
      </c>
      <c r="E437">
        <v>18000</v>
      </c>
      <c r="F437" t="s">
        <v>42</v>
      </c>
      <c r="G437" t="s">
        <v>32</v>
      </c>
      <c r="H437" t="s">
        <v>33</v>
      </c>
      <c r="I437" t="s">
        <v>129</v>
      </c>
      <c r="J437" t="s">
        <v>1071</v>
      </c>
      <c r="K437" t="s">
        <v>236</v>
      </c>
      <c r="L437">
        <v>5</v>
      </c>
      <c r="M437" t="s">
        <v>1616</v>
      </c>
      <c r="N437" t="s">
        <v>1617</v>
      </c>
    </row>
    <row r="438" spans="1:14" x14ac:dyDescent="0.35">
      <c r="A438" t="s">
        <v>1618</v>
      </c>
      <c r="B438" t="s">
        <v>1619</v>
      </c>
      <c r="C438" t="s">
        <v>81</v>
      </c>
      <c r="D438">
        <v>77.08</v>
      </c>
      <c r="E438">
        <v>7000</v>
      </c>
      <c r="F438" t="s">
        <v>51</v>
      </c>
      <c r="G438" t="s">
        <v>32</v>
      </c>
      <c r="H438" t="s">
        <v>57</v>
      </c>
      <c r="I438" t="s">
        <v>44</v>
      </c>
      <c r="J438" t="s">
        <v>112</v>
      </c>
      <c r="K438" t="s">
        <v>106</v>
      </c>
      <c r="L438">
        <v>17</v>
      </c>
      <c r="N438" t="s">
        <v>135</v>
      </c>
    </row>
    <row r="439" spans="1:14" x14ac:dyDescent="0.35">
      <c r="A439" t="s">
        <v>1620</v>
      </c>
      <c r="B439" t="s">
        <v>1621</v>
      </c>
      <c r="C439" t="s">
        <v>69</v>
      </c>
      <c r="D439">
        <v>63.29</v>
      </c>
      <c r="E439">
        <v>68000</v>
      </c>
      <c r="F439" t="s">
        <v>64</v>
      </c>
      <c r="G439" t="s">
        <v>32</v>
      </c>
      <c r="H439" t="s">
        <v>43</v>
      </c>
      <c r="J439" t="s">
        <v>63</v>
      </c>
      <c r="K439" t="s">
        <v>64</v>
      </c>
      <c r="L439">
        <v>1</v>
      </c>
      <c r="M439" t="s">
        <v>175</v>
      </c>
      <c r="N439" t="s">
        <v>1622</v>
      </c>
    </row>
    <row r="440" spans="1:14" x14ac:dyDescent="0.35">
      <c r="A440" t="s">
        <v>1623</v>
      </c>
      <c r="B440" t="s">
        <v>1624</v>
      </c>
      <c r="C440" t="s">
        <v>41</v>
      </c>
      <c r="D440">
        <v>81.680000000000007</v>
      </c>
      <c r="E440">
        <v>25000</v>
      </c>
      <c r="F440" t="s">
        <v>147</v>
      </c>
      <c r="G440" t="s">
        <v>32</v>
      </c>
      <c r="H440" t="s">
        <v>57</v>
      </c>
      <c r="I440" t="s">
        <v>44</v>
      </c>
      <c r="J440" t="s">
        <v>124</v>
      </c>
      <c r="K440" t="s">
        <v>117</v>
      </c>
      <c r="L440">
        <v>19</v>
      </c>
      <c r="M440" t="s">
        <v>1625</v>
      </c>
      <c r="N440" t="s">
        <v>435</v>
      </c>
    </row>
    <row r="441" spans="1:14" x14ac:dyDescent="0.35">
      <c r="A441" t="s">
        <v>1626</v>
      </c>
      <c r="B441" t="s">
        <v>1627</v>
      </c>
      <c r="C441" t="s">
        <v>62</v>
      </c>
      <c r="D441">
        <v>95.12</v>
      </c>
      <c r="E441">
        <v>2000</v>
      </c>
      <c r="F441" t="s">
        <v>97</v>
      </c>
      <c r="G441" t="s">
        <v>32</v>
      </c>
      <c r="H441" t="s">
        <v>43</v>
      </c>
      <c r="I441" t="s">
        <v>44</v>
      </c>
      <c r="J441" t="s">
        <v>96</v>
      </c>
      <c r="K441" t="s">
        <v>97</v>
      </c>
      <c r="L441">
        <v>4</v>
      </c>
      <c r="M441" t="s">
        <v>1628</v>
      </c>
      <c r="N441" t="s">
        <v>1629</v>
      </c>
    </row>
    <row r="442" spans="1:14" x14ac:dyDescent="0.35">
      <c r="A442" t="s">
        <v>1630</v>
      </c>
      <c r="B442" t="s">
        <v>1631</v>
      </c>
      <c r="C442" t="s">
        <v>30</v>
      </c>
      <c r="D442">
        <v>103.64</v>
      </c>
      <c r="E442">
        <v>7000</v>
      </c>
      <c r="F442" t="s">
        <v>64</v>
      </c>
      <c r="G442" t="s">
        <v>32</v>
      </c>
      <c r="H442" t="s">
        <v>43</v>
      </c>
      <c r="I442" t="s">
        <v>34</v>
      </c>
      <c r="J442" t="s">
        <v>63</v>
      </c>
      <c r="K442" t="s">
        <v>64</v>
      </c>
      <c r="L442">
        <v>6</v>
      </c>
      <c r="M442" t="s">
        <v>752</v>
      </c>
      <c r="N442" t="s">
        <v>1632</v>
      </c>
    </row>
    <row r="443" spans="1:14" x14ac:dyDescent="0.35">
      <c r="A443" t="s">
        <v>1633</v>
      </c>
      <c r="B443" t="s">
        <v>1634</v>
      </c>
      <c r="C443" t="s">
        <v>116</v>
      </c>
      <c r="D443">
        <v>7.69</v>
      </c>
      <c r="E443">
        <v>400</v>
      </c>
      <c r="F443" t="s">
        <v>31</v>
      </c>
      <c r="G443" t="s">
        <v>32</v>
      </c>
      <c r="H443" t="s">
        <v>57</v>
      </c>
      <c r="I443" t="s">
        <v>129</v>
      </c>
      <c r="J443" t="s">
        <v>316</v>
      </c>
      <c r="K443" t="s">
        <v>97</v>
      </c>
      <c r="L443">
        <v>9</v>
      </c>
      <c r="M443" t="s">
        <v>321</v>
      </c>
      <c r="N443" t="s">
        <v>1090</v>
      </c>
    </row>
    <row r="444" spans="1:14" x14ac:dyDescent="0.35">
      <c r="A444" t="s">
        <v>1635</v>
      </c>
      <c r="B444" t="s">
        <v>1636</v>
      </c>
      <c r="C444" t="s">
        <v>69</v>
      </c>
      <c r="D444">
        <v>94.52</v>
      </c>
      <c r="E444">
        <v>37000</v>
      </c>
      <c r="F444" t="s">
        <v>42</v>
      </c>
      <c r="G444" t="s">
        <v>32</v>
      </c>
      <c r="H444" t="s">
        <v>57</v>
      </c>
      <c r="I444" t="s">
        <v>34</v>
      </c>
      <c r="J444" t="s">
        <v>1637</v>
      </c>
      <c r="K444" t="s">
        <v>97</v>
      </c>
      <c r="L444">
        <v>10</v>
      </c>
      <c r="M444" t="s">
        <v>547</v>
      </c>
      <c r="N444" t="s">
        <v>1638</v>
      </c>
    </row>
    <row r="445" spans="1:14" x14ac:dyDescent="0.35">
      <c r="A445" t="s">
        <v>1639</v>
      </c>
      <c r="B445" t="s">
        <v>1640</v>
      </c>
      <c r="C445" t="s">
        <v>41</v>
      </c>
      <c r="D445">
        <v>85.13</v>
      </c>
      <c r="E445">
        <v>38000</v>
      </c>
      <c r="F445" t="s">
        <v>64</v>
      </c>
      <c r="G445" t="s">
        <v>32</v>
      </c>
      <c r="H445" t="s">
        <v>43</v>
      </c>
      <c r="I445" t="s">
        <v>129</v>
      </c>
      <c r="J445" t="s">
        <v>63</v>
      </c>
      <c r="K445" t="s">
        <v>64</v>
      </c>
      <c r="L445">
        <v>15</v>
      </c>
      <c r="N445" t="s">
        <v>1641</v>
      </c>
    </row>
    <row r="446" spans="1:14" x14ac:dyDescent="0.35">
      <c r="A446" t="s">
        <v>1642</v>
      </c>
      <c r="B446" t="s">
        <v>1643</v>
      </c>
      <c r="C446" t="s">
        <v>81</v>
      </c>
      <c r="D446">
        <v>130.07</v>
      </c>
      <c r="E446">
        <v>5000</v>
      </c>
      <c r="F446" t="s">
        <v>51</v>
      </c>
      <c r="G446" t="s">
        <v>32</v>
      </c>
      <c r="H446" t="s">
        <v>57</v>
      </c>
      <c r="J446" t="s">
        <v>919</v>
      </c>
      <c r="K446" t="s">
        <v>51</v>
      </c>
      <c r="L446">
        <v>9</v>
      </c>
      <c r="M446" t="s">
        <v>864</v>
      </c>
      <c r="N446" t="s">
        <v>1093</v>
      </c>
    </row>
    <row r="447" spans="1:14" x14ac:dyDescent="0.35">
      <c r="A447" t="s">
        <v>1644</v>
      </c>
      <c r="B447" t="s">
        <v>1645</v>
      </c>
      <c r="C447" t="s">
        <v>69</v>
      </c>
      <c r="D447">
        <v>92.89</v>
      </c>
      <c r="E447">
        <v>43000</v>
      </c>
      <c r="F447" t="s">
        <v>51</v>
      </c>
      <c r="G447" t="s">
        <v>32</v>
      </c>
      <c r="H447" t="s">
        <v>33</v>
      </c>
      <c r="J447" t="s">
        <v>1646</v>
      </c>
      <c r="K447" t="s">
        <v>74</v>
      </c>
      <c r="L447">
        <v>7</v>
      </c>
      <c r="M447" t="s">
        <v>198</v>
      </c>
      <c r="N447" t="s">
        <v>1356</v>
      </c>
    </row>
    <row r="448" spans="1:14" x14ac:dyDescent="0.35">
      <c r="A448" t="s">
        <v>1647</v>
      </c>
      <c r="B448" t="s">
        <v>1648</v>
      </c>
      <c r="C448" t="s">
        <v>30</v>
      </c>
      <c r="D448">
        <v>143.83000000000001</v>
      </c>
      <c r="E448">
        <v>20000</v>
      </c>
      <c r="F448" t="s">
        <v>46</v>
      </c>
      <c r="G448" t="s">
        <v>102</v>
      </c>
      <c r="H448" t="s">
        <v>33</v>
      </c>
      <c r="I448" t="s">
        <v>34</v>
      </c>
      <c r="J448" t="s">
        <v>124</v>
      </c>
      <c r="K448" t="s">
        <v>117</v>
      </c>
      <c r="L448">
        <v>22</v>
      </c>
      <c r="M448" t="s">
        <v>1649</v>
      </c>
      <c r="N448" t="s">
        <v>1650</v>
      </c>
    </row>
    <row r="449" spans="1:14" x14ac:dyDescent="0.35">
      <c r="A449" t="s">
        <v>1651</v>
      </c>
      <c r="B449" t="s">
        <v>1652</v>
      </c>
      <c r="C449" t="s">
        <v>30</v>
      </c>
      <c r="D449">
        <v>189.2</v>
      </c>
      <c r="E449">
        <v>14000</v>
      </c>
      <c r="F449" t="s">
        <v>117</v>
      </c>
      <c r="G449" t="s">
        <v>32</v>
      </c>
      <c r="H449" t="s">
        <v>33</v>
      </c>
      <c r="J449" t="s">
        <v>235</v>
      </c>
      <c r="K449" t="s">
        <v>236</v>
      </c>
      <c r="L449">
        <v>10</v>
      </c>
      <c r="M449" t="s">
        <v>551</v>
      </c>
      <c r="N449" t="s">
        <v>1653</v>
      </c>
    </row>
    <row r="450" spans="1:14" x14ac:dyDescent="0.35">
      <c r="A450" t="s">
        <v>1654</v>
      </c>
      <c r="B450" t="s">
        <v>1655</v>
      </c>
      <c r="C450" t="s">
        <v>30</v>
      </c>
      <c r="D450">
        <v>143.38999999999999</v>
      </c>
      <c r="E450">
        <v>9000</v>
      </c>
      <c r="F450" t="s">
        <v>36</v>
      </c>
      <c r="G450" t="s">
        <v>32</v>
      </c>
      <c r="H450" t="s">
        <v>33</v>
      </c>
      <c r="I450" t="s">
        <v>44</v>
      </c>
      <c r="J450" t="s">
        <v>130</v>
      </c>
      <c r="K450" t="s">
        <v>123</v>
      </c>
      <c r="L450">
        <v>21</v>
      </c>
      <c r="N450" t="s">
        <v>1656</v>
      </c>
    </row>
    <row r="451" spans="1:14" x14ac:dyDescent="0.35">
      <c r="A451" t="s">
        <v>1657</v>
      </c>
      <c r="B451" t="s">
        <v>1658</v>
      </c>
      <c r="C451" t="s">
        <v>116</v>
      </c>
      <c r="D451">
        <v>9.8699999999999992</v>
      </c>
      <c r="E451">
        <v>300</v>
      </c>
      <c r="F451" t="s">
        <v>139</v>
      </c>
      <c r="G451" t="s">
        <v>32</v>
      </c>
      <c r="H451" t="s">
        <v>57</v>
      </c>
      <c r="J451" t="s">
        <v>124</v>
      </c>
      <c r="K451" t="s">
        <v>117</v>
      </c>
      <c r="L451">
        <v>2</v>
      </c>
      <c r="N451" t="s">
        <v>313</v>
      </c>
    </row>
    <row r="452" spans="1:14" x14ac:dyDescent="0.35">
      <c r="A452" t="s">
        <v>1659</v>
      </c>
      <c r="B452" t="s">
        <v>1660</v>
      </c>
      <c r="C452" t="s">
        <v>62</v>
      </c>
      <c r="D452">
        <v>67.48</v>
      </c>
      <c r="E452">
        <v>3000</v>
      </c>
      <c r="F452" t="s">
        <v>51</v>
      </c>
      <c r="G452" t="s">
        <v>32</v>
      </c>
      <c r="H452" t="s">
        <v>57</v>
      </c>
      <c r="I452" t="s">
        <v>44</v>
      </c>
      <c r="J452" t="s">
        <v>124</v>
      </c>
      <c r="K452" t="s">
        <v>117</v>
      </c>
      <c r="L452">
        <v>2</v>
      </c>
      <c r="M452" t="s">
        <v>1661</v>
      </c>
      <c r="N452" t="s">
        <v>1662</v>
      </c>
    </row>
    <row r="453" spans="1:14" x14ac:dyDescent="0.35">
      <c r="A453" t="s">
        <v>1663</v>
      </c>
      <c r="B453" t="s">
        <v>1664</v>
      </c>
      <c r="C453" t="s">
        <v>62</v>
      </c>
      <c r="D453">
        <v>88.11</v>
      </c>
      <c r="E453">
        <v>3000</v>
      </c>
      <c r="F453" t="s">
        <v>36</v>
      </c>
      <c r="G453" t="s">
        <v>32</v>
      </c>
      <c r="H453" t="s">
        <v>57</v>
      </c>
      <c r="I453" t="s">
        <v>44</v>
      </c>
      <c r="J453" t="s">
        <v>316</v>
      </c>
      <c r="K453" t="s">
        <v>97</v>
      </c>
      <c r="L453">
        <v>5</v>
      </c>
      <c r="M453" t="s">
        <v>1665</v>
      </c>
      <c r="N453" t="s">
        <v>1666</v>
      </c>
    </row>
    <row r="454" spans="1:14" x14ac:dyDescent="0.35">
      <c r="A454" t="s">
        <v>1667</v>
      </c>
      <c r="B454" t="s">
        <v>1668</v>
      </c>
      <c r="C454" t="s">
        <v>69</v>
      </c>
      <c r="D454">
        <v>53.24</v>
      </c>
      <c r="E454">
        <v>33000</v>
      </c>
      <c r="F454" t="s">
        <v>236</v>
      </c>
      <c r="G454" t="s">
        <v>32</v>
      </c>
      <c r="H454" t="s">
        <v>57</v>
      </c>
      <c r="J454" t="s">
        <v>112</v>
      </c>
      <c r="K454" t="s">
        <v>106</v>
      </c>
      <c r="L454">
        <v>8</v>
      </c>
      <c r="M454" t="s">
        <v>258</v>
      </c>
      <c r="N454" t="s">
        <v>1669</v>
      </c>
    </row>
    <row r="455" spans="1:14" x14ac:dyDescent="0.35">
      <c r="A455" t="s">
        <v>1670</v>
      </c>
      <c r="B455" t="s">
        <v>1671</v>
      </c>
      <c r="C455" t="s">
        <v>81</v>
      </c>
      <c r="D455">
        <v>99.6</v>
      </c>
      <c r="E455">
        <v>4000</v>
      </c>
      <c r="F455" t="s">
        <v>117</v>
      </c>
      <c r="G455" t="s">
        <v>102</v>
      </c>
      <c r="H455" t="s">
        <v>43</v>
      </c>
      <c r="J455" t="s">
        <v>235</v>
      </c>
      <c r="K455" t="s">
        <v>236</v>
      </c>
      <c r="L455">
        <v>5</v>
      </c>
      <c r="M455" t="s">
        <v>1672</v>
      </c>
      <c r="N455" t="s">
        <v>1673</v>
      </c>
    </row>
    <row r="456" spans="1:14" x14ac:dyDescent="0.35">
      <c r="A456" t="s">
        <v>1674</v>
      </c>
      <c r="B456" t="s">
        <v>1675</v>
      </c>
      <c r="C456" t="s">
        <v>30</v>
      </c>
      <c r="D456">
        <v>103.05</v>
      </c>
      <c r="E456">
        <v>14000</v>
      </c>
      <c r="F456" t="s">
        <v>36</v>
      </c>
      <c r="G456" t="s">
        <v>32</v>
      </c>
      <c r="H456" t="s">
        <v>43</v>
      </c>
      <c r="I456" t="s">
        <v>34</v>
      </c>
      <c r="J456" t="s">
        <v>63</v>
      </c>
      <c r="K456" t="s">
        <v>64</v>
      </c>
      <c r="L456">
        <v>2</v>
      </c>
      <c r="N456" t="s">
        <v>1676</v>
      </c>
    </row>
    <row r="457" spans="1:14" x14ac:dyDescent="0.35">
      <c r="A457" t="s">
        <v>1677</v>
      </c>
      <c r="B457" t="s">
        <v>1678</v>
      </c>
      <c r="C457" t="s">
        <v>116</v>
      </c>
      <c r="D457">
        <v>8.4499999999999993</v>
      </c>
      <c r="E457">
        <v>300</v>
      </c>
      <c r="F457" t="s">
        <v>51</v>
      </c>
      <c r="G457" t="s">
        <v>32</v>
      </c>
      <c r="H457" t="s">
        <v>33</v>
      </c>
      <c r="I457" t="s">
        <v>34</v>
      </c>
      <c r="J457" t="s">
        <v>1679</v>
      </c>
      <c r="K457" t="s">
        <v>236</v>
      </c>
      <c r="L457">
        <v>10</v>
      </c>
      <c r="M457" t="s">
        <v>1220</v>
      </c>
      <c r="N457" t="s">
        <v>1680</v>
      </c>
    </row>
    <row r="458" spans="1:14" x14ac:dyDescent="0.35">
      <c r="A458" t="s">
        <v>1681</v>
      </c>
      <c r="B458" t="s">
        <v>1682</v>
      </c>
      <c r="C458" t="s">
        <v>62</v>
      </c>
      <c r="D458">
        <v>81.88</v>
      </c>
      <c r="E458">
        <v>3000</v>
      </c>
      <c r="F458" t="s">
        <v>76</v>
      </c>
      <c r="G458" t="s">
        <v>32</v>
      </c>
      <c r="H458" t="s">
        <v>43</v>
      </c>
      <c r="I458" t="s">
        <v>129</v>
      </c>
      <c r="J458" t="s">
        <v>63</v>
      </c>
      <c r="K458" t="s">
        <v>64</v>
      </c>
      <c r="L458">
        <v>8</v>
      </c>
      <c r="M458" t="s">
        <v>1683</v>
      </c>
      <c r="N458" t="s">
        <v>1684</v>
      </c>
    </row>
    <row r="459" spans="1:14" x14ac:dyDescent="0.35">
      <c r="A459" t="s">
        <v>1685</v>
      </c>
      <c r="B459" t="s">
        <v>1686</v>
      </c>
      <c r="C459" t="s">
        <v>81</v>
      </c>
      <c r="D459">
        <v>120.59</v>
      </c>
      <c r="E459">
        <v>8000</v>
      </c>
      <c r="F459" t="s">
        <v>123</v>
      </c>
      <c r="G459" t="s">
        <v>32</v>
      </c>
      <c r="H459" t="s">
        <v>43</v>
      </c>
      <c r="J459" t="s">
        <v>35</v>
      </c>
      <c r="K459" t="s">
        <v>36</v>
      </c>
      <c r="L459">
        <v>20</v>
      </c>
      <c r="M459" t="s">
        <v>1687</v>
      </c>
      <c r="N459" t="s">
        <v>1688</v>
      </c>
    </row>
    <row r="460" spans="1:14" x14ac:dyDescent="0.35">
      <c r="A460" t="s">
        <v>1689</v>
      </c>
      <c r="B460" t="s">
        <v>1690</v>
      </c>
      <c r="C460" t="s">
        <v>30</v>
      </c>
      <c r="D460">
        <v>167.32</v>
      </c>
      <c r="E460">
        <v>1000</v>
      </c>
      <c r="F460" t="s">
        <v>87</v>
      </c>
      <c r="G460" t="s">
        <v>32</v>
      </c>
      <c r="H460" t="s">
        <v>57</v>
      </c>
      <c r="I460" t="s">
        <v>34</v>
      </c>
      <c r="J460" t="s">
        <v>1216</v>
      </c>
      <c r="K460" t="s">
        <v>51</v>
      </c>
      <c r="L460">
        <v>5</v>
      </c>
      <c r="M460" t="s">
        <v>1691</v>
      </c>
      <c r="N460" t="s">
        <v>1692</v>
      </c>
    </row>
    <row r="461" spans="1:14" x14ac:dyDescent="0.35">
      <c r="A461" t="s">
        <v>1693</v>
      </c>
      <c r="B461" t="s">
        <v>1694</v>
      </c>
      <c r="C461" t="s">
        <v>30</v>
      </c>
      <c r="D461">
        <v>102.2</v>
      </c>
      <c r="E461">
        <v>14000</v>
      </c>
      <c r="F461" t="s">
        <v>123</v>
      </c>
      <c r="G461" t="s">
        <v>102</v>
      </c>
      <c r="H461" t="s">
        <v>43</v>
      </c>
      <c r="I461" t="s">
        <v>44</v>
      </c>
      <c r="J461" t="s">
        <v>316</v>
      </c>
      <c r="K461" t="s">
        <v>97</v>
      </c>
      <c r="L461">
        <v>12</v>
      </c>
      <c r="M461" t="s">
        <v>1695</v>
      </c>
      <c r="N461" t="s">
        <v>1696</v>
      </c>
    </row>
    <row r="462" spans="1:14" x14ac:dyDescent="0.35">
      <c r="A462" t="s">
        <v>1697</v>
      </c>
      <c r="B462" t="s">
        <v>1698</v>
      </c>
      <c r="C462" t="s">
        <v>41</v>
      </c>
      <c r="D462">
        <v>106.82</v>
      </c>
      <c r="E462">
        <v>37000</v>
      </c>
      <c r="F462" t="s">
        <v>123</v>
      </c>
      <c r="G462" t="s">
        <v>32</v>
      </c>
      <c r="H462" t="s">
        <v>43</v>
      </c>
      <c r="I462" t="s">
        <v>44</v>
      </c>
      <c r="J462" t="s">
        <v>112</v>
      </c>
      <c r="K462" t="s">
        <v>106</v>
      </c>
      <c r="L462">
        <v>10</v>
      </c>
      <c r="M462" t="s">
        <v>223</v>
      </c>
      <c r="N462" t="s">
        <v>1473</v>
      </c>
    </row>
    <row r="463" spans="1:14" x14ac:dyDescent="0.35">
      <c r="A463" t="s">
        <v>1699</v>
      </c>
      <c r="B463" t="s">
        <v>1700</v>
      </c>
      <c r="C463" t="s">
        <v>69</v>
      </c>
      <c r="D463">
        <v>71.72</v>
      </c>
      <c r="E463">
        <v>92000</v>
      </c>
      <c r="F463" t="s">
        <v>106</v>
      </c>
      <c r="G463" t="s">
        <v>32</v>
      </c>
      <c r="H463" t="s">
        <v>57</v>
      </c>
      <c r="I463" t="s">
        <v>129</v>
      </c>
      <c r="J463" t="s">
        <v>130</v>
      </c>
      <c r="K463" t="s">
        <v>123</v>
      </c>
      <c r="L463">
        <v>15</v>
      </c>
      <c r="N463" t="s">
        <v>1701</v>
      </c>
    </row>
    <row r="464" spans="1:14" x14ac:dyDescent="0.35">
      <c r="A464" t="s">
        <v>1702</v>
      </c>
      <c r="B464" t="s">
        <v>1703</v>
      </c>
      <c r="C464" t="s">
        <v>69</v>
      </c>
      <c r="D464">
        <v>59.24</v>
      </c>
      <c r="E464">
        <v>50000</v>
      </c>
      <c r="F464" t="s">
        <v>42</v>
      </c>
      <c r="G464" t="s">
        <v>32</v>
      </c>
      <c r="H464" t="s">
        <v>33</v>
      </c>
      <c r="J464" t="s">
        <v>70</v>
      </c>
      <c r="K464" t="s">
        <v>31</v>
      </c>
      <c r="L464">
        <v>0</v>
      </c>
      <c r="M464" t="s">
        <v>544</v>
      </c>
      <c r="N464" t="s">
        <v>1704</v>
      </c>
    </row>
    <row r="465" spans="1:14" x14ac:dyDescent="0.35">
      <c r="A465" t="s">
        <v>1705</v>
      </c>
      <c r="B465" t="s">
        <v>1706</v>
      </c>
      <c r="C465" t="s">
        <v>62</v>
      </c>
      <c r="D465">
        <v>65.88</v>
      </c>
      <c r="E465">
        <v>1000</v>
      </c>
      <c r="F465" t="s">
        <v>74</v>
      </c>
      <c r="G465" t="s">
        <v>32</v>
      </c>
      <c r="H465" t="s">
        <v>57</v>
      </c>
      <c r="J465" t="s">
        <v>1707</v>
      </c>
      <c r="K465" t="s">
        <v>36</v>
      </c>
      <c r="L465">
        <v>16</v>
      </c>
      <c r="M465" t="s">
        <v>798</v>
      </c>
      <c r="N465" t="s">
        <v>1708</v>
      </c>
    </row>
    <row r="466" spans="1:14" x14ac:dyDescent="0.35">
      <c r="A466" t="s">
        <v>1709</v>
      </c>
      <c r="B466" t="s">
        <v>1710</v>
      </c>
      <c r="C466" t="s">
        <v>81</v>
      </c>
      <c r="D466">
        <v>135.75</v>
      </c>
      <c r="E466">
        <v>8000</v>
      </c>
      <c r="F466" t="s">
        <v>117</v>
      </c>
      <c r="G466" t="s">
        <v>32</v>
      </c>
      <c r="H466" t="s">
        <v>33</v>
      </c>
      <c r="I466" t="s">
        <v>44</v>
      </c>
      <c r="J466" t="s">
        <v>107</v>
      </c>
      <c r="K466" t="s">
        <v>87</v>
      </c>
      <c r="L466">
        <v>9</v>
      </c>
      <c r="M466" t="s">
        <v>1711</v>
      </c>
      <c r="N466" t="s">
        <v>1712</v>
      </c>
    </row>
    <row r="467" spans="1:14" x14ac:dyDescent="0.35">
      <c r="A467" t="s">
        <v>1713</v>
      </c>
      <c r="B467" t="s">
        <v>1714</v>
      </c>
      <c r="C467" t="s">
        <v>116</v>
      </c>
      <c r="D467">
        <v>6.65</v>
      </c>
      <c r="E467">
        <v>500</v>
      </c>
      <c r="F467" t="s">
        <v>31</v>
      </c>
      <c r="G467" t="s">
        <v>32</v>
      </c>
      <c r="H467" t="s">
        <v>57</v>
      </c>
      <c r="I467" t="s">
        <v>34</v>
      </c>
      <c r="J467" t="s">
        <v>1646</v>
      </c>
      <c r="K467" t="s">
        <v>74</v>
      </c>
      <c r="L467">
        <v>0</v>
      </c>
      <c r="N467" t="s">
        <v>452</v>
      </c>
    </row>
    <row r="468" spans="1:14" x14ac:dyDescent="0.35">
      <c r="A468" t="s">
        <v>1715</v>
      </c>
      <c r="B468" t="s">
        <v>1716</v>
      </c>
      <c r="C468" t="s">
        <v>30</v>
      </c>
      <c r="D468">
        <v>136.09</v>
      </c>
      <c r="E468">
        <v>3000</v>
      </c>
      <c r="F468" t="s">
        <v>97</v>
      </c>
      <c r="G468" t="s">
        <v>32</v>
      </c>
      <c r="H468" t="s">
        <v>33</v>
      </c>
      <c r="I468" t="s">
        <v>34</v>
      </c>
      <c r="J468" t="s">
        <v>523</v>
      </c>
      <c r="K468" t="s">
        <v>36</v>
      </c>
      <c r="L468">
        <v>0</v>
      </c>
      <c r="M468" t="s">
        <v>1593</v>
      </c>
      <c r="N468" t="s">
        <v>1717</v>
      </c>
    </row>
    <row r="469" spans="1:14" x14ac:dyDescent="0.35">
      <c r="A469" t="s">
        <v>1718</v>
      </c>
      <c r="B469" t="s">
        <v>1719</v>
      </c>
      <c r="C469" t="s">
        <v>62</v>
      </c>
      <c r="D469">
        <v>87.99</v>
      </c>
      <c r="E469">
        <v>2000</v>
      </c>
      <c r="F469" t="s">
        <v>51</v>
      </c>
      <c r="G469" t="s">
        <v>32</v>
      </c>
      <c r="H469" t="s">
        <v>33</v>
      </c>
      <c r="I469" t="s">
        <v>44</v>
      </c>
      <c r="J469" t="s">
        <v>130</v>
      </c>
      <c r="K469" t="s">
        <v>123</v>
      </c>
      <c r="L469">
        <v>2</v>
      </c>
      <c r="M469" t="s">
        <v>1661</v>
      </c>
      <c r="N469" t="s">
        <v>1720</v>
      </c>
    </row>
    <row r="470" spans="1:14" x14ac:dyDescent="0.35">
      <c r="A470" t="s">
        <v>1721</v>
      </c>
      <c r="B470" t="s">
        <v>1722</v>
      </c>
      <c r="C470" t="s">
        <v>41</v>
      </c>
      <c r="D470">
        <v>123.39</v>
      </c>
      <c r="E470">
        <v>35000</v>
      </c>
      <c r="F470" t="s">
        <v>117</v>
      </c>
      <c r="G470" t="s">
        <v>32</v>
      </c>
      <c r="H470" t="s">
        <v>57</v>
      </c>
      <c r="I470" t="s">
        <v>34</v>
      </c>
      <c r="J470" t="s">
        <v>130</v>
      </c>
      <c r="K470" t="s">
        <v>123</v>
      </c>
      <c r="L470">
        <v>21</v>
      </c>
      <c r="M470" t="s">
        <v>1723</v>
      </c>
      <c r="N470" t="s">
        <v>1724</v>
      </c>
    </row>
    <row r="471" spans="1:14" x14ac:dyDescent="0.35">
      <c r="A471" t="s">
        <v>1725</v>
      </c>
      <c r="B471" t="s">
        <v>1726</v>
      </c>
      <c r="C471" t="s">
        <v>81</v>
      </c>
      <c r="D471">
        <v>132.19</v>
      </c>
      <c r="E471">
        <v>4000</v>
      </c>
      <c r="F471" t="s">
        <v>31</v>
      </c>
      <c r="G471" t="s">
        <v>32</v>
      </c>
      <c r="H471" t="s">
        <v>43</v>
      </c>
      <c r="I471" t="s">
        <v>44</v>
      </c>
      <c r="J471" t="s">
        <v>235</v>
      </c>
      <c r="K471" t="s">
        <v>236</v>
      </c>
      <c r="L471">
        <v>22</v>
      </c>
      <c r="M471" t="s">
        <v>77</v>
      </c>
      <c r="N471" t="s">
        <v>1727</v>
      </c>
    </row>
    <row r="472" spans="1:14" x14ac:dyDescent="0.35">
      <c r="A472" t="s">
        <v>1728</v>
      </c>
      <c r="B472" t="s">
        <v>1729</v>
      </c>
      <c r="C472" t="s">
        <v>81</v>
      </c>
      <c r="D472">
        <v>122.41</v>
      </c>
      <c r="E472">
        <v>2000</v>
      </c>
      <c r="F472" t="s">
        <v>64</v>
      </c>
      <c r="G472" t="s">
        <v>32</v>
      </c>
      <c r="H472" t="s">
        <v>57</v>
      </c>
      <c r="I472" t="s">
        <v>44</v>
      </c>
      <c r="J472" t="s">
        <v>75</v>
      </c>
      <c r="K472" t="s">
        <v>76</v>
      </c>
      <c r="L472">
        <v>12</v>
      </c>
      <c r="M472" t="s">
        <v>492</v>
      </c>
      <c r="N472" t="s">
        <v>1730</v>
      </c>
    </row>
    <row r="473" spans="1:14" x14ac:dyDescent="0.35">
      <c r="A473" t="s">
        <v>1731</v>
      </c>
      <c r="B473" t="s">
        <v>1732</v>
      </c>
      <c r="C473" t="s">
        <v>62</v>
      </c>
      <c r="D473">
        <v>72.349999999999994</v>
      </c>
      <c r="E473">
        <v>1000</v>
      </c>
      <c r="F473" t="s">
        <v>139</v>
      </c>
      <c r="G473" t="s">
        <v>32</v>
      </c>
      <c r="H473" t="s">
        <v>43</v>
      </c>
      <c r="K473" t="s">
        <v>147</v>
      </c>
      <c r="L473">
        <v>23</v>
      </c>
      <c r="M473" t="s">
        <v>1733</v>
      </c>
      <c r="N473" t="s">
        <v>1653</v>
      </c>
    </row>
    <row r="474" spans="1:14" x14ac:dyDescent="0.35">
      <c r="A474" t="s">
        <v>1734</v>
      </c>
      <c r="B474" t="s">
        <v>1735</v>
      </c>
      <c r="C474" t="s">
        <v>41</v>
      </c>
      <c r="D474">
        <v>82.87</v>
      </c>
      <c r="E474">
        <v>26000</v>
      </c>
      <c r="F474" t="s">
        <v>106</v>
      </c>
      <c r="G474" t="s">
        <v>32</v>
      </c>
      <c r="H474" t="s">
        <v>57</v>
      </c>
      <c r="I474" t="s">
        <v>34</v>
      </c>
      <c r="J474" t="s">
        <v>983</v>
      </c>
      <c r="K474" t="s">
        <v>51</v>
      </c>
      <c r="L474">
        <v>23</v>
      </c>
      <c r="M474" t="s">
        <v>308</v>
      </c>
      <c r="N474" t="s">
        <v>1736</v>
      </c>
    </row>
    <row r="475" spans="1:14" x14ac:dyDescent="0.35">
      <c r="A475" t="s">
        <v>1737</v>
      </c>
      <c r="B475" t="s">
        <v>1738</v>
      </c>
      <c r="C475" t="s">
        <v>81</v>
      </c>
      <c r="D475">
        <v>80.180000000000007</v>
      </c>
      <c r="E475">
        <v>10000</v>
      </c>
      <c r="F475" t="s">
        <v>64</v>
      </c>
      <c r="G475" t="s">
        <v>32</v>
      </c>
      <c r="H475" t="s">
        <v>43</v>
      </c>
      <c r="J475" t="s">
        <v>112</v>
      </c>
      <c r="K475" t="s">
        <v>106</v>
      </c>
      <c r="L475">
        <v>14</v>
      </c>
      <c r="M475" t="s">
        <v>1739</v>
      </c>
      <c r="N475" t="s">
        <v>1740</v>
      </c>
    </row>
    <row r="476" spans="1:14" x14ac:dyDescent="0.35">
      <c r="A476" t="s">
        <v>1741</v>
      </c>
      <c r="B476" t="s">
        <v>1742</v>
      </c>
      <c r="C476" t="s">
        <v>62</v>
      </c>
      <c r="D476">
        <v>95.51</v>
      </c>
      <c r="E476">
        <v>5000</v>
      </c>
      <c r="F476" t="s">
        <v>46</v>
      </c>
      <c r="G476" t="s">
        <v>32</v>
      </c>
      <c r="H476" t="s">
        <v>33</v>
      </c>
      <c r="I476" t="s">
        <v>44</v>
      </c>
      <c r="J476" t="s">
        <v>320</v>
      </c>
      <c r="K476" t="s">
        <v>97</v>
      </c>
      <c r="L476">
        <v>6</v>
      </c>
      <c r="M476" t="s">
        <v>1743</v>
      </c>
      <c r="N476" t="s">
        <v>1744</v>
      </c>
    </row>
    <row r="477" spans="1:14" x14ac:dyDescent="0.35">
      <c r="A477" t="s">
        <v>1745</v>
      </c>
      <c r="B477" t="s">
        <v>1746</v>
      </c>
      <c r="C477" t="s">
        <v>69</v>
      </c>
      <c r="D477">
        <v>75.95</v>
      </c>
      <c r="E477">
        <v>83000</v>
      </c>
      <c r="F477" t="s">
        <v>147</v>
      </c>
      <c r="G477" t="s">
        <v>32</v>
      </c>
      <c r="H477" t="s">
        <v>33</v>
      </c>
      <c r="J477" t="s">
        <v>45</v>
      </c>
      <c r="K477" t="s">
        <v>46</v>
      </c>
      <c r="L477">
        <v>5</v>
      </c>
      <c r="M477" t="s">
        <v>1687</v>
      </c>
      <c r="N477" t="s">
        <v>1747</v>
      </c>
    </row>
    <row r="478" spans="1:14" x14ac:dyDescent="0.35">
      <c r="A478" t="s">
        <v>1748</v>
      </c>
      <c r="B478" t="s">
        <v>1749</v>
      </c>
      <c r="C478" t="s">
        <v>69</v>
      </c>
      <c r="D478">
        <v>76.88</v>
      </c>
      <c r="E478">
        <v>53000</v>
      </c>
      <c r="F478" t="s">
        <v>87</v>
      </c>
      <c r="G478" t="s">
        <v>32</v>
      </c>
      <c r="H478" t="s">
        <v>33</v>
      </c>
      <c r="I478" t="s">
        <v>44</v>
      </c>
      <c r="J478" t="s">
        <v>70</v>
      </c>
      <c r="K478" t="s">
        <v>31</v>
      </c>
      <c r="L478">
        <v>13</v>
      </c>
      <c r="M478" t="s">
        <v>188</v>
      </c>
      <c r="N478" t="s">
        <v>1750</v>
      </c>
    </row>
    <row r="479" spans="1:14" x14ac:dyDescent="0.35">
      <c r="A479" t="s">
        <v>1751</v>
      </c>
      <c r="B479" t="s">
        <v>1752</v>
      </c>
      <c r="C479" t="s">
        <v>81</v>
      </c>
      <c r="D479">
        <v>138.38999999999999</v>
      </c>
      <c r="E479">
        <v>8000</v>
      </c>
      <c r="F479" t="s">
        <v>106</v>
      </c>
      <c r="G479" t="s">
        <v>32</v>
      </c>
      <c r="H479" t="s">
        <v>57</v>
      </c>
      <c r="I479" t="s">
        <v>129</v>
      </c>
      <c r="J479" t="s">
        <v>107</v>
      </c>
      <c r="K479" t="s">
        <v>87</v>
      </c>
      <c r="L479">
        <v>2</v>
      </c>
      <c r="N479" t="s">
        <v>1753</v>
      </c>
    </row>
    <row r="480" spans="1:14" x14ac:dyDescent="0.35">
      <c r="A480" t="s">
        <v>1754</v>
      </c>
      <c r="B480" t="s">
        <v>1755</v>
      </c>
      <c r="C480" t="s">
        <v>81</v>
      </c>
      <c r="D480">
        <v>80.2</v>
      </c>
      <c r="E480">
        <v>4000</v>
      </c>
      <c r="F480" t="s">
        <v>42</v>
      </c>
      <c r="G480" t="s">
        <v>32</v>
      </c>
      <c r="H480" t="s">
        <v>33</v>
      </c>
      <c r="I480" t="s">
        <v>34</v>
      </c>
      <c r="J480" t="s">
        <v>124</v>
      </c>
      <c r="K480" t="s">
        <v>117</v>
      </c>
      <c r="L480">
        <v>15</v>
      </c>
      <c r="M480" t="s">
        <v>889</v>
      </c>
      <c r="N480" t="s">
        <v>336</v>
      </c>
    </row>
    <row r="481" spans="1:14" x14ac:dyDescent="0.35">
      <c r="A481" t="s">
        <v>1756</v>
      </c>
      <c r="B481" t="s">
        <v>1757</v>
      </c>
      <c r="C481" t="s">
        <v>81</v>
      </c>
      <c r="D481">
        <v>76.06</v>
      </c>
      <c r="E481">
        <v>2000</v>
      </c>
      <c r="F481" t="s">
        <v>36</v>
      </c>
      <c r="G481" t="s">
        <v>32</v>
      </c>
      <c r="H481" t="s">
        <v>43</v>
      </c>
      <c r="I481" t="s">
        <v>44</v>
      </c>
      <c r="J481" t="s">
        <v>45</v>
      </c>
      <c r="K481" t="s">
        <v>46</v>
      </c>
      <c r="L481">
        <v>13</v>
      </c>
      <c r="N481" t="s">
        <v>1758</v>
      </c>
    </row>
    <row r="482" spans="1:14" x14ac:dyDescent="0.35">
      <c r="A482" t="s">
        <v>1759</v>
      </c>
      <c r="B482" t="s">
        <v>1760</v>
      </c>
      <c r="C482" t="s">
        <v>81</v>
      </c>
      <c r="D482">
        <v>134.71</v>
      </c>
      <c r="E482">
        <v>6000</v>
      </c>
      <c r="F482" t="s">
        <v>36</v>
      </c>
      <c r="G482" t="s">
        <v>32</v>
      </c>
      <c r="H482" t="s">
        <v>43</v>
      </c>
      <c r="I482" t="s">
        <v>34</v>
      </c>
      <c r="J482" t="s">
        <v>937</v>
      </c>
      <c r="K482" t="s">
        <v>42</v>
      </c>
      <c r="L482">
        <v>1</v>
      </c>
      <c r="M482" t="s">
        <v>131</v>
      </c>
      <c r="N482" t="s">
        <v>1761</v>
      </c>
    </row>
    <row r="483" spans="1:14" x14ac:dyDescent="0.35">
      <c r="A483" t="s">
        <v>1762</v>
      </c>
      <c r="B483" t="s">
        <v>1763</v>
      </c>
      <c r="C483" t="s">
        <v>62</v>
      </c>
      <c r="D483">
        <v>82.04</v>
      </c>
      <c r="E483">
        <v>2000</v>
      </c>
      <c r="F483" t="s">
        <v>139</v>
      </c>
      <c r="G483" t="s">
        <v>32</v>
      </c>
      <c r="H483" t="s">
        <v>57</v>
      </c>
      <c r="I483" t="s">
        <v>129</v>
      </c>
      <c r="J483" t="s">
        <v>70</v>
      </c>
      <c r="K483" t="s">
        <v>31</v>
      </c>
      <c r="L483">
        <v>8</v>
      </c>
      <c r="M483" t="s">
        <v>641</v>
      </c>
      <c r="N483" t="s">
        <v>1764</v>
      </c>
    </row>
    <row r="484" spans="1:14" x14ac:dyDescent="0.35">
      <c r="A484" t="s">
        <v>1765</v>
      </c>
      <c r="B484" t="s">
        <v>1766</v>
      </c>
      <c r="C484" t="s">
        <v>41</v>
      </c>
      <c r="D484">
        <v>130.93</v>
      </c>
      <c r="E484">
        <v>18000</v>
      </c>
      <c r="F484" t="s">
        <v>74</v>
      </c>
      <c r="G484" t="s">
        <v>32</v>
      </c>
      <c r="H484" t="s">
        <v>43</v>
      </c>
      <c r="I484" t="s">
        <v>44</v>
      </c>
      <c r="J484" t="s">
        <v>124</v>
      </c>
      <c r="K484" t="s">
        <v>117</v>
      </c>
      <c r="L484">
        <v>20</v>
      </c>
      <c r="M484" t="s">
        <v>1767</v>
      </c>
      <c r="N484" t="s">
        <v>1768</v>
      </c>
    </row>
    <row r="485" spans="1:14" x14ac:dyDescent="0.35">
      <c r="A485" t="s">
        <v>1769</v>
      </c>
      <c r="B485" t="s">
        <v>1770</v>
      </c>
      <c r="C485" t="s">
        <v>69</v>
      </c>
      <c r="D485">
        <v>65.930000000000007</v>
      </c>
      <c r="E485">
        <v>12000</v>
      </c>
      <c r="F485" t="s">
        <v>139</v>
      </c>
      <c r="G485" t="s">
        <v>32</v>
      </c>
      <c r="H485" t="s">
        <v>33</v>
      </c>
      <c r="J485" t="s">
        <v>1771</v>
      </c>
      <c r="K485" t="s">
        <v>139</v>
      </c>
      <c r="L485">
        <v>6</v>
      </c>
      <c r="M485" t="s">
        <v>1772</v>
      </c>
      <c r="N485" t="s">
        <v>1773</v>
      </c>
    </row>
    <row r="486" spans="1:14" x14ac:dyDescent="0.35">
      <c r="A486" t="s">
        <v>1774</v>
      </c>
      <c r="B486" t="s">
        <v>1775</v>
      </c>
      <c r="C486" t="s">
        <v>69</v>
      </c>
      <c r="D486">
        <v>81.59</v>
      </c>
      <c r="E486">
        <v>20000</v>
      </c>
      <c r="F486" t="s">
        <v>51</v>
      </c>
      <c r="G486" t="s">
        <v>32</v>
      </c>
      <c r="H486" t="s">
        <v>43</v>
      </c>
      <c r="I486" t="s">
        <v>129</v>
      </c>
      <c r="J486" t="s">
        <v>235</v>
      </c>
      <c r="K486" t="s">
        <v>236</v>
      </c>
      <c r="L486">
        <v>8</v>
      </c>
      <c r="M486" t="s">
        <v>1776</v>
      </c>
      <c r="N486" t="s">
        <v>1777</v>
      </c>
    </row>
    <row r="487" spans="1:14" x14ac:dyDescent="0.35">
      <c r="A487" t="s">
        <v>1778</v>
      </c>
      <c r="B487" t="s">
        <v>1779</v>
      </c>
      <c r="C487" t="s">
        <v>81</v>
      </c>
      <c r="D487">
        <v>98.63</v>
      </c>
      <c r="E487">
        <v>8000</v>
      </c>
      <c r="F487" t="s">
        <v>139</v>
      </c>
      <c r="G487" t="s">
        <v>32</v>
      </c>
      <c r="H487" t="s">
        <v>43</v>
      </c>
      <c r="I487" t="s">
        <v>34</v>
      </c>
      <c r="J487" t="s">
        <v>477</v>
      </c>
      <c r="K487" t="s">
        <v>51</v>
      </c>
      <c r="L487">
        <v>4</v>
      </c>
      <c r="N487" t="s">
        <v>1780</v>
      </c>
    </row>
    <row r="488" spans="1:14" x14ac:dyDescent="0.35">
      <c r="A488" t="s">
        <v>1781</v>
      </c>
      <c r="B488" t="s">
        <v>1782</v>
      </c>
      <c r="C488" t="s">
        <v>116</v>
      </c>
      <c r="D488">
        <v>8.4700000000000006</v>
      </c>
      <c r="E488">
        <v>400</v>
      </c>
      <c r="F488" t="s">
        <v>97</v>
      </c>
      <c r="G488" t="s">
        <v>32</v>
      </c>
      <c r="H488" t="s">
        <v>43</v>
      </c>
      <c r="I488" t="s">
        <v>44</v>
      </c>
      <c r="J488" t="s">
        <v>118</v>
      </c>
      <c r="K488" t="s">
        <v>42</v>
      </c>
      <c r="L488">
        <v>12</v>
      </c>
      <c r="M488" t="s">
        <v>1783</v>
      </c>
      <c r="N488" t="s">
        <v>1784</v>
      </c>
    </row>
    <row r="489" spans="1:14" x14ac:dyDescent="0.35">
      <c r="A489" t="s">
        <v>1785</v>
      </c>
      <c r="B489" t="s">
        <v>1786</v>
      </c>
      <c r="C489" t="s">
        <v>116</v>
      </c>
      <c r="D489">
        <v>6.53</v>
      </c>
      <c r="E489">
        <v>600</v>
      </c>
      <c r="F489" t="s">
        <v>97</v>
      </c>
      <c r="G489" t="s">
        <v>32</v>
      </c>
      <c r="H489" t="s">
        <v>57</v>
      </c>
      <c r="J489" t="s">
        <v>209</v>
      </c>
      <c r="K489" t="s">
        <v>74</v>
      </c>
      <c r="L489">
        <v>10</v>
      </c>
      <c r="M489" t="s">
        <v>1776</v>
      </c>
      <c r="N489" t="s">
        <v>1787</v>
      </c>
    </row>
    <row r="490" spans="1:14" x14ac:dyDescent="0.35">
      <c r="A490" t="s">
        <v>1788</v>
      </c>
      <c r="B490" t="s">
        <v>1789</v>
      </c>
      <c r="C490" t="s">
        <v>116</v>
      </c>
      <c r="D490">
        <v>7.98</v>
      </c>
      <c r="E490">
        <v>200</v>
      </c>
      <c r="F490" t="s">
        <v>123</v>
      </c>
      <c r="G490" t="s">
        <v>32</v>
      </c>
      <c r="H490" t="s">
        <v>33</v>
      </c>
      <c r="I490" t="s">
        <v>34</v>
      </c>
      <c r="J490" t="s">
        <v>500</v>
      </c>
      <c r="K490" t="s">
        <v>236</v>
      </c>
      <c r="L490">
        <v>14</v>
      </c>
      <c r="N490" t="s">
        <v>1780</v>
      </c>
    </row>
    <row r="491" spans="1:14" x14ac:dyDescent="0.35">
      <c r="A491" t="s">
        <v>1790</v>
      </c>
      <c r="B491" t="s">
        <v>1791</v>
      </c>
      <c r="C491" t="s">
        <v>41</v>
      </c>
      <c r="D491">
        <v>138.02000000000001</v>
      </c>
      <c r="E491">
        <v>22000</v>
      </c>
      <c r="F491" t="s">
        <v>76</v>
      </c>
      <c r="G491" t="s">
        <v>32</v>
      </c>
      <c r="H491" t="s">
        <v>57</v>
      </c>
      <c r="J491" t="s">
        <v>130</v>
      </c>
      <c r="K491" t="s">
        <v>123</v>
      </c>
      <c r="L491">
        <v>4</v>
      </c>
      <c r="M491" t="s">
        <v>304</v>
      </c>
      <c r="N491" t="s">
        <v>1792</v>
      </c>
    </row>
    <row r="492" spans="1:14" x14ac:dyDescent="0.35">
      <c r="A492" t="s">
        <v>1793</v>
      </c>
      <c r="B492" t="s">
        <v>1794</v>
      </c>
      <c r="C492" t="s">
        <v>81</v>
      </c>
      <c r="D492">
        <v>123.56</v>
      </c>
      <c r="E492">
        <v>1000</v>
      </c>
      <c r="F492" t="s">
        <v>236</v>
      </c>
      <c r="G492" t="s">
        <v>102</v>
      </c>
      <c r="H492" t="s">
        <v>33</v>
      </c>
      <c r="I492" t="s">
        <v>44</v>
      </c>
      <c r="J492" t="s">
        <v>75</v>
      </c>
      <c r="K492" t="s">
        <v>76</v>
      </c>
      <c r="L492">
        <v>5</v>
      </c>
      <c r="M492" t="s">
        <v>616</v>
      </c>
      <c r="N492" t="s">
        <v>1795</v>
      </c>
    </row>
    <row r="493" spans="1:14" x14ac:dyDescent="0.35">
      <c r="A493" t="s">
        <v>1796</v>
      </c>
      <c r="B493" t="s">
        <v>1797</v>
      </c>
      <c r="C493" t="s">
        <v>81</v>
      </c>
      <c r="D493">
        <v>128.58000000000001</v>
      </c>
      <c r="E493">
        <v>9000</v>
      </c>
      <c r="F493" t="s">
        <v>51</v>
      </c>
      <c r="G493" t="s">
        <v>32</v>
      </c>
      <c r="H493" t="s">
        <v>33</v>
      </c>
      <c r="I493" t="s">
        <v>34</v>
      </c>
      <c r="J493" t="s">
        <v>45</v>
      </c>
      <c r="K493" t="s">
        <v>46</v>
      </c>
      <c r="L493">
        <v>23</v>
      </c>
      <c r="M493" t="s">
        <v>1798</v>
      </c>
      <c r="N493" t="s">
        <v>1799</v>
      </c>
    </row>
    <row r="494" spans="1:14" x14ac:dyDescent="0.35">
      <c r="A494" t="s">
        <v>1800</v>
      </c>
      <c r="B494" t="s">
        <v>1801</v>
      </c>
      <c r="C494" t="s">
        <v>30</v>
      </c>
      <c r="D494">
        <v>122.21</v>
      </c>
      <c r="E494">
        <v>12000</v>
      </c>
      <c r="F494" t="s">
        <v>64</v>
      </c>
      <c r="G494" t="s">
        <v>32</v>
      </c>
      <c r="H494" t="s">
        <v>33</v>
      </c>
      <c r="I494" t="s">
        <v>44</v>
      </c>
      <c r="J494" t="s">
        <v>830</v>
      </c>
      <c r="K494" t="s">
        <v>51</v>
      </c>
      <c r="L494">
        <v>2</v>
      </c>
      <c r="M494" t="s">
        <v>1538</v>
      </c>
      <c r="N494" t="s">
        <v>1802</v>
      </c>
    </row>
    <row r="495" spans="1:14" x14ac:dyDescent="0.35">
      <c r="A495" t="s">
        <v>1803</v>
      </c>
      <c r="B495" t="s">
        <v>1804</v>
      </c>
      <c r="C495" t="s">
        <v>116</v>
      </c>
      <c r="D495">
        <v>7.85</v>
      </c>
      <c r="E495">
        <v>500</v>
      </c>
      <c r="F495" t="s">
        <v>106</v>
      </c>
      <c r="G495" t="s">
        <v>32</v>
      </c>
      <c r="H495" t="s">
        <v>33</v>
      </c>
      <c r="I495" t="s">
        <v>34</v>
      </c>
      <c r="J495" t="s">
        <v>92</v>
      </c>
      <c r="K495" t="s">
        <v>51</v>
      </c>
      <c r="L495">
        <v>21</v>
      </c>
      <c r="M495" t="s">
        <v>478</v>
      </c>
      <c r="N495" t="s">
        <v>642</v>
      </c>
    </row>
    <row r="496" spans="1:14" x14ac:dyDescent="0.35">
      <c r="A496" t="s">
        <v>1805</v>
      </c>
      <c r="B496" t="s">
        <v>1806</v>
      </c>
      <c r="C496" t="s">
        <v>41</v>
      </c>
      <c r="D496">
        <v>137.09</v>
      </c>
      <c r="E496">
        <v>27000</v>
      </c>
      <c r="F496" t="s">
        <v>123</v>
      </c>
      <c r="G496" t="s">
        <v>32</v>
      </c>
      <c r="H496" t="s">
        <v>43</v>
      </c>
      <c r="I496" t="s">
        <v>34</v>
      </c>
      <c r="J496" t="s">
        <v>1807</v>
      </c>
      <c r="K496" t="s">
        <v>139</v>
      </c>
      <c r="L496">
        <v>17</v>
      </c>
      <c r="M496" t="s">
        <v>524</v>
      </c>
      <c r="N496" t="s">
        <v>48</v>
      </c>
    </row>
    <row r="497" spans="1:14" x14ac:dyDescent="0.35">
      <c r="A497" t="s">
        <v>1808</v>
      </c>
      <c r="B497" t="s">
        <v>1809</v>
      </c>
      <c r="C497" t="s">
        <v>116</v>
      </c>
      <c r="D497">
        <v>11.96</v>
      </c>
      <c r="E497">
        <v>500</v>
      </c>
      <c r="F497" t="s">
        <v>31</v>
      </c>
      <c r="G497" t="s">
        <v>32</v>
      </c>
      <c r="H497" t="s">
        <v>43</v>
      </c>
      <c r="I497" t="s">
        <v>44</v>
      </c>
      <c r="J497" t="s">
        <v>118</v>
      </c>
      <c r="K497" t="s">
        <v>42</v>
      </c>
      <c r="L497">
        <v>1</v>
      </c>
      <c r="M497" t="s">
        <v>738</v>
      </c>
      <c r="N497" t="s">
        <v>1810</v>
      </c>
    </row>
    <row r="498" spans="1:14" x14ac:dyDescent="0.35">
      <c r="A498" t="s">
        <v>1811</v>
      </c>
      <c r="B498" t="s">
        <v>1812</v>
      </c>
      <c r="C498" t="s">
        <v>69</v>
      </c>
      <c r="D498">
        <v>79.459999999999994</v>
      </c>
      <c r="E498">
        <v>45000</v>
      </c>
      <c r="F498" t="s">
        <v>36</v>
      </c>
      <c r="G498" t="s">
        <v>32</v>
      </c>
      <c r="H498" t="s">
        <v>43</v>
      </c>
      <c r="I498" t="s">
        <v>44</v>
      </c>
      <c r="J498" t="s">
        <v>45</v>
      </c>
      <c r="K498" t="s">
        <v>46</v>
      </c>
      <c r="L498">
        <v>16</v>
      </c>
      <c r="M498" t="s">
        <v>1813</v>
      </c>
      <c r="N498" t="s">
        <v>1295</v>
      </c>
    </row>
    <row r="499" spans="1:14" x14ac:dyDescent="0.35">
      <c r="A499" t="s">
        <v>1814</v>
      </c>
      <c r="B499" t="s">
        <v>1815</v>
      </c>
      <c r="C499" t="s">
        <v>41</v>
      </c>
      <c r="D499">
        <v>80.66</v>
      </c>
      <c r="E499">
        <v>13000</v>
      </c>
      <c r="F499" t="s">
        <v>76</v>
      </c>
      <c r="G499" t="s">
        <v>32</v>
      </c>
      <c r="H499" t="s">
        <v>33</v>
      </c>
      <c r="J499" t="s">
        <v>1816</v>
      </c>
      <c r="K499" t="s">
        <v>236</v>
      </c>
      <c r="L499">
        <v>8</v>
      </c>
      <c r="M499" t="s">
        <v>308</v>
      </c>
      <c r="N499" t="s">
        <v>1817</v>
      </c>
    </row>
    <row r="500" spans="1:14" x14ac:dyDescent="0.35">
      <c r="A500" t="s">
        <v>1818</v>
      </c>
      <c r="B500" t="s">
        <v>1819</v>
      </c>
      <c r="C500" t="s">
        <v>116</v>
      </c>
      <c r="D500">
        <v>9.9600000000000009</v>
      </c>
      <c r="E500">
        <v>100</v>
      </c>
      <c r="F500" t="s">
        <v>36</v>
      </c>
      <c r="G500" t="s">
        <v>32</v>
      </c>
      <c r="H500" t="s">
        <v>33</v>
      </c>
      <c r="I500" t="s">
        <v>34</v>
      </c>
      <c r="J500" t="s">
        <v>63</v>
      </c>
      <c r="K500" t="s">
        <v>64</v>
      </c>
      <c r="L500">
        <v>15</v>
      </c>
      <c r="N500" t="s">
        <v>1820</v>
      </c>
    </row>
    <row r="501" spans="1:14" x14ac:dyDescent="0.35">
      <c r="A501" t="s">
        <v>1821</v>
      </c>
      <c r="B501" t="s">
        <v>1822</v>
      </c>
      <c r="C501" t="s">
        <v>81</v>
      </c>
      <c r="D501">
        <v>133.61000000000001</v>
      </c>
      <c r="E501">
        <v>3000</v>
      </c>
      <c r="F501" t="s">
        <v>36</v>
      </c>
      <c r="G501" t="s">
        <v>102</v>
      </c>
      <c r="H501" t="s">
        <v>57</v>
      </c>
      <c r="I501" t="s">
        <v>129</v>
      </c>
      <c r="J501" t="s">
        <v>107</v>
      </c>
      <c r="K501" t="s">
        <v>87</v>
      </c>
      <c r="L501">
        <v>14</v>
      </c>
      <c r="M501" t="s">
        <v>752</v>
      </c>
      <c r="N501" t="s">
        <v>1820</v>
      </c>
    </row>
    <row r="502" spans="1:14" x14ac:dyDescent="0.35">
      <c r="A502" t="s">
        <v>1823</v>
      </c>
      <c r="B502" t="s">
        <v>1824</v>
      </c>
      <c r="C502" t="s">
        <v>41</v>
      </c>
      <c r="D502">
        <v>120.97</v>
      </c>
      <c r="E502">
        <v>26000</v>
      </c>
      <c r="F502" t="s">
        <v>117</v>
      </c>
      <c r="G502" t="s">
        <v>32</v>
      </c>
      <c r="H502" t="s">
        <v>57</v>
      </c>
      <c r="J502" t="s">
        <v>118</v>
      </c>
      <c r="K502" t="s">
        <v>42</v>
      </c>
      <c r="L502">
        <v>16</v>
      </c>
      <c r="N502" t="s">
        <v>795</v>
      </c>
    </row>
    <row r="503" spans="1:14" x14ac:dyDescent="0.35">
      <c r="A503" t="s">
        <v>1825</v>
      </c>
      <c r="B503" t="s">
        <v>1826</v>
      </c>
      <c r="C503" t="s">
        <v>69</v>
      </c>
      <c r="D503">
        <v>91.63</v>
      </c>
      <c r="E503">
        <v>22000</v>
      </c>
      <c r="F503" t="s">
        <v>76</v>
      </c>
      <c r="G503" t="s">
        <v>32</v>
      </c>
      <c r="H503" t="s">
        <v>43</v>
      </c>
      <c r="J503" t="s">
        <v>1827</v>
      </c>
      <c r="K503" t="s">
        <v>51</v>
      </c>
      <c r="L503">
        <v>6</v>
      </c>
      <c r="M503" t="s">
        <v>1828</v>
      </c>
      <c r="N503" t="s">
        <v>1829</v>
      </c>
    </row>
    <row r="504" spans="1:14" x14ac:dyDescent="0.35">
      <c r="A504" t="s">
        <v>1830</v>
      </c>
      <c r="B504" t="s">
        <v>1831</v>
      </c>
      <c r="C504" t="s">
        <v>81</v>
      </c>
      <c r="D504">
        <v>73.34</v>
      </c>
      <c r="E504">
        <v>1000</v>
      </c>
      <c r="F504" t="s">
        <v>31</v>
      </c>
      <c r="G504" t="s">
        <v>32</v>
      </c>
      <c r="H504" t="s">
        <v>57</v>
      </c>
      <c r="I504" t="s">
        <v>34</v>
      </c>
      <c r="J504" t="s">
        <v>45</v>
      </c>
      <c r="K504" t="s">
        <v>46</v>
      </c>
      <c r="L504">
        <v>7</v>
      </c>
      <c r="M504" t="s">
        <v>1832</v>
      </c>
      <c r="N504" t="s">
        <v>141</v>
      </c>
    </row>
    <row r="505" spans="1:14" x14ac:dyDescent="0.35">
      <c r="A505" t="s">
        <v>1833</v>
      </c>
      <c r="B505" t="s">
        <v>1834</v>
      </c>
      <c r="C505" t="s">
        <v>69</v>
      </c>
      <c r="D505">
        <v>74.709999999999994</v>
      </c>
      <c r="E505">
        <v>12000</v>
      </c>
      <c r="F505" t="s">
        <v>64</v>
      </c>
      <c r="G505" t="s">
        <v>32</v>
      </c>
      <c r="H505" t="s">
        <v>33</v>
      </c>
      <c r="I505" t="s">
        <v>129</v>
      </c>
      <c r="J505" t="s">
        <v>1816</v>
      </c>
      <c r="K505" t="s">
        <v>236</v>
      </c>
      <c r="L505">
        <v>19</v>
      </c>
      <c r="M505" t="s">
        <v>1835</v>
      </c>
      <c r="N505" t="s">
        <v>1836</v>
      </c>
    </row>
    <row r="506" spans="1:14" x14ac:dyDescent="0.35">
      <c r="A506" t="s">
        <v>1837</v>
      </c>
      <c r="B506" t="s">
        <v>1838</v>
      </c>
      <c r="C506" t="s">
        <v>41</v>
      </c>
      <c r="D506">
        <v>150.77000000000001</v>
      </c>
      <c r="E506">
        <v>18000</v>
      </c>
      <c r="F506" t="s">
        <v>74</v>
      </c>
      <c r="G506" t="s">
        <v>32</v>
      </c>
      <c r="H506" t="s">
        <v>43</v>
      </c>
      <c r="J506" t="s">
        <v>334</v>
      </c>
      <c r="K506" t="s">
        <v>51</v>
      </c>
      <c r="L506">
        <v>6</v>
      </c>
      <c r="M506" t="s">
        <v>1839</v>
      </c>
      <c r="N506" t="s">
        <v>217</v>
      </c>
    </row>
    <row r="507" spans="1:14" x14ac:dyDescent="0.35">
      <c r="A507" t="s">
        <v>1840</v>
      </c>
      <c r="B507" t="s">
        <v>1841</v>
      </c>
      <c r="C507" t="s">
        <v>41</v>
      </c>
      <c r="D507">
        <v>133.6</v>
      </c>
      <c r="E507">
        <v>12000</v>
      </c>
      <c r="F507" t="s">
        <v>106</v>
      </c>
      <c r="G507" t="s">
        <v>32</v>
      </c>
      <c r="H507" t="s">
        <v>33</v>
      </c>
      <c r="I507" t="s">
        <v>44</v>
      </c>
      <c r="J507" t="s">
        <v>1842</v>
      </c>
      <c r="K507" t="s">
        <v>139</v>
      </c>
      <c r="L507">
        <v>5</v>
      </c>
      <c r="M507" t="s">
        <v>1158</v>
      </c>
      <c r="N507" t="s">
        <v>1033</v>
      </c>
    </row>
    <row r="508" spans="1:14" x14ac:dyDescent="0.35">
      <c r="A508" t="s">
        <v>1843</v>
      </c>
      <c r="B508" t="s">
        <v>1844</v>
      </c>
      <c r="C508" t="s">
        <v>30</v>
      </c>
      <c r="D508">
        <v>130.06</v>
      </c>
      <c r="E508">
        <v>17000</v>
      </c>
      <c r="F508" t="s">
        <v>74</v>
      </c>
      <c r="G508" t="s">
        <v>32</v>
      </c>
      <c r="H508" t="s">
        <v>33</v>
      </c>
      <c r="I508" t="s">
        <v>44</v>
      </c>
      <c r="J508" t="s">
        <v>124</v>
      </c>
      <c r="K508" t="s">
        <v>117</v>
      </c>
      <c r="L508">
        <v>6</v>
      </c>
      <c r="N508" t="s">
        <v>956</v>
      </c>
    </row>
    <row r="509" spans="1:14" x14ac:dyDescent="0.35">
      <c r="A509" t="s">
        <v>1845</v>
      </c>
      <c r="B509" t="s">
        <v>1846</v>
      </c>
      <c r="C509" t="s">
        <v>69</v>
      </c>
      <c r="D509">
        <v>68.89</v>
      </c>
      <c r="E509">
        <v>86000</v>
      </c>
      <c r="F509" t="s">
        <v>139</v>
      </c>
      <c r="G509" t="s">
        <v>32</v>
      </c>
      <c r="H509" t="s">
        <v>43</v>
      </c>
      <c r="J509" t="s">
        <v>70</v>
      </c>
      <c r="K509" t="s">
        <v>31</v>
      </c>
      <c r="L509">
        <v>10</v>
      </c>
      <c r="M509" t="s">
        <v>279</v>
      </c>
      <c r="N509" t="s">
        <v>1847</v>
      </c>
    </row>
    <row r="510" spans="1:14" x14ac:dyDescent="0.35">
      <c r="A510" t="s">
        <v>1848</v>
      </c>
      <c r="B510" t="s">
        <v>1849</v>
      </c>
      <c r="C510" t="s">
        <v>116</v>
      </c>
      <c r="D510">
        <v>6.85</v>
      </c>
      <c r="E510">
        <v>200</v>
      </c>
      <c r="F510" t="s">
        <v>51</v>
      </c>
      <c r="G510" t="s">
        <v>32</v>
      </c>
      <c r="H510" t="s">
        <v>57</v>
      </c>
      <c r="I510" t="s">
        <v>44</v>
      </c>
      <c r="J510" t="s">
        <v>118</v>
      </c>
      <c r="K510" t="s">
        <v>42</v>
      </c>
      <c r="L510">
        <v>8</v>
      </c>
      <c r="M510" t="s">
        <v>1414</v>
      </c>
      <c r="N510" t="s">
        <v>144</v>
      </c>
    </row>
    <row r="511" spans="1:14" x14ac:dyDescent="0.35">
      <c r="A511" t="s">
        <v>1850</v>
      </c>
      <c r="B511" t="s">
        <v>1851</v>
      </c>
      <c r="C511" t="s">
        <v>116</v>
      </c>
      <c r="D511">
        <v>9.34</v>
      </c>
      <c r="E511">
        <v>200</v>
      </c>
      <c r="F511" t="s">
        <v>117</v>
      </c>
      <c r="G511" t="s">
        <v>32</v>
      </c>
      <c r="H511" t="s">
        <v>43</v>
      </c>
      <c r="I511" t="s">
        <v>34</v>
      </c>
      <c r="J511" t="s">
        <v>1852</v>
      </c>
      <c r="K511" t="s">
        <v>147</v>
      </c>
      <c r="L511">
        <v>1</v>
      </c>
      <c r="N511" t="s">
        <v>336</v>
      </c>
    </row>
    <row r="512" spans="1:14" x14ac:dyDescent="0.35">
      <c r="A512" t="s">
        <v>1853</v>
      </c>
      <c r="B512" t="s">
        <v>1854</v>
      </c>
      <c r="C512" t="s">
        <v>81</v>
      </c>
      <c r="D512">
        <v>129.38</v>
      </c>
      <c r="E512">
        <v>2000</v>
      </c>
      <c r="F512" t="s">
        <v>147</v>
      </c>
      <c r="G512" t="s">
        <v>32</v>
      </c>
      <c r="H512" t="s">
        <v>33</v>
      </c>
      <c r="I512" t="s">
        <v>44</v>
      </c>
      <c r="J512" t="s">
        <v>1071</v>
      </c>
      <c r="K512" t="s">
        <v>236</v>
      </c>
      <c r="L512">
        <v>19</v>
      </c>
      <c r="M512" t="s">
        <v>1855</v>
      </c>
      <c r="N512" t="s">
        <v>1856</v>
      </c>
    </row>
    <row r="513" spans="1:14" x14ac:dyDescent="0.35">
      <c r="A513" t="s">
        <v>1857</v>
      </c>
      <c r="B513" t="s">
        <v>1858</v>
      </c>
      <c r="C513" t="s">
        <v>116</v>
      </c>
      <c r="D513">
        <v>9.39</v>
      </c>
      <c r="E513">
        <v>600</v>
      </c>
      <c r="F513" t="s">
        <v>51</v>
      </c>
      <c r="G513" t="s">
        <v>32</v>
      </c>
      <c r="H513" t="s">
        <v>33</v>
      </c>
      <c r="I513" t="s">
        <v>44</v>
      </c>
      <c r="J513" t="s">
        <v>75</v>
      </c>
      <c r="K513" t="s">
        <v>76</v>
      </c>
      <c r="L513">
        <v>17</v>
      </c>
      <c r="N513" t="s">
        <v>1859</v>
      </c>
    </row>
    <row r="514" spans="1:14" x14ac:dyDescent="0.35">
      <c r="A514" t="s">
        <v>1860</v>
      </c>
      <c r="B514" t="s">
        <v>1861</v>
      </c>
      <c r="C514" t="s">
        <v>62</v>
      </c>
      <c r="D514">
        <v>69.239999999999995</v>
      </c>
      <c r="E514">
        <v>3000</v>
      </c>
      <c r="F514" t="s">
        <v>147</v>
      </c>
      <c r="G514" t="s">
        <v>32</v>
      </c>
      <c r="H514" t="s">
        <v>57</v>
      </c>
      <c r="J514" t="s">
        <v>235</v>
      </c>
      <c r="K514" t="s">
        <v>236</v>
      </c>
      <c r="L514">
        <v>10</v>
      </c>
      <c r="M514" t="s">
        <v>1294</v>
      </c>
      <c r="N514" t="s">
        <v>1415</v>
      </c>
    </row>
    <row r="515" spans="1:14" x14ac:dyDescent="0.35">
      <c r="A515" t="s">
        <v>1862</v>
      </c>
      <c r="B515" t="s">
        <v>1863</v>
      </c>
      <c r="C515" t="s">
        <v>81</v>
      </c>
      <c r="D515">
        <v>131.11000000000001</v>
      </c>
      <c r="E515">
        <v>5000</v>
      </c>
      <c r="F515" t="s">
        <v>87</v>
      </c>
      <c r="G515" t="s">
        <v>32</v>
      </c>
      <c r="H515" t="s">
        <v>43</v>
      </c>
      <c r="I515" t="s">
        <v>34</v>
      </c>
      <c r="J515" t="s">
        <v>991</v>
      </c>
      <c r="K515" t="s">
        <v>147</v>
      </c>
      <c r="L515">
        <v>4</v>
      </c>
      <c r="N515" t="s">
        <v>1864</v>
      </c>
    </row>
    <row r="516" spans="1:14" x14ac:dyDescent="0.35">
      <c r="A516" t="s">
        <v>1865</v>
      </c>
      <c r="B516" t="s">
        <v>1866</v>
      </c>
      <c r="C516" t="s">
        <v>62</v>
      </c>
      <c r="D516">
        <v>98.58</v>
      </c>
      <c r="E516">
        <v>5000</v>
      </c>
      <c r="F516" t="s">
        <v>36</v>
      </c>
      <c r="G516" t="s">
        <v>32</v>
      </c>
      <c r="H516" t="s">
        <v>57</v>
      </c>
      <c r="I516" t="s">
        <v>44</v>
      </c>
      <c r="J516" t="s">
        <v>124</v>
      </c>
      <c r="K516" t="s">
        <v>117</v>
      </c>
      <c r="L516">
        <v>22</v>
      </c>
      <c r="M516" t="s">
        <v>1867</v>
      </c>
      <c r="N516" t="s">
        <v>1868</v>
      </c>
    </row>
    <row r="517" spans="1:14" x14ac:dyDescent="0.35">
      <c r="A517" t="s">
        <v>1869</v>
      </c>
      <c r="B517" t="s">
        <v>1870</v>
      </c>
      <c r="C517" t="s">
        <v>62</v>
      </c>
      <c r="D517">
        <v>70.77</v>
      </c>
      <c r="E517">
        <v>1000</v>
      </c>
      <c r="F517" t="s">
        <v>74</v>
      </c>
      <c r="G517" t="s">
        <v>32</v>
      </c>
      <c r="H517" t="s">
        <v>33</v>
      </c>
      <c r="I517" t="s">
        <v>44</v>
      </c>
      <c r="J517" t="s">
        <v>75</v>
      </c>
      <c r="K517" t="s">
        <v>76</v>
      </c>
      <c r="L517">
        <v>13</v>
      </c>
      <c r="N517" t="s">
        <v>715</v>
      </c>
    </row>
    <row r="518" spans="1:14" x14ac:dyDescent="0.35">
      <c r="A518" t="s">
        <v>1871</v>
      </c>
      <c r="B518" t="s">
        <v>1872</v>
      </c>
      <c r="C518" t="s">
        <v>62</v>
      </c>
      <c r="D518">
        <v>79.59</v>
      </c>
      <c r="E518">
        <v>5000</v>
      </c>
      <c r="F518" t="s">
        <v>117</v>
      </c>
      <c r="G518" t="s">
        <v>32</v>
      </c>
      <c r="H518" t="s">
        <v>43</v>
      </c>
      <c r="I518" t="s">
        <v>44</v>
      </c>
      <c r="J518" t="s">
        <v>70</v>
      </c>
      <c r="K518" t="s">
        <v>31</v>
      </c>
      <c r="L518">
        <v>12</v>
      </c>
      <c r="M518" t="s">
        <v>1873</v>
      </c>
      <c r="N518" t="s">
        <v>1874</v>
      </c>
    </row>
    <row r="519" spans="1:14" x14ac:dyDescent="0.35">
      <c r="A519" t="s">
        <v>1875</v>
      </c>
      <c r="B519" t="s">
        <v>1876</v>
      </c>
      <c r="C519" t="s">
        <v>116</v>
      </c>
      <c r="D519">
        <v>7.09</v>
      </c>
      <c r="E519">
        <v>400</v>
      </c>
      <c r="F519" t="s">
        <v>51</v>
      </c>
      <c r="G519" t="s">
        <v>32</v>
      </c>
      <c r="H519" t="s">
        <v>57</v>
      </c>
      <c r="I519" t="s">
        <v>34</v>
      </c>
      <c r="J519" t="s">
        <v>112</v>
      </c>
      <c r="K519" t="s">
        <v>106</v>
      </c>
      <c r="L519">
        <v>20</v>
      </c>
      <c r="N519" t="s">
        <v>1240</v>
      </c>
    </row>
    <row r="520" spans="1:14" x14ac:dyDescent="0.35">
      <c r="A520" t="s">
        <v>1877</v>
      </c>
      <c r="B520" t="s">
        <v>1878</v>
      </c>
      <c r="C520" t="s">
        <v>30</v>
      </c>
      <c r="D520">
        <v>187.29</v>
      </c>
      <c r="E520">
        <v>9000</v>
      </c>
      <c r="F520" t="s">
        <v>139</v>
      </c>
      <c r="G520" t="s">
        <v>32</v>
      </c>
      <c r="H520" t="s">
        <v>33</v>
      </c>
      <c r="I520" t="s">
        <v>44</v>
      </c>
      <c r="J520" t="s">
        <v>118</v>
      </c>
      <c r="K520" t="s">
        <v>42</v>
      </c>
      <c r="L520">
        <v>10</v>
      </c>
      <c r="M520" t="s">
        <v>98</v>
      </c>
      <c r="N520" t="s">
        <v>1879</v>
      </c>
    </row>
    <row r="521" spans="1:14" x14ac:dyDescent="0.35">
      <c r="A521" t="s">
        <v>1880</v>
      </c>
      <c r="B521" t="s">
        <v>1881</v>
      </c>
      <c r="C521" t="s">
        <v>69</v>
      </c>
      <c r="D521">
        <v>69.39</v>
      </c>
      <c r="E521">
        <v>89000</v>
      </c>
      <c r="F521" t="s">
        <v>147</v>
      </c>
      <c r="G521" t="s">
        <v>102</v>
      </c>
      <c r="H521" t="s">
        <v>33</v>
      </c>
      <c r="I521" t="s">
        <v>44</v>
      </c>
      <c r="J521" t="s">
        <v>112</v>
      </c>
      <c r="K521" t="s">
        <v>106</v>
      </c>
      <c r="L521">
        <v>5</v>
      </c>
      <c r="N521" t="s">
        <v>1882</v>
      </c>
    </row>
    <row r="522" spans="1:14" x14ac:dyDescent="0.35">
      <c r="A522" t="s">
        <v>1883</v>
      </c>
      <c r="B522" t="s">
        <v>1884</v>
      </c>
      <c r="C522" t="s">
        <v>30</v>
      </c>
      <c r="D522">
        <v>115.94</v>
      </c>
      <c r="E522">
        <v>10000</v>
      </c>
      <c r="F522" t="s">
        <v>36</v>
      </c>
      <c r="G522" t="s">
        <v>32</v>
      </c>
      <c r="H522" t="s">
        <v>43</v>
      </c>
      <c r="I522" t="s">
        <v>44</v>
      </c>
      <c r="J522" t="s">
        <v>112</v>
      </c>
      <c r="K522" t="s">
        <v>106</v>
      </c>
      <c r="L522">
        <v>7</v>
      </c>
      <c r="N522" t="s">
        <v>1885</v>
      </c>
    </row>
    <row r="523" spans="1:14" x14ac:dyDescent="0.35">
      <c r="A523" t="s">
        <v>1886</v>
      </c>
      <c r="B523" t="s">
        <v>1887</v>
      </c>
      <c r="C523" t="s">
        <v>116</v>
      </c>
      <c r="D523">
        <v>7.09</v>
      </c>
      <c r="E523">
        <v>100</v>
      </c>
      <c r="F523" t="s">
        <v>51</v>
      </c>
      <c r="G523" t="s">
        <v>32</v>
      </c>
      <c r="H523" t="s">
        <v>57</v>
      </c>
      <c r="I523" t="s">
        <v>44</v>
      </c>
      <c r="J523" t="s">
        <v>124</v>
      </c>
      <c r="K523" t="s">
        <v>117</v>
      </c>
      <c r="L523">
        <v>12</v>
      </c>
      <c r="M523" t="s">
        <v>1228</v>
      </c>
      <c r="N523" t="s">
        <v>1888</v>
      </c>
    </row>
    <row r="524" spans="1:14" x14ac:dyDescent="0.35">
      <c r="A524" t="s">
        <v>1889</v>
      </c>
      <c r="B524" t="s">
        <v>1890</v>
      </c>
      <c r="C524" t="s">
        <v>116</v>
      </c>
      <c r="D524">
        <v>6.89</v>
      </c>
      <c r="E524">
        <v>100</v>
      </c>
      <c r="F524" t="s">
        <v>236</v>
      </c>
      <c r="G524" t="s">
        <v>32</v>
      </c>
      <c r="H524" t="s">
        <v>43</v>
      </c>
      <c r="I524" t="s">
        <v>34</v>
      </c>
      <c r="J524" t="s">
        <v>130</v>
      </c>
      <c r="K524" t="s">
        <v>123</v>
      </c>
      <c r="L524">
        <v>9</v>
      </c>
      <c r="N524" t="s">
        <v>1891</v>
      </c>
    </row>
    <row r="525" spans="1:14" x14ac:dyDescent="0.35">
      <c r="A525" t="s">
        <v>1892</v>
      </c>
      <c r="B525" t="s">
        <v>1893</v>
      </c>
      <c r="C525" t="s">
        <v>81</v>
      </c>
      <c r="D525">
        <v>132.66</v>
      </c>
      <c r="E525">
        <v>9000</v>
      </c>
      <c r="F525" t="s">
        <v>51</v>
      </c>
      <c r="G525" t="s">
        <v>32</v>
      </c>
      <c r="H525" t="s">
        <v>43</v>
      </c>
      <c r="J525" t="s">
        <v>70</v>
      </c>
      <c r="K525" t="s">
        <v>31</v>
      </c>
      <c r="L525">
        <v>3</v>
      </c>
      <c r="M525" t="s">
        <v>911</v>
      </c>
      <c r="N525" t="s">
        <v>529</v>
      </c>
    </row>
    <row r="526" spans="1:14" x14ac:dyDescent="0.35">
      <c r="A526" t="s">
        <v>1894</v>
      </c>
      <c r="B526" t="s">
        <v>1895</v>
      </c>
      <c r="C526" t="s">
        <v>41</v>
      </c>
      <c r="D526">
        <v>129.13</v>
      </c>
      <c r="E526">
        <v>10000</v>
      </c>
      <c r="F526" t="s">
        <v>147</v>
      </c>
      <c r="G526" t="s">
        <v>32</v>
      </c>
      <c r="H526" t="s">
        <v>33</v>
      </c>
      <c r="I526" t="s">
        <v>34</v>
      </c>
      <c r="J526" t="s">
        <v>1896</v>
      </c>
      <c r="K526" t="s">
        <v>97</v>
      </c>
      <c r="L526">
        <v>2</v>
      </c>
      <c r="M526" t="s">
        <v>274</v>
      </c>
      <c r="N526" t="s">
        <v>1331</v>
      </c>
    </row>
    <row r="527" spans="1:14" x14ac:dyDescent="0.35">
      <c r="A527" t="s">
        <v>1897</v>
      </c>
      <c r="B527" t="s">
        <v>1898</v>
      </c>
      <c r="C527" t="s">
        <v>30</v>
      </c>
      <c r="D527">
        <v>135.76</v>
      </c>
      <c r="E527">
        <v>17000</v>
      </c>
      <c r="F527" t="s">
        <v>64</v>
      </c>
      <c r="G527" t="s">
        <v>32</v>
      </c>
      <c r="H527" t="s">
        <v>43</v>
      </c>
      <c r="J527" t="s">
        <v>334</v>
      </c>
      <c r="K527" t="s">
        <v>51</v>
      </c>
      <c r="L527">
        <v>23</v>
      </c>
      <c r="N527" t="s">
        <v>1773</v>
      </c>
    </row>
    <row r="528" spans="1:14" x14ac:dyDescent="0.35">
      <c r="A528" t="s">
        <v>1899</v>
      </c>
      <c r="B528" t="s">
        <v>1900</v>
      </c>
      <c r="C528" t="s">
        <v>30</v>
      </c>
      <c r="D528">
        <v>193.41</v>
      </c>
      <c r="E528">
        <v>8000</v>
      </c>
      <c r="F528" t="s">
        <v>51</v>
      </c>
      <c r="G528" t="s">
        <v>32</v>
      </c>
      <c r="H528" t="s">
        <v>33</v>
      </c>
      <c r="I528" t="s">
        <v>44</v>
      </c>
      <c r="J528" t="s">
        <v>35</v>
      </c>
      <c r="K528" t="s">
        <v>36</v>
      </c>
      <c r="L528">
        <v>6</v>
      </c>
      <c r="M528" t="s">
        <v>1239</v>
      </c>
      <c r="N528" t="s">
        <v>1901</v>
      </c>
    </row>
    <row r="529" spans="1:14" x14ac:dyDescent="0.35">
      <c r="A529" t="s">
        <v>1902</v>
      </c>
      <c r="B529" t="s">
        <v>1903</v>
      </c>
      <c r="C529" t="s">
        <v>41</v>
      </c>
      <c r="D529">
        <v>142.44</v>
      </c>
      <c r="E529">
        <v>32000</v>
      </c>
      <c r="F529" t="s">
        <v>236</v>
      </c>
      <c r="G529" t="s">
        <v>32</v>
      </c>
      <c r="H529" t="s">
        <v>43</v>
      </c>
      <c r="I529" t="s">
        <v>44</v>
      </c>
      <c r="J529" t="s">
        <v>75</v>
      </c>
      <c r="K529" t="s">
        <v>76</v>
      </c>
      <c r="L529">
        <v>1</v>
      </c>
      <c r="N529" t="s">
        <v>1904</v>
      </c>
    </row>
    <row r="530" spans="1:14" x14ac:dyDescent="0.35">
      <c r="A530" t="s">
        <v>1905</v>
      </c>
      <c r="B530" t="s">
        <v>1906</v>
      </c>
      <c r="C530" t="s">
        <v>62</v>
      </c>
      <c r="D530">
        <v>71.58</v>
      </c>
      <c r="E530">
        <v>3000</v>
      </c>
      <c r="F530" t="s">
        <v>51</v>
      </c>
      <c r="G530" t="s">
        <v>32</v>
      </c>
      <c r="H530" t="s">
        <v>43</v>
      </c>
      <c r="J530" t="s">
        <v>70</v>
      </c>
      <c r="K530" t="s">
        <v>31</v>
      </c>
      <c r="L530">
        <v>20</v>
      </c>
      <c r="M530" t="s">
        <v>485</v>
      </c>
      <c r="N530" t="s">
        <v>1431</v>
      </c>
    </row>
    <row r="531" spans="1:14" x14ac:dyDescent="0.35">
      <c r="A531" t="s">
        <v>1907</v>
      </c>
      <c r="B531" t="s">
        <v>1908</v>
      </c>
      <c r="C531" t="s">
        <v>81</v>
      </c>
      <c r="D531">
        <v>81.459999999999994</v>
      </c>
      <c r="E531">
        <v>8000</v>
      </c>
      <c r="F531" t="s">
        <v>139</v>
      </c>
      <c r="G531" t="s">
        <v>32</v>
      </c>
      <c r="H531" t="s">
        <v>33</v>
      </c>
      <c r="I531" t="s">
        <v>44</v>
      </c>
      <c r="J531" t="s">
        <v>63</v>
      </c>
      <c r="K531" t="s">
        <v>64</v>
      </c>
      <c r="L531">
        <v>18</v>
      </c>
      <c r="M531" t="s">
        <v>1559</v>
      </c>
      <c r="N531" t="s">
        <v>1453</v>
      </c>
    </row>
    <row r="532" spans="1:14" x14ac:dyDescent="0.35">
      <c r="A532" t="s">
        <v>1909</v>
      </c>
      <c r="B532" t="s">
        <v>1910</v>
      </c>
      <c r="C532" t="s">
        <v>116</v>
      </c>
      <c r="D532">
        <v>10.48</v>
      </c>
      <c r="E532">
        <v>300</v>
      </c>
      <c r="F532" t="s">
        <v>147</v>
      </c>
      <c r="G532" t="s">
        <v>32</v>
      </c>
      <c r="H532" t="s">
        <v>43</v>
      </c>
      <c r="I532" t="s">
        <v>34</v>
      </c>
      <c r="J532" t="s">
        <v>63</v>
      </c>
      <c r="K532" t="s">
        <v>64</v>
      </c>
      <c r="L532">
        <v>1</v>
      </c>
      <c r="M532" t="s">
        <v>1911</v>
      </c>
      <c r="N532" t="s">
        <v>1912</v>
      </c>
    </row>
    <row r="533" spans="1:14" x14ac:dyDescent="0.35">
      <c r="A533" t="s">
        <v>1913</v>
      </c>
      <c r="B533" t="s">
        <v>1914</v>
      </c>
      <c r="C533" t="s">
        <v>30</v>
      </c>
      <c r="D533">
        <v>115.81</v>
      </c>
      <c r="E533">
        <v>1000</v>
      </c>
      <c r="F533" t="s">
        <v>87</v>
      </c>
      <c r="G533" t="s">
        <v>32</v>
      </c>
      <c r="H533" t="s">
        <v>33</v>
      </c>
      <c r="I533" t="s">
        <v>44</v>
      </c>
      <c r="J533" t="s">
        <v>75</v>
      </c>
      <c r="K533" t="s">
        <v>76</v>
      </c>
      <c r="L533">
        <v>23</v>
      </c>
      <c r="N533" t="s">
        <v>1915</v>
      </c>
    </row>
    <row r="534" spans="1:14" x14ac:dyDescent="0.35">
      <c r="A534" t="s">
        <v>1916</v>
      </c>
      <c r="B534" t="s">
        <v>1917</v>
      </c>
      <c r="C534" t="s">
        <v>62</v>
      </c>
      <c r="D534">
        <v>68.39</v>
      </c>
      <c r="E534">
        <v>5000</v>
      </c>
      <c r="F534" t="s">
        <v>76</v>
      </c>
      <c r="G534" t="s">
        <v>32</v>
      </c>
      <c r="H534" t="s">
        <v>57</v>
      </c>
      <c r="I534" t="s">
        <v>34</v>
      </c>
      <c r="J534" t="s">
        <v>1918</v>
      </c>
      <c r="K534" t="s">
        <v>31</v>
      </c>
      <c r="L534">
        <v>17</v>
      </c>
      <c r="M534" t="s">
        <v>1919</v>
      </c>
      <c r="N534" t="s">
        <v>370</v>
      </c>
    </row>
    <row r="535" spans="1:14" x14ac:dyDescent="0.35">
      <c r="A535" t="s">
        <v>1920</v>
      </c>
      <c r="B535" t="s">
        <v>1921</v>
      </c>
      <c r="C535" t="s">
        <v>69</v>
      </c>
      <c r="D535">
        <v>58.4</v>
      </c>
      <c r="E535">
        <v>90000</v>
      </c>
      <c r="F535" t="s">
        <v>106</v>
      </c>
      <c r="G535" t="s">
        <v>32</v>
      </c>
      <c r="H535" t="s">
        <v>43</v>
      </c>
      <c r="I535" t="s">
        <v>44</v>
      </c>
      <c r="J535" t="s">
        <v>124</v>
      </c>
      <c r="K535" t="s">
        <v>117</v>
      </c>
      <c r="L535">
        <v>13</v>
      </c>
      <c r="M535" t="s">
        <v>1625</v>
      </c>
      <c r="N535" t="s">
        <v>1922</v>
      </c>
    </row>
    <row r="536" spans="1:14" x14ac:dyDescent="0.35">
      <c r="A536" t="s">
        <v>1923</v>
      </c>
      <c r="B536" t="s">
        <v>1924</v>
      </c>
      <c r="C536" t="s">
        <v>116</v>
      </c>
      <c r="D536">
        <v>11.19</v>
      </c>
      <c r="E536">
        <v>700</v>
      </c>
      <c r="F536" t="s">
        <v>106</v>
      </c>
      <c r="G536" t="s">
        <v>32</v>
      </c>
      <c r="H536" t="s">
        <v>57</v>
      </c>
      <c r="I536" t="s">
        <v>34</v>
      </c>
      <c r="J536" t="s">
        <v>118</v>
      </c>
      <c r="K536" t="s">
        <v>42</v>
      </c>
      <c r="L536">
        <v>16</v>
      </c>
      <c r="M536" t="s">
        <v>616</v>
      </c>
      <c r="N536" t="s">
        <v>1925</v>
      </c>
    </row>
    <row r="537" spans="1:14" x14ac:dyDescent="0.35">
      <c r="A537" t="s">
        <v>1926</v>
      </c>
      <c r="B537" t="s">
        <v>1927</v>
      </c>
      <c r="C537" t="s">
        <v>41</v>
      </c>
      <c r="D537">
        <v>152.83000000000001</v>
      </c>
      <c r="E537">
        <v>15000</v>
      </c>
      <c r="F537" t="s">
        <v>42</v>
      </c>
      <c r="G537" t="s">
        <v>32</v>
      </c>
      <c r="H537" t="s">
        <v>57</v>
      </c>
      <c r="I537" t="s">
        <v>129</v>
      </c>
      <c r="J537" t="s">
        <v>209</v>
      </c>
      <c r="K537" t="s">
        <v>74</v>
      </c>
      <c r="L537">
        <v>16</v>
      </c>
      <c r="M537" t="s">
        <v>1928</v>
      </c>
      <c r="N537" t="s">
        <v>48</v>
      </c>
    </row>
    <row r="538" spans="1:14" x14ac:dyDescent="0.35">
      <c r="A538" t="s">
        <v>1929</v>
      </c>
      <c r="B538" t="s">
        <v>1930</v>
      </c>
      <c r="C538" t="s">
        <v>116</v>
      </c>
      <c r="D538">
        <v>10.59</v>
      </c>
      <c r="E538">
        <v>700</v>
      </c>
      <c r="F538" t="s">
        <v>42</v>
      </c>
      <c r="G538" t="s">
        <v>32</v>
      </c>
      <c r="H538" t="s">
        <v>33</v>
      </c>
      <c r="J538" t="s">
        <v>124</v>
      </c>
      <c r="K538" t="s">
        <v>117</v>
      </c>
      <c r="L538">
        <v>13</v>
      </c>
      <c r="M538" t="s">
        <v>1839</v>
      </c>
      <c r="N538" t="s">
        <v>1730</v>
      </c>
    </row>
    <row r="539" spans="1:14" x14ac:dyDescent="0.35">
      <c r="A539" t="s">
        <v>1931</v>
      </c>
      <c r="B539" t="s">
        <v>1932</v>
      </c>
      <c r="C539" t="s">
        <v>41</v>
      </c>
      <c r="D539">
        <v>139.37</v>
      </c>
      <c r="E539">
        <v>13000</v>
      </c>
      <c r="F539" t="s">
        <v>76</v>
      </c>
      <c r="G539" t="s">
        <v>32</v>
      </c>
      <c r="H539" t="s">
        <v>33</v>
      </c>
      <c r="I539" t="s">
        <v>44</v>
      </c>
      <c r="J539" t="s">
        <v>112</v>
      </c>
      <c r="K539" t="s">
        <v>106</v>
      </c>
      <c r="L539">
        <v>13</v>
      </c>
      <c r="M539" t="s">
        <v>1933</v>
      </c>
      <c r="N539" t="s">
        <v>1934</v>
      </c>
    </row>
    <row r="540" spans="1:14" x14ac:dyDescent="0.35">
      <c r="A540" t="s">
        <v>1935</v>
      </c>
      <c r="B540" t="s">
        <v>1936</v>
      </c>
      <c r="C540" t="s">
        <v>41</v>
      </c>
      <c r="D540">
        <v>148.58000000000001</v>
      </c>
      <c r="E540">
        <v>38000</v>
      </c>
      <c r="F540" t="s">
        <v>106</v>
      </c>
      <c r="G540" t="s">
        <v>32</v>
      </c>
      <c r="H540" t="s">
        <v>43</v>
      </c>
      <c r="I540" t="s">
        <v>44</v>
      </c>
      <c r="J540" t="s">
        <v>1937</v>
      </c>
      <c r="K540" t="s">
        <v>51</v>
      </c>
      <c r="L540">
        <v>8</v>
      </c>
      <c r="M540" t="s">
        <v>1476</v>
      </c>
      <c r="N540" t="s">
        <v>1938</v>
      </c>
    </row>
    <row r="541" spans="1:14" x14ac:dyDescent="0.35">
      <c r="A541" t="s">
        <v>1939</v>
      </c>
      <c r="B541" t="s">
        <v>1940</v>
      </c>
      <c r="C541" t="s">
        <v>62</v>
      </c>
      <c r="D541">
        <v>68.03</v>
      </c>
      <c r="E541">
        <v>2000</v>
      </c>
      <c r="F541" t="s">
        <v>51</v>
      </c>
      <c r="G541" t="s">
        <v>32</v>
      </c>
      <c r="H541" t="s">
        <v>43</v>
      </c>
      <c r="J541" t="s">
        <v>75</v>
      </c>
      <c r="K541" t="s">
        <v>76</v>
      </c>
      <c r="L541">
        <v>14</v>
      </c>
      <c r="M541" t="s">
        <v>1541</v>
      </c>
      <c r="N541" t="s">
        <v>1941</v>
      </c>
    </row>
    <row r="542" spans="1:14" x14ac:dyDescent="0.35">
      <c r="A542" t="s">
        <v>1942</v>
      </c>
      <c r="B542" t="s">
        <v>1943</v>
      </c>
      <c r="C542" t="s">
        <v>69</v>
      </c>
      <c r="D542">
        <v>65.41</v>
      </c>
      <c r="E542">
        <v>86000</v>
      </c>
      <c r="F542" t="s">
        <v>106</v>
      </c>
      <c r="G542" t="s">
        <v>32</v>
      </c>
      <c r="H542" t="s">
        <v>33</v>
      </c>
      <c r="I542" t="s">
        <v>44</v>
      </c>
      <c r="J542" t="s">
        <v>45</v>
      </c>
      <c r="K542" t="s">
        <v>46</v>
      </c>
      <c r="L542">
        <v>17</v>
      </c>
      <c r="M542" t="s">
        <v>258</v>
      </c>
      <c r="N542" t="s">
        <v>1944</v>
      </c>
    </row>
    <row r="543" spans="1:14" x14ac:dyDescent="0.35">
      <c r="A543" t="s">
        <v>1945</v>
      </c>
      <c r="B543" t="s">
        <v>1946</v>
      </c>
      <c r="C543" t="s">
        <v>69</v>
      </c>
      <c r="D543">
        <v>60.76</v>
      </c>
      <c r="E543">
        <v>67000</v>
      </c>
      <c r="F543" t="s">
        <v>139</v>
      </c>
      <c r="G543" t="s">
        <v>32</v>
      </c>
      <c r="H543" t="s">
        <v>33</v>
      </c>
      <c r="I543" t="s">
        <v>44</v>
      </c>
      <c r="J543" t="s">
        <v>477</v>
      </c>
      <c r="K543" t="s">
        <v>51</v>
      </c>
      <c r="L543">
        <v>15</v>
      </c>
      <c r="M543" t="s">
        <v>823</v>
      </c>
      <c r="N543" t="s">
        <v>1947</v>
      </c>
    </row>
    <row r="544" spans="1:14" x14ac:dyDescent="0.35">
      <c r="A544" t="s">
        <v>1948</v>
      </c>
      <c r="B544" t="s">
        <v>1949</v>
      </c>
      <c r="C544" t="s">
        <v>62</v>
      </c>
      <c r="D544">
        <v>80.040000000000006</v>
      </c>
      <c r="E544">
        <v>1000</v>
      </c>
      <c r="F544" t="s">
        <v>139</v>
      </c>
      <c r="G544" t="s">
        <v>32</v>
      </c>
      <c r="H544" t="s">
        <v>57</v>
      </c>
      <c r="J544" t="s">
        <v>1950</v>
      </c>
      <c r="K544" t="s">
        <v>42</v>
      </c>
      <c r="L544">
        <v>2</v>
      </c>
      <c r="M544" t="s">
        <v>223</v>
      </c>
      <c r="N544" t="s">
        <v>1229</v>
      </c>
    </row>
    <row r="545" spans="1:14" x14ac:dyDescent="0.35">
      <c r="A545" t="s">
        <v>1951</v>
      </c>
      <c r="B545" t="s">
        <v>1952</v>
      </c>
      <c r="C545" t="s">
        <v>69</v>
      </c>
      <c r="D545">
        <v>51.75</v>
      </c>
      <c r="E545">
        <v>13000</v>
      </c>
      <c r="F545" t="s">
        <v>76</v>
      </c>
      <c r="G545" t="s">
        <v>32</v>
      </c>
      <c r="H545" t="s">
        <v>57</v>
      </c>
      <c r="I545" t="s">
        <v>129</v>
      </c>
      <c r="J545" t="s">
        <v>130</v>
      </c>
      <c r="K545" t="s">
        <v>123</v>
      </c>
      <c r="L545">
        <v>20</v>
      </c>
      <c r="M545" t="s">
        <v>1953</v>
      </c>
      <c r="N545" t="s">
        <v>1954</v>
      </c>
    </row>
    <row r="546" spans="1:14" x14ac:dyDescent="0.35">
      <c r="A546" t="s">
        <v>1955</v>
      </c>
      <c r="B546" t="s">
        <v>1956</v>
      </c>
      <c r="C546" t="s">
        <v>41</v>
      </c>
      <c r="D546">
        <v>151.51</v>
      </c>
      <c r="E546">
        <v>36000</v>
      </c>
      <c r="F546" t="s">
        <v>31</v>
      </c>
      <c r="G546" t="s">
        <v>32</v>
      </c>
      <c r="H546" t="s">
        <v>43</v>
      </c>
      <c r="I546" t="s">
        <v>44</v>
      </c>
      <c r="J546" t="s">
        <v>45</v>
      </c>
      <c r="K546" t="s">
        <v>46</v>
      </c>
      <c r="L546">
        <v>15</v>
      </c>
      <c r="M546" t="s">
        <v>1957</v>
      </c>
      <c r="N546" t="s">
        <v>1958</v>
      </c>
    </row>
    <row r="547" spans="1:14" x14ac:dyDescent="0.35">
      <c r="A547" t="s">
        <v>1959</v>
      </c>
      <c r="B547" t="s">
        <v>1960</v>
      </c>
      <c r="C547" t="s">
        <v>116</v>
      </c>
      <c r="D547">
        <v>10.01</v>
      </c>
      <c r="E547">
        <v>700</v>
      </c>
      <c r="F547" t="s">
        <v>106</v>
      </c>
      <c r="G547" t="s">
        <v>32</v>
      </c>
      <c r="H547" t="s">
        <v>33</v>
      </c>
      <c r="I547" t="s">
        <v>44</v>
      </c>
      <c r="J547" t="s">
        <v>209</v>
      </c>
      <c r="K547" t="s">
        <v>74</v>
      </c>
      <c r="L547">
        <v>17</v>
      </c>
      <c r="N547" t="s">
        <v>1961</v>
      </c>
    </row>
    <row r="548" spans="1:14" x14ac:dyDescent="0.35">
      <c r="A548" t="s">
        <v>1962</v>
      </c>
      <c r="B548" t="s">
        <v>1963</v>
      </c>
      <c r="C548" t="s">
        <v>62</v>
      </c>
      <c r="D548">
        <v>55.37</v>
      </c>
      <c r="E548">
        <v>3000</v>
      </c>
      <c r="F548" t="s">
        <v>139</v>
      </c>
      <c r="G548" t="s">
        <v>32</v>
      </c>
      <c r="H548" t="s">
        <v>57</v>
      </c>
      <c r="I548" t="s">
        <v>44</v>
      </c>
      <c r="J548" t="s">
        <v>112</v>
      </c>
      <c r="K548" t="s">
        <v>106</v>
      </c>
      <c r="L548">
        <v>18</v>
      </c>
      <c r="M548" t="s">
        <v>1077</v>
      </c>
      <c r="N548" t="s">
        <v>1622</v>
      </c>
    </row>
    <row r="549" spans="1:14" x14ac:dyDescent="0.35">
      <c r="A549" t="s">
        <v>1964</v>
      </c>
      <c r="B549" t="s">
        <v>1965</v>
      </c>
      <c r="C549" t="s">
        <v>41</v>
      </c>
      <c r="D549">
        <v>84.37</v>
      </c>
      <c r="E549">
        <v>16000</v>
      </c>
      <c r="F549" t="s">
        <v>87</v>
      </c>
      <c r="G549" t="s">
        <v>32</v>
      </c>
      <c r="H549" t="s">
        <v>33</v>
      </c>
      <c r="I549" t="s">
        <v>44</v>
      </c>
      <c r="J549" t="s">
        <v>130</v>
      </c>
      <c r="K549" t="s">
        <v>123</v>
      </c>
      <c r="L549">
        <v>5</v>
      </c>
      <c r="M549" t="s">
        <v>1966</v>
      </c>
      <c r="N549" t="s">
        <v>1632</v>
      </c>
    </row>
    <row r="550" spans="1:14" x14ac:dyDescent="0.35">
      <c r="A550" t="s">
        <v>1967</v>
      </c>
      <c r="B550" t="s">
        <v>1968</v>
      </c>
      <c r="C550" t="s">
        <v>69</v>
      </c>
      <c r="D550">
        <v>58.29</v>
      </c>
      <c r="E550">
        <v>97000</v>
      </c>
      <c r="F550" t="s">
        <v>87</v>
      </c>
      <c r="G550" t="s">
        <v>32</v>
      </c>
      <c r="H550" t="s">
        <v>57</v>
      </c>
      <c r="I550" t="s">
        <v>44</v>
      </c>
      <c r="J550" t="s">
        <v>543</v>
      </c>
      <c r="K550" t="s">
        <v>51</v>
      </c>
      <c r="L550">
        <v>7</v>
      </c>
      <c r="N550" t="s">
        <v>126</v>
      </c>
    </row>
    <row r="551" spans="1:14" x14ac:dyDescent="0.35">
      <c r="A551" t="s">
        <v>1969</v>
      </c>
      <c r="B551" t="s">
        <v>1970</v>
      </c>
      <c r="C551" t="s">
        <v>69</v>
      </c>
      <c r="D551">
        <v>89.56</v>
      </c>
      <c r="E551">
        <v>18000</v>
      </c>
      <c r="F551" t="s">
        <v>97</v>
      </c>
      <c r="G551" t="s">
        <v>32</v>
      </c>
      <c r="H551" t="s">
        <v>33</v>
      </c>
      <c r="I551" t="s">
        <v>34</v>
      </c>
      <c r="J551" t="s">
        <v>112</v>
      </c>
      <c r="K551" t="s">
        <v>106</v>
      </c>
      <c r="L551">
        <v>23</v>
      </c>
      <c r="N551" t="s">
        <v>1971</v>
      </c>
    </row>
    <row r="552" spans="1:14" x14ac:dyDescent="0.35">
      <c r="A552" t="s">
        <v>1972</v>
      </c>
      <c r="B552" t="s">
        <v>1973</v>
      </c>
      <c r="C552" t="s">
        <v>116</v>
      </c>
      <c r="D552">
        <v>8.3800000000000008</v>
      </c>
      <c r="E552">
        <v>600</v>
      </c>
      <c r="F552" t="s">
        <v>147</v>
      </c>
      <c r="G552" t="s">
        <v>32</v>
      </c>
      <c r="H552" t="s">
        <v>43</v>
      </c>
      <c r="J552" t="s">
        <v>45</v>
      </c>
      <c r="K552" t="s">
        <v>46</v>
      </c>
      <c r="L552">
        <v>10</v>
      </c>
      <c r="M552" t="s">
        <v>658</v>
      </c>
      <c r="N552" t="s">
        <v>1974</v>
      </c>
    </row>
    <row r="553" spans="1:14" x14ac:dyDescent="0.35">
      <c r="A553" t="s">
        <v>1975</v>
      </c>
      <c r="B553" t="s">
        <v>1976</v>
      </c>
      <c r="C553" t="s">
        <v>30</v>
      </c>
      <c r="D553">
        <v>189.95</v>
      </c>
      <c r="E553">
        <v>1000</v>
      </c>
      <c r="F553" t="s">
        <v>51</v>
      </c>
      <c r="G553" t="s">
        <v>32</v>
      </c>
      <c r="H553" t="s">
        <v>43</v>
      </c>
      <c r="I553" t="s">
        <v>34</v>
      </c>
      <c r="J553" t="s">
        <v>35</v>
      </c>
      <c r="K553" t="s">
        <v>36</v>
      </c>
      <c r="L553">
        <v>13</v>
      </c>
      <c r="N553" t="s">
        <v>1977</v>
      </c>
    </row>
    <row r="554" spans="1:14" x14ac:dyDescent="0.35">
      <c r="A554" t="s">
        <v>1978</v>
      </c>
      <c r="B554" t="s">
        <v>1979</v>
      </c>
      <c r="C554" t="s">
        <v>30</v>
      </c>
      <c r="D554">
        <v>145.78</v>
      </c>
      <c r="E554">
        <v>10000</v>
      </c>
      <c r="F554" t="s">
        <v>76</v>
      </c>
      <c r="G554" t="s">
        <v>32</v>
      </c>
      <c r="H554" t="s">
        <v>43</v>
      </c>
      <c r="I554" t="s">
        <v>129</v>
      </c>
      <c r="J554" t="s">
        <v>278</v>
      </c>
      <c r="K554" t="s">
        <v>97</v>
      </c>
      <c r="L554">
        <v>19</v>
      </c>
      <c r="M554" t="s">
        <v>1980</v>
      </c>
      <c r="N554" t="s">
        <v>1981</v>
      </c>
    </row>
    <row r="555" spans="1:14" x14ac:dyDescent="0.35">
      <c r="A555" t="s">
        <v>1982</v>
      </c>
      <c r="B555" t="s">
        <v>1983</v>
      </c>
      <c r="C555" t="s">
        <v>30</v>
      </c>
      <c r="D555">
        <v>167.28</v>
      </c>
      <c r="E555">
        <v>18000</v>
      </c>
      <c r="F555" t="s">
        <v>147</v>
      </c>
      <c r="G555" t="s">
        <v>32</v>
      </c>
      <c r="H555" t="s">
        <v>57</v>
      </c>
      <c r="I555" t="s">
        <v>129</v>
      </c>
      <c r="J555" t="s">
        <v>118</v>
      </c>
      <c r="K555" t="s">
        <v>42</v>
      </c>
      <c r="L555">
        <v>10</v>
      </c>
      <c r="M555" t="s">
        <v>1984</v>
      </c>
      <c r="N555" t="s">
        <v>1985</v>
      </c>
    </row>
    <row r="556" spans="1:14" x14ac:dyDescent="0.35">
      <c r="A556" t="s">
        <v>1986</v>
      </c>
      <c r="B556" t="s">
        <v>1987</v>
      </c>
      <c r="C556" t="s">
        <v>41</v>
      </c>
      <c r="D556">
        <v>129.87</v>
      </c>
      <c r="E556">
        <v>13000</v>
      </c>
      <c r="F556" t="s">
        <v>36</v>
      </c>
      <c r="G556" t="s">
        <v>32</v>
      </c>
      <c r="H556" t="s">
        <v>43</v>
      </c>
      <c r="I556" t="s">
        <v>34</v>
      </c>
      <c r="J556" t="s">
        <v>75</v>
      </c>
      <c r="K556" t="s">
        <v>76</v>
      </c>
      <c r="L556">
        <v>7</v>
      </c>
      <c r="N556" t="s">
        <v>1988</v>
      </c>
    </row>
    <row r="557" spans="1:14" x14ac:dyDescent="0.35">
      <c r="A557" t="s">
        <v>1989</v>
      </c>
      <c r="B557" t="s">
        <v>1990</v>
      </c>
      <c r="C557" t="s">
        <v>62</v>
      </c>
      <c r="D557">
        <v>83.47</v>
      </c>
      <c r="E557">
        <v>1000</v>
      </c>
      <c r="F557" t="s">
        <v>36</v>
      </c>
      <c r="G557" t="s">
        <v>32</v>
      </c>
      <c r="H557" t="s">
        <v>57</v>
      </c>
      <c r="I557" t="s">
        <v>44</v>
      </c>
      <c r="J557" t="s">
        <v>235</v>
      </c>
      <c r="K557" t="s">
        <v>236</v>
      </c>
      <c r="L557">
        <v>23</v>
      </c>
      <c r="M557" t="s">
        <v>1984</v>
      </c>
      <c r="N557" t="s">
        <v>1991</v>
      </c>
    </row>
    <row r="558" spans="1:14" x14ac:dyDescent="0.35">
      <c r="A558" t="s">
        <v>1992</v>
      </c>
      <c r="B558" t="s">
        <v>1993</v>
      </c>
      <c r="C558" t="s">
        <v>69</v>
      </c>
      <c r="D558">
        <v>73.22</v>
      </c>
      <c r="E558">
        <v>70000</v>
      </c>
      <c r="F558" t="s">
        <v>31</v>
      </c>
      <c r="G558" t="s">
        <v>32</v>
      </c>
      <c r="H558" t="s">
        <v>57</v>
      </c>
      <c r="I558" t="s">
        <v>44</v>
      </c>
      <c r="J558" t="s">
        <v>1994</v>
      </c>
      <c r="K558" t="s">
        <v>36</v>
      </c>
      <c r="L558">
        <v>0</v>
      </c>
      <c r="M558" t="s">
        <v>1813</v>
      </c>
      <c r="N558" t="s">
        <v>1995</v>
      </c>
    </row>
    <row r="559" spans="1:14" x14ac:dyDescent="0.35">
      <c r="A559" t="s">
        <v>1996</v>
      </c>
      <c r="B559" t="s">
        <v>1997</v>
      </c>
      <c r="C559" t="s">
        <v>81</v>
      </c>
      <c r="D559">
        <v>92.87</v>
      </c>
      <c r="E559">
        <v>7000</v>
      </c>
      <c r="F559" t="s">
        <v>51</v>
      </c>
      <c r="G559" t="s">
        <v>32</v>
      </c>
      <c r="H559" t="s">
        <v>57</v>
      </c>
      <c r="I559" t="s">
        <v>44</v>
      </c>
      <c r="J559" t="s">
        <v>235</v>
      </c>
      <c r="K559" t="s">
        <v>236</v>
      </c>
      <c r="L559">
        <v>2</v>
      </c>
      <c r="M559" t="s">
        <v>1998</v>
      </c>
      <c r="N559" t="s">
        <v>1999</v>
      </c>
    </row>
    <row r="560" spans="1:14" x14ac:dyDescent="0.35">
      <c r="A560" t="s">
        <v>2000</v>
      </c>
      <c r="B560" t="s">
        <v>2001</v>
      </c>
      <c r="C560" t="s">
        <v>62</v>
      </c>
      <c r="D560">
        <v>63.94</v>
      </c>
      <c r="E560">
        <v>4000</v>
      </c>
      <c r="F560" t="s">
        <v>147</v>
      </c>
      <c r="G560" t="s">
        <v>32</v>
      </c>
      <c r="H560" t="s">
        <v>57</v>
      </c>
      <c r="J560" t="s">
        <v>209</v>
      </c>
      <c r="K560" t="s">
        <v>74</v>
      </c>
      <c r="L560">
        <v>14</v>
      </c>
      <c r="M560" t="s">
        <v>646</v>
      </c>
      <c r="N560" t="s">
        <v>2002</v>
      </c>
    </row>
    <row r="561" spans="1:14" x14ac:dyDescent="0.35">
      <c r="A561" t="s">
        <v>2003</v>
      </c>
      <c r="B561" t="s">
        <v>2004</v>
      </c>
      <c r="C561" t="s">
        <v>62</v>
      </c>
      <c r="D561">
        <v>90.85</v>
      </c>
      <c r="E561">
        <v>4000</v>
      </c>
      <c r="F561" t="s">
        <v>236</v>
      </c>
      <c r="G561" t="s">
        <v>32</v>
      </c>
      <c r="H561" t="s">
        <v>57</v>
      </c>
      <c r="I561" t="s">
        <v>44</v>
      </c>
      <c r="J561" t="s">
        <v>70</v>
      </c>
      <c r="K561" t="s">
        <v>31</v>
      </c>
      <c r="L561">
        <v>6</v>
      </c>
      <c r="M561" t="s">
        <v>140</v>
      </c>
      <c r="N561" t="s">
        <v>2005</v>
      </c>
    </row>
    <row r="562" spans="1:14" x14ac:dyDescent="0.35">
      <c r="A562" t="s">
        <v>2006</v>
      </c>
      <c r="B562" t="s">
        <v>2007</v>
      </c>
      <c r="C562" t="s">
        <v>62</v>
      </c>
      <c r="D562">
        <v>61.04</v>
      </c>
      <c r="E562">
        <v>2000</v>
      </c>
      <c r="F562" t="s">
        <v>117</v>
      </c>
      <c r="G562" t="s">
        <v>32</v>
      </c>
      <c r="H562" t="s">
        <v>43</v>
      </c>
      <c r="I562" t="s">
        <v>44</v>
      </c>
      <c r="J562" t="s">
        <v>112</v>
      </c>
      <c r="K562" t="s">
        <v>106</v>
      </c>
      <c r="L562">
        <v>15</v>
      </c>
      <c r="N562" t="s">
        <v>2008</v>
      </c>
    </row>
    <row r="563" spans="1:14" x14ac:dyDescent="0.35">
      <c r="A563" t="s">
        <v>2009</v>
      </c>
      <c r="B563" t="s">
        <v>2010</v>
      </c>
      <c r="C563" t="s">
        <v>116</v>
      </c>
      <c r="D563">
        <v>8.5</v>
      </c>
      <c r="E563">
        <v>300</v>
      </c>
      <c r="F563" t="s">
        <v>36</v>
      </c>
      <c r="G563" t="s">
        <v>32</v>
      </c>
      <c r="H563" t="s">
        <v>33</v>
      </c>
      <c r="I563" t="s">
        <v>44</v>
      </c>
      <c r="J563" t="s">
        <v>35</v>
      </c>
      <c r="K563" t="s">
        <v>36</v>
      </c>
      <c r="L563">
        <v>0</v>
      </c>
      <c r="N563" t="s">
        <v>1187</v>
      </c>
    </row>
    <row r="564" spans="1:14" x14ac:dyDescent="0.35">
      <c r="A564" t="s">
        <v>2011</v>
      </c>
      <c r="B564" t="s">
        <v>2012</v>
      </c>
      <c r="C564" t="s">
        <v>69</v>
      </c>
      <c r="D564">
        <v>70.099999999999994</v>
      </c>
      <c r="E564">
        <v>80000</v>
      </c>
      <c r="F564" t="s">
        <v>46</v>
      </c>
      <c r="G564" t="s">
        <v>32</v>
      </c>
      <c r="H564" t="s">
        <v>33</v>
      </c>
      <c r="I564" t="s">
        <v>34</v>
      </c>
      <c r="J564" t="s">
        <v>2013</v>
      </c>
      <c r="K564" t="s">
        <v>147</v>
      </c>
      <c r="L564">
        <v>10</v>
      </c>
      <c r="M564" t="s">
        <v>342</v>
      </c>
      <c r="N564" t="s">
        <v>2014</v>
      </c>
    </row>
    <row r="565" spans="1:14" x14ac:dyDescent="0.35">
      <c r="A565" t="s">
        <v>2015</v>
      </c>
      <c r="B565" t="s">
        <v>2016</v>
      </c>
      <c r="C565" t="s">
        <v>81</v>
      </c>
      <c r="D565">
        <v>130.13</v>
      </c>
      <c r="E565">
        <v>10000</v>
      </c>
      <c r="F565" t="s">
        <v>106</v>
      </c>
      <c r="G565" t="s">
        <v>32</v>
      </c>
      <c r="H565" t="s">
        <v>57</v>
      </c>
      <c r="I565" t="s">
        <v>129</v>
      </c>
      <c r="J565" t="s">
        <v>941</v>
      </c>
      <c r="K565" t="s">
        <v>147</v>
      </c>
      <c r="L565">
        <v>17</v>
      </c>
      <c r="M565" t="s">
        <v>742</v>
      </c>
      <c r="N565" t="s">
        <v>1570</v>
      </c>
    </row>
    <row r="566" spans="1:14" x14ac:dyDescent="0.35">
      <c r="A566" t="s">
        <v>2017</v>
      </c>
      <c r="B566" t="s">
        <v>2018</v>
      </c>
      <c r="C566" t="s">
        <v>116</v>
      </c>
      <c r="D566">
        <v>6.6</v>
      </c>
      <c r="E566">
        <v>600</v>
      </c>
      <c r="F566" t="s">
        <v>97</v>
      </c>
      <c r="G566" t="s">
        <v>32</v>
      </c>
      <c r="H566" t="s">
        <v>33</v>
      </c>
      <c r="I566" t="s">
        <v>44</v>
      </c>
      <c r="J566" t="s">
        <v>82</v>
      </c>
      <c r="K566" t="s">
        <v>74</v>
      </c>
      <c r="L566">
        <v>0</v>
      </c>
      <c r="M566" t="s">
        <v>1545</v>
      </c>
      <c r="N566" t="s">
        <v>1988</v>
      </c>
    </row>
    <row r="567" spans="1:14" x14ac:dyDescent="0.35">
      <c r="A567" t="s">
        <v>2019</v>
      </c>
      <c r="B567" t="s">
        <v>2020</v>
      </c>
      <c r="C567" t="s">
        <v>81</v>
      </c>
      <c r="D567">
        <v>121.35</v>
      </c>
      <c r="E567">
        <v>2000</v>
      </c>
      <c r="F567" t="s">
        <v>42</v>
      </c>
      <c r="G567" t="s">
        <v>32</v>
      </c>
      <c r="H567" t="s">
        <v>33</v>
      </c>
      <c r="I567" t="s">
        <v>129</v>
      </c>
      <c r="J567" t="s">
        <v>901</v>
      </c>
      <c r="K567" t="s">
        <v>97</v>
      </c>
      <c r="L567">
        <v>10</v>
      </c>
      <c r="M567" t="s">
        <v>2021</v>
      </c>
      <c r="N567" t="s">
        <v>2022</v>
      </c>
    </row>
    <row r="568" spans="1:14" x14ac:dyDescent="0.35">
      <c r="A568" t="s">
        <v>2023</v>
      </c>
      <c r="B568" t="s">
        <v>2024</v>
      </c>
      <c r="C568" t="s">
        <v>116</v>
      </c>
      <c r="D568">
        <v>9.2799999999999994</v>
      </c>
      <c r="E568">
        <v>600</v>
      </c>
      <c r="F568" t="s">
        <v>51</v>
      </c>
      <c r="G568" t="s">
        <v>32</v>
      </c>
      <c r="H568" t="s">
        <v>43</v>
      </c>
      <c r="I568" t="s">
        <v>44</v>
      </c>
      <c r="J568" t="s">
        <v>2025</v>
      </c>
      <c r="K568" t="s">
        <v>147</v>
      </c>
      <c r="L568">
        <v>22</v>
      </c>
      <c r="M568" t="s">
        <v>1711</v>
      </c>
      <c r="N568" t="s">
        <v>370</v>
      </c>
    </row>
    <row r="569" spans="1:14" x14ac:dyDescent="0.35">
      <c r="A569" t="s">
        <v>2026</v>
      </c>
      <c r="B569" t="s">
        <v>2027</v>
      </c>
      <c r="C569" t="s">
        <v>69</v>
      </c>
      <c r="D569">
        <v>56.24</v>
      </c>
      <c r="E569">
        <v>67000</v>
      </c>
      <c r="F569" t="s">
        <v>123</v>
      </c>
      <c r="G569" t="s">
        <v>32</v>
      </c>
      <c r="H569" t="s">
        <v>33</v>
      </c>
      <c r="I569" t="s">
        <v>44</v>
      </c>
      <c r="J569" t="s">
        <v>2028</v>
      </c>
      <c r="K569" t="s">
        <v>236</v>
      </c>
      <c r="L569">
        <v>19</v>
      </c>
      <c r="M569" t="s">
        <v>1387</v>
      </c>
      <c r="N569" t="s">
        <v>814</v>
      </c>
    </row>
    <row r="570" spans="1:14" x14ac:dyDescent="0.35">
      <c r="A570" t="s">
        <v>2029</v>
      </c>
      <c r="B570" t="s">
        <v>2030</v>
      </c>
      <c r="C570" t="s">
        <v>62</v>
      </c>
      <c r="D570">
        <v>76.33</v>
      </c>
      <c r="E570">
        <v>3000</v>
      </c>
      <c r="F570" t="s">
        <v>117</v>
      </c>
      <c r="G570" t="s">
        <v>32</v>
      </c>
      <c r="H570" t="s">
        <v>57</v>
      </c>
      <c r="J570" t="s">
        <v>107</v>
      </c>
      <c r="K570" t="s">
        <v>87</v>
      </c>
      <c r="L570">
        <v>19</v>
      </c>
      <c r="M570" t="s">
        <v>1593</v>
      </c>
      <c r="N570" t="s">
        <v>1308</v>
      </c>
    </row>
    <row r="571" spans="1:14" x14ac:dyDescent="0.35">
      <c r="A571" t="s">
        <v>2031</v>
      </c>
      <c r="B571" t="s">
        <v>2032</v>
      </c>
      <c r="C571" t="s">
        <v>81</v>
      </c>
      <c r="D571">
        <v>73.930000000000007</v>
      </c>
      <c r="E571">
        <v>5000</v>
      </c>
      <c r="F571" t="s">
        <v>36</v>
      </c>
      <c r="G571" t="s">
        <v>32</v>
      </c>
      <c r="H571" t="s">
        <v>57</v>
      </c>
      <c r="I571" t="s">
        <v>34</v>
      </c>
      <c r="J571" t="s">
        <v>130</v>
      </c>
      <c r="K571" t="s">
        <v>123</v>
      </c>
      <c r="L571">
        <v>10</v>
      </c>
      <c r="N571" t="s">
        <v>2033</v>
      </c>
    </row>
    <row r="572" spans="1:14" x14ac:dyDescent="0.35">
      <c r="A572" t="s">
        <v>2034</v>
      </c>
      <c r="B572" t="s">
        <v>2035</v>
      </c>
      <c r="C572" t="s">
        <v>69</v>
      </c>
      <c r="D572">
        <v>54.47</v>
      </c>
      <c r="E572">
        <v>15000</v>
      </c>
      <c r="F572" t="s">
        <v>31</v>
      </c>
      <c r="G572" t="s">
        <v>32</v>
      </c>
      <c r="H572" t="s">
        <v>43</v>
      </c>
      <c r="I572" t="s">
        <v>34</v>
      </c>
      <c r="J572" t="s">
        <v>334</v>
      </c>
      <c r="K572" t="s">
        <v>51</v>
      </c>
      <c r="L572">
        <v>2</v>
      </c>
      <c r="M572" t="s">
        <v>2036</v>
      </c>
      <c r="N572" t="s">
        <v>152</v>
      </c>
    </row>
    <row r="573" spans="1:14" x14ac:dyDescent="0.35">
      <c r="A573" t="s">
        <v>2037</v>
      </c>
      <c r="B573" t="s">
        <v>2038</v>
      </c>
      <c r="C573" t="s">
        <v>81</v>
      </c>
      <c r="D573">
        <v>102.16</v>
      </c>
      <c r="E573">
        <v>7000</v>
      </c>
      <c r="F573" t="s">
        <v>76</v>
      </c>
      <c r="G573" t="s">
        <v>32</v>
      </c>
      <c r="H573" t="s">
        <v>33</v>
      </c>
      <c r="J573" t="s">
        <v>235</v>
      </c>
      <c r="K573" t="s">
        <v>236</v>
      </c>
      <c r="L573">
        <v>3</v>
      </c>
      <c r="M573" t="s">
        <v>2039</v>
      </c>
      <c r="N573" t="s">
        <v>2040</v>
      </c>
    </row>
    <row r="574" spans="1:14" x14ac:dyDescent="0.35">
      <c r="A574" t="s">
        <v>2041</v>
      </c>
      <c r="B574" t="s">
        <v>2042</v>
      </c>
      <c r="C574" t="s">
        <v>62</v>
      </c>
      <c r="D574">
        <v>64.319999999999993</v>
      </c>
      <c r="E574">
        <v>2000</v>
      </c>
      <c r="F574" t="s">
        <v>123</v>
      </c>
      <c r="G574" t="s">
        <v>32</v>
      </c>
      <c r="H574" t="s">
        <v>33</v>
      </c>
      <c r="I574" t="s">
        <v>44</v>
      </c>
      <c r="J574" t="s">
        <v>63</v>
      </c>
      <c r="K574" t="s">
        <v>64</v>
      </c>
      <c r="L574">
        <v>19</v>
      </c>
      <c r="M574" t="s">
        <v>2043</v>
      </c>
      <c r="N574" t="s">
        <v>520</v>
      </c>
    </row>
    <row r="575" spans="1:14" x14ac:dyDescent="0.35">
      <c r="A575" t="s">
        <v>2044</v>
      </c>
      <c r="B575" t="s">
        <v>2045</v>
      </c>
      <c r="C575" t="s">
        <v>62</v>
      </c>
      <c r="D575">
        <v>60.58</v>
      </c>
      <c r="E575">
        <v>1000</v>
      </c>
      <c r="F575" t="s">
        <v>139</v>
      </c>
      <c r="G575" t="s">
        <v>32</v>
      </c>
      <c r="H575" t="s">
        <v>43</v>
      </c>
      <c r="I575" t="s">
        <v>34</v>
      </c>
      <c r="J575" t="s">
        <v>107</v>
      </c>
      <c r="K575" t="s">
        <v>87</v>
      </c>
      <c r="L575">
        <v>2</v>
      </c>
      <c r="M575" t="s">
        <v>1239</v>
      </c>
      <c r="N575" t="s">
        <v>2046</v>
      </c>
    </row>
    <row r="576" spans="1:14" x14ac:dyDescent="0.35">
      <c r="A576" t="s">
        <v>2047</v>
      </c>
      <c r="B576" t="s">
        <v>2048</v>
      </c>
      <c r="C576" t="s">
        <v>69</v>
      </c>
      <c r="D576">
        <v>81.28</v>
      </c>
      <c r="E576">
        <v>100000</v>
      </c>
      <c r="F576" t="s">
        <v>117</v>
      </c>
      <c r="G576" t="s">
        <v>32</v>
      </c>
      <c r="H576" t="s">
        <v>43</v>
      </c>
      <c r="I576" t="s">
        <v>44</v>
      </c>
      <c r="J576" t="s">
        <v>683</v>
      </c>
      <c r="K576" t="s">
        <v>97</v>
      </c>
      <c r="L576">
        <v>0</v>
      </c>
      <c r="M576" t="s">
        <v>547</v>
      </c>
      <c r="N576" t="s">
        <v>2049</v>
      </c>
    </row>
    <row r="577" spans="1:14" x14ac:dyDescent="0.35">
      <c r="A577" t="s">
        <v>2050</v>
      </c>
      <c r="B577" t="s">
        <v>2051</v>
      </c>
      <c r="C577" t="s">
        <v>62</v>
      </c>
      <c r="D577">
        <v>79.2</v>
      </c>
      <c r="E577">
        <v>5000</v>
      </c>
      <c r="F577" t="s">
        <v>31</v>
      </c>
      <c r="G577" t="s">
        <v>32</v>
      </c>
      <c r="H577" t="s">
        <v>57</v>
      </c>
      <c r="I577" t="s">
        <v>129</v>
      </c>
      <c r="J577" t="s">
        <v>45</v>
      </c>
      <c r="K577" t="s">
        <v>46</v>
      </c>
      <c r="L577">
        <v>10</v>
      </c>
      <c r="M577" t="s">
        <v>831</v>
      </c>
      <c r="N577" t="s">
        <v>2052</v>
      </c>
    </row>
    <row r="578" spans="1:14" x14ac:dyDescent="0.35">
      <c r="A578" t="s">
        <v>2053</v>
      </c>
      <c r="B578" t="s">
        <v>2054</v>
      </c>
      <c r="C578" t="s">
        <v>30</v>
      </c>
      <c r="D578">
        <v>138.47</v>
      </c>
      <c r="E578">
        <v>5000</v>
      </c>
      <c r="F578" t="s">
        <v>97</v>
      </c>
      <c r="G578" t="s">
        <v>32</v>
      </c>
      <c r="H578" t="s">
        <v>33</v>
      </c>
      <c r="I578" t="s">
        <v>44</v>
      </c>
      <c r="J578" t="s">
        <v>45</v>
      </c>
      <c r="K578" t="s">
        <v>46</v>
      </c>
      <c r="L578">
        <v>7</v>
      </c>
      <c r="M578" t="s">
        <v>462</v>
      </c>
      <c r="N578" t="s">
        <v>2055</v>
      </c>
    </row>
    <row r="579" spans="1:14" x14ac:dyDescent="0.35">
      <c r="A579" t="s">
        <v>2056</v>
      </c>
      <c r="B579" t="s">
        <v>2057</v>
      </c>
      <c r="C579" t="s">
        <v>41</v>
      </c>
      <c r="D579">
        <v>133.31</v>
      </c>
      <c r="E579">
        <v>32000</v>
      </c>
      <c r="F579" t="s">
        <v>74</v>
      </c>
      <c r="G579" t="s">
        <v>32</v>
      </c>
      <c r="H579" t="s">
        <v>43</v>
      </c>
      <c r="I579" t="s">
        <v>34</v>
      </c>
      <c r="J579" t="s">
        <v>2058</v>
      </c>
      <c r="K579" t="s">
        <v>74</v>
      </c>
      <c r="L579">
        <v>13</v>
      </c>
      <c r="N579" t="s">
        <v>2059</v>
      </c>
    </row>
    <row r="580" spans="1:14" x14ac:dyDescent="0.35">
      <c r="A580" t="s">
        <v>2060</v>
      </c>
      <c r="B580" t="s">
        <v>2061</v>
      </c>
      <c r="C580" t="s">
        <v>41</v>
      </c>
      <c r="D580">
        <v>143.83000000000001</v>
      </c>
      <c r="E580">
        <v>17000</v>
      </c>
      <c r="F580" t="s">
        <v>51</v>
      </c>
      <c r="G580" t="s">
        <v>32</v>
      </c>
      <c r="H580" t="s">
        <v>33</v>
      </c>
      <c r="I580" t="s">
        <v>34</v>
      </c>
      <c r="J580" t="s">
        <v>130</v>
      </c>
      <c r="K580" t="s">
        <v>123</v>
      </c>
      <c r="L580">
        <v>8</v>
      </c>
      <c r="N580" t="s">
        <v>367</v>
      </c>
    </row>
    <row r="581" spans="1:14" x14ac:dyDescent="0.35">
      <c r="A581" t="s">
        <v>2062</v>
      </c>
      <c r="B581" t="s">
        <v>2063</v>
      </c>
      <c r="C581" t="s">
        <v>81</v>
      </c>
      <c r="D581">
        <v>80.5</v>
      </c>
      <c r="E581">
        <v>3000</v>
      </c>
      <c r="F581" t="s">
        <v>87</v>
      </c>
      <c r="G581" t="s">
        <v>32</v>
      </c>
      <c r="H581" t="s">
        <v>57</v>
      </c>
      <c r="J581" t="s">
        <v>1816</v>
      </c>
      <c r="K581" t="s">
        <v>236</v>
      </c>
      <c r="L581">
        <v>1</v>
      </c>
      <c r="M581" t="s">
        <v>2064</v>
      </c>
      <c r="N581" t="s">
        <v>2065</v>
      </c>
    </row>
    <row r="582" spans="1:14" x14ac:dyDescent="0.35">
      <c r="A582" t="s">
        <v>2066</v>
      </c>
      <c r="B582" t="s">
        <v>2067</v>
      </c>
      <c r="C582" t="s">
        <v>116</v>
      </c>
      <c r="D582">
        <v>9.9600000000000009</v>
      </c>
      <c r="E582">
        <v>200</v>
      </c>
      <c r="F582" t="s">
        <v>31</v>
      </c>
      <c r="G582" t="s">
        <v>32</v>
      </c>
      <c r="H582" t="s">
        <v>57</v>
      </c>
      <c r="I582" t="s">
        <v>44</v>
      </c>
      <c r="J582" t="s">
        <v>107</v>
      </c>
      <c r="K582" t="s">
        <v>87</v>
      </c>
      <c r="L582">
        <v>14</v>
      </c>
      <c r="M582" t="s">
        <v>2068</v>
      </c>
      <c r="N582" t="s">
        <v>1002</v>
      </c>
    </row>
    <row r="583" spans="1:14" x14ac:dyDescent="0.35">
      <c r="A583" t="s">
        <v>2069</v>
      </c>
      <c r="B583" t="s">
        <v>2070</v>
      </c>
      <c r="C583" t="s">
        <v>41</v>
      </c>
      <c r="D583">
        <v>123.95</v>
      </c>
      <c r="E583">
        <v>39000</v>
      </c>
      <c r="F583" t="s">
        <v>42</v>
      </c>
      <c r="G583" t="s">
        <v>32</v>
      </c>
      <c r="H583" t="s">
        <v>43</v>
      </c>
      <c r="I583" t="s">
        <v>34</v>
      </c>
      <c r="J583" t="s">
        <v>107</v>
      </c>
      <c r="K583" t="s">
        <v>87</v>
      </c>
      <c r="L583">
        <v>16</v>
      </c>
      <c r="M583" t="s">
        <v>1579</v>
      </c>
      <c r="N583" t="s">
        <v>2071</v>
      </c>
    </row>
    <row r="584" spans="1:14" x14ac:dyDescent="0.35">
      <c r="A584" t="s">
        <v>2072</v>
      </c>
      <c r="B584" t="s">
        <v>2073</v>
      </c>
      <c r="C584" t="s">
        <v>116</v>
      </c>
      <c r="D584">
        <v>9.76</v>
      </c>
      <c r="E584">
        <v>100</v>
      </c>
      <c r="F584" t="s">
        <v>147</v>
      </c>
      <c r="G584" t="s">
        <v>32</v>
      </c>
      <c r="H584" t="s">
        <v>43</v>
      </c>
      <c r="J584" t="s">
        <v>75</v>
      </c>
      <c r="K584" t="s">
        <v>76</v>
      </c>
      <c r="L584">
        <v>14</v>
      </c>
      <c r="M584" t="s">
        <v>2074</v>
      </c>
      <c r="N584" t="s">
        <v>1122</v>
      </c>
    </row>
    <row r="585" spans="1:14" x14ac:dyDescent="0.35">
      <c r="A585" t="s">
        <v>2075</v>
      </c>
      <c r="B585" t="s">
        <v>2076</v>
      </c>
      <c r="C585" t="s">
        <v>62</v>
      </c>
      <c r="D585">
        <v>79.44</v>
      </c>
      <c r="E585">
        <v>3000</v>
      </c>
      <c r="F585" t="s">
        <v>36</v>
      </c>
      <c r="G585" t="s">
        <v>32</v>
      </c>
      <c r="H585" t="s">
        <v>33</v>
      </c>
      <c r="I585" t="s">
        <v>44</v>
      </c>
      <c r="J585" t="s">
        <v>75</v>
      </c>
      <c r="K585" t="s">
        <v>76</v>
      </c>
      <c r="L585">
        <v>14</v>
      </c>
      <c r="M585" t="s">
        <v>1018</v>
      </c>
      <c r="N585" t="s">
        <v>1497</v>
      </c>
    </row>
    <row r="586" spans="1:14" x14ac:dyDescent="0.35">
      <c r="A586" t="s">
        <v>2077</v>
      </c>
      <c r="B586" t="s">
        <v>2078</v>
      </c>
      <c r="C586" t="s">
        <v>62</v>
      </c>
      <c r="D586">
        <v>79.959999999999994</v>
      </c>
      <c r="E586">
        <v>5000</v>
      </c>
      <c r="F586" t="s">
        <v>51</v>
      </c>
      <c r="G586" t="s">
        <v>32</v>
      </c>
      <c r="H586" t="s">
        <v>57</v>
      </c>
      <c r="I586" t="s">
        <v>34</v>
      </c>
      <c r="J586" t="s">
        <v>107</v>
      </c>
      <c r="K586" t="s">
        <v>87</v>
      </c>
      <c r="L586">
        <v>12</v>
      </c>
      <c r="N586" t="s">
        <v>2079</v>
      </c>
    </row>
    <row r="587" spans="1:14" x14ac:dyDescent="0.35">
      <c r="A587" t="s">
        <v>2080</v>
      </c>
      <c r="B587" t="s">
        <v>2081</v>
      </c>
      <c r="C587" t="s">
        <v>69</v>
      </c>
      <c r="D587">
        <v>75.11</v>
      </c>
      <c r="E587">
        <v>66000</v>
      </c>
      <c r="F587" t="s">
        <v>117</v>
      </c>
      <c r="G587" t="s">
        <v>32</v>
      </c>
      <c r="H587" t="s">
        <v>43</v>
      </c>
      <c r="I587" t="s">
        <v>34</v>
      </c>
      <c r="J587" t="s">
        <v>433</v>
      </c>
      <c r="K587" t="s">
        <v>97</v>
      </c>
      <c r="L587">
        <v>22</v>
      </c>
      <c r="M587" t="s">
        <v>1256</v>
      </c>
      <c r="N587" t="s">
        <v>2082</v>
      </c>
    </row>
    <row r="588" spans="1:14" x14ac:dyDescent="0.35">
      <c r="A588" t="s">
        <v>2083</v>
      </c>
      <c r="B588" t="s">
        <v>2084</v>
      </c>
      <c r="C588" t="s">
        <v>69</v>
      </c>
      <c r="D588">
        <v>52.78</v>
      </c>
      <c r="E588">
        <v>48000</v>
      </c>
      <c r="F588" t="s">
        <v>117</v>
      </c>
      <c r="G588" t="s">
        <v>32</v>
      </c>
      <c r="H588" t="s">
        <v>43</v>
      </c>
      <c r="I588" t="s">
        <v>34</v>
      </c>
      <c r="J588" t="s">
        <v>124</v>
      </c>
      <c r="K588" t="s">
        <v>117</v>
      </c>
      <c r="L588">
        <v>2</v>
      </c>
      <c r="M588" t="s">
        <v>386</v>
      </c>
      <c r="N588" t="s">
        <v>2085</v>
      </c>
    </row>
    <row r="589" spans="1:14" x14ac:dyDescent="0.35">
      <c r="A589" t="s">
        <v>2086</v>
      </c>
      <c r="B589" t="s">
        <v>2087</v>
      </c>
      <c r="C589" t="s">
        <v>62</v>
      </c>
      <c r="D589">
        <v>60.06</v>
      </c>
      <c r="E589">
        <v>5000</v>
      </c>
      <c r="F589" t="s">
        <v>123</v>
      </c>
      <c r="G589" t="s">
        <v>32</v>
      </c>
      <c r="H589" t="s">
        <v>33</v>
      </c>
      <c r="I589" t="s">
        <v>34</v>
      </c>
      <c r="J589" t="s">
        <v>124</v>
      </c>
      <c r="K589" t="s">
        <v>117</v>
      </c>
      <c r="L589">
        <v>23</v>
      </c>
      <c r="M589" t="s">
        <v>2088</v>
      </c>
      <c r="N589" t="s">
        <v>2089</v>
      </c>
    </row>
    <row r="590" spans="1:14" x14ac:dyDescent="0.35">
      <c r="A590" t="s">
        <v>2090</v>
      </c>
      <c r="B590" t="s">
        <v>2091</v>
      </c>
      <c r="C590" t="s">
        <v>81</v>
      </c>
      <c r="D590">
        <v>110.63</v>
      </c>
      <c r="E590">
        <v>2000</v>
      </c>
      <c r="F590" t="s">
        <v>46</v>
      </c>
      <c r="G590" t="s">
        <v>32</v>
      </c>
      <c r="H590" t="s">
        <v>57</v>
      </c>
      <c r="I590" t="s">
        <v>44</v>
      </c>
      <c r="J590" t="s">
        <v>130</v>
      </c>
      <c r="K590" t="s">
        <v>123</v>
      </c>
      <c r="L590">
        <v>20</v>
      </c>
      <c r="M590" t="s">
        <v>1151</v>
      </c>
      <c r="N590" t="s">
        <v>2092</v>
      </c>
    </row>
    <row r="591" spans="1:14" x14ac:dyDescent="0.35">
      <c r="A591" t="s">
        <v>2093</v>
      </c>
      <c r="B591" t="s">
        <v>2094</v>
      </c>
      <c r="C591" t="s">
        <v>116</v>
      </c>
      <c r="D591">
        <v>6.26</v>
      </c>
      <c r="E591">
        <v>500</v>
      </c>
      <c r="F591" t="s">
        <v>51</v>
      </c>
      <c r="G591" t="s">
        <v>102</v>
      </c>
      <c r="H591" t="s">
        <v>43</v>
      </c>
      <c r="I591" t="s">
        <v>34</v>
      </c>
      <c r="J591" t="s">
        <v>2095</v>
      </c>
      <c r="K591" t="s">
        <v>42</v>
      </c>
      <c r="L591">
        <v>21</v>
      </c>
      <c r="M591" t="s">
        <v>308</v>
      </c>
      <c r="N591" t="s">
        <v>2096</v>
      </c>
    </row>
    <row r="592" spans="1:14" x14ac:dyDescent="0.35">
      <c r="A592" t="s">
        <v>2097</v>
      </c>
      <c r="B592" t="s">
        <v>2098</v>
      </c>
      <c r="C592" t="s">
        <v>30</v>
      </c>
      <c r="D592">
        <v>165.75</v>
      </c>
      <c r="E592">
        <v>3000</v>
      </c>
      <c r="F592" t="s">
        <v>31</v>
      </c>
      <c r="G592" t="s">
        <v>32</v>
      </c>
      <c r="H592" t="s">
        <v>43</v>
      </c>
      <c r="I592" t="s">
        <v>34</v>
      </c>
      <c r="J592" t="s">
        <v>316</v>
      </c>
      <c r="K592" t="s">
        <v>97</v>
      </c>
      <c r="L592">
        <v>2</v>
      </c>
      <c r="N592" t="s">
        <v>2099</v>
      </c>
    </row>
    <row r="593" spans="1:14" x14ac:dyDescent="0.35">
      <c r="A593" t="s">
        <v>2100</v>
      </c>
      <c r="B593" t="s">
        <v>2101</v>
      </c>
      <c r="C593" t="s">
        <v>30</v>
      </c>
      <c r="D593">
        <v>170.21</v>
      </c>
      <c r="E593">
        <v>16000</v>
      </c>
      <c r="F593" t="s">
        <v>42</v>
      </c>
      <c r="G593" t="s">
        <v>32</v>
      </c>
      <c r="H593" t="s">
        <v>43</v>
      </c>
      <c r="I593" t="s">
        <v>44</v>
      </c>
      <c r="J593" t="s">
        <v>35</v>
      </c>
      <c r="K593" t="s">
        <v>36</v>
      </c>
      <c r="L593">
        <v>19</v>
      </c>
      <c r="M593" t="s">
        <v>1209</v>
      </c>
      <c r="N593" t="s">
        <v>2102</v>
      </c>
    </row>
    <row r="594" spans="1:14" x14ac:dyDescent="0.35">
      <c r="A594" t="s">
        <v>2103</v>
      </c>
      <c r="B594" t="s">
        <v>2104</v>
      </c>
      <c r="C594" t="s">
        <v>41</v>
      </c>
      <c r="D594">
        <v>114.76</v>
      </c>
      <c r="E594">
        <v>38000</v>
      </c>
      <c r="F594" t="s">
        <v>31</v>
      </c>
      <c r="G594" t="s">
        <v>32</v>
      </c>
      <c r="H594" t="s">
        <v>33</v>
      </c>
      <c r="J594" t="s">
        <v>124</v>
      </c>
      <c r="K594" t="s">
        <v>117</v>
      </c>
      <c r="L594">
        <v>6</v>
      </c>
      <c r="M594" t="s">
        <v>258</v>
      </c>
      <c r="N594" t="s">
        <v>2105</v>
      </c>
    </row>
    <row r="595" spans="1:14" x14ac:dyDescent="0.35">
      <c r="A595" t="s">
        <v>2106</v>
      </c>
      <c r="B595" t="s">
        <v>2107</v>
      </c>
      <c r="C595" t="s">
        <v>69</v>
      </c>
      <c r="D595">
        <v>52.04</v>
      </c>
      <c r="E595">
        <v>29000</v>
      </c>
      <c r="F595" t="s">
        <v>76</v>
      </c>
      <c r="G595" t="s">
        <v>32</v>
      </c>
      <c r="H595" t="s">
        <v>57</v>
      </c>
      <c r="I595" t="s">
        <v>44</v>
      </c>
      <c r="J595" t="s">
        <v>209</v>
      </c>
      <c r="K595" t="s">
        <v>74</v>
      </c>
      <c r="L595">
        <v>4</v>
      </c>
      <c r="N595" t="s">
        <v>2108</v>
      </c>
    </row>
    <row r="596" spans="1:14" x14ac:dyDescent="0.35">
      <c r="A596" t="s">
        <v>2109</v>
      </c>
      <c r="B596" t="s">
        <v>2110</v>
      </c>
      <c r="C596" t="s">
        <v>62</v>
      </c>
      <c r="D596">
        <v>91.6</v>
      </c>
      <c r="E596">
        <v>5000</v>
      </c>
      <c r="F596" t="s">
        <v>76</v>
      </c>
      <c r="G596" t="s">
        <v>32</v>
      </c>
      <c r="H596" t="s">
        <v>43</v>
      </c>
      <c r="J596" t="s">
        <v>2025</v>
      </c>
      <c r="K596" t="s">
        <v>147</v>
      </c>
      <c r="L596">
        <v>18</v>
      </c>
      <c r="M596" t="s">
        <v>2111</v>
      </c>
      <c r="N596" t="s">
        <v>2112</v>
      </c>
    </row>
    <row r="597" spans="1:14" x14ac:dyDescent="0.35">
      <c r="A597" t="s">
        <v>2113</v>
      </c>
      <c r="B597" t="s">
        <v>2114</v>
      </c>
      <c r="C597" t="s">
        <v>69</v>
      </c>
      <c r="D597">
        <v>68.14</v>
      </c>
      <c r="E597">
        <v>17000</v>
      </c>
      <c r="F597" t="s">
        <v>117</v>
      </c>
      <c r="G597" t="s">
        <v>32</v>
      </c>
      <c r="H597" t="s">
        <v>33</v>
      </c>
      <c r="I597" t="s">
        <v>34</v>
      </c>
      <c r="J597" t="s">
        <v>130</v>
      </c>
      <c r="K597" t="s">
        <v>123</v>
      </c>
      <c r="L597">
        <v>6</v>
      </c>
      <c r="N597" t="s">
        <v>2115</v>
      </c>
    </row>
    <row r="598" spans="1:14" x14ac:dyDescent="0.35">
      <c r="A598" t="s">
        <v>2116</v>
      </c>
      <c r="B598" t="s">
        <v>2117</v>
      </c>
      <c r="C598" t="s">
        <v>41</v>
      </c>
      <c r="D598">
        <v>150.81</v>
      </c>
      <c r="E598">
        <v>13000</v>
      </c>
      <c r="F598" t="s">
        <v>97</v>
      </c>
      <c r="G598" t="s">
        <v>32</v>
      </c>
      <c r="H598" t="s">
        <v>33</v>
      </c>
      <c r="I598" t="s">
        <v>44</v>
      </c>
      <c r="J598" t="s">
        <v>118</v>
      </c>
      <c r="K598" t="s">
        <v>42</v>
      </c>
      <c r="L598">
        <v>18</v>
      </c>
      <c r="M598" t="s">
        <v>2118</v>
      </c>
      <c r="N598" t="s">
        <v>2119</v>
      </c>
    </row>
    <row r="599" spans="1:14" x14ac:dyDescent="0.35">
      <c r="A599" t="s">
        <v>2120</v>
      </c>
      <c r="B599" t="s">
        <v>2121</v>
      </c>
      <c r="C599" t="s">
        <v>62</v>
      </c>
      <c r="D599">
        <v>55.72</v>
      </c>
      <c r="E599">
        <v>3000</v>
      </c>
      <c r="F599" t="s">
        <v>76</v>
      </c>
      <c r="G599" t="s">
        <v>32</v>
      </c>
      <c r="H599" t="s">
        <v>57</v>
      </c>
      <c r="I599" t="s">
        <v>34</v>
      </c>
      <c r="J599" t="s">
        <v>2122</v>
      </c>
      <c r="K599" t="s">
        <v>97</v>
      </c>
      <c r="L599">
        <v>21</v>
      </c>
      <c r="M599" t="s">
        <v>547</v>
      </c>
      <c r="N599" t="s">
        <v>2123</v>
      </c>
    </row>
    <row r="600" spans="1:14" x14ac:dyDescent="0.35">
      <c r="A600" t="s">
        <v>2124</v>
      </c>
      <c r="B600" t="s">
        <v>2125</v>
      </c>
      <c r="C600" t="s">
        <v>81</v>
      </c>
      <c r="D600">
        <v>73.78</v>
      </c>
      <c r="E600">
        <v>1000</v>
      </c>
      <c r="F600" t="s">
        <v>97</v>
      </c>
      <c r="G600" t="s">
        <v>32</v>
      </c>
      <c r="H600" t="s">
        <v>57</v>
      </c>
      <c r="I600" t="s">
        <v>34</v>
      </c>
      <c r="J600" t="s">
        <v>334</v>
      </c>
      <c r="K600" t="s">
        <v>51</v>
      </c>
      <c r="L600">
        <v>23</v>
      </c>
      <c r="N600" t="s">
        <v>2126</v>
      </c>
    </row>
    <row r="601" spans="1:14" x14ac:dyDescent="0.35">
      <c r="A601" t="s">
        <v>2127</v>
      </c>
      <c r="B601" t="s">
        <v>2128</v>
      </c>
      <c r="C601" t="s">
        <v>41</v>
      </c>
      <c r="D601">
        <v>111.5</v>
      </c>
      <c r="E601">
        <v>31000</v>
      </c>
      <c r="F601" t="s">
        <v>147</v>
      </c>
      <c r="G601" t="s">
        <v>32</v>
      </c>
      <c r="H601" t="s">
        <v>57</v>
      </c>
      <c r="I601" t="s">
        <v>44</v>
      </c>
      <c r="J601" t="s">
        <v>235</v>
      </c>
      <c r="K601" t="s">
        <v>236</v>
      </c>
      <c r="L601">
        <v>19</v>
      </c>
      <c r="N601" t="s">
        <v>2129</v>
      </c>
    </row>
    <row r="602" spans="1:14" x14ac:dyDescent="0.35">
      <c r="A602" t="s">
        <v>2130</v>
      </c>
      <c r="B602" t="s">
        <v>2131</v>
      </c>
      <c r="C602" t="s">
        <v>41</v>
      </c>
      <c r="D602">
        <v>133.30000000000001</v>
      </c>
      <c r="E602">
        <v>13000</v>
      </c>
      <c r="F602" t="s">
        <v>97</v>
      </c>
      <c r="G602" t="s">
        <v>32</v>
      </c>
      <c r="H602" t="s">
        <v>57</v>
      </c>
      <c r="J602" t="s">
        <v>2132</v>
      </c>
      <c r="K602" t="s">
        <v>97</v>
      </c>
      <c r="L602">
        <v>17</v>
      </c>
      <c r="M602" t="s">
        <v>386</v>
      </c>
      <c r="N602" t="s">
        <v>504</v>
      </c>
    </row>
    <row r="603" spans="1:14" x14ac:dyDescent="0.35">
      <c r="A603" t="s">
        <v>2133</v>
      </c>
      <c r="B603" t="s">
        <v>2134</v>
      </c>
      <c r="C603" t="s">
        <v>81</v>
      </c>
      <c r="D603">
        <v>85.44</v>
      </c>
      <c r="E603">
        <v>6000</v>
      </c>
      <c r="F603" t="s">
        <v>139</v>
      </c>
      <c r="G603" t="s">
        <v>32</v>
      </c>
      <c r="H603" t="s">
        <v>57</v>
      </c>
      <c r="I603" t="s">
        <v>34</v>
      </c>
      <c r="J603" t="s">
        <v>70</v>
      </c>
      <c r="K603" t="s">
        <v>31</v>
      </c>
      <c r="L603">
        <v>17</v>
      </c>
      <c r="N603" t="s">
        <v>709</v>
      </c>
    </row>
    <row r="604" spans="1:14" x14ac:dyDescent="0.35">
      <c r="A604" t="s">
        <v>2135</v>
      </c>
      <c r="B604" t="s">
        <v>2136</v>
      </c>
      <c r="C604" t="s">
        <v>30</v>
      </c>
      <c r="D604">
        <v>162.61000000000001</v>
      </c>
      <c r="E604">
        <v>7000</v>
      </c>
      <c r="F604" t="s">
        <v>42</v>
      </c>
      <c r="G604" t="s">
        <v>32</v>
      </c>
      <c r="H604" t="s">
        <v>33</v>
      </c>
      <c r="J604" t="s">
        <v>45</v>
      </c>
      <c r="K604" t="s">
        <v>46</v>
      </c>
      <c r="L604">
        <v>12</v>
      </c>
      <c r="N604" t="s">
        <v>2137</v>
      </c>
    </row>
    <row r="605" spans="1:14" x14ac:dyDescent="0.35">
      <c r="A605" t="s">
        <v>2138</v>
      </c>
      <c r="B605" t="s">
        <v>2139</v>
      </c>
      <c r="C605" t="s">
        <v>30</v>
      </c>
      <c r="D605">
        <v>108.44</v>
      </c>
      <c r="E605">
        <v>7000</v>
      </c>
      <c r="F605" t="s">
        <v>36</v>
      </c>
      <c r="G605" t="s">
        <v>32</v>
      </c>
      <c r="H605" t="s">
        <v>33</v>
      </c>
      <c r="I605" t="s">
        <v>129</v>
      </c>
      <c r="J605" t="s">
        <v>70</v>
      </c>
      <c r="K605" t="s">
        <v>31</v>
      </c>
      <c r="L605">
        <v>22</v>
      </c>
      <c r="M605" t="s">
        <v>180</v>
      </c>
      <c r="N605" t="s">
        <v>2140</v>
      </c>
    </row>
    <row r="606" spans="1:14" x14ac:dyDescent="0.35">
      <c r="A606" t="s">
        <v>2141</v>
      </c>
      <c r="B606" t="s">
        <v>2142</v>
      </c>
      <c r="C606" t="s">
        <v>62</v>
      </c>
      <c r="D606">
        <v>68.709999999999994</v>
      </c>
      <c r="E606">
        <v>4000</v>
      </c>
      <c r="F606" t="s">
        <v>76</v>
      </c>
      <c r="G606" t="s">
        <v>32</v>
      </c>
      <c r="H606" t="s">
        <v>43</v>
      </c>
      <c r="J606" t="s">
        <v>316</v>
      </c>
      <c r="K606" t="s">
        <v>97</v>
      </c>
      <c r="L606">
        <v>22</v>
      </c>
      <c r="M606" t="s">
        <v>574</v>
      </c>
      <c r="N606" t="s">
        <v>857</v>
      </c>
    </row>
    <row r="607" spans="1:14" x14ac:dyDescent="0.35">
      <c r="A607" t="s">
        <v>2143</v>
      </c>
      <c r="B607" t="s">
        <v>2144</v>
      </c>
      <c r="C607" t="s">
        <v>81</v>
      </c>
      <c r="D607">
        <v>129.99</v>
      </c>
      <c r="E607">
        <v>2000</v>
      </c>
      <c r="F607" t="s">
        <v>36</v>
      </c>
      <c r="G607" t="s">
        <v>32</v>
      </c>
      <c r="H607" t="s">
        <v>43</v>
      </c>
      <c r="I607" t="s">
        <v>34</v>
      </c>
      <c r="J607" t="s">
        <v>124</v>
      </c>
      <c r="K607" t="s">
        <v>117</v>
      </c>
      <c r="L607">
        <v>6</v>
      </c>
      <c r="M607" t="s">
        <v>88</v>
      </c>
      <c r="N607" t="s">
        <v>2005</v>
      </c>
    </row>
    <row r="608" spans="1:14" x14ac:dyDescent="0.35">
      <c r="A608" t="s">
        <v>2145</v>
      </c>
      <c r="B608" t="s">
        <v>2146</v>
      </c>
      <c r="C608" t="s">
        <v>30</v>
      </c>
      <c r="D608">
        <v>153.74</v>
      </c>
      <c r="E608">
        <v>14000</v>
      </c>
      <c r="F608" t="s">
        <v>106</v>
      </c>
      <c r="G608" t="s">
        <v>32</v>
      </c>
      <c r="H608" t="s">
        <v>57</v>
      </c>
      <c r="I608" t="s">
        <v>44</v>
      </c>
      <c r="J608" t="s">
        <v>63</v>
      </c>
      <c r="K608" t="s">
        <v>64</v>
      </c>
      <c r="L608">
        <v>8</v>
      </c>
      <c r="M608" t="s">
        <v>603</v>
      </c>
      <c r="N608" t="s">
        <v>1298</v>
      </c>
    </row>
    <row r="609" spans="1:14" x14ac:dyDescent="0.35">
      <c r="A609" t="s">
        <v>2147</v>
      </c>
      <c r="B609" t="s">
        <v>2148</v>
      </c>
      <c r="C609" t="s">
        <v>69</v>
      </c>
      <c r="D609">
        <v>84.57</v>
      </c>
      <c r="E609">
        <v>95000</v>
      </c>
      <c r="F609" t="s">
        <v>51</v>
      </c>
      <c r="G609" t="s">
        <v>32</v>
      </c>
      <c r="H609" t="s">
        <v>57</v>
      </c>
      <c r="I609" t="s">
        <v>34</v>
      </c>
      <c r="J609" t="s">
        <v>2149</v>
      </c>
      <c r="K609" t="s">
        <v>117</v>
      </c>
      <c r="L609">
        <v>17</v>
      </c>
      <c r="N609" t="s">
        <v>2150</v>
      </c>
    </row>
    <row r="610" spans="1:14" x14ac:dyDescent="0.35">
      <c r="A610" t="s">
        <v>2151</v>
      </c>
      <c r="B610" t="s">
        <v>2152</v>
      </c>
      <c r="C610" t="s">
        <v>30</v>
      </c>
      <c r="D610">
        <v>183.6</v>
      </c>
      <c r="E610">
        <v>6000</v>
      </c>
      <c r="F610" t="s">
        <v>36</v>
      </c>
      <c r="G610" t="s">
        <v>102</v>
      </c>
      <c r="H610" t="s">
        <v>57</v>
      </c>
      <c r="I610" t="s">
        <v>34</v>
      </c>
      <c r="J610" t="s">
        <v>35</v>
      </c>
      <c r="K610" t="s">
        <v>36</v>
      </c>
      <c r="L610">
        <v>23</v>
      </c>
      <c r="N610" t="s">
        <v>2153</v>
      </c>
    </row>
    <row r="611" spans="1:14" x14ac:dyDescent="0.35">
      <c r="A611" t="s">
        <v>2154</v>
      </c>
      <c r="B611" t="s">
        <v>2155</v>
      </c>
      <c r="C611" t="s">
        <v>81</v>
      </c>
      <c r="D611">
        <v>105.45</v>
      </c>
      <c r="E611">
        <v>4000</v>
      </c>
      <c r="F611" t="s">
        <v>42</v>
      </c>
      <c r="G611" t="s">
        <v>102</v>
      </c>
      <c r="H611" t="s">
        <v>57</v>
      </c>
      <c r="I611" t="s">
        <v>34</v>
      </c>
      <c r="J611" t="s">
        <v>63</v>
      </c>
      <c r="K611" t="s">
        <v>64</v>
      </c>
      <c r="L611">
        <v>11</v>
      </c>
      <c r="N611" t="s">
        <v>2156</v>
      </c>
    </row>
    <row r="612" spans="1:14" x14ac:dyDescent="0.35">
      <c r="A612" t="s">
        <v>2157</v>
      </c>
      <c r="B612" t="s">
        <v>2158</v>
      </c>
      <c r="C612" t="s">
        <v>81</v>
      </c>
      <c r="D612">
        <v>132.84</v>
      </c>
      <c r="E612">
        <v>6000</v>
      </c>
      <c r="F612" t="s">
        <v>147</v>
      </c>
      <c r="G612" t="s">
        <v>32</v>
      </c>
      <c r="H612" t="s">
        <v>57</v>
      </c>
      <c r="I612" t="s">
        <v>44</v>
      </c>
      <c r="J612" t="s">
        <v>235</v>
      </c>
      <c r="K612" t="s">
        <v>236</v>
      </c>
      <c r="L612">
        <v>1</v>
      </c>
      <c r="M612" t="s">
        <v>1121</v>
      </c>
      <c r="N612" t="s">
        <v>2159</v>
      </c>
    </row>
    <row r="613" spans="1:14" x14ac:dyDescent="0.35">
      <c r="A613" t="s">
        <v>2160</v>
      </c>
      <c r="B613" t="s">
        <v>2161</v>
      </c>
      <c r="C613" t="s">
        <v>62</v>
      </c>
      <c r="D613">
        <v>63.55</v>
      </c>
      <c r="E613">
        <v>2000</v>
      </c>
      <c r="F613" t="s">
        <v>87</v>
      </c>
      <c r="G613" t="s">
        <v>32</v>
      </c>
      <c r="H613" t="s">
        <v>33</v>
      </c>
      <c r="I613" t="s">
        <v>44</v>
      </c>
      <c r="J613" t="s">
        <v>235</v>
      </c>
      <c r="K613" t="s">
        <v>236</v>
      </c>
      <c r="L613">
        <v>5</v>
      </c>
      <c r="M613" t="s">
        <v>930</v>
      </c>
      <c r="N613" t="s">
        <v>2162</v>
      </c>
    </row>
    <row r="614" spans="1:14" x14ac:dyDescent="0.35">
      <c r="A614" t="s">
        <v>2163</v>
      </c>
      <c r="B614" t="s">
        <v>2164</v>
      </c>
      <c r="C614" t="s">
        <v>81</v>
      </c>
      <c r="D614">
        <v>133.58000000000001</v>
      </c>
      <c r="E614">
        <v>5000</v>
      </c>
      <c r="F614" t="s">
        <v>64</v>
      </c>
      <c r="G614" t="s">
        <v>32</v>
      </c>
      <c r="H614" t="s">
        <v>57</v>
      </c>
      <c r="I614" t="s">
        <v>44</v>
      </c>
      <c r="J614" t="s">
        <v>107</v>
      </c>
      <c r="K614" t="s">
        <v>87</v>
      </c>
      <c r="L614">
        <v>19</v>
      </c>
      <c r="M614" t="s">
        <v>641</v>
      </c>
      <c r="N614" t="s">
        <v>2165</v>
      </c>
    </row>
    <row r="615" spans="1:14" x14ac:dyDescent="0.35">
      <c r="A615" t="s">
        <v>2166</v>
      </c>
      <c r="B615" t="s">
        <v>2167</v>
      </c>
      <c r="C615" t="s">
        <v>116</v>
      </c>
      <c r="D615">
        <v>10.63</v>
      </c>
      <c r="E615">
        <v>700</v>
      </c>
      <c r="F615" t="s">
        <v>147</v>
      </c>
      <c r="G615" t="s">
        <v>32</v>
      </c>
      <c r="H615" t="s">
        <v>33</v>
      </c>
      <c r="I615" t="s">
        <v>44</v>
      </c>
      <c r="J615" t="s">
        <v>35</v>
      </c>
      <c r="K615" t="s">
        <v>36</v>
      </c>
      <c r="L615">
        <v>21</v>
      </c>
      <c r="M615" t="s">
        <v>1456</v>
      </c>
      <c r="N615" t="s">
        <v>2168</v>
      </c>
    </row>
    <row r="616" spans="1:14" x14ac:dyDescent="0.35">
      <c r="A616" t="s">
        <v>2169</v>
      </c>
      <c r="B616" t="s">
        <v>2170</v>
      </c>
      <c r="C616" t="s">
        <v>69</v>
      </c>
      <c r="D616">
        <v>76.08</v>
      </c>
      <c r="E616">
        <v>42000</v>
      </c>
      <c r="F616" t="s">
        <v>147</v>
      </c>
      <c r="G616" t="s">
        <v>32</v>
      </c>
      <c r="H616" t="s">
        <v>57</v>
      </c>
      <c r="J616" t="s">
        <v>75</v>
      </c>
      <c r="K616" t="s">
        <v>76</v>
      </c>
      <c r="L616">
        <v>4</v>
      </c>
      <c r="M616" t="s">
        <v>1072</v>
      </c>
      <c r="N616" t="s">
        <v>2171</v>
      </c>
    </row>
    <row r="617" spans="1:14" x14ac:dyDescent="0.35">
      <c r="A617" t="s">
        <v>2172</v>
      </c>
      <c r="B617" t="s">
        <v>2173</v>
      </c>
      <c r="C617" t="s">
        <v>41</v>
      </c>
      <c r="D617">
        <v>142.80000000000001</v>
      </c>
      <c r="E617">
        <v>36000</v>
      </c>
      <c r="F617" t="s">
        <v>236</v>
      </c>
      <c r="G617" t="s">
        <v>32</v>
      </c>
      <c r="H617" t="s">
        <v>57</v>
      </c>
      <c r="I617" t="s">
        <v>34</v>
      </c>
      <c r="J617" t="s">
        <v>2174</v>
      </c>
      <c r="K617" t="s">
        <v>139</v>
      </c>
      <c r="L617">
        <v>9</v>
      </c>
      <c r="M617" t="s">
        <v>2175</v>
      </c>
      <c r="N617" t="s">
        <v>948</v>
      </c>
    </row>
    <row r="618" spans="1:14" x14ac:dyDescent="0.35">
      <c r="A618" t="s">
        <v>2176</v>
      </c>
      <c r="B618" t="s">
        <v>2177</v>
      </c>
      <c r="C618" t="s">
        <v>116</v>
      </c>
      <c r="D618">
        <v>8.5500000000000007</v>
      </c>
      <c r="E618">
        <v>400</v>
      </c>
      <c r="F618" t="s">
        <v>117</v>
      </c>
      <c r="G618" t="s">
        <v>32</v>
      </c>
      <c r="H618" t="s">
        <v>33</v>
      </c>
      <c r="I618" t="s">
        <v>34</v>
      </c>
      <c r="J618" t="s">
        <v>543</v>
      </c>
      <c r="K618" t="s">
        <v>51</v>
      </c>
      <c r="L618">
        <v>4</v>
      </c>
      <c r="M618" t="s">
        <v>1695</v>
      </c>
      <c r="N618" t="s">
        <v>2178</v>
      </c>
    </row>
    <row r="619" spans="1:14" x14ac:dyDescent="0.35">
      <c r="A619" t="s">
        <v>2179</v>
      </c>
      <c r="B619" t="s">
        <v>2180</v>
      </c>
      <c r="C619" t="s">
        <v>62</v>
      </c>
      <c r="D619">
        <v>71.63</v>
      </c>
      <c r="E619">
        <v>3000</v>
      </c>
      <c r="F619" t="s">
        <v>76</v>
      </c>
      <c r="G619" t="s">
        <v>32</v>
      </c>
      <c r="H619" t="s">
        <v>33</v>
      </c>
      <c r="I619" t="s">
        <v>44</v>
      </c>
      <c r="J619" t="s">
        <v>112</v>
      </c>
      <c r="K619" t="s">
        <v>106</v>
      </c>
      <c r="L619">
        <v>15</v>
      </c>
      <c r="M619" t="s">
        <v>140</v>
      </c>
      <c r="N619" t="s">
        <v>2181</v>
      </c>
    </row>
    <row r="620" spans="1:14" x14ac:dyDescent="0.35">
      <c r="A620" t="s">
        <v>2182</v>
      </c>
      <c r="B620" t="s">
        <v>2183</v>
      </c>
      <c r="C620" t="s">
        <v>41</v>
      </c>
      <c r="D620">
        <v>134.66</v>
      </c>
      <c r="E620">
        <v>33000</v>
      </c>
      <c r="F620" t="s">
        <v>36</v>
      </c>
      <c r="G620" t="s">
        <v>32</v>
      </c>
      <c r="H620" t="s">
        <v>43</v>
      </c>
      <c r="J620" t="s">
        <v>124</v>
      </c>
      <c r="K620" t="s">
        <v>117</v>
      </c>
      <c r="L620">
        <v>14</v>
      </c>
      <c r="N620" t="s">
        <v>294</v>
      </c>
    </row>
    <row r="621" spans="1:14" x14ac:dyDescent="0.35">
      <c r="A621" t="s">
        <v>2184</v>
      </c>
      <c r="B621" t="s">
        <v>2185</v>
      </c>
      <c r="C621" t="s">
        <v>62</v>
      </c>
      <c r="D621">
        <v>52.57</v>
      </c>
      <c r="E621">
        <v>4000</v>
      </c>
      <c r="F621" t="s">
        <v>87</v>
      </c>
      <c r="G621" t="s">
        <v>32</v>
      </c>
      <c r="H621" t="s">
        <v>57</v>
      </c>
      <c r="I621" t="s">
        <v>44</v>
      </c>
      <c r="J621" t="s">
        <v>112</v>
      </c>
      <c r="K621" t="s">
        <v>106</v>
      </c>
      <c r="L621">
        <v>16</v>
      </c>
      <c r="M621" t="s">
        <v>2186</v>
      </c>
      <c r="N621" t="s">
        <v>1787</v>
      </c>
    </row>
    <row r="622" spans="1:14" x14ac:dyDescent="0.35">
      <c r="A622" t="s">
        <v>2187</v>
      </c>
      <c r="B622" t="s">
        <v>2188</v>
      </c>
      <c r="C622" t="s">
        <v>41</v>
      </c>
      <c r="D622">
        <v>140.38</v>
      </c>
      <c r="E622">
        <v>13000</v>
      </c>
      <c r="F622" t="s">
        <v>76</v>
      </c>
      <c r="G622" t="s">
        <v>32</v>
      </c>
      <c r="H622" t="s">
        <v>43</v>
      </c>
      <c r="I622" t="s">
        <v>34</v>
      </c>
      <c r="J622" t="s">
        <v>75</v>
      </c>
      <c r="K622" t="s">
        <v>76</v>
      </c>
      <c r="L622">
        <v>22</v>
      </c>
      <c r="M622" t="s">
        <v>386</v>
      </c>
      <c r="N622" t="s">
        <v>2189</v>
      </c>
    </row>
    <row r="623" spans="1:14" x14ac:dyDescent="0.35">
      <c r="A623" t="s">
        <v>2190</v>
      </c>
      <c r="B623" t="s">
        <v>2191</v>
      </c>
      <c r="C623" t="s">
        <v>62</v>
      </c>
      <c r="D623">
        <v>52.55</v>
      </c>
      <c r="E623">
        <v>3000</v>
      </c>
      <c r="F623" t="s">
        <v>147</v>
      </c>
      <c r="G623" t="s">
        <v>32</v>
      </c>
      <c r="H623" t="s">
        <v>33</v>
      </c>
      <c r="I623" t="s">
        <v>34</v>
      </c>
      <c r="J623" t="s">
        <v>2192</v>
      </c>
      <c r="K623" t="s">
        <v>147</v>
      </c>
      <c r="L623">
        <v>20</v>
      </c>
      <c r="M623" t="s">
        <v>1186</v>
      </c>
      <c r="N623" t="s">
        <v>2193</v>
      </c>
    </row>
    <row r="624" spans="1:14" x14ac:dyDescent="0.35">
      <c r="A624" t="s">
        <v>2194</v>
      </c>
      <c r="B624" t="s">
        <v>2195</v>
      </c>
      <c r="C624" t="s">
        <v>41</v>
      </c>
      <c r="D624">
        <v>114.21</v>
      </c>
      <c r="E624">
        <v>40000</v>
      </c>
      <c r="F624" t="s">
        <v>31</v>
      </c>
      <c r="G624" t="s">
        <v>102</v>
      </c>
      <c r="H624" t="s">
        <v>57</v>
      </c>
      <c r="I624" t="s">
        <v>34</v>
      </c>
      <c r="J624" t="s">
        <v>75</v>
      </c>
      <c r="K624" t="s">
        <v>76</v>
      </c>
      <c r="L624">
        <v>17</v>
      </c>
      <c r="M624" t="s">
        <v>279</v>
      </c>
      <c r="N624" t="s">
        <v>972</v>
      </c>
    </row>
    <row r="625" spans="1:14" x14ac:dyDescent="0.35">
      <c r="A625" t="s">
        <v>2196</v>
      </c>
      <c r="B625" t="s">
        <v>2197</v>
      </c>
      <c r="C625" t="s">
        <v>81</v>
      </c>
      <c r="D625">
        <v>84.79</v>
      </c>
      <c r="E625">
        <v>2000</v>
      </c>
      <c r="F625" t="s">
        <v>64</v>
      </c>
      <c r="G625" t="s">
        <v>32</v>
      </c>
      <c r="H625" t="s">
        <v>43</v>
      </c>
      <c r="I625" t="s">
        <v>129</v>
      </c>
      <c r="J625" t="s">
        <v>124</v>
      </c>
      <c r="K625" t="s">
        <v>117</v>
      </c>
      <c r="L625">
        <v>17</v>
      </c>
      <c r="M625" t="s">
        <v>551</v>
      </c>
      <c r="N625" t="s">
        <v>2198</v>
      </c>
    </row>
    <row r="626" spans="1:14" x14ac:dyDescent="0.35">
      <c r="A626" t="s">
        <v>2199</v>
      </c>
      <c r="B626" t="s">
        <v>2200</v>
      </c>
      <c r="C626" t="s">
        <v>69</v>
      </c>
      <c r="D626">
        <v>50.73</v>
      </c>
      <c r="E626">
        <v>59000</v>
      </c>
      <c r="F626" t="s">
        <v>42</v>
      </c>
      <c r="G626" t="s">
        <v>32</v>
      </c>
      <c r="H626" t="s">
        <v>57</v>
      </c>
      <c r="I626" t="s">
        <v>44</v>
      </c>
      <c r="J626" t="s">
        <v>334</v>
      </c>
      <c r="K626" t="s">
        <v>51</v>
      </c>
      <c r="L626">
        <v>10</v>
      </c>
      <c r="M626" t="s">
        <v>1086</v>
      </c>
      <c r="N626" t="s">
        <v>2201</v>
      </c>
    </row>
    <row r="627" spans="1:14" x14ac:dyDescent="0.35">
      <c r="A627" t="s">
        <v>2202</v>
      </c>
      <c r="B627" t="s">
        <v>2203</v>
      </c>
      <c r="C627" t="s">
        <v>41</v>
      </c>
      <c r="D627">
        <v>122.48</v>
      </c>
      <c r="E627">
        <v>40000</v>
      </c>
      <c r="F627" t="s">
        <v>139</v>
      </c>
      <c r="G627" t="s">
        <v>32</v>
      </c>
      <c r="H627" t="s">
        <v>57</v>
      </c>
      <c r="J627" t="s">
        <v>278</v>
      </c>
      <c r="K627" t="s">
        <v>97</v>
      </c>
      <c r="L627">
        <v>19</v>
      </c>
      <c r="M627" t="s">
        <v>140</v>
      </c>
      <c r="N627" t="s">
        <v>1817</v>
      </c>
    </row>
    <row r="628" spans="1:14" x14ac:dyDescent="0.35">
      <c r="A628" t="s">
        <v>2204</v>
      </c>
      <c r="B628" t="s">
        <v>2205</v>
      </c>
      <c r="C628" t="s">
        <v>41</v>
      </c>
      <c r="D628">
        <v>118.61</v>
      </c>
      <c r="E628">
        <v>12000</v>
      </c>
      <c r="F628" t="s">
        <v>123</v>
      </c>
      <c r="G628" t="s">
        <v>32</v>
      </c>
      <c r="H628" t="s">
        <v>57</v>
      </c>
      <c r="I628" t="s">
        <v>34</v>
      </c>
      <c r="J628" t="s">
        <v>543</v>
      </c>
      <c r="K628" t="s">
        <v>51</v>
      </c>
      <c r="L628">
        <v>0</v>
      </c>
      <c r="N628" t="s">
        <v>379</v>
      </c>
    </row>
    <row r="629" spans="1:14" x14ac:dyDescent="0.35">
      <c r="A629" t="s">
        <v>2206</v>
      </c>
      <c r="B629" t="s">
        <v>2207</v>
      </c>
      <c r="C629" t="s">
        <v>41</v>
      </c>
      <c r="D629">
        <v>138.12</v>
      </c>
      <c r="E629">
        <v>10000</v>
      </c>
      <c r="F629" t="s">
        <v>42</v>
      </c>
      <c r="G629" t="s">
        <v>32</v>
      </c>
      <c r="H629" t="s">
        <v>33</v>
      </c>
      <c r="I629" t="s">
        <v>34</v>
      </c>
      <c r="J629" t="s">
        <v>130</v>
      </c>
      <c r="K629" t="s">
        <v>123</v>
      </c>
      <c r="L629">
        <v>22</v>
      </c>
      <c r="M629" t="s">
        <v>156</v>
      </c>
      <c r="N629" t="s">
        <v>165</v>
      </c>
    </row>
    <row r="630" spans="1:14" x14ac:dyDescent="0.35">
      <c r="A630" t="s">
        <v>2208</v>
      </c>
      <c r="B630" t="s">
        <v>2209</v>
      </c>
      <c r="C630" t="s">
        <v>69</v>
      </c>
      <c r="D630">
        <v>86.78</v>
      </c>
      <c r="E630">
        <v>27000</v>
      </c>
      <c r="F630" t="s">
        <v>76</v>
      </c>
      <c r="G630" t="s">
        <v>32</v>
      </c>
      <c r="H630" t="s">
        <v>33</v>
      </c>
      <c r="J630" t="s">
        <v>179</v>
      </c>
      <c r="K630" t="s">
        <v>97</v>
      </c>
      <c r="L630">
        <v>8</v>
      </c>
      <c r="M630" t="s">
        <v>1776</v>
      </c>
      <c r="N630" t="s">
        <v>2210</v>
      </c>
    </row>
    <row r="631" spans="1:14" x14ac:dyDescent="0.35">
      <c r="A631" t="s">
        <v>2211</v>
      </c>
      <c r="B631" t="s">
        <v>2212</v>
      </c>
      <c r="C631" t="s">
        <v>41</v>
      </c>
      <c r="D631">
        <v>109.07</v>
      </c>
      <c r="E631">
        <v>21000</v>
      </c>
      <c r="F631" t="s">
        <v>51</v>
      </c>
      <c r="G631" t="s">
        <v>32</v>
      </c>
      <c r="H631" t="s">
        <v>43</v>
      </c>
      <c r="I631" t="s">
        <v>34</v>
      </c>
      <c r="J631" t="s">
        <v>70</v>
      </c>
      <c r="K631" t="s">
        <v>31</v>
      </c>
      <c r="L631">
        <v>22</v>
      </c>
      <c r="M631" t="s">
        <v>346</v>
      </c>
      <c r="N631" t="s">
        <v>328</v>
      </c>
    </row>
    <row r="632" spans="1:14" x14ac:dyDescent="0.35">
      <c r="A632" t="s">
        <v>2213</v>
      </c>
      <c r="B632" t="s">
        <v>2214</v>
      </c>
      <c r="C632" t="s">
        <v>116</v>
      </c>
      <c r="D632">
        <v>8.7100000000000009</v>
      </c>
      <c r="E632">
        <v>600</v>
      </c>
      <c r="F632" t="s">
        <v>123</v>
      </c>
      <c r="G632" t="s">
        <v>32</v>
      </c>
      <c r="H632" t="s">
        <v>43</v>
      </c>
      <c r="I632" t="s">
        <v>44</v>
      </c>
      <c r="J632" t="s">
        <v>63</v>
      </c>
      <c r="K632" t="s">
        <v>64</v>
      </c>
      <c r="L632">
        <v>10</v>
      </c>
      <c r="N632" t="s">
        <v>2215</v>
      </c>
    </row>
    <row r="633" spans="1:14" x14ac:dyDescent="0.35">
      <c r="A633" t="s">
        <v>2216</v>
      </c>
      <c r="B633" t="s">
        <v>2217</v>
      </c>
      <c r="C633" t="s">
        <v>69</v>
      </c>
      <c r="D633">
        <v>90.51</v>
      </c>
      <c r="E633">
        <v>74000</v>
      </c>
      <c r="F633" t="s">
        <v>76</v>
      </c>
      <c r="G633" t="s">
        <v>32</v>
      </c>
      <c r="H633" t="s">
        <v>57</v>
      </c>
      <c r="I633" t="s">
        <v>34</v>
      </c>
      <c r="J633" t="s">
        <v>107</v>
      </c>
      <c r="K633" t="s">
        <v>87</v>
      </c>
      <c r="L633">
        <v>21</v>
      </c>
      <c r="M633" t="s">
        <v>2068</v>
      </c>
      <c r="N633" t="s">
        <v>2218</v>
      </c>
    </row>
    <row r="634" spans="1:14" x14ac:dyDescent="0.35">
      <c r="A634" t="s">
        <v>2219</v>
      </c>
      <c r="B634" t="s">
        <v>2220</v>
      </c>
      <c r="C634" t="s">
        <v>69</v>
      </c>
      <c r="D634">
        <v>63.14</v>
      </c>
      <c r="E634">
        <v>48000</v>
      </c>
      <c r="F634" t="s">
        <v>74</v>
      </c>
      <c r="G634" t="s">
        <v>32</v>
      </c>
      <c r="H634" t="s">
        <v>57</v>
      </c>
      <c r="I634" t="s">
        <v>44</v>
      </c>
      <c r="J634" t="s">
        <v>2132</v>
      </c>
      <c r="K634" t="s">
        <v>97</v>
      </c>
      <c r="L634">
        <v>8</v>
      </c>
      <c r="M634" t="s">
        <v>2221</v>
      </c>
      <c r="N634" t="s">
        <v>2222</v>
      </c>
    </row>
    <row r="635" spans="1:14" x14ac:dyDescent="0.35">
      <c r="A635" t="s">
        <v>2223</v>
      </c>
      <c r="B635" t="s">
        <v>2224</v>
      </c>
      <c r="C635" t="s">
        <v>41</v>
      </c>
      <c r="D635">
        <v>121.55</v>
      </c>
      <c r="E635">
        <v>24000</v>
      </c>
      <c r="F635" t="s">
        <v>46</v>
      </c>
      <c r="G635" t="s">
        <v>32</v>
      </c>
      <c r="H635" t="s">
        <v>43</v>
      </c>
      <c r="I635" t="s">
        <v>34</v>
      </c>
      <c r="J635" t="s">
        <v>107</v>
      </c>
      <c r="K635" t="s">
        <v>87</v>
      </c>
      <c r="L635">
        <v>17</v>
      </c>
      <c r="M635" t="s">
        <v>1628</v>
      </c>
      <c r="N635" t="s">
        <v>2225</v>
      </c>
    </row>
    <row r="636" spans="1:14" x14ac:dyDescent="0.35">
      <c r="A636" t="s">
        <v>2226</v>
      </c>
      <c r="B636" t="s">
        <v>2227</v>
      </c>
      <c r="C636" t="s">
        <v>62</v>
      </c>
      <c r="D636">
        <v>64.599999999999994</v>
      </c>
      <c r="E636">
        <v>2000</v>
      </c>
      <c r="F636" t="s">
        <v>74</v>
      </c>
      <c r="G636" t="s">
        <v>32</v>
      </c>
      <c r="H636" t="s">
        <v>43</v>
      </c>
      <c r="J636" t="s">
        <v>63</v>
      </c>
      <c r="K636" t="s">
        <v>64</v>
      </c>
      <c r="L636">
        <v>6</v>
      </c>
      <c r="M636" t="s">
        <v>1691</v>
      </c>
      <c r="N636" t="s">
        <v>2228</v>
      </c>
    </row>
    <row r="637" spans="1:14" x14ac:dyDescent="0.35">
      <c r="A637" t="s">
        <v>2229</v>
      </c>
      <c r="B637" t="s">
        <v>2230</v>
      </c>
      <c r="C637" t="s">
        <v>41</v>
      </c>
      <c r="D637">
        <v>103.09</v>
      </c>
      <c r="E637">
        <v>12000</v>
      </c>
      <c r="F637" t="s">
        <v>106</v>
      </c>
      <c r="G637" t="s">
        <v>32</v>
      </c>
      <c r="H637" t="s">
        <v>57</v>
      </c>
      <c r="I637" t="s">
        <v>34</v>
      </c>
      <c r="J637" t="s">
        <v>75</v>
      </c>
      <c r="K637" t="s">
        <v>76</v>
      </c>
      <c r="L637">
        <v>18</v>
      </c>
      <c r="M637" t="s">
        <v>653</v>
      </c>
      <c r="N637" t="s">
        <v>630</v>
      </c>
    </row>
    <row r="638" spans="1:14" x14ac:dyDescent="0.35">
      <c r="A638" t="s">
        <v>2231</v>
      </c>
      <c r="B638" t="s">
        <v>2232</v>
      </c>
      <c r="C638" t="s">
        <v>41</v>
      </c>
      <c r="D638">
        <v>101.64</v>
      </c>
      <c r="E638">
        <v>15000</v>
      </c>
      <c r="F638" t="s">
        <v>76</v>
      </c>
      <c r="G638" t="s">
        <v>32</v>
      </c>
      <c r="H638" t="s">
        <v>57</v>
      </c>
      <c r="I638" t="s">
        <v>44</v>
      </c>
      <c r="J638" t="s">
        <v>82</v>
      </c>
      <c r="K638" t="s">
        <v>74</v>
      </c>
      <c r="L638">
        <v>4</v>
      </c>
      <c r="M638" t="s">
        <v>83</v>
      </c>
      <c r="N638" t="s">
        <v>2233</v>
      </c>
    </row>
    <row r="639" spans="1:14" x14ac:dyDescent="0.35">
      <c r="A639" t="s">
        <v>2234</v>
      </c>
      <c r="B639" t="s">
        <v>2235</v>
      </c>
      <c r="C639" t="s">
        <v>69</v>
      </c>
      <c r="D639">
        <v>75.400000000000006</v>
      </c>
      <c r="E639">
        <v>63000</v>
      </c>
      <c r="F639" t="s">
        <v>51</v>
      </c>
      <c r="G639" t="s">
        <v>32</v>
      </c>
      <c r="H639" t="s">
        <v>57</v>
      </c>
      <c r="I639" t="s">
        <v>34</v>
      </c>
      <c r="J639" t="s">
        <v>130</v>
      </c>
      <c r="K639" t="s">
        <v>123</v>
      </c>
      <c r="L639">
        <v>2</v>
      </c>
      <c r="M639" t="s">
        <v>83</v>
      </c>
      <c r="N639" t="s">
        <v>1792</v>
      </c>
    </row>
    <row r="640" spans="1:14" x14ac:dyDescent="0.35">
      <c r="A640" t="s">
        <v>2236</v>
      </c>
      <c r="B640" t="s">
        <v>2237</v>
      </c>
      <c r="C640" t="s">
        <v>81</v>
      </c>
      <c r="D640">
        <v>98.44</v>
      </c>
      <c r="E640">
        <v>10000</v>
      </c>
      <c r="F640" t="s">
        <v>76</v>
      </c>
      <c r="G640" t="s">
        <v>32</v>
      </c>
      <c r="H640" t="s">
        <v>33</v>
      </c>
      <c r="I640" t="s">
        <v>129</v>
      </c>
      <c r="J640" t="s">
        <v>35</v>
      </c>
      <c r="K640" t="s">
        <v>36</v>
      </c>
      <c r="L640">
        <v>9</v>
      </c>
      <c r="N640" t="s">
        <v>2178</v>
      </c>
    </row>
    <row r="641" spans="1:14" x14ac:dyDescent="0.35">
      <c r="A641" t="s">
        <v>2238</v>
      </c>
      <c r="B641" t="s">
        <v>2239</v>
      </c>
      <c r="C641" t="s">
        <v>30</v>
      </c>
      <c r="D641">
        <v>100.35</v>
      </c>
      <c r="E641">
        <v>10000</v>
      </c>
      <c r="F641" t="s">
        <v>97</v>
      </c>
      <c r="G641" t="s">
        <v>32</v>
      </c>
      <c r="H641" t="s">
        <v>57</v>
      </c>
      <c r="I641" t="s">
        <v>44</v>
      </c>
      <c r="J641" t="s">
        <v>63</v>
      </c>
      <c r="K641" t="s">
        <v>64</v>
      </c>
      <c r="L641">
        <v>2</v>
      </c>
      <c r="M641" t="s">
        <v>885</v>
      </c>
      <c r="N641" t="s">
        <v>832</v>
      </c>
    </row>
    <row r="642" spans="1:14" x14ac:dyDescent="0.35">
      <c r="A642" t="s">
        <v>2240</v>
      </c>
      <c r="B642" t="s">
        <v>2241</v>
      </c>
      <c r="C642" t="s">
        <v>69</v>
      </c>
      <c r="D642">
        <v>97.75</v>
      </c>
      <c r="E642">
        <v>49000</v>
      </c>
      <c r="F642" t="s">
        <v>31</v>
      </c>
      <c r="G642" t="s">
        <v>32</v>
      </c>
      <c r="H642" t="s">
        <v>33</v>
      </c>
      <c r="J642" t="s">
        <v>2242</v>
      </c>
      <c r="K642" t="s">
        <v>74</v>
      </c>
      <c r="L642">
        <v>14</v>
      </c>
      <c r="M642" t="s">
        <v>2243</v>
      </c>
      <c r="N642" t="s">
        <v>2244</v>
      </c>
    </row>
    <row r="643" spans="1:14" x14ac:dyDescent="0.35">
      <c r="A643" t="s">
        <v>2245</v>
      </c>
      <c r="B643" t="s">
        <v>2246</v>
      </c>
      <c r="C643" t="s">
        <v>30</v>
      </c>
      <c r="D643">
        <v>142.29</v>
      </c>
      <c r="E643">
        <v>3000</v>
      </c>
      <c r="F643" t="s">
        <v>139</v>
      </c>
      <c r="G643" t="s">
        <v>32</v>
      </c>
      <c r="H643" t="s">
        <v>33</v>
      </c>
      <c r="I643" t="s">
        <v>34</v>
      </c>
      <c r="J643" t="s">
        <v>35</v>
      </c>
      <c r="K643" t="s">
        <v>36</v>
      </c>
      <c r="L643">
        <v>17</v>
      </c>
      <c r="M643" t="s">
        <v>731</v>
      </c>
      <c r="N643" t="s">
        <v>2247</v>
      </c>
    </row>
    <row r="644" spans="1:14" x14ac:dyDescent="0.35">
      <c r="A644" t="s">
        <v>2248</v>
      </c>
      <c r="B644" t="s">
        <v>2249</v>
      </c>
      <c r="C644" t="s">
        <v>30</v>
      </c>
      <c r="D644">
        <v>172.36</v>
      </c>
      <c r="E644">
        <v>2000</v>
      </c>
      <c r="F644" t="s">
        <v>36</v>
      </c>
      <c r="G644" t="s">
        <v>32</v>
      </c>
      <c r="H644" t="s">
        <v>43</v>
      </c>
      <c r="I644" t="s">
        <v>34</v>
      </c>
      <c r="J644" t="s">
        <v>1565</v>
      </c>
      <c r="K644" t="s">
        <v>51</v>
      </c>
      <c r="L644">
        <v>15</v>
      </c>
      <c r="M644" t="s">
        <v>175</v>
      </c>
      <c r="N644" t="s">
        <v>1302</v>
      </c>
    </row>
    <row r="645" spans="1:14" x14ac:dyDescent="0.35">
      <c r="A645" t="s">
        <v>2250</v>
      </c>
      <c r="B645" t="s">
        <v>2251</v>
      </c>
      <c r="C645" t="s">
        <v>62</v>
      </c>
      <c r="D645">
        <v>52.14</v>
      </c>
      <c r="E645">
        <v>4000</v>
      </c>
      <c r="F645" t="s">
        <v>123</v>
      </c>
      <c r="G645" t="s">
        <v>32</v>
      </c>
      <c r="H645" t="s">
        <v>43</v>
      </c>
      <c r="I645" t="s">
        <v>34</v>
      </c>
      <c r="J645" t="s">
        <v>45</v>
      </c>
      <c r="K645" t="s">
        <v>46</v>
      </c>
      <c r="L645">
        <v>11</v>
      </c>
      <c r="N645" t="s">
        <v>2252</v>
      </c>
    </row>
    <row r="646" spans="1:14" x14ac:dyDescent="0.35">
      <c r="A646" t="s">
        <v>2253</v>
      </c>
      <c r="B646" t="s">
        <v>2254</v>
      </c>
      <c r="C646" t="s">
        <v>69</v>
      </c>
      <c r="D646">
        <v>73.400000000000006</v>
      </c>
      <c r="E646">
        <v>14000</v>
      </c>
      <c r="F646" t="s">
        <v>31</v>
      </c>
      <c r="G646" t="s">
        <v>32</v>
      </c>
      <c r="H646" t="s">
        <v>33</v>
      </c>
      <c r="I646" t="s">
        <v>34</v>
      </c>
      <c r="J646" t="s">
        <v>118</v>
      </c>
      <c r="K646" t="s">
        <v>42</v>
      </c>
      <c r="L646">
        <v>0</v>
      </c>
      <c r="M646" t="s">
        <v>1383</v>
      </c>
      <c r="N646" t="s">
        <v>1981</v>
      </c>
    </row>
    <row r="647" spans="1:14" x14ac:dyDescent="0.35">
      <c r="A647" t="s">
        <v>2255</v>
      </c>
      <c r="B647" t="s">
        <v>2256</v>
      </c>
      <c r="C647" t="s">
        <v>62</v>
      </c>
      <c r="D647">
        <v>79.62</v>
      </c>
      <c r="E647">
        <v>3000</v>
      </c>
      <c r="F647" t="s">
        <v>123</v>
      </c>
      <c r="G647" t="s">
        <v>32</v>
      </c>
      <c r="H647" t="s">
        <v>33</v>
      </c>
      <c r="I647" t="s">
        <v>44</v>
      </c>
      <c r="J647" t="s">
        <v>112</v>
      </c>
      <c r="K647" t="s">
        <v>106</v>
      </c>
      <c r="L647">
        <v>10</v>
      </c>
      <c r="M647" t="s">
        <v>2257</v>
      </c>
      <c r="N647" t="s">
        <v>1653</v>
      </c>
    </row>
    <row r="648" spans="1:14" x14ac:dyDescent="0.35">
      <c r="A648" t="s">
        <v>2258</v>
      </c>
      <c r="B648" t="s">
        <v>2259</v>
      </c>
      <c r="C648" t="s">
        <v>116</v>
      </c>
      <c r="D648">
        <v>6.62</v>
      </c>
      <c r="E648">
        <v>100</v>
      </c>
      <c r="F648" t="s">
        <v>46</v>
      </c>
      <c r="G648" t="s">
        <v>32</v>
      </c>
      <c r="H648" t="s">
        <v>33</v>
      </c>
      <c r="I648" t="s">
        <v>34</v>
      </c>
      <c r="J648" t="s">
        <v>75</v>
      </c>
      <c r="K648" t="s">
        <v>76</v>
      </c>
      <c r="L648">
        <v>4</v>
      </c>
      <c r="N648" t="s">
        <v>144</v>
      </c>
    </row>
    <row r="649" spans="1:14" x14ac:dyDescent="0.35">
      <c r="A649" t="s">
        <v>2260</v>
      </c>
      <c r="B649" t="s">
        <v>2261</v>
      </c>
      <c r="C649" t="s">
        <v>30</v>
      </c>
      <c r="D649">
        <v>157.27000000000001</v>
      </c>
      <c r="E649">
        <v>13000</v>
      </c>
      <c r="F649" t="s">
        <v>76</v>
      </c>
      <c r="G649" t="s">
        <v>32</v>
      </c>
      <c r="H649" t="s">
        <v>43</v>
      </c>
      <c r="I649" t="s">
        <v>44</v>
      </c>
      <c r="J649" t="s">
        <v>75</v>
      </c>
      <c r="K649" t="s">
        <v>76</v>
      </c>
      <c r="L649">
        <v>21</v>
      </c>
      <c r="N649" t="s">
        <v>2262</v>
      </c>
    </row>
    <row r="650" spans="1:14" x14ac:dyDescent="0.35">
      <c r="A650" t="s">
        <v>2263</v>
      </c>
      <c r="B650" t="s">
        <v>2264</v>
      </c>
      <c r="C650" t="s">
        <v>30</v>
      </c>
      <c r="D650">
        <v>107.21</v>
      </c>
      <c r="E650">
        <v>3000</v>
      </c>
      <c r="F650" t="s">
        <v>46</v>
      </c>
      <c r="G650" t="s">
        <v>32</v>
      </c>
      <c r="H650" t="s">
        <v>43</v>
      </c>
      <c r="I650" t="s">
        <v>44</v>
      </c>
      <c r="J650" t="s">
        <v>70</v>
      </c>
      <c r="K650" t="s">
        <v>31</v>
      </c>
      <c r="L650">
        <v>13</v>
      </c>
      <c r="M650" t="s">
        <v>2265</v>
      </c>
      <c r="N650" t="s">
        <v>2266</v>
      </c>
    </row>
    <row r="651" spans="1:14" x14ac:dyDescent="0.35">
      <c r="A651" t="s">
        <v>2267</v>
      </c>
      <c r="B651" t="s">
        <v>2268</v>
      </c>
      <c r="C651" t="s">
        <v>41</v>
      </c>
      <c r="D651">
        <v>82.11</v>
      </c>
      <c r="E651">
        <v>33000</v>
      </c>
      <c r="F651" t="s">
        <v>147</v>
      </c>
      <c r="G651" t="s">
        <v>32</v>
      </c>
      <c r="H651" t="s">
        <v>43</v>
      </c>
      <c r="I651" t="s">
        <v>44</v>
      </c>
      <c r="J651" t="s">
        <v>112</v>
      </c>
      <c r="K651" t="s">
        <v>106</v>
      </c>
      <c r="L651">
        <v>16</v>
      </c>
      <c r="M651" t="s">
        <v>2269</v>
      </c>
      <c r="N651" t="s">
        <v>2270</v>
      </c>
    </row>
    <row r="652" spans="1:14" x14ac:dyDescent="0.35">
      <c r="A652" t="s">
        <v>2271</v>
      </c>
      <c r="B652" t="s">
        <v>2272</v>
      </c>
      <c r="C652" t="s">
        <v>62</v>
      </c>
      <c r="D652">
        <v>81.86</v>
      </c>
      <c r="E652">
        <v>2000</v>
      </c>
      <c r="F652" t="s">
        <v>46</v>
      </c>
      <c r="G652" t="s">
        <v>32</v>
      </c>
      <c r="H652" t="s">
        <v>57</v>
      </c>
      <c r="I652" t="s">
        <v>44</v>
      </c>
      <c r="J652" t="s">
        <v>35</v>
      </c>
      <c r="K652" t="s">
        <v>36</v>
      </c>
      <c r="L652">
        <v>14</v>
      </c>
      <c r="N652" t="s">
        <v>2273</v>
      </c>
    </row>
    <row r="653" spans="1:14" x14ac:dyDescent="0.35">
      <c r="A653" t="s">
        <v>2274</v>
      </c>
      <c r="B653" t="s">
        <v>2275</v>
      </c>
      <c r="C653" t="s">
        <v>81</v>
      </c>
      <c r="D653">
        <v>132.57</v>
      </c>
      <c r="E653">
        <v>10000</v>
      </c>
      <c r="F653" t="s">
        <v>42</v>
      </c>
      <c r="G653" t="s">
        <v>32</v>
      </c>
      <c r="H653" t="s">
        <v>43</v>
      </c>
      <c r="I653" t="s">
        <v>34</v>
      </c>
      <c r="J653" t="s">
        <v>2276</v>
      </c>
      <c r="K653" t="s">
        <v>139</v>
      </c>
      <c r="L653">
        <v>9</v>
      </c>
      <c r="N653" t="s">
        <v>2277</v>
      </c>
    </row>
    <row r="654" spans="1:14" x14ac:dyDescent="0.35">
      <c r="A654" t="s">
        <v>2278</v>
      </c>
      <c r="B654" t="s">
        <v>2279</v>
      </c>
      <c r="C654" t="s">
        <v>116</v>
      </c>
      <c r="D654">
        <v>8.27</v>
      </c>
      <c r="E654">
        <v>300</v>
      </c>
      <c r="F654" t="s">
        <v>51</v>
      </c>
      <c r="G654" t="s">
        <v>32</v>
      </c>
      <c r="H654" t="s">
        <v>57</v>
      </c>
      <c r="I654" t="s">
        <v>44</v>
      </c>
      <c r="J654" t="s">
        <v>112</v>
      </c>
      <c r="K654" t="s">
        <v>106</v>
      </c>
      <c r="L654">
        <v>0</v>
      </c>
      <c r="M654" t="s">
        <v>2280</v>
      </c>
      <c r="N654" t="s">
        <v>2215</v>
      </c>
    </row>
    <row r="655" spans="1:14" x14ac:dyDescent="0.35">
      <c r="A655" t="s">
        <v>2281</v>
      </c>
      <c r="B655" t="s">
        <v>2282</v>
      </c>
      <c r="C655" t="s">
        <v>30</v>
      </c>
      <c r="D655">
        <v>116.19</v>
      </c>
      <c r="E655">
        <v>6000</v>
      </c>
      <c r="F655" t="s">
        <v>236</v>
      </c>
      <c r="G655" t="s">
        <v>32</v>
      </c>
      <c r="H655" t="s">
        <v>33</v>
      </c>
      <c r="I655" t="s">
        <v>44</v>
      </c>
      <c r="J655" t="s">
        <v>846</v>
      </c>
      <c r="K655" t="s">
        <v>74</v>
      </c>
      <c r="L655">
        <v>2</v>
      </c>
      <c r="N655" t="s">
        <v>2283</v>
      </c>
    </row>
    <row r="656" spans="1:14" x14ac:dyDescent="0.35">
      <c r="A656" t="s">
        <v>2284</v>
      </c>
      <c r="B656" t="s">
        <v>2285</v>
      </c>
      <c r="C656" t="s">
        <v>81</v>
      </c>
      <c r="D656">
        <v>90.73</v>
      </c>
      <c r="E656">
        <v>10000</v>
      </c>
      <c r="F656" t="s">
        <v>123</v>
      </c>
      <c r="G656" t="s">
        <v>32</v>
      </c>
      <c r="H656" t="s">
        <v>43</v>
      </c>
      <c r="I656" t="s">
        <v>129</v>
      </c>
      <c r="J656" t="s">
        <v>235</v>
      </c>
      <c r="K656" t="s">
        <v>236</v>
      </c>
      <c r="L656">
        <v>17</v>
      </c>
      <c r="M656" t="s">
        <v>2286</v>
      </c>
      <c r="N656" t="s">
        <v>185</v>
      </c>
    </row>
    <row r="657" spans="1:14" x14ac:dyDescent="0.35">
      <c r="A657" t="s">
        <v>2287</v>
      </c>
      <c r="B657" t="s">
        <v>2288</v>
      </c>
      <c r="C657" t="s">
        <v>41</v>
      </c>
      <c r="D657">
        <v>103.71</v>
      </c>
      <c r="E657">
        <v>19000</v>
      </c>
      <c r="F657" t="s">
        <v>123</v>
      </c>
      <c r="G657" t="s">
        <v>32</v>
      </c>
      <c r="H657" t="s">
        <v>33</v>
      </c>
      <c r="I657" t="s">
        <v>34</v>
      </c>
      <c r="J657" t="s">
        <v>2289</v>
      </c>
      <c r="K657" t="s">
        <v>31</v>
      </c>
      <c r="L657">
        <v>2</v>
      </c>
      <c r="M657" t="s">
        <v>1311</v>
      </c>
      <c r="N657" t="s">
        <v>2290</v>
      </c>
    </row>
    <row r="658" spans="1:14" x14ac:dyDescent="0.35">
      <c r="A658" t="s">
        <v>2291</v>
      </c>
      <c r="B658" t="s">
        <v>2292</v>
      </c>
      <c r="C658" t="s">
        <v>41</v>
      </c>
      <c r="D658">
        <v>119.7</v>
      </c>
      <c r="E658">
        <v>12000</v>
      </c>
      <c r="F658" t="s">
        <v>139</v>
      </c>
      <c r="G658" t="s">
        <v>32</v>
      </c>
      <c r="H658" t="s">
        <v>33</v>
      </c>
      <c r="I658" t="s">
        <v>44</v>
      </c>
      <c r="J658" t="s">
        <v>2293</v>
      </c>
      <c r="K658" t="s">
        <v>51</v>
      </c>
      <c r="L658">
        <v>16</v>
      </c>
      <c r="N658" t="s">
        <v>1941</v>
      </c>
    </row>
    <row r="659" spans="1:14" x14ac:dyDescent="0.35">
      <c r="A659" t="s">
        <v>2294</v>
      </c>
      <c r="B659" t="s">
        <v>2295</v>
      </c>
      <c r="C659" t="s">
        <v>30</v>
      </c>
      <c r="D659">
        <v>141.65</v>
      </c>
      <c r="E659">
        <v>2000</v>
      </c>
      <c r="F659" t="s">
        <v>139</v>
      </c>
      <c r="G659" t="s">
        <v>32</v>
      </c>
      <c r="H659" t="s">
        <v>43</v>
      </c>
      <c r="I659" t="s">
        <v>34</v>
      </c>
      <c r="J659" t="s">
        <v>75</v>
      </c>
      <c r="K659" t="s">
        <v>76</v>
      </c>
      <c r="L659">
        <v>10</v>
      </c>
      <c r="N659" t="s">
        <v>2296</v>
      </c>
    </row>
    <row r="660" spans="1:14" x14ac:dyDescent="0.35">
      <c r="A660" t="s">
        <v>2297</v>
      </c>
      <c r="B660" t="s">
        <v>2298</v>
      </c>
      <c r="C660" t="s">
        <v>69</v>
      </c>
      <c r="D660">
        <v>64.349999999999994</v>
      </c>
      <c r="E660">
        <v>55000</v>
      </c>
      <c r="F660" t="s">
        <v>31</v>
      </c>
      <c r="G660" t="s">
        <v>32</v>
      </c>
      <c r="H660" t="s">
        <v>43</v>
      </c>
      <c r="I660" t="s">
        <v>34</v>
      </c>
      <c r="J660" t="s">
        <v>70</v>
      </c>
      <c r="K660" t="s">
        <v>31</v>
      </c>
      <c r="L660">
        <v>1</v>
      </c>
      <c r="N660" t="s">
        <v>2299</v>
      </c>
    </row>
    <row r="661" spans="1:14" x14ac:dyDescent="0.35">
      <c r="A661" t="s">
        <v>2300</v>
      </c>
      <c r="B661" t="s">
        <v>2301</v>
      </c>
      <c r="C661" t="s">
        <v>116</v>
      </c>
      <c r="D661">
        <v>10.67</v>
      </c>
      <c r="E661">
        <v>700</v>
      </c>
      <c r="F661" t="s">
        <v>87</v>
      </c>
      <c r="G661" t="s">
        <v>32</v>
      </c>
      <c r="H661" t="s">
        <v>33</v>
      </c>
      <c r="I661" t="s">
        <v>129</v>
      </c>
      <c r="J661" t="s">
        <v>45</v>
      </c>
      <c r="K661" t="s">
        <v>46</v>
      </c>
      <c r="L661">
        <v>23</v>
      </c>
      <c r="M661" t="s">
        <v>1368</v>
      </c>
      <c r="N661" t="s">
        <v>1641</v>
      </c>
    </row>
    <row r="662" spans="1:14" x14ac:dyDescent="0.35">
      <c r="A662" t="s">
        <v>2302</v>
      </c>
      <c r="B662" t="s">
        <v>2303</v>
      </c>
      <c r="C662" t="s">
        <v>69</v>
      </c>
      <c r="D662">
        <v>62.35</v>
      </c>
      <c r="E662">
        <v>45000</v>
      </c>
      <c r="F662" t="s">
        <v>51</v>
      </c>
      <c r="G662" t="s">
        <v>32</v>
      </c>
      <c r="H662" t="s">
        <v>57</v>
      </c>
      <c r="I662" t="s">
        <v>34</v>
      </c>
      <c r="J662" t="s">
        <v>130</v>
      </c>
      <c r="K662" t="s">
        <v>123</v>
      </c>
      <c r="L662">
        <v>1</v>
      </c>
      <c r="N662" t="s">
        <v>2304</v>
      </c>
    </row>
    <row r="663" spans="1:14" x14ac:dyDescent="0.35">
      <c r="A663" t="s">
        <v>2305</v>
      </c>
      <c r="B663" t="s">
        <v>2306</v>
      </c>
      <c r="C663" t="s">
        <v>41</v>
      </c>
      <c r="D663">
        <v>85.69</v>
      </c>
      <c r="E663">
        <v>18000</v>
      </c>
      <c r="F663" t="s">
        <v>97</v>
      </c>
      <c r="G663" t="s">
        <v>32</v>
      </c>
      <c r="H663" t="s">
        <v>33</v>
      </c>
      <c r="I663" t="s">
        <v>34</v>
      </c>
      <c r="J663" t="s">
        <v>70</v>
      </c>
      <c r="K663" t="s">
        <v>31</v>
      </c>
      <c r="L663">
        <v>22</v>
      </c>
      <c r="M663" t="s">
        <v>646</v>
      </c>
      <c r="N663" t="s">
        <v>2307</v>
      </c>
    </row>
    <row r="664" spans="1:14" x14ac:dyDescent="0.35">
      <c r="A664" t="s">
        <v>2308</v>
      </c>
      <c r="B664" t="s">
        <v>2309</v>
      </c>
      <c r="C664" t="s">
        <v>62</v>
      </c>
      <c r="D664">
        <v>76.08</v>
      </c>
      <c r="E664">
        <v>1000</v>
      </c>
      <c r="F664" t="s">
        <v>87</v>
      </c>
      <c r="G664" t="s">
        <v>32</v>
      </c>
      <c r="H664" t="s">
        <v>43</v>
      </c>
      <c r="J664" t="s">
        <v>45</v>
      </c>
      <c r="K664" t="s">
        <v>46</v>
      </c>
      <c r="L664">
        <v>13</v>
      </c>
      <c r="M664" t="s">
        <v>803</v>
      </c>
      <c r="N664" t="s">
        <v>2310</v>
      </c>
    </row>
    <row r="665" spans="1:14" x14ac:dyDescent="0.35">
      <c r="A665" t="s">
        <v>2311</v>
      </c>
      <c r="B665" t="s">
        <v>2312</v>
      </c>
      <c r="C665" t="s">
        <v>81</v>
      </c>
      <c r="D665">
        <v>78.099999999999994</v>
      </c>
      <c r="E665">
        <v>2000</v>
      </c>
      <c r="F665" t="s">
        <v>97</v>
      </c>
      <c r="G665" t="s">
        <v>32</v>
      </c>
      <c r="H665" t="s">
        <v>33</v>
      </c>
      <c r="I665" t="s">
        <v>34</v>
      </c>
      <c r="J665" t="s">
        <v>2313</v>
      </c>
      <c r="K665" t="s">
        <v>139</v>
      </c>
      <c r="L665">
        <v>11</v>
      </c>
      <c r="M665" t="s">
        <v>894</v>
      </c>
      <c r="N665" t="s">
        <v>2314</v>
      </c>
    </row>
    <row r="666" spans="1:14" x14ac:dyDescent="0.35">
      <c r="A666" t="s">
        <v>2315</v>
      </c>
      <c r="B666" t="s">
        <v>2316</v>
      </c>
      <c r="C666" t="s">
        <v>116</v>
      </c>
      <c r="D666">
        <v>9.01</v>
      </c>
      <c r="E666">
        <v>200</v>
      </c>
      <c r="F666" t="s">
        <v>236</v>
      </c>
      <c r="G666" t="s">
        <v>32</v>
      </c>
      <c r="H666" t="s">
        <v>43</v>
      </c>
      <c r="I666" t="s">
        <v>44</v>
      </c>
      <c r="J666" t="s">
        <v>107</v>
      </c>
      <c r="K666" t="s">
        <v>87</v>
      </c>
      <c r="L666">
        <v>16</v>
      </c>
      <c r="N666" t="s">
        <v>2317</v>
      </c>
    </row>
    <row r="667" spans="1:14" x14ac:dyDescent="0.35">
      <c r="A667" t="s">
        <v>2318</v>
      </c>
      <c r="B667" t="s">
        <v>2319</v>
      </c>
      <c r="C667" t="s">
        <v>62</v>
      </c>
      <c r="D667">
        <v>78.510000000000005</v>
      </c>
      <c r="E667">
        <v>3000</v>
      </c>
      <c r="F667" t="s">
        <v>117</v>
      </c>
      <c r="G667" t="s">
        <v>32</v>
      </c>
      <c r="H667" t="s">
        <v>43</v>
      </c>
      <c r="I667" t="s">
        <v>44</v>
      </c>
      <c r="J667" t="s">
        <v>70</v>
      </c>
      <c r="K667" t="s">
        <v>31</v>
      </c>
      <c r="L667">
        <v>3</v>
      </c>
      <c r="N667" t="s">
        <v>680</v>
      </c>
    </row>
    <row r="668" spans="1:14" x14ac:dyDescent="0.35">
      <c r="A668" t="s">
        <v>2320</v>
      </c>
      <c r="B668" t="s">
        <v>2321</v>
      </c>
      <c r="C668" t="s">
        <v>62</v>
      </c>
      <c r="D668">
        <v>69.239999999999995</v>
      </c>
      <c r="E668">
        <v>5000</v>
      </c>
      <c r="F668" t="s">
        <v>123</v>
      </c>
      <c r="G668" t="s">
        <v>32</v>
      </c>
      <c r="H668" t="s">
        <v>43</v>
      </c>
      <c r="I668" t="s">
        <v>34</v>
      </c>
      <c r="J668" t="s">
        <v>543</v>
      </c>
      <c r="K668" t="s">
        <v>51</v>
      </c>
      <c r="L668">
        <v>12</v>
      </c>
      <c r="N668" t="s">
        <v>2322</v>
      </c>
    </row>
    <row r="669" spans="1:14" x14ac:dyDescent="0.35">
      <c r="A669" t="s">
        <v>2323</v>
      </c>
      <c r="B669" t="s">
        <v>2324</v>
      </c>
      <c r="C669" t="s">
        <v>81</v>
      </c>
      <c r="D669">
        <v>134.59</v>
      </c>
      <c r="E669">
        <v>1000</v>
      </c>
      <c r="F669" t="s">
        <v>76</v>
      </c>
      <c r="G669" t="s">
        <v>102</v>
      </c>
      <c r="H669" t="s">
        <v>33</v>
      </c>
      <c r="I669" t="s">
        <v>44</v>
      </c>
      <c r="J669" t="s">
        <v>230</v>
      </c>
      <c r="K669" t="s">
        <v>117</v>
      </c>
      <c r="L669">
        <v>18</v>
      </c>
      <c r="N669" t="s">
        <v>2325</v>
      </c>
    </row>
    <row r="670" spans="1:14" x14ac:dyDescent="0.35">
      <c r="A670" t="s">
        <v>2326</v>
      </c>
      <c r="B670" t="s">
        <v>2327</v>
      </c>
      <c r="C670" t="s">
        <v>69</v>
      </c>
      <c r="D670">
        <v>73.459999999999994</v>
      </c>
      <c r="E670">
        <v>91000</v>
      </c>
      <c r="F670" t="s">
        <v>36</v>
      </c>
      <c r="G670" t="s">
        <v>32</v>
      </c>
      <c r="H670" t="s">
        <v>43</v>
      </c>
      <c r="I670" t="s">
        <v>34</v>
      </c>
      <c r="J670" t="s">
        <v>2328</v>
      </c>
      <c r="K670" t="s">
        <v>51</v>
      </c>
      <c r="L670">
        <v>14</v>
      </c>
      <c r="M670" t="s">
        <v>672</v>
      </c>
      <c r="N670" t="s">
        <v>2329</v>
      </c>
    </row>
    <row r="671" spans="1:14" x14ac:dyDescent="0.35">
      <c r="A671" t="s">
        <v>2330</v>
      </c>
      <c r="B671" t="s">
        <v>2331</v>
      </c>
      <c r="C671" t="s">
        <v>30</v>
      </c>
      <c r="D671">
        <v>146.06</v>
      </c>
      <c r="E671">
        <v>20000</v>
      </c>
      <c r="F671" t="s">
        <v>147</v>
      </c>
      <c r="G671" t="s">
        <v>32</v>
      </c>
      <c r="H671" t="s">
        <v>57</v>
      </c>
      <c r="I671" t="s">
        <v>34</v>
      </c>
      <c r="J671" t="s">
        <v>35</v>
      </c>
      <c r="K671" t="s">
        <v>36</v>
      </c>
      <c r="L671">
        <v>23</v>
      </c>
      <c r="N671" t="s">
        <v>1210</v>
      </c>
    </row>
    <row r="672" spans="1:14" x14ac:dyDescent="0.35">
      <c r="A672" t="s">
        <v>2332</v>
      </c>
      <c r="B672" t="s">
        <v>2333</v>
      </c>
      <c r="C672" t="s">
        <v>69</v>
      </c>
      <c r="D672">
        <v>97.8</v>
      </c>
      <c r="E672">
        <v>100000</v>
      </c>
      <c r="F672" t="s">
        <v>31</v>
      </c>
      <c r="G672" t="s">
        <v>32</v>
      </c>
      <c r="H672" t="s">
        <v>57</v>
      </c>
      <c r="I672" t="s">
        <v>34</v>
      </c>
      <c r="J672" t="s">
        <v>75</v>
      </c>
      <c r="K672" t="s">
        <v>76</v>
      </c>
      <c r="L672">
        <v>4</v>
      </c>
      <c r="N672" t="s">
        <v>2334</v>
      </c>
    </row>
    <row r="673" spans="1:14" x14ac:dyDescent="0.35">
      <c r="A673" t="s">
        <v>2335</v>
      </c>
      <c r="B673" t="s">
        <v>2336</v>
      </c>
      <c r="C673" t="s">
        <v>41</v>
      </c>
      <c r="D673">
        <v>88.69</v>
      </c>
      <c r="E673">
        <v>25000</v>
      </c>
      <c r="F673" t="s">
        <v>51</v>
      </c>
      <c r="G673" t="s">
        <v>32</v>
      </c>
      <c r="H673" t="s">
        <v>43</v>
      </c>
      <c r="I673" t="s">
        <v>34</v>
      </c>
      <c r="J673" t="s">
        <v>2289</v>
      </c>
      <c r="K673" t="s">
        <v>31</v>
      </c>
      <c r="L673">
        <v>23</v>
      </c>
      <c r="M673" t="s">
        <v>1158</v>
      </c>
      <c r="N673" t="s">
        <v>2337</v>
      </c>
    </row>
    <row r="674" spans="1:14" x14ac:dyDescent="0.35">
      <c r="A674" t="s">
        <v>2338</v>
      </c>
      <c r="B674" t="s">
        <v>2339</v>
      </c>
      <c r="C674" t="s">
        <v>69</v>
      </c>
      <c r="D674">
        <v>70.67</v>
      </c>
      <c r="E674">
        <v>96000</v>
      </c>
      <c r="F674" t="s">
        <v>76</v>
      </c>
      <c r="G674" t="s">
        <v>102</v>
      </c>
      <c r="H674" t="s">
        <v>57</v>
      </c>
      <c r="I674" t="s">
        <v>34</v>
      </c>
      <c r="J674" t="s">
        <v>2328</v>
      </c>
      <c r="K674" t="s">
        <v>51</v>
      </c>
      <c r="L674">
        <v>5</v>
      </c>
      <c r="M674" t="s">
        <v>1503</v>
      </c>
      <c r="N674" t="s">
        <v>2340</v>
      </c>
    </row>
    <row r="675" spans="1:14" x14ac:dyDescent="0.35">
      <c r="A675" t="s">
        <v>2341</v>
      </c>
      <c r="B675" t="s">
        <v>2342</v>
      </c>
      <c r="C675" t="s">
        <v>41</v>
      </c>
      <c r="D675">
        <v>84.19</v>
      </c>
      <c r="E675">
        <v>13000</v>
      </c>
      <c r="F675" t="s">
        <v>76</v>
      </c>
      <c r="G675" t="s">
        <v>32</v>
      </c>
      <c r="H675" t="s">
        <v>57</v>
      </c>
      <c r="I675" t="s">
        <v>129</v>
      </c>
      <c r="J675" t="s">
        <v>82</v>
      </c>
      <c r="K675" t="s">
        <v>74</v>
      </c>
      <c r="L675">
        <v>9</v>
      </c>
      <c r="M675" t="s">
        <v>478</v>
      </c>
      <c r="N675" t="s">
        <v>2343</v>
      </c>
    </row>
    <row r="676" spans="1:14" x14ac:dyDescent="0.35">
      <c r="A676" t="s">
        <v>2344</v>
      </c>
      <c r="B676" t="s">
        <v>2345</v>
      </c>
      <c r="C676" t="s">
        <v>69</v>
      </c>
      <c r="D676">
        <v>74.650000000000006</v>
      </c>
      <c r="E676">
        <v>62000</v>
      </c>
      <c r="F676" t="s">
        <v>46</v>
      </c>
      <c r="G676" t="s">
        <v>32</v>
      </c>
      <c r="H676" t="s">
        <v>43</v>
      </c>
      <c r="J676" t="s">
        <v>63</v>
      </c>
      <c r="K676" t="s">
        <v>64</v>
      </c>
      <c r="L676">
        <v>21</v>
      </c>
      <c r="N676" t="s">
        <v>2055</v>
      </c>
    </row>
    <row r="677" spans="1:14" x14ac:dyDescent="0.35">
      <c r="A677" t="s">
        <v>2346</v>
      </c>
      <c r="B677" t="s">
        <v>2347</v>
      </c>
      <c r="C677" t="s">
        <v>41</v>
      </c>
      <c r="D677">
        <v>110.39</v>
      </c>
      <c r="E677">
        <v>21000</v>
      </c>
      <c r="F677" t="s">
        <v>46</v>
      </c>
      <c r="G677" t="s">
        <v>32</v>
      </c>
      <c r="H677" t="s">
        <v>57</v>
      </c>
      <c r="I677" t="s">
        <v>34</v>
      </c>
      <c r="J677" t="s">
        <v>75</v>
      </c>
      <c r="K677" t="s">
        <v>76</v>
      </c>
      <c r="L677">
        <v>4</v>
      </c>
      <c r="M677" t="s">
        <v>2348</v>
      </c>
      <c r="N677" t="s">
        <v>2349</v>
      </c>
    </row>
    <row r="678" spans="1:14" x14ac:dyDescent="0.35">
      <c r="A678" t="s">
        <v>2350</v>
      </c>
      <c r="B678" t="s">
        <v>2351</v>
      </c>
      <c r="C678" t="s">
        <v>116</v>
      </c>
      <c r="D678">
        <v>7.27</v>
      </c>
      <c r="E678">
        <v>200</v>
      </c>
      <c r="F678" t="s">
        <v>31</v>
      </c>
      <c r="G678" t="s">
        <v>32</v>
      </c>
      <c r="H678" t="s">
        <v>33</v>
      </c>
      <c r="I678" t="s">
        <v>34</v>
      </c>
      <c r="J678" t="s">
        <v>112</v>
      </c>
      <c r="K678" t="s">
        <v>106</v>
      </c>
      <c r="L678">
        <v>13</v>
      </c>
      <c r="M678" t="s">
        <v>2352</v>
      </c>
      <c r="N678" t="s">
        <v>2353</v>
      </c>
    </row>
    <row r="679" spans="1:14" x14ac:dyDescent="0.35">
      <c r="A679" t="s">
        <v>2354</v>
      </c>
      <c r="B679" t="s">
        <v>2355</v>
      </c>
      <c r="C679" t="s">
        <v>69</v>
      </c>
      <c r="D679">
        <v>82.41</v>
      </c>
      <c r="E679">
        <v>86000</v>
      </c>
      <c r="F679" t="s">
        <v>74</v>
      </c>
      <c r="G679" t="s">
        <v>32</v>
      </c>
      <c r="H679" t="s">
        <v>33</v>
      </c>
      <c r="I679" t="s">
        <v>44</v>
      </c>
      <c r="J679" t="s">
        <v>2356</v>
      </c>
      <c r="K679" t="s">
        <v>139</v>
      </c>
      <c r="L679">
        <v>18</v>
      </c>
      <c r="M679" t="s">
        <v>1813</v>
      </c>
      <c r="N679" t="s">
        <v>2357</v>
      </c>
    </row>
    <row r="680" spans="1:14" x14ac:dyDescent="0.35">
      <c r="A680" t="s">
        <v>2358</v>
      </c>
      <c r="B680" t="s">
        <v>2359</v>
      </c>
      <c r="C680" t="s">
        <v>116</v>
      </c>
      <c r="D680">
        <v>9.8000000000000007</v>
      </c>
      <c r="E680">
        <v>200</v>
      </c>
      <c r="F680" t="s">
        <v>36</v>
      </c>
      <c r="G680" t="s">
        <v>32</v>
      </c>
      <c r="H680" t="s">
        <v>33</v>
      </c>
      <c r="I680" t="s">
        <v>34</v>
      </c>
      <c r="J680" t="s">
        <v>124</v>
      </c>
      <c r="K680" t="s">
        <v>117</v>
      </c>
      <c r="L680">
        <v>16</v>
      </c>
      <c r="N680" t="s">
        <v>2360</v>
      </c>
    </row>
    <row r="681" spans="1:14" x14ac:dyDescent="0.35">
      <c r="A681" t="s">
        <v>2361</v>
      </c>
      <c r="B681" t="s">
        <v>2362</v>
      </c>
      <c r="C681" t="s">
        <v>81</v>
      </c>
      <c r="D681">
        <v>71.989999999999995</v>
      </c>
      <c r="E681">
        <v>3000</v>
      </c>
      <c r="F681" t="s">
        <v>64</v>
      </c>
      <c r="G681" t="s">
        <v>102</v>
      </c>
      <c r="H681" t="s">
        <v>57</v>
      </c>
      <c r="I681" t="s">
        <v>44</v>
      </c>
      <c r="J681" t="s">
        <v>63</v>
      </c>
      <c r="K681" t="s">
        <v>64</v>
      </c>
      <c r="L681">
        <v>6</v>
      </c>
      <c r="M681" t="s">
        <v>864</v>
      </c>
      <c r="N681" t="s">
        <v>2363</v>
      </c>
    </row>
    <row r="682" spans="1:14" x14ac:dyDescent="0.35">
      <c r="A682" t="s">
        <v>2364</v>
      </c>
      <c r="B682" t="s">
        <v>2365</v>
      </c>
      <c r="C682" t="s">
        <v>30</v>
      </c>
      <c r="D682">
        <v>185.58</v>
      </c>
      <c r="E682">
        <v>15000</v>
      </c>
      <c r="F682" t="s">
        <v>147</v>
      </c>
      <c r="G682" t="s">
        <v>32</v>
      </c>
      <c r="H682" t="s">
        <v>43</v>
      </c>
      <c r="I682" t="s">
        <v>34</v>
      </c>
      <c r="J682" t="s">
        <v>2366</v>
      </c>
      <c r="K682" t="s">
        <v>147</v>
      </c>
      <c r="L682">
        <v>18</v>
      </c>
      <c r="M682" t="s">
        <v>1541</v>
      </c>
      <c r="N682" t="s">
        <v>2367</v>
      </c>
    </row>
    <row r="683" spans="1:14" x14ac:dyDescent="0.35">
      <c r="A683" t="s">
        <v>2368</v>
      </c>
      <c r="B683" t="s">
        <v>2369</v>
      </c>
      <c r="C683" t="s">
        <v>41</v>
      </c>
      <c r="D683">
        <v>123.55</v>
      </c>
      <c r="E683">
        <v>18000</v>
      </c>
      <c r="F683" t="s">
        <v>117</v>
      </c>
      <c r="G683" t="s">
        <v>32</v>
      </c>
      <c r="H683" t="s">
        <v>33</v>
      </c>
      <c r="I683" t="s">
        <v>129</v>
      </c>
      <c r="J683" t="s">
        <v>130</v>
      </c>
      <c r="K683" t="s">
        <v>123</v>
      </c>
      <c r="L683">
        <v>0</v>
      </c>
      <c r="N683" t="s">
        <v>2370</v>
      </c>
    </row>
    <row r="684" spans="1:14" x14ac:dyDescent="0.35">
      <c r="A684" t="s">
        <v>2371</v>
      </c>
      <c r="B684" t="s">
        <v>2372</v>
      </c>
      <c r="C684" t="s">
        <v>116</v>
      </c>
      <c r="D684">
        <v>11.17</v>
      </c>
      <c r="E684">
        <v>600</v>
      </c>
      <c r="F684" t="s">
        <v>36</v>
      </c>
      <c r="G684" t="s">
        <v>32</v>
      </c>
      <c r="H684" t="s">
        <v>43</v>
      </c>
      <c r="J684" t="s">
        <v>130</v>
      </c>
      <c r="K684" t="s">
        <v>123</v>
      </c>
      <c r="L684">
        <v>21</v>
      </c>
      <c r="N684" t="s">
        <v>2373</v>
      </c>
    </row>
    <row r="685" spans="1:14" x14ac:dyDescent="0.35">
      <c r="A685" t="s">
        <v>2374</v>
      </c>
      <c r="B685" t="s">
        <v>2375</v>
      </c>
      <c r="C685" t="s">
        <v>81</v>
      </c>
      <c r="D685">
        <v>76.06</v>
      </c>
      <c r="E685">
        <v>3000</v>
      </c>
      <c r="F685" t="s">
        <v>87</v>
      </c>
      <c r="G685" t="s">
        <v>32</v>
      </c>
      <c r="H685" t="s">
        <v>43</v>
      </c>
      <c r="J685" t="s">
        <v>130</v>
      </c>
      <c r="K685" t="s">
        <v>123</v>
      </c>
      <c r="L685">
        <v>23</v>
      </c>
      <c r="N685" t="s">
        <v>2376</v>
      </c>
    </row>
    <row r="686" spans="1:14" x14ac:dyDescent="0.35">
      <c r="A686" t="s">
        <v>2377</v>
      </c>
      <c r="B686" t="s">
        <v>2378</v>
      </c>
      <c r="C686" t="s">
        <v>69</v>
      </c>
      <c r="D686">
        <v>84.68</v>
      </c>
      <c r="E686">
        <v>61000</v>
      </c>
      <c r="F686" t="s">
        <v>123</v>
      </c>
      <c r="G686" t="s">
        <v>32</v>
      </c>
      <c r="H686" t="s">
        <v>43</v>
      </c>
      <c r="I686" t="s">
        <v>129</v>
      </c>
      <c r="J686" t="s">
        <v>429</v>
      </c>
      <c r="K686" t="s">
        <v>236</v>
      </c>
      <c r="L686">
        <v>7</v>
      </c>
      <c r="N686" t="s">
        <v>2379</v>
      </c>
    </row>
    <row r="687" spans="1:14" x14ac:dyDescent="0.35">
      <c r="A687" t="s">
        <v>2380</v>
      </c>
      <c r="B687" t="s">
        <v>2381</v>
      </c>
      <c r="C687" t="s">
        <v>116</v>
      </c>
      <c r="D687">
        <v>10.050000000000001</v>
      </c>
      <c r="E687">
        <v>100</v>
      </c>
      <c r="F687" t="s">
        <v>123</v>
      </c>
      <c r="G687" t="s">
        <v>32</v>
      </c>
      <c r="H687" t="s">
        <v>57</v>
      </c>
      <c r="J687" t="s">
        <v>2382</v>
      </c>
      <c r="K687" t="s">
        <v>97</v>
      </c>
      <c r="L687">
        <v>11</v>
      </c>
      <c r="M687" t="s">
        <v>125</v>
      </c>
      <c r="N687" t="s">
        <v>529</v>
      </c>
    </row>
    <row r="688" spans="1:14" x14ac:dyDescent="0.35">
      <c r="A688" t="s">
        <v>2383</v>
      </c>
      <c r="B688" t="s">
        <v>2384</v>
      </c>
      <c r="C688" t="s">
        <v>41</v>
      </c>
      <c r="D688">
        <v>117.36</v>
      </c>
      <c r="E688">
        <v>40000</v>
      </c>
      <c r="F688" t="s">
        <v>51</v>
      </c>
      <c r="G688" t="s">
        <v>32</v>
      </c>
      <c r="H688" t="s">
        <v>33</v>
      </c>
      <c r="I688" t="s">
        <v>44</v>
      </c>
      <c r="J688" t="s">
        <v>1950</v>
      </c>
      <c r="K688" t="s">
        <v>42</v>
      </c>
      <c r="L688">
        <v>12</v>
      </c>
      <c r="M688" t="s">
        <v>786</v>
      </c>
      <c r="N688" t="s">
        <v>1033</v>
      </c>
    </row>
    <row r="689" spans="1:14" x14ac:dyDescent="0.35">
      <c r="A689" t="s">
        <v>2385</v>
      </c>
      <c r="B689" t="s">
        <v>2386</v>
      </c>
      <c r="C689" t="s">
        <v>41</v>
      </c>
      <c r="D689">
        <v>135.94</v>
      </c>
      <c r="E689">
        <v>18000</v>
      </c>
      <c r="F689" t="s">
        <v>64</v>
      </c>
      <c r="G689" t="s">
        <v>32</v>
      </c>
      <c r="H689" t="s">
        <v>33</v>
      </c>
      <c r="I689" t="s">
        <v>34</v>
      </c>
      <c r="J689" t="s">
        <v>107</v>
      </c>
      <c r="K689" t="s">
        <v>87</v>
      </c>
      <c r="L689">
        <v>23</v>
      </c>
      <c r="M689" t="s">
        <v>2387</v>
      </c>
      <c r="N689" t="s">
        <v>2388</v>
      </c>
    </row>
    <row r="690" spans="1:14" x14ac:dyDescent="0.35">
      <c r="A690" t="s">
        <v>2389</v>
      </c>
      <c r="B690" t="s">
        <v>2390</v>
      </c>
      <c r="C690" t="s">
        <v>69</v>
      </c>
      <c r="D690">
        <v>83.45</v>
      </c>
      <c r="E690">
        <v>25000</v>
      </c>
      <c r="F690" t="s">
        <v>31</v>
      </c>
      <c r="G690" t="s">
        <v>32</v>
      </c>
      <c r="H690" t="s">
        <v>33</v>
      </c>
      <c r="I690" t="s">
        <v>129</v>
      </c>
      <c r="J690" t="s">
        <v>107</v>
      </c>
      <c r="K690" t="s">
        <v>87</v>
      </c>
      <c r="L690">
        <v>20</v>
      </c>
      <c r="M690" t="s">
        <v>1111</v>
      </c>
      <c r="N690" t="s">
        <v>2391</v>
      </c>
    </row>
    <row r="691" spans="1:14" x14ac:dyDescent="0.35">
      <c r="A691" t="s">
        <v>2392</v>
      </c>
      <c r="B691" t="s">
        <v>2393</v>
      </c>
      <c r="C691" t="s">
        <v>81</v>
      </c>
      <c r="D691">
        <v>91.03</v>
      </c>
      <c r="E691">
        <v>10000</v>
      </c>
      <c r="F691" t="s">
        <v>74</v>
      </c>
      <c r="G691" t="s">
        <v>32</v>
      </c>
      <c r="H691" t="s">
        <v>33</v>
      </c>
      <c r="I691" t="s">
        <v>44</v>
      </c>
      <c r="J691" t="s">
        <v>130</v>
      </c>
      <c r="K691" t="s">
        <v>123</v>
      </c>
      <c r="L691">
        <v>20</v>
      </c>
      <c r="M691" t="s">
        <v>965</v>
      </c>
      <c r="N691" t="s">
        <v>2394</v>
      </c>
    </row>
    <row r="692" spans="1:14" x14ac:dyDescent="0.35">
      <c r="A692" t="s">
        <v>2395</v>
      </c>
      <c r="B692" t="s">
        <v>2396</v>
      </c>
      <c r="C692" t="s">
        <v>62</v>
      </c>
      <c r="D692">
        <v>96.52</v>
      </c>
      <c r="E692">
        <v>4000</v>
      </c>
      <c r="F692" t="s">
        <v>87</v>
      </c>
      <c r="G692" t="s">
        <v>32</v>
      </c>
      <c r="H692" t="s">
        <v>33</v>
      </c>
      <c r="I692" t="s">
        <v>34</v>
      </c>
      <c r="J692" t="s">
        <v>2397</v>
      </c>
      <c r="K692" t="s">
        <v>51</v>
      </c>
      <c r="L692">
        <v>3</v>
      </c>
      <c r="M692" t="s">
        <v>2398</v>
      </c>
      <c r="N692" t="s">
        <v>1029</v>
      </c>
    </row>
    <row r="693" spans="1:14" x14ac:dyDescent="0.35">
      <c r="A693" t="s">
        <v>2399</v>
      </c>
      <c r="B693" t="s">
        <v>2400</v>
      </c>
      <c r="C693" t="s">
        <v>41</v>
      </c>
      <c r="D693">
        <v>152.56</v>
      </c>
      <c r="E693">
        <v>21000</v>
      </c>
      <c r="F693" t="s">
        <v>36</v>
      </c>
      <c r="G693" t="s">
        <v>32</v>
      </c>
      <c r="H693" t="s">
        <v>43</v>
      </c>
      <c r="I693" t="s">
        <v>44</v>
      </c>
      <c r="J693" t="s">
        <v>1216</v>
      </c>
      <c r="K693" t="s">
        <v>51</v>
      </c>
      <c r="L693">
        <v>7</v>
      </c>
      <c r="M693" t="s">
        <v>2401</v>
      </c>
      <c r="N693" t="s">
        <v>210</v>
      </c>
    </row>
    <row r="694" spans="1:14" x14ac:dyDescent="0.35">
      <c r="A694" t="s">
        <v>2402</v>
      </c>
      <c r="B694" t="s">
        <v>2403</v>
      </c>
      <c r="C694" t="s">
        <v>62</v>
      </c>
      <c r="D694">
        <v>74.13</v>
      </c>
      <c r="E694">
        <v>1000</v>
      </c>
      <c r="F694" t="s">
        <v>36</v>
      </c>
      <c r="G694" t="s">
        <v>32</v>
      </c>
      <c r="H694" t="s">
        <v>33</v>
      </c>
      <c r="I694" t="s">
        <v>34</v>
      </c>
      <c r="J694" t="s">
        <v>45</v>
      </c>
      <c r="K694" t="s">
        <v>46</v>
      </c>
      <c r="L694">
        <v>8</v>
      </c>
      <c r="N694" t="s">
        <v>2404</v>
      </c>
    </row>
    <row r="695" spans="1:14" x14ac:dyDescent="0.35">
      <c r="A695" t="s">
        <v>2405</v>
      </c>
      <c r="B695" t="s">
        <v>2406</v>
      </c>
      <c r="C695" t="s">
        <v>62</v>
      </c>
      <c r="D695">
        <v>74.739999999999995</v>
      </c>
      <c r="E695">
        <v>1000</v>
      </c>
      <c r="F695" t="s">
        <v>31</v>
      </c>
      <c r="G695" t="s">
        <v>32</v>
      </c>
      <c r="H695" t="s">
        <v>33</v>
      </c>
      <c r="I695" t="s">
        <v>34</v>
      </c>
      <c r="J695" t="s">
        <v>45</v>
      </c>
      <c r="K695" t="s">
        <v>46</v>
      </c>
      <c r="L695">
        <v>5</v>
      </c>
      <c r="M695" t="s">
        <v>2407</v>
      </c>
      <c r="N695" t="s">
        <v>1087</v>
      </c>
    </row>
    <row r="696" spans="1:14" x14ac:dyDescent="0.35">
      <c r="A696" t="s">
        <v>2408</v>
      </c>
      <c r="B696" t="s">
        <v>2409</v>
      </c>
      <c r="C696" t="s">
        <v>69</v>
      </c>
      <c r="D696">
        <v>98.18</v>
      </c>
      <c r="E696">
        <v>77000</v>
      </c>
      <c r="F696" t="s">
        <v>31</v>
      </c>
      <c r="G696" t="s">
        <v>32</v>
      </c>
      <c r="H696" t="s">
        <v>33</v>
      </c>
      <c r="I696" t="s">
        <v>34</v>
      </c>
      <c r="J696" t="s">
        <v>70</v>
      </c>
      <c r="K696" t="s">
        <v>31</v>
      </c>
      <c r="L696">
        <v>16</v>
      </c>
      <c r="N696" t="s">
        <v>2410</v>
      </c>
    </row>
    <row r="697" spans="1:14" x14ac:dyDescent="0.35">
      <c r="A697" t="s">
        <v>2411</v>
      </c>
      <c r="B697" t="s">
        <v>2412</v>
      </c>
      <c r="C697" t="s">
        <v>62</v>
      </c>
      <c r="D697">
        <v>99.39</v>
      </c>
      <c r="E697">
        <v>3000</v>
      </c>
      <c r="F697" t="s">
        <v>46</v>
      </c>
      <c r="G697" t="s">
        <v>102</v>
      </c>
      <c r="H697" t="s">
        <v>33</v>
      </c>
      <c r="I697" t="s">
        <v>34</v>
      </c>
      <c r="J697" t="s">
        <v>45</v>
      </c>
      <c r="K697" t="s">
        <v>46</v>
      </c>
      <c r="L697">
        <v>22</v>
      </c>
      <c r="N697" t="s">
        <v>2201</v>
      </c>
    </row>
    <row r="698" spans="1:14" x14ac:dyDescent="0.35">
      <c r="A698" t="s">
        <v>2413</v>
      </c>
      <c r="B698" t="s">
        <v>2414</v>
      </c>
      <c r="C698" t="s">
        <v>116</v>
      </c>
      <c r="D698">
        <v>6.26</v>
      </c>
      <c r="E698">
        <v>200</v>
      </c>
      <c r="F698" t="s">
        <v>236</v>
      </c>
      <c r="G698" t="s">
        <v>32</v>
      </c>
      <c r="H698" t="s">
        <v>57</v>
      </c>
      <c r="J698" t="s">
        <v>75</v>
      </c>
      <c r="K698" t="s">
        <v>76</v>
      </c>
      <c r="L698">
        <v>10</v>
      </c>
      <c r="M698" t="s">
        <v>1077</v>
      </c>
      <c r="N698" t="s">
        <v>2415</v>
      </c>
    </row>
    <row r="699" spans="1:14" x14ac:dyDescent="0.35">
      <c r="A699" t="s">
        <v>2416</v>
      </c>
      <c r="B699" t="s">
        <v>2417</v>
      </c>
      <c r="C699" t="s">
        <v>69</v>
      </c>
      <c r="D699">
        <v>62.82</v>
      </c>
      <c r="E699">
        <v>32000</v>
      </c>
      <c r="F699" t="s">
        <v>42</v>
      </c>
      <c r="G699" t="s">
        <v>32</v>
      </c>
      <c r="H699" t="s">
        <v>43</v>
      </c>
      <c r="I699" t="s">
        <v>44</v>
      </c>
      <c r="J699" t="s">
        <v>35</v>
      </c>
      <c r="K699" t="s">
        <v>36</v>
      </c>
      <c r="L699">
        <v>11</v>
      </c>
      <c r="M699" t="s">
        <v>1695</v>
      </c>
      <c r="N699" t="s">
        <v>841</v>
      </c>
    </row>
    <row r="700" spans="1:14" x14ac:dyDescent="0.35">
      <c r="A700" t="s">
        <v>2418</v>
      </c>
      <c r="B700" t="s">
        <v>2419</v>
      </c>
      <c r="C700" t="s">
        <v>41</v>
      </c>
      <c r="D700">
        <v>93.07</v>
      </c>
      <c r="E700">
        <v>36000</v>
      </c>
      <c r="F700" t="s">
        <v>236</v>
      </c>
      <c r="G700" t="s">
        <v>32</v>
      </c>
      <c r="H700" t="s">
        <v>43</v>
      </c>
      <c r="I700" t="s">
        <v>34</v>
      </c>
      <c r="J700" t="s">
        <v>112</v>
      </c>
      <c r="K700" t="s">
        <v>106</v>
      </c>
      <c r="L700">
        <v>14</v>
      </c>
      <c r="M700" t="s">
        <v>1723</v>
      </c>
      <c r="N700" t="s">
        <v>832</v>
      </c>
    </row>
    <row r="701" spans="1:14" x14ac:dyDescent="0.35">
      <c r="A701" t="s">
        <v>2420</v>
      </c>
      <c r="B701" t="s">
        <v>2421</v>
      </c>
      <c r="C701" t="s">
        <v>81</v>
      </c>
      <c r="D701">
        <v>127.92</v>
      </c>
      <c r="E701">
        <v>10000</v>
      </c>
      <c r="F701" t="s">
        <v>51</v>
      </c>
      <c r="G701" t="s">
        <v>32</v>
      </c>
      <c r="H701" t="s">
        <v>43</v>
      </c>
      <c r="I701" t="s">
        <v>44</v>
      </c>
      <c r="J701" t="s">
        <v>2422</v>
      </c>
      <c r="K701" t="s">
        <v>51</v>
      </c>
      <c r="L701">
        <v>8</v>
      </c>
      <c r="N701" t="s">
        <v>2423</v>
      </c>
    </row>
    <row r="702" spans="1:14" x14ac:dyDescent="0.35">
      <c r="A702" t="s">
        <v>2424</v>
      </c>
      <c r="B702" t="s">
        <v>2425</v>
      </c>
      <c r="C702" t="s">
        <v>30</v>
      </c>
      <c r="D702">
        <v>150.43</v>
      </c>
      <c r="E702">
        <v>16000</v>
      </c>
      <c r="F702" t="s">
        <v>97</v>
      </c>
      <c r="G702" t="s">
        <v>32</v>
      </c>
      <c r="H702" t="s">
        <v>57</v>
      </c>
      <c r="I702" t="s">
        <v>34</v>
      </c>
      <c r="J702" t="s">
        <v>75</v>
      </c>
      <c r="K702" t="s">
        <v>76</v>
      </c>
      <c r="L702">
        <v>15</v>
      </c>
      <c r="N702" t="s">
        <v>2273</v>
      </c>
    </row>
    <row r="703" spans="1:14" x14ac:dyDescent="0.35">
      <c r="A703" t="s">
        <v>2426</v>
      </c>
      <c r="B703" t="s">
        <v>2427</v>
      </c>
      <c r="C703" t="s">
        <v>116</v>
      </c>
      <c r="D703">
        <v>7.62</v>
      </c>
      <c r="E703">
        <v>500</v>
      </c>
      <c r="F703" t="s">
        <v>236</v>
      </c>
      <c r="G703" t="s">
        <v>32</v>
      </c>
      <c r="H703" t="s">
        <v>43</v>
      </c>
      <c r="I703" t="s">
        <v>44</v>
      </c>
      <c r="J703" t="s">
        <v>130</v>
      </c>
      <c r="K703" t="s">
        <v>123</v>
      </c>
      <c r="L703">
        <v>9</v>
      </c>
      <c r="M703" t="s">
        <v>478</v>
      </c>
      <c r="N703" t="s">
        <v>2428</v>
      </c>
    </row>
    <row r="704" spans="1:14" x14ac:dyDescent="0.35">
      <c r="A704" t="s">
        <v>2429</v>
      </c>
      <c r="B704" t="s">
        <v>2430</v>
      </c>
      <c r="C704" t="s">
        <v>116</v>
      </c>
      <c r="D704">
        <v>9</v>
      </c>
      <c r="E704">
        <v>200</v>
      </c>
      <c r="F704" t="s">
        <v>123</v>
      </c>
      <c r="G704" t="s">
        <v>32</v>
      </c>
      <c r="H704" t="s">
        <v>43</v>
      </c>
      <c r="I704" t="s">
        <v>44</v>
      </c>
      <c r="J704" t="s">
        <v>112</v>
      </c>
      <c r="K704" t="s">
        <v>106</v>
      </c>
      <c r="L704">
        <v>15</v>
      </c>
      <c r="M704" t="s">
        <v>293</v>
      </c>
      <c r="N704" t="s">
        <v>732</v>
      </c>
    </row>
    <row r="705" spans="1:14" x14ac:dyDescent="0.35">
      <c r="A705" t="s">
        <v>2431</v>
      </c>
      <c r="B705" t="s">
        <v>2432</v>
      </c>
      <c r="C705" t="s">
        <v>30</v>
      </c>
      <c r="D705">
        <v>138.78</v>
      </c>
      <c r="E705">
        <v>9000</v>
      </c>
      <c r="F705" t="s">
        <v>147</v>
      </c>
      <c r="G705" t="s">
        <v>32</v>
      </c>
      <c r="H705" t="s">
        <v>57</v>
      </c>
      <c r="I705" t="s">
        <v>44</v>
      </c>
      <c r="J705" t="s">
        <v>543</v>
      </c>
      <c r="K705" t="s">
        <v>51</v>
      </c>
      <c r="L705">
        <v>15</v>
      </c>
      <c r="M705" t="s">
        <v>2433</v>
      </c>
      <c r="N705" t="s">
        <v>2434</v>
      </c>
    </row>
    <row r="706" spans="1:14" x14ac:dyDescent="0.35">
      <c r="A706" t="s">
        <v>2435</v>
      </c>
      <c r="B706" t="s">
        <v>2436</v>
      </c>
      <c r="C706" t="s">
        <v>81</v>
      </c>
      <c r="D706">
        <v>133.83000000000001</v>
      </c>
      <c r="E706">
        <v>3000</v>
      </c>
      <c r="F706" t="s">
        <v>147</v>
      </c>
      <c r="G706" t="s">
        <v>32</v>
      </c>
      <c r="H706" t="s">
        <v>57</v>
      </c>
      <c r="I706" t="s">
        <v>44</v>
      </c>
      <c r="J706" t="s">
        <v>209</v>
      </c>
      <c r="K706" t="s">
        <v>74</v>
      </c>
      <c r="L706">
        <v>1</v>
      </c>
      <c r="M706" t="s">
        <v>2437</v>
      </c>
      <c r="N706" t="s">
        <v>93</v>
      </c>
    </row>
    <row r="707" spans="1:14" x14ac:dyDescent="0.35">
      <c r="A707" t="s">
        <v>2438</v>
      </c>
      <c r="B707" t="s">
        <v>2439</v>
      </c>
      <c r="C707" t="s">
        <v>62</v>
      </c>
      <c r="D707">
        <v>99.05</v>
      </c>
      <c r="E707">
        <v>1000</v>
      </c>
      <c r="F707" t="s">
        <v>36</v>
      </c>
      <c r="G707" t="s">
        <v>32</v>
      </c>
      <c r="H707" t="s">
        <v>33</v>
      </c>
      <c r="J707" t="s">
        <v>75</v>
      </c>
      <c r="K707" t="s">
        <v>76</v>
      </c>
      <c r="L707">
        <v>2</v>
      </c>
      <c r="N707" t="s">
        <v>1934</v>
      </c>
    </row>
    <row r="708" spans="1:14" x14ac:dyDescent="0.35">
      <c r="A708" t="s">
        <v>2440</v>
      </c>
      <c r="B708" t="s">
        <v>2441</v>
      </c>
      <c r="C708" t="s">
        <v>69</v>
      </c>
      <c r="D708">
        <v>74.19</v>
      </c>
      <c r="E708">
        <v>24000</v>
      </c>
      <c r="F708" t="s">
        <v>46</v>
      </c>
      <c r="G708" t="s">
        <v>32</v>
      </c>
      <c r="H708" t="s">
        <v>57</v>
      </c>
      <c r="I708" t="s">
        <v>34</v>
      </c>
      <c r="J708" t="s">
        <v>2442</v>
      </c>
      <c r="K708" t="s">
        <v>42</v>
      </c>
      <c r="L708">
        <v>0</v>
      </c>
      <c r="M708" t="s">
        <v>885</v>
      </c>
      <c r="N708" t="s">
        <v>1773</v>
      </c>
    </row>
    <row r="709" spans="1:14" x14ac:dyDescent="0.35">
      <c r="A709" t="s">
        <v>2443</v>
      </c>
      <c r="B709" t="s">
        <v>2444</v>
      </c>
      <c r="C709" t="s">
        <v>69</v>
      </c>
      <c r="D709">
        <v>85.33</v>
      </c>
      <c r="E709">
        <v>54000</v>
      </c>
      <c r="F709" t="s">
        <v>139</v>
      </c>
      <c r="G709" t="s">
        <v>32</v>
      </c>
      <c r="H709" t="s">
        <v>43</v>
      </c>
      <c r="I709" t="s">
        <v>34</v>
      </c>
      <c r="J709" t="s">
        <v>70</v>
      </c>
      <c r="K709" t="s">
        <v>31</v>
      </c>
      <c r="L709">
        <v>19</v>
      </c>
      <c r="M709" t="s">
        <v>2175</v>
      </c>
      <c r="N709" t="s">
        <v>2445</v>
      </c>
    </row>
    <row r="710" spans="1:14" x14ac:dyDescent="0.35">
      <c r="A710" t="s">
        <v>2446</v>
      </c>
      <c r="B710" t="s">
        <v>2447</v>
      </c>
      <c r="C710" t="s">
        <v>62</v>
      </c>
      <c r="D710">
        <v>91.62</v>
      </c>
      <c r="E710">
        <v>4000</v>
      </c>
      <c r="F710" t="s">
        <v>36</v>
      </c>
      <c r="G710" t="s">
        <v>32</v>
      </c>
      <c r="H710" t="s">
        <v>33</v>
      </c>
      <c r="I710" t="s">
        <v>44</v>
      </c>
      <c r="J710" t="s">
        <v>130</v>
      </c>
      <c r="K710" t="s">
        <v>123</v>
      </c>
      <c r="L710">
        <v>10</v>
      </c>
      <c r="M710" t="s">
        <v>1239</v>
      </c>
      <c r="N710" t="s">
        <v>2448</v>
      </c>
    </row>
    <row r="711" spans="1:14" x14ac:dyDescent="0.35">
      <c r="A711" t="s">
        <v>2449</v>
      </c>
      <c r="B711" t="s">
        <v>2450</v>
      </c>
      <c r="C711" t="s">
        <v>41</v>
      </c>
      <c r="D711">
        <v>94.46</v>
      </c>
      <c r="E711">
        <v>24000</v>
      </c>
      <c r="F711" t="s">
        <v>76</v>
      </c>
      <c r="G711" t="s">
        <v>32</v>
      </c>
      <c r="H711" t="s">
        <v>43</v>
      </c>
      <c r="I711" t="s">
        <v>34</v>
      </c>
      <c r="J711" t="s">
        <v>45</v>
      </c>
      <c r="K711" t="s">
        <v>46</v>
      </c>
      <c r="L711">
        <v>2</v>
      </c>
      <c r="N711" t="s">
        <v>2451</v>
      </c>
    </row>
    <row r="712" spans="1:14" x14ac:dyDescent="0.35">
      <c r="A712" t="s">
        <v>2452</v>
      </c>
      <c r="B712" t="s">
        <v>2453</v>
      </c>
      <c r="C712" t="s">
        <v>41</v>
      </c>
      <c r="D712">
        <v>114.08</v>
      </c>
      <c r="E712">
        <v>32000</v>
      </c>
      <c r="F712" t="s">
        <v>51</v>
      </c>
      <c r="G712" t="s">
        <v>32</v>
      </c>
      <c r="H712" t="s">
        <v>57</v>
      </c>
      <c r="I712" t="s">
        <v>129</v>
      </c>
      <c r="J712" t="s">
        <v>477</v>
      </c>
      <c r="K712" t="s">
        <v>51</v>
      </c>
      <c r="L712">
        <v>5</v>
      </c>
      <c r="M712" t="s">
        <v>2280</v>
      </c>
      <c r="N712" t="s">
        <v>486</v>
      </c>
    </row>
    <row r="713" spans="1:14" x14ac:dyDescent="0.35">
      <c r="A713" t="s">
        <v>2454</v>
      </c>
      <c r="B713" t="s">
        <v>2455</v>
      </c>
      <c r="C713" t="s">
        <v>116</v>
      </c>
      <c r="D713">
        <v>8.9499999999999993</v>
      </c>
      <c r="E713">
        <v>400</v>
      </c>
      <c r="F713" t="s">
        <v>31</v>
      </c>
      <c r="G713" t="s">
        <v>32</v>
      </c>
      <c r="H713" t="s">
        <v>43</v>
      </c>
      <c r="J713" t="s">
        <v>1404</v>
      </c>
      <c r="K713" t="s">
        <v>51</v>
      </c>
      <c r="L713">
        <v>10</v>
      </c>
      <c r="M713" t="s">
        <v>1054</v>
      </c>
      <c r="N713" t="s">
        <v>285</v>
      </c>
    </row>
    <row r="714" spans="1:14" x14ac:dyDescent="0.35">
      <c r="A714" t="s">
        <v>2456</v>
      </c>
      <c r="B714" t="s">
        <v>2457</v>
      </c>
      <c r="C714" t="s">
        <v>30</v>
      </c>
      <c r="D714">
        <v>118.46</v>
      </c>
      <c r="E714">
        <v>12000</v>
      </c>
      <c r="F714" t="s">
        <v>51</v>
      </c>
      <c r="G714" t="s">
        <v>32</v>
      </c>
      <c r="H714" t="s">
        <v>57</v>
      </c>
      <c r="I714" t="s">
        <v>44</v>
      </c>
      <c r="J714" t="s">
        <v>543</v>
      </c>
      <c r="K714" t="s">
        <v>51</v>
      </c>
      <c r="L714">
        <v>23</v>
      </c>
      <c r="N714" t="s">
        <v>343</v>
      </c>
    </row>
    <row r="715" spans="1:14" x14ac:dyDescent="0.35">
      <c r="A715" t="s">
        <v>2458</v>
      </c>
      <c r="B715" t="s">
        <v>2459</v>
      </c>
      <c r="C715" t="s">
        <v>69</v>
      </c>
      <c r="D715">
        <v>99.13</v>
      </c>
      <c r="E715">
        <v>87000</v>
      </c>
      <c r="F715" t="s">
        <v>76</v>
      </c>
      <c r="G715" t="s">
        <v>102</v>
      </c>
      <c r="H715" t="s">
        <v>43</v>
      </c>
      <c r="I715" t="s">
        <v>44</v>
      </c>
      <c r="J715" t="s">
        <v>209</v>
      </c>
      <c r="K715" t="s">
        <v>74</v>
      </c>
      <c r="L715">
        <v>14</v>
      </c>
      <c r="M715" t="s">
        <v>1855</v>
      </c>
      <c r="N715" t="s">
        <v>2460</v>
      </c>
    </row>
    <row r="716" spans="1:14" x14ac:dyDescent="0.35">
      <c r="A716" t="s">
        <v>2461</v>
      </c>
      <c r="B716" t="s">
        <v>2462</v>
      </c>
      <c r="C716" t="s">
        <v>41</v>
      </c>
      <c r="D716">
        <v>149.05000000000001</v>
      </c>
      <c r="E716">
        <v>20000</v>
      </c>
      <c r="F716" t="s">
        <v>139</v>
      </c>
      <c r="G716" t="s">
        <v>32</v>
      </c>
      <c r="H716" t="s">
        <v>57</v>
      </c>
      <c r="I716" t="s">
        <v>44</v>
      </c>
      <c r="J716" t="s">
        <v>130</v>
      </c>
      <c r="K716" t="s">
        <v>123</v>
      </c>
      <c r="L716">
        <v>13</v>
      </c>
      <c r="M716" t="s">
        <v>1695</v>
      </c>
      <c r="N716" t="s">
        <v>2463</v>
      </c>
    </row>
    <row r="717" spans="1:14" x14ac:dyDescent="0.35">
      <c r="A717" t="s">
        <v>2464</v>
      </c>
      <c r="B717" t="s">
        <v>2465</v>
      </c>
      <c r="C717" t="s">
        <v>116</v>
      </c>
      <c r="D717">
        <v>9.82</v>
      </c>
      <c r="E717">
        <v>200</v>
      </c>
      <c r="F717" t="s">
        <v>51</v>
      </c>
      <c r="G717" t="s">
        <v>32</v>
      </c>
      <c r="H717" t="s">
        <v>57</v>
      </c>
      <c r="I717" t="s">
        <v>44</v>
      </c>
      <c r="J717" t="s">
        <v>112</v>
      </c>
      <c r="K717" t="s">
        <v>106</v>
      </c>
      <c r="L717">
        <v>11</v>
      </c>
      <c r="N717" t="s">
        <v>2466</v>
      </c>
    </row>
    <row r="718" spans="1:14" x14ac:dyDescent="0.35">
      <c r="A718" t="s">
        <v>2467</v>
      </c>
      <c r="B718" t="s">
        <v>2468</v>
      </c>
      <c r="C718" t="s">
        <v>81</v>
      </c>
      <c r="D718">
        <v>72.260000000000005</v>
      </c>
      <c r="E718">
        <v>9000</v>
      </c>
      <c r="F718" t="s">
        <v>76</v>
      </c>
      <c r="G718" t="s">
        <v>32</v>
      </c>
      <c r="H718" t="s">
        <v>33</v>
      </c>
      <c r="I718" t="s">
        <v>44</v>
      </c>
      <c r="J718" t="s">
        <v>278</v>
      </c>
      <c r="K718" t="s">
        <v>97</v>
      </c>
      <c r="L718">
        <v>10</v>
      </c>
      <c r="M718" t="s">
        <v>2469</v>
      </c>
      <c r="N718" t="s">
        <v>2470</v>
      </c>
    </row>
    <row r="719" spans="1:14" x14ac:dyDescent="0.35">
      <c r="A719" t="s">
        <v>2471</v>
      </c>
      <c r="B719" t="s">
        <v>2472</v>
      </c>
      <c r="C719" t="s">
        <v>41</v>
      </c>
      <c r="D719">
        <v>109.53</v>
      </c>
      <c r="E719">
        <v>24000</v>
      </c>
      <c r="F719" t="s">
        <v>46</v>
      </c>
      <c r="G719" t="s">
        <v>32</v>
      </c>
      <c r="H719" t="s">
        <v>33</v>
      </c>
      <c r="I719" t="s">
        <v>44</v>
      </c>
      <c r="J719" t="s">
        <v>2058</v>
      </c>
      <c r="K719" t="s">
        <v>74</v>
      </c>
      <c r="L719">
        <v>9</v>
      </c>
      <c r="M719" t="s">
        <v>955</v>
      </c>
      <c r="N719" t="s">
        <v>2005</v>
      </c>
    </row>
    <row r="720" spans="1:14" x14ac:dyDescent="0.35">
      <c r="A720" t="s">
        <v>2473</v>
      </c>
      <c r="B720" t="s">
        <v>2474</v>
      </c>
      <c r="C720" t="s">
        <v>30</v>
      </c>
      <c r="D720">
        <v>121.54</v>
      </c>
      <c r="E720">
        <v>20000</v>
      </c>
      <c r="F720" t="s">
        <v>36</v>
      </c>
      <c r="G720" t="s">
        <v>32</v>
      </c>
      <c r="H720" t="s">
        <v>43</v>
      </c>
      <c r="I720" t="s">
        <v>34</v>
      </c>
      <c r="J720" t="s">
        <v>209</v>
      </c>
      <c r="K720" t="s">
        <v>74</v>
      </c>
      <c r="L720">
        <v>1</v>
      </c>
      <c r="N720" t="s">
        <v>2475</v>
      </c>
    </row>
    <row r="721" spans="1:14" x14ac:dyDescent="0.35">
      <c r="A721" t="s">
        <v>2476</v>
      </c>
      <c r="B721" t="s">
        <v>2477</v>
      </c>
      <c r="C721" t="s">
        <v>69</v>
      </c>
      <c r="D721">
        <v>75.88</v>
      </c>
      <c r="E721">
        <v>95000</v>
      </c>
      <c r="F721" t="s">
        <v>147</v>
      </c>
      <c r="G721" t="s">
        <v>32</v>
      </c>
      <c r="H721" t="s">
        <v>57</v>
      </c>
      <c r="I721" t="s">
        <v>44</v>
      </c>
      <c r="J721" t="s">
        <v>1896</v>
      </c>
      <c r="K721" t="s">
        <v>97</v>
      </c>
      <c r="L721">
        <v>19</v>
      </c>
      <c r="M721" t="s">
        <v>1683</v>
      </c>
      <c r="N721" t="s">
        <v>2478</v>
      </c>
    </row>
    <row r="722" spans="1:14" x14ac:dyDescent="0.35">
      <c r="A722" t="s">
        <v>2479</v>
      </c>
      <c r="B722" t="s">
        <v>2480</v>
      </c>
      <c r="C722" t="s">
        <v>81</v>
      </c>
      <c r="D722">
        <v>80.48</v>
      </c>
      <c r="E722">
        <v>2000</v>
      </c>
      <c r="F722" t="s">
        <v>97</v>
      </c>
      <c r="G722" t="s">
        <v>32</v>
      </c>
      <c r="H722" t="s">
        <v>33</v>
      </c>
      <c r="J722" t="s">
        <v>1162</v>
      </c>
      <c r="K722" t="s">
        <v>147</v>
      </c>
      <c r="L722">
        <v>11</v>
      </c>
      <c r="M722" t="s">
        <v>1072</v>
      </c>
      <c r="N722" t="s">
        <v>2481</v>
      </c>
    </row>
    <row r="723" spans="1:14" x14ac:dyDescent="0.35">
      <c r="A723" t="s">
        <v>2482</v>
      </c>
      <c r="B723" t="s">
        <v>2483</v>
      </c>
      <c r="C723" t="s">
        <v>30</v>
      </c>
      <c r="D723">
        <v>183.15</v>
      </c>
      <c r="E723">
        <v>18000</v>
      </c>
      <c r="F723" t="s">
        <v>87</v>
      </c>
      <c r="G723" t="s">
        <v>102</v>
      </c>
      <c r="H723" t="s">
        <v>33</v>
      </c>
      <c r="J723" t="s">
        <v>1468</v>
      </c>
      <c r="K723" t="s">
        <v>147</v>
      </c>
      <c r="L723">
        <v>19</v>
      </c>
      <c r="N723" t="s">
        <v>2484</v>
      </c>
    </row>
    <row r="724" spans="1:14" x14ac:dyDescent="0.35">
      <c r="A724" t="s">
        <v>2485</v>
      </c>
      <c r="B724" t="s">
        <v>2486</v>
      </c>
      <c r="C724" t="s">
        <v>62</v>
      </c>
      <c r="D724">
        <v>70.989999999999995</v>
      </c>
      <c r="E724">
        <v>3000</v>
      </c>
      <c r="F724" t="s">
        <v>64</v>
      </c>
      <c r="G724" t="s">
        <v>32</v>
      </c>
      <c r="H724" t="s">
        <v>57</v>
      </c>
      <c r="I724" t="s">
        <v>34</v>
      </c>
      <c r="J724" t="s">
        <v>1216</v>
      </c>
      <c r="K724" t="s">
        <v>51</v>
      </c>
      <c r="L724">
        <v>6</v>
      </c>
      <c r="M724" t="s">
        <v>1054</v>
      </c>
      <c r="N724" t="s">
        <v>1817</v>
      </c>
    </row>
    <row r="725" spans="1:14" x14ac:dyDescent="0.35">
      <c r="A725" t="s">
        <v>2487</v>
      </c>
      <c r="B725" t="s">
        <v>2488</v>
      </c>
      <c r="C725" t="s">
        <v>62</v>
      </c>
      <c r="D725">
        <v>59.45</v>
      </c>
      <c r="E725">
        <v>4000</v>
      </c>
      <c r="F725" t="s">
        <v>36</v>
      </c>
      <c r="G725" t="s">
        <v>32</v>
      </c>
      <c r="H725" t="s">
        <v>57</v>
      </c>
      <c r="I725" t="s">
        <v>34</v>
      </c>
      <c r="J725" t="s">
        <v>477</v>
      </c>
      <c r="K725" t="s">
        <v>51</v>
      </c>
      <c r="L725">
        <v>22</v>
      </c>
      <c r="M725" t="s">
        <v>1235</v>
      </c>
      <c r="N725" t="s">
        <v>2489</v>
      </c>
    </row>
    <row r="726" spans="1:14" x14ac:dyDescent="0.35">
      <c r="A726" t="s">
        <v>2490</v>
      </c>
      <c r="B726" t="s">
        <v>2491</v>
      </c>
      <c r="C726" t="s">
        <v>41</v>
      </c>
      <c r="D726">
        <v>101.07</v>
      </c>
      <c r="E726">
        <v>28000</v>
      </c>
      <c r="F726" t="s">
        <v>74</v>
      </c>
      <c r="G726" t="s">
        <v>32</v>
      </c>
      <c r="H726" t="s">
        <v>43</v>
      </c>
      <c r="I726" t="s">
        <v>129</v>
      </c>
      <c r="J726" t="s">
        <v>63</v>
      </c>
      <c r="K726" t="s">
        <v>64</v>
      </c>
      <c r="L726">
        <v>16</v>
      </c>
      <c r="M726" t="s">
        <v>2492</v>
      </c>
      <c r="N726" t="s">
        <v>1704</v>
      </c>
    </row>
    <row r="727" spans="1:14" x14ac:dyDescent="0.35">
      <c r="A727" t="s">
        <v>2493</v>
      </c>
      <c r="B727" t="s">
        <v>2494</v>
      </c>
      <c r="C727" t="s">
        <v>81</v>
      </c>
      <c r="D727">
        <v>94.8</v>
      </c>
      <c r="E727">
        <v>6000</v>
      </c>
      <c r="F727" t="s">
        <v>42</v>
      </c>
      <c r="G727" t="s">
        <v>32</v>
      </c>
      <c r="H727" t="s">
        <v>43</v>
      </c>
      <c r="J727" t="s">
        <v>63</v>
      </c>
      <c r="K727" t="s">
        <v>64</v>
      </c>
      <c r="L727">
        <v>22</v>
      </c>
      <c r="M727" t="s">
        <v>2495</v>
      </c>
      <c r="N727" t="s">
        <v>1302</v>
      </c>
    </row>
    <row r="728" spans="1:14" x14ac:dyDescent="0.35">
      <c r="A728" t="s">
        <v>2496</v>
      </c>
      <c r="B728" t="s">
        <v>2497</v>
      </c>
      <c r="C728" t="s">
        <v>81</v>
      </c>
      <c r="D728">
        <v>82.03</v>
      </c>
      <c r="E728">
        <v>6000</v>
      </c>
      <c r="F728" t="s">
        <v>74</v>
      </c>
      <c r="G728" t="s">
        <v>32</v>
      </c>
      <c r="H728" t="s">
        <v>33</v>
      </c>
      <c r="I728" t="s">
        <v>34</v>
      </c>
      <c r="J728" t="s">
        <v>209</v>
      </c>
      <c r="K728" t="s">
        <v>74</v>
      </c>
      <c r="L728">
        <v>9</v>
      </c>
      <c r="M728" t="s">
        <v>1919</v>
      </c>
      <c r="N728" t="s">
        <v>699</v>
      </c>
    </row>
    <row r="729" spans="1:14" x14ac:dyDescent="0.35">
      <c r="A729" t="s">
        <v>2498</v>
      </c>
      <c r="B729" t="s">
        <v>2499</v>
      </c>
      <c r="C729" t="s">
        <v>62</v>
      </c>
      <c r="D729">
        <v>58.51</v>
      </c>
      <c r="E729">
        <v>4000</v>
      </c>
      <c r="F729" t="s">
        <v>117</v>
      </c>
      <c r="G729" t="s">
        <v>32</v>
      </c>
      <c r="H729" t="s">
        <v>43</v>
      </c>
      <c r="I729" t="s">
        <v>44</v>
      </c>
      <c r="J729" t="s">
        <v>209</v>
      </c>
      <c r="K729" t="s">
        <v>74</v>
      </c>
      <c r="L729">
        <v>1</v>
      </c>
      <c r="N729" t="s">
        <v>517</v>
      </c>
    </row>
    <row r="730" spans="1:14" x14ac:dyDescent="0.35">
      <c r="A730" t="s">
        <v>2500</v>
      </c>
      <c r="B730" t="s">
        <v>2501</v>
      </c>
      <c r="C730" t="s">
        <v>69</v>
      </c>
      <c r="D730">
        <v>54.56</v>
      </c>
      <c r="E730">
        <v>54000</v>
      </c>
      <c r="F730" t="s">
        <v>236</v>
      </c>
      <c r="G730" t="s">
        <v>32</v>
      </c>
      <c r="H730" t="s">
        <v>33</v>
      </c>
      <c r="I730" t="s">
        <v>34</v>
      </c>
      <c r="J730" t="s">
        <v>2502</v>
      </c>
      <c r="K730" t="s">
        <v>51</v>
      </c>
      <c r="L730">
        <v>8</v>
      </c>
      <c r="M730" t="s">
        <v>823</v>
      </c>
      <c r="N730" t="s">
        <v>2503</v>
      </c>
    </row>
    <row r="731" spans="1:14" x14ac:dyDescent="0.35">
      <c r="A731" t="s">
        <v>2504</v>
      </c>
      <c r="B731" t="s">
        <v>2505</v>
      </c>
      <c r="C731" t="s">
        <v>30</v>
      </c>
      <c r="D731">
        <v>165.49</v>
      </c>
      <c r="E731">
        <v>18000</v>
      </c>
      <c r="F731" t="s">
        <v>64</v>
      </c>
      <c r="G731" t="s">
        <v>32</v>
      </c>
      <c r="H731" t="s">
        <v>57</v>
      </c>
      <c r="I731" t="s">
        <v>34</v>
      </c>
      <c r="J731" t="s">
        <v>70</v>
      </c>
      <c r="K731" t="s">
        <v>31</v>
      </c>
      <c r="L731">
        <v>2</v>
      </c>
      <c r="M731" t="s">
        <v>1538</v>
      </c>
      <c r="N731" t="s">
        <v>2506</v>
      </c>
    </row>
    <row r="732" spans="1:14" x14ac:dyDescent="0.35">
      <c r="A732" t="s">
        <v>2507</v>
      </c>
      <c r="B732" t="s">
        <v>2508</v>
      </c>
      <c r="C732" t="s">
        <v>30</v>
      </c>
      <c r="D732">
        <v>158.47</v>
      </c>
      <c r="E732">
        <v>7000</v>
      </c>
      <c r="F732" t="s">
        <v>31</v>
      </c>
      <c r="G732" t="s">
        <v>32</v>
      </c>
      <c r="H732" t="s">
        <v>33</v>
      </c>
      <c r="I732" t="s">
        <v>44</v>
      </c>
      <c r="J732" t="s">
        <v>35</v>
      </c>
      <c r="K732" t="s">
        <v>36</v>
      </c>
      <c r="L732">
        <v>15</v>
      </c>
      <c r="N732" t="s">
        <v>482</v>
      </c>
    </row>
    <row r="733" spans="1:14" x14ac:dyDescent="0.35">
      <c r="A733" t="s">
        <v>2509</v>
      </c>
      <c r="B733" t="s">
        <v>2510</v>
      </c>
      <c r="C733" t="s">
        <v>30</v>
      </c>
      <c r="D733">
        <v>193.99</v>
      </c>
      <c r="E733">
        <v>11000</v>
      </c>
      <c r="F733" t="s">
        <v>117</v>
      </c>
      <c r="G733" t="s">
        <v>32</v>
      </c>
      <c r="H733" t="s">
        <v>43</v>
      </c>
      <c r="J733" t="s">
        <v>235</v>
      </c>
      <c r="K733" t="s">
        <v>236</v>
      </c>
      <c r="L733">
        <v>23</v>
      </c>
      <c r="M733" t="s">
        <v>2511</v>
      </c>
      <c r="N733" t="s">
        <v>2512</v>
      </c>
    </row>
    <row r="734" spans="1:14" x14ac:dyDescent="0.35">
      <c r="A734" t="s">
        <v>2513</v>
      </c>
      <c r="B734" t="s">
        <v>2514</v>
      </c>
      <c r="C734" t="s">
        <v>30</v>
      </c>
      <c r="D734">
        <v>122.83</v>
      </c>
      <c r="E734">
        <v>6000</v>
      </c>
      <c r="F734" t="s">
        <v>51</v>
      </c>
      <c r="G734" t="s">
        <v>32</v>
      </c>
      <c r="H734" t="s">
        <v>33</v>
      </c>
      <c r="I734" t="s">
        <v>129</v>
      </c>
      <c r="J734" t="s">
        <v>118</v>
      </c>
      <c r="K734" t="s">
        <v>42</v>
      </c>
      <c r="L734">
        <v>23</v>
      </c>
      <c r="M734" t="s">
        <v>1980</v>
      </c>
      <c r="N734" t="s">
        <v>2515</v>
      </c>
    </row>
    <row r="735" spans="1:14" x14ac:dyDescent="0.35">
      <c r="A735" t="s">
        <v>2516</v>
      </c>
      <c r="B735" t="s">
        <v>2517</v>
      </c>
      <c r="C735" t="s">
        <v>41</v>
      </c>
      <c r="D735">
        <v>89.59</v>
      </c>
      <c r="E735">
        <v>12000</v>
      </c>
      <c r="F735" t="s">
        <v>51</v>
      </c>
      <c r="G735" t="s">
        <v>32</v>
      </c>
      <c r="H735" t="s">
        <v>33</v>
      </c>
      <c r="I735" t="s">
        <v>44</v>
      </c>
      <c r="J735" t="s">
        <v>278</v>
      </c>
      <c r="K735" t="s">
        <v>97</v>
      </c>
      <c r="L735">
        <v>18</v>
      </c>
      <c r="M735" t="s">
        <v>2518</v>
      </c>
      <c r="N735" t="s">
        <v>376</v>
      </c>
    </row>
    <row r="736" spans="1:14" x14ac:dyDescent="0.35">
      <c r="A736" t="s">
        <v>2519</v>
      </c>
      <c r="B736" t="s">
        <v>2520</v>
      </c>
      <c r="C736" t="s">
        <v>41</v>
      </c>
      <c r="D736">
        <v>128.63</v>
      </c>
      <c r="E736">
        <v>39000</v>
      </c>
      <c r="F736" t="s">
        <v>123</v>
      </c>
      <c r="G736" t="s">
        <v>32</v>
      </c>
      <c r="H736" t="s">
        <v>57</v>
      </c>
      <c r="I736" t="s">
        <v>44</v>
      </c>
      <c r="J736" t="s">
        <v>124</v>
      </c>
      <c r="K736" t="s">
        <v>117</v>
      </c>
      <c r="L736">
        <v>19</v>
      </c>
      <c r="M736" t="s">
        <v>1220</v>
      </c>
      <c r="N736" t="s">
        <v>2521</v>
      </c>
    </row>
    <row r="737" spans="1:14" x14ac:dyDescent="0.35">
      <c r="A737" t="s">
        <v>2522</v>
      </c>
      <c r="B737" t="s">
        <v>2523</v>
      </c>
      <c r="C737" t="s">
        <v>30</v>
      </c>
      <c r="D737">
        <v>172.74</v>
      </c>
      <c r="E737">
        <v>17000</v>
      </c>
      <c r="F737" t="s">
        <v>74</v>
      </c>
      <c r="G737" t="s">
        <v>32</v>
      </c>
      <c r="H737" t="s">
        <v>57</v>
      </c>
      <c r="I737" t="s">
        <v>44</v>
      </c>
      <c r="J737" t="s">
        <v>2524</v>
      </c>
      <c r="K737" t="s">
        <v>51</v>
      </c>
      <c r="L737">
        <v>10</v>
      </c>
      <c r="M737" t="s">
        <v>1628</v>
      </c>
      <c r="N737" t="s">
        <v>548</v>
      </c>
    </row>
    <row r="738" spans="1:14" x14ac:dyDescent="0.35">
      <c r="A738" t="s">
        <v>2525</v>
      </c>
      <c r="B738" t="s">
        <v>2526</v>
      </c>
      <c r="C738" t="s">
        <v>81</v>
      </c>
      <c r="D738">
        <v>110.87</v>
      </c>
      <c r="E738">
        <v>5000</v>
      </c>
      <c r="F738" t="s">
        <v>147</v>
      </c>
      <c r="G738" t="s">
        <v>32</v>
      </c>
      <c r="H738" t="s">
        <v>33</v>
      </c>
      <c r="J738" t="s">
        <v>209</v>
      </c>
      <c r="K738" t="s">
        <v>74</v>
      </c>
      <c r="L738">
        <v>20</v>
      </c>
      <c r="M738" t="s">
        <v>2068</v>
      </c>
      <c r="N738" t="s">
        <v>1583</v>
      </c>
    </row>
    <row r="739" spans="1:14" x14ac:dyDescent="0.35">
      <c r="A739" t="s">
        <v>2527</v>
      </c>
      <c r="B739" t="s">
        <v>2528</v>
      </c>
      <c r="C739" t="s">
        <v>69</v>
      </c>
      <c r="D739">
        <v>64.16</v>
      </c>
      <c r="E739">
        <v>20000</v>
      </c>
      <c r="F739" t="s">
        <v>36</v>
      </c>
      <c r="G739" t="s">
        <v>32</v>
      </c>
      <c r="H739" t="s">
        <v>43</v>
      </c>
      <c r="I739" t="s">
        <v>44</v>
      </c>
      <c r="J739" t="s">
        <v>92</v>
      </c>
      <c r="K739" t="s">
        <v>51</v>
      </c>
      <c r="L739">
        <v>9</v>
      </c>
      <c r="N739" t="s">
        <v>2529</v>
      </c>
    </row>
    <row r="740" spans="1:14" x14ac:dyDescent="0.35">
      <c r="A740" t="s">
        <v>2530</v>
      </c>
      <c r="B740" t="s">
        <v>2531</v>
      </c>
      <c r="C740" t="s">
        <v>116</v>
      </c>
      <c r="D740">
        <v>10.130000000000001</v>
      </c>
      <c r="E740">
        <v>600</v>
      </c>
      <c r="F740" t="s">
        <v>123</v>
      </c>
      <c r="G740" t="s">
        <v>32</v>
      </c>
      <c r="H740" t="s">
        <v>33</v>
      </c>
      <c r="I740" t="s">
        <v>129</v>
      </c>
      <c r="J740" t="s">
        <v>75</v>
      </c>
      <c r="K740" t="s">
        <v>76</v>
      </c>
      <c r="L740">
        <v>6</v>
      </c>
      <c r="M740" t="s">
        <v>2532</v>
      </c>
      <c r="N740" t="s">
        <v>486</v>
      </c>
    </row>
    <row r="741" spans="1:14" x14ac:dyDescent="0.35">
      <c r="A741" t="s">
        <v>2533</v>
      </c>
      <c r="B741" t="s">
        <v>2534</v>
      </c>
      <c r="C741" t="s">
        <v>62</v>
      </c>
      <c r="D741">
        <v>85.65</v>
      </c>
      <c r="E741">
        <v>1000</v>
      </c>
      <c r="F741" t="s">
        <v>64</v>
      </c>
      <c r="G741" t="s">
        <v>32</v>
      </c>
      <c r="H741" t="s">
        <v>33</v>
      </c>
      <c r="I741" t="s">
        <v>34</v>
      </c>
      <c r="J741" t="s">
        <v>2422</v>
      </c>
      <c r="K741" t="s">
        <v>51</v>
      </c>
      <c r="L741">
        <v>9</v>
      </c>
      <c r="N741" t="s">
        <v>1676</v>
      </c>
    </row>
    <row r="742" spans="1:14" x14ac:dyDescent="0.35">
      <c r="A742" t="s">
        <v>2535</v>
      </c>
      <c r="B742" t="s">
        <v>2536</v>
      </c>
      <c r="C742" t="s">
        <v>62</v>
      </c>
      <c r="D742">
        <v>50.63</v>
      </c>
      <c r="E742">
        <v>5000</v>
      </c>
      <c r="F742" t="s">
        <v>97</v>
      </c>
      <c r="G742" t="s">
        <v>32</v>
      </c>
      <c r="H742" t="s">
        <v>57</v>
      </c>
      <c r="I742" t="s">
        <v>44</v>
      </c>
      <c r="J742" t="s">
        <v>1208</v>
      </c>
      <c r="K742" t="s">
        <v>147</v>
      </c>
      <c r="L742">
        <v>15</v>
      </c>
      <c r="M742" t="s">
        <v>1392</v>
      </c>
      <c r="N742" t="s">
        <v>2537</v>
      </c>
    </row>
    <row r="743" spans="1:14" x14ac:dyDescent="0.35">
      <c r="A743" t="s">
        <v>2538</v>
      </c>
      <c r="B743" t="s">
        <v>2539</v>
      </c>
      <c r="C743" t="s">
        <v>30</v>
      </c>
      <c r="D743">
        <v>133.82</v>
      </c>
      <c r="E743">
        <v>2000</v>
      </c>
      <c r="F743" t="s">
        <v>236</v>
      </c>
      <c r="G743" t="s">
        <v>32</v>
      </c>
      <c r="H743" t="s">
        <v>43</v>
      </c>
      <c r="I743" t="s">
        <v>129</v>
      </c>
      <c r="J743" t="s">
        <v>70</v>
      </c>
      <c r="K743" t="s">
        <v>31</v>
      </c>
      <c r="L743">
        <v>8</v>
      </c>
      <c r="M743" t="s">
        <v>2540</v>
      </c>
      <c r="N743" t="s">
        <v>2541</v>
      </c>
    </row>
    <row r="744" spans="1:14" x14ac:dyDescent="0.35">
      <c r="A744" t="s">
        <v>2542</v>
      </c>
      <c r="B744" t="s">
        <v>2543</v>
      </c>
      <c r="C744" t="s">
        <v>81</v>
      </c>
      <c r="D744">
        <v>112.49</v>
      </c>
      <c r="E744">
        <v>1000</v>
      </c>
      <c r="F744" t="s">
        <v>46</v>
      </c>
      <c r="G744" t="s">
        <v>32</v>
      </c>
      <c r="H744" t="s">
        <v>43</v>
      </c>
      <c r="I744" t="s">
        <v>44</v>
      </c>
      <c r="J744" t="s">
        <v>45</v>
      </c>
      <c r="K744" t="s">
        <v>46</v>
      </c>
      <c r="L744">
        <v>18</v>
      </c>
      <c r="M744" t="s">
        <v>1798</v>
      </c>
      <c r="N744" t="s">
        <v>1015</v>
      </c>
    </row>
    <row r="745" spans="1:14" x14ac:dyDescent="0.35">
      <c r="A745" t="s">
        <v>2544</v>
      </c>
      <c r="B745" t="s">
        <v>2545</v>
      </c>
      <c r="C745" t="s">
        <v>30</v>
      </c>
      <c r="D745">
        <v>130.72</v>
      </c>
      <c r="E745">
        <v>10000</v>
      </c>
      <c r="F745" t="s">
        <v>97</v>
      </c>
      <c r="G745" t="s">
        <v>32</v>
      </c>
      <c r="H745" t="s">
        <v>33</v>
      </c>
      <c r="I745" t="s">
        <v>129</v>
      </c>
      <c r="J745" t="s">
        <v>63</v>
      </c>
      <c r="K745" t="s">
        <v>64</v>
      </c>
      <c r="L745">
        <v>17</v>
      </c>
      <c r="M745" t="s">
        <v>2546</v>
      </c>
      <c r="N745" t="s">
        <v>438</v>
      </c>
    </row>
    <row r="746" spans="1:14" x14ac:dyDescent="0.35">
      <c r="A746" t="s">
        <v>2547</v>
      </c>
      <c r="B746" t="s">
        <v>2548</v>
      </c>
      <c r="C746" t="s">
        <v>116</v>
      </c>
      <c r="D746">
        <v>10.53</v>
      </c>
      <c r="E746">
        <v>200</v>
      </c>
      <c r="F746" t="s">
        <v>46</v>
      </c>
      <c r="G746" t="s">
        <v>32</v>
      </c>
      <c r="H746" t="s">
        <v>33</v>
      </c>
      <c r="I746" t="s">
        <v>34</v>
      </c>
      <c r="J746" t="s">
        <v>2549</v>
      </c>
      <c r="K746" t="s">
        <v>147</v>
      </c>
      <c r="L746">
        <v>4</v>
      </c>
      <c r="M746" t="s">
        <v>738</v>
      </c>
      <c r="N746" t="s">
        <v>2105</v>
      </c>
    </row>
    <row r="747" spans="1:14" x14ac:dyDescent="0.35">
      <c r="A747" t="s">
        <v>2550</v>
      </c>
      <c r="B747" t="s">
        <v>2551</v>
      </c>
      <c r="C747" t="s">
        <v>30</v>
      </c>
      <c r="D747">
        <v>114.62</v>
      </c>
      <c r="E747">
        <v>5000</v>
      </c>
      <c r="F747" t="s">
        <v>42</v>
      </c>
      <c r="G747" t="s">
        <v>32</v>
      </c>
      <c r="H747" t="s">
        <v>57</v>
      </c>
      <c r="I747" t="s">
        <v>44</v>
      </c>
      <c r="J747" t="s">
        <v>1531</v>
      </c>
      <c r="K747" t="s">
        <v>42</v>
      </c>
      <c r="L747">
        <v>22</v>
      </c>
      <c r="M747" t="s">
        <v>421</v>
      </c>
      <c r="N747" t="s">
        <v>1490</v>
      </c>
    </row>
    <row r="748" spans="1:14" x14ac:dyDescent="0.35">
      <c r="A748" t="s">
        <v>2552</v>
      </c>
      <c r="B748" t="s">
        <v>2553</v>
      </c>
      <c r="C748" t="s">
        <v>41</v>
      </c>
      <c r="D748">
        <v>82.5</v>
      </c>
      <c r="E748">
        <v>20000</v>
      </c>
      <c r="F748" t="s">
        <v>46</v>
      </c>
      <c r="G748" t="s">
        <v>32</v>
      </c>
      <c r="H748" t="s">
        <v>33</v>
      </c>
      <c r="I748" t="s">
        <v>44</v>
      </c>
      <c r="J748" t="s">
        <v>983</v>
      </c>
      <c r="K748" t="s">
        <v>51</v>
      </c>
      <c r="L748">
        <v>5</v>
      </c>
      <c r="M748" t="s">
        <v>2554</v>
      </c>
      <c r="N748" t="s">
        <v>804</v>
      </c>
    </row>
    <row r="749" spans="1:14" x14ac:dyDescent="0.35">
      <c r="A749" t="s">
        <v>2555</v>
      </c>
      <c r="B749" t="s">
        <v>2556</v>
      </c>
      <c r="C749" t="s">
        <v>116</v>
      </c>
      <c r="D749">
        <v>10.210000000000001</v>
      </c>
      <c r="E749">
        <v>200</v>
      </c>
      <c r="F749" t="s">
        <v>236</v>
      </c>
      <c r="G749" t="s">
        <v>32</v>
      </c>
      <c r="H749" t="s">
        <v>57</v>
      </c>
      <c r="J749" t="s">
        <v>846</v>
      </c>
      <c r="K749" t="s">
        <v>74</v>
      </c>
      <c r="L749">
        <v>1</v>
      </c>
      <c r="M749" t="s">
        <v>2557</v>
      </c>
      <c r="N749" t="s">
        <v>2558</v>
      </c>
    </row>
    <row r="750" spans="1:14" x14ac:dyDescent="0.35">
      <c r="A750" t="s">
        <v>2559</v>
      </c>
      <c r="B750" t="s">
        <v>2560</v>
      </c>
      <c r="C750" t="s">
        <v>41</v>
      </c>
      <c r="D750">
        <v>119.12</v>
      </c>
      <c r="E750">
        <v>23000</v>
      </c>
      <c r="F750" t="s">
        <v>36</v>
      </c>
      <c r="G750" t="s">
        <v>32</v>
      </c>
      <c r="H750" t="s">
        <v>57</v>
      </c>
      <c r="I750" t="s">
        <v>44</v>
      </c>
      <c r="J750" t="s">
        <v>124</v>
      </c>
      <c r="K750" t="s">
        <v>117</v>
      </c>
      <c r="L750">
        <v>23</v>
      </c>
      <c r="M750" t="s">
        <v>2561</v>
      </c>
      <c r="N750" t="s">
        <v>1777</v>
      </c>
    </row>
    <row r="751" spans="1:14" x14ac:dyDescent="0.35">
      <c r="A751" t="s">
        <v>2562</v>
      </c>
      <c r="B751" t="s">
        <v>2563</v>
      </c>
      <c r="C751" t="s">
        <v>81</v>
      </c>
      <c r="D751">
        <v>82.4</v>
      </c>
      <c r="E751">
        <v>10000</v>
      </c>
      <c r="F751" t="s">
        <v>74</v>
      </c>
      <c r="G751" t="s">
        <v>32</v>
      </c>
      <c r="H751" t="s">
        <v>57</v>
      </c>
      <c r="I751" t="s">
        <v>34</v>
      </c>
      <c r="J751" t="s">
        <v>75</v>
      </c>
      <c r="K751" t="s">
        <v>76</v>
      </c>
      <c r="L751">
        <v>17</v>
      </c>
      <c r="M751" t="s">
        <v>125</v>
      </c>
      <c r="N751" t="s">
        <v>247</v>
      </c>
    </row>
    <row r="752" spans="1:14" x14ac:dyDescent="0.35">
      <c r="A752" t="s">
        <v>2564</v>
      </c>
      <c r="B752" t="s">
        <v>2565</v>
      </c>
      <c r="C752" t="s">
        <v>81</v>
      </c>
      <c r="D752">
        <v>84.81</v>
      </c>
      <c r="E752">
        <v>8000</v>
      </c>
      <c r="F752" t="s">
        <v>123</v>
      </c>
      <c r="G752" t="s">
        <v>32</v>
      </c>
      <c r="H752" t="s">
        <v>57</v>
      </c>
      <c r="J752" t="s">
        <v>209</v>
      </c>
      <c r="K752" t="s">
        <v>74</v>
      </c>
      <c r="L752">
        <v>23</v>
      </c>
      <c r="M752" t="s">
        <v>266</v>
      </c>
      <c r="N752" t="s">
        <v>2566</v>
      </c>
    </row>
    <row r="753" spans="1:14" x14ac:dyDescent="0.35">
      <c r="A753" t="s">
        <v>2567</v>
      </c>
      <c r="B753" t="s">
        <v>2568</v>
      </c>
      <c r="C753" t="s">
        <v>41</v>
      </c>
      <c r="D753">
        <v>104.56</v>
      </c>
      <c r="E753">
        <v>20000</v>
      </c>
      <c r="F753" t="s">
        <v>139</v>
      </c>
      <c r="G753" t="s">
        <v>32</v>
      </c>
      <c r="H753" t="s">
        <v>57</v>
      </c>
      <c r="J753" t="s">
        <v>2569</v>
      </c>
      <c r="K753" t="s">
        <v>139</v>
      </c>
      <c r="L753">
        <v>2</v>
      </c>
      <c r="M753" t="s">
        <v>2570</v>
      </c>
      <c r="N753" t="s">
        <v>354</v>
      </c>
    </row>
    <row r="754" spans="1:14" x14ac:dyDescent="0.35">
      <c r="A754" t="s">
        <v>2571</v>
      </c>
      <c r="B754" t="s">
        <v>2572</v>
      </c>
      <c r="C754" t="s">
        <v>116</v>
      </c>
      <c r="D754">
        <v>7.69</v>
      </c>
      <c r="E754">
        <v>100</v>
      </c>
      <c r="F754" t="s">
        <v>51</v>
      </c>
      <c r="G754" t="s">
        <v>32</v>
      </c>
      <c r="H754" t="s">
        <v>43</v>
      </c>
      <c r="J754" t="s">
        <v>118</v>
      </c>
      <c r="K754" t="s">
        <v>42</v>
      </c>
      <c r="L754">
        <v>4</v>
      </c>
      <c r="M754" t="s">
        <v>1277</v>
      </c>
      <c r="N754" t="s">
        <v>1435</v>
      </c>
    </row>
    <row r="755" spans="1:14" x14ac:dyDescent="0.35">
      <c r="A755" t="s">
        <v>2573</v>
      </c>
      <c r="B755" t="s">
        <v>2574</v>
      </c>
      <c r="C755" t="s">
        <v>116</v>
      </c>
      <c r="D755">
        <v>7.21</v>
      </c>
      <c r="E755">
        <v>400</v>
      </c>
      <c r="F755" t="s">
        <v>42</v>
      </c>
      <c r="G755" t="s">
        <v>32</v>
      </c>
      <c r="H755" t="s">
        <v>43</v>
      </c>
      <c r="J755" t="s">
        <v>118</v>
      </c>
      <c r="K755" t="s">
        <v>42</v>
      </c>
      <c r="L755">
        <v>2</v>
      </c>
      <c r="N755" t="s">
        <v>567</v>
      </c>
    </row>
    <row r="756" spans="1:14" x14ac:dyDescent="0.35">
      <c r="A756" t="s">
        <v>2575</v>
      </c>
      <c r="B756" t="s">
        <v>2576</v>
      </c>
      <c r="C756" t="s">
        <v>41</v>
      </c>
      <c r="D756">
        <v>83.3</v>
      </c>
      <c r="E756">
        <v>20000</v>
      </c>
      <c r="F756" t="s">
        <v>87</v>
      </c>
      <c r="G756" t="s">
        <v>32</v>
      </c>
      <c r="H756" t="s">
        <v>57</v>
      </c>
      <c r="I756" t="s">
        <v>34</v>
      </c>
      <c r="J756" t="s">
        <v>70</v>
      </c>
      <c r="K756" t="s">
        <v>31</v>
      </c>
      <c r="L756">
        <v>19</v>
      </c>
      <c r="N756" t="s">
        <v>2577</v>
      </c>
    </row>
    <row r="757" spans="1:14" x14ac:dyDescent="0.35">
      <c r="A757" t="s">
        <v>2578</v>
      </c>
      <c r="B757" t="s">
        <v>2579</v>
      </c>
      <c r="C757" t="s">
        <v>30</v>
      </c>
      <c r="D757">
        <v>131.4</v>
      </c>
      <c r="E757">
        <v>14000</v>
      </c>
      <c r="F757" t="s">
        <v>147</v>
      </c>
      <c r="G757" t="s">
        <v>102</v>
      </c>
      <c r="H757" t="s">
        <v>33</v>
      </c>
      <c r="I757" t="s">
        <v>129</v>
      </c>
      <c r="J757" t="s">
        <v>112</v>
      </c>
      <c r="K757" t="s">
        <v>106</v>
      </c>
      <c r="L757">
        <v>17</v>
      </c>
      <c r="N757" t="s">
        <v>2580</v>
      </c>
    </row>
    <row r="758" spans="1:14" x14ac:dyDescent="0.35">
      <c r="A758" t="s">
        <v>2581</v>
      </c>
      <c r="B758" t="s">
        <v>2582</v>
      </c>
      <c r="C758" t="s">
        <v>30</v>
      </c>
      <c r="D758">
        <v>150.66</v>
      </c>
      <c r="E758">
        <v>8000</v>
      </c>
      <c r="F758" t="s">
        <v>36</v>
      </c>
      <c r="G758" t="s">
        <v>32</v>
      </c>
      <c r="H758" t="s">
        <v>57</v>
      </c>
      <c r="I758" t="s">
        <v>44</v>
      </c>
      <c r="J758" t="s">
        <v>112</v>
      </c>
      <c r="K758" t="s">
        <v>106</v>
      </c>
      <c r="L758">
        <v>22</v>
      </c>
      <c r="M758" t="s">
        <v>2583</v>
      </c>
      <c r="N758" t="s">
        <v>2584</v>
      </c>
    </row>
    <row r="759" spans="1:14" x14ac:dyDescent="0.35">
      <c r="A759" t="s">
        <v>2585</v>
      </c>
      <c r="B759" t="s">
        <v>2586</v>
      </c>
      <c r="C759" t="s">
        <v>81</v>
      </c>
      <c r="D759">
        <v>92.74</v>
      </c>
      <c r="E759">
        <v>10000</v>
      </c>
      <c r="F759" t="s">
        <v>31</v>
      </c>
      <c r="G759" t="s">
        <v>32</v>
      </c>
      <c r="H759" t="s">
        <v>33</v>
      </c>
      <c r="I759" t="s">
        <v>129</v>
      </c>
      <c r="J759" t="s">
        <v>209</v>
      </c>
      <c r="K759" t="s">
        <v>74</v>
      </c>
      <c r="L759">
        <v>4</v>
      </c>
      <c r="M759" t="s">
        <v>83</v>
      </c>
      <c r="N759" t="s">
        <v>2587</v>
      </c>
    </row>
    <row r="760" spans="1:14" x14ac:dyDescent="0.35">
      <c r="A760" t="s">
        <v>2588</v>
      </c>
      <c r="B760" t="s">
        <v>2589</v>
      </c>
      <c r="C760" t="s">
        <v>69</v>
      </c>
      <c r="D760">
        <v>97.9</v>
      </c>
      <c r="E760">
        <v>45000</v>
      </c>
      <c r="F760" t="s">
        <v>87</v>
      </c>
      <c r="G760" t="s">
        <v>32</v>
      </c>
      <c r="H760" t="s">
        <v>43</v>
      </c>
      <c r="I760" t="s">
        <v>34</v>
      </c>
      <c r="J760" t="s">
        <v>523</v>
      </c>
      <c r="K760" t="s">
        <v>36</v>
      </c>
      <c r="L760">
        <v>5</v>
      </c>
      <c r="M760" t="s">
        <v>1661</v>
      </c>
      <c r="N760" t="s">
        <v>2590</v>
      </c>
    </row>
    <row r="761" spans="1:14" x14ac:dyDescent="0.35">
      <c r="A761" t="s">
        <v>2591</v>
      </c>
      <c r="B761" t="s">
        <v>2592</v>
      </c>
      <c r="C761" t="s">
        <v>62</v>
      </c>
      <c r="D761">
        <v>84.58</v>
      </c>
      <c r="E761">
        <v>2000</v>
      </c>
      <c r="F761" t="s">
        <v>106</v>
      </c>
      <c r="G761" t="s">
        <v>32</v>
      </c>
      <c r="H761" t="s">
        <v>43</v>
      </c>
      <c r="I761" t="s">
        <v>34</v>
      </c>
      <c r="J761" t="s">
        <v>1208</v>
      </c>
      <c r="K761" t="s">
        <v>147</v>
      </c>
      <c r="L761">
        <v>22</v>
      </c>
      <c r="M761" t="s">
        <v>1239</v>
      </c>
      <c r="N761" t="s">
        <v>2593</v>
      </c>
    </row>
    <row r="762" spans="1:14" x14ac:dyDescent="0.35">
      <c r="A762" t="s">
        <v>2594</v>
      </c>
      <c r="B762" t="s">
        <v>2595</v>
      </c>
      <c r="C762" t="s">
        <v>62</v>
      </c>
      <c r="D762">
        <v>88.74</v>
      </c>
      <c r="E762">
        <v>4000</v>
      </c>
      <c r="F762" t="s">
        <v>87</v>
      </c>
      <c r="G762" t="s">
        <v>102</v>
      </c>
      <c r="H762" t="s">
        <v>43</v>
      </c>
      <c r="I762" t="s">
        <v>34</v>
      </c>
      <c r="J762" t="s">
        <v>112</v>
      </c>
      <c r="K762" t="s">
        <v>106</v>
      </c>
      <c r="L762">
        <v>17</v>
      </c>
      <c r="M762" t="s">
        <v>2596</v>
      </c>
      <c r="N762" t="s">
        <v>2597</v>
      </c>
    </row>
    <row r="763" spans="1:14" x14ac:dyDescent="0.35">
      <c r="A763" t="s">
        <v>2598</v>
      </c>
      <c r="B763" t="s">
        <v>2599</v>
      </c>
      <c r="C763" t="s">
        <v>116</v>
      </c>
      <c r="D763">
        <v>7.55</v>
      </c>
      <c r="E763">
        <v>300</v>
      </c>
      <c r="F763" t="s">
        <v>106</v>
      </c>
      <c r="G763" t="s">
        <v>32</v>
      </c>
      <c r="H763" t="s">
        <v>57</v>
      </c>
      <c r="I763" t="s">
        <v>44</v>
      </c>
      <c r="J763" t="s">
        <v>107</v>
      </c>
      <c r="K763" t="s">
        <v>87</v>
      </c>
      <c r="L763">
        <v>16</v>
      </c>
      <c r="M763" t="s">
        <v>616</v>
      </c>
      <c r="N763" t="s">
        <v>224</v>
      </c>
    </row>
    <row r="764" spans="1:14" x14ac:dyDescent="0.35">
      <c r="A764" t="s">
        <v>2600</v>
      </c>
      <c r="B764" t="s">
        <v>2601</v>
      </c>
      <c r="C764" t="s">
        <v>116</v>
      </c>
      <c r="D764">
        <v>11.99</v>
      </c>
      <c r="E764">
        <v>300</v>
      </c>
      <c r="F764" t="s">
        <v>36</v>
      </c>
      <c r="G764" t="s">
        <v>32</v>
      </c>
      <c r="H764" t="s">
        <v>43</v>
      </c>
      <c r="I764" t="s">
        <v>44</v>
      </c>
      <c r="J764" t="s">
        <v>75</v>
      </c>
      <c r="K764" t="s">
        <v>76</v>
      </c>
      <c r="L764">
        <v>8</v>
      </c>
      <c r="M764" t="s">
        <v>786</v>
      </c>
      <c r="N764" t="s">
        <v>2602</v>
      </c>
    </row>
    <row r="765" spans="1:14" x14ac:dyDescent="0.35">
      <c r="A765" t="s">
        <v>2603</v>
      </c>
      <c r="B765" t="s">
        <v>2604</v>
      </c>
      <c r="C765" t="s">
        <v>69</v>
      </c>
      <c r="D765">
        <v>67.010000000000005</v>
      </c>
      <c r="E765">
        <v>79000</v>
      </c>
      <c r="F765" t="s">
        <v>46</v>
      </c>
      <c r="G765" t="s">
        <v>32</v>
      </c>
      <c r="H765" t="s">
        <v>33</v>
      </c>
      <c r="J765" t="s">
        <v>477</v>
      </c>
      <c r="K765" t="s">
        <v>51</v>
      </c>
      <c r="L765">
        <v>15</v>
      </c>
      <c r="M765" t="s">
        <v>266</v>
      </c>
      <c r="N765" t="s">
        <v>650</v>
      </c>
    </row>
    <row r="766" spans="1:14" x14ac:dyDescent="0.35">
      <c r="A766" t="s">
        <v>2605</v>
      </c>
      <c r="B766" t="s">
        <v>2606</v>
      </c>
      <c r="C766" t="s">
        <v>81</v>
      </c>
      <c r="D766">
        <v>134.61000000000001</v>
      </c>
      <c r="E766">
        <v>2000</v>
      </c>
      <c r="F766" t="s">
        <v>117</v>
      </c>
      <c r="G766" t="s">
        <v>32</v>
      </c>
      <c r="H766" t="s">
        <v>33</v>
      </c>
      <c r="I766" t="s">
        <v>34</v>
      </c>
      <c r="J766" t="s">
        <v>830</v>
      </c>
      <c r="K766" t="s">
        <v>51</v>
      </c>
      <c r="L766">
        <v>3</v>
      </c>
      <c r="M766" t="s">
        <v>2607</v>
      </c>
      <c r="N766" t="s">
        <v>2608</v>
      </c>
    </row>
    <row r="767" spans="1:14" x14ac:dyDescent="0.35">
      <c r="A767" t="s">
        <v>2609</v>
      </c>
      <c r="B767" t="s">
        <v>2610</v>
      </c>
      <c r="C767" t="s">
        <v>116</v>
      </c>
      <c r="D767">
        <v>11.2</v>
      </c>
      <c r="E767">
        <v>100</v>
      </c>
      <c r="F767" t="s">
        <v>97</v>
      </c>
      <c r="G767" t="s">
        <v>32</v>
      </c>
      <c r="H767" t="s">
        <v>33</v>
      </c>
      <c r="I767" t="s">
        <v>44</v>
      </c>
      <c r="J767" t="s">
        <v>2611</v>
      </c>
      <c r="K767" t="s">
        <v>97</v>
      </c>
      <c r="L767">
        <v>9</v>
      </c>
      <c r="N767" t="s">
        <v>2612</v>
      </c>
    </row>
    <row r="768" spans="1:14" x14ac:dyDescent="0.35">
      <c r="A768" t="s">
        <v>2613</v>
      </c>
      <c r="B768" t="s">
        <v>2614</v>
      </c>
      <c r="C768" t="s">
        <v>62</v>
      </c>
      <c r="D768">
        <v>84.54</v>
      </c>
      <c r="E768">
        <v>5000</v>
      </c>
      <c r="F768" t="s">
        <v>46</v>
      </c>
      <c r="G768" t="s">
        <v>32</v>
      </c>
      <c r="H768" t="s">
        <v>33</v>
      </c>
      <c r="I768" t="s">
        <v>44</v>
      </c>
      <c r="J768" t="s">
        <v>130</v>
      </c>
      <c r="K768" t="s">
        <v>123</v>
      </c>
      <c r="L768">
        <v>4</v>
      </c>
      <c r="M768" t="s">
        <v>394</v>
      </c>
      <c r="N768" t="s">
        <v>2615</v>
      </c>
    </row>
    <row r="769" spans="1:14" x14ac:dyDescent="0.35">
      <c r="A769" t="s">
        <v>2616</v>
      </c>
      <c r="B769" t="s">
        <v>2617</v>
      </c>
      <c r="C769" t="s">
        <v>30</v>
      </c>
      <c r="D769">
        <v>109.54</v>
      </c>
      <c r="E769">
        <v>5000</v>
      </c>
      <c r="F769" t="s">
        <v>42</v>
      </c>
      <c r="G769" t="s">
        <v>32</v>
      </c>
      <c r="H769" t="s">
        <v>43</v>
      </c>
      <c r="I769" t="s">
        <v>44</v>
      </c>
      <c r="J769" t="s">
        <v>107</v>
      </c>
      <c r="K769" t="s">
        <v>87</v>
      </c>
      <c r="L769">
        <v>11</v>
      </c>
      <c r="M769" t="s">
        <v>382</v>
      </c>
      <c r="N769" t="s">
        <v>2247</v>
      </c>
    </row>
    <row r="770" spans="1:14" x14ac:dyDescent="0.35">
      <c r="A770" t="s">
        <v>2618</v>
      </c>
      <c r="B770" t="s">
        <v>2619</v>
      </c>
      <c r="C770" t="s">
        <v>81</v>
      </c>
      <c r="D770">
        <v>127.69</v>
      </c>
      <c r="E770">
        <v>1000</v>
      </c>
      <c r="F770" t="s">
        <v>97</v>
      </c>
      <c r="G770" t="s">
        <v>32</v>
      </c>
      <c r="H770" t="s">
        <v>43</v>
      </c>
      <c r="I770" t="s">
        <v>44</v>
      </c>
      <c r="J770" t="s">
        <v>1379</v>
      </c>
      <c r="K770" t="s">
        <v>51</v>
      </c>
      <c r="L770">
        <v>15</v>
      </c>
      <c r="M770" t="s">
        <v>1434</v>
      </c>
      <c r="N770" t="s">
        <v>2620</v>
      </c>
    </row>
    <row r="771" spans="1:14" x14ac:dyDescent="0.35">
      <c r="A771" t="s">
        <v>2621</v>
      </c>
      <c r="B771" t="s">
        <v>2622</v>
      </c>
      <c r="C771" t="s">
        <v>81</v>
      </c>
      <c r="D771">
        <v>80.540000000000006</v>
      </c>
      <c r="E771">
        <v>8000</v>
      </c>
      <c r="F771" t="s">
        <v>31</v>
      </c>
      <c r="G771" t="s">
        <v>32</v>
      </c>
      <c r="H771" t="s">
        <v>33</v>
      </c>
      <c r="I771" t="s">
        <v>44</v>
      </c>
      <c r="J771" t="s">
        <v>589</v>
      </c>
      <c r="K771" t="s">
        <v>147</v>
      </c>
      <c r="L771">
        <v>20</v>
      </c>
      <c r="M771" t="s">
        <v>1687</v>
      </c>
      <c r="N771" t="s">
        <v>1180</v>
      </c>
    </row>
    <row r="772" spans="1:14" x14ac:dyDescent="0.35">
      <c r="A772" t="s">
        <v>2623</v>
      </c>
      <c r="B772" t="s">
        <v>2624</v>
      </c>
      <c r="C772" t="s">
        <v>62</v>
      </c>
      <c r="D772">
        <v>78.95</v>
      </c>
      <c r="E772">
        <v>5000</v>
      </c>
      <c r="F772" t="s">
        <v>139</v>
      </c>
      <c r="G772" t="s">
        <v>102</v>
      </c>
      <c r="H772" t="s">
        <v>57</v>
      </c>
      <c r="I772" t="s">
        <v>34</v>
      </c>
      <c r="J772" t="s">
        <v>124</v>
      </c>
      <c r="K772" t="s">
        <v>117</v>
      </c>
      <c r="L772">
        <v>21</v>
      </c>
      <c r="M772" t="s">
        <v>2625</v>
      </c>
      <c r="N772" t="s">
        <v>2626</v>
      </c>
    </row>
    <row r="773" spans="1:14" x14ac:dyDescent="0.35">
      <c r="A773" t="s">
        <v>2627</v>
      </c>
      <c r="B773" t="s">
        <v>2628</v>
      </c>
      <c r="C773" t="s">
        <v>30</v>
      </c>
      <c r="D773">
        <v>189.99</v>
      </c>
      <c r="E773">
        <v>16000</v>
      </c>
      <c r="F773" t="s">
        <v>123</v>
      </c>
      <c r="G773" t="s">
        <v>32</v>
      </c>
      <c r="H773" t="s">
        <v>43</v>
      </c>
      <c r="I773" t="s">
        <v>44</v>
      </c>
      <c r="J773" t="s">
        <v>75</v>
      </c>
      <c r="K773" t="s">
        <v>76</v>
      </c>
      <c r="L773">
        <v>21</v>
      </c>
      <c r="N773" t="s">
        <v>1131</v>
      </c>
    </row>
    <row r="774" spans="1:14" x14ac:dyDescent="0.35">
      <c r="A774" t="s">
        <v>2629</v>
      </c>
      <c r="B774" t="s">
        <v>2630</v>
      </c>
      <c r="C774" t="s">
        <v>30</v>
      </c>
      <c r="D774">
        <v>171.31</v>
      </c>
      <c r="E774">
        <v>2000</v>
      </c>
      <c r="F774" t="s">
        <v>31</v>
      </c>
      <c r="G774" t="s">
        <v>32</v>
      </c>
      <c r="H774" t="s">
        <v>57</v>
      </c>
      <c r="I774" t="s">
        <v>34</v>
      </c>
      <c r="J774" t="s">
        <v>112</v>
      </c>
      <c r="K774" t="s">
        <v>106</v>
      </c>
      <c r="L774">
        <v>7</v>
      </c>
      <c r="M774" t="s">
        <v>1683</v>
      </c>
      <c r="N774" t="s">
        <v>2478</v>
      </c>
    </row>
    <row r="775" spans="1:14" x14ac:dyDescent="0.35">
      <c r="A775" t="s">
        <v>2631</v>
      </c>
      <c r="B775" t="s">
        <v>2632</v>
      </c>
      <c r="C775" t="s">
        <v>69</v>
      </c>
      <c r="D775">
        <v>52.87</v>
      </c>
      <c r="E775">
        <v>72000</v>
      </c>
      <c r="F775" t="s">
        <v>36</v>
      </c>
      <c r="G775" t="s">
        <v>32</v>
      </c>
      <c r="H775" t="s">
        <v>57</v>
      </c>
      <c r="I775" t="s">
        <v>44</v>
      </c>
      <c r="J775" t="s">
        <v>35</v>
      </c>
      <c r="K775" t="s">
        <v>36</v>
      </c>
      <c r="L775">
        <v>15</v>
      </c>
      <c r="N775" t="s">
        <v>2541</v>
      </c>
    </row>
    <row r="776" spans="1:14" x14ac:dyDescent="0.35">
      <c r="A776" t="s">
        <v>2633</v>
      </c>
      <c r="B776" t="s">
        <v>2634</v>
      </c>
      <c r="C776" t="s">
        <v>41</v>
      </c>
      <c r="D776">
        <v>142.93</v>
      </c>
      <c r="E776">
        <v>20000</v>
      </c>
      <c r="F776" t="s">
        <v>123</v>
      </c>
      <c r="G776" t="s">
        <v>32</v>
      </c>
      <c r="H776" t="s">
        <v>33</v>
      </c>
      <c r="I776" t="s">
        <v>129</v>
      </c>
      <c r="J776" t="s">
        <v>2635</v>
      </c>
      <c r="K776" t="s">
        <v>147</v>
      </c>
      <c r="L776">
        <v>1</v>
      </c>
      <c r="M776" t="s">
        <v>2636</v>
      </c>
      <c r="N776" t="s">
        <v>2637</v>
      </c>
    </row>
    <row r="777" spans="1:14" x14ac:dyDescent="0.35">
      <c r="A777" t="s">
        <v>2638</v>
      </c>
      <c r="B777" t="s">
        <v>2639</v>
      </c>
      <c r="C777" t="s">
        <v>30</v>
      </c>
      <c r="D777">
        <v>152.03</v>
      </c>
      <c r="E777">
        <v>3000</v>
      </c>
      <c r="F777" t="s">
        <v>36</v>
      </c>
      <c r="G777" t="s">
        <v>32</v>
      </c>
      <c r="H777" t="s">
        <v>43</v>
      </c>
      <c r="J777" t="s">
        <v>2640</v>
      </c>
      <c r="K777" t="s">
        <v>51</v>
      </c>
      <c r="L777">
        <v>4</v>
      </c>
      <c r="M777" t="s">
        <v>1028</v>
      </c>
      <c r="N777" t="s">
        <v>2641</v>
      </c>
    </row>
    <row r="778" spans="1:14" x14ac:dyDescent="0.35">
      <c r="A778" t="s">
        <v>2642</v>
      </c>
      <c r="B778" t="s">
        <v>2643</v>
      </c>
      <c r="C778" t="s">
        <v>62</v>
      </c>
      <c r="D778">
        <v>77.23</v>
      </c>
      <c r="E778">
        <v>2000</v>
      </c>
      <c r="F778" t="s">
        <v>46</v>
      </c>
      <c r="G778" t="s">
        <v>32</v>
      </c>
      <c r="H778" t="s">
        <v>43</v>
      </c>
      <c r="I778" t="s">
        <v>34</v>
      </c>
      <c r="J778" t="s">
        <v>107</v>
      </c>
      <c r="K778" t="s">
        <v>87</v>
      </c>
      <c r="L778">
        <v>18</v>
      </c>
      <c r="M778" t="s">
        <v>362</v>
      </c>
      <c r="N778" t="s">
        <v>2644</v>
      </c>
    </row>
    <row r="779" spans="1:14" x14ac:dyDescent="0.35">
      <c r="A779" t="s">
        <v>2645</v>
      </c>
      <c r="B779" t="s">
        <v>2646</v>
      </c>
      <c r="C779" t="s">
        <v>30</v>
      </c>
      <c r="D779">
        <v>122.47</v>
      </c>
      <c r="E779">
        <v>17000</v>
      </c>
      <c r="F779" t="s">
        <v>139</v>
      </c>
      <c r="G779" t="s">
        <v>32</v>
      </c>
      <c r="H779" t="s">
        <v>43</v>
      </c>
      <c r="I779" t="s">
        <v>44</v>
      </c>
      <c r="J779" t="s">
        <v>63</v>
      </c>
      <c r="K779" t="s">
        <v>64</v>
      </c>
      <c r="L779">
        <v>19</v>
      </c>
      <c r="M779" t="s">
        <v>2570</v>
      </c>
      <c r="N779" t="s">
        <v>1802</v>
      </c>
    </row>
    <row r="780" spans="1:14" x14ac:dyDescent="0.35">
      <c r="A780" t="s">
        <v>2647</v>
      </c>
      <c r="B780" t="s">
        <v>2648</v>
      </c>
      <c r="C780" t="s">
        <v>69</v>
      </c>
      <c r="D780">
        <v>90.83</v>
      </c>
      <c r="E780">
        <v>52000</v>
      </c>
      <c r="F780" t="s">
        <v>36</v>
      </c>
      <c r="G780" t="s">
        <v>32</v>
      </c>
      <c r="H780" t="s">
        <v>43</v>
      </c>
      <c r="J780" t="s">
        <v>2649</v>
      </c>
      <c r="K780" t="s">
        <v>97</v>
      </c>
      <c r="L780">
        <v>4</v>
      </c>
      <c r="M780" t="s">
        <v>1235</v>
      </c>
      <c r="N780" t="s">
        <v>2099</v>
      </c>
    </row>
    <row r="781" spans="1:14" x14ac:dyDescent="0.35">
      <c r="A781" t="s">
        <v>2650</v>
      </c>
      <c r="B781" t="s">
        <v>2651</v>
      </c>
      <c r="C781" t="s">
        <v>116</v>
      </c>
      <c r="D781">
        <v>10.93</v>
      </c>
      <c r="E781">
        <v>400</v>
      </c>
      <c r="F781" t="s">
        <v>42</v>
      </c>
      <c r="G781" t="s">
        <v>32</v>
      </c>
      <c r="H781" t="s">
        <v>43</v>
      </c>
      <c r="I781" t="s">
        <v>44</v>
      </c>
      <c r="J781" t="s">
        <v>45</v>
      </c>
      <c r="K781" t="s">
        <v>46</v>
      </c>
      <c r="L781">
        <v>2</v>
      </c>
      <c r="M781" t="s">
        <v>65</v>
      </c>
      <c r="N781" t="s">
        <v>489</v>
      </c>
    </row>
    <row r="782" spans="1:14" x14ac:dyDescent="0.35">
      <c r="A782" t="s">
        <v>2652</v>
      </c>
      <c r="B782" t="s">
        <v>2653</v>
      </c>
      <c r="C782" t="s">
        <v>30</v>
      </c>
      <c r="D782">
        <v>128.83000000000001</v>
      </c>
      <c r="E782">
        <v>14000</v>
      </c>
      <c r="F782" t="s">
        <v>51</v>
      </c>
      <c r="G782" t="s">
        <v>32</v>
      </c>
      <c r="H782" t="s">
        <v>57</v>
      </c>
      <c r="I782" t="s">
        <v>44</v>
      </c>
      <c r="J782" t="s">
        <v>92</v>
      </c>
      <c r="K782" t="s">
        <v>51</v>
      </c>
      <c r="L782">
        <v>10</v>
      </c>
      <c r="N782" t="s">
        <v>2654</v>
      </c>
    </row>
    <row r="783" spans="1:14" x14ac:dyDescent="0.35">
      <c r="A783" t="s">
        <v>2655</v>
      </c>
      <c r="B783" t="s">
        <v>2656</v>
      </c>
      <c r="C783" t="s">
        <v>62</v>
      </c>
      <c r="D783">
        <v>94.65</v>
      </c>
      <c r="E783">
        <v>5000</v>
      </c>
      <c r="F783" t="s">
        <v>36</v>
      </c>
      <c r="G783" t="s">
        <v>32</v>
      </c>
      <c r="H783" t="s">
        <v>43</v>
      </c>
      <c r="I783" t="s">
        <v>34</v>
      </c>
      <c r="J783" t="s">
        <v>2657</v>
      </c>
      <c r="K783" t="s">
        <v>51</v>
      </c>
      <c r="L783">
        <v>1</v>
      </c>
      <c r="M783" t="s">
        <v>1798</v>
      </c>
      <c r="N783" t="s">
        <v>2658</v>
      </c>
    </row>
    <row r="784" spans="1:14" x14ac:dyDescent="0.35">
      <c r="A784" t="s">
        <v>2659</v>
      </c>
      <c r="B784" t="s">
        <v>2660</v>
      </c>
      <c r="C784" t="s">
        <v>81</v>
      </c>
      <c r="D784">
        <v>123.91</v>
      </c>
      <c r="E784">
        <v>5000</v>
      </c>
      <c r="F784" t="s">
        <v>106</v>
      </c>
      <c r="G784" t="s">
        <v>32</v>
      </c>
      <c r="H784" t="s">
        <v>43</v>
      </c>
      <c r="I784" t="s">
        <v>34</v>
      </c>
      <c r="J784" t="s">
        <v>130</v>
      </c>
      <c r="K784" t="s">
        <v>123</v>
      </c>
      <c r="L784">
        <v>8</v>
      </c>
      <c r="M784" t="s">
        <v>1252</v>
      </c>
      <c r="N784" t="s">
        <v>2661</v>
      </c>
    </row>
    <row r="785" spans="1:14" x14ac:dyDescent="0.35">
      <c r="A785" t="s">
        <v>2662</v>
      </c>
      <c r="B785" t="s">
        <v>2663</v>
      </c>
      <c r="C785" t="s">
        <v>116</v>
      </c>
      <c r="D785">
        <v>10.75</v>
      </c>
      <c r="E785">
        <v>200</v>
      </c>
      <c r="F785" t="s">
        <v>42</v>
      </c>
      <c r="G785" t="s">
        <v>32</v>
      </c>
      <c r="H785" t="s">
        <v>43</v>
      </c>
      <c r="I785" t="s">
        <v>34</v>
      </c>
      <c r="J785" t="s">
        <v>45</v>
      </c>
      <c r="K785" t="s">
        <v>46</v>
      </c>
      <c r="L785">
        <v>5</v>
      </c>
      <c r="M785" t="s">
        <v>2664</v>
      </c>
      <c r="N785" t="s">
        <v>2262</v>
      </c>
    </row>
    <row r="786" spans="1:14" x14ac:dyDescent="0.35">
      <c r="A786" t="s">
        <v>2665</v>
      </c>
      <c r="B786" t="s">
        <v>2666</v>
      </c>
      <c r="C786" t="s">
        <v>41</v>
      </c>
      <c r="D786">
        <v>115.29</v>
      </c>
      <c r="E786">
        <v>15000</v>
      </c>
      <c r="F786" t="s">
        <v>46</v>
      </c>
      <c r="G786" t="s">
        <v>32</v>
      </c>
      <c r="H786" t="s">
        <v>43</v>
      </c>
      <c r="I786" t="s">
        <v>44</v>
      </c>
      <c r="J786" t="s">
        <v>112</v>
      </c>
      <c r="K786" t="s">
        <v>106</v>
      </c>
      <c r="L786">
        <v>15</v>
      </c>
      <c r="N786" t="s">
        <v>165</v>
      </c>
    </row>
    <row r="787" spans="1:14" x14ac:dyDescent="0.35">
      <c r="A787" t="s">
        <v>2667</v>
      </c>
      <c r="B787" t="s">
        <v>2668</v>
      </c>
      <c r="C787" t="s">
        <v>62</v>
      </c>
      <c r="D787">
        <v>80.63</v>
      </c>
      <c r="E787">
        <v>4000</v>
      </c>
      <c r="F787" t="s">
        <v>42</v>
      </c>
      <c r="G787" t="s">
        <v>32</v>
      </c>
      <c r="H787" t="s">
        <v>57</v>
      </c>
      <c r="I787" t="s">
        <v>34</v>
      </c>
      <c r="J787" t="s">
        <v>45</v>
      </c>
      <c r="K787" t="s">
        <v>46</v>
      </c>
      <c r="L787">
        <v>20</v>
      </c>
      <c r="M787" t="s">
        <v>1661</v>
      </c>
      <c r="N787" t="s">
        <v>2669</v>
      </c>
    </row>
    <row r="788" spans="1:14" x14ac:dyDescent="0.35">
      <c r="A788" t="s">
        <v>2670</v>
      </c>
      <c r="B788" t="s">
        <v>2671</v>
      </c>
      <c r="C788" t="s">
        <v>69</v>
      </c>
      <c r="D788">
        <v>70.11</v>
      </c>
      <c r="E788">
        <v>67000</v>
      </c>
      <c r="F788" t="s">
        <v>76</v>
      </c>
      <c r="G788" t="s">
        <v>32</v>
      </c>
      <c r="H788" t="s">
        <v>43</v>
      </c>
      <c r="J788" t="s">
        <v>107</v>
      </c>
      <c r="K788" t="s">
        <v>87</v>
      </c>
      <c r="L788">
        <v>12</v>
      </c>
      <c r="N788" t="s">
        <v>1901</v>
      </c>
    </row>
    <row r="789" spans="1:14" x14ac:dyDescent="0.35">
      <c r="A789" t="s">
        <v>2672</v>
      </c>
      <c r="B789" t="s">
        <v>2673</v>
      </c>
      <c r="C789" t="s">
        <v>62</v>
      </c>
      <c r="D789">
        <v>89.33</v>
      </c>
      <c r="E789">
        <v>3000</v>
      </c>
      <c r="F789" t="s">
        <v>106</v>
      </c>
      <c r="G789" t="s">
        <v>32</v>
      </c>
      <c r="H789" t="s">
        <v>43</v>
      </c>
      <c r="I789" t="s">
        <v>129</v>
      </c>
      <c r="J789" t="s">
        <v>107</v>
      </c>
      <c r="K789" t="s">
        <v>87</v>
      </c>
      <c r="L789">
        <v>13</v>
      </c>
      <c r="M789" t="s">
        <v>1691</v>
      </c>
      <c r="N789" t="s">
        <v>709</v>
      </c>
    </row>
    <row r="790" spans="1:14" x14ac:dyDescent="0.35">
      <c r="A790" t="s">
        <v>2674</v>
      </c>
      <c r="B790" t="s">
        <v>2675</v>
      </c>
      <c r="C790" t="s">
        <v>62</v>
      </c>
      <c r="D790">
        <v>93.27</v>
      </c>
      <c r="E790">
        <v>3000</v>
      </c>
      <c r="F790" t="s">
        <v>123</v>
      </c>
      <c r="G790" t="s">
        <v>32</v>
      </c>
      <c r="H790" t="s">
        <v>43</v>
      </c>
      <c r="I790" t="s">
        <v>44</v>
      </c>
      <c r="J790" t="s">
        <v>107</v>
      </c>
      <c r="K790" t="s">
        <v>87</v>
      </c>
      <c r="L790">
        <v>7</v>
      </c>
      <c r="N790" t="s">
        <v>792</v>
      </c>
    </row>
    <row r="791" spans="1:14" x14ac:dyDescent="0.35">
      <c r="A791" t="s">
        <v>2676</v>
      </c>
      <c r="B791" t="s">
        <v>2677</v>
      </c>
      <c r="C791" t="s">
        <v>81</v>
      </c>
      <c r="D791">
        <v>124.35</v>
      </c>
      <c r="E791">
        <v>1000</v>
      </c>
      <c r="F791" t="s">
        <v>87</v>
      </c>
      <c r="G791" t="s">
        <v>32</v>
      </c>
      <c r="H791" t="s">
        <v>43</v>
      </c>
      <c r="I791" t="s">
        <v>44</v>
      </c>
      <c r="J791" t="s">
        <v>118</v>
      </c>
      <c r="K791" t="s">
        <v>42</v>
      </c>
      <c r="L791">
        <v>14</v>
      </c>
      <c r="N791" t="s">
        <v>2678</v>
      </c>
    </row>
    <row r="792" spans="1:14" x14ac:dyDescent="0.35">
      <c r="A792" t="s">
        <v>2679</v>
      </c>
      <c r="B792" t="s">
        <v>2680</v>
      </c>
      <c r="C792" t="s">
        <v>62</v>
      </c>
      <c r="D792">
        <v>52.47</v>
      </c>
      <c r="E792">
        <v>3000</v>
      </c>
      <c r="F792" t="s">
        <v>74</v>
      </c>
      <c r="G792" t="s">
        <v>32</v>
      </c>
      <c r="H792" t="s">
        <v>43</v>
      </c>
      <c r="J792" t="s">
        <v>2681</v>
      </c>
      <c r="K792" t="s">
        <v>117</v>
      </c>
      <c r="L792">
        <v>22</v>
      </c>
      <c r="M792" t="s">
        <v>1265</v>
      </c>
      <c r="N792" t="s">
        <v>2156</v>
      </c>
    </row>
    <row r="793" spans="1:14" x14ac:dyDescent="0.35">
      <c r="A793" t="s">
        <v>2682</v>
      </c>
      <c r="B793" t="s">
        <v>2683</v>
      </c>
      <c r="C793" t="s">
        <v>116</v>
      </c>
      <c r="D793">
        <v>9.34</v>
      </c>
      <c r="E793">
        <v>200</v>
      </c>
      <c r="F793" t="s">
        <v>36</v>
      </c>
      <c r="G793" t="s">
        <v>32</v>
      </c>
      <c r="H793" t="s">
        <v>57</v>
      </c>
      <c r="I793" t="s">
        <v>34</v>
      </c>
      <c r="J793" t="s">
        <v>63</v>
      </c>
      <c r="K793" t="s">
        <v>64</v>
      </c>
      <c r="L793">
        <v>12</v>
      </c>
      <c r="N793" t="s">
        <v>2040</v>
      </c>
    </row>
    <row r="794" spans="1:14" x14ac:dyDescent="0.35">
      <c r="A794" t="s">
        <v>2684</v>
      </c>
      <c r="B794" t="s">
        <v>2685</v>
      </c>
      <c r="C794" t="s">
        <v>81</v>
      </c>
      <c r="D794">
        <v>78.08</v>
      </c>
      <c r="E794">
        <v>9000</v>
      </c>
      <c r="F794" t="s">
        <v>64</v>
      </c>
      <c r="G794" t="s">
        <v>32</v>
      </c>
      <c r="H794" t="s">
        <v>57</v>
      </c>
      <c r="J794" t="s">
        <v>112</v>
      </c>
      <c r="K794" t="s">
        <v>106</v>
      </c>
      <c r="L794">
        <v>3</v>
      </c>
      <c r="N794" t="s">
        <v>2686</v>
      </c>
    </row>
    <row r="795" spans="1:14" x14ac:dyDescent="0.35">
      <c r="A795" t="s">
        <v>2687</v>
      </c>
      <c r="B795" t="s">
        <v>2688</v>
      </c>
      <c r="C795" t="s">
        <v>30</v>
      </c>
      <c r="D795">
        <v>128.32</v>
      </c>
      <c r="E795">
        <v>8000</v>
      </c>
      <c r="F795" t="s">
        <v>123</v>
      </c>
      <c r="G795" t="s">
        <v>32</v>
      </c>
      <c r="H795" t="s">
        <v>57</v>
      </c>
      <c r="I795" t="s">
        <v>44</v>
      </c>
      <c r="J795" t="s">
        <v>708</v>
      </c>
      <c r="K795" t="s">
        <v>87</v>
      </c>
      <c r="L795">
        <v>19</v>
      </c>
      <c r="M795" t="s">
        <v>1538</v>
      </c>
      <c r="N795" t="s">
        <v>1669</v>
      </c>
    </row>
    <row r="796" spans="1:14" x14ac:dyDescent="0.35">
      <c r="A796" t="s">
        <v>2689</v>
      </c>
      <c r="B796" t="s">
        <v>2690</v>
      </c>
      <c r="C796" t="s">
        <v>116</v>
      </c>
      <c r="D796">
        <v>7.71</v>
      </c>
      <c r="E796">
        <v>200</v>
      </c>
      <c r="F796" t="s">
        <v>64</v>
      </c>
      <c r="G796" t="s">
        <v>32</v>
      </c>
      <c r="H796" t="s">
        <v>33</v>
      </c>
      <c r="I796" t="s">
        <v>34</v>
      </c>
      <c r="J796" t="s">
        <v>75</v>
      </c>
      <c r="K796" t="s">
        <v>76</v>
      </c>
      <c r="L796">
        <v>15</v>
      </c>
      <c r="M796" t="s">
        <v>2691</v>
      </c>
      <c r="N796" t="s">
        <v>2692</v>
      </c>
    </row>
    <row r="797" spans="1:14" x14ac:dyDescent="0.35">
      <c r="A797" t="s">
        <v>2693</v>
      </c>
      <c r="B797" t="s">
        <v>2694</v>
      </c>
      <c r="C797" t="s">
        <v>116</v>
      </c>
      <c r="D797">
        <v>8.42</v>
      </c>
      <c r="E797">
        <v>100</v>
      </c>
      <c r="F797" t="s">
        <v>106</v>
      </c>
      <c r="G797" t="s">
        <v>32</v>
      </c>
      <c r="H797" t="s">
        <v>43</v>
      </c>
      <c r="I797" t="s">
        <v>34</v>
      </c>
      <c r="J797" t="s">
        <v>1918</v>
      </c>
      <c r="K797" t="s">
        <v>31</v>
      </c>
      <c r="L797">
        <v>21</v>
      </c>
      <c r="M797" t="s">
        <v>2695</v>
      </c>
      <c r="N797" t="s">
        <v>1653</v>
      </c>
    </row>
    <row r="798" spans="1:14" x14ac:dyDescent="0.35">
      <c r="A798" t="s">
        <v>2696</v>
      </c>
      <c r="B798" t="s">
        <v>2697</v>
      </c>
      <c r="C798" t="s">
        <v>81</v>
      </c>
      <c r="D798">
        <v>110.77</v>
      </c>
      <c r="E798">
        <v>10000</v>
      </c>
      <c r="F798" t="s">
        <v>97</v>
      </c>
      <c r="G798" t="s">
        <v>32</v>
      </c>
      <c r="H798" t="s">
        <v>57</v>
      </c>
      <c r="I798" t="s">
        <v>34</v>
      </c>
      <c r="J798" t="s">
        <v>230</v>
      </c>
      <c r="K798" t="s">
        <v>117</v>
      </c>
      <c r="L798">
        <v>12</v>
      </c>
      <c r="M798" t="s">
        <v>1928</v>
      </c>
      <c r="N798" t="s">
        <v>2698</v>
      </c>
    </row>
    <row r="799" spans="1:14" x14ac:dyDescent="0.35">
      <c r="A799" t="s">
        <v>2699</v>
      </c>
      <c r="B799" t="s">
        <v>2700</v>
      </c>
      <c r="C799" t="s">
        <v>62</v>
      </c>
      <c r="D799">
        <v>53.42</v>
      </c>
      <c r="E799">
        <v>4000</v>
      </c>
      <c r="F799" t="s">
        <v>117</v>
      </c>
      <c r="G799" t="s">
        <v>32</v>
      </c>
      <c r="H799" t="s">
        <v>43</v>
      </c>
      <c r="I799" t="s">
        <v>44</v>
      </c>
      <c r="J799" t="s">
        <v>130</v>
      </c>
      <c r="K799" t="s">
        <v>123</v>
      </c>
      <c r="L799">
        <v>3</v>
      </c>
      <c r="M799" t="s">
        <v>637</v>
      </c>
      <c r="N799" t="s">
        <v>2701</v>
      </c>
    </row>
    <row r="800" spans="1:14" x14ac:dyDescent="0.35">
      <c r="A800" t="s">
        <v>2702</v>
      </c>
      <c r="B800" t="s">
        <v>2703</v>
      </c>
      <c r="C800" t="s">
        <v>62</v>
      </c>
      <c r="D800">
        <v>94.69</v>
      </c>
      <c r="E800">
        <v>4000</v>
      </c>
      <c r="F800" t="s">
        <v>117</v>
      </c>
      <c r="G800" t="s">
        <v>32</v>
      </c>
      <c r="H800" t="s">
        <v>43</v>
      </c>
      <c r="I800" t="s">
        <v>34</v>
      </c>
      <c r="J800" t="s">
        <v>1216</v>
      </c>
      <c r="K800" t="s">
        <v>51</v>
      </c>
      <c r="L800">
        <v>23</v>
      </c>
      <c r="N800" t="s">
        <v>1112</v>
      </c>
    </row>
    <row r="801" spans="1:14" x14ac:dyDescent="0.35">
      <c r="A801" t="s">
        <v>2704</v>
      </c>
      <c r="B801" t="s">
        <v>2705</v>
      </c>
      <c r="C801" t="s">
        <v>41</v>
      </c>
      <c r="D801">
        <v>95.87</v>
      </c>
      <c r="E801">
        <v>35000</v>
      </c>
      <c r="F801" t="s">
        <v>64</v>
      </c>
      <c r="G801" t="s">
        <v>32</v>
      </c>
      <c r="H801" t="s">
        <v>57</v>
      </c>
      <c r="I801" t="s">
        <v>44</v>
      </c>
      <c r="J801" t="s">
        <v>45</v>
      </c>
      <c r="K801" t="s">
        <v>46</v>
      </c>
      <c r="L801">
        <v>3</v>
      </c>
      <c r="M801" t="s">
        <v>616</v>
      </c>
      <c r="N801" t="s">
        <v>1901</v>
      </c>
    </row>
    <row r="802" spans="1:14" x14ac:dyDescent="0.35">
      <c r="A802" t="s">
        <v>2706</v>
      </c>
      <c r="B802" t="s">
        <v>2707</v>
      </c>
      <c r="C802" t="s">
        <v>81</v>
      </c>
      <c r="D802">
        <v>114.85</v>
      </c>
      <c r="E802">
        <v>10000</v>
      </c>
      <c r="F802" t="s">
        <v>87</v>
      </c>
      <c r="G802" t="s">
        <v>32</v>
      </c>
      <c r="H802" t="s">
        <v>57</v>
      </c>
      <c r="I802" t="s">
        <v>34</v>
      </c>
      <c r="J802" t="s">
        <v>2708</v>
      </c>
      <c r="K802" t="s">
        <v>147</v>
      </c>
      <c r="L802">
        <v>5</v>
      </c>
      <c r="M802" t="s">
        <v>2709</v>
      </c>
      <c r="N802" t="s">
        <v>2710</v>
      </c>
    </row>
    <row r="803" spans="1:14" x14ac:dyDescent="0.35">
      <c r="A803" t="s">
        <v>2711</v>
      </c>
      <c r="B803" t="s">
        <v>2712</v>
      </c>
      <c r="C803" t="s">
        <v>62</v>
      </c>
      <c r="D803">
        <v>69.09</v>
      </c>
      <c r="E803">
        <v>3000</v>
      </c>
      <c r="F803" t="s">
        <v>46</v>
      </c>
      <c r="G803" t="s">
        <v>32</v>
      </c>
      <c r="H803" t="s">
        <v>33</v>
      </c>
      <c r="I803" t="s">
        <v>44</v>
      </c>
      <c r="J803" t="s">
        <v>278</v>
      </c>
      <c r="K803" t="s">
        <v>97</v>
      </c>
      <c r="L803">
        <v>6</v>
      </c>
      <c r="M803" t="s">
        <v>353</v>
      </c>
      <c r="N803" t="s">
        <v>2434</v>
      </c>
    </row>
    <row r="804" spans="1:14" x14ac:dyDescent="0.35">
      <c r="A804" t="s">
        <v>2713</v>
      </c>
      <c r="B804" t="s">
        <v>2714</v>
      </c>
      <c r="C804" t="s">
        <v>69</v>
      </c>
      <c r="D804">
        <v>55.83</v>
      </c>
      <c r="E804">
        <v>43000</v>
      </c>
      <c r="F804" t="s">
        <v>139</v>
      </c>
      <c r="G804" t="s">
        <v>32</v>
      </c>
      <c r="H804" t="s">
        <v>33</v>
      </c>
      <c r="I804" t="s">
        <v>129</v>
      </c>
      <c r="J804" t="s">
        <v>2715</v>
      </c>
      <c r="K804" t="s">
        <v>51</v>
      </c>
      <c r="L804">
        <v>13</v>
      </c>
      <c r="N804" t="s">
        <v>1461</v>
      </c>
    </row>
    <row r="805" spans="1:14" x14ac:dyDescent="0.35">
      <c r="A805" t="s">
        <v>2716</v>
      </c>
      <c r="B805" t="s">
        <v>2717</v>
      </c>
      <c r="C805" t="s">
        <v>69</v>
      </c>
      <c r="D805">
        <v>83.2</v>
      </c>
      <c r="E805">
        <v>11000</v>
      </c>
      <c r="F805" t="s">
        <v>87</v>
      </c>
      <c r="G805" t="s">
        <v>32</v>
      </c>
      <c r="H805" t="s">
        <v>33</v>
      </c>
      <c r="I805" t="s">
        <v>34</v>
      </c>
      <c r="J805" t="s">
        <v>63</v>
      </c>
      <c r="K805" t="s">
        <v>64</v>
      </c>
      <c r="L805">
        <v>4</v>
      </c>
      <c r="M805" t="s">
        <v>485</v>
      </c>
      <c r="N805" t="s">
        <v>2718</v>
      </c>
    </row>
    <row r="806" spans="1:14" x14ac:dyDescent="0.35">
      <c r="A806" t="s">
        <v>2719</v>
      </c>
      <c r="B806" t="s">
        <v>2720</v>
      </c>
      <c r="C806" t="s">
        <v>116</v>
      </c>
      <c r="D806">
        <v>10.96</v>
      </c>
      <c r="E806">
        <v>100</v>
      </c>
      <c r="F806" t="s">
        <v>87</v>
      </c>
      <c r="G806" t="s">
        <v>32</v>
      </c>
      <c r="H806" t="s">
        <v>43</v>
      </c>
      <c r="I806" t="s">
        <v>34</v>
      </c>
      <c r="J806" t="s">
        <v>75</v>
      </c>
      <c r="K806" t="s">
        <v>76</v>
      </c>
      <c r="L806">
        <v>22</v>
      </c>
      <c r="M806" t="s">
        <v>547</v>
      </c>
      <c r="N806" t="s">
        <v>379</v>
      </c>
    </row>
    <row r="807" spans="1:14" x14ac:dyDescent="0.35">
      <c r="A807" t="s">
        <v>2721</v>
      </c>
      <c r="B807" t="s">
        <v>2722</v>
      </c>
      <c r="C807" t="s">
        <v>62</v>
      </c>
      <c r="D807">
        <v>80.06</v>
      </c>
      <c r="E807">
        <v>4000</v>
      </c>
      <c r="F807" t="s">
        <v>46</v>
      </c>
      <c r="G807" t="s">
        <v>32</v>
      </c>
      <c r="H807" t="s">
        <v>33</v>
      </c>
      <c r="I807" t="s">
        <v>44</v>
      </c>
      <c r="J807" t="s">
        <v>70</v>
      </c>
      <c r="K807" t="s">
        <v>31</v>
      </c>
      <c r="L807">
        <v>15</v>
      </c>
      <c r="M807" t="s">
        <v>2723</v>
      </c>
      <c r="N807" t="s">
        <v>2724</v>
      </c>
    </row>
    <row r="808" spans="1:14" x14ac:dyDescent="0.35">
      <c r="A808" t="s">
        <v>2725</v>
      </c>
      <c r="B808" t="s">
        <v>2726</v>
      </c>
      <c r="C808" t="s">
        <v>41</v>
      </c>
      <c r="D808">
        <v>154.53</v>
      </c>
      <c r="E808">
        <v>15000</v>
      </c>
      <c r="F808" t="s">
        <v>36</v>
      </c>
      <c r="G808" t="s">
        <v>102</v>
      </c>
      <c r="H808" t="s">
        <v>57</v>
      </c>
      <c r="I808" t="s">
        <v>34</v>
      </c>
      <c r="J808" t="s">
        <v>2715</v>
      </c>
      <c r="K808" t="s">
        <v>51</v>
      </c>
      <c r="L808">
        <v>11</v>
      </c>
      <c r="M808" t="s">
        <v>1434</v>
      </c>
      <c r="N808" t="s">
        <v>2727</v>
      </c>
    </row>
    <row r="809" spans="1:14" x14ac:dyDescent="0.35">
      <c r="A809" t="s">
        <v>2728</v>
      </c>
      <c r="B809" t="s">
        <v>2729</v>
      </c>
      <c r="C809" t="s">
        <v>81</v>
      </c>
      <c r="D809">
        <v>79.81</v>
      </c>
      <c r="E809">
        <v>7000</v>
      </c>
      <c r="F809" t="s">
        <v>147</v>
      </c>
      <c r="G809" t="s">
        <v>32</v>
      </c>
      <c r="H809" t="s">
        <v>33</v>
      </c>
      <c r="I809" t="s">
        <v>44</v>
      </c>
      <c r="J809" t="s">
        <v>45</v>
      </c>
      <c r="K809" t="s">
        <v>46</v>
      </c>
      <c r="L809">
        <v>12</v>
      </c>
      <c r="M809" t="s">
        <v>2730</v>
      </c>
      <c r="N809" t="s">
        <v>665</v>
      </c>
    </row>
    <row r="810" spans="1:14" x14ac:dyDescent="0.35">
      <c r="A810" t="s">
        <v>2731</v>
      </c>
      <c r="B810" t="s">
        <v>2732</v>
      </c>
      <c r="C810" t="s">
        <v>81</v>
      </c>
      <c r="D810">
        <v>118.59</v>
      </c>
      <c r="E810">
        <v>4000</v>
      </c>
      <c r="F810" t="s">
        <v>87</v>
      </c>
      <c r="G810" t="s">
        <v>32</v>
      </c>
      <c r="H810" t="s">
        <v>43</v>
      </c>
      <c r="J810" t="s">
        <v>429</v>
      </c>
      <c r="K810" t="s">
        <v>236</v>
      </c>
      <c r="L810">
        <v>7</v>
      </c>
      <c r="M810" t="s">
        <v>544</v>
      </c>
      <c r="N810" t="s">
        <v>422</v>
      </c>
    </row>
    <row r="811" spans="1:14" x14ac:dyDescent="0.35">
      <c r="A811" t="s">
        <v>2733</v>
      </c>
      <c r="B811" t="s">
        <v>2734</v>
      </c>
      <c r="C811" t="s">
        <v>62</v>
      </c>
      <c r="D811">
        <v>81.010000000000005</v>
      </c>
      <c r="E811">
        <v>1000</v>
      </c>
      <c r="F811" t="s">
        <v>97</v>
      </c>
      <c r="G811" t="s">
        <v>32</v>
      </c>
      <c r="H811" t="s">
        <v>33</v>
      </c>
      <c r="J811" t="s">
        <v>75</v>
      </c>
      <c r="K811" t="s">
        <v>76</v>
      </c>
      <c r="L811">
        <v>15</v>
      </c>
      <c r="M811" t="s">
        <v>2735</v>
      </c>
      <c r="N811" t="s">
        <v>399</v>
      </c>
    </row>
    <row r="812" spans="1:14" x14ac:dyDescent="0.35">
      <c r="A812" t="s">
        <v>2736</v>
      </c>
      <c r="B812" t="s">
        <v>2737</v>
      </c>
      <c r="C812" t="s">
        <v>62</v>
      </c>
      <c r="D812">
        <v>78.790000000000006</v>
      </c>
      <c r="E812">
        <v>4000</v>
      </c>
      <c r="F812" t="s">
        <v>51</v>
      </c>
      <c r="G812" t="s">
        <v>32</v>
      </c>
      <c r="H812" t="s">
        <v>43</v>
      </c>
      <c r="I812" t="s">
        <v>34</v>
      </c>
      <c r="J812" t="s">
        <v>107</v>
      </c>
      <c r="K812" t="s">
        <v>87</v>
      </c>
      <c r="L812">
        <v>9</v>
      </c>
      <c r="M812" t="s">
        <v>297</v>
      </c>
      <c r="N812" t="s">
        <v>2082</v>
      </c>
    </row>
    <row r="813" spans="1:14" x14ac:dyDescent="0.35">
      <c r="A813" t="s">
        <v>2738</v>
      </c>
      <c r="B813" t="s">
        <v>2739</v>
      </c>
      <c r="C813" t="s">
        <v>41</v>
      </c>
      <c r="D813">
        <v>129.84</v>
      </c>
      <c r="E813">
        <v>35000</v>
      </c>
      <c r="F813" t="s">
        <v>31</v>
      </c>
      <c r="G813" t="s">
        <v>32</v>
      </c>
      <c r="H813" t="s">
        <v>57</v>
      </c>
      <c r="I813" t="s">
        <v>34</v>
      </c>
      <c r="J813" t="s">
        <v>63</v>
      </c>
      <c r="K813" t="s">
        <v>64</v>
      </c>
      <c r="L813">
        <v>10</v>
      </c>
      <c r="M813" t="s">
        <v>317</v>
      </c>
      <c r="N813" t="s">
        <v>255</v>
      </c>
    </row>
    <row r="814" spans="1:14" x14ac:dyDescent="0.35">
      <c r="A814" t="s">
        <v>2740</v>
      </c>
      <c r="B814" t="s">
        <v>2741</v>
      </c>
      <c r="C814" t="s">
        <v>116</v>
      </c>
      <c r="D814">
        <v>6.94</v>
      </c>
      <c r="E814">
        <v>300</v>
      </c>
      <c r="F814" t="s">
        <v>97</v>
      </c>
      <c r="G814" t="s">
        <v>32</v>
      </c>
      <c r="H814" t="s">
        <v>33</v>
      </c>
      <c r="J814" t="s">
        <v>118</v>
      </c>
      <c r="K814" t="s">
        <v>42</v>
      </c>
      <c r="L814">
        <v>9</v>
      </c>
      <c r="N814" t="s">
        <v>1554</v>
      </c>
    </row>
    <row r="815" spans="1:14" x14ac:dyDescent="0.35">
      <c r="A815" t="s">
        <v>2742</v>
      </c>
      <c r="B815" t="s">
        <v>2743</v>
      </c>
      <c r="C815" t="s">
        <v>116</v>
      </c>
      <c r="D815">
        <v>10.98</v>
      </c>
      <c r="E815">
        <v>100</v>
      </c>
      <c r="F815" t="s">
        <v>76</v>
      </c>
      <c r="G815" t="s">
        <v>32</v>
      </c>
      <c r="H815" t="s">
        <v>57</v>
      </c>
      <c r="J815" t="s">
        <v>334</v>
      </c>
      <c r="K815" t="s">
        <v>51</v>
      </c>
      <c r="L815">
        <v>4</v>
      </c>
      <c r="M815" t="s">
        <v>637</v>
      </c>
      <c r="N815" t="s">
        <v>259</v>
      </c>
    </row>
    <row r="816" spans="1:14" x14ac:dyDescent="0.35">
      <c r="A816" t="s">
        <v>2744</v>
      </c>
      <c r="B816" t="s">
        <v>2745</v>
      </c>
      <c r="C816" t="s">
        <v>62</v>
      </c>
      <c r="D816">
        <v>69.569999999999993</v>
      </c>
      <c r="E816">
        <v>1000</v>
      </c>
      <c r="F816" t="s">
        <v>236</v>
      </c>
      <c r="G816" t="s">
        <v>32</v>
      </c>
      <c r="H816" t="s">
        <v>33</v>
      </c>
      <c r="J816" t="s">
        <v>124</v>
      </c>
      <c r="K816" t="s">
        <v>117</v>
      </c>
      <c r="L816">
        <v>4</v>
      </c>
      <c r="M816" t="s">
        <v>2723</v>
      </c>
      <c r="N816" t="s">
        <v>343</v>
      </c>
    </row>
    <row r="817" spans="1:14" x14ac:dyDescent="0.35">
      <c r="A817" t="s">
        <v>2746</v>
      </c>
      <c r="B817" t="s">
        <v>2747</v>
      </c>
      <c r="C817" t="s">
        <v>81</v>
      </c>
      <c r="D817">
        <v>111.52</v>
      </c>
      <c r="E817">
        <v>2000</v>
      </c>
      <c r="F817" t="s">
        <v>139</v>
      </c>
      <c r="G817" t="s">
        <v>32</v>
      </c>
      <c r="H817" t="s">
        <v>43</v>
      </c>
      <c r="J817" t="s">
        <v>75</v>
      </c>
      <c r="K817" t="s">
        <v>76</v>
      </c>
      <c r="L817">
        <v>14</v>
      </c>
      <c r="M817" t="s">
        <v>1772</v>
      </c>
      <c r="N817" t="s">
        <v>2470</v>
      </c>
    </row>
    <row r="818" spans="1:14" x14ac:dyDescent="0.35">
      <c r="A818" t="s">
        <v>2748</v>
      </c>
      <c r="B818" t="s">
        <v>2749</v>
      </c>
      <c r="C818" t="s">
        <v>41</v>
      </c>
      <c r="D818">
        <v>121.52</v>
      </c>
      <c r="E818">
        <v>23000</v>
      </c>
      <c r="F818" t="s">
        <v>123</v>
      </c>
      <c r="G818" t="s">
        <v>32</v>
      </c>
      <c r="H818" t="s">
        <v>57</v>
      </c>
      <c r="I818" t="s">
        <v>34</v>
      </c>
      <c r="J818" t="s">
        <v>112</v>
      </c>
      <c r="K818" t="s">
        <v>106</v>
      </c>
      <c r="L818">
        <v>15</v>
      </c>
      <c r="M818" t="s">
        <v>2750</v>
      </c>
      <c r="N818" t="s">
        <v>2751</v>
      </c>
    </row>
    <row r="819" spans="1:14" x14ac:dyDescent="0.35">
      <c r="A819" t="s">
        <v>2752</v>
      </c>
      <c r="B819" t="s">
        <v>2753</v>
      </c>
      <c r="C819" t="s">
        <v>41</v>
      </c>
      <c r="D819">
        <v>94.71</v>
      </c>
      <c r="E819">
        <v>34000</v>
      </c>
      <c r="F819" t="s">
        <v>31</v>
      </c>
      <c r="G819" t="s">
        <v>32</v>
      </c>
      <c r="H819" t="s">
        <v>57</v>
      </c>
      <c r="J819" t="s">
        <v>75</v>
      </c>
      <c r="K819" t="s">
        <v>76</v>
      </c>
      <c r="L819">
        <v>19</v>
      </c>
      <c r="M819" t="s">
        <v>2754</v>
      </c>
      <c r="N819" t="s">
        <v>2159</v>
      </c>
    </row>
    <row r="820" spans="1:14" x14ac:dyDescent="0.35">
      <c r="A820" t="s">
        <v>2755</v>
      </c>
      <c r="B820" t="s">
        <v>2756</v>
      </c>
      <c r="C820" t="s">
        <v>81</v>
      </c>
      <c r="D820">
        <v>90.26</v>
      </c>
      <c r="E820">
        <v>2000</v>
      </c>
      <c r="F820" t="s">
        <v>42</v>
      </c>
      <c r="G820" t="s">
        <v>32</v>
      </c>
      <c r="H820" t="s">
        <v>33</v>
      </c>
      <c r="I820" t="s">
        <v>44</v>
      </c>
      <c r="J820" t="s">
        <v>316</v>
      </c>
      <c r="K820" t="s">
        <v>97</v>
      </c>
      <c r="L820">
        <v>0</v>
      </c>
      <c r="M820" t="s">
        <v>782</v>
      </c>
      <c r="N820" t="s">
        <v>2757</v>
      </c>
    </row>
    <row r="821" spans="1:14" x14ac:dyDescent="0.35">
      <c r="A821" t="s">
        <v>2758</v>
      </c>
      <c r="B821" t="s">
        <v>2759</v>
      </c>
      <c r="C821" t="s">
        <v>116</v>
      </c>
      <c r="D821">
        <v>8.67</v>
      </c>
      <c r="E821">
        <v>200</v>
      </c>
      <c r="F821" t="s">
        <v>64</v>
      </c>
      <c r="G821" t="s">
        <v>32</v>
      </c>
      <c r="H821" t="s">
        <v>57</v>
      </c>
      <c r="I821" t="s">
        <v>34</v>
      </c>
      <c r="J821" t="s">
        <v>45</v>
      </c>
      <c r="K821" t="s">
        <v>46</v>
      </c>
      <c r="L821">
        <v>1</v>
      </c>
      <c r="M821" t="s">
        <v>2760</v>
      </c>
      <c r="N821" t="s">
        <v>2761</v>
      </c>
    </row>
    <row r="822" spans="1:14" x14ac:dyDescent="0.35">
      <c r="A822" t="s">
        <v>2762</v>
      </c>
      <c r="B822" t="s">
        <v>2763</v>
      </c>
      <c r="C822" t="s">
        <v>41</v>
      </c>
      <c r="D822">
        <v>138.49</v>
      </c>
      <c r="E822">
        <v>14000</v>
      </c>
      <c r="F822" t="s">
        <v>64</v>
      </c>
      <c r="G822" t="s">
        <v>32</v>
      </c>
      <c r="H822" t="s">
        <v>43</v>
      </c>
      <c r="I822" t="s">
        <v>34</v>
      </c>
      <c r="J822" t="s">
        <v>2764</v>
      </c>
      <c r="K822" t="s">
        <v>147</v>
      </c>
      <c r="L822">
        <v>4</v>
      </c>
      <c r="M822" t="s">
        <v>2175</v>
      </c>
      <c r="N822" t="s">
        <v>2765</v>
      </c>
    </row>
    <row r="823" spans="1:14" x14ac:dyDescent="0.35">
      <c r="A823" t="s">
        <v>2766</v>
      </c>
      <c r="B823" t="s">
        <v>2767</v>
      </c>
      <c r="C823" t="s">
        <v>116</v>
      </c>
      <c r="D823">
        <v>10.199999999999999</v>
      </c>
      <c r="E823">
        <v>200</v>
      </c>
      <c r="F823" t="s">
        <v>117</v>
      </c>
      <c r="G823" t="s">
        <v>32</v>
      </c>
      <c r="H823" t="s">
        <v>33</v>
      </c>
      <c r="I823" t="s">
        <v>44</v>
      </c>
      <c r="J823" t="s">
        <v>2095</v>
      </c>
      <c r="K823" t="s">
        <v>42</v>
      </c>
      <c r="L823">
        <v>6</v>
      </c>
      <c r="N823" t="s">
        <v>2768</v>
      </c>
    </row>
    <row r="824" spans="1:14" x14ac:dyDescent="0.35">
      <c r="A824" t="s">
        <v>2769</v>
      </c>
      <c r="B824" t="s">
        <v>2770</v>
      </c>
      <c r="C824" t="s">
        <v>30</v>
      </c>
      <c r="D824">
        <v>130.62</v>
      </c>
      <c r="E824">
        <v>10000</v>
      </c>
      <c r="F824" t="s">
        <v>64</v>
      </c>
      <c r="G824" t="s">
        <v>32</v>
      </c>
      <c r="H824" t="s">
        <v>33</v>
      </c>
      <c r="I824" t="s">
        <v>44</v>
      </c>
      <c r="J824" t="s">
        <v>35</v>
      </c>
      <c r="K824" t="s">
        <v>36</v>
      </c>
      <c r="L824">
        <v>15</v>
      </c>
      <c r="N824" t="s">
        <v>1249</v>
      </c>
    </row>
    <row r="825" spans="1:14" x14ac:dyDescent="0.35">
      <c r="A825" t="s">
        <v>2771</v>
      </c>
      <c r="B825" t="s">
        <v>2772</v>
      </c>
      <c r="C825" t="s">
        <v>81</v>
      </c>
      <c r="D825">
        <v>101.39</v>
      </c>
      <c r="E825">
        <v>6000</v>
      </c>
      <c r="F825" t="s">
        <v>87</v>
      </c>
      <c r="G825" t="s">
        <v>32</v>
      </c>
      <c r="H825" t="s">
        <v>43</v>
      </c>
      <c r="I825" t="s">
        <v>34</v>
      </c>
      <c r="J825" t="s">
        <v>75</v>
      </c>
      <c r="K825" t="s">
        <v>76</v>
      </c>
      <c r="L825">
        <v>21</v>
      </c>
      <c r="N825" t="s">
        <v>1449</v>
      </c>
    </row>
    <row r="826" spans="1:14" x14ac:dyDescent="0.35">
      <c r="A826" t="s">
        <v>2773</v>
      </c>
      <c r="B826" t="s">
        <v>2774</v>
      </c>
      <c r="C826" t="s">
        <v>116</v>
      </c>
      <c r="D826">
        <v>11.99</v>
      </c>
      <c r="E826">
        <v>300</v>
      </c>
      <c r="F826" t="s">
        <v>51</v>
      </c>
      <c r="G826" t="s">
        <v>32</v>
      </c>
      <c r="H826" t="s">
        <v>43</v>
      </c>
      <c r="I826" t="s">
        <v>44</v>
      </c>
      <c r="J826" t="s">
        <v>2775</v>
      </c>
      <c r="K826" t="s">
        <v>64</v>
      </c>
      <c r="L826">
        <v>17</v>
      </c>
      <c r="M826" t="s">
        <v>2540</v>
      </c>
      <c r="N826" t="s">
        <v>2776</v>
      </c>
    </row>
    <row r="827" spans="1:14" x14ac:dyDescent="0.35">
      <c r="A827" t="s">
        <v>2777</v>
      </c>
      <c r="B827" t="s">
        <v>2778</v>
      </c>
      <c r="C827" t="s">
        <v>41</v>
      </c>
      <c r="D827">
        <v>145.21</v>
      </c>
      <c r="E827">
        <v>24000</v>
      </c>
      <c r="F827" t="s">
        <v>42</v>
      </c>
      <c r="G827" t="s">
        <v>32</v>
      </c>
      <c r="H827" t="s">
        <v>33</v>
      </c>
      <c r="I827" t="s">
        <v>44</v>
      </c>
      <c r="J827" t="s">
        <v>118</v>
      </c>
      <c r="K827" t="s">
        <v>42</v>
      </c>
      <c r="L827">
        <v>0</v>
      </c>
      <c r="M827" t="s">
        <v>266</v>
      </c>
      <c r="N827" t="s">
        <v>857</v>
      </c>
    </row>
    <row r="828" spans="1:14" x14ac:dyDescent="0.35">
      <c r="A828" t="s">
        <v>2779</v>
      </c>
      <c r="B828" t="s">
        <v>2780</v>
      </c>
      <c r="C828" t="s">
        <v>30</v>
      </c>
      <c r="D828">
        <v>113.42</v>
      </c>
      <c r="E828">
        <v>3000</v>
      </c>
      <c r="F828" t="s">
        <v>76</v>
      </c>
      <c r="G828" t="s">
        <v>32</v>
      </c>
      <c r="H828" t="s">
        <v>43</v>
      </c>
      <c r="I828" t="s">
        <v>44</v>
      </c>
      <c r="J828" t="s">
        <v>130</v>
      </c>
      <c r="K828" t="s">
        <v>123</v>
      </c>
      <c r="L828">
        <v>8</v>
      </c>
      <c r="M828" t="s">
        <v>1425</v>
      </c>
      <c r="N828" t="s">
        <v>610</v>
      </c>
    </row>
    <row r="829" spans="1:14" x14ac:dyDescent="0.35">
      <c r="A829" t="s">
        <v>2781</v>
      </c>
      <c r="B829" t="s">
        <v>2782</v>
      </c>
      <c r="C829" t="s">
        <v>62</v>
      </c>
      <c r="D829">
        <v>74.05</v>
      </c>
      <c r="E829">
        <v>5000</v>
      </c>
      <c r="F829" t="s">
        <v>64</v>
      </c>
      <c r="G829" t="s">
        <v>32</v>
      </c>
      <c r="H829" t="s">
        <v>33</v>
      </c>
      <c r="I829" t="s">
        <v>44</v>
      </c>
      <c r="J829" t="s">
        <v>209</v>
      </c>
      <c r="K829" t="s">
        <v>74</v>
      </c>
      <c r="L829">
        <v>14</v>
      </c>
      <c r="N829" t="s">
        <v>865</v>
      </c>
    </row>
    <row r="830" spans="1:14" x14ac:dyDescent="0.35">
      <c r="A830" t="s">
        <v>2783</v>
      </c>
      <c r="B830" t="s">
        <v>2784</v>
      </c>
      <c r="C830" t="s">
        <v>116</v>
      </c>
      <c r="D830">
        <v>11.31</v>
      </c>
      <c r="E830">
        <v>300</v>
      </c>
      <c r="F830" t="s">
        <v>74</v>
      </c>
      <c r="G830" t="s">
        <v>32</v>
      </c>
      <c r="H830" t="s">
        <v>57</v>
      </c>
      <c r="I830" t="s">
        <v>34</v>
      </c>
      <c r="J830" t="s">
        <v>235</v>
      </c>
      <c r="K830" t="s">
        <v>236</v>
      </c>
      <c r="L830">
        <v>16</v>
      </c>
      <c r="M830" t="s">
        <v>2785</v>
      </c>
      <c r="N830" t="s">
        <v>2786</v>
      </c>
    </row>
    <row r="831" spans="1:14" x14ac:dyDescent="0.35">
      <c r="A831" t="s">
        <v>2787</v>
      </c>
      <c r="B831" t="s">
        <v>2788</v>
      </c>
      <c r="C831" t="s">
        <v>30</v>
      </c>
      <c r="D831">
        <v>166.15</v>
      </c>
      <c r="E831">
        <v>14000</v>
      </c>
      <c r="F831" t="s">
        <v>76</v>
      </c>
      <c r="G831" t="s">
        <v>32</v>
      </c>
      <c r="H831" t="s">
        <v>33</v>
      </c>
      <c r="I831" t="s">
        <v>44</v>
      </c>
      <c r="J831" t="s">
        <v>1071</v>
      </c>
      <c r="K831" t="s">
        <v>236</v>
      </c>
      <c r="L831">
        <v>11</v>
      </c>
      <c r="M831" t="s">
        <v>2257</v>
      </c>
      <c r="N831" t="s">
        <v>309</v>
      </c>
    </row>
    <row r="832" spans="1:14" x14ac:dyDescent="0.35">
      <c r="A832" t="s">
        <v>2789</v>
      </c>
      <c r="B832" t="s">
        <v>2790</v>
      </c>
      <c r="C832" t="s">
        <v>62</v>
      </c>
      <c r="D832">
        <v>88.27</v>
      </c>
      <c r="E832">
        <v>5000</v>
      </c>
      <c r="F832" t="s">
        <v>117</v>
      </c>
      <c r="G832" t="s">
        <v>32</v>
      </c>
      <c r="H832" t="s">
        <v>43</v>
      </c>
      <c r="I832" t="s">
        <v>44</v>
      </c>
      <c r="J832" t="s">
        <v>63</v>
      </c>
      <c r="K832" t="s">
        <v>64</v>
      </c>
      <c r="L832">
        <v>21</v>
      </c>
      <c r="N832" t="s">
        <v>2791</v>
      </c>
    </row>
    <row r="833" spans="1:14" x14ac:dyDescent="0.35">
      <c r="A833" t="s">
        <v>2792</v>
      </c>
      <c r="B833" t="s">
        <v>2793</v>
      </c>
      <c r="C833" t="s">
        <v>69</v>
      </c>
      <c r="D833">
        <v>91.84</v>
      </c>
      <c r="E833">
        <v>29000</v>
      </c>
      <c r="F833" t="s">
        <v>46</v>
      </c>
      <c r="G833" t="s">
        <v>32</v>
      </c>
      <c r="H833" t="s">
        <v>33</v>
      </c>
      <c r="J833" t="s">
        <v>63</v>
      </c>
      <c r="K833" t="s">
        <v>64</v>
      </c>
      <c r="L833">
        <v>9</v>
      </c>
      <c r="M833" t="s">
        <v>2532</v>
      </c>
      <c r="N833" t="s">
        <v>2794</v>
      </c>
    </row>
    <row r="834" spans="1:14" x14ac:dyDescent="0.35">
      <c r="A834" t="s">
        <v>2795</v>
      </c>
      <c r="B834" t="s">
        <v>2796</v>
      </c>
      <c r="C834" t="s">
        <v>116</v>
      </c>
      <c r="D834">
        <v>9.8000000000000007</v>
      </c>
      <c r="E834">
        <v>400</v>
      </c>
      <c r="F834" t="s">
        <v>236</v>
      </c>
      <c r="G834" t="s">
        <v>32</v>
      </c>
      <c r="H834" t="s">
        <v>43</v>
      </c>
      <c r="I834" t="s">
        <v>44</v>
      </c>
      <c r="J834" t="s">
        <v>2797</v>
      </c>
      <c r="K834" t="s">
        <v>236</v>
      </c>
      <c r="L834">
        <v>21</v>
      </c>
      <c r="N834" t="s">
        <v>604</v>
      </c>
    </row>
    <row r="835" spans="1:14" x14ac:dyDescent="0.35">
      <c r="A835" t="s">
        <v>2798</v>
      </c>
      <c r="B835" t="s">
        <v>2799</v>
      </c>
      <c r="C835" t="s">
        <v>30</v>
      </c>
      <c r="D835">
        <v>194.08</v>
      </c>
      <c r="E835">
        <v>10000</v>
      </c>
      <c r="F835" t="s">
        <v>74</v>
      </c>
      <c r="G835" t="s">
        <v>32</v>
      </c>
      <c r="H835" t="s">
        <v>57</v>
      </c>
      <c r="I835" t="s">
        <v>34</v>
      </c>
      <c r="J835" t="s">
        <v>107</v>
      </c>
      <c r="K835" t="s">
        <v>87</v>
      </c>
      <c r="L835">
        <v>21</v>
      </c>
      <c r="N835" t="s">
        <v>2800</v>
      </c>
    </row>
    <row r="836" spans="1:14" x14ac:dyDescent="0.35">
      <c r="A836" t="s">
        <v>2801</v>
      </c>
      <c r="B836" t="s">
        <v>2802</v>
      </c>
      <c r="C836" t="s">
        <v>69</v>
      </c>
      <c r="D836">
        <v>95.43</v>
      </c>
      <c r="E836">
        <v>87000</v>
      </c>
      <c r="F836" t="s">
        <v>97</v>
      </c>
      <c r="G836" t="s">
        <v>32</v>
      </c>
      <c r="H836" t="s">
        <v>57</v>
      </c>
      <c r="I836" t="s">
        <v>129</v>
      </c>
      <c r="J836" t="s">
        <v>2803</v>
      </c>
      <c r="K836" t="s">
        <v>147</v>
      </c>
      <c r="L836">
        <v>16</v>
      </c>
      <c r="M836" t="s">
        <v>738</v>
      </c>
      <c r="N836" t="s">
        <v>2804</v>
      </c>
    </row>
    <row r="837" spans="1:14" x14ac:dyDescent="0.35">
      <c r="A837" t="s">
        <v>2805</v>
      </c>
      <c r="B837" t="s">
        <v>2806</v>
      </c>
      <c r="C837" t="s">
        <v>30</v>
      </c>
      <c r="D837">
        <v>161.02000000000001</v>
      </c>
      <c r="E837">
        <v>9000</v>
      </c>
      <c r="F837" t="s">
        <v>106</v>
      </c>
      <c r="G837" t="s">
        <v>32</v>
      </c>
      <c r="H837" t="s">
        <v>57</v>
      </c>
      <c r="J837" t="s">
        <v>130</v>
      </c>
      <c r="K837" t="s">
        <v>123</v>
      </c>
      <c r="L837">
        <v>4</v>
      </c>
      <c r="M837" t="s">
        <v>1136</v>
      </c>
      <c r="N837" t="s">
        <v>1446</v>
      </c>
    </row>
    <row r="838" spans="1:14" x14ac:dyDescent="0.35">
      <c r="A838" t="s">
        <v>2807</v>
      </c>
      <c r="B838" t="s">
        <v>2808</v>
      </c>
      <c r="C838" t="s">
        <v>30</v>
      </c>
      <c r="D838">
        <v>181.27</v>
      </c>
      <c r="E838">
        <v>12000</v>
      </c>
      <c r="F838" t="s">
        <v>51</v>
      </c>
      <c r="G838" t="s">
        <v>32</v>
      </c>
      <c r="H838" t="s">
        <v>57</v>
      </c>
      <c r="I838" t="s">
        <v>44</v>
      </c>
      <c r="J838" t="s">
        <v>75</v>
      </c>
      <c r="K838" t="s">
        <v>76</v>
      </c>
      <c r="L838">
        <v>13</v>
      </c>
      <c r="M838" t="s">
        <v>2809</v>
      </c>
      <c r="N838" t="s">
        <v>2810</v>
      </c>
    </row>
    <row r="839" spans="1:14" x14ac:dyDescent="0.35">
      <c r="A839" t="s">
        <v>2811</v>
      </c>
      <c r="B839" t="s">
        <v>2812</v>
      </c>
      <c r="C839" t="s">
        <v>62</v>
      </c>
      <c r="D839">
        <v>79.400000000000006</v>
      </c>
      <c r="E839">
        <v>4000</v>
      </c>
      <c r="F839" t="s">
        <v>123</v>
      </c>
      <c r="G839" t="s">
        <v>102</v>
      </c>
      <c r="H839" t="s">
        <v>43</v>
      </c>
      <c r="I839" t="s">
        <v>34</v>
      </c>
      <c r="J839" t="s">
        <v>35</v>
      </c>
      <c r="K839" t="s">
        <v>36</v>
      </c>
      <c r="L839">
        <v>16</v>
      </c>
      <c r="N839" t="s">
        <v>2800</v>
      </c>
    </row>
    <row r="840" spans="1:14" x14ac:dyDescent="0.35">
      <c r="A840" t="s">
        <v>2813</v>
      </c>
      <c r="B840" t="s">
        <v>2814</v>
      </c>
      <c r="C840" t="s">
        <v>81</v>
      </c>
      <c r="D840">
        <v>110.79</v>
      </c>
      <c r="E840">
        <v>8000</v>
      </c>
      <c r="F840" t="s">
        <v>42</v>
      </c>
      <c r="G840" t="s">
        <v>32</v>
      </c>
      <c r="H840" t="s">
        <v>43</v>
      </c>
      <c r="I840" t="s">
        <v>44</v>
      </c>
      <c r="J840" t="s">
        <v>2815</v>
      </c>
      <c r="K840" t="s">
        <v>147</v>
      </c>
      <c r="L840">
        <v>22</v>
      </c>
      <c r="M840" t="s">
        <v>2816</v>
      </c>
      <c r="N840" t="s">
        <v>1431</v>
      </c>
    </row>
    <row r="841" spans="1:14" x14ac:dyDescent="0.35">
      <c r="A841" t="s">
        <v>2817</v>
      </c>
      <c r="B841" t="s">
        <v>2818</v>
      </c>
      <c r="C841" t="s">
        <v>81</v>
      </c>
      <c r="D841">
        <v>123.86</v>
      </c>
      <c r="E841">
        <v>2000</v>
      </c>
      <c r="F841" t="s">
        <v>97</v>
      </c>
      <c r="G841" t="s">
        <v>32</v>
      </c>
      <c r="H841" t="s">
        <v>57</v>
      </c>
      <c r="I841" t="s">
        <v>129</v>
      </c>
      <c r="J841" t="s">
        <v>2328</v>
      </c>
      <c r="K841" t="s">
        <v>51</v>
      </c>
      <c r="L841">
        <v>20</v>
      </c>
      <c r="M841" t="s">
        <v>738</v>
      </c>
      <c r="N841" t="s">
        <v>2819</v>
      </c>
    </row>
    <row r="842" spans="1:14" x14ac:dyDescent="0.35">
      <c r="A842" t="s">
        <v>2820</v>
      </c>
      <c r="B842" t="s">
        <v>2821</v>
      </c>
      <c r="C842" t="s">
        <v>30</v>
      </c>
      <c r="D842">
        <v>199.39</v>
      </c>
      <c r="E842">
        <v>3000</v>
      </c>
      <c r="F842" t="s">
        <v>64</v>
      </c>
      <c r="G842" t="s">
        <v>32</v>
      </c>
      <c r="H842" t="s">
        <v>33</v>
      </c>
      <c r="I842" t="s">
        <v>44</v>
      </c>
      <c r="J842" t="s">
        <v>1816</v>
      </c>
      <c r="K842" t="s">
        <v>236</v>
      </c>
      <c r="L842">
        <v>8</v>
      </c>
      <c r="M842" t="s">
        <v>1286</v>
      </c>
      <c r="N842" t="s">
        <v>2822</v>
      </c>
    </row>
    <row r="843" spans="1:14" x14ac:dyDescent="0.35">
      <c r="A843" t="s">
        <v>2823</v>
      </c>
      <c r="B843" t="s">
        <v>2824</v>
      </c>
      <c r="C843" t="s">
        <v>41</v>
      </c>
      <c r="D843">
        <v>106.48</v>
      </c>
      <c r="E843">
        <v>19000</v>
      </c>
      <c r="F843" t="s">
        <v>76</v>
      </c>
      <c r="G843" t="s">
        <v>32</v>
      </c>
      <c r="H843" t="s">
        <v>57</v>
      </c>
      <c r="I843" t="s">
        <v>34</v>
      </c>
      <c r="J843" t="s">
        <v>124</v>
      </c>
      <c r="K843" t="s">
        <v>117</v>
      </c>
      <c r="L843">
        <v>1</v>
      </c>
      <c r="N843" t="s">
        <v>1874</v>
      </c>
    </row>
    <row r="844" spans="1:14" x14ac:dyDescent="0.35">
      <c r="A844" t="s">
        <v>2825</v>
      </c>
      <c r="B844" t="s">
        <v>2826</v>
      </c>
      <c r="C844" t="s">
        <v>116</v>
      </c>
      <c r="D844">
        <v>10.98</v>
      </c>
      <c r="E844">
        <v>400</v>
      </c>
      <c r="F844" t="s">
        <v>51</v>
      </c>
      <c r="G844" t="s">
        <v>32</v>
      </c>
      <c r="H844" t="s">
        <v>33</v>
      </c>
      <c r="J844" t="s">
        <v>70</v>
      </c>
      <c r="K844" t="s">
        <v>31</v>
      </c>
      <c r="L844">
        <v>22</v>
      </c>
      <c r="M844" t="s">
        <v>1158</v>
      </c>
      <c r="N844" t="s">
        <v>2827</v>
      </c>
    </row>
    <row r="845" spans="1:14" x14ac:dyDescent="0.35">
      <c r="A845" t="s">
        <v>2828</v>
      </c>
      <c r="B845" t="s">
        <v>2829</v>
      </c>
      <c r="C845" t="s">
        <v>30</v>
      </c>
      <c r="D845">
        <v>193.31</v>
      </c>
      <c r="E845">
        <v>16000</v>
      </c>
      <c r="F845" t="s">
        <v>97</v>
      </c>
      <c r="G845" t="s">
        <v>32</v>
      </c>
      <c r="H845" t="s">
        <v>57</v>
      </c>
      <c r="J845" t="s">
        <v>130</v>
      </c>
      <c r="K845" t="s">
        <v>123</v>
      </c>
      <c r="L845">
        <v>14</v>
      </c>
      <c r="M845" t="s">
        <v>394</v>
      </c>
      <c r="N845" t="s">
        <v>2830</v>
      </c>
    </row>
    <row r="846" spans="1:14" x14ac:dyDescent="0.35">
      <c r="A846" t="s">
        <v>2831</v>
      </c>
      <c r="B846" t="s">
        <v>2832</v>
      </c>
      <c r="C846" t="s">
        <v>41</v>
      </c>
      <c r="D846">
        <v>85.49</v>
      </c>
      <c r="E846">
        <v>15000</v>
      </c>
      <c r="F846" t="s">
        <v>87</v>
      </c>
      <c r="G846" t="s">
        <v>32</v>
      </c>
      <c r="H846" t="s">
        <v>57</v>
      </c>
      <c r="I846" t="s">
        <v>44</v>
      </c>
      <c r="J846" t="s">
        <v>130</v>
      </c>
      <c r="K846" t="s">
        <v>123</v>
      </c>
      <c r="L846">
        <v>3</v>
      </c>
      <c r="M846" t="s">
        <v>1434</v>
      </c>
      <c r="N846" t="s">
        <v>1274</v>
      </c>
    </row>
    <row r="847" spans="1:14" x14ac:dyDescent="0.35">
      <c r="A847" t="s">
        <v>2833</v>
      </c>
      <c r="B847" t="s">
        <v>2834</v>
      </c>
      <c r="C847" t="s">
        <v>41</v>
      </c>
      <c r="D847">
        <v>129.71</v>
      </c>
      <c r="E847">
        <v>36000</v>
      </c>
      <c r="F847" t="s">
        <v>42</v>
      </c>
      <c r="G847" t="s">
        <v>32</v>
      </c>
      <c r="H847" t="s">
        <v>57</v>
      </c>
      <c r="I847" t="s">
        <v>44</v>
      </c>
      <c r="J847" t="s">
        <v>235</v>
      </c>
      <c r="K847" t="s">
        <v>236</v>
      </c>
      <c r="L847">
        <v>19</v>
      </c>
      <c r="M847" t="s">
        <v>1593</v>
      </c>
      <c r="N847" t="s">
        <v>2577</v>
      </c>
    </row>
    <row r="848" spans="1:14" x14ac:dyDescent="0.35">
      <c r="A848" t="s">
        <v>2835</v>
      </c>
      <c r="B848" t="s">
        <v>2836</v>
      </c>
      <c r="C848" t="s">
        <v>62</v>
      </c>
      <c r="D848">
        <v>98.45</v>
      </c>
      <c r="E848">
        <v>4000</v>
      </c>
      <c r="F848" t="s">
        <v>139</v>
      </c>
      <c r="G848" t="s">
        <v>32</v>
      </c>
      <c r="H848" t="s">
        <v>43</v>
      </c>
      <c r="I848" t="s">
        <v>34</v>
      </c>
      <c r="J848" t="s">
        <v>124</v>
      </c>
      <c r="K848" t="s">
        <v>117</v>
      </c>
      <c r="L848">
        <v>14</v>
      </c>
      <c r="N848" t="s">
        <v>489</v>
      </c>
    </row>
    <row r="849" spans="1:14" x14ac:dyDescent="0.35">
      <c r="A849" t="s">
        <v>2837</v>
      </c>
      <c r="B849" t="s">
        <v>2838</v>
      </c>
      <c r="C849" t="s">
        <v>116</v>
      </c>
      <c r="D849">
        <v>6.8</v>
      </c>
      <c r="E849">
        <v>300</v>
      </c>
      <c r="F849" t="s">
        <v>76</v>
      </c>
      <c r="G849" t="s">
        <v>32</v>
      </c>
      <c r="H849" t="s">
        <v>43</v>
      </c>
      <c r="J849" t="s">
        <v>2839</v>
      </c>
      <c r="K849" t="s">
        <v>139</v>
      </c>
      <c r="L849">
        <v>11</v>
      </c>
      <c r="N849" t="s">
        <v>2840</v>
      </c>
    </row>
    <row r="850" spans="1:14" x14ac:dyDescent="0.35">
      <c r="A850" t="s">
        <v>2841</v>
      </c>
      <c r="B850" t="s">
        <v>2842</v>
      </c>
      <c r="C850" t="s">
        <v>69</v>
      </c>
      <c r="D850">
        <v>77.56</v>
      </c>
      <c r="E850">
        <v>24000</v>
      </c>
      <c r="F850" t="s">
        <v>76</v>
      </c>
      <c r="G850" t="s">
        <v>32</v>
      </c>
      <c r="H850" t="s">
        <v>33</v>
      </c>
      <c r="I850" t="s">
        <v>44</v>
      </c>
      <c r="J850" t="s">
        <v>209</v>
      </c>
      <c r="K850" t="s">
        <v>74</v>
      </c>
      <c r="L850">
        <v>22</v>
      </c>
      <c r="M850" t="s">
        <v>2843</v>
      </c>
      <c r="N850" t="s">
        <v>2844</v>
      </c>
    </row>
    <row r="851" spans="1:14" x14ac:dyDescent="0.35">
      <c r="A851" t="s">
        <v>2845</v>
      </c>
      <c r="B851" t="s">
        <v>2846</v>
      </c>
      <c r="C851" t="s">
        <v>62</v>
      </c>
      <c r="D851">
        <v>93.59</v>
      </c>
      <c r="E851">
        <v>1000</v>
      </c>
      <c r="F851" t="s">
        <v>106</v>
      </c>
      <c r="G851" t="s">
        <v>32</v>
      </c>
      <c r="H851" t="s">
        <v>43</v>
      </c>
      <c r="I851" t="s">
        <v>34</v>
      </c>
      <c r="J851" t="s">
        <v>107</v>
      </c>
      <c r="K851" t="s">
        <v>87</v>
      </c>
      <c r="L851">
        <v>20</v>
      </c>
      <c r="N851" t="s">
        <v>2847</v>
      </c>
    </row>
    <row r="852" spans="1:14" x14ac:dyDescent="0.35">
      <c r="A852" t="s">
        <v>2848</v>
      </c>
      <c r="B852" t="s">
        <v>2849</v>
      </c>
      <c r="C852" t="s">
        <v>116</v>
      </c>
      <c r="D852">
        <v>8</v>
      </c>
      <c r="E852">
        <v>600</v>
      </c>
      <c r="F852" t="s">
        <v>36</v>
      </c>
      <c r="G852" t="s">
        <v>32</v>
      </c>
      <c r="H852" t="s">
        <v>33</v>
      </c>
      <c r="I852" t="s">
        <v>44</v>
      </c>
      <c r="J852" t="s">
        <v>130</v>
      </c>
      <c r="K852" t="s">
        <v>123</v>
      </c>
      <c r="L852">
        <v>22</v>
      </c>
      <c r="M852" t="s">
        <v>481</v>
      </c>
      <c r="N852" t="s">
        <v>2850</v>
      </c>
    </row>
    <row r="853" spans="1:14" x14ac:dyDescent="0.35">
      <c r="A853" t="s">
        <v>2851</v>
      </c>
      <c r="B853" t="s">
        <v>2852</v>
      </c>
      <c r="C853" t="s">
        <v>116</v>
      </c>
      <c r="D853">
        <v>7.18</v>
      </c>
      <c r="E853">
        <v>300</v>
      </c>
      <c r="F853" t="s">
        <v>139</v>
      </c>
      <c r="G853" t="s">
        <v>32</v>
      </c>
      <c r="H853" t="s">
        <v>43</v>
      </c>
      <c r="I853" t="s">
        <v>34</v>
      </c>
      <c r="J853" t="s">
        <v>92</v>
      </c>
      <c r="K853" t="s">
        <v>51</v>
      </c>
      <c r="L853">
        <v>14</v>
      </c>
      <c r="M853" t="s">
        <v>88</v>
      </c>
      <c r="N853" t="s">
        <v>2244</v>
      </c>
    </row>
    <row r="854" spans="1:14" x14ac:dyDescent="0.35">
      <c r="A854" t="s">
        <v>2853</v>
      </c>
      <c r="B854" t="s">
        <v>2854</v>
      </c>
      <c r="C854" t="s">
        <v>62</v>
      </c>
      <c r="D854">
        <v>74.55</v>
      </c>
      <c r="E854">
        <v>3000</v>
      </c>
      <c r="F854" t="s">
        <v>123</v>
      </c>
      <c r="G854" t="s">
        <v>32</v>
      </c>
      <c r="H854" t="s">
        <v>33</v>
      </c>
      <c r="J854" t="s">
        <v>2855</v>
      </c>
      <c r="K854" t="s">
        <v>139</v>
      </c>
      <c r="L854">
        <v>8</v>
      </c>
      <c r="N854" t="s">
        <v>358</v>
      </c>
    </row>
    <row r="855" spans="1:14" x14ac:dyDescent="0.35">
      <c r="A855" t="s">
        <v>2856</v>
      </c>
      <c r="B855" t="s">
        <v>2857</v>
      </c>
      <c r="C855" t="s">
        <v>81</v>
      </c>
      <c r="D855">
        <v>105.28</v>
      </c>
      <c r="E855">
        <v>7000</v>
      </c>
      <c r="F855" t="s">
        <v>87</v>
      </c>
      <c r="G855" t="s">
        <v>32</v>
      </c>
      <c r="H855" t="s">
        <v>57</v>
      </c>
      <c r="I855" t="s">
        <v>44</v>
      </c>
      <c r="J855" t="s">
        <v>75</v>
      </c>
      <c r="K855" t="s">
        <v>76</v>
      </c>
      <c r="L855">
        <v>5</v>
      </c>
      <c r="M855" t="s">
        <v>2858</v>
      </c>
      <c r="N855" t="s">
        <v>2859</v>
      </c>
    </row>
    <row r="856" spans="1:14" x14ac:dyDescent="0.35">
      <c r="A856" t="s">
        <v>2860</v>
      </c>
      <c r="B856" t="s">
        <v>2861</v>
      </c>
      <c r="C856" t="s">
        <v>81</v>
      </c>
      <c r="D856">
        <v>87.21</v>
      </c>
      <c r="E856">
        <v>2000</v>
      </c>
      <c r="F856" t="s">
        <v>51</v>
      </c>
      <c r="G856" t="s">
        <v>32</v>
      </c>
      <c r="H856" t="s">
        <v>57</v>
      </c>
      <c r="I856" t="s">
        <v>44</v>
      </c>
      <c r="J856" t="s">
        <v>107</v>
      </c>
      <c r="K856" t="s">
        <v>87</v>
      </c>
      <c r="L856">
        <v>21</v>
      </c>
      <c r="M856" t="s">
        <v>2862</v>
      </c>
      <c r="N856" t="s">
        <v>2863</v>
      </c>
    </row>
    <row r="857" spans="1:14" x14ac:dyDescent="0.35">
      <c r="A857" t="s">
        <v>2864</v>
      </c>
      <c r="B857" t="s">
        <v>2865</v>
      </c>
      <c r="C857" t="s">
        <v>69</v>
      </c>
      <c r="D857">
        <v>58.61</v>
      </c>
      <c r="E857">
        <v>80000</v>
      </c>
      <c r="F857" t="s">
        <v>46</v>
      </c>
      <c r="G857" t="s">
        <v>32</v>
      </c>
      <c r="H857" t="s">
        <v>57</v>
      </c>
      <c r="I857" t="s">
        <v>44</v>
      </c>
      <c r="J857" t="s">
        <v>75</v>
      </c>
      <c r="K857" t="s">
        <v>76</v>
      </c>
      <c r="L857">
        <v>9</v>
      </c>
      <c r="N857" t="s">
        <v>2866</v>
      </c>
    </row>
    <row r="858" spans="1:14" x14ac:dyDescent="0.35">
      <c r="A858" t="s">
        <v>2867</v>
      </c>
      <c r="B858" t="s">
        <v>2868</v>
      </c>
      <c r="C858" t="s">
        <v>41</v>
      </c>
      <c r="D858">
        <v>89.8</v>
      </c>
      <c r="E858">
        <v>27000</v>
      </c>
      <c r="F858" t="s">
        <v>147</v>
      </c>
      <c r="G858" t="s">
        <v>32</v>
      </c>
      <c r="H858" t="s">
        <v>33</v>
      </c>
      <c r="I858" t="s">
        <v>44</v>
      </c>
      <c r="J858" t="s">
        <v>35</v>
      </c>
      <c r="K858" t="s">
        <v>36</v>
      </c>
      <c r="L858">
        <v>20</v>
      </c>
      <c r="M858" t="s">
        <v>1597</v>
      </c>
      <c r="N858" t="s">
        <v>2869</v>
      </c>
    </row>
    <row r="859" spans="1:14" x14ac:dyDescent="0.35">
      <c r="A859" t="s">
        <v>2870</v>
      </c>
      <c r="B859" t="s">
        <v>2871</v>
      </c>
      <c r="C859" t="s">
        <v>41</v>
      </c>
      <c r="D859">
        <v>125.14</v>
      </c>
      <c r="E859">
        <v>31000</v>
      </c>
      <c r="F859" t="s">
        <v>36</v>
      </c>
      <c r="G859" t="s">
        <v>32</v>
      </c>
      <c r="H859" t="s">
        <v>57</v>
      </c>
      <c r="I859" t="s">
        <v>34</v>
      </c>
      <c r="J859" t="s">
        <v>334</v>
      </c>
      <c r="K859" t="s">
        <v>51</v>
      </c>
      <c r="L859">
        <v>8</v>
      </c>
      <c r="N859" t="s">
        <v>2872</v>
      </c>
    </row>
    <row r="860" spans="1:14" x14ac:dyDescent="0.35">
      <c r="A860" t="s">
        <v>2873</v>
      </c>
      <c r="B860" t="s">
        <v>2874</v>
      </c>
      <c r="C860" t="s">
        <v>30</v>
      </c>
      <c r="D860">
        <v>183.95</v>
      </c>
      <c r="E860">
        <v>17000</v>
      </c>
      <c r="F860" t="s">
        <v>36</v>
      </c>
      <c r="G860" t="s">
        <v>32</v>
      </c>
      <c r="H860" t="s">
        <v>33</v>
      </c>
      <c r="I860" t="s">
        <v>34</v>
      </c>
      <c r="J860" t="s">
        <v>75</v>
      </c>
      <c r="K860" t="s">
        <v>76</v>
      </c>
      <c r="L860">
        <v>0</v>
      </c>
      <c r="N860" t="s">
        <v>2875</v>
      </c>
    </row>
    <row r="861" spans="1:14" x14ac:dyDescent="0.35">
      <c r="A861" t="s">
        <v>2876</v>
      </c>
      <c r="B861" t="s">
        <v>2877</v>
      </c>
      <c r="C861" t="s">
        <v>116</v>
      </c>
      <c r="D861">
        <v>6.09</v>
      </c>
      <c r="E861">
        <v>300</v>
      </c>
      <c r="F861" t="s">
        <v>31</v>
      </c>
      <c r="G861" t="s">
        <v>32</v>
      </c>
      <c r="H861" t="s">
        <v>57</v>
      </c>
      <c r="I861" t="s">
        <v>44</v>
      </c>
      <c r="J861" t="s">
        <v>82</v>
      </c>
      <c r="K861" t="s">
        <v>74</v>
      </c>
      <c r="L861">
        <v>17</v>
      </c>
      <c r="N861" t="s">
        <v>379</v>
      </c>
    </row>
    <row r="862" spans="1:14" x14ac:dyDescent="0.35">
      <c r="A862" t="s">
        <v>2878</v>
      </c>
      <c r="B862" t="s">
        <v>2879</v>
      </c>
      <c r="C862" t="s">
        <v>41</v>
      </c>
      <c r="D862">
        <v>138.63999999999999</v>
      </c>
      <c r="E862">
        <v>36000</v>
      </c>
      <c r="F862" t="s">
        <v>42</v>
      </c>
      <c r="G862" t="s">
        <v>32</v>
      </c>
      <c r="H862" t="s">
        <v>33</v>
      </c>
      <c r="J862" t="s">
        <v>2382</v>
      </c>
      <c r="K862" t="s">
        <v>97</v>
      </c>
      <c r="L862">
        <v>18</v>
      </c>
      <c r="N862" t="s">
        <v>2880</v>
      </c>
    </row>
    <row r="863" spans="1:14" x14ac:dyDescent="0.35">
      <c r="A863" t="s">
        <v>2881</v>
      </c>
      <c r="B863" t="s">
        <v>2882</v>
      </c>
      <c r="C863" t="s">
        <v>30</v>
      </c>
      <c r="D863">
        <v>161.16</v>
      </c>
      <c r="E863">
        <v>7000</v>
      </c>
      <c r="F863" t="s">
        <v>46</v>
      </c>
      <c r="G863" t="s">
        <v>32</v>
      </c>
      <c r="H863" t="s">
        <v>33</v>
      </c>
      <c r="I863" t="s">
        <v>34</v>
      </c>
      <c r="J863" t="s">
        <v>45</v>
      </c>
      <c r="K863" t="s">
        <v>46</v>
      </c>
      <c r="L863">
        <v>6</v>
      </c>
      <c r="M863" t="s">
        <v>2883</v>
      </c>
      <c r="N863" t="s">
        <v>1490</v>
      </c>
    </row>
    <row r="864" spans="1:14" x14ac:dyDescent="0.35">
      <c r="A864" t="s">
        <v>2884</v>
      </c>
      <c r="B864" t="s">
        <v>2885</v>
      </c>
      <c r="C864" t="s">
        <v>69</v>
      </c>
      <c r="D864">
        <v>93.48</v>
      </c>
      <c r="E864">
        <v>12000</v>
      </c>
      <c r="F864" t="s">
        <v>46</v>
      </c>
      <c r="G864" t="s">
        <v>32</v>
      </c>
      <c r="H864" t="s">
        <v>33</v>
      </c>
      <c r="J864" t="s">
        <v>35</v>
      </c>
      <c r="K864" t="s">
        <v>36</v>
      </c>
      <c r="L864">
        <v>20</v>
      </c>
      <c r="M864" t="s">
        <v>772</v>
      </c>
      <c r="N864" t="s">
        <v>213</v>
      </c>
    </row>
    <row r="865" spans="1:14" x14ac:dyDescent="0.35">
      <c r="A865" t="s">
        <v>2886</v>
      </c>
      <c r="B865" t="s">
        <v>2887</v>
      </c>
      <c r="C865" t="s">
        <v>41</v>
      </c>
      <c r="D865">
        <v>116.66</v>
      </c>
      <c r="E865">
        <v>10000</v>
      </c>
      <c r="F865" t="s">
        <v>147</v>
      </c>
      <c r="G865" t="s">
        <v>32</v>
      </c>
      <c r="H865" t="s">
        <v>33</v>
      </c>
      <c r="I865" t="s">
        <v>44</v>
      </c>
      <c r="J865" t="s">
        <v>70</v>
      </c>
      <c r="K865" t="s">
        <v>31</v>
      </c>
      <c r="L865">
        <v>18</v>
      </c>
      <c r="M865" t="s">
        <v>603</v>
      </c>
      <c r="N865" t="s">
        <v>2888</v>
      </c>
    </row>
    <row r="866" spans="1:14" x14ac:dyDescent="0.35">
      <c r="A866" t="s">
        <v>2889</v>
      </c>
      <c r="B866" t="s">
        <v>2890</v>
      </c>
      <c r="C866" t="s">
        <v>116</v>
      </c>
      <c r="D866">
        <v>7.05</v>
      </c>
      <c r="E866">
        <v>300</v>
      </c>
      <c r="F866" t="s">
        <v>147</v>
      </c>
      <c r="G866" t="s">
        <v>32</v>
      </c>
      <c r="H866" t="s">
        <v>57</v>
      </c>
      <c r="I866" t="s">
        <v>34</v>
      </c>
      <c r="J866" t="s">
        <v>45</v>
      </c>
      <c r="K866" t="s">
        <v>46</v>
      </c>
      <c r="L866">
        <v>3</v>
      </c>
      <c r="M866" t="s">
        <v>752</v>
      </c>
      <c r="N866" t="s">
        <v>2891</v>
      </c>
    </row>
    <row r="867" spans="1:14" x14ac:dyDescent="0.35">
      <c r="A867" t="s">
        <v>2892</v>
      </c>
      <c r="B867" t="s">
        <v>2893</v>
      </c>
      <c r="C867" t="s">
        <v>62</v>
      </c>
      <c r="D867">
        <v>55.71</v>
      </c>
      <c r="E867">
        <v>3000</v>
      </c>
      <c r="F867" t="s">
        <v>46</v>
      </c>
      <c r="G867" t="s">
        <v>32</v>
      </c>
      <c r="H867" t="s">
        <v>43</v>
      </c>
      <c r="I867" t="s">
        <v>34</v>
      </c>
      <c r="J867" t="s">
        <v>2894</v>
      </c>
      <c r="K867" t="s">
        <v>147</v>
      </c>
      <c r="L867">
        <v>2</v>
      </c>
      <c r="N867" t="s">
        <v>1744</v>
      </c>
    </row>
    <row r="868" spans="1:14" x14ac:dyDescent="0.35">
      <c r="A868" t="s">
        <v>2895</v>
      </c>
      <c r="B868" t="s">
        <v>2896</v>
      </c>
      <c r="C868" t="s">
        <v>62</v>
      </c>
      <c r="D868">
        <v>62.68</v>
      </c>
      <c r="E868">
        <v>5000</v>
      </c>
      <c r="F868" t="s">
        <v>46</v>
      </c>
      <c r="G868" t="s">
        <v>32</v>
      </c>
      <c r="H868" t="s">
        <v>57</v>
      </c>
      <c r="I868" t="s">
        <v>34</v>
      </c>
      <c r="J868" t="s">
        <v>45</v>
      </c>
      <c r="K868" t="s">
        <v>46</v>
      </c>
      <c r="L868">
        <v>19</v>
      </c>
      <c r="M868" t="s">
        <v>2036</v>
      </c>
      <c r="N868" t="s">
        <v>1059</v>
      </c>
    </row>
    <row r="869" spans="1:14" x14ac:dyDescent="0.35">
      <c r="A869" t="s">
        <v>2897</v>
      </c>
      <c r="B869" t="s">
        <v>2898</v>
      </c>
      <c r="C869" t="s">
        <v>30</v>
      </c>
      <c r="D869">
        <v>182.54</v>
      </c>
      <c r="E869">
        <v>2000</v>
      </c>
      <c r="F869" t="s">
        <v>46</v>
      </c>
      <c r="G869" t="s">
        <v>32</v>
      </c>
      <c r="H869" t="s">
        <v>43</v>
      </c>
      <c r="I869" t="s">
        <v>129</v>
      </c>
      <c r="J869" t="s">
        <v>959</v>
      </c>
      <c r="K869" t="s">
        <v>139</v>
      </c>
      <c r="L869">
        <v>13</v>
      </c>
      <c r="N869" t="s">
        <v>753</v>
      </c>
    </row>
    <row r="870" spans="1:14" x14ac:dyDescent="0.35">
      <c r="A870" t="s">
        <v>2899</v>
      </c>
      <c r="B870" t="s">
        <v>2900</v>
      </c>
      <c r="C870" t="s">
        <v>69</v>
      </c>
      <c r="D870">
        <v>99.07</v>
      </c>
      <c r="E870">
        <v>38000</v>
      </c>
      <c r="F870" t="s">
        <v>31</v>
      </c>
      <c r="G870" t="s">
        <v>32</v>
      </c>
      <c r="H870" t="s">
        <v>57</v>
      </c>
      <c r="I870" t="s">
        <v>34</v>
      </c>
      <c r="J870" t="s">
        <v>130</v>
      </c>
      <c r="K870" t="s">
        <v>123</v>
      </c>
      <c r="L870">
        <v>9</v>
      </c>
      <c r="M870" t="s">
        <v>266</v>
      </c>
      <c r="N870" t="s">
        <v>2901</v>
      </c>
    </row>
    <row r="871" spans="1:14" x14ac:dyDescent="0.35">
      <c r="A871" t="s">
        <v>2902</v>
      </c>
      <c r="B871" t="s">
        <v>2903</v>
      </c>
      <c r="C871" t="s">
        <v>116</v>
      </c>
      <c r="D871">
        <v>11.74</v>
      </c>
      <c r="E871">
        <v>100</v>
      </c>
      <c r="F871" t="s">
        <v>97</v>
      </c>
      <c r="G871" t="s">
        <v>32</v>
      </c>
      <c r="H871" t="s">
        <v>57</v>
      </c>
      <c r="I871" t="s">
        <v>44</v>
      </c>
      <c r="J871" t="s">
        <v>45</v>
      </c>
      <c r="K871" t="s">
        <v>46</v>
      </c>
      <c r="L871">
        <v>12</v>
      </c>
      <c r="M871" t="s">
        <v>1867</v>
      </c>
      <c r="N871" t="s">
        <v>2904</v>
      </c>
    </row>
    <row r="872" spans="1:14" x14ac:dyDescent="0.35">
      <c r="A872" t="s">
        <v>2905</v>
      </c>
      <c r="B872" t="s">
        <v>2906</v>
      </c>
      <c r="C872" t="s">
        <v>81</v>
      </c>
      <c r="D872">
        <v>86.55</v>
      </c>
      <c r="E872">
        <v>8000</v>
      </c>
      <c r="F872" t="s">
        <v>76</v>
      </c>
      <c r="G872" t="s">
        <v>32</v>
      </c>
      <c r="H872" t="s">
        <v>57</v>
      </c>
      <c r="I872" t="s">
        <v>129</v>
      </c>
      <c r="J872" t="s">
        <v>45</v>
      </c>
      <c r="K872" t="s">
        <v>46</v>
      </c>
      <c r="L872">
        <v>23</v>
      </c>
      <c r="M872" t="s">
        <v>1683</v>
      </c>
      <c r="N872" t="s">
        <v>613</v>
      </c>
    </row>
    <row r="873" spans="1:14" x14ac:dyDescent="0.35">
      <c r="A873" t="s">
        <v>2907</v>
      </c>
      <c r="B873" t="s">
        <v>2908</v>
      </c>
      <c r="C873" t="s">
        <v>69</v>
      </c>
      <c r="D873">
        <v>88.54</v>
      </c>
      <c r="E873">
        <v>99000</v>
      </c>
      <c r="F873" t="s">
        <v>106</v>
      </c>
      <c r="G873" t="s">
        <v>32</v>
      </c>
      <c r="H873" t="s">
        <v>43</v>
      </c>
      <c r="I873" t="s">
        <v>34</v>
      </c>
      <c r="J873" t="s">
        <v>118</v>
      </c>
      <c r="K873" t="s">
        <v>42</v>
      </c>
      <c r="L873">
        <v>18</v>
      </c>
      <c r="N873" t="s">
        <v>1291</v>
      </c>
    </row>
    <row r="874" spans="1:14" x14ac:dyDescent="0.35">
      <c r="A874" t="s">
        <v>2909</v>
      </c>
      <c r="B874" t="s">
        <v>2910</v>
      </c>
      <c r="C874" t="s">
        <v>81</v>
      </c>
      <c r="D874">
        <v>95.24</v>
      </c>
      <c r="E874">
        <v>9000</v>
      </c>
      <c r="F874" t="s">
        <v>76</v>
      </c>
      <c r="G874" t="s">
        <v>32</v>
      </c>
      <c r="H874" t="s">
        <v>33</v>
      </c>
      <c r="I874" t="s">
        <v>44</v>
      </c>
      <c r="J874" t="s">
        <v>118</v>
      </c>
      <c r="K874" t="s">
        <v>42</v>
      </c>
      <c r="L874">
        <v>19</v>
      </c>
      <c r="N874" t="s">
        <v>2911</v>
      </c>
    </row>
    <row r="875" spans="1:14" x14ac:dyDescent="0.35">
      <c r="A875" t="s">
        <v>2912</v>
      </c>
      <c r="B875" t="s">
        <v>2913</v>
      </c>
      <c r="C875" t="s">
        <v>41</v>
      </c>
      <c r="D875">
        <v>134.68</v>
      </c>
      <c r="E875">
        <v>13000</v>
      </c>
      <c r="F875" t="s">
        <v>51</v>
      </c>
      <c r="G875" t="s">
        <v>32</v>
      </c>
      <c r="H875" t="s">
        <v>57</v>
      </c>
      <c r="I875" t="s">
        <v>44</v>
      </c>
      <c r="J875" t="s">
        <v>45</v>
      </c>
      <c r="K875" t="s">
        <v>46</v>
      </c>
      <c r="L875">
        <v>2</v>
      </c>
      <c r="M875" t="s">
        <v>1828</v>
      </c>
      <c r="N875" t="s">
        <v>2914</v>
      </c>
    </row>
    <row r="876" spans="1:14" x14ac:dyDescent="0.35">
      <c r="A876" t="s">
        <v>2915</v>
      </c>
      <c r="B876" t="s">
        <v>2916</v>
      </c>
      <c r="C876" t="s">
        <v>62</v>
      </c>
      <c r="D876">
        <v>69.39</v>
      </c>
      <c r="E876">
        <v>2000</v>
      </c>
      <c r="F876" t="s">
        <v>117</v>
      </c>
      <c r="G876" t="s">
        <v>32</v>
      </c>
      <c r="H876" t="s">
        <v>33</v>
      </c>
      <c r="I876" t="s">
        <v>129</v>
      </c>
      <c r="J876" t="s">
        <v>2917</v>
      </c>
      <c r="K876" t="s">
        <v>87</v>
      </c>
      <c r="L876">
        <v>8</v>
      </c>
      <c r="M876" t="s">
        <v>831</v>
      </c>
      <c r="N876" t="s">
        <v>2918</v>
      </c>
    </row>
    <row r="877" spans="1:14" x14ac:dyDescent="0.35">
      <c r="A877" t="s">
        <v>2919</v>
      </c>
      <c r="B877" t="s">
        <v>2920</v>
      </c>
      <c r="C877" t="s">
        <v>69</v>
      </c>
      <c r="D877">
        <v>61.22</v>
      </c>
      <c r="E877">
        <v>12000</v>
      </c>
      <c r="F877" t="s">
        <v>64</v>
      </c>
      <c r="G877" t="s">
        <v>32</v>
      </c>
      <c r="H877" t="s">
        <v>57</v>
      </c>
      <c r="J877" t="s">
        <v>366</v>
      </c>
      <c r="K877" t="s">
        <v>51</v>
      </c>
      <c r="L877">
        <v>4</v>
      </c>
      <c r="N877" t="s">
        <v>2921</v>
      </c>
    </row>
    <row r="878" spans="1:14" x14ac:dyDescent="0.35">
      <c r="A878" t="s">
        <v>2922</v>
      </c>
      <c r="B878" t="s">
        <v>2923</v>
      </c>
      <c r="C878" t="s">
        <v>30</v>
      </c>
      <c r="D878">
        <v>173.18</v>
      </c>
      <c r="E878">
        <v>3000</v>
      </c>
      <c r="F878" t="s">
        <v>36</v>
      </c>
      <c r="G878" t="s">
        <v>32</v>
      </c>
      <c r="H878" t="s">
        <v>57</v>
      </c>
      <c r="J878" t="s">
        <v>2924</v>
      </c>
      <c r="K878" t="s">
        <v>51</v>
      </c>
      <c r="L878">
        <v>13</v>
      </c>
      <c r="M878" t="s">
        <v>47</v>
      </c>
      <c r="N878" t="s">
        <v>2244</v>
      </c>
    </row>
    <row r="879" spans="1:14" x14ac:dyDescent="0.35">
      <c r="A879" t="s">
        <v>2925</v>
      </c>
      <c r="B879" t="s">
        <v>1268</v>
      </c>
      <c r="C879" t="s">
        <v>69</v>
      </c>
      <c r="D879">
        <v>67.95</v>
      </c>
      <c r="E879">
        <v>14000</v>
      </c>
      <c r="F879" t="s">
        <v>123</v>
      </c>
      <c r="G879" t="s">
        <v>32</v>
      </c>
      <c r="H879" t="s">
        <v>33</v>
      </c>
      <c r="I879" t="s">
        <v>44</v>
      </c>
      <c r="J879" t="s">
        <v>118</v>
      </c>
      <c r="K879" t="s">
        <v>42</v>
      </c>
      <c r="L879">
        <v>19</v>
      </c>
      <c r="M879" t="s">
        <v>823</v>
      </c>
      <c r="N879" t="s">
        <v>1580</v>
      </c>
    </row>
    <row r="880" spans="1:14" x14ac:dyDescent="0.35">
      <c r="A880" t="s">
        <v>2926</v>
      </c>
      <c r="B880" t="s">
        <v>2927</v>
      </c>
      <c r="C880" t="s">
        <v>81</v>
      </c>
      <c r="D880">
        <v>71.489999999999995</v>
      </c>
      <c r="E880">
        <v>10000</v>
      </c>
      <c r="F880" t="s">
        <v>51</v>
      </c>
      <c r="G880" t="s">
        <v>32</v>
      </c>
      <c r="H880" t="s">
        <v>33</v>
      </c>
      <c r="J880" t="s">
        <v>209</v>
      </c>
      <c r="K880" t="s">
        <v>74</v>
      </c>
      <c r="L880">
        <v>14</v>
      </c>
      <c r="M880" t="s">
        <v>885</v>
      </c>
      <c r="N880" t="s">
        <v>604</v>
      </c>
    </row>
    <row r="881" spans="1:14" x14ac:dyDescent="0.35">
      <c r="A881" t="s">
        <v>2928</v>
      </c>
      <c r="B881" t="s">
        <v>2929</v>
      </c>
      <c r="C881" t="s">
        <v>69</v>
      </c>
      <c r="D881">
        <v>94.63</v>
      </c>
      <c r="E881">
        <v>55000</v>
      </c>
      <c r="F881" t="s">
        <v>42</v>
      </c>
      <c r="G881" t="s">
        <v>32</v>
      </c>
      <c r="H881" t="s">
        <v>57</v>
      </c>
      <c r="K881" t="s">
        <v>147</v>
      </c>
      <c r="L881">
        <v>20</v>
      </c>
      <c r="M881" t="s">
        <v>544</v>
      </c>
      <c r="N881" t="s">
        <v>2597</v>
      </c>
    </row>
    <row r="882" spans="1:14" x14ac:dyDescent="0.35">
      <c r="A882" t="s">
        <v>2930</v>
      </c>
      <c r="B882" t="s">
        <v>2931</v>
      </c>
      <c r="C882" t="s">
        <v>116</v>
      </c>
      <c r="D882">
        <v>11.73</v>
      </c>
      <c r="E882">
        <v>200</v>
      </c>
      <c r="F882" t="s">
        <v>139</v>
      </c>
      <c r="G882" t="s">
        <v>32</v>
      </c>
      <c r="H882" t="s">
        <v>43</v>
      </c>
      <c r="I882" t="s">
        <v>44</v>
      </c>
      <c r="J882" t="s">
        <v>45</v>
      </c>
      <c r="K882" t="s">
        <v>46</v>
      </c>
      <c r="L882">
        <v>14</v>
      </c>
      <c r="M882" t="s">
        <v>646</v>
      </c>
      <c r="N882" t="s">
        <v>2932</v>
      </c>
    </row>
    <row r="883" spans="1:14" x14ac:dyDescent="0.35">
      <c r="A883" t="s">
        <v>2933</v>
      </c>
      <c r="B883" t="s">
        <v>2934</v>
      </c>
      <c r="C883" t="s">
        <v>41</v>
      </c>
      <c r="D883">
        <v>148.5</v>
      </c>
      <c r="E883">
        <v>18000</v>
      </c>
      <c r="F883" t="s">
        <v>64</v>
      </c>
      <c r="G883" t="s">
        <v>32</v>
      </c>
      <c r="H883" t="s">
        <v>57</v>
      </c>
      <c r="I883" t="s">
        <v>44</v>
      </c>
      <c r="J883" t="s">
        <v>124</v>
      </c>
      <c r="K883" t="s">
        <v>117</v>
      </c>
      <c r="L883">
        <v>6</v>
      </c>
      <c r="M883" t="s">
        <v>1998</v>
      </c>
      <c r="N883" t="s">
        <v>2935</v>
      </c>
    </row>
    <row r="884" spans="1:14" x14ac:dyDescent="0.35">
      <c r="A884" t="s">
        <v>2936</v>
      </c>
      <c r="B884" t="s">
        <v>2937</v>
      </c>
      <c r="C884" t="s">
        <v>30</v>
      </c>
      <c r="D884">
        <v>199.67</v>
      </c>
      <c r="E884">
        <v>9000</v>
      </c>
      <c r="F884" t="s">
        <v>97</v>
      </c>
      <c r="G884" t="s">
        <v>32</v>
      </c>
      <c r="H884" t="s">
        <v>57</v>
      </c>
      <c r="J884" t="s">
        <v>179</v>
      </c>
      <c r="K884" t="s">
        <v>97</v>
      </c>
      <c r="L884">
        <v>2</v>
      </c>
      <c r="M884" t="s">
        <v>2636</v>
      </c>
      <c r="N884" t="s">
        <v>71</v>
      </c>
    </row>
    <row r="885" spans="1:14" x14ac:dyDescent="0.35">
      <c r="A885" t="s">
        <v>2938</v>
      </c>
      <c r="B885" t="s">
        <v>2939</v>
      </c>
      <c r="C885" t="s">
        <v>62</v>
      </c>
      <c r="D885">
        <v>89.5</v>
      </c>
      <c r="E885">
        <v>4000</v>
      </c>
      <c r="F885" t="s">
        <v>74</v>
      </c>
      <c r="G885" t="s">
        <v>32</v>
      </c>
      <c r="H885" t="s">
        <v>43</v>
      </c>
      <c r="I885" t="s">
        <v>129</v>
      </c>
      <c r="J885" t="s">
        <v>63</v>
      </c>
      <c r="K885" t="s">
        <v>64</v>
      </c>
      <c r="L885">
        <v>11</v>
      </c>
      <c r="N885" t="s">
        <v>2940</v>
      </c>
    </row>
    <row r="886" spans="1:14" x14ac:dyDescent="0.35">
      <c r="A886" t="s">
        <v>2941</v>
      </c>
      <c r="B886" t="s">
        <v>2942</v>
      </c>
      <c r="C886" t="s">
        <v>30</v>
      </c>
      <c r="D886">
        <v>115.54</v>
      </c>
      <c r="E886">
        <v>11000</v>
      </c>
      <c r="F886" t="s">
        <v>42</v>
      </c>
      <c r="G886" t="s">
        <v>32</v>
      </c>
      <c r="H886" t="s">
        <v>43</v>
      </c>
      <c r="I886" t="s">
        <v>44</v>
      </c>
      <c r="J886" t="s">
        <v>2943</v>
      </c>
      <c r="K886" t="s">
        <v>74</v>
      </c>
      <c r="L886">
        <v>10</v>
      </c>
      <c r="M886" t="s">
        <v>995</v>
      </c>
      <c r="N886" t="s">
        <v>1971</v>
      </c>
    </row>
    <row r="887" spans="1:14" x14ac:dyDescent="0.35">
      <c r="A887" t="s">
        <v>2944</v>
      </c>
      <c r="B887" t="s">
        <v>2945</v>
      </c>
      <c r="C887" t="s">
        <v>62</v>
      </c>
      <c r="D887">
        <v>56.35</v>
      </c>
      <c r="E887">
        <v>4000</v>
      </c>
      <c r="F887" t="s">
        <v>36</v>
      </c>
      <c r="G887" t="s">
        <v>32</v>
      </c>
      <c r="H887" t="s">
        <v>57</v>
      </c>
      <c r="J887" t="s">
        <v>70</v>
      </c>
      <c r="K887" t="s">
        <v>31</v>
      </c>
      <c r="L887">
        <v>10</v>
      </c>
      <c r="M887" t="s">
        <v>1559</v>
      </c>
      <c r="N887" t="s">
        <v>2946</v>
      </c>
    </row>
    <row r="888" spans="1:14" x14ac:dyDescent="0.35">
      <c r="A888" t="s">
        <v>2947</v>
      </c>
      <c r="B888" t="s">
        <v>2948</v>
      </c>
      <c r="C888" t="s">
        <v>69</v>
      </c>
      <c r="D888">
        <v>87.21</v>
      </c>
      <c r="E888">
        <v>47000</v>
      </c>
      <c r="F888" t="s">
        <v>76</v>
      </c>
      <c r="G888" t="s">
        <v>32</v>
      </c>
      <c r="H888" t="s">
        <v>57</v>
      </c>
      <c r="J888" t="s">
        <v>45</v>
      </c>
      <c r="K888" t="s">
        <v>46</v>
      </c>
      <c r="L888">
        <v>5</v>
      </c>
      <c r="M888" t="s">
        <v>1414</v>
      </c>
      <c r="N888" t="s">
        <v>2949</v>
      </c>
    </row>
    <row r="889" spans="1:14" x14ac:dyDescent="0.35">
      <c r="A889" t="s">
        <v>2950</v>
      </c>
      <c r="B889" t="s">
        <v>2951</v>
      </c>
      <c r="C889" t="s">
        <v>30</v>
      </c>
      <c r="D889">
        <v>168.93</v>
      </c>
      <c r="E889">
        <v>18000</v>
      </c>
      <c r="F889" t="s">
        <v>236</v>
      </c>
      <c r="G889" t="s">
        <v>32</v>
      </c>
      <c r="H889" t="s">
        <v>33</v>
      </c>
      <c r="I889" t="s">
        <v>44</v>
      </c>
      <c r="J889" t="s">
        <v>334</v>
      </c>
      <c r="K889" t="s">
        <v>51</v>
      </c>
      <c r="L889">
        <v>19</v>
      </c>
      <c r="N889" t="s">
        <v>775</v>
      </c>
    </row>
    <row r="890" spans="1:14" x14ac:dyDescent="0.35">
      <c r="A890" t="s">
        <v>2952</v>
      </c>
      <c r="B890" t="s">
        <v>2953</v>
      </c>
      <c r="C890" t="s">
        <v>62</v>
      </c>
      <c r="D890">
        <v>79.61</v>
      </c>
      <c r="E890">
        <v>3000</v>
      </c>
      <c r="F890" t="s">
        <v>36</v>
      </c>
      <c r="G890" t="s">
        <v>32</v>
      </c>
      <c r="H890" t="s">
        <v>33</v>
      </c>
      <c r="I890" t="s">
        <v>34</v>
      </c>
      <c r="J890" t="s">
        <v>63</v>
      </c>
      <c r="K890" t="s">
        <v>64</v>
      </c>
      <c r="L890">
        <v>7</v>
      </c>
      <c r="M890" t="s">
        <v>2540</v>
      </c>
      <c r="N890" t="s">
        <v>501</v>
      </c>
    </row>
    <row r="891" spans="1:14" x14ac:dyDescent="0.35">
      <c r="A891" t="s">
        <v>2954</v>
      </c>
      <c r="B891" t="s">
        <v>2955</v>
      </c>
      <c r="C891" t="s">
        <v>116</v>
      </c>
      <c r="D891">
        <v>10.45</v>
      </c>
      <c r="E891">
        <v>600</v>
      </c>
      <c r="F891" t="s">
        <v>42</v>
      </c>
      <c r="G891" t="s">
        <v>32</v>
      </c>
      <c r="H891" t="s">
        <v>57</v>
      </c>
      <c r="I891" t="s">
        <v>44</v>
      </c>
      <c r="J891" t="s">
        <v>164</v>
      </c>
      <c r="K891" t="s">
        <v>74</v>
      </c>
      <c r="L891">
        <v>7</v>
      </c>
      <c r="N891" t="s">
        <v>827</v>
      </c>
    </row>
    <row r="892" spans="1:14" x14ac:dyDescent="0.35">
      <c r="A892" t="s">
        <v>2956</v>
      </c>
      <c r="B892" t="s">
        <v>2957</v>
      </c>
      <c r="C892" t="s">
        <v>81</v>
      </c>
      <c r="D892">
        <v>116.98</v>
      </c>
      <c r="E892">
        <v>9000</v>
      </c>
      <c r="F892" t="s">
        <v>123</v>
      </c>
      <c r="G892" t="s">
        <v>32</v>
      </c>
      <c r="H892" t="s">
        <v>33</v>
      </c>
      <c r="J892" t="s">
        <v>63</v>
      </c>
      <c r="K892" t="s">
        <v>64</v>
      </c>
      <c r="L892">
        <v>15</v>
      </c>
      <c r="M892" t="s">
        <v>807</v>
      </c>
      <c r="N892" t="s">
        <v>514</v>
      </c>
    </row>
    <row r="893" spans="1:14" x14ac:dyDescent="0.35">
      <c r="A893" t="s">
        <v>2958</v>
      </c>
      <c r="B893" t="s">
        <v>2959</v>
      </c>
      <c r="C893" t="s">
        <v>69</v>
      </c>
      <c r="D893">
        <v>55.5</v>
      </c>
      <c r="E893">
        <v>42000</v>
      </c>
      <c r="F893" t="s">
        <v>36</v>
      </c>
      <c r="G893" t="s">
        <v>32</v>
      </c>
      <c r="H893" t="s">
        <v>57</v>
      </c>
      <c r="I893" t="s">
        <v>129</v>
      </c>
      <c r="J893" t="s">
        <v>45</v>
      </c>
      <c r="K893" t="s">
        <v>46</v>
      </c>
      <c r="L893">
        <v>22</v>
      </c>
      <c r="M893" t="s">
        <v>2960</v>
      </c>
      <c r="N893" t="s">
        <v>1768</v>
      </c>
    </row>
    <row r="894" spans="1:14" x14ac:dyDescent="0.35">
      <c r="A894" t="s">
        <v>2961</v>
      </c>
      <c r="B894" t="s">
        <v>2962</v>
      </c>
      <c r="C894" t="s">
        <v>30</v>
      </c>
      <c r="D894">
        <v>179.08</v>
      </c>
      <c r="E894">
        <v>19000</v>
      </c>
      <c r="F894" t="s">
        <v>139</v>
      </c>
      <c r="G894" t="s">
        <v>32</v>
      </c>
      <c r="H894" t="s">
        <v>43</v>
      </c>
      <c r="I894" t="s">
        <v>44</v>
      </c>
      <c r="J894" t="s">
        <v>2963</v>
      </c>
      <c r="K894" t="s">
        <v>147</v>
      </c>
      <c r="L894">
        <v>13</v>
      </c>
      <c r="M894" t="s">
        <v>2664</v>
      </c>
      <c r="N894" t="s">
        <v>2964</v>
      </c>
    </row>
    <row r="895" spans="1:14" x14ac:dyDescent="0.35">
      <c r="A895" t="s">
        <v>2965</v>
      </c>
      <c r="B895" t="s">
        <v>2966</v>
      </c>
      <c r="C895" t="s">
        <v>116</v>
      </c>
      <c r="D895">
        <v>8.69</v>
      </c>
      <c r="E895">
        <v>500</v>
      </c>
      <c r="F895" t="s">
        <v>97</v>
      </c>
      <c r="G895" t="s">
        <v>32</v>
      </c>
      <c r="H895" t="s">
        <v>33</v>
      </c>
      <c r="I895" t="s">
        <v>129</v>
      </c>
      <c r="J895" t="s">
        <v>82</v>
      </c>
      <c r="K895" t="s">
        <v>74</v>
      </c>
      <c r="L895">
        <v>6</v>
      </c>
      <c r="M895" t="s">
        <v>2967</v>
      </c>
      <c r="N895" t="s">
        <v>2968</v>
      </c>
    </row>
    <row r="896" spans="1:14" x14ac:dyDescent="0.35">
      <c r="A896" t="s">
        <v>2969</v>
      </c>
      <c r="B896" t="s">
        <v>2970</v>
      </c>
      <c r="C896" t="s">
        <v>30</v>
      </c>
      <c r="D896">
        <v>179.86</v>
      </c>
      <c r="E896">
        <v>14000</v>
      </c>
      <c r="F896" t="s">
        <v>117</v>
      </c>
      <c r="G896" t="s">
        <v>32</v>
      </c>
      <c r="H896" t="s">
        <v>33</v>
      </c>
      <c r="I896" t="s">
        <v>44</v>
      </c>
      <c r="J896" t="s">
        <v>2971</v>
      </c>
      <c r="K896" t="s">
        <v>51</v>
      </c>
      <c r="L896">
        <v>16</v>
      </c>
      <c r="M896" t="s">
        <v>539</v>
      </c>
      <c r="N896" t="s">
        <v>980</v>
      </c>
    </row>
    <row r="897" spans="1:14" x14ac:dyDescent="0.35">
      <c r="A897" t="s">
        <v>2972</v>
      </c>
      <c r="B897" t="s">
        <v>2973</v>
      </c>
      <c r="C897" t="s">
        <v>116</v>
      </c>
      <c r="D897">
        <v>8.27</v>
      </c>
      <c r="E897">
        <v>400</v>
      </c>
      <c r="F897" t="s">
        <v>36</v>
      </c>
      <c r="G897" t="s">
        <v>32</v>
      </c>
      <c r="H897" t="s">
        <v>57</v>
      </c>
      <c r="I897" t="s">
        <v>44</v>
      </c>
      <c r="J897" t="s">
        <v>107</v>
      </c>
      <c r="K897" t="s">
        <v>87</v>
      </c>
      <c r="L897">
        <v>1</v>
      </c>
      <c r="M897" t="s">
        <v>559</v>
      </c>
      <c r="N897" t="s">
        <v>1603</v>
      </c>
    </row>
    <row r="898" spans="1:14" x14ac:dyDescent="0.35">
      <c r="A898" t="s">
        <v>2974</v>
      </c>
      <c r="B898" t="s">
        <v>2975</v>
      </c>
      <c r="C898" t="s">
        <v>69</v>
      </c>
      <c r="D898">
        <v>53.62</v>
      </c>
      <c r="E898">
        <v>32000</v>
      </c>
      <c r="F898" t="s">
        <v>64</v>
      </c>
      <c r="G898" t="s">
        <v>32</v>
      </c>
      <c r="H898" t="s">
        <v>43</v>
      </c>
      <c r="I898" t="s">
        <v>34</v>
      </c>
      <c r="J898" t="s">
        <v>75</v>
      </c>
      <c r="K898" t="s">
        <v>76</v>
      </c>
      <c r="L898">
        <v>12</v>
      </c>
      <c r="N898" t="s">
        <v>2329</v>
      </c>
    </row>
    <row r="899" spans="1:14" x14ac:dyDescent="0.35">
      <c r="A899" t="s">
        <v>2976</v>
      </c>
      <c r="B899" t="s">
        <v>2977</v>
      </c>
      <c r="C899" t="s">
        <v>62</v>
      </c>
      <c r="D899">
        <v>78.53</v>
      </c>
      <c r="E899">
        <v>5000</v>
      </c>
      <c r="F899" t="s">
        <v>51</v>
      </c>
      <c r="G899" t="s">
        <v>32</v>
      </c>
      <c r="H899" t="s">
        <v>33</v>
      </c>
      <c r="I899" t="s">
        <v>34</v>
      </c>
      <c r="J899" t="s">
        <v>1827</v>
      </c>
      <c r="K899" t="s">
        <v>51</v>
      </c>
      <c r="L899">
        <v>21</v>
      </c>
      <c r="N899" t="s">
        <v>1629</v>
      </c>
    </row>
    <row r="900" spans="1:14" x14ac:dyDescent="0.35">
      <c r="A900" t="s">
        <v>2978</v>
      </c>
      <c r="B900" t="s">
        <v>2979</v>
      </c>
      <c r="C900" t="s">
        <v>69</v>
      </c>
      <c r="D900">
        <v>92.7</v>
      </c>
      <c r="E900">
        <v>73000</v>
      </c>
      <c r="F900" t="s">
        <v>236</v>
      </c>
      <c r="G900" t="s">
        <v>32</v>
      </c>
      <c r="H900" t="s">
        <v>33</v>
      </c>
      <c r="I900" t="s">
        <v>34</v>
      </c>
      <c r="J900" t="s">
        <v>112</v>
      </c>
      <c r="K900" t="s">
        <v>106</v>
      </c>
      <c r="L900">
        <v>6</v>
      </c>
      <c r="M900" t="s">
        <v>616</v>
      </c>
      <c r="N900" t="s">
        <v>2980</v>
      </c>
    </row>
    <row r="901" spans="1:14" x14ac:dyDescent="0.35">
      <c r="A901" t="s">
        <v>2981</v>
      </c>
      <c r="B901" t="s">
        <v>2982</v>
      </c>
      <c r="C901" t="s">
        <v>30</v>
      </c>
      <c r="D901">
        <v>116.07</v>
      </c>
      <c r="E901">
        <v>11000</v>
      </c>
      <c r="F901" t="s">
        <v>46</v>
      </c>
      <c r="G901" t="s">
        <v>32</v>
      </c>
      <c r="H901" t="s">
        <v>57</v>
      </c>
      <c r="I901" t="s">
        <v>129</v>
      </c>
      <c r="J901" t="s">
        <v>316</v>
      </c>
      <c r="K901" t="s">
        <v>97</v>
      </c>
      <c r="L901">
        <v>11</v>
      </c>
      <c r="M901" t="s">
        <v>243</v>
      </c>
      <c r="N901" t="s">
        <v>832</v>
      </c>
    </row>
    <row r="902" spans="1:14" x14ac:dyDescent="0.35">
      <c r="A902" t="s">
        <v>2983</v>
      </c>
      <c r="B902" t="s">
        <v>2984</v>
      </c>
      <c r="C902" t="s">
        <v>116</v>
      </c>
      <c r="D902">
        <v>6.87</v>
      </c>
      <c r="E902">
        <v>200</v>
      </c>
      <c r="F902" t="s">
        <v>106</v>
      </c>
      <c r="G902" t="s">
        <v>32</v>
      </c>
      <c r="H902" t="s">
        <v>33</v>
      </c>
      <c r="J902" t="s">
        <v>2985</v>
      </c>
      <c r="K902" t="s">
        <v>139</v>
      </c>
      <c r="L902">
        <v>23</v>
      </c>
      <c r="N902" t="s">
        <v>2986</v>
      </c>
    </row>
    <row r="903" spans="1:14" x14ac:dyDescent="0.35">
      <c r="A903" t="s">
        <v>2987</v>
      </c>
      <c r="B903" t="s">
        <v>2988</v>
      </c>
      <c r="C903" t="s">
        <v>116</v>
      </c>
      <c r="D903">
        <v>9.33</v>
      </c>
      <c r="E903">
        <v>300</v>
      </c>
      <c r="F903" t="s">
        <v>117</v>
      </c>
      <c r="G903" t="s">
        <v>32</v>
      </c>
      <c r="H903" t="s">
        <v>57</v>
      </c>
      <c r="I903" t="s">
        <v>34</v>
      </c>
      <c r="J903" t="s">
        <v>82</v>
      </c>
      <c r="K903" t="s">
        <v>74</v>
      </c>
      <c r="L903">
        <v>19</v>
      </c>
      <c r="N903" t="s">
        <v>2989</v>
      </c>
    </row>
    <row r="904" spans="1:14" x14ac:dyDescent="0.35">
      <c r="A904" t="s">
        <v>2990</v>
      </c>
      <c r="B904" t="s">
        <v>2991</v>
      </c>
      <c r="C904" t="s">
        <v>69</v>
      </c>
      <c r="D904">
        <v>81.98</v>
      </c>
      <c r="E904">
        <v>44000</v>
      </c>
      <c r="F904" t="s">
        <v>74</v>
      </c>
      <c r="G904" t="s">
        <v>32</v>
      </c>
      <c r="H904" t="s">
        <v>33</v>
      </c>
      <c r="J904" t="s">
        <v>130</v>
      </c>
      <c r="K904" t="s">
        <v>123</v>
      </c>
      <c r="L904">
        <v>12</v>
      </c>
      <c r="M904" t="s">
        <v>675</v>
      </c>
      <c r="N904" t="s">
        <v>1087</v>
      </c>
    </row>
    <row r="905" spans="1:14" x14ac:dyDescent="0.35">
      <c r="A905" t="s">
        <v>2992</v>
      </c>
      <c r="B905" t="s">
        <v>2993</v>
      </c>
      <c r="C905" t="s">
        <v>69</v>
      </c>
      <c r="D905">
        <v>68.05</v>
      </c>
      <c r="E905">
        <v>26000</v>
      </c>
      <c r="F905" t="s">
        <v>64</v>
      </c>
      <c r="G905" t="s">
        <v>32</v>
      </c>
      <c r="H905" t="s">
        <v>57</v>
      </c>
      <c r="I905" t="s">
        <v>34</v>
      </c>
      <c r="J905" t="s">
        <v>96</v>
      </c>
      <c r="K905" t="s">
        <v>97</v>
      </c>
      <c r="L905">
        <v>18</v>
      </c>
      <c r="N905" t="s">
        <v>1542</v>
      </c>
    </row>
    <row r="906" spans="1:14" x14ac:dyDescent="0.35">
      <c r="A906" t="s">
        <v>2994</v>
      </c>
      <c r="B906" t="s">
        <v>2995</v>
      </c>
      <c r="C906" t="s">
        <v>41</v>
      </c>
      <c r="D906">
        <v>121.69</v>
      </c>
      <c r="E906">
        <v>35000</v>
      </c>
      <c r="F906" t="s">
        <v>106</v>
      </c>
      <c r="G906" t="s">
        <v>32</v>
      </c>
      <c r="H906" t="s">
        <v>43</v>
      </c>
      <c r="I906" t="s">
        <v>44</v>
      </c>
      <c r="J906" t="s">
        <v>124</v>
      </c>
      <c r="K906" t="s">
        <v>117</v>
      </c>
      <c r="L906">
        <v>0</v>
      </c>
      <c r="M906" t="s">
        <v>2996</v>
      </c>
      <c r="N906" t="s">
        <v>2997</v>
      </c>
    </row>
    <row r="907" spans="1:14" x14ac:dyDescent="0.35">
      <c r="A907" t="s">
        <v>2998</v>
      </c>
      <c r="B907" t="s">
        <v>2999</v>
      </c>
      <c r="C907" t="s">
        <v>81</v>
      </c>
      <c r="D907">
        <v>116.63</v>
      </c>
      <c r="E907">
        <v>6000</v>
      </c>
      <c r="F907" t="s">
        <v>97</v>
      </c>
      <c r="G907" t="s">
        <v>32</v>
      </c>
      <c r="H907" t="s">
        <v>57</v>
      </c>
      <c r="I907" t="s">
        <v>34</v>
      </c>
      <c r="J907" t="s">
        <v>35</v>
      </c>
      <c r="K907" t="s">
        <v>36</v>
      </c>
      <c r="L907">
        <v>12</v>
      </c>
      <c r="N907" t="s">
        <v>3000</v>
      </c>
    </row>
    <row r="908" spans="1:14" x14ac:dyDescent="0.35">
      <c r="A908" t="s">
        <v>3001</v>
      </c>
      <c r="B908" t="s">
        <v>3002</v>
      </c>
      <c r="C908" t="s">
        <v>41</v>
      </c>
      <c r="D908">
        <v>130.33000000000001</v>
      </c>
      <c r="E908">
        <v>29000</v>
      </c>
      <c r="F908" t="s">
        <v>74</v>
      </c>
      <c r="G908" t="s">
        <v>32</v>
      </c>
      <c r="H908" t="s">
        <v>57</v>
      </c>
      <c r="I908" t="s">
        <v>44</v>
      </c>
      <c r="J908" t="s">
        <v>278</v>
      </c>
      <c r="K908" t="s">
        <v>97</v>
      </c>
      <c r="L908">
        <v>2</v>
      </c>
      <c r="N908" t="s">
        <v>3003</v>
      </c>
    </row>
    <row r="909" spans="1:14" x14ac:dyDescent="0.35">
      <c r="A909" t="s">
        <v>3004</v>
      </c>
      <c r="B909" t="s">
        <v>3005</v>
      </c>
      <c r="C909" t="s">
        <v>81</v>
      </c>
      <c r="D909">
        <v>105.82</v>
      </c>
      <c r="E909">
        <v>2000</v>
      </c>
      <c r="F909" t="s">
        <v>36</v>
      </c>
      <c r="G909" t="s">
        <v>102</v>
      </c>
      <c r="H909" t="s">
        <v>57</v>
      </c>
      <c r="I909" t="s">
        <v>44</v>
      </c>
      <c r="J909" t="s">
        <v>63</v>
      </c>
      <c r="K909" t="s">
        <v>64</v>
      </c>
      <c r="L909">
        <v>16</v>
      </c>
      <c r="M909" t="s">
        <v>3006</v>
      </c>
      <c r="N909" t="s">
        <v>3007</v>
      </c>
    </row>
    <row r="910" spans="1:14" x14ac:dyDescent="0.35">
      <c r="A910" t="s">
        <v>3008</v>
      </c>
      <c r="B910" t="s">
        <v>3009</v>
      </c>
      <c r="C910" t="s">
        <v>116</v>
      </c>
      <c r="D910">
        <v>8.5500000000000007</v>
      </c>
      <c r="E910">
        <v>700</v>
      </c>
      <c r="F910" t="s">
        <v>236</v>
      </c>
      <c r="G910" t="s">
        <v>32</v>
      </c>
      <c r="H910" t="s">
        <v>57</v>
      </c>
      <c r="J910" t="s">
        <v>130</v>
      </c>
      <c r="K910" t="s">
        <v>123</v>
      </c>
      <c r="L910">
        <v>15</v>
      </c>
      <c r="N910" t="s">
        <v>3010</v>
      </c>
    </row>
    <row r="911" spans="1:14" x14ac:dyDescent="0.35">
      <c r="A911" t="s">
        <v>3011</v>
      </c>
      <c r="B911" t="s">
        <v>3012</v>
      </c>
      <c r="C911" t="s">
        <v>116</v>
      </c>
      <c r="D911">
        <v>6.39</v>
      </c>
      <c r="E911">
        <v>700</v>
      </c>
      <c r="F911" t="s">
        <v>31</v>
      </c>
      <c r="G911" t="s">
        <v>32</v>
      </c>
      <c r="H911" t="s">
        <v>43</v>
      </c>
      <c r="I911" t="s">
        <v>44</v>
      </c>
      <c r="J911" t="s">
        <v>830</v>
      </c>
      <c r="K911" t="s">
        <v>51</v>
      </c>
      <c r="L911">
        <v>21</v>
      </c>
      <c r="N911" t="s">
        <v>3013</v>
      </c>
    </row>
    <row r="912" spans="1:14" x14ac:dyDescent="0.35">
      <c r="A912" t="s">
        <v>3014</v>
      </c>
      <c r="B912" t="s">
        <v>3015</v>
      </c>
      <c r="C912" t="s">
        <v>81</v>
      </c>
      <c r="D912">
        <v>99.57</v>
      </c>
      <c r="E912">
        <v>2000</v>
      </c>
      <c r="F912" t="s">
        <v>236</v>
      </c>
      <c r="G912" t="s">
        <v>32</v>
      </c>
      <c r="H912" t="s">
        <v>33</v>
      </c>
      <c r="I912" t="s">
        <v>44</v>
      </c>
      <c r="J912" t="s">
        <v>82</v>
      </c>
      <c r="K912" t="s">
        <v>74</v>
      </c>
      <c r="L912">
        <v>17</v>
      </c>
      <c r="N912" t="s">
        <v>3016</v>
      </c>
    </row>
    <row r="913" spans="1:14" x14ac:dyDescent="0.35">
      <c r="A913" t="s">
        <v>3017</v>
      </c>
      <c r="B913" t="s">
        <v>3018</v>
      </c>
      <c r="C913" t="s">
        <v>116</v>
      </c>
      <c r="D913">
        <v>8.23</v>
      </c>
      <c r="E913">
        <v>300</v>
      </c>
      <c r="F913" t="s">
        <v>236</v>
      </c>
      <c r="G913" t="s">
        <v>32</v>
      </c>
      <c r="H913" t="s">
        <v>57</v>
      </c>
      <c r="J913" t="s">
        <v>3019</v>
      </c>
      <c r="K913" t="s">
        <v>51</v>
      </c>
      <c r="L913">
        <v>18</v>
      </c>
      <c r="M913" t="s">
        <v>1294</v>
      </c>
      <c r="N913" t="s">
        <v>3020</v>
      </c>
    </row>
    <row r="914" spans="1:14" x14ac:dyDescent="0.35">
      <c r="A914" t="s">
        <v>3021</v>
      </c>
      <c r="B914" t="s">
        <v>3022</v>
      </c>
      <c r="C914" t="s">
        <v>41</v>
      </c>
      <c r="D914">
        <v>92.96</v>
      </c>
      <c r="E914">
        <v>25000</v>
      </c>
      <c r="F914" t="s">
        <v>76</v>
      </c>
      <c r="G914" t="s">
        <v>32</v>
      </c>
      <c r="H914" t="s">
        <v>33</v>
      </c>
      <c r="I914" t="s">
        <v>34</v>
      </c>
      <c r="J914" t="s">
        <v>477</v>
      </c>
      <c r="K914" t="s">
        <v>51</v>
      </c>
      <c r="L914">
        <v>16</v>
      </c>
      <c r="N914" t="s">
        <v>3023</v>
      </c>
    </row>
    <row r="915" spans="1:14" x14ac:dyDescent="0.35">
      <c r="A915" t="s">
        <v>3024</v>
      </c>
      <c r="B915" t="s">
        <v>3025</v>
      </c>
      <c r="C915" t="s">
        <v>41</v>
      </c>
      <c r="D915">
        <v>146.33000000000001</v>
      </c>
      <c r="E915">
        <v>16000</v>
      </c>
      <c r="F915" t="s">
        <v>51</v>
      </c>
      <c r="G915" t="s">
        <v>32</v>
      </c>
      <c r="H915" t="s">
        <v>57</v>
      </c>
      <c r="I915" t="s">
        <v>44</v>
      </c>
      <c r="J915" t="s">
        <v>35</v>
      </c>
      <c r="K915" t="s">
        <v>36</v>
      </c>
      <c r="L915">
        <v>18</v>
      </c>
      <c r="N915" t="s">
        <v>984</v>
      </c>
    </row>
    <row r="916" spans="1:14" x14ac:dyDescent="0.35">
      <c r="A916" t="s">
        <v>3026</v>
      </c>
      <c r="B916" t="s">
        <v>3027</v>
      </c>
      <c r="C916" t="s">
        <v>69</v>
      </c>
      <c r="D916">
        <v>67.599999999999994</v>
      </c>
      <c r="E916">
        <v>25000</v>
      </c>
      <c r="F916" t="s">
        <v>147</v>
      </c>
      <c r="G916" t="s">
        <v>32</v>
      </c>
      <c r="H916" t="s">
        <v>57</v>
      </c>
      <c r="I916" t="s">
        <v>44</v>
      </c>
      <c r="J916" t="s">
        <v>209</v>
      </c>
      <c r="K916" t="s">
        <v>74</v>
      </c>
      <c r="L916">
        <v>14</v>
      </c>
      <c r="M916" t="s">
        <v>555</v>
      </c>
      <c r="N916" t="s">
        <v>3028</v>
      </c>
    </row>
    <row r="917" spans="1:14" x14ac:dyDescent="0.35">
      <c r="A917" t="s">
        <v>3029</v>
      </c>
      <c r="B917" t="s">
        <v>3030</v>
      </c>
      <c r="C917" t="s">
        <v>116</v>
      </c>
      <c r="D917">
        <v>7.03</v>
      </c>
      <c r="E917">
        <v>100</v>
      </c>
      <c r="F917" t="s">
        <v>97</v>
      </c>
      <c r="G917" t="s">
        <v>32</v>
      </c>
      <c r="H917" t="s">
        <v>33</v>
      </c>
      <c r="I917" t="s">
        <v>34</v>
      </c>
      <c r="J917" t="s">
        <v>3031</v>
      </c>
      <c r="K917" t="s">
        <v>51</v>
      </c>
      <c r="L917">
        <v>22</v>
      </c>
      <c r="M917" t="s">
        <v>231</v>
      </c>
      <c r="N917" t="s">
        <v>1033</v>
      </c>
    </row>
    <row r="918" spans="1:14" x14ac:dyDescent="0.35">
      <c r="A918" t="s">
        <v>3032</v>
      </c>
      <c r="B918" t="s">
        <v>3033</v>
      </c>
      <c r="C918" t="s">
        <v>69</v>
      </c>
      <c r="D918">
        <v>83.38</v>
      </c>
      <c r="E918">
        <v>59000</v>
      </c>
      <c r="F918" t="s">
        <v>74</v>
      </c>
      <c r="G918" t="s">
        <v>32</v>
      </c>
      <c r="H918" t="s">
        <v>57</v>
      </c>
      <c r="I918" t="s">
        <v>44</v>
      </c>
      <c r="J918" t="s">
        <v>1771</v>
      </c>
      <c r="K918" t="s">
        <v>139</v>
      </c>
      <c r="L918">
        <v>19</v>
      </c>
      <c r="N918" t="s">
        <v>2153</v>
      </c>
    </row>
    <row r="919" spans="1:14" x14ac:dyDescent="0.35">
      <c r="A919" t="s">
        <v>3034</v>
      </c>
      <c r="B919" t="s">
        <v>3035</v>
      </c>
      <c r="C919" t="s">
        <v>62</v>
      </c>
      <c r="D919">
        <v>80.8</v>
      </c>
      <c r="E919">
        <v>1000</v>
      </c>
      <c r="F919" t="s">
        <v>87</v>
      </c>
      <c r="G919" t="s">
        <v>32</v>
      </c>
      <c r="H919" t="s">
        <v>57</v>
      </c>
      <c r="I919" t="s">
        <v>44</v>
      </c>
      <c r="J919" t="s">
        <v>35</v>
      </c>
      <c r="K919" t="s">
        <v>36</v>
      </c>
      <c r="L919">
        <v>3</v>
      </c>
      <c r="M919" t="s">
        <v>188</v>
      </c>
      <c r="N919" t="s">
        <v>404</v>
      </c>
    </row>
    <row r="920" spans="1:14" x14ac:dyDescent="0.35">
      <c r="A920" t="s">
        <v>3036</v>
      </c>
      <c r="B920" t="s">
        <v>3037</v>
      </c>
      <c r="C920" t="s">
        <v>62</v>
      </c>
      <c r="D920">
        <v>61.89</v>
      </c>
      <c r="E920">
        <v>4000</v>
      </c>
      <c r="F920" t="s">
        <v>123</v>
      </c>
      <c r="G920" t="s">
        <v>32</v>
      </c>
      <c r="H920" t="s">
        <v>33</v>
      </c>
      <c r="I920" t="s">
        <v>44</v>
      </c>
      <c r="J920" t="s">
        <v>35</v>
      </c>
      <c r="K920" t="s">
        <v>36</v>
      </c>
      <c r="L920">
        <v>23</v>
      </c>
      <c r="M920" t="s">
        <v>398</v>
      </c>
      <c r="N920" t="s">
        <v>3028</v>
      </c>
    </row>
    <row r="921" spans="1:14" x14ac:dyDescent="0.35">
      <c r="A921" t="s">
        <v>3038</v>
      </c>
      <c r="B921" t="s">
        <v>3039</v>
      </c>
      <c r="C921" t="s">
        <v>30</v>
      </c>
      <c r="D921">
        <v>147.31</v>
      </c>
      <c r="E921">
        <v>14000</v>
      </c>
      <c r="F921" t="s">
        <v>106</v>
      </c>
      <c r="G921" t="s">
        <v>32</v>
      </c>
      <c r="H921" t="s">
        <v>33</v>
      </c>
      <c r="I921" t="s">
        <v>44</v>
      </c>
      <c r="J921" t="s">
        <v>63</v>
      </c>
      <c r="K921" t="s">
        <v>64</v>
      </c>
      <c r="L921">
        <v>19</v>
      </c>
      <c r="M921" t="s">
        <v>2730</v>
      </c>
      <c r="N921" t="s">
        <v>255</v>
      </c>
    </row>
    <row r="922" spans="1:14" x14ac:dyDescent="0.35">
      <c r="A922" t="s">
        <v>3040</v>
      </c>
      <c r="B922" t="s">
        <v>3041</v>
      </c>
      <c r="C922" t="s">
        <v>81</v>
      </c>
      <c r="D922">
        <v>117.6</v>
      </c>
      <c r="E922">
        <v>4000</v>
      </c>
      <c r="F922" t="s">
        <v>64</v>
      </c>
      <c r="G922" t="s">
        <v>32</v>
      </c>
      <c r="H922" t="s">
        <v>43</v>
      </c>
      <c r="I922" t="s">
        <v>34</v>
      </c>
      <c r="J922" t="s">
        <v>124</v>
      </c>
      <c r="K922" t="s">
        <v>117</v>
      </c>
      <c r="L922">
        <v>14</v>
      </c>
      <c r="N922" t="s">
        <v>732</v>
      </c>
    </row>
    <row r="923" spans="1:14" x14ac:dyDescent="0.35">
      <c r="A923" t="s">
        <v>3042</v>
      </c>
      <c r="B923" t="s">
        <v>3043</v>
      </c>
      <c r="C923" t="s">
        <v>81</v>
      </c>
      <c r="D923">
        <v>108.7</v>
      </c>
      <c r="E923">
        <v>8000</v>
      </c>
      <c r="F923" t="s">
        <v>123</v>
      </c>
      <c r="G923" t="s">
        <v>32</v>
      </c>
      <c r="H923" t="s">
        <v>57</v>
      </c>
      <c r="I923" t="s">
        <v>34</v>
      </c>
      <c r="J923" t="s">
        <v>130</v>
      </c>
      <c r="K923" t="s">
        <v>123</v>
      </c>
      <c r="L923">
        <v>5</v>
      </c>
      <c r="N923" t="s">
        <v>1393</v>
      </c>
    </row>
    <row r="924" spans="1:14" x14ac:dyDescent="0.35">
      <c r="A924" t="s">
        <v>3044</v>
      </c>
      <c r="B924" t="s">
        <v>3045</v>
      </c>
      <c r="C924" t="s">
        <v>69</v>
      </c>
      <c r="D924">
        <v>92.07</v>
      </c>
      <c r="E924">
        <v>10000</v>
      </c>
      <c r="F924" t="s">
        <v>87</v>
      </c>
      <c r="G924" t="s">
        <v>32</v>
      </c>
      <c r="H924" t="s">
        <v>57</v>
      </c>
      <c r="I924" t="s">
        <v>44</v>
      </c>
      <c r="J924" t="s">
        <v>893</v>
      </c>
      <c r="K924" t="s">
        <v>139</v>
      </c>
      <c r="L924">
        <v>15</v>
      </c>
      <c r="M924" t="s">
        <v>3046</v>
      </c>
      <c r="N924" t="s">
        <v>3047</v>
      </c>
    </row>
    <row r="925" spans="1:14" x14ac:dyDescent="0.35">
      <c r="A925" t="s">
        <v>3048</v>
      </c>
      <c r="B925" t="s">
        <v>3049</v>
      </c>
      <c r="C925" t="s">
        <v>62</v>
      </c>
      <c r="D925">
        <v>54.62</v>
      </c>
      <c r="E925">
        <v>1000</v>
      </c>
      <c r="F925" t="s">
        <v>123</v>
      </c>
      <c r="G925" t="s">
        <v>32</v>
      </c>
      <c r="H925" t="s">
        <v>57</v>
      </c>
      <c r="I925" t="s">
        <v>44</v>
      </c>
      <c r="J925" t="s">
        <v>357</v>
      </c>
      <c r="K925" t="s">
        <v>42</v>
      </c>
      <c r="L925">
        <v>7</v>
      </c>
      <c r="M925" t="s">
        <v>398</v>
      </c>
      <c r="N925" t="s">
        <v>841</v>
      </c>
    </row>
    <row r="926" spans="1:14" x14ac:dyDescent="0.35">
      <c r="A926" t="s">
        <v>3050</v>
      </c>
      <c r="B926" t="s">
        <v>3051</v>
      </c>
      <c r="C926" t="s">
        <v>62</v>
      </c>
      <c r="D926">
        <v>81.180000000000007</v>
      </c>
      <c r="E926">
        <v>2000</v>
      </c>
      <c r="F926" t="s">
        <v>51</v>
      </c>
      <c r="G926" t="s">
        <v>32</v>
      </c>
      <c r="H926" t="s">
        <v>43</v>
      </c>
      <c r="I926" t="s">
        <v>44</v>
      </c>
      <c r="J926" t="s">
        <v>1071</v>
      </c>
      <c r="K926" t="s">
        <v>236</v>
      </c>
      <c r="L926">
        <v>12</v>
      </c>
      <c r="M926" t="s">
        <v>293</v>
      </c>
      <c r="N926" t="s">
        <v>3052</v>
      </c>
    </row>
    <row r="927" spans="1:14" x14ac:dyDescent="0.35">
      <c r="A927" t="s">
        <v>3053</v>
      </c>
      <c r="B927" t="s">
        <v>3054</v>
      </c>
      <c r="C927" t="s">
        <v>62</v>
      </c>
      <c r="D927">
        <v>59.5</v>
      </c>
      <c r="E927">
        <v>4000</v>
      </c>
      <c r="F927" t="s">
        <v>64</v>
      </c>
      <c r="G927" t="s">
        <v>32</v>
      </c>
      <c r="H927" t="s">
        <v>43</v>
      </c>
      <c r="I927" t="s">
        <v>34</v>
      </c>
      <c r="J927" t="s">
        <v>130</v>
      </c>
      <c r="K927" t="s">
        <v>123</v>
      </c>
      <c r="L927">
        <v>13</v>
      </c>
      <c r="M927" t="s">
        <v>603</v>
      </c>
      <c r="N927" t="s">
        <v>141</v>
      </c>
    </row>
    <row r="928" spans="1:14" x14ac:dyDescent="0.35">
      <c r="A928" t="s">
        <v>3055</v>
      </c>
      <c r="B928" t="s">
        <v>3056</v>
      </c>
      <c r="C928" t="s">
        <v>69</v>
      </c>
      <c r="D928">
        <v>51.88</v>
      </c>
      <c r="E928">
        <v>20000</v>
      </c>
      <c r="F928" t="s">
        <v>106</v>
      </c>
      <c r="G928" t="s">
        <v>32</v>
      </c>
      <c r="H928" t="s">
        <v>43</v>
      </c>
      <c r="J928" t="s">
        <v>3057</v>
      </c>
      <c r="K928" t="s">
        <v>64</v>
      </c>
      <c r="L928">
        <v>21</v>
      </c>
      <c r="N928" t="s">
        <v>761</v>
      </c>
    </row>
    <row r="929" spans="1:14" x14ac:dyDescent="0.35">
      <c r="A929" t="s">
        <v>3058</v>
      </c>
      <c r="B929" t="s">
        <v>3059</v>
      </c>
      <c r="C929" t="s">
        <v>116</v>
      </c>
      <c r="D929">
        <v>11.35</v>
      </c>
      <c r="E929">
        <v>100</v>
      </c>
      <c r="F929" t="s">
        <v>87</v>
      </c>
      <c r="G929" t="s">
        <v>32</v>
      </c>
      <c r="H929" t="s">
        <v>33</v>
      </c>
      <c r="I929" t="s">
        <v>44</v>
      </c>
      <c r="J929" t="s">
        <v>179</v>
      </c>
      <c r="K929" t="s">
        <v>97</v>
      </c>
      <c r="L929">
        <v>0</v>
      </c>
      <c r="N929" t="s">
        <v>1298</v>
      </c>
    </row>
    <row r="930" spans="1:14" x14ac:dyDescent="0.35">
      <c r="A930" t="s">
        <v>3060</v>
      </c>
      <c r="B930" t="s">
        <v>3061</v>
      </c>
      <c r="C930" t="s">
        <v>41</v>
      </c>
      <c r="D930">
        <v>84.41</v>
      </c>
      <c r="E930">
        <v>26000</v>
      </c>
      <c r="F930" t="s">
        <v>51</v>
      </c>
      <c r="G930" t="s">
        <v>32</v>
      </c>
      <c r="H930" t="s">
        <v>43</v>
      </c>
      <c r="J930" t="s">
        <v>63</v>
      </c>
      <c r="K930" t="s">
        <v>64</v>
      </c>
      <c r="L930">
        <v>1</v>
      </c>
      <c r="M930" t="s">
        <v>407</v>
      </c>
      <c r="N930" t="s">
        <v>2252</v>
      </c>
    </row>
    <row r="931" spans="1:14" x14ac:dyDescent="0.35">
      <c r="A931" t="s">
        <v>3062</v>
      </c>
      <c r="B931" t="s">
        <v>3063</v>
      </c>
      <c r="C931" t="s">
        <v>81</v>
      </c>
      <c r="D931">
        <v>131.94</v>
      </c>
      <c r="E931">
        <v>7000</v>
      </c>
      <c r="F931" t="s">
        <v>147</v>
      </c>
      <c r="G931" t="s">
        <v>32</v>
      </c>
      <c r="H931" t="s">
        <v>57</v>
      </c>
      <c r="I931" t="s">
        <v>129</v>
      </c>
      <c r="J931" t="s">
        <v>1005</v>
      </c>
      <c r="K931" t="s">
        <v>139</v>
      </c>
      <c r="L931">
        <v>9</v>
      </c>
      <c r="M931" t="s">
        <v>3064</v>
      </c>
      <c r="N931" t="s">
        <v>732</v>
      </c>
    </row>
    <row r="932" spans="1:14" x14ac:dyDescent="0.35">
      <c r="A932" t="s">
        <v>3065</v>
      </c>
      <c r="B932" t="s">
        <v>3066</v>
      </c>
      <c r="C932" t="s">
        <v>69</v>
      </c>
      <c r="D932">
        <v>82.02</v>
      </c>
      <c r="E932">
        <v>49000</v>
      </c>
      <c r="F932" t="s">
        <v>51</v>
      </c>
      <c r="G932" t="s">
        <v>32</v>
      </c>
      <c r="H932" t="s">
        <v>57</v>
      </c>
      <c r="I932" t="s">
        <v>34</v>
      </c>
      <c r="J932" t="s">
        <v>112</v>
      </c>
      <c r="K932" t="s">
        <v>106</v>
      </c>
      <c r="L932">
        <v>22</v>
      </c>
      <c r="M932" t="s">
        <v>3067</v>
      </c>
      <c r="N932" t="s">
        <v>3068</v>
      </c>
    </row>
    <row r="933" spans="1:14" x14ac:dyDescent="0.35">
      <c r="A933" t="s">
        <v>3069</v>
      </c>
      <c r="B933" t="s">
        <v>3070</v>
      </c>
      <c r="C933" t="s">
        <v>116</v>
      </c>
      <c r="D933">
        <v>11.88</v>
      </c>
      <c r="E933">
        <v>300</v>
      </c>
      <c r="F933" t="s">
        <v>51</v>
      </c>
      <c r="G933" t="s">
        <v>32</v>
      </c>
      <c r="H933" t="s">
        <v>57</v>
      </c>
      <c r="J933" t="s">
        <v>366</v>
      </c>
      <c r="K933" t="s">
        <v>51</v>
      </c>
      <c r="L933">
        <v>10</v>
      </c>
      <c r="N933" t="s">
        <v>3071</v>
      </c>
    </row>
    <row r="934" spans="1:14" x14ac:dyDescent="0.35">
      <c r="A934" t="s">
        <v>3072</v>
      </c>
      <c r="B934" t="s">
        <v>3073</v>
      </c>
      <c r="C934" t="s">
        <v>81</v>
      </c>
      <c r="D934">
        <v>127.6</v>
      </c>
      <c r="E934">
        <v>3000</v>
      </c>
      <c r="F934" t="s">
        <v>87</v>
      </c>
      <c r="G934" t="s">
        <v>32</v>
      </c>
      <c r="H934" t="s">
        <v>57</v>
      </c>
      <c r="I934" t="s">
        <v>44</v>
      </c>
      <c r="J934" t="s">
        <v>45</v>
      </c>
      <c r="K934" t="s">
        <v>46</v>
      </c>
      <c r="L934">
        <v>1</v>
      </c>
      <c r="M934" t="s">
        <v>1054</v>
      </c>
      <c r="N934" t="s">
        <v>3074</v>
      </c>
    </row>
    <row r="935" spans="1:14" x14ac:dyDescent="0.35">
      <c r="A935" t="s">
        <v>3075</v>
      </c>
      <c r="B935" t="s">
        <v>3076</v>
      </c>
      <c r="C935" t="s">
        <v>69</v>
      </c>
      <c r="D935">
        <v>94.87</v>
      </c>
      <c r="E935">
        <v>31000</v>
      </c>
      <c r="F935" t="s">
        <v>46</v>
      </c>
      <c r="G935" t="s">
        <v>32</v>
      </c>
      <c r="H935" t="s">
        <v>57</v>
      </c>
      <c r="I935" t="s">
        <v>129</v>
      </c>
      <c r="J935" t="s">
        <v>366</v>
      </c>
      <c r="K935" t="s">
        <v>51</v>
      </c>
      <c r="L935">
        <v>4</v>
      </c>
      <c r="M935" t="s">
        <v>1147</v>
      </c>
      <c r="N935" t="s">
        <v>3077</v>
      </c>
    </row>
    <row r="936" spans="1:14" x14ac:dyDescent="0.35">
      <c r="A936" t="s">
        <v>3078</v>
      </c>
      <c r="B936" t="s">
        <v>3079</v>
      </c>
      <c r="C936" t="s">
        <v>62</v>
      </c>
      <c r="D936">
        <v>81.22</v>
      </c>
      <c r="E936">
        <v>1000</v>
      </c>
      <c r="F936" t="s">
        <v>74</v>
      </c>
      <c r="G936" t="s">
        <v>32</v>
      </c>
      <c r="H936" t="s">
        <v>33</v>
      </c>
      <c r="I936" t="s">
        <v>34</v>
      </c>
      <c r="J936" t="s">
        <v>3080</v>
      </c>
      <c r="K936" t="s">
        <v>139</v>
      </c>
      <c r="L936">
        <v>16</v>
      </c>
      <c r="M936" t="s">
        <v>3081</v>
      </c>
      <c r="N936" t="s">
        <v>3082</v>
      </c>
    </row>
    <row r="937" spans="1:14" x14ac:dyDescent="0.35">
      <c r="A937" t="s">
        <v>3083</v>
      </c>
      <c r="B937" t="s">
        <v>3084</v>
      </c>
      <c r="C937" t="s">
        <v>41</v>
      </c>
      <c r="D937">
        <v>152.51</v>
      </c>
      <c r="E937">
        <v>32000</v>
      </c>
      <c r="F937" t="s">
        <v>42</v>
      </c>
      <c r="G937" t="s">
        <v>32</v>
      </c>
      <c r="H937" t="s">
        <v>57</v>
      </c>
      <c r="I937" t="s">
        <v>34</v>
      </c>
      <c r="J937" t="s">
        <v>174</v>
      </c>
      <c r="K937" t="s">
        <v>139</v>
      </c>
      <c r="L937">
        <v>20</v>
      </c>
      <c r="M937" t="s">
        <v>3085</v>
      </c>
      <c r="N937" t="s">
        <v>390</v>
      </c>
    </row>
    <row r="938" spans="1:14" x14ac:dyDescent="0.35">
      <c r="A938" t="s">
        <v>3086</v>
      </c>
      <c r="B938" t="s">
        <v>3087</v>
      </c>
      <c r="C938" t="s">
        <v>116</v>
      </c>
      <c r="D938">
        <v>9.27</v>
      </c>
      <c r="E938">
        <v>300</v>
      </c>
      <c r="F938" t="s">
        <v>147</v>
      </c>
      <c r="G938" t="s">
        <v>32</v>
      </c>
      <c r="H938" t="s">
        <v>43</v>
      </c>
      <c r="I938" t="s">
        <v>34</v>
      </c>
      <c r="J938" t="s">
        <v>1816</v>
      </c>
      <c r="K938" t="s">
        <v>236</v>
      </c>
      <c r="L938">
        <v>23</v>
      </c>
      <c r="M938" t="s">
        <v>3088</v>
      </c>
      <c r="N938" t="s">
        <v>3089</v>
      </c>
    </row>
    <row r="939" spans="1:14" x14ac:dyDescent="0.35">
      <c r="A939" t="s">
        <v>3090</v>
      </c>
      <c r="B939" t="s">
        <v>3091</v>
      </c>
      <c r="C939" t="s">
        <v>69</v>
      </c>
      <c r="D939">
        <v>57.23</v>
      </c>
      <c r="E939">
        <v>37000</v>
      </c>
      <c r="F939" t="s">
        <v>123</v>
      </c>
      <c r="G939" t="s">
        <v>32</v>
      </c>
      <c r="H939" t="s">
        <v>43</v>
      </c>
      <c r="I939" t="s">
        <v>44</v>
      </c>
      <c r="J939" t="s">
        <v>130</v>
      </c>
      <c r="K939" t="s">
        <v>123</v>
      </c>
      <c r="L939">
        <v>13</v>
      </c>
      <c r="M939" t="s">
        <v>2021</v>
      </c>
      <c r="N939" t="s">
        <v>1570</v>
      </c>
    </row>
    <row r="940" spans="1:14" x14ac:dyDescent="0.35">
      <c r="A940" t="s">
        <v>3092</v>
      </c>
      <c r="B940" t="s">
        <v>3093</v>
      </c>
      <c r="C940" t="s">
        <v>62</v>
      </c>
      <c r="D940">
        <v>88.97</v>
      </c>
      <c r="E940">
        <v>3000</v>
      </c>
      <c r="F940" t="s">
        <v>74</v>
      </c>
      <c r="G940" t="s">
        <v>32</v>
      </c>
      <c r="H940" t="s">
        <v>57</v>
      </c>
      <c r="I940" t="s">
        <v>44</v>
      </c>
      <c r="J940" t="s">
        <v>334</v>
      </c>
      <c r="K940" t="s">
        <v>51</v>
      </c>
      <c r="L940">
        <v>13</v>
      </c>
      <c r="M940" t="s">
        <v>1190</v>
      </c>
      <c r="N940" t="s">
        <v>3094</v>
      </c>
    </row>
    <row r="941" spans="1:14" x14ac:dyDescent="0.35">
      <c r="A941" t="s">
        <v>3095</v>
      </c>
      <c r="B941" t="s">
        <v>3096</v>
      </c>
      <c r="C941" t="s">
        <v>116</v>
      </c>
      <c r="D941">
        <v>6.22</v>
      </c>
      <c r="E941">
        <v>200</v>
      </c>
      <c r="F941" t="s">
        <v>42</v>
      </c>
      <c r="G941" t="s">
        <v>32</v>
      </c>
      <c r="H941" t="s">
        <v>33</v>
      </c>
      <c r="J941" t="s">
        <v>3097</v>
      </c>
      <c r="K941" t="s">
        <v>51</v>
      </c>
      <c r="L941">
        <v>20</v>
      </c>
      <c r="N941" t="s">
        <v>2644</v>
      </c>
    </row>
    <row r="942" spans="1:14" x14ac:dyDescent="0.35">
      <c r="A942" t="s">
        <v>3098</v>
      </c>
      <c r="B942" t="s">
        <v>3099</v>
      </c>
      <c r="C942" t="s">
        <v>41</v>
      </c>
      <c r="D942">
        <v>100.5</v>
      </c>
      <c r="E942">
        <v>37000</v>
      </c>
      <c r="F942" t="s">
        <v>51</v>
      </c>
      <c r="G942" t="s">
        <v>32</v>
      </c>
      <c r="H942" t="s">
        <v>43</v>
      </c>
      <c r="I942" t="s">
        <v>44</v>
      </c>
      <c r="J942" t="s">
        <v>2122</v>
      </c>
      <c r="K942" t="s">
        <v>97</v>
      </c>
      <c r="L942">
        <v>3</v>
      </c>
      <c r="M942" t="s">
        <v>782</v>
      </c>
      <c r="N942" t="s">
        <v>3100</v>
      </c>
    </row>
    <row r="943" spans="1:14" x14ac:dyDescent="0.35">
      <c r="A943" t="s">
        <v>3101</v>
      </c>
      <c r="B943" t="s">
        <v>3102</v>
      </c>
      <c r="C943" t="s">
        <v>69</v>
      </c>
      <c r="D943">
        <v>56.84</v>
      </c>
      <c r="E943">
        <v>47000</v>
      </c>
      <c r="F943" t="s">
        <v>46</v>
      </c>
      <c r="G943" t="s">
        <v>32</v>
      </c>
      <c r="H943" t="s">
        <v>33</v>
      </c>
      <c r="I943" t="s">
        <v>44</v>
      </c>
      <c r="J943" t="s">
        <v>3103</v>
      </c>
      <c r="K943" t="s">
        <v>51</v>
      </c>
      <c r="L943">
        <v>15</v>
      </c>
      <c r="M943" t="s">
        <v>3104</v>
      </c>
      <c r="N943" t="s">
        <v>3105</v>
      </c>
    </row>
    <row r="944" spans="1:14" x14ac:dyDescent="0.35">
      <c r="A944" t="s">
        <v>3106</v>
      </c>
      <c r="B944" t="s">
        <v>3107</v>
      </c>
      <c r="C944" t="s">
        <v>62</v>
      </c>
      <c r="D944">
        <v>66.650000000000006</v>
      </c>
      <c r="E944">
        <v>5000</v>
      </c>
      <c r="F944" t="s">
        <v>76</v>
      </c>
      <c r="G944" t="s">
        <v>32</v>
      </c>
      <c r="H944" t="s">
        <v>43</v>
      </c>
      <c r="J944" t="s">
        <v>2293</v>
      </c>
      <c r="K944" t="s">
        <v>51</v>
      </c>
      <c r="L944">
        <v>23</v>
      </c>
      <c r="M944" t="s">
        <v>1036</v>
      </c>
      <c r="N944" t="s">
        <v>3108</v>
      </c>
    </row>
    <row r="945" spans="1:14" x14ac:dyDescent="0.35">
      <c r="A945" t="s">
        <v>3109</v>
      </c>
      <c r="B945" t="s">
        <v>3110</v>
      </c>
      <c r="C945" t="s">
        <v>81</v>
      </c>
      <c r="D945">
        <v>111.68</v>
      </c>
      <c r="E945">
        <v>6000</v>
      </c>
      <c r="F945" t="s">
        <v>64</v>
      </c>
      <c r="G945" t="s">
        <v>32</v>
      </c>
      <c r="H945" t="s">
        <v>57</v>
      </c>
      <c r="I945" t="s">
        <v>34</v>
      </c>
      <c r="J945" t="s">
        <v>1896</v>
      </c>
      <c r="K945" t="s">
        <v>97</v>
      </c>
      <c r="L945">
        <v>22</v>
      </c>
      <c r="M945" t="s">
        <v>3111</v>
      </c>
      <c r="N945" t="s">
        <v>2850</v>
      </c>
    </row>
    <row r="946" spans="1:14" x14ac:dyDescent="0.35">
      <c r="A946" t="s">
        <v>3112</v>
      </c>
      <c r="B946" t="s">
        <v>3113</v>
      </c>
      <c r="C946" t="s">
        <v>62</v>
      </c>
      <c r="D946">
        <v>51.64</v>
      </c>
      <c r="E946">
        <v>5000</v>
      </c>
      <c r="F946" t="s">
        <v>31</v>
      </c>
      <c r="G946" t="s">
        <v>32</v>
      </c>
      <c r="H946" t="s">
        <v>43</v>
      </c>
      <c r="I946" t="s">
        <v>44</v>
      </c>
      <c r="J946" t="s">
        <v>82</v>
      </c>
      <c r="K946" t="s">
        <v>74</v>
      </c>
      <c r="L946">
        <v>9</v>
      </c>
      <c r="M946" t="s">
        <v>2540</v>
      </c>
      <c r="N946" t="s">
        <v>865</v>
      </c>
    </row>
    <row r="947" spans="1:14" x14ac:dyDescent="0.35">
      <c r="A947" t="s">
        <v>3114</v>
      </c>
      <c r="B947" t="s">
        <v>3115</v>
      </c>
      <c r="C947" t="s">
        <v>81</v>
      </c>
      <c r="D947">
        <v>139.05000000000001</v>
      </c>
      <c r="E947">
        <v>9000</v>
      </c>
      <c r="F947" t="s">
        <v>117</v>
      </c>
      <c r="G947" t="s">
        <v>32</v>
      </c>
      <c r="H947" t="s">
        <v>33</v>
      </c>
      <c r="J947" t="s">
        <v>63</v>
      </c>
      <c r="K947" t="s">
        <v>64</v>
      </c>
      <c r="L947">
        <v>23</v>
      </c>
      <c r="M947" t="s">
        <v>3064</v>
      </c>
      <c r="N947" t="s">
        <v>93</v>
      </c>
    </row>
    <row r="948" spans="1:14" x14ac:dyDescent="0.35">
      <c r="A948" t="s">
        <v>3116</v>
      </c>
      <c r="B948" t="s">
        <v>3117</v>
      </c>
      <c r="C948" t="s">
        <v>69</v>
      </c>
      <c r="D948">
        <v>76.98</v>
      </c>
      <c r="E948">
        <v>62000</v>
      </c>
      <c r="F948" t="s">
        <v>64</v>
      </c>
      <c r="G948" t="s">
        <v>32</v>
      </c>
      <c r="H948" t="s">
        <v>57</v>
      </c>
      <c r="I948" t="s">
        <v>34</v>
      </c>
      <c r="J948" t="s">
        <v>357</v>
      </c>
      <c r="K948" t="s">
        <v>42</v>
      </c>
      <c r="L948">
        <v>7</v>
      </c>
      <c r="M948" t="s">
        <v>1661</v>
      </c>
      <c r="N948" t="s">
        <v>3118</v>
      </c>
    </row>
    <row r="949" spans="1:14" x14ac:dyDescent="0.35">
      <c r="A949" t="s">
        <v>3119</v>
      </c>
      <c r="B949" t="s">
        <v>3120</v>
      </c>
      <c r="C949" t="s">
        <v>41</v>
      </c>
      <c r="D949">
        <v>85.23</v>
      </c>
      <c r="E949">
        <v>16000</v>
      </c>
      <c r="F949" t="s">
        <v>46</v>
      </c>
      <c r="G949" t="s">
        <v>32</v>
      </c>
      <c r="H949" t="s">
        <v>43</v>
      </c>
      <c r="I949" t="s">
        <v>44</v>
      </c>
      <c r="J949" t="s">
        <v>429</v>
      </c>
      <c r="K949" t="s">
        <v>236</v>
      </c>
      <c r="L949">
        <v>8</v>
      </c>
      <c r="M949" t="s">
        <v>923</v>
      </c>
      <c r="N949" t="s">
        <v>3121</v>
      </c>
    </row>
    <row r="950" spans="1:14" x14ac:dyDescent="0.35">
      <c r="A950" t="s">
        <v>3122</v>
      </c>
      <c r="B950" t="s">
        <v>3123</v>
      </c>
      <c r="C950" t="s">
        <v>69</v>
      </c>
      <c r="D950">
        <v>81.97</v>
      </c>
      <c r="E950">
        <v>69000</v>
      </c>
      <c r="F950" t="s">
        <v>117</v>
      </c>
      <c r="G950" t="s">
        <v>32</v>
      </c>
      <c r="H950" t="s">
        <v>43</v>
      </c>
      <c r="I950" t="s">
        <v>44</v>
      </c>
      <c r="J950" t="s">
        <v>3124</v>
      </c>
      <c r="K950" t="s">
        <v>64</v>
      </c>
      <c r="L950">
        <v>13</v>
      </c>
      <c r="M950" t="s">
        <v>1014</v>
      </c>
      <c r="N950" t="s">
        <v>3125</v>
      </c>
    </row>
    <row r="951" spans="1:14" x14ac:dyDescent="0.35">
      <c r="A951" t="s">
        <v>3126</v>
      </c>
      <c r="B951" t="s">
        <v>3127</v>
      </c>
      <c r="C951" t="s">
        <v>62</v>
      </c>
      <c r="D951">
        <v>51.84</v>
      </c>
      <c r="E951">
        <v>1000</v>
      </c>
      <c r="F951" t="s">
        <v>123</v>
      </c>
      <c r="G951" t="s">
        <v>32</v>
      </c>
      <c r="H951" t="s">
        <v>57</v>
      </c>
      <c r="J951" t="s">
        <v>3128</v>
      </c>
      <c r="K951" t="s">
        <v>139</v>
      </c>
      <c r="L951">
        <v>18</v>
      </c>
      <c r="M951" t="s">
        <v>3129</v>
      </c>
      <c r="N951" t="s">
        <v>2099</v>
      </c>
    </row>
    <row r="952" spans="1:14" x14ac:dyDescent="0.35">
      <c r="A952" t="s">
        <v>3130</v>
      </c>
      <c r="B952" t="s">
        <v>3131</v>
      </c>
      <c r="C952" t="s">
        <v>62</v>
      </c>
      <c r="D952">
        <v>87.24</v>
      </c>
      <c r="E952">
        <v>4000</v>
      </c>
      <c r="F952" t="s">
        <v>51</v>
      </c>
      <c r="G952" t="s">
        <v>32</v>
      </c>
      <c r="H952" t="s">
        <v>33</v>
      </c>
      <c r="I952" t="s">
        <v>34</v>
      </c>
      <c r="J952" t="s">
        <v>683</v>
      </c>
      <c r="K952" t="s">
        <v>97</v>
      </c>
      <c r="L952">
        <v>17</v>
      </c>
      <c r="M952" t="s">
        <v>2021</v>
      </c>
      <c r="N952" t="s">
        <v>3132</v>
      </c>
    </row>
    <row r="953" spans="1:14" x14ac:dyDescent="0.35">
      <c r="A953" t="s">
        <v>3133</v>
      </c>
      <c r="B953" t="s">
        <v>3134</v>
      </c>
      <c r="C953" t="s">
        <v>81</v>
      </c>
      <c r="D953">
        <v>82.24</v>
      </c>
      <c r="E953">
        <v>10000</v>
      </c>
      <c r="F953" t="s">
        <v>51</v>
      </c>
      <c r="G953" t="s">
        <v>32</v>
      </c>
      <c r="H953" t="s">
        <v>57</v>
      </c>
      <c r="I953" t="s">
        <v>44</v>
      </c>
      <c r="J953" t="s">
        <v>107</v>
      </c>
      <c r="K953" t="s">
        <v>87</v>
      </c>
      <c r="L953">
        <v>9</v>
      </c>
      <c r="M953" t="s">
        <v>3135</v>
      </c>
      <c r="N953" t="s">
        <v>735</v>
      </c>
    </row>
    <row r="954" spans="1:14" x14ac:dyDescent="0.35">
      <c r="A954" t="s">
        <v>3136</v>
      </c>
      <c r="B954" t="s">
        <v>3137</v>
      </c>
      <c r="C954" t="s">
        <v>41</v>
      </c>
      <c r="D954">
        <v>105.7</v>
      </c>
      <c r="E954">
        <v>21000</v>
      </c>
      <c r="F954" t="s">
        <v>117</v>
      </c>
      <c r="G954" t="s">
        <v>32</v>
      </c>
      <c r="H954" t="s">
        <v>57</v>
      </c>
      <c r="I954" t="s">
        <v>44</v>
      </c>
      <c r="J954" t="s">
        <v>107</v>
      </c>
      <c r="K954" t="s">
        <v>87</v>
      </c>
      <c r="L954">
        <v>22</v>
      </c>
      <c r="M954" t="s">
        <v>398</v>
      </c>
      <c r="N954" t="s">
        <v>848</v>
      </c>
    </row>
    <row r="955" spans="1:14" x14ac:dyDescent="0.35">
      <c r="A955" t="s">
        <v>3138</v>
      </c>
      <c r="B955" t="s">
        <v>3139</v>
      </c>
      <c r="C955" t="s">
        <v>41</v>
      </c>
      <c r="D955">
        <v>135.84</v>
      </c>
      <c r="E955">
        <v>37000</v>
      </c>
      <c r="F955" t="s">
        <v>36</v>
      </c>
      <c r="G955" t="s">
        <v>102</v>
      </c>
      <c r="H955" t="s">
        <v>43</v>
      </c>
      <c r="I955" t="s">
        <v>34</v>
      </c>
      <c r="J955" t="s">
        <v>35</v>
      </c>
      <c r="K955" t="s">
        <v>36</v>
      </c>
      <c r="L955">
        <v>13</v>
      </c>
      <c r="M955" t="s">
        <v>1649</v>
      </c>
      <c r="N955" t="s">
        <v>267</v>
      </c>
    </row>
    <row r="956" spans="1:14" x14ac:dyDescent="0.35">
      <c r="A956" t="s">
        <v>3140</v>
      </c>
      <c r="B956" t="s">
        <v>3141</v>
      </c>
      <c r="C956" t="s">
        <v>69</v>
      </c>
      <c r="D956">
        <v>84.65</v>
      </c>
      <c r="E956">
        <v>86000</v>
      </c>
      <c r="F956" t="s">
        <v>51</v>
      </c>
      <c r="G956" t="s">
        <v>32</v>
      </c>
      <c r="H956" t="s">
        <v>43</v>
      </c>
      <c r="J956" t="s">
        <v>35</v>
      </c>
      <c r="K956" t="s">
        <v>36</v>
      </c>
      <c r="L956">
        <v>3</v>
      </c>
      <c r="N956" t="s">
        <v>280</v>
      </c>
    </row>
    <row r="957" spans="1:14" x14ac:dyDescent="0.35">
      <c r="A957" t="s">
        <v>3142</v>
      </c>
      <c r="B957" t="s">
        <v>3143</v>
      </c>
      <c r="C957" t="s">
        <v>116</v>
      </c>
      <c r="D957">
        <v>10.89</v>
      </c>
      <c r="E957">
        <v>600</v>
      </c>
      <c r="F957" t="s">
        <v>87</v>
      </c>
      <c r="G957" t="s">
        <v>32</v>
      </c>
      <c r="H957" t="s">
        <v>33</v>
      </c>
      <c r="I957" t="s">
        <v>34</v>
      </c>
      <c r="J957" t="s">
        <v>112</v>
      </c>
      <c r="K957" t="s">
        <v>106</v>
      </c>
      <c r="L957">
        <v>11</v>
      </c>
      <c r="M957" t="s">
        <v>2088</v>
      </c>
      <c r="N957" t="s">
        <v>1662</v>
      </c>
    </row>
    <row r="958" spans="1:14" x14ac:dyDescent="0.35">
      <c r="A958" t="s">
        <v>3144</v>
      </c>
      <c r="B958" t="s">
        <v>3145</v>
      </c>
      <c r="C958" t="s">
        <v>41</v>
      </c>
      <c r="D958">
        <v>116.27</v>
      </c>
      <c r="E958">
        <v>19000</v>
      </c>
      <c r="F958" t="s">
        <v>87</v>
      </c>
      <c r="G958" t="s">
        <v>102</v>
      </c>
      <c r="H958" t="s">
        <v>43</v>
      </c>
      <c r="I958" t="s">
        <v>44</v>
      </c>
      <c r="J958" t="s">
        <v>1071</v>
      </c>
      <c r="K958" t="s">
        <v>236</v>
      </c>
      <c r="L958">
        <v>4</v>
      </c>
      <c r="M958" t="s">
        <v>765</v>
      </c>
      <c r="N958" t="s">
        <v>3146</v>
      </c>
    </row>
    <row r="959" spans="1:14" x14ac:dyDescent="0.35">
      <c r="A959" t="s">
        <v>3147</v>
      </c>
      <c r="B959" t="s">
        <v>3148</v>
      </c>
      <c r="C959" t="s">
        <v>81</v>
      </c>
      <c r="D959">
        <v>91.32</v>
      </c>
      <c r="E959">
        <v>8000</v>
      </c>
      <c r="F959" t="s">
        <v>147</v>
      </c>
      <c r="G959" t="s">
        <v>32</v>
      </c>
      <c r="H959" t="s">
        <v>43</v>
      </c>
      <c r="I959" t="s">
        <v>44</v>
      </c>
      <c r="J959" t="s">
        <v>3149</v>
      </c>
      <c r="K959" t="s">
        <v>139</v>
      </c>
      <c r="L959">
        <v>23</v>
      </c>
      <c r="M959" t="s">
        <v>434</v>
      </c>
      <c r="N959" t="s">
        <v>3150</v>
      </c>
    </row>
    <row r="960" spans="1:14" x14ac:dyDescent="0.35">
      <c r="A960" t="s">
        <v>3151</v>
      </c>
      <c r="B960" t="s">
        <v>3152</v>
      </c>
      <c r="C960" t="s">
        <v>81</v>
      </c>
      <c r="D960">
        <v>81.83</v>
      </c>
      <c r="E960">
        <v>2000</v>
      </c>
      <c r="F960" t="s">
        <v>236</v>
      </c>
      <c r="G960" t="s">
        <v>32</v>
      </c>
      <c r="H960" t="s">
        <v>57</v>
      </c>
      <c r="I960" t="s">
        <v>129</v>
      </c>
      <c r="J960" t="s">
        <v>3153</v>
      </c>
      <c r="K960" t="s">
        <v>51</v>
      </c>
      <c r="L960">
        <v>1</v>
      </c>
      <c r="N960" t="s">
        <v>3154</v>
      </c>
    </row>
    <row r="961" spans="1:14" x14ac:dyDescent="0.35">
      <c r="A961" t="s">
        <v>3155</v>
      </c>
      <c r="B961" t="s">
        <v>3156</v>
      </c>
      <c r="C961" t="s">
        <v>30</v>
      </c>
      <c r="D961">
        <v>134.51</v>
      </c>
      <c r="E961">
        <v>19000</v>
      </c>
      <c r="F961" t="s">
        <v>51</v>
      </c>
      <c r="G961" t="s">
        <v>32</v>
      </c>
      <c r="H961" t="s">
        <v>57</v>
      </c>
      <c r="I961" t="s">
        <v>44</v>
      </c>
      <c r="J961" t="s">
        <v>63</v>
      </c>
      <c r="K961" t="s">
        <v>64</v>
      </c>
      <c r="L961">
        <v>2</v>
      </c>
      <c r="M961" t="s">
        <v>2111</v>
      </c>
      <c r="N961" t="s">
        <v>3157</v>
      </c>
    </row>
    <row r="962" spans="1:14" x14ac:dyDescent="0.35">
      <c r="A962" t="s">
        <v>3158</v>
      </c>
      <c r="B962" t="s">
        <v>3159</v>
      </c>
      <c r="C962" t="s">
        <v>30</v>
      </c>
      <c r="D962">
        <v>117.27</v>
      </c>
      <c r="E962">
        <v>18000</v>
      </c>
      <c r="F962" t="s">
        <v>117</v>
      </c>
      <c r="G962" t="s">
        <v>32</v>
      </c>
      <c r="H962" t="s">
        <v>43</v>
      </c>
      <c r="I962" t="s">
        <v>44</v>
      </c>
      <c r="J962" t="s">
        <v>63</v>
      </c>
      <c r="K962" t="s">
        <v>64</v>
      </c>
      <c r="L962">
        <v>17</v>
      </c>
      <c r="M962" t="s">
        <v>3081</v>
      </c>
      <c r="N962" t="s">
        <v>3160</v>
      </c>
    </row>
    <row r="963" spans="1:14" x14ac:dyDescent="0.35">
      <c r="A963" t="s">
        <v>3161</v>
      </c>
      <c r="B963" t="s">
        <v>3162</v>
      </c>
      <c r="C963" t="s">
        <v>30</v>
      </c>
      <c r="D963">
        <v>120.29</v>
      </c>
      <c r="E963">
        <v>16000</v>
      </c>
      <c r="F963" t="s">
        <v>139</v>
      </c>
      <c r="G963" t="s">
        <v>32</v>
      </c>
      <c r="H963" t="s">
        <v>57</v>
      </c>
      <c r="J963" t="s">
        <v>3163</v>
      </c>
      <c r="K963" t="s">
        <v>51</v>
      </c>
      <c r="L963">
        <v>16</v>
      </c>
      <c r="M963" t="s">
        <v>1143</v>
      </c>
      <c r="N963" t="s">
        <v>3164</v>
      </c>
    </row>
    <row r="964" spans="1:14" x14ac:dyDescent="0.35">
      <c r="A964" t="s">
        <v>3165</v>
      </c>
      <c r="B964" t="s">
        <v>3166</v>
      </c>
      <c r="C964" t="s">
        <v>81</v>
      </c>
      <c r="D964">
        <v>100.93</v>
      </c>
      <c r="E964">
        <v>3000</v>
      </c>
      <c r="F964" t="s">
        <v>147</v>
      </c>
      <c r="G964" t="s">
        <v>32</v>
      </c>
      <c r="H964" t="s">
        <v>33</v>
      </c>
      <c r="I964" t="s">
        <v>34</v>
      </c>
      <c r="J964" t="s">
        <v>75</v>
      </c>
      <c r="K964" t="s">
        <v>76</v>
      </c>
      <c r="L964">
        <v>18</v>
      </c>
      <c r="N964" t="s">
        <v>3167</v>
      </c>
    </row>
    <row r="965" spans="1:14" x14ac:dyDescent="0.35">
      <c r="A965" t="s">
        <v>3168</v>
      </c>
      <c r="B965" t="s">
        <v>3169</v>
      </c>
      <c r="C965" t="s">
        <v>30</v>
      </c>
      <c r="D965">
        <v>140.83000000000001</v>
      </c>
      <c r="E965">
        <v>5000</v>
      </c>
      <c r="F965" t="s">
        <v>64</v>
      </c>
      <c r="G965" t="s">
        <v>32</v>
      </c>
      <c r="H965" t="s">
        <v>43</v>
      </c>
      <c r="I965" t="s">
        <v>129</v>
      </c>
      <c r="J965" t="s">
        <v>138</v>
      </c>
      <c r="K965" t="s">
        <v>139</v>
      </c>
      <c r="L965">
        <v>6</v>
      </c>
      <c r="N965" t="s">
        <v>2989</v>
      </c>
    </row>
    <row r="966" spans="1:14" x14ac:dyDescent="0.35">
      <c r="A966" t="s">
        <v>3170</v>
      </c>
      <c r="B966" t="s">
        <v>3171</v>
      </c>
      <c r="C966" t="s">
        <v>41</v>
      </c>
      <c r="D966">
        <v>83.28</v>
      </c>
      <c r="E966">
        <v>37000</v>
      </c>
      <c r="F966" t="s">
        <v>97</v>
      </c>
      <c r="G966" t="s">
        <v>32</v>
      </c>
      <c r="H966" t="s">
        <v>33</v>
      </c>
      <c r="J966" t="s">
        <v>509</v>
      </c>
      <c r="K966" t="s">
        <v>147</v>
      </c>
      <c r="L966">
        <v>8</v>
      </c>
      <c r="N966" t="s">
        <v>3172</v>
      </c>
    </row>
    <row r="967" spans="1:14" x14ac:dyDescent="0.35">
      <c r="A967" t="s">
        <v>3173</v>
      </c>
      <c r="B967" t="s">
        <v>3174</v>
      </c>
      <c r="C967" t="s">
        <v>116</v>
      </c>
      <c r="D967">
        <v>6.24</v>
      </c>
      <c r="E967">
        <v>700</v>
      </c>
      <c r="F967" t="s">
        <v>147</v>
      </c>
      <c r="G967" t="s">
        <v>32</v>
      </c>
      <c r="H967" t="s">
        <v>43</v>
      </c>
      <c r="I967" t="s">
        <v>34</v>
      </c>
      <c r="J967" t="s">
        <v>45</v>
      </c>
      <c r="K967" t="s">
        <v>46</v>
      </c>
      <c r="L967">
        <v>17</v>
      </c>
      <c r="M967" t="s">
        <v>3175</v>
      </c>
      <c r="N967" t="s">
        <v>3176</v>
      </c>
    </row>
    <row r="968" spans="1:14" x14ac:dyDescent="0.35">
      <c r="A968" t="s">
        <v>3177</v>
      </c>
      <c r="B968" t="s">
        <v>3178</v>
      </c>
      <c r="C968" t="s">
        <v>41</v>
      </c>
      <c r="D968">
        <v>134.13</v>
      </c>
      <c r="E968">
        <v>11000</v>
      </c>
      <c r="F968" t="s">
        <v>42</v>
      </c>
      <c r="G968" t="s">
        <v>32</v>
      </c>
      <c r="H968" t="s">
        <v>43</v>
      </c>
      <c r="I968" t="s">
        <v>34</v>
      </c>
      <c r="J968" t="s">
        <v>70</v>
      </c>
      <c r="K968" t="s">
        <v>31</v>
      </c>
      <c r="L968">
        <v>5</v>
      </c>
      <c r="M968" t="s">
        <v>140</v>
      </c>
      <c r="N968" t="s">
        <v>2470</v>
      </c>
    </row>
    <row r="969" spans="1:14" x14ac:dyDescent="0.35">
      <c r="A969" t="s">
        <v>3179</v>
      </c>
      <c r="B969" t="s">
        <v>3180</v>
      </c>
      <c r="C969" t="s">
        <v>81</v>
      </c>
      <c r="D969">
        <v>105.1</v>
      </c>
      <c r="E969">
        <v>6000</v>
      </c>
      <c r="F969" t="s">
        <v>51</v>
      </c>
      <c r="G969" t="s">
        <v>32</v>
      </c>
      <c r="H969" t="s">
        <v>33</v>
      </c>
      <c r="I969" t="s">
        <v>44</v>
      </c>
      <c r="J969" t="s">
        <v>107</v>
      </c>
      <c r="K969" t="s">
        <v>87</v>
      </c>
      <c r="L969">
        <v>0</v>
      </c>
      <c r="N969" t="s">
        <v>3181</v>
      </c>
    </row>
    <row r="970" spans="1:14" x14ac:dyDescent="0.35">
      <c r="A970" t="s">
        <v>3182</v>
      </c>
      <c r="B970" t="s">
        <v>3183</v>
      </c>
      <c r="C970" t="s">
        <v>116</v>
      </c>
      <c r="D970">
        <v>10.130000000000001</v>
      </c>
      <c r="E970">
        <v>300</v>
      </c>
      <c r="F970" t="s">
        <v>51</v>
      </c>
      <c r="G970" t="s">
        <v>32</v>
      </c>
      <c r="H970" t="s">
        <v>33</v>
      </c>
      <c r="I970" t="s">
        <v>44</v>
      </c>
      <c r="J970" t="s">
        <v>107</v>
      </c>
      <c r="K970" t="s">
        <v>87</v>
      </c>
      <c r="L970">
        <v>8</v>
      </c>
      <c r="M970" t="s">
        <v>3184</v>
      </c>
      <c r="N970" t="s">
        <v>1977</v>
      </c>
    </row>
    <row r="971" spans="1:14" x14ac:dyDescent="0.35">
      <c r="A971" t="s">
        <v>3185</v>
      </c>
      <c r="B971" t="s">
        <v>3186</v>
      </c>
      <c r="C971" t="s">
        <v>116</v>
      </c>
      <c r="D971">
        <v>8.24</v>
      </c>
      <c r="E971">
        <v>100</v>
      </c>
      <c r="F971" t="s">
        <v>97</v>
      </c>
      <c r="G971" t="s">
        <v>32</v>
      </c>
      <c r="H971" t="s">
        <v>33</v>
      </c>
      <c r="I971" t="s">
        <v>44</v>
      </c>
      <c r="J971" t="s">
        <v>477</v>
      </c>
      <c r="K971" t="s">
        <v>51</v>
      </c>
      <c r="L971">
        <v>4</v>
      </c>
      <c r="M971" t="s">
        <v>2785</v>
      </c>
      <c r="N971" t="s">
        <v>1388</v>
      </c>
    </row>
    <row r="972" spans="1:14" x14ac:dyDescent="0.35">
      <c r="A972" t="s">
        <v>3187</v>
      </c>
      <c r="B972" t="s">
        <v>3188</v>
      </c>
      <c r="C972" t="s">
        <v>116</v>
      </c>
      <c r="D972">
        <v>10.18</v>
      </c>
      <c r="E972">
        <v>300</v>
      </c>
      <c r="F972" t="s">
        <v>42</v>
      </c>
      <c r="G972" t="s">
        <v>32</v>
      </c>
      <c r="H972" t="s">
        <v>33</v>
      </c>
      <c r="I972" t="s">
        <v>44</v>
      </c>
      <c r="J972" t="s">
        <v>112</v>
      </c>
      <c r="K972" t="s">
        <v>106</v>
      </c>
      <c r="L972">
        <v>0</v>
      </c>
      <c r="M972" t="s">
        <v>2809</v>
      </c>
      <c r="N972" t="s">
        <v>3189</v>
      </c>
    </row>
    <row r="973" spans="1:14" x14ac:dyDescent="0.35">
      <c r="A973" t="s">
        <v>3190</v>
      </c>
      <c r="B973" t="s">
        <v>3191</v>
      </c>
      <c r="C973" t="s">
        <v>30</v>
      </c>
      <c r="D973">
        <v>134.49</v>
      </c>
      <c r="E973">
        <v>5000</v>
      </c>
      <c r="F973" t="s">
        <v>236</v>
      </c>
      <c r="G973" t="s">
        <v>32</v>
      </c>
      <c r="H973" t="s">
        <v>33</v>
      </c>
      <c r="I973" t="s">
        <v>44</v>
      </c>
      <c r="J973" t="s">
        <v>124</v>
      </c>
      <c r="K973" t="s">
        <v>117</v>
      </c>
      <c r="L973">
        <v>7</v>
      </c>
      <c r="N973" t="s">
        <v>3192</v>
      </c>
    </row>
    <row r="974" spans="1:14" x14ac:dyDescent="0.35">
      <c r="A974" t="s">
        <v>3193</v>
      </c>
      <c r="B974" t="s">
        <v>3194</v>
      </c>
      <c r="C974" t="s">
        <v>30</v>
      </c>
      <c r="D974">
        <v>110.98</v>
      </c>
      <c r="E974">
        <v>13000</v>
      </c>
      <c r="F974" t="s">
        <v>117</v>
      </c>
      <c r="G974" t="s">
        <v>32</v>
      </c>
      <c r="H974" t="s">
        <v>33</v>
      </c>
      <c r="I974" t="s">
        <v>44</v>
      </c>
      <c r="J974" t="s">
        <v>63</v>
      </c>
      <c r="K974" t="s">
        <v>64</v>
      </c>
      <c r="L974">
        <v>13</v>
      </c>
      <c r="N974" t="s">
        <v>2181</v>
      </c>
    </row>
    <row r="975" spans="1:14" x14ac:dyDescent="0.35">
      <c r="A975" t="s">
        <v>3195</v>
      </c>
      <c r="B975" t="s">
        <v>3196</v>
      </c>
      <c r="C975" t="s">
        <v>41</v>
      </c>
      <c r="D975">
        <v>82.25</v>
      </c>
      <c r="E975">
        <v>23000</v>
      </c>
      <c r="F975" t="s">
        <v>97</v>
      </c>
      <c r="G975" t="s">
        <v>32</v>
      </c>
      <c r="H975" t="s">
        <v>43</v>
      </c>
      <c r="I975" t="s">
        <v>44</v>
      </c>
      <c r="J975" t="s">
        <v>235</v>
      </c>
      <c r="K975" t="s">
        <v>236</v>
      </c>
      <c r="L975">
        <v>22</v>
      </c>
      <c r="N975" t="s">
        <v>2349</v>
      </c>
    </row>
    <row r="976" spans="1:14" x14ac:dyDescent="0.35">
      <c r="A976" t="s">
        <v>3197</v>
      </c>
      <c r="B976" t="s">
        <v>3198</v>
      </c>
      <c r="C976" t="s">
        <v>116</v>
      </c>
      <c r="D976">
        <v>10.14</v>
      </c>
      <c r="E976">
        <v>300</v>
      </c>
      <c r="F976" t="s">
        <v>106</v>
      </c>
      <c r="G976" t="s">
        <v>102</v>
      </c>
      <c r="H976" t="s">
        <v>33</v>
      </c>
      <c r="I976" t="s">
        <v>34</v>
      </c>
      <c r="J976" t="s">
        <v>130</v>
      </c>
      <c r="K976" t="s">
        <v>123</v>
      </c>
      <c r="L976">
        <v>3</v>
      </c>
      <c r="M976" t="s">
        <v>2862</v>
      </c>
      <c r="N976" t="s">
        <v>2448</v>
      </c>
    </row>
    <row r="977" spans="1:14" x14ac:dyDescent="0.35">
      <c r="A977" t="s">
        <v>3199</v>
      </c>
      <c r="B977" t="s">
        <v>3200</v>
      </c>
      <c r="C977" t="s">
        <v>116</v>
      </c>
      <c r="D977">
        <v>9.08</v>
      </c>
      <c r="E977">
        <v>400</v>
      </c>
      <c r="F977" t="s">
        <v>36</v>
      </c>
      <c r="G977" t="s">
        <v>32</v>
      </c>
      <c r="H977" t="s">
        <v>33</v>
      </c>
      <c r="I977" t="s">
        <v>34</v>
      </c>
      <c r="J977" t="s">
        <v>235</v>
      </c>
      <c r="K977" t="s">
        <v>236</v>
      </c>
      <c r="L977">
        <v>21</v>
      </c>
      <c r="N977" t="s">
        <v>3201</v>
      </c>
    </row>
    <row r="978" spans="1:14" x14ac:dyDescent="0.35">
      <c r="A978" t="s">
        <v>3202</v>
      </c>
      <c r="B978" t="s">
        <v>3203</v>
      </c>
      <c r="C978" t="s">
        <v>30</v>
      </c>
      <c r="D978">
        <v>169.11</v>
      </c>
      <c r="E978">
        <v>5000</v>
      </c>
      <c r="F978" t="s">
        <v>76</v>
      </c>
      <c r="G978" t="s">
        <v>32</v>
      </c>
      <c r="H978" t="s">
        <v>43</v>
      </c>
      <c r="I978" t="s">
        <v>44</v>
      </c>
      <c r="J978" t="s">
        <v>45</v>
      </c>
      <c r="K978" t="s">
        <v>46</v>
      </c>
      <c r="L978">
        <v>2</v>
      </c>
      <c r="M978" t="s">
        <v>2437</v>
      </c>
      <c r="N978" t="s">
        <v>3204</v>
      </c>
    </row>
    <row r="979" spans="1:14" x14ac:dyDescent="0.35">
      <c r="A979" t="s">
        <v>3205</v>
      </c>
      <c r="B979" t="s">
        <v>3206</v>
      </c>
      <c r="C979" t="s">
        <v>116</v>
      </c>
      <c r="D979">
        <v>10.33</v>
      </c>
      <c r="E979">
        <v>600</v>
      </c>
      <c r="F979" t="s">
        <v>147</v>
      </c>
      <c r="G979" t="s">
        <v>32</v>
      </c>
      <c r="H979" t="s">
        <v>43</v>
      </c>
      <c r="I979" t="s">
        <v>34</v>
      </c>
      <c r="J979" t="s">
        <v>92</v>
      </c>
      <c r="K979" t="s">
        <v>51</v>
      </c>
      <c r="L979">
        <v>3</v>
      </c>
      <c r="M979" t="s">
        <v>274</v>
      </c>
      <c r="N979" t="s">
        <v>1029</v>
      </c>
    </row>
    <row r="980" spans="1:14" x14ac:dyDescent="0.35">
      <c r="A980" t="s">
        <v>3207</v>
      </c>
      <c r="B980" t="s">
        <v>3208</v>
      </c>
      <c r="C980" t="s">
        <v>41</v>
      </c>
      <c r="D980">
        <v>129.05000000000001</v>
      </c>
      <c r="E980">
        <v>20000</v>
      </c>
      <c r="F980" t="s">
        <v>236</v>
      </c>
      <c r="G980" t="s">
        <v>32</v>
      </c>
      <c r="H980" t="s">
        <v>43</v>
      </c>
      <c r="J980" t="s">
        <v>45</v>
      </c>
      <c r="K980" t="s">
        <v>46</v>
      </c>
      <c r="L980">
        <v>6</v>
      </c>
      <c r="N980" t="s">
        <v>3209</v>
      </c>
    </row>
    <row r="981" spans="1:14" x14ac:dyDescent="0.35">
      <c r="A981" t="s">
        <v>3210</v>
      </c>
      <c r="B981" t="s">
        <v>3211</v>
      </c>
      <c r="C981" t="s">
        <v>30</v>
      </c>
      <c r="D981">
        <v>114.61</v>
      </c>
      <c r="E981">
        <v>13000</v>
      </c>
      <c r="F981" t="s">
        <v>147</v>
      </c>
      <c r="G981" t="s">
        <v>32</v>
      </c>
      <c r="H981" t="s">
        <v>33</v>
      </c>
      <c r="I981" t="s">
        <v>129</v>
      </c>
      <c r="J981" t="s">
        <v>2635</v>
      </c>
      <c r="K981" t="s">
        <v>147</v>
      </c>
      <c r="L981">
        <v>16</v>
      </c>
      <c r="N981" t="s">
        <v>3212</v>
      </c>
    </row>
    <row r="982" spans="1:14" x14ac:dyDescent="0.35">
      <c r="A982" t="s">
        <v>3213</v>
      </c>
      <c r="B982" t="s">
        <v>3214</v>
      </c>
      <c r="C982" t="s">
        <v>116</v>
      </c>
      <c r="D982">
        <v>11.48</v>
      </c>
      <c r="E982">
        <v>600</v>
      </c>
      <c r="F982" t="s">
        <v>97</v>
      </c>
      <c r="G982" t="s">
        <v>32</v>
      </c>
      <c r="H982" t="s">
        <v>33</v>
      </c>
      <c r="I982" t="s">
        <v>44</v>
      </c>
      <c r="J982" t="s">
        <v>107</v>
      </c>
      <c r="K982" t="s">
        <v>87</v>
      </c>
      <c r="L982">
        <v>19</v>
      </c>
      <c r="M982" t="s">
        <v>1265</v>
      </c>
      <c r="N982" t="s">
        <v>3215</v>
      </c>
    </row>
    <row r="983" spans="1:14" x14ac:dyDescent="0.35">
      <c r="A983" t="s">
        <v>3216</v>
      </c>
      <c r="B983" t="s">
        <v>3217</v>
      </c>
      <c r="C983" t="s">
        <v>30</v>
      </c>
      <c r="D983">
        <v>147.47999999999999</v>
      </c>
      <c r="E983">
        <v>12000</v>
      </c>
      <c r="F983" t="s">
        <v>97</v>
      </c>
      <c r="G983" t="s">
        <v>32</v>
      </c>
      <c r="H983" t="s">
        <v>43</v>
      </c>
      <c r="I983" t="s">
        <v>44</v>
      </c>
      <c r="J983" t="s">
        <v>3218</v>
      </c>
      <c r="K983" t="s">
        <v>147</v>
      </c>
      <c r="L983">
        <v>1</v>
      </c>
      <c r="M983" t="s">
        <v>386</v>
      </c>
      <c r="N983" t="s">
        <v>2850</v>
      </c>
    </row>
    <row r="984" spans="1:14" x14ac:dyDescent="0.35">
      <c r="A984" t="s">
        <v>3219</v>
      </c>
      <c r="B984" t="s">
        <v>3220</v>
      </c>
      <c r="C984" t="s">
        <v>69</v>
      </c>
      <c r="D984">
        <v>84.34</v>
      </c>
      <c r="E984">
        <v>42000</v>
      </c>
      <c r="F984" t="s">
        <v>123</v>
      </c>
      <c r="G984" t="s">
        <v>32</v>
      </c>
      <c r="H984" t="s">
        <v>57</v>
      </c>
      <c r="I984" t="s">
        <v>44</v>
      </c>
      <c r="J984" t="s">
        <v>3221</v>
      </c>
      <c r="K984" t="s">
        <v>51</v>
      </c>
      <c r="L984">
        <v>23</v>
      </c>
      <c r="M984" t="s">
        <v>1928</v>
      </c>
      <c r="N984" t="s">
        <v>1240</v>
      </c>
    </row>
    <row r="985" spans="1:14" x14ac:dyDescent="0.35">
      <c r="A985" t="s">
        <v>3222</v>
      </c>
      <c r="B985" t="s">
        <v>3223</v>
      </c>
      <c r="C985" t="s">
        <v>116</v>
      </c>
      <c r="D985">
        <v>6.34</v>
      </c>
      <c r="E985">
        <v>100</v>
      </c>
      <c r="F985" t="s">
        <v>46</v>
      </c>
      <c r="G985" t="s">
        <v>32</v>
      </c>
      <c r="H985" t="s">
        <v>57</v>
      </c>
      <c r="J985" t="s">
        <v>70</v>
      </c>
      <c r="K985" t="s">
        <v>31</v>
      </c>
      <c r="L985">
        <v>11</v>
      </c>
      <c r="N985" t="s">
        <v>3224</v>
      </c>
    </row>
    <row r="986" spans="1:14" x14ac:dyDescent="0.35">
      <c r="A986" t="s">
        <v>3225</v>
      </c>
      <c r="B986" t="s">
        <v>3226</v>
      </c>
      <c r="C986" t="s">
        <v>116</v>
      </c>
      <c r="D986">
        <v>9.36</v>
      </c>
      <c r="E986">
        <v>200</v>
      </c>
      <c r="F986" t="s">
        <v>36</v>
      </c>
      <c r="G986" t="s">
        <v>32</v>
      </c>
      <c r="H986" t="s">
        <v>33</v>
      </c>
      <c r="I986" t="s">
        <v>44</v>
      </c>
      <c r="J986" t="s">
        <v>63</v>
      </c>
      <c r="K986" t="s">
        <v>64</v>
      </c>
      <c r="L986">
        <v>17</v>
      </c>
      <c r="N986" t="s">
        <v>252</v>
      </c>
    </row>
    <row r="987" spans="1:14" x14ac:dyDescent="0.35">
      <c r="A987" t="s">
        <v>3227</v>
      </c>
      <c r="B987" t="s">
        <v>3228</v>
      </c>
      <c r="C987" t="s">
        <v>41</v>
      </c>
      <c r="D987">
        <v>109.24</v>
      </c>
      <c r="E987">
        <v>37000</v>
      </c>
      <c r="F987" t="s">
        <v>51</v>
      </c>
      <c r="G987" t="s">
        <v>32</v>
      </c>
      <c r="H987" t="s">
        <v>57</v>
      </c>
      <c r="I987" t="s">
        <v>44</v>
      </c>
      <c r="J987" t="s">
        <v>1071</v>
      </c>
      <c r="K987" t="s">
        <v>236</v>
      </c>
      <c r="L987">
        <v>3</v>
      </c>
      <c r="N987" t="s">
        <v>779</v>
      </c>
    </row>
    <row r="988" spans="1:14" x14ac:dyDescent="0.35">
      <c r="A988" t="s">
        <v>3229</v>
      </c>
      <c r="B988" t="s">
        <v>3230</v>
      </c>
      <c r="C988" t="s">
        <v>116</v>
      </c>
      <c r="D988">
        <v>7.57</v>
      </c>
      <c r="E988">
        <v>600</v>
      </c>
      <c r="F988" t="s">
        <v>76</v>
      </c>
      <c r="G988" t="s">
        <v>32</v>
      </c>
      <c r="H988" t="s">
        <v>33</v>
      </c>
      <c r="I988" t="s">
        <v>44</v>
      </c>
      <c r="J988" t="s">
        <v>107</v>
      </c>
      <c r="K988" t="s">
        <v>87</v>
      </c>
      <c r="L988">
        <v>6</v>
      </c>
      <c r="N988" t="s">
        <v>1037</v>
      </c>
    </row>
    <row r="989" spans="1:14" x14ac:dyDescent="0.35">
      <c r="A989" t="s">
        <v>3231</v>
      </c>
      <c r="B989" t="s">
        <v>3232</v>
      </c>
      <c r="C989" t="s">
        <v>81</v>
      </c>
      <c r="D989">
        <v>110.57</v>
      </c>
      <c r="E989">
        <v>8000</v>
      </c>
      <c r="F989" t="s">
        <v>42</v>
      </c>
      <c r="G989" t="s">
        <v>32</v>
      </c>
      <c r="H989" t="s">
        <v>33</v>
      </c>
      <c r="I989" t="s">
        <v>44</v>
      </c>
      <c r="J989" t="s">
        <v>92</v>
      </c>
      <c r="K989" t="s">
        <v>51</v>
      </c>
      <c r="L989">
        <v>20</v>
      </c>
      <c r="M989" t="s">
        <v>2809</v>
      </c>
      <c r="N989" t="s">
        <v>992</v>
      </c>
    </row>
    <row r="990" spans="1:14" x14ac:dyDescent="0.35">
      <c r="A990" t="s">
        <v>3233</v>
      </c>
      <c r="B990" t="s">
        <v>3234</v>
      </c>
      <c r="C990" t="s">
        <v>41</v>
      </c>
      <c r="D990">
        <v>94.17</v>
      </c>
      <c r="E990">
        <v>18000</v>
      </c>
      <c r="F990" t="s">
        <v>64</v>
      </c>
      <c r="G990" t="s">
        <v>32</v>
      </c>
      <c r="H990" t="s">
        <v>43</v>
      </c>
      <c r="J990" t="s">
        <v>1816</v>
      </c>
      <c r="K990" t="s">
        <v>236</v>
      </c>
      <c r="L990">
        <v>22</v>
      </c>
      <c r="M990" t="s">
        <v>1383</v>
      </c>
      <c r="N990" t="s">
        <v>3235</v>
      </c>
    </row>
    <row r="991" spans="1:14" x14ac:dyDescent="0.35">
      <c r="A991" t="s">
        <v>3236</v>
      </c>
      <c r="B991" t="s">
        <v>3237</v>
      </c>
      <c r="C991" t="s">
        <v>69</v>
      </c>
      <c r="D991">
        <v>99.97</v>
      </c>
      <c r="E991">
        <v>25000</v>
      </c>
      <c r="F991" t="s">
        <v>236</v>
      </c>
      <c r="G991" t="s">
        <v>32</v>
      </c>
      <c r="H991" t="s">
        <v>57</v>
      </c>
      <c r="I991" t="s">
        <v>44</v>
      </c>
      <c r="J991" t="s">
        <v>130</v>
      </c>
      <c r="K991" t="s">
        <v>123</v>
      </c>
      <c r="L991">
        <v>2</v>
      </c>
      <c r="M991" t="s">
        <v>1224</v>
      </c>
      <c r="N991" t="s">
        <v>944</v>
      </c>
    </row>
    <row r="992" spans="1:14" x14ac:dyDescent="0.35">
      <c r="A992" t="s">
        <v>3238</v>
      </c>
      <c r="B992" t="s">
        <v>3239</v>
      </c>
      <c r="C992" t="s">
        <v>62</v>
      </c>
      <c r="D992">
        <v>54.04</v>
      </c>
      <c r="E992">
        <v>2000</v>
      </c>
      <c r="F992" t="s">
        <v>74</v>
      </c>
      <c r="G992" t="s">
        <v>32</v>
      </c>
      <c r="H992" t="s">
        <v>33</v>
      </c>
      <c r="I992" t="s">
        <v>44</v>
      </c>
      <c r="K992" t="s">
        <v>147</v>
      </c>
      <c r="L992">
        <v>12</v>
      </c>
      <c r="M992" t="s">
        <v>1151</v>
      </c>
      <c r="N992" t="s">
        <v>1988</v>
      </c>
    </row>
    <row r="993" spans="1:14" x14ac:dyDescent="0.35">
      <c r="A993" t="s">
        <v>3240</v>
      </c>
      <c r="B993" t="s">
        <v>3241</v>
      </c>
      <c r="C993" t="s">
        <v>81</v>
      </c>
      <c r="D993">
        <v>80.13</v>
      </c>
      <c r="E993">
        <v>7000</v>
      </c>
      <c r="F993" t="s">
        <v>42</v>
      </c>
      <c r="G993" t="s">
        <v>32</v>
      </c>
      <c r="H993" t="s">
        <v>43</v>
      </c>
      <c r="J993" t="s">
        <v>45</v>
      </c>
      <c r="K993" t="s">
        <v>46</v>
      </c>
      <c r="L993">
        <v>12</v>
      </c>
      <c r="M993" t="s">
        <v>3046</v>
      </c>
      <c r="N993" t="s">
        <v>1915</v>
      </c>
    </row>
    <row r="994" spans="1:14" x14ac:dyDescent="0.35">
      <c r="A994" t="s">
        <v>3242</v>
      </c>
      <c r="B994" t="s">
        <v>3243</v>
      </c>
      <c r="C994" t="s">
        <v>30</v>
      </c>
      <c r="D994">
        <v>152.41</v>
      </c>
      <c r="E994">
        <v>1000</v>
      </c>
      <c r="F994" t="s">
        <v>139</v>
      </c>
      <c r="G994" t="s">
        <v>32</v>
      </c>
      <c r="H994" t="s">
        <v>43</v>
      </c>
      <c r="J994" t="s">
        <v>2289</v>
      </c>
      <c r="K994" t="s">
        <v>31</v>
      </c>
      <c r="L994">
        <v>1</v>
      </c>
      <c r="M994" t="s">
        <v>864</v>
      </c>
      <c r="N994" t="s">
        <v>1632</v>
      </c>
    </row>
    <row r="995" spans="1:14" x14ac:dyDescent="0.35">
      <c r="A995" t="s">
        <v>3244</v>
      </c>
      <c r="B995" t="s">
        <v>3245</v>
      </c>
      <c r="C995" t="s">
        <v>62</v>
      </c>
      <c r="D995">
        <v>72.75</v>
      </c>
      <c r="E995">
        <v>4000</v>
      </c>
      <c r="F995" t="s">
        <v>31</v>
      </c>
      <c r="G995" t="s">
        <v>32</v>
      </c>
      <c r="H995" t="s">
        <v>57</v>
      </c>
      <c r="J995" t="s">
        <v>75</v>
      </c>
      <c r="K995" t="s">
        <v>76</v>
      </c>
      <c r="L995">
        <v>19</v>
      </c>
      <c r="M995" t="s">
        <v>2265</v>
      </c>
      <c r="N995" t="s">
        <v>540</v>
      </c>
    </row>
    <row r="996" spans="1:14" x14ac:dyDescent="0.35">
      <c r="A996" t="s">
        <v>3246</v>
      </c>
      <c r="B996" t="s">
        <v>3247</v>
      </c>
      <c r="C996" t="s">
        <v>30</v>
      </c>
      <c r="D996">
        <v>164.22</v>
      </c>
      <c r="E996">
        <v>9000</v>
      </c>
      <c r="F996" t="s">
        <v>87</v>
      </c>
      <c r="G996" t="s">
        <v>102</v>
      </c>
      <c r="H996" t="s">
        <v>43</v>
      </c>
      <c r="I996" t="s">
        <v>44</v>
      </c>
      <c r="J996" t="s">
        <v>543</v>
      </c>
      <c r="K996" t="s">
        <v>51</v>
      </c>
      <c r="L996">
        <v>4</v>
      </c>
      <c r="M996" t="s">
        <v>563</v>
      </c>
      <c r="N996" t="s">
        <v>3248</v>
      </c>
    </row>
    <row r="997" spans="1:14" x14ac:dyDescent="0.35">
      <c r="A997" t="s">
        <v>3249</v>
      </c>
      <c r="B997" t="s">
        <v>3250</v>
      </c>
      <c r="C997" t="s">
        <v>81</v>
      </c>
      <c r="D997">
        <v>125.61</v>
      </c>
      <c r="E997">
        <v>7000</v>
      </c>
      <c r="F997" t="s">
        <v>76</v>
      </c>
      <c r="G997" t="s">
        <v>32</v>
      </c>
      <c r="H997" t="s">
        <v>43</v>
      </c>
      <c r="I997" t="s">
        <v>34</v>
      </c>
      <c r="J997" t="s">
        <v>3251</v>
      </c>
      <c r="K997" t="s">
        <v>51</v>
      </c>
      <c r="L997">
        <v>5</v>
      </c>
      <c r="M997" t="s">
        <v>2398</v>
      </c>
      <c r="N997" t="s">
        <v>3252</v>
      </c>
    </row>
    <row r="998" spans="1:14" x14ac:dyDescent="0.35">
      <c r="A998" t="s">
        <v>3253</v>
      </c>
      <c r="B998" t="s">
        <v>3254</v>
      </c>
      <c r="C998" t="s">
        <v>116</v>
      </c>
      <c r="D998">
        <v>8.7899999999999991</v>
      </c>
      <c r="E998">
        <v>500</v>
      </c>
      <c r="F998" t="s">
        <v>74</v>
      </c>
      <c r="G998" t="s">
        <v>32</v>
      </c>
      <c r="H998" t="s">
        <v>43</v>
      </c>
      <c r="I998" t="s">
        <v>34</v>
      </c>
      <c r="J998" t="s">
        <v>130</v>
      </c>
      <c r="K998" t="s">
        <v>123</v>
      </c>
      <c r="L998">
        <v>18</v>
      </c>
      <c r="N998" t="s">
        <v>3255</v>
      </c>
    </row>
    <row r="999" spans="1:14" x14ac:dyDescent="0.35">
      <c r="A999" t="s">
        <v>3256</v>
      </c>
      <c r="B999" t="s">
        <v>3257</v>
      </c>
      <c r="C999" t="s">
        <v>41</v>
      </c>
      <c r="D999">
        <v>90.54</v>
      </c>
      <c r="E999">
        <v>37000</v>
      </c>
      <c r="F999" t="s">
        <v>51</v>
      </c>
      <c r="G999" t="s">
        <v>32</v>
      </c>
      <c r="H999" t="s">
        <v>57</v>
      </c>
      <c r="J999" t="s">
        <v>951</v>
      </c>
      <c r="K999" t="s">
        <v>147</v>
      </c>
      <c r="L999">
        <v>4</v>
      </c>
      <c r="M999" t="s">
        <v>3258</v>
      </c>
      <c r="N999" t="s">
        <v>575</v>
      </c>
    </row>
    <row r="1000" spans="1:14" x14ac:dyDescent="0.35">
      <c r="A1000" t="s">
        <v>3259</v>
      </c>
      <c r="B1000" t="s">
        <v>3260</v>
      </c>
      <c r="C1000" t="s">
        <v>30</v>
      </c>
      <c r="D1000">
        <v>140.02000000000001</v>
      </c>
      <c r="E1000">
        <v>20000</v>
      </c>
      <c r="F1000" t="s">
        <v>31</v>
      </c>
      <c r="G1000" t="s">
        <v>32</v>
      </c>
      <c r="H1000" t="s">
        <v>43</v>
      </c>
      <c r="I1000" t="s">
        <v>44</v>
      </c>
      <c r="J1000" t="s">
        <v>235</v>
      </c>
      <c r="K1000" t="s">
        <v>236</v>
      </c>
      <c r="L1000">
        <v>18</v>
      </c>
      <c r="M1000" t="s">
        <v>3261</v>
      </c>
      <c r="N1000" t="s">
        <v>2201</v>
      </c>
    </row>
    <row r="1001" spans="1:14" x14ac:dyDescent="0.35">
      <c r="A1001" t="s">
        <v>3262</v>
      </c>
      <c r="B1001" t="s">
        <v>3263</v>
      </c>
      <c r="C1001" t="s">
        <v>41</v>
      </c>
      <c r="D1001">
        <v>118.71</v>
      </c>
      <c r="E1001">
        <v>34000</v>
      </c>
      <c r="F1001" t="s">
        <v>42</v>
      </c>
      <c r="G1001" t="s">
        <v>32</v>
      </c>
      <c r="H1001" t="s">
        <v>43</v>
      </c>
      <c r="I1001" t="s">
        <v>44</v>
      </c>
      <c r="J1001" t="s">
        <v>2569</v>
      </c>
      <c r="K1001" t="s">
        <v>139</v>
      </c>
      <c r="L1001">
        <v>10</v>
      </c>
      <c r="M1001" t="s">
        <v>216</v>
      </c>
      <c r="N1001" t="s">
        <v>2997</v>
      </c>
    </row>
    <row r="1002" spans="1:14" x14ac:dyDescent="0.35">
      <c r="A1002" t="s">
        <v>3264</v>
      </c>
      <c r="B1002" t="s">
        <v>3265</v>
      </c>
      <c r="C1002" t="s">
        <v>30</v>
      </c>
      <c r="D1002">
        <v>106.51</v>
      </c>
      <c r="E1002">
        <v>20000</v>
      </c>
      <c r="F1002" t="s">
        <v>36</v>
      </c>
      <c r="G1002" t="s">
        <v>32</v>
      </c>
      <c r="H1002" t="s">
        <v>33</v>
      </c>
      <c r="I1002" t="s">
        <v>44</v>
      </c>
      <c r="J1002" t="s">
        <v>1391</v>
      </c>
      <c r="K1002" t="s">
        <v>36</v>
      </c>
      <c r="L1002">
        <v>16</v>
      </c>
      <c r="M1002" t="s">
        <v>3266</v>
      </c>
      <c r="N1002" t="s">
        <v>536</v>
      </c>
    </row>
    <row r="1003" spans="1:14" x14ac:dyDescent="0.35">
      <c r="A1003" t="s">
        <v>3267</v>
      </c>
      <c r="B1003" t="s">
        <v>3268</v>
      </c>
      <c r="C1003" t="s">
        <v>69</v>
      </c>
      <c r="D1003">
        <v>68.73</v>
      </c>
      <c r="E1003">
        <v>79000</v>
      </c>
      <c r="F1003" t="s">
        <v>236</v>
      </c>
      <c r="G1003" t="s">
        <v>32</v>
      </c>
      <c r="H1003" t="s">
        <v>33</v>
      </c>
      <c r="I1003" t="s">
        <v>44</v>
      </c>
      <c r="J1003" t="s">
        <v>235</v>
      </c>
      <c r="K1003" t="s">
        <v>236</v>
      </c>
      <c r="L1003">
        <v>9</v>
      </c>
      <c r="M1003" t="s">
        <v>2398</v>
      </c>
      <c r="N1003" t="s">
        <v>3269</v>
      </c>
    </row>
    <row r="1004" spans="1:14" x14ac:dyDescent="0.35">
      <c r="A1004" t="s">
        <v>3270</v>
      </c>
      <c r="B1004" t="s">
        <v>3271</v>
      </c>
      <c r="C1004" t="s">
        <v>69</v>
      </c>
      <c r="D1004">
        <v>58</v>
      </c>
      <c r="E1004">
        <v>13000</v>
      </c>
      <c r="F1004" t="s">
        <v>31</v>
      </c>
      <c r="G1004" t="s">
        <v>32</v>
      </c>
      <c r="H1004" t="s">
        <v>33</v>
      </c>
      <c r="J1004" t="s">
        <v>278</v>
      </c>
      <c r="K1004" t="s">
        <v>97</v>
      </c>
      <c r="L1004">
        <v>6</v>
      </c>
      <c r="N1004" t="s">
        <v>383</v>
      </c>
    </row>
    <row r="1005" spans="1:14" x14ac:dyDescent="0.35">
      <c r="A1005" t="s">
        <v>3272</v>
      </c>
      <c r="B1005" t="s">
        <v>3273</v>
      </c>
      <c r="C1005" t="s">
        <v>62</v>
      </c>
      <c r="D1005">
        <v>58.6</v>
      </c>
      <c r="E1005">
        <v>1000</v>
      </c>
      <c r="F1005" t="s">
        <v>117</v>
      </c>
      <c r="G1005" t="s">
        <v>32</v>
      </c>
      <c r="H1005" t="s">
        <v>43</v>
      </c>
      <c r="I1005" t="s">
        <v>44</v>
      </c>
      <c r="J1005" t="s">
        <v>107</v>
      </c>
      <c r="K1005" t="s">
        <v>87</v>
      </c>
      <c r="L1005">
        <v>18</v>
      </c>
      <c r="N1005" t="s">
        <v>71</v>
      </c>
    </row>
    <row r="1006" spans="1:14" x14ac:dyDescent="0.35">
      <c r="A1006" t="s">
        <v>3274</v>
      </c>
      <c r="B1006" t="s">
        <v>3275</v>
      </c>
      <c r="C1006" t="s">
        <v>62</v>
      </c>
      <c r="D1006">
        <v>59.92</v>
      </c>
      <c r="E1006">
        <v>1000</v>
      </c>
      <c r="F1006" t="s">
        <v>139</v>
      </c>
      <c r="G1006" t="s">
        <v>32</v>
      </c>
      <c r="H1006" t="s">
        <v>57</v>
      </c>
      <c r="I1006" t="s">
        <v>44</v>
      </c>
      <c r="J1006" t="s">
        <v>2174</v>
      </c>
      <c r="K1006" t="s">
        <v>139</v>
      </c>
      <c r="L1006">
        <v>8</v>
      </c>
      <c r="M1006" t="s">
        <v>3081</v>
      </c>
      <c r="N1006" t="s">
        <v>3276</v>
      </c>
    </row>
    <row r="1007" spans="1:14" x14ac:dyDescent="0.35">
      <c r="A1007" t="s">
        <v>3277</v>
      </c>
      <c r="B1007" t="s">
        <v>3278</v>
      </c>
      <c r="C1007" t="s">
        <v>41</v>
      </c>
      <c r="D1007">
        <v>81.56</v>
      </c>
      <c r="E1007">
        <v>34000</v>
      </c>
      <c r="F1007" t="s">
        <v>139</v>
      </c>
      <c r="G1007" t="s">
        <v>32</v>
      </c>
      <c r="H1007" t="s">
        <v>43</v>
      </c>
      <c r="I1007" t="s">
        <v>34</v>
      </c>
      <c r="J1007" t="s">
        <v>429</v>
      </c>
      <c r="K1007" t="s">
        <v>236</v>
      </c>
      <c r="L1007">
        <v>13</v>
      </c>
      <c r="M1007" t="s">
        <v>2583</v>
      </c>
      <c r="N1007" t="s">
        <v>732</v>
      </c>
    </row>
    <row r="1008" spans="1:14" x14ac:dyDescent="0.35">
      <c r="A1008" t="s">
        <v>3279</v>
      </c>
      <c r="B1008" t="s">
        <v>3280</v>
      </c>
      <c r="C1008" t="s">
        <v>41</v>
      </c>
      <c r="D1008">
        <v>121.77</v>
      </c>
      <c r="E1008">
        <v>18000</v>
      </c>
      <c r="F1008" t="s">
        <v>236</v>
      </c>
      <c r="G1008" t="s">
        <v>32</v>
      </c>
      <c r="H1008" t="s">
        <v>43</v>
      </c>
      <c r="J1008" t="s">
        <v>1076</v>
      </c>
      <c r="K1008" t="s">
        <v>106</v>
      </c>
      <c r="L1008">
        <v>18</v>
      </c>
      <c r="N1008" t="s">
        <v>3281</v>
      </c>
    </row>
    <row r="1009" spans="1:14" x14ac:dyDescent="0.35">
      <c r="A1009" t="s">
        <v>3282</v>
      </c>
      <c r="B1009" t="s">
        <v>3283</v>
      </c>
      <c r="C1009" t="s">
        <v>41</v>
      </c>
      <c r="D1009">
        <v>115.14</v>
      </c>
      <c r="E1009">
        <v>38000</v>
      </c>
      <c r="F1009" t="s">
        <v>147</v>
      </c>
      <c r="G1009" t="s">
        <v>102</v>
      </c>
      <c r="H1009" t="s">
        <v>57</v>
      </c>
      <c r="I1009" t="s">
        <v>44</v>
      </c>
      <c r="J1009" t="s">
        <v>118</v>
      </c>
      <c r="K1009" t="s">
        <v>42</v>
      </c>
      <c r="L1009">
        <v>21</v>
      </c>
      <c r="N1009" t="s">
        <v>3284</v>
      </c>
    </row>
    <row r="1010" spans="1:14" x14ac:dyDescent="0.35">
      <c r="A1010" t="s">
        <v>3285</v>
      </c>
      <c r="B1010" t="s">
        <v>3286</v>
      </c>
      <c r="C1010" t="s">
        <v>30</v>
      </c>
      <c r="D1010">
        <v>164.76</v>
      </c>
      <c r="E1010">
        <v>20000</v>
      </c>
      <c r="F1010" t="s">
        <v>139</v>
      </c>
      <c r="G1010" t="s">
        <v>32</v>
      </c>
      <c r="H1010" t="s">
        <v>57</v>
      </c>
      <c r="I1010" t="s">
        <v>44</v>
      </c>
      <c r="J1010" t="s">
        <v>3287</v>
      </c>
      <c r="K1010" t="s">
        <v>139</v>
      </c>
      <c r="L1010">
        <v>9</v>
      </c>
      <c r="M1010" t="s">
        <v>2554</v>
      </c>
      <c r="N1010" t="s">
        <v>3288</v>
      </c>
    </row>
    <row r="1011" spans="1:14" x14ac:dyDescent="0.35">
      <c r="A1011" t="s">
        <v>3289</v>
      </c>
      <c r="B1011" t="s">
        <v>3290</v>
      </c>
      <c r="C1011" t="s">
        <v>41</v>
      </c>
      <c r="D1011">
        <v>133.4</v>
      </c>
      <c r="E1011">
        <v>28000</v>
      </c>
      <c r="F1011" t="s">
        <v>42</v>
      </c>
      <c r="G1011" t="s">
        <v>32</v>
      </c>
      <c r="H1011" t="s">
        <v>43</v>
      </c>
      <c r="I1011" t="s">
        <v>44</v>
      </c>
      <c r="J1011" t="s">
        <v>2289</v>
      </c>
      <c r="K1011" t="s">
        <v>31</v>
      </c>
      <c r="L1011">
        <v>14</v>
      </c>
      <c r="N1011" t="s">
        <v>3291</v>
      </c>
    </row>
    <row r="1012" spans="1:14" x14ac:dyDescent="0.35">
      <c r="A1012" t="s">
        <v>3292</v>
      </c>
      <c r="B1012" t="s">
        <v>3293</v>
      </c>
      <c r="C1012" t="s">
        <v>116</v>
      </c>
      <c r="D1012">
        <v>10.36</v>
      </c>
      <c r="E1012">
        <v>600</v>
      </c>
      <c r="F1012" t="s">
        <v>46</v>
      </c>
      <c r="G1012" t="s">
        <v>32</v>
      </c>
      <c r="H1012" t="s">
        <v>57</v>
      </c>
      <c r="J1012" t="s">
        <v>63</v>
      </c>
      <c r="K1012" t="s">
        <v>64</v>
      </c>
      <c r="L1012">
        <v>21</v>
      </c>
      <c r="M1012" t="s">
        <v>1054</v>
      </c>
      <c r="N1012" t="s">
        <v>3294</v>
      </c>
    </row>
    <row r="1013" spans="1:14" x14ac:dyDescent="0.35">
      <c r="A1013" t="s">
        <v>3295</v>
      </c>
      <c r="B1013" t="s">
        <v>3296</v>
      </c>
      <c r="C1013" t="s">
        <v>62</v>
      </c>
      <c r="D1013">
        <v>55.84</v>
      </c>
      <c r="E1013">
        <v>3000</v>
      </c>
      <c r="F1013" t="s">
        <v>51</v>
      </c>
      <c r="G1013" t="s">
        <v>32</v>
      </c>
      <c r="H1013" t="s">
        <v>57</v>
      </c>
      <c r="I1013" t="s">
        <v>44</v>
      </c>
      <c r="J1013" t="s">
        <v>107</v>
      </c>
      <c r="K1013" t="s">
        <v>87</v>
      </c>
      <c r="L1013">
        <v>17</v>
      </c>
      <c r="M1013" t="s">
        <v>202</v>
      </c>
      <c r="N1013" t="s">
        <v>3172</v>
      </c>
    </row>
    <row r="1014" spans="1:14" x14ac:dyDescent="0.35">
      <c r="A1014" t="s">
        <v>3297</v>
      </c>
      <c r="B1014" t="s">
        <v>3298</v>
      </c>
      <c r="C1014" t="s">
        <v>41</v>
      </c>
      <c r="D1014">
        <v>141.46</v>
      </c>
      <c r="E1014">
        <v>20000</v>
      </c>
      <c r="F1014" t="s">
        <v>117</v>
      </c>
      <c r="G1014" t="s">
        <v>32</v>
      </c>
      <c r="H1014" t="s">
        <v>33</v>
      </c>
      <c r="I1014" t="s">
        <v>34</v>
      </c>
      <c r="J1014" t="s">
        <v>130</v>
      </c>
      <c r="K1014" t="s">
        <v>123</v>
      </c>
      <c r="L1014">
        <v>2</v>
      </c>
      <c r="M1014" t="s">
        <v>2280</v>
      </c>
      <c r="N1014" t="s">
        <v>3299</v>
      </c>
    </row>
    <row r="1015" spans="1:14" x14ac:dyDescent="0.35">
      <c r="A1015" t="s">
        <v>3300</v>
      </c>
      <c r="B1015" t="s">
        <v>3301</v>
      </c>
      <c r="C1015" t="s">
        <v>30</v>
      </c>
      <c r="D1015">
        <v>159.21</v>
      </c>
      <c r="E1015">
        <v>11000</v>
      </c>
      <c r="F1015" t="s">
        <v>42</v>
      </c>
      <c r="G1015" t="s">
        <v>32</v>
      </c>
      <c r="H1015" t="s">
        <v>57</v>
      </c>
      <c r="I1015" t="s">
        <v>44</v>
      </c>
      <c r="J1015" t="s">
        <v>334</v>
      </c>
      <c r="K1015" t="s">
        <v>51</v>
      </c>
      <c r="L1015">
        <v>15</v>
      </c>
      <c r="M1015" t="s">
        <v>1933</v>
      </c>
      <c r="N1015" t="s">
        <v>412</v>
      </c>
    </row>
    <row r="1016" spans="1:14" x14ac:dyDescent="0.35">
      <c r="A1016" t="s">
        <v>3302</v>
      </c>
      <c r="B1016" t="s">
        <v>3303</v>
      </c>
      <c r="C1016" t="s">
        <v>81</v>
      </c>
      <c r="D1016">
        <v>98.48</v>
      </c>
      <c r="E1016">
        <v>5000</v>
      </c>
      <c r="F1016" t="s">
        <v>106</v>
      </c>
      <c r="G1016" t="s">
        <v>32</v>
      </c>
      <c r="H1016" t="s">
        <v>57</v>
      </c>
      <c r="I1016" t="s">
        <v>34</v>
      </c>
      <c r="J1016" t="s">
        <v>63</v>
      </c>
      <c r="K1016" t="s">
        <v>64</v>
      </c>
      <c r="L1016">
        <v>16</v>
      </c>
      <c r="M1016" t="s">
        <v>2596</v>
      </c>
      <c r="N1016" t="s">
        <v>3304</v>
      </c>
    </row>
    <row r="1017" spans="1:14" x14ac:dyDescent="0.35">
      <c r="A1017" t="s">
        <v>3305</v>
      </c>
      <c r="B1017" t="s">
        <v>3306</v>
      </c>
      <c r="C1017" t="s">
        <v>41</v>
      </c>
      <c r="D1017">
        <v>110.04</v>
      </c>
      <c r="E1017">
        <v>25000</v>
      </c>
      <c r="F1017" t="s">
        <v>36</v>
      </c>
      <c r="G1017" t="s">
        <v>32</v>
      </c>
      <c r="H1017" t="s">
        <v>57</v>
      </c>
      <c r="J1017" t="s">
        <v>235</v>
      </c>
      <c r="K1017" t="s">
        <v>236</v>
      </c>
      <c r="L1017">
        <v>11</v>
      </c>
      <c r="M1017" t="s">
        <v>1456</v>
      </c>
      <c r="N1017" t="s">
        <v>3307</v>
      </c>
    </row>
    <row r="1018" spans="1:14" x14ac:dyDescent="0.35">
      <c r="A1018" t="s">
        <v>3308</v>
      </c>
      <c r="B1018" t="s">
        <v>3309</v>
      </c>
      <c r="C1018" t="s">
        <v>69</v>
      </c>
      <c r="D1018">
        <v>90.69</v>
      </c>
      <c r="E1018">
        <v>84000</v>
      </c>
      <c r="F1018" t="s">
        <v>117</v>
      </c>
      <c r="G1018" t="s">
        <v>32</v>
      </c>
      <c r="H1018" t="s">
        <v>33</v>
      </c>
      <c r="I1018" t="s">
        <v>44</v>
      </c>
      <c r="J1018" t="s">
        <v>63</v>
      </c>
      <c r="K1018" t="s">
        <v>64</v>
      </c>
      <c r="L1018">
        <v>5</v>
      </c>
      <c r="M1018" t="s">
        <v>1616</v>
      </c>
      <c r="N1018" t="s">
        <v>1590</v>
      </c>
    </row>
    <row r="1019" spans="1:14" x14ac:dyDescent="0.35">
      <c r="A1019" t="s">
        <v>3310</v>
      </c>
      <c r="B1019" t="s">
        <v>3311</v>
      </c>
      <c r="C1019" t="s">
        <v>116</v>
      </c>
      <c r="D1019">
        <v>6.94</v>
      </c>
      <c r="E1019">
        <v>500</v>
      </c>
      <c r="F1019" t="s">
        <v>123</v>
      </c>
      <c r="G1019" t="s">
        <v>32</v>
      </c>
      <c r="H1019" t="s">
        <v>57</v>
      </c>
      <c r="I1019" t="s">
        <v>34</v>
      </c>
      <c r="J1019" t="s">
        <v>130</v>
      </c>
      <c r="K1019" t="s">
        <v>123</v>
      </c>
      <c r="L1019">
        <v>11</v>
      </c>
      <c r="N1019" t="s">
        <v>1784</v>
      </c>
    </row>
    <row r="1020" spans="1:14" x14ac:dyDescent="0.35">
      <c r="A1020" t="s">
        <v>3312</v>
      </c>
      <c r="B1020" t="s">
        <v>3313</v>
      </c>
      <c r="C1020" t="s">
        <v>62</v>
      </c>
      <c r="D1020">
        <v>86.6</v>
      </c>
      <c r="E1020">
        <v>2000</v>
      </c>
      <c r="F1020" t="s">
        <v>236</v>
      </c>
      <c r="G1020" t="s">
        <v>32</v>
      </c>
      <c r="H1020" t="s">
        <v>33</v>
      </c>
      <c r="I1020" t="s">
        <v>129</v>
      </c>
      <c r="J1020" t="s">
        <v>107</v>
      </c>
      <c r="K1020" t="s">
        <v>87</v>
      </c>
      <c r="L1020">
        <v>12</v>
      </c>
      <c r="N1020" t="s">
        <v>441</v>
      </c>
    </row>
    <row r="1021" spans="1:14" x14ac:dyDescent="0.35">
      <c r="A1021" t="s">
        <v>3314</v>
      </c>
      <c r="B1021" t="s">
        <v>3315</v>
      </c>
      <c r="C1021" t="s">
        <v>116</v>
      </c>
      <c r="D1021">
        <v>10.74</v>
      </c>
      <c r="E1021">
        <v>600</v>
      </c>
      <c r="F1021" t="s">
        <v>74</v>
      </c>
      <c r="G1021" t="s">
        <v>32</v>
      </c>
      <c r="H1021" t="s">
        <v>57</v>
      </c>
      <c r="I1021" t="s">
        <v>44</v>
      </c>
      <c r="J1021" t="s">
        <v>469</v>
      </c>
      <c r="K1021" t="s">
        <v>147</v>
      </c>
      <c r="L1021">
        <v>21</v>
      </c>
      <c r="M1021" t="s">
        <v>274</v>
      </c>
      <c r="N1021" t="s">
        <v>3316</v>
      </c>
    </row>
    <row r="1022" spans="1:14" x14ac:dyDescent="0.35">
      <c r="A1022" t="s">
        <v>3317</v>
      </c>
      <c r="B1022" t="s">
        <v>3318</v>
      </c>
      <c r="C1022" t="s">
        <v>41</v>
      </c>
      <c r="D1022">
        <v>102.65</v>
      </c>
      <c r="E1022">
        <v>40000</v>
      </c>
      <c r="F1022" t="s">
        <v>42</v>
      </c>
      <c r="G1022" t="s">
        <v>32</v>
      </c>
      <c r="H1022" t="s">
        <v>57</v>
      </c>
      <c r="I1022" t="s">
        <v>44</v>
      </c>
      <c r="J1022" t="s">
        <v>830</v>
      </c>
      <c r="K1022" t="s">
        <v>51</v>
      </c>
      <c r="L1022">
        <v>20</v>
      </c>
      <c r="M1022" t="s">
        <v>3319</v>
      </c>
      <c r="N1022" t="s">
        <v>3320</v>
      </c>
    </row>
    <row r="1023" spans="1:14" x14ac:dyDescent="0.35">
      <c r="A1023" t="s">
        <v>3321</v>
      </c>
      <c r="B1023" t="s">
        <v>3322</v>
      </c>
      <c r="C1023" t="s">
        <v>30</v>
      </c>
      <c r="D1023">
        <v>130.59</v>
      </c>
      <c r="E1023">
        <v>7000</v>
      </c>
      <c r="F1023" t="s">
        <v>87</v>
      </c>
      <c r="G1023" t="s">
        <v>102</v>
      </c>
      <c r="H1023" t="s">
        <v>57</v>
      </c>
      <c r="I1023" t="s">
        <v>34</v>
      </c>
      <c r="J1023" t="s">
        <v>45</v>
      </c>
      <c r="K1023" t="s">
        <v>46</v>
      </c>
      <c r="L1023">
        <v>7</v>
      </c>
      <c r="M1023" t="s">
        <v>3085</v>
      </c>
      <c r="N1023" t="s">
        <v>3323</v>
      </c>
    </row>
    <row r="1024" spans="1:14" x14ac:dyDescent="0.35">
      <c r="A1024" t="s">
        <v>3324</v>
      </c>
      <c r="B1024" t="s">
        <v>3325</v>
      </c>
      <c r="C1024" t="s">
        <v>69</v>
      </c>
      <c r="D1024">
        <v>89.32</v>
      </c>
      <c r="E1024">
        <v>28000</v>
      </c>
      <c r="F1024" t="s">
        <v>139</v>
      </c>
      <c r="G1024" t="s">
        <v>32</v>
      </c>
      <c r="H1024" t="s">
        <v>33</v>
      </c>
      <c r="I1024" t="s">
        <v>34</v>
      </c>
      <c r="J1024" t="s">
        <v>334</v>
      </c>
      <c r="K1024" t="s">
        <v>51</v>
      </c>
      <c r="L1024">
        <v>19</v>
      </c>
      <c r="N1024" t="s">
        <v>3326</v>
      </c>
    </row>
    <row r="1025" spans="1:14" x14ac:dyDescent="0.35">
      <c r="A1025" t="s">
        <v>3327</v>
      </c>
      <c r="B1025" t="s">
        <v>3328</v>
      </c>
      <c r="C1025" t="s">
        <v>116</v>
      </c>
      <c r="D1025">
        <v>8</v>
      </c>
      <c r="E1025">
        <v>100</v>
      </c>
      <c r="F1025" t="s">
        <v>42</v>
      </c>
      <c r="G1025" t="s">
        <v>102</v>
      </c>
      <c r="H1025" t="s">
        <v>43</v>
      </c>
      <c r="J1025" t="s">
        <v>2502</v>
      </c>
      <c r="K1025" t="s">
        <v>51</v>
      </c>
      <c r="L1025">
        <v>17</v>
      </c>
      <c r="M1025" t="s">
        <v>2664</v>
      </c>
      <c r="N1025" t="s">
        <v>2262</v>
      </c>
    </row>
    <row r="1026" spans="1:14" x14ac:dyDescent="0.35">
      <c r="A1026" t="s">
        <v>3329</v>
      </c>
      <c r="B1026" t="s">
        <v>3330</v>
      </c>
      <c r="C1026" t="s">
        <v>41</v>
      </c>
      <c r="D1026">
        <v>84.54</v>
      </c>
      <c r="E1026">
        <v>32000</v>
      </c>
      <c r="F1026" t="s">
        <v>117</v>
      </c>
      <c r="G1026" t="s">
        <v>32</v>
      </c>
      <c r="H1026" t="s">
        <v>43</v>
      </c>
      <c r="I1026" t="s">
        <v>44</v>
      </c>
      <c r="J1026" t="s">
        <v>3331</v>
      </c>
      <c r="K1026" t="s">
        <v>51</v>
      </c>
      <c r="L1026">
        <v>1</v>
      </c>
      <c r="M1026" t="s">
        <v>2352</v>
      </c>
      <c r="N1026" t="s">
        <v>3332</v>
      </c>
    </row>
    <row r="1027" spans="1:14" x14ac:dyDescent="0.35">
      <c r="A1027" t="s">
        <v>3333</v>
      </c>
      <c r="B1027" t="s">
        <v>3334</v>
      </c>
      <c r="C1027" t="s">
        <v>30</v>
      </c>
      <c r="D1027">
        <v>110.45</v>
      </c>
      <c r="E1027">
        <v>1000</v>
      </c>
      <c r="F1027" t="s">
        <v>42</v>
      </c>
      <c r="G1027" t="s">
        <v>32</v>
      </c>
      <c r="H1027" t="s">
        <v>43</v>
      </c>
      <c r="I1027" t="s">
        <v>129</v>
      </c>
      <c r="J1027" t="s">
        <v>35</v>
      </c>
      <c r="K1027" t="s">
        <v>36</v>
      </c>
      <c r="L1027">
        <v>13</v>
      </c>
      <c r="N1027" t="s">
        <v>1985</v>
      </c>
    </row>
    <row r="1028" spans="1:14" x14ac:dyDescent="0.35">
      <c r="A1028" t="s">
        <v>3335</v>
      </c>
      <c r="B1028" t="s">
        <v>3336</v>
      </c>
      <c r="C1028" t="s">
        <v>69</v>
      </c>
      <c r="D1028">
        <v>52.99</v>
      </c>
      <c r="E1028">
        <v>79000</v>
      </c>
      <c r="F1028" t="s">
        <v>123</v>
      </c>
      <c r="G1028" t="s">
        <v>32</v>
      </c>
      <c r="H1028" t="s">
        <v>43</v>
      </c>
      <c r="I1028" t="s">
        <v>44</v>
      </c>
      <c r="J1028" t="s">
        <v>107</v>
      </c>
      <c r="K1028" t="s">
        <v>87</v>
      </c>
      <c r="L1028">
        <v>8</v>
      </c>
      <c r="M1028" t="s">
        <v>3135</v>
      </c>
      <c r="N1028" t="s">
        <v>3337</v>
      </c>
    </row>
    <row r="1029" spans="1:14" x14ac:dyDescent="0.35">
      <c r="A1029" t="s">
        <v>3338</v>
      </c>
      <c r="B1029" t="s">
        <v>3339</v>
      </c>
      <c r="C1029" t="s">
        <v>30</v>
      </c>
      <c r="D1029">
        <v>143.37</v>
      </c>
      <c r="E1029">
        <v>9000</v>
      </c>
      <c r="F1029" t="s">
        <v>42</v>
      </c>
      <c r="G1029" t="s">
        <v>102</v>
      </c>
      <c r="H1029" t="s">
        <v>43</v>
      </c>
      <c r="I1029" t="s">
        <v>34</v>
      </c>
      <c r="J1029" t="s">
        <v>1071</v>
      </c>
      <c r="K1029" t="s">
        <v>236</v>
      </c>
      <c r="L1029">
        <v>5</v>
      </c>
      <c r="N1029" t="s">
        <v>575</v>
      </c>
    </row>
    <row r="1030" spans="1:14" x14ac:dyDescent="0.35">
      <c r="A1030" t="s">
        <v>3340</v>
      </c>
      <c r="B1030" t="s">
        <v>3341</v>
      </c>
      <c r="C1030" t="s">
        <v>62</v>
      </c>
      <c r="D1030">
        <v>87.28</v>
      </c>
      <c r="E1030">
        <v>2000</v>
      </c>
      <c r="F1030" t="s">
        <v>97</v>
      </c>
      <c r="G1030" t="s">
        <v>32</v>
      </c>
      <c r="H1030" t="s">
        <v>43</v>
      </c>
      <c r="I1030" t="s">
        <v>44</v>
      </c>
      <c r="J1030" t="s">
        <v>1950</v>
      </c>
      <c r="K1030" t="s">
        <v>42</v>
      </c>
      <c r="L1030">
        <v>21</v>
      </c>
      <c r="M1030" t="s">
        <v>3342</v>
      </c>
      <c r="N1030" t="s">
        <v>3343</v>
      </c>
    </row>
    <row r="1031" spans="1:14" x14ac:dyDescent="0.35">
      <c r="A1031" t="s">
        <v>3344</v>
      </c>
      <c r="B1031" t="s">
        <v>3345</v>
      </c>
      <c r="C1031" t="s">
        <v>41</v>
      </c>
      <c r="D1031">
        <v>81.77</v>
      </c>
      <c r="E1031">
        <v>21000</v>
      </c>
      <c r="F1031" t="s">
        <v>97</v>
      </c>
      <c r="G1031" t="s">
        <v>32</v>
      </c>
      <c r="H1031" t="s">
        <v>43</v>
      </c>
      <c r="I1031" t="s">
        <v>44</v>
      </c>
      <c r="J1031" t="s">
        <v>107</v>
      </c>
      <c r="K1031" t="s">
        <v>87</v>
      </c>
      <c r="L1031">
        <v>23</v>
      </c>
      <c r="M1031" t="s">
        <v>738</v>
      </c>
      <c r="N1031" t="s">
        <v>1747</v>
      </c>
    </row>
    <row r="1032" spans="1:14" x14ac:dyDescent="0.35">
      <c r="A1032" t="s">
        <v>3346</v>
      </c>
      <c r="B1032" t="s">
        <v>3347</v>
      </c>
      <c r="C1032" t="s">
        <v>116</v>
      </c>
      <c r="D1032">
        <v>10.24</v>
      </c>
      <c r="E1032">
        <v>600</v>
      </c>
      <c r="F1032" t="s">
        <v>74</v>
      </c>
      <c r="G1032" t="s">
        <v>32</v>
      </c>
      <c r="H1032" t="s">
        <v>43</v>
      </c>
      <c r="J1032" t="s">
        <v>1500</v>
      </c>
      <c r="K1032" t="s">
        <v>97</v>
      </c>
      <c r="L1032">
        <v>19</v>
      </c>
      <c r="N1032" t="s">
        <v>3348</v>
      </c>
    </row>
    <row r="1033" spans="1:14" x14ac:dyDescent="0.35">
      <c r="A1033" t="s">
        <v>3349</v>
      </c>
      <c r="B1033" t="s">
        <v>3350</v>
      </c>
      <c r="C1033" t="s">
        <v>69</v>
      </c>
      <c r="D1033">
        <v>50.76</v>
      </c>
      <c r="E1033">
        <v>18000</v>
      </c>
      <c r="F1033" t="s">
        <v>123</v>
      </c>
      <c r="G1033" t="s">
        <v>32</v>
      </c>
      <c r="H1033" t="s">
        <v>57</v>
      </c>
      <c r="I1033" t="s">
        <v>44</v>
      </c>
      <c r="J1033" t="s">
        <v>70</v>
      </c>
      <c r="K1033" t="s">
        <v>31</v>
      </c>
      <c r="L1033">
        <v>23</v>
      </c>
      <c r="N1033" t="s">
        <v>1971</v>
      </c>
    </row>
    <row r="1034" spans="1:14" x14ac:dyDescent="0.35">
      <c r="A1034" t="s">
        <v>3351</v>
      </c>
      <c r="B1034" t="s">
        <v>3352</v>
      </c>
      <c r="C1034" t="s">
        <v>41</v>
      </c>
      <c r="D1034">
        <v>81.72</v>
      </c>
      <c r="E1034">
        <v>27000</v>
      </c>
      <c r="F1034" t="s">
        <v>64</v>
      </c>
      <c r="G1034" t="s">
        <v>32</v>
      </c>
      <c r="H1034" t="s">
        <v>43</v>
      </c>
      <c r="I1034" t="s">
        <v>129</v>
      </c>
      <c r="J1034" t="s">
        <v>3353</v>
      </c>
      <c r="K1034" t="s">
        <v>74</v>
      </c>
      <c r="L1034">
        <v>20</v>
      </c>
      <c r="M1034" t="s">
        <v>3354</v>
      </c>
      <c r="N1034" t="s">
        <v>3355</v>
      </c>
    </row>
    <row r="1035" spans="1:14" x14ac:dyDescent="0.35">
      <c r="A1035" t="s">
        <v>3356</v>
      </c>
      <c r="B1035" t="s">
        <v>3357</v>
      </c>
      <c r="C1035" t="s">
        <v>69</v>
      </c>
      <c r="D1035">
        <v>62.69</v>
      </c>
      <c r="E1035">
        <v>23000</v>
      </c>
      <c r="F1035" t="s">
        <v>51</v>
      </c>
      <c r="G1035" t="s">
        <v>32</v>
      </c>
      <c r="H1035" t="s">
        <v>43</v>
      </c>
      <c r="I1035" t="s">
        <v>34</v>
      </c>
      <c r="J1035" t="s">
        <v>118</v>
      </c>
      <c r="K1035" t="s">
        <v>42</v>
      </c>
      <c r="L1035">
        <v>17</v>
      </c>
      <c r="N1035" t="s">
        <v>613</v>
      </c>
    </row>
    <row r="1036" spans="1:14" x14ac:dyDescent="0.35">
      <c r="A1036" t="s">
        <v>3358</v>
      </c>
      <c r="B1036" t="s">
        <v>3359</v>
      </c>
      <c r="C1036" t="s">
        <v>69</v>
      </c>
      <c r="D1036">
        <v>62.48</v>
      </c>
      <c r="E1036">
        <v>62000</v>
      </c>
      <c r="F1036" t="s">
        <v>31</v>
      </c>
      <c r="G1036" t="s">
        <v>32</v>
      </c>
      <c r="H1036" t="s">
        <v>57</v>
      </c>
      <c r="I1036" t="s">
        <v>44</v>
      </c>
      <c r="J1036" t="s">
        <v>130</v>
      </c>
      <c r="K1036" t="s">
        <v>123</v>
      </c>
      <c r="L1036">
        <v>4</v>
      </c>
      <c r="N1036" t="s">
        <v>1037</v>
      </c>
    </row>
    <row r="1037" spans="1:14" x14ac:dyDescent="0.35">
      <c r="A1037" t="s">
        <v>3360</v>
      </c>
      <c r="B1037" t="s">
        <v>3361</v>
      </c>
      <c r="C1037" t="s">
        <v>81</v>
      </c>
      <c r="D1037">
        <v>119.42</v>
      </c>
      <c r="E1037">
        <v>10000</v>
      </c>
      <c r="F1037" t="s">
        <v>74</v>
      </c>
      <c r="G1037" t="s">
        <v>32</v>
      </c>
      <c r="H1037" t="s">
        <v>43</v>
      </c>
      <c r="J1037" t="s">
        <v>523</v>
      </c>
      <c r="K1037" t="s">
        <v>36</v>
      </c>
      <c r="L1037">
        <v>15</v>
      </c>
      <c r="N1037" t="s">
        <v>3362</v>
      </c>
    </row>
    <row r="1038" spans="1:14" x14ac:dyDescent="0.35">
      <c r="A1038" t="s">
        <v>3363</v>
      </c>
      <c r="B1038" t="s">
        <v>3364</v>
      </c>
      <c r="C1038" t="s">
        <v>81</v>
      </c>
      <c r="D1038">
        <v>70.39</v>
      </c>
      <c r="E1038">
        <v>6000</v>
      </c>
      <c r="F1038" t="s">
        <v>147</v>
      </c>
      <c r="G1038" t="s">
        <v>32</v>
      </c>
      <c r="H1038" t="s">
        <v>43</v>
      </c>
      <c r="I1038" t="s">
        <v>44</v>
      </c>
      <c r="J1038" t="s">
        <v>130</v>
      </c>
      <c r="K1038" t="s">
        <v>123</v>
      </c>
      <c r="L1038">
        <v>23</v>
      </c>
      <c r="N1038" t="s">
        <v>934</v>
      </c>
    </row>
    <row r="1039" spans="1:14" x14ac:dyDescent="0.35">
      <c r="A1039" t="s">
        <v>3365</v>
      </c>
      <c r="B1039" t="s">
        <v>3366</v>
      </c>
      <c r="C1039" t="s">
        <v>116</v>
      </c>
      <c r="D1039">
        <v>8.3800000000000008</v>
      </c>
      <c r="E1039">
        <v>200</v>
      </c>
      <c r="F1039" t="s">
        <v>42</v>
      </c>
      <c r="G1039" t="s">
        <v>102</v>
      </c>
      <c r="H1039" t="s">
        <v>33</v>
      </c>
      <c r="I1039" t="s">
        <v>44</v>
      </c>
      <c r="J1039" t="s">
        <v>209</v>
      </c>
      <c r="K1039" t="s">
        <v>74</v>
      </c>
      <c r="L1039">
        <v>22</v>
      </c>
      <c r="M1039" t="s">
        <v>3129</v>
      </c>
      <c r="N1039" t="s">
        <v>3367</v>
      </c>
    </row>
    <row r="1040" spans="1:14" x14ac:dyDescent="0.35">
      <c r="A1040" t="s">
        <v>3368</v>
      </c>
      <c r="B1040" t="s">
        <v>3369</v>
      </c>
      <c r="C1040" t="s">
        <v>41</v>
      </c>
      <c r="D1040">
        <v>103.58</v>
      </c>
      <c r="E1040">
        <v>18000</v>
      </c>
      <c r="F1040" t="s">
        <v>51</v>
      </c>
      <c r="G1040" t="s">
        <v>32</v>
      </c>
      <c r="H1040" t="s">
        <v>33</v>
      </c>
      <c r="I1040" t="s">
        <v>44</v>
      </c>
      <c r="K1040" t="s">
        <v>147</v>
      </c>
      <c r="L1040">
        <v>17</v>
      </c>
      <c r="M1040" t="s">
        <v>1086</v>
      </c>
      <c r="N1040" t="s">
        <v>3370</v>
      </c>
    </row>
    <row r="1041" spans="1:14" x14ac:dyDescent="0.35">
      <c r="A1041" t="s">
        <v>3371</v>
      </c>
      <c r="B1041" t="s">
        <v>3372</v>
      </c>
      <c r="C1041" t="s">
        <v>116</v>
      </c>
      <c r="D1041">
        <v>7.35</v>
      </c>
      <c r="E1041">
        <v>200</v>
      </c>
      <c r="F1041" t="s">
        <v>117</v>
      </c>
      <c r="G1041" t="s">
        <v>32</v>
      </c>
      <c r="H1041" t="s">
        <v>43</v>
      </c>
      <c r="I1041" t="s">
        <v>44</v>
      </c>
      <c r="J1041" t="s">
        <v>130</v>
      </c>
      <c r="K1041" t="s">
        <v>123</v>
      </c>
      <c r="L1041">
        <v>4</v>
      </c>
      <c r="M1041" t="s">
        <v>653</v>
      </c>
      <c r="N1041" t="s">
        <v>1985</v>
      </c>
    </row>
    <row r="1042" spans="1:14" x14ac:dyDescent="0.35">
      <c r="A1042" t="s">
        <v>3373</v>
      </c>
      <c r="B1042" t="s">
        <v>3374</v>
      </c>
      <c r="C1042" t="s">
        <v>41</v>
      </c>
      <c r="D1042">
        <v>153.72</v>
      </c>
      <c r="E1042">
        <v>32000</v>
      </c>
      <c r="F1042" t="s">
        <v>76</v>
      </c>
      <c r="G1042" t="s">
        <v>32</v>
      </c>
      <c r="H1042" t="s">
        <v>57</v>
      </c>
      <c r="I1042" t="s">
        <v>34</v>
      </c>
      <c r="K1042" t="s">
        <v>147</v>
      </c>
      <c r="L1042">
        <v>5</v>
      </c>
      <c r="M1042" t="s">
        <v>2039</v>
      </c>
      <c r="N1042" t="s">
        <v>3375</v>
      </c>
    </row>
    <row r="1043" spans="1:14" x14ac:dyDescent="0.35">
      <c r="A1043" t="s">
        <v>3376</v>
      </c>
      <c r="B1043" t="s">
        <v>3377</v>
      </c>
      <c r="C1043" t="s">
        <v>116</v>
      </c>
      <c r="D1043">
        <v>6.91</v>
      </c>
      <c r="E1043">
        <v>300</v>
      </c>
      <c r="F1043" t="s">
        <v>147</v>
      </c>
      <c r="G1043" t="s">
        <v>32</v>
      </c>
      <c r="H1043" t="s">
        <v>33</v>
      </c>
      <c r="I1043" t="s">
        <v>44</v>
      </c>
      <c r="J1043" t="s">
        <v>63</v>
      </c>
      <c r="K1043" t="s">
        <v>64</v>
      </c>
      <c r="L1043">
        <v>5</v>
      </c>
      <c r="M1043" t="s">
        <v>803</v>
      </c>
      <c r="N1043" t="s">
        <v>2404</v>
      </c>
    </row>
    <row r="1044" spans="1:14" x14ac:dyDescent="0.35">
      <c r="A1044" t="s">
        <v>3378</v>
      </c>
      <c r="B1044" t="s">
        <v>3379</v>
      </c>
      <c r="C1044" t="s">
        <v>116</v>
      </c>
      <c r="D1044">
        <v>6.66</v>
      </c>
      <c r="E1044">
        <v>400</v>
      </c>
      <c r="F1044" t="s">
        <v>87</v>
      </c>
      <c r="G1044" t="s">
        <v>32</v>
      </c>
      <c r="H1044" t="s">
        <v>57</v>
      </c>
      <c r="I1044" t="s">
        <v>44</v>
      </c>
      <c r="J1044" t="s">
        <v>2764</v>
      </c>
      <c r="K1044" t="s">
        <v>139</v>
      </c>
      <c r="L1044">
        <v>22</v>
      </c>
      <c r="M1044" t="s">
        <v>335</v>
      </c>
      <c r="N1044" t="s">
        <v>1662</v>
      </c>
    </row>
    <row r="1045" spans="1:14" x14ac:dyDescent="0.35">
      <c r="A1045" t="s">
        <v>3380</v>
      </c>
      <c r="B1045" t="s">
        <v>3381</v>
      </c>
      <c r="C1045" t="s">
        <v>81</v>
      </c>
      <c r="D1045">
        <v>90.48</v>
      </c>
      <c r="E1045">
        <v>2000</v>
      </c>
      <c r="F1045" t="s">
        <v>76</v>
      </c>
      <c r="G1045" t="s">
        <v>32</v>
      </c>
      <c r="H1045" t="s">
        <v>43</v>
      </c>
      <c r="I1045" t="s">
        <v>34</v>
      </c>
      <c r="J1045" t="s">
        <v>854</v>
      </c>
      <c r="K1045" t="s">
        <v>51</v>
      </c>
      <c r="L1045">
        <v>10</v>
      </c>
      <c r="N1045" t="s">
        <v>3382</v>
      </c>
    </row>
    <row r="1046" spans="1:14" x14ac:dyDescent="0.35">
      <c r="A1046" t="s">
        <v>3383</v>
      </c>
      <c r="B1046" t="s">
        <v>3384</v>
      </c>
      <c r="C1046" t="s">
        <v>41</v>
      </c>
      <c r="D1046">
        <v>117.74</v>
      </c>
      <c r="E1046">
        <v>36000</v>
      </c>
      <c r="F1046" t="s">
        <v>123</v>
      </c>
      <c r="G1046" t="s">
        <v>102</v>
      </c>
      <c r="H1046" t="s">
        <v>33</v>
      </c>
      <c r="I1046" t="s">
        <v>34</v>
      </c>
      <c r="J1046" t="s">
        <v>45</v>
      </c>
      <c r="K1046" t="s">
        <v>46</v>
      </c>
      <c r="L1046">
        <v>5</v>
      </c>
      <c r="M1046" t="s">
        <v>1513</v>
      </c>
      <c r="N1046" t="s">
        <v>149</v>
      </c>
    </row>
    <row r="1047" spans="1:14" x14ac:dyDescent="0.35">
      <c r="A1047" t="s">
        <v>3385</v>
      </c>
      <c r="B1047" t="s">
        <v>3386</v>
      </c>
      <c r="C1047" t="s">
        <v>62</v>
      </c>
      <c r="D1047">
        <v>71.53</v>
      </c>
      <c r="E1047">
        <v>4000</v>
      </c>
      <c r="F1047" t="s">
        <v>106</v>
      </c>
      <c r="G1047" t="s">
        <v>32</v>
      </c>
      <c r="H1047" t="s">
        <v>43</v>
      </c>
      <c r="I1047" t="s">
        <v>44</v>
      </c>
      <c r="J1047" t="s">
        <v>2174</v>
      </c>
      <c r="K1047" t="s">
        <v>139</v>
      </c>
      <c r="L1047">
        <v>4</v>
      </c>
      <c r="M1047" t="s">
        <v>2996</v>
      </c>
      <c r="N1047" t="s">
        <v>3387</v>
      </c>
    </row>
    <row r="1048" spans="1:14" x14ac:dyDescent="0.35">
      <c r="A1048" t="s">
        <v>3388</v>
      </c>
      <c r="B1048" t="s">
        <v>3389</v>
      </c>
      <c r="C1048" t="s">
        <v>116</v>
      </c>
      <c r="D1048">
        <v>11.95</v>
      </c>
      <c r="E1048">
        <v>300</v>
      </c>
      <c r="F1048" t="s">
        <v>51</v>
      </c>
      <c r="G1048" t="s">
        <v>32</v>
      </c>
      <c r="H1048" t="s">
        <v>43</v>
      </c>
      <c r="I1048" t="s">
        <v>44</v>
      </c>
      <c r="J1048" t="s">
        <v>3390</v>
      </c>
      <c r="K1048" t="s">
        <v>74</v>
      </c>
      <c r="L1048">
        <v>17</v>
      </c>
      <c r="M1048" t="s">
        <v>1476</v>
      </c>
      <c r="N1048" t="s">
        <v>2049</v>
      </c>
    </row>
    <row r="1049" spans="1:14" x14ac:dyDescent="0.35">
      <c r="A1049" t="s">
        <v>3391</v>
      </c>
      <c r="B1049" t="s">
        <v>3392</v>
      </c>
      <c r="C1049" t="s">
        <v>81</v>
      </c>
      <c r="D1049">
        <v>75.06</v>
      </c>
      <c r="E1049">
        <v>4000</v>
      </c>
      <c r="F1049" t="s">
        <v>76</v>
      </c>
      <c r="G1049" t="s">
        <v>32</v>
      </c>
      <c r="H1049" t="s">
        <v>43</v>
      </c>
      <c r="J1049" t="s">
        <v>130</v>
      </c>
      <c r="K1049" t="s">
        <v>123</v>
      </c>
      <c r="L1049">
        <v>18</v>
      </c>
      <c r="M1049" t="s">
        <v>2996</v>
      </c>
      <c r="N1049" t="s">
        <v>3393</v>
      </c>
    </row>
    <row r="1050" spans="1:14" x14ac:dyDescent="0.35">
      <c r="A1050" t="s">
        <v>3394</v>
      </c>
      <c r="B1050" t="s">
        <v>3395</v>
      </c>
      <c r="C1050" t="s">
        <v>81</v>
      </c>
      <c r="D1050">
        <v>105.16</v>
      </c>
      <c r="E1050">
        <v>1000</v>
      </c>
      <c r="F1050" t="s">
        <v>139</v>
      </c>
      <c r="G1050" t="s">
        <v>32</v>
      </c>
      <c r="H1050" t="s">
        <v>33</v>
      </c>
      <c r="I1050" t="s">
        <v>34</v>
      </c>
      <c r="J1050" t="s">
        <v>35</v>
      </c>
      <c r="K1050" t="s">
        <v>36</v>
      </c>
      <c r="L1050">
        <v>3</v>
      </c>
      <c r="M1050" t="s">
        <v>1396</v>
      </c>
      <c r="N1050" t="s">
        <v>2337</v>
      </c>
    </row>
    <row r="1051" spans="1:14" x14ac:dyDescent="0.35">
      <c r="A1051" t="s">
        <v>3396</v>
      </c>
      <c r="B1051" t="s">
        <v>3397</v>
      </c>
      <c r="C1051" t="s">
        <v>69</v>
      </c>
      <c r="D1051">
        <v>54.11</v>
      </c>
      <c r="E1051">
        <v>37000</v>
      </c>
      <c r="F1051" t="s">
        <v>51</v>
      </c>
      <c r="G1051" t="s">
        <v>32</v>
      </c>
      <c r="H1051" t="s">
        <v>57</v>
      </c>
      <c r="I1051" t="s">
        <v>34</v>
      </c>
      <c r="J1051" t="s">
        <v>118</v>
      </c>
      <c r="K1051" t="s">
        <v>42</v>
      </c>
      <c r="L1051">
        <v>22</v>
      </c>
      <c r="M1051" t="s">
        <v>1239</v>
      </c>
      <c r="N1051" t="s">
        <v>2314</v>
      </c>
    </row>
    <row r="1052" spans="1:14" x14ac:dyDescent="0.35">
      <c r="A1052" t="s">
        <v>3398</v>
      </c>
      <c r="B1052" t="s">
        <v>3399</v>
      </c>
      <c r="C1052" t="s">
        <v>62</v>
      </c>
      <c r="D1052">
        <v>96.99</v>
      </c>
      <c r="E1052">
        <v>3000</v>
      </c>
      <c r="F1052" t="s">
        <v>31</v>
      </c>
      <c r="G1052" t="s">
        <v>32</v>
      </c>
      <c r="H1052" t="s">
        <v>57</v>
      </c>
      <c r="I1052" t="s">
        <v>44</v>
      </c>
      <c r="J1052" t="s">
        <v>63</v>
      </c>
      <c r="K1052" t="s">
        <v>64</v>
      </c>
      <c r="L1052">
        <v>23</v>
      </c>
      <c r="M1052" t="s">
        <v>1559</v>
      </c>
      <c r="N1052" t="s">
        <v>2092</v>
      </c>
    </row>
    <row r="1053" spans="1:14" x14ac:dyDescent="0.35">
      <c r="A1053" t="s">
        <v>3400</v>
      </c>
      <c r="B1053" t="s">
        <v>3401</v>
      </c>
      <c r="C1053" t="s">
        <v>62</v>
      </c>
      <c r="D1053">
        <v>69.53</v>
      </c>
      <c r="E1053">
        <v>2000</v>
      </c>
      <c r="F1053" t="s">
        <v>123</v>
      </c>
      <c r="G1053" t="s">
        <v>32</v>
      </c>
      <c r="H1053" t="s">
        <v>33</v>
      </c>
      <c r="I1053" t="s">
        <v>44</v>
      </c>
      <c r="J1053" t="s">
        <v>316</v>
      </c>
      <c r="K1053" t="s">
        <v>97</v>
      </c>
      <c r="L1053">
        <v>23</v>
      </c>
      <c r="N1053" t="s">
        <v>3402</v>
      </c>
    </row>
    <row r="1054" spans="1:14" x14ac:dyDescent="0.35">
      <c r="A1054" t="s">
        <v>3403</v>
      </c>
      <c r="B1054" t="s">
        <v>3404</v>
      </c>
      <c r="C1054" t="s">
        <v>116</v>
      </c>
      <c r="D1054">
        <v>8.2899999999999991</v>
      </c>
      <c r="E1054">
        <v>600</v>
      </c>
      <c r="F1054" t="s">
        <v>31</v>
      </c>
      <c r="G1054" t="s">
        <v>32</v>
      </c>
      <c r="H1054" t="s">
        <v>43</v>
      </c>
      <c r="I1054" t="s">
        <v>34</v>
      </c>
      <c r="J1054" t="s">
        <v>118</v>
      </c>
      <c r="K1054" t="s">
        <v>42</v>
      </c>
      <c r="L1054">
        <v>6</v>
      </c>
      <c r="M1054" t="s">
        <v>1209</v>
      </c>
      <c r="N1054" t="s">
        <v>1758</v>
      </c>
    </row>
    <row r="1055" spans="1:14" x14ac:dyDescent="0.35">
      <c r="A1055" t="s">
        <v>3405</v>
      </c>
      <c r="B1055" t="s">
        <v>3406</v>
      </c>
      <c r="C1055" t="s">
        <v>116</v>
      </c>
      <c r="D1055">
        <v>10.36</v>
      </c>
      <c r="E1055">
        <v>400</v>
      </c>
      <c r="F1055" t="s">
        <v>31</v>
      </c>
      <c r="G1055" t="s">
        <v>32</v>
      </c>
      <c r="H1055" t="s">
        <v>43</v>
      </c>
      <c r="I1055" t="s">
        <v>44</v>
      </c>
      <c r="J1055" t="s">
        <v>63</v>
      </c>
      <c r="K1055" t="s">
        <v>64</v>
      </c>
      <c r="L1055">
        <v>23</v>
      </c>
      <c r="M1055" t="s">
        <v>765</v>
      </c>
      <c r="N1055" t="s">
        <v>3407</v>
      </c>
    </row>
    <row r="1056" spans="1:14" x14ac:dyDescent="0.35">
      <c r="A1056" t="s">
        <v>3408</v>
      </c>
      <c r="B1056" t="s">
        <v>3409</v>
      </c>
      <c r="C1056" t="s">
        <v>30</v>
      </c>
      <c r="D1056">
        <v>103.34</v>
      </c>
      <c r="E1056">
        <v>12000</v>
      </c>
      <c r="F1056" t="s">
        <v>42</v>
      </c>
      <c r="G1056" t="s">
        <v>32</v>
      </c>
      <c r="H1056" t="s">
        <v>57</v>
      </c>
      <c r="I1056" t="s">
        <v>44</v>
      </c>
      <c r="J1056" t="s">
        <v>112</v>
      </c>
      <c r="K1056" t="s">
        <v>106</v>
      </c>
      <c r="L1056">
        <v>14</v>
      </c>
      <c r="M1056" t="s">
        <v>3410</v>
      </c>
      <c r="N1056" t="s">
        <v>3411</v>
      </c>
    </row>
    <row r="1057" spans="1:14" x14ac:dyDescent="0.35">
      <c r="A1057" t="s">
        <v>3412</v>
      </c>
      <c r="B1057" t="s">
        <v>3413</v>
      </c>
      <c r="C1057" t="s">
        <v>41</v>
      </c>
      <c r="D1057">
        <v>154.36000000000001</v>
      </c>
      <c r="E1057">
        <v>30000</v>
      </c>
      <c r="F1057" t="s">
        <v>51</v>
      </c>
      <c r="G1057" t="s">
        <v>102</v>
      </c>
      <c r="H1057" t="s">
        <v>57</v>
      </c>
      <c r="I1057" t="s">
        <v>34</v>
      </c>
      <c r="J1057" t="s">
        <v>209</v>
      </c>
      <c r="K1057" t="s">
        <v>74</v>
      </c>
      <c r="L1057">
        <v>5</v>
      </c>
      <c r="M1057" t="s">
        <v>398</v>
      </c>
      <c r="N1057" t="s">
        <v>1688</v>
      </c>
    </row>
    <row r="1058" spans="1:14" x14ac:dyDescent="0.35">
      <c r="A1058" t="s">
        <v>3414</v>
      </c>
      <c r="B1058" t="s">
        <v>3415</v>
      </c>
      <c r="C1058" t="s">
        <v>30</v>
      </c>
      <c r="D1058">
        <v>111.1</v>
      </c>
      <c r="E1058">
        <v>2000</v>
      </c>
      <c r="F1058" t="s">
        <v>46</v>
      </c>
      <c r="G1058" t="s">
        <v>102</v>
      </c>
      <c r="H1058" t="s">
        <v>33</v>
      </c>
      <c r="I1058" t="s">
        <v>34</v>
      </c>
      <c r="J1058" t="s">
        <v>164</v>
      </c>
      <c r="K1058" t="s">
        <v>74</v>
      </c>
      <c r="L1058">
        <v>6</v>
      </c>
      <c r="M1058" t="s">
        <v>2730</v>
      </c>
      <c r="N1058" t="s">
        <v>1100</v>
      </c>
    </row>
    <row r="1059" spans="1:14" x14ac:dyDescent="0.35">
      <c r="A1059" t="s">
        <v>3416</v>
      </c>
      <c r="B1059" t="s">
        <v>3417</v>
      </c>
      <c r="C1059" t="s">
        <v>62</v>
      </c>
      <c r="D1059">
        <v>71.760000000000005</v>
      </c>
      <c r="E1059">
        <v>4000</v>
      </c>
      <c r="F1059" t="s">
        <v>31</v>
      </c>
      <c r="G1059" t="s">
        <v>32</v>
      </c>
      <c r="H1059" t="s">
        <v>43</v>
      </c>
      <c r="J1059" t="s">
        <v>3221</v>
      </c>
      <c r="K1059" t="s">
        <v>51</v>
      </c>
      <c r="L1059">
        <v>15</v>
      </c>
      <c r="M1059" t="s">
        <v>1286</v>
      </c>
      <c r="N1059" t="s">
        <v>3418</v>
      </c>
    </row>
    <row r="1060" spans="1:14" x14ac:dyDescent="0.35">
      <c r="A1060" t="s">
        <v>3419</v>
      </c>
      <c r="B1060" t="s">
        <v>3420</v>
      </c>
      <c r="C1060" t="s">
        <v>62</v>
      </c>
      <c r="D1060">
        <v>76.650000000000006</v>
      </c>
      <c r="E1060">
        <v>1000</v>
      </c>
      <c r="F1060" t="s">
        <v>97</v>
      </c>
      <c r="G1060" t="s">
        <v>32</v>
      </c>
      <c r="H1060" t="s">
        <v>57</v>
      </c>
      <c r="I1060" t="s">
        <v>34</v>
      </c>
      <c r="J1060" t="s">
        <v>235</v>
      </c>
      <c r="K1060" t="s">
        <v>236</v>
      </c>
      <c r="L1060">
        <v>19</v>
      </c>
      <c r="M1060" t="s">
        <v>1151</v>
      </c>
      <c r="N1060" t="s">
        <v>3421</v>
      </c>
    </row>
    <row r="1061" spans="1:14" x14ac:dyDescent="0.35">
      <c r="A1061" t="s">
        <v>3422</v>
      </c>
      <c r="B1061" t="s">
        <v>3423</v>
      </c>
      <c r="C1061" t="s">
        <v>116</v>
      </c>
      <c r="D1061">
        <v>7.61</v>
      </c>
      <c r="E1061">
        <v>400</v>
      </c>
      <c r="F1061" t="s">
        <v>76</v>
      </c>
      <c r="G1061" t="s">
        <v>32</v>
      </c>
      <c r="H1061" t="s">
        <v>43</v>
      </c>
      <c r="I1061" t="s">
        <v>44</v>
      </c>
      <c r="J1061" t="s">
        <v>45</v>
      </c>
      <c r="K1061" t="s">
        <v>46</v>
      </c>
      <c r="L1061">
        <v>8</v>
      </c>
      <c r="N1061" t="s">
        <v>927</v>
      </c>
    </row>
    <row r="1062" spans="1:14" x14ac:dyDescent="0.35">
      <c r="A1062" t="s">
        <v>3424</v>
      </c>
      <c r="B1062" t="s">
        <v>3425</v>
      </c>
      <c r="C1062" t="s">
        <v>62</v>
      </c>
      <c r="D1062">
        <v>65.94</v>
      </c>
      <c r="E1062">
        <v>2000</v>
      </c>
      <c r="F1062" t="s">
        <v>42</v>
      </c>
      <c r="G1062" t="s">
        <v>32</v>
      </c>
      <c r="H1062" t="s">
        <v>43</v>
      </c>
      <c r="J1062" t="s">
        <v>107</v>
      </c>
      <c r="K1062" t="s">
        <v>87</v>
      </c>
      <c r="L1062">
        <v>16</v>
      </c>
      <c r="N1062" t="s">
        <v>456</v>
      </c>
    </row>
    <row r="1063" spans="1:14" x14ac:dyDescent="0.35">
      <c r="A1063" t="s">
        <v>3426</v>
      </c>
      <c r="B1063" t="s">
        <v>3427</v>
      </c>
      <c r="C1063" t="s">
        <v>30</v>
      </c>
      <c r="D1063">
        <v>139.81</v>
      </c>
      <c r="E1063">
        <v>15000</v>
      </c>
      <c r="F1063" t="s">
        <v>117</v>
      </c>
      <c r="G1063" t="s">
        <v>32</v>
      </c>
      <c r="H1063" t="s">
        <v>43</v>
      </c>
      <c r="I1063" t="s">
        <v>34</v>
      </c>
      <c r="J1063" t="s">
        <v>70</v>
      </c>
      <c r="K1063" t="s">
        <v>31</v>
      </c>
      <c r="L1063">
        <v>5</v>
      </c>
      <c r="M1063" t="s">
        <v>3111</v>
      </c>
      <c r="N1063" t="s">
        <v>3428</v>
      </c>
    </row>
    <row r="1064" spans="1:14" x14ac:dyDescent="0.35">
      <c r="A1064" t="s">
        <v>3429</v>
      </c>
      <c r="B1064" t="s">
        <v>3430</v>
      </c>
      <c r="C1064" t="s">
        <v>62</v>
      </c>
      <c r="D1064">
        <v>56.41</v>
      </c>
      <c r="E1064">
        <v>3000</v>
      </c>
      <c r="F1064" t="s">
        <v>147</v>
      </c>
      <c r="G1064" t="s">
        <v>32</v>
      </c>
      <c r="H1064" t="s">
        <v>57</v>
      </c>
      <c r="I1064" t="s">
        <v>44</v>
      </c>
      <c r="J1064" t="s">
        <v>35</v>
      </c>
      <c r="K1064" t="s">
        <v>36</v>
      </c>
      <c r="L1064">
        <v>3</v>
      </c>
      <c r="M1064" t="s">
        <v>1434</v>
      </c>
      <c r="N1064" t="s">
        <v>3431</v>
      </c>
    </row>
    <row r="1065" spans="1:14" x14ac:dyDescent="0.35">
      <c r="A1065" t="s">
        <v>3432</v>
      </c>
      <c r="B1065" t="s">
        <v>3433</v>
      </c>
      <c r="C1065" t="s">
        <v>81</v>
      </c>
      <c r="D1065">
        <v>137.91</v>
      </c>
      <c r="E1065">
        <v>1000</v>
      </c>
      <c r="F1065" t="s">
        <v>51</v>
      </c>
      <c r="G1065" t="s">
        <v>32</v>
      </c>
      <c r="H1065" t="s">
        <v>57</v>
      </c>
      <c r="I1065" t="s">
        <v>129</v>
      </c>
      <c r="J1065" t="s">
        <v>75</v>
      </c>
      <c r="K1065" t="s">
        <v>76</v>
      </c>
      <c r="L1065">
        <v>18</v>
      </c>
      <c r="M1065" t="s">
        <v>1527</v>
      </c>
      <c r="N1065" t="s">
        <v>3434</v>
      </c>
    </row>
    <row r="1066" spans="1:14" x14ac:dyDescent="0.35">
      <c r="A1066" t="s">
        <v>3435</v>
      </c>
      <c r="B1066" t="s">
        <v>3436</v>
      </c>
      <c r="C1066" t="s">
        <v>116</v>
      </c>
      <c r="D1066">
        <v>10.32</v>
      </c>
      <c r="E1066">
        <v>700</v>
      </c>
      <c r="F1066" t="s">
        <v>123</v>
      </c>
      <c r="G1066" t="s">
        <v>32</v>
      </c>
      <c r="H1066" t="s">
        <v>57</v>
      </c>
      <c r="I1066" t="s">
        <v>129</v>
      </c>
      <c r="J1066" t="s">
        <v>112</v>
      </c>
      <c r="K1066" t="s">
        <v>106</v>
      </c>
      <c r="L1066">
        <v>2</v>
      </c>
      <c r="M1066" t="s">
        <v>266</v>
      </c>
      <c r="N1066" t="s">
        <v>1554</v>
      </c>
    </row>
    <row r="1067" spans="1:14" x14ac:dyDescent="0.35">
      <c r="A1067" t="s">
        <v>3437</v>
      </c>
      <c r="B1067" t="s">
        <v>3438</v>
      </c>
      <c r="C1067" t="s">
        <v>62</v>
      </c>
      <c r="D1067">
        <v>57.13</v>
      </c>
      <c r="E1067">
        <v>5000</v>
      </c>
      <c r="F1067" t="s">
        <v>42</v>
      </c>
      <c r="G1067" t="s">
        <v>32</v>
      </c>
      <c r="H1067" t="s">
        <v>43</v>
      </c>
      <c r="I1067" t="s">
        <v>34</v>
      </c>
      <c r="J1067" t="s">
        <v>70</v>
      </c>
      <c r="K1067" t="s">
        <v>31</v>
      </c>
      <c r="L1067">
        <v>13</v>
      </c>
      <c r="M1067" t="s">
        <v>1014</v>
      </c>
      <c r="N1067" t="s">
        <v>3439</v>
      </c>
    </row>
    <row r="1068" spans="1:14" x14ac:dyDescent="0.35">
      <c r="A1068" t="s">
        <v>3440</v>
      </c>
      <c r="B1068" t="s">
        <v>3441</v>
      </c>
      <c r="C1068" t="s">
        <v>30</v>
      </c>
      <c r="D1068">
        <v>177.98</v>
      </c>
      <c r="E1068">
        <v>15000</v>
      </c>
      <c r="F1068" t="s">
        <v>97</v>
      </c>
      <c r="G1068" t="s">
        <v>32</v>
      </c>
      <c r="H1068" t="s">
        <v>33</v>
      </c>
      <c r="I1068" t="s">
        <v>34</v>
      </c>
      <c r="J1068" t="s">
        <v>124</v>
      </c>
      <c r="K1068" t="s">
        <v>117</v>
      </c>
      <c r="L1068">
        <v>17</v>
      </c>
      <c r="M1068" t="s">
        <v>284</v>
      </c>
      <c r="N1068" t="s">
        <v>350</v>
      </c>
    </row>
    <row r="1069" spans="1:14" x14ac:dyDescent="0.35">
      <c r="A1069" t="s">
        <v>3442</v>
      </c>
      <c r="B1069" t="s">
        <v>3443</v>
      </c>
      <c r="C1069" t="s">
        <v>62</v>
      </c>
      <c r="D1069">
        <v>63.25</v>
      </c>
      <c r="E1069">
        <v>5000</v>
      </c>
      <c r="F1069" t="s">
        <v>236</v>
      </c>
      <c r="G1069" t="s">
        <v>32</v>
      </c>
      <c r="H1069" t="s">
        <v>43</v>
      </c>
      <c r="I1069" t="s">
        <v>34</v>
      </c>
      <c r="J1069" t="s">
        <v>3444</v>
      </c>
      <c r="K1069" t="s">
        <v>42</v>
      </c>
      <c r="L1069">
        <v>13</v>
      </c>
      <c r="M1069" t="s">
        <v>3445</v>
      </c>
      <c r="N1069" t="s">
        <v>3212</v>
      </c>
    </row>
    <row r="1070" spans="1:14" x14ac:dyDescent="0.35">
      <c r="A1070" t="s">
        <v>3446</v>
      </c>
      <c r="B1070" t="s">
        <v>3447</v>
      </c>
      <c r="C1070" t="s">
        <v>69</v>
      </c>
      <c r="D1070">
        <v>55.52</v>
      </c>
      <c r="E1070">
        <v>85000</v>
      </c>
      <c r="F1070" t="s">
        <v>42</v>
      </c>
      <c r="G1070" t="s">
        <v>32</v>
      </c>
      <c r="H1070" t="s">
        <v>33</v>
      </c>
      <c r="I1070" t="s">
        <v>44</v>
      </c>
      <c r="J1070" t="s">
        <v>118</v>
      </c>
      <c r="K1070" t="s">
        <v>42</v>
      </c>
      <c r="L1070">
        <v>18</v>
      </c>
      <c r="M1070" t="s">
        <v>1798</v>
      </c>
      <c r="N1070" t="s">
        <v>3448</v>
      </c>
    </row>
    <row r="1071" spans="1:14" x14ac:dyDescent="0.35">
      <c r="A1071" t="s">
        <v>3449</v>
      </c>
      <c r="B1071" t="s">
        <v>3450</v>
      </c>
      <c r="C1071" t="s">
        <v>62</v>
      </c>
      <c r="D1071">
        <v>86.4</v>
      </c>
      <c r="E1071">
        <v>2000</v>
      </c>
      <c r="F1071" t="s">
        <v>46</v>
      </c>
      <c r="G1071" t="s">
        <v>32</v>
      </c>
      <c r="H1071" t="s">
        <v>57</v>
      </c>
      <c r="I1071" t="s">
        <v>34</v>
      </c>
      <c r="J1071" t="s">
        <v>75</v>
      </c>
      <c r="K1071" t="s">
        <v>76</v>
      </c>
      <c r="L1071">
        <v>3</v>
      </c>
      <c r="M1071" t="s">
        <v>772</v>
      </c>
      <c r="N1071" t="s">
        <v>3074</v>
      </c>
    </row>
    <row r="1072" spans="1:14" x14ac:dyDescent="0.35">
      <c r="A1072" t="s">
        <v>3451</v>
      </c>
      <c r="B1072" t="s">
        <v>3452</v>
      </c>
      <c r="C1072" t="s">
        <v>30</v>
      </c>
      <c r="D1072">
        <v>173.98</v>
      </c>
      <c r="E1072">
        <v>8000</v>
      </c>
      <c r="F1072" t="s">
        <v>87</v>
      </c>
      <c r="G1072" t="s">
        <v>32</v>
      </c>
      <c r="H1072" t="s">
        <v>33</v>
      </c>
      <c r="I1072" t="s">
        <v>129</v>
      </c>
      <c r="J1072" t="s">
        <v>112</v>
      </c>
      <c r="K1072" t="s">
        <v>106</v>
      </c>
      <c r="L1072">
        <v>0</v>
      </c>
      <c r="M1072" t="s">
        <v>3453</v>
      </c>
      <c r="N1072" t="s">
        <v>3454</v>
      </c>
    </row>
    <row r="1073" spans="1:14" x14ac:dyDescent="0.35">
      <c r="A1073" t="s">
        <v>3455</v>
      </c>
      <c r="B1073" t="s">
        <v>3456</v>
      </c>
      <c r="C1073" t="s">
        <v>69</v>
      </c>
      <c r="D1073">
        <v>66.83</v>
      </c>
      <c r="E1073">
        <v>64000</v>
      </c>
      <c r="F1073" t="s">
        <v>36</v>
      </c>
      <c r="G1073" t="s">
        <v>32</v>
      </c>
      <c r="H1073" t="s">
        <v>33</v>
      </c>
      <c r="I1073" t="s">
        <v>34</v>
      </c>
      <c r="J1073" t="s">
        <v>130</v>
      </c>
      <c r="K1073" t="s">
        <v>123</v>
      </c>
      <c r="L1073">
        <v>20</v>
      </c>
      <c r="M1073" t="s">
        <v>3457</v>
      </c>
      <c r="N1073" t="s">
        <v>2022</v>
      </c>
    </row>
    <row r="1074" spans="1:14" x14ac:dyDescent="0.35">
      <c r="A1074" t="s">
        <v>3458</v>
      </c>
      <c r="B1074" t="s">
        <v>3459</v>
      </c>
      <c r="C1074" t="s">
        <v>81</v>
      </c>
      <c r="D1074">
        <v>93.27</v>
      </c>
      <c r="E1074">
        <v>2000</v>
      </c>
      <c r="F1074" t="s">
        <v>147</v>
      </c>
      <c r="G1074" t="s">
        <v>32</v>
      </c>
      <c r="H1074" t="s">
        <v>33</v>
      </c>
      <c r="I1074" t="s">
        <v>44</v>
      </c>
      <c r="J1074" t="s">
        <v>235</v>
      </c>
      <c r="K1074" t="s">
        <v>236</v>
      </c>
      <c r="L1074">
        <v>13</v>
      </c>
      <c r="M1074" t="s">
        <v>3457</v>
      </c>
      <c r="N1074" t="s">
        <v>1504</v>
      </c>
    </row>
    <row r="1075" spans="1:14" x14ac:dyDescent="0.35">
      <c r="A1075" t="s">
        <v>3460</v>
      </c>
      <c r="B1075" t="s">
        <v>3461</v>
      </c>
      <c r="C1075" t="s">
        <v>62</v>
      </c>
      <c r="D1075">
        <v>56.96</v>
      </c>
      <c r="E1075">
        <v>2000</v>
      </c>
      <c r="F1075" t="s">
        <v>117</v>
      </c>
      <c r="G1075" t="s">
        <v>32</v>
      </c>
      <c r="H1075" t="s">
        <v>33</v>
      </c>
      <c r="I1075" t="s">
        <v>34</v>
      </c>
      <c r="J1075" t="s">
        <v>45</v>
      </c>
      <c r="K1075" t="s">
        <v>46</v>
      </c>
      <c r="L1075">
        <v>20</v>
      </c>
      <c r="N1075" t="s">
        <v>1613</v>
      </c>
    </row>
    <row r="1076" spans="1:14" x14ac:dyDescent="0.35">
      <c r="A1076" t="s">
        <v>3462</v>
      </c>
      <c r="B1076" t="s">
        <v>3463</v>
      </c>
      <c r="C1076" t="s">
        <v>41</v>
      </c>
      <c r="D1076">
        <v>156.88</v>
      </c>
      <c r="E1076">
        <v>17000</v>
      </c>
      <c r="F1076" t="s">
        <v>139</v>
      </c>
      <c r="G1076" t="s">
        <v>32</v>
      </c>
      <c r="H1076" t="s">
        <v>33</v>
      </c>
      <c r="J1076" t="s">
        <v>209</v>
      </c>
      <c r="K1076" t="s">
        <v>74</v>
      </c>
      <c r="L1076">
        <v>17</v>
      </c>
      <c r="N1076" t="s">
        <v>2005</v>
      </c>
    </row>
    <row r="1077" spans="1:14" x14ac:dyDescent="0.35">
      <c r="A1077" t="s">
        <v>3464</v>
      </c>
      <c r="B1077" t="s">
        <v>3465</v>
      </c>
      <c r="C1077" t="s">
        <v>30</v>
      </c>
      <c r="D1077">
        <v>117.76</v>
      </c>
      <c r="E1077">
        <v>19000</v>
      </c>
      <c r="F1077" t="s">
        <v>42</v>
      </c>
      <c r="G1077" t="s">
        <v>32</v>
      </c>
      <c r="H1077" t="s">
        <v>43</v>
      </c>
      <c r="I1077" t="s">
        <v>44</v>
      </c>
      <c r="J1077" t="s">
        <v>278</v>
      </c>
      <c r="K1077" t="s">
        <v>97</v>
      </c>
      <c r="L1077">
        <v>21</v>
      </c>
      <c r="M1077" t="s">
        <v>2064</v>
      </c>
      <c r="N1077" t="s">
        <v>252</v>
      </c>
    </row>
    <row r="1078" spans="1:14" x14ac:dyDescent="0.35">
      <c r="A1078" t="s">
        <v>3466</v>
      </c>
      <c r="B1078" t="s">
        <v>3467</v>
      </c>
      <c r="C1078" t="s">
        <v>41</v>
      </c>
      <c r="D1078">
        <v>116.46</v>
      </c>
      <c r="E1078">
        <v>28000</v>
      </c>
      <c r="F1078" t="s">
        <v>147</v>
      </c>
      <c r="G1078" t="s">
        <v>32</v>
      </c>
      <c r="H1078" t="s">
        <v>43</v>
      </c>
      <c r="I1078" t="s">
        <v>129</v>
      </c>
      <c r="J1078" t="s">
        <v>63</v>
      </c>
      <c r="K1078" t="s">
        <v>64</v>
      </c>
      <c r="L1078">
        <v>13</v>
      </c>
      <c r="M1078" t="s">
        <v>1545</v>
      </c>
      <c r="N1078" t="s">
        <v>370</v>
      </c>
    </row>
    <row r="1079" spans="1:14" x14ac:dyDescent="0.35">
      <c r="A1079" t="s">
        <v>3468</v>
      </c>
      <c r="B1079" t="s">
        <v>3469</v>
      </c>
      <c r="C1079" t="s">
        <v>81</v>
      </c>
      <c r="D1079">
        <v>74.2</v>
      </c>
      <c r="E1079">
        <v>1000</v>
      </c>
      <c r="F1079" t="s">
        <v>123</v>
      </c>
      <c r="G1079" t="s">
        <v>32</v>
      </c>
      <c r="H1079" t="s">
        <v>33</v>
      </c>
      <c r="I1079" t="s">
        <v>34</v>
      </c>
      <c r="J1079" t="s">
        <v>118</v>
      </c>
      <c r="K1079" t="s">
        <v>42</v>
      </c>
      <c r="L1079">
        <v>5</v>
      </c>
      <c r="N1079" t="s">
        <v>3470</v>
      </c>
    </row>
    <row r="1080" spans="1:14" x14ac:dyDescent="0.35">
      <c r="A1080" t="s">
        <v>3471</v>
      </c>
      <c r="B1080" t="s">
        <v>3472</v>
      </c>
      <c r="C1080" t="s">
        <v>116</v>
      </c>
      <c r="D1080">
        <v>6.8</v>
      </c>
      <c r="E1080">
        <v>200</v>
      </c>
      <c r="F1080" t="s">
        <v>42</v>
      </c>
      <c r="G1080" t="s">
        <v>32</v>
      </c>
      <c r="H1080" t="s">
        <v>57</v>
      </c>
      <c r="I1080" t="s">
        <v>34</v>
      </c>
      <c r="J1080" t="s">
        <v>124</v>
      </c>
      <c r="K1080" t="s">
        <v>117</v>
      </c>
      <c r="L1080">
        <v>21</v>
      </c>
      <c r="N1080" t="s">
        <v>3348</v>
      </c>
    </row>
    <row r="1081" spans="1:14" x14ac:dyDescent="0.35">
      <c r="A1081" t="s">
        <v>3473</v>
      </c>
      <c r="B1081" t="s">
        <v>3474</v>
      </c>
      <c r="C1081" t="s">
        <v>41</v>
      </c>
      <c r="D1081">
        <v>137.63999999999999</v>
      </c>
      <c r="E1081">
        <v>13000</v>
      </c>
      <c r="F1081" t="s">
        <v>64</v>
      </c>
      <c r="G1081" t="s">
        <v>32</v>
      </c>
      <c r="H1081" t="s">
        <v>43</v>
      </c>
      <c r="I1081" t="s">
        <v>44</v>
      </c>
      <c r="J1081" t="s">
        <v>112</v>
      </c>
      <c r="K1081" t="s">
        <v>106</v>
      </c>
      <c r="L1081">
        <v>19</v>
      </c>
      <c r="N1081" t="s">
        <v>3475</v>
      </c>
    </row>
    <row r="1082" spans="1:14" x14ac:dyDescent="0.35">
      <c r="A1082" t="s">
        <v>3476</v>
      </c>
      <c r="B1082" t="s">
        <v>3477</v>
      </c>
      <c r="C1082" t="s">
        <v>30</v>
      </c>
      <c r="D1082">
        <v>104.99</v>
      </c>
      <c r="E1082">
        <v>3000</v>
      </c>
      <c r="F1082" t="s">
        <v>64</v>
      </c>
      <c r="G1082" t="s">
        <v>32</v>
      </c>
      <c r="H1082" t="s">
        <v>57</v>
      </c>
      <c r="I1082" t="s">
        <v>44</v>
      </c>
      <c r="J1082" t="s">
        <v>2313</v>
      </c>
      <c r="K1082" t="s">
        <v>139</v>
      </c>
      <c r="L1082">
        <v>12</v>
      </c>
      <c r="M1082" t="s">
        <v>1414</v>
      </c>
      <c r="N1082" t="s">
        <v>3077</v>
      </c>
    </row>
    <row r="1083" spans="1:14" x14ac:dyDescent="0.35">
      <c r="A1083" t="s">
        <v>3478</v>
      </c>
      <c r="B1083" t="s">
        <v>3479</v>
      </c>
      <c r="C1083" t="s">
        <v>81</v>
      </c>
      <c r="D1083">
        <v>137.32</v>
      </c>
      <c r="E1083">
        <v>8000</v>
      </c>
      <c r="F1083" t="s">
        <v>42</v>
      </c>
      <c r="G1083" t="s">
        <v>32</v>
      </c>
      <c r="H1083" t="s">
        <v>33</v>
      </c>
      <c r="I1083" t="s">
        <v>44</v>
      </c>
      <c r="J1083" t="s">
        <v>235</v>
      </c>
      <c r="K1083" t="s">
        <v>236</v>
      </c>
      <c r="L1083">
        <v>17</v>
      </c>
      <c r="M1083" t="s">
        <v>2221</v>
      </c>
      <c r="N1083" t="s">
        <v>1717</v>
      </c>
    </row>
    <row r="1084" spans="1:14" x14ac:dyDescent="0.35">
      <c r="A1084" t="s">
        <v>3480</v>
      </c>
      <c r="B1084" t="s">
        <v>3481</v>
      </c>
      <c r="C1084" t="s">
        <v>41</v>
      </c>
      <c r="D1084">
        <v>83.37</v>
      </c>
      <c r="E1084">
        <v>10000</v>
      </c>
      <c r="F1084" t="s">
        <v>139</v>
      </c>
      <c r="G1084" t="s">
        <v>32</v>
      </c>
      <c r="H1084" t="s">
        <v>33</v>
      </c>
      <c r="I1084" t="s">
        <v>34</v>
      </c>
      <c r="J1084" t="s">
        <v>82</v>
      </c>
      <c r="K1084" t="s">
        <v>74</v>
      </c>
      <c r="L1084">
        <v>13</v>
      </c>
      <c r="N1084" t="s">
        <v>489</v>
      </c>
    </row>
    <row r="1085" spans="1:14" x14ac:dyDescent="0.35">
      <c r="A1085" t="s">
        <v>3482</v>
      </c>
      <c r="B1085" t="s">
        <v>3483</v>
      </c>
      <c r="C1085" t="s">
        <v>81</v>
      </c>
      <c r="D1085">
        <v>93.67</v>
      </c>
      <c r="E1085">
        <v>3000</v>
      </c>
      <c r="F1085" t="s">
        <v>117</v>
      </c>
      <c r="G1085" t="s">
        <v>32</v>
      </c>
      <c r="H1085" t="s">
        <v>57</v>
      </c>
      <c r="I1085" t="s">
        <v>129</v>
      </c>
      <c r="J1085" t="s">
        <v>124</v>
      </c>
      <c r="K1085" t="s">
        <v>117</v>
      </c>
      <c r="L1085">
        <v>6</v>
      </c>
      <c r="M1085" t="s">
        <v>2557</v>
      </c>
      <c r="N1085" t="s">
        <v>3484</v>
      </c>
    </row>
    <row r="1086" spans="1:14" x14ac:dyDescent="0.35">
      <c r="A1086" t="s">
        <v>3485</v>
      </c>
      <c r="B1086" t="s">
        <v>3486</v>
      </c>
      <c r="C1086" t="s">
        <v>30</v>
      </c>
      <c r="D1086">
        <v>158.52000000000001</v>
      </c>
      <c r="E1086">
        <v>17000</v>
      </c>
      <c r="F1086" t="s">
        <v>87</v>
      </c>
      <c r="G1086" t="s">
        <v>32</v>
      </c>
      <c r="H1086" t="s">
        <v>57</v>
      </c>
      <c r="I1086" t="s">
        <v>44</v>
      </c>
      <c r="J1086" t="s">
        <v>63</v>
      </c>
      <c r="K1086" t="s">
        <v>64</v>
      </c>
      <c r="L1086">
        <v>5</v>
      </c>
      <c r="N1086" t="s">
        <v>3487</v>
      </c>
    </row>
    <row r="1087" spans="1:14" x14ac:dyDescent="0.35">
      <c r="A1087" t="s">
        <v>3488</v>
      </c>
      <c r="B1087" t="s">
        <v>3489</v>
      </c>
      <c r="C1087" t="s">
        <v>116</v>
      </c>
      <c r="D1087">
        <v>11.62</v>
      </c>
      <c r="E1087">
        <v>500</v>
      </c>
      <c r="F1087" t="s">
        <v>74</v>
      </c>
      <c r="G1087" t="s">
        <v>102</v>
      </c>
      <c r="H1087" t="s">
        <v>57</v>
      </c>
      <c r="I1087" t="s">
        <v>34</v>
      </c>
      <c r="J1087" t="s">
        <v>3490</v>
      </c>
      <c r="K1087" t="s">
        <v>139</v>
      </c>
      <c r="L1087">
        <v>12</v>
      </c>
      <c r="M1087" t="s">
        <v>3491</v>
      </c>
      <c r="N1087" t="s">
        <v>1610</v>
      </c>
    </row>
    <row r="1088" spans="1:14" x14ac:dyDescent="0.35">
      <c r="A1088" t="s">
        <v>3492</v>
      </c>
      <c r="B1088" t="s">
        <v>3493</v>
      </c>
      <c r="C1088" t="s">
        <v>69</v>
      </c>
      <c r="D1088">
        <v>79.459999999999994</v>
      </c>
      <c r="E1088">
        <v>79000</v>
      </c>
      <c r="F1088" t="s">
        <v>236</v>
      </c>
      <c r="G1088" t="s">
        <v>32</v>
      </c>
      <c r="H1088" t="s">
        <v>33</v>
      </c>
      <c r="I1088" t="s">
        <v>44</v>
      </c>
      <c r="J1088" t="s">
        <v>3494</v>
      </c>
      <c r="K1088" t="s">
        <v>51</v>
      </c>
      <c r="L1088">
        <v>17</v>
      </c>
      <c r="M1088" t="s">
        <v>1460</v>
      </c>
      <c r="N1088" t="s">
        <v>1340</v>
      </c>
    </row>
    <row r="1089" spans="1:14" x14ac:dyDescent="0.35">
      <c r="A1089" t="s">
        <v>3495</v>
      </c>
      <c r="B1089" t="s">
        <v>3496</v>
      </c>
      <c r="C1089" t="s">
        <v>30</v>
      </c>
      <c r="D1089">
        <v>117.19</v>
      </c>
      <c r="E1089">
        <v>10000</v>
      </c>
      <c r="F1089" t="s">
        <v>46</v>
      </c>
      <c r="G1089" t="s">
        <v>32</v>
      </c>
      <c r="H1089" t="s">
        <v>33</v>
      </c>
      <c r="I1089" t="s">
        <v>44</v>
      </c>
      <c r="J1089" t="s">
        <v>112</v>
      </c>
      <c r="K1089" t="s">
        <v>106</v>
      </c>
      <c r="L1089">
        <v>23</v>
      </c>
      <c r="N1089" t="s">
        <v>3497</v>
      </c>
    </row>
    <row r="1090" spans="1:14" x14ac:dyDescent="0.35">
      <c r="A1090" t="s">
        <v>3498</v>
      </c>
      <c r="B1090" t="s">
        <v>3499</v>
      </c>
      <c r="C1090" t="s">
        <v>62</v>
      </c>
      <c r="D1090">
        <v>66.44</v>
      </c>
      <c r="E1090">
        <v>1000</v>
      </c>
      <c r="F1090" t="s">
        <v>64</v>
      </c>
      <c r="G1090" t="s">
        <v>32</v>
      </c>
      <c r="H1090" t="s">
        <v>57</v>
      </c>
      <c r="I1090" t="s">
        <v>44</v>
      </c>
      <c r="J1090" t="s">
        <v>112</v>
      </c>
      <c r="K1090" t="s">
        <v>106</v>
      </c>
      <c r="L1090">
        <v>9</v>
      </c>
      <c r="N1090" t="s">
        <v>1163</v>
      </c>
    </row>
    <row r="1091" spans="1:14" x14ac:dyDescent="0.35">
      <c r="A1091" t="s">
        <v>3500</v>
      </c>
      <c r="B1091" t="s">
        <v>3501</v>
      </c>
      <c r="C1091" t="s">
        <v>69</v>
      </c>
      <c r="D1091">
        <v>65.58</v>
      </c>
      <c r="E1091">
        <v>24000</v>
      </c>
      <c r="F1091" t="s">
        <v>36</v>
      </c>
      <c r="G1091" t="s">
        <v>32</v>
      </c>
      <c r="H1091" t="s">
        <v>33</v>
      </c>
      <c r="I1091" t="s">
        <v>129</v>
      </c>
      <c r="J1091" t="s">
        <v>82</v>
      </c>
      <c r="K1091" t="s">
        <v>74</v>
      </c>
      <c r="L1091">
        <v>10</v>
      </c>
      <c r="N1091" t="s">
        <v>3502</v>
      </c>
    </row>
    <row r="1092" spans="1:14" x14ac:dyDescent="0.35">
      <c r="A1092" t="s">
        <v>3503</v>
      </c>
      <c r="B1092" t="s">
        <v>3504</v>
      </c>
      <c r="C1092" t="s">
        <v>116</v>
      </c>
      <c r="D1092">
        <v>11.47</v>
      </c>
      <c r="E1092">
        <v>400</v>
      </c>
      <c r="F1092" t="s">
        <v>51</v>
      </c>
      <c r="G1092" t="s">
        <v>32</v>
      </c>
      <c r="H1092" t="s">
        <v>43</v>
      </c>
      <c r="J1092" t="s">
        <v>179</v>
      </c>
      <c r="K1092" t="s">
        <v>97</v>
      </c>
      <c r="L1092">
        <v>18</v>
      </c>
      <c r="M1092" t="s">
        <v>1040</v>
      </c>
      <c r="N1092" t="s">
        <v>501</v>
      </c>
    </row>
    <row r="1093" spans="1:14" x14ac:dyDescent="0.35">
      <c r="A1093" t="s">
        <v>3505</v>
      </c>
      <c r="B1093" t="s">
        <v>3506</v>
      </c>
      <c r="C1093" t="s">
        <v>62</v>
      </c>
      <c r="D1093">
        <v>58.22</v>
      </c>
      <c r="E1093">
        <v>2000</v>
      </c>
      <c r="F1093" t="s">
        <v>236</v>
      </c>
      <c r="G1093" t="s">
        <v>32</v>
      </c>
      <c r="H1093" t="s">
        <v>43</v>
      </c>
      <c r="I1093" t="s">
        <v>34</v>
      </c>
      <c r="J1093" t="s">
        <v>63</v>
      </c>
      <c r="K1093" t="s">
        <v>64</v>
      </c>
      <c r="L1093">
        <v>10</v>
      </c>
      <c r="N1093" t="s">
        <v>3215</v>
      </c>
    </row>
    <row r="1094" spans="1:14" x14ac:dyDescent="0.35">
      <c r="A1094" t="s">
        <v>3507</v>
      </c>
      <c r="B1094" t="s">
        <v>3508</v>
      </c>
      <c r="C1094" t="s">
        <v>62</v>
      </c>
      <c r="D1094">
        <v>66.08</v>
      </c>
      <c r="E1094">
        <v>5000</v>
      </c>
      <c r="F1094" t="s">
        <v>97</v>
      </c>
      <c r="G1094" t="s">
        <v>32</v>
      </c>
      <c r="H1094" t="s">
        <v>43</v>
      </c>
      <c r="I1094" t="s">
        <v>34</v>
      </c>
      <c r="J1094" t="s">
        <v>320</v>
      </c>
      <c r="K1094" t="s">
        <v>97</v>
      </c>
      <c r="L1094">
        <v>5</v>
      </c>
      <c r="M1094" t="s">
        <v>1014</v>
      </c>
      <c r="N1094" t="s">
        <v>1047</v>
      </c>
    </row>
    <row r="1095" spans="1:14" x14ac:dyDescent="0.35">
      <c r="A1095" t="s">
        <v>3509</v>
      </c>
      <c r="B1095" t="s">
        <v>3510</v>
      </c>
      <c r="C1095" t="s">
        <v>69</v>
      </c>
      <c r="D1095">
        <v>85.51</v>
      </c>
      <c r="E1095">
        <v>76000</v>
      </c>
      <c r="F1095" t="s">
        <v>139</v>
      </c>
      <c r="G1095" t="s">
        <v>32</v>
      </c>
      <c r="H1095" t="s">
        <v>57</v>
      </c>
      <c r="J1095" t="s">
        <v>209</v>
      </c>
      <c r="K1095" t="s">
        <v>74</v>
      </c>
      <c r="L1095">
        <v>15</v>
      </c>
      <c r="N1095" t="s">
        <v>2521</v>
      </c>
    </row>
    <row r="1096" spans="1:14" x14ac:dyDescent="0.35">
      <c r="A1096" t="s">
        <v>3511</v>
      </c>
      <c r="B1096" t="s">
        <v>3512</v>
      </c>
      <c r="C1096" t="s">
        <v>41</v>
      </c>
      <c r="D1096">
        <v>86.48</v>
      </c>
      <c r="E1096">
        <v>19000</v>
      </c>
      <c r="F1096" t="s">
        <v>74</v>
      </c>
      <c r="G1096" t="s">
        <v>32</v>
      </c>
      <c r="H1096" t="s">
        <v>33</v>
      </c>
      <c r="J1096" t="s">
        <v>2313</v>
      </c>
      <c r="K1096" t="s">
        <v>139</v>
      </c>
      <c r="L1096">
        <v>9</v>
      </c>
      <c r="M1096" t="s">
        <v>1273</v>
      </c>
      <c r="N1096" t="s">
        <v>1384</v>
      </c>
    </row>
    <row r="1097" spans="1:14" x14ac:dyDescent="0.35">
      <c r="A1097" t="s">
        <v>3513</v>
      </c>
      <c r="B1097" t="s">
        <v>3514</v>
      </c>
      <c r="C1097" t="s">
        <v>41</v>
      </c>
      <c r="D1097">
        <v>152.94</v>
      </c>
      <c r="E1097">
        <v>31000</v>
      </c>
      <c r="F1097" t="s">
        <v>64</v>
      </c>
      <c r="G1097" t="s">
        <v>32</v>
      </c>
      <c r="H1097" t="s">
        <v>43</v>
      </c>
      <c r="I1097" t="s">
        <v>44</v>
      </c>
      <c r="J1097" t="s">
        <v>107</v>
      </c>
      <c r="K1097" t="s">
        <v>87</v>
      </c>
      <c r="L1097">
        <v>20</v>
      </c>
      <c r="M1097" t="s">
        <v>353</v>
      </c>
      <c r="N1097" t="s">
        <v>890</v>
      </c>
    </row>
    <row r="1098" spans="1:14" x14ac:dyDescent="0.35">
      <c r="A1098" t="s">
        <v>3515</v>
      </c>
      <c r="B1098" t="s">
        <v>3516</v>
      </c>
      <c r="C1098" t="s">
        <v>116</v>
      </c>
      <c r="D1098">
        <v>9.93</v>
      </c>
      <c r="E1098">
        <v>500</v>
      </c>
      <c r="F1098" t="s">
        <v>31</v>
      </c>
      <c r="G1098" t="s">
        <v>32</v>
      </c>
      <c r="H1098" t="s">
        <v>33</v>
      </c>
      <c r="J1098" t="s">
        <v>1637</v>
      </c>
      <c r="K1098" t="s">
        <v>97</v>
      </c>
      <c r="L1098">
        <v>7</v>
      </c>
      <c r="M1098" t="s">
        <v>362</v>
      </c>
      <c r="N1098" t="s">
        <v>3517</v>
      </c>
    </row>
    <row r="1099" spans="1:14" x14ac:dyDescent="0.35">
      <c r="A1099" t="s">
        <v>3518</v>
      </c>
      <c r="B1099" t="s">
        <v>3519</v>
      </c>
      <c r="C1099" t="s">
        <v>69</v>
      </c>
      <c r="D1099">
        <v>80.819999999999993</v>
      </c>
      <c r="E1099">
        <v>75000</v>
      </c>
      <c r="F1099" t="s">
        <v>236</v>
      </c>
      <c r="G1099" t="s">
        <v>32</v>
      </c>
      <c r="H1099" t="s">
        <v>57</v>
      </c>
      <c r="I1099" t="s">
        <v>34</v>
      </c>
      <c r="J1099" t="s">
        <v>75</v>
      </c>
      <c r="K1099" t="s">
        <v>76</v>
      </c>
      <c r="L1099">
        <v>5</v>
      </c>
      <c r="M1099" t="s">
        <v>2175</v>
      </c>
      <c r="N1099" t="s">
        <v>3348</v>
      </c>
    </row>
    <row r="1100" spans="1:14" x14ac:dyDescent="0.35">
      <c r="A1100" t="s">
        <v>3520</v>
      </c>
      <c r="B1100" t="s">
        <v>3521</v>
      </c>
      <c r="C1100" t="s">
        <v>116</v>
      </c>
      <c r="D1100">
        <v>6.18</v>
      </c>
      <c r="E1100">
        <v>700</v>
      </c>
      <c r="F1100" t="s">
        <v>139</v>
      </c>
      <c r="G1100" t="s">
        <v>32</v>
      </c>
      <c r="H1100" t="s">
        <v>57</v>
      </c>
      <c r="J1100" t="s">
        <v>2422</v>
      </c>
      <c r="K1100" t="s">
        <v>51</v>
      </c>
      <c r="L1100">
        <v>18</v>
      </c>
      <c r="M1100" t="s">
        <v>131</v>
      </c>
      <c r="N1100" t="s">
        <v>2678</v>
      </c>
    </row>
    <row r="1101" spans="1:14" x14ac:dyDescent="0.35">
      <c r="A1101" t="s">
        <v>3522</v>
      </c>
      <c r="B1101" t="s">
        <v>3523</v>
      </c>
      <c r="C1101" t="s">
        <v>41</v>
      </c>
      <c r="D1101">
        <v>82.88</v>
      </c>
      <c r="E1101">
        <v>22000</v>
      </c>
      <c r="F1101" t="s">
        <v>97</v>
      </c>
      <c r="G1101" t="s">
        <v>32</v>
      </c>
      <c r="H1101" t="s">
        <v>57</v>
      </c>
      <c r="I1101" t="s">
        <v>34</v>
      </c>
      <c r="J1101" t="s">
        <v>124</v>
      </c>
      <c r="K1101" t="s">
        <v>117</v>
      </c>
      <c r="L1101">
        <v>22</v>
      </c>
      <c r="M1101" t="s">
        <v>539</v>
      </c>
      <c r="N1101" t="s">
        <v>71</v>
      </c>
    </row>
    <row r="1102" spans="1:14" x14ac:dyDescent="0.35">
      <c r="A1102" t="s">
        <v>3524</v>
      </c>
      <c r="B1102" t="s">
        <v>3525</v>
      </c>
      <c r="C1102" t="s">
        <v>62</v>
      </c>
      <c r="D1102">
        <v>54.94</v>
      </c>
      <c r="E1102">
        <v>1000</v>
      </c>
      <c r="F1102" t="s">
        <v>87</v>
      </c>
      <c r="G1102" t="s">
        <v>32</v>
      </c>
      <c r="H1102" t="s">
        <v>43</v>
      </c>
      <c r="I1102" t="s">
        <v>44</v>
      </c>
      <c r="J1102" t="s">
        <v>124</v>
      </c>
      <c r="K1102" t="s">
        <v>117</v>
      </c>
      <c r="L1102">
        <v>3</v>
      </c>
      <c r="M1102" t="s">
        <v>1136</v>
      </c>
      <c r="N1102" t="s">
        <v>3304</v>
      </c>
    </row>
    <row r="1103" spans="1:14" x14ac:dyDescent="0.35">
      <c r="A1103" t="s">
        <v>3526</v>
      </c>
      <c r="B1103" t="s">
        <v>3527</v>
      </c>
      <c r="C1103" t="s">
        <v>116</v>
      </c>
      <c r="D1103">
        <v>8.7899999999999991</v>
      </c>
      <c r="E1103">
        <v>500</v>
      </c>
      <c r="F1103" t="s">
        <v>51</v>
      </c>
      <c r="G1103" t="s">
        <v>32</v>
      </c>
      <c r="H1103" t="s">
        <v>43</v>
      </c>
      <c r="I1103" t="s">
        <v>44</v>
      </c>
      <c r="J1103" t="s">
        <v>118</v>
      </c>
      <c r="K1103" t="s">
        <v>42</v>
      </c>
      <c r="L1103">
        <v>20</v>
      </c>
      <c r="N1103" t="s">
        <v>3528</v>
      </c>
    </row>
    <row r="1104" spans="1:14" x14ac:dyDescent="0.35">
      <c r="A1104" t="s">
        <v>3529</v>
      </c>
      <c r="B1104" t="s">
        <v>3530</v>
      </c>
      <c r="C1104" t="s">
        <v>116</v>
      </c>
      <c r="D1104">
        <v>8.14</v>
      </c>
      <c r="E1104">
        <v>600</v>
      </c>
      <c r="F1104" t="s">
        <v>97</v>
      </c>
      <c r="G1104" t="s">
        <v>32</v>
      </c>
      <c r="H1104" t="s">
        <v>33</v>
      </c>
      <c r="I1104" t="s">
        <v>34</v>
      </c>
      <c r="J1104" t="s">
        <v>3531</v>
      </c>
      <c r="K1104" t="s">
        <v>147</v>
      </c>
      <c r="L1104">
        <v>15</v>
      </c>
      <c r="M1104" t="s">
        <v>2280</v>
      </c>
      <c r="N1104" t="s">
        <v>3470</v>
      </c>
    </row>
    <row r="1105" spans="1:14" x14ac:dyDescent="0.35">
      <c r="A1105" t="s">
        <v>3532</v>
      </c>
      <c r="B1105" t="s">
        <v>3533</v>
      </c>
      <c r="C1105" t="s">
        <v>41</v>
      </c>
      <c r="D1105">
        <v>158.99</v>
      </c>
      <c r="E1105">
        <v>23000</v>
      </c>
      <c r="F1105" t="s">
        <v>46</v>
      </c>
      <c r="G1105" t="s">
        <v>32</v>
      </c>
      <c r="H1105" t="s">
        <v>33</v>
      </c>
      <c r="I1105" t="s">
        <v>34</v>
      </c>
      <c r="J1105" t="s">
        <v>130</v>
      </c>
      <c r="K1105" t="s">
        <v>123</v>
      </c>
      <c r="L1105">
        <v>0</v>
      </c>
      <c r="N1105" t="s">
        <v>3534</v>
      </c>
    </row>
    <row r="1106" spans="1:14" x14ac:dyDescent="0.35">
      <c r="A1106" t="s">
        <v>3535</v>
      </c>
      <c r="B1106" t="s">
        <v>3536</v>
      </c>
      <c r="C1106" t="s">
        <v>81</v>
      </c>
      <c r="D1106">
        <v>138.36000000000001</v>
      </c>
      <c r="E1106">
        <v>9000</v>
      </c>
      <c r="F1106" t="s">
        <v>97</v>
      </c>
      <c r="G1106" t="s">
        <v>32</v>
      </c>
      <c r="H1106" t="s">
        <v>33</v>
      </c>
      <c r="I1106" t="s">
        <v>34</v>
      </c>
      <c r="J1106" t="s">
        <v>3537</v>
      </c>
      <c r="K1106" t="s">
        <v>87</v>
      </c>
      <c r="L1106">
        <v>20</v>
      </c>
      <c r="M1106" t="s">
        <v>1190</v>
      </c>
      <c r="N1106" t="s">
        <v>3538</v>
      </c>
    </row>
    <row r="1107" spans="1:14" x14ac:dyDescent="0.35">
      <c r="A1107" t="s">
        <v>3539</v>
      </c>
      <c r="B1107" t="s">
        <v>3540</v>
      </c>
      <c r="C1107" t="s">
        <v>81</v>
      </c>
      <c r="D1107">
        <v>103.56</v>
      </c>
      <c r="E1107">
        <v>7000</v>
      </c>
      <c r="F1107" t="s">
        <v>31</v>
      </c>
      <c r="G1107" t="s">
        <v>32</v>
      </c>
      <c r="H1107" t="s">
        <v>43</v>
      </c>
      <c r="J1107" t="s">
        <v>3541</v>
      </c>
      <c r="K1107" t="s">
        <v>36</v>
      </c>
      <c r="L1107">
        <v>23</v>
      </c>
      <c r="N1107" t="s">
        <v>3542</v>
      </c>
    </row>
    <row r="1108" spans="1:14" x14ac:dyDescent="0.35">
      <c r="A1108" t="s">
        <v>3543</v>
      </c>
      <c r="B1108" t="s">
        <v>3544</v>
      </c>
      <c r="C1108" t="s">
        <v>116</v>
      </c>
      <c r="D1108">
        <v>8.3800000000000008</v>
      </c>
      <c r="E1108">
        <v>700</v>
      </c>
      <c r="F1108" t="s">
        <v>97</v>
      </c>
      <c r="G1108" t="s">
        <v>32</v>
      </c>
      <c r="H1108" t="s">
        <v>43</v>
      </c>
      <c r="I1108" t="s">
        <v>129</v>
      </c>
      <c r="J1108" t="s">
        <v>118</v>
      </c>
      <c r="K1108" t="s">
        <v>42</v>
      </c>
      <c r="L1108">
        <v>18</v>
      </c>
      <c r="M1108" t="s">
        <v>3545</v>
      </c>
      <c r="N1108" t="s">
        <v>2593</v>
      </c>
    </row>
    <row r="1109" spans="1:14" x14ac:dyDescent="0.35">
      <c r="A1109" t="s">
        <v>3546</v>
      </c>
      <c r="B1109" t="s">
        <v>3547</v>
      </c>
      <c r="C1109" t="s">
        <v>62</v>
      </c>
      <c r="D1109">
        <v>84.24</v>
      </c>
      <c r="E1109">
        <v>5000</v>
      </c>
      <c r="F1109" t="s">
        <v>46</v>
      </c>
      <c r="G1109" t="s">
        <v>32</v>
      </c>
      <c r="H1109" t="s">
        <v>43</v>
      </c>
      <c r="I1109" t="s">
        <v>129</v>
      </c>
      <c r="J1109" t="s">
        <v>1637</v>
      </c>
      <c r="K1109" t="s">
        <v>97</v>
      </c>
      <c r="L1109">
        <v>14</v>
      </c>
      <c r="N1109" t="s">
        <v>1302</v>
      </c>
    </row>
    <row r="1110" spans="1:14" x14ac:dyDescent="0.35">
      <c r="A1110" t="s">
        <v>3548</v>
      </c>
      <c r="B1110" t="s">
        <v>3549</v>
      </c>
      <c r="C1110" t="s">
        <v>41</v>
      </c>
      <c r="D1110">
        <v>96.7</v>
      </c>
      <c r="E1110">
        <v>23000</v>
      </c>
      <c r="F1110" t="s">
        <v>123</v>
      </c>
      <c r="G1110" t="s">
        <v>32</v>
      </c>
      <c r="H1110" t="s">
        <v>43</v>
      </c>
      <c r="I1110" t="s">
        <v>129</v>
      </c>
      <c r="J1110" t="s">
        <v>2775</v>
      </c>
      <c r="K1110" t="s">
        <v>64</v>
      </c>
      <c r="L1110">
        <v>17</v>
      </c>
      <c r="N1110" t="s">
        <v>3550</v>
      </c>
    </row>
    <row r="1111" spans="1:14" x14ac:dyDescent="0.35">
      <c r="A1111" t="s">
        <v>3551</v>
      </c>
      <c r="B1111" t="s">
        <v>3552</v>
      </c>
      <c r="C1111" t="s">
        <v>41</v>
      </c>
      <c r="D1111">
        <v>151.81</v>
      </c>
      <c r="E1111">
        <v>24000</v>
      </c>
      <c r="F1111" t="s">
        <v>76</v>
      </c>
      <c r="G1111" t="s">
        <v>32</v>
      </c>
      <c r="H1111" t="s">
        <v>43</v>
      </c>
      <c r="I1111" t="s">
        <v>34</v>
      </c>
      <c r="J1111" t="s">
        <v>683</v>
      </c>
      <c r="K1111" t="s">
        <v>97</v>
      </c>
      <c r="L1111">
        <v>20</v>
      </c>
      <c r="M1111" t="s">
        <v>987</v>
      </c>
      <c r="N1111" t="s">
        <v>3553</v>
      </c>
    </row>
    <row r="1112" spans="1:14" x14ac:dyDescent="0.35">
      <c r="A1112" t="s">
        <v>3554</v>
      </c>
      <c r="B1112" t="s">
        <v>3555</v>
      </c>
      <c r="C1112" t="s">
        <v>30</v>
      </c>
      <c r="D1112">
        <v>119.12</v>
      </c>
      <c r="E1112">
        <v>3000</v>
      </c>
      <c r="F1112" t="s">
        <v>31</v>
      </c>
      <c r="G1112" t="s">
        <v>32</v>
      </c>
      <c r="H1112" t="s">
        <v>57</v>
      </c>
      <c r="I1112" t="s">
        <v>34</v>
      </c>
      <c r="J1112" t="s">
        <v>3556</v>
      </c>
      <c r="K1112" t="s">
        <v>236</v>
      </c>
      <c r="L1112">
        <v>13</v>
      </c>
      <c r="N1112" t="s">
        <v>761</v>
      </c>
    </row>
    <row r="1113" spans="1:14" x14ac:dyDescent="0.35">
      <c r="A1113" t="s">
        <v>3557</v>
      </c>
      <c r="B1113" t="s">
        <v>3558</v>
      </c>
      <c r="C1113" t="s">
        <v>30</v>
      </c>
      <c r="D1113">
        <v>196.3</v>
      </c>
      <c r="E1113">
        <v>1000</v>
      </c>
      <c r="F1113" t="s">
        <v>74</v>
      </c>
      <c r="G1113" t="s">
        <v>32</v>
      </c>
      <c r="H1113" t="s">
        <v>43</v>
      </c>
      <c r="I1113" t="s">
        <v>44</v>
      </c>
      <c r="J1113" t="s">
        <v>112</v>
      </c>
      <c r="K1113" t="s">
        <v>106</v>
      </c>
      <c r="L1113">
        <v>21</v>
      </c>
      <c r="N1113" t="s">
        <v>3559</v>
      </c>
    </row>
    <row r="1114" spans="1:14" x14ac:dyDescent="0.35">
      <c r="A1114" t="s">
        <v>3560</v>
      </c>
      <c r="B1114" t="s">
        <v>3561</v>
      </c>
      <c r="C1114" t="s">
        <v>116</v>
      </c>
      <c r="D1114">
        <v>8.15</v>
      </c>
      <c r="E1114">
        <v>300</v>
      </c>
      <c r="F1114" t="s">
        <v>87</v>
      </c>
      <c r="G1114" t="s">
        <v>32</v>
      </c>
      <c r="H1114" t="s">
        <v>43</v>
      </c>
      <c r="I1114" t="s">
        <v>44</v>
      </c>
      <c r="J1114" t="s">
        <v>3562</v>
      </c>
      <c r="K1114" t="s">
        <v>147</v>
      </c>
      <c r="L1114">
        <v>7</v>
      </c>
      <c r="N1114" t="s">
        <v>486</v>
      </c>
    </row>
    <row r="1115" spans="1:14" x14ac:dyDescent="0.35">
      <c r="A1115" t="s">
        <v>3563</v>
      </c>
      <c r="B1115" t="s">
        <v>3564</v>
      </c>
      <c r="C1115" t="s">
        <v>62</v>
      </c>
      <c r="D1115">
        <v>98.72</v>
      </c>
      <c r="E1115">
        <v>1000</v>
      </c>
      <c r="F1115" t="s">
        <v>147</v>
      </c>
      <c r="G1115" t="s">
        <v>32</v>
      </c>
      <c r="H1115" t="s">
        <v>33</v>
      </c>
      <c r="I1115" t="s">
        <v>44</v>
      </c>
      <c r="J1115" t="s">
        <v>107</v>
      </c>
      <c r="K1115" t="s">
        <v>87</v>
      </c>
      <c r="L1115">
        <v>15</v>
      </c>
      <c r="M1115" t="s">
        <v>492</v>
      </c>
      <c r="N1115" t="s">
        <v>1320</v>
      </c>
    </row>
    <row r="1116" spans="1:14" x14ac:dyDescent="0.35">
      <c r="A1116" t="s">
        <v>3565</v>
      </c>
      <c r="B1116" t="s">
        <v>3566</v>
      </c>
      <c r="C1116" t="s">
        <v>69</v>
      </c>
      <c r="D1116">
        <v>90.34</v>
      </c>
      <c r="E1116">
        <v>41000</v>
      </c>
      <c r="F1116" t="s">
        <v>97</v>
      </c>
      <c r="G1116" t="s">
        <v>32</v>
      </c>
      <c r="H1116" t="s">
        <v>57</v>
      </c>
      <c r="I1116" t="s">
        <v>34</v>
      </c>
      <c r="J1116" t="s">
        <v>130</v>
      </c>
      <c r="K1116" t="s">
        <v>123</v>
      </c>
      <c r="L1116">
        <v>14</v>
      </c>
      <c r="N1116" t="s">
        <v>1144</v>
      </c>
    </row>
    <row r="1117" spans="1:14" x14ac:dyDescent="0.35">
      <c r="A1117" t="s">
        <v>3567</v>
      </c>
      <c r="B1117" t="s">
        <v>3568</v>
      </c>
      <c r="C1117" t="s">
        <v>81</v>
      </c>
      <c r="D1117">
        <v>71.2</v>
      </c>
      <c r="E1117">
        <v>2000</v>
      </c>
      <c r="F1117" t="s">
        <v>117</v>
      </c>
      <c r="G1117" t="s">
        <v>32</v>
      </c>
      <c r="H1117" t="s">
        <v>33</v>
      </c>
      <c r="J1117" t="s">
        <v>75</v>
      </c>
      <c r="K1117" t="s">
        <v>76</v>
      </c>
      <c r="L1117">
        <v>15</v>
      </c>
      <c r="N1117" t="s">
        <v>3569</v>
      </c>
    </row>
    <row r="1118" spans="1:14" x14ac:dyDescent="0.35">
      <c r="A1118" t="s">
        <v>3570</v>
      </c>
      <c r="B1118" t="s">
        <v>3571</v>
      </c>
      <c r="C1118" t="s">
        <v>69</v>
      </c>
      <c r="D1118">
        <v>59.69</v>
      </c>
      <c r="E1118">
        <v>18000</v>
      </c>
      <c r="F1118" t="s">
        <v>74</v>
      </c>
      <c r="G1118" t="s">
        <v>32</v>
      </c>
      <c r="H1118" t="s">
        <v>33</v>
      </c>
      <c r="I1118" t="s">
        <v>44</v>
      </c>
      <c r="J1118" t="s">
        <v>130</v>
      </c>
      <c r="K1118" t="s">
        <v>123</v>
      </c>
      <c r="L1118">
        <v>6</v>
      </c>
      <c r="M1118" t="s">
        <v>1190</v>
      </c>
      <c r="N1118" t="s">
        <v>1669</v>
      </c>
    </row>
    <row r="1119" spans="1:14" x14ac:dyDescent="0.35">
      <c r="A1119" t="s">
        <v>3572</v>
      </c>
      <c r="B1119" t="s">
        <v>3573</v>
      </c>
      <c r="C1119" t="s">
        <v>41</v>
      </c>
      <c r="D1119">
        <v>150.18</v>
      </c>
      <c r="E1119">
        <v>23000</v>
      </c>
      <c r="F1119" t="s">
        <v>76</v>
      </c>
      <c r="G1119" t="s">
        <v>32</v>
      </c>
      <c r="H1119" t="s">
        <v>57</v>
      </c>
      <c r="J1119" t="s">
        <v>1216</v>
      </c>
      <c r="K1119" t="s">
        <v>51</v>
      </c>
      <c r="L1119">
        <v>17</v>
      </c>
      <c r="M1119" t="s">
        <v>58</v>
      </c>
      <c r="N1119" t="s">
        <v>3574</v>
      </c>
    </row>
    <row r="1120" spans="1:14" x14ac:dyDescent="0.35">
      <c r="A1120" t="s">
        <v>3575</v>
      </c>
      <c r="B1120" t="s">
        <v>3576</v>
      </c>
      <c r="C1120" t="s">
        <v>116</v>
      </c>
      <c r="D1120">
        <v>8.16</v>
      </c>
      <c r="E1120">
        <v>700</v>
      </c>
      <c r="F1120" t="s">
        <v>51</v>
      </c>
      <c r="G1120" t="s">
        <v>32</v>
      </c>
      <c r="H1120" t="s">
        <v>43</v>
      </c>
      <c r="I1120" t="s">
        <v>34</v>
      </c>
      <c r="J1120" t="s">
        <v>1827</v>
      </c>
      <c r="K1120" t="s">
        <v>51</v>
      </c>
      <c r="L1120">
        <v>6</v>
      </c>
      <c r="M1120" t="s">
        <v>1383</v>
      </c>
      <c r="N1120" t="s">
        <v>3577</v>
      </c>
    </row>
    <row r="1121" spans="1:14" x14ac:dyDescent="0.35">
      <c r="A1121" t="s">
        <v>3578</v>
      </c>
      <c r="B1121" t="s">
        <v>3579</v>
      </c>
      <c r="C1121" t="s">
        <v>30</v>
      </c>
      <c r="D1121">
        <v>154.87</v>
      </c>
      <c r="E1121">
        <v>2000</v>
      </c>
      <c r="F1121" t="s">
        <v>117</v>
      </c>
      <c r="G1121" t="s">
        <v>32</v>
      </c>
      <c r="H1121" t="s">
        <v>57</v>
      </c>
      <c r="I1121" t="s">
        <v>129</v>
      </c>
      <c r="J1121" t="s">
        <v>118</v>
      </c>
      <c r="K1121" t="s">
        <v>42</v>
      </c>
      <c r="L1121">
        <v>9</v>
      </c>
      <c r="M1121" t="s">
        <v>47</v>
      </c>
      <c r="N1121" t="s">
        <v>3580</v>
      </c>
    </row>
    <row r="1122" spans="1:14" x14ac:dyDescent="0.35">
      <c r="A1122" t="s">
        <v>3581</v>
      </c>
      <c r="B1122" t="s">
        <v>3582</v>
      </c>
      <c r="C1122" t="s">
        <v>81</v>
      </c>
      <c r="D1122">
        <v>85.09</v>
      </c>
      <c r="E1122">
        <v>5000</v>
      </c>
      <c r="F1122" t="s">
        <v>117</v>
      </c>
      <c r="G1122" t="s">
        <v>32</v>
      </c>
      <c r="H1122" t="s">
        <v>57</v>
      </c>
      <c r="I1122" t="s">
        <v>34</v>
      </c>
      <c r="J1122" t="s">
        <v>112</v>
      </c>
      <c r="K1122" t="s">
        <v>106</v>
      </c>
      <c r="L1122">
        <v>23</v>
      </c>
      <c r="M1122" t="s">
        <v>3266</v>
      </c>
      <c r="N1122" t="s">
        <v>3583</v>
      </c>
    </row>
    <row r="1123" spans="1:14" x14ac:dyDescent="0.35">
      <c r="A1123" t="s">
        <v>3584</v>
      </c>
      <c r="B1123" t="s">
        <v>3585</v>
      </c>
      <c r="C1123" t="s">
        <v>62</v>
      </c>
      <c r="D1123">
        <v>58.9</v>
      </c>
      <c r="E1123">
        <v>5000</v>
      </c>
      <c r="F1123" t="s">
        <v>64</v>
      </c>
      <c r="G1123" t="s">
        <v>32</v>
      </c>
      <c r="H1123" t="s">
        <v>43</v>
      </c>
      <c r="I1123" t="s">
        <v>44</v>
      </c>
      <c r="J1123" t="s">
        <v>523</v>
      </c>
      <c r="K1123" t="s">
        <v>36</v>
      </c>
      <c r="L1123">
        <v>17</v>
      </c>
      <c r="M1123" t="s">
        <v>2625</v>
      </c>
      <c r="N1123" t="s">
        <v>3586</v>
      </c>
    </row>
    <row r="1124" spans="1:14" x14ac:dyDescent="0.35">
      <c r="A1124" t="s">
        <v>3587</v>
      </c>
      <c r="B1124" t="s">
        <v>3588</v>
      </c>
      <c r="C1124" t="s">
        <v>41</v>
      </c>
      <c r="D1124">
        <v>117.35</v>
      </c>
      <c r="E1124">
        <v>34000</v>
      </c>
      <c r="F1124" t="s">
        <v>123</v>
      </c>
      <c r="G1124" t="s">
        <v>32</v>
      </c>
      <c r="H1124" t="s">
        <v>57</v>
      </c>
      <c r="I1124" t="s">
        <v>34</v>
      </c>
      <c r="J1124" t="s">
        <v>124</v>
      </c>
      <c r="K1124" t="s">
        <v>117</v>
      </c>
      <c r="L1124">
        <v>22</v>
      </c>
      <c r="M1124" t="s">
        <v>2709</v>
      </c>
      <c r="N1124" t="s">
        <v>3589</v>
      </c>
    </row>
    <row r="1125" spans="1:14" x14ac:dyDescent="0.35">
      <c r="A1125" t="s">
        <v>3590</v>
      </c>
      <c r="B1125" t="s">
        <v>3591</v>
      </c>
      <c r="C1125" t="s">
        <v>116</v>
      </c>
      <c r="D1125">
        <v>10.4</v>
      </c>
      <c r="E1125">
        <v>300</v>
      </c>
      <c r="F1125" t="s">
        <v>51</v>
      </c>
      <c r="G1125" t="s">
        <v>32</v>
      </c>
      <c r="H1125" t="s">
        <v>33</v>
      </c>
      <c r="J1125" t="s">
        <v>107</v>
      </c>
      <c r="K1125" t="s">
        <v>87</v>
      </c>
      <c r="L1125">
        <v>0</v>
      </c>
      <c r="N1125" t="s">
        <v>832</v>
      </c>
    </row>
    <row r="1126" spans="1:14" x14ac:dyDescent="0.35">
      <c r="A1126" t="s">
        <v>3592</v>
      </c>
      <c r="B1126" t="s">
        <v>3593</v>
      </c>
      <c r="C1126" t="s">
        <v>41</v>
      </c>
      <c r="D1126">
        <v>100.53</v>
      </c>
      <c r="E1126">
        <v>40000</v>
      </c>
      <c r="F1126" t="s">
        <v>76</v>
      </c>
      <c r="G1126" t="s">
        <v>32</v>
      </c>
      <c r="H1126" t="s">
        <v>57</v>
      </c>
      <c r="I1126" t="s">
        <v>129</v>
      </c>
      <c r="J1126" t="s">
        <v>1637</v>
      </c>
      <c r="K1126" t="s">
        <v>97</v>
      </c>
      <c r="L1126">
        <v>13</v>
      </c>
      <c r="M1126" t="s">
        <v>1966</v>
      </c>
      <c r="N1126" t="s">
        <v>2079</v>
      </c>
    </row>
    <row r="1127" spans="1:14" x14ac:dyDescent="0.35">
      <c r="A1127" t="s">
        <v>3594</v>
      </c>
      <c r="B1127" t="s">
        <v>3595</v>
      </c>
      <c r="C1127" t="s">
        <v>69</v>
      </c>
      <c r="D1127">
        <v>71.180000000000007</v>
      </c>
      <c r="E1127">
        <v>83000</v>
      </c>
      <c r="F1127" t="s">
        <v>36</v>
      </c>
      <c r="G1127" t="s">
        <v>32</v>
      </c>
      <c r="H1127" t="s">
        <v>57</v>
      </c>
      <c r="I1127" t="s">
        <v>34</v>
      </c>
      <c r="J1127" t="s">
        <v>63</v>
      </c>
      <c r="K1127" t="s">
        <v>64</v>
      </c>
      <c r="L1127">
        <v>7</v>
      </c>
      <c r="M1127" t="s">
        <v>3596</v>
      </c>
      <c r="N1127" t="s">
        <v>999</v>
      </c>
    </row>
    <row r="1128" spans="1:14" x14ac:dyDescent="0.35">
      <c r="A1128" t="s">
        <v>3597</v>
      </c>
      <c r="B1128" t="s">
        <v>3598</v>
      </c>
      <c r="C1128" t="s">
        <v>116</v>
      </c>
      <c r="D1128">
        <v>6.71</v>
      </c>
      <c r="E1128">
        <v>400</v>
      </c>
      <c r="F1128" t="s">
        <v>236</v>
      </c>
      <c r="G1128" t="s">
        <v>32</v>
      </c>
      <c r="H1128" t="s">
        <v>33</v>
      </c>
      <c r="I1128" t="s">
        <v>34</v>
      </c>
      <c r="J1128" t="s">
        <v>130</v>
      </c>
      <c r="K1128" t="s">
        <v>123</v>
      </c>
      <c r="L1128">
        <v>6</v>
      </c>
      <c r="M1128" t="s">
        <v>3599</v>
      </c>
      <c r="N1128" t="s">
        <v>1152</v>
      </c>
    </row>
    <row r="1129" spans="1:14" x14ac:dyDescent="0.35">
      <c r="A1129" t="s">
        <v>3600</v>
      </c>
      <c r="B1129" t="s">
        <v>3601</v>
      </c>
      <c r="C1129" t="s">
        <v>62</v>
      </c>
      <c r="D1129">
        <v>70.48</v>
      </c>
      <c r="E1129">
        <v>4000</v>
      </c>
      <c r="F1129" t="s">
        <v>147</v>
      </c>
      <c r="G1129" t="s">
        <v>32</v>
      </c>
      <c r="H1129" t="s">
        <v>57</v>
      </c>
      <c r="I1129" t="s">
        <v>44</v>
      </c>
      <c r="J1129" t="s">
        <v>697</v>
      </c>
      <c r="K1129" t="s">
        <v>139</v>
      </c>
      <c r="L1129">
        <v>1</v>
      </c>
      <c r="M1129" t="s">
        <v>3602</v>
      </c>
      <c r="N1129" t="s">
        <v>2512</v>
      </c>
    </row>
    <row r="1130" spans="1:14" x14ac:dyDescent="0.35">
      <c r="A1130" t="s">
        <v>3603</v>
      </c>
      <c r="B1130" t="s">
        <v>3604</v>
      </c>
      <c r="C1130" t="s">
        <v>116</v>
      </c>
      <c r="D1130">
        <v>11.38</v>
      </c>
      <c r="E1130">
        <v>600</v>
      </c>
      <c r="F1130" t="s">
        <v>51</v>
      </c>
      <c r="G1130" t="s">
        <v>32</v>
      </c>
      <c r="H1130" t="s">
        <v>33</v>
      </c>
      <c r="I1130" t="s">
        <v>34</v>
      </c>
      <c r="J1130" t="s">
        <v>209</v>
      </c>
      <c r="K1130" t="s">
        <v>74</v>
      </c>
      <c r="L1130">
        <v>20</v>
      </c>
      <c r="N1130" t="s">
        <v>659</v>
      </c>
    </row>
    <row r="1131" spans="1:14" x14ac:dyDescent="0.35">
      <c r="A1131" t="s">
        <v>3605</v>
      </c>
      <c r="B1131" t="s">
        <v>3606</v>
      </c>
      <c r="C1131" t="s">
        <v>81</v>
      </c>
      <c r="D1131">
        <v>127.86</v>
      </c>
      <c r="E1131">
        <v>5000</v>
      </c>
      <c r="F1131" t="s">
        <v>31</v>
      </c>
      <c r="G1131" t="s">
        <v>32</v>
      </c>
      <c r="H1131" t="s">
        <v>33</v>
      </c>
      <c r="I1131" t="s">
        <v>34</v>
      </c>
      <c r="J1131" t="s">
        <v>45</v>
      </c>
      <c r="K1131" t="s">
        <v>46</v>
      </c>
      <c r="L1131">
        <v>8</v>
      </c>
      <c r="M1131" t="s">
        <v>3607</v>
      </c>
      <c r="N1131" t="s">
        <v>3068</v>
      </c>
    </row>
    <row r="1132" spans="1:14" x14ac:dyDescent="0.35">
      <c r="A1132" t="s">
        <v>3608</v>
      </c>
      <c r="B1132" t="s">
        <v>3609</v>
      </c>
      <c r="C1132" t="s">
        <v>116</v>
      </c>
      <c r="D1132">
        <v>11.85</v>
      </c>
      <c r="E1132">
        <v>400</v>
      </c>
      <c r="F1132" t="s">
        <v>117</v>
      </c>
      <c r="G1132" t="s">
        <v>32</v>
      </c>
      <c r="H1132" t="s">
        <v>43</v>
      </c>
      <c r="I1132" t="s">
        <v>44</v>
      </c>
      <c r="J1132" t="s">
        <v>118</v>
      </c>
      <c r="K1132" t="s">
        <v>42</v>
      </c>
      <c r="L1132">
        <v>19</v>
      </c>
      <c r="N1132" t="s">
        <v>2040</v>
      </c>
    </row>
    <row r="1133" spans="1:14" x14ac:dyDescent="0.35">
      <c r="A1133" t="s">
        <v>3610</v>
      </c>
      <c r="B1133" t="s">
        <v>3611</v>
      </c>
      <c r="C1133" t="s">
        <v>116</v>
      </c>
      <c r="D1133">
        <v>11.54</v>
      </c>
      <c r="E1133">
        <v>700</v>
      </c>
      <c r="F1133" t="s">
        <v>236</v>
      </c>
      <c r="G1133" t="s">
        <v>32</v>
      </c>
      <c r="H1133" t="s">
        <v>57</v>
      </c>
      <c r="I1133" t="s">
        <v>34</v>
      </c>
      <c r="J1133" t="s">
        <v>830</v>
      </c>
      <c r="K1133" t="s">
        <v>51</v>
      </c>
      <c r="L1133">
        <v>18</v>
      </c>
      <c r="M1133" t="s">
        <v>2730</v>
      </c>
      <c r="N1133" t="s">
        <v>1302</v>
      </c>
    </row>
    <row r="1134" spans="1:14" x14ac:dyDescent="0.35">
      <c r="A1134" t="s">
        <v>3612</v>
      </c>
      <c r="B1134" t="s">
        <v>3613</v>
      </c>
      <c r="C1134" t="s">
        <v>62</v>
      </c>
      <c r="D1134">
        <v>55.79</v>
      </c>
      <c r="E1134">
        <v>2000</v>
      </c>
      <c r="F1134" t="s">
        <v>64</v>
      </c>
      <c r="G1134" t="s">
        <v>32</v>
      </c>
      <c r="H1134" t="s">
        <v>43</v>
      </c>
      <c r="J1134" t="s">
        <v>130</v>
      </c>
      <c r="K1134" t="s">
        <v>123</v>
      </c>
      <c r="L1134">
        <v>11</v>
      </c>
      <c r="M1134" t="s">
        <v>2257</v>
      </c>
      <c r="N1134" t="s">
        <v>3614</v>
      </c>
    </row>
    <row r="1135" spans="1:14" x14ac:dyDescent="0.35">
      <c r="A1135" t="s">
        <v>3615</v>
      </c>
      <c r="B1135" t="s">
        <v>3616</v>
      </c>
      <c r="C1135" t="s">
        <v>116</v>
      </c>
      <c r="D1135">
        <v>6.05</v>
      </c>
      <c r="E1135">
        <v>400</v>
      </c>
      <c r="F1135" t="s">
        <v>76</v>
      </c>
      <c r="G1135" t="s">
        <v>32</v>
      </c>
      <c r="H1135" t="s">
        <v>57</v>
      </c>
      <c r="J1135" t="s">
        <v>45</v>
      </c>
      <c r="K1135" t="s">
        <v>46</v>
      </c>
      <c r="L1135">
        <v>5</v>
      </c>
      <c r="N1135" t="s">
        <v>3617</v>
      </c>
    </row>
    <row r="1136" spans="1:14" x14ac:dyDescent="0.35">
      <c r="A1136" t="s">
        <v>3618</v>
      </c>
      <c r="B1136" t="s">
        <v>3619</v>
      </c>
      <c r="C1136" t="s">
        <v>62</v>
      </c>
      <c r="D1136">
        <v>82.27</v>
      </c>
      <c r="E1136">
        <v>4000</v>
      </c>
      <c r="F1136" t="s">
        <v>36</v>
      </c>
      <c r="G1136" t="s">
        <v>32</v>
      </c>
      <c r="H1136" t="s">
        <v>57</v>
      </c>
      <c r="I1136" t="s">
        <v>44</v>
      </c>
      <c r="J1136" t="s">
        <v>35</v>
      </c>
      <c r="K1136" t="s">
        <v>36</v>
      </c>
      <c r="L1136">
        <v>14</v>
      </c>
      <c r="N1136" t="s">
        <v>3620</v>
      </c>
    </row>
    <row r="1137" spans="1:14" x14ac:dyDescent="0.35">
      <c r="A1137" t="s">
        <v>3621</v>
      </c>
      <c r="B1137" t="s">
        <v>3622</v>
      </c>
      <c r="C1137" t="s">
        <v>116</v>
      </c>
      <c r="D1137">
        <v>8.16</v>
      </c>
      <c r="E1137">
        <v>600</v>
      </c>
      <c r="F1137" t="s">
        <v>74</v>
      </c>
      <c r="G1137" t="s">
        <v>32</v>
      </c>
      <c r="H1137" t="s">
        <v>33</v>
      </c>
      <c r="I1137" t="s">
        <v>129</v>
      </c>
      <c r="J1137" t="s">
        <v>45</v>
      </c>
      <c r="K1137" t="s">
        <v>46</v>
      </c>
      <c r="L1137">
        <v>3</v>
      </c>
      <c r="M1137" t="s">
        <v>1136</v>
      </c>
      <c r="N1137" t="s">
        <v>996</v>
      </c>
    </row>
    <row r="1138" spans="1:14" x14ac:dyDescent="0.35">
      <c r="A1138" t="s">
        <v>3623</v>
      </c>
      <c r="B1138" t="s">
        <v>3624</v>
      </c>
      <c r="C1138" t="s">
        <v>62</v>
      </c>
      <c r="D1138">
        <v>71.540000000000006</v>
      </c>
      <c r="E1138">
        <v>1000</v>
      </c>
      <c r="F1138" t="s">
        <v>51</v>
      </c>
      <c r="G1138" t="s">
        <v>32</v>
      </c>
      <c r="H1138" t="s">
        <v>43</v>
      </c>
      <c r="I1138" t="s">
        <v>44</v>
      </c>
      <c r="J1138" t="s">
        <v>138</v>
      </c>
      <c r="K1138" t="s">
        <v>139</v>
      </c>
      <c r="L1138">
        <v>18</v>
      </c>
      <c r="N1138" t="s">
        <v>1477</v>
      </c>
    </row>
    <row r="1139" spans="1:14" x14ac:dyDescent="0.35">
      <c r="A1139" t="s">
        <v>3625</v>
      </c>
      <c r="B1139" t="s">
        <v>3626</v>
      </c>
      <c r="C1139" t="s">
        <v>81</v>
      </c>
      <c r="D1139">
        <v>134.41999999999999</v>
      </c>
      <c r="E1139">
        <v>10000</v>
      </c>
      <c r="F1139" t="s">
        <v>76</v>
      </c>
      <c r="G1139" t="s">
        <v>32</v>
      </c>
      <c r="H1139" t="s">
        <v>57</v>
      </c>
      <c r="I1139" t="s">
        <v>34</v>
      </c>
      <c r="J1139" t="s">
        <v>2611</v>
      </c>
      <c r="K1139" t="s">
        <v>97</v>
      </c>
      <c r="L1139">
        <v>6</v>
      </c>
      <c r="M1139" t="s">
        <v>1767</v>
      </c>
      <c r="N1139" t="s">
        <v>1144</v>
      </c>
    </row>
    <row r="1140" spans="1:14" x14ac:dyDescent="0.35">
      <c r="A1140" t="s">
        <v>3627</v>
      </c>
      <c r="B1140" t="s">
        <v>3628</v>
      </c>
      <c r="C1140" t="s">
        <v>41</v>
      </c>
      <c r="D1140">
        <v>112.9</v>
      </c>
      <c r="E1140">
        <v>25000</v>
      </c>
      <c r="F1140" t="s">
        <v>64</v>
      </c>
      <c r="G1140" t="s">
        <v>32</v>
      </c>
      <c r="H1140" t="s">
        <v>57</v>
      </c>
      <c r="J1140" t="s">
        <v>70</v>
      </c>
      <c r="K1140" t="s">
        <v>31</v>
      </c>
      <c r="L1140">
        <v>6</v>
      </c>
      <c r="M1140" t="s">
        <v>3629</v>
      </c>
      <c r="N1140" t="s">
        <v>2225</v>
      </c>
    </row>
    <row r="1141" spans="1:14" x14ac:dyDescent="0.35">
      <c r="A1141" t="s">
        <v>3630</v>
      </c>
      <c r="B1141" t="s">
        <v>3631</v>
      </c>
      <c r="C1141" t="s">
        <v>30</v>
      </c>
      <c r="D1141">
        <v>187.39</v>
      </c>
      <c r="E1141">
        <v>4000</v>
      </c>
      <c r="F1141" t="s">
        <v>106</v>
      </c>
      <c r="G1141" t="s">
        <v>102</v>
      </c>
      <c r="H1141" t="s">
        <v>43</v>
      </c>
      <c r="I1141" t="s">
        <v>44</v>
      </c>
      <c r="J1141" t="s">
        <v>63</v>
      </c>
      <c r="K1141" t="s">
        <v>64</v>
      </c>
      <c r="L1141">
        <v>18</v>
      </c>
      <c r="M1141" t="s">
        <v>266</v>
      </c>
      <c r="N1141" t="s">
        <v>1740</v>
      </c>
    </row>
    <row r="1142" spans="1:14" x14ac:dyDescent="0.35">
      <c r="A1142" t="s">
        <v>3632</v>
      </c>
      <c r="B1142" t="s">
        <v>3633</v>
      </c>
      <c r="C1142" t="s">
        <v>81</v>
      </c>
      <c r="D1142">
        <v>103.97</v>
      </c>
      <c r="E1142">
        <v>9000</v>
      </c>
      <c r="F1142" t="s">
        <v>74</v>
      </c>
      <c r="G1142" t="s">
        <v>32</v>
      </c>
      <c r="H1142" t="s">
        <v>33</v>
      </c>
      <c r="I1142" t="s">
        <v>34</v>
      </c>
      <c r="J1142" t="s">
        <v>35</v>
      </c>
      <c r="K1142" t="s">
        <v>36</v>
      </c>
      <c r="L1142">
        <v>20</v>
      </c>
      <c r="N1142" t="s">
        <v>690</v>
      </c>
    </row>
    <row r="1143" spans="1:14" x14ac:dyDescent="0.35">
      <c r="A1143" t="s">
        <v>3634</v>
      </c>
      <c r="B1143" t="s">
        <v>3635</v>
      </c>
      <c r="C1143" t="s">
        <v>30</v>
      </c>
      <c r="D1143">
        <v>100.1</v>
      </c>
      <c r="E1143">
        <v>14000</v>
      </c>
      <c r="F1143" t="s">
        <v>46</v>
      </c>
      <c r="G1143" t="s">
        <v>32</v>
      </c>
      <c r="H1143" t="s">
        <v>57</v>
      </c>
      <c r="I1143" t="s">
        <v>44</v>
      </c>
      <c r="J1143" t="s">
        <v>645</v>
      </c>
      <c r="K1143" t="s">
        <v>147</v>
      </c>
      <c r="L1143">
        <v>11</v>
      </c>
      <c r="M1143" t="s">
        <v>447</v>
      </c>
      <c r="N1143" t="s">
        <v>3636</v>
      </c>
    </row>
    <row r="1144" spans="1:14" x14ac:dyDescent="0.35">
      <c r="A1144" t="s">
        <v>3637</v>
      </c>
      <c r="B1144" t="s">
        <v>3638</v>
      </c>
      <c r="C1144" t="s">
        <v>62</v>
      </c>
      <c r="D1144">
        <v>57.12</v>
      </c>
      <c r="E1144">
        <v>3000</v>
      </c>
      <c r="F1144" t="s">
        <v>36</v>
      </c>
      <c r="G1144" t="s">
        <v>32</v>
      </c>
      <c r="H1144" t="s">
        <v>57</v>
      </c>
      <c r="I1144" t="s">
        <v>44</v>
      </c>
      <c r="K1144" t="s">
        <v>147</v>
      </c>
      <c r="L1144">
        <v>19</v>
      </c>
      <c r="M1144" t="s">
        <v>3457</v>
      </c>
      <c r="N1144" t="s">
        <v>3639</v>
      </c>
    </row>
    <row r="1145" spans="1:14" x14ac:dyDescent="0.35">
      <c r="A1145" t="s">
        <v>3640</v>
      </c>
      <c r="B1145" t="s">
        <v>3641</v>
      </c>
      <c r="C1145" t="s">
        <v>30</v>
      </c>
      <c r="D1145">
        <v>141.6</v>
      </c>
      <c r="E1145">
        <v>8000</v>
      </c>
      <c r="F1145" t="s">
        <v>51</v>
      </c>
      <c r="G1145" t="s">
        <v>32</v>
      </c>
      <c r="H1145" t="s">
        <v>57</v>
      </c>
      <c r="I1145" t="s">
        <v>44</v>
      </c>
      <c r="J1145" t="s">
        <v>45</v>
      </c>
      <c r="K1145" t="s">
        <v>46</v>
      </c>
      <c r="L1145">
        <v>16</v>
      </c>
      <c r="N1145" t="s">
        <v>2329</v>
      </c>
    </row>
    <row r="1146" spans="1:14" x14ac:dyDescent="0.35">
      <c r="A1146" t="s">
        <v>3642</v>
      </c>
      <c r="B1146" t="s">
        <v>3643</v>
      </c>
      <c r="C1146" t="s">
        <v>30</v>
      </c>
      <c r="D1146">
        <v>111.11</v>
      </c>
      <c r="E1146">
        <v>18000</v>
      </c>
      <c r="F1146" t="s">
        <v>87</v>
      </c>
      <c r="G1146" t="s">
        <v>32</v>
      </c>
      <c r="H1146" t="s">
        <v>57</v>
      </c>
      <c r="I1146" t="s">
        <v>34</v>
      </c>
      <c r="J1146" t="s">
        <v>112</v>
      </c>
      <c r="K1146" t="s">
        <v>106</v>
      </c>
      <c r="L1146">
        <v>11</v>
      </c>
      <c r="N1146" t="s">
        <v>725</v>
      </c>
    </row>
    <row r="1147" spans="1:14" x14ac:dyDescent="0.35">
      <c r="A1147" t="s">
        <v>3644</v>
      </c>
      <c r="B1147" t="s">
        <v>3645</v>
      </c>
      <c r="C1147" t="s">
        <v>30</v>
      </c>
      <c r="D1147">
        <v>194.87</v>
      </c>
      <c r="E1147">
        <v>10000</v>
      </c>
      <c r="F1147" t="s">
        <v>76</v>
      </c>
      <c r="G1147" t="s">
        <v>32</v>
      </c>
      <c r="H1147" t="s">
        <v>33</v>
      </c>
      <c r="I1147" t="s">
        <v>34</v>
      </c>
      <c r="J1147" t="s">
        <v>477</v>
      </c>
      <c r="K1147" t="s">
        <v>51</v>
      </c>
      <c r="L1147">
        <v>18</v>
      </c>
      <c r="M1147" t="s">
        <v>47</v>
      </c>
      <c r="N1147" t="s">
        <v>2105</v>
      </c>
    </row>
    <row r="1148" spans="1:14" x14ac:dyDescent="0.35">
      <c r="A1148" t="s">
        <v>3646</v>
      </c>
      <c r="B1148" t="s">
        <v>3647</v>
      </c>
      <c r="C1148" t="s">
        <v>69</v>
      </c>
      <c r="D1148">
        <v>61.57</v>
      </c>
      <c r="E1148">
        <v>29000</v>
      </c>
      <c r="F1148" t="s">
        <v>46</v>
      </c>
      <c r="G1148" t="s">
        <v>32</v>
      </c>
      <c r="H1148" t="s">
        <v>57</v>
      </c>
      <c r="I1148" t="s">
        <v>34</v>
      </c>
      <c r="J1148" t="s">
        <v>3221</v>
      </c>
      <c r="K1148" t="s">
        <v>51</v>
      </c>
      <c r="L1148">
        <v>7</v>
      </c>
      <c r="M1148" t="s">
        <v>831</v>
      </c>
      <c r="N1148" t="s">
        <v>3648</v>
      </c>
    </row>
    <row r="1149" spans="1:14" x14ac:dyDescent="0.35">
      <c r="A1149" t="s">
        <v>3649</v>
      </c>
      <c r="B1149" t="s">
        <v>3650</v>
      </c>
      <c r="C1149" t="s">
        <v>69</v>
      </c>
      <c r="D1149">
        <v>74.17</v>
      </c>
      <c r="E1149">
        <v>21000</v>
      </c>
      <c r="F1149" t="s">
        <v>139</v>
      </c>
      <c r="G1149" t="s">
        <v>32</v>
      </c>
      <c r="H1149" t="s">
        <v>33</v>
      </c>
      <c r="I1149" t="s">
        <v>34</v>
      </c>
      <c r="J1149" t="s">
        <v>947</v>
      </c>
      <c r="K1149" t="s">
        <v>51</v>
      </c>
      <c r="L1149">
        <v>19</v>
      </c>
      <c r="N1149" t="s">
        <v>3651</v>
      </c>
    </row>
    <row r="1150" spans="1:14" x14ac:dyDescent="0.35">
      <c r="A1150" t="s">
        <v>3652</v>
      </c>
      <c r="B1150" t="s">
        <v>3653</v>
      </c>
      <c r="C1150" t="s">
        <v>81</v>
      </c>
      <c r="D1150">
        <v>114.16</v>
      </c>
      <c r="E1150">
        <v>8000</v>
      </c>
      <c r="F1150" t="s">
        <v>46</v>
      </c>
      <c r="G1150" t="s">
        <v>32</v>
      </c>
      <c r="H1150" t="s">
        <v>57</v>
      </c>
      <c r="I1150" t="s">
        <v>44</v>
      </c>
      <c r="J1150" t="s">
        <v>124</v>
      </c>
      <c r="K1150" t="s">
        <v>117</v>
      </c>
      <c r="L1150">
        <v>4</v>
      </c>
      <c r="M1150" t="s">
        <v>2883</v>
      </c>
      <c r="N1150" t="s">
        <v>3654</v>
      </c>
    </row>
    <row r="1151" spans="1:14" x14ac:dyDescent="0.35">
      <c r="A1151" t="s">
        <v>3655</v>
      </c>
      <c r="B1151" t="s">
        <v>3656</v>
      </c>
      <c r="C1151" t="s">
        <v>41</v>
      </c>
      <c r="D1151">
        <v>116.32</v>
      </c>
      <c r="E1151">
        <v>39000</v>
      </c>
      <c r="F1151" t="s">
        <v>46</v>
      </c>
      <c r="G1151" t="s">
        <v>32</v>
      </c>
      <c r="H1151" t="s">
        <v>57</v>
      </c>
      <c r="I1151" t="s">
        <v>34</v>
      </c>
      <c r="J1151" t="s">
        <v>130</v>
      </c>
      <c r="K1151" t="s">
        <v>123</v>
      </c>
      <c r="L1151">
        <v>5</v>
      </c>
      <c r="M1151" t="s">
        <v>3657</v>
      </c>
      <c r="N1151" t="s">
        <v>1784</v>
      </c>
    </row>
    <row r="1152" spans="1:14" x14ac:dyDescent="0.35">
      <c r="A1152" t="s">
        <v>3658</v>
      </c>
      <c r="B1152" t="s">
        <v>3659</v>
      </c>
      <c r="C1152" t="s">
        <v>81</v>
      </c>
      <c r="D1152">
        <v>138.08000000000001</v>
      </c>
      <c r="E1152">
        <v>2000</v>
      </c>
      <c r="F1152" t="s">
        <v>117</v>
      </c>
      <c r="G1152" t="s">
        <v>32</v>
      </c>
      <c r="H1152" t="s">
        <v>33</v>
      </c>
      <c r="I1152" t="s">
        <v>44</v>
      </c>
      <c r="J1152" t="s">
        <v>3660</v>
      </c>
      <c r="K1152" t="s">
        <v>147</v>
      </c>
      <c r="L1152">
        <v>13</v>
      </c>
      <c r="M1152" t="s">
        <v>2583</v>
      </c>
      <c r="N1152" t="s">
        <v>3661</v>
      </c>
    </row>
    <row r="1153" spans="1:14" x14ac:dyDescent="0.35">
      <c r="A1153" t="s">
        <v>3662</v>
      </c>
      <c r="B1153" t="s">
        <v>3663</v>
      </c>
      <c r="C1153" t="s">
        <v>41</v>
      </c>
      <c r="D1153">
        <v>157.09</v>
      </c>
      <c r="E1153">
        <v>15000</v>
      </c>
      <c r="F1153" t="s">
        <v>74</v>
      </c>
      <c r="G1153" t="s">
        <v>32</v>
      </c>
      <c r="H1153" t="s">
        <v>57</v>
      </c>
      <c r="I1153" t="s">
        <v>44</v>
      </c>
      <c r="J1153" t="s">
        <v>209</v>
      </c>
      <c r="K1153" t="s">
        <v>74</v>
      </c>
      <c r="L1153">
        <v>13</v>
      </c>
      <c r="N1153" t="s">
        <v>3326</v>
      </c>
    </row>
    <row r="1154" spans="1:14" x14ac:dyDescent="0.35">
      <c r="A1154" t="s">
        <v>3664</v>
      </c>
      <c r="B1154" t="s">
        <v>3665</v>
      </c>
      <c r="C1154" t="s">
        <v>41</v>
      </c>
      <c r="D1154">
        <v>115.92</v>
      </c>
      <c r="E1154">
        <v>39000</v>
      </c>
      <c r="F1154" t="s">
        <v>236</v>
      </c>
      <c r="G1154" t="s">
        <v>32</v>
      </c>
      <c r="H1154" t="s">
        <v>33</v>
      </c>
      <c r="I1154" t="s">
        <v>34</v>
      </c>
      <c r="J1154" t="s">
        <v>1606</v>
      </c>
      <c r="K1154" t="s">
        <v>139</v>
      </c>
      <c r="L1154">
        <v>9</v>
      </c>
      <c r="N1154" t="s">
        <v>1650</v>
      </c>
    </row>
    <row r="1155" spans="1:14" x14ac:dyDescent="0.35">
      <c r="A1155" t="s">
        <v>3666</v>
      </c>
      <c r="B1155" t="s">
        <v>3667</v>
      </c>
      <c r="C1155" t="s">
        <v>62</v>
      </c>
      <c r="D1155">
        <v>74.87</v>
      </c>
      <c r="E1155">
        <v>2000</v>
      </c>
      <c r="F1155" t="s">
        <v>97</v>
      </c>
      <c r="G1155" t="s">
        <v>32</v>
      </c>
      <c r="H1155" t="s">
        <v>43</v>
      </c>
      <c r="I1155" t="s">
        <v>129</v>
      </c>
      <c r="J1155" t="s">
        <v>70</v>
      </c>
      <c r="K1155" t="s">
        <v>31</v>
      </c>
      <c r="L1155">
        <v>18</v>
      </c>
      <c r="N1155" t="s">
        <v>3668</v>
      </c>
    </row>
    <row r="1156" spans="1:14" x14ac:dyDescent="0.35">
      <c r="A1156" t="s">
        <v>3669</v>
      </c>
      <c r="B1156" t="s">
        <v>3670</v>
      </c>
      <c r="C1156" t="s">
        <v>30</v>
      </c>
      <c r="D1156">
        <v>161.51</v>
      </c>
      <c r="E1156">
        <v>9000</v>
      </c>
      <c r="F1156" t="s">
        <v>36</v>
      </c>
      <c r="G1156" t="s">
        <v>32</v>
      </c>
      <c r="H1156" t="s">
        <v>43</v>
      </c>
      <c r="J1156" t="s">
        <v>45</v>
      </c>
      <c r="K1156" t="s">
        <v>46</v>
      </c>
      <c r="L1156">
        <v>13</v>
      </c>
      <c r="M1156" t="s">
        <v>108</v>
      </c>
      <c r="N1156" t="s">
        <v>412</v>
      </c>
    </row>
    <row r="1157" spans="1:14" x14ac:dyDescent="0.35">
      <c r="A1157" t="s">
        <v>3671</v>
      </c>
      <c r="B1157" t="s">
        <v>3672</v>
      </c>
      <c r="C1157" t="s">
        <v>81</v>
      </c>
      <c r="D1157">
        <v>113.54</v>
      </c>
      <c r="E1157">
        <v>10000</v>
      </c>
      <c r="F1157" t="s">
        <v>31</v>
      </c>
      <c r="G1157" t="s">
        <v>32</v>
      </c>
      <c r="H1157" t="s">
        <v>33</v>
      </c>
      <c r="I1157" t="s">
        <v>34</v>
      </c>
      <c r="J1157" t="s">
        <v>130</v>
      </c>
      <c r="K1157" t="s">
        <v>123</v>
      </c>
      <c r="L1157">
        <v>10</v>
      </c>
      <c r="M1157" t="s">
        <v>3673</v>
      </c>
      <c r="N1157" t="s">
        <v>841</v>
      </c>
    </row>
    <row r="1158" spans="1:14" x14ac:dyDescent="0.35">
      <c r="A1158" t="s">
        <v>3674</v>
      </c>
      <c r="B1158" t="s">
        <v>3675</v>
      </c>
      <c r="C1158" t="s">
        <v>81</v>
      </c>
      <c r="D1158">
        <v>137.78</v>
      </c>
      <c r="E1158">
        <v>2000</v>
      </c>
      <c r="F1158" t="s">
        <v>36</v>
      </c>
      <c r="G1158" t="s">
        <v>102</v>
      </c>
      <c r="H1158" t="s">
        <v>43</v>
      </c>
      <c r="I1158" t="s">
        <v>44</v>
      </c>
      <c r="J1158" t="s">
        <v>130</v>
      </c>
      <c r="K1158" t="s">
        <v>123</v>
      </c>
      <c r="L1158">
        <v>9</v>
      </c>
      <c r="M1158" t="s">
        <v>835</v>
      </c>
      <c r="N1158" t="s">
        <v>66</v>
      </c>
    </row>
    <row r="1159" spans="1:14" x14ac:dyDescent="0.35">
      <c r="A1159" t="s">
        <v>3676</v>
      </c>
      <c r="B1159" t="s">
        <v>3677</v>
      </c>
      <c r="C1159" t="s">
        <v>30</v>
      </c>
      <c r="D1159">
        <v>144.79</v>
      </c>
      <c r="E1159">
        <v>17000</v>
      </c>
      <c r="F1159" t="s">
        <v>117</v>
      </c>
      <c r="G1159" t="s">
        <v>32</v>
      </c>
      <c r="H1159" t="s">
        <v>57</v>
      </c>
      <c r="I1159" t="s">
        <v>34</v>
      </c>
      <c r="J1159" t="s">
        <v>112</v>
      </c>
      <c r="K1159" t="s">
        <v>106</v>
      </c>
      <c r="L1159">
        <v>18</v>
      </c>
      <c r="N1159" t="s">
        <v>3678</v>
      </c>
    </row>
    <row r="1160" spans="1:14" x14ac:dyDescent="0.35">
      <c r="A1160" t="s">
        <v>3679</v>
      </c>
      <c r="B1160" t="s">
        <v>3680</v>
      </c>
      <c r="C1160" t="s">
        <v>62</v>
      </c>
      <c r="D1160">
        <v>50.52</v>
      </c>
      <c r="E1160">
        <v>3000</v>
      </c>
      <c r="F1160" t="s">
        <v>64</v>
      </c>
      <c r="G1160" t="s">
        <v>32</v>
      </c>
      <c r="H1160" t="s">
        <v>33</v>
      </c>
      <c r="I1160" t="s">
        <v>44</v>
      </c>
      <c r="J1160" t="s">
        <v>130</v>
      </c>
      <c r="K1160" t="s">
        <v>123</v>
      </c>
      <c r="L1160">
        <v>23</v>
      </c>
      <c r="M1160" t="s">
        <v>3681</v>
      </c>
      <c r="N1160" t="s">
        <v>3201</v>
      </c>
    </row>
    <row r="1161" spans="1:14" x14ac:dyDescent="0.35">
      <c r="A1161" t="s">
        <v>3682</v>
      </c>
      <c r="B1161" t="s">
        <v>3683</v>
      </c>
      <c r="C1161" t="s">
        <v>81</v>
      </c>
      <c r="D1161">
        <v>129.6</v>
      </c>
      <c r="E1161">
        <v>6000</v>
      </c>
      <c r="F1161" t="s">
        <v>36</v>
      </c>
      <c r="G1161" t="s">
        <v>32</v>
      </c>
      <c r="H1161" t="s">
        <v>57</v>
      </c>
      <c r="I1161" t="s">
        <v>34</v>
      </c>
      <c r="J1161" t="s">
        <v>124</v>
      </c>
      <c r="K1161" t="s">
        <v>117</v>
      </c>
      <c r="L1161">
        <v>9</v>
      </c>
      <c r="N1161" t="s">
        <v>2065</v>
      </c>
    </row>
    <row r="1162" spans="1:14" x14ac:dyDescent="0.35">
      <c r="A1162" t="s">
        <v>3684</v>
      </c>
      <c r="B1162" t="s">
        <v>3685</v>
      </c>
      <c r="C1162" t="s">
        <v>81</v>
      </c>
      <c r="D1162">
        <v>98.91</v>
      </c>
      <c r="E1162">
        <v>1000</v>
      </c>
      <c r="F1162" t="s">
        <v>51</v>
      </c>
      <c r="G1162" t="s">
        <v>32</v>
      </c>
      <c r="H1162" t="s">
        <v>43</v>
      </c>
      <c r="J1162" t="s">
        <v>70</v>
      </c>
      <c r="K1162" t="s">
        <v>31</v>
      </c>
      <c r="L1162">
        <v>9</v>
      </c>
      <c r="M1162" t="s">
        <v>3686</v>
      </c>
      <c r="N1162" t="s">
        <v>3687</v>
      </c>
    </row>
    <row r="1163" spans="1:14" x14ac:dyDescent="0.35">
      <c r="A1163" t="s">
        <v>3688</v>
      </c>
      <c r="B1163" t="s">
        <v>3689</v>
      </c>
      <c r="C1163" t="s">
        <v>81</v>
      </c>
      <c r="D1163">
        <v>88.6</v>
      </c>
      <c r="E1163">
        <v>5000</v>
      </c>
      <c r="F1163" t="s">
        <v>31</v>
      </c>
      <c r="G1163" t="s">
        <v>32</v>
      </c>
      <c r="H1163" t="s">
        <v>57</v>
      </c>
      <c r="I1163" t="s">
        <v>44</v>
      </c>
      <c r="J1163" t="s">
        <v>3690</v>
      </c>
      <c r="K1163" t="s">
        <v>139</v>
      </c>
      <c r="L1163">
        <v>15</v>
      </c>
      <c r="M1163" t="s">
        <v>3691</v>
      </c>
      <c r="N1163" t="s">
        <v>3692</v>
      </c>
    </row>
    <row r="1164" spans="1:14" x14ac:dyDescent="0.35">
      <c r="A1164" t="s">
        <v>3693</v>
      </c>
      <c r="B1164" t="s">
        <v>3694</v>
      </c>
      <c r="C1164" t="s">
        <v>81</v>
      </c>
      <c r="D1164">
        <v>138.63999999999999</v>
      </c>
      <c r="E1164">
        <v>9000</v>
      </c>
      <c r="F1164" t="s">
        <v>106</v>
      </c>
      <c r="G1164" t="s">
        <v>32</v>
      </c>
      <c r="H1164" t="s">
        <v>57</v>
      </c>
      <c r="I1164" t="s">
        <v>34</v>
      </c>
      <c r="J1164" t="s">
        <v>3695</v>
      </c>
      <c r="K1164" t="s">
        <v>51</v>
      </c>
      <c r="L1164">
        <v>13</v>
      </c>
      <c r="M1164" t="s">
        <v>3696</v>
      </c>
      <c r="N1164" t="s">
        <v>3697</v>
      </c>
    </row>
    <row r="1165" spans="1:14" x14ac:dyDescent="0.35">
      <c r="A1165" t="s">
        <v>3698</v>
      </c>
      <c r="B1165" t="s">
        <v>3699</v>
      </c>
      <c r="C1165" t="s">
        <v>116</v>
      </c>
      <c r="D1165">
        <v>7.12</v>
      </c>
      <c r="E1165">
        <v>600</v>
      </c>
      <c r="F1165" t="s">
        <v>31</v>
      </c>
      <c r="G1165" t="s">
        <v>32</v>
      </c>
      <c r="H1165" t="s">
        <v>57</v>
      </c>
      <c r="I1165" t="s">
        <v>34</v>
      </c>
      <c r="J1165" t="s">
        <v>75</v>
      </c>
      <c r="K1165" t="s">
        <v>76</v>
      </c>
      <c r="L1165">
        <v>5</v>
      </c>
      <c r="N1165" t="s">
        <v>665</v>
      </c>
    </row>
    <row r="1166" spans="1:14" x14ac:dyDescent="0.35">
      <c r="A1166" t="s">
        <v>3700</v>
      </c>
      <c r="B1166" t="s">
        <v>3701</v>
      </c>
      <c r="C1166" t="s">
        <v>69</v>
      </c>
      <c r="D1166">
        <v>61.19</v>
      </c>
      <c r="E1166">
        <v>30000</v>
      </c>
      <c r="F1166" t="s">
        <v>64</v>
      </c>
      <c r="G1166" t="s">
        <v>32</v>
      </c>
      <c r="H1166" t="s">
        <v>43</v>
      </c>
      <c r="J1166" t="s">
        <v>2681</v>
      </c>
      <c r="K1166" t="s">
        <v>117</v>
      </c>
      <c r="L1166">
        <v>2</v>
      </c>
      <c r="M1166" t="s">
        <v>1018</v>
      </c>
      <c r="N1166" t="s">
        <v>3255</v>
      </c>
    </row>
    <row r="1167" spans="1:14" x14ac:dyDescent="0.35">
      <c r="A1167" t="s">
        <v>3702</v>
      </c>
      <c r="B1167" t="s">
        <v>3703</v>
      </c>
      <c r="C1167" t="s">
        <v>62</v>
      </c>
      <c r="D1167">
        <v>98.92</v>
      </c>
      <c r="E1167">
        <v>1000</v>
      </c>
      <c r="F1167" t="s">
        <v>87</v>
      </c>
      <c r="G1167" t="s">
        <v>32</v>
      </c>
      <c r="H1167" t="s">
        <v>43</v>
      </c>
      <c r="J1167" t="s">
        <v>35</v>
      </c>
      <c r="K1167" t="s">
        <v>36</v>
      </c>
      <c r="L1167">
        <v>11</v>
      </c>
      <c r="N1167" t="s">
        <v>3704</v>
      </c>
    </row>
    <row r="1168" spans="1:14" x14ac:dyDescent="0.35">
      <c r="A1168" t="s">
        <v>3705</v>
      </c>
      <c r="B1168" t="s">
        <v>3706</v>
      </c>
      <c r="C1168" t="s">
        <v>62</v>
      </c>
      <c r="D1168">
        <v>81.22</v>
      </c>
      <c r="E1168">
        <v>5000</v>
      </c>
      <c r="F1168" t="s">
        <v>97</v>
      </c>
      <c r="G1168" t="s">
        <v>32</v>
      </c>
      <c r="H1168" t="s">
        <v>57</v>
      </c>
      <c r="I1168" t="s">
        <v>44</v>
      </c>
      <c r="J1168" t="s">
        <v>35</v>
      </c>
      <c r="K1168" t="s">
        <v>36</v>
      </c>
      <c r="L1168">
        <v>11</v>
      </c>
      <c r="N1168" t="s">
        <v>3707</v>
      </c>
    </row>
    <row r="1169" spans="1:14" x14ac:dyDescent="0.35">
      <c r="A1169" t="s">
        <v>3708</v>
      </c>
      <c r="B1169" t="s">
        <v>3709</v>
      </c>
      <c r="C1169" t="s">
        <v>41</v>
      </c>
      <c r="D1169">
        <v>152.24</v>
      </c>
      <c r="E1169">
        <v>28000</v>
      </c>
      <c r="F1169" t="s">
        <v>236</v>
      </c>
      <c r="G1169" t="s">
        <v>32</v>
      </c>
      <c r="H1169" t="s">
        <v>43</v>
      </c>
      <c r="I1169" t="s">
        <v>34</v>
      </c>
      <c r="J1169" t="s">
        <v>164</v>
      </c>
      <c r="K1169" t="s">
        <v>74</v>
      </c>
      <c r="L1169">
        <v>10</v>
      </c>
      <c r="M1169" t="s">
        <v>3710</v>
      </c>
      <c r="N1169" t="s">
        <v>3711</v>
      </c>
    </row>
    <row r="1170" spans="1:14" x14ac:dyDescent="0.35">
      <c r="A1170" t="s">
        <v>3712</v>
      </c>
      <c r="B1170" t="s">
        <v>3713</v>
      </c>
      <c r="C1170" t="s">
        <v>69</v>
      </c>
      <c r="D1170">
        <v>60.69</v>
      </c>
      <c r="E1170">
        <v>50000</v>
      </c>
      <c r="F1170" t="s">
        <v>97</v>
      </c>
      <c r="G1170" t="s">
        <v>32</v>
      </c>
      <c r="H1170" t="s">
        <v>33</v>
      </c>
      <c r="I1170" t="s">
        <v>129</v>
      </c>
      <c r="J1170" t="s">
        <v>124</v>
      </c>
      <c r="K1170" t="s">
        <v>117</v>
      </c>
      <c r="L1170">
        <v>19</v>
      </c>
      <c r="M1170" t="s">
        <v>995</v>
      </c>
      <c r="N1170" t="s">
        <v>3714</v>
      </c>
    </row>
    <row r="1171" spans="1:14" x14ac:dyDescent="0.35">
      <c r="A1171" t="s">
        <v>3715</v>
      </c>
      <c r="B1171" t="s">
        <v>3716</v>
      </c>
      <c r="C1171" t="s">
        <v>81</v>
      </c>
      <c r="D1171">
        <v>75.09</v>
      </c>
      <c r="E1171">
        <v>4000</v>
      </c>
      <c r="F1171" t="s">
        <v>36</v>
      </c>
      <c r="G1171" t="s">
        <v>32</v>
      </c>
      <c r="H1171" t="s">
        <v>33</v>
      </c>
      <c r="I1171" t="s">
        <v>44</v>
      </c>
      <c r="J1171" t="s">
        <v>3717</v>
      </c>
      <c r="K1171" t="s">
        <v>147</v>
      </c>
      <c r="L1171">
        <v>0</v>
      </c>
      <c r="N1171" t="s">
        <v>2460</v>
      </c>
    </row>
    <row r="1172" spans="1:14" x14ac:dyDescent="0.35">
      <c r="A1172" t="s">
        <v>3718</v>
      </c>
      <c r="B1172" t="s">
        <v>3719</v>
      </c>
      <c r="C1172" t="s">
        <v>30</v>
      </c>
      <c r="D1172">
        <v>135.03</v>
      </c>
      <c r="E1172">
        <v>5000</v>
      </c>
      <c r="F1172" t="s">
        <v>42</v>
      </c>
      <c r="G1172" t="s">
        <v>32</v>
      </c>
      <c r="H1172" t="s">
        <v>43</v>
      </c>
      <c r="J1172" t="s">
        <v>429</v>
      </c>
      <c r="K1172" t="s">
        <v>236</v>
      </c>
      <c r="L1172">
        <v>15</v>
      </c>
      <c r="N1172" t="s">
        <v>827</v>
      </c>
    </row>
    <row r="1173" spans="1:14" x14ac:dyDescent="0.35">
      <c r="A1173" t="s">
        <v>3720</v>
      </c>
      <c r="B1173" t="s">
        <v>3721</v>
      </c>
      <c r="C1173" t="s">
        <v>30</v>
      </c>
      <c r="D1173">
        <v>147.88</v>
      </c>
      <c r="E1173">
        <v>7000</v>
      </c>
      <c r="F1173" t="s">
        <v>51</v>
      </c>
      <c r="G1173" t="s">
        <v>32</v>
      </c>
      <c r="H1173" t="s">
        <v>57</v>
      </c>
      <c r="I1173" t="s">
        <v>34</v>
      </c>
      <c r="J1173" t="s">
        <v>3722</v>
      </c>
      <c r="K1173" t="s">
        <v>51</v>
      </c>
      <c r="L1173">
        <v>22</v>
      </c>
      <c r="N1173" t="s">
        <v>3167</v>
      </c>
    </row>
    <row r="1174" spans="1:14" x14ac:dyDescent="0.35">
      <c r="A1174" t="s">
        <v>3723</v>
      </c>
      <c r="B1174" t="s">
        <v>3724</v>
      </c>
      <c r="C1174" t="s">
        <v>62</v>
      </c>
      <c r="D1174">
        <v>60.28</v>
      </c>
      <c r="E1174">
        <v>3000</v>
      </c>
      <c r="F1174" t="s">
        <v>87</v>
      </c>
      <c r="G1174" t="s">
        <v>32</v>
      </c>
      <c r="H1174" t="s">
        <v>33</v>
      </c>
      <c r="I1174" t="s">
        <v>34</v>
      </c>
      <c r="J1174" t="s">
        <v>3725</v>
      </c>
      <c r="K1174" t="s">
        <v>147</v>
      </c>
      <c r="L1174">
        <v>10</v>
      </c>
      <c r="M1174" t="s">
        <v>2186</v>
      </c>
      <c r="N1174" t="s">
        <v>938</v>
      </c>
    </row>
    <row r="1175" spans="1:14" x14ac:dyDescent="0.35">
      <c r="A1175" t="s">
        <v>3726</v>
      </c>
      <c r="B1175" t="s">
        <v>3727</v>
      </c>
      <c r="C1175" t="s">
        <v>62</v>
      </c>
      <c r="D1175">
        <v>64.14</v>
      </c>
      <c r="E1175">
        <v>2000</v>
      </c>
      <c r="F1175" t="s">
        <v>51</v>
      </c>
      <c r="G1175" t="s">
        <v>102</v>
      </c>
      <c r="H1175" t="s">
        <v>43</v>
      </c>
      <c r="I1175" t="s">
        <v>44</v>
      </c>
      <c r="J1175" t="s">
        <v>3728</v>
      </c>
      <c r="K1175" t="s">
        <v>139</v>
      </c>
      <c r="L1175">
        <v>10</v>
      </c>
      <c r="M1175" t="s">
        <v>772</v>
      </c>
      <c r="N1175" t="s">
        <v>3729</v>
      </c>
    </row>
    <row r="1176" spans="1:14" x14ac:dyDescent="0.35">
      <c r="A1176" t="s">
        <v>3730</v>
      </c>
      <c r="B1176" t="s">
        <v>3731</v>
      </c>
      <c r="C1176" t="s">
        <v>62</v>
      </c>
      <c r="D1176">
        <v>58.07</v>
      </c>
      <c r="E1176">
        <v>4000</v>
      </c>
      <c r="F1176" t="s">
        <v>36</v>
      </c>
      <c r="G1176" t="s">
        <v>32</v>
      </c>
      <c r="H1176" t="s">
        <v>33</v>
      </c>
      <c r="I1176" t="s">
        <v>44</v>
      </c>
      <c r="J1176" t="s">
        <v>543</v>
      </c>
      <c r="K1176" t="s">
        <v>51</v>
      </c>
      <c r="L1176">
        <v>20</v>
      </c>
      <c r="M1176" t="s">
        <v>434</v>
      </c>
      <c r="N1176" t="s">
        <v>3732</v>
      </c>
    </row>
    <row r="1177" spans="1:14" x14ac:dyDescent="0.35">
      <c r="A1177" t="s">
        <v>3733</v>
      </c>
      <c r="B1177" t="s">
        <v>3734</v>
      </c>
      <c r="C1177" t="s">
        <v>30</v>
      </c>
      <c r="D1177">
        <v>153.28</v>
      </c>
      <c r="E1177">
        <v>2000</v>
      </c>
      <c r="F1177" t="s">
        <v>42</v>
      </c>
      <c r="G1177" t="s">
        <v>32</v>
      </c>
      <c r="H1177" t="s">
        <v>57</v>
      </c>
      <c r="I1177" t="s">
        <v>44</v>
      </c>
      <c r="J1177" t="s">
        <v>235</v>
      </c>
      <c r="K1177" t="s">
        <v>236</v>
      </c>
      <c r="L1177">
        <v>7</v>
      </c>
      <c r="M1177" t="s">
        <v>83</v>
      </c>
      <c r="N1177" t="s">
        <v>3735</v>
      </c>
    </row>
    <row r="1178" spans="1:14" x14ac:dyDescent="0.35">
      <c r="A1178" t="s">
        <v>3736</v>
      </c>
      <c r="B1178" t="s">
        <v>3737</v>
      </c>
      <c r="C1178" t="s">
        <v>41</v>
      </c>
      <c r="D1178">
        <v>122.47</v>
      </c>
      <c r="E1178">
        <v>19000</v>
      </c>
      <c r="F1178" t="s">
        <v>147</v>
      </c>
      <c r="G1178" t="s">
        <v>32</v>
      </c>
      <c r="H1178" t="s">
        <v>43</v>
      </c>
      <c r="I1178" t="s">
        <v>34</v>
      </c>
      <c r="J1178" t="s">
        <v>124</v>
      </c>
      <c r="K1178" t="s">
        <v>117</v>
      </c>
      <c r="L1178">
        <v>4</v>
      </c>
      <c r="N1178" t="s">
        <v>3738</v>
      </c>
    </row>
    <row r="1179" spans="1:14" x14ac:dyDescent="0.35">
      <c r="A1179" t="s">
        <v>3739</v>
      </c>
      <c r="B1179" t="s">
        <v>3740</v>
      </c>
      <c r="C1179" t="s">
        <v>30</v>
      </c>
      <c r="D1179">
        <v>178.33</v>
      </c>
      <c r="E1179">
        <v>10000</v>
      </c>
      <c r="F1179" t="s">
        <v>42</v>
      </c>
      <c r="G1179" t="s">
        <v>32</v>
      </c>
      <c r="H1179" t="s">
        <v>33</v>
      </c>
      <c r="I1179" t="s">
        <v>34</v>
      </c>
      <c r="J1179" t="s">
        <v>45</v>
      </c>
      <c r="K1179" t="s">
        <v>46</v>
      </c>
      <c r="L1179">
        <v>21</v>
      </c>
      <c r="N1179" t="s">
        <v>2065</v>
      </c>
    </row>
    <row r="1180" spans="1:14" x14ac:dyDescent="0.35">
      <c r="A1180" t="s">
        <v>3741</v>
      </c>
      <c r="B1180" t="s">
        <v>3742</v>
      </c>
      <c r="C1180" t="s">
        <v>116</v>
      </c>
      <c r="D1180">
        <v>9.42</v>
      </c>
      <c r="E1180">
        <v>700</v>
      </c>
      <c r="F1180" t="s">
        <v>46</v>
      </c>
      <c r="G1180" t="s">
        <v>32</v>
      </c>
      <c r="H1180" t="s">
        <v>57</v>
      </c>
      <c r="J1180" t="s">
        <v>63</v>
      </c>
      <c r="K1180" t="s">
        <v>64</v>
      </c>
      <c r="L1180">
        <v>0</v>
      </c>
      <c r="M1180" t="s">
        <v>672</v>
      </c>
      <c r="N1180" t="s">
        <v>305</v>
      </c>
    </row>
    <row r="1181" spans="1:14" x14ac:dyDescent="0.35">
      <c r="A1181" t="s">
        <v>3743</v>
      </c>
      <c r="B1181" t="s">
        <v>3744</v>
      </c>
      <c r="C1181" t="s">
        <v>62</v>
      </c>
      <c r="D1181">
        <v>94.73</v>
      </c>
      <c r="E1181">
        <v>2000</v>
      </c>
      <c r="F1181" t="s">
        <v>74</v>
      </c>
      <c r="G1181" t="s">
        <v>32</v>
      </c>
      <c r="H1181" t="s">
        <v>57</v>
      </c>
      <c r="I1181" t="s">
        <v>44</v>
      </c>
      <c r="J1181" t="s">
        <v>130</v>
      </c>
      <c r="K1181" t="s">
        <v>123</v>
      </c>
      <c r="L1181">
        <v>20</v>
      </c>
      <c r="M1181" t="s">
        <v>1273</v>
      </c>
      <c r="N1181" t="s">
        <v>3745</v>
      </c>
    </row>
    <row r="1182" spans="1:14" x14ac:dyDescent="0.35">
      <c r="A1182" t="s">
        <v>3746</v>
      </c>
      <c r="B1182" t="s">
        <v>3747</v>
      </c>
      <c r="C1182" t="s">
        <v>81</v>
      </c>
      <c r="D1182">
        <v>137.49</v>
      </c>
      <c r="E1182">
        <v>9000</v>
      </c>
      <c r="F1182" t="s">
        <v>31</v>
      </c>
      <c r="G1182" t="s">
        <v>32</v>
      </c>
      <c r="H1182" t="s">
        <v>33</v>
      </c>
      <c r="J1182" t="s">
        <v>63</v>
      </c>
      <c r="K1182" t="s">
        <v>64</v>
      </c>
      <c r="L1182">
        <v>8</v>
      </c>
      <c r="M1182" t="s">
        <v>3354</v>
      </c>
      <c r="N1182" t="s">
        <v>3748</v>
      </c>
    </row>
    <row r="1183" spans="1:14" x14ac:dyDescent="0.35">
      <c r="A1183" t="s">
        <v>3749</v>
      </c>
      <c r="B1183" t="s">
        <v>3750</v>
      </c>
      <c r="C1183" t="s">
        <v>69</v>
      </c>
      <c r="D1183">
        <v>54.46</v>
      </c>
      <c r="E1183">
        <v>83000</v>
      </c>
      <c r="F1183" t="s">
        <v>123</v>
      </c>
      <c r="G1183" t="s">
        <v>32</v>
      </c>
      <c r="H1183" t="s">
        <v>33</v>
      </c>
      <c r="I1183" t="s">
        <v>129</v>
      </c>
      <c r="J1183" t="s">
        <v>75</v>
      </c>
      <c r="K1183" t="s">
        <v>76</v>
      </c>
      <c r="L1183">
        <v>23</v>
      </c>
      <c r="N1183" t="s">
        <v>3729</v>
      </c>
    </row>
    <row r="1184" spans="1:14" x14ac:dyDescent="0.35">
      <c r="A1184" t="s">
        <v>3751</v>
      </c>
      <c r="B1184" t="s">
        <v>3752</v>
      </c>
      <c r="C1184" t="s">
        <v>30</v>
      </c>
      <c r="D1184">
        <v>173.44</v>
      </c>
      <c r="E1184">
        <v>16000</v>
      </c>
      <c r="F1184" t="s">
        <v>51</v>
      </c>
      <c r="G1184" t="s">
        <v>102</v>
      </c>
      <c r="H1184" t="s">
        <v>57</v>
      </c>
      <c r="I1184" t="s">
        <v>129</v>
      </c>
      <c r="J1184" t="s">
        <v>235</v>
      </c>
      <c r="K1184" t="s">
        <v>236</v>
      </c>
      <c r="L1184">
        <v>0</v>
      </c>
      <c r="N1184" t="s">
        <v>761</v>
      </c>
    </row>
    <row r="1185" spans="1:14" x14ac:dyDescent="0.35">
      <c r="A1185" t="s">
        <v>3753</v>
      </c>
      <c r="B1185" t="s">
        <v>3754</v>
      </c>
      <c r="C1185" t="s">
        <v>30</v>
      </c>
      <c r="D1185">
        <v>169.34</v>
      </c>
      <c r="E1185">
        <v>9000</v>
      </c>
      <c r="F1185" t="s">
        <v>139</v>
      </c>
      <c r="G1185" t="s">
        <v>32</v>
      </c>
      <c r="H1185" t="s">
        <v>33</v>
      </c>
      <c r="I1185" t="s">
        <v>34</v>
      </c>
      <c r="J1185" t="s">
        <v>3755</v>
      </c>
      <c r="K1185" t="s">
        <v>51</v>
      </c>
      <c r="L1185">
        <v>23</v>
      </c>
      <c r="N1185" t="s">
        <v>1431</v>
      </c>
    </row>
    <row r="1186" spans="1:14" x14ac:dyDescent="0.35">
      <c r="A1186" t="s">
        <v>3756</v>
      </c>
      <c r="B1186" t="s">
        <v>3757</v>
      </c>
      <c r="C1186" t="s">
        <v>69</v>
      </c>
      <c r="D1186">
        <v>74.69</v>
      </c>
      <c r="E1186">
        <v>87000</v>
      </c>
      <c r="F1186" t="s">
        <v>64</v>
      </c>
      <c r="G1186" t="s">
        <v>32</v>
      </c>
      <c r="H1186" t="s">
        <v>43</v>
      </c>
      <c r="I1186" t="s">
        <v>44</v>
      </c>
      <c r="J1186" t="s">
        <v>75</v>
      </c>
      <c r="K1186" t="s">
        <v>76</v>
      </c>
      <c r="L1186">
        <v>22</v>
      </c>
      <c r="M1186" t="s">
        <v>3758</v>
      </c>
      <c r="N1186" t="s">
        <v>3759</v>
      </c>
    </row>
    <row r="1187" spans="1:14" x14ac:dyDescent="0.35">
      <c r="A1187" t="s">
        <v>3760</v>
      </c>
      <c r="B1187" t="s">
        <v>3761</v>
      </c>
      <c r="C1187" t="s">
        <v>62</v>
      </c>
      <c r="D1187">
        <v>62.85</v>
      </c>
      <c r="E1187">
        <v>2000</v>
      </c>
      <c r="F1187" t="s">
        <v>139</v>
      </c>
      <c r="G1187" t="s">
        <v>32</v>
      </c>
      <c r="H1187" t="s">
        <v>33</v>
      </c>
      <c r="I1187" t="s">
        <v>129</v>
      </c>
      <c r="J1187" t="s">
        <v>118</v>
      </c>
      <c r="K1187" t="s">
        <v>42</v>
      </c>
      <c r="L1187">
        <v>4</v>
      </c>
      <c r="M1187" t="s">
        <v>803</v>
      </c>
      <c r="N1187" t="s">
        <v>3431</v>
      </c>
    </row>
    <row r="1188" spans="1:14" x14ac:dyDescent="0.35">
      <c r="A1188" t="s">
        <v>3762</v>
      </c>
      <c r="B1188" t="s">
        <v>3763</v>
      </c>
      <c r="C1188" t="s">
        <v>81</v>
      </c>
      <c r="D1188">
        <v>119.98</v>
      </c>
      <c r="E1188">
        <v>3000</v>
      </c>
      <c r="F1188" t="s">
        <v>76</v>
      </c>
      <c r="G1188" t="s">
        <v>32</v>
      </c>
      <c r="H1188" t="s">
        <v>57</v>
      </c>
      <c r="I1188" t="s">
        <v>44</v>
      </c>
      <c r="J1188" t="s">
        <v>830</v>
      </c>
      <c r="K1188" t="s">
        <v>51</v>
      </c>
      <c r="L1188">
        <v>5</v>
      </c>
      <c r="M1188" t="s">
        <v>2625</v>
      </c>
      <c r="N1188" t="s">
        <v>560</v>
      </c>
    </row>
    <row r="1189" spans="1:14" x14ac:dyDescent="0.35">
      <c r="A1189" t="s">
        <v>3764</v>
      </c>
      <c r="B1189" t="s">
        <v>3765</v>
      </c>
      <c r="C1189" t="s">
        <v>81</v>
      </c>
      <c r="D1189">
        <v>124.12</v>
      </c>
      <c r="E1189">
        <v>5000</v>
      </c>
      <c r="F1189" t="s">
        <v>74</v>
      </c>
      <c r="G1189" t="s">
        <v>32</v>
      </c>
      <c r="H1189" t="s">
        <v>33</v>
      </c>
      <c r="J1189" t="s">
        <v>3766</v>
      </c>
      <c r="K1189" t="s">
        <v>97</v>
      </c>
      <c r="L1189">
        <v>19</v>
      </c>
      <c r="N1189" t="s">
        <v>3767</v>
      </c>
    </row>
    <row r="1190" spans="1:14" x14ac:dyDescent="0.35">
      <c r="A1190" t="s">
        <v>3768</v>
      </c>
      <c r="B1190" t="s">
        <v>3769</v>
      </c>
      <c r="C1190" t="s">
        <v>69</v>
      </c>
      <c r="D1190">
        <v>65.62</v>
      </c>
      <c r="E1190">
        <v>35000</v>
      </c>
      <c r="F1190" t="s">
        <v>31</v>
      </c>
      <c r="G1190" t="s">
        <v>32</v>
      </c>
      <c r="H1190" t="s">
        <v>33</v>
      </c>
      <c r="I1190" t="s">
        <v>129</v>
      </c>
      <c r="J1190" t="s">
        <v>278</v>
      </c>
      <c r="K1190" t="s">
        <v>97</v>
      </c>
      <c r="L1190">
        <v>13</v>
      </c>
      <c r="M1190" t="s">
        <v>3770</v>
      </c>
      <c r="N1190" t="s">
        <v>1059</v>
      </c>
    </row>
    <row r="1191" spans="1:14" x14ac:dyDescent="0.35">
      <c r="A1191" t="s">
        <v>3771</v>
      </c>
      <c r="B1191" t="s">
        <v>3772</v>
      </c>
      <c r="C1191" t="s">
        <v>41</v>
      </c>
      <c r="D1191">
        <v>136.66999999999999</v>
      </c>
      <c r="E1191">
        <v>22000</v>
      </c>
      <c r="F1191" t="s">
        <v>36</v>
      </c>
      <c r="G1191" t="s">
        <v>102</v>
      </c>
      <c r="H1191" t="s">
        <v>33</v>
      </c>
      <c r="I1191" t="s">
        <v>44</v>
      </c>
      <c r="J1191" t="s">
        <v>2122</v>
      </c>
      <c r="K1191" t="s">
        <v>97</v>
      </c>
      <c r="L1191">
        <v>9</v>
      </c>
      <c r="M1191" t="s">
        <v>3773</v>
      </c>
      <c r="N1191" t="s">
        <v>3774</v>
      </c>
    </row>
    <row r="1192" spans="1:14" x14ac:dyDescent="0.35">
      <c r="A1192" t="s">
        <v>3775</v>
      </c>
      <c r="B1192" t="s">
        <v>3776</v>
      </c>
      <c r="C1192" t="s">
        <v>81</v>
      </c>
      <c r="D1192">
        <v>134.02000000000001</v>
      </c>
      <c r="E1192">
        <v>8000</v>
      </c>
      <c r="F1192" t="s">
        <v>106</v>
      </c>
      <c r="G1192" t="s">
        <v>32</v>
      </c>
      <c r="H1192" t="s">
        <v>57</v>
      </c>
      <c r="I1192" t="s">
        <v>44</v>
      </c>
      <c r="J1192" t="s">
        <v>1176</v>
      </c>
      <c r="K1192" t="s">
        <v>139</v>
      </c>
      <c r="L1192">
        <v>8</v>
      </c>
      <c r="M1192" t="s">
        <v>2269</v>
      </c>
      <c r="N1192" t="s">
        <v>3777</v>
      </c>
    </row>
    <row r="1193" spans="1:14" x14ac:dyDescent="0.35">
      <c r="A1193" t="s">
        <v>3778</v>
      </c>
      <c r="B1193" t="s">
        <v>3779</v>
      </c>
      <c r="C1193" t="s">
        <v>81</v>
      </c>
      <c r="D1193">
        <v>107.65</v>
      </c>
      <c r="E1193">
        <v>6000</v>
      </c>
      <c r="F1193" t="s">
        <v>139</v>
      </c>
      <c r="G1193" t="s">
        <v>32</v>
      </c>
      <c r="H1193" t="s">
        <v>57</v>
      </c>
      <c r="I1193" t="s">
        <v>129</v>
      </c>
      <c r="J1193" t="s">
        <v>3780</v>
      </c>
      <c r="K1193" t="s">
        <v>139</v>
      </c>
      <c r="L1193">
        <v>4</v>
      </c>
      <c r="N1193" t="s">
        <v>3732</v>
      </c>
    </row>
    <row r="1194" spans="1:14" x14ac:dyDescent="0.35">
      <c r="A1194" t="s">
        <v>3781</v>
      </c>
      <c r="B1194" t="s">
        <v>3782</v>
      </c>
      <c r="C1194" t="s">
        <v>62</v>
      </c>
      <c r="D1194">
        <v>79.84</v>
      </c>
      <c r="E1194">
        <v>1000</v>
      </c>
      <c r="F1194" t="s">
        <v>117</v>
      </c>
      <c r="G1194" t="s">
        <v>102</v>
      </c>
      <c r="H1194" t="s">
        <v>33</v>
      </c>
      <c r="I1194" t="s">
        <v>44</v>
      </c>
      <c r="J1194" t="s">
        <v>130</v>
      </c>
      <c r="K1194" t="s">
        <v>123</v>
      </c>
      <c r="L1194">
        <v>17</v>
      </c>
      <c r="N1194" t="s">
        <v>1912</v>
      </c>
    </row>
    <row r="1195" spans="1:14" x14ac:dyDescent="0.35">
      <c r="A1195" t="s">
        <v>3783</v>
      </c>
      <c r="B1195" t="s">
        <v>3784</v>
      </c>
      <c r="C1195" t="s">
        <v>30</v>
      </c>
      <c r="D1195">
        <v>175.16</v>
      </c>
      <c r="E1195">
        <v>18000</v>
      </c>
      <c r="F1195" t="s">
        <v>64</v>
      </c>
      <c r="G1195" t="s">
        <v>32</v>
      </c>
      <c r="H1195" t="s">
        <v>57</v>
      </c>
      <c r="J1195" t="s">
        <v>124</v>
      </c>
      <c r="K1195" t="s">
        <v>117</v>
      </c>
      <c r="L1195">
        <v>1</v>
      </c>
      <c r="N1195" t="s">
        <v>3785</v>
      </c>
    </row>
    <row r="1196" spans="1:14" x14ac:dyDescent="0.35">
      <c r="A1196" t="s">
        <v>3786</v>
      </c>
      <c r="B1196" t="s">
        <v>3787</v>
      </c>
      <c r="C1196" t="s">
        <v>41</v>
      </c>
      <c r="D1196">
        <v>130.6</v>
      </c>
      <c r="E1196">
        <v>36000</v>
      </c>
      <c r="F1196" t="s">
        <v>74</v>
      </c>
      <c r="G1196" t="s">
        <v>32</v>
      </c>
      <c r="H1196" t="s">
        <v>33</v>
      </c>
      <c r="I1196" t="s">
        <v>34</v>
      </c>
      <c r="J1196" t="s">
        <v>209</v>
      </c>
      <c r="K1196" t="s">
        <v>74</v>
      </c>
      <c r="L1196">
        <v>21</v>
      </c>
      <c r="M1196" t="s">
        <v>3788</v>
      </c>
      <c r="N1196" t="s">
        <v>1078</v>
      </c>
    </row>
    <row r="1197" spans="1:14" x14ac:dyDescent="0.35">
      <c r="A1197" t="s">
        <v>3789</v>
      </c>
      <c r="B1197" t="s">
        <v>3790</v>
      </c>
      <c r="C1197" t="s">
        <v>69</v>
      </c>
      <c r="D1197">
        <v>92.79</v>
      </c>
      <c r="E1197">
        <v>54000</v>
      </c>
      <c r="F1197" t="s">
        <v>42</v>
      </c>
      <c r="G1197" t="s">
        <v>32</v>
      </c>
      <c r="H1197" t="s">
        <v>43</v>
      </c>
      <c r="I1197" t="s">
        <v>44</v>
      </c>
      <c r="J1197" t="s">
        <v>82</v>
      </c>
      <c r="K1197" t="s">
        <v>74</v>
      </c>
      <c r="L1197">
        <v>3</v>
      </c>
      <c r="N1197" t="s">
        <v>3791</v>
      </c>
    </row>
    <row r="1198" spans="1:14" x14ac:dyDescent="0.35">
      <c r="A1198" t="s">
        <v>3792</v>
      </c>
      <c r="B1198" t="s">
        <v>3793</v>
      </c>
      <c r="C1198" t="s">
        <v>81</v>
      </c>
      <c r="D1198">
        <v>87.5</v>
      </c>
      <c r="E1198">
        <v>9000</v>
      </c>
      <c r="F1198" t="s">
        <v>51</v>
      </c>
      <c r="G1198" t="s">
        <v>32</v>
      </c>
      <c r="H1198" t="s">
        <v>33</v>
      </c>
      <c r="J1198" t="s">
        <v>1096</v>
      </c>
      <c r="K1198" t="s">
        <v>76</v>
      </c>
      <c r="L1198">
        <v>18</v>
      </c>
      <c r="M1198" t="s">
        <v>3794</v>
      </c>
      <c r="N1198" t="s">
        <v>1613</v>
      </c>
    </row>
    <row r="1199" spans="1:14" x14ac:dyDescent="0.35">
      <c r="A1199" t="s">
        <v>3795</v>
      </c>
      <c r="B1199" t="s">
        <v>3796</v>
      </c>
      <c r="C1199" t="s">
        <v>81</v>
      </c>
      <c r="D1199">
        <v>99.2</v>
      </c>
      <c r="E1199">
        <v>8000</v>
      </c>
      <c r="F1199" t="s">
        <v>64</v>
      </c>
      <c r="G1199" t="s">
        <v>32</v>
      </c>
      <c r="H1199" t="s">
        <v>33</v>
      </c>
      <c r="J1199" t="s">
        <v>35</v>
      </c>
      <c r="K1199" t="s">
        <v>36</v>
      </c>
      <c r="L1199">
        <v>18</v>
      </c>
      <c r="N1199" t="s">
        <v>1236</v>
      </c>
    </row>
    <row r="1200" spans="1:14" x14ac:dyDescent="0.35">
      <c r="A1200" t="s">
        <v>3797</v>
      </c>
      <c r="B1200" t="s">
        <v>3798</v>
      </c>
      <c r="C1200" t="s">
        <v>62</v>
      </c>
      <c r="D1200">
        <v>92.98</v>
      </c>
      <c r="E1200">
        <v>1000</v>
      </c>
      <c r="F1200" t="s">
        <v>31</v>
      </c>
      <c r="G1200" t="s">
        <v>32</v>
      </c>
      <c r="H1200" t="s">
        <v>57</v>
      </c>
      <c r="J1200" t="s">
        <v>130</v>
      </c>
      <c r="K1200" t="s">
        <v>123</v>
      </c>
      <c r="L1200">
        <v>13</v>
      </c>
      <c r="M1200" t="s">
        <v>447</v>
      </c>
      <c r="N1200" t="s">
        <v>1662</v>
      </c>
    </row>
    <row r="1201" spans="1:14" x14ac:dyDescent="0.35">
      <c r="A1201" t="s">
        <v>3799</v>
      </c>
      <c r="B1201" t="s">
        <v>3800</v>
      </c>
      <c r="C1201" t="s">
        <v>41</v>
      </c>
      <c r="D1201">
        <v>124.11</v>
      </c>
      <c r="E1201">
        <v>13000</v>
      </c>
      <c r="F1201" t="s">
        <v>31</v>
      </c>
      <c r="G1201" t="s">
        <v>32</v>
      </c>
      <c r="H1201" t="s">
        <v>43</v>
      </c>
      <c r="I1201" t="s">
        <v>34</v>
      </c>
      <c r="J1201" t="s">
        <v>578</v>
      </c>
      <c r="K1201" t="s">
        <v>46</v>
      </c>
      <c r="L1201">
        <v>17</v>
      </c>
      <c r="N1201" t="s">
        <v>3801</v>
      </c>
    </row>
    <row r="1202" spans="1:14" x14ac:dyDescent="0.35">
      <c r="A1202" t="s">
        <v>3802</v>
      </c>
      <c r="B1202" t="s">
        <v>3803</v>
      </c>
      <c r="C1202" t="s">
        <v>30</v>
      </c>
      <c r="D1202">
        <v>153.56</v>
      </c>
      <c r="E1202">
        <v>12000</v>
      </c>
      <c r="F1202" t="s">
        <v>117</v>
      </c>
      <c r="G1202" t="s">
        <v>32</v>
      </c>
      <c r="H1202" t="s">
        <v>57</v>
      </c>
      <c r="I1202" t="s">
        <v>34</v>
      </c>
      <c r="J1202" t="s">
        <v>3804</v>
      </c>
      <c r="K1202" t="s">
        <v>147</v>
      </c>
      <c r="L1202">
        <v>2</v>
      </c>
      <c r="N1202" t="s">
        <v>3707</v>
      </c>
    </row>
    <row r="1203" spans="1:14" x14ac:dyDescent="0.35">
      <c r="A1203" t="s">
        <v>3805</v>
      </c>
      <c r="B1203" t="s">
        <v>3806</v>
      </c>
      <c r="C1203" t="s">
        <v>116</v>
      </c>
      <c r="D1203">
        <v>6.16</v>
      </c>
      <c r="E1203">
        <v>200</v>
      </c>
      <c r="F1203" t="s">
        <v>97</v>
      </c>
      <c r="G1203" t="s">
        <v>32</v>
      </c>
      <c r="H1203" t="s">
        <v>33</v>
      </c>
      <c r="I1203" t="s">
        <v>44</v>
      </c>
      <c r="J1203" t="s">
        <v>1472</v>
      </c>
      <c r="K1203" t="s">
        <v>147</v>
      </c>
      <c r="L1203">
        <v>1</v>
      </c>
      <c r="M1203" t="s">
        <v>2570</v>
      </c>
      <c r="N1203" t="s">
        <v>3407</v>
      </c>
    </row>
    <row r="1204" spans="1:14" x14ac:dyDescent="0.35">
      <c r="A1204" t="s">
        <v>3807</v>
      </c>
      <c r="B1204" t="s">
        <v>3808</v>
      </c>
      <c r="C1204" t="s">
        <v>41</v>
      </c>
      <c r="D1204">
        <v>85.97</v>
      </c>
      <c r="E1204">
        <v>21000</v>
      </c>
      <c r="F1204" t="s">
        <v>147</v>
      </c>
      <c r="G1204" t="s">
        <v>32</v>
      </c>
      <c r="H1204" t="s">
        <v>43</v>
      </c>
      <c r="I1204" t="s">
        <v>44</v>
      </c>
      <c r="J1204" t="s">
        <v>235</v>
      </c>
      <c r="K1204" t="s">
        <v>236</v>
      </c>
      <c r="L1204">
        <v>12</v>
      </c>
      <c r="M1204" t="s">
        <v>1739</v>
      </c>
      <c r="N1204" t="s">
        <v>3809</v>
      </c>
    </row>
    <row r="1205" spans="1:14" x14ac:dyDescent="0.35">
      <c r="A1205" t="s">
        <v>3810</v>
      </c>
      <c r="B1205" t="s">
        <v>2931</v>
      </c>
      <c r="C1205" t="s">
        <v>69</v>
      </c>
      <c r="D1205">
        <v>83.33</v>
      </c>
      <c r="E1205">
        <v>57000</v>
      </c>
      <c r="F1205" t="s">
        <v>87</v>
      </c>
      <c r="G1205" t="s">
        <v>32</v>
      </c>
      <c r="H1205" t="s">
        <v>33</v>
      </c>
      <c r="I1205" t="s">
        <v>44</v>
      </c>
      <c r="J1205" t="s">
        <v>45</v>
      </c>
      <c r="K1205" t="s">
        <v>46</v>
      </c>
      <c r="L1205">
        <v>7</v>
      </c>
      <c r="M1205" t="s">
        <v>1336</v>
      </c>
      <c r="N1205" t="s">
        <v>1656</v>
      </c>
    </row>
    <row r="1206" spans="1:14" x14ac:dyDescent="0.35">
      <c r="A1206" t="s">
        <v>3811</v>
      </c>
      <c r="B1206" t="s">
        <v>3812</v>
      </c>
      <c r="C1206" t="s">
        <v>41</v>
      </c>
      <c r="D1206">
        <v>103.98</v>
      </c>
      <c r="E1206">
        <v>39000</v>
      </c>
      <c r="F1206" t="s">
        <v>42</v>
      </c>
      <c r="G1206" t="s">
        <v>32</v>
      </c>
      <c r="H1206" t="s">
        <v>57</v>
      </c>
      <c r="I1206" t="s">
        <v>34</v>
      </c>
      <c r="J1206" t="s">
        <v>1468</v>
      </c>
      <c r="K1206" t="s">
        <v>147</v>
      </c>
      <c r="L1206">
        <v>6</v>
      </c>
      <c r="N1206" t="s">
        <v>3813</v>
      </c>
    </row>
    <row r="1207" spans="1:14" x14ac:dyDescent="0.35">
      <c r="A1207" t="s">
        <v>3814</v>
      </c>
      <c r="B1207" t="s">
        <v>3815</v>
      </c>
      <c r="C1207" t="s">
        <v>116</v>
      </c>
      <c r="D1207">
        <v>11.64</v>
      </c>
      <c r="E1207">
        <v>700</v>
      </c>
      <c r="F1207" t="s">
        <v>236</v>
      </c>
      <c r="G1207" t="s">
        <v>32</v>
      </c>
      <c r="H1207" t="s">
        <v>33</v>
      </c>
      <c r="I1207" t="s">
        <v>44</v>
      </c>
      <c r="J1207" t="s">
        <v>35</v>
      </c>
      <c r="K1207" t="s">
        <v>36</v>
      </c>
      <c r="L1207">
        <v>18</v>
      </c>
      <c r="M1207" t="s">
        <v>284</v>
      </c>
      <c r="N1207" t="s">
        <v>3402</v>
      </c>
    </row>
    <row r="1208" spans="1:14" x14ac:dyDescent="0.35">
      <c r="A1208" t="s">
        <v>3816</v>
      </c>
      <c r="B1208" t="s">
        <v>3817</v>
      </c>
      <c r="C1208" t="s">
        <v>81</v>
      </c>
      <c r="D1208">
        <v>132.93</v>
      </c>
      <c r="E1208">
        <v>6000</v>
      </c>
      <c r="F1208" t="s">
        <v>31</v>
      </c>
      <c r="G1208" t="s">
        <v>32</v>
      </c>
      <c r="H1208" t="s">
        <v>33</v>
      </c>
      <c r="I1208" t="s">
        <v>129</v>
      </c>
      <c r="J1208" t="s">
        <v>63</v>
      </c>
      <c r="K1208" t="s">
        <v>64</v>
      </c>
      <c r="L1208">
        <v>18</v>
      </c>
      <c r="M1208" t="s">
        <v>1919</v>
      </c>
      <c r="N1208" t="s">
        <v>520</v>
      </c>
    </row>
    <row r="1209" spans="1:14" x14ac:dyDescent="0.35">
      <c r="A1209" t="s">
        <v>3818</v>
      </c>
      <c r="B1209" t="s">
        <v>3819</v>
      </c>
      <c r="C1209" t="s">
        <v>69</v>
      </c>
      <c r="D1209">
        <v>56.85</v>
      </c>
      <c r="E1209">
        <v>14000</v>
      </c>
      <c r="F1209" t="s">
        <v>87</v>
      </c>
      <c r="G1209" t="s">
        <v>32</v>
      </c>
      <c r="H1209" t="s">
        <v>33</v>
      </c>
      <c r="J1209" t="s">
        <v>112</v>
      </c>
      <c r="K1209" t="s">
        <v>106</v>
      </c>
      <c r="L1209">
        <v>22</v>
      </c>
      <c r="M1209" t="s">
        <v>1835</v>
      </c>
      <c r="N1209" t="s">
        <v>2921</v>
      </c>
    </row>
    <row r="1210" spans="1:14" x14ac:dyDescent="0.35">
      <c r="A1210" t="s">
        <v>3820</v>
      </c>
      <c r="B1210" t="s">
        <v>3821</v>
      </c>
      <c r="C1210" t="s">
        <v>116</v>
      </c>
      <c r="D1210">
        <v>6.56</v>
      </c>
      <c r="E1210">
        <v>300</v>
      </c>
      <c r="F1210" t="s">
        <v>123</v>
      </c>
      <c r="G1210" t="s">
        <v>32</v>
      </c>
      <c r="H1210" t="s">
        <v>43</v>
      </c>
      <c r="I1210" t="s">
        <v>34</v>
      </c>
      <c r="J1210" t="s">
        <v>107</v>
      </c>
      <c r="K1210" t="s">
        <v>87</v>
      </c>
      <c r="L1210">
        <v>12</v>
      </c>
      <c r="N1210" t="s">
        <v>3052</v>
      </c>
    </row>
    <row r="1211" spans="1:14" x14ac:dyDescent="0.35">
      <c r="A1211" t="s">
        <v>3822</v>
      </c>
      <c r="B1211" t="s">
        <v>3823</v>
      </c>
      <c r="C1211" t="s">
        <v>116</v>
      </c>
      <c r="D1211">
        <v>6.73</v>
      </c>
      <c r="E1211">
        <v>500</v>
      </c>
      <c r="F1211" t="s">
        <v>97</v>
      </c>
      <c r="G1211" t="s">
        <v>32</v>
      </c>
      <c r="H1211" t="s">
        <v>33</v>
      </c>
      <c r="I1211" t="s">
        <v>34</v>
      </c>
      <c r="J1211" t="s">
        <v>599</v>
      </c>
      <c r="K1211" t="s">
        <v>139</v>
      </c>
      <c r="L1211">
        <v>5</v>
      </c>
      <c r="N1211" t="s">
        <v>567</v>
      </c>
    </row>
    <row r="1212" spans="1:14" x14ac:dyDescent="0.35">
      <c r="A1212" t="s">
        <v>3824</v>
      </c>
      <c r="B1212" t="s">
        <v>3825</v>
      </c>
      <c r="C1212" t="s">
        <v>116</v>
      </c>
      <c r="D1212">
        <v>8.99</v>
      </c>
      <c r="E1212">
        <v>500</v>
      </c>
      <c r="F1212" t="s">
        <v>36</v>
      </c>
      <c r="G1212" t="s">
        <v>32</v>
      </c>
      <c r="H1212" t="s">
        <v>57</v>
      </c>
      <c r="J1212" t="s">
        <v>2149</v>
      </c>
      <c r="K1212" t="s">
        <v>117</v>
      </c>
      <c r="L1212">
        <v>13</v>
      </c>
      <c r="M1212" t="s">
        <v>3081</v>
      </c>
      <c r="N1212" t="s">
        <v>722</v>
      </c>
    </row>
    <row r="1213" spans="1:14" x14ac:dyDescent="0.35">
      <c r="A1213" t="s">
        <v>3826</v>
      </c>
      <c r="B1213" t="s">
        <v>3827</v>
      </c>
      <c r="C1213" t="s">
        <v>69</v>
      </c>
      <c r="D1213">
        <v>52.11</v>
      </c>
      <c r="E1213">
        <v>20000</v>
      </c>
      <c r="F1213" t="s">
        <v>76</v>
      </c>
      <c r="G1213" t="s">
        <v>102</v>
      </c>
      <c r="H1213" t="s">
        <v>33</v>
      </c>
      <c r="I1213" t="s">
        <v>44</v>
      </c>
      <c r="J1213" t="s">
        <v>3828</v>
      </c>
      <c r="K1213" t="s">
        <v>74</v>
      </c>
      <c r="L1213">
        <v>12</v>
      </c>
      <c r="N1213" t="s">
        <v>2587</v>
      </c>
    </row>
    <row r="1214" spans="1:14" x14ac:dyDescent="0.35">
      <c r="A1214" t="s">
        <v>3829</v>
      </c>
      <c r="B1214" t="s">
        <v>3830</v>
      </c>
      <c r="C1214" t="s">
        <v>81</v>
      </c>
      <c r="D1214">
        <v>135.74</v>
      </c>
      <c r="E1214">
        <v>3000</v>
      </c>
      <c r="F1214" t="s">
        <v>42</v>
      </c>
      <c r="G1214" t="s">
        <v>32</v>
      </c>
      <c r="H1214" t="s">
        <v>57</v>
      </c>
      <c r="I1214" t="s">
        <v>44</v>
      </c>
      <c r="J1214" t="s">
        <v>543</v>
      </c>
      <c r="K1214" t="s">
        <v>51</v>
      </c>
      <c r="L1214">
        <v>16</v>
      </c>
      <c r="M1214" t="s">
        <v>3831</v>
      </c>
      <c r="N1214" t="s">
        <v>3832</v>
      </c>
    </row>
    <row r="1215" spans="1:14" x14ac:dyDescent="0.35">
      <c r="A1215" t="s">
        <v>3833</v>
      </c>
      <c r="B1215" t="s">
        <v>3834</v>
      </c>
      <c r="C1215" t="s">
        <v>30</v>
      </c>
      <c r="D1215">
        <v>165.54</v>
      </c>
      <c r="E1215">
        <v>10000</v>
      </c>
      <c r="F1215" t="s">
        <v>36</v>
      </c>
      <c r="G1215" t="s">
        <v>32</v>
      </c>
      <c r="H1215" t="s">
        <v>33</v>
      </c>
      <c r="I1215" t="s">
        <v>44</v>
      </c>
      <c r="J1215" t="s">
        <v>112</v>
      </c>
      <c r="K1215" t="s">
        <v>106</v>
      </c>
      <c r="L1215">
        <v>23</v>
      </c>
      <c r="M1215" t="s">
        <v>2021</v>
      </c>
      <c r="N1215" t="s">
        <v>161</v>
      </c>
    </row>
    <row r="1216" spans="1:14" x14ac:dyDescent="0.35">
      <c r="A1216" t="s">
        <v>3835</v>
      </c>
      <c r="B1216" t="s">
        <v>3836</v>
      </c>
      <c r="C1216" t="s">
        <v>69</v>
      </c>
      <c r="D1216">
        <v>71.67</v>
      </c>
      <c r="E1216">
        <v>87000</v>
      </c>
      <c r="F1216" t="s">
        <v>117</v>
      </c>
      <c r="G1216" t="s">
        <v>32</v>
      </c>
      <c r="H1216" t="s">
        <v>33</v>
      </c>
      <c r="J1216" t="s">
        <v>35</v>
      </c>
      <c r="K1216" t="s">
        <v>36</v>
      </c>
      <c r="L1216">
        <v>3</v>
      </c>
      <c r="M1216" t="s">
        <v>3773</v>
      </c>
      <c r="N1216" t="s">
        <v>322</v>
      </c>
    </row>
    <row r="1217" spans="1:14" x14ac:dyDescent="0.35">
      <c r="A1217" t="s">
        <v>3837</v>
      </c>
      <c r="B1217" t="s">
        <v>3838</v>
      </c>
      <c r="C1217" t="s">
        <v>30</v>
      </c>
      <c r="D1217">
        <v>172.53</v>
      </c>
      <c r="E1217">
        <v>1000</v>
      </c>
      <c r="F1217" t="s">
        <v>123</v>
      </c>
      <c r="G1217" t="s">
        <v>32</v>
      </c>
      <c r="H1217" t="s">
        <v>33</v>
      </c>
      <c r="I1217" t="s">
        <v>129</v>
      </c>
      <c r="J1217" t="s">
        <v>3839</v>
      </c>
      <c r="K1217" t="s">
        <v>147</v>
      </c>
      <c r="L1217">
        <v>6</v>
      </c>
      <c r="M1217" t="s">
        <v>83</v>
      </c>
      <c r="N1217" t="s">
        <v>3636</v>
      </c>
    </row>
    <row r="1218" spans="1:14" x14ac:dyDescent="0.35">
      <c r="A1218" t="s">
        <v>3840</v>
      </c>
      <c r="B1218" t="s">
        <v>3841</v>
      </c>
      <c r="C1218" t="s">
        <v>116</v>
      </c>
      <c r="D1218">
        <v>6.38</v>
      </c>
      <c r="E1218">
        <v>500</v>
      </c>
      <c r="F1218" t="s">
        <v>36</v>
      </c>
      <c r="G1218" t="s">
        <v>32</v>
      </c>
      <c r="H1218" t="s">
        <v>43</v>
      </c>
      <c r="J1218" t="s">
        <v>235</v>
      </c>
      <c r="K1218" t="s">
        <v>236</v>
      </c>
      <c r="L1218">
        <v>9</v>
      </c>
      <c r="M1218" t="s">
        <v>1383</v>
      </c>
      <c r="N1218" t="s">
        <v>456</v>
      </c>
    </row>
    <row r="1219" spans="1:14" x14ac:dyDescent="0.35">
      <c r="A1219" t="s">
        <v>3842</v>
      </c>
      <c r="B1219" t="s">
        <v>3843</v>
      </c>
      <c r="C1219" t="s">
        <v>30</v>
      </c>
      <c r="D1219">
        <v>131.31</v>
      </c>
      <c r="E1219">
        <v>18000</v>
      </c>
      <c r="F1219" t="s">
        <v>117</v>
      </c>
      <c r="G1219" t="s">
        <v>32</v>
      </c>
      <c r="H1219" t="s">
        <v>43</v>
      </c>
      <c r="I1219" t="s">
        <v>129</v>
      </c>
      <c r="J1219" t="s">
        <v>1707</v>
      </c>
      <c r="K1219" t="s">
        <v>36</v>
      </c>
      <c r="L1219">
        <v>14</v>
      </c>
      <c r="M1219" t="s">
        <v>1672</v>
      </c>
      <c r="N1219" t="s">
        <v>2529</v>
      </c>
    </row>
    <row r="1220" spans="1:14" x14ac:dyDescent="0.35">
      <c r="A1220" t="s">
        <v>3844</v>
      </c>
      <c r="B1220" t="s">
        <v>3845</v>
      </c>
      <c r="C1220" t="s">
        <v>81</v>
      </c>
      <c r="D1220">
        <v>117.2</v>
      </c>
      <c r="E1220">
        <v>9000</v>
      </c>
      <c r="F1220" t="s">
        <v>106</v>
      </c>
      <c r="G1220" t="s">
        <v>32</v>
      </c>
      <c r="H1220" t="s">
        <v>57</v>
      </c>
      <c r="I1220" t="s">
        <v>44</v>
      </c>
      <c r="J1220" t="s">
        <v>179</v>
      </c>
      <c r="K1220" t="s">
        <v>97</v>
      </c>
      <c r="L1220">
        <v>20</v>
      </c>
      <c r="N1220" t="s">
        <v>1353</v>
      </c>
    </row>
    <row r="1221" spans="1:14" x14ac:dyDescent="0.35">
      <c r="A1221" t="s">
        <v>3846</v>
      </c>
      <c r="B1221" t="s">
        <v>3847</v>
      </c>
      <c r="C1221" t="s">
        <v>81</v>
      </c>
      <c r="D1221">
        <v>77.900000000000006</v>
      </c>
      <c r="E1221">
        <v>2000</v>
      </c>
      <c r="F1221" t="s">
        <v>51</v>
      </c>
      <c r="G1221" t="s">
        <v>32</v>
      </c>
      <c r="H1221" t="s">
        <v>33</v>
      </c>
      <c r="J1221" t="s">
        <v>3766</v>
      </c>
      <c r="K1221" t="s">
        <v>97</v>
      </c>
      <c r="L1221">
        <v>14</v>
      </c>
      <c r="N1221" t="s">
        <v>2451</v>
      </c>
    </row>
    <row r="1222" spans="1:14" x14ac:dyDescent="0.35">
      <c r="A1222" t="s">
        <v>3848</v>
      </c>
      <c r="B1222" t="s">
        <v>3849</v>
      </c>
      <c r="C1222" t="s">
        <v>62</v>
      </c>
      <c r="D1222">
        <v>64.989999999999995</v>
      </c>
      <c r="E1222">
        <v>4000</v>
      </c>
      <c r="F1222" t="s">
        <v>139</v>
      </c>
      <c r="G1222" t="s">
        <v>32</v>
      </c>
      <c r="H1222" t="s">
        <v>57</v>
      </c>
      <c r="J1222" t="s">
        <v>3850</v>
      </c>
      <c r="K1222" t="s">
        <v>147</v>
      </c>
      <c r="L1222">
        <v>15</v>
      </c>
      <c r="M1222" t="s">
        <v>3258</v>
      </c>
      <c r="N1222" t="s">
        <v>715</v>
      </c>
    </row>
    <row r="1223" spans="1:14" x14ac:dyDescent="0.35">
      <c r="A1223" t="s">
        <v>3851</v>
      </c>
      <c r="B1223" t="s">
        <v>3852</v>
      </c>
      <c r="C1223" t="s">
        <v>116</v>
      </c>
      <c r="D1223">
        <v>11.54</v>
      </c>
      <c r="E1223">
        <v>600</v>
      </c>
      <c r="F1223" t="s">
        <v>42</v>
      </c>
      <c r="G1223" t="s">
        <v>32</v>
      </c>
      <c r="H1223" t="s">
        <v>43</v>
      </c>
      <c r="I1223" t="s">
        <v>129</v>
      </c>
      <c r="J1223" t="s">
        <v>1827</v>
      </c>
      <c r="K1223" t="s">
        <v>51</v>
      </c>
      <c r="L1223">
        <v>2</v>
      </c>
      <c r="N1223" t="s">
        <v>1159</v>
      </c>
    </row>
    <row r="1224" spans="1:14" x14ac:dyDescent="0.35">
      <c r="A1224" t="s">
        <v>3853</v>
      </c>
      <c r="B1224" t="s">
        <v>3854</v>
      </c>
      <c r="C1224" t="s">
        <v>69</v>
      </c>
      <c r="D1224">
        <v>66.66</v>
      </c>
      <c r="E1224">
        <v>51000</v>
      </c>
      <c r="F1224" t="s">
        <v>147</v>
      </c>
      <c r="G1224" t="s">
        <v>32</v>
      </c>
      <c r="H1224" t="s">
        <v>57</v>
      </c>
      <c r="I1224" t="s">
        <v>44</v>
      </c>
      <c r="J1224" t="s">
        <v>70</v>
      </c>
      <c r="K1224" t="s">
        <v>31</v>
      </c>
      <c r="L1224">
        <v>13</v>
      </c>
      <c r="N1224" t="s">
        <v>3534</v>
      </c>
    </row>
    <row r="1225" spans="1:14" x14ac:dyDescent="0.35">
      <c r="A1225" t="s">
        <v>3855</v>
      </c>
      <c r="B1225" t="s">
        <v>3856</v>
      </c>
      <c r="C1225" t="s">
        <v>41</v>
      </c>
      <c r="D1225">
        <v>102.37</v>
      </c>
      <c r="E1225">
        <v>33000</v>
      </c>
      <c r="F1225" t="s">
        <v>139</v>
      </c>
      <c r="G1225" t="s">
        <v>32</v>
      </c>
      <c r="H1225" t="s">
        <v>57</v>
      </c>
      <c r="I1225" t="s">
        <v>34</v>
      </c>
      <c r="J1225" t="s">
        <v>3857</v>
      </c>
      <c r="K1225" t="s">
        <v>139</v>
      </c>
      <c r="L1225">
        <v>1</v>
      </c>
      <c r="M1225" t="s">
        <v>1143</v>
      </c>
      <c r="N1225" t="s">
        <v>2847</v>
      </c>
    </row>
    <row r="1226" spans="1:14" x14ac:dyDescent="0.35">
      <c r="A1226" t="s">
        <v>3858</v>
      </c>
      <c r="B1226" t="s">
        <v>3859</v>
      </c>
      <c r="C1226" t="s">
        <v>41</v>
      </c>
      <c r="D1226">
        <v>157.79</v>
      </c>
      <c r="E1226">
        <v>28000</v>
      </c>
      <c r="F1226" t="s">
        <v>139</v>
      </c>
      <c r="G1226" t="s">
        <v>32</v>
      </c>
      <c r="H1226" t="s">
        <v>57</v>
      </c>
      <c r="I1226" t="s">
        <v>44</v>
      </c>
      <c r="J1226" t="s">
        <v>830</v>
      </c>
      <c r="K1226" t="s">
        <v>51</v>
      </c>
      <c r="L1226">
        <v>5</v>
      </c>
      <c r="M1226" t="s">
        <v>492</v>
      </c>
      <c r="N1226" t="s">
        <v>59</v>
      </c>
    </row>
    <row r="1227" spans="1:14" x14ac:dyDescent="0.35">
      <c r="A1227" t="s">
        <v>3860</v>
      </c>
      <c r="B1227" t="s">
        <v>3861</v>
      </c>
      <c r="C1227" t="s">
        <v>62</v>
      </c>
      <c r="D1227">
        <v>54.55</v>
      </c>
      <c r="E1227">
        <v>5000</v>
      </c>
      <c r="F1227" t="s">
        <v>123</v>
      </c>
      <c r="G1227" t="s">
        <v>32</v>
      </c>
      <c r="H1227" t="s">
        <v>57</v>
      </c>
      <c r="I1227" t="s">
        <v>44</v>
      </c>
      <c r="J1227" t="s">
        <v>316</v>
      </c>
      <c r="K1227" t="s">
        <v>97</v>
      </c>
      <c r="L1227">
        <v>8</v>
      </c>
      <c r="M1227" t="s">
        <v>53</v>
      </c>
      <c r="N1227" t="s">
        <v>3291</v>
      </c>
    </row>
    <row r="1228" spans="1:14" x14ac:dyDescent="0.35">
      <c r="A1228" t="s">
        <v>3862</v>
      </c>
      <c r="B1228" t="s">
        <v>3863</v>
      </c>
      <c r="C1228" t="s">
        <v>62</v>
      </c>
      <c r="D1228">
        <v>88.63</v>
      </c>
      <c r="E1228">
        <v>1000</v>
      </c>
      <c r="F1228" t="s">
        <v>31</v>
      </c>
      <c r="G1228" t="s">
        <v>32</v>
      </c>
      <c r="H1228" t="s">
        <v>43</v>
      </c>
      <c r="I1228" t="s">
        <v>44</v>
      </c>
      <c r="J1228" t="s">
        <v>70</v>
      </c>
      <c r="K1228" t="s">
        <v>31</v>
      </c>
      <c r="L1228">
        <v>9</v>
      </c>
      <c r="N1228" t="s">
        <v>1320</v>
      </c>
    </row>
    <row r="1229" spans="1:14" x14ac:dyDescent="0.35">
      <c r="A1229" t="s">
        <v>3864</v>
      </c>
      <c r="B1229" t="s">
        <v>3865</v>
      </c>
      <c r="C1229" t="s">
        <v>30</v>
      </c>
      <c r="D1229">
        <v>157.93</v>
      </c>
      <c r="E1229">
        <v>14000</v>
      </c>
      <c r="F1229" t="s">
        <v>87</v>
      </c>
      <c r="G1229" t="s">
        <v>32</v>
      </c>
      <c r="H1229" t="s">
        <v>57</v>
      </c>
      <c r="I1229" t="s">
        <v>34</v>
      </c>
      <c r="J1229" t="s">
        <v>107</v>
      </c>
      <c r="K1229" t="s">
        <v>87</v>
      </c>
      <c r="L1229">
        <v>12</v>
      </c>
      <c r="M1229" t="s">
        <v>3657</v>
      </c>
      <c r="N1229" t="s">
        <v>1291</v>
      </c>
    </row>
    <row r="1230" spans="1:14" x14ac:dyDescent="0.35">
      <c r="A1230" t="s">
        <v>3866</v>
      </c>
      <c r="B1230" t="s">
        <v>3867</v>
      </c>
      <c r="C1230" t="s">
        <v>81</v>
      </c>
      <c r="D1230">
        <v>84.24</v>
      </c>
      <c r="E1230">
        <v>1000</v>
      </c>
      <c r="F1230" t="s">
        <v>51</v>
      </c>
      <c r="G1230" t="s">
        <v>32</v>
      </c>
      <c r="H1230" t="s">
        <v>57</v>
      </c>
      <c r="I1230" t="s">
        <v>129</v>
      </c>
      <c r="J1230" t="s">
        <v>118</v>
      </c>
      <c r="K1230" t="s">
        <v>42</v>
      </c>
      <c r="L1230">
        <v>22</v>
      </c>
      <c r="M1230" t="s">
        <v>1743</v>
      </c>
      <c r="N1230" t="s">
        <v>3868</v>
      </c>
    </row>
    <row r="1231" spans="1:14" x14ac:dyDescent="0.35">
      <c r="A1231" t="s">
        <v>3869</v>
      </c>
      <c r="B1231" t="s">
        <v>3870</v>
      </c>
      <c r="C1231" t="s">
        <v>62</v>
      </c>
      <c r="D1231">
        <v>55.05</v>
      </c>
      <c r="E1231">
        <v>5000</v>
      </c>
      <c r="F1231" t="s">
        <v>139</v>
      </c>
      <c r="G1231" t="s">
        <v>32</v>
      </c>
      <c r="H1231" t="s">
        <v>33</v>
      </c>
      <c r="I1231" t="s">
        <v>44</v>
      </c>
      <c r="J1231" t="s">
        <v>1424</v>
      </c>
      <c r="K1231" t="s">
        <v>51</v>
      </c>
      <c r="L1231">
        <v>7</v>
      </c>
      <c r="N1231" t="s">
        <v>1232</v>
      </c>
    </row>
    <row r="1232" spans="1:14" x14ac:dyDescent="0.35">
      <c r="A1232" t="s">
        <v>3871</v>
      </c>
      <c r="B1232" t="s">
        <v>3872</v>
      </c>
      <c r="C1232" t="s">
        <v>62</v>
      </c>
      <c r="D1232">
        <v>62.25</v>
      </c>
      <c r="E1232">
        <v>2000</v>
      </c>
      <c r="F1232" t="s">
        <v>42</v>
      </c>
      <c r="G1232" t="s">
        <v>32</v>
      </c>
      <c r="H1232" t="s">
        <v>33</v>
      </c>
      <c r="I1232" t="s">
        <v>44</v>
      </c>
      <c r="J1232" t="s">
        <v>810</v>
      </c>
      <c r="K1232" t="s">
        <v>139</v>
      </c>
      <c r="L1232">
        <v>12</v>
      </c>
      <c r="N1232" t="s">
        <v>1740</v>
      </c>
    </row>
    <row r="1233" spans="1:14" x14ac:dyDescent="0.35">
      <c r="A1233" t="s">
        <v>3873</v>
      </c>
      <c r="B1233" t="s">
        <v>3874</v>
      </c>
      <c r="C1233" t="s">
        <v>81</v>
      </c>
      <c r="D1233">
        <v>137.35</v>
      </c>
      <c r="E1233">
        <v>9000</v>
      </c>
      <c r="F1233" t="s">
        <v>74</v>
      </c>
      <c r="G1233" t="s">
        <v>32</v>
      </c>
      <c r="H1233" t="s">
        <v>57</v>
      </c>
      <c r="J1233" t="s">
        <v>107</v>
      </c>
      <c r="K1233" t="s">
        <v>87</v>
      </c>
      <c r="L1233">
        <v>21</v>
      </c>
      <c r="N1233" t="s">
        <v>3875</v>
      </c>
    </row>
    <row r="1234" spans="1:14" x14ac:dyDescent="0.35">
      <c r="A1234" t="s">
        <v>3876</v>
      </c>
      <c r="B1234" t="s">
        <v>3877</v>
      </c>
      <c r="C1234" t="s">
        <v>69</v>
      </c>
      <c r="D1234">
        <v>64.959999999999994</v>
      </c>
      <c r="E1234">
        <v>38000</v>
      </c>
      <c r="F1234" t="s">
        <v>51</v>
      </c>
      <c r="G1234" t="s">
        <v>32</v>
      </c>
      <c r="H1234" t="s">
        <v>43</v>
      </c>
      <c r="J1234" t="s">
        <v>124</v>
      </c>
      <c r="K1234" t="s">
        <v>117</v>
      </c>
      <c r="L1234">
        <v>19</v>
      </c>
      <c r="M1234" t="s">
        <v>284</v>
      </c>
      <c r="N1234" t="s">
        <v>1573</v>
      </c>
    </row>
    <row r="1235" spans="1:14" x14ac:dyDescent="0.35">
      <c r="A1235" t="s">
        <v>3878</v>
      </c>
      <c r="B1235" t="s">
        <v>3879</v>
      </c>
      <c r="C1235" t="s">
        <v>41</v>
      </c>
      <c r="D1235">
        <v>145.72999999999999</v>
      </c>
      <c r="E1235">
        <v>12000</v>
      </c>
      <c r="F1235" t="s">
        <v>42</v>
      </c>
      <c r="G1235" t="s">
        <v>32</v>
      </c>
      <c r="H1235" t="s">
        <v>57</v>
      </c>
      <c r="I1235" t="s">
        <v>34</v>
      </c>
      <c r="J1235" t="s">
        <v>3880</v>
      </c>
      <c r="K1235" t="s">
        <v>147</v>
      </c>
      <c r="L1235">
        <v>8</v>
      </c>
      <c r="N1235" t="s">
        <v>2463</v>
      </c>
    </row>
    <row r="1236" spans="1:14" x14ac:dyDescent="0.35">
      <c r="A1236" t="s">
        <v>3881</v>
      </c>
      <c r="B1236" t="s">
        <v>3882</v>
      </c>
      <c r="C1236" t="s">
        <v>116</v>
      </c>
      <c r="D1236">
        <v>9.02</v>
      </c>
      <c r="E1236">
        <v>200</v>
      </c>
      <c r="F1236" t="s">
        <v>42</v>
      </c>
      <c r="G1236" t="s">
        <v>32</v>
      </c>
      <c r="H1236" t="s">
        <v>57</v>
      </c>
      <c r="I1236" t="s">
        <v>44</v>
      </c>
      <c r="J1236" t="s">
        <v>112</v>
      </c>
      <c r="K1236" t="s">
        <v>106</v>
      </c>
      <c r="L1236">
        <v>19</v>
      </c>
      <c r="M1236" t="s">
        <v>2735</v>
      </c>
      <c r="N1236" t="s">
        <v>2541</v>
      </c>
    </row>
    <row r="1237" spans="1:14" x14ac:dyDescent="0.35">
      <c r="A1237" t="s">
        <v>3883</v>
      </c>
      <c r="B1237" t="s">
        <v>3884</v>
      </c>
      <c r="C1237" t="s">
        <v>30</v>
      </c>
      <c r="D1237">
        <v>180.73</v>
      </c>
      <c r="E1237">
        <v>20000</v>
      </c>
      <c r="F1237" t="s">
        <v>87</v>
      </c>
      <c r="G1237" t="s">
        <v>32</v>
      </c>
      <c r="H1237" t="s">
        <v>57</v>
      </c>
      <c r="I1237" t="s">
        <v>34</v>
      </c>
      <c r="J1237" t="s">
        <v>118</v>
      </c>
      <c r="K1237" t="s">
        <v>42</v>
      </c>
      <c r="L1237">
        <v>8</v>
      </c>
      <c r="N1237" t="s">
        <v>497</v>
      </c>
    </row>
    <row r="1238" spans="1:14" x14ac:dyDescent="0.35">
      <c r="A1238" t="s">
        <v>3885</v>
      </c>
      <c r="B1238" t="s">
        <v>3886</v>
      </c>
      <c r="C1238" t="s">
        <v>116</v>
      </c>
      <c r="D1238">
        <v>6.91</v>
      </c>
      <c r="E1238">
        <v>700</v>
      </c>
      <c r="F1238" t="s">
        <v>117</v>
      </c>
      <c r="G1238" t="s">
        <v>32</v>
      </c>
      <c r="H1238" t="s">
        <v>57</v>
      </c>
      <c r="I1238" t="s">
        <v>44</v>
      </c>
      <c r="J1238" t="s">
        <v>75</v>
      </c>
      <c r="K1238" t="s">
        <v>76</v>
      </c>
      <c r="L1238">
        <v>18</v>
      </c>
      <c r="M1238" t="s">
        <v>175</v>
      </c>
      <c r="N1238" t="s">
        <v>3732</v>
      </c>
    </row>
    <row r="1239" spans="1:14" x14ac:dyDescent="0.35">
      <c r="A1239" t="s">
        <v>3887</v>
      </c>
      <c r="B1239" t="s">
        <v>3888</v>
      </c>
      <c r="C1239" t="s">
        <v>81</v>
      </c>
      <c r="D1239">
        <v>103.95</v>
      </c>
      <c r="E1239">
        <v>6000</v>
      </c>
      <c r="F1239" t="s">
        <v>36</v>
      </c>
      <c r="G1239" t="s">
        <v>32</v>
      </c>
      <c r="H1239" t="s">
        <v>57</v>
      </c>
      <c r="I1239" t="s">
        <v>44</v>
      </c>
      <c r="J1239" t="s">
        <v>107</v>
      </c>
      <c r="K1239" t="s">
        <v>87</v>
      </c>
      <c r="L1239">
        <v>1</v>
      </c>
      <c r="N1239" t="s">
        <v>3889</v>
      </c>
    </row>
    <row r="1240" spans="1:14" x14ac:dyDescent="0.35">
      <c r="A1240" t="s">
        <v>3890</v>
      </c>
      <c r="B1240" t="s">
        <v>3891</v>
      </c>
      <c r="C1240" t="s">
        <v>81</v>
      </c>
      <c r="D1240">
        <v>80.819999999999993</v>
      </c>
      <c r="E1240">
        <v>7000</v>
      </c>
      <c r="F1240" t="s">
        <v>31</v>
      </c>
      <c r="G1240" t="s">
        <v>32</v>
      </c>
      <c r="H1240" t="s">
        <v>33</v>
      </c>
      <c r="J1240" t="s">
        <v>63</v>
      </c>
      <c r="K1240" t="s">
        <v>64</v>
      </c>
      <c r="L1240">
        <v>2</v>
      </c>
      <c r="N1240" t="s">
        <v>3892</v>
      </c>
    </row>
    <row r="1241" spans="1:14" x14ac:dyDescent="0.35">
      <c r="A1241" t="s">
        <v>3893</v>
      </c>
      <c r="B1241" t="s">
        <v>3894</v>
      </c>
      <c r="C1241" t="s">
        <v>69</v>
      </c>
      <c r="D1241">
        <v>71.37</v>
      </c>
      <c r="E1241">
        <v>64000</v>
      </c>
      <c r="F1241" t="s">
        <v>46</v>
      </c>
      <c r="G1241" t="s">
        <v>32</v>
      </c>
      <c r="H1241" t="s">
        <v>57</v>
      </c>
      <c r="J1241" t="s">
        <v>130</v>
      </c>
      <c r="K1241" t="s">
        <v>123</v>
      </c>
      <c r="L1241">
        <v>17</v>
      </c>
      <c r="N1241" t="s">
        <v>868</v>
      </c>
    </row>
    <row r="1242" spans="1:14" x14ac:dyDescent="0.35">
      <c r="A1242" t="s">
        <v>3895</v>
      </c>
      <c r="B1242" t="s">
        <v>3896</v>
      </c>
      <c r="C1242" t="s">
        <v>81</v>
      </c>
      <c r="D1242">
        <v>107.99</v>
      </c>
      <c r="E1242">
        <v>7000</v>
      </c>
      <c r="F1242" t="s">
        <v>139</v>
      </c>
      <c r="G1242" t="s">
        <v>32</v>
      </c>
      <c r="H1242" t="s">
        <v>43</v>
      </c>
      <c r="I1242" t="s">
        <v>34</v>
      </c>
      <c r="J1242" t="s">
        <v>130</v>
      </c>
      <c r="K1242" t="s">
        <v>123</v>
      </c>
      <c r="L1242">
        <v>17</v>
      </c>
      <c r="N1242" t="s">
        <v>3897</v>
      </c>
    </row>
    <row r="1243" spans="1:14" x14ac:dyDescent="0.35">
      <c r="A1243" t="s">
        <v>3898</v>
      </c>
      <c r="B1243" t="s">
        <v>3899</v>
      </c>
      <c r="C1243" t="s">
        <v>69</v>
      </c>
      <c r="D1243">
        <v>69.34</v>
      </c>
      <c r="E1243">
        <v>61000</v>
      </c>
      <c r="F1243" t="s">
        <v>51</v>
      </c>
      <c r="G1243" t="s">
        <v>32</v>
      </c>
      <c r="H1243" t="s">
        <v>33</v>
      </c>
      <c r="I1243" t="s">
        <v>44</v>
      </c>
      <c r="J1243" t="s">
        <v>82</v>
      </c>
      <c r="K1243" t="s">
        <v>74</v>
      </c>
      <c r="L1243">
        <v>1</v>
      </c>
      <c r="N1243" t="s">
        <v>3900</v>
      </c>
    </row>
    <row r="1244" spans="1:14" x14ac:dyDescent="0.35">
      <c r="A1244" t="s">
        <v>3901</v>
      </c>
      <c r="B1244" t="s">
        <v>2378</v>
      </c>
      <c r="C1244" t="s">
        <v>69</v>
      </c>
      <c r="D1244">
        <v>75.62</v>
      </c>
      <c r="E1244">
        <v>41000</v>
      </c>
      <c r="F1244" t="s">
        <v>51</v>
      </c>
      <c r="G1244" t="s">
        <v>32</v>
      </c>
      <c r="H1244" t="s">
        <v>33</v>
      </c>
      <c r="I1244" t="s">
        <v>44</v>
      </c>
      <c r="J1244" t="s">
        <v>316</v>
      </c>
      <c r="K1244" t="s">
        <v>97</v>
      </c>
      <c r="L1244">
        <v>3</v>
      </c>
      <c r="M1244" t="s">
        <v>1209</v>
      </c>
      <c r="N1244" t="s">
        <v>2423</v>
      </c>
    </row>
    <row r="1245" spans="1:14" x14ac:dyDescent="0.35">
      <c r="A1245" t="s">
        <v>3902</v>
      </c>
      <c r="B1245" t="s">
        <v>3903</v>
      </c>
      <c r="C1245" t="s">
        <v>81</v>
      </c>
      <c r="D1245">
        <v>103.07</v>
      </c>
      <c r="E1245">
        <v>4000</v>
      </c>
      <c r="F1245" t="s">
        <v>87</v>
      </c>
      <c r="G1245" t="s">
        <v>32</v>
      </c>
      <c r="H1245" t="s">
        <v>33</v>
      </c>
      <c r="J1245" t="s">
        <v>3904</v>
      </c>
      <c r="K1245" t="s">
        <v>139</v>
      </c>
      <c r="L1245">
        <v>9</v>
      </c>
      <c r="N1245" t="s">
        <v>399</v>
      </c>
    </row>
    <row r="1246" spans="1:14" x14ac:dyDescent="0.35">
      <c r="A1246" t="s">
        <v>3905</v>
      </c>
      <c r="B1246" t="s">
        <v>3906</v>
      </c>
      <c r="C1246" t="s">
        <v>116</v>
      </c>
      <c r="D1246">
        <v>11.66</v>
      </c>
      <c r="E1246">
        <v>100</v>
      </c>
      <c r="F1246" t="s">
        <v>139</v>
      </c>
      <c r="G1246" t="s">
        <v>32</v>
      </c>
      <c r="H1246" t="s">
        <v>43</v>
      </c>
      <c r="I1246" t="s">
        <v>34</v>
      </c>
      <c r="J1246" t="s">
        <v>107</v>
      </c>
      <c r="K1246" t="s">
        <v>87</v>
      </c>
      <c r="L1246">
        <v>7</v>
      </c>
      <c r="N1246" t="s">
        <v>1676</v>
      </c>
    </row>
    <row r="1247" spans="1:14" x14ac:dyDescent="0.35">
      <c r="A1247" t="s">
        <v>3907</v>
      </c>
      <c r="B1247" t="s">
        <v>3908</v>
      </c>
      <c r="C1247" t="s">
        <v>81</v>
      </c>
      <c r="D1247">
        <v>74.09</v>
      </c>
      <c r="E1247">
        <v>9000</v>
      </c>
      <c r="F1247" t="s">
        <v>42</v>
      </c>
      <c r="G1247" t="s">
        <v>32</v>
      </c>
      <c r="H1247" t="s">
        <v>33</v>
      </c>
      <c r="I1247" t="s">
        <v>129</v>
      </c>
      <c r="K1247" t="s">
        <v>147</v>
      </c>
      <c r="L1247">
        <v>5</v>
      </c>
      <c r="M1247" t="s">
        <v>637</v>
      </c>
      <c r="N1247" t="s">
        <v>3909</v>
      </c>
    </row>
    <row r="1248" spans="1:14" x14ac:dyDescent="0.35">
      <c r="A1248" t="s">
        <v>3910</v>
      </c>
      <c r="B1248" t="s">
        <v>3911</v>
      </c>
      <c r="C1248" t="s">
        <v>116</v>
      </c>
      <c r="D1248">
        <v>8.56</v>
      </c>
      <c r="E1248">
        <v>100</v>
      </c>
      <c r="F1248" t="s">
        <v>51</v>
      </c>
      <c r="G1248" t="s">
        <v>32</v>
      </c>
      <c r="H1248" t="s">
        <v>57</v>
      </c>
      <c r="I1248" t="s">
        <v>44</v>
      </c>
      <c r="J1248" t="s">
        <v>96</v>
      </c>
      <c r="K1248" t="s">
        <v>97</v>
      </c>
      <c r="L1248">
        <v>10</v>
      </c>
      <c r="M1248" t="s">
        <v>923</v>
      </c>
      <c r="N1248" t="s">
        <v>662</v>
      </c>
    </row>
    <row r="1249" spans="1:14" x14ac:dyDescent="0.35">
      <c r="A1249" t="s">
        <v>3912</v>
      </c>
      <c r="B1249" t="s">
        <v>3913</v>
      </c>
      <c r="C1249" t="s">
        <v>69</v>
      </c>
      <c r="D1249">
        <v>70.010000000000005</v>
      </c>
      <c r="E1249">
        <v>44000</v>
      </c>
      <c r="F1249" t="s">
        <v>87</v>
      </c>
      <c r="G1249" t="s">
        <v>32</v>
      </c>
      <c r="H1249" t="s">
        <v>57</v>
      </c>
      <c r="I1249" t="s">
        <v>44</v>
      </c>
      <c r="J1249" t="s">
        <v>209</v>
      </c>
      <c r="K1249" t="s">
        <v>74</v>
      </c>
      <c r="L1249">
        <v>2</v>
      </c>
      <c r="M1249" t="s">
        <v>1683</v>
      </c>
      <c r="N1249" t="s">
        <v>3320</v>
      </c>
    </row>
    <row r="1250" spans="1:14" x14ac:dyDescent="0.35">
      <c r="A1250" t="s">
        <v>3914</v>
      </c>
      <c r="B1250" t="s">
        <v>3915</v>
      </c>
      <c r="C1250" t="s">
        <v>116</v>
      </c>
      <c r="D1250">
        <v>7.26</v>
      </c>
      <c r="E1250">
        <v>600</v>
      </c>
      <c r="F1250" t="s">
        <v>236</v>
      </c>
      <c r="G1250" t="s">
        <v>32</v>
      </c>
      <c r="H1250" t="s">
        <v>57</v>
      </c>
      <c r="I1250" t="s">
        <v>44</v>
      </c>
      <c r="J1250" t="s">
        <v>45</v>
      </c>
      <c r="K1250" t="s">
        <v>46</v>
      </c>
      <c r="L1250">
        <v>3</v>
      </c>
      <c r="M1250" t="s">
        <v>180</v>
      </c>
      <c r="N1250" t="s">
        <v>3916</v>
      </c>
    </row>
    <row r="1251" spans="1:14" x14ac:dyDescent="0.35">
      <c r="A1251" t="s">
        <v>3917</v>
      </c>
      <c r="B1251" t="s">
        <v>3918</v>
      </c>
      <c r="C1251" t="s">
        <v>30</v>
      </c>
      <c r="D1251">
        <v>188.36</v>
      </c>
      <c r="E1251">
        <v>14000</v>
      </c>
      <c r="F1251" t="s">
        <v>147</v>
      </c>
      <c r="G1251" t="s">
        <v>32</v>
      </c>
      <c r="H1251" t="s">
        <v>33</v>
      </c>
      <c r="I1251" t="s">
        <v>34</v>
      </c>
      <c r="J1251" t="s">
        <v>70</v>
      </c>
      <c r="K1251" t="s">
        <v>31</v>
      </c>
      <c r="L1251">
        <v>18</v>
      </c>
      <c r="M1251" t="s">
        <v>321</v>
      </c>
      <c r="N1251" t="s">
        <v>3023</v>
      </c>
    </row>
    <row r="1252" spans="1:14" x14ac:dyDescent="0.35">
      <c r="A1252" t="s">
        <v>3919</v>
      </c>
      <c r="B1252" t="s">
        <v>3920</v>
      </c>
      <c r="C1252" t="s">
        <v>81</v>
      </c>
      <c r="D1252">
        <v>139.68</v>
      </c>
      <c r="E1252">
        <v>1000</v>
      </c>
      <c r="F1252" t="s">
        <v>117</v>
      </c>
      <c r="G1252" t="s">
        <v>32</v>
      </c>
      <c r="H1252" t="s">
        <v>57</v>
      </c>
      <c r="I1252" t="s">
        <v>44</v>
      </c>
      <c r="J1252" t="s">
        <v>130</v>
      </c>
      <c r="K1252" t="s">
        <v>123</v>
      </c>
      <c r="L1252">
        <v>13</v>
      </c>
      <c r="N1252" t="s">
        <v>486</v>
      </c>
    </row>
    <row r="1253" spans="1:14" x14ac:dyDescent="0.35">
      <c r="A1253" t="s">
        <v>3921</v>
      </c>
      <c r="B1253" t="s">
        <v>3922</v>
      </c>
      <c r="C1253" t="s">
        <v>81</v>
      </c>
      <c r="D1253">
        <v>101.73</v>
      </c>
      <c r="E1253">
        <v>2000</v>
      </c>
      <c r="F1253" t="s">
        <v>147</v>
      </c>
      <c r="G1253" t="s">
        <v>32</v>
      </c>
      <c r="H1253" t="s">
        <v>33</v>
      </c>
      <c r="I1253" t="s">
        <v>44</v>
      </c>
      <c r="J1253" t="s">
        <v>118</v>
      </c>
      <c r="K1253" t="s">
        <v>42</v>
      </c>
      <c r="L1253">
        <v>3</v>
      </c>
      <c r="M1253" t="s">
        <v>823</v>
      </c>
      <c r="N1253" t="s">
        <v>1246</v>
      </c>
    </row>
    <row r="1254" spans="1:14" x14ac:dyDescent="0.35">
      <c r="A1254" t="s">
        <v>3923</v>
      </c>
      <c r="B1254" t="s">
        <v>3924</v>
      </c>
      <c r="C1254" t="s">
        <v>41</v>
      </c>
      <c r="D1254">
        <v>84</v>
      </c>
      <c r="E1254">
        <v>28000</v>
      </c>
      <c r="F1254" t="s">
        <v>51</v>
      </c>
      <c r="G1254" t="s">
        <v>32</v>
      </c>
      <c r="H1254" t="s">
        <v>57</v>
      </c>
      <c r="I1254" t="s">
        <v>44</v>
      </c>
      <c r="J1254" t="s">
        <v>235</v>
      </c>
      <c r="K1254" t="s">
        <v>236</v>
      </c>
      <c r="L1254">
        <v>10</v>
      </c>
      <c r="M1254" t="s">
        <v>1513</v>
      </c>
      <c r="N1254" t="s">
        <v>3791</v>
      </c>
    </row>
    <row r="1255" spans="1:14" x14ac:dyDescent="0.35">
      <c r="A1255" t="s">
        <v>3925</v>
      </c>
      <c r="B1255" t="s">
        <v>3926</v>
      </c>
      <c r="C1255" t="s">
        <v>62</v>
      </c>
      <c r="D1255">
        <v>88.23</v>
      </c>
      <c r="E1255">
        <v>3000</v>
      </c>
      <c r="F1255" t="s">
        <v>74</v>
      </c>
      <c r="G1255" t="s">
        <v>32</v>
      </c>
      <c r="H1255" t="s">
        <v>57</v>
      </c>
      <c r="I1255" t="s">
        <v>44</v>
      </c>
      <c r="J1255" t="s">
        <v>235</v>
      </c>
      <c r="K1255" t="s">
        <v>236</v>
      </c>
      <c r="L1255">
        <v>7</v>
      </c>
      <c r="N1255" t="s">
        <v>3927</v>
      </c>
    </row>
    <row r="1256" spans="1:14" x14ac:dyDescent="0.35">
      <c r="A1256" t="s">
        <v>3928</v>
      </c>
      <c r="B1256" t="s">
        <v>3929</v>
      </c>
      <c r="C1256" t="s">
        <v>69</v>
      </c>
      <c r="D1256">
        <v>73.709999999999994</v>
      </c>
      <c r="E1256">
        <v>70000</v>
      </c>
      <c r="F1256" t="s">
        <v>31</v>
      </c>
      <c r="G1256" t="s">
        <v>32</v>
      </c>
      <c r="H1256" t="s">
        <v>57</v>
      </c>
      <c r="J1256" t="s">
        <v>45</v>
      </c>
      <c r="K1256" t="s">
        <v>46</v>
      </c>
      <c r="L1256">
        <v>18</v>
      </c>
      <c r="M1256" t="s">
        <v>1579</v>
      </c>
      <c r="N1256" t="s">
        <v>1465</v>
      </c>
    </row>
    <row r="1257" spans="1:14" x14ac:dyDescent="0.35">
      <c r="A1257" t="s">
        <v>3930</v>
      </c>
      <c r="B1257" t="s">
        <v>3931</v>
      </c>
      <c r="C1257" t="s">
        <v>69</v>
      </c>
      <c r="D1257">
        <v>92.45</v>
      </c>
      <c r="E1257">
        <v>34000</v>
      </c>
      <c r="F1257" t="s">
        <v>147</v>
      </c>
      <c r="G1257" t="s">
        <v>32</v>
      </c>
      <c r="H1257" t="s">
        <v>33</v>
      </c>
      <c r="J1257" t="s">
        <v>235</v>
      </c>
      <c r="K1257" t="s">
        <v>236</v>
      </c>
      <c r="L1257">
        <v>0</v>
      </c>
      <c r="N1257" t="s">
        <v>836</v>
      </c>
    </row>
    <row r="1258" spans="1:14" x14ac:dyDescent="0.35">
      <c r="A1258" t="s">
        <v>3932</v>
      </c>
      <c r="B1258" t="s">
        <v>3933</v>
      </c>
      <c r="C1258" t="s">
        <v>81</v>
      </c>
      <c r="D1258">
        <v>92.39</v>
      </c>
      <c r="E1258">
        <v>7000</v>
      </c>
      <c r="F1258" t="s">
        <v>42</v>
      </c>
      <c r="G1258" t="s">
        <v>32</v>
      </c>
      <c r="H1258" t="s">
        <v>33</v>
      </c>
      <c r="I1258" t="s">
        <v>44</v>
      </c>
      <c r="J1258" t="s">
        <v>708</v>
      </c>
      <c r="K1258" t="s">
        <v>87</v>
      </c>
      <c r="L1258">
        <v>21</v>
      </c>
      <c r="M1258" t="s">
        <v>3934</v>
      </c>
      <c r="N1258" t="s">
        <v>3935</v>
      </c>
    </row>
    <row r="1259" spans="1:14" x14ac:dyDescent="0.35">
      <c r="A1259" t="s">
        <v>3936</v>
      </c>
      <c r="B1259" t="s">
        <v>3937</v>
      </c>
      <c r="C1259" t="s">
        <v>81</v>
      </c>
      <c r="D1259">
        <v>112.59</v>
      </c>
      <c r="E1259">
        <v>10000</v>
      </c>
      <c r="F1259" t="s">
        <v>74</v>
      </c>
      <c r="G1259" t="s">
        <v>32</v>
      </c>
      <c r="H1259" t="s">
        <v>33</v>
      </c>
      <c r="I1259" t="s">
        <v>34</v>
      </c>
      <c r="J1259" t="s">
        <v>130</v>
      </c>
      <c r="K1259" t="s">
        <v>123</v>
      </c>
      <c r="L1259">
        <v>8</v>
      </c>
      <c r="M1259" t="s">
        <v>346</v>
      </c>
      <c r="N1259" t="s">
        <v>3387</v>
      </c>
    </row>
    <row r="1260" spans="1:14" x14ac:dyDescent="0.35">
      <c r="A1260" t="s">
        <v>3938</v>
      </c>
      <c r="B1260" t="s">
        <v>3939</v>
      </c>
      <c r="C1260" t="s">
        <v>116</v>
      </c>
      <c r="D1260">
        <v>9.44</v>
      </c>
      <c r="E1260">
        <v>100</v>
      </c>
      <c r="F1260" t="s">
        <v>46</v>
      </c>
      <c r="G1260" t="s">
        <v>32</v>
      </c>
      <c r="H1260" t="s">
        <v>33</v>
      </c>
      <c r="J1260" t="s">
        <v>35</v>
      </c>
      <c r="K1260" t="s">
        <v>36</v>
      </c>
      <c r="L1260">
        <v>10</v>
      </c>
      <c r="M1260" t="s">
        <v>2809</v>
      </c>
      <c r="N1260" t="s">
        <v>3940</v>
      </c>
    </row>
    <row r="1261" spans="1:14" x14ac:dyDescent="0.35">
      <c r="A1261" t="s">
        <v>3941</v>
      </c>
      <c r="B1261" t="s">
        <v>3942</v>
      </c>
      <c r="C1261" t="s">
        <v>69</v>
      </c>
      <c r="D1261">
        <v>76.88</v>
      </c>
      <c r="E1261">
        <v>77000</v>
      </c>
      <c r="F1261" t="s">
        <v>51</v>
      </c>
      <c r="G1261" t="s">
        <v>32</v>
      </c>
      <c r="H1261" t="s">
        <v>43</v>
      </c>
      <c r="I1261" t="s">
        <v>34</v>
      </c>
      <c r="J1261" t="s">
        <v>75</v>
      </c>
      <c r="K1261" t="s">
        <v>76</v>
      </c>
      <c r="L1261">
        <v>23</v>
      </c>
      <c r="N1261" t="s">
        <v>3943</v>
      </c>
    </row>
    <row r="1262" spans="1:14" x14ac:dyDescent="0.35">
      <c r="A1262" t="s">
        <v>3944</v>
      </c>
      <c r="B1262" t="s">
        <v>3945</v>
      </c>
      <c r="C1262" t="s">
        <v>41</v>
      </c>
      <c r="D1262">
        <v>117.29</v>
      </c>
      <c r="E1262">
        <v>38000</v>
      </c>
      <c r="F1262" t="s">
        <v>51</v>
      </c>
      <c r="G1262" t="s">
        <v>32</v>
      </c>
      <c r="H1262" t="s">
        <v>43</v>
      </c>
      <c r="I1262" t="s">
        <v>129</v>
      </c>
      <c r="J1262" t="s">
        <v>45</v>
      </c>
      <c r="K1262" t="s">
        <v>46</v>
      </c>
      <c r="L1262">
        <v>23</v>
      </c>
      <c r="M1262" t="s">
        <v>1346</v>
      </c>
      <c r="N1262" t="s">
        <v>3892</v>
      </c>
    </row>
    <row r="1263" spans="1:14" x14ac:dyDescent="0.35">
      <c r="A1263" t="s">
        <v>3946</v>
      </c>
      <c r="B1263" t="s">
        <v>3947</v>
      </c>
      <c r="C1263" t="s">
        <v>81</v>
      </c>
      <c r="D1263">
        <v>74.92</v>
      </c>
      <c r="E1263">
        <v>1000</v>
      </c>
      <c r="F1263" t="s">
        <v>76</v>
      </c>
      <c r="G1263" t="s">
        <v>32</v>
      </c>
      <c r="H1263" t="s">
        <v>57</v>
      </c>
      <c r="J1263" t="s">
        <v>118</v>
      </c>
      <c r="K1263" t="s">
        <v>42</v>
      </c>
      <c r="L1263">
        <v>6</v>
      </c>
      <c r="N1263" t="s">
        <v>313</v>
      </c>
    </row>
    <row r="1264" spans="1:14" x14ac:dyDescent="0.35">
      <c r="A1264" t="s">
        <v>3948</v>
      </c>
      <c r="B1264" t="s">
        <v>3949</v>
      </c>
      <c r="C1264" t="s">
        <v>62</v>
      </c>
      <c r="D1264">
        <v>96.05</v>
      </c>
      <c r="E1264">
        <v>1000</v>
      </c>
      <c r="F1264" t="s">
        <v>64</v>
      </c>
      <c r="G1264" t="s">
        <v>32</v>
      </c>
      <c r="H1264" t="s">
        <v>43</v>
      </c>
      <c r="J1264" t="s">
        <v>70</v>
      </c>
      <c r="K1264" t="s">
        <v>31</v>
      </c>
      <c r="L1264">
        <v>15</v>
      </c>
      <c r="M1264" t="s">
        <v>3794</v>
      </c>
      <c r="N1264" t="s">
        <v>3950</v>
      </c>
    </row>
    <row r="1265" spans="1:14" x14ac:dyDescent="0.35">
      <c r="A1265" t="s">
        <v>3951</v>
      </c>
      <c r="B1265" t="s">
        <v>3952</v>
      </c>
      <c r="C1265" t="s">
        <v>30</v>
      </c>
      <c r="D1265">
        <v>169.34</v>
      </c>
      <c r="E1265">
        <v>16000</v>
      </c>
      <c r="F1265" t="s">
        <v>31</v>
      </c>
      <c r="G1265" t="s">
        <v>32</v>
      </c>
      <c r="H1265" t="s">
        <v>33</v>
      </c>
      <c r="J1265" t="s">
        <v>124</v>
      </c>
      <c r="K1265" t="s">
        <v>117</v>
      </c>
      <c r="L1265">
        <v>6</v>
      </c>
      <c r="N1265" t="s">
        <v>2626</v>
      </c>
    </row>
    <row r="1266" spans="1:14" x14ac:dyDescent="0.35">
      <c r="A1266" t="s">
        <v>3953</v>
      </c>
      <c r="B1266" t="s">
        <v>3954</v>
      </c>
      <c r="C1266" t="s">
        <v>30</v>
      </c>
      <c r="D1266">
        <v>168.93</v>
      </c>
      <c r="E1266">
        <v>15000</v>
      </c>
      <c r="F1266" t="s">
        <v>87</v>
      </c>
      <c r="G1266" t="s">
        <v>32</v>
      </c>
      <c r="H1266" t="s">
        <v>33</v>
      </c>
      <c r="I1266" t="s">
        <v>34</v>
      </c>
      <c r="J1266" t="s">
        <v>334</v>
      </c>
      <c r="K1266" t="s">
        <v>51</v>
      </c>
      <c r="L1266">
        <v>2</v>
      </c>
      <c r="M1266" t="s">
        <v>485</v>
      </c>
      <c r="N1266" t="s">
        <v>383</v>
      </c>
    </row>
    <row r="1267" spans="1:14" x14ac:dyDescent="0.35">
      <c r="A1267" t="s">
        <v>3955</v>
      </c>
      <c r="B1267" t="s">
        <v>3956</v>
      </c>
      <c r="C1267" t="s">
        <v>69</v>
      </c>
      <c r="D1267">
        <v>84.46</v>
      </c>
      <c r="E1267">
        <v>18000</v>
      </c>
      <c r="F1267" t="s">
        <v>31</v>
      </c>
      <c r="G1267" t="s">
        <v>32</v>
      </c>
      <c r="H1267" t="s">
        <v>43</v>
      </c>
      <c r="I1267" t="s">
        <v>44</v>
      </c>
      <c r="J1267" t="s">
        <v>107</v>
      </c>
      <c r="K1267" t="s">
        <v>87</v>
      </c>
      <c r="L1267">
        <v>20</v>
      </c>
      <c r="M1267" t="s">
        <v>1196</v>
      </c>
      <c r="N1267" t="s">
        <v>1546</v>
      </c>
    </row>
    <row r="1268" spans="1:14" x14ac:dyDescent="0.35">
      <c r="A1268" t="s">
        <v>3957</v>
      </c>
      <c r="B1268" t="s">
        <v>3958</v>
      </c>
      <c r="C1268" t="s">
        <v>116</v>
      </c>
      <c r="D1268">
        <v>6.36</v>
      </c>
      <c r="E1268">
        <v>600</v>
      </c>
      <c r="F1268" t="s">
        <v>64</v>
      </c>
      <c r="G1268" t="s">
        <v>32</v>
      </c>
      <c r="H1268" t="s">
        <v>33</v>
      </c>
      <c r="I1268" t="s">
        <v>44</v>
      </c>
      <c r="K1268" t="s">
        <v>64</v>
      </c>
      <c r="L1268">
        <v>5</v>
      </c>
      <c r="M1268" t="s">
        <v>1867</v>
      </c>
      <c r="N1268" t="s">
        <v>415</v>
      </c>
    </row>
    <row r="1269" spans="1:14" x14ac:dyDescent="0.35">
      <c r="A1269" t="s">
        <v>3959</v>
      </c>
      <c r="B1269" t="s">
        <v>3960</v>
      </c>
      <c r="C1269" t="s">
        <v>30</v>
      </c>
      <c r="D1269">
        <v>178.15</v>
      </c>
      <c r="E1269">
        <v>11000</v>
      </c>
      <c r="F1269" t="s">
        <v>236</v>
      </c>
      <c r="G1269" t="s">
        <v>32</v>
      </c>
      <c r="H1269" t="s">
        <v>33</v>
      </c>
      <c r="I1269" t="s">
        <v>44</v>
      </c>
      <c r="J1269" t="s">
        <v>543</v>
      </c>
      <c r="K1269" t="s">
        <v>51</v>
      </c>
      <c r="L1269">
        <v>16</v>
      </c>
      <c r="M1269" t="s">
        <v>3602</v>
      </c>
      <c r="N1269" t="s">
        <v>3961</v>
      </c>
    </row>
    <row r="1270" spans="1:14" x14ac:dyDescent="0.35">
      <c r="A1270" t="s">
        <v>3962</v>
      </c>
      <c r="B1270" t="s">
        <v>3963</v>
      </c>
      <c r="C1270" t="s">
        <v>62</v>
      </c>
      <c r="D1270">
        <v>94.54</v>
      </c>
      <c r="E1270">
        <v>1000</v>
      </c>
      <c r="F1270" t="s">
        <v>76</v>
      </c>
      <c r="G1270" t="s">
        <v>32</v>
      </c>
      <c r="H1270" t="s">
        <v>43</v>
      </c>
      <c r="I1270" t="s">
        <v>34</v>
      </c>
      <c r="J1270" t="s">
        <v>75</v>
      </c>
      <c r="K1270" t="s">
        <v>76</v>
      </c>
      <c r="L1270">
        <v>12</v>
      </c>
      <c r="M1270" t="s">
        <v>1687</v>
      </c>
      <c r="N1270" t="s">
        <v>3868</v>
      </c>
    </row>
    <row r="1271" spans="1:14" x14ac:dyDescent="0.35">
      <c r="A1271" t="s">
        <v>3964</v>
      </c>
      <c r="B1271" t="s">
        <v>3965</v>
      </c>
      <c r="C1271" t="s">
        <v>62</v>
      </c>
      <c r="D1271">
        <v>98.27</v>
      </c>
      <c r="E1271">
        <v>2000</v>
      </c>
      <c r="F1271" t="s">
        <v>42</v>
      </c>
      <c r="G1271" t="s">
        <v>32</v>
      </c>
      <c r="H1271" t="s">
        <v>33</v>
      </c>
      <c r="I1271" t="s">
        <v>44</v>
      </c>
      <c r="J1271" t="s">
        <v>477</v>
      </c>
      <c r="K1271" t="s">
        <v>51</v>
      </c>
      <c r="L1271">
        <v>16</v>
      </c>
      <c r="M1271" t="s">
        <v>1040</v>
      </c>
      <c r="N1271" t="s">
        <v>1446</v>
      </c>
    </row>
    <row r="1272" spans="1:14" x14ac:dyDescent="0.35">
      <c r="A1272" t="s">
        <v>3966</v>
      </c>
      <c r="B1272" t="s">
        <v>3967</v>
      </c>
      <c r="C1272" t="s">
        <v>62</v>
      </c>
      <c r="D1272">
        <v>71.89</v>
      </c>
      <c r="E1272">
        <v>3000</v>
      </c>
      <c r="F1272" t="s">
        <v>147</v>
      </c>
      <c r="G1272" t="s">
        <v>32</v>
      </c>
      <c r="H1272" t="s">
        <v>43</v>
      </c>
      <c r="I1272" t="s">
        <v>34</v>
      </c>
      <c r="J1272" t="s">
        <v>130</v>
      </c>
      <c r="K1272" t="s">
        <v>123</v>
      </c>
      <c r="L1272">
        <v>6</v>
      </c>
      <c r="M1272" t="s">
        <v>3968</v>
      </c>
      <c r="N1272" t="s">
        <v>383</v>
      </c>
    </row>
    <row r="1273" spans="1:14" x14ac:dyDescent="0.35">
      <c r="A1273" t="s">
        <v>3969</v>
      </c>
      <c r="B1273" t="s">
        <v>3970</v>
      </c>
      <c r="C1273" t="s">
        <v>30</v>
      </c>
      <c r="D1273">
        <v>181.92</v>
      </c>
      <c r="E1273">
        <v>5000</v>
      </c>
      <c r="F1273" t="s">
        <v>36</v>
      </c>
      <c r="G1273" t="s">
        <v>32</v>
      </c>
      <c r="H1273" t="s">
        <v>57</v>
      </c>
      <c r="I1273" t="s">
        <v>34</v>
      </c>
      <c r="J1273" t="s">
        <v>164</v>
      </c>
      <c r="K1273" t="s">
        <v>74</v>
      </c>
      <c r="L1273">
        <v>17</v>
      </c>
      <c r="N1273" t="s">
        <v>109</v>
      </c>
    </row>
    <row r="1274" spans="1:14" x14ac:dyDescent="0.35">
      <c r="A1274" t="s">
        <v>3971</v>
      </c>
      <c r="B1274" t="s">
        <v>3972</v>
      </c>
      <c r="C1274" t="s">
        <v>62</v>
      </c>
      <c r="D1274">
        <v>76.75</v>
      </c>
      <c r="E1274">
        <v>3000</v>
      </c>
      <c r="F1274" t="s">
        <v>64</v>
      </c>
      <c r="G1274" t="s">
        <v>32</v>
      </c>
      <c r="H1274" t="s">
        <v>43</v>
      </c>
      <c r="I1274" t="s">
        <v>34</v>
      </c>
      <c r="J1274" t="s">
        <v>3973</v>
      </c>
      <c r="K1274" t="s">
        <v>147</v>
      </c>
      <c r="L1274">
        <v>3</v>
      </c>
      <c r="M1274" t="s">
        <v>1014</v>
      </c>
      <c r="N1274" t="s">
        <v>404</v>
      </c>
    </row>
    <row r="1275" spans="1:14" x14ac:dyDescent="0.35">
      <c r="A1275" t="s">
        <v>3974</v>
      </c>
      <c r="B1275" t="s">
        <v>3975</v>
      </c>
      <c r="C1275" t="s">
        <v>81</v>
      </c>
      <c r="D1275">
        <v>75.430000000000007</v>
      </c>
      <c r="E1275">
        <v>6000</v>
      </c>
      <c r="F1275" t="s">
        <v>147</v>
      </c>
      <c r="G1275" t="s">
        <v>32</v>
      </c>
      <c r="H1275" t="s">
        <v>57</v>
      </c>
      <c r="I1275" t="s">
        <v>34</v>
      </c>
      <c r="J1275" t="s">
        <v>45</v>
      </c>
      <c r="K1275" t="s">
        <v>46</v>
      </c>
      <c r="L1275">
        <v>22</v>
      </c>
      <c r="N1275" t="s">
        <v>1613</v>
      </c>
    </row>
    <row r="1276" spans="1:14" x14ac:dyDescent="0.35">
      <c r="A1276" t="s">
        <v>3976</v>
      </c>
      <c r="B1276" t="s">
        <v>3977</v>
      </c>
      <c r="C1276" t="s">
        <v>30</v>
      </c>
      <c r="D1276">
        <v>142.37</v>
      </c>
      <c r="E1276">
        <v>6000</v>
      </c>
      <c r="F1276" t="s">
        <v>147</v>
      </c>
      <c r="G1276" t="s">
        <v>32</v>
      </c>
      <c r="H1276" t="s">
        <v>43</v>
      </c>
      <c r="I1276" t="s">
        <v>44</v>
      </c>
      <c r="J1276" t="s">
        <v>334</v>
      </c>
      <c r="K1276" t="s">
        <v>51</v>
      </c>
      <c r="L1276">
        <v>9</v>
      </c>
      <c r="N1276" t="s">
        <v>3978</v>
      </c>
    </row>
    <row r="1277" spans="1:14" x14ac:dyDescent="0.35">
      <c r="A1277" t="s">
        <v>3979</v>
      </c>
      <c r="B1277" t="s">
        <v>3980</v>
      </c>
      <c r="C1277" t="s">
        <v>116</v>
      </c>
      <c r="D1277">
        <v>7.6</v>
      </c>
      <c r="E1277">
        <v>300</v>
      </c>
      <c r="F1277" t="s">
        <v>97</v>
      </c>
      <c r="G1277" t="s">
        <v>32</v>
      </c>
      <c r="H1277" t="s">
        <v>57</v>
      </c>
      <c r="I1277" t="s">
        <v>44</v>
      </c>
      <c r="J1277" t="s">
        <v>112</v>
      </c>
      <c r="K1277" t="s">
        <v>106</v>
      </c>
      <c r="L1277">
        <v>2</v>
      </c>
      <c r="N1277" t="s">
        <v>3981</v>
      </c>
    </row>
    <row r="1278" spans="1:14" x14ac:dyDescent="0.35">
      <c r="A1278" t="s">
        <v>3982</v>
      </c>
      <c r="B1278" t="s">
        <v>3983</v>
      </c>
      <c r="C1278" t="s">
        <v>69</v>
      </c>
      <c r="D1278">
        <v>90.8</v>
      </c>
      <c r="E1278">
        <v>92000</v>
      </c>
      <c r="F1278" t="s">
        <v>236</v>
      </c>
      <c r="G1278" t="s">
        <v>32</v>
      </c>
      <c r="H1278" t="s">
        <v>43</v>
      </c>
      <c r="I1278" t="s">
        <v>44</v>
      </c>
      <c r="J1278" t="s">
        <v>75</v>
      </c>
      <c r="K1278" t="s">
        <v>76</v>
      </c>
      <c r="L1278">
        <v>10</v>
      </c>
      <c r="N1278" t="s">
        <v>3927</v>
      </c>
    </row>
    <row r="1279" spans="1:14" x14ac:dyDescent="0.35">
      <c r="A1279" t="s">
        <v>3984</v>
      </c>
      <c r="B1279" t="s">
        <v>3985</v>
      </c>
      <c r="C1279" t="s">
        <v>81</v>
      </c>
      <c r="D1279">
        <v>87.03</v>
      </c>
      <c r="E1279">
        <v>9000</v>
      </c>
      <c r="F1279" t="s">
        <v>51</v>
      </c>
      <c r="G1279" t="s">
        <v>32</v>
      </c>
      <c r="H1279" t="s">
        <v>57</v>
      </c>
      <c r="I1279" t="s">
        <v>44</v>
      </c>
      <c r="J1279" t="s">
        <v>107</v>
      </c>
      <c r="K1279" t="s">
        <v>87</v>
      </c>
      <c r="L1279">
        <v>10</v>
      </c>
      <c r="M1279" t="s">
        <v>2785</v>
      </c>
      <c r="N1279" t="s">
        <v>1653</v>
      </c>
    </row>
    <row r="1280" spans="1:14" x14ac:dyDescent="0.35">
      <c r="A1280" t="s">
        <v>3986</v>
      </c>
      <c r="B1280" t="s">
        <v>3987</v>
      </c>
      <c r="C1280" t="s">
        <v>41</v>
      </c>
      <c r="D1280">
        <v>139.72999999999999</v>
      </c>
      <c r="E1280">
        <v>12000</v>
      </c>
      <c r="F1280" t="s">
        <v>97</v>
      </c>
      <c r="G1280" t="s">
        <v>32</v>
      </c>
      <c r="H1280" t="s">
        <v>33</v>
      </c>
      <c r="I1280" t="s">
        <v>129</v>
      </c>
      <c r="J1280" t="s">
        <v>1216</v>
      </c>
      <c r="K1280" t="s">
        <v>51</v>
      </c>
      <c r="L1280">
        <v>21</v>
      </c>
      <c r="N1280" t="s">
        <v>3988</v>
      </c>
    </row>
    <row r="1281" spans="1:14" x14ac:dyDescent="0.35">
      <c r="A1281" t="s">
        <v>3989</v>
      </c>
      <c r="B1281" t="s">
        <v>3990</v>
      </c>
      <c r="C1281" t="s">
        <v>62</v>
      </c>
      <c r="D1281">
        <v>96.39</v>
      </c>
      <c r="E1281">
        <v>2000</v>
      </c>
      <c r="F1281" t="s">
        <v>36</v>
      </c>
      <c r="G1281" t="s">
        <v>32</v>
      </c>
      <c r="H1281" t="s">
        <v>33</v>
      </c>
      <c r="I1281" t="s">
        <v>34</v>
      </c>
      <c r="J1281" t="s">
        <v>45</v>
      </c>
      <c r="K1281" t="s">
        <v>46</v>
      </c>
      <c r="L1281">
        <v>14</v>
      </c>
      <c r="M1281" t="s">
        <v>2511</v>
      </c>
      <c r="N1281" t="s">
        <v>422</v>
      </c>
    </row>
    <row r="1282" spans="1:14" x14ac:dyDescent="0.35">
      <c r="A1282" t="s">
        <v>3991</v>
      </c>
      <c r="B1282" t="s">
        <v>2962</v>
      </c>
      <c r="C1282" t="s">
        <v>81</v>
      </c>
      <c r="D1282">
        <v>122.06</v>
      </c>
      <c r="E1282">
        <v>3000</v>
      </c>
      <c r="F1282" t="s">
        <v>76</v>
      </c>
      <c r="G1282" t="s">
        <v>32</v>
      </c>
      <c r="H1282" t="s">
        <v>43</v>
      </c>
      <c r="I1282" t="s">
        <v>129</v>
      </c>
      <c r="J1282" t="s">
        <v>63</v>
      </c>
      <c r="K1282" t="s">
        <v>64</v>
      </c>
      <c r="L1282">
        <v>20</v>
      </c>
      <c r="M1282" t="s">
        <v>2723</v>
      </c>
      <c r="N1282" t="s">
        <v>3992</v>
      </c>
    </row>
    <row r="1283" spans="1:14" x14ac:dyDescent="0.35">
      <c r="A1283" t="s">
        <v>3993</v>
      </c>
      <c r="B1283" t="s">
        <v>3994</v>
      </c>
      <c r="C1283" t="s">
        <v>69</v>
      </c>
      <c r="D1283">
        <v>80.209999999999994</v>
      </c>
      <c r="E1283">
        <v>48000</v>
      </c>
      <c r="F1283" t="s">
        <v>64</v>
      </c>
      <c r="G1283" t="s">
        <v>32</v>
      </c>
      <c r="H1283" t="s">
        <v>43</v>
      </c>
      <c r="I1283" t="s">
        <v>34</v>
      </c>
      <c r="J1283" t="s">
        <v>316</v>
      </c>
      <c r="K1283" t="s">
        <v>97</v>
      </c>
      <c r="L1283">
        <v>3</v>
      </c>
      <c r="M1283" t="s">
        <v>3995</v>
      </c>
      <c r="N1283" t="s">
        <v>3248</v>
      </c>
    </row>
    <row r="1284" spans="1:14" x14ac:dyDescent="0.35">
      <c r="A1284" t="s">
        <v>3996</v>
      </c>
      <c r="B1284" t="s">
        <v>3997</v>
      </c>
      <c r="C1284" t="s">
        <v>69</v>
      </c>
      <c r="D1284">
        <v>80</v>
      </c>
      <c r="E1284">
        <v>20000</v>
      </c>
      <c r="F1284" t="s">
        <v>117</v>
      </c>
      <c r="G1284" t="s">
        <v>32</v>
      </c>
      <c r="H1284" t="s">
        <v>33</v>
      </c>
      <c r="I1284" t="s">
        <v>44</v>
      </c>
      <c r="J1284" t="s">
        <v>209</v>
      </c>
      <c r="K1284" t="s">
        <v>74</v>
      </c>
      <c r="L1284">
        <v>0</v>
      </c>
      <c r="M1284" t="s">
        <v>3998</v>
      </c>
      <c r="N1284" t="s">
        <v>2577</v>
      </c>
    </row>
    <row r="1285" spans="1:14" x14ac:dyDescent="0.35">
      <c r="A1285" t="s">
        <v>3999</v>
      </c>
      <c r="B1285" t="s">
        <v>4000</v>
      </c>
      <c r="C1285" t="s">
        <v>116</v>
      </c>
      <c r="D1285">
        <v>10.08</v>
      </c>
      <c r="E1285">
        <v>300</v>
      </c>
      <c r="F1285" t="s">
        <v>51</v>
      </c>
      <c r="G1285" t="s">
        <v>32</v>
      </c>
      <c r="H1285" t="s">
        <v>33</v>
      </c>
      <c r="I1285" t="s">
        <v>44</v>
      </c>
      <c r="J1285" t="s">
        <v>118</v>
      </c>
      <c r="K1285" t="s">
        <v>42</v>
      </c>
      <c r="L1285">
        <v>12</v>
      </c>
      <c r="N1285" t="s">
        <v>237</v>
      </c>
    </row>
    <row r="1286" spans="1:14" x14ac:dyDescent="0.35">
      <c r="A1286" t="s">
        <v>4001</v>
      </c>
      <c r="B1286" t="s">
        <v>4002</v>
      </c>
      <c r="C1286" t="s">
        <v>116</v>
      </c>
      <c r="D1286">
        <v>11.44</v>
      </c>
      <c r="E1286">
        <v>400</v>
      </c>
      <c r="F1286" t="s">
        <v>236</v>
      </c>
      <c r="G1286" t="s">
        <v>32</v>
      </c>
      <c r="H1286" t="s">
        <v>33</v>
      </c>
      <c r="I1286" t="s">
        <v>34</v>
      </c>
      <c r="J1286" t="s">
        <v>35</v>
      </c>
      <c r="K1286" t="s">
        <v>36</v>
      </c>
      <c r="L1286">
        <v>14</v>
      </c>
      <c r="N1286" t="s">
        <v>4003</v>
      </c>
    </row>
    <row r="1287" spans="1:14" x14ac:dyDescent="0.35">
      <c r="A1287" t="s">
        <v>4004</v>
      </c>
      <c r="B1287" t="s">
        <v>4005</v>
      </c>
      <c r="C1287" t="s">
        <v>62</v>
      </c>
      <c r="D1287">
        <v>85.47</v>
      </c>
      <c r="E1287">
        <v>4000</v>
      </c>
      <c r="F1287" t="s">
        <v>36</v>
      </c>
      <c r="G1287" t="s">
        <v>32</v>
      </c>
      <c r="H1287" t="s">
        <v>43</v>
      </c>
      <c r="J1287" t="s">
        <v>35</v>
      </c>
      <c r="K1287" t="s">
        <v>36</v>
      </c>
      <c r="L1287">
        <v>18</v>
      </c>
      <c r="N1287" t="s">
        <v>1065</v>
      </c>
    </row>
    <row r="1288" spans="1:14" x14ac:dyDescent="0.35">
      <c r="A1288" t="s">
        <v>4006</v>
      </c>
      <c r="B1288" t="s">
        <v>4007</v>
      </c>
      <c r="C1288" t="s">
        <v>30</v>
      </c>
      <c r="D1288">
        <v>178.11</v>
      </c>
      <c r="E1288">
        <v>16000</v>
      </c>
      <c r="F1288" t="s">
        <v>123</v>
      </c>
      <c r="G1288" t="s">
        <v>32</v>
      </c>
      <c r="H1288" t="s">
        <v>43</v>
      </c>
      <c r="I1288" t="s">
        <v>129</v>
      </c>
      <c r="J1288" t="s">
        <v>112</v>
      </c>
      <c r="K1288" t="s">
        <v>106</v>
      </c>
      <c r="L1288">
        <v>5</v>
      </c>
      <c r="M1288" t="s">
        <v>4008</v>
      </c>
      <c r="N1288" t="s">
        <v>779</v>
      </c>
    </row>
    <row r="1289" spans="1:14" x14ac:dyDescent="0.35">
      <c r="A1289" t="s">
        <v>4009</v>
      </c>
      <c r="B1289" t="s">
        <v>4010</v>
      </c>
      <c r="C1289" t="s">
        <v>81</v>
      </c>
      <c r="D1289">
        <v>99.44</v>
      </c>
      <c r="E1289">
        <v>8000</v>
      </c>
      <c r="F1289" t="s">
        <v>117</v>
      </c>
      <c r="G1289" t="s">
        <v>32</v>
      </c>
      <c r="H1289" t="s">
        <v>57</v>
      </c>
      <c r="J1289" t="s">
        <v>4011</v>
      </c>
      <c r="K1289" t="s">
        <v>236</v>
      </c>
      <c r="L1289">
        <v>12</v>
      </c>
      <c r="M1289" t="s">
        <v>603</v>
      </c>
      <c r="N1289" t="s">
        <v>1166</v>
      </c>
    </row>
    <row r="1290" spans="1:14" x14ac:dyDescent="0.35">
      <c r="A1290" t="s">
        <v>4012</v>
      </c>
      <c r="B1290" t="s">
        <v>4013</v>
      </c>
      <c r="C1290" t="s">
        <v>30</v>
      </c>
      <c r="D1290">
        <v>176.42</v>
      </c>
      <c r="E1290">
        <v>11000</v>
      </c>
      <c r="F1290" t="s">
        <v>106</v>
      </c>
      <c r="G1290" t="s">
        <v>32</v>
      </c>
      <c r="H1290" t="s">
        <v>43</v>
      </c>
      <c r="I1290" t="s">
        <v>34</v>
      </c>
      <c r="J1290" t="s">
        <v>523</v>
      </c>
      <c r="K1290" t="s">
        <v>36</v>
      </c>
      <c r="L1290">
        <v>20</v>
      </c>
      <c r="N1290" t="s">
        <v>285</v>
      </c>
    </row>
    <row r="1291" spans="1:14" x14ac:dyDescent="0.35">
      <c r="A1291" t="s">
        <v>4014</v>
      </c>
      <c r="B1291" t="s">
        <v>4015</v>
      </c>
      <c r="C1291" t="s">
        <v>81</v>
      </c>
      <c r="D1291">
        <v>77.92</v>
      </c>
      <c r="E1291">
        <v>7000</v>
      </c>
      <c r="F1291" t="s">
        <v>236</v>
      </c>
      <c r="G1291" t="s">
        <v>32</v>
      </c>
      <c r="H1291" t="s">
        <v>57</v>
      </c>
      <c r="I1291" t="s">
        <v>34</v>
      </c>
      <c r="J1291" t="s">
        <v>35</v>
      </c>
      <c r="K1291" t="s">
        <v>36</v>
      </c>
      <c r="L1291">
        <v>2</v>
      </c>
      <c r="M1291" t="s">
        <v>1984</v>
      </c>
      <c r="N1291" t="s">
        <v>438</v>
      </c>
    </row>
    <row r="1292" spans="1:14" x14ac:dyDescent="0.35">
      <c r="A1292" t="s">
        <v>4016</v>
      </c>
      <c r="B1292" t="s">
        <v>4017</v>
      </c>
      <c r="C1292" t="s">
        <v>41</v>
      </c>
      <c r="D1292">
        <v>117.55</v>
      </c>
      <c r="E1292">
        <v>38000</v>
      </c>
      <c r="F1292" t="s">
        <v>74</v>
      </c>
      <c r="G1292" t="s">
        <v>32</v>
      </c>
      <c r="H1292" t="s">
        <v>57</v>
      </c>
      <c r="I1292" t="s">
        <v>129</v>
      </c>
      <c r="J1292" t="s">
        <v>63</v>
      </c>
      <c r="K1292" t="s">
        <v>64</v>
      </c>
      <c r="L1292">
        <v>22</v>
      </c>
      <c r="M1292" t="s">
        <v>2043</v>
      </c>
      <c r="N1292" t="s">
        <v>743</v>
      </c>
    </row>
    <row r="1293" spans="1:14" x14ac:dyDescent="0.35">
      <c r="A1293" t="s">
        <v>4018</v>
      </c>
      <c r="B1293" t="s">
        <v>4019</v>
      </c>
      <c r="C1293" t="s">
        <v>116</v>
      </c>
      <c r="D1293">
        <v>11.19</v>
      </c>
      <c r="E1293">
        <v>400</v>
      </c>
      <c r="F1293" t="s">
        <v>64</v>
      </c>
      <c r="G1293" t="s">
        <v>102</v>
      </c>
      <c r="H1293" t="s">
        <v>33</v>
      </c>
      <c r="I1293" t="s">
        <v>34</v>
      </c>
      <c r="J1293" t="s">
        <v>124</v>
      </c>
      <c r="K1293" t="s">
        <v>117</v>
      </c>
      <c r="L1293">
        <v>6</v>
      </c>
      <c r="M1293" t="s">
        <v>447</v>
      </c>
      <c r="N1293" t="s">
        <v>4020</v>
      </c>
    </row>
    <row r="1294" spans="1:14" x14ac:dyDescent="0.35">
      <c r="A1294" t="s">
        <v>4021</v>
      </c>
      <c r="B1294" t="s">
        <v>4022</v>
      </c>
      <c r="C1294" t="s">
        <v>69</v>
      </c>
      <c r="D1294">
        <v>65.349999999999994</v>
      </c>
      <c r="E1294">
        <v>51000</v>
      </c>
      <c r="F1294" t="s">
        <v>51</v>
      </c>
      <c r="G1294" t="s">
        <v>32</v>
      </c>
      <c r="H1294" t="s">
        <v>43</v>
      </c>
      <c r="I1294" t="s">
        <v>129</v>
      </c>
      <c r="J1294" t="s">
        <v>130</v>
      </c>
      <c r="K1294" t="s">
        <v>123</v>
      </c>
      <c r="L1294">
        <v>6</v>
      </c>
      <c r="N1294" t="s">
        <v>4023</v>
      </c>
    </row>
    <row r="1295" spans="1:14" x14ac:dyDescent="0.35">
      <c r="A1295" t="s">
        <v>4024</v>
      </c>
      <c r="B1295" t="s">
        <v>4025</v>
      </c>
      <c r="C1295" t="s">
        <v>69</v>
      </c>
      <c r="D1295">
        <v>88.68</v>
      </c>
      <c r="E1295">
        <v>41000</v>
      </c>
      <c r="F1295" t="s">
        <v>46</v>
      </c>
      <c r="G1295" t="s">
        <v>32</v>
      </c>
      <c r="H1295" t="s">
        <v>43</v>
      </c>
      <c r="J1295" t="s">
        <v>118</v>
      </c>
      <c r="K1295" t="s">
        <v>42</v>
      </c>
      <c r="L1295">
        <v>5</v>
      </c>
      <c r="M1295" t="s">
        <v>3934</v>
      </c>
      <c r="N1295" t="s">
        <v>3105</v>
      </c>
    </row>
    <row r="1296" spans="1:14" x14ac:dyDescent="0.35">
      <c r="A1296" t="s">
        <v>4026</v>
      </c>
      <c r="B1296" t="s">
        <v>4027</v>
      </c>
      <c r="C1296" t="s">
        <v>81</v>
      </c>
      <c r="D1296">
        <v>89.54</v>
      </c>
      <c r="E1296">
        <v>6000</v>
      </c>
      <c r="F1296" t="s">
        <v>42</v>
      </c>
      <c r="G1296" t="s">
        <v>102</v>
      </c>
      <c r="H1296" t="s">
        <v>43</v>
      </c>
      <c r="I1296" t="s">
        <v>44</v>
      </c>
      <c r="J1296" t="s">
        <v>75</v>
      </c>
      <c r="K1296" t="s">
        <v>76</v>
      </c>
      <c r="L1296">
        <v>23</v>
      </c>
      <c r="M1296" t="s">
        <v>1014</v>
      </c>
      <c r="N1296" t="s">
        <v>4028</v>
      </c>
    </row>
    <row r="1297" spans="1:14" x14ac:dyDescent="0.35">
      <c r="A1297" t="s">
        <v>4029</v>
      </c>
      <c r="B1297" t="s">
        <v>4030</v>
      </c>
      <c r="C1297" t="s">
        <v>81</v>
      </c>
      <c r="D1297">
        <v>93.43</v>
      </c>
      <c r="E1297">
        <v>7000</v>
      </c>
      <c r="F1297" t="s">
        <v>51</v>
      </c>
      <c r="G1297" t="s">
        <v>32</v>
      </c>
      <c r="H1297" t="s">
        <v>33</v>
      </c>
      <c r="I1297" t="s">
        <v>44</v>
      </c>
      <c r="J1297" t="s">
        <v>107</v>
      </c>
      <c r="K1297" t="s">
        <v>87</v>
      </c>
      <c r="L1297">
        <v>10</v>
      </c>
      <c r="N1297" t="s">
        <v>4031</v>
      </c>
    </row>
    <row r="1298" spans="1:14" x14ac:dyDescent="0.35">
      <c r="A1298" t="s">
        <v>4032</v>
      </c>
      <c r="B1298" t="s">
        <v>4033</v>
      </c>
      <c r="C1298" t="s">
        <v>69</v>
      </c>
      <c r="D1298">
        <v>65.92</v>
      </c>
      <c r="E1298">
        <v>36000</v>
      </c>
      <c r="F1298" t="s">
        <v>74</v>
      </c>
      <c r="G1298" t="s">
        <v>32</v>
      </c>
      <c r="H1298" t="s">
        <v>43</v>
      </c>
      <c r="I1298" t="s">
        <v>34</v>
      </c>
      <c r="J1298" t="s">
        <v>118</v>
      </c>
      <c r="K1298" t="s">
        <v>42</v>
      </c>
      <c r="L1298">
        <v>15</v>
      </c>
      <c r="M1298" t="s">
        <v>2280</v>
      </c>
      <c r="N1298" t="s">
        <v>93</v>
      </c>
    </row>
    <row r="1299" spans="1:14" x14ac:dyDescent="0.35">
      <c r="A1299" t="s">
        <v>4034</v>
      </c>
      <c r="B1299" t="s">
        <v>4035</v>
      </c>
      <c r="C1299" t="s">
        <v>30</v>
      </c>
      <c r="D1299">
        <v>110.68</v>
      </c>
      <c r="E1299">
        <v>6000</v>
      </c>
      <c r="F1299" t="s">
        <v>76</v>
      </c>
      <c r="G1299" t="s">
        <v>32</v>
      </c>
      <c r="H1299" t="s">
        <v>33</v>
      </c>
      <c r="I1299" t="s">
        <v>34</v>
      </c>
      <c r="J1299" t="s">
        <v>124</v>
      </c>
      <c r="K1299" t="s">
        <v>117</v>
      </c>
      <c r="L1299">
        <v>11</v>
      </c>
      <c r="M1299" t="s">
        <v>760</v>
      </c>
      <c r="N1299" t="s">
        <v>4036</v>
      </c>
    </row>
    <row r="1300" spans="1:14" x14ac:dyDescent="0.35">
      <c r="A1300" t="s">
        <v>4037</v>
      </c>
      <c r="B1300" t="s">
        <v>4038</v>
      </c>
      <c r="C1300" t="s">
        <v>41</v>
      </c>
      <c r="D1300">
        <v>90.18</v>
      </c>
      <c r="E1300">
        <v>34000</v>
      </c>
      <c r="F1300" t="s">
        <v>31</v>
      </c>
      <c r="G1300" t="s">
        <v>32</v>
      </c>
      <c r="H1300" t="s">
        <v>33</v>
      </c>
      <c r="I1300" t="s">
        <v>44</v>
      </c>
      <c r="J1300" t="s">
        <v>107</v>
      </c>
      <c r="K1300" t="s">
        <v>87</v>
      </c>
      <c r="L1300">
        <v>12</v>
      </c>
      <c r="N1300" t="s">
        <v>1777</v>
      </c>
    </row>
    <row r="1301" spans="1:14" x14ac:dyDescent="0.35">
      <c r="A1301" t="s">
        <v>4039</v>
      </c>
      <c r="B1301" t="s">
        <v>4040</v>
      </c>
      <c r="C1301" t="s">
        <v>41</v>
      </c>
      <c r="D1301">
        <v>143.88999999999999</v>
      </c>
      <c r="E1301">
        <v>17000</v>
      </c>
      <c r="F1301" t="s">
        <v>51</v>
      </c>
      <c r="G1301" t="s">
        <v>32</v>
      </c>
      <c r="H1301" t="s">
        <v>43</v>
      </c>
      <c r="I1301" t="s">
        <v>44</v>
      </c>
      <c r="J1301" t="s">
        <v>63</v>
      </c>
      <c r="K1301" t="s">
        <v>64</v>
      </c>
      <c r="L1301">
        <v>19</v>
      </c>
      <c r="M1301" t="s">
        <v>407</v>
      </c>
      <c r="N1301" t="s">
        <v>1449</v>
      </c>
    </row>
    <row r="1302" spans="1:14" x14ac:dyDescent="0.35">
      <c r="A1302" t="s">
        <v>4041</v>
      </c>
      <c r="B1302" t="s">
        <v>4042</v>
      </c>
      <c r="C1302" t="s">
        <v>116</v>
      </c>
      <c r="D1302">
        <v>8.2899999999999991</v>
      </c>
      <c r="E1302">
        <v>700</v>
      </c>
      <c r="F1302" t="s">
        <v>76</v>
      </c>
      <c r="G1302" t="s">
        <v>32</v>
      </c>
      <c r="H1302" t="s">
        <v>57</v>
      </c>
      <c r="I1302" t="s">
        <v>129</v>
      </c>
      <c r="J1302" t="s">
        <v>118</v>
      </c>
      <c r="K1302" t="s">
        <v>42</v>
      </c>
      <c r="L1302">
        <v>9</v>
      </c>
      <c r="N1302" t="s">
        <v>144</v>
      </c>
    </row>
    <row r="1303" spans="1:14" x14ac:dyDescent="0.35">
      <c r="A1303" t="s">
        <v>4043</v>
      </c>
      <c r="B1303" t="s">
        <v>4044</v>
      </c>
      <c r="C1303" t="s">
        <v>81</v>
      </c>
      <c r="D1303">
        <v>75.11</v>
      </c>
      <c r="E1303">
        <v>8000</v>
      </c>
      <c r="F1303" t="s">
        <v>36</v>
      </c>
      <c r="G1303" t="s">
        <v>32</v>
      </c>
      <c r="H1303" t="s">
        <v>43</v>
      </c>
      <c r="J1303" t="s">
        <v>1637</v>
      </c>
      <c r="K1303" t="s">
        <v>97</v>
      </c>
      <c r="L1303">
        <v>16</v>
      </c>
      <c r="M1303" t="s">
        <v>4045</v>
      </c>
      <c r="N1303" t="s">
        <v>267</v>
      </c>
    </row>
    <row r="1304" spans="1:14" x14ac:dyDescent="0.35">
      <c r="A1304" t="s">
        <v>4046</v>
      </c>
      <c r="B1304" t="s">
        <v>4047</v>
      </c>
      <c r="C1304" t="s">
        <v>69</v>
      </c>
      <c r="D1304">
        <v>52.43</v>
      </c>
      <c r="E1304">
        <v>89000</v>
      </c>
      <c r="F1304" t="s">
        <v>74</v>
      </c>
      <c r="G1304" t="s">
        <v>32</v>
      </c>
      <c r="H1304" t="s">
        <v>43</v>
      </c>
      <c r="I1304" t="s">
        <v>44</v>
      </c>
      <c r="J1304" t="s">
        <v>278</v>
      </c>
      <c r="K1304" t="s">
        <v>97</v>
      </c>
      <c r="L1304">
        <v>17</v>
      </c>
      <c r="M1304" t="s">
        <v>53</v>
      </c>
      <c r="N1304" t="s">
        <v>2379</v>
      </c>
    </row>
    <row r="1305" spans="1:14" x14ac:dyDescent="0.35">
      <c r="A1305" t="s">
        <v>4048</v>
      </c>
      <c r="B1305" t="s">
        <v>4049</v>
      </c>
      <c r="C1305" t="s">
        <v>62</v>
      </c>
      <c r="D1305">
        <v>83.57</v>
      </c>
      <c r="E1305">
        <v>1000</v>
      </c>
      <c r="F1305" t="s">
        <v>64</v>
      </c>
      <c r="G1305" t="s">
        <v>32</v>
      </c>
      <c r="H1305" t="s">
        <v>33</v>
      </c>
      <c r="I1305" t="s">
        <v>44</v>
      </c>
      <c r="J1305" t="s">
        <v>63</v>
      </c>
      <c r="K1305" t="s">
        <v>64</v>
      </c>
      <c r="L1305">
        <v>10</v>
      </c>
      <c r="N1305" t="s">
        <v>2888</v>
      </c>
    </row>
    <row r="1306" spans="1:14" x14ac:dyDescent="0.35">
      <c r="A1306" t="s">
        <v>4050</v>
      </c>
      <c r="B1306" t="s">
        <v>4051</v>
      </c>
      <c r="C1306" t="s">
        <v>69</v>
      </c>
      <c r="D1306">
        <v>63.95</v>
      </c>
      <c r="E1306">
        <v>41000</v>
      </c>
      <c r="F1306" t="s">
        <v>74</v>
      </c>
      <c r="G1306" t="s">
        <v>32</v>
      </c>
      <c r="H1306" t="s">
        <v>57</v>
      </c>
      <c r="I1306" t="s">
        <v>129</v>
      </c>
      <c r="J1306" t="s">
        <v>2640</v>
      </c>
      <c r="K1306" t="s">
        <v>51</v>
      </c>
      <c r="L1306">
        <v>3</v>
      </c>
      <c r="M1306" t="s">
        <v>2398</v>
      </c>
      <c r="N1306" t="s">
        <v>4052</v>
      </c>
    </row>
    <row r="1307" spans="1:14" x14ac:dyDescent="0.35">
      <c r="A1307" t="s">
        <v>4053</v>
      </c>
      <c r="B1307" t="s">
        <v>4054</v>
      </c>
      <c r="C1307" t="s">
        <v>116</v>
      </c>
      <c r="D1307">
        <v>9.3000000000000007</v>
      </c>
      <c r="E1307">
        <v>400</v>
      </c>
      <c r="F1307" t="s">
        <v>64</v>
      </c>
      <c r="G1307" t="s">
        <v>102</v>
      </c>
      <c r="H1307" t="s">
        <v>33</v>
      </c>
      <c r="I1307" t="s">
        <v>129</v>
      </c>
      <c r="J1307" t="s">
        <v>4055</v>
      </c>
      <c r="K1307" t="s">
        <v>139</v>
      </c>
      <c r="L1307">
        <v>19</v>
      </c>
      <c r="N1307" t="s">
        <v>4056</v>
      </c>
    </row>
    <row r="1308" spans="1:14" x14ac:dyDescent="0.35">
      <c r="A1308" t="s">
        <v>4057</v>
      </c>
      <c r="B1308" t="s">
        <v>4058</v>
      </c>
      <c r="C1308" t="s">
        <v>116</v>
      </c>
      <c r="D1308">
        <v>10.67</v>
      </c>
      <c r="E1308">
        <v>200</v>
      </c>
      <c r="F1308" t="s">
        <v>31</v>
      </c>
      <c r="G1308" t="s">
        <v>32</v>
      </c>
      <c r="H1308" t="s">
        <v>43</v>
      </c>
      <c r="J1308" t="s">
        <v>3103</v>
      </c>
      <c r="K1308" t="s">
        <v>51</v>
      </c>
      <c r="L1308">
        <v>19</v>
      </c>
      <c r="N1308" t="s">
        <v>3108</v>
      </c>
    </row>
    <row r="1309" spans="1:14" x14ac:dyDescent="0.35">
      <c r="A1309" t="s">
        <v>4059</v>
      </c>
      <c r="B1309" t="s">
        <v>4060</v>
      </c>
      <c r="C1309" t="s">
        <v>69</v>
      </c>
      <c r="D1309">
        <v>60.68</v>
      </c>
      <c r="E1309">
        <v>69000</v>
      </c>
      <c r="F1309" t="s">
        <v>64</v>
      </c>
      <c r="G1309" t="s">
        <v>32</v>
      </c>
      <c r="H1309" t="s">
        <v>43</v>
      </c>
      <c r="I1309" t="s">
        <v>44</v>
      </c>
      <c r="J1309" t="s">
        <v>70</v>
      </c>
      <c r="K1309" t="s">
        <v>31</v>
      </c>
      <c r="L1309">
        <v>5</v>
      </c>
      <c r="M1309" t="s">
        <v>3457</v>
      </c>
      <c r="N1309" t="s">
        <v>2718</v>
      </c>
    </row>
    <row r="1310" spans="1:14" x14ac:dyDescent="0.35">
      <c r="A1310" t="s">
        <v>4061</v>
      </c>
      <c r="B1310" t="s">
        <v>4062</v>
      </c>
      <c r="C1310" t="s">
        <v>30</v>
      </c>
      <c r="D1310">
        <v>100.02</v>
      </c>
      <c r="E1310">
        <v>6000</v>
      </c>
      <c r="F1310" t="s">
        <v>236</v>
      </c>
      <c r="G1310" t="s">
        <v>32</v>
      </c>
      <c r="H1310" t="s">
        <v>43</v>
      </c>
      <c r="I1310" t="s">
        <v>34</v>
      </c>
      <c r="J1310" t="s">
        <v>118</v>
      </c>
      <c r="K1310" t="s">
        <v>42</v>
      </c>
      <c r="L1310">
        <v>13</v>
      </c>
      <c r="M1310" t="s">
        <v>4063</v>
      </c>
      <c r="N1310" t="s">
        <v>1607</v>
      </c>
    </row>
    <row r="1311" spans="1:14" x14ac:dyDescent="0.35">
      <c r="A1311" t="s">
        <v>4064</v>
      </c>
      <c r="B1311" t="s">
        <v>4065</v>
      </c>
      <c r="C1311" t="s">
        <v>41</v>
      </c>
      <c r="D1311">
        <v>105.06</v>
      </c>
      <c r="E1311">
        <v>29000</v>
      </c>
      <c r="F1311" t="s">
        <v>123</v>
      </c>
      <c r="G1311" t="s">
        <v>32</v>
      </c>
      <c r="H1311" t="s">
        <v>43</v>
      </c>
      <c r="J1311" t="s">
        <v>45</v>
      </c>
      <c r="K1311" t="s">
        <v>46</v>
      </c>
      <c r="L1311">
        <v>3</v>
      </c>
      <c r="M1311" t="s">
        <v>1672</v>
      </c>
      <c r="N1311" t="s">
        <v>4066</v>
      </c>
    </row>
    <row r="1312" spans="1:14" x14ac:dyDescent="0.35">
      <c r="A1312" t="s">
        <v>4067</v>
      </c>
      <c r="B1312" t="s">
        <v>4068</v>
      </c>
      <c r="C1312" t="s">
        <v>62</v>
      </c>
      <c r="D1312">
        <v>96.42</v>
      </c>
      <c r="E1312">
        <v>4000</v>
      </c>
      <c r="F1312" t="s">
        <v>117</v>
      </c>
      <c r="G1312" t="s">
        <v>32</v>
      </c>
      <c r="H1312" t="s">
        <v>43</v>
      </c>
      <c r="I1312" t="s">
        <v>34</v>
      </c>
      <c r="J1312" t="s">
        <v>316</v>
      </c>
      <c r="K1312" t="s">
        <v>97</v>
      </c>
      <c r="L1312">
        <v>11</v>
      </c>
      <c r="M1312" t="s">
        <v>1209</v>
      </c>
      <c r="N1312" t="s">
        <v>638</v>
      </c>
    </row>
    <row r="1313" spans="1:14" x14ac:dyDescent="0.35">
      <c r="A1313" t="s">
        <v>4069</v>
      </c>
      <c r="B1313" t="s">
        <v>4070</v>
      </c>
      <c r="C1313" t="s">
        <v>116</v>
      </c>
      <c r="D1313">
        <v>11.88</v>
      </c>
      <c r="E1313">
        <v>600</v>
      </c>
      <c r="F1313" t="s">
        <v>117</v>
      </c>
      <c r="G1313" t="s">
        <v>32</v>
      </c>
      <c r="H1313" t="s">
        <v>43</v>
      </c>
      <c r="I1313" t="s">
        <v>44</v>
      </c>
      <c r="J1313" t="s">
        <v>70</v>
      </c>
      <c r="K1313" t="s">
        <v>31</v>
      </c>
      <c r="L1313">
        <v>7</v>
      </c>
      <c r="M1313" t="s">
        <v>559</v>
      </c>
      <c r="N1313" t="s">
        <v>1062</v>
      </c>
    </row>
    <row r="1314" spans="1:14" x14ac:dyDescent="0.35">
      <c r="A1314" t="s">
        <v>4071</v>
      </c>
      <c r="B1314" t="s">
        <v>4072</v>
      </c>
      <c r="C1314" t="s">
        <v>41</v>
      </c>
      <c r="D1314">
        <v>92.97</v>
      </c>
      <c r="E1314">
        <v>28000</v>
      </c>
      <c r="F1314" t="s">
        <v>46</v>
      </c>
      <c r="G1314" t="s">
        <v>32</v>
      </c>
      <c r="H1314" t="s">
        <v>57</v>
      </c>
      <c r="I1314" t="s">
        <v>44</v>
      </c>
      <c r="J1314" t="s">
        <v>45</v>
      </c>
      <c r="K1314" t="s">
        <v>46</v>
      </c>
      <c r="L1314">
        <v>9</v>
      </c>
      <c r="N1314" t="s">
        <v>3201</v>
      </c>
    </row>
    <row r="1315" spans="1:14" x14ac:dyDescent="0.35">
      <c r="A1315" t="s">
        <v>4073</v>
      </c>
      <c r="B1315" t="s">
        <v>4074</v>
      </c>
      <c r="C1315" t="s">
        <v>30</v>
      </c>
      <c r="D1315">
        <v>126.83</v>
      </c>
      <c r="E1315">
        <v>8000</v>
      </c>
      <c r="F1315" t="s">
        <v>147</v>
      </c>
      <c r="G1315" t="s">
        <v>32</v>
      </c>
      <c r="H1315" t="s">
        <v>57</v>
      </c>
      <c r="I1315" t="s">
        <v>44</v>
      </c>
      <c r="J1315" t="s">
        <v>209</v>
      </c>
      <c r="K1315" t="s">
        <v>74</v>
      </c>
      <c r="L1315">
        <v>8</v>
      </c>
      <c r="M1315" t="s">
        <v>782</v>
      </c>
      <c r="N1315" t="s">
        <v>4075</v>
      </c>
    </row>
    <row r="1316" spans="1:14" x14ac:dyDescent="0.35">
      <c r="A1316" t="s">
        <v>4076</v>
      </c>
      <c r="B1316" t="s">
        <v>4077</v>
      </c>
      <c r="C1316" t="s">
        <v>69</v>
      </c>
      <c r="D1316">
        <v>65.319999999999993</v>
      </c>
      <c r="E1316">
        <v>71000</v>
      </c>
      <c r="F1316" t="s">
        <v>117</v>
      </c>
      <c r="G1316" t="s">
        <v>32</v>
      </c>
      <c r="H1316" t="s">
        <v>57</v>
      </c>
      <c r="J1316" t="s">
        <v>112</v>
      </c>
      <c r="K1316" t="s">
        <v>106</v>
      </c>
      <c r="L1316">
        <v>5</v>
      </c>
      <c r="M1316" t="s">
        <v>4078</v>
      </c>
      <c r="N1316" t="s">
        <v>3007</v>
      </c>
    </row>
    <row r="1317" spans="1:14" x14ac:dyDescent="0.35">
      <c r="A1317" t="s">
        <v>4079</v>
      </c>
      <c r="B1317" t="s">
        <v>4080</v>
      </c>
      <c r="C1317" t="s">
        <v>41</v>
      </c>
      <c r="D1317">
        <v>113.68</v>
      </c>
      <c r="E1317">
        <v>38000</v>
      </c>
      <c r="F1317" t="s">
        <v>117</v>
      </c>
      <c r="G1317" t="s">
        <v>102</v>
      </c>
      <c r="H1317" t="s">
        <v>43</v>
      </c>
      <c r="I1317" t="s">
        <v>44</v>
      </c>
      <c r="J1317" t="s">
        <v>124</v>
      </c>
      <c r="K1317" t="s">
        <v>117</v>
      </c>
      <c r="L1317">
        <v>8</v>
      </c>
      <c r="M1317" t="s">
        <v>1058</v>
      </c>
      <c r="N1317" t="s">
        <v>1015</v>
      </c>
    </row>
    <row r="1318" spans="1:14" x14ac:dyDescent="0.35">
      <c r="A1318" t="s">
        <v>4081</v>
      </c>
      <c r="B1318" t="s">
        <v>4082</v>
      </c>
      <c r="C1318" t="s">
        <v>116</v>
      </c>
      <c r="D1318">
        <v>11.5</v>
      </c>
      <c r="E1318">
        <v>300</v>
      </c>
      <c r="F1318" t="s">
        <v>51</v>
      </c>
      <c r="G1318" t="s">
        <v>32</v>
      </c>
      <c r="H1318" t="s">
        <v>43</v>
      </c>
      <c r="J1318" t="s">
        <v>118</v>
      </c>
      <c r="K1318" t="s">
        <v>42</v>
      </c>
      <c r="L1318">
        <v>18</v>
      </c>
      <c r="M1318" t="s">
        <v>434</v>
      </c>
      <c r="N1318" t="s">
        <v>1684</v>
      </c>
    </row>
    <row r="1319" spans="1:14" x14ac:dyDescent="0.35">
      <c r="A1319" t="s">
        <v>4083</v>
      </c>
      <c r="B1319" t="s">
        <v>4084</v>
      </c>
      <c r="C1319" t="s">
        <v>62</v>
      </c>
      <c r="D1319">
        <v>55.31</v>
      </c>
      <c r="E1319">
        <v>3000</v>
      </c>
      <c r="F1319" t="s">
        <v>123</v>
      </c>
      <c r="G1319" t="s">
        <v>32</v>
      </c>
      <c r="H1319" t="s">
        <v>43</v>
      </c>
      <c r="J1319" t="s">
        <v>124</v>
      </c>
      <c r="K1319" t="s">
        <v>117</v>
      </c>
      <c r="L1319">
        <v>10</v>
      </c>
      <c r="N1319" t="s">
        <v>4085</v>
      </c>
    </row>
    <row r="1320" spans="1:14" x14ac:dyDescent="0.35">
      <c r="A1320" t="s">
        <v>4086</v>
      </c>
      <c r="B1320" t="s">
        <v>4087</v>
      </c>
      <c r="C1320" t="s">
        <v>41</v>
      </c>
      <c r="D1320">
        <v>84.54</v>
      </c>
      <c r="E1320">
        <v>15000</v>
      </c>
      <c r="F1320" t="s">
        <v>139</v>
      </c>
      <c r="G1320" t="s">
        <v>32</v>
      </c>
      <c r="H1320" t="s">
        <v>33</v>
      </c>
      <c r="I1320" t="s">
        <v>34</v>
      </c>
      <c r="J1320" t="s">
        <v>3163</v>
      </c>
      <c r="K1320" t="s">
        <v>51</v>
      </c>
      <c r="L1320">
        <v>6</v>
      </c>
      <c r="M1320" t="s">
        <v>885</v>
      </c>
      <c r="N1320" t="s">
        <v>2193</v>
      </c>
    </row>
    <row r="1321" spans="1:14" x14ac:dyDescent="0.35">
      <c r="A1321" t="s">
        <v>4088</v>
      </c>
      <c r="B1321" t="s">
        <v>4089</v>
      </c>
      <c r="C1321" t="s">
        <v>69</v>
      </c>
      <c r="D1321">
        <v>51.36</v>
      </c>
      <c r="E1321">
        <v>23000</v>
      </c>
      <c r="F1321" t="s">
        <v>139</v>
      </c>
      <c r="G1321" t="s">
        <v>32</v>
      </c>
      <c r="H1321" t="s">
        <v>33</v>
      </c>
      <c r="J1321" t="s">
        <v>63</v>
      </c>
      <c r="K1321" t="s">
        <v>64</v>
      </c>
      <c r="L1321">
        <v>5</v>
      </c>
      <c r="M1321" t="s">
        <v>1541</v>
      </c>
      <c r="N1321" t="s">
        <v>4090</v>
      </c>
    </row>
    <row r="1322" spans="1:14" x14ac:dyDescent="0.35">
      <c r="A1322" t="s">
        <v>4091</v>
      </c>
      <c r="B1322" t="s">
        <v>4092</v>
      </c>
      <c r="C1322" t="s">
        <v>81</v>
      </c>
      <c r="D1322">
        <v>97.1</v>
      </c>
      <c r="E1322">
        <v>1000</v>
      </c>
      <c r="F1322" t="s">
        <v>87</v>
      </c>
      <c r="G1322" t="s">
        <v>32</v>
      </c>
      <c r="H1322" t="s">
        <v>43</v>
      </c>
      <c r="I1322" t="s">
        <v>44</v>
      </c>
      <c r="J1322" t="s">
        <v>112</v>
      </c>
      <c r="K1322" t="s">
        <v>106</v>
      </c>
      <c r="L1322">
        <v>19</v>
      </c>
      <c r="M1322" t="s">
        <v>98</v>
      </c>
      <c r="N1322" t="s">
        <v>4093</v>
      </c>
    </row>
    <row r="1323" spans="1:14" x14ac:dyDescent="0.35">
      <c r="A1323" t="s">
        <v>4094</v>
      </c>
      <c r="B1323" t="s">
        <v>4095</v>
      </c>
      <c r="C1323" t="s">
        <v>30</v>
      </c>
      <c r="D1323">
        <v>145.81</v>
      </c>
      <c r="E1323">
        <v>7000</v>
      </c>
      <c r="F1323" t="s">
        <v>87</v>
      </c>
      <c r="G1323" t="s">
        <v>32</v>
      </c>
      <c r="H1323" t="s">
        <v>33</v>
      </c>
      <c r="I1323" t="s">
        <v>44</v>
      </c>
      <c r="J1323" t="s">
        <v>107</v>
      </c>
      <c r="K1323" t="s">
        <v>87</v>
      </c>
      <c r="L1323">
        <v>8</v>
      </c>
      <c r="M1323" t="s">
        <v>2730</v>
      </c>
      <c r="N1323" t="s">
        <v>2615</v>
      </c>
    </row>
    <row r="1324" spans="1:14" x14ac:dyDescent="0.35">
      <c r="A1324" t="s">
        <v>4096</v>
      </c>
      <c r="B1324" t="s">
        <v>4097</v>
      </c>
      <c r="C1324" t="s">
        <v>81</v>
      </c>
      <c r="D1324">
        <v>115.25</v>
      </c>
      <c r="E1324">
        <v>8000</v>
      </c>
      <c r="F1324" t="s">
        <v>76</v>
      </c>
      <c r="G1324" t="s">
        <v>32</v>
      </c>
      <c r="H1324" t="s">
        <v>33</v>
      </c>
      <c r="J1324" t="s">
        <v>75</v>
      </c>
      <c r="K1324" t="s">
        <v>76</v>
      </c>
      <c r="L1324">
        <v>23</v>
      </c>
      <c r="M1324" t="s">
        <v>923</v>
      </c>
      <c r="N1324" t="s">
        <v>968</v>
      </c>
    </row>
    <row r="1325" spans="1:14" x14ac:dyDescent="0.35">
      <c r="A1325" t="s">
        <v>4098</v>
      </c>
      <c r="B1325" t="s">
        <v>4099</v>
      </c>
      <c r="C1325" t="s">
        <v>62</v>
      </c>
      <c r="D1325">
        <v>65.040000000000006</v>
      </c>
      <c r="E1325">
        <v>2000</v>
      </c>
      <c r="F1325" t="s">
        <v>87</v>
      </c>
      <c r="G1325" t="s">
        <v>32</v>
      </c>
      <c r="H1325" t="s">
        <v>43</v>
      </c>
      <c r="I1325" t="s">
        <v>34</v>
      </c>
      <c r="J1325" t="s">
        <v>830</v>
      </c>
      <c r="K1325" t="s">
        <v>51</v>
      </c>
      <c r="L1325">
        <v>15</v>
      </c>
      <c r="M1325" t="s">
        <v>4100</v>
      </c>
      <c r="N1325" t="s">
        <v>1673</v>
      </c>
    </row>
    <row r="1326" spans="1:14" x14ac:dyDescent="0.35">
      <c r="A1326" t="s">
        <v>4101</v>
      </c>
      <c r="B1326" t="s">
        <v>4102</v>
      </c>
      <c r="C1326" t="s">
        <v>30</v>
      </c>
      <c r="D1326">
        <v>182.69</v>
      </c>
      <c r="E1326">
        <v>7000</v>
      </c>
      <c r="F1326" t="s">
        <v>74</v>
      </c>
      <c r="G1326" t="s">
        <v>102</v>
      </c>
      <c r="H1326" t="s">
        <v>43</v>
      </c>
      <c r="J1326" t="s">
        <v>209</v>
      </c>
      <c r="K1326" t="s">
        <v>74</v>
      </c>
      <c r="L1326">
        <v>1</v>
      </c>
      <c r="M1326" t="s">
        <v>47</v>
      </c>
      <c r="N1326" t="s">
        <v>1915</v>
      </c>
    </row>
    <row r="1327" spans="1:14" x14ac:dyDescent="0.35">
      <c r="A1327" t="s">
        <v>4103</v>
      </c>
      <c r="B1327" t="s">
        <v>4104</v>
      </c>
      <c r="C1327" t="s">
        <v>69</v>
      </c>
      <c r="D1327">
        <v>96.82</v>
      </c>
      <c r="E1327">
        <v>72000</v>
      </c>
      <c r="F1327" t="s">
        <v>42</v>
      </c>
      <c r="G1327" t="s">
        <v>32</v>
      </c>
      <c r="H1327" t="s">
        <v>33</v>
      </c>
      <c r="J1327" t="s">
        <v>235</v>
      </c>
      <c r="K1327" t="s">
        <v>236</v>
      </c>
      <c r="L1327">
        <v>5</v>
      </c>
      <c r="M1327" t="s">
        <v>1014</v>
      </c>
      <c r="N1327" t="s">
        <v>4105</v>
      </c>
    </row>
    <row r="1328" spans="1:14" x14ac:dyDescent="0.35">
      <c r="A1328" t="s">
        <v>4106</v>
      </c>
      <c r="B1328" t="s">
        <v>4107</v>
      </c>
      <c r="C1328" t="s">
        <v>116</v>
      </c>
      <c r="D1328">
        <v>6</v>
      </c>
      <c r="E1328">
        <v>600</v>
      </c>
      <c r="F1328" t="s">
        <v>31</v>
      </c>
      <c r="G1328" t="s">
        <v>32</v>
      </c>
      <c r="H1328" t="s">
        <v>33</v>
      </c>
      <c r="I1328" t="s">
        <v>44</v>
      </c>
      <c r="J1328" t="s">
        <v>235</v>
      </c>
      <c r="K1328" t="s">
        <v>236</v>
      </c>
      <c r="L1328">
        <v>12</v>
      </c>
      <c r="N1328" t="s">
        <v>4108</v>
      </c>
    </row>
    <row r="1329" spans="1:14" x14ac:dyDescent="0.35">
      <c r="A1329" t="s">
        <v>4109</v>
      </c>
      <c r="B1329" t="s">
        <v>4110</v>
      </c>
      <c r="C1329" t="s">
        <v>62</v>
      </c>
      <c r="D1329">
        <v>53.33</v>
      </c>
      <c r="E1329">
        <v>3000</v>
      </c>
      <c r="F1329" t="s">
        <v>97</v>
      </c>
      <c r="G1329" t="s">
        <v>32</v>
      </c>
      <c r="H1329" t="s">
        <v>43</v>
      </c>
      <c r="I1329" t="s">
        <v>34</v>
      </c>
      <c r="J1329" t="s">
        <v>2924</v>
      </c>
      <c r="K1329" t="s">
        <v>51</v>
      </c>
      <c r="L1329">
        <v>9</v>
      </c>
      <c r="M1329" t="s">
        <v>407</v>
      </c>
      <c r="N1329" t="s">
        <v>4111</v>
      </c>
    </row>
    <row r="1330" spans="1:14" x14ac:dyDescent="0.35">
      <c r="A1330" t="s">
        <v>4112</v>
      </c>
      <c r="B1330" t="s">
        <v>4113</v>
      </c>
      <c r="C1330" t="s">
        <v>81</v>
      </c>
      <c r="D1330">
        <v>95.96</v>
      </c>
      <c r="E1330">
        <v>10000</v>
      </c>
      <c r="F1330" t="s">
        <v>106</v>
      </c>
      <c r="G1330" t="s">
        <v>32</v>
      </c>
      <c r="H1330" t="s">
        <v>33</v>
      </c>
      <c r="I1330" t="s">
        <v>34</v>
      </c>
      <c r="J1330" t="s">
        <v>4114</v>
      </c>
      <c r="K1330" t="s">
        <v>139</v>
      </c>
      <c r="L1330">
        <v>14</v>
      </c>
      <c r="M1330" t="s">
        <v>4115</v>
      </c>
      <c r="N1330" t="s">
        <v>2460</v>
      </c>
    </row>
    <row r="1331" spans="1:14" x14ac:dyDescent="0.35">
      <c r="A1331" t="s">
        <v>4116</v>
      </c>
      <c r="B1331" t="s">
        <v>4117</v>
      </c>
      <c r="C1331" t="s">
        <v>41</v>
      </c>
      <c r="D1331">
        <v>156.78</v>
      </c>
      <c r="E1331">
        <v>14000</v>
      </c>
      <c r="F1331" t="s">
        <v>147</v>
      </c>
      <c r="G1331" t="s">
        <v>32</v>
      </c>
      <c r="H1331" t="s">
        <v>43</v>
      </c>
      <c r="J1331" t="s">
        <v>63</v>
      </c>
      <c r="K1331" t="s">
        <v>64</v>
      </c>
      <c r="L1331">
        <v>16</v>
      </c>
      <c r="M1331" t="s">
        <v>1733</v>
      </c>
      <c r="N1331" t="s">
        <v>1787</v>
      </c>
    </row>
    <row r="1332" spans="1:14" x14ac:dyDescent="0.35">
      <c r="A1332" t="s">
        <v>4118</v>
      </c>
      <c r="B1332" t="s">
        <v>4119</v>
      </c>
      <c r="C1332" t="s">
        <v>62</v>
      </c>
      <c r="D1332">
        <v>89.14</v>
      </c>
      <c r="E1332">
        <v>4000</v>
      </c>
      <c r="F1332" t="s">
        <v>74</v>
      </c>
      <c r="G1332" t="s">
        <v>32</v>
      </c>
      <c r="H1332" t="s">
        <v>33</v>
      </c>
      <c r="I1332" t="s">
        <v>34</v>
      </c>
      <c r="J1332" t="s">
        <v>4120</v>
      </c>
      <c r="K1332" t="s">
        <v>139</v>
      </c>
      <c r="L1332">
        <v>7</v>
      </c>
      <c r="N1332" t="s">
        <v>135</v>
      </c>
    </row>
    <row r="1333" spans="1:14" x14ac:dyDescent="0.35">
      <c r="A1333" t="s">
        <v>4121</v>
      </c>
      <c r="B1333" t="s">
        <v>4122</v>
      </c>
      <c r="C1333" t="s">
        <v>41</v>
      </c>
      <c r="D1333">
        <v>94.49</v>
      </c>
      <c r="E1333">
        <v>34000</v>
      </c>
      <c r="F1333" t="s">
        <v>236</v>
      </c>
      <c r="G1333" t="s">
        <v>32</v>
      </c>
      <c r="H1333" t="s">
        <v>57</v>
      </c>
      <c r="I1333" t="s">
        <v>44</v>
      </c>
      <c r="J1333" t="s">
        <v>1531</v>
      </c>
      <c r="K1333" t="s">
        <v>42</v>
      </c>
      <c r="L1333">
        <v>16</v>
      </c>
      <c r="M1333" t="s">
        <v>2967</v>
      </c>
      <c r="N1333" t="s">
        <v>1999</v>
      </c>
    </row>
    <row r="1334" spans="1:14" x14ac:dyDescent="0.35">
      <c r="A1334" t="s">
        <v>4123</v>
      </c>
      <c r="B1334" t="s">
        <v>4124</v>
      </c>
      <c r="C1334" t="s">
        <v>81</v>
      </c>
      <c r="D1334">
        <v>86.1</v>
      </c>
      <c r="E1334">
        <v>8000</v>
      </c>
      <c r="F1334" t="s">
        <v>42</v>
      </c>
      <c r="G1334" t="s">
        <v>32</v>
      </c>
      <c r="H1334" t="s">
        <v>33</v>
      </c>
      <c r="I1334" t="s">
        <v>34</v>
      </c>
      <c r="J1334" t="s">
        <v>118</v>
      </c>
      <c r="K1334" t="s">
        <v>42</v>
      </c>
      <c r="L1334">
        <v>15</v>
      </c>
      <c r="M1334" t="s">
        <v>83</v>
      </c>
      <c r="N1334" t="s">
        <v>827</v>
      </c>
    </row>
    <row r="1335" spans="1:14" x14ac:dyDescent="0.35">
      <c r="A1335" t="s">
        <v>4125</v>
      </c>
      <c r="B1335" t="s">
        <v>4126</v>
      </c>
      <c r="C1335" t="s">
        <v>116</v>
      </c>
      <c r="D1335">
        <v>6.59</v>
      </c>
      <c r="E1335">
        <v>200</v>
      </c>
      <c r="F1335" t="s">
        <v>76</v>
      </c>
      <c r="G1335" t="s">
        <v>32</v>
      </c>
      <c r="H1335" t="s">
        <v>33</v>
      </c>
      <c r="I1335" t="s">
        <v>129</v>
      </c>
      <c r="J1335" t="s">
        <v>107</v>
      </c>
      <c r="K1335" t="s">
        <v>87</v>
      </c>
      <c r="L1335">
        <v>11</v>
      </c>
      <c r="M1335" t="s">
        <v>1776</v>
      </c>
      <c r="N1335" t="s">
        <v>4127</v>
      </c>
    </row>
    <row r="1336" spans="1:14" x14ac:dyDescent="0.35">
      <c r="A1336" t="s">
        <v>4128</v>
      </c>
      <c r="B1336" t="s">
        <v>4129</v>
      </c>
      <c r="C1336" t="s">
        <v>81</v>
      </c>
      <c r="D1336">
        <v>100.91</v>
      </c>
      <c r="E1336">
        <v>4000</v>
      </c>
      <c r="F1336" t="s">
        <v>87</v>
      </c>
      <c r="G1336" t="s">
        <v>32</v>
      </c>
      <c r="H1336" t="s">
        <v>57</v>
      </c>
      <c r="I1336" t="s">
        <v>44</v>
      </c>
      <c r="J1336" t="s">
        <v>112</v>
      </c>
      <c r="K1336" t="s">
        <v>106</v>
      </c>
      <c r="L1336">
        <v>1</v>
      </c>
      <c r="M1336" t="s">
        <v>1798</v>
      </c>
      <c r="N1336" t="s">
        <v>1594</v>
      </c>
    </row>
    <row r="1337" spans="1:14" x14ac:dyDescent="0.35">
      <c r="A1337" t="s">
        <v>4130</v>
      </c>
      <c r="B1337" t="s">
        <v>4131</v>
      </c>
      <c r="C1337" t="s">
        <v>116</v>
      </c>
      <c r="D1337">
        <v>10</v>
      </c>
      <c r="E1337">
        <v>600</v>
      </c>
      <c r="F1337" t="s">
        <v>51</v>
      </c>
      <c r="G1337" t="s">
        <v>32</v>
      </c>
      <c r="H1337" t="s">
        <v>33</v>
      </c>
      <c r="I1337" t="s">
        <v>44</v>
      </c>
      <c r="J1337" t="s">
        <v>45</v>
      </c>
      <c r="K1337" t="s">
        <v>46</v>
      </c>
      <c r="L1337">
        <v>13</v>
      </c>
      <c r="M1337" t="s">
        <v>4132</v>
      </c>
      <c r="N1337" t="s">
        <v>4133</v>
      </c>
    </row>
    <row r="1338" spans="1:14" x14ac:dyDescent="0.35">
      <c r="A1338" t="s">
        <v>4134</v>
      </c>
      <c r="B1338" t="s">
        <v>4135</v>
      </c>
      <c r="C1338" t="s">
        <v>81</v>
      </c>
      <c r="D1338">
        <v>105.23</v>
      </c>
      <c r="E1338">
        <v>2000</v>
      </c>
      <c r="F1338" t="s">
        <v>46</v>
      </c>
      <c r="G1338" t="s">
        <v>32</v>
      </c>
      <c r="H1338" t="s">
        <v>43</v>
      </c>
      <c r="I1338" t="s">
        <v>129</v>
      </c>
      <c r="J1338" t="s">
        <v>209</v>
      </c>
      <c r="K1338" t="s">
        <v>74</v>
      </c>
      <c r="L1338">
        <v>9</v>
      </c>
      <c r="M1338" t="s">
        <v>1368</v>
      </c>
      <c r="N1338" t="s">
        <v>3181</v>
      </c>
    </row>
    <row r="1339" spans="1:14" x14ac:dyDescent="0.35">
      <c r="A1339" t="s">
        <v>4136</v>
      </c>
      <c r="B1339" t="s">
        <v>4137</v>
      </c>
      <c r="C1339" t="s">
        <v>62</v>
      </c>
      <c r="D1339">
        <v>82.27</v>
      </c>
      <c r="E1339">
        <v>3000</v>
      </c>
      <c r="F1339" t="s">
        <v>236</v>
      </c>
      <c r="G1339" t="s">
        <v>32</v>
      </c>
      <c r="H1339" t="s">
        <v>33</v>
      </c>
      <c r="J1339" t="s">
        <v>235</v>
      </c>
      <c r="K1339" t="s">
        <v>236</v>
      </c>
      <c r="L1339">
        <v>0</v>
      </c>
      <c r="N1339" t="s">
        <v>2470</v>
      </c>
    </row>
    <row r="1340" spans="1:14" x14ac:dyDescent="0.35">
      <c r="A1340" t="s">
        <v>4138</v>
      </c>
      <c r="B1340" t="s">
        <v>4139</v>
      </c>
      <c r="C1340" t="s">
        <v>41</v>
      </c>
      <c r="D1340">
        <v>143.56</v>
      </c>
      <c r="E1340">
        <v>32000</v>
      </c>
      <c r="F1340" t="s">
        <v>31</v>
      </c>
      <c r="G1340" t="s">
        <v>32</v>
      </c>
      <c r="H1340" t="s">
        <v>57</v>
      </c>
      <c r="I1340" t="s">
        <v>34</v>
      </c>
      <c r="J1340" t="s">
        <v>130</v>
      </c>
      <c r="K1340" t="s">
        <v>123</v>
      </c>
      <c r="L1340">
        <v>16</v>
      </c>
      <c r="M1340" t="s">
        <v>1593</v>
      </c>
      <c r="N1340" t="s">
        <v>4140</v>
      </c>
    </row>
    <row r="1341" spans="1:14" x14ac:dyDescent="0.35">
      <c r="A1341" t="s">
        <v>4141</v>
      </c>
      <c r="B1341" t="s">
        <v>4142</v>
      </c>
      <c r="C1341" t="s">
        <v>41</v>
      </c>
      <c r="D1341">
        <v>141.47999999999999</v>
      </c>
      <c r="E1341">
        <v>26000</v>
      </c>
      <c r="F1341" t="s">
        <v>139</v>
      </c>
      <c r="G1341" t="s">
        <v>32</v>
      </c>
      <c r="H1341" t="s">
        <v>43</v>
      </c>
      <c r="I1341" t="s">
        <v>44</v>
      </c>
      <c r="J1341" t="s">
        <v>4143</v>
      </c>
      <c r="K1341" t="s">
        <v>139</v>
      </c>
      <c r="L1341">
        <v>13</v>
      </c>
      <c r="M1341" t="s">
        <v>1579</v>
      </c>
      <c r="N1341" t="s">
        <v>4144</v>
      </c>
    </row>
    <row r="1342" spans="1:14" x14ac:dyDescent="0.35">
      <c r="A1342" t="s">
        <v>4145</v>
      </c>
      <c r="B1342" t="s">
        <v>4146</v>
      </c>
      <c r="C1342" t="s">
        <v>69</v>
      </c>
      <c r="D1342">
        <v>77.37</v>
      </c>
      <c r="E1342">
        <v>20000</v>
      </c>
      <c r="F1342" t="s">
        <v>147</v>
      </c>
      <c r="G1342" t="s">
        <v>32</v>
      </c>
      <c r="H1342" t="s">
        <v>43</v>
      </c>
      <c r="I1342" t="s">
        <v>44</v>
      </c>
      <c r="J1342" t="s">
        <v>35</v>
      </c>
      <c r="K1342" t="s">
        <v>36</v>
      </c>
      <c r="L1342">
        <v>2</v>
      </c>
      <c r="N1342" t="s">
        <v>1583</v>
      </c>
    </row>
    <row r="1343" spans="1:14" x14ac:dyDescent="0.35">
      <c r="A1343" t="s">
        <v>4147</v>
      </c>
      <c r="B1343" t="s">
        <v>4148</v>
      </c>
      <c r="C1343" t="s">
        <v>62</v>
      </c>
      <c r="D1343">
        <v>59.27</v>
      </c>
      <c r="E1343">
        <v>4000</v>
      </c>
      <c r="F1343" t="s">
        <v>106</v>
      </c>
      <c r="G1343" t="s">
        <v>32</v>
      </c>
      <c r="H1343" t="s">
        <v>43</v>
      </c>
      <c r="I1343" t="s">
        <v>34</v>
      </c>
      <c r="J1343" t="s">
        <v>130</v>
      </c>
      <c r="K1343" t="s">
        <v>123</v>
      </c>
      <c r="L1343">
        <v>12</v>
      </c>
      <c r="N1343" t="s">
        <v>4149</v>
      </c>
    </row>
    <row r="1344" spans="1:14" x14ac:dyDescent="0.35">
      <c r="A1344" t="s">
        <v>4150</v>
      </c>
      <c r="B1344" t="s">
        <v>4151</v>
      </c>
      <c r="C1344" t="s">
        <v>116</v>
      </c>
      <c r="D1344">
        <v>10.74</v>
      </c>
      <c r="E1344">
        <v>100</v>
      </c>
      <c r="F1344" t="s">
        <v>147</v>
      </c>
      <c r="G1344" t="s">
        <v>32</v>
      </c>
      <c r="H1344" t="s">
        <v>33</v>
      </c>
      <c r="I1344" t="s">
        <v>44</v>
      </c>
      <c r="J1344" t="s">
        <v>830</v>
      </c>
      <c r="K1344" t="s">
        <v>51</v>
      </c>
      <c r="L1344">
        <v>21</v>
      </c>
      <c r="N1344" t="s">
        <v>280</v>
      </c>
    </row>
    <row r="1345" spans="1:14" x14ac:dyDescent="0.35">
      <c r="A1345" t="s">
        <v>4152</v>
      </c>
      <c r="B1345" t="s">
        <v>4153</v>
      </c>
      <c r="C1345" t="s">
        <v>30</v>
      </c>
      <c r="D1345">
        <v>194.54</v>
      </c>
      <c r="E1345">
        <v>13000</v>
      </c>
      <c r="F1345" t="s">
        <v>31</v>
      </c>
      <c r="G1345" t="s">
        <v>102</v>
      </c>
      <c r="H1345" t="s">
        <v>33</v>
      </c>
      <c r="I1345" t="s">
        <v>44</v>
      </c>
      <c r="J1345" t="s">
        <v>107</v>
      </c>
      <c r="K1345" t="s">
        <v>87</v>
      </c>
      <c r="L1345">
        <v>23</v>
      </c>
      <c r="M1345" t="s">
        <v>1695</v>
      </c>
      <c r="N1345" t="s">
        <v>415</v>
      </c>
    </row>
    <row r="1346" spans="1:14" x14ac:dyDescent="0.35">
      <c r="A1346" t="s">
        <v>4154</v>
      </c>
      <c r="B1346" t="s">
        <v>4155</v>
      </c>
      <c r="C1346" t="s">
        <v>116</v>
      </c>
      <c r="D1346">
        <v>7.48</v>
      </c>
      <c r="E1346">
        <v>200</v>
      </c>
      <c r="F1346" t="s">
        <v>46</v>
      </c>
      <c r="G1346" t="s">
        <v>32</v>
      </c>
      <c r="H1346" t="s">
        <v>43</v>
      </c>
      <c r="J1346" t="s">
        <v>112</v>
      </c>
      <c r="K1346" t="s">
        <v>106</v>
      </c>
      <c r="L1346">
        <v>15</v>
      </c>
      <c r="M1346" t="s">
        <v>4078</v>
      </c>
      <c r="N1346" t="s">
        <v>1384</v>
      </c>
    </row>
    <row r="1347" spans="1:14" x14ac:dyDescent="0.35">
      <c r="A1347" t="s">
        <v>4156</v>
      </c>
      <c r="B1347" t="s">
        <v>4157</v>
      </c>
      <c r="C1347" t="s">
        <v>69</v>
      </c>
      <c r="D1347">
        <v>64.75</v>
      </c>
      <c r="E1347">
        <v>82000</v>
      </c>
      <c r="F1347" t="s">
        <v>31</v>
      </c>
      <c r="G1347" t="s">
        <v>32</v>
      </c>
      <c r="H1347" t="s">
        <v>33</v>
      </c>
      <c r="I1347" t="s">
        <v>44</v>
      </c>
      <c r="J1347" t="s">
        <v>589</v>
      </c>
      <c r="K1347" t="s">
        <v>147</v>
      </c>
      <c r="L1347">
        <v>16</v>
      </c>
      <c r="M1347" t="s">
        <v>1336</v>
      </c>
      <c r="N1347" t="s">
        <v>4158</v>
      </c>
    </row>
    <row r="1348" spans="1:14" x14ac:dyDescent="0.35">
      <c r="A1348" t="s">
        <v>4159</v>
      </c>
      <c r="B1348" t="s">
        <v>4160</v>
      </c>
      <c r="C1348" t="s">
        <v>41</v>
      </c>
      <c r="D1348">
        <v>127.14</v>
      </c>
      <c r="E1348">
        <v>34000</v>
      </c>
      <c r="F1348" t="s">
        <v>97</v>
      </c>
      <c r="G1348" t="s">
        <v>32</v>
      </c>
      <c r="H1348" t="s">
        <v>33</v>
      </c>
      <c r="J1348" t="s">
        <v>63</v>
      </c>
      <c r="K1348" t="s">
        <v>64</v>
      </c>
      <c r="L1348">
        <v>6</v>
      </c>
      <c r="M1348" t="s">
        <v>1649</v>
      </c>
      <c r="N1348" t="s">
        <v>625</v>
      </c>
    </row>
    <row r="1349" spans="1:14" x14ac:dyDescent="0.35">
      <c r="A1349" t="s">
        <v>4161</v>
      </c>
      <c r="B1349" t="s">
        <v>4162</v>
      </c>
      <c r="C1349" t="s">
        <v>41</v>
      </c>
      <c r="D1349">
        <v>136.21</v>
      </c>
      <c r="E1349">
        <v>28000</v>
      </c>
      <c r="F1349" t="s">
        <v>123</v>
      </c>
      <c r="G1349" t="s">
        <v>32</v>
      </c>
      <c r="H1349" t="s">
        <v>33</v>
      </c>
      <c r="I1349" t="s">
        <v>44</v>
      </c>
      <c r="J1349" t="s">
        <v>334</v>
      </c>
      <c r="K1349" t="s">
        <v>51</v>
      </c>
      <c r="L1349">
        <v>9</v>
      </c>
      <c r="M1349" t="s">
        <v>462</v>
      </c>
      <c r="N1349" t="s">
        <v>4163</v>
      </c>
    </row>
    <row r="1350" spans="1:14" x14ac:dyDescent="0.35">
      <c r="A1350" t="s">
        <v>4164</v>
      </c>
      <c r="B1350" t="s">
        <v>4165</v>
      </c>
      <c r="C1350" t="s">
        <v>69</v>
      </c>
      <c r="D1350">
        <v>66.12</v>
      </c>
      <c r="E1350">
        <v>57000</v>
      </c>
      <c r="F1350" t="s">
        <v>46</v>
      </c>
      <c r="G1350" t="s">
        <v>32</v>
      </c>
      <c r="H1350" t="s">
        <v>43</v>
      </c>
      <c r="I1350" t="s">
        <v>34</v>
      </c>
      <c r="J1350" t="s">
        <v>118</v>
      </c>
      <c r="K1350" t="s">
        <v>42</v>
      </c>
      <c r="L1350">
        <v>6</v>
      </c>
      <c r="N1350" t="s">
        <v>4166</v>
      </c>
    </row>
    <row r="1351" spans="1:14" x14ac:dyDescent="0.35">
      <c r="A1351" t="s">
        <v>4167</v>
      </c>
      <c r="B1351" t="s">
        <v>4168</v>
      </c>
      <c r="C1351" t="s">
        <v>81</v>
      </c>
      <c r="D1351">
        <v>130.66999999999999</v>
      </c>
      <c r="E1351">
        <v>8000</v>
      </c>
      <c r="F1351" t="s">
        <v>42</v>
      </c>
      <c r="G1351" t="s">
        <v>32</v>
      </c>
      <c r="H1351" t="s">
        <v>57</v>
      </c>
      <c r="I1351" t="s">
        <v>44</v>
      </c>
      <c r="J1351" t="s">
        <v>1071</v>
      </c>
      <c r="K1351" t="s">
        <v>236</v>
      </c>
      <c r="L1351">
        <v>14</v>
      </c>
      <c r="M1351" t="s">
        <v>1136</v>
      </c>
      <c r="N1351" t="s">
        <v>4169</v>
      </c>
    </row>
    <row r="1352" spans="1:14" x14ac:dyDescent="0.35">
      <c r="A1352" t="s">
        <v>4170</v>
      </c>
      <c r="B1352" t="s">
        <v>4171</v>
      </c>
      <c r="C1352" t="s">
        <v>81</v>
      </c>
      <c r="D1352">
        <v>101.88</v>
      </c>
      <c r="E1352">
        <v>4000</v>
      </c>
      <c r="F1352" t="s">
        <v>76</v>
      </c>
      <c r="G1352" t="s">
        <v>32</v>
      </c>
      <c r="H1352" t="s">
        <v>33</v>
      </c>
      <c r="I1352" t="s">
        <v>44</v>
      </c>
      <c r="J1352" t="s">
        <v>118</v>
      </c>
      <c r="K1352" t="s">
        <v>42</v>
      </c>
      <c r="L1352">
        <v>4</v>
      </c>
      <c r="M1352" t="s">
        <v>1798</v>
      </c>
      <c r="N1352" t="s">
        <v>868</v>
      </c>
    </row>
    <row r="1353" spans="1:14" x14ac:dyDescent="0.35">
      <c r="A1353" t="s">
        <v>4172</v>
      </c>
      <c r="B1353" t="s">
        <v>4173</v>
      </c>
      <c r="C1353" t="s">
        <v>116</v>
      </c>
      <c r="D1353">
        <v>7.08</v>
      </c>
      <c r="E1353">
        <v>700</v>
      </c>
      <c r="F1353" t="s">
        <v>123</v>
      </c>
      <c r="G1353" t="s">
        <v>32</v>
      </c>
      <c r="H1353" t="s">
        <v>57</v>
      </c>
      <c r="J1353" t="s">
        <v>63</v>
      </c>
      <c r="K1353" t="s">
        <v>64</v>
      </c>
      <c r="L1353">
        <v>12</v>
      </c>
      <c r="M1353" t="s">
        <v>335</v>
      </c>
      <c r="N1353" t="s">
        <v>1025</v>
      </c>
    </row>
    <row r="1354" spans="1:14" x14ac:dyDescent="0.35">
      <c r="A1354" t="s">
        <v>4174</v>
      </c>
      <c r="B1354" t="s">
        <v>4175</v>
      </c>
      <c r="C1354" t="s">
        <v>69</v>
      </c>
      <c r="D1354">
        <v>50.53</v>
      </c>
      <c r="E1354">
        <v>91000</v>
      </c>
      <c r="F1354" t="s">
        <v>123</v>
      </c>
      <c r="G1354" t="s">
        <v>32</v>
      </c>
      <c r="H1354" t="s">
        <v>57</v>
      </c>
      <c r="J1354" t="s">
        <v>1468</v>
      </c>
      <c r="K1354" t="s">
        <v>147</v>
      </c>
      <c r="L1354">
        <v>23</v>
      </c>
      <c r="M1354" t="s">
        <v>4008</v>
      </c>
      <c r="N1354" t="s">
        <v>3393</v>
      </c>
    </row>
    <row r="1355" spans="1:14" x14ac:dyDescent="0.35">
      <c r="A1355" t="s">
        <v>4176</v>
      </c>
      <c r="B1355" t="s">
        <v>4177</v>
      </c>
      <c r="C1355" t="s">
        <v>81</v>
      </c>
      <c r="D1355">
        <v>106.99</v>
      </c>
      <c r="E1355">
        <v>7000</v>
      </c>
      <c r="F1355" t="s">
        <v>123</v>
      </c>
      <c r="G1355" t="s">
        <v>32</v>
      </c>
      <c r="H1355" t="s">
        <v>33</v>
      </c>
      <c r="J1355" t="s">
        <v>70</v>
      </c>
      <c r="K1355" t="s">
        <v>31</v>
      </c>
      <c r="L1355">
        <v>17</v>
      </c>
      <c r="N1355" t="s">
        <v>298</v>
      </c>
    </row>
    <row r="1356" spans="1:14" x14ac:dyDescent="0.35">
      <c r="A1356" t="s">
        <v>4178</v>
      </c>
      <c r="B1356" t="s">
        <v>4179</v>
      </c>
      <c r="C1356" t="s">
        <v>116</v>
      </c>
      <c r="D1356">
        <v>6.71</v>
      </c>
      <c r="E1356">
        <v>100</v>
      </c>
      <c r="F1356" t="s">
        <v>46</v>
      </c>
      <c r="G1356" t="s">
        <v>32</v>
      </c>
      <c r="H1356" t="s">
        <v>43</v>
      </c>
      <c r="I1356" t="s">
        <v>34</v>
      </c>
      <c r="J1356" t="s">
        <v>235</v>
      </c>
      <c r="K1356" t="s">
        <v>236</v>
      </c>
      <c r="L1356">
        <v>12</v>
      </c>
      <c r="M1356" t="s">
        <v>3175</v>
      </c>
      <c r="N1356" t="s">
        <v>2102</v>
      </c>
    </row>
    <row r="1357" spans="1:14" x14ac:dyDescent="0.35">
      <c r="A1357" t="s">
        <v>4180</v>
      </c>
      <c r="B1357" t="s">
        <v>4181</v>
      </c>
      <c r="C1357" t="s">
        <v>41</v>
      </c>
      <c r="D1357">
        <v>143.57</v>
      </c>
      <c r="E1357">
        <v>18000</v>
      </c>
      <c r="F1357" t="s">
        <v>51</v>
      </c>
      <c r="G1357" t="s">
        <v>32</v>
      </c>
      <c r="H1357" t="s">
        <v>33</v>
      </c>
      <c r="I1357" t="s">
        <v>44</v>
      </c>
      <c r="J1357" t="s">
        <v>118</v>
      </c>
      <c r="K1357" t="s">
        <v>42</v>
      </c>
      <c r="L1357">
        <v>6</v>
      </c>
      <c r="N1357" t="s">
        <v>4182</v>
      </c>
    </row>
    <row r="1358" spans="1:14" x14ac:dyDescent="0.35">
      <c r="A1358" t="s">
        <v>4183</v>
      </c>
      <c r="B1358" t="s">
        <v>4184</v>
      </c>
      <c r="C1358" t="s">
        <v>41</v>
      </c>
      <c r="D1358">
        <v>152.44999999999999</v>
      </c>
      <c r="E1358">
        <v>16000</v>
      </c>
      <c r="F1358" t="s">
        <v>117</v>
      </c>
      <c r="G1358" t="s">
        <v>32</v>
      </c>
      <c r="H1358" t="s">
        <v>43</v>
      </c>
      <c r="I1358" t="s">
        <v>34</v>
      </c>
      <c r="J1358" t="s">
        <v>334</v>
      </c>
      <c r="K1358" t="s">
        <v>51</v>
      </c>
      <c r="L1358">
        <v>4</v>
      </c>
      <c r="M1358" t="s">
        <v>184</v>
      </c>
      <c r="N1358" t="s">
        <v>4185</v>
      </c>
    </row>
    <row r="1359" spans="1:14" x14ac:dyDescent="0.35">
      <c r="A1359" t="s">
        <v>4186</v>
      </c>
      <c r="B1359" t="s">
        <v>4187</v>
      </c>
      <c r="C1359" t="s">
        <v>81</v>
      </c>
      <c r="D1359">
        <v>136.29</v>
      </c>
      <c r="E1359">
        <v>7000</v>
      </c>
      <c r="F1359" t="s">
        <v>139</v>
      </c>
      <c r="G1359" t="s">
        <v>32</v>
      </c>
      <c r="H1359" t="s">
        <v>43</v>
      </c>
      <c r="I1359" t="s">
        <v>44</v>
      </c>
      <c r="J1359" t="s">
        <v>4188</v>
      </c>
      <c r="K1359" t="s">
        <v>139</v>
      </c>
      <c r="L1359">
        <v>22</v>
      </c>
      <c r="M1359" t="s">
        <v>658</v>
      </c>
      <c r="N1359" t="s">
        <v>4189</v>
      </c>
    </row>
    <row r="1360" spans="1:14" x14ac:dyDescent="0.35">
      <c r="A1360" t="s">
        <v>4190</v>
      </c>
      <c r="B1360" t="s">
        <v>4191</v>
      </c>
      <c r="C1360" t="s">
        <v>81</v>
      </c>
      <c r="D1360">
        <v>115.5</v>
      </c>
      <c r="E1360">
        <v>2000</v>
      </c>
      <c r="F1360" t="s">
        <v>76</v>
      </c>
      <c r="G1360" t="s">
        <v>32</v>
      </c>
      <c r="H1360" t="s">
        <v>57</v>
      </c>
      <c r="I1360" t="s">
        <v>34</v>
      </c>
      <c r="J1360" t="s">
        <v>334</v>
      </c>
      <c r="K1360" t="s">
        <v>51</v>
      </c>
      <c r="L1360">
        <v>23</v>
      </c>
      <c r="M1360" t="s">
        <v>4192</v>
      </c>
      <c r="N1360" t="s">
        <v>4193</v>
      </c>
    </row>
    <row r="1361" spans="1:14" x14ac:dyDescent="0.35">
      <c r="A1361" t="s">
        <v>4194</v>
      </c>
      <c r="B1361" t="s">
        <v>4195</v>
      </c>
      <c r="C1361" t="s">
        <v>81</v>
      </c>
      <c r="D1361">
        <v>77.23</v>
      </c>
      <c r="E1361">
        <v>7000</v>
      </c>
      <c r="F1361" t="s">
        <v>31</v>
      </c>
      <c r="G1361" t="s">
        <v>32</v>
      </c>
      <c r="H1361" t="s">
        <v>43</v>
      </c>
      <c r="I1361" t="s">
        <v>34</v>
      </c>
      <c r="J1361" t="s">
        <v>2775</v>
      </c>
      <c r="K1361" t="s">
        <v>64</v>
      </c>
      <c r="L1361">
        <v>23</v>
      </c>
      <c r="M1361" t="s">
        <v>704</v>
      </c>
      <c r="N1361" t="s">
        <v>3176</v>
      </c>
    </row>
    <row r="1362" spans="1:14" x14ac:dyDescent="0.35">
      <c r="A1362" t="s">
        <v>4196</v>
      </c>
      <c r="B1362" t="s">
        <v>4197</v>
      </c>
      <c r="C1362" t="s">
        <v>30</v>
      </c>
      <c r="D1362">
        <v>108.5</v>
      </c>
      <c r="E1362">
        <v>4000</v>
      </c>
      <c r="F1362" t="s">
        <v>97</v>
      </c>
      <c r="G1362" t="s">
        <v>32</v>
      </c>
      <c r="H1362" t="s">
        <v>33</v>
      </c>
      <c r="I1362" t="s">
        <v>129</v>
      </c>
      <c r="J1362" t="s">
        <v>334</v>
      </c>
      <c r="K1362" t="s">
        <v>51</v>
      </c>
      <c r="L1362">
        <v>13</v>
      </c>
      <c r="M1362" t="s">
        <v>1687</v>
      </c>
      <c r="N1362" t="s">
        <v>3068</v>
      </c>
    </row>
    <row r="1363" spans="1:14" x14ac:dyDescent="0.35">
      <c r="A1363" t="s">
        <v>4198</v>
      </c>
      <c r="B1363" t="s">
        <v>4199</v>
      </c>
      <c r="C1363" t="s">
        <v>41</v>
      </c>
      <c r="D1363">
        <v>159.71</v>
      </c>
      <c r="E1363">
        <v>11000</v>
      </c>
      <c r="F1363" t="s">
        <v>106</v>
      </c>
      <c r="G1363" t="s">
        <v>32</v>
      </c>
      <c r="H1363" t="s">
        <v>43</v>
      </c>
      <c r="I1363" t="s">
        <v>129</v>
      </c>
      <c r="J1363" t="s">
        <v>2640</v>
      </c>
      <c r="K1363" t="s">
        <v>51</v>
      </c>
      <c r="L1363">
        <v>15</v>
      </c>
      <c r="M1363" t="s">
        <v>398</v>
      </c>
      <c r="N1363" t="s">
        <v>2866</v>
      </c>
    </row>
    <row r="1364" spans="1:14" x14ac:dyDescent="0.35">
      <c r="A1364" t="s">
        <v>4200</v>
      </c>
      <c r="B1364" t="s">
        <v>4201</v>
      </c>
      <c r="C1364" t="s">
        <v>116</v>
      </c>
      <c r="D1364">
        <v>10.99</v>
      </c>
      <c r="E1364">
        <v>400</v>
      </c>
      <c r="F1364" t="s">
        <v>36</v>
      </c>
      <c r="G1364" t="s">
        <v>102</v>
      </c>
      <c r="H1364" t="s">
        <v>43</v>
      </c>
      <c r="I1364" t="s">
        <v>34</v>
      </c>
      <c r="J1364" t="s">
        <v>118</v>
      </c>
      <c r="K1364" t="s">
        <v>42</v>
      </c>
      <c r="L1364">
        <v>2</v>
      </c>
      <c r="M1364" t="s">
        <v>1352</v>
      </c>
      <c r="N1364" t="s">
        <v>3791</v>
      </c>
    </row>
    <row r="1365" spans="1:14" x14ac:dyDescent="0.35">
      <c r="A1365" t="s">
        <v>4202</v>
      </c>
      <c r="B1365" t="s">
        <v>4203</v>
      </c>
      <c r="C1365" t="s">
        <v>41</v>
      </c>
      <c r="D1365">
        <v>105.93</v>
      </c>
      <c r="E1365">
        <v>26000</v>
      </c>
      <c r="F1365" t="s">
        <v>97</v>
      </c>
      <c r="G1365" t="s">
        <v>32</v>
      </c>
      <c r="H1365" t="s">
        <v>57</v>
      </c>
      <c r="I1365" t="s">
        <v>44</v>
      </c>
      <c r="J1365" t="s">
        <v>112</v>
      </c>
      <c r="K1365" t="s">
        <v>106</v>
      </c>
      <c r="L1365">
        <v>10</v>
      </c>
      <c r="N1365" t="s">
        <v>1985</v>
      </c>
    </row>
    <row r="1366" spans="1:14" x14ac:dyDescent="0.35">
      <c r="A1366" t="s">
        <v>4204</v>
      </c>
      <c r="B1366" t="s">
        <v>4205</v>
      </c>
      <c r="C1366" t="s">
        <v>62</v>
      </c>
      <c r="D1366">
        <v>71.53</v>
      </c>
      <c r="E1366">
        <v>4000</v>
      </c>
      <c r="F1366" t="s">
        <v>97</v>
      </c>
      <c r="G1366" t="s">
        <v>32</v>
      </c>
      <c r="H1366" t="s">
        <v>43</v>
      </c>
      <c r="I1366" t="s">
        <v>34</v>
      </c>
      <c r="J1366" t="s">
        <v>477</v>
      </c>
      <c r="K1366" t="s">
        <v>51</v>
      </c>
      <c r="L1366">
        <v>22</v>
      </c>
      <c r="M1366" t="s">
        <v>539</v>
      </c>
      <c r="N1366" t="s">
        <v>1961</v>
      </c>
    </row>
    <row r="1367" spans="1:14" x14ac:dyDescent="0.35">
      <c r="A1367" t="s">
        <v>4206</v>
      </c>
      <c r="B1367" t="s">
        <v>4207</v>
      </c>
      <c r="C1367" t="s">
        <v>62</v>
      </c>
      <c r="D1367">
        <v>89.53</v>
      </c>
      <c r="E1367">
        <v>3000</v>
      </c>
      <c r="F1367" t="s">
        <v>139</v>
      </c>
      <c r="G1367" t="s">
        <v>32</v>
      </c>
      <c r="H1367" t="s">
        <v>57</v>
      </c>
      <c r="J1367" t="s">
        <v>75</v>
      </c>
      <c r="K1367" t="s">
        <v>76</v>
      </c>
      <c r="L1367">
        <v>3</v>
      </c>
      <c r="M1367" t="s">
        <v>772</v>
      </c>
      <c r="N1367" t="s">
        <v>2218</v>
      </c>
    </row>
    <row r="1368" spans="1:14" x14ac:dyDescent="0.35">
      <c r="A1368" t="s">
        <v>4208</v>
      </c>
      <c r="B1368" t="s">
        <v>4209</v>
      </c>
      <c r="C1368" t="s">
        <v>116</v>
      </c>
      <c r="D1368">
        <v>6.55</v>
      </c>
      <c r="E1368">
        <v>200</v>
      </c>
      <c r="F1368" t="s">
        <v>74</v>
      </c>
      <c r="G1368" t="s">
        <v>32</v>
      </c>
      <c r="H1368" t="s">
        <v>43</v>
      </c>
      <c r="I1368" t="s">
        <v>34</v>
      </c>
      <c r="J1368" t="s">
        <v>130</v>
      </c>
      <c r="K1368" t="s">
        <v>123</v>
      </c>
      <c r="L1368">
        <v>8</v>
      </c>
      <c r="N1368" t="s">
        <v>4210</v>
      </c>
    </row>
    <row r="1369" spans="1:14" x14ac:dyDescent="0.35">
      <c r="A1369" t="s">
        <v>4211</v>
      </c>
      <c r="B1369" t="s">
        <v>4212</v>
      </c>
      <c r="C1369" t="s">
        <v>41</v>
      </c>
      <c r="D1369">
        <v>82.35</v>
      </c>
      <c r="E1369">
        <v>35000</v>
      </c>
      <c r="F1369" t="s">
        <v>46</v>
      </c>
      <c r="G1369" t="s">
        <v>32</v>
      </c>
      <c r="H1369" t="s">
        <v>43</v>
      </c>
      <c r="I1369" t="s">
        <v>34</v>
      </c>
      <c r="J1369" t="s">
        <v>209</v>
      </c>
      <c r="K1369" t="s">
        <v>74</v>
      </c>
      <c r="L1369">
        <v>8</v>
      </c>
      <c r="N1369" t="s">
        <v>725</v>
      </c>
    </row>
    <row r="1370" spans="1:14" x14ac:dyDescent="0.35">
      <c r="A1370" t="s">
        <v>4213</v>
      </c>
      <c r="B1370" t="s">
        <v>4214</v>
      </c>
      <c r="C1370" t="s">
        <v>81</v>
      </c>
      <c r="D1370">
        <v>105.57</v>
      </c>
      <c r="E1370">
        <v>3000</v>
      </c>
      <c r="F1370" t="s">
        <v>97</v>
      </c>
      <c r="G1370" t="s">
        <v>32</v>
      </c>
      <c r="H1370" t="s">
        <v>33</v>
      </c>
      <c r="I1370" t="s">
        <v>129</v>
      </c>
      <c r="J1370" t="s">
        <v>45</v>
      </c>
      <c r="K1370" t="s">
        <v>46</v>
      </c>
      <c r="L1370">
        <v>4</v>
      </c>
      <c r="N1370" t="s">
        <v>4215</v>
      </c>
    </row>
    <row r="1371" spans="1:14" x14ac:dyDescent="0.35">
      <c r="A1371" t="s">
        <v>4216</v>
      </c>
      <c r="B1371" t="s">
        <v>4217</v>
      </c>
      <c r="C1371" t="s">
        <v>81</v>
      </c>
      <c r="D1371">
        <v>91.12</v>
      </c>
      <c r="E1371">
        <v>8000</v>
      </c>
      <c r="F1371" t="s">
        <v>42</v>
      </c>
      <c r="G1371" t="s">
        <v>32</v>
      </c>
      <c r="H1371" t="s">
        <v>33</v>
      </c>
      <c r="I1371" t="s">
        <v>44</v>
      </c>
      <c r="J1371" t="s">
        <v>35</v>
      </c>
      <c r="K1371" t="s">
        <v>36</v>
      </c>
      <c r="L1371">
        <v>15</v>
      </c>
      <c r="M1371" t="s">
        <v>1368</v>
      </c>
      <c r="N1371" t="s">
        <v>1469</v>
      </c>
    </row>
    <row r="1372" spans="1:14" x14ac:dyDescent="0.35">
      <c r="A1372" t="s">
        <v>4218</v>
      </c>
      <c r="B1372" t="s">
        <v>4219</v>
      </c>
      <c r="C1372" t="s">
        <v>62</v>
      </c>
      <c r="D1372">
        <v>87.21</v>
      </c>
      <c r="E1372">
        <v>1000</v>
      </c>
      <c r="F1372" t="s">
        <v>87</v>
      </c>
      <c r="G1372" t="s">
        <v>32</v>
      </c>
      <c r="H1372" t="s">
        <v>43</v>
      </c>
      <c r="I1372" t="s">
        <v>44</v>
      </c>
      <c r="J1372" t="s">
        <v>947</v>
      </c>
      <c r="K1372" t="s">
        <v>51</v>
      </c>
      <c r="L1372">
        <v>2</v>
      </c>
      <c r="N1372" t="s">
        <v>203</v>
      </c>
    </row>
    <row r="1373" spans="1:14" x14ac:dyDescent="0.35">
      <c r="A1373" t="s">
        <v>4220</v>
      </c>
      <c r="B1373" t="s">
        <v>4221</v>
      </c>
      <c r="C1373" t="s">
        <v>62</v>
      </c>
      <c r="D1373">
        <v>59.42</v>
      </c>
      <c r="E1373">
        <v>3000</v>
      </c>
      <c r="F1373" t="s">
        <v>87</v>
      </c>
      <c r="G1373" t="s">
        <v>102</v>
      </c>
      <c r="H1373" t="s">
        <v>33</v>
      </c>
      <c r="I1373" t="s">
        <v>44</v>
      </c>
      <c r="J1373" t="s">
        <v>523</v>
      </c>
      <c r="K1373" t="s">
        <v>36</v>
      </c>
      <c r="L1373">
        <v>14</v>
      </c>
      <c r="M1373" t="s">
        <v>1407</v>
      </c>
      <c r="N1373" t="s">
        <v>4222</v>
      </c>
    </row>
    <row r="1374" spans="1:14" x14ac:dyDescent="0.35">
      <c r="A1374" t="s">
        <v>4223</v>
      </c>
      <c r="B1374" t="s">
        <v>4224</v>
      </c>
      <c r="C1374" t="s">
        <v>69</v>
      </c>
      <c r="D1374">
        <v>58.15</v>
      </c>
      <c r="E1374">
        <v>17000</v>
      </c>
      <c r="F1374" t="s">
        <v>117</v>
      </c>
      <c r="G1374" t="s">
        <v>32</v>
      </c>
      <c r="H1374" t="s">
        <v>57</v>
      </c>
      <c r="I1374" t="s">
        <v>44</v>
      </c>
      <c r="J1374" t="s">
        <v>164</v>
      </c>
      <c r="K1374" t="s">
        <v>74</v>
      </c>
      <c r="L1374">
        <v>9</v>
      </c>
      <c r="M1374" t="s">
        <v>2492</v>
      </c>
      <c r="N1374" t="s">
        <v>613</v>
      </c>
    </row>
    <row r="1375" spans="1:14" x14ac:dyDescent="0.35">
      <c r="A1375" t="s">
        <v>4225</v>
      </c>
      <c r="B1375" t="s">
        <v>4226</v>
      </c>
      <c r="C1375" t="s">
        <v>62</v>
      </c>
      <c r="D1375">
        <v>53.96</v>
      </c>
      <c r="E1375">
        <v>3000</v>
      </c>
      <c r="F1375" t="s">
        <v>87</v>
      </c>
      <c r="G1375" t="s">
        <v>32</v>
      </c>
      <c r="H1375" t="s">
        <v>43</v>
      </c>
      <c r="I1375" t="s">
        <v>44</v>
      </c>
      <c r="J1375" t="s">
        <v>35</v>
      </c>
      <c r="K1375" t="s">
        <v>36</v>
      </c>
      <c r="L1375">
        <v>22</v>
      </c>
      <c r="M1375" t="s">
        <v>2469</v>
      </c>
      <c r="N1375" t="s">
        <v>4193</v>
      </c>
    </row>
    <row r="1376" spans="1:14" x14ac:dyDescent="0.35">
      <c r="A1376" t="s">
        <v>4227</v>
      </c>
      <c r="B1376" t="s">
        <v>4228</v>
      </c>
      <c r="C1376" t="s">
        <v>62</v>
      </c>
      <c r="D1376">
        <v>82.72</v>
      </c>
      <c r="E1376">
        <v>2000</v>
      </c>
      <c r="F1376" t="s">
        <v>51</v>
      </c>
      <c r="G1376" t="s">
        <v>102</v>
      </c>
      <c r="H1376" t="s">
        <v>33</v>
      </c>
      <c r="J1376" t="s">
        <v>63</v>
      </c>
      <c r="K1376" t="s">
        <v>64</v>
      </c>
      <c r="L1376">
        <v>3</v>
      </c>
      <c r="N1376" t="s">
        <v>4229</v>
      </c>
    </row>
    <row r="1377" spans="1:14" x14ac:dyDescent="0.35">
      <c r="A1377" t="s">
        <v>4230</v>
      </c>
      <c r="B1377" t="s">
        <v>4231</v>
      </c>
      <c r="C1377" t="s">
        <v>41</v>
      </c>
      <c r="D1377">
        <v>126.67</v>
      </c>
      <c r="E1377">
        <v>40000</v>
      </c>
      <c r="F1377" t="s">
        <v>106</v>
      </c>
      <c r="G1377" t="s">
        <v>32</v>
      </c>
      <c r="H1377" t="s">
        <v>57</v>
      </c>
      <c r="I1377" t="s">
        <v>34</v>
      </c>
      <c r="J1377" t="s">
        <v>35</v>
      </c>
      <c r="K1377" t="s">
        <v>36</v>
      </c>
      <c r="L1377">
        <v>9</v>
      </c>
      <c r="M1377" t="s">
        <v>3673</v>
      </c>
      <c r="N1377" t="s">
        <v>746</v>
      </c>
    </row>
    <row r="1378" spans="1:14" x14ac:dyDescent="0.35">
      <c r="A1378" t="s">
        <v>4232</v>
      </c>
      <c r="B1378" t="s">
        <v>4233</v>
      </c>
      <c r="C1378" t="s">
        <v>30</v>
      </c>
      <c r="D1378">
        <v>112.56</v>
      </c>
      <c r="E1378">
        <v>14000</v>
      </c>
      <c r="F1378" t="s">
        <v>139</v>
      </c>
      <c r="G1378" t="s">
        <v>32</v>
      </c>
      <c r="H1378" t="s">
        <v>43</v>
      </c>
      <c r="I1378" t="s">
        <v>44</v>
      </c>
      <c r="J1378" t="s">
        <v>107</v>
      </c>
      <c r="K1378" t="s">
        <v>87</v>
      </c>
      <c r="L1378">
        <v>5</v>
      </c>
      <c r="M1378" t="s">
        <v>4234</v>
      </c>
      <c r="N1378" t="s">
        <v>1829</v>
      </c>
    </row>
    <row r="1379" spans="1:14" x14ac:dyDescent="0.35">
      <c r="A1379" t="s">
        <v>4235</v>
      </c>
      <c r="B1379" t="s">
        <v>4236</v>
      </c>
      <c r="C1379" t="s">
        <v>69</v>
      </c>
      <c r="D1379">
        <v>86.9</v>
      </c>
      <c r="E1379">
        <v>85000</v>
      </c>
      <c r="F1379" t="s">
        <v>31</v>
      </c>
      <c r="G1379" t="s">
        <v>32</v>
      </c>
      <c r="H1379" t="s">
        <v>43</v>
      </c>
      <c r="J1379" t="s">
        <v>107</v>
      </c>
      <c r="K1379" t="s">
        <v>87</v>
      </c>
      <c r="L1379">
        <v>0</v>
      </c>
      <c r="M1379" t="s">
        <v>1957</v>
      </c>
      <c r="N1379" t="s">
        <v>3943</v>
      </c>
    </row>
    <row r="1380" spans="1:14" x14ac:dyDescent="0.35">
      <c r="A1380" t="s">
        <v>4237</v>
      </c>
      <c r="B1380" t="s">
        <v>4238</v>
      </c>
      <c r="C1380" t="s">
        <v>30</v>
      </c>
      <c r="D1380">
        <v>144.16</v>
      </c>
      <c r="E1380">
        <v>20000</v>
      </c>
      <c r="F1380" t="s">
        <v>87</v>
      </c>
      <c r="G1380" t="s">
        <v>32</v>
      </c>
      <c r="H1380" t="s">
        <v>33</v>
      </c>
      <c r="J1380" t="s">
        <v>75</v>
      </c>
      <c r="K1380" t="s">
        <v>76</v>
      </c>
      <c r="L1380">
        <v>10</v>
      </c>
      <c r="M1380" t="s">
        <v>2785</v>
      </c>
      <c r="N1380" t="s">
        <v>4239</v>
      </c>
    </row>
    <row r="1381" spans="1:14" x14ac:dyDescent="0.35">
      <c r="A1381" t="s">
        <v>4240</v>
      </c>
      <c r="B1381" t="s">
        <v>4241</v>
      </c>
      <c r="C1381" t="s">
        <v>41</v>
      </c>
      <c r="D1381">
        <v>137.54</v>
      </c>
      <c r="E1381">
        <v>14000</v>
      </c>
      <c r="F1381" t="s">
        <v>87</v>
      </c>
      <c r="G1381" t="s">
        <v>32</v>
      </c>
      <c r="H1381" t="s">
        <v>43</v>
      </c>
      <c r="J1381" t="s">
        <v>112</v>
      </c>
      <c r="K1381" t="s">
        <v>106</v>
      </c>
      <c r="L1381">
        <v>20</v>
      </c>
      <c r="M1381" t="s">
        <v>4242</v>
      </c>
      <c r="N1381" t="s">
        <v>676</v>
      </c>
    </row>
    <row r="1382" spans="1:14" x14ac:dyDescent="0.35">
      <c r="A1382" t="s">
        <v>4243</v>
      </c>
      <c r="B1382" t="s">
        <v>4244</v>
      </c>
      <c r="C1382" t="s">
        <v>116</v>
      </c>
      <c r="D1382">
        <v>11.16</v>
      </c>
      <c r="E1382">
        <v>600</v>
      </c>
      <c r="F1382" t="s">
        <v>42</v>
      </c>
      <c r="G1382" t="s">
        <v>32</v>
      </c>
      <c r="H1382" t="s">
        <v>33</v>
      </c>
      <c r="I1382" t="s">
        <v>34</v>
      </c>
      <c r="J1382" t="s">
        <v>107</v>
      </c>
      <c r="K1382" t="s">
        <v>87</v>
      </c>
      <c r="L1382">
        <v>14</v>
      </c>
      <c r="M1382" t="s">
        <v>3607</v>
      </c>
      <c r="N1382" t="s">
        <v>294</v>
      </c>
    </row>
    <row r="1383" spans="1:14" x14ac:dyDescent="0.35">
      <c r="A1383" t="s">
        <v>4245</v>
      </c>
      <c r="B1383" t="s">
        <v>4246</v>
      </c>
      <c r="C1383" t="s">
        <v>30</v>
      </c>
      <c r="D1383">
        <v>115.75</v>
      </c>
      <c r="E1383">
        <v>11000</v>
      </c>
      <c r="F1383" t="s">
        <v>147</v>
      </c>
      <c r="G1383" t="s">
        <v>32</v>
      </c>
      <c r="H1383" t="s">
        <v>33</v>
      </c>
      <c r="I1383" t="s">
        <v>44</v>
      </c>
      <c r="J1383" t="s">
        <v>63</v>
      </c>
      <c r="K1383" t="s">
        <v>64</v>
      </c>
      <c r="L1383">
        <v>23</v>
      </c>
      <c r="M1383" t="s">
        <v>916</v>
      </c>
      <c r="N1383" t="s">
        <v>871</v>
      </c>
    </row>
    <row r="1384" spans="1:14" x14ac:dyDescent="0.35">
      <c r="A1384" t="s">
        <v>4247</v>
      </c>
      <c r="B1384" t="s">
        <v>4248</v>
      </c>
      <c r="C1384" t="s">
        <v>81</v>
      </c>
      <c r="D1384">
        <v>128.58000000000001</v>
      </c>
      <c r="E1384">
        <v>9000</v>
      </c>
      <c r="F1384" t="s">
        <v>36</v>
      </c>
      <c r="G1384" t="s">
        <v>32</v>
      </c>
      <c r="H1384" t="s">
        <v>57</v>
      </c>
      <c r="J1384" t="s">
        <v>209</v>
      </c>
      <c r="K1384" t="s">
        <v>74</v>
      </c>
      <c r="L1384">
        <v>6</v>
      </c>
      <c r="N1384" t="s">
        <v>1784</v>
      </c>
    </row>
    <row r="1385" spans="1:14" x14ac:dyDescent="0.35">
      <c r="A1385" t="s">
        <v>4249</v>
      </c>
      <c r="B1385" t="s">
        <v>4250</v>
      </c>
      <c r="C1385" t="s">
        <v>30</v>
      </c>
      <c r="D1385">
        <v>175.23</v>
      </c>
      <c r="E1385">
        <v>14000</v>
      </c>
      <c r="F1385" t="s">
        <v>51</v>
      </c>
      <c r="G1385" t="s">
        <v>32</v>
      </c>
      <c r="H1385" t="s">
        <v>43</v>
      </c>
      <c r="I1385" t="s">
        <v>44</v>
      </c>
      <c r="J1385" t="s">
        <v>209</v>
      </c>
      <c r="K1385" t="s">
        <v>74</v>
      </c>
      <c r="L1385">
        <v>17</v>
      </c>
      <c r="M1385" t="s">
        <v>2021</v>
      </c>
      <c r="N1385" t="s">
        <v>3774</v>
      </c>
    </row>
    <row r="1386" spans="1:14" x14ac:dyDescent="0.35">
      <c r="A1386" t="s">
        <v>4251</v>
      </c>
      <c r="B1386" t="s">
        <v>4252</v>
      </c>
      <c r="C1386" t="s">
        <v>30</v>
      </c>
      <c r="D1386">
        <v>112.35</v>
      </c>
      <c r="E1386">
        <v>15000</v>
      </c>
      <c r="F1386" t="s">
        <v>74</v>
      </c>
      <c r="G1386" t="s">
        <v>32</v>
      </c>
      <c r="H1386" t="s">
        <v>33</v>
      </c>
      <c r="I1386" t="s">
        <v>44</v>
      </c>
      <c r="J1386" t="s">
        <v>75</v>
      </c>
      <c r="K1386" t="s">
        <v>76</v>
      </c>
      <c r="L1386">
        <v>15</v>
      </c>
      <c r="M1386" t="s">
        <v>3006</v>
      </c>
      <c r="N1386" t="s">
        <v>3094</v>
      </c>
    </row>
    <row r="1387" spans="1:14" x14ac:dyDescent="0.35">
      <c r="A1387" t="s">
        <v>4253</v>
      </c>
      <c r="B1387" t="s">
        <v>4254</v>
      </c>
      <c r="C1387" t="s">
        <v>30</v>
      </c>
      <c r="D1387">
        <v>154.16999999999999</v>
      </c>
      <c r="E1387">
        <v>5000</v>
      </c>
      <c r="F1387" t="s">
        <v>51</v>
      </c>
      <c r="G1387" t="s">
        <v>32</v>
      </c>
      <c r="H1387" t="s">
        <v>57</v>
      </c>
      <c r="J1387" t="s">
        <v>130</v>
      </c>
      <c r="K1387" t="s">
        <v>123</v>
      </c>
      <c r="L1387">
        <v>0</v>
      </c>
      <c r="M1387" t="s">
        <v>3596</v>
      </c>
      <c r="N1387" t="s">
        <v>1118</v>
      </c>
    </row>
    <row r="1388" spans="1:14" x14ac:dyDescent="0.35">
      <c r="A1388" t="s">
        <v>4255</v>
      </c>
      <c r="B1388" t="s">
        <v>4256</v>
      </c>
      <c r="C1388" t="s">
        <v>30</v>
      </c>
      <c r="D1388">
        <v>146.79</v>
      </c>
      <c r="E1388">
        <v>15000</v>
      </c>
      <c r="F1388" t="s">
        <v>139</v>
      </c>
      <c r="G1388" t="s">
        <v>32</v>
      </c>
      <c r="H1388" t="s">
        <v>57</v>
      </c>
      <c r="I1388" t="s">
        <v>34</v>
      </c>
      <c r="J1388" t="s">
        <v>130</v>
      </c>
      <c r="K1388" t="s">
        <v>147</v>
      </c>
      <c r="L1388">
        <v>23</v>
      </c>
      <c r="M1388" t="s">
        <v>965</v>
      </c>
      <c r="N1388" t="s">
        <v>2686</v>
      </c>
    </row>
    <row r="1389" spans="1:14" x14ac:dyDescent="0.35">
      <c r="A1389" t="s">
        <v>4257</v>
      </c>
      <c r="B1389" t="s">
        <v>4258</v>
      </c>
      <c r="C1389" t="s">
        <v>30</v>
      </c>
      <c r="D1389">
        <v>195.97</v>
      </c>
      <c r="E1389">
        <v>10000</v>
      </c>
      <c r="F1389" t="s">
        <v>76</v>
      </c>
      <c r="G1389" t="s">
        <v>32</v>
      </c>
      <c r="H1389" t="s">
        <v>33</v>
      </c>
      <c r="I1389" t="s">
        <v>34</v>
      </c>
      <c r="J1389" t="s">
        <v>130</v>
      </c>
      <c r="K1389" t="s">
        <v>123</v>
      </c>
      <c r="L1389">
        <v>1</v>
      </c>
      <c r="M1389" t="s">
        <v>2709</v>
      </c>
      <c r="N1389" t="s">
        <v>4158</v>
      </c>
    </row>
    <row r="1390" spans="1:14" x14ac:dyDescent="0.35">
      <c r="A1390" t="s">
        <v>4259</v>
      </c>
      <c r="B1390" t="s">
        <v>4260</v>
      </c>
      <c r="C1390" t="s">
        <v>81</v>
      </c>
      <c r="D1390">
        <v>102.83</v>
      </c>
      <c r="E1390">
        <v>10000</v>
      </c>
      <c r="F1390" t="s">
        <v>236</v>
      </c>
      <c r="G1390" t="s">
        <v>32</v>
      </c>
      <c r="H1390" t="s">
        <v>33</v>
      </c>
      <c r="I1390" t="s">
        <v>44</v>
      </c>
      <c r="J1390" t="s">
        <v>209</v>
      </c>
      <c r="K1390" t="s">
        <v>74</v>
      </c>
      <c r="L1390">
        <v>13</v>
      </c>
      <c r="M1390" t="s">
        <v>37</v>
      </c>
      <c r="N1390" t="s">
        <v>210</v>
      </c>
    </row>
    <row r="1391" spans="1:14" x14ac:dyDescent="0.35">
      <c r="A1391" t="s">
        <v>4261</v>
      </c>
      <c r="B1391" t="s">
        <v>4262</v>
      </c>
      <c r="C1391" t="s">
        <v>41</v>
      </c>
      <c r="D1391">
        <v>122.21</v>
      </c>
      <c r="E1391">
        <v>19000</v>
      </c>
      <c r="F1391" t="s">
        <v>76</v>
      </c>
      <c r="G1391" t="s">
        <v>32</v>
      </c>
      <c r="H1391" t="s">
        <v>33</v>
      </c>
      <c r="I1391" t="s">
        <v>44</v>
      </c>
      <c r="J1391" t="s">
        <v>3221</v>
      </c>
      <c r="K1391" t="s">
        <v>51</v>
      </c>
      <c r="L1391">
        <v>13</v>
      </c>
      <c r="M1391" t="s">
        <v>1538</v>
      </c>
      <c r="N1391" t="s">
        <v>4263</v>
      </c>
    </row>
    <row r="1392" spans="1:14" x14ac:dyDescent="0.35">
      <c r="A1392" t="s">
        <v>4264</v>
      </c>
      <c r="B1392" t="s">
        <v>4265</v>
      </c>
      <c r="C1392" t="s">
        <v>69</v>
      </c>
      <c r="D1392">
        <v>76.09</v>
      </c>
      <c r="E1392">
        <v>50000</v>
      </c>
      <c r="F1392" t="s">
        <v>236</v>
      </c>
      <c r="G1392" t="s">
        <v>32</v>
      </c>
      <c r="H1392" t="s">
        <v>33</v>
      </c>
      <c r="I1392" t="s">
        <v>44</v>
      </c>
      <c r="J1392" t="s">
        <v>45</v>
      </c>
      <c r="K1392" t="s">
        <v>46</v>
      </c>
      <c r="L1392">
        <v>17</v>
      </c>
      <c r="M1392" t="s">
        <v>2730</v>
      </c>
      <c r="N1392" t="s">
        <v>217</v>
      </c>
    </row>
    <row r="1393" spans="1:14" x14ac:dyDescent="0.35">
      <c r="A1393" t="s">
        <v>4266</v>
      </c>
      <c r="B1393" t="s">
        <v>4267</v>
      </c>
      <c r="C1393" t="s">
        <v>62</v>
      </c>
      <c r="D1393">
        <v>60.72</v>
      </c>
      <c r="E1393">
        <v>1000</v>
      </c>
      <c r="F1393" t="s">
        <v>87</v>
      </c>
      <c r="G1393" t="s">
        <v>32</v>
      </c>
      <c r="H1393" t="s">
        <v>33</v>
      </c>
      <c r="I1393" t="s">
        <v>44</v>
      </c>
      <c r="J1393" t="s">
        <v>107</v>
      </c>
      <c r="K1393" t="s">
        <v>87</v>
      </c>
      <c r="L1393">
        <v>18</v>
      </c>
      <c r="M1393" t="s">
        <v>752</v>
      </c>
      <c r="N1393" t="s">
        <v>4268</v>
      </c>
    </row>
    <row r="1394" spans="1:14" x14ac:dyDescent="0.35">
      <c r="A1394" t="s">
        <v>4269</v>
      </c>
      <c r="B1394" t="s">
        <v>4270</v>
      </c>
      <c r="C1394" t="s">
        <v>81</v>
      </c>
      <c r="D1394">
        <v>103.96</v>
      </c>
      <c r="E1394">
        <v>9000</v>
      </c>
      <c r="F1394" t="s">
        <v>236</v>
      </c>
      <c r="G1394" t="s">
        <v>32</v>
      </c>
      <c r="H1394" t="s">
        <v>57</v>
      </c>
      <c r="I1394" t="s">
        <v>34</v>
      </c>
      <c r="J1394" t="s">
        <v>830</v>
      </c>
      <c r="K1394" t="s">
        <v>51</v>
      </c>
      <c r="L1394">
        <v>13</v>
      </c>
      <c r="M1394" t="s">
        <v>1832</v>
      </c>
      <c r="N1394" t="s">
        <v>328</v>
      </c>
    </row>
    <row r="1395" spans="1:14" x14ac:dyDescent="0.35">
      <c r="A1395" t="s">
        <v>4271</v>
      </c>
      <c r="B1395" t="s">
        <v>4272</v>
      </c>
      <c r="C1395" t="s">
        <v>69</v>
      </c>
      <c r="D1395">
        <v>77.989999999999995</v>
      </c>
      <c r="E1395">
        <v>98000</v>
      </c>
      <c r="F1395" t="s">
        <v>51</v>
      </c>
      <c r="G1395" t="s">
        <v>32</v>
      </c>
      <c r="H1395" t="s">
        <v>33</v>
      </c>
      <c r="I1395" t="s">
        <v>34</v>
      </c>
      <c r="J1395" t="s">
        <v>75</v>
      </c>
      <c r="K1395" t="s">
        <v>76</v>
      </c>
      <c r="L1395">
        <v>18</v>
      </c>
      <c r="N1395" t="s">
        <v>732</v>
      </c>
    </row>
    <row r="1396" spans="1:14" x14ac:dyDescent="0.35">
      <c r="A1396" t="s">
        <v>4273</v>
      </c>
      <c r="B1396" t="s">
        <v>4274</v>
      </c>
      <c r="C1396" t="s">
        <v>62</v>
      </c>
      <c r="D1396">
        <v>56.7</v>
      </c>
      <c r="E1396">
        <v>1000</v>
      </c>
      <c r="F1396" t="s">
        <v>236</v>
      </c>
      <c r="G1396" t="s">
        <v>32</v>
      </c>
      <c r="H1396" t="s">
        <v>33</v>
      </c>
      <c r="J1396" t="s">
        <v>45</v>
      </c>
      <c r="K1396" t="s">
        <v>46</v>
      </c>
      <c r="L1396">
        <v>23</v>
      </c>
      <c r="N1396" t="s">
        <v>4275</v>
      </c>
    </row>
    <row r="1397" spans="1:14" x14ac:dyDescent="0.35">
      <c r="A1397" t="s">
        <v>4276</v>
      </c>
      <c r="B1397" t="s">
        <v>4277</v>
      </c>
      <c r="C1397" t="s">
        <v>41</v>
      </c>
      <c r="D1397">
        <v>154.94999999999999</v>
      </c>
      <c r="E1397">
        <v>29000</v>
      </c>
      <c r="F1397" t="s">
        <v>51</v>
      </c>
      <c r="G1397" t="s">
        <v>32</v>
      </c>
      <c r="H1397" t="s">
        <v>57</v>
      </c>
      <c r="J1397" t="s">
        <v>75</v>
      </c>
      <c r="K1397" t="s">
        <v>76</v>
      </c>
      <c r="L1397">
        <v>16</v>
      </c>
      <c r="N1397" t="s">
        <v>2891</v>
      </c>
    </row>
    <row r="1398" spans="1:14" x14ac:dyDescent="0.35">
      <c r="A1398" t="s">
        <v>4278</v>
      </c>
      <c r="B1398" t="s">
        <v>4279</v>
      </c>
      <c r="C1398" t="s">
        <v>41</v>
      </c>
      <c r="D1398">
        <v>134.28</v>
      </c>
      <c r="E1398">
        <v>10000</v>
      </c>
      <c r="F1398" t="s">
        <v>51</v>
      </c>
      <c r="G1398" t="s">
        <v>32</v>
      </c>
      <c r="H1398" t="s">
        <v>43</v>
      </c>
      <c r="I1398" t="s">
        <v>34</v>
      </c>
      <c r="J1398" t="s">
        <v>1096</v>
      </c>
      <c r="K1398" t="s">
        <v>76</v>
      </c>
      <c r="L1398">
        <v>19</v>
      </c>
      <c r="M1398" t="s">
        <v>1028</v>
      </c>
      <c r="N1398" t="s">
        <v>3252</v>
      </c>
    </row>
    <row r="1399" spans="1:14" x14ac:dyDescent="0.35">
      <c r="A1399" t="s">
        <v>4280</v>
      </c>
      <c r="B1399" t="s">
        <v>4281</v>
      </c>
      <c r="C1399" t="s">
        <v>41</v>
      </c>
      <c r="D1399">
        <v>104.26</v>
      </c>
      <c r="E1399">
        <v>18000</v>
      </c>
      <c r="F1399" t="s">
        <v>51</v>
      </c>
      <c r="G1399" t="s">
        <v>32</v>
      </c>
      <c r="H1399" t="s">
        <v>43</v>
      </c>
      <c r="I1399" t="s">
        <v>44</v>
      </c>
      <c r="J1399" t="s">
        <v>75</v>
      </c>
      <c r="K1399" t="s">
        <v>76</v>
      </c>
      <c r="L1399">
        <v>13</v>
      </c>
      <c r="N1399" t="s">
        <v>1704</v>
      </c>
    </row>
    <row r="1400" spans="1:14" x14ac:dyDescent="0.35">
      <c r="A1400" t="s">
        <v>4282</v>
      </c>
      <c r="B1400" t="s">
        <v>4283</v>
      </c>
      <c r="C1400" t="s">
        <v>62</v>
      </c>
      <c r="D1400">
        <v>70.58</v>
      </c>
      <c r="E1400">
        <v>5000</v>
      </c>
      <c r="F1400" t="s">
        <v>51</v>
      </c>
      <c r="G1400" t="s">
        <v>32</v>
      </c>
      <c r="H1400" t="s">
        <v>33</v>
      </c>
      <c r="I1400" t="s">
        <v>44</v>
      </c>
      <c r="J1400" t="s">
        <v>1827</v>
      </c>
      <c r="K1400" t="s">
        <v>51</v>
      </c>
      <c r="L1400">
        <v>23</v>
      </c>
      <c r="M1400" t="s">
        <v>1364</v>
      </c>
      <c r="N1400" t="s">
        <v>2872</v>
      </c>
    </row>
    <row r="1401" spans="1:14" x14ac:dyDescent="0.35">
      <c r="A1401" t="s">
        <v>4284</v>
      </c>
      <c r="B1401" t="s">
        <v>4285</v>
      </c>
      <c r="C1401" t="s">
        <v>30</v>
      </c>
      <c r="D1401">
        <v>193.67</v>
      </c>
      <c r="E1401">
        <v>4000</v>
      </c>
      <c r="F1401" t="s">
        <v>87</v>
      </c>
      <c r="G1401" t="s">
        <v>32</v>
      </c>
      <c r="H1401" t="s">
        <v>57</v>
      </c>
      <c r="I1401" t="s">
        <v>44</v>
      </c>
      <c r="J1401" t="s">
        <v>179</v>
      </c>
      <c r="K1401" t="s">
        <v>97</v>
      </c>
      <c r="L1401">
        <v>12</v>
      </c>
      <c r="N1401" t="s">
        <v>189</v>
      </c>
    </row>
    <row r="1402" spans="1:14" x14ac:dyDescent="0.35">
      <c r="A1402" t="s">
        <v>4286</v>
      </c>
      <c r="B1402" t="s">
        <v>4287</v>
      </c>
      <c r="C1402" t="s">
        <v>30</v>
      </c>
      <c r="D1402">
        <v>147.19999999999999</v>
      </c>
      <c r="E1402">
        <v>5000</v>
      </c>
      <c r="F1402" t="s">
        <v>123</v>
      </c>
      <c r="G1402" t="s">
        <v>32</v>
      </c>
      <c r="H1402" t="s">
        <v>33</v>
      </c>
      <c r="I1402" t="s">
        <v>129</v>
      </c>
      <c r="J1402" t="s">
        <v>1827</v>
      </c>
      <c r="K1402" t="s">
        <v>51</v>
      </c>
      <c r="L1402">
        <v>8</v>
      </c>
      <c r="M1402" t="s">
        <v>987</v>
      </c>
      <c r="N1402" t="s">
        <v>452</v>
      </c>
    </row>
    <row r="1403" spans="1:14" x14ac:dyDescent="0.35">
      <c r="A1403" t="s">
        <v>4288</v>
      </c>
      <c r="B1403" t="s">
        <v>4289</v>
      </c>
      <c r="C1403" t="s">
        <v>30</v>
      </c>
      <c r="D1403">
        <v>128.69999999999999</v>
      </c>
      <c r="E1403">
        <v>7000</v>
      </c>
      <c r="F1403" t="s">
        <v>97</v>
      </c>
      <c r="G1403" t="s">
        <v>32</v>
      </c>
      <c r="H1403" t="s">
        <v>33</v>
      </c>
      <c r="I1403" t="s">
        <v>44</v>
      </c>
      <c r="J1403" t="s">
        <v>2122</v>
      </c>
      <c r="K1403" t="s">
        <v>97</v>
      </c>
      <c r="L1403">
        <v>15</v>
      </c>
      <c r="M1403" t="s">
        <v>555</v>
      </c>
      <c r="N1403" t="s">
        <v>728</v>
      </c>
    </row>
    <row r="1404" spans="1:14" x14ac:dyDescent="0.35">
      <c r="A1404" t="s">
        <v>4290</v>
      </c>
      <c r="B1404" t="s">
        <v>4291</v>
      </c>
      <c r="C1404" t="s">
        <v>41</v>
      </c>
      <c r="D1404">
        <v>148.16999999999999</v>
      </c>
      <c r="E1404">
        <v>33000</v>
      </c>
      <c r="F1404" t="s">
        <v>51</v>
      </c>
      <c r="G1404" t="s">
        <v>32</v>
      </c>
      <c r="H1404" t="s">
        <v>57</v>
      </c>
      <c r="J1404" t="s">
        <v>124</v>
      </c>
      <c r="K1404" t="s">
        <v>117</v>
      </c>
      <c r="L1404">
        <v>11</v>
      </c>
      <c r="N1404" t="s">
        <v>1586</v>
      </c>
    </row>
    <row r="1405" spans="1:14" x14ac:dyDescent="0.35">
      <c r="A1405" t="s">
        <v>4292</v>
      </c>
      <c r="B1405" t="s">
        <v>4293</v>
      </c>
      <c r="C1405" t="s">
        <v>81</v>
      </c>
      <c r="D1405">
        <v>96.36</v>
      </c>
      <c r="E1405">
        <v>7000</v>
      </c>
      <c r="F1405" t="s">
        <v>42</v>
      </c>
      <c r="G1405" t="s">
        <v>32</v>
      </c>
      <c r="H1405" t="s">
        <v>57</v>
      </c>
      <c r="I1405" t="s">
        <v>44</v>
      </c>
      <c r="J1405" t="s">
        <v>112</v>
      </c>
      <c r="K1405" t="s">
        <v>106</v>
      </c>
      <c r="L1405">
        <v>18</v>
      </c>
      <c r="N1405" t="s">
        <v>4158</v>
      </c>
    </row>
    <row r="1406" spans="1:14" x14ac:dyDescent="0.35">
      <c r="A1406" t="s">
        <v>4294</v>
      </c>
      <c r="B1406" t="s">
        <v>4295</v>
      </c>
      <c r="C1406" t="s">
        <v>81</v>
      </c>
      <c r="D1406">
        <v>134.53</v>
      </c>
      <c r="E1406">
        <v>5000</v>
      </c>
      <c r="F1406" t="s">
        <v>36</v>
      </c>
      <c r="G1406" t="s">
        <v>32</v>
      </c>
      <c r="H1406" t="s">
        <v>33</v>
      </c>
      <c r="I1406" t="s">
        <v>44</v>
      </c>
      <c r="J1406" t="s">
        <v>35</v>
      </c>
      <c r="K1406" t="s">
        <v>36</v>
      </c>
      <c r="L1406">
        <v>11</v>
      </c>
      <c r="M1406" t="s">
        <v>3453</v>
      </c>
      <c r="N1406" t="s">
        <v>4296</v>
      </c>
    </row>
    <row r="1407" spans="1:14" x14ac:dyDescent="0.35">
      <c r="A1407" t="s">
        <v>4297</v>
      </c>
      <c r="B1407" t="s">
        <v>4298</v>
      </c>
      <c r="C1407" t="s">
        <v>62</v>
      </c>
      <c r="D1407">
        <v>69.98</v>
      </c>
      <c r="E1407">
        <v>4000</v>
      </c>
      <c r="F1407" t="s">
        <v>147</v>
      </c>
      <c r="G1407" t="s">
        <v>32</v>
      </c>
      <c r="H1407" t="s">
        <v>43</v>
      </c>
      <c r="I1407" t="s">
        <v>34</v>
      </c>
      <c r="J1407" t="s">
        <v>107</v>
      </c>
      <c r="K1407" t="s">
        <v>87</v>
      </c>
      <c r="L1407">
        <v>11</v>
      </c>
      <c r="M1407" t="s">
        <v>1186</v>
      </c>
      <c r="N1407" t="s">
        <v>1343</v>
      </c>
    </row>
    <row r="1408" spans="1:14" x14ac:dyDescent="0.35">
      <c r="A1408" t="s">
        <v>4299</v>
      </c>
      <c r="B1408" t="s">
        <v>4300</v>
      </c>
      <c r="C1408" t="s">
        <v>62</v>
      </c>
      <c r="D1408">
        <v>70.94</v>
      </c>
      <c r="E1408">
        <v>4000</v>
      </c>
      <c r="F1408" t="s">
        <v>106</v>
      </c>
      <c r="G1408" t="s">
        <v>32</v>
      </c>
      <c r="H1408" t="s">
        <v>33</v>
      </c>
      <c r="I1408" t="s">
        <v>34</v>
      </c>
      <c r="J1408" t="s">
        <v>830</v>
      </c>
      <c r="K1408" t="s">
        <v>51</v>
      </c>
      <c r="L1408">
        <v>18</v>
      </c>
      <c r="N1408" t="s">
        <v>2761</v>
      </c>
    </row>
    <row r="1409" spans="1:14" x14ac:dyDescent="0.35">
      <c r="A1409" t="s">
        <v>4301</v>
      </c>
      <c r="B1409" t="s">
        <v>4302</v>
      </c>
      <c r="C1409" t="s">
        <v>116</v>
      </c>
      <c r="D1409">
        <v>9.5500000000000007</v>
      </c>
      <c r="E1409">
        <v>500</v>
      </c>
      <c r="F1409" t="s">
        <v>31</v>
      </c>
      <c r="G1409" t="s">
        <v>32</v>
      </c>
      <c r="H1409" t="s">
        <v>43</v>
      </c>
      <c r="I1409" t="s">
        <v>44</v>
      </c>
      <c r="J1409" t="s">
        <v>1185</v>
      </c>
      <c r="K1409" t="s">
        <v>139</v>
      </c>
      <c r="L1409">
        <v>15</v>
      </c>
      <c r="M1409" t="s">
        <v>3111</v>
      </c>
      <c r="N1409" t="s">
        <v>99</v>
      </c>
    </row>
    <row r="1410" spans="1:14" x14ac:dyDescent="0.35">
      <c r="A1410" t="s">
        <v>4303</v>
      </c>
      <c r="B1410" t="s">
        <v>4304</v>
      </c>
      <c r="C1410" t="s">
        <v>30</v>
      </c>
      <c r="D1410">
        <v>162.44999999999999</v>
      </c>
      <c r="E1410">
        <v>16000</v>
      </c>
      <c r="F1410" t="s">
        <v>139</v>
      </c>
      <c r="G1410" t="s">
        <v>32</v>
      </c>
      <c r="H1410" t="s">
        <v>33</v>
      </c>
      <c r="I1410" t="s">
        <v>34</v>
      </c>
      <c r="J1410" t="s">
        <v>70</v>
      </c>
      <c r="K1410" t="s">
        <v>31</v>
      </c>
      <c r="L1410">
        <v>15</v>
      </c>
      <c r="N1410" t="s">
        <v>4305</v>
      </c>
    </row>
    <row r="1411" spans="1:14" x14ac:dyDescent="0.35">
      <c r="A1411" t="s">
        <v>4306</v>
      </c>
      <c r="B1411" t="s">
        <v>4307</v>
      </c>
      <c r="C1411" t="s">
        <v>81</v>
      </c>
      <c r="D1411">
        <v>132.97999999999999</v>
      </c>
      <c r="E1411">
        <v>1000</v>
      </c>
      <c r="F1411" t="s">
        <v>46</v>
      </c>
      <c r="G1411" t="s">
        <v>32</v>
      </c>
      <c r="H1411" t="s">
        <v>43</v>
      </c>
      <c r="I1411" t="s">
        <v>44</v>
      </c>
      <c r="J1411" t="s">
        <v>130</v>
      </c>
      <c r="K1411" t="s">
        <v>123</v>
      </c>
      <c r="L1411">
        <v>11</v>
      </c>
      <c r="N1411" t="s">
        <v>4308</v>
      </c>
    </row>
    <row r="1412" spans="1:14" x14ac:dyDescent="0.35">
      <c r="A1412" t="s">
        <v>4309</v>
      </c>
      <c r="B1412" t="s">
        <v>4310</v>
      </c>
      <c r="C1412" t="s">
        <v>41</v>
      </c>
      <c r="D1412">
        <v>119.24</v>
      </c>
      <c r="E1412">
        <v>24000</v>
      </c>
      <c r="F1412" t="s">
        <v>117</v>
      </c>
      <c r="G1412" t="s">
        <v>32</v>
      </c>
      <c r="H1412" t="s">
        <v>43</v>
      </c>
      <c r="I1412" t="s">
        <v>34</v>
      </c>
      <c r="J1412" t="s">
        <v>130</v>
      </c>
      <c r="K1412" t="s">
        <v>123</v>
      </c>
      <c r="L1412">
        <v>12</v>
      </c>
      <c r="M1412" t="s">
        <v>4311</v>
      </c>
      <c r="N1412" t="s">
        <v>152</v>
      </c>
    </row>
    <row r="1413" spans="1:14" x14ac:dyDescent="0.35">
      <c r="A1413" t="s">
        <v>4312</v>
      </c>
      <c r="B1413" t="s">
        <v>4313</v>
      </c>
      <c r="C1413" t="s">
        <v>81</v>
      </c>
      <c r="D1413">
        <v>89.02</v>
      </c>
      <c r="E1413">
        <v>2000</v>
      </c>
      <c r="F1413" t="s">
        <v>36</v>
      </c>
      <c r="G1413" t="s">
        <v>32</v>
      </c>
      <c r="H1413" t="s">
        <v>57</v>
      </c>
      <c r="J1413" t="s">
        <v>70</v>
      </c>
      <c r="K1413" t="s">
        <v>31</v>
      </c>
      <c r="L1413">
        <v>1</v>
      </c>
      <c r="M1413" t="s">
        <v>4314</v>
      </c>
      <c r="N1413" t="s">
        <v>1044</v>
      </c>
    </row>
    <row r="1414" spans="1:14" x14ac:dyDescent="0.35">
      <c r="A1414" t="s">
        <v>4315</v>
      </c>
      <c r="B1414" t="s">
        <v>4316</v>
      </c>
      <c r="C1414" t="s">
        <v>41</v>
      </c>
      <c r="D1414">
        <v>121.57</v>
      </c>
      <c r="E1414">
        <v>30000</v>
      </c>
      <c r="F1414" t="s">
        <v>31</v>
      </c>
      <c r="G1414" t="s">
        <v>32</v>
      </c>
      <c r="H1414" t="s">
        <v>43</v>
      </c>
      <c r="I1414" t="s">
        <v>129</v>
      </c>
      <c r="J1414" t="s">
        <v>92</v>
      </c>
      <c r="K1414" t="s">
        <v>51</v>
      </c>
      <c r="L1414">
        <v>9</v>
      </c>
      <c r="M1414" t="s">
        <v>1190</v>
      </c>
      <c r="N1414" t="s">
        <v>4317</v>
      </c>
    </row>
    <row r="1415" spans="1:14" x14ac:dyDescent="0.35">
      <c r="A1415" t="s">
        <v>4318</v>
      </c>
      <c r="B1415" t="s">
        <v>4319</v>
      </c>
      <c r="C1415" t="s">
        <v>30</v>
      </c>
      <c r="D1415">
        <v>119.25</v>
      </c>
      <c r="E1415">
        <v>1000</v>
      </c>
      <c r="F1415" t="s">
        <v>97</v>
      </c>
      <c r="G1415" t="s">
        <v>32</v>
      </c>
      <c r="H1415" t="s">
        <v>33</v>
      </c>
      <c r="J1415" t="s">
        <v>35</v>
      </c>
      <c r="K1415" t="s">
        <v>36</v>
      </c>
      <c r="L1415">
        <v>10</v>
      </c>
      <c r="N1415" t="s">
        <v>4320</v>
      </c>
    </row>
    <row r="1416" spans="1:14" x14ac:dyDescent="0.35">
      <c r="A1416" t="s">
        <v>4321</v>
      </c>
      <c r="B1416" t="s">
        <v>4322</v>
      </c>
      <c r="C1416" t="s">
        <v>30</v>
      </c>
      <c r="D1416">
        <v>183.91</v>
      </c>
      <c r="E1416">
        <v>8000</v>
      </c>
      <c r="F1416" t="s">
        <v>46</v>
      </c>
      <c r="G1416" t="s">
        <v>32</v>
      </c>
      <c r="H1416" t="s">
        <v>43</v>
      </c>
      <c r="I1416" t="s">
        <v>44</v>
      </c>
      <c r="J1416" t="s">
        <v>4323</v>
      </c>
      <c r="K1416" t="s">
        <v>236</v>
      </c>
      <c r="L1416">
        <v>3</v>
      </c>
      <c r="N1416" t="s">
        <v>4324</v>
      </c>
    </row>
    <row r="1417" spans="1:14" x14ac:dyDescent="0.35">
      <c r="A1417" t="s">
        <v>4325</v>
      </c>
      <c r="B1417" t="s">
        <v>4326</v>
      </c>
      <c r="C1417" t="s">
        <v>81</v>
      </c>
      <c r="D1417">
        <v>95.38</v>
      </c>
      <c r="E1417">
        <v>4000</v>
      </c>
      <c r="F1417" t="s">
        <v>36</v>
      </c>
      <c r="G1417" t="s">
        <v>32</v>
      </c>
      <c r="H1417" t="s">
        <v>33</v>
      </c>
      <c r="I1417" t="s">
        <v>34</v>
      </c>
      <c r="J1417" t="s">
        <v>75</v>
      </c>
      <c r="K1417" t="s">
        <v>76</v>
      </c>
      <c r="L1417">
        <v>15</v>
      </c>
      <c r="M1417" t="s">
        <v>593</v>
      </c>
      <c r="N1417" t="s">
        <v>4140</v>
      </c>
    </row>
    <row r="1418" spans="1:14" x14ac:dyDescent="0.35">
      <c r="A1418" t="s">
        <v>4327</v>
      </c>
      <c r="B1418" t="s">
        <v>4328</v>
      </c>
      <c r="C1418" t="s">
        <v>81</v>
      </c>
      <c r="D1418">
        <v>91.27</v>
      </c>
      <c r="E1418">
        <v>9000</v>
      </c>
      <c r="F1418" t="s">
        <v>87</v>
      </c>
      <c r="G1418" t="s">
        <v>102</v>
      </c>
      <c r="H1418" t="s">
        <v>43</v>
      </c>
      <c r="I1418" t="s">
        <v>44</v>
      </c>
      <c r="J1418" t="s">
        <v>92</v>
      </c>
      <c r="K1418" t="s">
        <v>51</v>
      </c>
      <c r="L1418">
        <v>22</v>
      </c>
      <c r="N1418" t="s">
        <v>4329</v>
      </c>
    </row>
    <row r="1419" spans="1:14" x14ac:dyDescent="0.35">
      <c r="A1419" t="s">
        <v>4330</v>
      </c>
      <c r="B1419" t="s">
        <v>4331</v>
      </c>
      <c r="C1419" t="s">
        <v>81</v>
      </c>
      <c r="D1419">
        <v>73.13</v>
      </c>
      <c r="E1419">
        <v>10000</v>
      </c>
      <c r="F1419" t="s">
        <v>76</v>
      </c>
      <c r="G1419" t="s">
        <v>32</v>
      </c>
      <c r="H1419" t="s">
        <v>43</v>
      </c>
      <c r="J1419" t="s">
        <v>235</v>
      </c>
      <c r="K1419" t="s">
        <v>236</v>
      </c>
      <c r="L1419">
        <v>17</v>
      </c>
      <c r="M1419" t="s">
        <v>335</v>
      </c>
      <c r="N1419" t="s">
        <v>1173</v>
      </c>
    </row>
    <row r="1420" spans="1:14" x14ac:dyDescent="0.35">
      <c r="A1420" t="s">
        <v>4332</v>
      </c>
      <c r="B1420" t="s">
        <v>4333</v>
      </c>
      <c r="C1420" t="s">
        <v>81</v>
      </c>
      <c r="D1420">
        <v>95.33</v>
      </c>
      <c r="E1420">
        <v>10000</v>
      </c>
      <c r="F1420" t="s">
        <v>106</v>
      </c>
      <c r="G1420" t="s">
        <v>32</v>
      </c>
      <c r="H1420" t="s">
        <v>43</v>
      </c>
      <c r="I1420" t="s">
        <v>34</v>
      </c>
      <c r="J1420" t="s">
        <v>1807</v>
      </c>
      <c r="K1420" t="s">
        <v>139</v>
      </c>
      <c r="L1420">
        <v>11</v>
      </c>
      <c r="N1420" t="s">
        <v>2844</v>
      </c>
    </row>
    <row r="1421" spans="1:14" x14ac:dyDescent="0.35">
      <c r="A1421" t="s">
        <v>4334</v>
      </c>
      <c r="B1421" t="s">
        <v>4335</v>
      </c>
      <c r="C1421" t="s">
        <v>62</v>
      </c>
      <c r="D1421">
        <v>68.08</v>
      </c>
      <c r="E1421">
        <v>3000</v>
      </c>
      <c r="F1421" t="s">
        <v>51</v>
      </c>
      <c r="G1421" t="s">
        <v>32</v>
      </c>
      <c r="H1421" t="s">
        <v>43</v>
      </c>
      <c r="I1421" t="s">
        <v>44</v>
      </c>
      <c r="J1421" t="s">
        <v>107</v>
      </c>
      <c r="K1421" t="s">
        <v>87</v>
      </c>
      <c r="L1421">
        <v>3</v>
      </c>
      <c r="M1421" t="s">
        <v>284</v>
      </c>
      <c r="N1421" t="s">
        <v>1532</v>
      </c>
    </row>
    <row r="1422" spans="1:14" x14ac:dyDescent="0.35">
      <c r="A1422" t="s">
        <v>4336</v>
      </c>
      <c r="B1422" t="s">
        <v>4337</v>
      </c>
      <c r="C1422" t="s">
        <v>69</v>
      </c>
      <c r="D1422">
        <v>87.13</v>
      </c>
      <c r="E1422">
        <v>57000</v>
      </c>
      <c r="F1422" t="s">
        <v>236</v>
      </c>
      <c r="G1422" t="s">
        <v>32</v>
      </c>
      <c r="H1422" t="s">
        <v>43</v>
      </c>
      <c r="I1422" t="s">
        <v>129</v>
      </c>
      <c r="J1422" t="s">
        <v>1452</v>
      </c>
      <c r="K1422" t="s">
        <v>42</v>
      </c>
      <c r="L1422">
        <v>12</v>
      </c>
      <c r="N1422" t="s">
        <v>4338</v>
      </c>
    </row>
    <row r="1423" spans="1:14" x14ac:dyDescent="0.35">
      <c r="A1423" t="s">
        <v>4339</v>
      </c>
      <c r="B1423" t="s">
        <v>4340</v>
      </c>
      <c r="C1423" t="s">
        <v>116</v>
      </c>
      <c r="D1423">
        <v>6.37</v>
      </c>
      <c r="E1423">
        <v>500</v>
      </c>
      <c r="F1423" t="s">
        <v>97</v>
      </c>
      <c r="G1423" t="s">
        <v>32</v>
      </c>
      <c r="H1423" t="s">
        <v>43</v>
      </c>
      <c r="J1423" t="s">
        <v>107</v>
      </c>
      <c r="K1423" t="s">
        <v>87</v>
      </c>
      <c r="L1423">
        <v>23</v>
      </c>
      <c r="M1423" t="s">
        <v>807</v>
      </c>
      <c r="N1423" t="s">
        <v>895</v>
      </c>
    </row>
    <row r="1424" spans="1:14" x14ac:dyDescent="0.35">
      <c r="A1424" t="s">
        <v>4341</v>
      </c>
      <c r="B1424" t="s">
        <v>4342</v>
      </c>
      <c r="C1424" t="s">
        <v>30</v>
      </c>
      <c r="D1424">
        <v>167.8</v>
      </c>
      <c r="E1424">
        <v>18000</v>
      </c>
      <c r="F1424" t="s">
        <v>123</v>
      </c>
      <c r="G1424" t="s">
        <v>32</v>
      </c>
      <c r="H1424" t="s">
        <v>33</v>
      </c>
      <c r="I1424" t="s">
        <v>44</v>
      </c>
      <c r="J1424" t="s">
        <v>112</v>
      </c>
      <c r="K1424" t="s">
        <v>106</v>
      </c>
      <c r="L1424">
        <v>1</v>
      </c>
      <c r="N1424" t="s">
        <v>984</v>
      </c>
    </row>
    <row r="1425" spans="1:14" x14ac:dyDescent="0.35">
      <c r="A1425" t="s">
        <v>4343</v>
      </c>
      <c r="B1425" t="s">
        <v>4344</v>
      </c>
      <c r="C1425" t="s">
        <v>62</v>
      </c>
      <c r="D1425">
        <v>78.58</v>
      </c>
      <c r="E1425">
        <v>3000</v>
      </c>
      <c r="F1425" t="s">
        <v>117</v>
      </c>
      <c r="G1425" t="s">
        <v>32</v>
      </c>
      <c r="H1425" t="s">
        <v>43</v>
      </c>
      <c r="I1425" t="s">
        <v>34</v>
      </c>
      <c r="J1425" t="s">
        <v>679</v>
      </c>
      <c r="K1425" t="s">
        <v>139</v>
      </c>
      <c r="L1425">
        <v>15</v>
      </c>
      <c r="M1425" t="s">
        <v>4045</v>
      </c>
      <c r="N1425" t="s">
        <v>2370</v>
      </c>
    </row>
    <row r="1426" spans="1:14" x14ac:dyDescent="0.35">
      <c r="A1426" t="s">
        <v>4345</v>
      </c>
      <c r="B1426" t="s">
        <v>4346</v>
      </c>
      <c r="C1426" t="s">
        <v>41</v>
      </c>
      <c r="D1426">
        <v>120.67</v>
      </c>
      <c r="E1426">
        <v>23000</v>
      </c>
      <c r="F1426" t="s">
        <v>97</v>
      </c>
      <c r="G1426" t="s">
        <v>32</v>
      </c>
      <c r="H1426" t="s">
        <v>57</v>
      </c>
      <c r="I1426" t="s">
        <v>34</v>
      </c>
      <c r="J1426" t="s">
        <v>235</v>
      </c>
      <c r="K1426" t="s">
        <v>236</v>
      </c>
      <c r="L1426">
        <v>0</v>
      </c>
      <c r="M1426" t="s">
        <v>1486</v>
      </c>
      <c r="N1426" t="s">
        <v>1337</v>
      </c>
    </row>
    <row r="1427" spans="1:14" x14ac:dyDescent="0.35">
      <c r="A1427" t="s">
        <v>4347</v>
      </c>
      <c r="B1427" t="s">
        <v>4348</v>
      </c>
      <c r="C1427" t="s">
        <v>41</v>
      </c>
      <c r="D1427">
        <v>102.42</v>
      </c>
      <c r="E1427">
        <v>40000</v>
      </c>
      <c r="F1427" t="s">
        <v>36</v>
      </c>
      <c r="G1427" t="s">
        <v>32</v>
      </c>
      <c r="H1427" t="s">
        <v>33</v>
      </c>
      <c r="I1427" t="s">
        <v>129</v>
      </c>
      <c r="J1427" t="s">
        <v>107</v>
      </c>
      <c r="K1427" t="s">
        <v>87</v>
      </c>
      <c r="L1427">
        <v>8</v>
      </c>
      <c r="M1427" t="s">
        <v>342</v>
      </c>
      <c r="N1427" t="s">
        <v>4349</v>
      </c>
    </row>
    <row r="1428" spans="1:14" x14ac:dyDescent="0.35">
      <c r="A1428" t="s">
        <v>4350</v>
      </c>
      <c r="B1428" t="s">
        <v>4351</v>
      </c>
      <c r="C1428" t="s">
        <v>69</v>
      </c>
      <c r="D1428">
        <v>65.59</v>
      </c>
      <c r="E1428">
        <v>54000</v>
      </c>
      <c r="F1428" t="s">
        <v>46</v>
      </c>
      <c r="G1428" t="s">
        <v>32</v>
      </c>
      <c r="H1428" t="s">
        <v>57</v>
      </c>
      <c r="I1428" t="s">
        <v>44</v>
      </c>
      <c r="J1428" t="s">
        <v>75</v>
      </c>
      <c r="K1428" t="s">
        <v>76</v>
      </c>
      <c r="L1428">
        <v>5</v>
      </c>
      <c r="M1428" t="s">
        <v>3934</v>
      </c>
      <c r="N1428" t="s">
        <v>4352</v>
      </c>
    </row>
    <row r="1429" spans="1:14" x14ac:dyDescent="0.35">
      <c r="A1429" t="s">
        <v>4353</v>
      </c>
      <c r="B1429" t="s">
        <v>4354</v>
      </c>
      <c r="C1429" t="s">
        <v>30</v>
      </c>
      <c r="D1429">
        <v>178.3</v>
      </c>
      <c r="E1429">
        <v>11000</v>
      </c>
      <c r="F1429" t="s">
        <v>76</v>
      </c>
      <c r="G1429" t="s">
        <v>32</v>
      </c>
      <c r="H1429" t="s">
        <v>43</v>
      </c>
      <c r="I1429" t="s">
        <v>44</v>
      </c>
      <c r="J1429" t="s">
        <v>130</v>
      </c>
      <c r="K1429" t="s">
        <v>123</v>
      </c>
      <c r="L1429">
        <v>4</v>
      </c>
      <c r="M1429" t="s">
        <v>1111</v>
      </c>
      <c r="N1429" t="s">
        <v>811</v>
      </c>
    </row>
    <row r="1430" spans="1:14" x14ac:dyDescent="0.35">
      <c r="A1430" t="s">
        <v>4355</v>
      </c>
      <c r="B1430" t="s">
        <v>4356</v>
      </c>
      <c r="C1430" t="s">
        <v>69</v>
      </c>
      <c r="D1430">
        <v>58.76</v>
      </c>
      <c r="E1430">
        <v>28000</v>
      </c>
      <c r="F1430" t="s">
        <v>117</v>
      </c>
      <c r="G1430" t="s">
        <v>32</v>
      </c>
      <c r="H1430" t="s">
        <v>43</v>
      </c>
      <c r="I1430" t="s">
        <v>34</v>
      </c>
      <c r="J1430" t="s">
        <v>130</v>
      </c>
      <c r="K1430" t="s">
        <v>123</v>
      </c>
      <c r="L1430">
        <v>15</v>
      </c>
      <c r="N1430" t="s">
        <v>2768</v>
      </c>
    </row>
    <row r="1431" spans="1:14" x14ac:dyDescent="0.35">
      <c r="A1431" t="s">
        <v>4357</v>
      </c>
      <c r="B1431" t="s">
        <v>4358</v>
      </c>
      <c r="C1431" t="s">
        <v>81</v>
      </c>
      <c r="D1431">
        <v>122.61</v>
      </c>
      <c r="E1431">
        <v>3000</v>
      </c>
      <c r="F1431" t="s">
        <v>64</v>
      </c>
      <c r="G1431" t="s">
        <v>32</v>
      </c>
      <c r="H1431" t="s">
        <v>33</v>
      </c>
      <c r="I1431" t="s">
        <v>129</v>
      </c>
      <c r="J1431" t="s">
        <v>209</v>
      </c>
      <c r="K1431" t="s">
        <v>74</v>
      </c>
      <c r="L1431">
        <v>23</v>
      </c>
      <c r="N1431" t="s">
        <v>4359</v>
      </c>
    </row>
    <row r="1432" spans="1:14" x14ac:dyDescent="0.35">
      <c r="A1432" t="s">
        <v>4360</v>
      </c>
      <c r="B1432" t="s">
        <v>4361</v>
      </c>
      <c r="C1432" t="s">
        <v>116</v>
      </c>
      <c r="D1432">
        <v>7.35</v>
      </c>
      <c r="E1432">
        <v>400</v>
      </c>
      <c r="F1432" t="s">
        <v>97</v>
      </c>
      <c r="G1432" t="s">
        <v>32</v>
      </c>
      <c r="H1432" t="s">
        <v>43</v>
      </c>
      <c r="I1432" t="s">
        <v>34</v>
      </c>
      <c r="J1432" t="s">
        <v>4362</v>
      </c>
      <c r="K1432" t="s">
        <v>147</v>
      </c>
      <c r="L1432">
        <v>16</v>
      </c>
      <c r="M1432" t="s">
        <v>1196</v>
      </c>
      <c r="N1432" t="s">
        <v>4363</v>
      </c>
    </row>
    <row r="1433" spans="1:14" x14ac:dyDescent="0.35">
      <c r="A1433" t="s">
        <v>4364</v>
      </c>
      <c r="B1433" t="s">
        <v>4365</v>
      </c>
      <c r="C1433" t="s">
        <v>69</v>
      </c>
      <c r="D1433">
        <v>65.69</v>
      </c>
      <c r="E1433">
        <v>74000</v>
      </c>
      <c r="F1433" t="s">
        <v>117</v>
      </c>
      <c r="G1433" t="s">
        <v>32</v>
      </c>
      <c r="H1433" t="s">
        <v>57</v>
      </c>
      <c r="I1433" t="s">
        <v>44</v>
      </c>
      <c r="J1433" t="s">
        <v>118</v>
      </c>
      <c r="K1433" t="s">
        <v>42</v>
      </c>
      <c r="L1433">
        <v>7</v>
      </c>
      <c r="N1433" t="s">
        <v>1465</v>
      </c>
    </row>
    <row r="1434" spans="1:14" x14ac:dyDescent="0.35">
      <c r="A1434" t="s">
        <v>4366</v>
      </c>
      <c r="B1434" t="s">
        <v>4367</v>
      </c>
      <c r="C1434" t="s">
        <v>62</v>
      </c>
      <c r="D1434">
        <v>58.74</v>
      </c>
      <c r="E1434">
        <v>5000</v>
      </c>
      <c r="F1434" t="s">
        <v>46</v>
      </c>
      <c r="G1434" t="s">
        <v>32</v>
      </c>
      <c r="H1434" t="s">
        <v>33</v>
      </c>
      <c r="I1434" t="s">
        <v>34</v>
      </c>
      <c r="J1434" t="s">
        <v>2803</v>
      </c>
      <c r="K1434" t="s">
        <v>147</v>
      </c>
      <c r="L1434">
        <v>18</v>
      </c>
      <c r="M1434" t="s">
        <v>786</v>
      </c>
      <c r="N1434" t="s">
        <v>1078</v>
      </c>
    </row>
    <row r="1435" spans="1:14" x14ac:dyDescent="0.35">
      <c r="A1435" t="s">
        <v>4368</v>
      </c>
      <c r="B1435" t="s">
        <v>4369</v>
      </c>
      <c r="C1435" t="s">
        <v>30</v>
      </c>
      <c r="D1435">
        <v>131.01</v>
      </c>
      <c r="E1435">
        <v>1000</v>
      </c>
      <c r="F1435" t="s">
        <v>64</v>
      </c>
      <c r="G1435" t="s">
        <v>32</v>
      </c>
      <c r="H1435" t="s">
        <v>43</v>
      </c>
      <c r="J1435" t="s">
        <v>124</v>
      </c>
      <c r="K1435" t="s">
        <v>117</v>
      </c>
      <c r="L1435">
        <v>2</v>
      </c>
      <c r="M1435" t="s">
        <v>156</v>
      </c>
      <c r="N1435" t="s">
        <v>4370</v>
      </c>
    </row>
    <row r="1436" spans="1:14" x14ac:dyDescent="0.35">
      <c r="A1436" t="s">
        <v>4371</v>
      </c>
      <c r="B1436" t="s">
        <v>4372</v>
      </c>
      <c r="C1436" t="s">
        <v>30</v>
      </c>
      <c r="D1436">
        <v>153.38999999999999</v>
      </c>
      <c r="E1436">
        <v>18000</v>
      </c>
      <c r="F1436" t="s">
        <v>147</v>
      </c>
      <c r="G1436" t="s">
        <v>32</v>
      </c>
      <c r="H1436" t="s">
        <v>57</v>
      </c>
      <c r="I1436" t="s">
        <v>44</v>
      </c>
      <c r="J1436" t="s">
        <v>75</v>
      </c>
      <c r="K1436" t="s">
        <v>76</v>
      </c>
      <c r="L1436">
        <v>0</v>
      </c>
      <c r="M1436" t="s">
        <v>1691</v>
      </c>
      <c r="N1436" t="s">
        <v>4185</v>
      </c>
    </row>
    <row r="1437" spans="1:14" x14ac:dyDescent="0.35">
      <c r="A1437" t="s">
        <v>4373</v>
      </c>
      <c r="B1437" t="s">
        <v>4374</v>
      </c>
      <c r="C1437" t="s">
        <v>116</v>
      </c>
      <c r="D1437">
        <v>7.08</v>
      </c>
      <c r="E1437">
        <v>600</v>
      </c>
      <c r="F1437" t="s">
        <v>74</v>
      </c>
      <c r="G1437" t="s">
        <v>32</v>
      </c>
      <c r="H1437" t="s">
        <v>57</v>
      </c>
      <c r="J1437" t="s">
        <v>63</v>
      </c>
      <c r="K1437" t="s">
        <v>64</v>
      </c>
      <c r="L1437">
        <v>6</v>
      </c>
      <c r="M1437" t="s">
        <v>1387</v>
      </c>
      <c r="N1437" t="s">
        <v>4375</v>
      </c>
    </row>
    <row r="1438" spans="1:14" x14ac:dyDescent="0.35">
      <c r="A1438" t="s">
        <v>4376</v>
      </c>
      <c r="B1438" t="s">
        <v>4377</v>
      </c>
      <c r="C1438" t="s">
        <v>116</v>
      </c>
      <c r="D1438">
        <v>7.89</v>
      </c>
      <c r="E1438">
        <v>200</v>
      </c>
      <c r="F1438" t="s">
        <v>64</v>
      </c>
      <c r="G1438" t="s">
        <v>32</v>
      </c>
      <c r="H1438" t="s">
        <v>43</v>
      </c>
      <c r="I1438" t="s">
        <v>34</v>
      </c>
      <c r="J1438" t="s">
        <v>4378</v>
      </c>
      <c r="K1438" t="s">
        <v>147</v>
      </c>
      <c r="L1438">
        <v>22</v>
      </c>
      <c r="M1438" t="s">
        <v>4379</v>
      </c>
      <c r="N1438" t="s">
        <v>1795</v>
      </c>
    </row>
    <row r="1439" spans="1:14" x14ac:dyDescent="0.35">
      <c r="A1439" t="s">
        <v>4380</v>
      </c>
      <c r="B1439" t="s">
        <v>4381</v>
      </c>
      <c r="C1439" t="s">
        <v>116</v>
      </c>
      <c r="D1439">
        <v>11.28</v>
      </c>
      <c r="E1439">
        <v>400</v>
      </c>
      <c r="F1439" t="s">
        <v>36</v>
      </c>
      <c r="G1439" t="s">
        <v>32</v>
      </c>
      <c r="H1439" t="s">
        <v>43</v>
      </c>
      <c r="I1439" t="s">
        <v>44</v>
      </c>
      <c r="J1439" t="s">
        <v>45</v>
      </c>
      <c r="K1439" t="s">
        <v>46</v>
      </c>
      <c r="L1439">
        <v>13</v>
      </c>
      <c r="M1439" t="s">
        <v>539</v>
      </c>
      <c r="N1439" t="s">
        <v>1112</v>
      </c>
    </row>
    <row r="1440" spans="1:14" x14ac:dyDescent="0.35">
      <c r="A1440" t="s">
        <v>4382</v>
      </c>
      <c r="B1440" t="s">
        <v>4383</v>
      </c>
      <c r="C1440" t="s">
        <v>41</v>
      </c>
      <c r="D1440">
        <v>147.4</v>
      </c>
      <c r="E1440">
        <v>30000</v>
      </c>
      <c r="F1440" t="s">
        <v>147</v>
      </c>
      <c r="G1440" t="s">
        <v>32</v>
      </c>
      <c r="H1440" t="s">
        <v>57</v>
      </c>
      <c r="I1440" t="s">
        <v>44</v>
      </c>
      <c r="J1440" t="s">
        <v>107</v>
      </c>
      <c r="K1440" t="s">
        <v>87</v>
      </c>
      <c r="L1440">
        <v>12</v>
      </c>
      <c r="N1440" t="s">
        <v>4384</v>
      </c>
    </row>
    <row r="1441" spans="1:14" x14ac:dyDescent="0.35">
      <c r="A1441" t="s">
        <v>4385</v>
      </c>
      <c r="B1441" t="s">
        <v>4386</v>
      </c>
      <c r="C1441" t="s">
        <v>30</v>
      </c>
      <c r="D1441">
        <v>167.33</v>
      </c>
      <c r="E1441">
        <v>10000</v>
      </c>
      <c r="F1441" t="s">
        <v>51</v>
      </c>
      <c r="G1441" t="s">
        <v>32</v>
      </c>
      <c r="H1441" t="s">
        <v>57</v>
      </c>
      <c r="I1441" t="s">
        <v>34</v>
      </c>
      <c r="J1441" t="s">
        <v>4387</v>
      </c>
      <c r="K1441" t="s">
        <v>139</v>
      </c>
      <c r="L1441">
        <v>3</v>
      </c>
      <c r="M1441" t="s">
        <v>4314</v>
      </c>
      <c r="N1441" t="s">
        <v>4388</v>
      </c>
    </row>
    <row r="1442" spans="1:14" x14ac:dyDescent="0.35">
      <c r="A1442" t="s">
        <v>4389</v>
      </c>
      <c r="B1442" t="s">
        <v>4390</v>
      </c>
      <c r="C1442" t="s">
        <v>62</v>
      </c>
      <c r="D1442">
        <v>87.93</v>
      </c>
      <c r="E1442">
        <v>5000</v>
      </c>
      <c r="F1442" t="s">
        <v>87</v>
      </c>
      <c r="G1442" t="s">
        <v>32</v>
      </c>
      <c r="H1442" t="s">
        <v>57</v>
      </c>
      <c r="I1442" t="s">
        <v>34</v>
      </c>
      <c r="J1442" t="s">
        <v>130</v>
      </c>
      <c r="K1442" t="s">
        <v>123</v>
      </c>
      <c r="L1442">
        <v>5</v>
      </c>
      <c r="M1442" t="s">
        <v>231</v>
      </c>
      <c r="N1442" t="s">
        <v>1925</v>
      </c>
    </row>
    <row r="1443" spans="1:14" x14ac:dyDescent="0.35">
      <c r="A1443" t="s">
        <v>4391</v>
      </c>
      <c r="B1443" t="s">
        <v>4392</v>
      </c>
      <c r="C1443" t="s">
        <v>41</v>
      </c>
      <c r="D1443">
        <v>129.71</v>
      </c>
      <c r="E1443">
        <v>19000</v>
      </c>
      <c r="F1443" t="s">
        <v>74</v>
      </c>
      <c r="G1443" t="s">
        <v>32</v>
      </c>
      <c r="H1443" t="s">
        <v>33</v>
      </c>
      <c r="I1443" t="s">
        <v>34</v>
      </c>
      <c r="J1443" t="s">
        <v>2122</v>
      </c>
      <c r="K1443" t="s">
        <v>97</v>
      </c>
      <c r="L1443">
        <v>5</v>
      </c>
      <c r="M1443" t="s">
        <v>2754</v>
      </c>
      <c r="N1443" t="s">
        <v>905</v>
      </c>
    </row>
    <row r="1444" spans="1:14" x14ac:dyDescent="0.35">
      <c r="A1444" t="s">
        <v>4393</v>
      </c>
      <c r="B1444" t="s">
        <v>4394</v>
      </c>
      <c r="C1444" t="s">
        <v>81</v>
      </c>
      <c r="D1444">
        <v>122.18</v>
      </c>
      <c r="E1444">
        <v>2000</v>
      </c>
      <c r="F1444" t="s">
        <v>74</v>
      </c>
      <c r="G1444" t="s">
        <v>32</v>
      </c>
      <c r="H1444" t="s">
        <v>57</v>
      </c>
      <c r="I1444" t="s">
        <v>44</v>
      </c>
      <c r="J1444" t="s">
        <v>118</v>
      </c>
      <c r="K1444" t="s">
        <v>42</v>
      </c>
      <c r="L1444">
        <v>10</v>
      </c>
      <c r="M1444" t="s">
        <v>434</v>
      </c>
      <c r="N1444" t="s">
        <v>2654</v>
      </c>
    </row>
    <row r="1445" spans="1:14" x14ac:dyDescent="0.35">
      <c r="A1445" t="s">
        <v>4395</v>
      </c>
      <c r="B1445" t="s">
        <v>4396</v>
      </c>
      <c r="C1445" t="s">
        <v>116</v>
      </c>
      <c r="D1445">
        <v>10.39</v>
      </c>
      <c r="E1445">
        <v>300</v>
      </c>
      <c r="F1445" t="s">
        <v>46</v>
      </c>
      <c r="G1445" t="s">
        <v>32</v>
      </c>
      <c r="H1445" t="s">
        <v>57</v>
      </c>
      <c r="I1445" t="s">
        <v>34</v>
      </c>
      <c r="J1445" t="s">
        <v>209</v>
      </c>
      <c r="K1445" t="s">
        <v>74</v>
      </c>
      <c r="L1445">
        <v>15</v>
      </c>
      <c r="M1445" t="s">
        <v>2265</v>
      </c>
      <c r="N1445" t="s">
        <v>4359</v>
      </c>
    </row>
    <row r="1446" spans="1:14" x14ac:dyDescent="0.35">
      <c r="A1446" t="s">
        <v>4397</v>
      </c>
      <c r="B1446" t="s">
        <v>4398</v>
      </c>
      <c r="C1446" t="s">
        <v>30</v>
      </c>
      <c r="D1446">
        <v>103.87</v>
      </c>
      <c r="E1446">
        <v>17000</v>
      </c>
      <c r="F1446" t="s">
        <v>147</v>
      </c>
      <c r="G1446" t="s">
        <v>32</v>
      </c>
      <c r="H1446" t="s">
        <v>43</v>
      </c>
      <c r="J1446" t="s">
        <v>63</v>
      </c>
      <c r="K1446" t="s">
        <v>64</v>
      </c>
      <c r="L1446">
        <v>9</v>
      </c>
      <c r="M1446" t="s">
        <v>1050</v>
      </c>
      <c r="N1446" t="s">
        <v>2022</v>
      </c>
    </row>
    <row r="1447" spans="1:14" x14ac:dyDescent="0.35">
      <c r="A1447" t="s">
        <v>4399</v>
      </c>
      <c r="B1447" t="s">
        <v>4400</v>
      </c>
      <c r="C1447" t="s">
        <v>81</v>
      </c>
      <c r="D1447">
        <v>93.8</v>
      </c>
      <c r="E1447">
        <v>9000</v>
      </c>
      <c r="F1447" t="s">
        <v>64</v>
      </c>
      <c r="G1447" t="s">
        <v>32</v>
      </c>
      <c r="H1447" t="s">
        <v>57</v>
      </c>
      <c r="I1447" t="s">
        <v>44</v>
      </c>
      <c r="J1447" t="s">
        <v>75</v>
      </c>
      <c r="K1447" t="s">
        <v>76</v>
      </c>
      <c r="L1447">
        <v>21</v>
      </c>
      <c r="N1447" t="s">
        <v>4401</v>
      </c>
    </row>
    <row r="1448" spans="1:14" x14ac:dyDescent="0.35">
      <c r="A1448" t="s">
        <v>4402</v>
      </c>
      <c r="B1448" t="s">
        <v>4403</v>
      </c>
      <c r="C1448" t="s">
        <v>30</v>
      </c>
      <c r="D1448">
        <v>125.01</v>
      </c>
      <c r="E1448">
        <v>1000</v>
      </c>
      <c r="F1448" t="s">
        <v>87</v>
      </c>
      <c r="G1448" t="s">
        <v>32</v>
      </c>
      <c r="H1448" t="s">
        <v>43</v>
      </c>
      <c r="I1448" t="s">
        <v>34</v>
      </c>
      <c r="J1448" t="s">
        <v>130</v>
      </c>
      <c r="K1448" t="s">
        <v>123</v>
      </c>
      <c r="L1448">
        <v>2</v>
      </c>
      <c r="N1448" t="s">
        <v>4404</v>
      </c>
    </row>
    <row r="1449" spans="1:14" x14ac:dyDescent="0.35">
      <c r="A1449" t="s">
        <v>4405</v>
      </c>
      <c r="B1449" t="s">
        <v>4406</v>
      </c>
      <c r="C1449" t="s">
        <v>81</v>
      </c>
      <c r="D1449">
        <v>74.75</v>
      </c>
      <c r="E1449">
        <v>6000</v>
      </c>
      <c r="F1449" t="s">
        <v>123</v>
      </c>
      <c r="G1449" t="s">
        <v>32</v>
      </c>
      <c r="H1449" t="s">
        <v>43</v>
      </c>
      <c r="I1449" t="s">
        <v>129</v>
      </c>
      <c r="J1449" t="s">
        <v>75</v>
      </c>
      <c r="K1449" t="s">
        <v>76</v>
      </c>
      <c r="L1449">
        <v>2</v>
      </c>
      <c r="M1449" t="s">
        <v>1040</v>
      </c>
      <c r="N1449" t="s">
        <v>4388</v>
      </c>
    </row>
    <row r="1450" spans="1:14" x14ac:dyDescent="0.35">
      <c r="A1450" t="s">
        <v>4407</v>
      </c>
      <c r="B1450" t="s">
        <v>4408</v>
      </c>
      <c r="C1450" t="s">
        <v>69</v>
      </c>
      <c r="D1450">
        <v>91.09</v>
      </c>
      <c r="E1450">
        <v>87000</v>
      </c>
      <c r="F1450" t="s">
        <v>51</v>
      </c>
      <c r="G1450" t="s">
        <v>32</v>
      </c>
      <c r="H1450" t="s">
        <v>33</v>
      </c>
      <c r="I1450" t="s">
        <v>34</v>
      </c>
      <c r="J1450" t="s">
        <v>278</v>
      </c>
      <c r="K1450" t="s">
        <v>97</v>
      </c>
      <c r="L1450">
        <v>21</v>
      </c>
      <c r="N1450" t="s">
        <v>1090</v>
      </c>
    </row>
    <row r="1451" spans="1:14" x14ac:dyDescent="0.35">
      <c r="A1451" t="s">
        <v>4409</v>
      </c>
      <c r="B1451" t="s">
        <v>4410</v>
      </c>
      <c r="C1451" t="s">
        <v>62</v>
      </c>
      <c r="D1451">
        <v>60.19</v>
      </c>
      <c r="E1451">
        <v>3000</v>
      </c>
      <c r="F1451" t="s">
        <v>74</v>
      </c>
      <c r="G1451" t="s">
        <v>32</v>
      </c>
      <c r="H1451" t="s">
        <v>43</v>
      </c>
      <c r="I1451" t="s">
        <v>34</v>
      </c>
      <c r="J1451" t="s">
        <v>4411</v>
      </c>
      <c r="K1451" t="s">
        <v>51</v>
      </c>
      <c r="L1451">
        <v>9</v>
      </c>
      <c r="M1451" t="s">
        <v>3794</v>
      </c>
      <c r="N1451" t="s">
        <v>1554</v>
      </c>
    </row>
    <row r="1452" spans="1:14" x14ac:dyDescent="0.35">
      <c r="A1452" t="s">
        <v>4412</v>
      </c>
      <c r="B1452" t="s">
        <v>4413</v>
      </c>
      <c r="C1452" t="s">
        <v>62</v>
      </c>
      <c r="D1452">
        <v>58.44</v>
      </c>
      <c r="E1452">
        <v>5000</v>
      </c>
      <c r="F1452" t="s">
        <v>97</v>
      </c>
      <c r="G1452" t="s">
        <v>32</v>
      </c>
      <c r="H1452" t="s">
        <v>43</v>
      </c>
      <c r="I1452" t="s">
        <v>34</v>
      </c>
      <c r="J1452" t="s">
        <v>830</v>
      </c>
      <c r="K1452" t="s">
        <v>51</v>
      </c>
      <c r="L1452">
        <v>3</v>
      </c>
      <c r="N1452" t="s">
        <v>2466</v>
      </c>
    </row>
    <row r="1453" spans="1:14" x14ac:dyDescent="0.35">
      <c r="A1453" t="s">
        <v>4414</v>
      </c>
      <c r="B1453" t="s">
        <v>4415</v>
      </c>
      <c r="C1453" t="s">
        <v>30</v>
      </c>
      <c r="D1453">
        <v>125.33</v>
      </c>
      <c r="E1453">
        <v>13000</v>
      </c>
      <c r="F1453" t="s">
        <v>87</v>
      </c>
      <c r="G1453" t="s">
        <v>32</v>
      </c>
      <c r="H1453" t="s">
        <v>57</v>
      </c>
      <c r="J1453" t="s">
        <v>63</v>
      </c>
      <c r="K1453" t="s">
        <v>64</v>
      </c>
      <c r="L1453">
        <v>22</v>
      </c>
      <c r="N1453" t="s">
        <v>3711</v>
      </c>
    </row>
    <row r="1454" spans="1:14" x14ac:dyDescent="0.35">
      <c r="A1454" t="s">
        <v>4416</v>
      </c>
      <c r="B1454" t="s">
        <v>4417</v>
      </c>
      <c r="C1454" t="s">
        <v>69</v>
      </c>
      <c r="D1454">
        <v>76.72</v>
      </c>
      <c r="E1454">
        <v>49000</v>
      </c>
      <c r="F1454" t="s">
        <v>46</v>
      </c>
      <c r="G1454" t="s">
        <v>32</v>
      </c>
      <c r="H1454" t="s">
        <v>33</v>
      </c>
      <c r="I1454" t="s">
        <v>44</v>
      </c>
      <c r="J1454" t="s">
        <v>35</v>
      </c>
      <c r="K1454" t="s">
        <v>36</v>
      </c>
      <c r="L1454">
        <v>0</v>
      </c>
      <c r="M1454" t="s">
        <v>3410</v>
      </c>
      <c r="N1454" t="s">
        <v>379</v>
      </c>
    </row>
    <row r="1455" spans="1:14" x14ac:dyDescent="0.35">
      <c r="A1455" t="s">
        <v>4418</v>
      </c>
      <c r="B1455" t="s">
        <v>4419</v>
      </c>
      <c r="C1455" t="s">
        <v>69</v>
      </c>
      <c r="D1455">
        <v>56.12</v>
      </c>
      <c r="E1455">
        <v>47000</v>
      </c>
      <c r="F1455" t="s">
        <v>51</v>
      </c>
      <c r="G1455" t="s">
        <v>32</v>
      </c>
      <c r="H1455" t="s">
        <v>43</v>
      </c>
      <c r="I1455" t="s">
        <v>129</v>
      </c>
      <c r="J1455" t="s">
        <v>1441</v>
      </c>
      <c r="K1455" t="s">
        <v>147</v>
      </c>
      <c r="L1455">
        <v>20</v>
      </c>
      <c r="M1455" t="s">
        <v>4420</v>
      </c>
      <c r="N1455" t="s">
        <v>4421</v>
      </c>
    </row>
    <row r="1456" spans="1:14" x14ac:dyDescent="0.35">
      <c r="A1456" t="s">
        <v>4422</v>
      </c>
      <c r="B1456" t="s">
        <v>4423</v>
      </c>
      <c r="C1456" t="s">
        <v>30</v>
      </c>
      <c r="D1456">
        <v>130.31</v>
      </c>
      <c r="E1456">
        <v>19000</v>
      </c>
      <c r="F1456" t="s">
        <v>87</v>
      </c>
      <c r="G1456" t="s">
        <v>32</v>
      </c>
      <c r="H1456" t="s">
        <v>43</v>
      </c>
      <c r="I1456" t="s">
        <v>34</v>
      </c>
      <c r="J1456" t="s">
        <v>35</v>
      </c>
      <c r="K1456" t="s">
        <v>36</v>
      </c>
      <c r="L1456">
        <v>17</v>
      </c>
      <c r="N1456" t="s">
        <v>841</v>
      </c>
    </row>
    <row r="1457" spans="1:14" x14ac:dyDescent="0.35">
      <c r="A1457" t="s">
        <v>4424</v>
      </c>
      <c r="B1457" t="s">
        <v>4425</v>
      </c>
      <c r="C1457" t="s">
        <v>81</v>
      </c>
      <c r="D1457">
        <v>81.099999999999994</v>
      </c>
      <c r="E1457">
        <v>10000</v>
      </c>
      <c r="F1457" t="s">
        <v>42</v>
      </c>
      <c r="G1457" t="s">
        <v>32</v>
      </c>
      <c r="H1457" t="s">
        <v>33</v>
      </c>
      <c r="I1457" t="s">
        <v>44</v>
      </c>
      <c r="J1457" t="s">
        <v>3880</v>
      </c>
      <c r="K1457" t="s">
        <v>147</v>
      </c>
      <c r="L1457">
        <v>20</v>
      </c>
      <c r="N1457" t="s">
        <v>4426</v>
      </c>
    </row>
    <row r="1458" spans="1:14" x14ac:dyDescent="0.35">
      <c r="A1458" t="s">
        <v>4427</v>
      </c>
      <c r="B1458" t="s">
        <v>4428</v>
      </c>
      <c r="C1458" t="s">
        <v>69</v>
      </c>
      <c r="D1458">
        <v>91.67</v>
      </c>
      <c r="E1458">
        <v>40000</v>
      </c>
      <c r="F1458" t="s">
        <v>123</v>
      </c>
      <c r="G1458" t="s">
        <v>32</v>
      </c>
      <c r="H1458" t="s">
        <v>33</v>
      </c>
      <c r="I1458" t="s">
        <v>44</v>
      </c>
      <c r="J1458" t="s">
        <v>124</v>
      </c>
      <c r="K1458" t="s">
        <v>117</v>
      </c>
      <c r="L1458">
        <v>18</v>
      </c>
      <c r="N1458" t="s">
        <v>1656</v>
      </c>
    </row>
    <row r="1459" spans="1:14" x14ac:dyDescent="0.35">
      <c r="A1459" t="s">
        <v>4429</v>
      </c>
      <c r="B1459" t="s">
        <v>4430</v>
      </c>
      <c r="C1459" t="s">
        <v>81</v>
      </c>
      <c r="D1459">
        <v>71.319999999999993</v>
      </c>
      <c r="E1459">
        <v>3000</v>
      </c>
      <c r="F1459" t="s">
        <v>87</v>
      </c>
      <c r="G1459" t="s">
        <v>32</v>
      </c>
      <c r="H1459" t="s">
        <v>43</v>
      </c>
      <c r="I1459" t="s">
        <v>44</v>
      </c>
      <c r="J1459" t="s">
        <v>366</v>
      </c>
      <c r="K1459" t="s">
        <v>51</v>
      </c>
      <c r="L1459">
        <v>5</v>
      </c>
      <c r="M1459" t="s">
        <v>2785</v>
      </c>
      <c r="N1459" t="s">
        <v>1240</v>
      </c>
    </row>
    <row r="1460" spans="1:14" x14ac:dyDescent="0.35">
      <c r="A1460" t="s">
        <v>4431</v>
      </c>
      <c r="B1460" t="s">
        <v>4432</v>
      </c>
      <c r="C1460" t="s">
        <v>30</v>
      </c>
      <c r="D1460">
        <v>193.95</v>
      </c>
      <c r="E1460">
        <v>20000</v>
      </c>
      <c r="F1460" t="s">
        <v>123</v>
      </c>
      <c r="G1460" t="s">
        <v>32</v>
      </c>
      <c r="H1460" t="s">
        <v>43</v>
      </c>
      <c r="I1460" t="s">
        <v>44</v>
      </c>
      <c r="J1460" t="s">
        <v>112</v>
      </c>
      <c r="K1460" t="s">
        <v>106</v>
      </c>
      <c r="L1460">
        <v>22</v>
      </c>
      <c r="M1460" t="s">
        <v>108</v>
      </c>
      <c r="N1460" t="s">
        <v>1692</v>
      </c>
    </row>
    <row r="1461" spans="1:14" x14ac:dyDescent="0.35">
      <c r="A1461" t="s">
        <v>4433</v>
      </c>
      <c r="B1461" t="s">
        <v>4434</v>
      </c>
      <c r="C1461" t="s">
        <v>81</v>
      </c>
      <c r="D1461">
        <v>73.92</v>
      </c>
      <c r="E1461">
        <v>6000</v>
      </c>
      <c r="F1461" t="s">
        <v>36</v>
      </c>
      <c r="G1461" t="s">
        <v>32</v>
      </c>
      <c r="H1461" t="s">
        <v>33</v>
      </c>
      <c r="I1461" t="s">
        <v>44</v>
      </c>
      <c r="J1461" t="s">
        <v>2775</v>
      </c>
      <c r="K1461" t="s">
        <v>64</v>
      </c>
      <c r="L1461">
        <v>8</v>
      </c>
      <c r="M1461" t="s">
        <v>807</v>
      </c>
      <c r="N1461" t="s">
        <v>4435</v>
      </c>
    </row>
    <row r="1462" spans="1:14" x14ac:dyDescent="0.35">
      <c r="A1462" t="s">
        <v>4436</v>
      </c>
      <c r="B1462" t="s">
        <v>4437</v>
      </c>
      <c r="C1462" t="s">
        <v>81</v>
      </c>
      <c r="D1462">
        <v>125.11</v>
      </c>
      <c r="E1462">
        <v>9000</v>
      </c>
      <c r="F1462" t="s">
        <v>87</v>
      </c>
      <c r="G1462" t="s">
        <v>32</v>
      </c>
      <c r="H1462" t="s">
        <v>33</v>
      </c>
      <c r="I1462" t="s">
        <v>129</v>
      </c>
      <c r="J1462" t="s">
        <v>721</v>
      </c>
      <c r="K1462" t="s">
        <v>42</v>
      </c>
      <c r="L1462">
        <v>20</v>
      </c>
      <c r="M1462" t="s">
        <v>1672</v>
      </c>
      <c r="N1462" t="s">
        <v>59</v>
      </c>
    </row>
    <row r="1463" spans="1:14" x14ac:dyDescent="0.35">
      <c r="A1463" t="s">
        <v>4438</v>
      </c>
      <c r="B1463" t="s">
        <v>4439</v>
      </c>
      <c r="C1463" t="s">
        <v>62</v>
      </c>
      <c r="D1463">
        <v>89.54</v>
      </c>
      <c r="E1463">
        <v>3000</v>
      </c>
      <c r="F1463" t="s">
        <v>64</v>
      </c>
      <c r="G1463" t="s">
        <v>32</v>
      </c>
      <c r="H1463" t="s">
        <v>43</v>
      </c>
      <c r="I1463" t="s">
        <v>44</v>
      </c>
      <c r="J1463" t="s">
        <v>164</v>
      </c>
      <c r="K1463" t="s">
        <v>74</v>
      </c>
      <c r="L1463">
        <v>11</v>
      </c>
      <c r="M1463" t="s">
        <v>1086</v>
      </c>
      <c r="N1463" t="s">
        <v>2980</v>
      </c>
    </row>
    <row r="1464" spans="1:14" x14ac:dyDescent="0.35">
      <c r="A1464" t="s">
        <v>4440</v>
      </c>
      <c r="B1464" t="s">
        <v>4441</v>
      </c>
      <c r="C1464" t="s">
        <v>81</v>
      </c>
      <c r="D1464">
        <v>93.99</v>
      </c>
      <c r="E1464">
        <v>3000</v>
      </c>
      <c r="F1464" t="s">
        <v>74</v>
      </c>
      <c r="G1464" t="s">
        <v>32</v>
      </c>
      <c r="H1464" t="s">
        <v>43</v>
      </c>
      <c r="I1464" t="s">
        <v>44</v>
      </c>
      <c r="J1464" t="s">
        <v>278</v>
      </c>
      <c r="K1464" t="s">
        <v>97</v>
      </c>
      <c r="L1464">
        <v>5</v>
      </c>
      <c r="M1464" t="s">
        <v>1190</v>
      </c>
      <c r="N1464" t="s">
        <v>408</v>
      </c>
    </row>
    <row r="1465" spans="1:14" x14ac:dyDescent="0.35">
      <c r="A1465" t="s">
        <v>4442</v>
      </c>
      <c r="B1465" t="s">
        <v>4443</v>
      </c>
      <c r="C1465" t="s">
        <v>116</v>
      </c>
      <c r="D1465">
        <v>7.25</v>
      </c>
      <c r="E1465">
        <v>700</v>
      </c>
      <c r="F1465" t="s">
        <v>64</v>
      </c>
      <c r="G1465" t="s">
        <v>32</v>
      </c>
      <c r="H1465" t="s">
        <v>43</v>
      </c>
      <c r="I1465" t="s">
        <v>129</v>
      </c>
      <c r="J1465" t="s">
        <v>96</v>
      </c>
      <c r="K1465" t="s">
        <v>97</v>
      </c>
      <c r="L1465">
        <v>2</v>
      </c>
      <c r="M1465" t="s">
        <v>434</v>
      </c>
      <c r="N1465" t="s">
        <v>2880</v>
      </c>
    </row>
    <row r="1466" spans="1:14" x14ac:dyDescent="0.35">
      <c r="A1466" t="s">
        <v>4444</v>
      </c>
      <c r="B1466" t="s">
        <v>4445</v>
      </c>
      <c r="C1466" t="s">
        <v>81</v>
      </c>
      <c r="D1466">
        <v>103.78</v>
      </c>
      <c r="E1466">
        <v>2000</v>
      </c>
      <c r="F1466" t="s">
        <v>74</v>
      </c>
      <c r="G1466" t="s">
        <v>32</v>
      </c>
      <c r="H1466" t="s">
        <v>43</v>
      </c>
      <c r="I1466" t="s">
        <v>44</v>
      </c>
      <c r="J1466" t="s">
        <v>118</v>
      </c>
      <c r="K1466" t="s">
        <v>42</v>
      </c>
      <c r="L1466">
        <v>6</v>
      </c>
      <c r="M1466" t="s">
        <v>3129</v>
      </c>
      <c r="N1466" t="s">
        <v>1510</v>
      </c>
    </row>
    <row r="1467" spans="1:14" x14ac:dyDescent="0.35">
      <c r="A1467" t="s">
        <v>4446</v>
      </c>
      <c r="B1467" t="s">
        <v>4447</v>
      </c>
      <c r="C1467" t="s">
        <v>62</v>
      </c>
      <c r="D1467">
        <v>55.3</v>
      </c>
      <c r="E1467">
        <v>4000</v>
      </c>
      <c r="F1467" t="s">
        <v>123</v>
      </c>
      <c r="G1467" t="s">
        <v>32</v>
      </c>
      <c r="H1467" t="s">
        <v>57</v>
      </c>
      <c r="J1467" t="s">
        <v>2855</v>
      </c>
      <c r="K1467" t="s">
        <v>139</v>
      </c>
      <c r="L1467">
        <v>1</v>
      </c>
      <c r="N1467" t="s">
        <v>290</v>
      </c>
    </row>
    <row r="1468" spans="1:14" x14ac:dyDescent="0.35">
      <c r="A1468" t="s">
        <v>4448</v>
      </c>
      <c r="B1468" t="s">
        <v>4449</v>
      </c>
      <c r="C1468" t="s">
        <v>62</v>
      </c>
      <c r="D1468">
        <v>81.069999999999993</v>
      </c>
      <c r="E1468">
        <v>2000</v>
      </c>
      <c r="F1468" t="s">
        <v>64</v>
      </c>
      <c r="G1468" t="s">
        <v>32</v>
      </c>
      <c r="H1468" t="s">
        <v>57</v>
      </c>
      <c r="I1468" t="s">
        <v>44</v>
      </c>
      <c r="J1468" t="s">
        <v>2095</v>
      </c>
      <c r="K1468" t="s">
        <v>42</v>
      </c>
      <c r="L1468">
        <v>9</v>
      </c>
      <c r="M1468" t="s">
        <v>2186</v>
      </c>
      <c r="N1468" t="s">
        <v>135</v>
      </c>
    </row>
    <row r="1469" spans="1:14" x14ac:dyDescent="0.35">
      <c r="A1469" t="s">
        <v>4450</v>
      </c>
      <c r="B1469" t="s">
        <v>4451</v>
      </c>
      <c r="C1469" t="s">
        <v>30</v>
      </c>
      <c r="D1469">
        <v>133.63999999999999</v>
      </c>
      <c r="E1469">
        <v>5000</v>
      </c>
      <c r="F1469" t="s">
        <v>76</v>
      </c>
      <c r="G1469" t="s">
        <v>32</v>
      </c>
      <c r="H1469" t="s">
        <v>43</v>
      </c>
      <c r="J1469" t="s">
        <v>1379</v>
      </c>
      <c r="K1469" t="s">
        <v>51</v>
      </c>
      <c r="L1469">
        <v>6</v>
      </c>
      <c r="N1469" t="s">
        <v>4452</v>
      </c>
    </row>
    <row r="1470" spans="1:14" x14ac:dyDescent="0.35">
      <c r="A1470" t="s">
        <v>4453</v>
      </c>
      <c r="B1470" t="s">
        <v>4454</v>
      </c>
      <c r="C1470" t="s">
        <v>30</v>
      </c>
      <c r="D1470">
        <v>171.74</v>
      </c>
      <c r="E1470">
        <v>15000</v>
      </c>
      <c r="F1470" t="s">
        <v>36</v>
      </c>
      <c r="G1470" t="s">
        <v>32</v>
      </c>
      <c r="H1470" t="s">
        <v>57</v>
      </c>
      <c r="I1470" t="s">
        <v>44</v>
      </c>
      <c r="J1470" t="s">
        <v>1807</v>
      </c>
      <c r="K1470" t="s">
        <v>139</v>
      </c>
      <c r="L1470">
        <v>7</v>
      </c>
      <c r="N1470" t="s">
        <v>3759</v>
      </c>
    </row>
    <row r="1471" spans="1:14" x14ac:dyDescent="0.35">
      <c r="A1471" t="s">
        <v>4455</v>
      </c>
      <c r="B1471" t="s">
        <v>4456</v>
      </c>
      <c r="C1471" t="s">
        <v>116</v>
      </c>
      <c r="D1471">
        <v>10.99</v>
      </c>
      <c r="E1471">
        <v>200</v>
      </c>
      <c r="F1471" t="s">
        <v>31</v>
      </c>
      <c r="G1471" t="s">
        <v>32</v>
      </c>
      <c r="H1471" t="s">
        <v>57</v>
      </c>
      <c r="J1471" t="s">
        <v>75</v>
      </c>
      <c r="K1471" t="s">
        <v>76</v>
      </c>
      <c r="L1471">
        <v>21</v>
      </c>
      <c r="M1471" t="s">
        <v>2754</v>
      </c>
      <c r="N1471" t="s">
        <v>533</v>
      </c>
    </row>
    <row r="1472" spans="1:14" x14ac:dyDescent="0.35">
      <c r="A1472" t="s">
        <v>4457</v>
      </c>
      <c r="B1472" t="s">
        <v>4458</v>
      </c>
      <c r="C1472" t="s">
        <v>30</v>
      </c>
      <c r="D1472">
        <v>120.7</v>
      </c>
      <c r="E1472">
        <v>2000</v>
      </c>
      <c r="F1472" t="s">
        <v>106</v>
      </c>
      <c r="G1472" t="s">
        <v>32</v>
      </c>
      <c r="H1472" t="s">
        <v>33</v>
      </c>
      <c r="I1472" t="s">
        <v>34</v>
      </c>
      <c r="J1472" t="s">
        <v>3722</v>
      </c>
      <c r="K1472" t="s">
        <v>51</v>
      </c>
      <c r="L1472">
        <v>13</v>
      </c>
      <c r="N1472" t="s">
        <v>3348</v>
      </c>
    </row>
    <row r="1473" spans="1:14" x14ac:dyDescent="0.35">
      <c r="A1473" t="s">
        <v>4459</v>
      </c>
      <c r="B1473" t="s">
        <v>4460</v>
      </c>
      <c r="C1473" t="s">
        <v>116</v>
      </c>
      <c r="D1473">
        <v>7.95</v>
      </c>
      <c r="E1473">
        <v>200</v>
      </c>
      <c r="F1473" t="s">
        <v>76</v>
      </c>
      <c r="G1473" t="s">
        <v>32</v>
      </c>
      <c r="H1473" t="s">
        <v>57</v>
      </c>
      <c r="I1473" t="s">
        <v>44</v>
      </c>
      <c r="J1473" t="s">
        <v>4461</v>
      </c>
      <c r="K1473" t="s">
        <v>51</v>
      </c>
      <c r="L1473">
        <v>12</v>
      </c>
      <c r="M1473" t="s">
        <v>2862</v>
      </c>
      <c r="N1473" t="s">
        <v>4462</v>
      </c>
    </row>
    <row r="1474" spans="1:14" x14ac:dyDescent="0.35">
      <c r="A1474" t="s">
        <v>4463</v>
      </c>
      <c r="B1474" t="s">
        <v>4464</v>
      </c>
      <c r="C1474" t="s">
        <v>41</v>
      </c>
      <c r="D1474">
        <v>128.31</v>
      </c>
      <c r="E1474">
        <v>28000</v>
      </c>
      <c r="F1474" t="s">
        <v>97</v>
      </c>
      <c r="G1474" t="s">
        <v>32</v>
      </c>
      <c r="H1474" t="s">
        <v>43</v>
      </c>
      <c r="I1474" t="s">
        <v>34</v>
      </c>
      <c r="J1474" t="s">
        <v>63</v>
      </c>
      <c r="K1474" t="s">
        <v>64</v>
      </c>
      <c r="L1474">
        <v>18</v>
      </c>
      <c r="M1474" t="s">
        <v>765</v>
      </c>
      <c r="N1474" t="s">
        <v>4028</v>
      </c>
    </row>
    <row r="1475" spans="1:14" x14ac:dyDescent="0.35">
      <c r="A1475" t="s">
        <v>4465</v>
      </c>
      <c r="B1475" t="s">
        <v>4466</v>
      </c>
      <c r="C1475" t="s">
        <v>62</v>
      </c>
      <c r="D1475">
        <v>56.1</v>
      </c>
      <c r="E1475">
        <v>3000</v>
      </c>
      <c r="F1475" t="s">
        <v>87</v>
      </c>
      <c r="G1475" t="s">
        <v>32</v>
      </c>
      <c r="H1475" t="s">
        <v>57</v>
      </c>
      <c r="I1475" t="s">
        <v>34</v>
      </c>
      <c r="J1475" t="s">
        <v>112</v>
      </c>
      <c r="K1475" t="s">
        <v>106</v>
      </c>
      <c r="L1475">
        <v>5</v>
      </c>
      <c r="M1475" t="s">
        <v>881</v>
      </c>
      <c r="N1475" t="s">
        <v>2277</v>
      </c>
    </row>
    <row r="1476" spans="1:14" x14ac:dyDescent="0.35">
      <c r="A1476" t="s">
        <v>4467</v>
      </c>
      <c r="B1476" t="s">
        <v>4468</v>
      </c>
      <c r="C1476" t="s">
        <v>69</v>
      </c>
      <c r="D1476">
        <v>73.66</v>
      </c>
      <c r="E1476">
        <v>67000</v>
      </c>
      <c r="F1476" t="s">
        <v>87</v>
      </c>
      <c r="G1476" t="s">
        <v>32</v>
      </c>
      <c r="H1476" t="s">
        <v>43</v>
      </c>
      <c r="I1476" t="s">
        <v>44</v>
      </c>
      <c r="J1476" t="s">
        <v>235</v>
      </c>
      <c r="K1476" t="s">
        <v>236</v>
      </c>
      <c r="L1476">
        <v>17</v>
      </c>
      <c r="M1476" t="s">
        <v>4469</v>
      </c>
      <c r="N1476" t="s">
        <v>3927</v>
      </c>
    </row>
    <row r="1477" spans="1:14" x14ac:dyDescent="0.35">
      <c r="A1477" t="s">
        <v>4470</v>
      </c>
      <c r="B1477" t="s">
        <v>4471</v>
      </c>
      <c r="C1477" t="s">
        <v>81</v>
      </c>
      <c r="D1477">
        <v>75.62</v>
      </c>
      <c r="E1477">
        <v>9000</v>
      </c>
      <c r="F1477" t="s">
        <v>236</v>
      </c>
      <c r="G1477" t="s">
        <v>32</v>
      </c>
      <c r="H1477" t="s">
        <v>57</v>
      </c>
      <c r="J1477" t="s">
        <v>45</v>
      </c>
      <c r="K1477" t="s">
        <v>46</v>
      </c>
      <c r="L1477">
        <v>20</v>
      </c>
      <c r="M1477" t="s">
        <v>4472</v>
      </c>
      <c r="N1477" t="s">
        <v>452</v>
      </c>
    </row>
    <row r="1478" spans="1:14" x14ac:dyDescent="0.35">
      <c r="A1478" t="s">
        <v>4473</v>
      </c>
      <c r="B1478" t="s">
        <v>4474</v>
      </c>
      <c r="C1478" t="s">
        <v>116</v>
      </c>
      <c r="D1478">
        <v>8.8699999999999992</v>
      </c>
      <c r="E1478">
        <v>300</v>
      </c>
      <c r="F1478" t="s">
        <v>123</v>
      </c>
      <c r="G1478" t="s">
        <v>32</v>
      </c>
      <c r="H1478" t="s">
        <v>33</v>
      </c>
      <c r="I1478" t="s">
        <v>44</v>
      </c>
      <c r="J1478" t="s">
        <v>334</v>
      </c>
      <c r="K1478" t="s">
        <v>51</v>
      </c>
      <c r="L1478">
        <v>1</v>
      </c>
      <c r="N1478" t="s">
        <v>1291</v>
      </c>
    </row>
    <row r="1479" spans="1:14" x14ac:dyDescent="0.35">
      <c r="A1479" t="s">
        <v>4475</v>
      </c>
      <c r="B1479" t="s">
        <v>4476</v>
      </c>
      <c r="C1479" t="s">
        <v>30</v>
      </c>
      <c r="D1479">
        <v>153.41999999999999</v>
      </c>
      <c r="E1479">
        <v>16000</v>
      </c>
      <c r="F1479" t="s">
        <v>236</v>
      </c>
      <c r="G1479" t="s">
        <v>102</v>
      </c>
      <c r="H1479" t="s">
        <v>43</v>
      </c>
      <c r="J1479" t="s">
        <v>500</v>
      </c>
      <c r="K1479" t="s">
        <v>236</v>
      </c>
      <c r="L1479">
        <v>8</v>
      </c>
      <c r="M1479" t="s">
        <v>1538</v>
      </c>
      <c r="N1479" t="s">
        <v>2448</v>
      </c>
    </row>
    <row r="1480" spans="1:14" x14ac:dyDescent="0.35">
      <c r="A1480" t="s">
        <v>4477</v>
      </c>
      <c r="B1480" t="s">
        <v>4478</v>
      </c>
      <c r="C1480" t="s">
        <v>69</v>
      </c>
      <c r="D1480">
        <v>52.39</v>
      </c>
      <c r="E1480">
        <v>32000</v>
      </c>
      <c r="F1480" t="s">
        <v>123</v>
      </c>
      <c r="G1480" t="s">
        <v>102</v>
      </c>
      <c r="H1480" t="s">
        <v>57</v>
      </c>
      <c r="J1480" t="s">
        <v>82</v>
      </c>
      <c r="K1480" t="s">
        <v>74</v>
      </c>
      <c r="L1480">
        <v>16</v>
      </c>
      <c r="M1480" t="s">
        <v>270</v>
      </c>
      <c r="N1480" t="s">
        <v>2827</v>
      </c>
    </row>
    <row r="1481" spans="1:14" x14ac:dyDescent="0.35">
      <c r="A1481" t="s">
        <v>4479</v>
      </c>
      <c r="B1481" t="s">
        <v>4480</v>
      </c>
      <c r="C1481" t="s">
        <v>69</v>
      </c>
      <c r="D1481">
        <v>66.540000000000006</v>
      </c>
      <c r="E1481">
        <v>58000</v>
      </c>
      <c r="F1481" t="s">
        <v>139</v>
      </c>
      <c r="G1481" t="s">
        <v>32</v>
      </c>
      <c r="H1481" t="s">
        <v>33</v>
      </c>
      <c r="I1481" t="s">
        <v>44</v>
      </c>
      <c r="J1481" t="s">
        <v>63</v>
      </c>
      <c r="K1481" t="s">
        <v>64</v>
      </c>
      <c r="L1481">
        <v>12</v>
      </c>
      <c r="N1481" t="s">
        <v>438</v>
      </c>
    </row>
    <row r="1482" spans="1:14" x14ac:dyDescent="0.35">
      <c r="A1482" t="s">
        <v>4481</v>
      </c>
      <c r="B1482" t="s">
        <v>4482</v>
      </c>
      <c r="C1482" t="s">
        <v>41</v>
      </c>
      <c r="D1482">
        <v>109.2</v>
      </c>
      <c r="E1482">
        <v>10000</v>
      </c>
      <c r="F1482" t="s">
        <v>76</v>
      </c>
      <c r="G1482" t="s">
        <v>32</v>
      </c>
      <c r="H1482" t="s">
        <v>33</v>
      </c>
      <c r="I1482" t="s">
        <v>34</v>
      </c>
      <c r="J1482" t="s">
        <v>209</v>
      </c>
      <c r="K1482" t="s">
        <v>74</v>
      </c>
      <c r="L1482">
        <v>7</v>
      </c>
      <c r="M1482" t="s">
        <v>1368</v>
      </c>
      <c r="N1482" t="s">
        <v>4483</v>
      </c>
    </row>
    <row r="1483" spans="1:14" x14ac:dyDescent="0.35">
      <c r="A1483" t="s">
        <v>4484</v>
      </c>
      <c r="B1483" t="s">
        <v>4485</v>
      </c>
      <c r="C1483" t="s">
        <v>116</v>
      </c>
      <c r="D1483">
        <v>11.1</v>
      </c>
      <c r="E1483">
        <v>600</v>
      </c>
      <c r="F1483" t="s">
        <v>117</v>
      </c>
      <c r="G1483" t="s">
        <v>32</v>
      </c>
      <c r="H1483" t="s">
        <v>43</v>
      </c>
      <c r="I1483" t="s">
        <v>44</v>
      </c>
      <c r="J1483" t="s">
        <v>4486</v>
      </c>
      <c r="K1483" t="s">
        <v>147</v>
      </c>
      <c r="L1483">
        <v>7</v>
      </c>
      <c r="N1483" t="s">
        <v>3089</v>
      </c>
    </row>
    <row r="1484" spans="1:14" x14ac:dyDescent="0.35">
      <c r="A1484" t="s">
        <v>4487</v>
      </c>
      <c r="B1484" t="s">
        <v>4488</v>
      </c>
      <c r="C1484" t="s">
        <v>30</v>
      </c>
      <c r="D1484">
        <v>118.97</v>
      </c>
      <c r="E1484">
        <v>17000</v>
      </c>
      <c r="F1484" t="s">
        <v>139</v>
      </c>
      <c r="G1484" t="s">
        <v>32</v>
      </c>
      <c r="H1484" t="s">
        <v>33</v>
      </c>
      <c r="I1484" t="s">
        <v>34</v>
      </c>
      <c r="J1484" t="s">
        <v>4489</v>
      </c>
      <c r="K1484" t="s">
        <v>139</v>
      </c>
      <c r="L1484">
        <v>23</v>
      </c>
      <c r="M1484" t="s">
        <v>2495</v>
      </c>
      <c r="N1484" t="s">
        <v>4490</v>
      </c>
    </row>
    <row r="1485" spans="1:14" x14ac:dyDescent="0.35">
      <c r="A1485" t="s">
        <v>4491</v>
      </c>
      <c r="B1485" t="s">
        <v>4492</v>
      </c>
      <c r="C1485" t="s">
        <v>62</v>
      </c>
      <c r="D1485">
        <v>84.84</v>
      </c>
      <c r="E1485">
        <v>2000</v>
      </c>
      <c r="F1485" t="s">
        <v>123</v>
      </c>
      <c r="G1485" t="s">
        <v>32</v>
      </c>
      <c r="H1485" t="s">
        <v>57</v>
      </c>
      <c r="I1485" t="s">
        <v>44</v>
      </c>
      <c r="J1485" t="s">
        <v>63</v>
      </c>
      <c r="K1485" t="s">
        <v>64</v>
      </c>
      <c r="L1485">
        <v>16</v>
      </c>
      <c r="M1485" t="s">
        <v>1201</v>
      </c>
      <c r="N1485" t="s">
        <v>4493</v>
      </c>
    </row>
    <row r="1486" spans="1:14" x14ac:dyDescent="0.35">
      <c r="A1486" t="s">
        <v>4494</v>
      </c>
      <c r="B1486" t="s">
        <v>4495</v>
      </c>
      <c r="C1486" t="s">
        <v>41</v>
      </c>
      <c r="D1486">
        <v>108.87</v>
      </c>
      <c r="E1486">
        <v>24000</v>
      </c>
      <c r="F1486" t="s">
        <v>64</v>
      </c>
      <c r="G1486" t="s">
        <v>32</v>
      </c>
      <c r="H1486" t="s">
        <v>33</v>
      </c>
      <c r="I1486" t="s">
        <v>129</v>
      </c>
      <c r="J1486" t="s">
        <v>4496</v>
      </c>
      <c r="K1486" t="s">
        <v>139</v>
      </c>
      <c r="L1486">
        <v>5</v>
      </c>
      <c r="N1486" t="s">
        <v>1510</v>
      </c>
    </row>
    <row r="1487" spans="1:14" x14ac:dyDescent="0.35">
      <c r="A1487" t="s">
        <v>4497</v>
      </c>
      <c r="B1487" t="s">
        <v>4498</v>
      </c>
      <c r="C1487" t="s">
        <v>116</v>
      </c>
      <c r="D1487">
        <v>6.75</v>
      </c>
      <c r="E1487">
        <v>600</v>
      </c>
      <c r="F1487" t="s">
        <v>236</v>
      </c>
      <c r="G1487" t="s">
        <v>32</v>
      </c>
      <c r="H1487" t="s">
        <v>43</v>
      </c>
      <c r="I1487" t="s">
        <v>44</v>
      </c>
      <c r="J1487" t="s">
        <v>124</v>
      </c>
      <c r="K1487" t="s">
        <v>117</v>
      </c>
      <c r="L1487">
        <v>15</v>
      </c>
      <c r="M1487" t="s">
        <v>1739</v>
      </c>
      <c r="N1487" t="s">
        <v>4499</v>
      </c>
    </row>
    <row r="1488" spans="1:14" x14ac:dyDescent="0.35">
      <c r="A1488" t="s">
        <v>4500</v>
      </c>
      <c r="B1488" t="s">
        <v>4501</v>
      </c>
      <c r="C1488" t="s">
        <v>62</v>
      </c>
      <c r="D1488">
        <v>76.569999999999993</v>
      </c>
      <c r="E1488">
        <v>4000</v>
      </c>
      <c r="F1488" t="s">
        <v>42</v>
      </c>
      <c r="G1488" t="s">
        <v>32</v>
      </c>
      <c r="H1488" t="s">
        <v>43</v>
      </c>
      <c r="I1488" t="s">
        <v>129</v>
      </c>
      <c r="J1488" t="s">
        <v>45</v>
      </c>
      <c r="K1488" t="s">
        <v>46</v>
      </c>
      <c r="L1488">
        <v>20</v>
      </c>
      <c r="M1488" t="s">
        <v>1919</v>
      </c>
      <c r="N1488" t="s">
        <v>4502</v>
      </c>
    </row>
    <row r="1489" spans="1:14" x14ac:dyDescent="0.35">
      <c r="A1489" t="s">
        <v>4503</v>
      </c>
      <c r="B1489" t="s">
        <v>4504</v>
      </c>
      <c r="C1489" t="s">
        <v>116</v>
      </c>
      <c r="D1489">
        <v>10.82</v>
      </c>
      <c r="E1489">
        <v>300</v>
      </c>
      <c r="F1489" t="s">
        <v>147</v>
      </c>
      <c r="G1489" t="s">
        <v>32</v>
      </c>
      <c r="H1489" t="s">
        <v>57</v>
      </c>
      <c r="I1489" t="s">
        <v>44</v>
      </c>
      <c r="J1489" t="s">
        <v>75</v>
      </c>
      <c r="K1489" t="s">
        <v>76</v>
      </c>
      <c r="L1489">
        <v>0</v>
      </c>
      <c r="N1489" t="s">
        <v>4505</v>
      </c>
    </row>
    <row r="1490" spans="1:14" x14ac:dyDescent="0.35">
      <c r="A1490" t="s">
        <v>4506</v>
      </c>
      <c r="B1490" t="s">
        <v>4507</v>
      </c>
      <c r="C1490" t="s">
        <v>116</v>
      </c>
      <c r="D1490">
        <v>6.39</v>
      </c>
      <c r="E1490">
        <v>700</v>
      </c>
      <c r="F1490" t="s">
        <v>36</v>
      </c>
      <c r="G1490" t="s">
        <v>32</v>
      </c>
      <c r="H1490" t="s">
        <v>43</v>
      </c>
      <c r="I1490" t="s">
        <v>44</v>
      </c>
      <c r="J1490" t="s">
        <v>107</v>
      </c>
      <c r="K1490" t="s">
        <v>87</v>
      </c>
      <c r="L1490">
        <v>15</v>
      </c>
      <c r="N1490" t="s">
        <v>2210</v>
      </c>
    </row>
    <row r="1491" spans="1:14" x14ac:dyDescent="0.35">
      <c r="A1491" t="s">
        <v>4508</v>
      </c>
      <c r="B1491" t="s">
        <v>4509</v>
      </c>
      <c r="C1491" t="s">
        <v>69</v>
      </c>
      <c r="D1491">
        <v>61.55</v>
      </c>
      <c r="E1491">
        <v>83000</v>
      </c>
      <c r="F1491" t="s">
        <v>51</v>
      </c>
      <c r="G1491" t="s">
        <v>32</v>
      </c>
      <c r="H1491" t="s">
        <v>33</v>
      </c>
      <c r="I1491" t="s">
        <v>34</v>
      </c>
      <c r="J1491" t="s">
        <v>63</v>
      </c>
      <c r="K1491" t="s">
        <v>64</v>
      </c>
      <c r="L1491">
        <v>7</v>
      </c>
      <c r="N1491" t="s">
        <v>144</v>
      </c>
    </row>
    <row r="1492" spans="1:14" x14ac:dyDescent="0.35">
      <c r="A1492" t="s">
        <v>4510</v>
      </c>
      <c r="B1492" t="s">
        <v>4511</v>
      </c>
      <c r="C1492" t="s">
        <v>69</v>
      </c>
      <c r="D1492">
        <v>84.16</v>
      </c>
      <c r="E1492">
        <v>14000</v>
      </c>
      <c r="F1492" t="s">
        <v>139</v>
      </c>
      <c r="G1492" t="s">
        <v>32</v>
      </c>
      <c r="H1492" t="s">
        <v>33</v>
      </c>
      <c r="I1492" t="s">
        <v>34</v>
      </c>
      <c r="J1492" t="s">
        <v>124</v>
      </c>
      <c r="K1492" t="s">
        <v>117</v>
      </c>
      <c r="L1492">
        <v>7</v>
      </c>
      <c r="M1492" t="s">
        <v>4100</v>
      </c>
      <c r="N1492" t="s">
        <v>4512</v>
      </c>
    </row>
    <row r="1493" spans="1:14" x14ac:dyDescent="0.35">
      <c r="A1493" t="s">
        <v>4513</v>
      </c>
      <c r="B1493" t="s">
        <v>4514</v>
      </c>
      <c r="C1493" t="s">
        <v>69</v>
      </c>
      <c r="D1493">
        <v>88.16</v>
      </c>
      <c r="E1493">
        <v>21000</v>
      </c>
      <c r="F1493" t="s">
        <v>74</v>
      </c>
      <c r="G1493" t="s">
        <v>32</v>
      </c>
      <c r="H1493" t="s">
        <v>57</v>
      </c>
      <c r="I1493" t="s">
        <v>44</v>
      </c>
      <c r="J1493" t="s">
        <v>209</v>
      </c>
      <c r="K1493" t="s">
        <v>74</v>
      </c>
      <c r="L1493">
        <v>20</v>
      </c>
      <c r="M1493" t="s">
        <v>894</v>
      </c>
      <c r="N1493" t="s">
        <v>4515</v>
      </c>
    </row>
    <row r="1494" spans="1:14" x14ac:dyDescent="0.35">
      <c r="A1494" t="s">
        <v>4516</v>
      </c>
      <c r="B1494" t="s">
        <v>4517</v>
      </c>
      <c r="C1494" t="s">
        <v>116</v>
      </c>
      <c r="D1494">
        <v>8.0299999999999994</v>
      </c>
      <c r="E1494">
        <v>100</v>
      </c>
      <c r="F1494" t="s">
        <v>76</v>
      </c>
      <c r="G1494" t="s">
        <v>32</v>
      </c>
      <c r="H1494" t="s">
        <v>43</v>
      </c>
      <c r="I1494" t="s">
        <v>44</v>
      </c>
      <c r="J1494" t="s">
        <v>3221</v>
      </c>
      <c r="K1494" t="s">
        <v>51</v>
      </c>
      <c r="L1494">
        <v>11</v>
      </c>
      <c r="N1494" t="s">
        <v>4518</v>
      </c>
    </row>
    <row r="1495" spans="1:14" x14ac:dyDescent="0.35">
      <c r="A1495" t="s">
        <v>4519</v>
      </c>
      <c r="B1495" t="s">
        <v>4520</v>
      </c>
      <c r="C1495" t="s">
        <v>41</v>
      </c>
      <c r="D1495">
        <v>115.25</v>
      </c>
      <c r="E1495">
        <v>32000</v>
      </c>
      <c r="F1495" t="s">
        <v>51</v>
      </c>
      <c r="G1495" t="s">
        <v>32</v>
      </c>
      <c r="H1495" t="s">
        <v>43</v>
      </c>
      <c r="I1495" t="s">
        <v>34</v>
      </c>
      <c r="J1495" t="s">
        <v>334</v>
      </c>
      <c r="K1495" t="s">
        <v>51</v>
      </c>
      <c r="L1495">
        <v>16</v>
      </c>
      <c r="M1495" t="s">
        <v>1036</v>
      </c>
      <c r="N1495" t="s">
        <v>3940</v>
      </c>
    </row>
    <row r="1496" spans="1:14" x14ac:dyDescent="0.35">
      <c r="A1496" t="s">
        <v>4521</v>
      </c>
      <c r="B1496" t="s">
        <v>4522</v>
      </c>
      <c r="C1496" t="s">
        <v>81</v>
      </c>
      <c r="D1496">
        <v>84.23</v>
      </c>
      <c r="E1496">
        <v>7000</v>
      </c>
      <c r="F1496" t="s">
        <v>97</v>
      </c>
      <c r="G1496" t="s">
        <v>102</v>
      </c>
      <c r="H1496" t="s">
        <v>33</v>
      </c>
      <c r="I1496" t="s">
        <v>44</v>
      </c>
      <c r="J1496" t="s">
        <v>96</v>
      </c>
      <c r="K1496" t="s">
        <v>97</v>
      </c>
      <c r="L1496">
        <v>18</v>
      </c>
      <c r="M1496" t="s">
        <v>496</v>
      </c>
      <c r="N1496" t="s">
        <v>4215</v>
      </c>
    </row>
    <row r="1497" spans="1:14" x14ac:dyDescent="0.35">
      <c r="A1497" t="s">
        <v>4523</v>
      </c>
      <c r="B1497" t="s">
        <v>4524</v>
      </c>
      <c r="C1497" t="s">
        <v>81</v>
      </c>
      <c r="D1497">
        <v>82.4</v>
      </c>
      <c r="E1497">
        <v>7000</v>
      </c>
      <c r="F1497" t="s">
        <v>64</v>
      </c>
      <c r="G1497" t="s">
        <v>32</v>
      </c>
      <c r="H1497" t="s">
        <v>43</v>
      </c>
      <c r="I1497" t="s">
        <v>34</v>
      </c>
      <c r="J1497" t="s">
        <v>112</v>
      </c>
      <c r="K1497" t="s">
        <v>106</v>
      </c>
      <c r="L1497">
        <v>6</v>
      </c>
      <c r="M1497" t="s">
        <v>1933</v>
      </c>
      <c r="N1497" t="s">
        <v>890</v>
      </c>
    </row>
    <row r="1498" spans="1:14" x14ac:dyDescent="0.35">
      <c r="A1498" t="s">
        <v>4525</v>
      </c>
      <c r="B1498" t="s">
        <v>4526</v>
      </c>
      <c r="C1498" t="s">
        <v>30</v>
      </c>
      <c r="D1498">
        <v>108.98</v>
      </c>
      <c r="E1498">
        <v>20000</v>
      </c>
      <c r="F1498" t="s">
        <v>236</v>
      </c>
      <c r="G1498" t="s">
        <v>32</v>
      </c>
      <c r="H1498" t="s">
        <v>33</v>
      </c>
      <c r="I1498" t="s">
        <v>44</v>
      </c>
      <c r="J1498" t="s">
        <v>63</v>
      </c>
      <c r="K1498" t="s">
        <v>64</v>
      </c>
      <c r="L1498">
        <v>9</v>
      </c>
      <c r="N1498" t="s">
        <v>4527</v>
      </c>
    </row>
    <row r="1499" spans="1:14" x14ac:dyDescent="0.35">
      <c r="A1499" t="s">
        <v>4528</v>
      </c>
      <c r="B1499" t="s">
        <v>4529</v>
      </c>
      <c r="C1499" t="s">
        <v>81</v>
      </c>
      <c r="D1499">
        <v>120.92</v>
      </c>
      <c r="E1499">
        <v>9000</v>
      </c>
      <c r="F1499" t="s">
        <v>87</v>
      </c>
      <c r="G1499" t="s">
        <v>32</v>
      </c>
      <c r="H1499" t="s">
        <v>57</v>
      </c>
      <c r="I1499" t="s">
        <v>34</v>
      </c>
      <c r="J1499" t="s">
        <v>130</v>
      </c>
      <c r="K1499" t="s">
        <v>123</v>
      </c>
      <c r="L1499">
        <v>3</v>
      </c>
      <c r="M1499" t="s">
        <v>4530</v>
      </c>
      <c r="N1499" t="s">
        <v>2178</v>
      </c>
    </row>
    <row r="1500" spans="1:14" x14ac:dyDescent="0.35">
      <c r="A1500" t="s">
        <v>4531</v>
      </c>
      <c r="B1500" t="s">
        <v>4532</v>
      </c>
      <c r="C1500" t="s">
        <v>69</v>
      </c>
      <c r="D1500">
        <v>99.28</v>
      </c>
      <c r="E1500">
        <v>34000</v>
      </c>
      <c r="F1500" t="s">
        <v>64</v>
      </c>
      <c r="G1500" t="s">
        <v>32</v>
      </c>
      <c r="H1500" t="s">
        <v>33</v>
      </c>
      <c r="I1500" t="s">
        <v>34</v>
      </c>
      <c r="J1500" t="s">
        <v>70</v>
      </c>
      <c r="K1500" t="s">
        <v>31</v>
      </c>
      <c r="L1500">
        <v>17</v>
      </c>
      <c r="M1500" t="s">
        <v>2492</v>
      </c>
      <c r="N1500" t="s">
        <v>3714</v>
      </c>
    </row>
    <row r="1501" spans="1:14" x14ac:dyDescent="0.35">
      <c r="A1501" t="s">
        <v>4533</v>
      </c>
      <c r="B1501" t="s">
        <v>4534</v>
      </c>
      <c r="C1501" t="s">
        <v>116</v>
      </c>
      <c r="D1501">
        <v>11.38</v>
      </c>
      <c r="E1501">
        <v>400</v>
      </c>
      <c r="F1501" t="s">
        <v>36</v>
      </c>
      <c r="G1501" t="s">
        <v>32</v>
      </c>
      <c r="H1501" t="s">
        <v>33</v>
      </c>
      <c r="I1501" t="s">
        <v>34</v>
      </c>
      <c r="J1501" t="s">
        <v>209</v>
      </c>
      <c r="K1501" t="s">
        <v>74</v>
      </c>
      <c r="L1501">
        <v>21</v>
      </c>
      <c r="N1501" t="s">
        <v>4535</v>
      </c>
    </row>
    <row r="1502" spans="1:14" x14ac:dyDescent="0.35">
      <c r="A1502" t="s">
        <v>4536</v>
      </c>
      <c r="B1502" t="s">
        <v>4537</v>
      </c>
      <c r="C1502" t="s">
        <v>69</v>
      </c>
      <c r="D1502">
        <v>82.99</v>
      </c>
      <c r="E1502">
        <v>41000</v>
      </c>
      <c r="F1502" t="s">
        <v>51</v>
      </c>
      <c r="G1502" t="s">
        <v>32</v>
      </c>
      <c r="H1502" t="s">
        <v>57</v>
      </c>
      <c r="I1502" t="s">
        <v>129</v>
      </c>
      <c r="J1502" t="s">
        <v>112</v>
      </c>
      <c r="K1502" t="s">
        <v>106</v>
      </c>
      <c r="L1502">
        <v>17</v>
      </c>
      <c r="M1502" t="s">
        <v>3342</v>
      </c>
      <c r="N1502" t="s">
        <v>728</v>
      </c>
    </row>
    <row r="1503" spans="1:14" x14ac:dyDescent="0.35">
      <c r="A1503" t="s">
        <v>4538</v>
      </c>
      <c r="B1503" t="s">
        <v>4539</v>
      </c>
      <c r="C1503" t="s">
        <v>30</v>
      </c>
      <c r="D1503">
        <v>174.84</v>
      </c>
      <c r="E1503">
        <v>3000</v>
      </c>
      <c r="F1503" t="s">
        <v>87</v>
      </c>
      <c r="G1503" t="s">
        <v>32</v>
      </c>
      <c r="H1503" t="s">
        <v>33</v>
      </c>
      <c r="J1503" t="s">
        <v>937</v>
      </c>
      <c r="K1503" t="s">
        <v>42</v>
      </c>
      <c r="L1503">
        <v>16</v>
      </c>
      <c r="M1503" t="s">
        <v>1984</v>
      </c>
      <c r="N1503" t="s">
        <v>3583</v>
      </c>
    </row>
    <row r="1504" spans="1:14" x14ac:dyDescent="0.35">
      <c r="A1504" t="s">
        <v>4540</v>
      </c>
      <c r="B1504" t="s">
        <v>4541</v>
      </c>
      <c r="C1504" t="s">
        <v>30</v>
      </c>
      <c r="D1504">
        <v>192.39</v>
      </c>
      <c r="E1504">
        <v>1000</v>
      </c>
      <c r="F1504" t="s">
        <v>117</v>
      </c>
      <c r="G1504" t="s">
        <v>32</v>
      </c>
      <c r="H1504" t="s">
        <v>43</v>
      </c>
      <c r="I1504" t="s">
        <v>44</v>
      </c>
      <c r="J1504" t="s">
        <v>4542</v>
      </c>
      <c r="K1504" t="s">
        <v>139</v>
      </c>
      <c r="L1504">
        <v>17</v>
      </c>
      <c r="N1504" t="s">
        <v>1361</v>
      </c>
    </row>
    <row r="1505" spans="1:14" x14ac:dyDescent="0.35">
      <c r="A1505" t="s">
        <v>4543</v>
      </c>
      <c r="B1505" t="s">
        <v>4544</v>
      </c>
      <c r="C1505" t="s">
        <v>30</v>
      </c>
      <c r="D1505">
        <v>197.71</v>
      </c>
      <c r="E1505">
        <v>6000</v>
      </c>
      <c r="F1505" t="s">
        <v>74</v>
      </c>
      <c r="G1505" t="s">
        <v>32</v>
      </c>
      <c r="H1505" t="s">
        <v>57</v>
      </c>
      <c r="I1505" t="s">
        <v>44</v>
      </c>
      <c r="J1505" t="s">
        <v>35</v>
      </c>
      <c r="K1505" t="s">
        <v>36</v>
      </c>
      <c r="L1505">
        <v>14</v>
      </c>
      <c r="M1505" t="s">
        <v>4472</v>
      </c>
      <c r="N1505" t="s">
        <v>168</v>
      </c>
    </row>
    <row r="1506" spans="1:14" x14ac:dyDescent="0.35">
      <c r="A1506" t="s">
        <v>4545</v>
      </c>
      <c r="B1506" t="s">
        <v>4546</v>
      </c>
      <c r="C1506" t="s">
        <v>30</v>
      </c>
      <c r="D1506">
        <v>195.69</v>
      </c>
      <c r="E1506">
        <v>12000</v>
      </c>
      <c r="F1506" t="s">
        <v>76</v>
      </c>
      <c r="G1506" t="s">
        <v>32</v>
      </c>
      <c r="H1506" t="s">
        <v>33</v>
      </c>
      <c r="I1506" t="s">
        <v>34</v>
      </c>
      <c r="J1506" t="s">
        <v>320</v>
      </c>
      <c r="K1506" t="s">
        <v>97</v>
      </c>
      <c r="L1506">
        <v>11</v>
      </c>
      <c r="N1506" t="s">
        <v>165</v>
      </c>
    </row>
    <row r="1507" spans="1:14" x14ac:dyDescent="0.35">
      <c r="A1507" t="s">
        <v>4547</v>
      </c>
      <c r="B1507" t="s">
        <v>4548</v>
      </c>
      <c r="C1507" t="s">
        <v>69</v>
      </c>
      <c r="D1507">
        <v>81.28</v>
      </c>
      <c r="E1507">
        <v>88000</v>
      </c>
      <c r="F1507" t="s">
        <v>236</v>
      </c>
      <c r="G1507" t="s">
        <v>32</v>
      </c>
      <c r="H1507" t="s">
        <v>33</v>
      </c>
      <c r="I1507" t="s">
        <v>34</v>
      </c>
      <c r="J1507" t="s">
        <v>164</v>
      </c>
      <c r="K1507" t="s">
        <v>74</v>
      </c>
      <c r="L1507">
        <v>19</v>
      </c>
      <c r="M1507" t="s">
        <v>4549</v>
      </c>
      <c r="N1507" t="s">
        <v>4169</v>
      </c>
    </row>
    <row r="1508" spans="1:14" x14ac:dyDescent="0.35">
      <c r="A1508" t="s">
        <v>4550</v>
      </c>
      <c r="B1508" t="s">
        <v>4551</v>
      </c>
      <c r="C1508" t="s">
        <v>116</v>
      </c>
      <c r="D1508">
        <v>8.9</v>
      </c>
      <c r="E1508">
        <v>300</v>
      </c>
      <c r="F1508" t="s">
        <v>76</v>
      </c>
      <c r="G1508" t="s">
        <v>32</v>
      </c>
      <c r="H1508" t="s">
        <v>57</v>
      </c>
      <c r="I1508" t="s">
        <v>34</v>
      </c>
      <c r="J1508" t="s">
        <v>35</v>
      </c>
      <c r="K1508" t="s">
        <v>36</v>
      </c>
      <c r="L1508">
        <v>22</v>
      </c>
      <c r="N1508" t="s">
        <v>3732</v>
      </c>
    </row>
    <row r="1509" spans="1:14" x14ac:dyDescent="0.35">
      <c r="A1509" t="s">
        <v>4552</v>
      </c>
      <c r="B1509" t="s">
        <v>4553</v>
      </c>
      <c r="C1509" t="s">
        <v>62</v>
      </c>
      <c r="D1509">
        <v>81.62</v>
      </c>
      <c r="E1509">
        <v>1000</v>
      </c>
      <c r="F1509" t="s">
        <v>51</v>
      </c>
      <c r="G1509" t="s">
        <v>102</v>
      </c>
      <c r="H1509" t="s">
        <v>33</v>
      </c>
      <c r="I1509" t="s">
        <v>44</v>
      </c>
      <c r="J1509" t="s">
        <v>2313</v>
      </c>
      <c r="K1509" t="s">
        <v>139</v>
      </c>
      <c r="L1509">
        <v>20</v>
      </c>
      <c r="M1509" t="s">
        <v>1867</v>
      </c>
      <c r="N1509" t="s">
        <v>712</v>
      </c>
    </row>
    <row r="1510" spans="1:14" x14ac:dyDescent="0.35">
      <c r="A1510" t="s">
        <v>4554</v>
      </c>
      <c r="B1510" t="s">
        <v>4555</v>
      </c>
      <c r="C1510" t="s">
        <v>116</v>
      </c>
      <c r="D1510">
        <v>8.1300000000000008</v>
      </c>
      <c r="E1510">
        <v>600</v>
      </c>
      <c r="F1510" t="s">
        <v>97</v>
      </c>
      <c r="G1510" t="s">
        <v>32</v>
      </c>
      <c r="H1510" t="s">
        <v>57</v>
      </c>
      <c r="I1510" t="s">
        <v>34</v>
      </c>
      <c r="J1510" t="s">
        <v>75</v>
      </c>
      <c r="K1510" t="s">
        <v>76</v>
      </c>
      <c r="L1510">
        <v>7</v>
      </c>
      <c r="N1510" t="s">
        <v>4556</v>
      </c>
    </row>
    <row r="1511" spans="1:14" x14ac:dyDescent="0.35">
      <c r="A1511" t="s">
        <v>4557</v>
      </c>
      <c r="B1511" t="s">
        <v>4558</v>
      </c>
      <c r="C1511" t="s">
        <v>62</v>
      </c>
      <c r="D1511">
        <v>54.14</v>
      </c>
      <c r="E1511">
        <v>5000</v>
      </c>
      <c r="F1511" t="s">
        <v>236</v>
      </c>
      <c r="G1511" t="s">
        <v>32</v>
      </c>
      <c r="H1511" t="s">
        <v>57</v>
      </c>
      <c r="I1511" t="s">
        <v>44</v>
      </c>
      <c r="J1511" t="s">
        <v>75</v>
      </c>
      <c r="K1511" t="s">
        <v>76</v>
      </c>
      <c r="L1511">
        <v>1</v>
      </c>
      <c r="M1511" t="s">
        <v>140</v>
      </c>
      <c r="N1511" t="s">
        <v>944</v>
      </c>
    </row>
    <row r="1512" spans="1:14" x14ac:dyDescent="0.35">
      <c r="A1512" t="s">
        <v>4559</v>
      </c>
      <c r="B1512" t="s">
        <v>4560</v>
      </c>
      <c r="C1512" t="s">
        <v>41</v>
      </c>
      <c r="D1512">
        <v>84.19</v>
      </c>
      <c r="E1512">
        <v>29000</v>
      </c>
      <c r="F1512" t="s">
        <v>42</v>
      </c>
      <c r="G1512" t="s">
        <v>32</v>
      </c>
      <c r="H1512" t="s">
        <v>33</v>
      </c>
      <c r="I1512" t="s">
        <v>44</v>
      </c>
      <c r="J1512" t="s">
        <v>209</v>
      </c>
      <c r="K1512" t="s">
        <v>74</v>
      </c>
      <c r="L1512">
        <v>5</v>
      </c>
      <c r="N1512" t="s">
        <v>4561</v>
      </c>
    </row>
    <row r="1513" spans="1:14" x14ac:dyDescent="0.35">
      <c r="A1513" t="s">
        <v>4562</v>
      </c>
      <c r="B1513" t="s">
        <v>4563</v>
      </c>
      <c r="C1513" t="s">
        <v>30</v>
      </c>
      <c r="D1513">
        <v>127.34</v>
      </c>
      <c r="E1513">
        <v>12000</v>
      </c>
      <c r="F1513" t="s">
        <v>139</v>
      </c>
      <c r="G1513" t="s">
        <v>32</v>
      </c>
      <c r="H1513" t="s">
        <v>43</v>
      </c>
      <c r="I1513" t="s">
        <v>44</v>
      </c>
      <c r="J1513" t="s">
        <v>63</v>
      </c>
      <c r="K1513" t="s">
        <v>64</v>
      </c>
      <c r="L1513">
        <v>22</v>
      </c>
      <c r="M1513" t="s">
        <v>2785</v>
      </c>
      <c r="N1513" t="s">
        <v>3785</v>
      </c>
    </row>
    <row r="1514" spans="1:14" x14ac:dyDescent="0.35">
      <c r="A1514" t="s">
        <v>4564</v>
      </c>
      <c r="B1514" t="s">
        <v>4565</v>
      </c>
      <c r="C1514" t="s">
        <v>30</v>
      </c>
      <c r="D1514">
        <v>164.81</v>
      </c>
      <c r="E1514">
        <v>12000</v>
      </c>
      <c r="F1514" t="s">
        <v>64</v>
      </c>
      <c r="G1514" t="s">
        <v>32</v>
      </c>
      <c r="H1514" t="s">
        <v>57</v>
      </c>
      <c r="J1514" t="s">
        <v>2293</v>
      </c>
      <c r="K1514" t="s">
        <v>51</v>
      </c>
      <c r="L1514">
        <v>20</v>
      </c>
      <c r="M1514" t="s">
        <v>258</v>
      </c>
      <c r="N1514" t="s">
        <v>152</v>
      </c>
    </row>
    <row r="1515" spans="1:14" x14ac:dyDescent="0.35">
      <c r="A1515" t="s">
        <v>4566</v>
      </c>
      <c r="B1515" t="s">
        <v>4567</v>
      </c>
      <c r="C1515" t="s">
        <v>30</v>
      </c>
      <c r="D1515">
        <v>102.25</v>
      </c>
      <c r="E1515">
        <v>9000</v>
      </c>
      <c r="F1515" t="s">
        <v>76</v>
      </c>
      <c r="G1515" t="s">
        <v>32</v>
      </c>
      <c r="H1515" t="s">
        <v>43</v>
      </c>
      <c r="J1515" t="s">
        <v>112</v>
      </c>
      <c r="K1515" t="s">
        <v>106</v>
      </c>
      <c r="L1515">
        <v>7</v>
      </c>
      <c r="M1515" t="s">
        <v>3445</v>
      </c>
      <c r="N1515" t="s">
        <v>2340</v>
      </c>
    </row>
    <row r="1516" spans="1:14" x14ac:dyDescent="0.35">
      <c r="A1516" t="s">
        <v>4568</v>
      </c>
      <c r="B1516" t="s">
        <v>4569</v>
      </c>
      <c r="C1516" t="s">
        <v>30</v>
      </c>
      <c r="D1516">
        <v>161.88</v>
      </c>
      <c r="E1516">
        <v>12000</v>
      </c>
      <c r="F1516" t="s">
        <v>51</v>
      </c>
      <c r="G1516" t="s">
        <v>32</v>
      </c>
      <c r="H1516" t="s">
        <v>57</v>
      </c>
      <c r="J1516" t="s">
        <v>959</v>
      </c>
      <c r="K1516" t="s">
        <v>139</v>
      </c>
      <c r="L1516">
        <v>5</v>
      </c>
      <c r="N1516" t="s">
        <v>1514</v>
      </c>
    </row>
    <row r="1517" spans="1:14" x14ac:dyDescent="0.35">
      <c r="A1517" t="s">
        <v>4570</v>
      </c>
      <c r="B1517" t="s">
        <v>4571</v>
      </c>
      <c r="C1517" t="s">
        <v>30</v>
      </c>
      <c r="D1517">
        <v>112.91</v>
      </c>
      <c r="E1517">
        <v>6000</v>
      </c>
      <c r="F1517" t="s">
        <v>139</v>
      </c>
      <c r="G1517" t="s">
        <v>32</v>
      </c>
      <c r="H1517" t="s">
        <v>43</v>
      </c>
      <c r="I1517" t="s">
        <v>34</v>
      </c>
      <c r="J1517" t="s">
        <v>2422</v>
      </c>
      <c r="K1517" t="s">
        <v>51</v>
      </c>
      <c r="L1517">
        <v>11</v>
      </c>
      <c r="N1517" t="s">
        <v>4572</v>
      </c>
    </row>
    <row r="1518" spans="1:14" x14ac:dyDescent="0.35">
      <c r="A1518" t="s">
        <v>4573</v>
      </c>
      <c r="B1518" t="s">
        <v>4574</v>
      </c>
      <c r="C1518" t="s">
        <v>116</v>
      </c>
      <c r="D1518">
        <v>8.33</v>
      </c>
      <c r="E1518">
        <v>200</v>
      </c>
      <c r="F1518" t="s">
        <v>117</v>
      </c>
      <c r="G1518" t="s">
        <v>32</v>
      </c>
      <c r="H1518" t="s">
        <v>33</v>
      </c>
      <c r="I1518" t="s">
        <v>34</v>
      </c>
      <c r="J1518" t="s">
        <v>112</v>
      </c>
      <c r="K1518" t="s">
        <v>106</v>
      </c>
      <c r="L1518">
        <v>19</v>
      </c>
      <c r="M1518" t="s">
        <v>1743</v>
      </c>
      <c r="N1518" t="s">
        <v>4575</v>
      </c>
    </row>
    <row r="1519" spans="1:14" x14ac:dyDescent="0.35">
      <c r="A1519" t="s">
        <v>4576</v>
      </c>
      <c r="B1519" t="s">
        <v>4577</v>
      </c>
      <c r="C1519" t="s">
        <v>116</v>
      </c>
      <c r="D1519">
        <v>10.25</v>
      </c>
      <c r="E1519">
        <v>500</v>
      </c>
      <c r="F1519" t="s">
        <v>147</v>
      </c>
      <c r="G1519" t="s">
        <v>32</v>
      </c>
      <c r="H1519" t="s">
        <v>57</v>
      </c>
      <c r="I1519" t="s">
        <v>44</v>
      </c>
      <c r="J1519" t="s">
        <v>4578</v>
      </c>
      <c r="K1519" t="s">
        <v>31</v>
      </c>
      <c r="L1519">
        <v>6</v>
      </c>
      <c r="M1519" t="s">
        <v>1032</v>
      </c>
      <c r="N1519" t="s">
        <v>4579</v>
      </c>
    </row>
    <row r="1520" spans="1:14" x14ac:dyDescent="0.35">
      <c r="A1520" t="s">
        <v>4580</v>
      </c>
      <c r="B1520" t="s">
        <v>4581</v>
      </c>
      <c r="C1520" t="s">
        <v>81</v>
      </c>
      <c r="D1520">
        <v>101.72</v>
      </c>
      <c r="E1520">
        <v>8000</v>
      </c>
      <c r="F1520" t="s">
        <v>64</v>
      </c>
      <c r="G1520" t="s">
        <v>32</v>
      </c>
      <c r="H1520" t="s">
        <v>57</v>
      </c>
      <c r="I1520" t="s">
        <v>44</v>
      </c>
      <c r="J1520" t="s">
        <v>82</v>
      </c>
      <c r="K1520" t="s">
        <v>74</v>
      </c>
      <c r="L1520">
        <v>7</v>
      </c>
      <c r="N1520" t="s">
        <v>280</v>
      </c>
    </row>
    <row r="1521" spans="1:14" x14ac:dyDescent="0.35">
      <c r="A1521" t="s">
        <v>4582</v>
      </c>
      <c r="B1521" t="s">
        <v>4583</v>
      </c>
      <c r="C1521" t="s">
        <v>62</v>
      </c>
      <c r="D1521">
        <v>95.57</v>
      </c>
      <c r="E1521">
        <v>5000</v>
      </c>
      <c r="F1521" t="s">
        <v>74</v>
      </c>
      <c r="G1521" t="s">
        <v>32</v>
      </c>
      <c r="H1521" t="s">
        <v>57</v>
      </c>
      <c r="I1521" t="s">
        <v>44</v>
      </c>
      <c r="J1521" t="s">
        <v>4378</v>
      </c>
      <c r="K1521" t="s">
        <v>147</v>
      </c>
      <c r="L1521">
        <v>9</v>
      </c>
      <c r="M1521" t="s">
        <v>346</v>
      </c>
      <c r="N1521" t="s">
        <v>199</v>
      </c>
    </row>
    <row r="1522" spans="1:14" x14ac:dyDescent="0.35">
      <c r="A1522" t="s">
        <v>4584</v>
      </c>
      <c r="B1522" t="s">
        <v>4585</v>
      </c>
      <c r="C1522" t="s">
        <v>41</v>
      </c>
      <c r="D1522">
        <v>85.75</v>
      </c>
      <c r="E1522">
        <v>26000</v>
      </c>
      <c r="F1522" t="s">
        <v>46</v>
      </c>
      <c r="G1522" t="s">
        <v>32</v>
      </c>
      <c r="H1522" t="s">
        <v>43</v>
      </c>
      <c r="I1522" t="s">
        <v>44</v>
      </c>
      <c r="J1522" t="s">
        <v>107</v>
      </c>
      <c r="K1522" t="s">
        <v>87</v>
      </c>
      <c r="L1522">
        <v>22</v>
      </c>
      <c r="M1522" t="s">
        <v>335</v>
      </c>
      <c r="N1522" t="s">
        <v>4586</v>
      </c>
    </row>
    <row r="1523" spans="1:14" x14ac:dyDescent="0.35">
      <c r="A1523" t="s">
        <v>4587</v>
      </c>
      <c r="B1523" t="s">
        <v>4588</v>
      </c>
      <c r="C1523" t="s">
        <v>69</v>
      </c>
      <c r="D1523">
        <v>90.81</v>
      </c>
      <c r="E1523">
        <v>72000</v>
      </c>
      <c r="F1523" t="s">
        <v>36</v>
      </c>
      <c r="G1523" t="s">
        <v>32</v>
      </c>
      <c r="H1523" t="s">
        <v>33</v>
      </c>
      <c r="I1523" t="s">
        <v>34</v>
      </c>
      <c r="J1523" t="s">
        <v>4378</v>
      </c>
      <c r="K1523" t="s">
        <v>147</v>
      </c>
      <c r="L1523">
        <v>14</v>
      </c>
      <c r="N1523" t="s">
        <v>113</v>
      </c>
    </row>
    <row r="1524" spans="1:14" x14ac:dyDescent="0.35">
      <c r="A1524" t="s">
        <v>4589</v>
      </c>
      <c r="B1524" t="s">
        <v>4590</v>
      </c>
      <c r="C1524" t="s">
        <v>69</v>
      </c>
      <c r="D1524">
        <v>86.92</v>
      </c>
      <c r="E1524">
        <v>76000</v>
      </c>
      <c r="F1524" t="s">
        <v>236</v>
      </c>
      <c r="G1524" t="s">
        <v>32</v>
      </c>
      <c r="H1524" t="s">
        <v>43</v>
      </c>
      <c r="J1524" t="s">
        <v>1208</v>
      </c>
      <c r="K1524" t="s">
        <v>139</v>
      </c>
      <c r="L1524">
        <v>7</v>
      </c>
      <c r="M1524" t="s">
        <v>2709</v>
      </c>
      <c r="N1524" t="s">
        <v>2233</v>
      </c>
    </row>
    <row r="1525" spans="1:14" x14ac:dyDescent="0.35">
      <c r="A1525" t="s">
        <v>4591</v>
      </c>
      <c r="B1525" t="s">
        <v>4592</v>
      </c>
      <c r="C1525" t="s">
        <v>116</v>
      </c>
      <c r="D1525">
        <v>6.82</v>
      </c>
      <c r="E1525">
        <v>300</v>
      </c>
      <c r="F1525" t="s">
        <v>74</v>
      </c>
      <c r="G1525" t="s">
        <v>102</v>
      </c>
      <c r="H1525" t="s">
        <v>57</v>
      </c>
      <c r="I1525" t="s">
        <v>34</v>
      </c>
      <c r="J1525" t="s">
        <v>75</v>
      </c>
      <c r="K1525" t="s">
        <v>76</v>
      </c>
      <c r="L1525">
        <v>13</v>
      </c>
      <c r="M1525" t="s">
        <v>77</v>
      </c>
      <c r="N1525" t="s">
        <v>4593</v>
      </c>
    </row>
    <row r="1526" spans="1:14" x14ac:dyDescent="0.35">
      <c r="A1526" t="s">
        <v>4594</v>
      </c>
      <c r="B1526" t="s">
        <v>4595</v>
      </c>
      <c r="C1526" t="s">
        <v>62</v>
      </c>
      <c r="D1526">
        <v>55.49</v>
      </c>
      <c r="E1526">
        <v>4000</v>
      </c>
      <c r="F1526" t="s">
        <v>87</v>
      </c>
      <c r="G1526" t="s">
        <v>32</v>
      </c>
      <c r="H1526" t="s">
        <v>43</v>
      </c>
      <c r="I1526" t="s">
        <v>34</v>
      </c>
      <c r="J1526" t="s">
        <v>45</v>
      </c>
      <c r="K1526" t="s">
        <v>46</v>
      </c>
      <c r="L1526">
        <v>9</v>
      </c>
      <c r="N1526" t="s">
        <v>2055</v>
      </c>
    </row>
    <row r="1527" spans="1:14" x14ac:dyDescent="0.35">
      <c r="A1527" t="s">
        <v>4596</v>
      </c>
      <c r="B1527" t="s">
        <v>4597</v>
      </c>
      <c r="C1527" t="s">
        <v>69</v>
      </c>
      <c r="D1527">
        <v>69.69</v>
      </c>
      <c r="E1527">
        <v>98000</v>
      </c>
      <c r="F1527" t="s">
        <v>31</v>
      </c>
      <c r="G1527" t="s">
        <v>32</v>
      </c>
      <c r="H1527" t="s">
        <v>43</v>
      </c>
      <c r="I1527" t="s">
        <v>44</v>
      </c>
      <c r="J1527" t="s">
        <v>70</v>
      </c>
      <c r="K1527" t="s">
        <v>31</v>
      </c>
      <c r="L1527">
        <v>6</v>
      </c>
      <c r="M1527" t="s">
        <v>2546</v>
      </c>
      <c r="N1527" t="s">
        <v>1901</v>
      </c>
    </row>
    <row r="1528" spans="1:14" x14ac:dyDescent="0.35">
      <c r="A1528" t="s">
        <v>4598</v>
      </c>
      <c r="B1528" t="s">
        <v>4599</v>
      </c>
      <c r="C1528" t="s">
        <v>81</v>
      </c>
      <c r="D1528">
        <v>113.27</v>
      </c>
      <c r="E1528">
        <v>10000</v>
      </c>
      <c r="F1528" t="s">
        <v>139</v>
      </c>
      <c r="G1528" t="s">
        <v>32</v>
      </c>
      <c r="H1528" t="s">
        <v>33</v>
      </c>
      <c r="J1528" t="s">
        <v>278</v>
      </c>
      <c r="K1528" t="s">
        <v>97</v>
      </c>
      <c r="L1528">
        <v>2</v>
      </c>
      <c r="M1528" t="s">
        <v>1695</v>
      </c>
      <c r="N1528" t="s">
        <v>4561</v>
      </c>
    </row>
    <row r="1529" spans="1:14" x14ac:dyDescent="0.35">
      <c r="A1529" t="s">
        <v>4600</v>
      </c>
      <c r="B1529" t="s">
        <v>4601</v>
      </c>
      <c r="C1529" t="s">
        <v>30</v>
      </c>
      <c r="D1529">
        <v>146.16999999999999</v>
      </c>
      <c r="E1529">
        <v>3000</v>
      </c>
      <c r="F1529" t="s">
        <v>106</v>
      </c>
      <c r="G1529" t="s">
        <v>32</v>
      </c>
      <c r="H1529" t="s">
        <v>43</v>
      </c>
      <c r="I1529" t="s">
        <v>44</v>
      </c>
      <c r="J1529" t="s">
        <v>278</v>
      </c>
      <c r="K1529" t="s">
        <v>97</v>
      </c>
      <c r="L1529">
        <v>1</v>
      </c>
      <c r="N1529" t="s">
        <v>761</v>
      </c>
    </row>
    <row r="1530" spans="1:14" x14ac:dyDescent="0.35">
      <c r="A1530" t="s">
        <v>4602</v>
      </c>
      <c r="B1530" t="s">
        <v>4603</v>
      </c>
      <c r="C1530" t="s">
        <v>41</v>
      </c>
      <c r="D1530">
        <v>101.42</v>
      </c>
      <c r="E1530">
        <v>26000</v>
      </c>
      <c r="F1530" t="s">
        <v>42</v>
      </c>
      <c r="G1530" t="s">
        <v>32</v>
      </c>
      <c r="H1530" t="s">
        <v>57</v>
      </c>
      <c r="I1530" t="s">
        <v>44</v>
      </c>
      <c r="J1530" t="s">
        <v>124</v>
      </c>
      <c r="K1530" t="s">
        <v>117</v>
      </c>
      <c r="L1530">
        <v>10</v>
      </c>
      <c r="M1530" t="s">
        <v>4604</v>
      </c>
      <c r="N1530" t="s">
        <v>78</v>
      </c>
    </row>
    <row r="1531" spans="1:14" x14ac:dyDescent="0.35">
      <c r="A1531" t="s">
        <v>4605</v>
      </c>
      <c r="B1531" t="s">
        <v>4606</v>
      </c>
      <c r="C1531" t="s">
        <v>62</v>
      </c>
      <c r="D1531">
        <v>82.13</v>
      </c>
      <c r="E1531">
        <v>5000</v>
      </c>
      <c r="F1531" t="s">
        <v>87</v>
      </c>
      <c r="G1531" t="s">
        <v>32</v>
      </c>
      <c r="H1531" t="s">
        <v>57</v>
      </c>
      <c r="I1531" t="s">
        <v>44</v>
      </c>
      <c r="J1531" t="s">
        <v>112</v>
      </c>
      <c r="K1531" t="s">
        <v>106</v>
      </c>
      <c r="L1531">
        <v>6</v>
      </c>
      <c r="M1531" t="s">
        <v>2088</v>
      </c>
      <c r="N1531" t="s">
        <v>4607</v>
      </c>
    </row>
    <row r="1532" spans="1:14" x14ac:dyDescent="0.35">
      <c r="A1532" t="s">
        <v>4608</v>
      </c>
      <c r="B1532" t="s">
        <v>4609</v>
      </c>
      <c r="C1532" t="s">
        <v>69</v>
      </c>
      <c r="D1532">
        <v>71.650000000000006</v>
      </c>
      <c r="E1532">
        <v>24000</v>
      </c>
      <c r="F1532" t="s">
        <v>42</v>
      </c>
      <c r="G1532" t="s">
        <v>32</v>
      </c>
      <c r="H1532" t="s">
        <v>57</v>
      </c>
      <c r="I1532" t="s">
        <v>34</v>
      </c>
      <c r="J1532" t="s">
        <v>75</v>
      </c>
      <c r="K1532" t="s">
        <v>76</v>
      </c>
      <c r="L1532">
        <v>12</v>
      </c>
      <c r="M1532" t="s">
        <v>987</v>
      </c>
      <c r="N1532" t="s">
        <v>3355</v>
      </c>
    </row>
    <row r="1533" spans="1:14" x14ac:dyDescent="0.35">
      <c r="A1533" t="s">
        <v>4610</v>
      </c>
      <c r="B1533" t="s">
        <v>4611</v>
      </c>
      <c r="C1533" t="s">
        <v>69</v>
      </c>
      <c r="D1533">
        <v>92.16</v>
      </c>
      <c r="E1533">
        <v>34000</v>
      </c>
      <c r="F1533" t="s">
        <v>97</v>
      </c>
      <c r="G1533" t="s">
        <v>32</v>
      </c>
      <c r="H1533" t="s">
        <v>57</v>
      </c>
      <c r="I1533" t="s">
        <v>34</v>
      </c>
      <c r="J1533" t="s">
        <v>1807</v>
      </c>
      <c r="K1533" t="s">
        <v>139</v>
      </c>
      <c r="L1533">
        <v>1</v>
      </c>
      <c r="M1533" t="s">
        <v>3657</v>
      </c>
      <c r="N1533" t="s">
        <v>2794</v>
      </c>
    </row>
    <row r="1534" spans="1:14" x14ac:dyDescent="0.35">
      <c r="A1534" t="s">
        <v>4612</v>
      </c>
      <c r="B1534" t="s">
        <v>4613</v>
      </c>
      <c r="C1534" t="s">
        <v>41</v>
      </c>
      <c r="D1534">
        <v>129.63999999999999</v>
      </c>
      <c r="E1534">
        <v>19000</v>
      </c>
      <c r="F1534" t="s">
        <v>46</v>
      </c>
      <c r="G1534" t="s">
        <v>32</v>
      </c>
      <c r="H1534" t="s">
        <v>57</v>
      </c>
      <c r="I1534" t="s">
        <v>34</v>
      </c>
      <c r="J1534" t="s">
        <v>1071</v>
      </c>
      <c r="K1534" t="s">
        <v>236</v>
      </c>
      <c r="L1534">
        <v>15</v>
      </c>
      <c r="N1534" t="s">
        <v>3428</v>
      </c>
    </row>
    <row r="1535" spans="1:14" x14ac:dyDescent="0.35">
      <c r="A1535" t="s">
        <v>4614</v>
      </c>
      <c r="B1535" t="s">
        <v>4615</v>
      </c>
      <c r="C1535" t="s">
        <v>81</v>
      </c>
      <c r="D1535">
        <v>95.85</v>
      </c>
      <c r="E1535">
        <v>1000</v>
      </c>
      <c r="F1535" t="s">
        <v>42</v>
      </c>
      <c r="G1535" t="s">
        <v>32</v>
      </c>
      <c r="H1535" t="s">
        <v>33</v>
      </c>
      <c r="J1535" t="s">
        <v>45</v>
      </c>
      <c r="K1535" t="s">
        <v>46</v>
      </c>
      <c r="L1535">
        <v>22</v>
      </c>
      <c r="M1535" t="s">
        <v>2039</v>
      </c>
      <c r="N1535" t="s">
        <v>968</v>
      </c>
    </row>
    <row r="1536" spans="1:14" x14ac:dyDescent="0.35">
      <c r="A1536" t="s">
        <v>4616</v>
      </c>
      <c r="B1536" t="s">
        <v>4617</v>
      </c>
      <c r="C1536" t="s">
        <v>116</v>
      </c>
      <c r="D1536">
        <v>11.24</v>
      </c>
      <c r="E1536">
        <v>600</v>
      </c>
      <c r="F1536" t="s">
        <v>106</v>
      </c>
      <c r="G1536" t="s">
        <v>32</v>
      </c>
      <c r="H1536" t="s">
        <v>57</v>
      </c>
      <c r="I1536" t="s">
        <v>129</v>
      </c>
      <c r="J1536" t="s">
        <v>112</v>
      </c>
      <c r="K1536" t="s">
        <v>106</v>
      </c>
      <c r="L1536">
        <v>10</v>
      </c>
      <c r="M1536" t="s">
        <v>807</v>
      </c>
      <c r="N1536" t="s">
        <v>4618</v>
      </c>
    </row>
    <row r="1537" spans="1:14" x14ac:dyDescent="0.35">
      <c r="A1537" t="s">
        <v>4619</v>
      </c>
      <c r="B1537" t="s">
        <v>4620</v>
      </c>
      <c r="C1537" t="s">
        <v>116</v>
      </c>
      <c r="D1537">
        <v>8.9499999999999993</v>
      </c>
      <c r="E1537">
        <v>200</v>
      </c>
      <c r="F1537" t="s">
        <v>36</v>
      </c>
      <c r="G1537" t="s">
        <v>32</v>
      </c>
      <c r="H1537" t="s">
        <v>57</v>
      </c>
      <c r="I1537" t="s">
        <v>44</v>
      </c>
      <c r="J1537" t="s">
        <v>4621</v>
      </c>
      <c r="K1537" t="s">
        <v>51</v>
      </c>
      <c r="L1537">
        <v>10</v>
      </c>
      <c r="N1537" t="s">
        <v>3497</v>
      </c>
    </row>
    <row r="1538" spans="1:14" x14ac:dyDescent="0.35">
      <c r="A1538" t="s">
        <v>4622</v>
      </c>
      <c r="B1538" t="s">
        <v>4623</v>
      </c>
      <c r="C1538" t="s">
        <v>81</v>
      </c>
      <c r="D1538">
        <v>135.49</v>
      </c>
      <c r="E1538">
        <v>7000</v>
      </c>
      <c r="F1538" t="s">
        <v>74</v>
      </c>
      <c r="G1538" t="s">
        <v>32</v>
      </c>
      <c r="H1538" t="s">
        <v>43</v>
      </c>
      <c r="J1538" t="s">
        <v>35</v>
      </c>
      <c r="K1538" t="s">
        <v>36</v>
      </c>
      <c r="L1538">
        <v>19</v>
      </c>
      <c r="N1538" t="s">
        <v>4624</v>
      </c>
    </row>
    <row r="1539" spans="1:14" x14ac:dyDescent="0.35">
      <c r="A1539" t="s">
        <v>4625</v>
      </c>
      <c r="B1539" t="s">
        <v>4626</v>
      </c>
      <c r="C1539" t="s">
        <v>116</v>
      </c>
      <c r="D1539">
        <v>9.32</v>
      </c>
      <c r="E1539">
        <v>600</v>
      </c>
      <c r="F1539" t="s">
        <v>42</v>
      </c>
      <c r="G1539" t="s">
        <v>32</v>
      </c>
      <c r="H1539" t="s">
        <v>57</v>
      </c>
      <c r="I1539" t="s">
        <v>44</v>
      </c>
      <c r="J1539" t="s">
        <v>45</v>
      </c>
      <c r="K1539" t="s">
        <v>46</v>
      </c>
      <c r="L1539">
        <v>22</v>
      </c>
      <c r="N1539" t="s">
        <v>4627</v>
      </c>
    </row>
    <row r="1540" spans="1:14" x14ac:dyDescent="0.35">
      <c r="A1540" t="s">
        <v>4628</v>
      </c>
      <c r="B1540" t="s">
        <v>4629</v>
      </c>
      <c r="C1540" t="s">
        <v>116</v>
      </c>
      <c r="D1540">
        <v>6.62</v>
      </c>
      <c r="E1540">
        <v>700</v>
      </c>
      <c r="F1540" t="s">
        <v>147</v>
      </c>
      <c r="G1540" t="s">
        <v>32</v>
      </c>
      <c r="H1540" t="s">
        <v>33</v>
      </c>
      <c r="I1540" t="s">
        <v>44</v>
      </c>
      <c r="J1540" t="s">
        <v>63</v>
      </c>
      <c r="K1540" t="s">
        <v>64</v>
      </c>
      <c r="L1540">
        <v>6</v>
      </c>
      <c r="N1540" t="s">
        <v>4630</v>
      </c>
    </row>
    <row r="1541" spans="1:14" x14ac:dyDescent="0.35">
      <c r="A1541" t="s">
        <v>4631</v>
      </c>
      <c r="B1541" t="s">
        <v>4632</v>
      </c>
      <c r="C1541" t="s">
        <v>41</v>
      </c>
      <c r="D1541">
        <v>149.37</v>
      </c>
      <c r="E1541">
        <v>37000</v>
      </c>
      <c r="F1541" t="s">
        <v>74</v>
      </c>
      <c r="G1541" t="s">
        <v>32</v>
      </c>
      <c r="H1541" t="s">
        <v>43</v>
      </c>
      <c r="I1541" t="s">
        <v>129</v>
      </c>
      <c r="J1541" t="s">
        <v>278</v>
      </c>
      <c r="K1541" t="s">
        <v>97</v>
      </c>
      <c r="L1541">
        <v>14</v>
      </c>
      <c r="N1541" t="s">
        <v>4633</v>
      </c>
    </row>
    <row r="1542" spans="1:14" x14ac:dyDescent="0.35">
      <c r="A1542" t="s">
        <v>4634</v>
      </c>
      <c r="B1542" t="s">
        <v>4635</v>
      </c>
      <c r="C1542" t="s">
        <v>116</v>
      </c>
      <c r="D1542">
        <v>9.08</v>
      </c>
      <c r="E1542">
        <v>300</v>
      </c>
      <c r="F1542" t="s">
        <v>64</v>
      </c>
      <c r="G1542" t="s">
        <v>32</v>
      </c>
      <c r="H1542" t="s">
        <v>43</v>
      </c>
      <c r="I1542" t="s">
        <v>44</v>
      </c>
      <c r="J1542" t="s">
        <v>209</v>
      </c>
      <c r="K1542" t="s">
        <v>74</v>
      </c>
      <c r="L1542">
        <v>2</v>
      </c>
      <c r="N1542" t="s">
        <v>4636</v>
      </c>
    </row>
    <row r="1543" spans="1:14" x14ac:dyDescent="0.35">
      <c r="A1543" t="s">
        <v>4637</v>
      </c>
      <c r="B1543" t="s">
        <v>4638</v>
      </c>
      <c r="C1543" t="s">
        <v>116</v>
      </c>
      <c r="D1543">
        <v>7.61</v>
      </c>
      <c r="E1543">
        <v>100</v>
      </c>
      <c r="F1543" t="s">
        <v>147</v>
      </c>
      <c r="G1543" t="s">
        <v>32</v>
      </c>
      <c r="H1543" t="s">
        <v>33</v>
      </c>
      <c r="I1543" t="s">
        <v>44</v>
      </c>
      <c r="J1543" t="s">
        <v>118</v>
      </c>
      <c r="K1543" t="s">
        <v>42</v>
      </c>
      <c r="L1543">
        <v>2</v>
      </c>
      <c r="M1543" t="s">
        <v>1028</v>
      </c>
      <c r="N1543" t="s">
        <v>1148</v>
      </c>
    </row>
    <row r="1544" spans="1:14" x14ac:dyDescent="0.35">
      <c r="A1544" t="s">
        <v>4639</v>
      </c>
      <c r="B1544" t="s">
        <v>4640</v>
      </c>
      <c r="C1544" t="s">
        <v>69</v>
      </c>
      <c r="D1544">
        <v>87.77</v>
      </c>
      <c r="E1544">
        <v>100000</v>
      </c>
      <c r="F1544" t="s">
        <v>36</v>
      </c>
      <c r="G1544" t="s">
        <v>32</v>
      </c>
      <c r="H1544" t="s">
        <v>57</v>
      </c>
      <c r="I1544" t="s">
        <v>34</v>
      </c>
      <c r="J1544" t="s">
        <v>124</v>
      </c>
      <c r="K1544" t="s">
        <v>117</v>
      </c>
      <c r="L1544">
        <v>18</v>
      </c>
      <c r="N1544" t="s">
        <v>4641</v>
      </c>
    </row>
    <row r="1545" spans="1:14" x14ac:dyDescent="0.35">
      <c r="A1545" t="s">
        <v>4642</v>
      </c>
      <c r="B1545" t="s">
        <v>4643</v>
      </c>
      <c r="C1545" t="s">
        <v>116</v>
      </c>
      <c r="D1545">
        <v>7.15</v>
      </c>
      <c r="E1545">
        <v>400</v>
      </c>
      <c r="F1545" t="s">
        <v>64</v>
      </c>
      <c r="G1545" t="s">
        <v>102</v>
      </c>
      <c r="H1545" t="s">
        <v>33</v>
      </c>
      <c r="I1545" t="s">
        <v>129</v>
      </c>
      <c r="J1545" t="s">
        <v>2442</v>
      </c>
      <c r="K1545" t="s">
        <v>42</v>
      </c>
      <c r="L1545">
        <v>5</v>
      </c>
      <c r="M1545" t="s">
        <v>2437</v>
      </c>
      <c r="N1545" t="s">
        <v>2669</v>
      </c>
    </row>
    <row r="1546" spans="1:14" x14ac:dyDescent="0.35">
      <c r="A1546" t="s">
        <v>4644</v>
      </c>
      <c r="B1546" t="s">
        <v>4645</v>
      </c>
      <c r="C1546" t="s">
        <v>69</v>
      </c>
      <c r="D1546">
        <v>70.27</v>
      </c>
      <c r="E1546">
        <v>36000</v>
      </c>
      <c r="F1546" t="s">
        <v>123</v>
      </c>
      <c r="G1546" t="s">
        <v>32</v>
      </c>
      <c r="H1546" t="s">
        <v>43</v>
      </c>
      <c r="I1546" t="s">
        <v>34</v>
      </c>
      <c r="J1546" t="s">
        <v>130</v>
      </c>
      <c r="K1546" t="s">
        <v>147</v>
      </c>
      <c r="L1546">
        <v>9</v>
      </c>
      <c r="M1546" t="s">
        <v>3596</v>
      </c>
      <c r="N1546" t="s">
        <v>874</v>
      </c>
    </row>
    <row r="1547" spans="1:14" x14ac:dyDescent="0.35">
      <c r="A1547" t="s">
        <v>4646</v>
      </c>
      <c r="B1547" t="s">
        <v>4647</v>
      </c>
      <c r="C1547" t="s">
        <v>41</v>
      </c>
      <c r="D1547">
        <v>121.35</v>
      </c>
      <c r="E1547">
        <v>11000</v>
      </c>
      <c r="F1547" t="s">
        <v>64</v>
      </c>
      <c r="G1547" t="s">
        <v>32</v>
      </c>
      <c r="H1547" t="s">
        <v>43</v>
      </c>
      <c r="I1547" t="s">
        <v>44</v>
      </c>
      <c r="J1547" t="s">
        <v>118</v>
      </c>
      <c r="K1547" t="s">
        <v>42</v>
      </c>
      <c r="L1547">
        <v>9</v>
      </c>
      <c r="M1547" t="s">
        <v>2518</v>
      </c>
      <c r="N1547" t="s">
        <v>556</v>
      </c>
    </row>
    <row r="1548" spans="1:14" x14ac:dyDescent="0.35">
      <c r="A1548" t="s">
        <v>4648</v>
      </c>
      <c r="B1548" t="s">
        <v>4649</v>
      </c>
      <c r="C1548" t="s">
        <v>62</v>
      </c>
      <c r="D1548">
        <v>77.16</v>
      </c>
      <c r="E1548">
        <v>1000</v>
      </c>
      <c r="F1548" t="s">
        <v>64</v>
      </c>
      <c r="G1548" t="s">
        <v>32</v>
      </c>
      <c r="H1548" t="s">
        <v>43</v>
      </c>
      <c r="J1548" t="s">
        <v>70</v>
      </c>
      <c r="K1548" t="s">
        <v>31</v>
      </c>
      <c r="L1548">
        <v>21</v>
      </c>
      <c r="M1548" t="s">
        <v>4650</v>
      </c>
      <c r="N1548" t="s">
        <v>4651</v>
      </c>
    </row>
    <row r="1549" spans="1:14" x14ac:dyDescent="0.35">
      <c r="A1549" t="s">
        <v>4652</v>
      </c>
      <c r="B1549" t="s">
        <v>4653</v>
      </c>
      <c r="C1549" t="s">
        <v>62</v>
      </c>
      <c r="D1549">
        <v>71.34</v>
      </c>
      <c r="E1549">
        <v>2000</v>
      </c>
      <c r="F1549" t="s">
        <v>117</v>
      </c>
      <c r="G1549" t="s">
        <v>32</v>
      </c>
      <c r="H1549" t="s">
        <v>43</v>
      </c>
      <c r="I1549" t="s">
        <v>34</v>
      </c>
      <c r="J1549" t="s">
        <v>45</v>
      </c>
      <c r="K1549" t="s">
        <v>46</v>
      </c>
      <c r="L1549">
        <v>4</v>
      </c>
      <c r="M1549" t="s">
        <v>108</v>
      </c>
      <c r="N1549" t="s">
        <v>4654</v>
      </c>
    </row>
    <row r="1550" spans="1:14" x14ac:dyDescent="0.35">
      <c r="A1550" t="s">
        <v>4655</v>
      </c>
      <c r="B1550" t="s">
        <v>4656</v>
      </c>
      <c r="C1550" t="s">
        <v>41</v>
      </c>
      <c r="D1550">
        <v>107.29</v>
      </c>
      <c r="E1550">
        <v>24000</v>
      </c>
      <c r="F1550" t="s">
        <v>51</v>
      </c>
      <c r="G1550" t="s">
        <v>32</v>
      </c>
      <c r="H1550" t="s">
        <v>43</v>
      </c>
      <c r="I1550" t="s">
        <v>44</v>
      </c>
      <c r="J1550" t="s">
        <v>124</v>
      </c>
      <c r="K1550" t="s">
        <v>117</v>
      </c>
      <c r="L1550">
        <v>11</v>
      </c>
      <c r="N1550" t="s">
        <v>4657</v>
      </c>
    </row>
    <row r="1551" spans="1:14" x14ac:dyDescent="0.35">
      <c r="A1551" t="s">
        <v>4658</v>
      </c>
      <c r="B1551" t="s">
        <v>4659</v>
      </c>
      <c r="C1551" t="s">
        <v>116</v>
      </c>
      <c r="D1551">
        <v>8.85</v>
      </c>
      <c r="E1551">
        <v>200</v>
      </c>
      <c r="F1551" t="s">
        <v>42</v>
      </c>
      <c r="G1551" t="s">
        <v>32</v>
      </c>
      <c r="H1551" t="s">
        <v>57</v>
      </c>
      <c r="I1551" t="s">
        <v>44</v>
      </c>
      <c r="J1551" t="s">
        <v>130</v>
      </c>
      <c r="K1551" t="s">
        <v>123</v>
      </c>
      <c r="L1551">
        <v>2</v>
      </c>
      <c r="N1551" t="s">
        <v>4660</v>
      </c>
    </row>
    <row r="1552" spans="1:14" x14ac:dyDescent="0.35">
      <c r="A1552" t="s">
        <v>4661</v>
      </c>
      <c r="B1552" t="s">
        <v>4662</v>
      </c>
      <c r="C1552" t="s">
        <v>62</v>
      </c>
      <c r="D1552">
        <v>67.260000000000005</v>
      </c>
      <c r="E1552">
        <v>3000</v>
      </c>
      <c r="F1552" t="s">
        <v>51</v>
      </c>
      <c r="G1552" t="s">
        <v>32</v>
      </c>
      <c r="H1552" t="s">
        <v>33</v>
      </c>
      <c r="I1552" t="s">
        <v>129</v>
      </c>
      <c r="J1552" t="s">
        <v>209</v>
      </c>
      <c r="K1552" t="s">
        <v>74</v>
      </c>
      <c r="L1552">
        <v>11</v>
      </c>
      <c r="M1552" t="s">
        <v>1545</v>
      </c>
      <c r="N1552" t="s">
        <v>3704</v>
      </c>
    </row>
    <row r="1553" spans="1:14" x14ac:dyDescent="0.35">
      <c r="A1553" t="s">
        <v>4663</v>
      </c>
      <c r="B1553" t="s">
        <v>4664</v>
      </c>
      <c r="C1553" t="s">
        <v>30</v>
      </c>
      <c r="D1553">
        <v>197.25</v>
      </c>
      <c r="E1553">
        <v>11000</v>
      </c>
      <c r="F1553" t="s">
        <v>36</v>
      </c>
      <c r="G1553" t="s">
        <v>32</v>
      </c>
      <c r="H1553" t="s">
        <v>33</v>
      </c>
      <c r="I1553" t="s">
        <v>44</v>
      </c>
      <c r="J1553" t="s">
        <v>63</v>
      </c>
      <c r="K1553" t="s">
        <v>64</v>
      </c>
      <c r="L1553">
        <v>8</v>
      </c>
      <c r="N1553" t="s">
        <v>4665</v>
      </c>
    </row>
    <row r="1554" spans="1:14" x14ac:dyDescent="0.35">
      <c r="A1554" t="s">
        <v>4666</v>
      </c>
      <c r="B1554" t="s">
        <v>4667</v>
      </c>
      <c r="C1554" t="s">
        <v>116</v>
      </c>
      <c r="D1554">
        <v>8.94</v>
      </c>
      <c r="E1554">
        <v>600</v>
      </c>
      <c r="F1554" t="s">
        <v>51</v>
      </c>
      <c r="G1554" t="s">
        <v>102</v>
      </c>
      <c r="H1554" t="s">
        <v>57</v>
      </c>
      <c r="I1554" t="s">
        <v>44</v>
      </c>
      <c r="J1554" t="s">
        <v>130</v>
      </c>
      <c r="K1554" t="s">
        <v>123</v>
      </c>
      <c r="L1554">
        <v>15</v>
      </c>
      <c r="M1554" t="s">
        <v>403</v>
      </c>
      <c r="N1554" t="s">
        <v>1257</v>
      </c>
    </row>
    <row r="1555" spans="1:14" x14ac:dyDescent="0.35">
      <c r="A1555" t="s">
        <v>4668</v>
      </c>
      <c r="B1555" t="s">
        <v>4669</v>
      </c>
      <c r="C1555" t="s">
        <v>30</v>
      </c>
      <c r="D1555">
        <v>190.49</v>
      </c>
      <c r="E1555">
        <v>10000</v>
      </c>
      <c r="F1555" t="s">
        <v>236</v>
      </c>
      <c r="G1555" t="s">
        <v>32</v>
      </c>
      <c r="H1555" t="s">
        <v>33</v>
      </c>
      <c r="I1555" t="s">
        <v>34</v>
      </c>
      <c r="J1555" t="s">
        <v>235</v>
      </c>
      <c r="K1555" t="s">
        <v>236</v>
      </c>
      <c r="L1555">
        <v>13</v>
      </c>
      <c r="M1555" t="s">
        <v>2960</v>
      </c>
      <c r="N1555" t="s">
        <v>4670</v>
      </c>
    </row>
    <row r="1556" spans="1:14" x14ac:dyDescent="0.35">
      <c r="A1556" t="s">
        <v>4671</v>
      </c>
      <c r="B1556" t="s">
        <v>4672</v>
      </c>
      <c r="C1556" t="s">
        <v>116</v>
      </c>
      <c r="D1556">
        <v>8.5500000000000007</v>
      </c>
      <c r="E1556">
        <v>200</v>
      </c>
      <c r="F1556" t="s">
        <v>46</v>
      </c>
      <c r="G1556" t="s">
        <v>32</v>
      </c>
      <c r="H1556" t="s">
        <v>33</v>
      </c>
      <c r="J1556" t="s">
        <v>4673</v>
      </c>
      <c r="K1556" t="s">
        <v>147</v>
      </c>
      <c r="L1556">
        <v>7</v>
      </c>
      <c r="M1556" t="s">
        <v>1414</v>
      </c>
      <c r="N1556" t="s">
        <v>792</v>
      </c>
    </row>
    <row r="1557" spans="1:14" x14ac:dyDescent="0.35">
      <c r="A1557" t="s">
        <v>4674</v>
      </c>
      <c r="B1557" t="s">
        <v>4675</v>
      </c>
      <c r="C1557" t="s">
        <v>30</v>
      </c>
      <c r="D1557">
        <v>162.81</v>
      </c>
      <c r="E1557">
        <v>12000</v>
      </c>
      <c r="F1557" t="s">
        <v>87</v>
      </c>
      <c r="G1557" t="s">
        <v>32</v>
      </c>
      <c r="H1557" t="s">
        <v>43</v>
      </c>
      <c r="I1557" t="s">
        <v>129</v>
      </c>
      <c r="J1557" t="s">
        <v>209</v>
      </c>
      <c r="K1557" t="s">
        <v>74</v>
      </c>
      <c r="L1557">
        <v>7</v>
      </c>
      <c r="M1557" t="s">
        <v>738</v>
      </c>
      <c r="N1557" t="s">
        <v>4676</v>
      </c>
    </row>
    <row r="1558" spans="1:14" x14ac:dyDescent="0.35">
      <c r="A1558" t="s">
        <v>4677</v>
      </c>
      <c r="B1558" t="s">
        <v>4678</v>
      </c>
      <c r="C1558" t="s">
        <v>81</v>
      </c>
      <c r="D1558">
        <v>132.93</v>
      </c>
      <c r="E1558">
        <v>2000</v>
      </c>
      <c r="F1558" t="s">
        <v>51</v>
      </c>
      <c r="G1558" t="s">
        <v>32</v>
      </c>
      <c r="H1558" t="s">
        <v>57</v>
      </c>
      <c r="I1558" t="s">
        <v>44</v>
      </c>
      <c r="K1558" t="s">
        <v>147</v>
      </c>
      <c r="L1558">
        <v>7</v>
      </c>
      <c r="M1558" t="s">
        <v>916</v>
      </c>
      <c r="N1558" t="s">
        <v>868</v>
      </c>
    </row>
    <row r="1559" spans="1:14" x14ac:dyDescent="0.35">
      <c r="A1559" t="s">
        <v>4679</v>
      </c>
      <c r="B1559" t="s">
        <v>4680</v>
      </c>
      <c r="C1559" t="s">
        <v>116</v>
      </c>
      <c r="D1559">
        <v>10.59</v>
      </c>
      <c r="E1559">
        <v>100</v>
      </c>
      <c r="F1559" t="s">
        <v>97</v>
      </c>
      <c r="G1559" t="s">
        <v>32</v>
      </c>
      <c r="H1559" t="s">
        <v>43</v>
      </c>
      <c r="I1559" t="s">
        <v>34</v>
      </c>
      <c r="J1559" t="s">
        <v>130</v>
      </c>
      <c r="K1559" t="s">
        <v>123</v>
      </c>
      <c r="L1559">
        <v>17</v>
      </c>
      <c r="N1559" t="s">
        <v>3077</v>
      </c>
    </row>
    <row r="1560" spans="1:14" x14ac:dyDescent="0.35">
      <c r="A1560" t="s">
        <v>4681</v>
      </c>
      <c r="B1560" t="s">
        <v>4682</v>
      </c>
      <c r="C1560" t="s">
        <v>30</v>
      </c>
      <c r="D1560">
        <v>186.09</v>
      </c>
      <c r="E1560">
        <v>11000</v>
      </c>
      <c r="F1560" t="s">
        <v>97</v>
      </c>
      <c r="G1560" t="s">
        <v>32</v>
      </c>
      <c r="H1560" t="s">
        <v>57</v>
      </c>
      <c r="J1560" t="s">
        <v>70</v>
      </c>
      <c r="K1560" t="s">
        <v>31</v>
      </c>
      <c r="L1560">
        <v>0</v>
      </c>
      <c r="M1560" t="s">
        <v>2043</v>
      </c>
      <c r="N1560" t="s">
        <v>3212</v>
      </c>
    </row>
    <row r="1561" spans="1:14" x14ac:dyDescent="0.35">
      <c r="A1561" t="s">
        <v>4683</v>
      </c>
      <c r="B1561" t="s">
        <v>4684</v>
      </c>
      <c r="C1561" t="s">
        <v>116</v>
      </c>
      <c r="D1561">
        <v>11.82</v>
      </c>
      <c r="E1561">
        <v>700</v>
      </c>
      <c r="F1561" t="s">
        <v>139</v>
      </c>
      <c r="G1561" t="s">
        <v>32</v>
      </c>
      <c r="H1561" t="s">
        <v>33</v>
      </c>
      <c r="I1561" t="s">
        <v>34</v>
      </c>
      <c r="J1561" t="s">
        <v>63</v>
      </c>
      <c r="K1561" t="s">
        <v>64</v>
      </c>
      <c r="L1561">
        <v>14</v>
      </c>
      <c r="N1561" t="s">
        <v>4685</v>
      </c>
    </row>
    <row r="1562" spans="1:14" x14ac:dyDescent="0.35">
      <c r="A1562" t="s">
        <v>4686</v>
      </c>
      <c r="B1562" t="s">
        <v>4687</v>
      </c>
      <c r="C1562" t="s">
        <v>30</v>
      </c>
      <c r="D1562">
        <v>121.31</v>
      </c>
      <c r="E1562">
        <v>8000</v>
      </c>
      <c r="F1562" t="s">
        <v>97</v>
      </c>
      <c r="G1562" t="s">
        <v>32</v>
      </c>
      <c r="H1562" t="s">
        <v>43</v>
      </c>
      <c r="I1562" t="s">
        <v>129</v>
      </c>
      <c r="J1562" t="s">
        <v>70</v>
      </c>
      <c r="K1562" t="s">
        <v>31</v>
      </c>
      <c r="L1562">
        <v>13</v>
      </c>
      <c r="M1562" t="s">
        <v>1147</v>
      </c>
      <c r="N1562" t="s">
        <v>2428</v>
      </c>
    </row>
    <row r="1563" spans="1:14" x14ac:dyDescent="0.35">
      <c r="A1563" t="s">
        <v>4688</v>
      </c>
      <c r="B1563" t="s">
        <v>4689</v>
      </c>
      <c r="C1563" t="s">
        <v>30</v>
      </c>
      <c r="D1563">
        <v>141.59</v>
      </c>
      <c r="E1563">
        <v>14000</v>
      </c>
      <c r="F1563" t="s">
        <v>123</v>
      </c>
      <c r="G1563" t="s">
        <v>32</v>
      </c>
      <c r="H1563" t="s">
        <v>43</v>
      </c>
      <c r="I1563" t="s">
        <v>44</v>
      </c>
      <c r="J1563" t="s">
        <v>130</v>
      </c>
      <c r="K1563" t="s">
        <v>123</v>
      </c>
      <c r="L1563">
        <v>2</v>
      </c>
      <c r="N1563" t="s">
        <v>247</v>
      </c>
    </row>
    <row r="1564" spans="1:14" x14ac:dyDescent="0.35">
      <c r="A1564" t="s">
        <v>4690</v>
      </c>
      <c r="B1564" t="s">
        <v>4691</v>
      </c>
      <c r="C1564" t="s">
        <v>69</v>
      </c>
      <c r="D1564">
        <v>62.9</v>
      </c>
      <c r="E1564">
        <v>27000</v>
      </c>
      <c r="F1564" t="s">
        <v>106</v>
      </c>
      <c r="G1564" t="s">
        <v>102</v>
      </c>
      <c r="H1564" t="s">
        <v>33</v>
      </c>
      <c r="I1564" t="s">
        <v>44</v>
      </c>
      <c r="J1564" t="s">
        <v>107</v>
      </c>
      <c r="K1564" t="s">
        <v>87</v>
      </c>
      <c r="L1564">
        <v>18</v>
      </c>
      <c r="M1564" t="s">
        <v>4192</v>
      </c>
      <c r="N1564" t="s">
        <v>4692</v>
      </c>
    </row>
    <row r="1565" spans="1:14" x14ac:dyDescent="0.35">
      <c r="A1565" t="s">
        <v>4693</v>
      </c>
      <c r="B1565" t="s">
        <v>4694</v>
      </c>
      <c r="C1565" t="s">
        <v>62</v>
      </c>
      <c r="D1565">
        <v>58.55</v>
      </c>
      <c r="E1565">
        <v>2000</v>
      </c>
      <c r="F1565" t="s">
        <v>36</v>
      </c>
      <c r="G1565" t="s">
        <v>32</v>
      </c>
      <c r="H1565" t="s">
        <v>57</v>
      </c>
      <c r="I1565" t="s">
        <v>34</v>
      </c>
      <c r="J1565" t="s">
        <v>209</v>
      </c>
      <c r="K1565" t="s">
        <v>74</v>
      </c>
      <c r="L1565">
        <v>12</v>
      </c>
      <c r="N1565" t="s">
        <v>331</v>
      </c>
    </row>
    <row r="1566" spans="1:14" x14ac:dyDescent="0.35">
      <c r="A1566" t="s">
        <v>4695</v>
      </c>
      <c r="B1566" t="s">
        <v>4696</v>
      </c>
      <c r="C1566" t="s">
        <v>41</v>
      </c>
      <c r="D1566">
        <v>94.8</v>
      </c>
      <c r="E1566">
        <v>26000</v>
      </c>
      <c r="F1566" t="s">
        <v>51</v>
      </c>
      <c r="G1566" t="s">
        <v>32</v>
      </c>
      <c r="H1566" t="s">
        <v>33</v>
      </c>
      <c r="I1566" t="s">
        <v>34</v>
      </c>
      <c r="J1566" t="s">
        <v>4697</v>
      </c>
      <c r="K1566" t="s">
        <v>51</v>
      </c>
      <c r="L1566">
        <v>14</v>
      </c>
      <c r="M1566" t="s">
        <v>1228</v>
      </c>
      <c r="N1566" t="s">
        <v>659</v>
      </c>
    </row>
    <row r="1567" spans="1:14" x14ac:dyDescent="0.35">
      <c r="A1567" t="s">
        <v>4698</v>
      </c>
      <c r="B1567" t="s">
        <v>4699</v>
      </c>
      <c r="C1567" t="s">
        <v>81</v>
      </c>
      <c r="D1567">
        <v>77.150000000000006</v>
      </c>
      <c r="E1567">
        <v>8000</v>
      </c>
      <c r="F1567" t="s">
        <v>36</v>
      </c>
      <c r="G1567" t="s">
        <v>32</v>
      </c>
      <c r="H1567" t="s">
        <v>33</v>
      </c>
      <c r="J1567" t="s">
        <v>112</v>
      </c>
      <c r="K1567" t="s">
        <v>106</v>
      </c>
      <c r="L1567">
        <v>19</v>
      </c>
      <c r="M1567" t="s">
        <v>1252</v>
      </c>
      <c r="N1567" t="s">
        <v>4700</v>
      </c>
    </row>
    <row r="1568" spans="1:14" x14ac:dyDescent="0.35">
      <c r="A1568" t="s">
        <v>4701</v>
      </c>
      <c r="B1568" t="s">
        <v>4702</v>
      </c>
      <c r="C1568" t="s">
        <v>30</v>
      </c>
      <c r="D1568">
        <v>191.91</v>
      </c>
      <c r="E1568">
        <v>9000</v>
      </c>
      <c r="F1568" t="s">
        <v>76</v>
      </c>
      <c r="G1568" t="s">
        <v>32</v>
      </c>
      <c r="H1568" t="s">
        <v>57</v>
      </c>
      <c r="I1568" t="s">
        <v>34</v>
      </c>
      <c r="J1568" t="s">
        <v>4703</v>
      </c>
      <c r="K1568" t="s">
        <v>36</v>
      </c>
      <c r="L1568">
        <v>12</v>
      </c>
      <c r="M1568" t="s">
        <v>188</v>
      </c>
      <c r="N1568" t="s">
        <v>962</v>
      </c>
    </row>
    <row r="1569" spans="1:14" x14ac:dyDescent="0.35">
      <c r="A1569" t="s">
        <v>4704</v>
      </c>
      <c r="B1569" t="s">
        <v>4705</v>
      </c>
      <c r="C1569" t="s">
        <v>41</v>
      </c>
      <c r="D1569">
        <v>117.83</v>
      </c>
      <c r="E1569">
        <v>12000</v>
      </c>
      <c r="F1569" t="s">
        <v>31</v>
      </c>
      <c r="G1569" t="s">
        <v>32</v>
      </c>
      <c r="H1569" t="s">
        <v>43</v>
      </c>
      <c r="I1569" t="s">
        <v>44</v>
      </c>
      <c r="J1569" t="s">
        <v>130</v>
      </c>
      <c r="K1569" t="s">
        <v>123</v>
      </c>
      <c r="L1569">
        <v>9</v>
      </c>
      <c r="M1569" t="s">
        <v>2433</v>
      </c>
      <c r="N1569" t="s">
        <v>2620</v>
      </c>
    </row>
    <row r="1570" spans="1:14" x14ac:dyDescent="0.35">
      <c r="A1570" t="s">
        <v>4706</v>
      </c>
      <c r="B1570" t="s">
        <v>4707</v>
      </c>
      <c r="C1570" t="s">
        <v>69</v>
      </c>
      <c r="D1570">
        <v>80.62</v>
      </c>
      <c r="E1570">
        <v>89000</v>
      </c>
      <c r="F1570" t="s">
        <v>36</v>
      </c>
      <c r="G1570" t="s">
        <v>32</v>
      </c>
      <c r="H1570" t="s">
        <v>57</v>
      </c>
      <c r="I1570" t="s">
        <v>34</v>
      </c>
      <c r="J1570" t="s">
        <v>63</v>
      </c>
      <c r="K1570" t="s">
        <v>64</v>
      </c>
      <c r="L1570">
        <v>12</v>
      </c>
      <c r="M1570" t="s">
        <v>1711</v>
      </c>
      <c r="N1570" t="s">
        <v>2165</v>
      </c>
    </row>
    <row r="1571" spans="1:14" x14ac:dyDescent="0.35">
      <c r="A1571" t="s">
        <v>4708</v>
      </c>
      <c r="B1571" t="s">
        <v>4709</v>
      </c>
      <c r="C1571" t="s">
        <v>62</v>
      </c>
      <c r="D1571">
        <v>97.49</v>
      </c>
      <c r="E1571">
        <v>1000</v>
      </c>
      <c r="F1571" t="s">
        <v>46</v>
      </c>
      <c r="G1571" t="s">
        <v>32</v>
      </c>
      <c r="H1571" t="s">
        <v>33</v>
      </c>
      <c r="I1571" t="s">
        <v>34</v>
      </c>
      <c r="J1571" t="s">
        <v>2963</v>
      </c>
      <c r="K1571" t="s">
        <v>147</v>
      </c>
      <c r="L1571">
        <v>5</v>
      </c>
      <c r="M1571" t="s">
        <v>1294</v>
      </c>
      <c r="N1571" t="s">
        <v>638</v>
      </c>
    </row>
    <row r="1572" spans="1:14" x14ac:dyDescent="0.35">
      <c r="A1572" t="s">
        <v>4710</v>
      </c>
      <c r="B1572" t="s">
        <v>4711</v>
      </c>
      <c r="C1572" t="s">
        <v>116</v>
      </c>
      <c r="D1572">
        <v>10.72</v>
      </c>
      <c r="E1572">
        <v>600</v>
      </c>
      <c r="F1572" t="s">
        <v>76</v>
      </c>
      <c r="G1572" t="s">
        <v>32</v>
      </c>
      <c r="H1572" t="s">
        <v>43</v>
      </c>
      <c r="I1572" t="s">
        <v>44</v>
      </c>
      <c r="J1572" t="s">
        <v>1827</v>
      </c>
      <c r="K1572" t="s">
        <v>51</v>
      </c>
      <c r="L1572">
        <v>20</v>
      </c>
      <c r="M1572" t="s">
        <v>4712</v>
      </c>
      <c r="N1572" t="s">
        <v>224</v>
      </c>
    </row>
    <row r="1573" spans="1:14" x14ac:dyDescent="0.35">
      <c r="A1573" t="s">
        <v>4713</v>
      </c>
      <c r="B1573" t="s">
        <v>4714</v>
      </c>
      <c r="C1573" t="s">
        <v>81</v>
      </c>
      <c r="D1573">
        <v>112.02</v>
      </c>
      <c r="E1573">
        <v>1000</v>
      </c>
      <c r="F1573" t="s">
        <v>31</v>
      </c>
      <c r="G1573" t="s">
        <v>32</v>
      </c>
      <c r="H1573" t="s">
        <v>43</v>
      </c>
      <c r="I1573" t="s">
        <v>129</v>
      </c>
      <c r="J1573" t="s">
        <v>2313</v>
      </c>
      <c r="K1573" t="s">
        <v>139</v>
      </c>
      <c r="L1573">
        <v>0</v>
      </c>
      <c r="M1573" t="s">
        <v>2709</v>
      </c>
      <c r="N1573" t="s">
        <v>2376</v>
      </c>
    </row>
    <row r="1574" spans="1:14" x14ac:dyDescent="0.35">
      <c r="A1574" t="s">
        <v>4715</v>
      </c>
      <c r="B1574" t="s">
        <v>4716</v>
      </c>
      <c r="C1574" t="s">
        <v>41</v>
      </c>
      <c r="D1574">
        <v>124.57</v>
      </c>
      <c r="E1574">
        <v>32000</v>
      </c>
      <c r="F1574" t="s">
        <v>31</v>
      </c>
      <c r="G1574" t="s">
        <v>32</v>
      </c>
      <c r="H1574" t="s">
        <v>57</v>
      </c>
      <c r="J1574" t="s">
        <v>509</v>
      </c>
      <c r="K1574" t="s">
        <v>147</v>
      </c>
      <c r="L1574">
        <v>0</v>
      </c>
      <c r="M1574" t="s">
        <v>1336</v>
      </c>
      <c r="N1574" t="s">
        <v>4717</v>
      </c>
    </row>
    <row r="1575" spans="1:14" x14ac:dyDescent="0.35">
      <c r="A1575" t="s">
        <v>4718</v>
      </c>
      <c r="B1575" t="s">
        <v>4719</v>
      </c>
      <c r="C1575" t="s">
        <v>62</v>
      </c>
      <c r="D1575">
        <v>77.53</v>
      </c>
      <c r="E1575">
        <v>5000</v>
      </c>
      <c r="F1575" t="s">
        <v>147</v>
      </c>
      <c r="G1575" t="s">
        <v>32</v>
      </c>
      <c r="H1575" t="s">
        <v>57</v>
      </c>
      <c r="I1575" t="s">
        <v>34</v>
      </c>
      <c r="J1575" t="s">
        <v>209</v>
      </c>
      <c r="K1575" t="s">
        <v>74</v>
      </c>
      <c r="L1575">
        <v>15</v>
      </c>
      <c r="N1575" t="s">
        <v>2470</v>
      </c>
    </row>
    <row r="1576" spans="1:14" x14ac:dyDescent="0.35">
      <c r="A1576" t="s">
        <v>4720</v>
      </c>
      <c r="B1576" t="s">
        <v>4721</v>
      </c>
      <c r="C1576" t="s">
        <v>69</v>
      </c>
      <c r="D1576">
        <v>88.21</v>
      </c>
      <c r="E1576">
        <v>99000</v>
      </c>
      <c r="F1576" t="s">
        <v>64</v>
      </c>
      <c r="G1576" t="s">
        <v>102</v>
      </c>
      <c r="H1576" t="s">
        <v>43</v>
      </c>
      <c r="I1576" t="s">
        <v>34</v>
      </c>
      <c r="J1576" t="s">
        <v>70</v>
      </c>
      <c r="K1576" t="s">
        <v>31</v>
      </c>
      <c r="L1576">
        <v>2</v>
      </c>
      <c r="N1576" t="s">
        <v>4426</v>
      </c>
    </row>
    <row r="1577" spans="1:14" x14ac:dyDescent="0.35">
      <c r="A1577" t="s">
        <v>4722</v>
      </c>
      <c r="B1577" t="s">
        <v>4723</v>
      </c>
      <c r="C1577" t="s">
        <v>69</v>
      </c>
      <c r="D1577">
        <v>61.32</v>
      </c>
      <c r="E1577">
        <v>45000</v>
      </c>
      <c r="F1577" t="s">
        <v>97</v>
      </c>
      <c r="G1577" t="s">
        <v>32</v>
      </c>
      <c r="H1577" t="s">
        <v>43</v>
      </c>
      <c r="I1577" t="s">
        <v>44</v>
      </c>
      <c r="J1577" t="s">
        <v>63</v>
      </c>
      <c r="K1577" t="s">
        <v>64</v>
      </c>
      <c r="L1577">
        <v>22</v>
      </c>
      <c r="M1577" t="s">
        <v>889</v>
      </c>
      <c r="N1577" t="s">
        <v>3172</v>
      </c>
    </row>
    <row r="1578" spans="1:14" x14ac:dyDescent="0.35">
      <c r="A1578" t="s">
        <v>4724</v>
      </c>
      <c r="B1578" t="s">
        <v>4725</v>
      </c>
      <c r="C1578" t="s">
        <v>62</v>
      </c>
      <c r="D1578">
        <v>64.66</v>
      </c>
      <c r="E1578">
        <v>4000</v>
      </c>
      <c r="F1578" t="s">
        <v>74</v>
      </c>
      <c r="G1578" t="s">
        <v>32</v>
      </c>
      <c r="H1578" t="s">
        <v>33</v>
      </c>
      <c r="I1578" t="s">
        <v>44</v>
      </c>
      <c r="J1578" t="s">
        <v>63</v>
      </c>
      <c r="K1578" t="s">
        <v>64</v>
      </c>
      <c r="L1578">
        <v>7</v>
      </c>
      <c r="N1578" t="s">
        <v>217</v>
      </c>
    </row>
    <row r="1579" spans="1:14" x14ac:dyDescent="0.35">
      <c r="A1579" t="s">
        <v>4726</v>
      </c>
      <c r="B1579" t="s">
        <v>4727</v>
      </c>
      <c r="C1579" t="s">
        <v>62</v>
      </c>
      <c r="D1579">
        <v>86.29</v>
      </c>
      <c r="E1579">
        <v>1000</v>
      </c>
      <c r="F1579" t="s">
        <v>117</v>
      </c>
      <c r="G1579" t="s">
        <v>32</v>
      </c>
      <c r="H1579" t="s">
        <v>57</v>
      </c>
      <c r="I1579" t="s">
        <v>44</v>
      </c>
      <c r="J1579" t="s">
        <v>316</v>
      </c>
      <c r="K1579" t="s">
        <v>97</v>
      </c>
      <c r="L1579">
        <v>23</v>
      </c>
      <c r="M1579" t="s">
        <v>1867</v>
      </c>
      <c r="N1579" t="s">
        <v>2266</v>
      </c>
    </row>
    <row r="1580" spans="1:14" x14ac:dyDescent="0.35">
      <c r="A1580" t="s">
        <v>4728</v>
      </c>
      <c r="B1580" t="s">
        <v>4729</v>
      </c>
      <c r="C1580" t="s">
        <v>62</v>
      </c>
      <c r="D1580">
        <v>52.42</v>
      </c>
      <c r="E1580">
        <v>4000</v>
      </c>
      <c r="F1580" t="s">
        <v>236</v>
      </c>
      <c r="G1580" t="s">
        <v>32</v>
      </c>
      <c r="H1580" t="s">
        <v>57</v>
      </c>
      <c r="J1580" t="s">
        <v>1071</v>
      </c>
      <c r="K1580" t="s">
        <v>236</v>
      </c>
      <c r="L1580">
        <v>22</v>
      </c>
      <c r="M1580" t="s">
        <v>3266</v>
      </c>
      <c r="N1580" t="s">
        <v>3484</v>
      </c>
    </row>
    <row r="1581" spans="1:14" x14ac:dyDescent="0.35">
      <c r="A1581" t="s">
        <v>4730</v>
      </c>
      <c r="B1581" t="s">
        <v>4731</v>
      </c>
      <c r="C1581" t="s">
        <v>69</v>
      </c>
      <c r="D1581">
        <v>66.319999999999993</v>
      </c>
      <c r="E1581">
        <v>33000</v>
      </c>
      <c r="F1581" t="s">
        <v>74</v>
      </c>
      <c r="G1581" t="s">
        <v>32</v>
      </c>
      <c r="H1581" t="s">
        <v>43</v>
      </c>
      <c r="J1581" t="s">
        <v>75</v>
      </c>
      <c r="K1581" t="s">
        <v>76</v>
      </c>
      <c r="L1581">
        <v>5</v>
      </c>
      <c r="M1581" t="s">
        <v>1294</v>
      </c>
      <c r="N1581" t="s">
        <v>4108</v>
      </c>
    </row>
    <row r="1582" spans="1:14" x14ac:dyDescent="0.35">
      <c r="A1582" t="s">
        <v>4732</v>
      </c>
      <c r="B1582" t="s">
        <v>4733</v>
      </c>
      <c r="C1582" t="s">
        <v>30</v>
      </c>
      <c r="D1582">
        <v>189.07</v>
      </c>
      <c r="E1582">
        <v>4000</v>
      </c>
      <c r="F1582" t="s">
        <v>117</v>
      </c>
      <c r="G1582" t="s">
        <v>32</v>
      </c>
      <c r="H1582" t="s">
        <v>43</v>
      </c>
      <c r="I1582" t="s">
        <v>34</v>
      </c>
      <c r="J1582" t="s">
        <v>118</v>
      </c>
      <c r="K1582" t="s">
        <v>42</v>
      </c>
      <c r="L1582">
        <v>23</v>
      </c>
      <c r="M1582" t="s">
        <v>3088</v>
      </c>
      <c r="N1582" t="s">
        <v>2059</v>
      </c>
    </row>
    <row r="1583" spans="1:14" x14ac:dyDescent="0.35">
      <c r="A1583" t="s">
        <v>4734</v>
      </c>
      <c r="B1583" t="s">
        <v>4735</v>
      </c>
      <c r="C1583" t="s">
        <v>81</v>
      </c>
      <c r="D1583">
        <v>94.66</v>
      </c>
      <c r="E1583">
        <v>5000</v>
      </c>
      <c r="F1583" t="s">
        <v>97</v>
      </c>
      <c r="G1583" t="s">
        <v>32</v>
      </c>
      <c r="H1583" t="s">
        <v>57</v>
      </c>
      <c r="I1583" t="s">
        <v>34</v>
      </c>
      <c r="J1583" t="s">
        <v>118</v>
      </c>
      <c r="K1583" t="s">
        <v>42</v>
      </c>
      <c r="L1583">
        <v>11</v>
      </c>
      <c r="N1583" t="s">
        <v>4736</v>
      </c>
    </row>
    <row r="1584" spans="1:14" x14ac:dyDescent="0.35">
      <c r="A1584" t="s">
        <v>4737</v>
      </c>
      <c r="B1584" t="s">
        <v>4738</v>
      </c>
      <c r="C1584" t="s">
        <v>69</v>
      </c>
      <c r="D1584">
        <v>65.69</v>
      </c>
      <c r="E1584">
        <v>16000</v>
      </c>
      <c r="F1584" t="s">
        <v>139</v>
      </c>
      <c r="G1584" t="s">
        <v>32</v>
      </c>
      <c r="H1584" t="s">
        <v>43</v>
      </c>
      <c r="I1584" t="s">
        <v>44</v>
      </c>
      <c r="J1584" t="s">
        <v>124</v>
      </c>
      <c r="K1584" t="s">
        <v>117</v>
      </c>
      <c r="L1584">
        <v>8</v>
      </c>
      <c r="M1584" t="s">
        <v>2280</v>
      </c>
      <c r="N1584" t="s">
        <v>1353</v>
      </c>
    </row>
    <row r="1585" spans="1:14" x14ac:dyDescent="0.35">
      <c r="A1585" t="s">
        <v>4739</v>
      </c>
      <c r="B1585" t="s">
        <v>4740</v>
      </c>
      <c r="C1585" t="s">
        <v>69</v>
      </c>
      <c r="D1585">
        <v>69.61</v>
      </c>
      <c r="E1585">
        <v>71000</v>
      </c>
      <c r="F1585" t="s">
        <v>31</v>
      </c>
      <c r="G1585" t="s">
        <v>32</v>
      </c>
      <c r="H1585" t="s">
        <v>57</v>
      </c>
      <c r="I1585" t="s">
        <v>34</v>
      </c>
      <c r="J1585" t="s">
        <v>278</v>
      </c>
      <c r="K1585" t="s">
        <v>97</v>
      </c>
      <c r="L1585">
        <v>21</v>
      </c>
      <c r="N1585" t="s">
        <v>1632</v>
      </c>
    </row>
    <row r="1586" spans="1:14" x14ac:dyDescent="0.35">
      <c r="A1586" t="s">
        <v>4741</v>
      </c>
      <c r="B1586" t="s">
        <v>4742</v>
      </c>
      <c r="C1586" t="s">
        <v>116</v>
      </c>
      <c r="D1586">
        <v>8.0399999999999991</v>
      </c>
      <c r="E1586">
        <v>700</v>
      </c>
      <c r="F1586" t="s">
        <v>42</v>
      </c>
      <c r="G1586" t="s">
        <v>102</v>
      </c>
      <c r="H1586" t="s">
        <v>57</v>
      </c>
      <c r="I1586" t="s">
        <v>44</v>
      </c>
      <c r="J1586" t="s">
        <v>4743</v>
      </c>
      <c r="K1586" t="s">
        <v>236</v>
      </c>
      <c r="L1586">
        <v>14</v>
      </c>
      <c r="N1586" t="s">
        <v>1629</v>
      </c>
    </row>
    <row r="1587" spans="1:14" x14ac:dyDescent="0.35">
      <c r="A1587" t="s">
        <v>4744</v>
      </c>
      <c r="B1587" t="s">
        <v>4745</v>
      </c>
      <c r="C1587" t="s">
        <v>69</v>
      </c>
      <c r="D1587">
        <v>60.54</v>
      </c>
      <c r="E1587">
        <v>29000</v>
      </c>
      <c r="F1587" t="s">
        <v>147</v>
      </c>
      <c r="G1587" t="s">
        <v>32</v>
      </c>
      <c r="H1587" t="s">
        <v>43</v>
      </c>
      <c r="I1587" t="s">
        <v>44</v>
      </c>
      <c r="J1587" t="s">
        <v>124</v>
      </c>
      <c r="K1587" t="s">
        <v>117</v>
      </c>
      <c r="L1587">
        <v>0</v>
      </c>
      <c r="M1587" t="s">
        <v>2785</v>
      </c>
      <c r="N1587" t="s">
        <v>4746</v>
      </c>
    </row>
    <row r="1588" spans="1:14" x14ac:dyDescent="0.35">
      <c r="A1588" t="s">
        <v>4747</v>
      </c>
      <c r="B1588" t="s">
        <v>4748</v>
      </c>
      <c r="C1588" t="s">
        <v>62</v>
      </c>
      <c r="D1588">
        <v>91</v>
      </c>
      <c r="E1588">
        <v>2000</v>
      </c>
      <c r="F1588" t="s">
        <v>76</v>
      </c>
      <c r="G1588" t="s">
        <v>32</v>
      </c>
      <c r="H1588" t="s">
        <v>57</v>
      </c>
      <c r="I1588" t="s">
        <v>34</v>
      </c>
      <c r="J1588" t="s">
        <v>70</v>
      </c>
      <c r="K1588" t="s">
        <v>31</v>
      </c>
      <c r="L1588">
        <v>11</v>
      </c>
      <c r="M1588" t="s">
        <v>1147</v>
      </c>
      <c r="N1588" t="s">
        <v>3172</v>
      </c>
    </row>
    <row r="1589" spans="1:14" x14ac:dyDescent="0.35">
      <c r="A1589" t="s">
        <v>4749</v>
      </c>
      <c r="B1589" t="s">
        <v>4750</v>
      </c>
      <c r="C1589" t="s">
        <v>69</v>
      </c>
      <c r="D1589">
        <v>69.83</v>
      </c>
      <c r="E1589">
        <v>98000</v>
      </c>
      <c r="F1589" t="s">
        <v>64</v>
      </c>
      <c r="G1589" t="s">
        <v>32</v>
      </c>
      <c r="H1589" t="s">
        <v>57</v>
      </c>
      <c r="I1589" t="s">
        <v>44</v>
      </c>
      <c r="J1589" t="s">
        <v>45</v>
      </c>
      <c r="K1589" t="s">
        <v>46</v>
      </c>
      <c r="L1589">
        <v>10</v>
      </c>
      <c r="M1589" t="s">
        <v>3491</v>
      </c>
      <c r="N1589" t="s">
        <v>4751</v>
      </c>
    </row>
    <row r="1590" spans="1:14" x14ac:dyDescent="0.35">
      <c r="A1590" t="s">
        <v>4752</v>
      </c>
      <c r="B1590" t="s">
        <v>4753</v>
      </c>
      <c r="C1590" t="s">
        <v>81</v>
      </c>
      <c r="D1590">
        <v>116.28</v>
      </c>
      <c r="E1590">
        <v>5000</v>
      </c>
      <c r="F1590" t="s">
        <v>74</v>
      </c>
      <c r="G1590" t="s">
        <v>32</v>
      </c>
      <c r="H1590" t="s">
        <v>33</v>
      </c>
      <c r="I1590" t="s">
        <v>129</v>
      </c>
      <c r="J1590" t="s">
        <v>130</v>
      </c>
      <c r="K1590" t="s">
        <v>123</v>
      </c>
      <c r="L1590">
        <v>8</v>
      </c>
      <c r="M1590" t="s">
        <v>4078</v>
      </c>
      <c r="N1590" t="s">
        <v>548</v>
      </c>
    </row>
    <row r="1591" spans="1:14" x14ac:dyDescent="0.35">
      <c r="A1591" t="s">
        <v>4754</v>
      </c>
      <c r="B1591" t="s">
        <v>4755</v>
      </c>
      <c r="C1591" t="s">
        <v>30</v>
      </c>
      <c r="D1591">
        <v>103.17</v>
      </c>
      <c r="E1591">
        <v>15000</v>
      </c>
      <c r="F1591" t="s">
        <v>42</v>
      </c>
      <c r="G1591" t="s">
        <v>32</v>
      </c>
      <c r="H1591" t="s">
        <v>57</v>
      </c>
      <c r="J1591" t="s">
        <v>683</v>
      </c>
      <c r="K1591" t="s">
        <v>97</v>
      </c>
      <c r="L1591">
        <v>22</v>
      </c>
      <c r="M1591" t="s">
        <v>539</v>
      </c>
      <c r="N1591" t="s">
        <v>336</v>
      </c>
    </row>
    <row r="1592" spans="1:14" x14ac:dyDescent="0.35">
      <c r="A1592" t="s">
        <v>4756</v>
      </c>
      <c r="B1592" t="s">
        <v>4757</v>
      </c>
      <c r="C1592" t="s">
        <v>81</v>
      </c>
      <c r="D1592">
        <v>129.79</v>
      </c>
      <c r="E1592">
        <v>7000</v>
      </c>
      <c r="F1592" t="s">
        <v>64</v>
      </c>
      <c r="G1592" t="s">
        <v>32</v>
      </c>
      <c r="H1592" t="s">
        <v>43</v>
      </c>
      <c r="I1592" t="s">
        <v>129</v>
      </c>
      <c r="J1592" t="s">
        <v>118</v>
      </c>
      <c r="K1592" t="s">
        <v>42</v>
      </c>
      <c r="L1592">
        <v>7</v>
      </c>
      <c r="N1592" t="s">
        <v>313</v>
      </c>
    </row>
    <row r="1593" spans="1:14" x14ac:dyDescent="0.35">
      <c r="A1593" t="s">
        <v>4758</v>
      </c>
      <c r="B1593" t="s">
        <v>4759</v>
      </c>
      <c r="C1593" t="s">
        <v>41</v>
      </c>
      <c r="D1593">
        <v>82.21</v>
      </c>
      <c r="E1593">
        <v>10000</v>
      </c>
      <c r="F1593" t="s">
        <v>76</v>
      </c>
      <c r="G1593" t="s">
        <v>32</v>
      </c>
      <c r="H1593" t="s">
        <v>57</v>
      </c>
      <c r="I1593" t="s">
        <v>34</v>
      </c>
      <c r="J1593" t="s">
        <v>473</v>
      </c>
      <c r="K1593" t="s">
        <v>51</v>
      </c>
      <c r="L1593">
        <v>0</v>
      </c>
      <c r="M1593" t="s">
        <v>782</v>
      </c>
      <c r="N1593" t="s">
        <v>4760</v>
      </c>
    </row>
    <row r="1594" spans="1:14" x14ac:dyDescent="0.35">
      <c r="A1594" t="s">
        <v>4761</v>
      </c>
      <c r="B1594" t="s">
        <v>4762</v>
      </c>
      <c r="C1594" t="s">
        <v>81</v>
      </c>
      <c r="D1594">
        <v>110.19</v>
      </c>
      <c r="E1594">
        <v>10000</v>
      </c>
      <c r="F1594" t="s">
        <v>123</v>
      </c>
      <c r="G1594" t="s">
        <v>32</v>
      </c>
      <c r="H1594" t="s">
        <v>43</v>
      </c>
      <c r="J1594" t="s">
        <v>45</v>
      </c>
      <c r="K1594" t="s">
        <v>46</v>
      </c>
      <c r="L1594">
        <v>16</v>
      </c>
      <c r="M1594" t="s">
        <v>293</v>
      </c>
      <c r="N1594" t="s">
        <v>4527</v>
      </c>
    </row>
    <row r="1595" spans="1:14" x14ac:dyDescent="0.35">
      <c r="A1595" t="s">
        <v>4763</v>
      </c>
      <c r="B1595" t="s">
        <v>4764</v>
      </c>
      <c r="C1595" t="s">
        <v>116</v>
      </c>
      <c r="D1595">
        <v>7.38</v>
      </c>
      <c r="E1595">
        <v>500</v>
      </c>
      <c r="F1595" t="s">
        <v>51</v>
      </c>
      <c r="G1595" t="s">
        <v>32</v>
      </c>
      <c r="H1595" t="s">
        <v>57</v>
      </c>
      <c r="I1595" t="s">
        <v>34</v>
      </c>
      <c r="J1595" t="s">
        <v>82</v>
      </c>
      <c r="K1595" t="s">
        <v>74</v>
      </c>
      <c r="L1595">
        <v>2</v>
      </c>
      <c r="N1595" t="s">
        <v>604</v>
      </c>
    </row>
    <row r="1596" spans="1:14" x14ac:dyDescent="0.35">
      <c r="A1596" t="s">
        <v>4765</v>
      </c>
      <c r="B1596" t="s">
        <v>4766</v>
      </c>
      <c r="C1596" t="s">
        <v>116</v>
      </c>
      <c r="D1596">
        <v>6.52</v>
      </c>
      <c r="E1596">
        <v>100</v>
      </c>
      <c r="F1596" t="s">
        <v>51</v>
      </c>
      <c r="G1596" t="s">
        <v>32</v>
      </c>
      <c r="H1596" t="s">
        <v>33</v>
      </c>
      <c r="I1596" t="s">
        <v>44</v>
      </c>
      <c r="J1596" t="s">
        <v>118</v>
      </c>
      <c r="K1596" t="s">
        <v>42</v>
      </c>
      <c r="L1596">
        <v>17</v>
      </c>
      <c r="M1596" t="s">
        <v>1933</v>
      </c>
      <c r="N1596" t="s">
        <v>4767</v>
      </c>
    </row>
    <row r="1597" spans="1:14" x14ac:dyDescent="0.35">
      <c r="A1597" t="s">
        <v>4768</v>
      </c>
      <c r="B1597" t="s">
        <v>4769</v>
      </c>
      <c r="C1597" t="s">
        <v>41</v>
      </c>
      <c r="D1597">
        <v>125.23</v>
      </c>
      <c r="E1597">
        <v>36000</v>
      </c>
      <c r="F1597" t="s">
        <v>117</v>
      </c>
      <c r="G1597" t="s">
        <v>32</v>
      </c>
      <c r="H1597" t="s">
        <v>33</v>
      </c>
      <c r="I1597" t="s">
        <v>44</v>
      </c>
      <c r="J1597" t="s">
        <v>63</v>
      </c>
      <c r="K1597" t="s">
        <v>64</v>
      </c>
      <c r="L1597">
        <v>10</v>
      </c>
      <c r="N1597" t="s">
        <v>390</v>
      </c>
    </row>
    <row r="1598" spans="1:14" x14ac:dyDescent="0.35">
      <c r="A1598" t="s">
        <v>4770</v>
      </c>
      <c r="B1598" t="s">
        <v>4771</v>
      </c>
      <c r="C1598" t="s">
        <v>69</v>
      </c>
      <c r="D1598">
        <v>57.69</v>
      </c>
      <c r="E1598">
        <v>48000</v>
      </c>
      <c r="F1598" t="s">
        <v>64</v>
      </c>
      <c r="G1598" t="s">
        <v>32</v>
      </c>
      <c r="H1598" t="s">
        <v>43</v>
      </c>
      <c r="I1598" t="s">
        <v>44</v>
      </c>
      <c r="J1598" t="s">
        <v>45</v>
      </c>
      <c r="K1598" t="s">
        <v>46</v>
      </c>
      <c r="L1598">
        <v>15</v>
      </c>
      <c r="M1598" t="s">
        <v>3596</v>
      </c>
      <c r="N1598" t="s">
        <v>309</v>
      </c>
    </row>
    <row r="1599" spans="1:14" x14ac:dyDescent="0.35">
      <c r="A1599" t="s">
        <v>4772</v>
      </c>
      <c r="B1599" t="s">
        <v>4773</v>
      </c>
      <c r="C1599" t="s">
        <v>116</v>
      </c>
      <c r="D1599">
        <v>7.67</v>
      </c>
      <c r="E1599">
        <v>700</v>
      </c>
      <c r="F1599" t="s">
        <v>76</v>
      </c>
      <c r="G1599" t="s">
        <v>32</v>
      </c>
      <c r="H1599" t="s">
        <v>57</v>
      </c>
      <c r="J1599" t="s">
        <v>75</v>
      </c>
      <c r="K1599" t="s">
        <v>76</v>
      </c>
      <c r="L1599">
        <v>9</v>
      </c>
      <c r="M1599" t="s">
        <v>4774</v>
      </c>
      <c r="N1599" t="s">
        <v>2658</v>
      </c>
    </row>
    <row r="1600" spans="1:14" x14ac:dyDescent="0.35">
      <c r="A1600" t="s">
        <v>4775</v>
      </c>
      <c r="B1600" t="s">
        <v>4776</v>
      </c>
      <c r="C1600" t="s">
        <v>62</v>
      </c>
      <c r="D1600">
        <v>62.48</v>
      </c>
      <c r="E1600">
        <v>3000</v>
      </c>
      <c r="F1600" t="s">
        <v>42</v>
      </c>
      <c r="G1600" t="s">
        <v>102</v>
      </c>
      <c r="H1600" t="s">
        <v>43</v>
      </c>
      <c r="I1600" t="s">
        <v>34</v>
      </c>
      <c r="J1600" t="s">
        <v>35</v>
      </c>
      <c r="K1600" t="s">
        <v>36</v>
      </c>
      <c r="L1600">
        <v>10</v>
      </c>
      <c r="N1600" t="s">
        <v>4777</v>
      </c>
    </row>
    <row r="1601" spans="1:14" x14ac:dyDescent="0.35">
      <c r="A1601" t="s">
        <v>4778</v>
      </c>
      <c r="B1601" t="s">
        <v>4779</v>
      </c>
      <c r="C1601" t="s">
        <v>41</v>
      </c>
      <c r="D1601">
        <v>98.72</v>
      </c>
      <c r="E1601">
        <v>31000</v>
      </c>
      <c r="F1601" t="s">
        <v>74</v>
      </c>
      <c r="G1601" t="s">
        <v>32</v>
      </c>
      <c r="H1601" t="s">
        <v>57</v>
      </c>
      <c r="I1601" t="s">
        <v>129</v>
      </c>
      <c r="J1601" t="s">
        <v>75</v>
      </c>
      <c r="K1601" t="s">
        <v>76</v>
      </c>
      <c r="L1601">
        <v>0</v>
      </c>
      <c r="M1601" t="s">
        <v>1867</v>
      </c>
      <c r="N1601" t="s">
        <v>3215</v>
      </c>
    </row>
    <row r="1602" spans="1:14" x14ac:dyDescent="0.35">
      <c r="A1602" t="s">
        <v>4780</v>
      </c>
      <c r="B1602" t="s">
        <v>4781</v>
      </c>
      <c r="C1602" t="s">
        <v>41</v>
      </c>
      <c r="D1602">
        <v>157.33000000000001</v>
      </c>
      <c r="E1602">
        <v>13000</v>
      </c>
      <c r="F1602" t="s">
        <v>74</v>
      </c>
      <c r="G1602" t="s">
        <v>32</v>
      </c>
      <c r="H1602" t="s">
        <v>33</v>
      </c>
      <c r="I1602" t="s">
        <v>34</v>
      </c>
      <c r="K1602" t="s">
        <v>147</v>
      </c>
      <c r="L1602">
        <v>21</v>
      </c>
      <c r="N1602" t="s">
        <v>659</v>
      </c>
    </row>
    <row r="1603" spans="1:14" x14ac:dyDescent="0.35">
      <c r="A1603" t="s">
        <v>4782</v>
      </c>
      <c r="B1603" t="s">
        <v>4783</v>
      </c>
      <c r="C1603" t="s">
        <v>69</v>
      </c>
      <c r="D1603">
        <v>66.41</v>
      </c>
      <c r="E1603">
        <v>90000</v>
      </c>
      <c r="F1603" t="s">
        <v>87</v>
      </c>
      <c r="G1603" t="s">
        <v>32</v>
      </c>
      <c r="H1603" t="s">
        <v>57</v>
      </c>
      <c r="I1603" t="s">
        <v>34</v>
      </c>
      <c r="J1603" t="s">
        <v>316</v>
      </c>
      <c r="K1603" t="s">
        <v>97</v>
      </c>
      <c r="L1603">
        <v>11</v>
      </c>
      <c r="M1603" t="s">
        <v>2518</v>
      </c>
      <c r="N1603" t="s">
        <v>3281</v>
      </c>
    </row>
    <row r="1604" spans="1:14" x14ac:dyDescent="0.35">
      <c r="A1604" t="s">
        <v>4784</v>
      </c>
      <c r="B1604" t="s">
        <v>4785</v>
      </c>
      <c r="C1604" t="s">
        <v>69</v>
      </c>
      <c r="D1604">
        <v>70.17</v>
      </c>
      <c r="E1604">
        <v>96000</v>
      </c>
      <c r="F1604" t="s">
        <v>139</v>
      </c>
      <c r="G1604" t="s">
        <v>32</v>
      </c>
      <c r="H1604" t="s">
        <v>33</v>
      </c>
      <c r="I1604" t="s">
        <v>34</v>
      </c>
      <c r="J1604" t="s">
        <v>35</v>
      </c>
      <c r="K1604" t="s">
        <v>36</v>
      </c>
      <c r="L1604">
        <v>7</v>
      </c>
      <c r="M1604" t="s">
        <v>1032</v>
      </c>
      <c r="N1604" t="s">
        <v>4786</v>
      </c>
    </row>
    <row r="1605" spans="1:14" x14ac:dyDescent="0.35">
      <c r="A1605" t="s">
        <v>4787</v>
      </c>
      <c r="B1605" t="s">
        <v>4788</v>
      </c>
      <c r="C1605" t="s">
        <v>81</v>
      </c>
      <c r="D1605">
        <v>87.66</v>
      </c>
      <c r="E1605">
        <v>5000</v>
      </c>
      <c r="F1605" t="s">
        <v>236</v>
      </c>
      <c r="G1605" t="s">
        <v>32</v>
      </c>
      <c r="H1605" t="s">
        <v>43</v>
      </c>
      <c r="I1605" t="s">
        <v>34</v>
      </c>
      <c r="J1605" t="s">
        <v>124</v>
      </c>
      <c r="K1605" t="s">
        <v>117</v>
      </c>
      <c r="L1605">
        <v>19</v>
      </c>
      <c r="M1605" t="s">
        <v>752</v>
      </c>
      <c r="N1605" t="s">
        <v>4363</v>
      </c>
    </row>
    <row r="1606" spans="1:14" x14ac:dyDescent="0.35">
      <c r="A1606" t="s">
        <v>4789</v>
      </c>
      <c r="B1606" t="s">
        <v>4790</v>
      </c>
      <c r="C1606" t="s">
        <v>116</v>
      </c>
      <c r="D1606">
        <v>7.48</v>
      </c>
      <c r="E1606">
        <v>600</v>
      </c>
      <c r="F1606" t="s">
        <v>87</v>
      </c>
      <c r="G1606" t="s">
        <v>32</v>
      </c>
      <c r="H1606" t="s">
        <v>43</v>
      </c>
      <c r="I1606" t="s">
        <v>44</v>
      </c>
      <c r="J1606" t="s">
        <v>107</v>
      </c>
      <c r="K1606" t="s">
        <v>87</v>
      </c>
      <c r="L1606">
        <v>18</v>
      </c>
      <c r="M1606" t="s">
        <v>231</v>
      </c>
      <c r="N1606" t="s">
        <v>3411</v>
      </c>
    </row>
    <row r="1607" spans="1:14" x14ac:dyDescent="0.35">
      <c r="A1607" t="s">
        <v>4791</v>
      </c>
      <c r="B1607" t="s">
        <v>4792</v>
      </c>
      <c r="C1607" t="s">
        <v>81</v>
      </c>
      <c r="D1607">
        <v>124.2</v>
      </c>
      <c r="E1607">
        <v>1000</v>
      </c>
      <c r="F1607" t="s">
        <v>117</v>
      </c>
      <c r="G1607" t="s">
        <v>32</v>
      </c>
      <c r="H1607" t="s">
        <v>43</v>
      </c>
      <c r="I1607" t="s">
        <v>34</v>
      </c>
      <c r="J1607" t="s">
        <v>130</v>
      </c>
      <c r="K1607" t="s">
        <v>123</v>
      </c>
      <c r="L1607">
        <v>19</v>
      </c>
      <c r="N1607" t="s">
        <v>1257</v>
      </c>
    </row>
    <row r="1608" spans="1:14" x14ac:dyDescent="0.35">
      <c r="A1608" t="s">
        <v>4793</v>
      </c>
      <c r="B1608" t="s">
        <v>4794</v>
      </c>
      <c r="C1608" t="s">
        <v>81</v>
      </c>
      <c r="D1608">
        <v>78.010000000000005</v>
      </c>
      <c r="E1608">
        <v>5000</v>
      </c>
      <c r="F1608" t="s">
        <v>51</v>
      </c>
      <c r="G1608" t="s">
        <v>32</v>
      </c>
      <c r="H1608" t="s">
        <v>33</v>
      </c>
      <c r="I1608" t="s">
        <v>44</v>
      </c>
      <c r="J1608" t="s">
        <v>278</v>
      </c>
      <c r="K1608" t="s">
        <v>97</v>
      </c>
      <c r="L1608">
        <v>11</v>
      </c>
      <c r="N1608" t="s">
        <v>3028</v>
      </c>
    </row>
    <row r="1609" spans="1:14" x14ac:dyDescent="0.35">
      <c r="A1609" t="s">
        <v>4795</v>
      </c>
      <c r="B1609" t="s">
        <v>4796</v>
      </c>
      <c r="C1609" t="s">
        <v>30</v>
      </c>
      <c r="D1609">
        <v>189.66</v>
      </c>
      <c r="E1609">
        <v>19000</v>
      </c>
      <c r="F1609" t="s">
        <v>42</v>
      </c>
      <c r="G1609" t="s">
        <v>32</v>
      </c>
      <c r="H1609" t="s">
        <v>33</v>
      </c>
      <c r="I1609" t="s">
        <v>34</v>
      </c>
      <c r="J1609" t="s">
        <v>45</v>
      </c>
      <c r="K1609" t="s">
        <v>46</v>
      </c>
      <c r="L1609">
        <v>6</v>
      </c>
      <c r="M1609" t="s">
        <v>58</v>
      </c>
      <c r="N1609" t="s">
        <v>2904</v>
      </c>
    </row>
    <row r="1610" spans="1:14" x14ac:dyDescent="0.35">
      <c r="A1610" t="s">
        <v>4797</v>
      </c>
      <c r="B1610" t="s">
        <v>4798</v>
      </c>
      <c r="C1610" t="s">
        <v>116</v>
      </c>
      <c r="D1610">
        <v>6.69</v>
      </c>
      <c r="E1610">
        <v>600</v>
      </c>
      <c r="F1610" t="s">
        <v>139</v>
      </c>
      <c r="G1610" t="s">
        <v>32</v>
      </c>
      <c r="H1610" t="s">
        <v>43</v>
      </c>
      <c r="I1610" t="s">
        <v>44</v>
      </c>
      <c r="J1610" t="s">
        <v>130</v>
      </c>
      <c r="K1610" t="s">
        <v>123</v>
      </c>
      <c r="L1610">
        <v>23</v>
      </c>
      <c r="N1610" t="s">
        <v>4182</v>
      </c>
    </row>
    <row r="1611" spans="1:14" x14ac:dyDescent="0.35">
      <c r="A1611" t="s">
        <v>4799</v>
      </c>
      <c r="B1611" t="s">
        <v>4800</v>
      </c>
      <c r="C1611" t="s">
        <v>81</v>
      </c>
      <c r="D1611">
        <v>98.83</v>
      </c>
      <c r="E1611">
        <v>1000</v>
      </c>
      <c r="F1611" t="s">
        <v>139</v>
      </c>
      <c r="G1611" t="s">
        <v>32</v>
      </c>
      <c r="H1611" t="s">
        <v>57</v>
      </c>
      <c r="I1611" t="s">
        <v>34</v>
      </c>
      <c r="J1611" t="s">
        <v>477</v>
      </c>
      <c r="K1611" t="s">
        <v>51</v>
      </c>
      <c r="L1611">
        <v>18</v>
      </c>
      <c r="M1611" t="s">
        <v>551</v>
      </c>
      <c r="N1611" t="s">
        <v>654</v>
      </c>
    </row>
    <row r="1612" spans="1:14" x14ac:dyDescent="0.35">
      <c r="A1612" t="s">
        <v>4801</v>
      </c>
      <c r="B1612" t="s">
        <v>4802</v>
      </c>
      <c r="C1612" t="s">
        <v>81</v>
      </c>
      <c r="D1612">
        <v>89.13</v>
      </c>
      <c r="E1612">
        <v>6000</v>
      </c>
      <c r="F1612" t="s">
        <v>106</v>
      </c>
      <c r="G1612" t="s">
        <v>32</v>
      </c>
      <c r="H1612" t="s">
        <v>57</v>
      </c>
      <c r="J1612" t="s">
        <v>118</v>
      </c>
      <c r="K1612" t="s">
        <v>42</v>
      </c>
      <c r="L1612">
        <v>17</v>
      </c>
      <c r="M1612" t="s">
        <v>3681</v>
      </c>
      <c r="N1612" t="s">
        <v>1408</v>
      </c>
    </row>
    <row r="1613" spans="1:14" x14ac:dyDescent="0.35">
      <c r="A1613" t="s">
        <v>4803</v>
      </c>
      <c r="B1613" t="s">
        <v>4804</v>
      </c>
      <c r="C1613" t="s">
        <v>30</v>
      </c>
      <c r="D1613">
        <v>133.88</v>
      </c>
      <c r="E1613">
        <v>4000</v>
      </c>
      <c r="F1613" t="s">
        <v>123</v>
      </c>
      <c r="G1613" t="s">
        <v>32</v>
      </c>
      <c r="H1613" t="s">
        <v>43</v>
      </c>
      <c r="I1613" t="s">
        <v>44</v>
      </c>
      <c r="J1613" t="s">
        <v>124</v>
      </c>
      <c r="K1613" t="s">
        <v>117</v>
      </c>
      <c r="L1613">
        <v>2</v>
      </c>
      <c r="N1613" t="s">
        <v>1792</v>
      </c>
    </row>
    <row r="1614" spans="1:14" x14ac:dyDescent="0.35">
      <c r="A1614" t="s">
        <v>4805</v>
      </c>
      <c r="B1614" t="s">
        <v>4806</v>
      </c>
      <c r="C1614" t="s">
        <v>69</v>
      </c>
      <c r="D1614">
        <v>86.12</v>
      </c>
      <c r="E1614">
        <v>41000</v>
      </c>
      <c r="F1614" t="s">
        <v>87</v>
      </c>
      <c r="G1614" t="s">
        <v>32</v>
      </c>
      <c r="H1614" t="s">
        <v>57</v>
      </c>
      <c r="I1614" t="s">
        <v>34</v>
      </c>
      <c r="J1614" t="s">
        <v>130</v>
      </c>
      <c r="K1614" t="s">
        <v>123</v>
      </c>
      <c r="L1614">
        <v>13</v>
      </c>
      <c r="N1614" t="s">
        <v>2620</v>
      </c>
    </row>
    <row r="1615" spans="1:14" x14ac:dyDescent="0.35">
      <c r="A1615" t="s">
        <v>4807</v>
      </c>
      <c r="B1615" t="s">
        <v>4808</v>
      </c>
      <c r="C1615" t="s">
        <v>41</v>
      </c>
      <c r="D1615">
        <v>144.83000000000001</v>
      </c>
      <c r="E1615">
        <v>19000</v>
      </c>
      <c r="F1615" t="s">
        <v>123</v>
      </c>
      <c r="G1615" t="s">
        <v>32</v>
      </c>
      <c r="H1615" t="s">
        <v>33</v>
      </c>
      <c r="I1615" t="s">
        <v>34</v>
      </c>
      <c r="J1615" t="s">
        <v>107</v>
      </c>
      <c r="K1615" t="s">
        <v>87</v>
      </c>
      <c r="L1615">
        <v>4</v>
      </c>
      <c r="M1615" t="s">
        <v>889</v>
      </c>
      <c r="N1615" t="s">
        <v>3224</v>
      </c>
    </row>
    <row r="1616" spans="1:14" x14ac:dyDescent="0.35">
      <c r="A1616" t="s">
        <v>4809</v>
      </c>
      <c r="B1616" t="s">
        <v>4810</v>
      </c>
      <c r="C1616" t="s">
        <v>81</v>
      </c>
      <c r="D1616">
        <v>92.26</v>
      </c>
      <c r="E1616">
        <v>5000</v>
      </c>
      <c r="F1616" t="s">
        <v>236</v>
      </c>
      <c r="G1616" t="s">
        <v>32</v>
      </c>
      <c r="H1616" t="s">
        <v>43</v>
      </c>
      <c r="I1616" t="s">
        <v>34</v>
      </c>
      <c r="J1616" t="s">
        <v>209</v>
      </c>
      <c r="K1616" t="s">
        <v>74</v>
      </c>
      <c r="L1616">
        <v>19</v>
      </c>
      <c r="M1616" t="s">
        <v>2495</v>
      </c>
      <c r="N1616" t="s">
        <v>363</v>
      </c>
    </row>
    <row r="1617" spans="1:14" x14ac:dyDescent="0.35">
      <c r="A1617" t="s">
        <v>4811</v>
      </c>
      <c r="B1617" t="s">
        <v>4812</v>
      </c>
      <c r="C1617" t="s">
        <v>81</v>
      </c>
      <c r="D1617">
        <v>87.29</v>
      </c>
      <c r="E1617">
        <v>9000</v>
      </c>
      <c r="F1617" t="s">
        <v>139</v>
      </c>
      <c r="G1617" t="s">
        <v>32</v>
      </c>
      <c r="H1617" t="s">
        <v>57</v>
      </c>
      <c r="I1617" t="s">
        <v>34</v>
      </c>
      <c r="J1617" t="s">
        <v>35</v>
      </c>
      <c r="K1617" t="s">
        <v>36</v>
      </c>
      <c r="L1617">
        <v>6</v>
      </c>
      <c r="M1617" t="s">
        <v>4530</v>
      </c>
      <c r="N1617" t="s">
        <v>1507</v>
      </c>
    </row>
    <row r="1618" spans="1:14" x14ac:dyDescent="0.35">
      <c r="A1618" t="s">
        <v>4813</v>
      </c>
      <c r="B1618" t="s">
        <v>4814</v>
      </c>
      <c r="C1618" t="s">
        <v>81</v>
      </c>
      <c r="D1618">
        <v>84.96</v>
      </c>
      <c r="E1618">
        <v>7000</v>
      </c>
      <c r="F1618" t="s">
        <v>74</v>
      </c>
      <c r="G1618" t="s">
        <v>32</v>
      </c>
      <c r="H1618" t="s">
        <v>33</v>
      </c>
      <c r="I1618" t="s">
        <v>44</v>
      </c>
      <c r="J1618" t="s">
        <v>1071</v>
      </c>
      <c r="K1618" t="s">
        <v>236</v>
      </c>
      <c r="L1618">
        <v>2</v>
      </c>
      <c r="M1618" t="s">
        <v>346</v>
      </c>
      <c r="N1618" t="s">
        <v>3204</v>
      </c>
    </row>
    <row r="1619" spans="1:14" x14ac:dyDescent="0.35">
      <c r="A1619" t="s">
        <v>4815</v>
      </c>
      <c r="B1619" t="s">
        <v>4816</v>
      </c>
      <c r="C1619" t="s">
        <v>81</v>
      </c>
      <c r="D1619">
        <v>82.97</v>
      </c>
      <c r="E1619">
        <v>5000</v>
      </c>
      <c r="F1619" t="s">
        <v>64</v>
      </c>
      <c r="G1619" t="s">
        <v>32</v>
      </c>
      <c r="H1619" t="s">
        <v>57</v>
      </c>
      <c r="I1619" t="s">
        <v>34</v>
      </c>
      <c r="J1619" t="s">
        <v>112</v>
      </c>
      <c r="K1619" t="s">
        <v>106</v>
      </c>
      <c r="L1619">
        <v>20</v>
      </c>
      <c r="M1619" t="s">
        <v>885</v>
      </c>
      <c r="N1619" t="s">
        <v>4817</v>
      </c>
    </row>
    <row r="1620" spans="1:14" x14ac:dyDescent="0.35">
      <c r="A1620" t="s">
        <v>4818</v>
      </c>
      <c r="B1620" t="s">
        <v>4819</v>
      </c>
      <c r="C1620" t="s">
        <v>62</v>
      </c>
      <c r="D1620">
        <v>64.88</v>
      </c>
      <c r="E1620">
        <v>1000</v>
      </c>
      <c r="F1620" t="s">
        <v>46</v>
      </c>
      <c r="G1620" t="s">
        <v>32</v>
      </c>
      <c r="H1620" t="s">
        <v>57</v>
      </c>
      <c r="I1620" t="s">
        <v>44</v>
      </c>
      <c r="J1620" t="s">
        <v>118</v>
      </c>
      <c r="K1620" t="s">
        <v>42</v>
      </c>
      <c r="L1620">
        <v>7</v>
      </c>
      <c r="M1620" t="s">
        <v>3602</v>
      </c>
      <c r="N1620" t="s">
        <v>2156</v>
      </c>
    </row>
    <row r="1621" spans="1:14" x14ac:dyDescent="0.35">
      <c r="A1621" t="s">
        <v>4820</v>
      </c>
      <c r="B1621" t="s">
        <v>4821</v>
      </c>
      <c r="C1621" t="s">
        <v>62</v>
      </c>
      <c r="D1621">
        <v>70.47</v>
      </c>
      <c r="E1621">
        <v>1000</v>
      </c>
      <c r="F1621" t="s">
        <v>147</v>
      </c>
      <c r="G1621" t="s">
        <v>32</v>
      </c>
      <c r="H1621" t="s">
        <v>57</v>
      </c>
      <c r="I1621" t="s">
        <v>44</v>
      </c>
      <c r="J1621" t="s">
        <v>118</v>
      </c>
      <c r="K1621" t="s">
        <v>42</v>
      </c>
      <c r="L1621">
        <v>10</v>
      </c>
      <c r="M1621" t="s">
        <v>317</v>
      </c>
      <c r="N1621" t="s">
        <v>4822</v>
      </c>
    </row>
    <row r="1622" spans="1:14" x14ac:dyDescent="0.35">
      <c r="A1622" t="s">
        <v>4823</v>
      </c>
      <c r="B1622" t="s">
        <v>4824</v>
      </c>
      <c r="C1622" t="s">
        <v>41</v>
      </c>
      <c r="D1622">
        <v>159</v>
      </c>
      <c r="E1622">
        <v>25000</v>
      </c>
      <c r="F1622" t="s">
        <v>97</v>
      </c>
      <c r="G1622" t="s">
        <v>32</v>
      </c>
      <c r="H1622" t="s">
        <v>57</v>
      </c>
      <c r="J1622" t="s">
        <v>75</v>
      </c>
      <c r="K1622" t="s">
        <v>76</v>
      </c>
      <c r="L1622">
        <v>16</v>
      </c>
      <c r="M1622" t="s">
        <v>4825</v>
      </c>
      <c r="N1622" t="s">
        <v>4826</v>
      </c>
    </row>
    <row r="1623" spans="1:14" x14ac:dyDescent="0.35">
      <c r="A1623" t="s">
        <v>4827</v>
      </c>
      <c r="B1623" t="s">
        <v>4828</v>
      </c>
      <c r="C1623" t="s">
        <v>81</v>
      </c>
      <c r="D1623">
        <v>105.45</v>
      </c>
      <c r="E1623">
        <v>10000</v>
      </c>
      <c r="F1623" t="s">
        <v>42</v>
      </c>
      <c r="G1623" t="s">
        <v>32</v>
      </c>
      <c r="H1623" t="s">
        <v>57</v>
      </c>
      <c r="I1623" t="s">
        <v>34</v>
      </c>
      <c r="J1623" t="s">
        <v>1637</v>
      </c>
      <c r="K1623" t="s">
        <v>97</v>
      </c>
      <c r="L1623">
        <v>17</v>
      </c>
      <c r="M1623" t="s">
        <v>1228</v>
      </c>
      <c r="N1623" t="s">
        <v>2434</v>
      </c>
    </row>
    <row r="1624" spans="1:14" x14ac:dyDescent="0.35">
      <c r="A1624" t="s">
        <v>4829</v>
      </c>
      <c r="B1624" t="s">
        <v>4830</v>
      </c>
      <c r="C1624" t="s">
        <v>69</v>
      </c>
      <c r="D1624">
        <v>54.84</v>
      </c>
      <c r="E1624">
        <v>61000</v>
      </c>
      <c r="F1624" t="s">
        <v>64</v>
      </c>
      <c r="G1624" t="s">
        <v>32</v>
      </c>
      <c r="H1624" t="s">
        <v>57</v>
      </c>
      <c r="I1624" t="s">
        <v>44</v>
      </c>
      <c r="J1624" t="s">
        <v>4831</v>
      </c>
      <c r="K1624" t="s">
        <v>106</v>
      </c>
      <c r="L1624">
        <v>7</v>
      </c>
      <c r="M1624" t="s">
        <v>4063</v>
      </c>
      <c r="N1624" t="s">
        <v>4832</v>
      </c>
    </row>
    <row r="1625" spans="1:14" x14ac:dyDescent="0.35">
      <c r="A1625" t="s">
        <v>4833</v>
      </c>
      <c r="B1625" t="s">
        <v>4834</v>
      </c>
      <c r="C1625" t="s">
        <v>41</v>
      </c>
      <c r="D1625">
        <v>128.34</v>
      </c>
      <c r="E1625">
        <v>37000</v>
      </c>
      <c r="F1625" t="s">
        <v>117</v>
      </c>
      <c r="G1625" t="s">
        <v>32</v>
      </c>
      <c r="H1625" t="s">
        <v>43</v>
      </c>
      <c r="I1625" t="s">
        <v>44</v>
      </c>
      <c r="J1625" t="s">
        <v>35</v>
      </c>
      <c r="K1625" t="s">
        <v>36</v>
      </c>
      <c r="L1625">
        <v>12</v>
      </c>
      <c r="M1625" t="s">
        <v>4078</v>
      </c>
      <c r="N1625" t="s">
        <v>4556</v>
      </c>
    </row>
    <row r="1626" spans="1:14" x14ac:dyDescent="0.35">
      <c r="A1626" t="s">
        <v>4835</v>
      </c>
      <c r="B1626" t="s">
        <v>4836</v>
      </c>
      <c r="C1626" t="s">
        <v>69</v>
      </c>
      <c r="D1626">
        <v>97.25</v>
      </c>
      <c r="E1626">
        <v>58000</v>
      </c>
      <c r="F1626" t="s">
        <v>117</v>
      </c>
      <c r="G1626" t="s">
        <v>32</v>
      </c>
      <c r="H1626" t="s">
        <v>57</v>
      </c>
      <c r="I1626" t="s">
        <v>34</v>
      </c>
      <c r="J1626" t="s">
        <v>366</v>
      </c>
      <c r="K1626" t="s">
        <v>51</v>
      </c>
      <c r="L1626">
        <v>14</v>
      </c>
      <c r="M1626" t="s">
        <v>2039</v>
      </c>
      <c r="N1626" t="s">
        <v>325</v>
      </c>
    </row>
    <row r="1627" spans="1:14" x14ac:dyDescent="0.35">
      <c r="A1627" t="s">
        <v>4837</v>
      </c>
      <c r="B1627" t="s">
        <v>4838</v>
      </c>
      <c r="C1627" t="s">
        <v>69</v>
      </c>
      <c r="D1627">
        <v>62.1</v>
      </c>
      <c r="E1627">
        <v>68000</v>
      </c>
      <c r="F1627" t="s">
        <v>76</v>
      </c>
      <c r="G1627" t="s">
        <v>32</v>
      </c>
      <c r="H1627" t="s">
        <v>57</v>
      </c>
      <c r="I1627" t="s">
        <v>44</v>
      </c>
      <c r="J1627" t="s">
        <v>35</v>
      </c>
      <c r="K1627" t="s">
        <v>36</v>
      </c>
      <c r="L1627">
        <v>7</v>
      </c>
      <c r="N1627" t="s">
        <v>1859</v>
      </c>
    </row>
    <row r="1628" spans="1:14" x14ac:dyDescent="0.35">
      <c r="A1628" t="s">
        <v>4839</v>
      </c>
      <c r="B1628" t="s">
        <v>4840</v>
      </c>
      <c r="C1628" t="s">
        <v>81</v>
      </c>
      <c r="D1628">
        <v>101.01</v>
      </c>
      <c r="E1628">
        <v>8000</v>
      </c>
      <c r="F1628" t="s">
        <v>42</v>
      </c>
      <c r="G1628" t="s">
        <v>32</v>
      </c>
      <c r="H1628" t="s">
        <v>43</v>
      </c>
      <c r="I1628" t="s">
        <v>34</v>
      </c>
      <c r="J1628" t="s">
        <v>118</v>
      </c>
      <c r="K1628" t="s">
        <v>42</v>
      </c>
      <c r="L1628">
        <v>13</v>
      </c>
      <c r="M1628" t="s">
        <v>1196</v>
      </c>
      <c r="N1628" t="s">
        <v>1673</v>
      </c>
    </row>
    <row r="1629" spans="1:14" x14ac:dyDescent="0.35">
      <c r="A1629" t="s">
        <v>4841</v>
      </c>
      <c r="B1629" t="s">
        <v>4842</v>
      </c>
      <c r="C1629" t="s">
        <v>81</v>
      </c>
      <c r="D1629">
        <v>111.1</v>
      </c>
      <c r="E1629">
        <v>7000</v>
      </c>
      <c r="F1629" t="s">
        <v>36</v>
      </c>
      <c r="G1629" t="s">
        <v>32</v>
      </c>
      <c r="H1629" t="s">
        <v>33</v>
      </c>
      <c r="I1629" t="s">
        <v>44</v>
      </c>
      <c r="J1629" t="s">
        <v>983</v>
      </c>
      <c r="K1629" t="s">
        <v>51</v>
      </c>
      <c r="L1629">
        <v>8</v>
      </c>
      <c r="N1629" t="s">
        <v>2580</v>
      </c>
    </row>
    <row r="1630" spans="1:14" x14ac:dyDescent="0.35">
      <c r="A1630" t="s">
        <v>4843</v>
      </c>
      <c r="B1630" t="s">
        <v>4844</v>
      </c>
      <c r="C1630" t="s">
        <v>41</v>
      </c>
      <c r="D1630">
        <v>105.6</v>
      </c>
      <c r="E1630">
        <v>33000</v>
      </c>
      <c r="F1630" t="s">
        <v>64</v>
      </c>
      <c r="G1630" t="s">
        <v>32</v>
      </c>
      <c r="H1630" t="s">
        <v>57</v>
      </c>
      <c r="I1630" t="s">
        <v>44</v>
      </c>
      <c r="J1630" t="s">
        <v>543</v>
      </c>
      <c r="K1630" t="s">
        <v>51</v>
      </c>
      <c r="L1630">
        <v>9</v>
      </c>
      <c r="N1630" t="s">
        <v>2228</v>
      </c>
    </row>
    <row r="1631" spans="1:14" x14ac:dyDescent="0.35">
      <c r="A1631" t="s">
        <v>4845</v>
      </c>
      <c r="B1631" t="s">
        <v>4846</v>
      </c>
      <c r="C1631" t="s">
        <v>81</v>
      </c>
      <c r="D1631">
        <v>99.91</v>
      </c>
      <c r="E1631">
        <v>1000</v>
      </c>
      <c r="F1631" t="s">
        <v>76</v>
      </c>
      <c r="G1631" t="s">
        <v>32</v>
      </c>
      <c r="H1631" t="s">
        <v>57</v>
      </c>
      <c r="I1631" t="s">
        <v>34</v>
      </c>
      <c r="J1631" t="s">
        <v>4847</v>
      </c>
      <c r="K1631" t="s">
        <v>51</v>
      </c>
      <c r="L1631">
        <v>12</v>
      </c>
      <c r="M1631" t="s">
        <v>180</v>
      </c>
      <c r="N1631" t="s">
        <v>999</v>
      </c>
    </row>
    <row r="1632" spans="1:14" x14ac:dyDescent="0.35">
      <c r="A1632" t="s">
        <v>4848</v>
      </c>
      <c r="B1632" t="s">
        <v>4849</v>
      </c>
      <c r="C1632" t="s">
        <v>81</v>
      </c>
      <c r="D1632">
        <v>76.52</v>
      </c>
      <c r="E1632">
        <v>2000</v>
      </c>
      <c r="F1632" t="s">
        <v>51</v>
      </c>
      <c r="G1632" t="s">
        <v>32</v>
      </c>
      <c r="H1632" t="s">
        <v>57</v>
      </c>
      <c r="I1632" t="s">
        <v>34</v>
      </c>
      <c r="J1632" t="s">
        <v>35</v>
      </c>
      <c r="K1632" t="s">
        <v>36</v>
      </c>
      <c r="L1632">
        <v>18</v>
      </c>
      <c r="M1632" t="s">
        <v>1277</v>
      </c>
      <c r="N1632" t="s">
        <v>2819</v>
      </c>
    </row>
    <row r="1633" spans="1:14" x14ac:dyDescent="0.35">
      <c r="A1633" t="s">
        <v>4850</v>
      </c>
      <c r="B1633" t="s">
        <v>4851</v>
      </c>
      <c r="C1633" t="s">
        <v>62</v>
      </c>
      <c r="D1633">
        <v>58.01</v>
      </c>
      <c r="E1633">
        <v>1000</v>
      </c>
      <c r="F1633" t="s">
        <v>117</v>
      </c>
      <c r="G1633" t="s">
        <v>32</v>
      </c>
      <c r="H1633" t="s">
        <v>43</v>
      </c>
      <c r="I1633" t="s">
        <v>44</v>
      </c>
      <c r="J1633" t="s">
        <v>130</v>
      </c>
      <c r="K1633" t="s">
        <v>123</v>
      </c>
      <c r="L1633">
        <v>7</v>
      </c>
      <c r="M1633" t="s">
        <v>1014</v>
      </c>
      <c r="N1633" t="s">
        <v>4852</v>
      </c>
    </row>
    <row r="1634" spans="1:14" x14ac:dyDescent="0.35">
      <c r="A1634" t="s">
        <v>4853</v>
      </c>
      <c r="B1634" t="s">
        <v>4854</v>
      </c>
      <c r="C1634" t="s">
        <v>41</v>
      </c>
      <c r="D1634">
        <v>132.69999999999999</v>
      </c>
      <c r="E1634">
        <v>24000</v>
      </c>
      <c r="F1634" t="s">
        <v>106</v>
      </c>
      <c r="G1634" t="s">
        <v>32</v>
      </c>
      <c r="H1634" t="s">
        <v>43</v>
      </c>
      <c r="I1634" t="s">
        <v>44</v>
      </c>
      <c r="J1634" t="s">
        <v>3728</v>
      </c>
      <c r="K1634" t="s">
        <v>139</v>
      </c>
      <c r="L1634">
        <v>22</v>
      </c>
      <c r="N1634" t="s">
        <v>4855</v>
      </c>
    </row>
    <row r="1635" spans="1:14" x14ac:dyDescent="0.35">
      <c r="A1635" t="s">
        <v>4856</v>
      </c>
      <c r="B1635" t="s">
        <v>4857</v>
      </c>
      <c r="C1635" t="s">
        <v>69</v>
      </c>
      <c r="D1635">
        <v>56.86</v>
      </c>
      <c r="E1635">
        <v>30000</v>
      </c>
      <c r="F1635" t="s">
        <v>117</v>
      </c>
      <c r="G1635" t="s">
        <v>32</v>
      </c>
      <c r="H1635" t="s">
        <v>43</v>
      </c>
      <c r="J1635" t="s">
        <v>63</v>
      </c>
      <c r="K1635" t="s">
        <v>64</v>
      </c>
      <c r="L1635">
        <v>20</v>
      </c>
      <c r="M1635" t="s">
        <v>108</v>
      </c>
      <c r="N1635" t="s">
        <v>3809</v>
      </c>
    </row>
    <row r="1636" spans="1:14" x14ac:dyDescent="0.35">
      <c r="A1636" t="s">
        <v>4858</v>
      </c>
      <c r="B1636" t="s">
        <v>4859</v>
      </c>
      <c r="C1636" t="s">
        <v>69</v>
      </c>
      <c r="D1636">
        <v>87.1</v>
      </c>
      <c r="E1636">
        <v>99000</v>
      </c>
      <c r="F1636" t="s">
        <v>64</v>
      </c>
      <c r="G1636" t="s">
        <v>32</v>
      </c>
      <c r="H1636" t="s">
        <v>57</v>
      </c>
      <c r="I1636" t="s">
        <v>44</v>
      </c>
      <c r="J1636" t="s">
        <v>70</v>
      </c>
      <c r="K1636" t="s">
        <v>31</v>
      </c>
      <c r="L1636">
        <v>19</v>
      </c>
      <c r="M1636" t="s">
        <v>156</v>
      </c>
      <c r="N1636" t="s">
        <v>3620</v>
      </c>
    </row>
    <row r="1637" spans="1:14" x14ac:dyDescent="0.35">
      <c r="A1637" t="s">
        <v>4860</v>
      </c>
      <c r="B1637" t="s">
        <v>4861</v>
      </c>
      <c r="C1637" t="s">
        <v>116</v>
      </c>
      <c r="D1637">
        <v>7.19</v>
      </c>
      <c r="E1637">
        <v>300</v>
      </c>
      <c r="F1637" t="s">
        <v>31</v>
      </c>
      <c r="G1637" t="s">
        <v>32</v>
      </c>
      <c r="H1637" t="s">
        <v>33</v>
      </c>
      <c r="I1637" t="s">
        <v>44</v>
      </c>
      <c r="J1637" t="s">
        <v>683</v>
      </c>
      <c r="K1637" t="s">
        <v>97</v>
      </c>
      <c r="L1637">
        <v>20</v>
      </c>
      <c r="M1637" t="s">
        <v>1527</v>
      </c>
      <c r="N1637" t="s">
        <v>3748</v>
      </c>
    </row>
    <row r="1638" spans="1:14" x14ac:dyDescent="0.35">
      <c r="A1638" t="s">
        <v>4862</v>
      </c>
      <c r="B1638" t="s">
        <v>4863</v>
      </c>
      <c r="C1638" t="s">
        <v>69</v>
      </c>
      <c r="D1638">
        <v>66.709999999999994</v>
      </c>
      <c r="E1638">
        <v>43000</v>
      </c>
      <c r="F1638" t="s">
        <v>97</v>
      </c>
      <c r="G1638" t="s">
        <v>32</v>
      </c>
      <c r="H1638" t="s">
        <v>57</v>
      </c>
      <c r="I1638" t="s">
        <v>44</v>
      </c>
      <c r="J1638" t="s">
        <v>3353</v>
      </c>
      <c r="K1638" t="s">
        <v>74</v>
      </c>
      <c r="L1638">
        <v>17</v>
      </c>
      <c r="N1638" t="s">
        <v>2262</v>
      </c>
    </row>
    <row r="1639" spans="1:14" x14ac:dyDescent="0.35">
      <c r="A1639" t="s">
        <v>4864</v>
      </c>
      <c r="B1639" t="s">
        <v>4865</v>
      </c>
      <c r="C1639" t="s">
        <v>69</v>
      </c>
      <c r="D1639">
        <v>86.26</v>
      </c>
      <c r="E1639">
        <v>96000</v>
      </c>
      <c r="F1639" t="s">
        <v>42</v>
      </c>
      <c r="G1639" t="s">
        <v>32</v>
      </c>
      <c r="H1639" t="s">
        <v>43</v>
      </c>
      <c r="I1639" t="s">
        <v>34</v>
      </c>
      <c r="J1639" t="s">
        <v>82</v>
      </c>
      <c r="K1639" t="s">
        <v>74</v>
      </c>
      <c r="L1639">
        <v>21</v>
      </c>
      <c r="M1639" t="s">
        <v>731</v>
      </c>
      <c r="N1639" t="s">
        <v>1180</v>
      </c>
    </row>
    <row r="1640" spans="1:14" x14ac:dyDescent="0.35">
      <c r="A1640" t="s">
        <v>4866</v>
      </c>
      <c r="B1640" t="s">
        <v>4867</v>
      </c>
      <c r="C1640" t="s">
        <v>116</v>
      </c>
      <c r="D1640">
        <v>10.73</v>
      </c>
      <c r="E1640">
        <v>100</v>
      </c>
      <c r="F1640" t="s">
        <v>76</v>
      </c>
      <c r="G1640" t="s">
        <v>102</v>
      </c>
      <c r="H1640" t="s">
        <v>33</v>
      </c>
      <c r="I1640" t="s">
        <v>34</v>
      </c>
      <c r="J1640" t="s">
        <v>75</v>
      </c>
      <c r="K1640" t="s">
        <v>76</v>
      </c>
      <c r="L1640">
        <v>16</v>
      </c>
      <c r="N1640" t="s">
        <v>4868</v>
      </c>
    </row>
    <row r="1641" spans="1:14" x14ac:dyDescent="0.35">
      <c r="A1641" t="s">
        <v>4869</v>
      </c>
      <c r="B1641" t="s">
        <v>4870</v>
      </c>
      <c r="C1641" t="s">
        <v>116</v>
      </c>
      <c r="D1641">
        <v>9.3000000000000007</v>
      </c>
      <c r="E1641">
        <v>300</v>
      </c>
      <c r="F1641" t="s">
        <v>117</v>
      </c>
      <c r="G1641" t="s">
        <v>32</v>
      </c>
      <c r="H1641" t="s">
        <v>57</v>
      </c>
      <c r="I1641" t="s">
        <v>34</v>
      </c>
      <c r="J1641" t="s">
        <v>107</v>
      </c>
      <c r="K1641" t="s">
        <v>87</v>
      </c>
      <c r="L1641">
        <v>23</v>
      </c>
      <c r="N1641" t="s">
        <v>1941</v>
      </c>
    </row>
    <row r="1642" spans="1:14" x14ac:dyDescent="0.35">
      <c r="A1642" t="s">
        <v>4871</v>
      </c>
      <c r="B1642" t="s">
        <v>4872</v>
      </c>
      <c r="C1642" t="s">
        <v>30</v>
      </c>
      <c r="D1642">
        <v>127.13</v>
      </c>
      <c r="E1642">
        <v>19000</v>
      </c>
      <c r="F1642" t="s">
        <v>123</v>
      </c>
      <c r="G1642" t="s">
        <v>32</v>
      </c>
      <c r="H1642" t="s">
        <v>43</v>
      </c>
      <c r="J1642" t="s">
        <v>1816</v>
      </c>
      <c r="K1642" t="s">
        <v>236</v>
      </c>
      <c r="L1642">
        <v>1</v>
      </c>
      <c r="M1642" t="s">
        <v>2709</v>
      </c>
      <c r="N1642" t="s">
        <v>4352</v>
      </c>
    </row>
    <row r="1643" spans="1:14" x14ac:dyDescent="0.35">
      <c r="A1643" t="s">
        <v>4873</v>
      </c>
      <c r="B1643" t="s">
        <v>4874</v>
      </c>
      <c r="C1643" t="s">
        <v>41</v>
      </c>
      <c r="D1643">
        <v>105.58</v>
      </c>
      <c r="E1643">
        <v>36000</v>
      </c>
      <c r="F1643" t="s">
        <v>97</v>
      </c>
      <c r="G1643" t="s">
        <v>32</v>
      </c>
      <c r="H1643" t="s">
        <v>33</v>
      </c>
      <c r="J1643" t="s">
        <v>235</v>
      </c>
      <c r="K1643" t="s">
        <v>236</v>
      </c>
      <c r="L1643">
        <v>7</v>
      </c>
      <c r="N1643" t="s">
        <v>3224</v>
      </c>
    </row>
    <row r="1644" spans="1:14" x14ac:dyDescent="0.35">
      <c r="A1644" t="s">
        <v>4875</v>
      </c>
      <c r="B1644" t="s">
        <v>4876</v>
      </c>
      <c r="C1644" t="s">
        <v>81</v>
      </c>
      <c r="D1644">
        <v>116.92</v>
      </c>
      <c r="E1644">
        <v>1000</v>
      </c>
      <c r="F1644" t="s">
        <v>76</v>
      </c>
      <c r="G1644" t="s">
        <v>32</v>
      </c>
      <c r="H1644" t="s">
        <v>43</v>
      </c>
      <c r="I1644" t="s">
        <v>34</v>
      </c>
      <c r="J1644" t="s">
        <v>1260</v>
      </c>
      <c r="K1644" t="s">
        <v>147</v>
      </c>
      <c r="L1644">
        <v>22</v>
      </c>
      <c r="M1644" t="s">
        <v>1998</v>
      </c>
      <c r="N1644" t="s">
        <v>2159</v>
      </c>
    </row>
    <row r="1645" spans="1:14" x14ac:dyDescent="0.35">
      <c r="A1645" t="s">
        <v>4877</v>
      </c>
      <c r="B1645" t="s">
        <v>4878</v>
      </c>
      <c r="C1645" t="s">
        <v>41</v>
      </c>
      <c r="D1645">
        <v>137.56</v>
      </c>
      <c r="E1645">
        <v>21000</v>
      </c>
      <c r="F1645" t="s">
        <v>51</v>
      </c>
      <c r="G1645" t="s">
        <v>32</v>
      </c>
      <c r="H1645" t="s">
        <v>57</v>
      </c>
      <c r="I1645" t="s">
        <v>129</v>
      </c>
      <c r="J1645" t="s">
        <v>4879</v>
      </c>
      <c r="K1645" t="s">
        <v>51</v>
      </c>
      <c r="L1645">
        <v>23</v>
      </c>
      <c r="N1645" t="s">
        <v>4676</v>
      </c>
    </row>
    <row r="1646" spans="1:14" x14ac:dyDescent="0.35">
      <c r="A1646" t="s">
        <v>4880</v>
      </c>
      <c r="B1646" t="s">
        <v>4881</v>
      </c>
      <c r="C1646" t="s">
        <v>69</v>
      </c>
      <c r="D1646">
        <v>59.78</v>
      </c>
      <c r="E1646">
        <v>26000</v>
      </c>
      <c r="F1646" t="s">
        <v>147</v>
      </c>
      <c r="G1646" t="s">
        <v>32</v>
      </c>
      <c r="H1646" t="s">
        <v>43</v>
      </c>
      <c r="I1646" t="s">
        <v>129</v>
      </c>
      <c r="J1646" t="s">
        <v>118</v>
      </c>
      <c r="K1646" t="s">
        <v>42</v>
      </c>
      <c r="L1646">
        <v>21</v>
      </c>
      <c r="N1646" t="s">
        <v>132</v>
      </c>
    </row>
    <row r="1647" spans="1:14" x14ac:dyDescent="0.35">
      <c r="A1647" t="s">
        <v>4882</v>
      </c>
      <c r="B1647" t="s">
        <v>4883</v>
      </c>
      <c r="C1647" t="s">
        <v>116</v>
      </c>
      <c r="D1647">
        <v>11.58</v>
      </c>
      <c r="E1647">
        <v>200</v>
      </c>
      <c r="F1647" t="s">
        <v>123</v>
      </c>
      <c r="G1647" t="s">
        <v>32</v>
      </c>
      <c r="H1647" t="s">
        <v>57</v>
      </c>
      <c r="I1647" t="s">
        <v>44</v>
      </c>
      <c r="J1647" t="s">
        <v>63</v>
      </c>
      <c r="K1647" t="s">
        <v>64</v>
      </c>
      <c r="L1647">
        <v>18</v>
      </c>
      <c r="M1647" t="s">
        <v>3968</v>
      </c>
      <c r="N1647" t="s">
        <v>3348</v>
      </c>
    </row>
    <row r="1648" spans="1:14" x14ac:dyDescent="0.35">
      <c r="A1648" t="s">
        <v>4884</v>
      </c>
      <c r="B1648" t="s">
        <v>4885</v>
      </c>
      <c r="C1648" t="s">
        <v>116</v>
      </c>
      <c r="D1648">
        <v>10.88</v>
      </c>
      <c r="E1648">
        <v>500</v>
      </c>
      <c r="F1648" t="s">
        <v>76</v>
      </c>
      <c r="G1648" t="s">
        <v>32</v>
      </c>
      <c r="H1648" t="s">
        <v>43</v>
      </c>
      <c r="J1648" t="s">
        <v>82</v>
      </c>
      <c r="K1648" t="s">
        <v>74</v>
      </c>
      <c r="L1648">
        <v>15</v>
      </c>
      <c r="M1648" t="s">
        <v>2561</v>
      </c>
      <c r="N1648" t="s">
        <v>1669</v>
      </c>
    </row>
    <row r="1649" spans="1:14" x14ac:dyDescent="0.35">
      <c r="A1649" t="s">
        <v>4886</v>
      </c>
      <c r="B1649" t="s">
        <v>4887</v>
      </c>
      <c r="C1649" t="s">
        <v>69</v>
      </c>
      <c r="D1649">
        <v>96.53</v>
      </c>
      <c r="E1649">
        <v>13000</v>
      </c>
      <c r="F1649" t="s">
        <v>51</v>
      </c>
      <c r="G1649" t="s">
        <v>32</v>
      </c>
      <c r="H1649" t="s">
        <v>43</v>
      </c>
      <c r="I1649" t="s">
        <v>34</v>
      </c>
      <c r="J1649" t="s">
        <v>697</v>
      </c>
      <c r="K1649" t="s">
        <v>139</v>
      </c>
      <c r="L1649">
        <v>10</v>
      </c>
      <c r="M1649" t="s">
        <v>563</v>
      </c>
      <c r="N1649" t="s">
        <v>2661</v>
      </c>
    </row>
    <row r="1650" spans="1:14" x14ac:dyDescent="0.35">
      <c r="A1650" t="s">
        <v>4888</v>
      </c>
      <c r="B1650" t="s">
        <v>4889</v>
      </c>
      <c r="C1650" t="s">
        <v>69</v>
      </c>
      <c r="D1650">
        <v>85.25</v>
      </c>
      <c r="E1650">
        <v>23000</v>
      </c>
      <c r="F1650" t="s">
        <v>106</v>
      </c>
      <c r="G1650" t="s">
        <v>32</v>
      </c>
      <c r="H1650" t="s">
        <v>57</v>
      </c>
      <c r="I1650" t="s">
        <v>34</v>
      </c>
      <c r="J1650" t="s">
        <v>523</v>
      </c>
      <c r="K1650" t="s">
        <v>36</v>
      </c>
      <c r="L1650">
        <v>5</v>
      </c>
      <c r="M1650" t="s">
        <v>3104</v>
      </c>
      <c r="N1650" t="s">
        <v>520</v>
      </c>
    </row>
    <row r="1651" spans="1:14" x14ac:dyDescent="0.35">
      <c r="A1651" t="s">
        <v>4890</v>
      </c>
      <c r="B1651" t="s">
        <v>4891</v>
      </c>
      <c r="C1651" t="s">
        <v>116</v>
      </c>
      <c r="D1651">
        <v>8.35</v>
      </c>
      <c r="E1651">
        <v>700</v>
      </c>
      <c r="F1651" t="s">
        <v>123</v>
      </c>
      <c r="G1651" t="s">
        <v>32</v>
      </c>
      <c r="H1651" t="s">
        <v>43</v>
      </c>
      <c r="I1651" t="s">
        <v>44</v>
      </c>
      <c r="J1651" t="s">
        <v>118</v>
      </c>
      <c r="K1651" t="s">
        <v>42</v>
      </c>
      <c r="L1651">
        <v>17</v>
      </c>
      <c r="N1651" t="s">
        <v>4090</v>
      </c>
    </row>
    <row r="1652" spans="1:14" x14ac:dyDescent="0.35">
      <c r="A1652" t="s">
        <v>4892</v>
      </c>
      <c r="B1652" t="s">
        <v>4893</v>
      </c>
      <c r="C1652" t="s">
        <v>81</v>
      </c>
      <c r="D1652">
        <v>95.05</v>
      </c>
      <c r="E1652">
        <v>8000</v>
      </c>
      <c r="F1652" t="s">
        <v>51</v>
      </c>
      <c r="G1652" t="s">
        <v>32</v>
      </c>
      <c r="H1652" t="s">
        <v>33</v>
      </c>
      <c r="I1652" t="s">
        <v>44</v>
      </c>
      <c r="J1652" t="s">
        <v>130</v>
      </c>
      <c r="K1652" t="s">
        <v>123</v>
      </c>
      <c r="L1652">
        <v>6</v>
      </c>
      <c r="M1652" t="s">
        <v>823</v>
      </c>
      <c r="N1652" t="s">
        <v>4363</v>
      </c>
    </row>
    <row r="1653" spans="1:14" x14ac:dyDescent="0.35">
      <c r="A1653" t="s">
        <v>4894</v>
      </c>
      <c r="B1653" t="s">
        <v>4895</v>
      </c>
      <c r="C1653" t="s">
        <v>30</v>
      </c>
      <c r="D1653">
        <v>158.78</v>
      </c>
      <c r="E1653">
        <v>20000</v>
      </c>
      <c r="F1653" t="s">
        <v>139</v>
      </c>
      <c r="G1653" t="s">
        <v>32</v>
      </c>
      <c r="H1653" t="s">
        <v>57</v>
      </c>
      <c r="I1653" t="s">
        <v>44</v>
      </c>
      <c r="J1653" t="s">
        <v>35</v>
      </c>
      <c r="K1653" t="s">
        <v>36</v>
      </c>
      <c r="L1653">
        <v>2</v>
      </c>
      <c r="M1653" t="s">
        <v>894</v>
      </c>
      <c r="N1653" t="s">
        <v>1753</v>
      </c>
    </row>
    <row r="1654" spans="1:14" x14ac:dyDescent="0.35">
      <c r="A1654" t="s">
        <v>4896</v>
      </c>
      <c r="B1654" t="s">
        <v>4897</v>
      </c>
      <c r="C1654" t="s">
        <v>30</v>
      </c>
      <c r="D1654">
        <v>169.27</v>
      </c>
      <c r="E1654">
        <v>18000</v>
      </c>
      <c r="F1654" t="s">
        <v>36</v>
      </c>
      <c r="G1654" t="s">
        <v>32</v>
      </c>
      <c r="H1654" t="s">
        <v>43</v>
      </c>
      <c r="I1654" t="s">
        <v>129</v>
      </c>
      <c r="J1654" t="s">
        <v>278</v>
      </c>
      <c r="K1654" t="s">
        <v>97</v>
      </c>
      <c r="L1654">
        <v>18</v>
      </c>
      <c r="M1654" t="s">
        <v>4549</v>
      </c>
      <c r="N1654" t="s">
        <v>4898</v>
      </c>
    </row>
    <row r="1655" spans="1:14" x14ac:dyDescent="0.35">
      <c r="A1655" t="s">
        <v>4899</v>
      </c>
      <c r="B1655" t="s">
        <v>4900</v>
      </c>
      <c r="C1655" t="s">
        <v>81</v>
      </c>
      <c r="D1655">
        <v>95.82</v>
      </c>
      <c r="E1655">
        <v>1000</v>
      </c>
      <c r="F1655" t="s">
        <v>117</v>
      </c>
      <c r="G1655" t="s">
        <v>32</v>
      </c>
      <c r="H1655" t="s">
        <v>33</v>
      </c>
      <c r="I1655" t="s">
        <v>34</v>
      </c>
      <c r="J1655" t="s">
        <v>4901</v>
      </c>
      <c r="K1655" t="s">
        <v>147</v>
      </c>
      <c r="L1655">
        <v>9</v>
      </c>
      <c r="N1655" t="s">
        <v>1415</v>
      </c>
    </row>
    <row r="1656" spans="1:14" x14ac:dyDescent="0.35">
      <c r="A1656" t="s">
        <v>4902</v>
      </c>
      <c r="B1656" t="s">
        <v>4903</v>
      </c>
      <c r="C1656" t="s">
        <v>81</v>
      </c>
      <c r="D1656">
        <v>72.56</v>
      </c>
      <c r="E1656">
        <v>5000</v>
      </c>
      <c r="F1656" t="s">
        <v>87</v>
      </c>
      <c r="G1656" t="s">
        <v>102</v>
      </c>
      <c r="H1656" t="s">
        <v>33</v>
      </c>
      <c r="I1656" t="s">
        <v>34</v>
      </c>
      <c r="J1656" t="s">
        <v>4904</v>
      </c>
      <c r="K1656" t="s">
        <v>51</v>
      </c>
      <c r="L1656">
        <v>14</v>
      </c>
      <c r="M1656" t="s">
        <v>4905</v>
      </c>
      <c r="N1656" t="s">
        <v>1249</v>
      </c>
    </row>
    <row r="1657" spans="1:14" x14ac:dyDescent="0.35">
      <c r="A1657" t="s">
        <v>4906</v>
      </c>
      <c r="B1657" t="s">
        <v>4907</v>
      </c>
      <c r="C1657" t="s">
        <v>69</v>
      </c>
      <c r="D1657">
        <v>76.92</v>
      </c>
      <c r="E1657">
        <v>42000</v>
      </c>
      <c r="F1657" t="s">
        <v>46</v>
      </c>
      <c r="G1657" t="s">
        <v>32</v>
      </c>
      <c r="H1657" t="s">
        <v>57</v>
      </c>
      <c r="I1657" t="s">
        <v>44</v>
      </c>
      <c r="J1657" t="s">
        <v>118</v>
      </c>
      <c r="K1657" t="s">
        <v>42</v>
      </c>
      <c r="L1657">
        <v>13</v>
      </c>
      <c r="M1657" t="s">
        <v>1425</v>
      </c>
      <c r="N1657" t="s">
        <v>4908</v>
      </c>
    </row>
    <row r="1658" spans="1:14" x14ac:dyDescent="0.35">
      <c r="A1658" t="s">
        <v>4909</v>
      </c>
      <c r="B1658" t="s">
        <v>4910</v>
      </c>
      <c r="C1658" t="s">
        <v>41</v>
      </c>
      <c r="D1658">
        <v>142.16999999999999</v>
      </c>
      <c r="E1658">
        <v>18000</v>
      </c>
      <c r="F1658" t="s">
        <v>36</v>
      </c>
      <c r="G1658" t="s">
        <v>32</v>
      </c>
      <c r="H1658" t="s">
        <v>43</v>
      </c>
      <c r="I1658" t="s">
        <v>44</v>
      </c>
      <c r="J1658" t="s">
        <v>63</v>
      </c>
      <c r="K1658" t="s">
        <v>64</v>
      </c>
      <c r="L1658">
        <v>8</v>
      </c>
      <c r="M1658" t="s">
        <v>524</v>
      </c>
      <c r="N1658" t="s">
        <v>1504</v>
      </c>
    </row>
    <row r="1659" spans="1:14" x14ac:dyDescent="0.35">
      <c r="A1659" t="s">
        <v>4911</v>
      </c>
      <c r="B1659" t="s">
        <v>4912</v>
      </c>
      <c r="C1659" t="s">
        <v>41</v>
      </c>
      <c r="D1659">
        <v>103.84</v>
      </c>
      <c r="E1659">
        <v>18000</v>
      </c>
      <c r="F1659" t="s">
        <v>76</v>
      </c>
      <c r="G1659" t="s">
        <v>102</v>
      </c>
      <c r="H1659" t="s">
        <v>33</v>
      </c>
      <c r="I1659" t="s">
        <v>129</v>
      </c>
      <c r="J1659" t="s">
        <v>124</v>
      </c>
      <c r="K1659" t="s">
        <v>117</v>
      </c>
      <c r="L1659">
        <v>21</v>
      </c>
      <c r="M1659" t="s">
        <v>3457</v>
      </c>
      <c r="N1659" t="s">
        <v>579</v>
      </c>
    </row>
    <row r="1660" spans="1:14" x14ac:dyDescent="0.35">
      <c r="A1660" t="s">
        <v>4913</v>
      </c>
      <c r="B1660" t="s">
        <v>4914</v>
      </c>
      <c r="C1660" t="s">
        <v>116</v>
      </c>
      <c r="D1660">
        <v>8.1999999999999993</v>
      </c>
      <c r="E1660">
        <v>500</v>
      </c>
      <c r="F1660" t="s">
        <v>36</v>
      </c>
      <c r="G1660" t="s">
        <v>32</v>
      </c>
      <c r="H1660" t="s">
        <v>57</v>
      </c>
      <c r="I1660" t="s">
        <v>44</v>
      </c>
      <c r="J1660" t="s">
        <v>683</v>
      </c>
      <c r="K1660" t="s">
        <v>97</v>
      </c>
      <c r="L1660">
        <v>18</v>
      </c>
      <c r="M1660" t="s">
        <v>223</v>
      </c>
      <c r="N1660" t="s">
        <v>4692</v>
      </c>
    </row>
    <row r="1661" spans="1:14" x14ac:dyDescent="0.35">
      <c r="A1661" t="s">
        <v>4915</v>
      </c>
      <c r="B1661" t="s">
        <v>4916</v>
      </c>
      <c r="C1661" t="s">
        <v>30</v>
      </c>
      <c r="D1661">
        <v>178.93</v>
      </c>
      <c r="E1661">
        <v>7000</v>
      </c>
      <c r="F1661" t="s">
        <v>51</v>
      </c>
      <c r="G1661" t="s">
        <v>32</v>
      </c>
      <c r="H1661" t="s">
        <v>43</v>
      </c>
      <c r="I1661" t="s">
        <v>44</v>
      </c>
      <c r="J1661" t="s">
        <v>70</v>
      </c>
      <c r="K1661" t="s">
        <v>31</v>
      </c>
      <c r="L1661">
        <v>23</v>
      </c>
      <c r="M1661" t="s">
        <v>1252</v>
      </c>
      <c r="N1661" t="s">
        <v>2641</v>
      </c>
    </row>
    <row r="1662" spans="1:14" x14ac:dyDescent="0.35">
      <c r="A1662" t="s">
        <v>4917</v>
      </c>
      <c r="B1662" t="s">
        <v>4918</v>
      </c>
      <c r="C1662" t="s">
        <v>30</v>
      </c>
      <c r="D1662">
        <v>197.86</v>
      </c>
      <c r="E1662">
        <v>14000</v>
      </c>
      <c r="F1662" t="s">
        <v>64</v>
      </c>
      <c r="G1662" t="s">
        <v>32</v>
      </c>
      <c r="H1662" t="s">
        <v>57</v>
      </c>
      <c r="I1662" t="s">
        <v>34</v>
      </c>
      <c r="J1662" t="s">
        <v>63</v>
      </c>
      <c r="K1662" t="s">
        <v>64</v>
      </c>
      <c r="L1662">
        <v>2</v>
      </c>
      <c r="M1662" t="s">
        <v>1190</v>
      </c>
      <c r="N1662" t="s">
        <v>1308</v>
      </c>
    </row>
    <row r="1663" spans="1:14" x14ac:dyDescent="0.35">
      <c r="A1663" t="s">
        <v>4919</v>
      </c>
      <c r="B1663" t="s">
        <v>4920</v>
      </c>
      <c r="C1663" t="s">
        <v>30</v>
      </c>
      <c r="D1663">
        <v>191.68</v>
      </c>
      <c r="E1663">
        <v>5000</v>
      </c>
      <c r="F1663" t="s">
        <v>123</v>
      </c>
      <c r="G1663" t="s">
        <v>32</v>
      </c>
      <c r="H1663" t="s">
        <v>33</v>
      </c>
      <c r="I1663" t="s">
        <v>129</v>
      </c>
      <c r="J1663" t="s">
        <v>75</v>
      </c>
      <c r="K1663" t="s">
        <v>76</v>
      </c>
      <c r="L1663">
        <v>15</v>
      </c>
      <c r="N1663" t="s">
        <v>4921</v>
      </c>
    </row>
    <row r="1664" spans="1:14" x14ac:dyDescent="0.35">
      <c r="A1664" t="s">
        <v>4922</v>
      </c>
      <c r="B1664" t="s">
        <v>4923</v>
      </c>
      <c r="C1664" t="s">
        <v>69</v>
      </c>
      <c r="D1664">
        <v>62.43</v>
      </c>
      <c r="E1664">
        <v>67000</v>
      </c>
      <c r="F1664" t="s">
        <v>106</v>
      </c>
      <c r="G1664" t="s">
        <v>32</v>
      </c>
      <c r="H1664" t="s">
        <v>43</v>
      </c>
      <c r="I1664" t="s">
        <v>34</v>
      </c>
      <c r="J1664" t="s">
        <v>35</v>
      </c>
      <c r="K1664" t="s">
        <v>36</v>
      </c>
      <c r="L1664">
        <v>11</v>
      </c>
      <c r="M1664" t="s">
        <v>3457</v>
      </c>
      <c r="N1664" t="s">
        <v>4924</v>
      </c>
    </row>
    <row r="1665" spans="1:14" x14ac:dyDescent="0.35">
      <c r="A1665" t="s">
        <v>4925</v>
      </c>
      <c r="B1665" t="s">
        <v>4926</v>
      </c>
      <c r="C1665" t="s">
        <v>69</v>
      </c>
      <c r="D1665">
        <v>93.49</v>
      </c>
      <c r="E1665">
        <v>25000</v>
      </c>
      <c r="F1665" t="s">
        <v>147</v>
      </c>
      <c r="G1665" t="s">
        <v>32</v>
      </c>
      <c r="H1665" t="s">
        <v>57</v>
      </c>
      <c r="I1665" t="s">
        <v>44</v>
      </c>
      <c r="J1665" t="s">
        <v>334</v>
      </c>
      <c r="K1665" t="s">
        <v>51</v>
      </c>
      <c r="L1665">
        <v>21</v>
      </c>
      <c r="N1665" t="s">
        <v>4927</v>
      </c>
    </row>
    <row r="1666" spans="1:14" x14ac:dyDescent="0.35">
      <c r="A1666" t="s">
        <v>4928</v>
      </c>
      <c r="B1666" t="s">
        <v>4929</v>
      </c>
      <c r="C1666" t="s">
        <v>116</v>
      </c>
      <c r="D1666">
        <v>10.08</v>
      </c>
      <c r="E1666">
        <v>600</v>
      </c>
      <c r="F1666" t="s">
        <v>42</v>
      </c>
      <c r="G1666" t="s">
        <v>32</v>
      </c>
      <c r="H1666" t="s">
        <v>57</v>
      </c>
      <c r="I1666" t="s">
        <v>34</v>
      </c>
      <c r="J1666" t="s">
        <v>1216</v>
      </c>
      <c r="K1666" t="s">
        <v>51</v>
      </c>
      <c r="L1666">
        <v>19</v>
      </c>
      <c r="M1666" t="s">
        <v>3453</v>
      </c>
      <c r="N1666" t="s">
        <v>4930</v>
      </c>
    </row>
    <row r="1667" spans="1:14" x14ac:dyDescent="0.35">
      <c r="A1667" t="s">
        <v>4931</v>
      </c>
      <c r="B1667" t="s">
        <v>4932</v>
      </c>
      <c r="C1667" t="s">
        <v>116</v>
      </c>
      <c r="D1667">
        <v>11.06</v>
      </c>
      <c r="E1667">
        <v>400</v>
      </c>
      <c r="F1667" t="s">
        <v>42</v>
      </c>
      <c r="G1667" t="s">
        <v>32</v>
      </c>
      <c r="H1667" t="s">
        <v>57</v>
      </c>
      <c r="I1667" t="s">
        <v>34</v>
      </c>
      <c r="J1667" t="s">
        <v>316</v>
      </c>
      <c r="K1667" t="s">
        <v>97</v>
      </c>
      <c r="L1667">
        <v>9</v>
      </c>
      <c r="M1667" t="s">
        <v>3773</v>
      </c>
      <c r="N1667" t="s">
        <v>1836</v>
      </c>
    </row>
    <row r="1668" spans="1:14" x14ac:dyDescent="0.35">
      <c r="A1668" t="s">
        <v>4933</v>
      </c>
      <c r="B1668" t="s">
        <v>4934</v>
      </c>
      <c r="C1668" t="s">
        <v>116</v>
      </c>
      <c r="D1668">
        <v>8.17</v>
      </c>
      <c r="E1668">
        <v>300</v>
      </c>
      <c r="F1668" t="s">
        <v>147</v>
      </c>
      <c r="G1668" t="s">
        <v>32</v>
      </c>
      <c r="H1668" t="s">
        <v>43</v>
      </c>
      <c r="J1668" t="s">
        <v>130</v>
      </c>
      <c r="K1668" t="s">
        <v>123</v>
      </c>
      <c r="L1668">
        <v>23</v>
      </c>
      <c r="M1668" t="s">
        <v>1261</v>
      </c>
      <c r="N1668" t="s">
        <v>1487</v>
      </c>
    </row>
    <row r="1669" spans="1:14" x14ac:dyDescent="0.35">
      <c r="A1669" t="s">
        <v>4935</v>
      </c>
      <c r="B1669" t="s">
        <v>4936</v>
      </c>
      <c r="C1669" t="s">
        <v>69</v>
      </c>
      <c r="D1669">
        <v>64.5</v>
      </c>
      <c r="E1669">
        <v>46000</v>
      </c>
      <c r="F1669" t="s">
        <v>123</v>
      </c>
      <c r="G1669" t="s">
        <v>32</v>
      </c>
      <c r="H1669" t="s">
        <v>57</v>
      </c>
      <c r="I1669" t="s">
        <v>44</v>
      </c>
      <c r="J1669" t="s">
        <v>96</v>
      </c>
      <c r="K1669" t="s">
        <v>97</v>
      </c>
      <c r="L1669">
        <v>7</v>
      </c>
      <c r="M1669" t="s">
        <v>3445</v>
      </c>
      <c r="N1669" t="s">
        <v>552</v>
      </c>
    </row>
    <row r="1670" spans="1:14" x14ac:dyDescent="0.35">
      <c r="A1670" t="s">
        <v>4937</v>
      </c>
      <c r="B1670" t="s">
        <v>4938</v>
      </c>
      <c r="C1670" t="s">
        <v>41</v>
      </c>
      <c r="D1670">
        <v>132.66</v>
      </c>
      <c r="E1670">
        <v>25000</v>
      </c>
      <c r="F1670" t="s">
        <v>117</v>
      </c>
      <c r="G1670" t="s">
        <v>32</v>
      </c>
      <c r="H1670" t="s">
        <v>33</v>
      </c>
      <c r="J1670" t="s">
        <v>4939</v>
      </c>
      <c r="K1670" t="s">
        <v>147</v>
      </c>
      <c r="L1670">
        <v>3</v>
      </c>
      <c r="M1670" t="s">
        <v>425</v>
      </c>
      <c r="N1670" t="s">
        <v>220</v>
      </c>
    </row>
    <row r="1671" spans="1:14" x14ac:dyDescent="0.35">
      <c r="A1671" t="s">
        <v>4940</v>
      </c>
      <c r="B1671" t="s">
        <v>4941</v>
      </c>
      <c r="C1671" t="s">
        <v>69</v>
      </c>
      <c r="D1671">
        <v>75.900000000000006</v>
      </c>
      <c r="E1671">
        <v>34000</v>
      </c>
      <c r="F1671" t="s">
        <v>117</v>
      </c>
      <c r="G1671" t="s">
        <v>32</v>
      </c>
      <c r="H1671" t="s">
        <v>33</v>
      </c>
      <c r="I1671" t="s">
        <v>44</v>
      </c>
      <c r="J1671" t="s">
        <v>1637</v>
      </c>
      <c r="K1671" t="s">
        <v>97</v>
      </c>
      <c r="L1671">
        <v>10</v>
      </c>
      <c r="M1671" t="s">
        <v>2398</v>
      </c>
      <c r="N1671" t="s">
        <v>1166</v>
      </c>
    </row>
    <row r="1672" spans="1:14" x14ac:dyDescent="0.35">
      <c r="A1672" t="s">
        <v>4942</v>
      </c>
      <c r="B1672" t="s">
        <v>4943</v>
      </c>
      <c r="C1672" t="s">
        <v>41</v>
      </c>
      <c r="D1672">
        <v>82.63</v>
      </c>
      <c r="E1672">
        <v>26000</v>
      </c>
      <c r="F1672" t="s">
        <v>64</v>
      </c>
      <c r="G1672" t="s">
        <v>32</v>
      </c>
      <c r="H1672" t="s">
        <v>57</v>
      </c>
      <c r="I1672" t="s">
        <v>34</v>
      </c>
      <c r="J1672" t="s">
        <v>235</v>
      </c>
      <c r="K1672" t="s">
        <v>236</v>
      </c>
      <c r="L1672">
        <v>18</v>
      </c>
      <c r="M1672" t="s">
        <v>258</v>
      </c>
      <c r="N1672" t="s">
        <v>99</v>
      </c>
    </row>
    <row r="1673" spans="1:14" x14ac:dyDescent="0.35">
      <c r="A1673" t="s">
        <v>4944</v>
      </c>
      <c r="B1673" t="s">
        <v>4945</v>
      </c>
      <c r="C1673" t="s">
        <v>116</v>
      </c>
      <c r="D1673">
        <v>8.1199999999999992</v>
      </c>
      <c r="E1673">
        <v>400</v>
      </c>
      <c r="F1673" t="s">
        <v>51</v>
      </c>
      <c r="G1673" t="s">
        <v>32</v>
      </c>
      <c r="H1673" t="s">
        <v>33</v>
      </c>
      <c r="I1673" t="s">
        <v>34</v>
      </c>
      <c r="J1673" t="s">
        <v>45</v>
      </c>
      <c r="K1673" t="s">
        <v>46</v>
      </c>
      <c r="L1673">
        <v>9</v>
      </c>
      <c r="M1673" t="s">
        <v>175</v>
      </c>
      <c r="N1673" t="s">
        <v>2863</v>
      </c>
    </row>
    <row r="1674" spans="1:14" x14ac:dyDescent="0.35">
      <c r="A1674" t="s">
        <v>4946</v>
      </c>
      <c r="B1674" t="s">
        <v>4947</v>
      </c>
      <c r="C1674" t="s">
        <v>30</v>
      </c>
      <c r="D1674">
        <v>110.93</v>
      </c>
      <c r="E1674">
        <v>15000</v>
      </c>
      <c r="F1674" t="s">
        <v>106</v>
      </c>
      <c r="G1674" t="s">
        <v>32</v>
      </c>
      <c r="H1674" t="s">
        <v>33</v>
      </c>
      <c r="I1674" t="s">
        <v>44</v>
      </c>
      <c r="J1674" t="s">
        <v>164</v>
      </c>
      <c r="K1674" t="s">
        <v>74</v>
      </c>
      <c r="L1674">
        <v>1</v>
      </c>
      <c r="M1674" t="s">
        <v>293</v>
      </c>
      <c r="N1674" t="s">
        <v>4948</v>
      </c>
    </row>
    <row r="1675" spans="1:14" x14ac:dyDescent="0.35">
      <c r="A1675" t="s">
        <v>4949</v>
      </c>
      <c r="B1675" t="s">
        <v>4950</v>
      </c>
      <c r="C1675" t="s">
        <v>81</v>
      </c>
      <c r="D1675">
        <v>132.65</v>
      </c>
      <c r="E1675">
        <v>2000</v>
      </c>
      <c r="F1675" t="s">
        <v>117</v>
      </c>
      <c r="G1675" t="s">
        <v>32</v>
      </c>
      <c r="H1675" t="s">
        <v>57</v>
      </c>
      <c r="I1675" t="s">
        <v>44</v>
      </c>
      <c r="J1675" t="s">
        <v>2293</v>
      </c>
      <c r="K1675" t="s">
        <v>51</v>
      </c>
      <c r="L1675">
        <v>1</v>
      </c>
      <c r="M1675" t="s">
        <v>3410</v>
      </c>
      <c r="N1675" t="s">
        <v>1144</v>
      </c>
    </row>
    <row r="1676" spans="1:14" x14ac:dyDescent="0.35">
      <c r="A1676" t="s">
        <v>4951</v>
      </c>
      <c r="B1676" t="s">
        <v>4952</v>
      </c>
      <c r="C1676" t="s">
        <v>62</v>
      </c>
      <c r="D1676">
        <v>90.41</v>
      </c>
      <c r="E1676">
        <v>1000</v>
      </c>
      <c r="F1676" t="s">
        <v>36</v>
      </c>
      <c r="G1676" t="s">
        <v>32</v>
      </c>
      <c r="H1676" t="s">
        <v>33</v>
      </c>
      <c r="I1676" t="s">
        <v>44</v>
      </c>
      <c r="J1676" t="s">
        <v>124</v>
      </c>
      <c r="K1676" t="s">
        <v>117</v>
      </c>
      <c r="L1676">
        <v>5</v>
      </c>
      <c r="N1676" t="s">
        <v>2334</v>
      </c>
    </row>
    <row r="1677" spans="1:14" x14ac:dyDescent="0.35">
      <c r="A1677" t="s">
        <v>4953</v>
      </c>
      <c r="B1677" t="s">
        <v>4954</v>
      </c>
      <c r="C1677" t="s">
        <v>41</v>
      </c>
      <c r="D1677">
        <v>99.69</v>
      </c>
      <c r="E1677">
        <v>21000</v>
      </c>
      <c r="F1677" t="s">
        <v>97</v>
      </c>
      <c r="G1677" t="s">
        <v>32</v>
      </c>
      <c r="H1677" t="s">
        <v>43</v>
      </c>
      <c r="I1677" t="s">
        <v>44</v>
      </c>
      <c r="J1677" t="s">
        <v>45</v>
      </c>
      <c r="K1677" t="s">
        <v>46</v>
      </c>
      <c r="L1677">
        <v>14</v>
      </c>
      <c r="M1677" t="s">
        <v>4242</v>
      </c>
      <c r="N1677" t="s">
        <v>1802</v>
      </c>
    </row>
    <row r="1678" spans="1:14" x14ac:dyDescent="0.35">
      <c r="A1678" t="s">
        <v>4955</v>
      </c>
      <c r="B1678" t="s">
        <v>4956</v>
      </c>
      <c r="C1678" t="s">
        <v>30</v>
      </c>
      <c r="D1678">
        <v>153.52000000000001</v>
      </c>
      <c r="E1678">
        <v>16000</v>
      </c>
      <c r="F1678" t="s">
        <v>123</v>
      </c>
      <c r="G1678" t="s">
        <v>102</v>
      </c>
      <c r="H1678" t="s">
        <v>57</v>
      </c>
      <c r="I1678" t="s">
        <v>129</v>
      </c>
      <c r="J1678" t="s">
        <v>2122</v>
      </c>
      <c r="K1678" t="s">
        <v>97</v>
      </c>
      <c r="L1678">
        <v>19</v>
      </c>
      <c r="M1678" t="s">
        <v>637</v>
      </c>
      <c r="N1678" t="s">
        <v>1847</v>
      </c>
    </row>
    <row r="1679" spans="1:14" x14ac:dyDescent="0.35">
      <c r="A1679" t="s">
        <v>4957</v>
      </c>
      <c r="B1679" t="s">
        <v>4958</v>
      </c>
      <c r="C1679" t="s">
        <v>116</v>
      </c>
      <c r="D1679">
        <v>11.25</v>
      </c>
      <c r="E1679">
        <v>200</v>
      </c>
      <c r="F1679" t="s">
        <v>97</v>
      </c>
      <c r="G1679" t="s">
        <v>32</v>
      </c>
      <c r="H1679" t="s">
        <v>33</v>
      </c>
      <c r="I1679" t="s">
        <v>34</v>
      </c>
      <c r="J1679" t="s">
        <v>70</v>
      </c>
      <c r="K1679" t="s">
        <v>31</v>
      </c>
      <c r="L1679">
        <v>18</v>
      </c>
      <c r="M1679" t="s">
        <v>4420</v>
      </c>
      <c r="N1679" t="s">
        <v>4169</v>
      </c>
    </row>
    <row r="1680" spans="1:14" x14ac:dyDescent="0.35">
      <c r="A1680" t="s">
        <v>4959</v>
      </c>
      <c r="B1680" t="s">
        <v>4960</v>
      </c>
      <c r="C1680" t="s">
        <v>116</v>
      </c>
      <c r="D1680">
        <v>11.08</v>
      </c>
      <c r="E1680">
        <v>100</v>
      </c>
      <c r="F1680" t="s">
        <v>36</v>
      </c>
      <c r="G1680" t="s">
        <v>32</v>
      </c>
      <c r="H1680" t="s">
        <v>57</v>
      </c>
      <c r="I1680" t="s">
        <v>44</v>
      </c>
      <c r="J1680" t="s">
        <v>112</v>
      </c>
      <c r="K1680" t="s">
        <v>106</v>
      </c>
      <c r="L1680">
        <v>2</v>
      </c>
      <c r="M1680" t="s">
        <v>2243</v>
      </c>
      <c r="N1680" t="s">
        <v>3759</v>
      </c>
    </row>
    <row r="1681" spans="1:14" x14ac:dyDescent="0.35">
      <c r="A1681" t="s">
        <v>4961</v>
      </c>
      <c r="B1681" t="s">
        <v>4962</v>
      </c>
      <c r="C1681" t="s">
        <v>81</v>
      </c>
      <c r="D1681">
        <v>90.07</v>
      </c>
      <c r="E1681">
        <v>5000</v>
      </c>
      <c r="F1681" t="s">
        <v>74</v>
      </c>
      <c r="G1681" t="s">
        <v>32</v>
      </c>
      <c r="H1681" t="s">
        <v>43</v>
      </c>
      <c r="J1681" t="s">
        <v>35</v>
      </c>
      <c r="K1681" t="s">
        <v>36</v>
      </c>
      <c r="L1681">
        <v>9</v>
      </c>
      <c r="N1681" t="s">
        <v>560</v>
      </c>
    </row>
    <row r="1682" spans="1:14" x14ac:dyDescent="0.35">
      <c r="A1682" t="s">
        <v>4963</v>
      </c>
      <c r="B1682" t="s">
        <v>4964</v>
      </c>
      <c r="C1682" t="s">
        <v>69</v>
      </c>
      <c r="D1682">
        <v>88</v>
      </c>
      <c r="E1682">
        <v>50000</v>
      </c>
      <c r="F1682" t="s">
        <v>106</v>
      </c>
      <c r="G1682" t="s">
        <v>32</v>
      </c>
      <c r="H1682" t="s">
        <v>57</v>
      </c>
      <c r="I1682" t="s">
        <v>44</v>
      </c>
      <c r="J1682" t="s">
        <v>543</v>
      </c>
      <c r="K1682" t="s">
        <v>51</v>
      </c>
      <c r="L1682">
        <v>1</v>
      </c>
      <c r="M1682" t="s">
        <v>2570</v>
      </c>
      <c r="N1682" t="s">
        <v>2005</v>
      </c>
    </row>
    <row r="1683" spans="1:14" x14ac:dyDescent="0.35">
      <c r="A1683" t="s">
        <v>4965</v>
      </c>
      <c r="B1683" t="s">
        <v>4966</v>
      </c>
      <c r="C1683" t="s">
        <v>30</v>
      </c>
      <c r="D1683">
        <v>123.72</v>
      </c>
      <c r="E1683">
        <v>3000</v>
      </c>
      <c r="F1683" t="s">
        <v>31</v>
      </c>
      <c r="G1683" t="s">
        <v>32</v>
      </c>
      <c r="H1683" t="s">
        <v>57</v>
      </c>
      <c r="I1683" t="s">
        <v>44</v>
      </c>
      <c r="J1683" t="s">
        <v>230</v>
      </c>
      <c r="K1683" t="s">
        <v>117</v>
      </c>
      <c r="L1683">
        <v>20</v>
      </c>
      <c r="N1683" t="s">
        <v>206</v>
      </c>
    </row>
    <row r="1684" spans="1:14" x14ac:dyDescent="0.35">
      <c r="A1684" t="s">
        <v>4967</v>
      </c>
      <c r="B1684" t="s">
        <v>4968</v>
      </c>
      <c r="C1684" t="s">
        <v>41</v>
      </c>
      <c r="D1684">
        <v>90.68</v>
      </c>
      <c r="E1684">
        <v>20000</v>
      </c>
      <c r="F1684" t="s">
        <v>42</v>
      </c>
      <c r="G1684" t="s">
        <v>32</v>
      </c>
      <c r="H1684" t="s">
        <v>33</v>
      </c>
      <c r="J1684" t="s">
        <v>4673</v>
      </c>
      <c r="K1684" t="s">
        <v>147</v>
      </c>
      <c r="L1684">
        <v>6</v>
      </c>
      <c r="M1684" t="s">
        <v>4969</v>
      </c>
      <c r="N1684" t="s">
        <v>848</v>
      </c>
    </row>
    <row r="1685" spans="1:14" x14ac:dyDescent="0.35">
      <c r="A1685" t="s">
        <v>4970</v>
      </c>
      <c r="B1685" t="s">
        <v>4971</v>
      </c>
      <c r="C1685" t="s">
        <v>69</v>
      </c>
      <c r="D1685">
        <v>85.64</v>
      </c>
      <c r="E1685">
        <v>82000</v>
      </c>
      <c r="F1685" t="s">
        <v>117</v>
      </c>
      <c r="G1685" t="s">
        <v>32</v>
      </c>
      <c r="H1685" t="s">
        <v>57</v>
      </c>
      <c r="I1685" t="s">
        <v>129</v>
      </c>
      <c r="J1685" t="s">
        <v>4972</v>
      </c>
      <c r="K1685" t="s">
        <v>139</v>
      </c>
      <c r="L1685">
        <v>13</v>
      </c>
      <c r="M1685" t="s">
        <v>156</v>
      </c>
      <c r="N1685" t="s">
        <v>4973</v>
      </c>
    </row>
    <row r="1686" spans="1:14" x14ac:dyDescent="0.35">
      <c r="A1686" t="s">
        <v>4974</v>
      </c>
      <c r="B1686" t="s">
        <v>4975</v>
      </c>
      <c r="C1686" t="s">
        <v>30</v>
      </c>
      <c r="D1686">
        <v>183.66</v>
      </c>
      <c r="E1686">
        <v>2000</v>
      </c>
      <c r="F1686" t="s">
        <v>74</v>
      </c>
      <c r="G1686" t="s">
        <v>32</v>
      </c>
      <c r="H1686" t="s">
        <v>43</v>
      </c>
      <c r="I1686" t="s">
        <v>44</v>
      </c>
      <c r="J1686" t="s">
        <v>4976</v>
      </c>
      <c r="K1686" t="s">
        <v>97</v>
      </c>
      <c r="L1686">
        <v>14</v>
      </c>
      <c r="N1686" t="s">
        <v>1650</v>
      </c>
    </row>
    <row r="1687" spans="1:14" x14ac:dyDescent="0.35">
      <c r="A1687" t="s">
        <v>4977</v>
      </c>
      <c r="B1687" t="s">
        <v>4205</v>
      </c>
      <c r="C1687" t="s">
        <v>41</v>
      </c>
      <c r="D1687">
        <v>126.2</v>
      </c>
      <c r="E1687">
        <v>16000</v>
      </c>
      <c r="F1687" t="s">
        <v>64</v>
      </c>
      <c r="G1687" t="s">
        <v>32</v>
      </c>
      <c r="H1687" t="s">
        <v>43</v>
      </c>
      <c r="J1687" t="s">
        <v>1468</v>
      </c>
      <c r="K1687" t="s">
        <v>147</v>
      </c>
      <c r="L1687">
        <v>3</v>
      </c>
      <c r="M1687" t="s">
        <v>823</v>
      </c>
      <c r="N1687" t="s">
        <v>4978</v>
      </c>
    </row>
    <row r="1688" spans="1:14" x14ac:dyDescent="0.35">
      <c r="A1688" t="s">
        <v>4979</v>
      </c>
      <c r="B1688" t="s">
        <v>4980</v>
      </c>
      <c r="C1688" t="s">
        <v>116</v>
      </c>
      <c r="D1688">
        <v>7.27</v>
      </c>
      <c r="E1688">
        <v>400</v>
      </c>
      <c r="F1688" t="s">
        <v>46</v>
      </c>
      <c r="G1688" t="s">
        <v>32</v>
      </c>
      <c r="H1688" t="s">
        <v>33</v>
      </c>
      <c r="I1688" t="s">
        <v>44</v>
      </c>
      <c r="J1688" t="s">
        <v>3494</v>
      </c>
      <c r="K1688" t="s">
        <v>51</v>
      </c>
      <c r="L1688">
        <v>21</v>
      </c>
      <c r="M1688" t="s">
        <v>184</v>
      </c>
      <c r="N1688" t="s">
        <v>4981</v>
      </c>
    </row>
    <row r="1689" spans="1:14" x14ac:dyDescent="0.35">
      <c r="A1689" t="s">
        <v>4982</v>
      </c>
      <c r="B1689" t="s">
        <v>4983</v>
      </c>
      <c r="C1689" t="s">
        <v>81</v>
      </c>
      <c r="D1689">
        <v>111.37</v>
      </c>
      <c r="E1689">
        <v>7000</v>
      </c>
      <c r="F1689" t="s">
        <v>42</v>
      </c>
      <c r="G1689" t="s">
        <v>32</v>
      </c>
      <c r="H1689" t="s">
        <v>33</v>
      </c>
      <c r="I1689" t="s">
        <v>34</v>
      </c>
      <c r="J1689" t="s">
        <v>477</v>
      </c>
      <c r="K1689" t="s">
        <v>51</v>
      </c>
      <c r="L1689">
        <v>20</v>
      </c>
      <c r="N1689" t="s">
        <v>2615</v>
      </c>
    </row>
    <row r="1690" spans="1:14" x14ac:dyDescent="0.35">
      <c r="A1690" t="s">
        <v>4984</v>
      </c>
      <c r="B1690" t="s">
        <v>4985</v>
      </c>
      <c r="C1690" t="s">
        <v>81</v>
      </c>
      <c r="D1690">
        <v>70.78</v>
      </c>
      <c r="E1690">
        <v>4000</v>
      </c>
      <c r="F1690" t="s">
        <v>123</v>
      </c>
      <c r="G1690" t="s">
        <v>32</v>
      </c>
      <c r="H1690" t="s">
        <v>43</v>
      </c>
      <c r="I1690" t="s">
        <v>44</v>
      </c>
      <c r="J1690" t="s">
        <v>4986</v>
      </c>
      <c r="K1690" t="s">
        <v>139</v>
      </c>
      <c r="L1690">
        <v>6</v>
      </c>
      <c r="N1690" t="s">
        <v>3475</v>
      </c>
    </row>
    <row r="1691" spans="1:14" x14ac:dyDescent="0.35">
      <c r="A1691" t="s">
        <v>4987</v>
      </c>
      <c r="B1691" t="s">
        <v>4988</v>
      </c>
      <c r="C1691" t="s">
        <v>30</v>
      </c>
      <c r="D1691">
        <v>150.13</v>
      </c>
      <c r="E1691">
        <v>18000</v>
      </c>
      <c r="F1691" t="s">
        <v>31</v>
      </c>
      <c r="G1691" t="s">
        <v>32</v>
      </c>
      <c r="H1691" t="s">
        <v>33</v>
      </c>
      <c r="I1691" t="s">
        <v>34</v>
      </c>
      <c r="J1691" t="s">
        <v>429</v>
      </c>
      <c r="K1691" t="s">
        <v>236</v>
      </c>
      <c r="L1691">
        <v>2</v>
      </c>
      <c r="N1691" t="s">
        <v>1090</v>
      </c>
    </row>
    <row r="1692" spans="1:14" x14ac:dyDescent="0.35">
      <c r="A1692" t="s">
        <v>4989</v>
      </c>
      <c r="B1692" t="s">
        <v>4990</v>
      </c>
      <c r="C1692" t="s">
        <v>81</v>
      </c>
      <c r="D1692">
        <v>74.989999999999995</v>
      </c>
      <c r="E1692">
        <v>8000</v>
      </c>
      <c r="F1692" t="s">
        <v>74</v>
      </c>
      <c r="G1692" t="s">
        <v>32</v>
      </c>
      <c r="H1692" t="s">
        <v>33</v>
      </c>
      <c r="I1692" t="s">
        <v>129</v>
      </c>
      <c r="J1692" t="s">
        <v>316</v>
      </c>
      <c r="K1692" t="s">
        <v>97</v>
      </c>
      <c r="L1692">
        <v>2</v>
      </c>
      <c r="N1692" t="s">
        <v>1744</v>
      </c>
    </row>
    <row r="1693" spans="1:14" x14ac:dyDescent="0.35">
      <c r="A1693" t="s">
        <v>4991</v>
      </c>
      <c r="B1693" t="s">
        <v>4992</v>
      </c>
      <c r="C1693" t="s">
        <v>116</v>
      </c>
      <c r="D1693">
        <v>7.13</v>
      </c>
      <c r="E1693">
        <v>700</v>
      </c>
      <c r="F1693" t="s">
        <v>51</v>
      </c>
      <c r="G1693" t="s">
        <v>32</v>
      </c>
      <c r="H1693" t="s">
        <v>57</v>
      </c>
      <c r="I1693" t="s">
        <v>44</v>
      </c>
      <c r="J1693" t="s">
        <v>2924</v>
      </c>
      <c r="K1693" t="s">
        <v>51</v>
      </c>
      <c r="L1693">
        <v>7</v>
      </c>
      <c r="M1693" t="s">
        <v>2561</v>
      </c>
      <c r="N1693" t="s">
        <v>3651</v>
      </c>
    </row>
    <row r="1694" spans="1:14" x14ac:dyDescent="0.35">
      <c r="A1694" t="s">
        <v>4993</v>
      </c>
      <c r="B1694" t="s">
        <v>4994</v>
      </c>
      <c r="C1694" t="s">
        <v>30</v>
      </c>
      <c r="D1694">
        <v>100.78</v>
      </c>
      <c r="E1694">
        <v>19000</v>
      </c>
      <c r="F1694" t="s">
        <v>46</v>
      </c>
      <c r="G1694" t="s">
        <v>32</v>
      </c>
      <c r="H1694" t="s">
        <v>43</v>
      </c>
      <c r="J1694" t="s">
        <v>130</v>
      </c>
      <c r="K1694" t="s">
        <v>123</v>
      </c>
      <c r="L1694">
        <v>7</v>
      </c>
      <c r="M1694" t="s">
        <v>2433</v>
      </c>
      <c r="N1694" t="s">
        <v>1692</v>
      </c>
    </row>
    <row r="1695" spans="1:14" x14ac:dyDescent="0.35">
      <c r="A1695" t="s">
        <v>4995</v>
      </c>
      <c r="B1695" t="s">
        <v>4996</v>
      </c>
      <c r="C1695" t="s">
        <v>30</v>
      </c>
      <c r="D1695">
        <v>125.04</v>
      </c>
      <c r="E1695">
        <v>18000</v>
      </c>
      <c r="F1695" t="s">
        <v>64</v>
      </c>
      <c r="G1695" t="s">
        <v>32</v>
      </c>
      <c r="H1695" t="s">
        <v>33</v>
      </c>
      <c r="J1695" t="s">
        <v>35</v>
      </c>
      <c r="K1695" t="s">
        <v>36</v>
      </c>
      <c r="L1695">
        <v>11</v>
      </c>
      <c r="M1695" t="s">
        <v>1538</v>
      </c>
      <c r="N1695" t="s">
        <v>1122</v>
      </c>
    </row>
    <row r="1696" spans="1:14" x14ac:dyDescent="0.35">
      <c r="A1696" t="s">
        <v>4997</v>
      </c>
      <c r="B1696" t="s">
        <v>4998</v>
      </c>
      <c r="C1696" t="s">
        <v>69</v>
      </c>
      <c r="D1696">
        <v>80.38</v>
      </c>
      <c r="E1696">
        <v>20000</v>
      </c>
      <c r="F1696" t="s">
        <v>147</v>
      </c>
      <c r="G1696" t="s">
        <v>32</v>
      </c>
      <c r="H1696" t="s">
        <v>33</v>
      </c>
      <c r="I1696" t="s">
        <v>129</v>
      </c>
      <c r="J1696" t="s">
        <v>1637</v>
      </c>
      <c r="K1696" t="s">
        <v>97</v>
      </c>
      <c r="L1696">
        <v>22</v>
      </c>
      <c r="M1696" t="s">
        <v>831</v>
      </c>
      <c r="N1696" t="s">
        <v>4999</v>
      </c>
    </row>
    <row r="1697" spans="1:14" x14ac:dyDescent="0.35">
      <c r="A1697" t="s">
        <v>5000</v>
      </c>
      <c r="B1697" t="s">
        <v>5001</v>
      </c>
      <c r="C1697" t="s">
        <v>62</v>
      </c>
      <c r="D1697">
        <v>55.47</v>
      </c>
      <c r="E1697">
        <v>5000</v>
      </c>
      <c r="F1697" t="s">
        <v>42</v>
      </c>
      <c r="G1697" t="s">
        <v>32</v>
      </c>
      <c r="H1697" t="s">
        <v>33</v>
      </c>
      <c r="I1697" t="s">
        <v>129</v>
      </c>
      <c r="J1697" t="s">
        <v>509</v>
      </c>
      <c r="K1697" t="s">
        <v>147</v>
      </c>
      <c r="L1697">
        <v>3</v>
      </c>
      <c r="M1697" t="s">
        <v>693</v>
      </c>
      <c r="N1697" t="s">
        <v>1103</v>
      </c>
    </row>
    <row r="1698" spans="1:14" x14ac:dyDescent="0.35">
      <c r="A1698" t="s">
        <v>5002</v>
      </c>
      <c r="B1698" t="s">
        <v>5003</v>
      </c>
      <c r="C1698" t="s">
        <v>62</v>
      </c>
      <c r="D1698">
        <v>96.04</v>
      </c>
      <c r="E1698">
        <v>4000</v>
      </c>
      <c r="F1698" t="s">
        <v>139</v>
      </c>
      <c r="G1698" t="s">
        <v>32</v>
      </c>
      <c r="H1698" t="s">
        <v>57</v>
      </c>
      <c r="I1698" t="s">
        <v>44</v>
      </c>
      <c r="J1698" t="s">
        <v>130</v>
      </c>
      <c r="K1698" t="s">
        <v>123</v>
      </c>
      <c r="L1698">
        <v>0</v>
      </c>
      <c r="M1698" t="s">
        <v>1545</v>
      </c>
      <c r="N1698" t="s">
        <v>2529</v>
      </c>
    </row>
    <row r="1699" spans="1:14" x14ac:dyDescent="0.35">
      <c r="A1699" t="s">
        <v>5004</v>
      </c>
      <c r="B1699" t="s">
        <v>5005</v>
      </c>
      <c r="C1699" t="s">
        <v>69</v>
      </c>
      <c r="D1699">
        <v>97.83</v>
      </c>
      <c r="E1699">
        <v>77000</v>
      </c>
      <c r="F1699" t="s">
        <v>36</v>
      </c>
      <c r="G1699" t="s">
        <v>32</v>
      </c>
      <c r="H1699" t="s">
        <v>57</v>
      </c>
      <c r="I1699" t="s">
        <v>129</v>
      </c>
      <c r="J1699" t="s">
        <v>278</v>
      </c>
      <c r="K1699" t="s">
        <v>97</v>
      </c>
      <c r="L1699">
        <v>2</v>
      </c>
      <c r="M1699" t="s">
        <v>83</v>
      </c>
      <c r="N1699" t="s">
        <v>5006</v>
      </c>
    </row>
    <row r="1700" spans="1:14" x14ac:dyDescent="0.35">
      <c r="A1700" t="s">
        <v>5007</v>
      </c>
      <c r="B1700" t="s">
        <v>5008</v>
      </c>
      <c r="C1700" t="s">
        <v>30</v>
      </c>
      <c r="D1700">
        <v>196.1</v>
      </c>
      <c r="E1700">
        <v>7000</v>
      </c>
      <c r="F1700" t="s">
        <v>64</v>
      </c>
      <c r="G1700" t="s">
        <v>32</v>
      </c>
      <c r="H1700" t="s">
        <v>33</v>
      </c>
      <c r="I1700" t="s">
        <v>34</v>
      </c>
      <c r="J1700" t="s">
        <v>124</v>
      </c>
      <c r="K1700" t="s">
        <v>117</v>
      </c>
      <c r="L1700">
        <v>22</v>
      </c>
      <c r="M1700" t="s">
        <v>1028</v>
      </c>
      <c r="N1700" t="s">
        <v>1666</v>
      </c>
    </row>
    <row r="1701" spans="1:14" x14ac:dyDescent="0.35">
      <c r="A1701" t="s">
        <v>5009</v>
      </c>
      <c r="B1701" t="s">
        <v>5010</v>
      </c>
      <c r="C1701" t="s">
        <v>116</v>
      </c>
      <c r="D1701">
        <v>11.67</v>
      </c>
      <c r="E1701">
        <v>300</v>
      </c>
      <c r="F1701" t="s">
        <v>106</v>
      </c>
      <c r="G1701" t="s">
        <v>32</v>
      </c>
      <c r="H1701" t="s">
        <v>57</v>
      </c>
      <c r="I1701" t="s">
        <v>34</v>
      </c>
      <c r="J1701" t="s">
        <v>82</v>
      </c>
      <c r="K1701" t="s">
        <v>74</v>
      </c>
      <c r="L1701">
        <v>1</v>
      </c>
      <c r="M1701" t="s">
        <v>2518</v>
      </c>
      <c r="N1701" t="s">
        <v>2162</v>
      </c>
    </row>
    <row r="1702" spans="1:14" x14ac:dyDescent="0.35">
      <c r="A1702" t="s">
        <v>5011</v>
      </c>
      <c r="B1702" t="s">
        <v>5012</v>
      </c>
      <c r="C1702" t="s">
        <v>69</v>
      </c>
      <c r="D1702">
        <v>80.67</v>
      </c>
      <c r="E1702">
        <v>92000</v>
      </c>
      <c r="F1702" t="s">
        <v>51</v>
      </c>
      <c r="G1702" t="s">
        <v>32</v>
      </c>
      <c r="H1702" t="s">
        <v>33</v>
      </c>
      <c r="I1702" t="s">
        <v>44</v>
      </c>
      <c r="J1702" t="s">
        <v>107</v>
      </c>
      <c r="K1702" t="s">
        <v>87</v>
      </c>
      <c r="L1702">
        <v>18</v>
      </c>
      <c r="N1702" t="s">
        <v>1802</v>
      </c>
    </row>
    <row r="1703" spans="1:14" x14ac:dyDescent="0.35">
      <c r="A1703" t="s">
        <v>5013</v>
      </c>
      <c r="B1703" t="s">
        <v>5014</v>
      </c>
      <c r="C1703" t="s">
        <v>81</v>
      </c>
      <c r="D1703">
        <v>118.17</v>
      </c>
      <c r="E1703">
        <v>1000</v>
      </c>
      <c r="F1703" t="s">
        <v>64</v>
      </c>
      <c r="G1703" t="s">
        <v>32</v>
      </c>
      <c r="H1703" t="s">
        <v>33</v>
      </c>
      <c r="I1703" t="s">
        <v>129</v>
      </c>
      <c r="J1703" t="s">
        <v>35</v>
      </c>
      <c r="K1703" t="s">
        <v>36</v>
      </c>
      <c r="L1703">
        <v>15</v>
      </c>
      <c r="M1703" t="s">
        <v>2607</v>
      </c>
      <c r="N1703" t="s">
        <v>2210</v>
      </c>
    </row>
    <row r="1704" spans="1:14" x14ac:dyDescent="0.35">
      <c r="A1704" t="s">
        <v>5015</v>
      </c>
      <c r="B1704" t="s">
        <v>5016</v>
      </c>
      <c r="C1704" t="s">
        <v>81</v>
      </c>
      <c r="D1704">
        <v>130.9</v>
      </c>
      <c r="E1704">
        <v>5000</v>
      </c>
      <c r="F1704" t="s">
        <v>31</v>
      </c>
      <c r="G1704" t="s">
        <v>32</v>
      </c>
      <c r="H1704" t="s">
        <v>33</v>
      </c>
      <c r="I1704" t="s">
        <v>44</v>
      </c>
      <c r="J1704" t="s">
        <v>70</v>
      </c>
      <c r="K1704" t="s">
        <v>31</v>
      </c>
      <c r="L1704">
        <v>8</v>
      </c>
      <c r="M1704" t="s">
        <v>1028</v>
      </c>
      <c r="N1704" t="s">
        <v>2869</v>
      </c>
    </row>
    <row r="1705" spans="1:14" x14ac:dyDescent="0.35">
      <c r="A1705" t="s">
        <v>5017</v>
      </c>
      <c r="B1705" t="s">
        <v>5018</v>
      </c>
      <c r="C1705" t="s">
        <v>69</v>
      </c>
      <c r="D1705">
        <v>90.46</v>
      </c>
      <c r="E1705">
        <v>55000</v>
      </c>
      <c r="F1705" t="s">
        <v>117</v>
      </c>
      <c r="G1705" t="s">
        <v>32</v>
      </c>
      <c r="H1705" t="s">
        <v>33</v>
      </c>
      <c r="J1705" t="s">
        <v>75</v>
      </c>
      <c r="K1705" t="s">
        <v>76</v>
      </c>
      <c r="L1705">
        <v>23</v>
      </c>
      <c r="M1705" t="s">
        <v>2257</v>
      </c>
      <c r="N1705" t="s">
        <v>912</v>
      </c>
    </row>
    <row r="1706" spans="1:14" x14ac:dyDescent="0.35">
      <c r="A1706" t="s">
        <v>5019</v>
      </c>
      <c r="B1706" t="s">
        <v>5020</v>
      </c>
      <c r="C1706" t="s">
        <v>30</v>
      </c>
      <c r="D1706">
        <v>129.38999999999999</v>
      </c>
      <c r="E1706">
        <v>1000</v>
      </c>
      <c r="F1706" t="s">
        <v>123</v>
      </c>
      <c r="G1706" t="s">
        <v>32</v>
      </c>
      <c r="H1706" t="s">
        <v>57</v>
      </c>
      <c r="I1706" t="s">
        <v>34</v>
      </c>
      <c r="J1706" t="s">
        <v>3080</v>
      </c>
      <c r="K1706" t="s">
        <v>139</v>
      </c>
      <c r="L1706">
        <v>20</v>
      </c>
      <c r="N1706" t="s">
        <v>905</v>
      </c>
    </row>
    <row r="1707" spans="1:14" x14ac:dyDescent="0.35">
      <c r="A1707" t="s">
        <v>5021</v>
      </c>
      <c r="B1707" t="s">
        <v>5022</v>
      </c>
      <c r="C1707" t="s">
        <v>30</v>
      </c>
      <c r="D1707">
        <v>131.63</v>
      </c>
      <c r="E1707">
        <v>19000</v>
      </c>
      <c r="F1707" t="s">
        <v>139</v>
      </c>
      <c r="G1707" t="s">
        <v>32</v>
      </c>
      <c r="H1707" t="s">
        <v>57</v>
      </c>
      <c r="J1707" t="s">
        <v>846</v>
      </c>
      <c r="K1707" t="s">
        <v>74</v>
      </c>
      <c r="L1707">
        <v>0</v>
      </c>
      <c r="M1707" t="s">
        <v>731</v>
      </c>
      <c r="N1707" t="s">
        <v>1519</v>
      </c>
    </row>
    <row r="1708" spans="1:14" x14ac:dyDescent="0.35">
      <c r="A1708" t="s">
        <v>5023</v>
      </c>
      <c r="B1708" t="s">
        <v>5024</v>
      </c>
      <c r="C1708" t="s">
        <v>81</v>
      </c>
      <c r="D1708">
        <v>77.5</v>
      </c>
      <c r="E1708">
        <v>4000</v>
      </c>
      <c r="F1708" t="s">
        <v>64</v>
      </c>
      <c r="G1708" t="s">
        <v>32</v>
      </c>
      <c r="H1708" t="s">
        <v>33</v>
      </c>
      <c r="I1708" t="s">
        <v>34</v>
      </c>
      <c r="J1708" t="s">
        <v>5025</v>
      </c>
      <c r="K1708" t="s">
        <v>51</v>
      </c>
      <c r="L1708">
        <v>2</v>
      </c>
      <c r="M1708" t="s">
        <v>1147</v>
      </c>
      <c r="N1708" t="s">
        <v>5026</v>
      </c>
    </row>
    <row r="1709" spans="1:14" x14ac:dyDescent="0.35">
      <c r="A1709" t="s">
        <v>5027</v>
      </c>
      <c r="B1709" t="s">
        <v>5028</v>
      </c>
      <c r="C1709" t="s">
        <v>62</v>
      </c>
      <c r="D1709">
        <v>89.39</v>
      </c>
      <c r="E1709">
        <v>4000</v>
      </c>
      <c r="F1709" t="s">
        <v>46</v>
      </c>
      <c r="G1709" t="s">
        <v>32</v>
      </c>
      <c r="H1709" t="s">
        <v>57</v>
      </c>
      <c r="J1709" t="s">
        <v>209</v>
      </c>
      <c r="K1709" t="s">
        <v>74</v>
      </c>
      <c r="L1709">
        <v>1</v>
      </c>
      <c r="M1709" t="s">
        <v>1009</v>
      </c>
      <c r="N1709" t="s">
        <v>5029</v>
      </c>
    </row>
    <row r="1710" spans="1:14" x14ac:dyDescent="0.35">
      <c r="A1710" t="s">
        <v>5030</v>
      </c>
      <c r="B1710" t="s">
        <v>5031</v>
      </c>
      <c r="C1710" t="s">
        <v>41</v>
      </c>
      <c r="D1710">
        <v>117.43</v>
      </c>
      <c r="E1710">
        <v>17000</v>
      </c>
      <c r="F1710" t="s">
        <v>139</v>
      </c>
      <c r="G1710" t="s">
        <v>32</v>
      </c>
      <c r="H1710" t="s">
        <v>57</v>
      </c>
      <c r="I1710" t="s">
        <v>34</v>
      </c>
      <c r="J1710" t="s">
        <v>70</v>
      </c>
      <c r="K1710" t="s">
        <v>31</v>
      </c>
      <c r="L1710">
        <v>0</v>
      </c>
      <c r="M1710" t="s">
        <v>2996</v>
      </c>
      <c r="N1710" t="s">
        <v>2065</v>
      </c>
    </row>
    <row r="1711" spans="1:14" x14ac:dyDescent="0.35">
      <c r="A1711" t="s">
        <v>5032</v>
      </c>
      <c r="B1711" t="s">
        <v>5033</v>
      </c>
      <c r="C1711" t="s">
        <v>62</v>
      </c>
      <c r="D1711">
        <v>54.99</v>
      </c>
      <c r="E1711">
        <v>3000</v>
      </c>
      <c r="F1711" t="s">
        <v>236</v>
      </c>
      <c r="G1711" t="s">
        <v>32</v>
      </c>
      <c r="H1711" t="s">
        <v>43</v>
      </c>
      <c r="I1711" t="s">
        <v>44</v>
      </c>
      <c r="J1711" t="s">
        <v>63</v>
      </c>
      <c r="K1711" t="s">
        <v>64</v>
      </c>
      <c r="L1711">
        <v>22</v>
      </c>
      <c r="M1711" t="s">
        <v>274</v>
      </c>
      <c r="N1711" t="s">
        <v>2644</v>
      </c>
    </row>
    <row r="1712" spans="1:14" x14ac:dyDescent="0.35">
      <c r="A1712" t="s">
        <v>5034</v>
      </c>
      <c r="B1712" t="s">
        <v>5035</v>
      </c>
      <c r="C1712" t="s">
        <v>69</v>
      </c>
      <c r="D1712">
        <v>83.19</v>
      </c>
      <c r="E1712">
        <v>74000</v>
      </c>
      <c r="F1712" t="s">
        <v>97</v>
      </c>
      <c r="G1712" t="s">
        <v>32</v>
      </c>
      <c r="H1712" t="s">
        <v>57</v>
      </c>
      <c r="J1712" t="s">
        <v>70</v>
      </c>
      <c r="K1712" t="s">
        <v>31</v>
      </c>
      <c r="L1712">
        <v>15</v>
      </c>
      <c r="M1712" t="s">
        <v>258</v>
      </c>
      <c r="N1712" t="s">
        <v>2463</v>
      </c>
    </row>
    <row r="1713" spans="1:14" x14ac:dyDescent="0.35">
      <c r="A1713" t="s">
        <v>5036</v>
      </c>
      <c r="B1713" t="s">
        <v>5037</v>
      </c>
      <c r="C1713" t="s">
        <v>30</v>
      </c>
      <c r="D1713">
        <v>157.41999999999999</v>
      </c>
      <c r="E1713">
        <v>6000</v>
      </c>
      <c r="F1713" t="s">
        <v>51</v>
      </c>
      <c r="G1713" t="s">
        <v>32</v>
      </c>
      <c r="H1713" t="s">
        <v>33</v>
      </c>
      <c r="J1713" t="s">
        <v>645</v>
      </c>
      <c r="K1713" t="s">
        <v>147</v>
      </c>
      <c r="L1713">
        <v>17</v>
      </c>
      <c r="M1713" t="s">
        <v>807</v>
      </c>
      <c r="N1713" t="s">
        <v>3697</v>
      </c>
    </row>
    <row r="1714" spans="1:14" x14ac:dyDescent="0.35">
      <c r="A1714" t="s">
        <v>5038</v>
      </c>
      <c r="B1714" t="s">
        <v>5039</v>
      </c>
      <c r="C1714" t="s">
        <v>81</v>
      </c>
      <c r="D1714">
        <v>107.35</v>
      </c>
      <c r="E1714">
        <v>1000</v>
      </c>
      <c r="F1714" t="s">
        <v>97</v>
      </c>
      <c r="G1714" t="s">
        <v>32</v>
      </c>
      <c r="H1714" t="s">
        <v>43</v>
      </c>
      <c r="I1714" t="s">
        <v>44</v>
      </c>
      <c r="J1714" t="s">
        <v>82</v>
      </c>
      <c r="K1714" t="s">
        <v>74</v>
      </c>
      <c r="L1714">
        <v>3</v>
      </c>
      <c r="M1714" t="s">
        <v>2407</v>
      </c>
      <c r="N1714" t="s">
        <v>2270</v>
      </c>
    </row>
    <row r="1715" spans="1:14" x14ac:dyDescent="0.35">
      <c r="A1715" t="s">
        <v>5040</v>
      </c>
      <c r="B1715" t="s">
        <v>5041</v>
      </c>
      <c r="C1715" t="s">
        <v>81</v>
      </c>
      <c r="D1715">
        <v>113.54</v>
      </c>
      <c r="E1715">
        <v>10000</v>
      </c>
      <c r="F1715" t="s">
        <v>42</v>
      </c>
      <c r="G1715" t="s">
        <v>32</v>
      </c>
      <c r="H1715" t="s">
        <v>57</v>
      </c>
      <c r="I1715" t="s">
        <v>34</v>
      </c>
      <c r="J1715" t="s">
        <v>5042</v>
      </c>
      <c r="K1715" t="s">
        <v>87</v>
      </c>
      <c r="L1715">
        <v>4</v>
      </c>
      <c r="N1715" t="s">
        <v>5043</v>
      </c>
    </row>
    <row r="1716" spans="1:14" x14ac:dyDescent="0.35">
      <c r="A1716" t="s">
        <v>5044</v>
      </c>
      <c r="B1716" t="s">
        <v>5045</v>
      </c>
      <c r="C1716" t="s">
        <v>69</v>
      </c>
      <c r="D1716">
        <v>95.3</v>
      </c>
      <c r="E1716">
        <v>88000</v>
      </c>
      <c r="F1716" t="s">
        <v>46</v>
      </c>
      <c r="G1716" t="s">
        <v>32</v>
      </c>
      <c r="H1716" t="s">
        <v>57</v>
      </c>
      <c r="J1716" t="s">
        <v>1071</v>
      </c>
      <c r="K1716" t="s">
        <v>236</v>
      </c>
      <c r="L1716">
        <v>12</v>
      </c>
      <c r="N1716" t="s">
        <v>1169</v>
      </c>
    </row>
    <row r="1717" spans="1:14" x14ac:dyDescent="0.35">
      <c r="A1717" t="s">
        <v>5046</v>
      </c>
      <c r="B1717" t="s">
        <v>5047</v>
      </c>
      <c r="C1717" t="s">
        <v>62</v>
      </c>
      <c r="D1717">
        <v>83.61</v>
      </c>
      <c r="E1717">
        <v>1000</v>
      </c>
      <c r="F1717" t="s">
        <v>236</v>
      </c>
      <c r="G1717" t="s">
        <v>32</v>
      </c>
      <c r="H1717" t="s">
        <v>33</v>
      </c>
      <c r="I1717" t="s">
        <v>34</v>
      </c>
      <c r="J1717" t="s">
        <v>70</v>
      </c>
      <c r="K1717" t="s">
        <v>31</v>
      </c>
      <c r="L1717">
        <v>14</v>
      </c>
      <c r="M1717" t="s">
        <v>353</v>
      </c>
      <c r="N1717" t="s">
        <v>2055</v>
      </c>
    </row>
    <row r="1718" spans="1:14" x14ac:dyDescent="0.35">
      <c r="A1718" t="s">
        <v>5048</v>
      </c>
      <c r="B1718" t="s">
        <v>5049</v>
      </c>
      <c r="C1718" t="s">
        <v>62</v>
      </c>
      <c r="D1718">
        <v>59.22</v>
      </c>
      <c r="E1718">
        <v>3000</v>
      </c>
      <c r="F1718" t="s">
        <v>42</v>
      </c>
      <c r="G1718" t="s">
        <v>102</v>
      </c>
      <c r="H1718" t="s">
        <v>57</v>
      </c>
      <c r="I1718" t="s">
        <v>34</v>
      </c>
      <c r="J1718" t="s">
        <v>75</v>
      </c>
      <c r="K1718" t="s">
        <v>76</v>
      </c>
      <c r="L1718">
        <v>1</v>
      </c>
      <c r="M1718" t="s">
        <v>270</v>
      </c>
      <c r="N1718" t="s">
        <v>1879</v>
      </c>
    </row>
    <row r="1719" spans="1:14" x14ac:dyDescent="0.35">
      <c r="A1719" t="s">
        <v>5050</v>
      </c>
      <c r="B1719" t="s">
        <v>5051</v>
      </c>
      <c r="C1719" t="s">
        <v>81</v>
      </c>
      <c r="D1719">
        <v>136.57</v>
      </c>
      <c r="E1719">
        <v>1000</v>
      </c>
      <c r="F1719" t="s">
        <v>31</v>
      </c>
      <c r="G1719" t="s">
        <v>32</v>
      </c>
      <c r="H1719" t="s">
        <v>43</v>
      </c>
      <c r="I1719" t="s">
        <v>34</v>
      </c>
      <c r="J1719" t="s">
        <v>118</v>
      </c>
      <c r="K1719" t="s">
        <v>42</v>
      </c>
      <c r="L1719">
        <v>11</v>
      </c>
      <c r="M1719" t="s">
        <v>1151</v>
      </c>
      <c r="N1719" t="s">
        <v>2215</v>
      </c>
    </row>
    <row r="1720" spans="1:14" x14ac:dyDescent="0.35">
      <c r="A1720" t="s">
        <v>5052</v>
      </c>
      <c r="B1720" t="s">
        <v>5053</v>
      </c>
      <c r="C1720" t="s">
        <v>62</v>
      </c>
      <c r="D1720">
        <v>79.58</v>
      </c>
      <c r="E1720">
        <v>1000</v>
      </c>
      <c r="F1720" t="s">
        <v>76</v>
      </c>
      <c r="G1720" t="s">
        <v>32</v>
      </c>
      <c r="H1720" t="s">
        <v>43</v>
      </c>
      <c r="I1720" t="s">
        <v>34</v>
      </c>
      <c r="J1720" t="s">
        <v>63</v>
      </c>
      <c r="K1720" t="s">
        <v>64</v>
      </c>
      <c r="L1720">
        <v>10</v>
      </c>
      <c r="M1720" t="s">
        <v>1036</v>
      </c>
      <c r="N1720" t="s">
        <v>4185</v>
      </c>
    </row>
    <row r="1721" spans="1:14" x14ac:dyDescent="0.35">
      <c r="A1721" t="s">
        <v>5054</v>
      </c>
      <c r="B1721" t="s">
        <v>5055</v>
      </c>
      <c r="C1721" t="s">
        <v>116</v>
      </c>
      <c r="D1721">
        <v>6.3</v>
      </c>
      <c r="E1721">
        <v>700</v>
      </c>
      <c r="F1721" t="s">
        <v>31</v>
      </c>
      <c r="G1721" t="s">
        <v>32</v>
      </c>
      <c r="H1721" t="s">
        <v>43</v>
      </c>
      <c r="J1721" t="s">
        <v>63</v>
      </c>
      <c r="K1721" t="s">
        <v>64</v>
      </c>
      <c r="L1721">
        <v>21</v>
      </c>
      <c r="N1721" t="s">
        <v>2484</v>
      </c>
    </row>
    <row r="1722" spans="1:14" x14ac:dyDescent="0.35">
      <c r="A1722" t="s">
        <v>5056</v>
      </c>
      <c r="B1722" t="s">
        <v>5057</v>
      </c>
      <c r="C1722" t="s">
        <v>81</v>
      </c>
      <c r="D1722">
        <v>88.49</v>
      </c>
      <c r="E1722">
        <v>5000</v>
      </c>
      <c r="F1722" t="s">
        <v>97</v>
      </c>
      <c r="G1722" t="s">
        <v>32</v>
      </c>
      <c r="H1722" t="s">
        <v>33</v>
      </c>
      <c r="J1722" t="s">
        <v>45</v>
      </c>
      <c r="K1722" t="s">
        <v>46</v>
      </c>
      <c r="L1722">
        <v>11</v>
      </c>
      <c r="M1722" t="s">
        <v>2625</v>
      </c>
      <c r="N1722" t="s">
        <v>2590</v>
      </c>
    </row>
    <row r="1723" spans="1:14" x14ac:dyDescent="0.35">
      <c r="A1723" t="s">
        <v>5058</v>
      </c>
      <c r="B1723" t="s">
        <v>5059</v>
      </c>
      <c r="C1723" t="s">
        <v>30</v>
      </c>
      <c r="D1723">
        <v>126.97</v>
      </c>
      <c r="E1723">
        <v>18000</v>
      </c>
      <c r="F1723" t="s">
        <v>87</v>
      </c>
      <c r="G1723" t="s">
        <v>32</v>
      </c>
      <c r="H1723" t="s">
        <v>57</v>
      </c>
      <c r="J1723" t="s">
        <v>1896</v>
      </c>
      <c r="K1723" t="s">
        <v>97</v>
      </c>
      <c r="L1723">
        <v>8</v>
      </c>
      <c r="M1723" t="s">
        <v>251</v>
      </c>
      <c r="N1723" t="s">
        <v>2641</v>
      </c>
    </row>
    <row r="1724" spans="1:14" x14ac:dyDescent="0.35">
      <c r="A1724" t="s">
        <v>5060</v>
      </c>
      <c r="B1724" t="s">
        <v>5061</v>
      </c>
      <c r="C1724" t="s">
        <v>62</v>
      </c>
      <c r="D1724">
        <v>62.03</v>
      </c>
      <c r="E1724">
        <v>4000</v>
      </c>
      <c r="F1724" t="s">
        <v>76</v>
      </c>
      <c r="G1724" t="s">
        <v>32</v>
      </c>
      <c r="H1724" t="s">
        <v>57</v>
      </c>
      <c r="I1724" t="s">
        <v>129</v>
      </c>
      <c r="J1724" t="s">
        <v>107</v>
      </c>
      <c r="K1724" t="s">
        <v>87</v>
      </c>
      <c r="L1724">
        <v>1</v>
      </c>
      <c r="M1724" t="s">
        <v>1911</v>
      </c>
      <c r="N1724" t="s">
        <v>1015</v>
      </c>
    </row>
    <row r="1725" spans="1:14" x14ac:dyDescent="0.35">
      <c r="A1725" t="s">
        <v>5062</v>
      </c>
      <c r="B1725" t="s">
        <v>5063</v>
      </c>
      <c r="C1725" t="s">
        <v>116</v>
      </c>
      <c r="D1725">
        <v>7.37</v>
      </c>
      <c r="E1725">
        <v>200</v>
      </c>
      <c r="F1725" t="s">
        <v>74</v>
      </c>
      <c r="G1725" t="s">
        <v>32</v>
      </c>
      <c r="H1725" t="s">
        <v>43</v>
      </c>
      <c r="I1725" t="s">
        <v>44</v>
      </c>
      <c r="J1725" t="s">
        <v>283</v>
      </c>
      <c r="K1725" t="s">
        <v>139</v>
      </c>
      <c r="L1725">
        <v>11</v>
      </c>
      <c r="N1725" t="s">
        <v>3326</v>
      </c>
    </row>
    <row r="1726" spans="1:14" x14ac:dyDescent="0.35">
      <c r="A1726" t="s">
        <v>5064</v>
      </c>
      <c r="B1726" t="s">
        <v>5065</v>
      </c>
      <c r="C1726" t="s">
        <v>62</v>
      </c>
      <c r="D1726">
        <v>76.459999999999994</v>
      </c>
      <c r="E1726">
        <v>1000</v>
      </c>
      <c r="F1726" t="s">
        <v>147</v>
      </c>
      <c r="G1726" t="s">
        <v>32</v>
      </c>
      <c r="H1726" t="s">
        <v>57</v>
      </c>
      <c r="I1726" t="s">
        <v>129</v>
      </c>
      <c r="J1726" t="s">
        <v>112</v>
      </c>
      <c r="K1726" t="s">
        <v>106</v>
      </c>
      <c r="L1726">
        <v>20</v>
      </c>
      <c r="M1726" t="s">
        <v>2111</v>
      </c>
      <c r="N1726" t="s">
        <v>4527</v>
      </c>
    </row>
    <row r="1727" spans="1:14" x14ac:dyDescent="0.35">
      <c r="A1727" t="s">
        <v>5066</v>
      </c>
      <c r="B1727" t="s">
        <v>5067</v>
      </c>
      <c r="C1727" t="s">
        <v>62</v>
      </c>
      <c r="D1727">
        <v>83</v>
      </c>
      <c r="E1727">
        <v>1000</v>
      </c>
      <c r="F1727" t="s">
        <v>36</v>
      </c>
      <c r="G1727" t="s">
        <v>32</v>
      </c>
      <c r="H1727" t="s">
        <v>33</v>
      </c>
      <c r="J1727" t="s">
        <v>5068</v>
      </c>
      <c r="K1727" t="s">
        <v>97</v>
      </c>
      <c r="L1727">
        <v>0</v>
      </c>
      <c r="M1727" t="s">
        <v>1873</v>
      </c>
      <c r="N1727" t="s">
        <v>3735</v>
      </c>
    </row>
    <row r="1728" spans="1:14" x14ac:dyDescent="0.35">
      <c r="A1728" t="s">
        <v>5069</v>
      </c>
      <c r="B1728" t="s">
        <v>5070</v>
      </c>
      <c r="C1728" t="s">
        <v>81</v>
      </c>
      <c r="D1728">
        <v>116.06</v>
      </c>
      <c r="E1728">
        <v>1000</v>
      </c>
      <c r="F1728" t="s">
        <v>87</v>
      </c>
      <c r="G1728" t="s">
        <v>32</v>
      </c>
      <c r="H1728" t="s">
        <v>57</v>
      </c>
      <c r="I1728" t="s">
        <v>44</v>
      </c>
      <c r="J1728" t="s">
        <v>82</v>
      </c>
      <c r="K1728" t="s">
        <v>74</v>
      </c>
      <c r="L1728">
        <v>2</v>
      </c>
      <c r="M1728" t="s">
        <v>1933</v>
      </c>
      <c r="N1728" t="s">
        <v>2584</v>
      </c>
    </row>
    <row r="1729" spans="1:14" x14ac:dyDescent="0.35">
      <c r="A1729" t="s">
        <v>5071</v>
      </c>
      <c r="B1729" t="s">
        <v>5072</v>
      </c>
      <c r="C1729" t="s">
        <v>116</v>
      </c>
      <c r="D1729">
        <v>9.75</v>
      </c>
      <c r="E1729">
        <v>600</v>
      </c>
      <c r="F1729" t="s">
        <v>236</v>
      </c>
      <c r="G1729" t="s">
        <v>32</v>
      </c>
      <c r="H1729" t="s">
        <v>33</v>
      </c>
      <c r="I1729" t="s">
        <v>34</v>
      </c>
      <c r="J1729" t="s">
        <v>35</v>
      </c>
      <c r="K1729" t="s">
        <v>36</v>
      </c>
      <c r="L1729">
        <v>7</v>
      </c>
      <c r="M1729" t="s">
        <v>394</v>
      </c>
      <c r="N1729" t="s">
        <v>1122</v>
      </c>
    </row>
    <row r="1730" spans="1:14" x14ac:dyDescent="0.35">
      <c r="A1730" t="s">
        <v>5073</v>
      </c>
      <c r="B1730" t="s">
        <v>5074</v>
      </c>
      <c r="C1730" t="s">
        <v>62</v>
      </c>
      <c r="D1730">
        <v>86.31</v>
      </c>
      <c r="E1730">
        <v>2000</v>
      </c>
      <c r="F1730" t="s">
        <v>123</v>
      </c>
      <c r="G1730" t="s">
        <v>32</v>
      </c>
      <c r="H1730" t="s">
        <v>33</v>
      </c>
      <c r="I1730" t="s">
        <v>34</v>
      </c>
      <c r="J1730" t="s">
        <v>130</v>
      </c>
      <c r="K1730" t="s">
        <v>123</v>
      </c>
      <c r="L1730">
        <v>3</v>
      </c>
      <c r="M1730" t="s">
        <v>840</v>
      </c>
      <c r="N1730" t="s">
        <v>2503</v>
      </c>
    </row>
    <row r="1731" spans="1:14" x14ac:dyDescent="0.35">
      <c r="A1731" t="s">
        <v>5075</v>
      </c>
      <c r="B1731" t="s">
        <v>5076</v>
      </c>
      <c r="C1731" t="s">
        <v>30</v>
      </c>
      <c r="D1731">
        <v>116.54</v>
      </c>
      <c r="E1731">
        <v>9000</v>
      </c>
      <c r="F1731" t="s">
        <v>74</v>
      </c>
      <c r="G1731" t="s">
        <v>32</v>
      </c>
      <c r="H1731" t="s">
        <v>43</v>
      </c>
      <c r="I1731" t="s">
        <v>44</v>
      </c>
      <c r="J1731" t="s">
        <v>320</v>
      </c>
      <c r="K1731" t="s">
        <v>97</v>
      </c>
      <c r="L1731">
        <v>21</v>
      </c>
      <c r="M1731" t="s">
        <v>3710</v>
      </c>
      <c r="N1731" t="s">
        <v>2911</v>
      </c>
    </row>
    <row r="1732" spans="1:14" x14ac:dyDescent="0.35">
      <c r="A1732" t="s">
        <v>5077</v>
      </c>
      <c r="B1732" t="s">
        <v>5078</v>
      </c>
      <c r="C1732" t="s">
        <v>81</v>
      </c>
      <c r="D1732">
        <v>96.11</v>
      </c>
      <c r="E1732">
        <v>3000</v>
      </c>
      <c r="F1732" t="s">
        <v>76</v>
      </c>
      <c r="G1732" t="s">
        <v>32</v>
      </c>
      <c r="H1732" t="s">
        <v>33</v>
      </c>
      <c r="I1732" t="s">
        <v>44</v>
      </c>
      <c r="J1732" t="s">
        <v>112</v>
      </c>
      <c r="K1732" t="s">
        <v>106</v>
      </c>
      <c r="L1732">
        <v>23</v>
      </c>
      <c r="N1732" t="s">
        <v>3000</v>
      </c>
    </row>
    <row r="1733" spans="1:14" x14ac:dyDescent="0.35">
      <c r="A1733" t="s">
        <v>5079</v>
      </c>
      <c r="B1733" t="s">
        <v>5080</v>
      </c>
      <c r="C1733" t="s">
        <v>41</v>
      </c>
      <c r="D1733">
        <v>125.28</v>
      </c>
      <c r="E1733">
        <v>33000</v>
      </c>
      <c r="F1733" t="s">
        <v>97</v>
      </c>
      <c r="G1733" t="s">
        <v>32</v>
      </c>
      <c r="H1733" t="s">
        <v>43</v>
      </c>
      <c r="I1733" t="s">
        <v>34</v>
      </c>
      <c r="J1733" t="s">
        <v>107</v>
      </c>
      <c r="K1733" t="s">
        <v>87</v>
      </c>
      <c r="L1733">
        <v>23</v>
      </c>
      <c r="M1733" t="s">
        <v>243</v>
      </c>
      <c r="N1733" t="s">
        <v>5081</v>
      </c>
    </row>
    <row r="1734" spans="1:14" x14ac:dyDescent="0.35">
      <c r="A1734" t="s">
        <v>5082</v>
      </c>
      <c r="B1734" t="s">
        <v>5083</v>
      </c>
      <c r="C1734" t="s">
        <v>30</v>
      </c>
      <c r="D1734">
        <v>150.22999999999999</v>
      </c>
      <c r="E1734">
        <v>10000</v>
      </c>
      <c r="F1734" t="s">
        <v>87</v>
      </c>
      <c r="G1734" t="s">
        <v>32</v>
      </c>
      <c r="H1734" t="s">
        <v>33</v>
      </c>
      <c r="I1734" t="s">
        <v>34</v>
      </c>
      <c r="J1734" t="s">
        <v>4143</v>
      </c>
      <c r="K1734" t="s">
        <v>139</v>
      </c>
      <c r="L1734">
        <v>23</v>
      </c>
      <c r="N1734" t="s">
        <v>463</v>
      </c>
    </row>
    <row r="1735" spans="1:14" x14ac:dyDescent="0.35">
      <c r="A1735" t="s">
        <v>5084</v>
      </c>
      <c r="B1735" t="s">
        <v>5085</v>
      </c>
      <c r="C1735" t="s">
        <v>62</v>
      </c>
      <c r="D1735">
        <v>80.459999999999994</v>
      </c>
      <c r="E1735">
        <v>3000</v>
      </c>
      <c r="F1735" t="s">
        <v>76</v>
      </c>
      <c r="G1735" t="s">
        <v>102</v>
      </c>
      <c r="H1735" t="s">
        <v>57</v>
      </c>
      <c r="I1735" t="s">
        <v>34</v>
      </c>
      <c r="J1735" t="s">
        <v>75</v>
      </c>
      <c r="K1735" t="s">
        <v>76</v>
      </c>
      <c r="L1735">
        <v>12</v>
      </c>
      <c r="M1735" t="s">
        <v>485</v>
      </c>
      <c r="N1735" t="s">
        <v>4518</v>
      </c>
    </row>
    <row r="1736" spans="1:14" x14ac:dyDescent="0.35">
      <c r="A1736" t="s">
        <v>5086</v>
      </c>
      <c r="B1736" t="s">
        <v>5087</v>
      </c>
      <c r="C1736" t="s">
        <v>116</v>
      </c>
      <c r="D1736">
        <v>10.45</v>
      </c>
      <c r="E1736">
        <v>300</v>
      </c>
      <c r="F1736" t="s">
        <v>76</v>
      </c>
      <c r="G1736" t="s">
        <v>32</v>
      </c>
      <c r="H1736" t="s">
        <v>43</v>
      </c>
      <c r="I1736" t="s">
        <v>34</v>
      </c>
      <c r="J1736" t="s">
        <v>63</v>
      </c>
      <c r="K1736" t="s">
        <v>64</v>
      </c>
      <c r="L1736">
        <v>18</v>
      </c>
      <c r="M1736" t="s">
        <v>1928</v>
      </c>
      <c r="N1736" t="s">
        <v>2225</v>
      </c>
    </row>
    <row r="1737" spans="1:14" x14ac:dyDescent="0.35">
      <c r="A1737" t="s">
        <v>5088</v>
      </c>
      <c r="B1737" t="s">
        <v>5089</v>
      </c>
      <c r="C1737" t="s">
        <v>69</v>
      </c>
      <c r="D1737">
        <v>84</v>
      </c>
      <c r="E1737">
        <v>44000</v>
      </c>
      <c r="F1737" t="s">
        <v>31</v>
      </c>
      <c r="G1737" t="s">
        <v>102</v>
      </c>
      <c r="H1737" t="s">
        <v>33</v>
      </c>
      <c r="I1737" t="s">
        <v>44</v>
      </c>
      <c r="J1737" t="s">
        <v>107</v>
      </c>
      <c r="K1737" t="s">
        <v>87</v>
      </c>
      <c r="L1737">
        <v>4</v>
      </c>
      <c r="N1737" t="s">
        <v>2786</v>
      </c>
    </row>
    <row r="1738" spans="1:14" x14ac:dyDescent="0.35">
      <c r="A1738" t="s">
        <v>5090</v>
      </c>
      <c r="B1738" t="s">
        <v>5091</v>
      </c>
      <c r="C1738" t="s">
        <v>116</v>
      </c>
      <c r="D1738">
        <v>11.63</v>
      </c>
      <c r="E1738">
        <v>200</v>
      </c>
      <c r="F1738" t="s">
        <v>36</v>
      </c>
      <c r="G1738" t="s">
        <v>32</v>
      </c>
      <c r="H1738" t="s">
        <v>43</v>
      </c>
      <c r="I1738" t="s">
        <v>129</v>
      </c>
      <c r="J1738" t="s">
        <v>112</v>
      </c>
      <c r="K1738" t="s">
        <v>106</v>
      </c>
      <c r="L1738">
        <v>4</v>
      </c>
      <c r="M1738" t="s">
        <v>1867</v>
      </c>
      <c r="N1738" t="s">
        <v>1490</v>
      </c>
    </row>
    <row r="1739" spans="1:14" x14ac:dyDescent="0.35">
      <c r="A1739" t="s">
        <v>5092</v>
      </c>
      <c r="B1739" t="s">
        <v>5093</v>
      </c>
      <c r="C1739" t="s">
        <v>30</v>
      </c>
      <c r="D1739">
        <v>115.73</v>
      </c>
      <c r="E1739">
        <v>7000</v>
      </c>
      <c r="F1739" t="s">
        <v>87</v>
      </c>
      <c r="G1739" t="s">
        <v>32</v>
      </c>
      <c r="H1739" t="s">
        <v>43</v>
      </c>
      <c r="I1739" t="s">
        <v>44</v>
      </c>
      <c r="J1739" t="s">
        <v>2924</v>
      </c>
      <c r="K1739" t="s">
        <v>51</v>
      </c>
      <c r="L1739">
        <v>12</v>
      </c>
      <c r="N1739" t="s">
        <v>2541</v>
      </c>
    </row>
    <row r="1740" spans="1:14" x14ac:dyDescent="0.35">
      <c r="A1740" t="s">
        <v>5094</v>
      </c>
      <c r="B1740" t="s">
        <v>5095</v>
      </c>
      <c r="C1740" t="s">
        <v>69</v>
      </c>
      <c r="D1740">
        <v>94.16</v>
      </c>
      <c r="E1740">
        <v>63000</v>
      </c>
      <c r="F1740" t="s">
        <v>139</v>
      </c>
      <c r="G1740" t="s">
        <v>32</v>
      </c>
      <c r="H1740" t="s">
        <v>43</v>
      </c>
      <c r="I1740" t="s">
        <v>34</v>
      </c>
      <c r="J1740" t="s">
        <v>45</v>
      </c>
      <c r="K1740" t="s">
        <v>46</v>
      </c>
      <c r="L1740">
        <v>19</v>
      </c>
      <c r="M1740" t="s">
        <v>2546</v>
      </c>
      <c r="N1740" t="s">
        <v>3497</v>
      </c>
    </row>
    <row r="1741" spans="1:14" x14ac:dyDescent="0.35">
      <c r="A1741" t="s">
        <v>5096</v>
      </c>
      <c r="B1741" t="s">
        <v>5097</v>
      </c>
      <c r="C1741" t="s">
        <v>41</v>
      </c>
      <c r="D1741">
        <v>115.42</v>
      </c>
      <c r="E1741">
        <v>18000</v>
      </c>
      <c r="F1741" t="s">
        <v>51</v>
      </c>
      <c r="G1741" t="s">
        <v>32</v>
      </c>
      <c r="H1741" t="s">
        <v>57</v>
      </c>
      <c r="I1741" t="s">
        <v>44</v>
      </c>
      <c r="J1741" t="s">
        <v>124</v>
      </c>
      <c r="K1741" t="s">
        <v>117</v>
      </c>
      <c r="L1741">
        <v>12</v>
      </c>
      <c r="M1741" t="s">
        <v>312</v>
      </c>
      <c r="N1741" t="s">
        <v>1656</v>
      </c>
    </row>
    <row r="1742" spans="1:14" x14ac:dyDescent="0.35">
      <c r="A1742" t="s">
        <v>5098</v>
      </c>
      <c r="B1742" t="s">
        <v>5099</v>
      </c>
      <c r="C1742" t="s">
        <v>41</v>
      </c>
      <c r="D1742">
        <v>82.02</v>
      </c>
      <c r="E1742">
        <v>36000</v>
      </c>
      <c r="F1742" t="s">
        <v>106</v>
      </c>
      <c r="G1742" t="s">
        <v>32</v>
      </c>
      <c r="H1742" t="s">
        <v>33</v>
      </c>
      <c r="I1742" t="s">
        <v>129</v>
      </c>
      <c r="J1742" t="s">
        <v>124</v>
      </c>
      <c r="K1742" t="s">
        <v>117</v>
      </c>
      <c r="L1742">
        <v>10</v>
      </c>
      <c r="M1742" t="s">
        <v>1541</v>
      </c>
      <c r="N1742" t="s">
        <v>968</v>
      </c>
    </row>
    <row r="1743" spans="1:14" x14ac:dyDescent="0.35">
      <c r="A1743" t="s">
        <v>5100</v>
      </c>
      <c r="B1743" t="s">
        <v>5101</v>
      </c>
      <c r="C1743" t="s">
        <v>30</v>
      </c>
      <c r="D1743">
        <v>118.61</v>
      </c>
      <c r="E1743">
        <v>8000</v>
      </c>
      <c r="F1743" t="s">
        <v>139</v>
      </c>
      <c r="G1743" t="s">
        <v>32</v>
      </c>
      <c r="H1743" t="s">
        <v>43</v>
      </c>
      <c r="I1743" t="s">
        <v>44</v>
      </c>
      <c r="J1743" t="s">
        <v>901</v>
      </c>
      <c r="K1743" t="s">
        <v>97</v>
      </c>
      <c r="L1743">
        <v>18</v>
      </c>
      <c r="M1743" t="s">
        <v>4549</v>
      </c>
      <c r="N1743" t="s">
        <v>1421</v>
      </c>
    </row>
    <row r="1744" spans="1:14" x14ac:dyDescent="0.35">
      <c r="A1744" t="s">
        <v>5102</v>
      </c>
      <c r="B1744" t="s">
        <v>5103</v>
      </c>
      <c r="C1744" t="s">
        <v>41</v>
      </c>
      <c r="D1744">
        <v>141.33000000000001</v>
      </c>
      <c r="E1744">
        <v>11000</v>
      </c>
      <c r="F1744" t="s">
        <v>51</v>
      </c>
      <c r="G1744" t="s">
        <v>32</v>
      </c>
      <c r="H1744" t="s">
        <v>43</v>
      </c>
      <c r="I1744" t="s">
        <v>34</v>
      </c>
      <c r="J1744" t="s">
        <v>107</v>
      </c>
      <c r="K1744" t="s">
        <v>87</v>
      </c>
      <c r="L1744">
        <v>18</v>
      </c>
      <c r="M1744" t="s">
        <v>1691</v>
      </c>
      <c r="N1744" t="s">
        <v>5104</v>
      </c>
    </row>
    <row r="1745" spans="1:14" x14ac:dyDescent="0.35">
      <c r="A1745" t="s">
        <v>5105</v>
      </c>
      <c r="B1745" t="s">
        <v>5106</v>
      </c>
      <c r="C1745" t="s">
        <v>116</v>
      </c>
      <c r="D1745">
        <v>10.31</v>
      </c>
      <c r="E1745">
        <v>500</v>
      </c>
      <c r="F1745" t="s">
        <v>117</v>
      </c>
      <c r="G1745" t="s">
        <v>32</v>
      </c>
      <c r="H1745" t="s">
        <v>33</v>
      </c>
      <c r="I1745" t="s">
        <v>34</v>
      </c>
      <c r="J1745" t="s">
        <v>2293</v>
      </c>
      <c r="K1745" t="s">
        <v>51</v>
      </c>
      <c r="L1745">
        <v>21</v>
      </c>
      <c r="N1745" t="s">
        <v>5107</v>
      </c>
    </row>
    <row r="1746" spans="1:14" x14ac:dyDescent="0.35">
      <c r="A1746" t="s">
        <v>5108</v>
      </c>
      <c r="B1746" t="s">
        <v>5109</v>
      </c>
      <c r="C1746" t="s">
        <v>116</v>
      </c>
      <c r="D1746">
        <v>8.66</v>
      </c>
      <c r="E1746">
        <v>100</v>
      </c>
      <c r="F1746" t="s">
        <v>74</v>
      </c>
      <c r="G1746" t="s">
        <v>32</v>
      </c>
      <c r="H1746" t="s">
        <v>43</v>
      </c>
      <c r="I1746" t="s">
        <v>44</v>
      </c>
      <c r="J1746" t="s">
        <v>3690</v>
      </c>
      <c r="K1746" t="s">
        <v>139</v>
      </c>
      <c r="L1746">
        <v>5</v>
      </c>
      <c r="M1746" t="s">
        <v>2111</v>
      </c>
      <c r="N1746" t="s">
        <v>3355</v>
      </c>
    </row>
    <row r="1747" spans="1:14" x14ac:dyDescent="0.35">
      <c r="A1747" t="s">
        <v>5110</v>
      </c>
      <c r="B1747" t="s">
        <v>5111</v>
      </c>
      <c r="C1747" t="s">
        <v>41</v>
      </c>
      <c r="D1747">
        <v>154.69</v>
      </c>
      <c r="E1747">
        <v>35000</v>
      </c>
      <c r="F1747" t="s">
        <v>123</v>
      </c>
      <c r="G1747" t="s">
        <v>32</v>
      </c>
      <c r="H1747" t="s">
        <v>33</v>
      </c>
      <c r="I1747" t="s">
        <v>34</v>
      </c>
      <c r="J1747" t="s">
        <v>118</v>
      </c>
      <c r="K1747" t="s">
        <v>42</v>
      </c>
      <c r="L1747">
        <v>10</v>
      </c>
      <c r="M1747" t="s">
        <v>37</v>
      </c>
      <c r="N1747" t="s">
        <v>5112</v>
      </c>
    </row>
    <row r="1748" spans="1:14" x14ac:dyDescent="0.35">
      <c r="A1748" t="s">
        <v>5113</v>
      </c>
      <c r="B1748" t="s">
        <v>5114</v>
      </c>
      <c r="C1748" t="s">
        <v>30</v>
      </c>
      <c r="D1748">
        <v>143.62</v>
      </c>
      <c r="E1748">
        <v>1000</v>
      </c>
      <c r="F1748" t="s">
        <v>123</v>
      </c>
      <c r="G1748" t="s">
        <v>32</v>
      </c>
      <c r="H1748" t="s">
        <v>57</v>
      </c>
      <c r="I1748" t="s">
        <v>34</v>
      </c>
      <c r="J1748" t="s">
        <v>5115</v>
      </c>
      <c r="K1748" t="s">
        <v>51</v>
      </c>
      <c r="L1748">
        <v>17</v>
      </c>
      <c r="M1748" t="s">
        <v>1143</v>
      </c>
      <c r="N1748" t="s">
        <v>5116</v>
      </c>
    </row>
    <row r="1749" spans="1:14" x14ac:dyDescent="0.35">
      <c r="A1749" t="s">
        <v>5117</v>
      </c>
      <c r="B1749" t="s">
        <v>5118</v>
      </c>
      <c r="C1749" t="s">
        <v>116</v>
      </c>
      <c r="D1749">
        <v>9.93</v>
      </c>
      <c r="E1749">
        <v>400</v>
      </c>
      <c r="F1749" t="s">
        <v>106</v>
      </c>
      <c r="G1749" t="s">
        <v>32</v>
      </c>
      <c r="H1749" t="s">
        <v>43</v>
      </c>
      <c r="I1749" t="s">
        <v>34</v>
      </c>
      <c r="J1749" t="s">
        <v>3556</v>
      </c>
      <c r="K1749" t="s">
        <v>236</v>
      </c>
      <c r="L1749">
        <v>17</v>
      </c>
      <c r="M1749" t="s">
        <v>2754</v>
      </c>
      <c r="N1749" t="s">
        <v>2794</v>
      </c>
    </row>
    <row r="1750" spans="1:14" x14ac:dyDescent="0.35">
      <c r="A1750" t="s">
        <v>5119</v>
      </c>
      <c r="B1750" t="s">
        <v>5120</v>
      </c>
      <c r="C1750" t="s">
        <v>69</v>
      </c>
      <c r="D1750">
        <v>67.260000000000005</v>
      </c>
      <c r="E1750">
        <v>11000</v>
      </c>
      <c r="F1750" t="s">
        <v>236</v>
      </c>
      <c r="G1750" t="s">
        <v>32</v>
      </c>
      <c r="H1750" t="s">
        <v>57</v>
      </c>
      <c r="I1750" t="s">
        <v>44</v>
      </c>
      <c r="J1750" t="s">
        <v>45</v>
      </c>
      <c r="K1750" t="s">
        <v>46</v>
      </c>
      <c r="L1750">
        <v>8</v>
      </c>
      <c r="M1750" t="s">
        <v>1486</v>
      </c>
      <c r="N1750" t="s">
        <v>1493</v>
      </c>
    </row>
    <row r="1751" spans="1:14" x14ac:dyDescent="0.35">
      <c r="A1751" t="s">
        <v>5121</v>
      </c>
      <c r="B1751" t="s">
        <v>5122</v>
      </c>
      <c r="C1751" t="s">
        <v>30</v>
      </c>
      <c r="D1751">
        <v>117.7</v>
      </c>
      <c r="E1751">
        <v>6000</v>
      </c>
      <c r="F1751" t="s">
        <v>51</v>
      </c>
      <c r="G1751" t="s">
        <v>32</v>
      </c>
      <c r="H1751" t="s">
        <v>43</v>
      </c>
      <c r="I1751" t="s">
        <v>44</v>
      </c>
      <c r="J1751" t="s">
        <v>70</v>
      </c>
      <c r="K1751" t="s">
        <v>31</v>
      </c>
      <c r="L1751">
        <v>9</v>
      </c>
      <c r="N1751" t="s">
        <v>795</v>
      </c>
    </row>
    <row r="1752" spans="1:14" x14ac:dyDescent="0.35">
      <c r="A1752" t="s">
        <v>5123</v>
      </c>
      <c r="B1752" t="s">
        <v>5124</v>
      </c>
      <c r="C1752" t="s">
        <v>41</v>
      </c>
      <c r="D1752">
        <v>148.12</v>
      </c>
      <c r="E1752">
        <v>35000</v>
      </c>
      <c r="F1752" t="s">
        <v>236</v>
      </c>
      <c r="G1752" t="s">
        <v>32</v>
      </c>
      <c r="H1752" t="s">
        <v>43</v>
      </c>
      <c r="I1752" t="s">
        <v>34</v>
      </c>
      <c r="J1752" t="s">
        <v>70</v>
      </c>
      <c r="K1752" t="s">
        <v>31</v>
      </c>
      <c r="L1752">
        <v>11</v>
      </c>
      <c r="N1752" t="s">
        <v>5125</v>
      </c>
    </row>
    <row r="1753" spans="1:14" x14ac:dyDescent="0.35">
      <c r="A1753" t="s">
        <v>5126</v>
      </c>
      <c r="B1753" t="s">
        <v>5127</v>
      </c>
      <c r="C1753" t="s">
        <v>30</v>
      </c>
      <c r="D1753">
        <v>173.46</v>
      </c>
      <c r="E1753">
        <v>19000</v>
      </c>
      <c r="F1753" t="s">
        <v>87</v>
      </c>
      <c r="G1753" t="s">
        <v>32</v>
      </c>
      <c r="H1753" t="s">
        <v>57</v>
      </c>
      <c r="J1753" t="s">
        <v>70</v>
      </c>
      <c r="K1753" t="s">
        <v>31</v>
      </c>
      <c r="L1753">
        <v>13</v>
      </c>
      <c r="N1753" t="s">
        <v>448</v>
      </c>
    </row>
    <row r="1754" spans="1:14" x14ac:dyDescent="0.35">
      <c r="A1754" t="s">
        <v>5128</v>
      </c>
      <c r="B1754" t="s">
        <v>5129</v>
      </c>
      <c r="C1754" t="s">
        <v>41</v>
      </c>
      <c r="D1754">
        <v>139.05000000000001</v>
      </c>
      <c r="E1754">
        <v>31000</v>
      </c>
      <c r="F1754" t="s">
        <v>147</v>
      </c>
      <c r="G1754" t="s">
        <v>32</v>
      </c>
      <c r="H1754" t="s">
        <v>43</v>
      </c>
      <c r="I1754" t="s">
        <v>44</v>
      </c>
      <c r="J1754" t="s">
        <v>112</v>
      </c>
      <c r="K1754" t="s">
        <v>106</v>
      </c>
      <c r="L1754">
        <v>18</v>
      </c>
      <c r="N1754" t="s">
        <v>4144</v>
      </c>
    </row>
    <row r="1755" spans="1:14" x14ac:dyDescent="0.35">
      <c r="A1755" t="s">
        <v>5130</v>
      </c>
      <c r="B1755" t="s">
        <v>5131</v>
      </c>
      <c r="C1755" t="s">
        <v>81</v>
      </c>
      <c r="D1755">
        <v>96.55</v>
      </c>
      <c r="E1755">
        <v>6000</v>
      </c>
      <c r="F1755" t="s">
        <v>51</v>
      </c>
      <c r="G1755" t="s">
        <v>32</v>
      </c>
      <c r="H1755" t="s">
        <v>33</v>
      </c>
      <c r="I1755" t="s">
        <v>44</v>
      </c>
      <c r="J1755" t="s">
        <v>235</v>
      </c>
      <c r="K1755" t="s">
        <v>236</v>
      </c>
      <c r="L1755">
        <v>20</v>
      </c>
      <c r="M1755" t="s">
        <v>2607</v>
      </c>
      <c r="N1755" t="s">
        <v>5132</v>
      </c>
    </row>
    <row r="1756" spans="1:14" x14ac:dyDescent="0.35">
      <c r="A1756" t="s">
        <v>5133</v>
      </c>
      <c r="B1756" t="s">
        <v>5134</v>
      </c>
      <c r="C1756" t="s">
        <v>30</v>
      </c>
      <c r="D1756">
        <v>196.8</v>
      </c>
      <c r="E1756">
        <v>13000</v>
      </c>
      <c r="F1756" t="s">
        <v>64</v>
      </c>
      <c r="G1756" t="s">
        <v>102</v>
      </c>
      <c r="H1756" t="s">
        <v>33</v>
      </c>
      <c r="I1756" t="s">
        <v>34</v>
      </c>
      <c r="J1756" t="s">
        <v>124</v>
      </c>
      <c r="K1756" t="s">
        <v>117</v>
      </c>
      <c r="L1756">
        <v>13</v>
      </c>
      <c r="N1756" t="s">
        <v>2123</v>
      </c>
    </row>
    <row r="1757" spans="1:14" x14ac:dyDescent="0.35">
      <c r="A1757" t="s">
        <v>5135</v>
      </c>
      <c r="B1757" t="s">
        <v>5136</v>
      </c>
      <c r="C1757" t="s">
        <v>62</v>
      </c>
      <c r="D1757">
        <v>94.13</v>
      </c>
      <c r="E1757">
        <v>1000</v>
      </c>
      <c r="F1757" t="s">
        <v>64</v>
      </c>
      <c r="G1757" t="s">
        <v>32</v>
      </c>
      <c r="H1757" t="s">
        <v>43</v>
      </c>
      <c r="I1757" t="s">
        <v>34</v>
      </c>
      <c r="J1757" t="s">
        <v>45</v>
      </c>
      <c r="K1757" t="s">
        <v>46</v>
      </c>
      <c r="L1757">
        <v>3</v>
      </c>
      <c r="N1757" t="s">
        <v>1784</v>
      </c>
    </row>
    <row r="1758" spans="1:14" x14ac:dyDescent="0.35">
      <c r="A1758" t="s">
        <v>5137</v>
      </c>
      <c r="B1758" t="s">
        <v>5138</v>
      </c>
      <c r="C1758" t="s">
        <v>81</v>
      </c>
      <c r="D1758">
        <v>137.37</v>
      </c>
      <c r="E1758">
        <v>4000</v>
      </c>
      <c r="F1758" t="s">
        <v>139</v>
      </c>
      <c r="G1758" t="s">
        <v>32</v>
      </c>
      <c r="H1758" t="s">
        <v>57</v>
      </c>
      <c r="I1758" t="s">
        <v>44</v>
      </c>
      <c r="J1758" t="s">
        <v>230</v>
      </c>
      <c r="K1758" t="s">
        <v>117</v>
      </c>
      <c r="L1758">
        <v>5</v>
      </c>
      <c r="M1758" t="s">
        <v>756</v>
      </c>
      <c r="N1758" t="s">
        <v>865</v>
      </c>
    </row>
    <row r="1759" spans="1:14" x14ac:dyDescent="0.35">
      <c r="A1759" t="s">
        <v>5139</v>
      </c>
      <c r="B1759" t="s">
        <v>5140</v>
      </c>
      <c r="C1759" t="s">
        <v>69</v>
      </c>
      <c r="D1759">
        <v>52.1</v>
      </c>
      <c r="E1759">
        <v>65000</v>
      </c>
      <c r="F1759" t="s">
        <v>31</v>
      </c>
      <c r="G1759" t="s">
        <v>32</v>
      </c>
      <c r="H1759" t="s">
        <v>33</v>
      </c>
      <c r="I1759" t="s">
        <v>44</v>
      </c>
      <c r="J1759" t="s">
        <v>75</v>
      </c>
      <c r="K1759" t="s">
        <v>76</v>
      </c>
      <c r="L1759">
        <v>21</v>
      </c>
      <c r="M1759" t="s">
        <v>2221</v>
      </c>
      <c r="N1759" t="s">
        <v>5141</v>
      </c>
    </row>
    <row r="1760" spans="1:14" x14ac:dyDescent="0.35">
      <c r="A1760" t="s">
        <v>5142</v>
      </c>
      <c r="B1760" t="s">
        <v>5143</v>
      </c>
      <c r="C1760" t="s">
        <v>30</v>
      </c>
      <c r="D1760">
        <v>100.47</v>
      </c>
      <c r="E1760">
        <v>8000</v>
      </c>
      <c r="F1760" t="s">
        <v>36</v>
      </c>
      <c r="G1760" t="s">
        <v>32</v>
      </c>
      <c r="H1760" t="s">
        <v>57</v>
      </c>
      <c r="I1760" t="s">
        <v>34</v>
      </c>
      <c r="J1760" t="s">
        <v>70</v>
      </c>
      <c r="K1760" t="s">
        <v>31</v>
      </c>
      <c r="L1760">
        <v>1</v>
      </c>
      <c r="N1760" t="s">
        <v>2252</v>
      </c>
    </row>
    <row r="1761" spans="1:14" x14ac:dyDescent="0.35">
      <c r="A1761" t="s">
        <v>5144</v>
      </c>
      <c r="B1761" t="s">
        <v>5145</v>
      </c>
      <c r="C1761" t="s">
        <v>62</v>
      </c>
      <c r="D1761">
        <v>60.39</v>
      </c>
      <c r="E1761">
        <v>3000</v>
      </c>
      <c r="F1761" t="s">
        <v>139</v>
      </c>
      <c r="G1761" t="s">
        <v>32</v>
      </c>
      <c r="H1761" t="s">
        <v>33</v>
      </c>
      <c r="I1761" t="s">
        <v>44</v>
      </c>
      <c r="J1761" t="s">
        <v>830</v>
      </c>
      <c r="K1761" t="s">
        <v>51</v>
      </c>
      <c r="L1761">
        <v>5</v>
      </c>
      <c r="M1761" t="s">
        <v>1151</v>
      </c>
      <c r="N1761" t="s">
        <v>4665</v>
      </c>
    </row>
    <row r="1762" spans="1:14" x14ac:dyDescent="0.35">
      <c r="A1762" t="s">
        <v>5146</v>
      </c>
      <c r="B1762" t="s">
        <v>5147</v>
      </c>
      <c r="C1762" t="s">
        <v>30</v>
      </c>
      <c r="D1762">
        <v>107.91</v>
      </c>
      <c r="E1762">
        <v>3000</v>
      </c>
      <c r="F1762" t="s">
        <v>87</v>
      </c>
      <c r="G1762" t="s">
        <v>32</v>
      </c>
      <c r="H1762" t="s">
        <v>57</v>
      </c>
      <c r="I1762" t="s">
        <v>44</v>
      </c>
      <c r="J1762" t="s">
        <v>35</v>
      </c>
      <c r="K1762" t="s">
        <v>36</v>
      </c>
      <c r="L1762">
        <v>15</v>
      </c>
      <c r="M1762" t="s">
        <v>1665</v>
      </c>
      <c r="N1762" t="s">
        <v>735</v>
      </c>
    </row>
    <row r="1763" spans="1:14" x14ac:dyDescent="0.35">
      <c r="A1763" t="s">
        <v>5148</v>
      </c>
      <c r="B1763" t="s">
        <v>5149</v>
      </c>
      <c r="C1763" t="s">
        <v>116</v>
      </c>
      <c r="D1763">
        <v>7.41</v>
      </c>
      <c r="E1763">
        <v>700</v>
      </c>
      <c r="F1763" t="s">
        <v>106</v>
      </c>
      <c r="G1763" t="s">
        <v>32</v>
      </c>
      <c r="H1763" t="s">
        <v>43</v>
      </c>
      <c r="I1763" t="s">
        <v>34</v>
      </c>
      <c r="J1763" t="s">
        <v>830</v>
      </c>
      <c r="K1763" t="s">
        <v>51</v>
      </c>
      <c r="L1763">
        <v>13</v>
      </c>
      <c r="M1763" t="s">
        <v>1695</v>
      </c>
      <c r="N1763" t="s">
        <v>1093</v>
      </c>
    </row>
    <row r="1764" spans="1:14" x14ac:dyDescent="0.35">
      <c r="A1764" t="s">
        <v>5150</v>
      </c>
      <c r="B1764" t="s">
        <v>5151</v>
      </c>
      <c r="C1764" t="s">
        <v>62</v>
      </c>
      <c r="D1764">
        <v>64.58</v>
      </c>
      <c r="E1764">
        <v>4000</v>
      </c>
      <c r="F1764" t="s">
        <v>42</v>
      </c>
      <c r="G1764" t="s">
        <v>32</v>
      </c>
      <c r="H1764" t="s">
        <v>43</v>
      </c>
      <c r="J1764" t="s">
        <v>63</v>
      </c>
      <c r="K1764" t="s">
        <v>64</v>
      </c>
      <c r="L1764">
        <v>0</v>
      </c>
      <c r="M1764" t="s">
        <v>2111</v>
      </c>
      <c r="N1764" t="s">
        <v>1205</v>
      </c>
    </row>
    <row r="1765" spans="1:14" x14ac:dyDescent="0.35">
      <c r="A1765" t="s">
        <v>5152</v>
      </c>
      <c r="B1765" t="s">
        <v>5153</v>
      </c>
      <c r="C1765" t="s">
        <v>69</v>
      </c>
      <c r="D1765">
        <v>89.01</v>
      </c>
      <c r="E1765">
        <v>63000</v>
      </c>
      <c r="F1765" t="s">
        <v>87</v>
      </c>
      <c r="G1765" t="s">
        <v>32</v>
      </c>
      <c r="H1765" t="s">
        <v>43</v>
      </c>
      <c r="I1765" t="s">
        <v>34</v>
      </c>
      <c r="J1765" t="s">
        <v>118</v>
      </c>
      <c r="K1765" t="s">
        <v>42</v>
      </c>
      <c r="L1765">
        <v>21</v>
      </c>
      <c r="M1765" t="s">
        <v>1513</v>
      </c>
      <c r="N1765" t="s">
        <v>2193</v>
      </c>
    </row>
    <row r="1766" spans="1:14" x14ac:dyDescent="0.35">
      <c r="A1766" t="s">
        <v>5154</v>
      </c>
      <c r="B1766" t="s">
        <v>5155</v>
      </c>
      <c r="C1766" t="s">
        <v>41</v>
      </c>
      <c r="D1766">
        <v>145.11000000000001</v>
      </c>
      <c r="E1766">
        <v>12000</v>
      </c>
      <c r="F1766" t="s">
        <v>46</v>
      </c>
      <c r="G1766" t="s">
        <v>32</v>
      </c>
      <c r="H1766" t="s">
        <v>43</v>
      </c>
      <c r="I1766" t="s">
        <v>44</v>
      </c>
      <c r="J1766" t="s">
        <v>2649</v>
      </c>
      <c r="K1766" t="s">
        <v>97</v>
      </c>
      <c r="L1766">
        <v>1</v>
      </c>
      <c r="M1766" t="s">
        <v>447</v>
      </c>
      <c r="N1766" t="s">
        <v>2911</v>
      </c>
    </row>
    <row r="1767" spans="1:14" x14ac:dyDescent="0.35">
      <c r="A1767" t="s">
        <v>5156</v>
      </c>
      <c r="B1767" t="s">
        <v>5157</v>
      </c>
      <c r="C1767" t="s">
        <v>116</v>
      </c>
      <c r="D1767">
        <v>9</v>
      </c>
      <c r="E1767">
        <v>400</v>
      </c>
      <c r="F1767" t="s">
        <v>117</v>
      </c>
      <c r="G1767" t="s">
        <v>32</v>
      </c>
      <c r="H1767" t="s">
        <v>43</v>
      </c>
      <c r="J1767" t="s">
        <v>112</v>
      </c>
      <c r="K1767" t="s">
        <v>106</v>
      </c>
      <c r="L1767">
        <v>18</v>
      </c>
      <c r="M1767" t="s">
        <v>362</v>
      </c>
      <c r="N1767" t="s">
        <v>5158</v>
      </c>
    </row>
    <row r="1768" spans="1:14" x14ac:dyDescent="0.35">
      <c r="A1768" t="s">
        <v>5159</v>
      </c>
      <c r="B1768" t="s">
        <v>5160</v>
      </c>
      <c r="C1768" t="s">
        <v>41</v>
      </c>
      <c r="D1768">
        <v>115.22</v>
      </c>
      <c r="E1768">
        <v>28000</v>
      </c>
      <c r="F1768" t="s">
        <v>76</v>
      </c>
      <c r="G1768" t="s">
        <v>32</v>
      </c>
      <c r="H1768" t="s">
        <v>57</v>
      </c>
      <c r="I1768" t="s">
        <v>44</v>
      </c>
      <c r="J1768" t="s">
        <v>107</v>
      </c>
      <c r="K1768" t="s">
        <v>87</v>
      </c>
      <c r="L1768">
        <v>22</v>
      </c>
      <c r="M1768" t="s">
        <v>2352</v>
      </c>
      <c r="N1768" t="s">
        <v>5161</v>
      </c>
    </row>
    <row r="1769" spans="1:14" x14ac:dyDescent="0.35">
      <c r="A1769" t="s">
        <v>5162</v>
      </c>
      <c r="B1769" t="s">
        <v>5163</v>
      </c>
      <c r="C1769" t="s">
        <v>30</v>
      </c>
      <c r="D1769">
        <v>194.05</v>
      </c>
      <c r="E1769">
        <v>18000</v>
      </c>
      <c r="F1769" t="s">
        <v>106</v>
      </c>
      <c r="G1769" t="s">
        <v>32</v>
      </c>
      <c r="H1769" t="s">
        <v>43</v>
      </c>
      <c r="J1769" t="s">
        <v>1420</v>
      </c>
      <c r="K1769" t="s">
        <v>147</v>
      </c>
      <c r="L1769">
        <v>3</v>
      </c>
      <c r="M1769" t="s">
        <v>346</v>
      </c>
      <c r="N1769" t="s">
        <v>4426</v>
      </c>
    </row>
    <row r="1770" spans="1:14" x14ac:dyDescent="0.35">
      <c r="A1770" t="s">
        <v>5164</v>
      </c>
      <c r="B1770" t="s">
        <v>5165</v>
      </c>
      <c r="C1770" t="s">
        <v>116</v>
      </c>
      <c r="D1770">
        <v>7.71</v>
      </c>
      <c r="E1770">
        <v>700</v>
      </c>
      <c r="F1770" t="s">
        <v>42</v>
      </c>
      <c r="G1770" t="s">
        <v>32</v>
      </c>
      <c r="H1770" t="s">
        <v>57</v>
      </c>
      <c r="I1770" t="s">
        <v>44</v>
      </c>
      <c r="J1770" t="s">
        <v>509</v>
      </c>
      <c r="K1770" t="s">
        <v>147</v>
      </c>
      <c r="L1770">
        <v>23</v>
      </c>
      <c r="M1770" t="s">
        <v>160</v>
      </c>
      <c r="N1770" t="s">
        <v>3150</v>
      </c>
    </row>
    <row r="1771" spans="1:14" x14ac:dyDescent="0.35">
      <c r="A1771" t="s">
        <v>5166</v>
      </c>
      <c r="B1771" t="s">
        <v>5167</v>
      </c>
      <c r="C1771" t="s">
        <v>62</v>
      </c>
      <c r="D1771">
        <v>51.26</v>
      </c>
      <c r="E1771">
        <v>5000</v>
      </c>
      <c r="F1771" t="s">
        <v>117</v>
      </c>
      <c r="G1771" t="s">
        <v>32</v>
      </c>
      <c r="H1771" t="s">
        <v>43</v>
      </c>
      <c r="I1771" t="s">
        <v>44</v>
      </c>
      <c r="J1771" t="s">
        <v>830</v>
      </c>
      <c r="K1771" t="s">
        <v>51</v>
      </c>
      <c r="L1771">
        <v>8</v>
      </c>
      <c r="M1771" t="s">
        <v>2111</v>
      </c>
      <c r="N1771" t="s">
        <v>4349</v>
      </c>
    </row>
    <row r="1772" spans="1:14" x14ac:dyDescent="0.35">
      <c r="A1772" t="s">
        <v>5168</v>
      </c>
      <c r="B1772" t="s">
        <v>5169</v>
      </c>
      <c r="C1772" t="s">
        <v>81</v>
      </c>
      <c r="D1772">
        <v>110.64</v>
      </c>
      <c r="E1772">
        <v>4000</v>
      </c>
      <c r="F1772" t="s">
        <v>123</v>
      </c>
      <c r="G1772" t="s">
        <v>32</v>
      </c>
      <c r="H1772" t="s">
        <v>33</v>
      </c>
      <c r="I1772" t="s">
        <v>34</v>
      </c>
      <c r="J1772" t="s">
        <v>179</v>
      </c>
      <c r="K1772" t="s">
        <v>97</v>
      </c>
      <c r="L1772">
        <v>0</v>
      </c>
      <c r="M1772" t="s">
        <v>1855</v>
      </c>
      <c r="N1772" t="s">
        <v>1180</v>
      </c>
    </row>
    <row r="1773" spans="1:14" x14ac:dyDescent="0.35">
      <c r="A1773" t="s">
        <v>5170</v>
      </c>
      <c r="B1773" t="s">
        <v>5171</v>
      </c>
      <c r="C1773" t="s">
        <v>116</v>
      </c>
      <c r="D1773">
        <v>7.2</v>
      </c>
      <c r="E1773">
        <v>700</v>
      </c>
      <c r="F1773" t="s">
        <v>42</v>
      </c>
      <c r="G1773" t="s">
        <v>32</v>
      </c>
      <c r="H1773" t="s">
        <v>57</v>
      </c>
      <c r="I1773" t="s">
        <v>44</v>
      </c>
      <c r="J1773" t="s">
        <v>35</v>
      </c>
      <c r="K1773" t="s">
        <v>36</v>
      </c>
      <c r="L1773">
        <v>10</v>
      </c>
      <c r="M1773" t="s">
        <v>3129</v>
      </c>
      <c r="N1773" t="s">
        <v>2373</v>
      </c>
    </row>
    <row r="1774" spans="1:14" x14ac:dyDescent="0.35">
      <c r="A1774" t="s">
        <v>5172</v>
      </c>
      <c r="B1774" t="s">
        <v>5173</v>
      </c>
      <c r="C1774" t="s">
        <v>69</v>
      </c>
      <c r="D1774">
        <v>79.040000000000006</v>
      </c>
      <c r="E1774">
        <v>95000</v>
      </c>
      <c r="F1774" t="s">
        <v>64</v>
      </c>
      <c r="G1774" t="s">
        <v>32</v>
      </c>
      <c r="H1774" t="s">
        <v>43</v>
      </c>
      <c r="J1774" t="s">
        <v>209</v>
      </c>
      <c r="K1774" t="s">
        <v>74</v>
      </c>
      <c r="L1774">
        <v>5</v>
      </c>
      <c r="M1774" t="s">
        <v>971</v>
      </c>
      <c r="N1774" t="s">
        <v>4426</v>
      </c>
    </row>
    <row r="1775" spans="1:14" x14ac:dyDescent="0.35">
      <c r="A1775" t="s">
        <v>5174</v>
      </c>
      <c r="B1775" t="s">
        <v>5175</v>
      </c>
      <c r="C1775" t="s">
        <v>116</v>
      </c>
      <c r="D1775">
        <v>11.98</v>
      </c>
      <c r="E1775">
        <v>700</v>
      </c>
      <c r="F1775" t="s">
        <v>87</v>
      </c>
      <c r="G1775" t="s">
        <v>32</v>
      </c>
      <c r="H1775" t="s">
        <v>43</v>
      </c>
      <c r="I1775" t="s">
        <v>34</v>
      </c>
      <c r="J1775" t="s">
        <v>235</v>
      </c>
      <c r="K1775" t="s">
        <v>236</v>
      </c>
      <c r="L1775">
        <v>5</v>
      </c>
      <c r="M1775" t="s">
        <v>3354</v>
      </c>
      <c r="N1775" t="s">
        <v>2140</v>
      </c>
    </row>
    <row r="1776" spans="1:14" x14ac:dyDescent="0.35">
      <c r="A1776" t="s">
        <v>5176</v>
      </c>
      <c r="B1776" t="s">
        <v>5177</v>
      </c>
      <c r="C1776" t="s">
        <v>116</v>
      </c>
      <c r="D1776">
        <v>7.94</v>
      </c>
      <c r="E1776">
        <v>700</v>
      </c>
      <c r="F1776" t="s">
        <v>36</v>
      </c>
      <c r="G1776" t="s">
        <v>32</v>
      </c>
      <c r="H1776" t="s">
        <v>33</v>
      </c>
      <c r="I1776" t="s">
        <v>44</v>
      </c>
      <c r="J1776" t="s">
        <v>75</v>
      </c>
      <c r="K1776" t="s">
        <v>76</v>
      </c>
      <c r="L1776">
        <v>17</v>
      </c>
      <c r="M1776" t="s">
        <v>675</v>
      </c>
      <c r="N1776" t="s">
        <v>4003</v>
      </c>
    </row>
    <row r="1777" spans="1:14" x14ac:dyDescent="0.35">
      <c r="A1777" t="s">
        <v>5178</v>
      </c>
      <c r="B1777" t="s">
        <v>5179</v>
      </c>
      <c r="C1777" t="s">
        <v>116</v>
      </c>
      <c r="D1777">
        <v>8.0500000000000007</v>
      </c>
      <c r="E1777">
        <v>100</v>
      </c>
      <c r="F1777" t="s">
        <v>51</v>
      </c>
      <c r="G1777" t="s">
        <v>32</v>
      </c>
      <c r="H1777" t="s">
        <v>57</v>
      </c>
      <c r="J1777" t="s">
        <v>45</v>
      </c>
      <c r="K1777" t="s">
        <v>46</v>
      </c>
      <c r="L1777">
        <v>20</v>
      </c>
      <c r="M1777" t="s">
        <v>2492</v>
      </c>
      <c r="N1777" t="s">
        <v>5180</v>
      </c>
    </row>
    <row r="1778" spans="1:14" x14ac:dyDescent="0.35">
      <c r="A1778" t="s">
        <v>5181</v>
      </c>
      <c r="B1778" t="s">
        <v>5182</v>
      </c>
      <c r="C1778" t="s">
        <v>116</v>
      </c>
      <c r="D1778">
        <v>6.56</v>
      </c>
      <c r="E1778">
        <v>400</v>
      </c>
      <c r="F1778" t="s">
        <v>51</v>
      </c>
      <c r="G1778" t="s">
        <v>32</v>
      </c>
      <c r="H1778" t="s">
        <v>33</v>
      </c>
      <c r="I1778" t="s">
        <v>34</v>
      </c>
      <c r="J1778" t="s">
        <v>63</v>
      </c>
      <c r="K1778" t="s">
        <v>64</v>
      </c>
      <c r="L1778">
        <v>5</v>
      </c>
      <c r="N1778" t="s">
        <v>3164</v>
      </c>
    </row>
    <row r="1779" spans="1:14" x14ac:dyDescent="0.35">
      <c r="A1779" t="s">
        <v>5183</v>
      </c>
      <c r="B1779" t="s">
        <v>5184</v>
      </c>
      <c r="C1779" t="s">
        <v>81</v>
      </c>
      <c r="D1779">
        <v>83.24</v>
      </c>
      <c r="E1779">
        <v>6000</v>
      </c>
      <c r="F1779" t="s">
        <v>36</v>
      </c>
      <c r="G1779" t="s">
        <v>32</v>
      </c>
      <c r="H1779" t="s">
        <v>57</v>
      </c>
      <c r="J1779" t="s">
        <v>112</v>
      </c>
      <c r="K1779" t="s">
        <v>106</v>
      </c>
      <c r="L1779">
        <v>3</v>
      </c>
      <c r="M1779" t="s">
        <v>1984</v>
      </c>
      <c r="N1779" t="s">
        <v>2082</v>
      </c>
    </row>
    <row r="1780" spans="1:14" x14ac:dyDescent="0.35">
      <c r="A1780" t="s">
        <v>5185</v>
      </c>
      <c r="B1780" t="s">
        <v>5186</v>
      </c>
      <c r="C1780" t="s">
        <v>30</v>
      </c>
      <c r="D1780">
        <v>130.85</v>
      </c>
      <c r="E1780">
        <v>11000</v>
      </c>
      <c r="F1780" t="s">
        <v>42</v>
      </c>
      <c r="G1780" t="s">
        <v>32</v>
      </c>
      <c r="H1780" t="s">
        <v>43</v>
      </c>
      <c r="I1780" t="s">
        <v>34</v>
      </c>
      <c r="J1780" t="s">
        <v>118</v>
      </c>
      <c r="K1780" t="s">
        <v>42</v>
      </c>
      <c r="L1780">
        <v>6</v>
      </c>
      <c r="N1780" t="s">
        <v>4855</v>
      </c>
    </row>
    <row r="1781" spans="1:14" x14ac:dyDescent="0.35">
      <c r="A1781" t="s">
        <v>5187</v>
      </c>
      <c r="B1781" t="s">
        <v>5188</v>
      </c>
      <c r="C1781" t="s">
        <v>116</v>
      </c>
      <c r="D1781">
        <v>9.31</v>
      </c>
      <c r="E1781">
        <v>300</v>
      </c>
      <c r="F1781" t="s">
        <v>236</v>
      </c>
      <c r="G1781" t="s">
        <v>32</v>
      </c>
      <c r="H1781" t="s">
        <v>33</v>
      </c>
      <c r="I1781" t="s">
        <v>34</v>
      </c>
      <c r="J1781" t="s">
        <v>1637</v>
      </c>
      <c r="K1781" t="s">
        <v>97</v>
      </c>
      <c r="L1781">
        <v>18</v>
      </c>
      <c r="M1781" t="s">
        <v>289</v>
      </c>
      <c r="N1781" t="s">
        <v>510</v>
      </c>
    </row>
    <row r="1782" spans="1:14" x14ac:dyDescent="0.35">
      <c r="A1782" t="s">
        <v>5189</v>
      </c>
      <c r="B1782" t="s">
        <v>5190</v>
      </c>
      <c r="C1782" t="s">
        <v>116</v>
      </c>
      <c r="D1782">
        <v>11.56</v>
      </c>
      <c r="E1782">
        <v>100</v>
      </c>
      <c r="F1782" t="s">
        <v>147</v>
      </c>
      <c r="G1782" t="s">
        <v>32</v>
      </c>
      <c r="H1782" t="s">
        <v>33</v>
      </c>
      <c r="I1782" t="s">
        <v>34</v>
      </c>
      <c r="J1782" t="s">
        <v>469</v>
      </c>
      <c r="K1782" t="s">
        <v>147</v>
      </c>
      <c r="L1782">
        <v>9</v>
      </c>
      <c r="M1782" t="s">
        <v>2469</v>
      </c>
      <c r="N1782" t="s">
        <v>5191</v>
      </c>
    </row>
    <row r="1783" spans="1:14" x14ac:dyDescent="0.35">
      <c r="A1783" t="s">
        <v>5192</v>
      </c>
      <c r="B1783" t="s">
        <v>5193</v>
      </c>
      <c r="C1783" t="s">
        <v>30</v>
      </c>
      <c r="D1783">
        <v>136.04</v>
      </c>
      <c r="E1783">
        <v>4000</v>
      </c>
      <c r="F1783" t="s">
        <v>106</v>
      </c>
      <c r="G1783" t="s">
        <v>32</v>
      </c>
      <c r="H1783" t="s">
        <v>57</v>
      </c>
      <c r="I1783" t="s">
        <v>34</v>
      </c>
      <c r="J1783" t="s">
        <v>235</v>
      </c>
      <c r="K1783" t="s">
        <v>236</v>
      </c>
      <c r="L1783">
        <v>20</v>
      </c>
      <c r="M1783" t="s">
        <v>2883</v>
      </c>
      <c r="N1783" t="s">
        <v>2353</v>
      </c>
    </row>
    <row r="1784" spans="1:14" x14ac:dyDescent="0.35">
      <c r="A1784" t="s">
        <v>5194</v>
      </c>
      <c r="B1784" t="s">
        <v>5195</v>
      </c>
      <c r="C1784" t="s">
        <v>62</v>
      </c>
      <c r="D1784">
        <v>79.88</v>
      </c>
      <c r="E1784">
        <v>5000</v>
      </c>
      <c r="F1784" t="s">
        <v>87</v>
      </c>
      <c r="G1784" t="s">
        <v>32</v>
      </c>
      <c r="H1784" t="s">
        <v>33</v>
      </c>
      <c r="I1784" t="s">
        <v>34</v>
      </c>
      <c r="J1784" t="s">
        <v>75</v>
      </c>
      <c r="K1784" t="s">
        <v>76</v>
      </c>
      <c r="L1784">
        <v>0</v>
      </c>
      <c r="N1784" t="s">
        <v>4855</v>
      </c>
    </row>
    <row r="1785" spans="1:14" x14ac:dyDescent="0.35">
      <c r="A1785" t="s">
        <v>5196</v>
      </c>
      <c r="B1785" t="s">
        <v>5197</v>
      </c>
      <c r="C1785" t="s">
        <v>69</v>
      </c>
      <c r="D1785">
        <v>58.47</v>
      </c>
      <c r="E1785">
        <v>55000</v>
      </c>
      <c r="F1785" t="s">
        <v>106</v>
      </c>
      <c r="G1785" t="s">
        <v>32</v>
      </c>
      <c r="H1785" t="s">
        <v>43</v>
      </c>
      <c r="I1785" t="s">
        <v>44</v>
      </c>
      <c r="J1785" t="s">
        <v>124</v>
      </c>
      <c r="K1785" t="s">
        <v>117</v>
      </c>
      <c r="L1785">
        <v>4</v>
      </c>
      <c r="M1785" t="s">
        <v>995</v>
      </c>
      <c r="N1785" t="s">
        <v>1137</v>
      </c>
    </row>
    <row r="1786" spans="1:14" x14ac:dyDescent="0.35">
      <c r="A1786" t="s">
        <v>5198</v>
      </c>
      <c r="B1786" t="s">
        <v>5199</v>
      </c>
      <c r="C1786" t="s">
        <v>30</v>
      </c>
      <c r="D1786">
        <v>128.41999999999999</v>
      </c>
      <c r="E1786">
        <v>6000</v>
      </c>
      <c r="F1786" t="s">
        <v>64</v>
      </c>
      <c r="G1786" t="s">
        <v>32</v>
      </c>
      <c r="H1786" t="s">
        <v>43</v>
      </c>
      <c r="I1786" t="s">
        <v>34</v>
      </c>
      <c r="J1786" t="s">
        <v>107</v>
      </c>
      <c r="K1786" t="s">
        <v>87</v>
      </c>
      <c r="L1786">
        <v>1</v>
      </c>
      <c r="N1786" t="s">
        <v>4746</v>
      </c>
    </row>
    <row r="1787" spans="1:14" x14ac:dyDescent="0.35">
      <c r="A1787" t="s">
        <v>5200</v>
      </c>
      <c r="B1787" t="s">
        <v>5201</v>
      </c>
      <c r="C1787" t="s">
        <v>62</v>
      </c>
      <c r="D1787">
        <v>96.87</v>
      </c>
      <c r="E1787">
        <v>2000</v>
      </c>
      <c r="F1787" t="s">
        <v>31</v>
      </c>
      <c r="G1787" t="s">
        <v>32</v>
      </c>
      <c r="H1787" t="s">
        <v>33</v>
      </c>
      <c r="I1787" t="s">
        <v>34</v>
      </c>
      <c r="J1787" t="s">
        <v>3103</v>
      </c>
      <c r="K1787" t="s">
        <v>51</v>
      </c>
      <c r="L1787">
        <v>16</v>
      </c>
      <c r="M1787" t="s">
        <v>4712</v>
      </c>
      <c r="N1787" t="s">
        <v>5202</v>
      </c>
    </row>
    <row r="1788" spans="1:14" x14ac:dyDescent="0.35">
      <c r="A1788" t="s">
        <v>5203</v>
      </c>
      <c r="B1788" t="s">
        <v>5204</v>
      </c>
      <c r="C1788" t="s">
        <v>116</v>
      </c>
      <c r="D1788">
        <v>6.98</v>
      </c>
      <c r="E1788">
        <v>100</v>
      </c>
      <c r="F1788" t="s">
        <v>123</v>
      </c>
      <c r="G1788" t="s">
        <v>32</v>
      </c>
      <c r="H1788" t="s">
        <v>57</v>
      </c>
      <c r="I1788" t="s">
        <v>34</v>
      </c>
      <c r="J1788" t="s">
        <v>1441</v>
      </c>
      <c r="K1788" t="s">
        <v>147</v>
      </c>
      <c r="L1788">
        <v>3</v>
      </c>
      <c r="M1788" t="s">
        <v>1855</v>
      </c>
      <c r="N1788" t="s">
        <v>5205</v>
      </c>
    </row>
    <row r="1789" spans="1:14" x14ac:dyDescent="0.35">
      <c r="A1789" t="s">
        <v>5206</v>
      </c>
      <c r="B1789" t="s">
        <v>5207</v>
      </c>
      <c r="C1789" t="s">
        <v>62</v>
      </c>
      <c r="D1789">
        <v>72.13</v>
      </c>
      <c r="E1789">
        <v>1000</v>
      </c>
      <c r="F1789" t="s">
        <v>139</v>
      </c>
      <c r="G1789" t="s">
        <v>32</v>
      </c>
      <c r="H1789" t="s">
        <v>33</v>
      </c>
      <c r="I1789" t="s">
        <v>34</v>
      </c>
      <c r="J1789" t="s">
        <v>130</v>
      </c>
      <c r="K1789" t="s">
        <v>123</v>
      </c>
      <c r="L1789">
        <v>12</v>
      </c>
      <c r="M1789" t="s">
        <v>1143</v>
      </c>
      <c r="N1789" t="s">
        <v>1015</v>
      </c>
    </row>
    <row r="1790" spans="1:14" x14ac:dyDescent="0.35">
      <c r="A1790" t="s">
        <v>5208</v>
      </c>
      <c r="B1790" t="s">
        <v>5209</v>
      </c>
      <c r="C1790" t="s">
        <v>81</v>
      </c>
      <c r="D1790">
        <v>124.98</v>
      </c>
      <c r="E1790">
        <v>5000</v>
      </c>
      <c r="F1790" t="s">
        <v>87</v>
      </c>
      <c r="G1790" t="s">
        <v>32</v>
      </c>
      <c r="H1790" t="s">
        <v>33</v>
      </c>
      <c r="I1790" t="s">
        <v>34</v>
      </c>
      <c r="J1790" t="s">
        <v>118</v>
      </c>
      <c r="K1790" t="s">
        <v>42</v>
      </c>
      <c r="L1790">
        <v>19</v>
      </c>
      <c r="M1790" t="s">
        <v>1776</v>
      </c>
      <c r="N1790" t="s">
        <v>4630</v>
      </c>
    </row>
    <row r="1791" spans="1:14" x14ac:dyDescent="0.35">
      <c r="A1791" t="s">
        <v>5210</v>
      </c>
      <c r="B1791" t="s">
        <v>5211</v>
      </c>
      <c r="C1791" t="s">
        <v>62</v>
      </c>
      <c r="D1791">
        <v>51.3</v>
      </c>
      <c r="E1791">
        <v>2000</v>
      </c>
      <c r="F1791" t="s">
        <v>74</v>
      </c>
      <c r="G1791" t="s">
        <v>32</v>
      </c>
      <c r="H1791" t="s">
        <v>57</v>
      </c>
      <c r="J1791" t="s">
        <v>830</v>
      </c>
      <c r="K1791" t="s">
        <v>51</v>
      </c>
      <c r="L1791">
        <v>18</v>
      </c>
      <c r="M1791" t="s">
        <v>1239</v>
      </c>
      <c r="N1791" t="s">
        <v>2085</v>
      </c>
    </row>
    <row r="1792" spans="1:14" x14ac:dyDescent="0.35">
      <c r="A1792" t="s">
        <v>5212</v>
      </c>
      <c r="B1792" t="s">
        <v>5213</v>
      </c>
      <c r="C1792" t="s">
        <v>62</v>
      </c>
      <c r="D1792">
        <v>89.04</v>
      </c>
      <c r="E1792">
        <v>4000</v>
      </c>
      <c r="F1792" t="s">
        <v>76</v>
      </c>
      <c r="G1792" t="s">
        <v>32</v>
      </c>
      <c r="H1792" t="s">
        <v>43</v>
      </c>
      <c r="I1792" t="s">
        <v>44</v>
      </c>
      <c r="J1792" t="s">
        <v>70</v>
      </c>
      <c r="K1792" t="s">
        <v>31</v>
      </c>
      <c r="L1792">
        <v>9</v>
      </c>
      <c r="M1792" t="s">
        <v>1265</v>
      </c>
      <c r="N1792" t="s">
        <v>78</v>
      </c>
    </row>
    <row r="1793" spans="1:14" x14ac:dyDescent="0.35">
      <c r="A1793" t="s">
        <v>5214</v>
      </c>
      <c r="B1793" t="s">
        <v>5215</v>
      </c>
      <c r="C1793" t="s">
        <v>69</v>
      </c>
      <c r="D1793">
        <v>56.78</v>
      </c>
      <c r="E1793">
        <v>73000</v>
      </c>
      <c r="F1793" t="s">
        <v>31</v>
      </c>
      <c r="G1793" t="s">
        <v>102</v>
      </c>
      <c r="H1793" t="s">
        <v>57</v>
      </c>
      <c r="I1793" t="s">
        <v>44</v>
      </c>
      <c r="J1793" t="s">
        <v>70</v>
      </c>
      <c r="K1793" t="s">
        <v>31</v>
      </c>
      <c r="L1793">
        <v>3</v>
      </c>
      <c r="M1793" t="s">
        <v>1541</v>
      </c>
      <c r="N1793" t="s">
        <v>1469</v>
      </c>
    </row>
    <row r="1794" spans="1:14" x14ac:dyDescent="0.35">
      <c r="A1794" t="s">
        <v>5216</v>
      </c>
      <c r="B1794" t="s">
        <v>5217</v>
      </c>
      <c r="C1794" t="s">
        <v>62</v>
      </c>
      <c r="D1794">
        <v>54.57</v>
      </c>
      <c r="E1794">
        <v>3000</v>
      </c>
      <c r="F1794" t="s">
        <v>51</v>
      </c>
      <c r="G1794" t="s">
        <v>32</v>
      </c>
      <c r="H1794" t="s">
        <v>33</v>
      </c>
      <c r="I1794" t="s">
        <v>44</v>
      </c>
      <c r="J1794" t="s">
        <v>75</v>
      </c>
      <c r="K1794" t="s">
        <v>76</v>
      </c>
      <c r="L1794">
        <v>16</v>
      </c>
      <c r="N1794" t="s">
        <v>168</v>
      </c>
    </row>
    <row r="1795" spans="1:14" x14ac:dyDescent="0.35">
      <c r="A1795" t="s">
        <v>5218</v>
      </c>
      <c r="B1795" t="s">
        <v>5219</v>
      </c>
      <c r="C1795" t="s">
        <v>69</v>
      </c>
      <c r="D1795">
        <v>80.33</v>
      </c>
      <c r="E1795">
        <v>47000</v>
      </c>
      <c r="F1795" t="s">
        <v>97</v>
      </c>
      <c r="G1795" t="s">
        <v>32</v>
      </c>
      <c r="H1795" t="s">
        <v>57</v>
      </c>
      <c r="I1795" t="s">
        <v>34</v>
      </c>
      <c r="J1795" t="s">
        <v>1950</v>
      </c>
      <c r="K1795" t="s">
        <v>42</v>
      </c>
      <c r="L1795">
        <v>7</v>
      </c>
      <c r="N1795" t="s">
        <v>3255</v>
      </c>
    </row>
    <row r="1796" spans="1:14" x14ac:dyDescent="0.35">
      <c r="A1796" t="s">
        <v>5220</v>
      </c>
      <c r="B1796" t="s">
        <v>5221</v>
      </c>
      <c r="C1796" t="s">
        <v>62</v>
      </c>
      <c r="D1796">
        <v>65.08</v>
      </c>
      <c r="E1796">
        <v>2000</v>
      </c>
      <c r="F1796" t="s">
        <v>147</v>
      </c>
      <c r="G1796" t="s">
        <v>32</v>
      </c>
      <c r="H1796" t="s">
        <v>33</v>
      </c>
      <c r="J1796" t="s">
        <v>35</v>
      </c>
      <c r="K1796" t="s">
        <v>36</v>
      </c>
      <c r="L1796">
        <v>12</v>
      </c>
      <c r="N1796" t="s">
        <v>5043</v>
      </c>
    </row>
    <row r="1797" spans="1:14" x14ac:dyDescent="0.35">
      <c r="A1797" t="s">
        <v>5222</v>
      </c>
      <c r="B1797" t="s">
        <v>5223</v>
      </c>
      <c r="C1797" t="s">
        <v>62</v>
      </c>
      <c r="D1797">
        <v>95.38</v>
      </c>
      <c r="E1797">
        <v>4000</v>
      </c>
      <c r="F1797" t="s">
        <v>139</v>
      </c>
      <c r="G1797" t="s">
        <v>32</v>
      </c>
      <c r="H1797" t="s">
        <v>43</v>
      </c>
      <c r="I1797" t="s">
        <v>44</v>
      </c>
      <c r="J1797" t="s">
        <v>70</v>
      </c>
      <c r="K1797" t="s">
        <v>31</v>
      </c>
      <c r="L1797">
        <v>16</v>
      </c>
      <c r="M1797" t="s">
        <v>279</v>
      </c>
      <c r="N1797" t="s">
        <v>586</v>
      </c>
    </row>
    <row r="1798" spans="1:14" x14ac:dyDescent="0.35">
      <c r="A1798" t="s">
        <v>5224</v>
      </c>
      <c r="B1798" t="s">
        <v>5225</v>
      </c>
      <c r="C1798" t="s">
        <v>62</v>
      </c>
      <c r="D1798">
        <v>75.489999999999995</v>
      </c>
      <c r="E1798">
        <v>3000</v>
      </c>
      <c r="F1798" t="s">
        <v>123</v>
      </c>
      <c r="G1798" t="s">
        <v>32</v>
      </c>
      <c r="H1798" t="s">
        <v>57</v>
      </c>
      <c r="I1798" t="s">
        <v>34</v>
      </c>
      <c r="J1798" t="s">
        <v>118</v>
      </c>
      <c r="K1798" t="s">
        <v>42</v>
      </c>
      <c r="L1798">
        <v>5</v>
      </c>
      <c r="M1798" t="s">
        <v>2664</v>
      </c>
      <c r="N1798" t="s">
        <v>1317</v>
      </c>
    </row>
    <row r="1799" spans="1:14" x14ac:dyDescent="0.35">
      <c r="A1799" t="s">
        <v>5226</v>
      </c>
      <c r="B1799" t="s">
        <v>5227</v>
      </c>
      <c r="C1799" t="s">
        <v>116</v>
      </c>
      <c r="D1799">
        <v>11.63</v>
      </c>
      <c r="E1799">
        <v>100</v>
      </c>
      <c r="F1799" t="s">
        <v>87</v>
      </c>
      <c r="G1799" t="s">
        <v>32</v>
      </c>
      <c r="H1799" t="s">
        <v>57</v>
      </c>
      <c r="J1799" t="s">
        <v>235</v>
      </c>
      <c r="K1799" t="s">
        <v>236</v>
      </c>
      <c r="L1799">
        <v>6</v>
      </c>
      <c r="M1799" t="s">
        <v>425</v>
      </c>
      <c r="N1799" t="s">
        <v>874</v>
      </c>
    </row>
    <row r="1800" spans="1:14" x14ac:dyDescent="0.35">
      <c r="A1800" t="s">
        <v>5228</v>
      </c>
      <c r="B1800" t="s">
        <v>5229</v>
      </c>
      <c r="C1800" t="s">
        <v>30</v>
      </c>
      <c r="D1800">
        <v>183.42</v>
      </c>
      <c r="E1800">
        <v>18000</v>
      </c>
      <c r="F1800" t="s">
        <v>106</v>
      </c>
      <c r="G1800" t="s">
        <v>32</v>
      </c>
      <c r="H1800" t="s">
        <v>43</v>
      </c>
      <c r="I1800" t="s">
        <v>34</v>
      </c>
      <c r="J1800" t="s">
        <v>235</v>
      </c>
      <c r="K1800" t="s">
        <v>236</v>
      </c>
      <c r="L1800">
        <v>21</v>
      </c>
      <c r="M1800" t="s">
        <v>769</v>
      </c>
      <c r="N1800" t="s">
        <v>2325</v>
      </c>
    </row>
    <row r="1801" spans="1:14" x14ac:dyDescent="0.35">
      <c r="A1801" t="s">
        <v>5230</v>
      </c>
      <c r="B1801" t="s">
        <v>5231</v>
      </c>
      <c r="C1801" t="s">
        <v>69</v>
      </c>
      <c r="D1801">
        <v>99.84</v>
      </c>
      <c r="E1801">
        <v>39000</v>
      </c>
      <c r="F1801" t="s">
        <v>51</v>
      </c>
      <c r="G1801" t="s">
        <v>32</v>
      </c>
      <c r="H1801" t="s">
        <v>57</v>
      </c>
      <c r="I1801" t="s">
        <v>34</v>
      </c>
      <c r="J1801" t="s">
        <v>118</v>
      </c>
      <c r="K1801" t="s">
        <v>42</v>
      </c>
      <c r="L1801">
        <v>22</v>
      </c>
      <c r="M1801" t="s">
        <v>1711</v>
      </c>
      <c r="N1801" t="s">
        <v>1487</v>
      </c>
    </row>
    <row r="1802" spans="1:14" x14ac:dyDescent="0.35">
      <c r="A1802" t="s">
        <v>5232</v>
      </c>
      <c r="B1802" t="s">
        <v>5233</v>
      </c>
      <c r="C1802" t="s">
        <v>30</v>
      </c>
      <c r="D1802">
        <v>144.16</v>
      </c>
      <c r="E1802">
        <v>5000</v>
      </c>
      <c r="F1802" t="s">
        <v>236</v>
      </c>
      <c r="G1802" t="s">
        <v>32</v>
      </c>
      <c r="H1802" t="s">
        <v>33</v>
      </c>
      <c r="I1802" t="s">
        <v>44</v>
      </c>
      <c r="J1802" t="s">
        <v>5234</v>
      </c>
      <c r="K1802" t="s">
        <v>46</v>
      </c>
      <c r="L1802">
        <v>6</v>
      </c>
      <c r="M1802" t="s">
        <v>1911</v>
      </c>
      <c r="N1802" t="s">
        <v>470</v>
      </c>
    </row>
    <row r="1803" spans="1:14" x14ac:dyDescent="0.35">
      <c r="A1803" t="s">
        <v>5235</v>
      </c>
      <c r="B1803" t="s">
        <v>5236</v>
      </c>
      <c r="C1803" t="s">
        <v>62</v>
      </c>
      <c r="D1803">
        <v>74.27</v>
      </c>
      <c r="E1803">
        <v>1000</v>
      </c>
      <c r="F1803" t="s">
        <v>236</v>
      </c>
      <c r="G1803" t="s">
        <v>32</v>
      </c>
      <c r="H1803" t="s">
        <v>57</v>
      </c>
      <c r="J1803" t="s">
        <v>107</v>
      </c>
      <c r="K1803" t="s">
        <v>87</v>
      </c>
      <c r="L1803">
        <v>14</v>
      </c>
      <c r="M1803" t="s">
        <v>5237</v>
      </c>
      <c r="N1803" t="s">
        <v>448</v>
      </c>
    </row>
    <row r="1804" spans="1:14" x14ac:dyDescent="0.35">
      <c r="A1804" t="s">
        <v>5238</v>
      </c>
      <c r="B1804" t="s">
        <v>5239</v>
      </c>
      <c r="C1804" t="s">
        <v>41</v>
      </c>
      <c r="D1804">
        <v>121.72</v>
      </c>
      <c r="E1804">
        <v>14000</v>
      </c>
      <c r="F1804" t="s">
        <v>97</v>
      </c>
      <c r="G1804" t="s">
        <v>32</v>
      </c>
      <c r="H1804" t="s">
        <v>43</v>
      </c>
      <c r="I1804" t="s">
        <v>44</v>
      </c>
      <c r="J1804" t="s">
        <v>112</v>
      </c>
      <c r="K1804" t="s">
        <v>106</v>
      </c>
      <c r="L1804">
        <v>17</v>
      </c>
      <c r="N1804" t="s">
        <v>4924</v>
      </c>
    </row>
    <row r="1805" spans="1:14" x14ac:dyDescent="0.35">
      <c r="A1805" t="s">
        <v>5240</v>
      </c>
      <c r="B1805" t="s">
        <v>5241</v>
      </c>
      <c r="C1805" t="s">
        <v>81</v>
      </c>
      <c r="D1805">
        <v>127.24</v>
      </c>
      <c r="E1805">
        <v>7000</v>
      </c>
      <c r="F1805" t="s">
        <v>76</v>
      </c>
      <c r="G1805" t="s">
        <v>32</v>
      </c>
      <c r="H1805" t="s">
        <v>43</v>
      </c>
      <c r="I1805" t="s">
        <v>44</v>
      </c>
      <c r="J1805" t="s">
        <v>35</v>
      </c>
      <c r="K1805" t="s">
        <v>36</v>
      </c>
      <c r="L1805">
        <v>8</v>
      </c>
      <c r="M1805" t="s">
        <v>5242</v>
      </c>
      <c r="N1805" t="s">
        <v>5243</v>
      </c>
    </row>
    <row r="1806" spans="1:14" x14ac:dyDescent="0.35">
      <c r="A1806" t="s">
        <v>5244</v>
      </c>
      <c r="B1806" t="s">
        <v>5245</v>
      </c>
      <c r="C1806" t="s">
        <v>69</v>
      </c>
      <c r="D1806">
        <v>59.45</v>
      </c>
      <c r="E1806">
        <v>69000</v>
      </c>
      <c r="F1806" t="s">
        <v>147</v>
      </c>
      <c r="G1806" t="s">
        <v>32</v>
      </c>
      <c r="H1806" t="s">
        <v>43</v>
      </c>
      <c r="I1806" t="s">
        <v>44</v>
      </c>
      <c r="J1806" t="s">
        <v>63</v>
      </c>
      <c r="K1806" t="s">
        <v>64</v>
      </c>
      <c r="L1806">
        <v>2</v>
      </c>
      <c r="N1806" t="s">
        <v>1573</v>
      </c>
    </row>
    <row r="1807" spans="1:14" x14ac:dyDescent="0.35">
      <c r="A1807" t="s">
        <v>5246</v>
      </c>
      <c r="B1807" t="s">
        <v>5247</v>
      </c>
      <c r="C1807" t="s">
        <v>81</v>
      </c>
      <c r="D1807">
        <v>82.37</v>
      </c>
      <c r="E1807">
        <v>6000</v>
      </c>
      <c r="F1807" t="s">
        <v>76</v>
      </c>
      <c r="G1807" t="s">
        <v>32</v>
      </c>
      <c r="H1807" t="s">
        <v>33</v>
      </c>
      <c r="I1807" t="s">
        <v>44</v>
      </c>
      <c r="J1807" t="s">
        <v>2382</v>
      </c>
      <c r="K1807" t="s">
        <v>97</v>
      </c>
      <c r="L1807">
        <v>4</v>
      </c>
      <c r="M1807" t="s">
        <v>1414</v>
      </c>
      <c r="N1807" t="s">
        <v>5248</v>
      </c>
    </row>
    <row r="1808" spans="1:14" x14ac:dyDescent="0.35">
      <c r="A1808" t="s">
        <v>5249</v>
      </c>
      <c r="B1808" t="s">
        <v>5250</v>
      </c>
      <c r="C1808" t="s">
        <v>30</v>
      </c>
      <c r="D1808">
        <v>136.43</v>
      </c>
      <c r="E1808">
        <v>1000</v>
      </c>
      <c r="F1808" t="s">
        <v>147</v>
      </c>
      <c r="G1808" t="s">
        <v>32</v>
      </c>
      <c r="H1808" t="s">
        <v>33</v>
      </c>
      <c r="J1808" t="s">
        <v>1096</v>
      </c>
      <c r="K1808" t="s">
        <v>76</v>
      </c>
      <c r="L1808">
        <v>15</v>
      </c>
      <c r="M1808" t="s">
        <v>1294</v>
      </c>
      <c r="N1808" t="s">
        <v>5251</v>
      </c>
    </row>
    <row r="1809" spans="1:14" x14ac:dyDescent="0.35">
      <c r="A1809" t="s">
        <v>5252</v>
      </c>
      <c r="B1809" t="s">
        <v>5253</v>
      </c>
      <c r="C1809" t="s">
        <v>30</v>
      </c>
      <c r="D1809">
        <v>174.22</v>
      </c>
      <c r="E1809">
        <v>17000</v>
      </c>
      <c r="F1809" t="s">
        <v>51</v>
      </c>
      <c r="G1809" t="s">
        <v>32</v>
      </c>
      <c r="H1809" t="s">
        <v>33</v>
      </c>
      <c r="I1809" t="s">
        <v>34</v>
      </c>
      <c r="J1809" t="s">
        <v>179</v>
      </c>
      <c r="K1809" t="s">
        <v>97</v>
      </c>
      <c r="L1809">
        <v>7</v>
      </c>
      <c r="M1809" t="s">
        <v>455</v>
      </c>
      <c r="N1809" t="s">
        <v>1676</v>
      </c>
    </row>
    <row r="1810" spans="1:14" x14ac:dyDescent="0.35">
      <c r="A1810" t="s">
        <v>5254</v>
      </c>
      <c r="B1810" t="s">
        <v>5255</v>
      </c>
      <c r="C1810" t="s">
        <v>69</v>
      </c>
      <c r="D1810">
        <v>60.29</v>
      </c>
      <c r="E1810">
        <v>49000</v>
      </c>
      <c r="F1810" t="s">
        <v>46</v>
      </c>
      <c r="G1810" t="s">
        <v>32</v>
      </c>
      <c r="H1810" t="s">
        <v>33</v>
      </c>
      <c r="I1810" t="s">
        <v>44</v>
      </c>
      <c r="J1810" t="s">
        <v>118</v>
      </c>
      <c r="K1810" t="s">
        <v>42</v>
      </c>
      <c r="L1810">
        <v>15</v>
      </c>
      <c r="N1810" t="s">
        <v>2537</v>
      </c>
    </row>
    <row r="1811" spans="1:14" x14ac:dyDescent="0.35">
      <c r="A1811" t="s">
        <v>5256</v>
      </c>
      <c r="B1811" t="s">
        <v>5257</v>
      </c>
      <c r="C1811" t="s">
        <v>69</v>
      </c>
      <c r="D1811">
        <v>50.66</v>
      </c>
      <c r="E1811">
        <v>40000</v>
      </c>
      <c r="F1811" t="s">
        <v>46</v>
      </c>
      <c r="G1811" t="s">
        <v>32</v>
      </c>
      <c r="H1811" t="s">
        <v>33</v>
      </c>
      <c r="I1811" t="s">
        <v>34</v>
      </c>
      <c r="J1811" t="s">
        <v>523</v>
      </c>
      <c r="K1811" t="s">
        <v>36</v>
      </c>
      <c r="L1811">
        <v>8</v>
      </c>
      <c r="M1811" t="s">
        <v>2286</v>
      </c>
      <c r="N1811" t="s">
        <v>4670</v>
      </c>
    </row>
    <row r="1812" spans="1:14" x14ac:dyDescent="0.35">
      <c r="A1812" t="s">
        <v>5258</v>
      </c>
      <c r="B1812" t="s">
        <v>5259</v>
      </c>
      <c r="C1812" t="s">
        <v>116</v>
      </c>
      <c r="D1812">
        <v>9.77</v>
      </c>
      <c r="E1812">
        <v>300</v>
      </c>
      <c r="F1812" t="s">
        <v>87</v>
      </c>
      <c r="G1812" t="s">
        <v>32</v>
      </c>
      <c r="H1812" t="s">
        <v>43</v>
      </c>
      <c r="J1812" t="s">
        <v>4143</v>
      </c>
      <c r="K1812" t="s">
        <v>139</v>
      </c>
      <c r="L1812">
        <v>20</v>
      </c>
      <c r="M1812" t="s">
        <v>1628</v>
      </c>
      <c r="N1812" t="s">
        <v>1236</v>
      </c>
    </row>
    <row r="1813" spans="1:14" x14ac:dyDescent="0.35">
      <c r="A1813" t="s">
        <v>5260</v>
      </c>
      <c r="B1813" t="s">
        <v>5261</v>
      </c>
      <c r="C1813" t="s">
        <v>69</v>
      </c>
      <c r="D1813">
        <v>83.96</v>
      </c>
      <c r="E1813">
        <v>31000</v>
      </c>
      <c r="F1813" t="s">
        <v>147</v>
      </c>
      <c r="G1813" t="s">
        <v>32</v>
      </c>
      <c r="H1813" t="s">
        <v>57</v>
      </c>
      <c r="I1813" t="s">
        <v>34</v>
      </c>
      <c r="J1813" t="s">
        <v>2775</v>
      </c>
      <c r="K1813" t="s">
        <v>64</v>
      </c>
      <c r="L1813">
        <v>2</v>
      </c>
      <c r="M1813" t="s">
        <v>4530</v>
      </c>
      <c r="N1813" t="s">
        <v>3832</v>
      </c>
    </row>
    <row r="1814" spans="1:14" x14ac:dyDescent="0.35">
      <c r="A1814" t="s">
        <v>5262</v>
      </c>
      <c r="B1814" t="s">
        <v>5263</v>
      </c>
      <c r="C1814" t="s">
        <v>81</v>
      </c>
      <c r="D1814">
        <v>96.91</v>
      </c>
      <c r="E1814">
        <v>4000</v>
      </c>
      <c r="F1814" t="s">
        <v>87</v>
      </c>
      <c r="G1814" t="s">
        <v>32</v>
      </c>
      <c r="H1814" t="s">
        <v>33</v>
      </c>
      <c r="I1814" t="s">
        <v>44</v>
      </c>
      <c r="J1814" t="s">
        <v>118</v>
      </c>
      <c r="K1814" t="s">
        <v>42</v>
      </c>
      <c r="L1814">
        <v>10</v>
      </c>
      <c r="M1814" t="s">
        <v>965</v>
      </c>
      <c r="N1814" t="s">
        <v>4349</v>
      </c>
    </row>
    <row r="1815" spans="1:14" x14ac:dyDescent="0.35">
      <c r="A1815" t="s">
        <v>5264</v>
      </c>
      <c r="B1815" t="s">
        <v>5265</v>
      </c>
      <c r="C1815" t="s">
        <v>69</v>
      </c>
      <c r="D1815">
        <v>69.349999999999994</v>
      </c>
      <c r="E1815">
        <v>56000</v>
      </c>
      <c r="F1815" t="s">
        <v>123</v>
      </c>
      <c r="G1815" t="s">
        <v>32</v>
      </c>
      <c r="H1815" t="s">
        <v>33</v>
      </c>
      <c r="I1815" t="s">
        <v>34</v>
      </c>
      <c r="J1815" t="s">
        <v>118</v>
      </c>
      <c r="K1815" t="s">
        <v>42</v>
      </c>
      <c r="L1815">
        <v>6</v>
      </c>
      <c r="M1815" t="s">
        <v>1873</v>
      </c>
      <c r="N1815" t="s">
        <v>497</v>
      </c>
    </row>
    <row r="1816" spans="1:14" x14ac:dyDescent="0.35">
      <c r="A1816" t="s">
        <v>5266</v>
      </c>
      <c r="B1816" t="s">
        <v>5267</v>
      </c>
      <c r="C1816" t="s">
        <v>69</v>
      </c>
      <c r="D1816">
        <v>72.180000000000007</v>
      </c>
      <c r="E1816">
        <v>25000</v>
      </c>
      <c r="F1816" t="s">
        <v>139</v>
      </c>
      <c r="G1816" t="s">
        <v>32</v>
      </c>
      <c r="H1816" t="s">
        <v>33</v>
      </c>
      <c r="I1816" t="s">
        <v>34</v>
      </c>
      <c r="J1816" t="s">
        <v>70</v>
      </c>
      <c r="K1816" t="s">
        <v>31</v>
      </c>
      <c r="L1816">
        <v>0</v>
      </c>
      <c r="N1816" t="s">
        <v>3940</v>
      </c>
    </row>
    <row r="1817" spans="1:14" x14ac:dyDescent="0.35">
      <c r="A1817" t="s">
        <v>5268</v>
      </c>
      <c r="B1817" t="s">
        <v>5269</v>
      </c>
      <c r="C1817" t="s">
        <v>41</v>
      </c>
      <c r="D1817">
        <v>132.65</v>
      </c>
      <c r="E1817">
        <v>33000</v>
      </c>
      <c r="F1817" t="s">
        <v>87</v>
      </c>
      <c r="G1817" t="s">
        <v>32</v>
      </c>
      <c r="H1817" t="s">
        <v>57</v>
      </c>
      <c r="J1817" t="s">
        <v>75</v>
      </c>
      <c r="K1817" t="s">
        <v>76</v>
      </c>
      <c r="L1817">
        <v>12</v>
      </c>
      <c r="M1817" t="s">
        <v>1252</v>
      </c>
      <c r="N1817" t="s">
        <v>2273</v>
      </c>
    </row>
    <row r="1818" spans="1:14" x14ac:dyDescent="0.35">
      <c r="A1818" t="s">
        <v>5270</v>
      </c>
      <c r="B1818" t="s">
        <v>5271</v>
      </c>
      <c r="C1818" t="s">
        <v>30</v>
      </c>
      <c r="D1818">
        <v>143</v>
      </c>
      <c r="E1818">
        <v>12000</v>
      </c>
      <c r="F1818" t="s">
        <v>106</v>
      </c>
      <c r="G1818" t="s">
        <v>32</v>
      </c>
      <c r="H1818" t="s">
        <v>57</v>
      </c>
      <c r="I1818" t="s">
        <v>129</v>
      </c>
      <c r="J1818" t="s">
        <v>118</v>
      </c>
      <c r="K1818" t="s">
        <v>42</v>
      </c>
      <c r="L1818">
        <v>23</v>
      </c>
      <c r="M1818" t="s">
        <v>4712</v>
      </c>
      <c r="N1818" t="s">
        <v>1266</v>
      </c>
    </row>
    <row r="1819" spans="1:14" x14ac:dyDescent="0.35">
      <c r="A1819" t="s">
        <v>5272</v>
      </c>
      <c r="B1819" t="s">
        <v>5273</v>
      </c>
      <c r="C1819" t="s">
        <v>116</v>
      </c>
      <c r="D1819">
        <v>6.75</v>
      </c>
      <c r="E1819">
        <v>200</v>
      </c>
      <c r="F1819" t="s">
        <v>51</v>
      </c>
      <c r="G1819" t="s">
        <v>32</v>
      </c>
      <c r="H1819" t="s">
        <v>57</v>
      </c>
      <c r="J1819" t="s">
        <v>334</v>
      </c>
      <c r="K1819" t="s">
        <v>51</v>
      </c>
      <c r="L1819">
        <v>5</v>
      </c>
      <c r="M1819" t="s">
        <v>1616</v>
      </c>
      <c r="N1819" t="s">
        <v>1369</v>
      </c>
    </row>
    <row r="1820" spans="1:14" x14ac:dyDescent="0.35">
      <c r="A1820" t="s">
        <v>5274</v>
      </c>
      <c r="B1820" t="s">
        <v>5275</v>
      </c>
      <c r="C1820" t="s">
        <v>30</v>
      </c>
      <c r="D1820">
        <v>121.88</v>
      </c>
      <c r="E1820">
        <v>3000</v>
      </c>
      <c r="F1820" t="s">
        <v>76</v>
      </c>
      <c r="G1820" t="s">
        <v>32</v>
      </c>
      <c r="H1820" t="s">
        <v>57</v>
      </c>
      <c r="I1820" t="s">
        <v>34</v>
      </c>
      <c r="J1820" t="s">
        <v>124</v>
      </c>
      <c r="K1820" t="s">
        <v>117</v>
      </c>
      <c r="L1820">
        <v>7</v>
      </c>
      <c r="M1820" t="s">
        <v>3410</v>
      </c>
      <c r="N1820" t="s">
        <v>1879</v>
      </c>
    </row>
    <row r="1821" spans="1:14" x14ac:dyDescent="0.35">
      <c r="A1821" t="s">
        <v>5276</v>
      </c>
      <c r="B1821" t="s">
        <v>5277</v>
      </c>
      <c r="C1821" t="s">
        <v>69</v>
      </c>
      <c r="D1821">
        <v>75.27</v>
      </c>
      <c r="E1821">
        <v>18000</v>
      </c>
      <c r="F1821" t="s">
        <v>64</v>
      </c>
      <c r="G1821" t="s">
        <v>32</v>
      </c>
      <c r="H1821" t="s">
        <v>57</v>
      </c>
      <c r="I1821" t="s">
        <v>34</v>
      </c>
      <c r="J1821" t="s">
        <v>288</v>
      </c>
      <c r="K1821" t="s">
        <v>51</v>
      </c>
      <c r="L1821">
        <v>4</v>
      </c>
      <c r="N1821" t="s">
        <v>5278</v>
      </c>
    </row>
    <row r="1822" spans="1:14" x14ac:dyDescent="0.35">
      <c r="A1822" t="s">
        <v>5279</v>
      </c>
      <c r="B1822" t="s">
        <v>5280</v>
      </c>
      <c r="C1822" t="s">
        <v>62</v>
      </c>
      <c r="D1822">
        <v>66.37</v>
      </c>
      <c r="E1822">
        <v>5000</v>
      </c>
      <c r="F1822" t="s">
        <v>123</v>
      </c>
      <c r="G1822" t="s">
        <v>32</v>
      </c>
      <c r="H1822" t="s">
        <v>57</v>
      </c>
      <c r="I1822" t="s">
        <v>44</v>
      </c>
      <c r="J1822" t="s">
        <v>334</v>
      </c>
      <c r="K1822" t="s">
        <v>51</v>
      </c>
      <c r="L1822">
        <v>18</v>
      </c>
      <c r="M1822" t="s">
        <v>5281</v>
      </c>
      <c r="N1822" t="s">
        <v>3320</v>
      </c>
    </row>
    <row r="1823" spans="1:14" x14ac:dyDescent="0.35">
      <c r="A1823" t="s">
        <v>5282</v>
      </c>
      <c r="B1823" t="s">
        <v>5283</v>
      </c>
      <c r="C1823" t="s">
        <v>41</v>
      </c>
      <c r="D1823">
        <v>148.22999999999999</v>
      </c>
      <c r="E1823">
        <v>18000</v>
      </c>
      <c r="F1823" t="s">
        <v>236</v>
      </c>
      <c r="G1823" t="s">
        <v>32</v>
      </c>
      <c r="H1823" t="s">
        <v>33</v>
      </c>
      <c r="I1823" t="s">
        <v>129</v>
      </c>
      <c r="J1823" t="s">
        <v>5284</v>
      </c>
      <c r="K1823" t="s">
        <v>139</v>
      </c>
      <c r="L1823">
        <v>15</v>
      </c>
      <c r="M1823" t="s">
        <v>4192</v>
      </c>
      <c r="N1823" t="s">
        <v>452</v>
      </c>
    </row>
    <row r="1824" spans="1:14" x14ac:dyDescent="0.35">
      <c r="A1824" t="s">
        <v>5285</v>
      </c>
      <c r="B1824" t="s">
        <v>5286</v>
      </c>
      <c r="C1824" t="s">
        <v>62</v>
      </c>
      <c r="D1824">
        <v>86.46</v>
      </c>
      <c r="E1824">
        <v>3000</v>
      </c>
      <c r="F1824" t="s">
        <v>74</v>
      </c>
      <c r="G1824" t="s">
        <v>32</v>
      </c>
      <c r="H1824" t="s">
        <v>33</v>
      </c>
      <c r="I1824" t="s">
        <v>129</v>
      </c>
      <c r="J1824" t="s">
        <v>75</v>
      </c>
      <c r="K1824" t="s">
        <v>76</v>
      </c>
      <c r="L1824">
        <v>10</v>
      </c>
      <c r="M1824" t="s">
        <v>756</v>
      </c>
      <c r="N1824" t="s">
        <v>905</v>
      </c>
    </row>
    <row r="1825" spans="1:14" x14ac:dyDescent="0.35">
      <c r="A1825" t="s">
        <v>5287</v>
      </c>
      <c r="B1825" t="s">
        <v>5288</v>
      </c>
      <c r="C1825" t="s">
        <v>116</v>
      </c>
      <c r="D1825">
        <v>9.68</v>
      </c>
      <c r="E1825">
        <v>400</v>
      </c>
      <c r="F1825" t="s">
        <v>97</v>
      </c>
      <c r="G1825" t="s">
        <v>32</v>
      </c>
      <c r="H1825" t="s">
        <v>43</v>
      </c>
      <c r="I1825" t="s">
        <v>44</v>
      </c>
      <c r="J1825" t="s">
        <v>901</v>
      </c>
      <c r="K1825" t="s">
        <v>97</v>
      </c>
      <c r="L1825">
        <v>15</v>
      </c>
      <c r="M1825" t="s">
        <v>1928</v>
      </c>
      <c r="N1825" t="s">
        <v>210</v>
      </c>
    </row>
    <row r="1826" spans="1:14" x14ac:dyDescent="0.35">
      <c r="A1826" t="s">
        <v>5289</v>
      </c>
      <c r="B1826" t="s">
        <v>5290</v>
      </c>
      <c r="C1826" t="s">
        <v>116</v>
      </c>
      <c r="D1826">
        <v>11.36</v>
      </c>
      <c r="E1826">
        <v>400</v>
      </c>
      <c r="F1826" t="s">
        <v>106</v>
      </c>
      <c r="G1826" t="s">
        <v>32</v>
      </c>
      <c r="H1826" t="s">
        <v>33</v>
      </c>
      <c r="I1826" t="s">
        <v>44</v>
      </c>
      <c r="J1826" t="s">
        <v>112</v>
      </c>
      <c r="K1826" t="s">
        <v>106</v>
      </c>
      <c r="L1826">
        <v>1</v>
      </c>
      <c r="M1826" t="s">
        <v>2636</v>
      </c>
      <c r="N1826" t="s">
        <v>2757</v>
      </c>
    </row>
    <row r="1827" spans="1:14" x14ac:dyDescent="0.35">
      <c r="A1827" t="s">
        <v>5291</v>
      </c>
      <c r="B1827" t="s">
        <v>5292</v>
      </c>
      <c r="C1827" t="s">
        <v>81</v>
      </c>
      <c r="D1827">
        <v>100.46</v>
      </c>
      <c r="E1827">
        <v>2000</v>
      </c>
      <c r="F1827" t="s">
        <v>76</v>
      </c>
      <c r="G1827" t="s">
        <v>32</v>
      </c>
      <c r="H1827" t="s">
        <v>43</v>
      </c>
      <c r="I1827" t="s">
        <v>44</v>
      </c>
      <c r="J1827" t="s">
        <v>2775</v>
      </c>
      <c r="K1827" t="s">
        <v>64</v>
      </c>
      <c r="L1827">
        <v>21</v>
      </c>
      <c r="N1827" t="s">
        <v>379</v>
      </c>
    </row>
    <row r="1828" spans="1:14" x14ac:dyDescent="0.35">
      <c r="A1828" t="s">
        <v>5293</v>
      </c>
      <c r="B1828" t="s">
        <v>5294</v>
      </c>
      <c r="C1828" t="s">
        <v>30</v>
      </c>
      <c r="D1828">
        <v>162.81</v>
      </c>
      <c r="E1828">
        <v>4000</v>
      </c>
      <c r="F1828" t="s">
        <v>74</v>
      </c>
      <c r="G1828" t="s">
        <v>32</v>
      </c>
      <c r="H1828" t="s">
        <v>33</v>
      </c>
      <c r="I1828" t="s">
        <v>129</v>
      </c>
      <c r="J1828" t="s">
        <v>334</v>
      </c>
      <c r="K1828" t="s">
        <v>51</v>
      </c>
      <c r="L1828">
        <v>1</v>
      </c>
      <c r="M1828" t="s">
        <v>462</v>
      </c>
      <c r="N1828" t="s">
        <v>4066</v>
      </c>
    </row>
    <row r="1829" spans="1:14" x14ac:dyDescent="0.35">
      <c r="A1829" t="s">
        <v>5295</v>
      </c>
      <c r="B1829" t="s">
        <v>5296</v>
      </c>
      <c r="C1829" t="s">
        <v>41</v>
      </c>
      <c r="D1829">
        <v>113.87</v>
      </c>
      <c r="E1829">
        <v>10000</v>
      </c>
      <c r="F1829" t="s">
        <v>74</v>
      </c>
      <c r="G1829" t="s">
        <v>32</v>
      </c>
      <c r="H1829" t="s">
        <v>57</v>
      </c>
      <c r="J1829" t="s">
        <v>63</v>
      </c>
      <c r="K1829" t="s">
        <v>64</v>
      </c>
      <c r="L1829">
        <v>20</v>
      </c>
      <c r="M1829" t="s">
        <v>3596</v>
      </c>
      <c r="N1829" t="s">
        <v>1570</v>
      </c>
    </row>
    <row r="1830" spans="1:14" x14ac:dyDescent="0.35">
      <c r="A1830" t="s">
        <v>5297</v>
      </c>
      <c r="B1830" t="s">
        <v>5298</v>
      </c>
      <c r="C1830" t="s">
        <v>81</v>
      </c>
      <c r="D1830">
        <v>123.35</v>
      </c>
      <c r="E1830">
        <v>5000</v>
      </c>
      <c r="F1830" t="s">
        <v>74</v>
      </c>
      <c r="G1830" t="s">
        <v>32</v>
      </c>
      <c r="H1830" t="s">
        <v>43</v>
      </c>
      <c r="J1830" t="s">
        <v>283</v>
      </c>
      <c r="K1830" t="s">
        <v>139</v>
      </c>
      <c r="L1830">
        <v>1</v>
      </c>
      <c r="N1830" t="s">
        <v>775</v>
      </c>
    </row>
    <row r="1831" spans="1:14" x14ac:dyDescent="0.35">
      <c r="A1831" t="s">
        <v>5299</v>
      </c>
      <c r="B1831" t="s">
        <v>5300</v>
      </c>
      <c r="C1831" t="s">
        <v>30</v>
      </c>
      <c r="D1831">
        <v>121.67</v>
      </c>
      <c r="E1831">
        <v>5000</v>
      </c>
      <c r="F1831" t="s">
        <v>42</v>
      </c>
      <c r="G1831" t="s">
        <v>32</v>
      </c>
      <c r="H1831" t="s">
        <v>33</v>
      </c>
      <c r="J1831" t="s">
        <v>830</v>
      </c>
      <c r="K1831" t="s">
        <v>51</v>
      </c>
      <c r="L1831">
        <v>18</v>
      </c>
      <c r="M1831" t="s">
        <v>5301</v>
      </c>
      <c r="N1831" t="s">
        <v>1205</v>
      </c>
    </row>
    <row r="1832" spans="1:14" x14ac:dyDescent="0.35">
      <c r="A1832" t="s">
        <v>5302</v>
      </c>
      <c r="B1832" t="s">
        <v>5303</v>
      </c>
      <c r="C1832" t="s">
        <v>62</v>
      </c>
      <c r="D1832">
        <v>68.03</v>
      </c>
      <c r="E1832">
        <v>5000</v>
      </c>
      <c r="F1832" t="s">
        <v>236</v>
      </c>
      <c r="G1832" t="s">
        <v>32</v>
      </c>
      <c r="H1832" t="s">
        <v>43</v>
      </c>
      <c r="I1832" t="s">
        <v>44</v>
      </c>
      <c r="J1832" t="s">
        <v>477</v>
      </c>
      <c r="K1832" t="s">
        <v>51</v>
      </c>
      <c r="L1832">
        <v>15</v>
      </c>
      <c r="M1832" t="s">
        <v>4549</v>
      </c>
      <c r="N1832" t="s">
        <v>5304</v>
      </c>
    </row>
    <row r="1833" spans="1:14" x14ac:dyDescent="0.35">
      <c r="A1833" t="s">
        <v>5305</v>
      </c>
      <c r="B1833" t="s">
        <v>5306</v>
      </c>
      <c r="C1833" t="s">
        <v>81</v>
      </c>
      <c r="D1833">
        <v>110.87</v>
      </c>
      <c r="E1833">
        <v>10000</v>
      </c>
      <c r="F1833" t="s">
        <v>74</v>
      </c>
      <c r="G1833" t="s">
        <v>32</v>
      </c>
      <c r="H1833" t="s">
        <v>33</v>
      </c>
      <c r="I1833" t="s">
        <v>44</v>
      </c>
      <c r="J1833" t="s">
        <v>1707</v>
      </c>
      <c r="K1833" t="s">
        <v>36</v>
      </c>
      <c r="L1833">
        <v>12</v>
      </c>
      <c r="N1833" t="s">
        <v>1240</v>
      </c>
    </row>
    <row r="1834" spans="1:14" x14ac:dyDescent="0.35">
      <c r="A1834" t="s">
        <v>5307</v>
      </c>
      <c r="B1834" t="s">
        <v>5308</v>
      </c>
      <c r="C1834" t="s">
        <v>41</v>
      </c>
      <c r="D1834">
        <v>97.66</v>
      </c>
      <c r="E1834">
        <v>19000</v>
      </c>
      <c r="F1834" t="s">
        <v>97</v>
      </c>
      <c r="G1834" t="s">
        <v>32</v>
      </c>
      <c r="H1834" t="s">
        <v>57</v>
      </c>
      <c r="I1834" t="s">
        <v>34</v>
      </c>
      <c r="J1834" t="s">
        <v>778</v>
      </c>
      <c r="K1834" t="s">
        <v>139</v>
      </c>
      <c r="L1834">
        <v>20</v>
      </c>
      <c r="M1834" t="s">
        <v>5309</v>
      </c>
      <c r="N1834" t="s">
        <v>2584</v>
      </c>
    </row>
    <row r="1835" spans="1:14" x14ac:dyDescent="0.35">
      <c r="A1835" t="s">
        <v>5310</v>
      </c>
      <c r="B1835" t="s">
        <v>5311</v>
      </c>
      <c r="C1835" t="s">
        <v>116</v>
      </c>
      <c r="D1835">
        <v>6.75</v>
      </c>
      <c r="E1835">
        <v>100</v>
      </c>
      <c r="F1835" t="s">
        <v>117</v>
      </c>
      <c r="G1835" t="s">
        <v>102</v>
      </c>
      <c r="H1835" t="s">
        <v>43</v>
      </c>
      <c r="I1835" t="s">
        <v>34</v>
      </c>
      <c r="J1835" t="s">
        <v>124</v>
      </c>
      <c r="K1835" t="s">
        <v>117</v>
      </c>
      <c r="L1835">
        <v>5</v>
      </c>
      <c r="M1835" t="s">
        <v>5312</v>
      </c>
      <c r="N1835" t="s">
        <v>3307</v>
      </c>
    </row>
    <row r="1836" spans="1:14" x14ac:dyDescent="0.35">
      <c r="A1836" t="s">
        <v>5313</v>
      </c>
      <c r="B1836" t="s">
        <v>5314</v>
      </c>
      <c r="C1836" t="s">
        <v>62</v>
      </c>
      <c r="D1836">
        <v>61.73</v>
      </c>
      <c r="E1836">
        <v>5000</v>
      </c>
      <c r="F1836" t="s">
        <v>74</v>
      </c>
      <c r="G1836" t="s">
        <v>32</v>
      </c>
      <c r="H1836" t="s">
        <v>43</v>
      </c>
      <c r="I1836" t="s">
        <v>34</v>
      </c>
      <c r="J1836" t="s">
        <v>130</v>
      </c>
      <c r="K1836" t="s">
        <v>123</v>
      </c>
      <c r="L1836">
        <v>11</v>
      </c>
      <c r="M1836" t="s">
        <v>1311</v>
      </c>
      <c r="N1836" t="s">
        <v>5315</v>
      </c>
    </row>
    <row r="1837" spans="1:14" x14ac:dyDescent="0.35">
      <c r="A1837" t="s">
        <v>5316</v>
      </c>
      <c r="B1837" t="s">
        <v>5317</v>
      </c>
      <c r="C1837" t="s">
        <v>81</v>
      </c>
      <c r="D1837">
        <v>117.92</v>
      </c>
      <c r="E1837">
        <v>8000</v>
      </c>
      <c r="F1837" t="s">
        <v>106</v>
      </c>
      <c r="G1837" t="s">
        <v>32</v>
      </c>
      <c r="H1837" t="s">
        <v>43</v>
      </c>
      <c r="J1837" t="s">
        <v>75</v>
      </c>
      <c r="K1837" t="s">
        <v>76</v>
      </c>
      <c r="L1837">
        <v>16</v>
      </c>
      <c r="M1837" t="s">
        <v>140</v>
      </c>
      <c r="N1837" t="s">
        <v>456</v>
      </c>
    </row>
    <row r="1838" spans="1:14" x14ac:dyDescent="0.35">
      <c r="A1838" t="s">
        <v>5318</v>
      </c>
      <c r="B1838" t="s">
        <v>5319</v>
      </c>
      <c r="C1838" t="s">
        <v>62</v>
      </c>
      <c r="D1838">
        <v>62.83</v>
      </c>
      <c r="E1838">
        <v>5000</v>
      </c>
      <c r="F1838" t="s">
        <v>76</v>
      </c>
      <c r="G1838" t="s">
        <v>32</v>
      </c>
      <c r="H1838" t="s">
        <v>43</v>
      </c>
      <c r="I1838" t="s">
        <v>129</v>
      </c>
      <c r="J1838" t="s">
        <v>1707</v>
      </c>
      <c r="K1838" t="s">
        <v>36</v>
      </c>
      <c r="L1838">
        <v>13</v>
      </c>
      <c r="M1838" t="s">
        <v>58</v>
      </c>
      <c r="N1838" t="s">
        <v>2911</v>
      </c>
    </row>
    <row r="1839" spans="1:14" x14ac:dyDescent="0.35">
      <c r="A1839" t="s">
        <v>5320</v>
      </c>
      <c r="B1839" t="s">
        <v>5321</v>
      </c>
      <c r="C1839" t="s">
        <v>30</v>
      </c>
      <c r="D1839">
        <v>194.15</v>
      </c>
      <c r="E1839">
        <v>13000</v>
      </c>
      <c r="F1839" t="s">
        <v>31</v>
      </c>
      <c r="G1839" t="s">
        <v>32</v>
      </c>
      <c r="H1839" t="s">
        <v>33</v>
      </c>
      <c r="J1839" t="s">
        <v>107</v>
      </c>
      <c r="K1839" t="s">
        <v>87</v>
      </c>
      <c r="L1839">
        <v>8</v>
      </c>
      <c r="M1839" t="s">
        <v>798</v>
      </c>
      <c r="N1839" t="s">
        <v>1210</v>
      </c>
    </row>
    <row r="1840" spans="1:14" x14ac:dyDescent="0.35">
      <c r="A1840" t="s">
        <v>5322</v>
      </c>
      <c r="B1840" t="s">
        <v>5323</v>
      </c>
      <c r="C1840" t="s">
        <v>41</v>
      </c>
      <c r="D1840">
        <v>116.92</v>
      </c>
      <c r="E1840">
        <v>11000</v>
      </c>
      <c r="F1840" t="s">
        <v>31</v>
      </c>
      <c r="G1840" t="s">
        <v>32</v>
      </c>
      <c r="H1840" t="s">
        <v>57</v>
      </c>
      <c r="I1840" t="s">
        <v>34</v>
      </c>
      <c r="J1840" t="s">
        <v>130</v>
      </c>
      <c r="K1840" t="s">
        <v>123</v>
      </c>
      <c r="L1840">
        <v>22</v>
      </c>
      <c r="N1840" t="s">
        <v>1758</v>
      </c>
    </row>
    <row r="1841" spans="1:14" x14ac:dyDescent="0.35">
      <c r="A1841" t="s">
        <v>5324</v>
      </c>
      <c r="B1841" t="s">
        <v>5325</v>
      </c>
      <c r="C1841" t="s">
        <v>116</v>
      </c>
      <c r="D1841">
        <v>9.57</v>
      </c>
      <c r="E1841">
        <v>600</v>
      </c>
      <c r="F1841" t="s">
        <v>117</v>
      </c>
      <c r="G1841" t="s">
        <v>32</v>
      </c>
      <c r="H1841" t="s">
        <v>43</v>
      </c>
      <c r="I1841" t="s">
        <v>44</v>
      </c>
      <c r="J1841" t="s">
        <v>209</v>
      </c>
      <c r="K1841" t="s">
        <v>74</v>
      </c>
      <c r="L1841">
        <v>20</v>
      </c>
      <c r="M1841" t="s">
        <v>2243</v>
      </c>
      <c r="N1841" t="s">
        <v>3636</v>
      </c>
    </row>
    <row r="1842" spans="1:14" x14ac:dyDescent="0.35">
      <c r="A1842" t="s">
        <v>5326</v>
      </c>
      <c r="B1842" t="s">
        <v>5327</v>
      </c>
      <c r="C1842" t="s">
        <v>30</v>
      </c>
      <c r="D1842">
        <v>129.29</v>
      </c>
      <c r="E1842">
        <v>11000</v>
      </c>
      <c r="F1842" t="s">
        <v>51</v>
      </c>
      <c r="G1842" t="s">
        <v>32</v>
      </c>
      <c r="H1842" t="s">
        <v>57</v>
      </c>
      <c r="I1842" t="s">
        <v>34</v>
      </c>
      <c r="J1842" t="s">
        <v>124</v>
      </c>
      <c r="K1842" t="s">
        <v>117</v>
      </c>
      <c r="L1842">
        <v>2</v>
      </c>
      <c r="M1842" t="s">
        <v>4469</v>
      </c>
      <c r="N1842" t="s">
        <v>1925</v>
      </c>
    </row>
    <row r="1843" spans="1:14" x14ac:dyDescent="0.35">
      <c r="A1843" t="s">
        <v>5328</v>
      </c>
      <c r="B1843" t="s">
        <v>5329</v>
      </c>
      <c r="C1843" t="s">
        <v>116</v>
      </c>
      <c r="D1843">
        <v>10.6</v>
      </c>
      <c r="E1843">
        <v>300</v>
      </c>
      <c r="F1843" t="s">
        <v>87</v>
      </c>
      <c r="G1843" t="s">
        <v>32</v>
      </c>
      <c r="H1843" t="s">
        <v>43</v>
      </c>
      <c r="I1843" t="s">
        <v>44</v>
      </c>
      <c r="J1843" t="s">
        <v>118</v>
      </c>
      <c r="K1843" t="s">
        <v>42</v>
      </c>
      <c r="L1843">
        <v>16</v>
      </c>
      <c r="N1843" t="s">
        <v>705</v>
      </c>
    </row>
    <row r="1844" spans="1:14" x14ac:dyDescent="0.35">
      <c r="A1844" t="s">
        <v>5330</v>
      </c>
      <c r="B1844" t="s">
        <v>5331</v>
      </c>
      <c r="C1844" t="s">
        <v>41</v>
      </c>
      <c r="D1844">
        <v>119.91</v>
      </c>
      <c r="E1844">
        <v>34000</v>
      </c>
      <c r="F1844" t="s">
        <v>87</v>
      </c>
      <c r="G1844" t="s">
        <v>32</v>
      </c>
      <c r="H1844" t="s">
        <v>43</v>
      </c>
      <c r="I1844" t="s">
        <v>44</v>
      </c>
      <c r="J1844" t="s">
        <v>991</v>
      </c>
      <c r="K1844" t="s">
        <v>147</v>
      </c>
      <c r="L1844">
        <v>15</v>
      </c>
      <c r="M1844" t="s">
        <v>2286</v>
      </c>
      <c r="N1844" t="s">
        <v>3323</v>
      </c>
    </row>
    <row r="1845" spans="1:14" x14ac:dyDescent="0.35">
      <c r="A1845" t="s">
        <v>5332</v>
      </c>
      <c r="B1845" t="s">
        <v>5333</v>
      </c>
      <c r="C1845" t="s">
        <v>41</v>
      </c>
      <c r="D1845">
        <v>85.19</v>
      </c>
      <c r="E1845">
        <v>25000</v>
      </c>
      <c r="F1845" t="s">
        <v>51</v>
      </c>
      <c r="G1845" t="s">
        <v>102</v>
      </c>
      <c r="H1845" t="s">
        <v>43</v>
      </c>
      <c r="I1845" t="s">
        <v>44</v>
      </c>
      <c r="J1845" t="s">
        <v>1391</v>
      </c>
      <c r="K1845" t="s">
        <v>36</v>
      </c>
      <c r="L1845">
        <v>10</v>
      </c>
      <c r="N1845" t="s">
        <v>1874</v>
      </c>
    </row>
    <row r="1846" spans="1:14" x14ac:dyDescent="0.35">
      <c r="A1846" t="s">
        <v>5334</v>
      </c>
      <c r="B1846" t="s">
        <v>5335</v>
      </c>
      <c r="C1846" t="s">
        <v>41</v>
      </c>
      <c r="D1846">
        <v>137.06</v>
      </c>
      <c r="E1846">
        <v>38000</v>
      </c>
      <c r="F1846" t="s">
        <v>117</v>
      </c>
      <c r="G1846" t="s">
        <v>32</v>
      </c>
      <c r="H1846" t="s">
        <v>43</v>
      </c>
      <c r="I1846" t="s">
        <v>44</v>
      </c>
      <c r="J1846" t="s">
        <v>63</v>
      </c>
      <c r="K1846" t="s">
        <v>64</v>
      </c>
      <c r="L1846">
        <v>6</v>
      </c>
      <c r="M1846" t="s">
        <v>5336</v>
      </c>
      <c r="N1846" t="s">
        <v>5337</v>
      </c>
    </row>
    <row r="1847" spans="1:14" x14ac:dyDescent="0.35">
      <c r="A1847" t="s">
        <v>5338</v>
      </c>
      <c r="B1847" t="s">
        <v>5339</v>
      </c>
      <c r="C1847" t="s">
        <v>116</v>
      </c>
      <c r="D1847">
        <v>9.41</v>
      </c>
      <c r="E1847">
        <v>100</v>
      </c>
      <c r="F1847" t="s">
        <v>97</v>
      </c>
      <c r="G1847" t="s">
        <v>32</v>
      </c>
      <c r="H1847" t="s">
        <v>33</v>
      </c>
      <c r="I1847" t="s">
        <v>44</v>
      </c>
      <c r="J1847" t="s">
        <v>124</v>
      </c>
      <c r="K1847" t="s">
        <v>117</v>
      </c>
      <c r="L1847">
        <v>1</v>
      </c>
      <c r="M1847" t="s">
        <v>2754</v>
      </c>
      <c r="N1847" t="s">
        <v>2986</v>
      </c>
    </row>
    <row r="1848" spans="1:14" x14ac:dyDescent="0.35">
      <c r="A1848" t="s">
        <v>5340</v>
      </c>
      <c r="B1848" t="s">
        <v>5341</v>
      </c>
      <c r="C1848" t="s">
        <v>41</v>
      </c>
      <c r="D1848">
        <v>135.57</v>
      </c>
      <c r="E1848">
        <v>39000</v>
      </c>
      <c r="F1848" t="s">
        <v>64</v>
      </c>
      <c r="G1848" t="s">
        <v>32</v>
      </c>
      <c r="H1848" t="s">
        <v>43</v>
      </c>
      <c r="I1848" t="s">
        <v>44</v>
      </c>
      <c r="J1848" t="s">
        <v>112</v>
      </c>
      <c r="K1848" t="s">
        <v>106</v>
      </c>
      <c r="L1848">
        <v>8</v>
      </c>
      <c r="N1848" t="s">
        <v>2065</v>
      </c>
    </row>
    <row r="1849" spans="1:14" x14ac:dyDescent="0.35">
      <c r="A1849" t="s">
        <v>5342</v>
      </c>
      <c r="B1849" t="s">
        <v>5343</v>
      </c>
      <c r="C1849" t="s">
        <v>62</v>
      </c>
      <c r="D1849">
        <v>73.13</v>
      </c>
      <c r="E1849">
        <v>2000</v>
      </c>
      <c r="F1849" t="s">
        <v>139</v>
      </c>
      <c r="G1849" t="s">
        <v>32</v>
      </c>
      <c r="H1849" t="s">
        <v>43</v>
      </c>
      <c r="I1849" t="s">
        <v>34</v>
      </c>
      <c r="J1849" t="s">
        <v>235</v>
      </c>
      <c r="K1849" t="s">
        <v>236</v>
      </c>
      <c r="L1849">
        <v>5</v>
      </c>
      <c r="M1849" t="s">
        <v>180</v>
      </c>
      <c r="N1849" t="s">
        <v>5344</v>
      </c>
    </row>
    <row r="1850" spans="1:14" x14ac:dyDescent="0.35">
      <c r="A1850" t="s">
        <v>5345</v>
      </c>
      <c r="B1850" t="s">
        <v>5346</v>
      </c>
      <c r="C1850" t="s">
        <v>116</v>
      </c>
      <c r="D1850">
        <v>7.09</v>
      </c>
      <c r="E1850">
        <v>400</v>
      </c>
      <c r="F1850" t="s">
        <v>51</v>
      </c>
      <c r="G1850" t="s">
        <v>32</v>
      </c>
      <c r="H1850" t="s">
        <v>33</v>
      </c>
      <c r="J1850" t="s">
        <v>543</v>
      </c>
      <c r="K1850" t="s">
        <v>51</v>
      </c>
      <c r="L1850">
        <v>2</v>
      </c>
      <c r="M1850" t="s">
        <v>1036</v>
      </c>
      <c r="N1850" t="s">
        <v>3121</v>
      </c>
    </row>
    <row r="1851" spans="1:14" x14ac:dyDescent="0.35">
      <c r="A1851" t="s">
        <v>5347</v>
      </c>
      <c r="B1851" t="s">
        <v>5348</v>
      </c>
      <c r="C1851" t="s">
        <v>116</v>
      </c>
      <c r="D1851">
        <v>7.5</v>
      </c>
      <c r="E1851">
        <v>600</v>
      </c>
      <c r="F1851" t="s">
        <v>64</v>
      </c>
      <c r="G1851" t="s">
        <v>32</v>
      </c>
      <c r="H1851" t="s">
        <v>33</v>
      </c>
      <c r="I1851" t="s">
        <v>44</v>
      </c>
      <c r="J1851" t="s">
        <v>235</v>
      </c>
      <c r="K1851" t="s">
        <v>236</v>
      </c>
      <c r="L1851">
        <v>8</v>
      </c>
      <c r="M1851" t="s">
        <v>1265</v>
      </c>
      <c r="N1851" t="s">
        <v>5349</v>
      </c>
    </row>
    <row r="1852" spans="1:14" x14ac:dyDescent="0.35">
      <c r="A1852" t="s">
        <v>5350</v>
      </c>
      <c r="B1852" t="s">
        <v>5351</v>
      </c>
      <c r="C1852" t="s">
        <v>30</v>
      </c>
      <c r="D1852">
        <v>125.33</v>
      </c>
      <c r="E1852">
        <v>6000</v>
      </c>
      <c r="F1852" t="s">
        <v>76</v>
      </c>
      <c r="G1852" t="s">
        <v>102</v>
      </c>
      <c r="H1852" t="s">
        <v>43</v>
      </c>
      <c r="I1852" t="s">
        <v>34</v>
      </c>
      <c r="J1852" t="s">
        <v>118</v>
      </c>
      <c r="K1852" t="s">
        <v>42</v>
      </c>
      <c r="L1852">
        <v>21</v>
      </c>
      <c r="N1852" t="s">
        <v>3785</v>
      </c>
    </row>
    <row r="1853" spans="1:14" x14ac:dyDescent="0.35">
      <c r="A1853" t="s">
        <v>5352</v>
      </c>
      <c r="B1853" t="s">
        <v>5353</v>
      </c>
      <c r="C1853" t="s">
        <v>41</v>
      </c>
      <c r="D1853">
        <v>126.26</v>
      </c>
      <c r="E1853">
        <v>29000</v>
      </c>
      <c r="F1853" t="s">
        <v>147</v>
      </c>
      <c r="G1853" t="s">
        <v>102</v>
      </c>
      <c r="H1853" t="s">
        <v>43</v>
      </c>
      <c r="I1853" t="s">
        <v>34</v>
      </c>
      <c r="J1853" t="s">
        <v>45</v>
      </c>
      <c r="K1853" t="s">
        <v>46</v>
      </c>
      <c r="L1853">
        <v>19</v>
      </c>
      <c r="N1853" t="s">
        <v>5354</v>
      </c>
    </row>
    <row r="1854" spans="1:14" x14ac:dyDescent="0.35">
      <c r="A1854" t="s">
        <v>5355</v>
      </c>
      <c r="B1854" t="s">
        <v>5356</v>
      </c>
      <c r="C1854" t="s">
        <v>62</v>
      </c>
      <c r="D1854">
        <v>99.66</v>
      </c>
      <c r="E1854">
        <v>3000</v>
      </c>
      <c r="F1854" t="s">
        <v>87</v>
      </c>
      <c r="G1854" t="s">
        <v>32</v>
      </c>
      <c r="H1854" t="s">
        <v>43</v>
      </c>
      <c r="I1854" t="s">
        <v>44</v>
      </c>
      <c r="J1854" t="s">
        <v>70</v>
      </c>
      <c r="K1854" t="s">
        <v>31</v>
      </c>
      <c r="L1854">
        <v>5</v>
      </c>
      <c r="N1854" t="s">
        <v>4676</v>
      </c>
    </row>
    <row r="1855" spans="1:14" x14ac:dyDescent="0.35">
      <c r="A1855" t="s">
        <v>5357</v>
      </c>
      <c r="B1855" t="s">
        <v>5358</v>
      </c>
      <c r="C1855" t="s">
        <v>30</v>
      </c>
      <c r="D1855">
        <v>143.22</v>
      </c>
      <c r="E1855">
        <v>19000</v>
      </c>
      <c r="F1855" t="s">
        <v>51</v>
      </c>
      <c r="G1855" t="s">
        <v>32</v>
      </c>
      <c r="H1855" t="s">
        <v>33</v>
      </c>
      <c r="I1855" t="s">
        <v>44</v>
      </c>
      <c r="J1855" t="s">
        <v>209</v>
      </c>
      <c r="K1855" t="s">
        <v>74</v>
      </c>
      <c r="L1855">
        <v>11</v>
      </c>
      <c r="M1855" t="s">
        <v>3258</v>
      </c>
      <c r="N1855" t="s">
        <v>4657</v>
      </c>
    </row>
    <row r="1856" spans="1:14" x14ac:dyDescent="0.35">
      <c r="A1856" t="s">
        <v>5359</v>
      </c>
      <c r="B1856" t="s">
        <v>5360</v>
      </c>
      <c r="C1856" t="s">
        <v>116</v>
      </c>
      <c r="D1856">
        <v>8.58</v>
      </c>
      <c r="E1856">
        <v>100</v>
      </c>
      <c r="F1856" t="s">
        <v>74</v>
      </c>
      <c r="G1856" t="s">
        <v>32</v>
      </c>
      <c r="H1856" t="s">
        <v>33</v>
      </c>
      <c r="I1856" t="s">
        <v>34</v>
      </c>
      <c r="J1856" t="s">
        <v>70</v>
      </c>
      <c r="K1856" t="s">
        <v>31</v>
      </c>
      <c r="L1856">
        <v>17</v>
      </c>
      <c r="M1856" t="s">
        <v>987</v>
      </c>
      <c r="N1856" t="s">
        <v>4636</v>
      </c>
    </row>
    <row r="1857" spans="1:14" x14ac:dyDescent="0.35">
      <c r="A1857" t="s">
        <v>5361</v>
      </c>
      <c r="B1857" t="s">
        <v>5362</v>
      </c>
      <c r="C1857" t="s">
        <v>62</v>
      </c>
      <c r="D1857">
        <v>73.459999999999994</v>
      </c>
      <c r="E1857">
        <v>5000</v>
      </c>
      <c r="F1857" t="s">
        <v>31</v>
      </c>
      <c r="G1857" t="s">
        <v>32</v>
      </c>
      <c r="H1857" t="s">
        <v>43</v>
      </c>
      <c r="I1857" t="s">
        <v>44</v>
      </c>
      <c r="J1857" t="s">
        <v>830</v>
      </c>
      <c r="K1857" t="s">
        <v>51</v>
      </c>
      <c r="L1857">
        <v>23</v>
      </c>
      <c r="M1857" t="s">
        <v>1798</v>
      </c>
      <c r="N1857" t="s">
        <v>5363</v>
      </c>
    </row>
    <row r="1858" spans="1:14" x14ac:dyDescent="0.35">
      <c r="A1858" t="s">
        <v>5364</v>
      </c>
      <c r="B1858" t="s">
        <v>5365</v>
      </c>
      <c r="C1858" t="s">
        <v>69</v>
      </c>
      <c r="D1858">
        <v>91.94</v>
      </c>
      <c r="E1858">
        <v>46000</v>
      </c>
      <c r="F1858" t="s">
        <v>76</v>
      </c>
      <c r="G1858" t="s">
        <v>32</v>
      </c>
      <c r="H1858" t="s">
        <v>33</v>
      </c>
      <c r="I1858" t="s">
        <v>44</v>
      </c>
      <c r="J1858" t="s">
        <v>209</v>
      </c>
      <c r="K1858" t="s">
        <v>74</v>
      </c>
      <c r="L1858">
        <v>8</v>
      </c>
      <c r="N1858" t="s">
        <v>1173</v>
      </c>
    </row>
    <row r="1859" spans="1:14" x14ac:dyDescent="0.35">
      <c r="A1859" t="s">
        <v>5366</v>
      </c>
      <c r="B1859" t="s">
        <v>5367</v>
      </c>
      <c r="C1859" t="s">
        <v>30</v>
      </c>
      <c r="D1859">
        <v>191.86</v>
      </c>
      <c r="E1859">
        <v>18000</v>
      </c>
      <c r="F1859" t="s">
        <v>76</v>
      </c>
      <c r="G1859" t="s">
        <v>32</v>
      </c>
      <c r="H1859" t="s">
        <v>43</v>
      </c>
      <c r="J1859" t="s">
        <v>63</v>
      </c>
      <c r="K1859" t="s">
        <v>64</v>
      </c>
      <c r="L1859">
        <v>21</v>
      </c>
      <c r="N1859" t="s">
        <v>3164</v>
      </c>
    </row>
    <row r="1860" spans="1:14" x14ac:dyDescent="0.35">
      <c r="A1860" t="s">
        <v>5368</v>
      </c>
      <c r="B1860" t="s">
        <v>5369</v>
      </c>
      <c r="C1860" t="s">
        <v>81</v>
      </c>
      <c r="D1860">
        <v>118.25</v>
      </c>
      <c r="E1860">
        <v>1000</v>
      </c>
      <c r="F1860" t="s">
        <v>106</v>
      </c>
      <c r="G1860" t="s">
        <v>32</v>
      </c>
      <c r="H1860" t="s">
        <v>33</v>
      </c>
      <c r="I1860" t="s">
        <v>44</v>
      </c>
      <c r="J1860" t="s">
        <v>112</v>
      </c>
      <c r="K1860" t="s">
        <v>106</v>
      </c>
      <c r="L1860">
        <v>15</v>
      </c>
      <c r="M1860" t="s">
        <v>335</v>
      </c>
      <c r="N1860" t="s">
        <v>418</v>
      </c>
    </row>
    <row r="1861" spans="1:14" x14ac:dyDescent="0.35">
      <c r="A1861" t="s">
        <v>5370</v>
      </c>
      <c r="B1861" t="s">
        <v>5371</v>
      </c>
      <c r="C1861" t="s">
        <v>116</v>
      </c>
      <c r="D1861">
        <v>11.19</v>
      </c>
      <c r="E1861">
        <v>100</v>
      </c>
      <c r="F1861" t="s">
        <v>51</v>
      </c>
      <c r="G1861" t="s">
        <v>32</v>
      </c>
      <c r="H1861" t="s">
        <v>43</v>
      </c>
      <c r="I1861" t="s">
        <v>44</v>
      </c>
      <c r="J1861" t="s">
        <v>70</v>
      </c>
      <c r="K1861" t="s">
        <v>31</v>
      </c>
      <c r="L1861">
        <v>16</v>
      </c>
      <c r="N1861" t="s">
        <v>2373</v>
      </c>
    </row>
    <row r="1862" spans="1:14" x14ac:dyDescent="0.35">
      <c r="A1862" t="s">
        <v>5372</v>
      </c>
      <c r="B1862" t="s">
        <v>5373</v>
      </c>
      <c r="C1862" t="s">
        <v>81</v>
      </c>
      <c r="D1862">
        <v>134.28</v>
      </c>
      <c r="E1862">
        <v>2000</v>
      </c>
      <c r="F1862" t="s">
        <v>51</v>
      </c>
      <c r="G1862" t="s">
        <v>32</v>
      </c>
      <c r="H1862" t="s">
        <v>33</v>
      </c>
      <c r="I1862" t="s">
        <v>44</v>
      </c>
      <c r="J1862" t="s">
        <v>112</v>
      </c>
      <c r="K1862" t="s">
        <v>106</v>
      </c>
      <c r="L1862">
        <v>20</v>
      </c>
      <c r="N1862" t="s">
        <v>4090</v>
      </c>
    </row>
    <row r="1863" spans="1:14" x14ac:dyDescent="0.35">
      <c r="A1863" t="s">
        <v>5374</v>
      </c>
      <c r="B1863" t="s">
        <v>5375</v>
      </c>
      <c r="C1863" t="s">
        <v>116</v>
      </c>
      <c r="D1863">
        <v>7.25</v>
      </c>
      <c r="E1863">
        <v>600</v>
      </c>
      <c r="F1863" t="s">
        <v>236</v>
      </c>
      <c r="G1863" t="s">
        <v>32</v>
      </c>
      <c r="H1863" t="s">
        <v>33</v>
      </c>
      <c r="I1863" t="s">
        <v>34</v>
      </c>
      <c r="J1863" t="s">
        <v>3695</v>
      </c>
      <c r="K1863" t="s">
        <v>51</v>
      </c>
      <c r="L1863">
        <v>15</v>
      </c>
      <c r="M1863" t="s">
        <v>574</v>
      </c>
      <c r="N1863" t="s">
        <v>3248</v>
      </c>
    </row>
    <row r="1864" spans="1:14" x14ac:dyDescent="0.35">
      <c r="A1864" t="s">
        <v>5376</v>
      </c>
      <c r="B1864" t="s">
        <v>5377</v>
      </c>
      <c r="C1864" t="s">
        <v>81</v>
      </c>
      <c r="D1864">
        <v>109.4</v>
      </c>
      <c r="E1864">
        <v>8000</v>
      </c>
      <c r="F1864" t="s">
        <v>139</v>
      </c>
      <c r="G1864" t="s">
        <v>32</v>
      </c>
      <c r="H1864" t="s">
        <v>43</v>
      </c>
      <c r="I1864" t="s">
        <v>34</v>
      </c>
      <c r="J1864" t="s">
        <v>3080</v>
      </c>
      <c r="K1864" t="s">
        <v>139</v>
      </c>
      <c r="L1864">
        <v>14</v>
      </c>
      <c r="M1864" t="s">
        <v>1933</v>
      </c>
      <c r="N1864" t="s">
        <v>600</v>
      </c>
    </row>
    <row r="1865" spans="1:14" x14ac:dyDescent="0.35">
      <c r="A1865" t="s">
        <v>5378</v>
      </c>
      <c r="B1865" t="s">
        <v>5379</v>
      </c>
      <c r="C1865" t="s">
        <v>41</v>
      </c>
      <c r="D1865">
        <v>127.18</v>
      </c>
      <c r="E1865">
        <v>27000</v>
      </c>
      <c r="F1865" t="s">
        <v>42</v>
      </c>
      <c r="G1865" t="s">
        <v>32</v>
      </c>
      <c r="H1865" t="s">
        <v>33</v>
      </c>
      <c r="I1865" t="s">
        <v>34</v>
      </c>
      <c r="J1865" t="s">
        <v>124</v>
      </c>
      <c r="K1865" t="s">
        <v>117</v>
      </c>
      <c r="L1865">
        <v>5</v>
      </c>
      <c r="M1865" t="s">
        <v>462</v>
      </c>
      <c r="N1865" t="s">
        <v>2901</v>
      </c>
    </row>
    <row r="1866" spans="1:14" x14ac:dyDescent="0.35">
      <c r="A1866" t="s">
        <v>5380</v>
      </c>
      <c r="B1866" t="s">
        <v>5381</v>
      </c>
      <c r="C1866" t="s">
        <v>62</v>
      </c>
      <c r="D1866">
        <v>68.92</v>
      </c>
      <c r="E1866">
        <v>5000</v>
      </c>
      <c r="F1866" t="s">
        <v>106</v>
      </c>
      <c r="G1866" t="s">
        <v>32</v>
      </c>
      <c r="H1866" t="s">
        <v>33</v>
      </c>
      <c r="I1866" t="s">
        <v>44</v>
      </c>
      <c r="J1866" t="s">
        <v>70</v>
      </c>
      <c r="K1866" t="s">
        <v>31</v>
      </c>
      <c r="L1866">
        <v>7</v>
      </c>
      <c r="M1866" t="s">
        <v>5382</v>
      </c>
      <c r="N1866" t="s">
        <v>2112</v>
      </c>
    </row>
    <row r="1867" spans="1:14" x14ac:dyDescent="0.35">
      <c r="A1867" t="s">
        <v>5383</v>
      </c>
      <c r="B1867" t="s">
        <v>5384</v>
      </c>
      <c r="C1867" t="s">
        <v>62</v>
      </c>
      <c r="D1867">
        <v>70.400000000000006</v>
      </c>
      <c r="E1867">
        <v>1000</v>
      </c>
      <c r="F1867" t="s">
        <v>106</v>
      </c>
      <c r="G1867" t="s">
        <v>32</v>
      </c>
      <c r="H1867" t="s">
        <v>57</v>
      </c>
      <c r="I1867" t="s">
        <v>129</v>
      </c>
      <c r="J1867" t="s">
        <v>112</v>
      </c>
      <c r="K1867" t="s">
        <v>106</v>
      </c>
      <c r="L1867">
        <v>0</v>
      </c>
      <c r="M1867" t="s">
        <v>1691</v>
      </c>
      <c r="N1867" t="s">
        <v>2989</v>
      </c>
    </row>
    <row r="1868" spans="1:14" x14ac:dyDescent="0.35">
      <c r="A1868" t="s">
        <v>5385</v>
      </c>
      <c r="B1868" t="s">
        <v>5386</v>
      </c>
      <c r="C1868" t="s">
        <v>41</v>
      </c>
      <c r="D1868">
        <v>86.19</v>
      </c>
      <c r="E1868">
        <v>39000</v>
      </c>
      <c r="F1868" t="s">
        <v>51</v>
      </c>
      <c r="G1868" t="s">
        <v>32</v>
      </c>
      <c r="H1868" t="s">
        <v>33</v>
      </c>
      <c r="I1868" t="s">
        <v>129</v>
      </c>
      <c r="J1868" t="s">
        <v>75</v>
      </c>
      <c r="K1868" t="s">
        <v>76</v>
      </c>
      <c r="L1868">
        <v>1</v>
      </c>
      <c r="M1868" t="s">
        <v>1072</v>
      </c>
      <c r="N1868" t="s">
        <v>165</v>
      </c>
    </row>
    <row r="1869" spans="1:14" x14ac:dyDescent="0.35">
      <c r="A1869" t="s">
        <v>5387</v>
      </c>
      <c r="B1869" t="s">
        <v>5388</v>
      </c>
      <c r="C1869" t="s">
        <v>30</v>
      </c>
      <c r="D1869">
        <v>114.11</v>
      </c>
      <c r="E1869">
        <v>14000</v>
      </c>
      <c r="F1869" t="s">
        <v>87</v>
      </c>
      <c r="G1869" t="s">
        <v>32</v>
      </c>
      <c r="H1869" t="s">
        <v>43</v>
      </c>
      <c r="J1869" t="s">
        <v>778</v>
      </c>
      <c r="K1869" t="s">
        <v>139</v>
      </c>
      <c r="L1869">
        <v>7</v>
      </c>
      <c r="M1869" t="s">
        <v>2387</v>
      </c>
      <c r="N1869" t="s">
        <v>5389</v>
      </c>
    </row>
    <row r="1870" spans="1:14" x14ac:dyDescent="0.35">
      <c r="A1870" t="s">
        <v>5390</v>
      </c>
      <c r="B1870" t="s">
        <v>5391</v>
      </c>
      <c r="C1870" t="s">
        <v>62</v>
      </c>
      <c r="D1870">
        <v>52.2</v>
      </c>
      <c r="E1870">
        <v>5000</v>
      </c>
      <c r="F1870" t="s">
        <v>74</v>
      </c>
      <c r="G1870" t="s">
        <v>32</v>
      </c>
      <c r="H1870" t="s">
        <v>33</v>
      </c>
      <c r="J1870" t="s">
        <v>107</v>
      </c>
      <c r="K1870" t="s">
        <v>87</v>
      </c>
      <c r="L1870">
        <v>7</v>
      </c>
      <c r="M1870" t="s">
        <v>881</v>
      </c>
      <c r="N1870" t="s">
        <v>5392</v>
      </c>
    </row>
    <row r="1871" spans="1:14" x14ac:dyDescent="0.35">
      <c r="A1871" t="s">
        <v>5393</v>
      </c>
      <c r="B1871" t="s">
        <v>5394</v>
      </c>
      <c r="C1871" t="s">
        <v>69</v>
      </c>
      <c r="D1871">
        <v>89.14</v>
      </c>
      <c r="E1871">
        <v>49000</v>
      </c>
      <c r="F1871" t="s">
        <v>46</v>
      </c>
      <c r="G1871" t="s">
        <v>32</v>
      </c>
      <c r="H1871" t="s">
        <v>33</v>
      </c>
      <c r="I1871" t="s">
        <v>34</v>
      </c>
      <c r="J1871" t="s">
        <v>124</v>
      </c>
      <c r="K1871" t="s">
        <v>117</v>
      </c>
      <c r="L1871">
        <v>1</v>
      </c>
      <c r="M1871" t="s">
        <v>1928</v>
      </c>
      <c r="N1871" t="s">
        <v>5389</v>
      </c>
    </row>
    <row r="1872" spans="1:14" x14ac:dyDescent="0.35">
      <c r="A1872" t="s">
        <v>5395</v>
      </c>
      <c r="B1872" t="s">
        <v>5396</v>
      </c>
      <c r="C1872" t="s">
        <v>41</v>
      </c>
      <c r="D1872">
        <v>118.75</v>
      </c>
      <c r="E1872">
        <v>38000</v>
      </c>
      <c r="F1872" t="s">
        <v>106</v>
      </c>
      <c r="G1872" t="s">
        <v>32</v>
      </c>
      <c r="H1872" t="s">
        <v>43</v>
      </c>
      <c r="I1872" t="s">
        <v>34</v>
      </c>
      <c r="J1872" t="s">
        <v>112</v>
      </c>
      <c r="K1872" t="s">
        <v>106</v>
      </c>
      <c r="L1872">
        <v>8</v>
      </c>
      <c r="N1872" t="s">
        <v>2914</v>
      </c>
    </row>
    <row r="1873" spans="1:14" x14ac:dyDescent="0.35">
      <c r="A1873" t="s">
        <v>5397</v>
      </c>
      <c r="B1873" t="s">
        <v>5398</v>
      </c>
      <c r="C1873" t="s">
        <v>41</v>
      </c>
      <c r="D1873">
        <v>105.43</v>
      </c>
      <c r="E1873">
        <v>10000</v>
      </c>
      <c r="F1873" t="s">
        <v>87</v>
      </c>
      <c r="G1873" t="s">
        <v>32</v>
      </c>
      <c r="H1873" t="s">
        <v>57</v>
      </c>
      <c r="I1873" t="s">
        <v>44</v>
      </c>
      <c r="J1873" t="s">
        <v>5399</v>
      </c>
      <c r="K1873" t="s">
        <v>51</v>
      </c>
      <c r="L1873">
        <v>17</v>
      </c>
      <c r="N1873" t="s">
        <v>5400</v>
      </c>
    </row>
    <row r="1874" spans="1:14" x14ac:dyDescent="0.35">
      <c r="A1874" t="s">
        <v>5401</v>
      </c>
      <c r="B1874" t="s">
        <v>5402</v>
      </c>
      <c r="C1874" t="s">
        <v>81</v>
      </c>
      <c r="D1874">
        <v>123.54</v>
      </c>
      <c r="E1874">
        <v>1000</v>
      </c>
      <c r="F1874" t="s">
        <v>117</v>
      </c>
      <c r="G1874" t="s">
        <v>32</v>
      </c>
      <c r="H1874" t="s">
        <v>57</v>
      </c>
      <c r="I1874" t="s">
        <v>34</v>
      </c>
      <c r="J1874" t="s">
        <v>107</v>
      </c>
      <c r="K1874" t="s">
        <v>87</v>
      </c>
      <c r="L1874">
        <v>13</v>
      </c>
      <c r="N1874" t="s">
        <v>594</v>
      </c>
    </row>
    <row r="1875" spans="1:14" x14ac:dyDescent="0.35">
      <c r="A1875" t="s">
        <v>5403</v>
      </c>
      <c r="B1875" t="s">
        <v>5404</v>
      </c>
      <c r="C1875" t="s">
        <v>41</v>
      </c>
      <c r="D1875">
        <v>159.01</v>
      </c>
      <c r="E1875">
        <v>26000</v>
      </c>
      <c r="F1875" t="s">
        <v>147</v>
      </c>
      <c r="G1875" t="s">
        <v>32</v>
      </c>
      <c r="H1875" t="s">
        <v>43</v>
      </c>
      <c r="I1875" t="s">
        <v>34</v>
      </c>
      <c r="J1875" t="s">
        <v>118</v>
      </c>
      <c r="K1875" t="s">
        <v>42</v>
      </c>
      <c r="L1875">
        <v>11</v>
      </c>
      <c r="M1875" t="s">
        <v>1928</v>
      </c>
      <c r="N1875" t="s">
        <v>5405</v>
      </c>
    </row>
    <row r="1876" spans="1:14" x14ac:dyDescent="0.35">
      <c r="A1876" t="s">
        <v>5406</v>
      </c>
      <c r="B1876" t="s">
        <v>5407</v>
      </c>
      <c r="C1876" t="s">
        <v>41</v>
      </c>
      <c r="D1876">
        <v>127.94</v>
      </c>
      <c r="E1876">
        <v>34000</v>
      </c>
      <c r="F1876" t="s">
        <v>31</v>
      </c>
      <c r="G1876" t="s">
        <v>32</v>
      </c>
      <c r="H1876" t="s">
        <v>57</v>
      </c>
      <c r="I1876" t="s">
        <v>44</v>
      </c>
      <c r="J1876" t="s">
        <v>1827</v>
      </c>
      <c r="K1876" t="s">
        <v>51</v>
      </c>
      <c r="L1876">
        <v>19</v>
      </c>
      <c r="M1876" t="s">
        <v>1383</v>
      </c>
      <c r="N1876" t="s">
        <v>972</v>
      </c>
    </row>
    <row r="1877" spans="1:14" x14ac:dyDescent="0.35">
      <c r="A1877" t="s">
        <v>5408</v>
      </c>
      <c r="B1877" t="s">
        <v>5409</v>
      </c>
      <c r="C1877" t="s">
        <v>41</v>
      </c>
      <c r="D1877">
        <v>86.86</v>
      </c>
      <c r="E1877">
        <v>28000</v>
      </c>
      <c r="F1877" t="s">
        <v>236</v>
      </c>
      <c r="G1877" t="s">
        <v>32</v>
      </c>
      <c r="H1877" t="s">
        <v>43</v>
      </c>
      <c r="J1877" t="s">
        <v>63</v>
      </c>
      <c r="K1877" t="s">
        <v>64</v>
      </c>
      <c r="L1877">
        <v>11</v>
      </c>
      <c r="M1877" t="s">
        <v>58</v>
      </c>
      <c r="N1877" t="s">
        <v>5410</v>
      </c>
    </row>
    <row r="1878" spans="1:14" x14ac:dyDescent="0.35">
      <c r="A1878" t="s">
        <v>5411</v>
      </c>
      <c r="B1878" t="s">
        <v>5412</v>
      </c>
      <c r="C1878" t="s">
        <v>69</v>
      </c>
      <c r="D1878">
        <v>60.1</v>
      </c>
      <c r="E1878">
        <v>20000</v>
      </c>
      <c r="F1878" t="s">
        <v>36</v>
      </c>
      <c r="G1878" t="s">
        <v>32</v>
      </c>
      <c r="H1878" t="s">
        <v>57</v>
      </c>
      <c r="I1878" t="s">
        <v>44</v>
      </c>
      <c r="J1878" t="s">
        <v>45</v>
      </c>
      <c r="K1878" t="s">
        <v>46</v>
      </c>
      <c r="L1878">
        <v>13</v>
      </c>
      <c r="N1878" t="s">
        <v>3418</v>
      </c>
    </row>
    <row r="1879" spans="1:14" x14ac:dyDescent="0.35">
      <c r="A1879" t="s">
        <v>5413</v>
      </c>
      <c r="B1879" t="s">
        <v>5414</v>
      </c>
      <c r="C1879" t="s">
        <v>81</v>
      </c>
      <c r="D1879">
        <v>133.62</v>
      </c>
      <c r="E1879">
        <v>3000</v>
      </c>
      <c r="F1879" t="s">
        <v>36</v>
      </c>
      <c r="G1879" t="s">
        <v>32</v>
      </c>
      <c r="H1879" t="s">
        <v>43</v>
      </c>
      <c r="I1879" t="s">
        <v>129</v>
      </c>
      <c r="J1879" t="s">
        <v>366</v>
      </c>
      <c r="K1879" t="s">
        <v>51</v>
      </c>
      <c r="L1879">
        <v>11</v>
      </c>
      <c r="N1879" t="s">
        <v>1461</v>
      </c>
    </row>
    <row r="1880" spans="1:14" x14ac:dyDescent="0.35">
      <c r="A1880" t="s">
        <v>5415</v>
      </c>
      <c r="B1880" t="s">
        <v>5416</v>
      </c>
      <c r="C1880" t="s">
        <v>30</v>
      </c>
      <c r="D1880">
        <v>186.6</v>
      </c>
      <c r="E1880">
        <v>8000</v>
      </c>
      <c r="F1880" t="s">
        <v>42</v>
      </c>
      <c r="G1880" t="s">
        <v>32</v>
      </c>
      <c r="H1880" t="s">
        <v>43</v>
      </c>
      <c r="I1880" t="s">
        <v>34</v>
      </c>
      <c r="J1880" t="s">
        <v>830</v>
      </c>
      <c r="K1880" t="s">
        <v>51</v>
      </c>
      <c r="L1880">
        <v>12</v>
      </c>
      <c r="M1880" t="s">
        <v>5417</v>
      </c>
      <c r="N1880" t="s">
        <v>3988</v>
      </c>
    </row>
    <row r="1881" spans="1:14" x14ac:dyDescent="0.35">
      <c r="A1881" t="s">
        <v>5418</v>
      </c>
      <c r="B1881" t="s">
        <v>5419</v>
      </c>
      <c r="C1881" t="s">
        <v>116</v>
      </c>
      <c r="D1881">
        <v>11.85</v>
      </c>
      <c r="E1881">
        <v>400</v>
      </c>
      <c r="F1881" t="s">
        <v>36</v>
      </c>
      <c r="G1881" t="s">
        <v>32</v>
      </c>
      <c r="H1881" t="s">
        <v>33</v>
      </c>
      <c r="J1881" t="s">
        <v>45</v>
      </c>
      <c r="K1881" t="s">
        <v>46</v>
      </c>
      <c r="L1881">
        <v>17</v>
      </c>
      <c r="M1881" t="s">
        <v>835</v>
      </c>
      <c r="N1881" t="s">
        <v>699</v>
      </c>
    </row>
    <row r="1882" spans="1:14" x14ac:dyDescent="0.35">
      <c r="A1882" t="s">
        <v>5420</v>
      </c>
      <c r="B1882" t="s">
        <v>5421</v>
      </c>
      <c r="C1882" t="s">
        <v>62</v>
      </c>
      <c r="D1882">
        <v>76.62</v>
      </c>
      <c r="E1882">
        <v>2000</v>
      </c>
      <c r="F1882" t="s">
        <v>76</v>
      </c>
      <c r="G1882" t="s">
        <v>32</v>
      </c>
      <c r="H1882" t="s">
        <v>33</v>
      </c>
      <c r="I1882" t="s">
        <v>44</v>
      </c>
      <c r="J1882" t="s">
        <v>2649</v>
      </c>
      <c r="K1882" t="s">
        <v>97</v>
      </c>
      <c r="L1882">
        <v>15</v>
      </c>
      <c r="M1882" t="s">
        <v>1723</v>
      </c>
      <c r="N1882" t="s">
        <v>1724</v>
      </c>
    </row>
    <row r="1883" spans="1:14" x14ac:dyDescent="0.35">
      <c r="A1883" t="s">
        <v>5422</v>
      </c>
      <c r="B1883" t="s">
        <v>5423</v>
      </c>
      <c r="C1883" t="s">
        <v>30</v>
      </c>
      <c r="D1883">
        <v>186.8</v>
      </c>
      <c r="E1883">
        <v>15000</v>
      </c>
      <c r="F1883" t="s">
        <v>31</v>
      </c>
      <c r="G1883" t="s">
        <v>32</v>
      </c>
      <c r="H1883" t="s">
        <v>57</v>
      </c>
      <c r="I1883" t="s">
        <v>34</v>
      </c>
      <c r="J1883" t="s">
        <v>130</v>
      </c>
      <c r="K1883" t="s">
        <v>123</v>
      </c>
      <c r="L1883">
        <v>18</v>
      </c>
      <c r="M1883" t="s">
        <v>3046</v>
      </c>
      <c r="N1883" t="s">
        <v>2964</v>
      </c>
    </row>
    <row r="1884" spans="1:14" x14ac:dyDescent="0.35">
      <c r="A1884" t="s">
        <v>5424</v>
      </c>
      <c r="B1884" t="s">
        <v>5425</v>
      </c>
      <c r="C1884" t="s">
        <v>30</v>
      </c>
      <c r="D1884">
        <v>176.04</v>
      </c>
      <c r="E1884">
        <v>14000</v>
      </c>
      <c r="F1884" t="s">
        <v>123</v>
      </c>
      <c r="G1884" t="s">
        <v>32</v>
      </c>
      <c r="H1884" t="s">
        <v>57</v>
      </c>
      <c r="I1884" t="s">
        <v>44</v>
      </c>
      <c r="J1884" t="s">
        <v>543</v>
      </c>
      <c r="K1884" t="s">
        <v>51</v>
      </c>
      <c r="L1884">
        <v>1</v>
      </c>
      <c r="N1884" t="s">
        <v>1622</v>
      </c>
    </row>
    <row r="1885" spans="1:14" x14ac:dyDescent="0.35">
      <c r="A1885" t="s">
        <v>5426</v>
      </c>
      <c r="B1885" t="s">
        <v>5427</v>
      </c>
      <c r="C1885" t="s">
        <v>30</v>
      </c>
      <c r="D1885">
        <v>147.02000000000001</v>
      </c>
      <c r="E1885">
        <v>11000</v>
      </c>
      <c r="F1885" t="s">
        <v>76</v>
      </c>
      <c r="G1885" t="s">
        <v>102</v>
      </c>
      <c r="H1885" t="s">
        <v>57</v>
      </c>
      <c r="I1885" t="s">
        <v>34</v>
      </c>
      <c r="J1885" t="s">
        <v>839</v>
      </c>
      <c r="K1885" t="s">
        <v>139</v>
      </c>
      <c r="L1885">
        <v>8</v>
      </c>
      <c r="N1885" t="s">
        <v>1193</v>
      </c>
    </row>
    <row r="1886" spans="1:14" x14ac:dyDescent="0.35">
      <c r="A1886" t="s">
        <v>5428</v>
      </c>
      <c r="B1886" t="s">
        <v>5429</v>
      </c>
      <c r="C1886" t="s">
        <v>81</v>
      </c>
      <c r="D1886">
        <v>103.88</v>
      </c>
      <c r="E1886">
        <v>9000</v>
      </c>
      <c r="F1886" t="s">
        <v>87</v>
      </c>
      <c r="G1886" t="s">
        <v>32</v>
      </c>
      <c r="H1886" t="s">
        <v>33</v>
      </c>
      <c r="I1886" t="s">
        <v>44</v>
      </c>
      <c r="J1886" t="s">
        <v>1071</v>
      </c>
      <c r="K1886" t="s">
        <v>236</v>
      </c>
      <c r="L1886">
        <v>0</v>
      </c>
      <c r="M1886" t="s">
        <v>3491</v>
      </c>
      <c r="N1886" t="s">
        <v>5430</v>
      </c>
    </row>
    <row r="1887" spans="1:14" x14ac:dyDescent="0.35">
      <c r="A1887" t="s">
        <v>5431</v>
      </c>
      <c r="B1887" t="s">
        <v>5432</v>
      </c>
      <c r="C1887" t="s">
        <v>62</v>
      </c>
      <c r="D1887">
        <v>58.86</v>
      </c>
      <c r="E1887">
        <v>4000</v>
      </c>
      <c r="F1887" t="s">
        <v>97</v>
      </c>
      <c r="G1887" t="s">
        <v>32</v>
      </c>
      <c r="H1887" t="s">
        <v>33</v>
      </c>
      <c r="I1887" t="s">
        <v>34</v>
      </c>
      <c r="J1887" t="s">
        <v>124</v>
      </c>
      <c r="K1887" t="s">
        <v>117</v>
      </c>
      <c r="L1887">
        <v>6</v>
      </c>
      <c r="N1887" t="s">
        <v>1225</v>
      </c>
    </row>
    <row r="1888" spans="1:14" x14ac:dyDescent="0.35">
      <c r="A1888" t="s">
        <v>5433</v>
      </c>
      <c r="B1888" t="s">
        <v>5434</v>
      </c>
      <c r="C1888" t="s">
        <v>30</v>
      </c>
      <c r="D1888">
        <v>100.8</v>
      </c>
      <c r="E1888">
        <v>10000</v>
      </c>
      <c r="F1888" t="s">
        <v>51</v>
      </c>
      <c r="G1888" t="s">
        <v>102</v>
      </c>
      <c r="H1888" t="s">
        <v>57</v>
      </c>
      <c r="I1888" t="s">
        <v>44</v>
      </c>
      <c r="J1888" t="s">
        <v>118</v>
      </c>
      <c r="K1888" t="s">
        <v>42</v>
      </c>
      <c r="L1888">
        <v>8</v>
      </c>
      <c r="M1888" t="s">
        <v>1252</v>
      </c>
      <c r="N1888" t="s">
        <v>5435</v>
      </c>
    </row>
    <row r="1889" spans="1:14" x14ac:dyDescent="0.35">
      <c r="A1889" t="s">
        <v>5436</v>
      </c>
      <c r="B1889" t="s">
        <v>5437</v>
      </c>
      <c r="C1889" t="s">
        <v>30</v>
      </c>
      <c r="D1889">
        <v>168.6</v>
      </c>
      <c r="E1889">
        <v>14000</v>
      </c>
      <c r="F1889" t="s">
        <v>64</v>
      </c>
      <c r="G1889" t="s">
        <v>32</v>
      </c>
      <c r="H1889" t="s">
        <v>33</v>
      </c>
      <c r="I1889" t="s">
        <v>44</v>
      </c>
      <c r="J1889" t="s">
        <v>174</v>
      </c>
      <c r="K1889" t="s">
        <v>139</v>
      </c>
      <c r="L1889">
        <v>11</v>
      </c>
      <c r="M1889" t="s">
        <v>864</v>
      </c>
      <c r="N1889" t="s">
        <v>1944</v>
      </c>
    </row>
    <row r="1890" spans="1:14" x14ac:dyDescent="0.35">
      <c r="A1890" t="s">
        <v>5438</v>
      </c>
      <c r="B1890" t="s">
        <v>5439</v>
      </c>
      <c r="C1890" t="s">
        <v>81</v>
      </c>
      <c r="D1890">
        <v>81.12</v>
      </c>
      <c r="E1890">
        <v>2000</v>
      </c>
      <c r="F1890" t="s">
        <v>76</v>
      </c>
      <c r="G1890" t="s">
        <v>32</v>
      </c>
      <c r="H1890" t="s">
        <v>33</v>
      </c>
      <c r="I1890" t="s">
        <v>44</v>
      </c>
      <c r="J1890" t="s">
        <v>35</v>
      </c>
      <c r="K1890" t="s">
        <v>36</v>
      </c>
      <c r="L1890">
        <v>0</v>
      </c>
      <c r="M1890" t="s">
        <v>148</v>
      </c>
      <c r="N1890" t="s">
        <v>5440</v>
      </c>
    </row>
    <row r="1891" spans="1:14" x14ac:dyDescent="0.35">
      <c r="A1891" t="s">
        <v>5441</v>
      </c>
      <c r="B1891" t="s">
        <v>5442</v>
      </c>
      <c r="C1891" t="s">
        <v>30</v>
      </c>
      <c r="D1891">
        <v>170.45</v>
      </c>
      <c r="E1891">
        <v>5000</v>
      </c>
      <c r="F1891" t="s">
        <v>36</v>
      </c>
      <c r="G1891" t="s">
        <v>32</v>
      </c>
      <c r="H1891" t="s">
        <v>33</v>
      </c>
      <c r="I1891" t="s">
        <v>44</v>
      </c>
      <c r="J1891" t="s">
        <v>2149</v>
      </c>
      <c r="K1891" t="s">
        <v>117</v>
      </c>
      <c r="L1891">
        <v>2</v>
      </c>
      <c r="N1891" t="s">
        <v>992</v>
      </c>
    </row>
    <row r="1892" spans="1:14" x14ac:dyDescent="0.35">
      <c r="A1892" t="s">
        <v>5443</v>
      </c>
      <c r="B1892" t="s">
        <v>5444</v>
      </c>
      <c r="C1892" t="s">
        <v>116</v>
      </c>
      <c r="D1892">
        <v>8.67</v>
      </c>
      <c r="E1892">
        <v>600</v>
      </c>
      <c r="F1892" t="s">
        <v>74</v>
      </c>
      <c r="G1892" t="s">
        <v>32</v>
      </c>
      <c r="H1892" t="s">
        <v>57</v>
      </c>
      <c r="I1892" t="s">
        <v>34</v>
      </c>
      <c r="J1892" t="s">
        <v>45</v>
      </c>
      <c r="K1892" t="s">
        <v>46</v>
      </c>
      <c r="L1892">
        <v>4</v>
      </c>
      <c r="M1892" t="s">
        <v>492</v>
      </c>
      <c r="N1892" t="s">
        <v>1356</v>
      </c>
    </row>
    <row r="1893" spans="1:14" x14ac:dyDescent="0.35">
      <c r="A1893" t="s">
        <v>5445</v>
      </c>
      <c r="B1893" t="s">
        <v>5446</v>
      </c>
      <c r="C1893" t="s">
        <v>30</v>
      </c>
      <c r="D1893">
        <v>181.6</v>
      </c>
      <c r="E1893">
        <v>10000</v>
      </c>
      <c r="F1893" t="s">
        <v>106</v>
      </c>
      <c r="G1893" t="s">
        <v>32</v>
      </c>
      <c r="H1893" t="s">
        <v>33</v>
      </c>
      <c r="I1893" t="s">
        <v>44</v>
      </c>
      <c r="J1893" t="s">
        <v>35</v>
      </c>
      <c r="K1893" t="s">
        <v>36</v>
      </c>
      <c r="L1893">
        <v>1</v>
      </c>
      <c r="M1893" t="s">
        <v>760</v>
      </c>
      <c r="N1893" t="s">
        <v>240</v>
      </c>
    </row>
    <row r="1894" spans="1:14" x14ac:dyDescent="0.35">
      <c r="A1894" t="s">
        <v>5447</v>
      </c>
      <c r="B1894" t="s">
        <v>5448</v>
      </c>
      <c r="C1894" t="s">
        <v>81</v>
      </c>
      <c r="D1894">
        <v>89.04</v>
      </c>
      <c r="E1894">
        <v>9000</v>
      </c>
      <c r="F1894" t="s">
        <v>117</v>
      </c>
      <c r="G1894" t="s">
        <v>32</v>
      </c>
      <c r="H1894" t="s">
        <v>33</v>
      </c>
      <c r="I1894" t="s">
        <v>129</v>
      </c>
      <c r="J1894" t="s">
        <v>70</v>
      </c>
      <c r="K1894" t="s">
        <v>31</v>
      </c>
      <c r="L1894">
        <v>8</v>
      </c>
      <c r="M1894" t="s">
        <v>593</v>
      </c>
      <c r="N1894" t="s">
        <v>5449</v>
      </c>
    </row>
    <row r="1895" spans="1:14" x14ac:dyDescent="0.35">
      <c r="A1895" t="s">
        <v>5450</v>
      </c>
      <c r="B1895" t="s">
        <v>5451</v>
      </c>
      <c r="C1895" t="s">
        <v>69</v>
      </c>
      <c r="D1895">
        <v>50.41</v>
      </c>
      <c r="E1895">
        <v>17000</v>
      </c>
      <c r="F1895" t="s">
        <v>64</v>
      </c>
      <c r="G1895" t="s">
        <v>32</v>
      </c>
      <c r="H1895" t="s">
        <v>43</v>
      </c>
      <c r="I1895" t="s">
        <v>44</v>
      </c>
      <c r="J1895" t="s">
        <v>1208</v>
      </c>
      <c r="K1895" t="s">
        <v>147</v>
      </c>
      <c r="L1895">
        <v>20</v>
      </c>
      <c r="N1895" t="s">
        <v>3569</v>
      </c>
    </row>
    <row r="1896" spans="1:14" x14ac:dyDescent="0.35">
      <c r="A1896" t="s">
        <v>5452</v>
      </c>
      <c r="B1896" t="s">
        <v>5453</v>
      </c>
      <c r="C1896" t="s">
        <v>81</v>
      </c>
      <c r="D1896">
        <v>129.97999999999999</v>
      </c>
      <c r="E1896">
        <v>5000</v>
      </c>
      <c r="F1896" t="s">
        <v>76</v>
      </c>
      <c r="G1896" t="s">
        <v>32</v>
      </c>
      <c r="H1896" t="s">
        <v>57</v>
      </c>
      <c r="I1896" t="s">
        <v>44</v>
      </c>
      <c r="J1896" t="s">
        <v>63</v>
      </c>
      <c r="K1896" t="s">
        <v>64</v>
      </c>
      <c r="L1896">
        <v>17</v>
      </c>
      <c r="M1896" t="s">
        <v>148</v>
      </c>
      <c r="N1896" t="s">
        <v>1384</v>
      </c>
    </row>
    <row r="1897" spans="1:14" x14ac:dyDescent="0.35">
      <c r="A1897" t="s">
        <v>5454</v>
      </c>
      <c r="B1897" t="s">
        <v>5455</v>
      </c>
      <c r="C1897" t="s">
        <v>116</v>
      </c>
      <c r="D1897">
        <v>8.2100000000000009</v>
      </c>
      <c r="E1897">
        <v>500</v>
      </c>
      <c r="F1897" t="s">
        <v>51</v>
      </c>
      <c r="G1897" t="s">
        <v>32</v>
      </c>
      <c r="H1897" t="s">
        <v>57</v>
      </c>
      <c r="I1897" t="s">
        <v>44</v>
      </c>
      <c r="J1897" t="s">
        <v>523</v>
      </c>
      <c r="K1897" t="s">
        <v>36</v>
      </c>
      <c r="L1897">
        <v>22</v>
      </c>
      <c r="N1897" t="s">
        <v>4182</v>
      </c>
    </row>
    <row r="1898" spans="1:14" x14ac:dyDescent="0.35">
      <c r="A1898" t="s">
        <v>5456</v>
      </c>
      <c r="B1898" t="s">
        <v>5457</v>
      </c>
      <c r="C1898" t="s">
        <v>116</v>
      </c>
      <c r="D1898">
        <v>8.25</v>
      </c>
      <c r="E1898">
        <v>400</v>
      </c>
      <c r="F1898" t="s">
        <v>147</v>
      </c>
      <c r="G1898" t="s">
        <v>32</v>
      </c>
      <c r="H1898" t="s">
        <v>33</v>
      </c>
      <c r="I1898" t="s">
        <v>44</v>
      </c>
      <c r="J1898" t="s">
        <v>235</v>
      </c>
      <c r="K1898" t="s">
        <v>236</v>
      </c>
      <c r="L1898">
        <v>17</v>
      </c>
      <c r="M1898" t="s">
        <v>2407</v>
      </c>
      <c r="N1898" t="s">
        <v>5458</v>
      </c>
    </row>
    <row r="1899" spans="1:14" x14ac:dyDescent="0.35">
      <c r="A1899" t="s">
        <v>5459</v>
      </c>
      <c r="B1899" t="s">
        <v>5460</v>
      </c>
      <c r="C1899" t="s">
        <v>69</v>
      </c>
      <c r="D1899">
        <v>98.33</v>
      </c>
      <c r="E1899">
        <v>86000</v>
      </c>
      <c r="F1899" t="s">
        <v>236</v>
      </c>
      <c r="G1899" t="s">
        <v>32</v>
      </c>
      <c r="H1899" t="s">
        <v>33</v>
      </c>
      <c r="J1899" t="s">
        <v>63</v>
      </c>
      <c r="K1899" t="s">
        <v>64</v>
      </c>
      <c r="L1899">
        <v>15</v>
      </c>
      <c r="M1899" t="s">
        <v>202</v>
      </c>
      <c r="N1899" t="s">
        <v>1068</v>
      </c>
    </row>
    <row r="1900" spans="1:14" x14ac:dyDescent="0.35">
      <c r="A1900" t="s">
        <v>5461</v>
      </c>
      <c r="B1900" t="s">
        <v>5462</v>
      </c>
      <c r="C1900" t="s">
        <v>81</v>
      </c>
      <c r="D1900">
        <v>134.96</v>
      </c>
      <c r="E1900">
        <v>6000</v>
      </c>
      <c r="F1900" t="s">
        <v>123</v>
      </c>
      <c r="G1900" t="s">
        <v>32</v>
      </c>
      <c r="H1900" t="s">
        <v>57</v>
      </c>
      <c r="I1900" t="s">
        <v>44</v>
      </c>
      <c r="J1900" t="s">
        <v>130</v>
      </c>
      <c r="K1900" t="s">
        <v>123</v>
      </c>
      <c r="L1900">
        <v>22</v>
      </c>
      <c r="N1900" t="s">
        <v>3323</v>
      </c>
    </row>
    <row r="1901" spans="1:14" x14ac:dyDescent="0.35">
      <c r="A1901" t="s">
        <v>5463</v>
      </c>
      <c r="B1901" t="s">
        <v>5464</v>
      </c>
      <c r="C1901" t="s">
        <v>81</v>
      </c>
      <c r="D1901">
        <v>126.05</v>
      </c>
      <c r="E1901">
        <v>6000</v>
      </c>
      <c r="F1901" t="s">
        <v>147</v>
      </c>
      <c r="G1901" t="s">
        <v>32</v>
      </c>
      <c r="H1901" t="s">
        <v>43</v>
      </c>
      <c r="I1901" t="s">
        <v>44</v>
      </c>
      <c r="J1901" t="s">
        <v>63</v>
      </c>
      <c r="K1901" t="s">
        <v>64</v>
      </c>
      <c r="L1901">
        <v>12</v>
      </c>
      <c r="M1901" t="s">
        <v>1032</v>
      </c>
      <c r="N1901" t="s">
        <v>2123</v>
      </c>
    </row>
    <row r="1902" spans="1:14" x14ac:dyDescent="0.35">
      <c r="A1902" t="s">
        <v>5465</v>
      </c>
      <c r="B1902" t="s">
        <v>5466</v>
      </c>
      <c r="C1902" t="s">
        <v>62</v>
      </c>
      <c r="D1902">
        <v>60.36</v>
      </c>
      <c r="E1902">
        <v>4000</v>
      </c>
      <c r="F1902" t="s">
        <v>36</v>
      </c>
      <c r="G1902" t="s">
        <v>32</v>
      </c>
      <c r="H1902" t="s">
        <v>33</v>
      </c>
      <c r="I1902" t="s">
        <v>44</v>
      </c>
      <c r="J1902" t="s">
        <v>721</v>
      </c>
      <c r="K1902" t="s">
        <v>42</v>
      </c>
      <c r="L1902">
        <v>22</v>
      </c>
      <c r="N1902" t="s">
        <v>2367</v>
      </c>
    </row>
    <row r="1903" spans="1:14" x14ac:dyDescent="0.35">
      <c r="A1903" t="s">
        <v>5467</v>
      </c>
      <c r="B1903" t="s">
        <v>5468</v>
      </c>
      <c r="C1903" t="s">
        <v>41</v>
      </c>
      <c r="D1903">
        <v>120.75</v>
      </c>
      <c r="E1903">
        <v>17000</v>
      </c>
      <c r="F1903" t="s">
        <v>74</v>
      </c>
      <c r="G1903" t="s">
        <v>32</v>
      </c>
      <c r="H1903" t="s">
        <v>43</v>
      </c>
      <c r="I1903" t="s">
        <v>129</v>
      </c>
      <c r="J1903" t="s">
        <v>5469</v>
      </c>
      <c r="K1903" t="s">
        <v>51</v>
      </c>
      <c r="L1903">
        <v>5</v>
      </c>
      <c r="M1903" t="s">
        <v>1425</v>
      </c>
      <c r="N1903" t="s">
        <v>5470</v>
      </c>
    </row>
    <row r="1904" spans="1:14" x14ac:dyDescent="0.35">
      <c r="A1904" t="s">
        <v>5471</v>
      </c>
      <c r="B1904" t="s">
        <v>5472</v>
      </c>
      <c r="C1904" t="s">
        <v>41</v>
      </c>
      <c r="D1904">
        <v>95.21</v>
      </c>
      <c r="E1904">
        <v>14000</v>
      </c>
      <c r="F1904" t="s">
        <v>106</v>
      </c>
      <c r="G1904" t="s">
        <v>32</v>
      </c>
      <c r="H1904" t="s">
        <v>33</v>
      </c>
      <c r="I1904" t="s">
        <v>129</v>
      </c>
      <c r="J1904" t="s">
        <v>107</v>
      </c>
      <c r="K1904" t="s">
        <v>87</v>
      </c>
      <c r="L1904">
        <v>22</v>
      </c>
      <c r="M1904" t="s">
        <v>77</v>
      </c>
      <c r="N1904" t="s">
        <v>540</v>
      </c>
    </row>
    <row r="1905" spans="1:14" x14ac:dyDescent="0.35">
      <c r="A1905" t="s">
        <v>5473</v>
      </c>
      <c r="B1905" t="s">
        <v>5474</v>
      </c>
      <c r="C1905" t="s">
        <v>69</v>
      </c>
      <c r="D1905">
        <v>75.87</v>
      </c>
      <c r="E1905">
        <v>69000</v>
      </c>
      <c r="F1905" t="s">
        <v>147</v>
      </c>
      <c r="G1905" t="s">
        <v>102</v>
      </c>
      <c r="H1905" t="s">
        <v>43</v>
      </c>
      <c r="J1905" t="s">
        <v>174</v>
      </c>
      <c r="K1905" t="s">
        <v>139</v>
      </c>
      <c r="L1905">
        <v>13</v>
      </c>
      <c r="M1905" t="s">
        <v>672</v>
      </c>
      <c r="N1905" t="s">
        <v>2949</v>
      </c>
    </row>
    <row r="1906" spans="1:14" x14ac:dyDescent="0.35">
      <c r="A1906" t="s">
        <v>5475</v>
      </c>
      <c r="B1906" t="s">
        <v>5476</v>
      </c>
      <c r="C1906" t="s">
        <v>30</v>
      </c>
      <c r="D1906">
        <v>109.46</v>
      </c>
      <c r="E1906">
        <v>4000</v>
      </c>
      <c r="F1906" t="s">
        <v>117</v>
      </c>
      <c r="G1906" t="s">
        <v>32</v>
      </c>
      <c r="H1906" t="s">
        <v>57</v>
      </c>
      <c r="I1906" t="s">
        <v>44</v>
      </c>
      <c r="J1906" t="s">
        <v>235</v>
      </c>
      <c r="K1906" t="s">
        <v>236</v>
      </c>
      <c r="L1906">
        <v>23</v>
      </c>
      <c r="M1906" t="s">
        <v>2074</v>
      </c>
      <c r="N1906" t="s">
        <v>902</v>
      </c>
    </row>
    <row r="1907" spans="1:14" x14ac:dyDescent="0.35">
      <c r="A1907" t="s">
        <v>5477</v>
      </c>
      <c r="B1907" t="s">
        <v>5478</v>
      </c>
      <c r="C1907" t="s">
        <v>62</v>
      </c>
      <c r="D1907">
        <v>87.39</v>
      </c>
      <c r="E1907">
        <v>3000</v>
      </c>
      <c r="F1907" t="s">
        <v>87</v>
      </c>
      <c r="G1907" t="s">
        <v>32</v>
      </c>
      <c r="H1907" t="s">
        <v>57</v>
      </c>
      <c r="J1907" t="s">
        <v>107</v>
      </c>
      <c r="K1907" t="s">
        <v>87</v>
      </c>
      <c r="L1907">
        <v>17</v>
      </c>
      <c r="N1907" t="s">
        <v>739</v>
      </c>
    </row>
    <row r="1908" spans="1:14" x14ac:dyDescent="0.35">
      <c r="A1908" t="s">
        <v>5479</v>
      </c>
      <c r="B1908" t="s">
        <v>5480</v>
      </c>
      <c r="C1908" t="s">
        <v>30</v>
      </c>
      <c r="D1908">
        <v>145.33000000000001</v>
      </c>
      <c r="E1908">
        <v>13000</v>
      </c>
      <c r="F1908" t="s">
        <v>117</v>
      </c>
      <c r="G1908" t="s">
        <v>32</v>
      </c>
      <c r="H1908" t="s">
        <v>57</v>
      </c>
      <c r="I1908" t="s">
        <v>34</v>
      </c>
      <c r="J1908" t="s">
        <v>4387</v>
      </c>
      <c r="K1908" t="s">
        <v>139</v>
      </c>
      <c r="L1908">
        <v>7</v>
      </c>
      <c r="M1908" t="s">
        <v>1228</v>
      </c>
      <c r="N1908" t="s">
        <v>252</v>
      </c>
    </row>
    <row r="1909" spans="1:14" x14ac:dyDescent="0.35">
      <c r="A1909" t="s">
        <v>5481</v>
      </c>
      <c r="B1909" t="s">
        <v>5482</v>
      </c>
      <c r="C1909" t="s">
        <v>30</v>
      </c>
      <c r="D1909">
        <v>100.99</v>
      </c>
      <c r="E1909">
        <v>17000</v>
      </c>
      <c r="F1909" t="s">
        <v>31</v>
      </c>
      <c r="G1909" t="s">
        <v>32</v>
      </c>
      <c r="H1909" t="s">
        <v>57</v>
      </c>
      <c r="I1909" t="s">
        <v>34</v>
      </c>
      <c r="J1909" t="s">
        <v>63</v>
      </c>
      <c r="K1909" t="s">
        <v>64</v>
      </c>
      <c r="L1909">
        <v>19</v>
      </c>
      <c r="M1909" t="s">
        <v>2088</v>
      </c>
      <c r="N1909" t="s">
        <v>4222</v>
      </c>
    </row>
    <row r="1910" spans="1:14" x14ac:dyDescent="0.35">
      <c r="A1910" t="s">
        <v>5483</v>
      </c>
      <c r="B1910" t="s">
        <v>5484</v>
      </c>
      <c r="C1910" t="s">
        <v>30</v>
      </c>
      <c r="D1910">
        <v>177.72</v>
      </c>
      <c r="E1910">
        <v>8000</v>
      </c>
      <c r="F1910" t="s">
        <v>51</v>
      </c>
      <c r="G1910" t="s">
        <v>32</v>
      </c>
      <c r="H1910" t="s">
        <v>57</v>
      </c>
      <c r="I1910" t="s">
        <v>34</v>
      </c>
      <c r="J1910" t="s">
        <v>75</v>
      </c>
      <c r="K1910" t="s">
        <v>76</v>
      </c>
      <c r="L1910">
        <v>23</v>
      </c>
      <c r="N1910" t="s">
        <v>3387</v>
      </c>
    </row>
    <row r="1911" spans="1:14" x14ac:dyDescent="0.35">
      <c r="A1911" t="s">
        <v>5485</v>
      </c>
      <c r="B1911" t="s">
        <v>5486</v>
      </c>
      <c r="C1911" t="s">
        <v>62</v>
      </c>
      <c r="D1911">
        <v>76.37</v>
      </c>
      <c r="E1911">
        <v>3000</v>
      </c>
      <c r="F1911" t="s">
        <v>46</v>
      </c>
      <c r="G1911" t="s">
        <v>32</v>
      </c>
      <c r="H1911" t="s">
        <v>43</v>
      </c>
      <c r="I1911" t="s">
        <v>44</v>
      </c>
      <c r="J1911" t="s">
        <v>721</v>
      </c>
      <c r="K1911" t="s">
        <v>42</v>
      </c>
      <c r="L1911">
        <v>10</v>
      </c>
      <c r="N1911" t="s">
        <v>1891</v>
      </c>
    </row>
    <row r="1912" spans="1:14" x14ac:dyDescent="0.35">
      <c r="A1912" t="s">
        <v>5487</v>
      </c>
      <c r="B1912" t="s">
        <v>5488</v>
      </c>
      <c r="C1912" t="s">
        <v>116</v>
      </c>
      <c r="D1912">
        <v>11.49</v>
      </c>
      <c r="E1912">
        <v>700</v>
      </c>
      <c r="F1912" t="s">
        <v>123</v>
      </c>
      <c r="G1912" t="s">
        <v>32</v>
      </c>
      <c r="H1912" t="s">
        <v>33</v>
      </c>
      <c r="I1912" t="s">
        <v>44</v>
      </c>
      <c r="J1912" t="s">
        <v>124</v>
      </c>
      <c r="K1912" t="s">
        <v>117</v>
      </c>
      <c r="L1912">
        <v>3</v>
      </c>
      <c r="M1912" t="s">
        <v>312</v>
      </c>
      <c r="N1912" t="s">
        <v>3542</v>
      </c>
    </row>
    <row r="1913" spans="1:14" x14ac:dyDescent="0.35">
      <c r="A1913" t="s">
        <v>5489</v>
      </c>
      <c r="B1913" t="s">
        <v>5490</v>
      </c>
      <c r="C1913" t="s">
        <v>30</v>
      </c>
      <c r="D1913">
        <v>193.2</v>
      </c>
      <c r="E1913">
        <v>16000</v>
      </c>
      <c r="F1913" t="s">
        <v>51</v>
      </c>
      <c r="G1913" t="s">
        <v>102</v>
      </c>
      <c r="H1913" t="s">
        <v>43</v>
      </c>
      <c r="J1913" t="s">
        <v>112</v>
      </c>
      <c r="K1913" t="s">
        <v>106</v>
      </c>
      <c r="L1913">
        <v>10</v>
      </c>
      <c r="M1913" t="s">
        <v>4712</v>
      </c>
      <c r="N1913" t="s">
        <v>5491</v>
      </c>
    </row>
    <row r="1914" spans="1:14" x14ac:dyDescent="0.35">
      <c r="A1914" t="s">
        <v>5492</v>
      </c>
      <c r="B1914" t="s">
        <v>5493</v>
      </c>
      <c r="C1914" t="s">
        <v>116</v>
      </c>
      <c r="D1914">
        <v>10.4</v>
      </c>
      <c r="E1914">
        <v>700</v>
      </c>
      <c r="F1914" t="s">
        <v>74</v>
      </c>
      <c r="G1914" t="s">
        <v>32</v>
      </c>
      <c r="H1914" t="s">
        <v>33</v>
      </c>
      <c r="I1914" t="s">
        <v>34</v>
      </c>
      <c r="J1914" t="s">
        <v>124</v>
      </c>
      <c r="K1914" t="s">
        <v>117</v>
      </c>
      <c r="L1914">
        <v>16</v>
      </c>
      <c r="N1914" t="s">
        <v>415</v>
      </c>
    </row>
    <row r="1915" spans="1:14" x14ac:dyDescent="0.35">
      <c r="A1915" t="s">
        <v>5494</v>
      </c>
      <c r="B1915" t="s">
        <v>5495</v>
      </c>
      <c r="C1915" t="s">
        <v>62</v>
      </c>
      <c r="D1915">
        <v>66.459999999999994</v>
      </c>
      <c r="E1915">
        <v>2000</v>
      </c>
      <c r="F1915" t="s">
        <v>51</v>
      </c>
      <c r="G1915" t="s">
        <v>32</v>
      </c>
      <c r="H1915" t="s">
        <v>57</v>
      </c>
      <c r="J1915" t="s">
        <v>3690</v>
      </c>
      <c r="K1915" t="s">
        <v>139</v>
      </c>
      <c r="L1915">
        <v>23</v>
      </c>
      <c r="M1915" t="s">
        <v>1294</v>
      </c>
      <c r="N1915" t="s">
        <v>2171</v>
      </c>
    </row>
    <row r="1916" spans="1:14" x14ac:dyDescent="0.35">
      <c r="A1916" t="s">
        <v>5496</v>
      </c>
      <c r="B1916" t="s">
        <v>5497</v>
      </c>
      <c r="C1916" t="s">
        <v>62</v>
      </c>
      <c r="D1916">
        <v>91.1</v>
      </c>
      <c r="E1916">
        <v>2000</v>
      </c>
      <c r="F1916" t="s">
        <v>236</v>
      </c>
      <c r="G1916" t="s">
        <v>32</v>
      </c>
      <c r="H1916" t="s">
        <v>57</v>
      </c>
      <c r="I1916" t="s">
        <v>44</v>
      </c>
      <c r="J1916" t="s">
        <v>523</v>
      </c>
      <c r="K1916" t="s">
        <v>36</v>
      </c>
      <c r="L1916">
        <v>14</v>
      </c>
      <c r="M1916" t="s">
        <v>5498</v>
      </c>
      <c r="N1916" t="s">
        <v>4556</v>
      </c>
    </row>
    <row r="1917" spans="1:14" x14ac:dyDescent="0.35">
      <c r="A1917" t="s">
        <v>5499</v>
      </c>
      <c r="B1917" t="s">
        <v>5500</v>
      </c>
      <c r="C1917" t="s">
        <v>41</v>
      </c>
      <c r="D1917">
        <v>95.93</v>
      </c>
      <c r="E1917">
        <v>37000</v>
      </c>
      <c r="F1917" t="s">
        <v>123</v>
      </c>
      <c r="G1917" t="s">
        <v>32</v>
      </c>
      <c r="H1917" t="s">
        <v>57</v>
      </c>
      <c r="I1917" t="s">
        <v>34</v>
      </c>
      <c r="J1917" t="s">
        <v>124</v>
      </c>
      <c r="K1917" t="s">
        <v>117</v>
      </c>
      <c r="L1917">
        <v>14</v>
      </c>
      <c r="N1917" t="s">
        <v>3192</v>
      </c>
    </row>
    <row r="1918" spans="1:14" x14ac:dyDescent="0.35">
      <c r="A1918" t="s">
        <v>5501</v>
      </c>
      <c r="B1918" t="s">
        <v>5502</v>
      </c>
      <c r="C1918" t="s">
        <v>41</v>
      </c>
      <c r="D1918">
        <v>155.02000000000001</v>
      </c>
      <c r="E1918">
        <v>19000</v>
      </c>
      <c r="F1918" t="s">
        <v>147</v>
      </c>
      <c r="G1918" t="s">
        <v>32</v>
      </c>
      <c r="H1918" t="s">
        <v>33</v>
      </c>
      <c r="I1918" t="s">
        <v>44</v>
      </c>
      <c r="J1918" t="s">
        <v>75</v>
      </c>
      <c r="K1918" t="s">
        <v>76</v>
      </c>
      <c r="L1918">
        <v>12</v>
      </c>
      <c r="M1918" t="s">
        <v>5503</v>
      </c>
      <c r="N1918" t="s">
        <v>3832</v>
      </c>
    </row>
    <row r="1919" spans="1:14" x14ac:dyDescent="0.35">
      <c r="A1919" t="s">
        <v>5504</v>
      </c>
      <c r="B1919" t="s">
        <v>5505</v>
      </c>
      <c r="C1919" t="s">
        <v>30</v>
      </c>
      <c r="D1919">
        <v>194.94</v>
      </c>
      <c r="E1919">
        <v>9000</v>
      </c>
      <c r="F1919" t="s">
        <v>106</v>
      </c>
      <c r="G1919" t="s">
        <v>32</v>
      </c>
      <c r="H1919" t="s">
        <v>33</v>
      </c>
      <c r="I1919" t="s">
        <v>44</v>
      </c>
      <c r="J1919" t="s">
        <v>112</v>
      </c>
      <c r="K1919" t="s">
        <v>106</v>
      </c>
      <c r="L1919">
        <v>14</v>
      </c>
      <c r="N1919" t="s">
        <v>4111</v>
      </c>
    </row>
    <row r="1920" spans="1:14" x14ac:dyDescent="0.35">
      <c r="A1920" t="s">
        <v>5506</v>
      </c>
      <c r="B1920" t="s">
        <v>5507</v>
      </c>
      <c r="C1920" t="s">
        <v>69</v>
      </c>
      <c r="D1920">
        <v>77.42</v>
      </c>
      <c r="E1920">
        <v>79000</v>
      </c>
      <c r="F1920" t="s">
        <v>147</v>
      </c>
      <c r="G1920" t="s">
        <v>32</v>
      </c>
      <c r="H1920" t="s">
        <v>57</v>
      </c>
      <c r="I1920" t="s">
        <v>44</v>
      </c>
      <c r="J1920" t="s">
        <v>1071</v>
      </c>
      <c r="K1920" t="s">
        <v>236</v>
      </c>
      <c r="L1920">
        <v>12</v>
      </c>
      <c r="N1920" t="s">
        <v>5508</v>
      </c>
    </row>
    <row r="1921" spans="1:14" x14ac:dyDescent="0.35">
      <c r="A1921" t="s">
        <v>5509</v>
      </c>
      <c r="B1921" t="s">
        <v>5510</v>
      </c>
      <c r="C1921" t="s">
        <v>69</v>
      </c>
      <c r="D1921">
        <v>56.47</v>
      </c>
      <c r="E1921">
        <v>61000</v>
      </c>
      <c r="F1921" t="s">
        <v>51</v>
      </c>
      <c r="G1921" t="s">
        <v>32</v>
      </c>
      <c r="H1921" t="s">
        <v>43</v>
      </c>
      <c r="I1921" t="s">
        <v>44</v>
      </c>
      <c r="J1921" t="s">
        <v>235</v>
      </c>
      <c r="K1921" t="s">
        <v>236</v>
      </c>
      <c r="L1921">
        <v>21</v>
      </c>
      <c r="N1921" t="s">
        <v>2451</v>
      </c>
    </row>
    <row r="1922" spans="1:14" x14ac:dyDescent="0.35">
      <c r="A1922" t="s">
        <v>5511</v>
      </c>
      <c r="B1922" t="s">
        <v>5512</v>
      </c>
      <c r="C1922" t="s">
        <v>116</v>
      </c>
      <c r="D1922">
        <v>11.76</v>
      </c>
      <c r="E1922">
        <v>200</v>
      </c>
      <c r="F1922" t="s">
        <v>31</v>
      </c>
      <c r="G1922" t="s">
        <v>32</v>
      </c>
      <c r="H1922" t="s">
        <v>43</v>
      </c>
      <c r="I1922" t="s">
        <v>129</v>
      </c>
      <c r="J1922" t="s">
        <v>5513</v>
      </c>
      <c r="K1922" t="s">
        <v>147</v>
      </c>
      <c r="L1922">
        <v>11</v>
      </c>
      <c r="M1922" t="s">
        <v>1545</v>
      </c>
      <c r="N1922" t="s">
        <v>4268</v>
      </c>
    </row>
    <row r="1923" spans="1:14" x14ac:dyDescent="0.35">
      <c r="A1923" t="s">
        <v>5514</v>
      </c>
      <c r="B1923" t="s">
        <v>5515</v>
      </c>
      <c r="C1923" t="s">
        <v>30</v>
      </c>
      <c r="D1923">
        <v>138.66999999999999</v>
      </c>
      <c r="E1923">
        <v>20000</v>
      </c>
      <c r="F1923" t="s">
        <v>117</v>
      </c>
      <c r="G1923" t="s">
        <v>32</v>
      </c>
      <c r="H1923" t="s">
        <v>57</v>
      </c>
      <c r="J1923" t="s">
        <v>1816</v>
      </c>
      <c r="K1923" t="s">
        <v>236</v>
      </c>
      <c r="L1923">
        <v>15</v>
      </c>
      <c r="M1923" t="s">
        <v>3696</v>
      </c>
      <c r="N1923" t="s">
        <v>5516</v>
      </c>
    </row>
    <row r="1924" spans="1:14" x14ac:dyDescent="0.35">
      <c r="A1924" t="s">
        <v>5517</v>
      </c>
      <c r="B1924" t="s">
        <v>5518</v>
      </c>
      <c r="C1924" t="s">
        <v>62</v>
      </c>
      <c r="D1924">
        <v>71.12</v>
      </c>
      <c r="E1924">
        <v>1000</v>
      </c>
      <c r="F1924" t="s">
        <v>117</v>
      </c>
      <c r="G1924" t="s">
        <v>32</v>
      </c>
      <c r="H1924" t="s">
        <v>33</v>
      </c>
      <c r="I1924" t="s">
        <v>44</v>
      </c>
      <c r="J1924" t="s">
        <v>830</v>
      </c>
      <c r="K1924" t="s">
        <v>51</v>
      </c>
      <c r="L1924">
        <v>10</v>
      </c>
      <c r="M1924" t="s">
        <v>251</v>
      </c>
      <c r="N1924" t="s">
        <v>5519</v>
      </c>
    </row>
    <row r="1925" spans="1:14" x14ac:dyDescent="0.35">
      <c r="A1925" t="s">
        <v>5520</v>
      </c>
      <c r="B1925" t="s">
        <v>5521</v>
      </c>
      <c r="C1925" t="s">
        <v>116</v>
      </c>
      <c r="D1925">
        <v>11.47</v>
      </c>
      <c r="E1925">
        <v>400</v>
      </c>
      <c r="F1925" t="s">
        <v>139</v>
      </c>
      <c r="G1925" t="s">
        <v>32</v>
      </c>
      <c r="H1925" t="s">
        <v>43</v>
      </c>
      <c r="I1925" t="s">
        <v>34</v>
      </c>
      <c r="J1925" t="s">
        <v>179</v>
      </c>
      <c r="K1925" t="s">
        <v>97</v>
      </c>
      <c r="L1925">
        <v>11</v>
      </c>
      <c r="M1925" t="s">
        <v>693</v>
      </c>
      <c r="N1925" t="s">
        <v>4607</v>
      </c>
    </row>
    <row r="1926" spans="1:14" x14ac:dyDescent="0.35">
      <c r="A1926" t="s">
        <v>5522</v>
      </c>
      <c r="B1926" t="s">
        <v>5523</v>
      </c>
      <c r="C1926" t="s">
        <v>30</v>
      </c>
      <c r="D1926">
        <v>181.55</v>
      </c>
      <c r="E1926">
        <v>18000</v>
      </c>
      <c r="F1926" t="s">
        <v>36</v>
      </c>
      <c r="G1926" t="s">
        <v>32</v>
      </c>
      <c r="H1926" t="s">
        <v>57</v>
      </c>
      <c r="I1926" t="s">
        <v>34</v>
      </c>
      <c r="J1926" t="s">
        <v>2985</v>
      </c>
      <c r="K1926" t="s">
        <v>139</v>
      </c>
      <c r="L1926">
        <v>4</v>
      </c>
      <c r="M1926" t="s">
        <v>289</v>
      </c>
      <c r="N1926" t="s">
        <v>5524</v>
      </c>
    </row>
    <row r="1927" spans="1:14" x14ac:dyDescent="0.35">
      <c r="A1927" t="s">
        <v>5525</v>
      </c>
      <c r="B1927" t="s">
        <v>5526</v>
      </c>
      <c r="C1927" t="s">
        <v>81</v>
      </c>
      <c r="D1927">
        <v>83.61</v>
      </c>
      <c r="E1927">
        <v>5000</v>
      </c>
      <c r="F1927" t="s">
        <v>46</v>
      </c>
      <c r="G1927" t="s">
        <v>32</v>
      </c>
      <c r="H1927" t="s">
        <v>43</v>
      </c>
      <c r="I1927" t="s">
        <v>44</v>
      </c>
      <c r="J1927" t="s">
        <v>599</v>
      </c>
      <c r="K1927" t="s">
        <v>139</v>
      </c>
      <c r="L1927">
        <v>4</v>
      </c>
      <c r="M1927" t="s">
        <v>5527</v>
      </c>
      <c r="N1927" t="s">
        <v>2082</v>
      </c>
    </row>
    <row r="1928" spans="1:14" x14ac:dyDescent="0.35">
      <c r="A1928" t="s">
        <v>5528</v>
      </c>
      <c r="B1928" t="s">
        <v>5529</v>
      </c>
      <c r="C1928" t="s">
        <v>41</v>
      </c>
      <c r="D1928">
        <v>122.57</v>
      </c>
      <c r="E1928">
        <v>27000</v>
      </c>
      <c r="F1928" t="s">
        <v>97</v>
      </c>
      <c r="G1928" t="s">
        <v>32</v>
      </c>
      <c r="H1928" t="s">
        <v>33</v>
      </c>
      <c r="J1928" t="s">
        <v>429</v>
      </c>
      <c r="K1928" t="s">
        <v>236</v>
      </c>
      <c r="L1928">
        <v>4</v>
      </c>
      <c r="N1928" t="s">
        <v>4641</v>
      </c>
    </row>
    <row r="1929" spans="1:14" x14ac:dyDescent="0.35">
      <c r="A1929" t="s">
        <v>5530</v>
      </c>
      <c r="B1929" t="s">
        <v>5531</v>
      </c>
      <c r="C1929" t="s">
        <v>116</v>
      </c>
      <c r="D1929">
        <v>6.87</v>
      </c>
      <c r="E1929">
        <v>700</v>
      </c>
      <c r="F1929" t="s">
        <v>64</v>
      </c>
      <c r="G1929" t="s">
        <v>32</v>
      </c>
      <c r="H1929" t="s">
        <v>43</v>
      </c>
      <c r="I1929" t="s">
        <v>44</v>
      </c>
      <c r="J1929" t="s">
        <v>130</v>
      </c>
      <c r="K1929" t="s">
        <v>123</v>
      </c>
      <c r="L1929">
        <v>20</v>
      </c>
      <c r="M1929" t="s">
        <v>2518</v>
      </c>
      <c r="N1929" t="s">
        <v>2869</v>
      </c>
    </row>
    <row r="1930" spans="1:14" x14ac:dyDescent="0.35">
      <c r="A1930" t="s">
        <v>5532</v>
      </c>
      <c r="B1930" t="s">
        <v>5533</v>
      </c>
      <c r="C1930" t="s">
        <v>62</v>
      </c>
      <c r="D1930">
        <v>83.69</v>
      </c>
      <c r="E1930">
        <v>5000</v>
      </c>
      <c r="F1930" t="s">
        <v>139</v>
      </c>
      <c r="G1930" t="s">
        <v>32</v>
      </c>
      <c r="H1930" t="s">
        <v>33</v>
      </c>
      <c r="I1930" t="s">
        <v>44</v>
      </c>
      <c r="J1930" t="s">
        <v>5534</v>
      </c>
      <c r="K1930" t="s">
        <v>139</v>
      </c>
      <c r="L1930">
        <v>21</v>
      </c>
      <c r="M1930" t="s">
        <v>223</v>
      </c>
      <c r="N1930" t="s">
        <v>387</v>
      </c>
    </row>
    <row r="1931" spans="1:14" x14ac:dyDescent="0.35">
      <c r="A1931" t="s">
        <v>5535</v>
      </c>
      <c r="B1931" t="s">
        <v>5536</v>
      </c>
      <c r="C1931" t="s">
        <v>116</v>
      </c>
      <c r="D1931">
        <v>11.54</v>
      </c>
      <c r="E1931">
        <v>300</v>
      </c>
      <c r="F1931" t="s">
        <v>76</v>
      </c>
      <c r="G1931" t="s">
        <v>32</v>
      </c>
      <c r="H1931" t="s">
        <v>57</v>
      </c>
      <c r="I1931" t="s">
        <v>34</v>
      </c>
      <c r="J1931" t="s">
        <v>366</v>
      </c>
      <c r="K1931" t="s">
        <v>51</v>
      </c>
      <c r="L1931">
        <v>3</v>
      </c>
      <c r="M1931" t="s">
        <v>1798</v>
      </c>
      <c r="N1931" t="s">
        <v>4633</v>
      </c>
    </row>
    <row r="1932" spans="1:14" x14ac:dyDescent="0.35">
      <c r="A1932" t="s">
        <v>5537</v>
      </c>
      <c r="B1932" t="s">
        <v>5538</v>
      </c>
      <c r="C1932" t="s">
        <v>30</v>
      </c>
      <c r="D1932">
        <v>142.38</v>
      </c>
      <c r="E1932">
        <v>19000</v>
      </c>
      <c r="F1932" t="s">
        <v>42</v>
      </c>
      <c r="G1932" t="s">
        <v>32</v>
      </c>
      <c r="H1932" t="s">
        <v>57</v>
      </c>
      <c r="I1932" t="s">
        <v>34</v>
      </c>
      <c r="J1932" t="s">
        <v>937</v>
      </c>
      <c r="K1932" t="s">
        <v>42</v>
      </c>
      <c r="L1932">
        <v>17</v>
      </c>
      <c r="N1932" t="s">
        <v>5539</v>
      </c>
    </row>
    <row r="1933" spans="1:14" x14ac:dyDescent="0.35">
      <c r="A1933" t="s">
        <v>5540</v>
      </c>
      <c r="B1933" t="s">
        <v>5541</v>
      </c>
      <c r="C1933" t="s">
        <v>69</v>
      </c>
      <c r="D1933">
        <v>90.35</v>
      </c>
      <c r="E1933">
        <v>25000</v>
      </c>
      <c r="F1933" t="s">
        <v>236</v>
      </c>
      <c r="G1933" t="s">
        <v>32</v>
      </c>
      <c r="H1933" t="s">
        <v>43</v>
      </c>
      <c r="I1933" t="s">
        <v>34</v>
      </c>
      <c r="J1933" t="s">
        <v>278</v>
      </c>
      <c r="K1933" t="s">
        <v>97</v>
      </c>
      <c r="L1933">
        <v>22</v>
      </c>
      <c r="M1933" t="s">
        <v>1733</v>
      </c>
      <c r="N1933" t="s">
        <v>5542</v>
      </c>
    </row>
    <row r="1934" spans="1:14" x14ac:dyDescent="0.35">
      <c r="A1934" t="s">
        <v>5543</v>
      </c>
      <c r="B1934" t="s">
        <v>5544</v>
      </c>
      <c r="C1934" t="s">
        <v>62</v>
      </c>
      <c r="D1934">
        <v>52.05</v>
      </c>
      <c r="E1934">
        <v>4000</v>
      </c>
      <c r="F1934" t="s">
        <v>42</v>
      </c>
      <c r="G1934" t="s">
        <v>32</v>
      </c>
      <c r="H1934" t="s">
        <v>33</v>
      </c>
      <c r="I1934" t="s">
        <v>34</v>
      </c>
      <c r="J1934" t="s">
        <v>118</v>
      </c>
      <c r="K1934" t="s">
        <v>42</v>
      </c>
      <c r="L1934">
        <v>19</v>
      </c>
      <c r="M1934" t="s">
        <v>607</v>
      </c>
      <c r="N1934" t="s">
        <v>161</v>
      </c>
    </row>
    <row r="1935" spans="1:14" x14ac:dyDescent="0.35">
      <c r="A1935" t="s">
        <v>5545</v>
      </c>
      <c r="B1935" t="s">
        <v>5546</v>
      </c>
      <c r="C1935" t="s">
        <v>69</v>
      </c>
      <c r="D1935">
        <v>58.26</v>
      </c>
      <c r="E1935">
        <v>42000</v>
      </c>
      <c r="F1935" t="s">
        <v>74</v>
      </c>
      <c r="G1935" t="s">
        <v>32</v>
      </c>
      <c r="H1935" t="s">
        <v>57</v>
      </c>
      <c r="I1935" t="s">
        <v>44</v>
      </c>
      <c r="J1935" t="s">
        <v>118</v>
      </c>
      <c r="K1935" t="s">
        <v>42</v>
      </c>
      <c r="L1935">
        <v>4</v>
      </c>
      <c r="N1935" t="s">
        <v>5547</v>
      </c>
    </row>
    <row r="1936" spans="1:14" x14ac:dyDescent="0.35">
      <c r="A1936" t="s">
        <v>5548</v>
      </c>
      <c r="B1936" t="s">
        <v>5549</v>
      </c>
      <c r="C1936" t="s">
        <v>69</v>
      </c>
      <c r="D1936">
        <v>65.83</v>
      </c>
      <c r="E1936">
        <v>31000</v>
      </c>
      <c r="F1936" t="s">
        <v>123</v>
      </c>
      <c r="G1936" t="s">
        <v>32</v>
      </c>
      <c r="H1936" t="s">
        <v>57</v>
      </c>
      <c r="J1936" t="s">
        <v>1071</v>
      </c>
      <c r="K1936" t="s">
        <v>236</v>
      </c>
      <c r="L1936">
        <v>13</v>
      </c>
      <c r="N1936" t="s">
        <v>3774</v>
      </c>
    </row>
    <row r="1937" spans="1:14" x14ac:dyDescent="0.35">
      <c r="A1937" t="s">
        <v>5550</v>
      </c>
      <c r="B1937" t="s">
        <v>5551</v>
      </c>
      <c r="C1937" t="s">
        <v>116</v>
      </c>
      <c r="D1937">
        <v>10.220000000000001</v>
      </c>
      <c r="E1937">
        <v>700</v>
      </c>
      <c r="F1937" t="s">
        <v>64</v>
      </c>
      <c r="G1937" t="s">
        <v>32</v>
      </c>
      <c r="H1937" t="s">
        <v>43</v>
      </c>
      <c r="J1937" t="s">
        <v>5552</v>
      </c>
      <c r="K1937" t="s">
        <v>147</v>
      </c>
      <c r="L1937">
        <v>14</v>
      </c>
      <c r="M1937" t="s">
        <v>3266</v>
      </c>
      <c r="N1937" t="s">
        <v>630</v>
      </c>
    </row>
    <row r="1938" spans="1:14" x14ac:dyDescent="0.35">
      <c r="A1938" t="s">
        <v>5553</v>
      </c>
      <c r="B1938" t="s">
        <v>5554</v>
      </c>
      <c r="C1938" t="s">
        <v>81</v>
      </c>
      <c r="D1938">
        <v>109.96</v>
      </c>
      <c r="E1938">
        <v>6000</v>
      </c>
      <c r="F1938" t="s">
        <v>87</v>
      </c>
      <c r="G1938" t="s">
        <v>32</v>
      </c>
      <c r="H1938" t="s">
        <v>57</v>
      </c>
      <c r="I1938" t="s">
        <v>44</v>
      </c>
      <c r="J1938" t="s">
        <v>1549</v>
      </c>
      <c r="K1938" t="s">
        <v>147</v>
      </c>
      <c r="L1938">
        <v>5</v>
      </c>
      <c r="M1938" t="s">
        <v>585</v>
      </c>
      <c r="N1938" t="s">
        <v>2615</v>
      </c>
    </row>
    <row r="1939" spans="1:14" x14ac:dyDescent="0.35">
      <c r="A1939" t="s">
        <v>5555</v>
      </c>
      <c r="B1939" t="s">
        <v>5556</v>
      </c>
      <c r="C1939" t="s">
        <v>41</v>
      </c>
      <c r="D1939">
        <v>102.24</v>
      </c>
      <c r="E1939">
        <v>13000</v>
      </c>
      <c r="F1939" t="s">
        <v>87</v>
      </c>
      <c r="G1939" t="s">
        <v>32</v>
      </c>
      <c r="H1939" t="s">
        <v>43</v>
      </c>
      <c r="I1939" t="s">
        <v>34</v>
      </c>
      <c r="J1939" t="s">
        <v>477</v>
      </c>
      <c r="K1939" t="s">
        <v>51</v>
      </c>
      <c r="L1939">
        <v>23</v>
      </c>
      <c r="M1939" t="s">
        <v>3831</v>
      </c>
      <c r="N1939" t="s">
        <v>5557</v>
      </c>
    </row>
    <row r="1940" spans="1:14" x14ac:dyDescent="0.35">
      <c r="A1940" t="s">
        <v>5558</v>
      </c>
      <c r="B1940" t="s">
        <v>5559</v>
      </c>
      <c r="C1940" t="s">
        <v>41</v>
      </c>
      <c r="D1940">
        <v>86.92</v>
      </c>
      <c r="E1940">
        <v>26000</v>
      </c>
      <c r="F1940" t="s">
        <v>36</v>
      </c>
      <c r="G1940" t="s">
        <v>32</v>
      </c>
      <c r="H1940" t="s">
        <v>33</v>
      </c>
      <c r="I1940" t="s">
        <v>34</v>
      </c>
      <c r="J1940" t="s">
        <v>124</v>
      </c>
      <c r="K1940" t="s">
        <v>117</v>
      </c>
      <c r="L1940">
        <v>14</v>
      </c>
      <c r="N1940" t="s">
        <v>4483</v>
      </c>
    </row>
    <row r="1941" spans="1:14" x14ac:dyDescent="0.35">
      <c r="A1941" t="s">
        <v>5560</v>
      </c>
      <c r="B1941" t="s">
        <v>5561</v>
      </c>
      <c r="C1941" t="s">
        <v>41</v>
      </c>
      <c r="D1941">
        <v>136.16</v>
      </c>
      <c r="E1941">
        <v>17000</v>
      </c>
      <c r="F1941" t="s">
        <v>236</v>
      </c>
      <c r="G1941" t="s">
        <v>32</v>
      </c>
      <c r="H1941" t="s">
        <v>43</v>
      </c>
      <c r="J1941" t="s">
        <v>70</v>
      </c>
      <c r="K1941" t="s">
        <v>31</v>
      </c>
      <c r="L1941">
        <v>21</v>
      </c>
      <c r="M1941" t="s">
        <v>952</v>
      </c>
      <c r="N1941" t="s">
        <v>680</v>
      </c>
    </row>
    <row r="1942" spans="1:14" x14ac:dyDescent="0.35">
      <c r="A1942" t="s">
        <v>5562</v>
      </c>
      <c r="B1942" t="s">
        <v>5563</v>
      </c>
      <c r="C1942" t="s">
        <v>69</v>
      </c>
      <c r="D1942">
        <v>93.5</v>
      </c>
      <c r="E1942">
        <v>41000</v>
      </c>
      <c r="F1942" t="s">
        <v>42</v>
      </c>
      <c r="G1942" t="s">
        <v>32</v>
      </c>
      <c r="H1942" t="s">
        <v>33</v>
      </c>
      <c r="I1942" t="s">
        <v>34</v>
      </c>
      <c r="J1942" t="s">
        <v>75</v>
      </c>
      <c r="K1942" t="s">
        <v>76</v>
      </c>
      <c r="L1942">
        <v>23</v>
      </c>
      <c r="M1942" t="s">
        <v>2843</v>
      </c>
      <c r="N1942" t="s">
        <v>1257</v>
      </c>
    </row>
    <row r="1943" spans="1:14" x14ac:dyDescent="0.35">
      <c r="A1943" t="s">
        <v>5564</v>
      </c>
      <c r="B1943" t="s">
        <v>5565</v>
      </c>
      <c r="C1943" t="s">
        <v>116</v>
      </c>
      <c r="D1943">
        <v>7.84</v>
      </c>
      <c r="E1943">
        <v>500</v>
      </c>
      <c r="F1943" t="s">
        <v>236</v>
      </c>
      <c r="G1943" t="s">
        <v>32</v>
      </c>
      <c r="H1943" t="s">
        <v>33</v>
      </c>
      <c r="I1943" t="s">
        <v>44</v>
      </c>
      <c r="J1943" t="s">
        <v>543</v>
      </c>
      <c r="K1943" t="s">
        <v>51</v>
      </c>
      <c r="L1943">
        <v>4</v>
      </c>
      <c r="M1943" t="s">
        <v>1687</v>
      </c>
      <c r="N1943" t="s">
        <v>757</v>
      </c>
    </row>
    <row r="1944" spans="1:14" x14ac:dyDescent="0.35">
      <c r="A1944" t="s">
        <v>5566</v>
      </c>
      <c r="B1944" t="s">
        <v>5567</v>
      </c>
      <c r="C1944" t="s">
        <v>62</v>
      </c>
      <c r="D1944">
        <v>55.93</v>
      </c>
      <c r="E1944">
        <v>2000</v>
      </c>
      <c r="F1944" t="s">
        <v>123</v>
      </c>
      <c r="G1944" t="s">
        <v>32</v>
      </c>
      <c r="H1944" t="s">
        <v>43</v>
      </c>
      <c r="I1944" t="s">
        <v>44</v>
      </c>
      <c r="J1944" t="s">
        <v>35</v>
      </c>
      <c r="K1944" t="s">
        <v>36</v>
      </c>
      <c r="L1944">
        <v>10</v>
      </c>
      <c r="M1944" t="s">
        <v>3006</v>
      </c>
      <c r="N1944" t="s">
        <v>4746</v>
      </c>
    </row>
    <row r="1945" spans="1:14" x14ac:dyDescent="0.35">
      <c r="A1945" t="s">
        <v>5568</v>
      </c>
      <c r="B1945" t="s">
        <v>5569</v>
      </c>
      <c r="C1945" t="s">
        <v>30</v>
      </c>
      <c r="D1945">
        <v>192.88</v>
      </c>
      <c r="E1945">
        <v>17000</v>
      </c>
      <c r="F1945" t="s">
        <v>46</v>
      </c>
      <c r="G1945" t="s">
        <v>32</v>
      </c>
      <c r="H1945" t="s">
        <v>57</v>
      </c>
      <c r="I1945" t="s">
        <v>34</v>
      </c>
      <c r="J1945" t="s">
        <v>112</v>
      </c>
      <c r="K1945" t="s">
        <v>106</v>
      </c>
      <c r="L1945">
        <v>22</v>
      </c>
      <c r="N1945" t="s">
        <v>1882</v>
      </c>
    </row>
    <row r="1946" spans="1:14" x14ac:dyDescent="0.35">
      <c r="A1946" t="s">
        <v>5570</v>
      </c>
      <c r="B1946" t="s">
        <v>5571</v>
      </c>
      <c r="C1946" t="s">
        <v>62</v>
      </c>
      <c r="D1946">
        <v>63.27</v>
      </c>
      <c r="E1946">
        <v>2000</v>
      </c>
      <c r="F1946" t="s">
        <v>51</v>
      </c>
      <c r="G1946" t="s">
        <v>32</v>
      </c>
      <c r="H1946" t="s">
        <v>57</v>
      </c>
      <c r="J1946" t="s">
        <v>130</v>
      </c>
      <c r="K1946" t="s">
        <v>123</v>
      </c>
      <c r="L1946">
        <v>20</v>
      </c>
      <c r="N1946" t="s">
        <v>1225</v>
      </c>
    </row>
    <row r="1947" spans="1:14" x14ac:dyDescent="0.35">
      <c r="A1947" t="s">
        <v>5572</v>
      </c>
      <c r="B1947" t="s">
        <v>5573</v>
      </c>
      <c r="C1947" t="s">
        <v>30</v>
      </c>
      <c r="D1947">
        <v>188.06</v>
      </c>
      <c r="E1947">
        <v>16000</v>
      </c>
      <c r="F1947" t="s">
        <v>64</v>
      </c>
      <c r="G1947" t="s">
        <v>32</v>
      </c>
      <c r="H1947" t="s">
        <v>57</v>
      </c>
      <c r="I1947" t="s">
        <v>44</v>
      </c>
      <c r="J1947" t="s">
        <v>82</v>
      </c>
      <c r="K1947" t="s">
        <v>74</v>
      </c>
      <c r="L1947">
        <v>17</v>
      </c>
      <c r="M1947" t="s">
        <v>2691</v>
      </c>
      <c r="N1947" t="s">
        <v>5574</v>
      </c>
    </row>
    <row r="1948" spans="1:14" x14ac:dyDescent="0.35">
      <c r="A1948" t="s">
        <v>5575</v>
      </c>
      <c r="B1948" t="s">
        <v>5576</v>
      </c>
      <c r="C1948" t="s">
        <v>62</v>
      </c>
      <c r="D1948">
        <v>90.17</v>
      </c>
      <c r="E1948">
        <v>3000</v>
      </c>
      <c r="F1948" t="s">
        <v>117</v>
      </c>
      <c r="G1948" t="s">
        <v>32</v>
      </c>
      <c r="H1948" t="s">
        <v>57</v>
      </c>
      <c r="I1948" t="s">
        <v>44</v>
      </c>
      <c r="J1948" t="s">
        <v>75</v>
      </c>
      <c r="K1948" t="s">
        <v>76</v>
      </c>
      <c r="L1948">
        <v>12</v>
      </c>
      <c r="M1948" t="s">
        <v>1311</v>
      </c>
      <c r="N1948" t="s">
        <v>5577</v>
      </c>
    </row>
    <row r="1949" spans="1:14" x14ac:dyDescent="0.35">
      <c r="A1949" t="s">
        <v>5578</v>
      </c>
      <c r="B1949" t="s">
        <v>5579</v>
      </c>
      <c r="C1949" t="s">
        <v>116</v>
      </c>
      <c r="D1949">
        <v>11.19</v>
      </c>
      <c r="E1949">
        <v>300</v>
      </c>
      <c r="F1949" t="s">
        <v>31</v>
      </c>
      <c r="G1949" t="s">
        <v>32</v>
      </c>
      <c r="H1949" t="s">
        <v>57</v>
      </c>
      <c r="I1949" t="s">
        <v>44</v>
      </c>
      <c r="J1949" t="s">
        <v>130</v>
      </c>
      <c r="K1949" t="s">
        <v>123</v>
      </c>
      <c r="L1949">
        <v>15</v>
      </c>
      <c r="M1949" t="s">
        <v>1172</v>
      </c>
      <c r="N1949" t="s">
        <v>1097</v>
      </c>
    </row>
    <row r="1950" spans="1:14" x14ac:dyDescent="0.35">
      <c r="A1950" t="s">
        <v>5580</v>
      </c>
      <c r="B1950" t="s">
        <v>5581</v>
      </c>
      <c r="C1950" t="s">
        <v>41</v>
      </c>
      <c r="D1950">
        <v>152.97999999999999</v>
      </c>
      <c r="E1950">
        <v>20000</v>
      </c>
      <c r="F1950" t="s">
        <v>117</v>
      </c>
      <c r="G1950" t="s">
        <v>32</v>
      </c>
      <c r="H1950" t="s">
        <v>43</v>
      </c>
      <c r="I1950" t="s">
        <v>34</v>
      </c>
      <c r="J1950" t="s">
        <v>70</v>
      </c>
      <c r="K1950" t="s">
        <v>31</v>
      </c>
      <c r="L1950">
        <v>16</v>
      </c>
      <c r="M1950" t="s">
        <v>2437</v>
      </c>
      <c r="N1950" t="s">
        <v>722</v>
      </c>
    </row>
    <row r="1951" spans="1:14" x14ac:dyDescent="0.35">
      <c r="A1951" t="s">
        <v>5582</v>
      </c>
      <c r="B1951" t="s">
        <v>5583</v>
      </c>
      <c r="C1951" t="s">
        <v>116</v>
      </c>
      <c r="D1951">
        <v>6.65</v>
      </c>
      <c r="E1951">
        <v>500</v>
      </c>
      <c r="F1951" t="s">
        <v>51</v>
      </c>
      <c r="G1951" t="s">
        <v>32</v>
      </c>
      <c r="H1951" t="s">
        <v>57</v>
      </c>
      <c r="I1951" t="s">
        <v>34</v>
      </c>
      <c r="J1951" t="s">
        <v>316</v>
      </c>
      <c r="K1951" t="s">
        <v>97</v>
      </c>
      <c r="L1951">
        <v>5</v>
      </c>
      <c r="M1951" t="s">
        <v>1828</v>
      </c>
      <c r="N1951" t="s">
        <v>379</v>
      </c>
    </row>
    <row r="1952" spans="1:14" x14ac:dyDescent="0.35">
      <c r="A1952" t="s">
        <v>5584</v>
      </c>
      <c r="B1952" t="s">
        <v>5585</v>
      </c>
      <c r="C1952" t="s">
        <v>30</v>
      </c>
      <c r="D1952">
        <v>121.88</v>
      </c>
      <c r="E1952">
        <v>14000</v>
      </c>
      <c r="F1952" t="s">
        <v>36</v>
      </c>
      <c r="G1952" t="s">
        <v>102</v>
      </c>
      <c r="H1952" t="s">
        <v>33</v>
      </c>
      <c r="I1952" t="s">
        <v>44</v>
      </c>
      <c r="J1952" t="s">
        <v>45</v>
      </c>
      <c r="K1952" t="s">
        <v>46</v>
      </c>
      <c r="L1952">
        <v>19</v>
      </c>
      <c r="M1952" t="s">
        <v>270</v>
      </c>
      <c r="N1952" t="s">
        <v>4641</v>
      </c>
    </row>
    <row r="1953" spans="1:14" x14ac:dyDescent="0.35">
      <c r="A1953" t="s">
        <v>5586</v>
      </c>
      <c r="B1953" t="s">
        <v>5587</v>
      </c>
      <c r="C1953" t="s">
        <v>69</v>
      </c>
      <c r="D1953">
        <v>69.650000000000006</v>
      </c>
      <c r="E1953">
        <v>80000</v>
      </c>
      <c r="F1953" t="s">
        <v>74</v>
      </c>
      <c r="G1953" t="s">
        <v>32</v>
      </c>
      <c r="H1953" t="s">
        <v>57</v>
      </c>
      <c r="I1953" t="s">
        <v>44</v>
      </c>
      <c r="J1953" t="s">
        <v>107</v>
      </c>
      <c r="K1953" t="s">
        <v>87</v>
      </c>
      <c r="L1953">
        <v>13</v>
      </c>
      <c r="N1953" t="s">
        <v>1607</v>
      </c>
    </row>
    <row r="1954" spans="1:14" x14ac:dyDescent="0.35">
      <c r="A1954" t="s">
        <v>5588</v>
      </c>
      <c r="B1954" t="s">
        <v>5589</v>
      </c>
      <c r="C1954" t="s">
        <v>116</v>
      </c>
      <c r="D1954">
        <v>9.16</v>
      </c>
      <c r="E1954">
        <v>500</v>
      </c>
      <c r="F1954" t="s">
        <v>147</v>
      </c>
      <c r="G1954" t="s">
        <v>32</v>
      </c>
      <c r="H1954" t="s">
        <v>57</v>
      </c>
      <c r="J1954" t="s">
        <v>5590</v>
      </c>
      <c r="K1954" t="s">
        <v>117</v>
      </c>
      <c r="L1954">
        <v>4</v>
      </c>
      <c r="M1954" t="s">
        <v>798</v>
      </c>
      <c r="N1954" t="s">
        <v>4352</v>
      </c>
    </row>
    <row r="1955" spans="1:14" x14ac:dyDescent="0.35">
      <c r="A1955" t="s">
        <v>5591</v>
      </c>
      <c r="B1955" t="s">
        <v>5592</v>
      </c>
      <c r="C1955" t="s">
        <v>41</v>
      </c>
      <c r="D1955">
        <v>141.41</v>
      </c>
      <c r="E1955">
        <v>25000</v>
      </c>
      <c r="F1955" t="s">
        <v>51</v>
      </c>
      <c r="G1955" t="s">
        <v>32</v>
      </c>
      <c r="H1955" t="s">
        <v>43</v>
      </c>
      <c r="J1955" t="s">
        <v>179</v>
      </c>
      <c r="K1955" t="s">
        <v>97</v>
      </c>
      <c r="L1955">
        <v>3</v>
      </c>
      <c r="N1955" t="s">
        <v>4108</v>
      </c>
    </row>
    <row r="1956" spans="1:14" x14ac:dyDescent="0.35">
      <c r="A1956" t="s">
        <v>5593</v>
      </c>
      <c r="B1956" t="s">
        <v>5594</v>
      </c>
      <c r="C1956" t="s">
        <v>41</v>
      </c>
      <c r="D1956">
        <v>107.87</v>
      </c>
      <c r="E1956">
        <v>38000</v>
      </c>
      <c r="F1956" t="s">
        <v>97</v>
      </c>
      <c r="G1956" t="s">
        <v>32</v>
      </c>
      <c r="H1956" t="s">
        <v>43</v>
      </c>
      <c r="I1956" t="s">
        <v>34</v>
      </c>
      <c r="J1956" t="s">
        <v>721</v>
      </c>
      <c r="K1956" t="s">
        <v>42</v>
      </c>
      <c r="L1956">
        <v>14</v>
      </c>
      <c r="M1956" t="s">
        <v>1239</v>
      </c>
      <c r="N1956" t="s">
        <v>3407</v>
      </c>
    </row>
    <row r="1957" spans="1:14" x14ac:dyDescent="0.35">
      <c r="A1957" t="s">
        <v>5595</v>
      </c>
      <c r="B1957" t="s">
        <v>5596</v>
      </c>
      <c r="C1957" t="s">
        <v>41</v>
      </c>
      <c r="D1957">
        <v>113.43</v>
      </c>
      <c r="E1957">
        <v>13000</v>
      </c>
      <c r="F1957" t="s">
        <v>46</v>
      </c>
      <c r="G1957" t="s">
        <v>32</v>
      </c>
      <c r="H1957" t="s">
        <v>57</v>
      </c>
      <c r="J1957" t="s">
        <v>35</v>
      </c>
      <c r="K1957" t="s">
        <v>36</v>
      </c>
      <c r="L1957">
        <v>21</v>
      </c>
      <c r="M1957" t="s">
        <v>2036</v>
      </c>
      <c r="N1957" t="s">
        <v>5519</v>
      </c>
    </row>
    <row r="1958" spans="1:14" x14ac:dyDescent="0.35">
      <c r="A1958" t="s">
        <v>5597</v>
      </c>
      <c r="B1958" t="s">
        <v>5598</v>
      </c>
      <c r="C1958" t="s">
        <v>69</v>
      </c>
      <c r="D1958">
        <v>81.489999999999995</v>
      </c>
      <c r="E1958">
        <v>16000</v>
      </c>
      <c r="F1958" t="s">
        <v>36</v>
      </c>
      <c r="G1958" t="s">
        <v>32</v>
      </c>
      <c r="H1958" t="s">
        <v>43</v>
      </c>
      <c r="I1958" t="s">
        <v>34</v>
      </c>
      <c r="J1958" t="s">
        <v>35</v>
      </c>
      <c r="K1958" t="s">
        <v>36</v>
      </c>
      <c r="L1958">
        <v>16</v>
      </c>
      <c r="M1958" t="s">
        <v>478</v>
      </c>
      <c r="N1958" t="s">
        <v>1947</v>
      </c>
    </row>
    <row r="1959" spans="1:14" x14ac:dyDescent="0.35">
      <c r="A1959" t="s">
        <v>5599</v>
      </c>
      <c r="B1959" t="s">
        <v>5600</v>
      </c>
      <c r="C1959" t="s">
        <v>69</v>
      </c>
      <c r="D1959">
        <v>65.64</v>
      </c>
      <c r="E1959">
        <v>61000</v>
      </c>
      <c r="F1959" t="s">
        <v>74</v>
      </c>
      <c r="G1959" t="s">
        <v>32</v>
      </c>
      <c r="H1959" t="s">
        <v>57</v>
      </c>
      <c r="I1959" t="s">
        <v>129</v>
      </c>
      <c r="J1959" t="s">
        <v>174</v>
      </c>
      <c r="K1959" t="s">
        <v>139</v>
      </c>
      <c r="L1959">
        <v>13</v>
      </c>
      <c r="M1959" t="s">
        <v>5601</v>
      </c>
      <c r="N1959" t="s">
        <v>217</v>
      </c>
    </row>
    <row r="1960" spans="1:14" x14ac:dyDescent="0.35">
      <c r="A1960" t="s">
        <v>5602</v>
      </c>
      <c r="B1960" t="s">
        <v>5603</v>
      </c>
      <c r="C1960" t="s">
        <v>62</v>
      </c>
      <c r="D1960">
        <v>65.040000000000006</v>
      </c>
      <c r="E1960">
        <v>5000</v>
      </c>
      <c r="F1960" t="s">
        <v>106</v>
      </c>
      <c r="G1960" t="s">
        <v>32</v>
      </c>
      <c r="H1960" t="s">
        <v>33</v>
      </c>
      <c r="I1960" t="s">
        <v>34</v>
      </c>
      <c r="J1960" t="s">
        <v>107</v>
      </c>
      <c r="K1960" t="s">
        <v>87</v>
      </c>
      <c r="L1960">
        <v>23</v>
      </c>
      <c r="M1960" t="s">
        <v>243</v>
      </c>
      <c r="N1960" t="s">
        <v>4924</v>
      </c>
    </row>
    <row r="1961" spans="1:14" x14ac:dyDescent="0.35">
      <c r="A1961" t="s">
        <v>5604</v>
      </c>
      <c r="B1961" t="s">
        <v>5605</v>
      </c>
      <c r="C1961" t="s">
        <v>81</v>
      </c>
      <c r="D1961">
        <v>116.64</v>
      </c>
      <c r="E1961">
        <v>7000</v>
      </c>
      <c r="F1961" t="s">
        <v>236</v>
      </c>
      <c r="G1961" t="s">
        <v>32</v>
      </c>
      <c r="H1961" t="s">
        <v>33</v>
      </c>
      <c r="I1961" t="s">
        <v>129</v>
      </c>
      <c r="J1961" t="s">
        <v>124</v>
      </c>
      <c r="K1961" t="s">
        <v>117</v>
      </c>
      <c r="L1961">
        <v>11</v>
      </c>
      <c r="N1961" t="s">
        <v>3470</v>
      </c>
    </row>
    <row r="1962" spans="1:14" x14ac:dyDescent="0.35">
      <c r="A1962" t="s">
        <v>5606</v>
      </c>
      <c r="B1962" t="s">
        <v>5607</v>
      </c>
      <c r="C1962" t="s">
        <v>69</v>
      </c>
      <c r="D1962">
        <v>53.99</v>
      </c>
      <c r="E1962">
        <v>83000</v>
      </c>
      <c r="F1962" t="s">
        <v>36</v>
      </c>
      <c r="G1962" t="s">
        <v>32</v>
      </c>
      <c r="H1962" t="s">
        <v>57</v>
      </c>
      <c r="J1962" t="s">
        <v>63</v>
      </c>
      <c r="K1962" t="s">
        <v>64</v>
      </c>
      <c r="L1962">
        <v>7</v>
      </c>
      <c r="N1962" t="s">
        <v>2415</v>
      </c>
    </row>
    <row r="1963" spans="1:14" x14ac:dyDescent="0.35">
      <c r="A1963" t="s">
        <v>5608</v>
      </c>
      <c r="B1963" t="s">
        <v>5609</v>
      </c>
      <c r="C1963" t="s">
        <v>69</v>
      </c>
      <c r="D1963">
        <v>95.16</v>
      </c>
      <c r="E1963">
        <v>95000</v>
      </c>
      <c r="F1963" t="s">
        <v>123</v>
      </c>
      <c r="G1963" t="s">
        <v>102</v>
      </c>
      <c r="H1963" t="s">
        <v>43</v>
      </c>
      <c r="I1963" t="s">
        <v>34</v>
      </c>
      <c r="J1963" t="s">
        <v>130</v>
      </c>
      <c r="K1963" t="s">
        <v>123</v>
      </c>
      <c r="L1963">
        <v>15</v>
      </c>
      <c r="M1963" t="s">
        <v>2843</v>
      </c>
      <c r="N1963" t="s">
        <v>3071</v>
      </c>
    </row>
    <row r="1964" spans="1:14" x14ac:dyDescent="0.35">
      <c r="A1964" t="s">
        <v>5610</v>
      </c>
      <c r="B1964" t="s">
        <v>5611</v>
      </c>
      <c r="C1964" t="s">
        <v>116</v>
      </c>
      <c r="D1964">
        <v>10.51</v>
      </c>
      <c r="E1964">
        <v>200</v>
      </c>
      <c r="F1964" t="s">
        <v>36</v>
      </c>
      <c r="G1964" t="s">
        <v>32</v>
      </c>
      <c r="H1964" t="s">
        <v>57</v>
      </c>
      <c r="I1964" t="s">
        <v>44</v>
      </c>
      <c r="J1964" t="s">
        <v>5612</v>
      </c>
      <c r="K1964" t="s">
        <v>147</v>
      </c>
      <c r="L1964">
        <v>21</v>
      </c>
      <c r="M1964" t="s">
        <v>3067</v>
      </c>
      <c r="N1964" t="s">
        <v>4670</v>
      </c>
    </row>
    <row r="1965" spans="1:14" x14ac:dyDescent="0.35">
      <c r="A1965" t="s">
        <v>5613</v>
      </c>
      <c r="B1965" t="s">
        <v>5614</v>
      </c>
      <c r="C1965" t="s">
        <v>30</v>
      </c>
      <c r="D1965">
        <v>163.87</v>
      </c>
      <c r="E1965">
        <v>15000</v>
      </c>
      <c r="F1965" t="s">
        <v>106</v>
      </c>
      <c r="G1965" t="s">
        <v>102</v>
      </c>
      <c r="H1965" t="s">
        <v>57</v>
      </c>
      <c r="I1965" t="s">
        <v>129</v>
      </c>
      <c r="J1965" t="s">
        <v>1531</v>
      </c>
      <c r="K1965" t="s">
        <v>42</v>
      </c>
      <c r="L1965">
        <v>20</v>
      </c>
      <c r="M1965" t="s">
        <v>5615</v>
      </c>
      <c r="N1965" t="s">
        <v>1922</v>
      </c>
    </row>
    <row r="1966" spans="1:14" x14ac:dyDescent="0.35">
      <c r="A1966" t="s">
        <v>5616</v>
      </c>
      <c r="B1966" t="s">
        <v>5617</v>
      </c>
      <c r="C1966" t="s">
        <v>62</v>
      </c>
      <c r="D1966">
        <v>63.07</v>
      </c>
      <c r="E1966">
        <v>3000</v>
      </c>
      <c r="F1966" t="s">
        <v>36</v>
      </c>
      <c r="G1966" t="s">
        <v>32</v>
      </c>
      <c r="H1966" t="s">
        <v>33</v>
      </c>
      <c r="I1966" t="s">
        <v>34</v>
      </c>
      <c r="J1966" t="s">
        <v>209</v>
      </c>
      <c r="K1966" t="s">
        <v>74</v>
      </c>
      <c r="L1966">
        <v>2</v>
      </c>
      <c r="N1966" t="s">
        <v>3586</v>
      </c>
    </row>
    <row r="1967" spans="1:14" x14ac:dyDescent="0.35">
      <c r="A1967" t="s">
        <v>5618</v>
      </c>
      <c r="B1967" t="s">
        <v>5619</v>
      </c>
      <c r="C1967" t="s">
        <v>116</v>
      </c>
      <c r="D1967">
        <v>7.32</v>
      </c>
      <c r="E1967">
        <v>700</v>
      </c>
      <c r="F1967" t="s">
        <v>106</v>
      </c>
      <c r="G1967" t="s">
        <v>32</v>
      </c>
      <c r="H1967" t="s">
        <v>57</v>
      </c>
      <c r="I1967" t="s">
        <v>34</v>
      </c>
      <c r="J1967" t="s">
        <v>5620</v>
      </c>
      <c r="K1967" t="s">
        <v>139</v>
      </c>
      <c r="L1967">
        <v>4</v>
      </c>
      <c r="M1967" t="s">
        <v>769</v>
      </c>
      <c r="N1967" t="s">
        <v>285</v>
      </c>
    </row>
    <row r="1968" spans="1:14" x14ac:dyDescent="0.35">
      <c r="A1968" t="s">
        <v>5621</v>
      </c>
      <c r="B1968" t="s">
        <v>5622</v>
      </c>
      <c r="C1968" t="s">
        <v>81</v>
      </c>
      <c r="D1968">
        <v>101</v>
      </c>
      <c r="E1968">
        <v>7000</v>
      </c>
      <c r="F1968" t="s">
        <v>51</v>
      </c>
      <c r="G1968" t="s">
        <v>102</v>
      </c>
      <c r="H1968" t="s">
        <v>43</v>
      </c>
      <c r="I1968" t="s">
        <v>44</v>
      </c>
      <c r="J1968" t="s">
        <v>1464</v>
      </c>
      <c r="K1968" t="s">
        <v>97</v>
      </c>
      <c r="L1968">
        <v>16</v>
      </c>
      <c r="N1968" t="s">
        <v>613</v>
      </c>
    </row>
    <row r="1969" spans="1:14" x14ac:dyDescent="0.35">
      <c r="A1969" t="s">
        <v>5623</v>
      </c>
      <c r="B1969" t="s">
        <v>5624</v>
      </c>
      <c r="C1969" t="s">
        <v>116</v>
      </c>
      <c r="D1969">
        <v>8.6199999999999992</v>
      </c>
      <c r="E1969">
        <v>200</v>
      </c>
      <c r="F1969" t="s">
        <v>64</v>
      </c>
      <c r="G1969" t="s">
        <v>32</v>
      </c>
      <c r="H1969" t="s">
        <v>33</v>
      </c>
      <c r="I1969" t="s">
        <v>44</v>
      </c>
      <c r="J1969" t="s">
        <v>63</v>
      </c>
      <c r="K1969" t="s">
        <v>64</v>
      </c>
      <c r="L1969">
        <v>19</v>
      </c>
      <c r="M1969" t="s">
        <v>289</v>
      </c>
      <c r="N1969" t="s">
        <v>1638</v>
      </c>
    </row>
    <row r="1970" spans="1:14" x14ac:dyDescent="0.35">
      <c r="A1970" t="s">
        <v>5625</v>
      </c>
      <c r="B1970" t="s">
        <v>5626</v>
      </c>
      <c r="C1970" t="s">
        <v>30</v>
      </c>
      <c r="D1970">
        <v>184.89</v>
      </c>
      <c r="E1970">
        <v>20000</v>
      </c>
      <c r="F1970" t="s">
        <v>87</v>
      </c>
      <c r="G1970" t="s">
        <v>32</v>
      </c>
      <c r="H1970" t="s">
        <v>43</v>
      </c>
      <c r="J1970" t="s">
        <v>5620</v>
      </c>
      <c r="K1970" t="s">
        <v>139</v>
      </c>
      <c r="L1970">
        <v>1</v>
      </c>
      <c r="N1970" t="s">
        <v>2108</v>
      </c>
    </row>
    <row r="1971" spans="1:14" x14ac:dyDescent="0.35">
      <c r="A1971" t="s">
        <v>5627</v>
      </c>
      <c r="B1971" t="s">
        <v>5628</v>
      </c>
      <c r="C1971" t="s">
        <v>30</v>
      </c>
      <c r="D1971">
        <v>133.4</v>
      </c>
      <c r="E1971">
        <v>19000</v>
      </c>
      <c r="F1971" t="s">
        <v>64</v>
      </c>
      <c r="G1971" t="s">
        <v>32</v>
      </c>
      <c r="H1971" t="s">
        <v>57</v>
      </c>
      <c r="I1971" t="s">
        <v>34</v>
      </c>
      <c r="J1971" t="s">
        <v>3556</v>
      </c>
      <c r="K1971" t="s">
        <v>236</v>
      </c>
      <c r="L1971">
        <v>15</v>
      </c>
      <c r="N1971" t="s">
        <v>1131</v>
      </c>
    </row>
    <row r="1972" spans="1:14" x14ac:dyDescent="0.35">
      <c r="A1972" t="s">
        <v>5629</v>
      </c>
      <c r="B1972" t="s">
        <v>5630</v>
      </c>
      <c r="C1972" t="s">
        <v>81</v>
      </c>
      <c r="D1972">
        <v>121.9</v>
      </c>
      <c r="E1972">
        <v>2000</v>
      </c>
      <c r="F1972" t="s">
        <v>36</v>
      </c>
      <c r="G1972" t="s">
        <v>32</v>
      </c>
      <c r="H1972" t="s">
        <v>43</v>
      </c>
      <c r="I1972" t="s">
        <v>34</v>
      </c>
      <c r="J1972" t="s">
        <v>124</v>
      </c>
      <c r="K1972" t="s">
        <v>117</v>
      </c>
      <c r="L1972">
        <v>11</v>
      </c>
      <c r="M1972" t="s">
        <v>3545</v>
      </c>
      <c r="N1972" t="s">
        <v>5043</v>
      </c>
    </row>
    <row r="1973" spans="1:14" x14ac:dyDescent="0.35">
      <c r="A1973" t="s">
        <v>5631</v>
      </c>
      <c r="B1973" t="s">
        <v>5632</v>
      </c>
      <c r="C1973" t="s">
        <v>62</v>
      </c>
      <c r="D1973">
        <v>91.12</v>
      </c>
      <c r="E1973">
        <v>4000</v>
      </c>
      <c r="F1973" t="s">
        <v>46</v>
      </c>
      <c r="G1973" t="s">
        <v>32</v>
      </c>
      <c r="H1973" t="s">
        <v>33</v>
      </c>
      <c r="I1973" t="s">
        <v>129</v>
      </c>
      <c r="J1973" t="s">
        <v>35</v>
      </c>
      <c r="K1973" t="s">
        <v>36</v>
      </c>
      <c r="L1973">
        <v>0</v>
      </c>
      <c r="N1973" t="s">
        <v>1312</v>
      </c>
    </row>
    <row r="1974" spans="1:14" x14ac:dyDescent="0.35">
      <c r="A1974" t="s">
        <v>5633</v>
      </c>
      <c r="B1974" t="s">
        <v>5634</v>
      </c>
      <c r="C1974" t="s">
        <v>69</v>
      </c>
      <c r="D1974">
        <v>67.27</v>
      </c>
      <c r="E1974">
        <v>82000</v>
      </c>
      <c r="F1974" t="s">
        <v>51</v>
      </c>
      <c r="G1974" t="s">
        <v>32</v>
      </c>
      <c r="H1974" t="s">
        <v>57</v>
      </c>
      <c r="I1974" t="s">
        <v>34</v>
      </c>
      <c r="J1974" t="s">
        <v>846</v>
      </c>
      <c r="K1974" t="s">
        <v>74</v>
      </c>
      <c r="L1974">
        <v>4</v>
      </c>
      <c r="M1974" t="s">
        <v>641</v>
      </c>
      <c r="N1974" t="s">
        <v>1270</v>
      </c>
    </row>
    <row r="1975" spans="1:14" x14ac:dyDescent="0.35">
      <c r="A1975" t="s">
        <v>5635</v>
      </c>
      <c r="B1975" t="s">
        <v>5636</v>
      </c>
      <c r="C1975" t="s">
        <v>116</v>
      </c>
      <c r="D1975">
        <v>7.41</v>
      </c>
      <c r="E1975">
        <v>600</v>
      </c>
      <c r="F1975" t="s">
        <v>139</v>
      </c>
      <c r="G1975" t="s">
        <v>32</v>
      </c>
      <c r="H1975" t="s">
        <v>57</v>
      </c>
      <c r="I1975" t="s">
        <v>34</v>
      </c>
      <c r="J1975" t="s">
        <v>523</v>
      </c>
      <c r="K1975" t="s">
        <v>36</v>
      </c>
      <c r="L1975">
        <v>21</v>
      </c>
      <c r="N1975" t="s">
        <v>2786</v>
      </c>
    </row>
    <row r="1976" spans="1:14" x14ac:dyDescent="0.35">
      <c r="A1976" t="s">
        <v>5637</v>
      </c>
      <c r="B1976" t="s">
        <v>5638</v>
      </c>
      <c r="C1976" t="s">
        <v>62</v>
      </c>
      <c r="D1976">
        <v>74.67</v>
      </c>
      <c r="E1976">
        <v>1000</v>
      </c>
      <c r="F1976" t="s">
        <v>87</v>
      </c>
      <c r="G1976" t="s">
        <v>32</v>
      </c>
      <c r="H1976" t="s">
        <v>33</v>
      </c>
      <c r="I1976" t="s">
        <v>44</v>
      </c>
      <c r="J1976" t="s">
        <v>118</v>
      </c>
      <c r="K1976" t="s">
        <v>42</v>
      </c>
      <c r="L1976">
        <v>5</v>
      </c>
      <c r="M1976" t="s">
        <v>180</v>
      </c>
      <c r="N1976" t="s">
        <v>3580</v>
      </c>
    </row>
    <row r="1977" spans="1:14" x14ac:dyDescent="0.35">
      <c r="A1977" t="s">
        <v>5639</v>
      </c>
      <c r="B1977" t="s">
        <v>5640</v>
      </c>
      <c r="C1977" t="s">
        <v>69</v>
      </c>
      <c r="D1977">
        <v>58.53</v>
      </c>
      <c r="E1977">
        <v>42000</v>
      </c>
      <c r="F1977" t="s">
        <v>76</v>
      </c>
      <c r="G1977" t="s">
        <v>32</v>
      </c>
      <c r="H1977" t="s">
        <v>43</v>
      </c>
      <c r="I1977" t="s">
        <v>44</v>
      </c>
      <c r="J1977" t="s">
        <v>112</v>
      </c>
      <c r="K1977" t="s">
        <v>106</v>
      </c>
      <c r="L1977">
        <v>11</v>
      </c>
      <c r="M1977" t="s">
        <v>603</v>
      </c>
      <c r="N1977" t="s">
        <v>1131</v>
      </c>
    </row>
    <row r="1978" spans="1:14" x14ac:dyDescent="0.35">
      <c r="A1978" t="s">
        <v>5641</v>
      </c>
      <c r="B1978" t="s">
        <v>5642</v>
      </c>
      <c r="C1978" t="s">
        <v>116</v>
      </c>
      <c r="D1978">
        <v>8.44</v>
      </c>
      <c r="E1978">
        <v>200</v>
      </c>
      <c r="F1978" t="s">
        <v>51</v>
      </c>
      <c r="G1978" t="s">
        <v>32</v>
      </c>
      <c r="H1978" t="s">
        <v>33</v>
      </c>
      <c r="I1978" t="s">
        <v>44</v>
      </c>
      <c r="J1978" t="s">
        <v>683</v>
      </c>
      <c r="K1978" t="s">
        <v>97</v>
      </c>
      <c r="L1978">
        <v>10</v>
      </c>
      <c r="M1978" t="s">
        <v>555</v>
      </c>
      <c r="N1978" t="s">
        <v>1415</v>
      </c>
    </row>
    <row r="1979" spans="1:14" x14ac:dyDescent="0.35">
      <c r="A1979" t="s">
        <v>5643</v>
      </c>
      <c r="B1979" t="s">
        <v>5644</v>
      </c>
      <c r="C1979" t="s">
        <v>41</v>
      </c>
      <c r="D1979">
        <v>99.01</v>
      </c>
      <c r="E1979">
        <v>31000</v>
      </c>
      <c r="F1979" t="s">
        <v>106</v>
      </c>
      <c r="G1979" t="s">
        <v>32</v>
      </c>
      <c r="H1979" t="s">
        <v>43</v>
      </c>
      <c r="I1979" t="s">
        <v>44</v>
      </c>
      <c r="J1979" t="s">
        <v>209</v>
      </c>
      <c r="K1979" t="s">
        <v>74</v>
      </c>
      <c r="L1979">
        <v>16</v>
      </c>
      <c r="M1979" t="s">
        <v>555</v>
      </c>
      <c r="N1979" t="s">
        <v>2875</v>
      </c>
    </row>
    <row r="1980" spans="1:14" x14ac:dyDescent="0.35">
      <c r="A1980" t="s">
        <v>5645</v>
      </c>
      <c r="B1980" t="s">
        <v>5646</v>
      </c>
      <c r="C1980" t="s">
        <v>69</v>
      </c>
      <c r="D1980">
        <v>86.84</v>
      </c>
      <c r="E1980">
        <v>90000</v>
      </c>
      <c r="F1980" t="s">
        <v>76</v>
      </c>
      <c r="G1980" t="s">
        <v>32</v>
      </c>
      <c r="H1980" t="s">
        <v>43</v>
      </c>
      <c r="I1980" t="s">
        <v>44</v>
      </c>
      <c r="J1980" t="s">
        <v>1816</v>
      </c>
      <c r="K1980" t="s">
        <v>236</v>
      </c>
      <c r="L1980">
        <v>22</v>
      </c>
      <c r="M1980" t="s">
        <v>4008</v>
      </c>
      <c r="N1980" t="s">
        <v>4593</v>
      </c>
    </row>
    <row r="1981" spans="1:14" x14ac:dyDescent="0.35">
      <c r="A1981" t="s">
        <v>5647</v>
      </c>
      <c r="B1981" t="s">
        <v>5648</v>
      </c>
      <c r="C1981" t="s">
        <v>30</v>
      </c>
      <c r="D1981">
        <v>119.52</v>
      </c>
      <c r="E1981">
        <v>17000</v>
      </c>
      <c r="F1981" t="s">
        <v>31</v>
      </c>
      <c r="G1981" t="s">
        <v>102</v>
      </c>
      <c r="H1981" t="s">
        <v>33</v>
      </c>
      <c r="I1981" t="s">
        <v>44</v>
      </c>
      <c r="J1981" t="s">
        <v>2122</v>
      </c>
      <c r="K1981" t="s">
        <v>97</v>
      </c>
      <c r="L1981">
        <v>20</v>
      </c>
      <c r="N1981" t="s">
        <v>5649</v>
      </c>
    </row>
    <row r="1982" spans="1:14" x14ac:dyDescent="0.35">
      <c r="A1982" t="s">
        <v>5650</v>
      </c>
      <c r="B1982" t="s">
        <v>5651</v>
      </c>
      <c r="C1982" t="s">
        <v>116</v>
      </c>
      <c r="D1982">
        <v>8.6199999999999992</v>
      </c>
      <c r="E1982">
        <v>400</v>
      </c>
      <c r="F1982" t="s">
        <v>76</v>
      </c>
      <c r="G1982" t="s">
        <v>32</v>
      </c>
      <c r="H1982" t="s">
        <v>33</v>
      </c>
      <c r="I1982" t="s">
        <v>129</v>
      </c>
      <c r="J1982" t="s">
        <v>209</v>
      </c>
      <c r="K1982" t="s">
        <v>74</v>
      </c>
      <c r="L1982">
        <v>16</v>
      </c>
      <c r="M1982" t="s">
        <v>1434</v>
      </c>
      <c r="N1982" t="s">
        <v>5652</v>
      </c>
    </row>
    <row r="1983" spans="1:14" x14ac:dyDescent="0.35">
      <c r="A1983" t="s">
        <v>5653</v>
      </c>
      <c r="B1983" t="s">
        <v>5654</v>
      </c>
      <c r="C1983" t="s">
        <v>69</v>
      </c>
      <c r="D1983">
        <v>56.12</v>
      </c>
      <c r="E1983">
        <v>79000</v>
      </c>
      <c r="F1983" t="s">
        <v>64</v>
      </c>
      <c r="G1983" t="s">
        <v>32</v>
      </c>
      <c r="H1983" t="s">
        <v>57</v>
      </c>
      <c r="J1983" t="s">
        <v>5655</v>
      </c>
      <c r="K1983" t="s">
        <v>36</v>
      </c>
      <c r="L1983">
        <v>13</v>
      </c>
      <c r="M1983" t="s">
        <v>1050</v>
      </c>
      <c r="N1983" t="s">
        <v>1669</v>
      </c>
    </row>
    <row r="1984" spans="1:14" x14ac:dyDescent="0.35">
      <c r="A1984" t="s">
        <v>5656</v>
      </c>
      <c r="B1984" t="s">
        <v>5657</v>
      </c>
      <c r="C1984" t="s">
        <v>30</v>
      </c>
      <c r="D1984">
        <v>169.84</v>
      </c>
      <c r="E1984">
        <v>1000</v>
      </c>
      <c r="F1984" t="s">
        <v>64</v>
      </c>
      <c r="G1984" t="s">
        <v>32</v>
      </c>
      <c r="H1984" t="s">
        <v>43</v>
      </c>
      <c r="I1984" t="s">
        <v>44</v>
      </c>
      <c r="J1984" t="s">
        <v>112</v>
      </c>
      <c r="K1984" t="s">
        <v>106</v>
      </c>
      <c r="L1984">
        <v>10</v>
      </c>
      <c r="M1984" t="s">
        <v>4045</v>
      </c>
      <c r="N1984" t="s">
        <v>78</v>
      </c>
    </row>
    <row r="1985" spans="1:14" x14ac:dyDescent="0.35">
      <c r="A1985" t="s">
        <v>5658</v>
      </c>
      <c r="B1985" t="s">
        <v>5659</v>
      </c>
      <c r="C1985" t="s">
        <v>116</v>
      </c>
      <c r="D1985">
        <v>6.35</v>
      </c>
      <c r="E1985">
        <v>300</v>
      </c>
      <c r="F1985" t="s">
        <v>147</v>
      </c>
      <c r="G1985" t="s">
        <v>32</v>
      </c>
      <c r="H1985" t="s">
        <v>57</v>
      </c>
      <c r="I1985" t="s">
        <v>44</v>
      </c>
      <c r="J1985" t="s">
        <v>599</v>
      </c>
      <c r="K1985" t="s">
        <v>139</v>
      </c>
      <c r="L1985">
        <v>10</v>
      </c>
      <c r="M1985" t="s">
        <v>1286</v>
      </c>
      <c r="N1985" t="s">
        <v>2153</v>
      </c>
    </row>
    <row r="1986" spans="1:14" x14ac:dyDescent="0.35">
      <c r="A1986" t="s">
        <v>5660</v>
      </c>
      <c r="B1986" t="s">
        <v>5661</v>
      </c>
      <c r="C1986" t="s">
        <v>62</v>
      </c>
      <c r="D1986">
        <v>58.85</v>
      </c>
      <c r="E1986">
        <v>4000</v>
      </c>
      <c r="F1986" t="s">
        <v>139</v>
      </c>
      <c r="G1986" t="s">
        <v>102</v>
      </c>
      <c r="H1986" t="s">
        <v>43</v>
      </c>
      <c r="I1986" t="s">
        <v>34</v>
      </c>
      <c r="J1986" t="s">
        <v>70</v>
      </c>
      <c r="K1986" t="s">
        <v>31</v>
      </c>
      <c r="L1986">
        <v>14</v>
      </c>
      <c r="M1986" t="s">
        <v>1136</v>
      </c>
      <c r="N1986" t="s">
        <v>3276</v>
      </c>
    </row>
    <row r="1987" spans="1:14" x14ac:dyDescent="0.35">
      <c r="A1987" t="s">
        <v>5662</v>
      </c>
      <c r="B1987" t="s">
        <v>5663</v>
      </c>
      <c r="C1987" t="s">
        <v>116</v>
      </c>
      <c r="D1987">
        <v>10.69</v>
      </c>
      <c r="E1987">
        <v>200</v>
      </c>
      <c r="F1987" t="s">
        <v>74</v>
      </c>
      <c r="G1987" t="s">
        <v>32</v>
      </c>
      <c r="H1987" t="s">
        <v>57</v>
      </c>
      <c r="I1987" t="s">
        <v>34</v>
      </c>
      <c r="J1987" t="s">
        <v>118</v>
      </c>
      <c r="K1987" t="s">
        <v>42</v>
      </c>
      <c r="L1987">
        <v>8</v>
      </c>
      <c r="M1987" t="s">
        <v>2730</v>
      </c>
      <c r="N1987" t="s">
        <v>171</v>
      </c>
    </row>
    <row r="1988" spans="1:14" x14ac:dyDescent="0.35">
      <c r="A1988" t="s">
        <v>5664</v>
      </c>
      <c r="B1988" t="s">
        <v>5665</v>
      </c>
      <c r="C1988" t="s">
        <v>62</v>
      </c>
      <c r="D1988">
        <v>81.34</v>
      </c>
      <c r="E1988">
        <v>1000</v>
      </c>
      <c r="F1988" t="s">
        <v>123</v>
      </c>
      <c r="G1988" t="s">
        <v>32</v>
      </c>
      <c r="H1988" t="s">
        <v>43</v>
      </c>
      <c r="I1988" t="s">
        <v>129</v>
      </c>
      <c r="J1988" t="s">
        <v>830</v>
      </c>
      <c r="K1988" t="s">
        <v>51</v>
      </c>
      <c r="L1988">
        <v>8</v>
      </c>
      <c r="M1988" t="s">
        <v>2750</v>
      </c>
      <c r="N1988" t="s">
        <v>3497</v>
      </c>
    </row>
    <row r="1989" spans="1:14" x14ac:dyDescent="0.35">
      <c r="A1989" t="s">
        <v>5666</v>
      </c>
      <c r="B1989" t="s">
        <v>5667</v>
      </c>
      <c r="C1989" t="s">
        <v>30</v>
      </c>
      <c r="D1989">
        <v>190.78</v>
      </c>
      <c r="E1989">
        <v>3000</v>
      </c>
      <c r="F1989" t="s">
        <v>64</v>
      </c>
      <c r="G1989" t="s">
        <v>32</v>
      </c>
      <c r="H1989" t="s">
        <v>33</v>
      </c>
      <c r="I1989" t="s">
        <v>34</v>
      </c>
      <c r="J1989" t="s">
        <v>2549</v>
      </c>
      <c r="K1989" t="s">
        <v>147</v>
      </c>
      <c r="L1989">
        <v>9</v>
      </c>
      <c r="M1989" t="s">
        <v>965</v>
      </c>
      <c r="N1989" t="s">
        <v>161</v>
      </c>
    </row>
    <row r="1990" spans="1:14" x14ac:dyDescent="0.35">
      <c r="A1990" t="s">
        <v>5668</v>
      </c>
      <c r="B1990" t="s">
        <v>5669</v>
      </c>
      <c r="C1990" t="s">
        <v>69</v>
      </c>
      <c r="D1990">
        <v>70.75</v>
      </c>
      <c r="E1990">
        <v>95000</v>
      </c>
      <c r="F1990" t="s">
        <v>236</v>
      </c>
      <c r="G1990" t="s">
        <v>32</v>
      </c>
      <c r="H1990" t="s">
        <v>43</v>
      </c>
      <c r="I1990" t="s">
        <v>34</v>
      </c>
      <c r="J1990" t="s">
        <v>130</v>
      </c>
      <c r="K1990" t="s">
        <v>123</v>
      </c>
      <c r="L1990">
        <v>0</v>
      </c>
      <c r="M1990" t="s">
        <v>4045</v>
      </c>
      <c r="N1990" t="s">
        <v>617</v>
      </c>
    </row>
    <row r="1991" spans="1:14" x14ac:dyDescent="0.35">
      <c r="A1991" t="s">
        <v>5670</v>
      </c>
      <c r="B1991" t="s">
        <v>5671</v>
      </c>
      <c r="C1991" t="s">
        <v>30</v>
      </c>
      <c r="D1991">
        <v>159.44</v>
      </c>
      <c r="E1991">
        <v>15000</v>
      </c>
      <c r="F1991" t="s">
        <v>117</v>
      </c>
      <c r="G1991" t="s">
        <v>32</v>
      </c>
      <c r="H1991" t="s">
        <v>57</v>
      </c>
      <c r="I1991" t="s">
        <v>44</v>
      </c>
      <c r="J1991" t="s">
        <v>316</v>
      </c>
      <c r="K1991" t="s">
        <v>97</v>
      </c>
      <c r="L1991">
        <v>16</v>
      </c>
      <c r="M1991" t="s">
        <v>1072</v>
      </c>
      <c r="N1991" t="s">
        <v>4665</v>
      </c>
    </row>
    <row r="1992" spans="1:14" x14ac:dyDescent="0.35">
      <c r="A1992" t="s">
        <v>5672</v>
      </c>
      <c r="B1992" t="s">
        <v>5673</v>
      </c>
      <c r="C1992" t="s">
        <v>81</v>
      </c>
      <c r="D1992">
        <v>123.68</v>
      </c>
      <c r="E1992">
        <v>4000</v>
      </c>
      <c r="F1992" t="s">
        <v>139</v>
      </c>
      <c r="G1992" t="s">
        <v>32</v>
      </c>
      <c r="H1992" t="s">
        <v>43</v>
      </c>
      <c r="I1992" t="s">
        <v>34</v>
      </c>
      <c r="J1992" t="s">
        <v>45</v>
      </c>
      <c r="K1992" t="s">
        <v>46</v>
      </c>
      <c r="L1992">
        <v>3</v>
      </c>
      <c r="N1992" t="s">
        <v>5410</v>
      </c>
    </row>
    <row r="1993" spans="1:14" x14ac:dyDescent="0.35">
      <c r="A1993" t="s">
        <v>5674</v>
      </c>
      <c r="B1993" t="s">
        <v>5675</v>
      </c>
      <c r="C1993" t="s">
        <v>30</v>
      </c>
      <c r="D1993">
        <v>120.44</v>
      </c>
      <c r="E1993">
        <v>6000</v>
      </c>
      <c r="F1993" t="s">
        <v>46</v>
      </c>
      <c r="G1993" t="s">
        <v>32</v>
      </c>
      <c r="H1993" t="s">
        <v>43</v>
      </c>
      <c r="J1993" t="s">
        <v>164</v>
      </c>
      <c r="K1993" t="s">
        <v>74</v>
      </c>
      <c r="L1993">
        <v>1</v>
      </c>
      <c r="N1993" t="s">
        <v>775</v>
      </c>
    </row>
    <row r="1994" spans="1:14" x14ac:dyDescent="0.35">
      <c r="A1994" t="s">
        <v>5676</v>
      </c>
      <c r="B1994" t="s">
        <v>5677</v>
      </c>
      <c r="C1994" t="s">
        <v>81</v>
      </c>
      <c r="D1994">
        <v>116.5</v>
      </c>
      <c r="E1994">
        <v>9000</v>
      </c>
      <c r="F1994" t="s">
        <v>51</v>
      </c>
      <c r="G1994" t="s">
        <v>32</v>
      </c>
      <c r="H1994" t="s">
        <v>33</v>
      </c>
      <c r="I1994" t="s">
        <v>44</v>
      </c>
      <c r="J1994" t="s">
        <v>2242</v>
      </c>
      <c r="K1994" t="s">
        <v>74</v>
      </c>
      <c r="L1994">
        <v>6</v>
      </c>
      <c r="M1994" t="s">
        <v>5615</v>
      </c>
      <c r="N1994" t="s">
        <v>2935</v>
      </c>
    </row>
    <row r="1995" spans="1:14" x14ac:dyDescent="0.35">
      <c r="A1995" t="s">
        <v>5678</v>
      </c>
      <c r="B1995" t="s">
        <v>5679</v>
      </c>
      <c r="C1995" t="s">
        <v>30</v>
      </c>
      <c r="D1995">
        <v>164.66</v>
      </c>
      <c r="E1995">
        <v>3000</v>
      </c>
      <c r="F1995" t="s">
        <v>31</v>
      </c>
      <c r="G1995" t="s">
        <v>32</v>
      </c>
      <c r="H1995" t="s">
        <v>33</v>
      </c>
      <c r="I1995" t="s">
        <v>129</v>
      </c>
      <c r="J1995" t="s">
        <v>230</v>
      </c>
      <c r="K1995" t="s">
        <v>117</v>
      </c>
      <c r="L1995">
        <v>23</v>
      </c>
      <c r="M1995" t="s">
        <v>1220</v>
      </c>
      <c r="N1995" t="s">
        <v>5680</v>
      </c>
    </row>
    <row r="1996" spans="1:14" x14ac:dyDescent="0.35">
      <c r="A1996" t="s">
        <v>5681</v>
      </c>
      <c r="B1996" t="s">
        <v>5682</v>
      </c>
      <c r="C1996" t="s">
        <v>81</v>
      </c>
      <c r="D1996">
        <v>123.35</v>
      </c>
      <c r="E1996">
        <v>6000</v>
      </c>
      <c r="F1996" t="s">
        <v>74</v>
      </c>
      <c r="G1996" t="s">
        <v>32</v>
      </c>
      <c r="H1996" t="s">
        <v>33</v>
      </c>
      <c r="I1996" t="s">
        <v>34</v>
      </c>
      <c r="J1996" t="s">
        <v>830</v>
      </c>
      <c r="K1996" t="s">
        <v>51</v>
      </c>
      <c r="L1996">
        <v>16</v>
      </c>
      <c r="M1996" t="s">
        <v>881</v>
      </c>
      <c r="N1996" t="s">
        <v>4023</v>
      </c>
    </row>
    <row r="1997" spans="1:14" x14ac:dyDescent="0.35">
      <c r="A1997" t="s">
        <v>5683</v>
      </c>
      <c r="B1997" t="s">
        <v>5684</v>
      </c>
      <c r="C1997" t="s">
        <v>62</v>
      </c>
      <c r="D1997">
        <v>52.36</v>
      </c>
      <c r="E1997">
        <v>1000</v>
      </c>
      <c r="F1997" t="s">
        <v>139</v>
      </c>
      <c r="G1997" t="s">
        <v>32</v>
      </c>
      <c r="H1997" t="s">
        <v>57</v>
      </c>
      <c r="I1997" t="s">
        <v>34</v>
      </c>
      <c r="J1997" t="s">
        <v>5685</v>
      </c>
      <c r="K1997" t="s">
        <v>51</v>
      </c>
      <c r="L1997">
        <v>6</v>
      </c>
      <c r="N1997" t="s">
        <v>3348</v>
      </c>
    </row>
    <row r="1998" spans="1:14" x14ac:dyDescent="0.35">
      <c r="A1998" t="s">
        <v>5686</v>
      </c>
      <c r="B1998" t="s">
        <v>5687</v>
      </c>
      <c r="C1998" t="s">
        <v>69</v>
      </c>
      <c r="D1998">
        <v>66.52</v>
      </c>
      <c r="E1998">
        <v>89000</v>
      </c>
      <c r="F1998" t="s">
        <v>31</v>
      </c>
      <c r="G1998" t="s">
        <v>32</v>
      </c>
      <c r="H1998" t="s">
        <v>33</v>
      </c>
      <c r="I1998" t="s">
        <v>129</v>
      </c>
      <c r="J1998" t="s">
        <v>35</v>
      </c>
      <c r="K1998" t="s">
        <v>36</v>
      </c>
      <c r="L1998">
        <v>19</v>
      </c>
      <c r="M1998" t="s">
        <v>3545</v>
      </c>
      <c r="N1998" t="s">
        <v>66</v>
      </c>
    </row>
    <row r="1999" spans="1:14" x14ac:dyDescent="0.35">
      <c r="A1999" t="s">
        <v>5688</v>
      </c>
      <c r="B1999" t="s">
        <v>5689</v>
      </c>
      <c r="C1999" t="s">
        <v>81</v>
      </c>
      <c r="D1999">
        <v>117.49</v>
      </c>
      <c r="E1999">
        <v>10000</v>
      </c>
      <c r="F1999" t="s">
        <v>46</v>
      </c>
      <c r="G1999" t="s">
        <v>102</v>
      </c>
      <c r="H1999" t="s">
        <v>43</v>
      </c>
      <c r="I1999" t="s">
        <v>34</v>
      </c>
      <c r="J1999" t="s">
        <v>130</v>
      </c>
      <c r="K1999" t="s">
        <v>123</v>
      </c>
      <c r="L1999">
        <v>3</v>
      </c>
      <c r="N1999" t="s">
        <v>567</v>
      </c>
    </row>
    <row r="2000" spans="1:14" x14ac:dyDescent="0.35">
      <c r="A2000" t="s">
        <v>5690</v>
      </c>
      <c r="B2000" t="s">
        <v>5691</v>
      </c>
      <c r="C2000" t="s">
        <v>116</v>
      </c>
      <c r="D2000">
        <v>9.69</v>
      </c>
      <c r="E2000">
        <v>100</v>
      </c>
      <c r="F2000" t="s">
        <v>64</v>
      </c>
      <c r="G2000" t="s">
        <v>32</v>
      </c>
      <c r="H2000" t="s">
        <v>43</v>
      </c>
      <c r="I2000" t="s">
        <v>44</v>
      </c>
      <c r="J2000" t="s">
        <v>124</v>
      </c>
      <c r="K2000" t="s">
        <v>117</v>
      </c>
      <c r="L2000">
        <v>14</v>
      </c>
      <c r="M2000" t="s">
        <v>3354</v>
      </c>
      <c r="N2000" t="s">
        <v>3569</v>
      </c>
    </row>
    <row r="2001" spans="1:14" x14ac:dyDescent="0.35">
      <c r="A2001" t="s">
        <v>5692</v>
      </c>
      <c r="B2001" t="s">
        <v>5693</v>
      </c>
      <c r="C2001" t="s">
        <v>116</v>
      </c>
      <c r="D2001">
        <v>9.67</v>
      </c>
      <c r="E2001">
        <v>300</v>
      </c>
      <c r="F2001" t="s">
        <v>51</v>
      </c>
      <c r="G2001" t="s">
        <v>32</v>
      </c>
      <c r="H2001" t="s">
        <v>43</v>
      </c>
      <c r="J2001" t="s">
        <v>209</v>
      </c>
      <c r="K2001" t="s">
        <v>74</v>
      </c>
      <c r="L2001">
        <v>20</v>
      </c>
      <c r="N2001" t="s">
        <v>1384</v>
      </c>
    </row>
    <row r="2002" spans="1:14" x14ac:dyDescent="0.35">
      <c r="A2002" t="s">
        <v>5694</v>
      </c>
      <c r="B2002" t="s">
        <v>5695</v>
      </c>
      <c r="C2002" t="s">
        <v>81</v>
      </c>
      <c r="D2002">
        <v>124.76</v>
      </c>
      <c r="E2002">
        <v>4000</v>
      </c>
      <c r="F2002" t="s">
        <v>42</v>
      </c>
      <c r="G2002" t="s">
        <v>32</v>
      </c>
      <c r="H2002" t="s">
        <v>33</v>
      </c>
      <c r="J2002" t="s">
        <v>124</v>
      </c>
      <c r="K2002" t="s">
        <v>117</v>
      </c>
      <c r="L2002">
        <v>2</v>
      </c>
      <c r="M2002" t="s">
        <v>756</v>
      </c>
      <c r="N2002" t="s">
        <v>4490</v>
      </c>
    </row>
    <row r="2003" spans="1:14" x14ac:dyDescent="0.35">
      <c r="A2003" t="s">
        <v>5696</v>
      </c>
      <c r="B2003" t="s">
        <v>5697</v>
      </c>
      <c r="C2003" t="s">
        <v>81</v>
      </c>
      <c r="D2003">
        <v>117.9</v>
      </c>
      <c r="E2003">
        <v>7000</v>
      </c>
      <c r="F2003" t="s">
        <v>42</v>
      </c>
      <c r="G2003" t="s">
        <v>32</v>
      </c>
      <c r="H2003" t="s">
        <v>33</v>
      </c>
      <c r="J2003" t="s">
        <v>429</v>
      </c>
      <c r="K2003" t="s">
        <v>236</v>
      </c>
      <c r="L2003">
        <v>20</v>
      </c>
      <c r="M2003" t="s">
        <v>53</v>
      </c>
      <c r="N2003" t="s">
        <v>1817</v>
      </c>
    </row>
    <row r="2004" spans="1:14" x14ac:dyDescent="0.35">
      <c r="A2004" t="s">
        <v>5698</v>
      </c>
      <c r="B2004" t="s">
        <v>5699</v>
      </c>
      <c r="C2004" t="s">
        <v>30</v>
      </c>
      <c r="D2004">
        <v>182.84</v>
      </c>
      <c r="E2004">
        <v>20000</v>
      </c>
      <c r="F2004" t="s">
        <v>51</v>
      </c>
      <c r="G2004" t="s">
        <v>32</v>
      </c>
      <c r="H2004" t="s">
        <v>33</v>
      </c>
      <c r="I2004" t="s">
        <v>129</v>
      </c>
      <c r="J2004" t="s">
        <v>5700</v>
      </c>
      <c r="K2004" t="s">
        <v>42</v>
      </c>
      <c r="L2004">
        <v>14</v>
      </c>
      <c r="M2004" t="s">
        <v>1527</v>
      </c>
      <c r="N2004" t="s">
        <v>171</v>
      </c>
    </row>
    <row r="2005" spans="1:14" x14ac:dyDescent="0.35">
      <c r="A2005" t="s">
        <v>5701</v>
      </c>
      <c r="B2005" t="s">
        <v>5702</v>
      </c>
      <c r="C2005" t="s">
        <v>62</v>
      </c>
      <c r="D2005">
        <v>78.069999999999993</v>
      </c>
      <c r="E2005">
        <v>3000</v>
      </c>
      <c r="F2005" t="s">
        <v>74</v>
      </c>
      <c r="G2005" t="s">
        <v>32</v>
      </c>
      <c r="H2005" t="s">
        <v>57</v>
      </c>
      <c r="I2005" t="s">
        <v>129</v>
      </c>
      <c r="J2005" t="s">
        <v>1637</v>
      </c>
      <c r="K2005" t="s">
        <v>97</v>
      </c>
      <c r="L2005">
        <v>19</v>
      </c>
      <c r="M2005" t="s">
        <v>1143</v>
      </c>
      <c r="N2005" t="s">
        <v>5703</v>
      </c>
    </row>
    <row r="2006" spans="1:14" x14ac:dyDescent="0.35">
      <c r="A2006" t="s">
        <v>5704</v>
      </c>
      <c r="B2006" t="s">
        <v>5705</v>
      </c>
      <c r="C2006" t="s">
        <v>81</v>
      </c>
      <c r="D2006">
        <v>130.84</v>
      </c>
      <c r="E2006">
        <v>9000</v>
      </c>
      <c r="F2006" t="s">
        <v>147</v>
      </c>
      <c r="G2006" t="s">
        <v>32</v>
      </c>
      <c r="H2006" t="s">
        <v>57</v>
      </c>
      <c r="I2006" t="s">
        <v>34</v>
      </c>
      <c r="J2006" t="s">
        <v>75</v>
      </c>
      <c r="K2006" t="s">
        <v>76</v>
      </c>
      <c r="L2006">
        <v>18</v>
      </c>
      <c r="N2006" t="s">
        <v>5706</v>
      </c>
    </row>
    <row r="2007" spans="1:14" x14ac:dyDescent="0.35">
      <c r="A2007" t="s">
        <v>5707</v>
      </c>
      <c r="B2007" t="s">
        <v>5708</v>
      </c>
      <c r="C2007" t="s">
        <v>116</v>
      </c>
      <c r="D2007">
        <v>8.09</v>
      </c>
      <c r="E2007">
        <v>100</v>
      </c>
      <c r="F2007" t="s">
        <v>123</v>
      </c>
      <c r="G2007" t="s">
        <v>32</v>
      </c>
      <c r="H2007" t="s">
        <v>33</v>
      </c>
      <c r="I2007" t="s">
        <v>34</v>
      </c>
      <c r="J2007" t="s">
        <v>35</v>
      </c>
      <c r="K2007" t="s">
        <v>36</v>
      </c>
      <c r="L2007">
        <v>8</v>
      </c>
      <c r="M2007" t="s">
        <v>1239</v>
      </c>
      <c r="N2007" t="s">
        <v>5709</v>
      </c>
    </row>
    <row r="2008" spans="1:14" x14ac:dyDescent="0.35">
      <c r="A2008" t="s">
        <v>5710</v>
      </c>
      <c r="B2008" t="s">
        <v>5711</v>
      </c>
      <c r="C2008" t="s">
        <v>116</v>
      </c>
      <c r="D2008">
        <v>8.6</v>
      </c>
      <c r="E2008">
        <v>500</v>
      </c>
      <c r="F2008" t="s">
        <v>42</v>
      </c>
      <c r="G2008" t="s">
        <v>32</v>
      </c>
      <c r="H2008" t="s">
        <v>33</v>
      </c>
      <c r="I2008" t="s">
        <v>44</v>
      </c>
      <c r="J2008" t="s">
        <v>82</v>
      </c>
      <c r="K2008" t="s">
        <v>74</v>
      </c>
      <c r="L2008">
        <v>21</v>
      </c>
      <c r="N2008" t="s">
        <v>2686</v>
      </c>
    </row>
    <row r="2009" spans="1:14" x14ac:dyDescent="0.35">
      <c r="A2009" t="s">
        <v>5712</v>
      </c>
      <c r="B2009" t="s">
        <v>5713</v>
      </c>
      <c r="C2009" t="s">
        <v>116</v>
      </c>
      <c r="D2009">
        <v>10.85</v>
      </c>
      <c r="E2009">
        <v>100</v>
      </c>
      <c r="F2009" t="s">
        <v>97</v>
      </c>
      <c r="G2009" t="s">
        <v>32</v>
      </c>
      <c r="H2009" t="s">
        <v>33</v>
      </c>
      <c r="I2009" t="s">
        <v>44</v>
      </c>
      <c r="J2009" t="s">
        <v>316</v>
      </c>
      <c r="K2009" t="s">
        <v>97</v>
      </c>
      <c r="L2009">
        <v>9</v>
      </c>
      <c r="M2009" t="s">
        <v>1155</v>
      </c>
      <c r="N2009" t="s">
        <v>5278</v>
      </c>
    </row>
    <row r="2010" spans="1:14" x14ac:dyDescent="0.35">
      <c r="A2010" t="s">
        <v>5714</v>
      </c>
      <c r="B2010" t="s">
        <v>5715</v>
      </c>
      <c r="C2010" t="s">
        <v>62</v>
      </c>
      <c r="D2010">
        <v>58.62</v>
      </c>
      <c r="E2010">
        <v>1000</v>
      </c>
      <c r="F2010" t="s">
        <v>46</v>
      </c>
      <c r="G2010" t="s">
        <v>32</v>
      </c>
      <c r="H2010" t="s">
        <v>57</v>
      </c>
      <c r="I2010" t="s">
        <v>34</v>
      </c>
      <c r="J2010" t="s">
        <v>45</v>
      </c>
      <c r="K2010" t="s">
        <v>46</v>
      </c>
      <c r="L2010">
        <v>11</v>
      </c>
      <c r="N2010" t="s">
        <v>3697</v>
      </c>
    </row>
    <row r="2011" spans="1:14" x14ac:dyDescent="0.35">
      <c r="A2011" t="s">
        <v>5716</v>
      </c>
      <c r="B2011" t="s">
        <v>5717</v>
      </c>
      <c r="C2011" t="s">
        <v>81</v>
      </c>
      <c r="D2011">
        <v>76.77</v>
      </c>
      <c r="E2011">
        <v>9000</v>
      </c>
      <c r="F2011" t="s">
        <v>51</v>
      </c>
      <c r="G2011" t="s">
        <v>32</v>
      </c>
      <c r="H2011" t="s">
        <v>57</v>
      </c>
      <c r="I2011" t="s">
        <v>129</v>
      </c>
      <c r="J2011" t="s">
        <v>63</v>
      </c>
      <c r="K2011" t="s">
        <v>64</v>
      </c>
      <c r="L2011">
        <v>17</v>
      </c>
      <c r="N2011" t="s">
        <v>2099</v>
      </c>
    </row>
    <row r="2012" spans="1:14" x14ac:dyDescent="0.35">
      <c r="A2012" t="s">
        <v>5718</v>
      </c>
      <c r="B2012" t="s">
        <v>5719</v>
      </c>
      <c r="C2012" t="s">
        <v>41</v>
      </c>
      <c r="D2012">
        <v>159.88</v>
      </c>
      <c r="E2012">
        <v>22000</v>
      </c>
      <c r="F2012" t="s">
        <v>87</v>
      </c>
      <c r="G2012" t="s">
        <v>32</v>
      </c>
      <c r="H2012" t="s">
        <v>43</v>
      </c>
      <c r="I2012" t="s">
        <v>34</v>
      </c>
      <c r="J2012" t="s">
        <v>45</v>
      </c>
      <c r="K2012" t="s">
        <v>46</v>
      </c>
      <c r="L2012">
        <v>9</v>
      </c>
      <c r="M2012" t="s">
        <v>1346</v>
      </c>
      <c r="N2012" t="s">
        <v>3125</v>
      </c>
    </row>
    <row r="2013" spans="1:14" x14ac:dyDescent="0.35">
      <c r="A2013" t="s">
        <v>5720</v>
      </c>
      <c r="B2013" t="s">
        <v>5721</v>
      </c>
      <c r="C2013" t="s">
        <v>30</v>
      </c>
      <c r="D2013">
        <v>101.15</v>
      </c>
      <c r="E2013">
        <v>15000</v>
      </c>
      <c r="F2013" t="s">
        <v>31</v>
      </c>
      <c r="G2013" t="s">
        <v>32</v>
      </c>
      <c r="H2013" t="s">
        <v>33</v>
      </c>
      <c r="J2013" t="s">
        <v>96</v>
      </c>
      <c r="K2013" t="s">
        <v>97</v>
      </c>
      <c r="L2013">
        <v>18</v>
      </c>
      <c r="M2013" t="s">
        <v>216</v>
      </c>
      <c r="N2013" t="s">
        <v>463</v>
      </c>
    </row>
    <row r="2014" spans="1:14" x14ac:dyDescent="0.35">
      <c r="A2014" t="s">
        <v>5722</v>
      </c>
      <c r="B2014" t="s">
        <v>5723</v>
      </c>
      <c r="C2014" t="s">
        <v>116</v>
      </c>
      <c r="D2014">
        <v>6.23</v>
      </c>
      <c r="E2014">
        <v>300</v>
      </c>
      <c r="F2014" t="s">
        <v>31</v>
      </c>
      <c r="G2014" t="s">
        <v>32</v>
      </c>
      <c r="H2014" t="s">
        <v>57</v>
      </c>
      <c r="J2014" t="s">
        <v>112</v>
      </c>
      <c r="K2014" t="s">
        <v>106</v>
      </c>
      <c r="L2014">
        <v>6</v>
      </c>
      <c r="M2014" t="s">
        <v>786</v>
      </c>
      <c r="N2014" t="s">
        <v>2445</v>
      </c>
    </row>
    <row r="2015" spans="1:14" x14ac:dyDescent="0.35">
      <c r="A2015" t="s">
        <v>5724</v>
      </c>
      <c r="B2015" t="s">
        <v>5725</v>
      </c>
      <c r="C2015" t="s">
        <v>62</v>
      </c>
      <c r="D2015">
        <v>57.58</v>
      </c>
      <c r="E2015">
        <v>5000</v>
      </c>
      <c r="F2015" t="s">
        <v>87</v>
      </c>
      <c r="G2015" t="s">
        <v>32</v>
      </c>
      <c r="H2015" t="s">
        <v>33</v>
      </c>
      <c r="I2015" t="s">
        <v>34</v>
      </c>
      <c r="J2015" t="s">
        <v>75</v>
      </c>
      <c r="K2015" t="s">
        <v>76</v>
      </c>
      <c r="L2015">
        <v>23</v>
      </c>
      <c r="M2015" t="s">
        <v>2387</v>
      </c>
      <c r="N2015" t="s">
        <v>474</v>
      </c>
    </row>
    <row r="2016" spans="1:14" x14ac:dyDescent="0.35">
      <c r="A2016" t="s">
        <v>5726</v>
      </c>
      <c r="B2016" t="s">
        <v>5727</v>
      </c>
      <c r="C2016" t="s">
        <v>62</v>
      </c>
      <c r="D2016">
        <v>56.46</v>
      </c>
      <c r="E2016">
        <v>3000</v>
      </c>
      <c r="F2016" t="s">
        <v>147</v>
      </c>
      <c r="G2016" t="s">
        <v>32</v>
      </c>
      <c r="H2016" t="s">
        <v>57</v>
      </c>
      <c r="I2016" t="s">
        <v>34</v>
      </c>
      <c r="J2016" t="s">
        <v>983</v>
      </c>
      <c r="K2016" t="s">
        <v>51</v>
      </c>
      <c r="L2016">
        <v>15</v>
      </c>
      <c r="N2016" t="s">
        <v>448</v>
      </c>
    </row>
    <row r="2017" spans="1:14" x14ac:dyDescent="0.35">
      <c r="A2017" t="s">
        <v>5728</v>
      </c>
      <c r="B2017" t="s">
        <v>5729</v>
      </c>
      <c r="C2017" t="s">
        <v>116</v>
      </c>
      <c r="D2017">
        <v>6.01</v>
      </c>
      <c r="E2017">
        <v>700</v>
      </c>
      <c r="F2017" t="s">
        <v>76</v>
      </c>
      <c r="G2017" t="s">
        <v>102</v>
      </c>
      <c r="H2017" t="s">
        <v>57</v>
      </c>
      <c r="I2017" t="s">
        <v>44</v>
      </c>
      <c r="J2017" t="s">
        <v>2058</v>
      </c>
      <c r="K2017" t="s">
        <v>74</v>
      </c>
      <c r="L2017">
        <v>13</v>
      </c>
      <c r="N2017" t="s">
        <v>2822</v>
      </c>
    </row>
    <row r="2018" spans="1:14" x14ac:dyDescent="0.35">
      <c r="A2018" t="s">
        <v>5730</v>
      </c>
      <c r="B2018" t="s">
        <v>5731</v>
      </c>
      <c r="C2018" t="s">
        <v>81</v>
      </c>
      <c r="D2018">
        <v>139.71</v>
      </c>
      <c r="E2018">
        <v>8000</v>
      </c>
      <c r="F2018" t="s">
        <v>123</v>
      </c>
      <c r="G2018" t="s">
        <v>32</v>
      </c>
      <c r="H2018" t="s">
        <v>33</v>
      </c>
      <c r="J2018" t="s">
        <v>118</v>
      </c>
      <c r="K2018" t="s">
        <v>42</v>
      </c>
      <c r="L2018">
        <v>8</v>
      </c>
      <c r="N2018" t="s">
        <v>3553</v>
      </c>
    </row>
    <row r="2019" spans="1:14" x14ac:dyDescent="0.35">
      <c r="A2019" t="s">
        <v>5732</v>
      </c>
      <c r="B2019" t="s">
        <v>5733</v>
      </c>
      <c r="C2019" t="s">
        <v>116</v>
      </c>
      <c r="D2019">
        <v>10.36</v>
      </c>
      <c r="E2019">
        <v>600</v>
      </c>
      <c r="F2019" t="s">
        <v>51</v>
      </c>
      <c r="G2019" t="s">
        <v>32</v>
      </c>
      <c r="H2019" t="s">
        <v>43</v>
      </c>
      <c r="I2019" t="s">
        <v>44</v>
      </c>
      <c r="J2019" t="s">
        <v>523</v>
      </c>
      <c r="K2019" t="s">
        <v>36</v>
      </c>
      <c r="L2019">
        <v>5</v>
      </c>
      <c r="M2019" t="s">
        <v>5734</v>
      </c>
      <c r="N2019" t="s">
        <v>996</v>
      </c>
    </row>
    <row r="2020" spans="1:14" x14ac:dyDescent="0.35">
      <c r="A2020" t="s">
        <v>5735</v>
      </c>
      <c r="B2020" t="s">
        <v>5736</v>
      </c>
      <c r="C2020" t="s">
        <v>69</v>
      </c>
      <c r="D2020">
        <v>63.05</v>
      </c>
      <c r="E2020">
        <v>23000</v>
      </c>
      <c r="F2020" t="s">
        <v>139</v>
      </c>
      <c r="G2020" t="s">
        <v>32</v>
      </c>
      <c r="H2020" t="s">
        <v>57</v>
      </c>
      <c r="J2020" t="s">
        <v>35</v>
      </c>
      <c r="K2020" t="s">
        <v>36</v>
      </c>
      <c r="L2020">
        <v>2</v>
      </c>
      <c r="M2020" t="s">
        <v>2111</v>
      </c>
      <c r="N2020" t="s">
        <v>5410</v>
      </c>
    </row>
    <row r="2021" spans="1:14" x14ac:dyDescent="0.35">
      <c r="A2021" t="s">
        <v>5737</v>
      </c>
      <c r="B2021" t="s">
        <v>5738</v>
      </c>
      <c r="C2021" t="s">
        <v>116</v>
      </c>
      <c r="D2021">
        <v>10.64</v>
      </c>
      <c r="E2021">
        <v>200</v>
      </c>
      <c r="F2021" t="s">
        <v>42</v>
      </c>
      <c r="G2021" t="s">
        <v>32</v>
      </c>
      <c r="H2021" t="s">
        <v>43</v>
      </c>
      <c r="I2021" t="s">
        <v>34</v>
      </c>
      <c r="J2021" t="s">
        <v>107</v>
      </c>
      <c r="K2021" t="s">
        <v>87</v>
      </c>
      <c r="L2021">
        <v>16</v>
      </c>
      <c r="N2021" t="s">
        <v>1246</v>
      </c>
    </row>
    <row r="2022" spans="1:14" x14ac:dyDescent="0.35">
      <c r="A2022" t="s">
        <v>5739</v>
      </c>
      <c r="B2022" t="s">
        <v>5740</v>
      </c>
      <c r="C2022" t="s">
        <v>69</v>
      </c>
      <c r="D2022">
        <v>89.51</v>
      </c>
      <c r="E2022">
        <v>84000</v>
      </c>
      <c r="F2022" t="s">
        <v>106</v>
      </c>
      <c r="G2022" t="s">
        <v>32</v>
      </c>
      <c r="H2022" t="s">
        <v>43</v>
      </c>
      <c r="J2022" t="s">
        <v>235</v>
      </c>
      <c r="K2022" t="s">
        <v>236</v>
      </c>
      <c r="L2022">
        <v>10</v>
      </c>
      <c r="N2022" t="s">
        <v>3367</v>
      </c>
    </row>
    <row r="2023" spans="1:14" x14ac:dyDescent="0.35">
      <c r="A2023" t="s">
        <v>5741</v>
      </c>
      <c r="B2023" t="s">
        <v>5742</v>
      </c>
      <c r="C2023" t="s">
        <v>69</v>
      </c>
      <c r="D2023">
        <v>84.59</v>
      </c>
      <c r="E2023">
        <v>72000</v>
      </c>
      <c r="F2023" t="s">
        <v>31</v>
      </c>
      <c r="G2023" t="s">
        <v>32</v>
      </c>
      <c r="H2023" t="s">
        <v>57</v>
      </c>
      <c r="I2023" t="s">
        <v>44</v>
      </c>
      <c r="J2023" t="s">
        <v>124</v>
      </c>
      <c r="K2023" t="s">
        <v>117</v>
      </c>
      <c r="L2023">
        <v>0</v>
      </c>
      <c r="N2023" t="s">
        <v>1065</v>
      </c>
    </row>
    <row r="2024" spans="1:14" x14ac:dyDescent="0.35">
      <c r="A2024" t="s">
        <v>5743</v>
      </c>
      <c r="B2024" t="s">
        <v>5744</v>
      </c>
      <c r="C2024" t="s">
        <v>41</v>
      </c>
      <c r="D2024">
        <v>93.63</v>
      </c>
      <c r="E2024">
        <v>27000</v>
      </c>
      <c r="F2024" t="s">
        <v>76</v>
      </c>
      <c r="G2024" t="s">
        <v>32</v>
      </c>
      <c r="H2024" t="s">
        <v>57</v>
      </c>
      <c r="I2024" t="s">
        <v>44</v>
      </c>
      <c r="J2024" t="s">
        <v>70</v>
      </c>
      <c r="K2024" t="s">
        <v>31</v>
      </c>
      <c r="L2024">
        <v>13</v>
      </c>
      <c r="M2024" t="s">
        <v>1009</v>
      </c>
      <c r="N2024" t="s">
        <v>4182</v>
      </c>
    </row>
    <row r="2025" spans="1:14" x14ac:dyDescent="0.35">
      <c r="A2025" t="s">
        <v>5745</v>
      </c>
      <c r="B2025" t="s">
        <v>5746</v>
      </c>
      <c r="C2025" t="s">
        <v>69</v>
      </c>
      <c r="D2025">
        <v>78.150000000000006</v>
      </c>
      <c r="E2025">
        <v>98000</v>
      </c>
      <c r="F2025" t="s">
        <v>74</v>
      </c>
      <c r="G2025" t="s">
        <v>32</v>
      </c>
      <c r="H2025" t="s">
        <v>43</v>
      </c>
      <c r="I2025" t="s">
        <v>34</v>
      </c>
      <c r="J2025" t="s">
        <v>179</v>
      </c>
      <c r="K2025" t="s">
        <v>97</v>
      </c>
      <c r="L2025">
        <v>10</v>
      </c>
      <c r="M2025" t="s">
        <v>1665</v>
      </c>
      <c r="N2025" t="s">
        <v>2126</v>
      </c>
    </row>
    <row r="2026" spans="1:14" x14ac:dyDescent="0.35">
      <c r="A2026" t="s">
        <v>5747</v>
      </c>
      <c r="B2026" t="s">
        <v>5748</v>
      </c>
      <c r="C2026" t="s">
        <v>41</v>
      </c>
      <c r="D2026">
        <v>138.99</v>
      </c>
      <c r="E2026">
        <v>13000</v>
      </c>
      <c r="F2026" t="s">
        <v>31</v>
      </c>
      <c r="G2026" t="s">
        <v>32</v>
      </c>
      <c r="H2026" t="s">
        <v>57</v>
      </c>
      <c r="J2026" t="s">
        <v>130</v>
      </c>
      <c r="K2026" t="s">
        <v>123</v>
      </c>
      <c r="L2026">
        <v>23</v>
      </c>
      <c r="N2026" t="s">
        <v>5749</v>
      </c>
    </row>
    <row r="2027" spans="1:14" x14ac:dyDescent="0.35">
      <c r="A2027" t="s">
        <v>5750</v>
      </c>
      <c r="B2027" t="s">
        <v>5751</v>
      </c>
      <c r="C2027" t="s">
        <v>30</v>
      </c>
      <c r="D2027">
        <v>188.44</v>
      </c>
      <c r="E2027">
        <v>3000</v>
      </c>
      <c r="F2027" t="s">
        <v>139</v>
      </c>
      <c r="G2027" t="s">
        <v>32</v>
      </c>
      <c r="H2027" t="s">
        <v>33</v>
      </c>
      <c r="J2027" t="s">
        <v>35</v>
      </c>
      <c r="K2027" t="s">
        <v>36</v>
      </c>
      <c r="L2027">
        <v>5</v>
      </c>
      <c r="N2027" t="s">
        <v>1610</v>
      </c>
    </row>
    <row r="2028" spans="1:14" x14ac:dyDescent="0.35">
      <c r="A2028" t="s">
        <v>5752</v>
      </c>
      <c r="B2028" t="s">
        <v>5753</v>
      </c>
      <c r="C2028" t="s">
        <v>41</v>
      </c>
      <c r="D2028">
        <v>94.52</v>
      </c>
      <c r="E2028">
        <v>39000</v>
      </c>
      <c r="F2028" t="s">
        <v>51</v>
      </c>
      <c r="G2028" t="s">
        <v>32</v>
      </c>
      <c r="H2028" t="s">
        <v>57</v>
      </c>
      <c r="I2028" t="s">
        <v>44</v>
      </c>
      <c r="J2028" t="s">
        <v>429</v>
      </c>
      <c r="K2028" t="s">
        <v>236</v>
      </c>
      <c r="L2028">
        <v>2</v>
      </c>
      <c r="M2028" t="s">
        <v>53</v>
      </c>
      <c r="N2028" t="s">
        <v>1780</v>
      </c>
    </row>
    <row r="2029" spans="1:14" x14ac:dyDescent="0.35">
      <c r="A2029" t="s">
        <v>5754</v>
      </c>
      <c r="B2029" t="s">
        <v>5755</v>
      </c>
      <c r="C2029" t="s">
        <v>69</v>
      </c>
      <c r="D2029">
        <v>91.25</v>
      </c>
      <c r="E2029">
        <v>31000</v>
      </c>
      <c r="F2029" t="s">
        <v>74</v>
      </c>
      <c r="G2029" t="s">
        <v>32</v>
      </c>
      <c r="H2029" t="s">
        <v>33</v>
      </c>
      <c r="I2029" t="s">
        <v>44</v>
      </c>
      <c r="J2029" t="s">
        <v>5756</v>
      </c>
      <c r="K2029" t="s">
        <v>139</v>
      </c>
      <c r="L2029">
        <v>6</v>
      </c>
      <c r="M2029" t="s">
        <v>1368</v>
      </c>
      <c r="N2029" t="s">
        <v>1740</v>
      </c>
    </row>
    <row r="2030" spans="1:14" x14ac:dyDescent="0.35">
      <c r="A2030" t="s">
        <v>5757</v>
      </c>
      <c r="B2030" t="s">
        <v>5758</v>
      </c>
      <c r="C2030" t="s">
        <v>69</v>
      </c>
      <c r="D2030">
        <v>92.62</v>
      </c>
      <c r="E2030">
        <v>56000</v>
      </c>
      <c r="F2030" t="s">
        <v>74</v>
      </c>
      <c r="G2030" t="s">
        <v>32</v>
      </c>
      <c r="H2030" t="s">
        <v>33</v>
      </c>
      <c r="I2030" t="s">
        <v>44</v>
      </c>
      <c r="J2030" t="s">
        <v>5759</v>
      </c>
      <c r="K2030" t="s">
        <v>147</v>
      </c>
      <c r="L2030">
        <v>15</v>
      </c>
      <c r="M2030" t="s">
        <v>742</v>
      </c>
      <c r="N2030" t="s">
        <v>4927</v>
      </c>
    </row>
    <row r="2031" spans="1:14" x14ac:dyDescent="0.35">
      <c r="A2031" t="s">
        <v>5760</v>
      </c>
      <c r="B2031" t="s">
        <v>5761</v>
      </c>
      <c r="C2031" t="s">
        <v>30</v>
      </c>
      <c r="D2031">
        <v>157.77000000000001</v>
      </c>
      <c r="E2031">
        <v>9000</v>
      </c>
      <c r="F2031" t="s">
        <v>117</v>
      </c>
      <c r="G2031" t="s">
        <v>32</v>
      </c>
      <c r="H2031" t="s">
        <v>57</v>
      </c>
      <c r="I2031" t="s">
        <v>34</v>
      </c>
      <c r="J2031" t="s">
        <v>230</v>
      </c>
      <c r="K2031" t="s">
        <v>117</v>
      </c>
      <c r="L2031">
        <v>21</v>
      </c>
      <c r="N2031" t="s">
        <v>2724</v>
      </c>
    </row>
    <row r="2032" spans="1:14" x14ac:dyDescent="0.35">
      <c r="A2032" t="s">
        <v>5762</v>
      </c>
      <c r="B2032" t="s">
        <v>5763</v>
      </c>
      <c r="C2032" t="s">
        <v>62</v>
      </c>
      <c r="D2032">
        <v>75.680000000000007</v>
      </c>
      <c r="E2032">
        <v>3000</v>
      </c>
      <c r="F2032" t="s">
        <v>42</v>
      </c>
      <c r="G2032" t="s">
        <v>32</v>
      </c>
      <c r="H2032" t="s">
        <v>43</v>
      </c>
      <c r="I2032" t="s">
        <v>44</v>
      </c>
      <c r="J2032" t="s">
        <v>5764</v>
      </c>
      <c r="K2032" t="s">
        <v>236</v>
      </c>
      <c r="L2032">
        <v>19</v>
      </c>
      <c r="N2032" t="s">
        <v>285</v>
      </c>
    </row>
    <row r="2033" spans="1:14" x14ac:dyDescent="0.35">
      <c r="A2033" t="s">
        <v>5765</v>
      </c>
      <c r="B2033" t="s">
        <v>5766</v>
      </c>
      <c r="C2033" t="s">
        <v>30</v>
      </c>
      <c r="D2033">
        <v>181.08</v>
      </c>
      <c r="E2033">
        <v>15000</v>
      </c>
      <c r="F2033" t="s">
        <v>87</v>
      </c>
      <c r="G2033" t="s">
        <v>102</v>
      </c>
      <c r="H2033" t="s">
        <v>33</v>
      </c>
      <c r="I2033" t="s">
        <v>44</v>
      </c>
      <c r="J2033" t="s">
        <v>35</v>
      </c>
      <c r="K2033" t="s">
        <v>36</v>
      </c>
      <c r="L2033">
        <v>4</v>
      </c>
      <c r="M2033" t="s">
        <v>3342</v>
      </c>
      <c r="N2033" t="s">
        <v>1999</v>
      </c>
    </row>
    <row r="2034" spans="1:14" x14ac:dyDescent="0.35">
      <c r="A2034" t="s">
        <v>5767</v>
      </c>
      <c r="B2034" t="s">
        <v>5768</v>
      </c>
      <c r="C2034" t="s">
        <v>81</v>
      </c>
      <c r="D2034">
        <v>107.14</v>
      </c>
      <c r="E2034">
        <v>7000</v>
      </c>
      <c r="F2034" t="s">
        <v>51</v>
      </c>
      <c r="G2034" t="s">
        <v>32</v>
      </c>
      <c r="H2034" t="s">
        <v>33</v>
      </c>
      <c r="I2034" t="s">
        <v>34</v>
      </c>
      <c r="J2034" t="s">
        <v>334</v>
      </c>
      <c r="K2034" t="s">
        <v>51</v>
      </c>
      <c r="L2034">
        <v>21</v>
      </c>
      <c r="N2034" t="s">
        <v>5769</v>
      </c>
    </row>
    <row r="2035" spans="1:14" x14ac:dyDescent="0.35">
      <c r="A2035" t="s">
        <v>5770</v>
      </c>
      <c r="B2035" t="s">
        <v>5771</v>
      </c>
      <c r="C2035" t="s">
        <v>116</v>
      </c>
      <c r="D2035">
        <v>10.35</v>
      </c>
      <c r="E2035">
        <v>100</v>
      </c>
      <c r="F2035" t="s">
        <v>97</v>
      </c>
      <c r="G2035" t="s">
        <v>32</v>
      </c>
      <c r="H2035" t="s">
        <v>33</v>
      </c>
      <c r="I2035" t="s">
        <v>34</v>
      </c>
      <c r="J2035" t="s">
        <v>209</v>
      </c>
      <c r="K2035" t="s">
        <v>74</v>
      </c>
      <c r="L2035">
        <v>10</v>
      </c>
      <c r="M2035" t="s">
        <v>1346</v>
      </c>
      <c r="N2035" t="s">
        <v>5772</v>
      </c>
    </row>
    <row r="2036" spans="1:14" x14ac:dyDescent="0.35">
      <c r="A2036" t="s">
        <v>5773</v>
      </c>
      <c r="B2036" t="s">
        <v>5774</v>
      </c>
      <c r="C2036" t="s">
        <v>62</v>
      </c>
      <c r="D2036">
        <v>72.349999999999994</v>
      </c>
      <c r="E2036">
        <v>1000</v>
      </c>
      <c r="F2036" t="s">
        <v>87</v>
      </c>
      <c r="G2036" t="s">
        <v>32</v>
      </c>
      <c r="H2036" t="s">
        <v>57</v>
      </c>
      <c r="I2036" t="s">
        <v>129</v>
      </c>
      <c r="J2036" t="s">
        <v>124</v>
      </c>
      <c r="K2036" t="s">
        <v>117</v>
      </c>
      <c r="L2036">
        <v>6</v>
      </c>
      <c r="M2036" t="s">
        <v>434</v>
      </c>
      <c r="N2036" t="s">
        <v>1257</v>
      </c>
    </row>
    <row r="2037" spans="1:14" x14ac:dyDescent="0.35">
      <c r="A2037" t="s">
        <v>5775</v>
      </c>
      <c r="B2037" t="s">
        <v>5776</v>
      </c>
      <c r="C2037" t="s">
        <v>69</v>
      </c>
      <c r="D2037">
        <v>81.91</v>
      </c>
      <c r="E2037">
        <v>36000</v>
      </c>
      <c r="F2037" t="s">
        <v>51</v>
      </c>
      <c r="G2037" t="s">
        <v>32</v>
      </c>
      <c r="H2037" t="s">
        <v>33</v>
      </c>
      <c r="I2037" t="s">
        <v>34</v>
      </c>
      <c r="J2037" t="s">
        <v>112</v>
      </c>
      <c r="K2037" t="s">
        <v>106</v>
      </c>
      <c r="L2037">
        <v>4</v>
      </c>
      <c r="N2037" t="s">
        <v>2724</v>
      </c>
    </row>
    <row r="2038" spans="1:14" x14ac:dyDescent="0.35">
      <c r="A2038" t="s">
        <v>5777</v>
      </c>
      <c r="B2038" t="s">
        <v>5778</v>
      </c>
      <c r="C2038" t="s">
        <v>116</v>
      </c>
      <c r="D2038">
        <v>8.65</v>
      </c>
      <c r="E2038">
        <v>500</v>
      </c>
      <c r="F2038" t="s">
        <v>147</v>
      </c>
      <c r="G2038" t="s">
        <v>32</v>
      </c>
      <c r="H2038" t="s">
        <v>43</v>
      </c>
      <c r="I2038" t="s">
        <v>34</v>
      </c>
      <c r="J2038" t="s">
        <v>235</v>
      </c>
      <c r="K2038" t="s">
        <v>236</v>
      </c>
      <c r="L2038">
        <v>17</v>
      </c>
      <c r="M2038" t="s">
        <v>641</v>
      </c>
      <c r="N2038" t="s">
        <v>3916</v>
      </c>
    </row>
    <row r="2039" spans="1:14" x14ac:dyDescent="0.35">
      <c r="A2039" t="s">
        <v>5779</v>
      </c>
      <c r="B2039" t="s">
        <v>5780</v>
      </c>
      <c r="C2039" t="s">
        <v>116</v>
      </c>
      <c r="D2039">
        <v>7.32</v>
      </c>
      <c r="E2039">
        <v>700</v>
      </c>
      <c r="F2039" t="s">
        <v>36</v>
      </c>
      <c r="G2039" t="s">
        <v>32</v>
      </c>
      <c r="H2039" t="s">
        <v>33</v>
      </c>
      <c r="I2039" t="s">
        <v>44</v>
      </c>
      <c r="J2039" t="s">
        <v>45</v>
      </c>
      <c r="K2039" t="s">
        <v>46</v>
      </c>
      <c r="L2039">
        <v>19</v>
      </c>
      <c r="M2039" t="s">
        <v>2754</v>
      </c>
      <c r="N2039" t="s">
        <v>3639</v>
      </c>
    </row>
    <row r="2040" spans="1:14" x14ac:dyDescent="0.35">
      <c r="A2040" t="s">
        <v>5781</v>
      </c>
      <c r="B2040" t="s">
        <v>5782</v>
      </c>
      <c r="C2040" t="s">
        <v>30</v>
      </c>
      <c r="D2040">
        <v>188.8</v>
      </c>
      <c r="E2040">
        <v>13000</v>
      </c>
      <c r="F2040" t="s">
        <v>236</v>
      </c>
      <c r="G2040" t="s">
        <v>32</v>
      </c>
      <c r="H2040" t="s">
        <v>57</v>
      </c>
      <c r="J2040" t="s">
        <v>118</v>
      </c>
      <c r="K2040" t="s">
        <v>42</v>
      </c>
      <c r="L2040">
        <v>15</v>
      </c>
      <c r="M2040" t="s">
        <v>4549</v>
      </c>
      <c r="N2040" t="s">
        <v>165</v>
      </c>
    </row>
    <row r="2041" spans="1:14" x14ac:dyDescent="0.35">
      <c r="A2041" t="s">
        <v>5783</v>
      </c>
      <c r="B2041" t="s">
        <v>5784</v>
      </c>
      <c r="C2041" t="s">
        <v>30</v>
      </c>
      <c r="D2041">
        <v>153.75</v>
      </c>
      <c r="E2041">
        <v>18000</v>
      </c>
      <c r="F2041" t="s">
        <v>51</v>
      </c>
      <c r="G2041" t="s">
        <v>32</v>
      </c>
      <c r="H2041" t="s">
        <v>33</v>
      </c>
      <c r="I2041" t="s">
        <v>44</v>
      </c>
      <c r="J2041" t="s">
        <v>70</v>
      </c>
      <c r="K2041" t="s">
        <v>31</v>
      </c>
      <c r="L2041">
        <v>21</v>
      </c>
      <c r="M2041" t="s">
        <v>1336</v>
      </c>
      <c r="N2041" t="s">
        <v>739</v>
      </c>
    </row>
    <row r="2042" spans="1:14" x14ac:dyDescent="0.35">
      <c r="A2042" t="s">
        <v>5785</v>
      </c>
      <c r="B2042" t="s">
        <v>5786</v>
      </c>
      <c r="C2042" t="s">
        <v>69</v>
      </c>
      <c r="D2042">
        <v>85.07</v>
      </c>
      <c r="E2042">
        <v>35000</v>
      </c>
      <c r="F2042" t="s">
        <v>51</v>
      </c>
      <c r="G2042" t="s">
        <v>32</v>
      </c>
      <c r="H2042" t="s">
        <v>33</v>
      </c>
      <c r="J2042" t="s">
        <v>2422</v>
      </c>
      <c r="K2042" t="s">
        <v>51</v>
      </c>
      <c r="L2042">
        <v>23</v>
      </c>
      <c r="M2042" t="s">
        <v>5734</v>
      </c>
      <c r="N2042" t="s">
        <v>2247</v>
      </c>
    </row>
    <row r="2043" spans="1:14" x14ac:dyDescent="0.35">
      <c r="A2043" t="s">
        <v>5787</v>
      </c>
      <c r="B2043" t="s">
        <v>5788</v>
      </c>
      <c r="C2043" t="s">
        <v>41</v>
      </c>
      <c r="D2043">
        <v>100.56</v>
      </c>
      <c r="E2043">
        <v>32000</v>
      </c>
      <c r="F2043" t="s">
        <v>64</v>
      </c>
      <c r="G2043" t="s">
        <v>32</v>
      </c>
      <c r="H2043" t="s">
        <v>57</v>
      </c>
      <c r="I2043" t="s">
        <v>44</v>
      </c>
      <c r="K2043" t="s">
        <v>147</v>
      </c>
      <c r="L2043">
        <v>11</v>
      </c>
      <c r="M2043" t="s">
        <v>1336</v>
      </c>
      <c r="N2043" t="s">
        <v>3574</v>
      </c>
    </row>
    <row r="2044" spans="1:14" x14ac:dyDescent="0.35">
      <c r="A2044" t="s">
        <v>5789</v>
      </c>
      <c r="B2044" t="s">
        <v>5790</v>
      </c>
      <c r="C2044" t="s">
        <v>62</v>
      </c>
      <c r="D2044">
        <v>68.599999999999994</v>
      </c>
      <c r="E2044">
        <v>2000</v>
      </c>
      <c r="F2044" t="s">
        <v>31</v>
      </c>
      <c r="G2044" t="s">
        <v>32</v>
      </c>
      <c r="H2044" t="s">
        <v>57</v>
      </c>
      <c r="I2044" t="s">
        <v>44</v>
      </c>
      <c r="J2044" t="s">
        <v>63</v>
      </c>
      <c r="K2044" t="s">
        <v>64</v>
      </c>
      <c r="L2044">
        <v>10</v>
      </c>
      <c r="N2044" t="s">
        <v>5557</v>
      </c>
    </row>
    <row r="2045" spans="1:14" x14ac:dyDescent="0.35">
      <c r="A2045" t="s">
        <v>5791</v>
      </c>
      <c r="B2045" t="s">
        <v>5536</v>
      </c>
      <c r="C2045" t="s">
        <v>62</v>
      </c>
      <c r="D2045">
        <v>93</v>
      </c>
      <c r="E2045">
        <v>3000</v>
      </c>
      <c r="F2045" t="s">
        <v>147</v>
      </c>
      <c r="G2045" t="s">
        <v>32</v>
      </c>
      <c r="H2045" t="s">
        <v>43</v>
      </c>
      <c r="I2045" t="s">
        <v>34</v>
      </c>
      <c r="J2045" t="s">
        <v>683</v>
      </c>
      <c r="K2045" t="s">
        <v>97</v>
      </c>
      <c r="L2045">
        <v>12</v>
      </c>
      <c r="N2045" t="s">
        <v>1257</v>
      </c>
    </row>
    <row r="2046" spans="1:14" x14ac:dyDescent="0.35">
      <c r="A2046" t="s">
        <v>5792</v>
      </c>
      <c r="B2046" t="s">
        <v>5793</v>
      </c>
      <c r="C2046" t="s">
        <v>69</v>
      </c>
      <c r="D2046">
        <v>53.67</v>
      </c>
      <c r="E2046">
        <v>22000</v>
      </c>
      <c r="F2046" t="s">
        <v>42</v>
      </c>
      <c r="G2046" t="s">
        <v>32</v>
      </c>
      <c r="H2046" t="s">
        <v>43</v>
      </c>
      <c r="I2046" t="s">
        <v>129</v>
      </c>
      <c r="J2046" t="s">
        <v>107</v>
      </c>
      <c r="K2046" t="s">
        <v>87</v>
      </c>
      <c r="L2046">
        <v>5</v>
      </c>
      <c r="N2046" t="s">
        <v>2415</v>
      </c>
    </row>
    <row r="2047" spans="1:14" x14ac:dyDescent="0.35">
      <c r="A2047" t="s">
        <v>5794</v>
      </c>
      <c r="B2047" t="s">
        <v>5795</v>
      </c>
      <c r="C2047" t="s">
        <v>41</v>
      </c>
      <c r="D2047">
        <v>97.24</v>
      </c>
      <c r="E2047">
        <v>25000</v>
      </c>
      <c r="F2047" t="s">
        <v>147</v>
      </c>
      <c r="G2047" t="s">
        <v>32</v>
      </c>
      <c r="H2047" t="s">
        <v>57</v>
      </c>
      <c r="I2047" t="s">
        <v>44</v>
      </c>
      <c r="J2047" t="s">
        <v>334</v>
      </c>
      <c r="K2047" t="s">
        <v>51</v>
      </c>
      <c r="L2047">
        <v>8</v>
      </c>
      <c r="M2047" t="s">
        <v>1077</v>
      </c>
      <c r="N2047" t="s">
        <v>5796</v>
      </c>
    </row>
    <row r="2048" spans="1:14" x14ac:dyDescent="0.35">
      <c r="A2048" t="s">
        <v>5797</v>
      </c>
      <c r="B2048" t="s">
        <v>5798</v>
      </c>
      <c r="C2048" t="s">
        <v>30</v>
      </c>
      <c r="D2048">
        <v>117.22</v>
      </c>
      <c r="E2048">
        <v>14000</v>
      </c>
      <c r="F2048" t="s">
        <v>117</v>
      </c>
      <c r="G2048" t="s">
        <v>102</v>
      </c>
      <c r="H2048" t="s">
        <v>43</v>
      </c>
      <c r="I2048" t="s">
        <v>44</v>
      </c>
      <c r="J2048" t="s">
        <v>124</v>
      </c>
      <c r="K2048" t="s">
        <v>117</v>
      </c>
      <c r="L2048">
        <v>14</v>
      </c>
      <c r="M2048" t="s">
        <v>3184</v>
      </c>
      <c r="N2048" t="s">
        <v>5799</v>
      </c>
    </row>
    <row r="2049" spans="1:14" x14ac:dyDescent="0.35">
      <c r="A2049" t="s">
        <v>5800</v>
      </c>
      <c r="B2049" t="s">
        <v>5801</v>
      </c>
      <c r="C2049" t="s">
        <v>81</v>
      </c>
      <c r="D2049">
        <v>138.04</v>
      </c>
      <c r="E2049">
        <v>7000</v>
      </c>
      <c r="F2049" t="s">
        <v>87</v>
      </c>
      <c r="G2049" t="s">
        <v>32</v>
      </c>
      <c r="H2049" t="s">
        <v>33</v>
      </c>
      <c r="I2049" t="s">
        <v>44</v>
      </c>
      <c r="J2049" t="s">
        <v>3128</v>
      </c>
      <c r="K2049" t="s">
        <v>139</v>
      </c>
      <c r="L2049">
        <v>17</v>
      </c>
      <c r="N2049" t="s">
        <v>2423</v>
      </c>
    </row>
    <row r="2050" spans="1:14" x14ac:dyDescent="0.35">
      <c r="A2050" t="s">
        <v>5802</v>
      </c>
      <c r="B2050" t="s">
        <v>5803</v>
      </c>
      <c r="C2050" t="s">
        <v>41</v>
      </c>
      <c r="D2050">
        <v>104.05</v>
      </c>
      <c r="E2050">
        <v>15000</v>
      </c>
      <c r="F2050" t="s">
        <v>64</v>
      </c>
      <c r="G2050" t="s">
        <v>32</v>
      </c>
      <c r="H2050" t="s">
        <v>43</v>
      </c>
      <c r="I2050" t="s">
        <v>44</v>
      </c>
      <c r="J2050" t="s">
        <v>2366</v>
      </c>
      <c r="K2050" t="s">
        <v>147</v>
      </c>
      <c r="L2050">
        <v>12</v>
      </c>
      <c r="N2050" t="s">
        <v>438</v>
      </c>
    </row>
    <row r="2051" spans="1:14" x14ac:dyDescent="0.35">
      <c r="A2051" t="s">
        <v>5804</v>
      </c>
      <c r="B2051" t="s">
        <v>5805</v>
      </c>
      <c r="C2051" t="s">
        <v>30</v>
      </c>
      <c r="D2051">
        <v>153.07</v>
      </c>
      <c r="E2051">
        <v>2000</v>
      </c>
      <c r="F2051" t="s">
        <v>51</v>
      </c>
      <c r="G2051" t="s">
        <v>32</v>
      </c>
      <c r="H2051" t="s">
        <v>57</v>
      </c>
      <c r="I2051" t="s">
        <v>44</v>
      </c>
      <c r="J2051" t="s">
        <v>63</v>
      </c>
      <c r="K2051" t="s">
        <v>64</v>
      </c>
      <c r="L2051">
        <v>1</v>
      </c>
      <c r="M2051" t="s">
        <v>5242</v>
      </c>
      <c r="N2051" t="s">
        <v>3326</v>
      </c>
    </row>
    <row r="2052" spans="1:14" x14ac:dyDescent="0.35">
      <c r="A2052" t="s">
        <v>5806</v>
      </c>
      <c r="B2052" t="s">
        <v>5807</v>
      </c>
      <c r="C2052" t="s">
        <v>116</v>
      </c>
      <c r="D2052">
        <v>8.91</v>
      </c>
      <c r="E2052">
        <v>500</v>
      </c>
      <c r="F2052" t="s">
        <v>106</v>
      </c>
      <c r="G2052" t="s">
        <v>32</v>
      </c>
      <c r="H2052" t="s">
        <v>57</v>
      </c>
      <c r="J2052" t="s">
        <v>320</v>
      </c>
      <c r="K2052" t="s">
        <v>97</v>
      </c>
      <c r="L2052">
        <v>21</v>
      </c>
      <c r="M2052" t="s">
        <v>131</v>
      </c>
      <c r="N2052" t="s">
        <v>1177</v>
      </c>
    </row>
    <row r="2053" spans="1:14" x14ac:dyDescent="0.35">
      <c r="A2053" t="s">
        <v>5808</v>
      </c>
      <c r="B2053" t="s">
        <v>5809</v>
      </c>
      <c r="C2053" t="s">
        <v>116</v>
      </c>
      <c r="D2053">
        <v>9.7200000000000006</v>
      </c>
      <c r="E2053">
        <v>100</v>
      </c>
      <c r="F2053" t="s">
        <v>147</v>
      </c>
      <c r="G2053" t="s">
        <v>32</v>
      </c>
      <c r="H2053" t="s">
        <v>43</v>
      </c>
      <c r="J2053" t="s">
        <v>45</v>
      </c>
      <c r="K2053" t="s">
        <v>46</v>
      </c>
      <c r="L2053">
        <v>15</v>
      </c>
      <c r="N2053" t="s">
        <v>1388</v>
      </c>
    </row>
    <row r="2054" spans="1:14" x14ac:dyDescent="0.35">
      <c r="A2054" t="s">
        <v>5810</v>
      </c>
      <c r="B2054" t="s">
        <v>5811</v>
      </c>
      <c r="C2054" t="s">
        <v>116</v>
      </c>
      <c r="D2054">
        <v>10.47</v>
      </c>
      <c r="E2054">
        <v>500</v>
      </c>
      <c r="F2054" t="s">
        <v>36</v>
      </c>
      <c r="G2054" t="s">
        <v>32</v>
      </c>
      <c r="H2054" t="s">
        <v>33</v>
      </c>
      <c r="I2054" t="s">
        <v>129</v>
      </c>
      <c r="J2054" t="s">
        <v>1375</v>
      </c>
      <c r="K2054" t="s">
        <v>51</v>
      </c>
      <c r="L2054">
        <v>20</v>
      </c>
      <c r="M2054" t="s">
        <v>1155</v>
      </c>
      <c r="N2054" t="s">
        <v>1696</v>
      </c>
    </row>
    <row r="2055" spans="1:14" x14ac:dyDescent="0.35">
      <c r="A2055" t="s">
        <v>5812</v>
      </c>
      <c r="B2055" t="s">
        <v>5813</v>
      </c>
      <c r="C2055" t="s">
        <v>41</v>
      </c>
      <c r="D2055">
        <v>123.88</v>
      </c>
      <c r="E2055">
        <v>12000</v>
      </c>
      <c r="F2055" t="s">
        <v>97</v>
      </c>
      <c r="G2055" t="s">
        <v>32</v>
      </c>
      <c r="H2055" t="s">
        <v>33</v>
      </c>
      <c r="J2055" t="s">
        <v>130</v>
      </c>
      <c r="K2055" t="s">
        <v>123</v>
      </c>
      <c r="L2055">
        <v>16</v>
      </c>
      <c r="M2055" t="s">
        <v>4650</v>
      </c>
      <c r="N2055" t="s">
        <v>3707</v>
      </c>
    </row>
    <row r="2056" spans="1:14" x14ac:dyDescent="0.35">
      <c r="A2056" t="s">
        <v>5814</v>
      </c>
      <c r="B2056" t="s">
        <v>5815</v>
      </c>
      <c r="C2056" t="s">
        <v>30</v>
      </c>
      <c r="D2056">
        <v>165.69</v>
      </c>
      <c r="E2056">
        <v>16000</v>
      </c>
      <c r="F2056" t="s">
        <v>64</v>
      </c>
      <c r="G2056" t="s">
        <v>32</v>
      </c>
      <c r="H2056" t="s">
        <v>43</v>
      </c>
      <c r="I2056" t="s">
        <v>44</v>
      </c>
      <c r="J2056" t="s">
        <v>107</v>
      </c>
      <c r="K2056" t="s">
        <v>87</v>
      </c>
      <c r="L2056">
        <v>7</v>
      </c>
      <c r="M2056" t="s">
        <v>807</v>
      </c>
      <c r="N2056" t="s">
        <v>5816</v>
      </c>
    </row>
    <row r="2057" spans="1:14" x14ac:dyDescent="0.35">
      <c r="A2057" t="s">
        <v>5817</v>
      </c>
      <c r="B2057" t="s">
        <v>5818</v>
      </c>
      <c r="C2057" t="s">
        <v>81</v>
      </c>
      <c r="D2057">
        <v>72.959999999999994</v>
      </c>
      <c r="E2057">
        <v>2000</v>
      </c>
      <c r="F2057" t="s">
        <v>147</v>
      </c>
      <c r="G2057" t="s">
        <v>32</v>
      </c>
      <c r="H2057" t="s">
        <v>57</v>
      </c>
      <c r="I2057" t="s">
        <v>44</v>
      </c>
      <c r="J2057" t="s">
        <v>429</v>
      </c>
      <c r="K2057" t="s">
        <v>236</v>
      </c>
      <c r="L2057">
        <v>19</v>
      </c>
      <c r="N2057" t="s">
        <v>650</v>
      </c>
    </row>
    <row r="2058" spans="1:14" x14ac:dyDescent="0.35">
      <c r="A2058" t="s">
        <v>5819</v>
      </c>
      <c r="B2058" t="s">
        <v>5820</v>
      </c>
      <c r="C2058" t="s">
        <v>62</v>
      </c>
      <c r="D2058">
        <v>86.35</v>
      </c>
      <c r="E2058">
        <v>4000</v>
      </c>
      <c r="F2058" t="s">
        <v>87</v>
      </c>
      <c r="G2058" t="s">
        <v>32</v>
      </c>
      <c r="H2058" t="s">
        <v>57</v>
      </c>
      <c r="I2058" t="s">
        <v>34</v>
      </c>
      <c r="J2058" t="s">
        <v>112</v>
      </c>
      <c r="K2058" t="s">
        <v>106</v>
      </c>
      <c r="L2058">
        <v>4</v>
      </c>
      <c r="N2058" t="s">
        <v>2357</v>
      </c>
    </row>
    <row r="2059" spans="1:14" x14ac:dyDescent="0.35">
      <c r="A2059" t="s">
        <v>5821</v>
      </c>
      <c r="B2059" t="s">
        <v>5822</v>
      </c>
      <c r="C2059" t="s">
        <v>69</v>
      </c>
      <c r="D2059">
        <v>66.760000000000005</v>
      </c>
      <c r="E2059">
        <v>79000</v>
      </c>
      <c r="F2059" t="s">
        <v>42</v>
      </c>
      <c r="G2059" t="s">
        <v>32</v>
      </c>
      <c r="H2059" t="s">
        <v>57</v>
      </c>
      <c r="I2059" t="s">
        <v>34</v>
      </c>
      <c r="J2059" t="s">
        <v>124</v>
      </c>
      <c r="K2059" t="s">
        <v>117</v>
      </c>
      <c r="L2059">
        <v>19</v>
      </c>
      <c r="M2059" t="s">
        <v>462</v>
      </c>
      <c r="N2059" t="s">
        <v>59</v>
      </c>
    </row>
    <row r="2060" spans="1:14" x14ac:dyDescent="0.35">
      <c r="A2060" t="s">
        <v>5823</v>
      </c>
      <c r="B2060" t="s">
        <v>5824</v>
      </c>
      <c r="C2060" t="s">
        <v>116</v>
      </c>
      <c r="D2060">
        <v>11.17</v>
      </c>
      <c r="E2060">
        <v>700</v>
      </c>
      <c r="F2060" t="s">
        <v>31</v>
      </c>
      <c r="G2060" t="s">
        <v>32</v>
      </c>
      <c r="H2060" t="s">
        <v>33</v>
      </c>
      <c r="J2060" t="s">
        <v>1071</v>
      </c>
      <c r="K2060" t="s">
        <v>236</v>
      </c>
      <c r="L2060">
        <v>20</v>
      </c>
      <c r="M2060" t="s">
        <v>1265</v>
      </c>
      <c r="N2060" t="s">
        <v>814</v>
      </c>
    </row>
    <row r="2061" spans="1:14" x14ac:dyDescent="0.35">
      <c r="A2061" t="s">
        <v>5825</v>
      </c>
      <c r="B2061" t="s">
        <v>5826</v>
      </c>
      <c r="C2061" t="s">
        <v>62</v>
      </c>
      <c r="D2061">
        <v>78.239999999999995</v>
      </c>
      <c r="E2061">
        <v>4000</v>
      </c>
      <c r="F2061" t="s">
        <v>64</v>
      </c>
      <c r="G2061" t="s">
        <v>32</v>
      </c>
      <c r="H2061" t="s">
        <v>57</v>
      </c>
      <c r="J2061" t="s">
        <v>118</v>
      </c>
      <c r="K2061" t="s">
        <v>42</v>
      </c>
      <c r="L2061">
        <v>12</v>
      </c>
      <c r="M2061" t="s">
        <v>478</v>
      </c>
      <c r="N2061" t="s">
        <v>4685</v>
      </c>
    </row>
    <row r="2062" spans="1:14" x14ac:dyDescent="0.35">
      <c r="A2062" t="s">
        <v>5827</v>
      </c>
      <c r="B2062" t="s">
        <v>5828</v>
      </c>
      <c r="C2062" t="s">
        <v>116</v>
      </c>
      <c r="D2062">
        <v>8.98</v>
      </c>
      <c r="E2062">
        <v>500</v>
      </c>
      <c r="F2062" t="s">
        <v>123</v>
      </c>
      <c r="G2062" t="s">
        <v>32</v>
      </c>
      <c r="H2062" t="s">
        <v>57</v>
      </c>
      <c r="J2062" t="s">
        <v>5829</v>
      </c>
      <c r="K2062" t="s">
        <v>139</v>
      </c>
      <c r="L2062">
        <v>9</v>
      </c>
      <c r="N2062" t="s">
        <v>5830</v>
      </c>
    </row>
    <row r="2063" spans="1:14" x14ac:dyDescent="0.35">
      <c r="A2063" t="s">
        <v>5831</v>
      </c>
      <c r="B2063" t="s">
        <v>5832</v>
      </c>
      <c r="C2063" t="s">
        <v>41</v>
      </c>
      <c r="D2063">
        <v>116.41</v>
      </c>
      <c r="E2063">
        <v>28000</v>
      </c>
      <c r="F2063" t="s">
        <v>42</v>
      </c>
      <c r="G2063" t="s">
        <v>32</v>
      </c>
      <c r="H2063" t="s">
        <v>43</v>
      </c>
      <c r="I2063" t="s">
        <v>34</v>
      </c>
      <c r="J2063" t="s">
        <v>2502</v>
      </c>
      <c r="K2063" t="s">
        <v>51</v>
      </c>
      <c r="L2063">
        <v>9</v>
      </c>
      <c r="M2063" t="s">
        <v>1984</v>
      </c>
      <c r="N2063" t="s">
        <v>804</v>
      </c>
    </row>
    <row r="2064" spans="1:14" x14ac:dyDescent="0.35">
      <c r="A2064" t="s">
        <v>5833</v>
      </c>
      <c r="B2064" t="s">
        <v>5834</v>
      </c>
      <c r="C2064" t="s">
        <v>30</v>
      </c>
      <c r="D2064">
        <v>142.93</v>
      </c>
      <c r="E2064">
        <v>18000</v>
      </c>
      <c r="F2064" t="s">
        <v>147</v>
      </c>
      <c r="G2064" t="s">
        <v>32</v>
      </c>
      <c r="H2064" t="s">
        <v>33</v>
      </c>
      <c r="I2064" t="s">
        <v>34</v>
      </c>
      <c r="J2064" t="s">
        <v>107</v>
      </c>
      <c r="K2064" t="s">
        <v>87</v>
      </c>
      <c r="L2064">
        <v>22</v>
      </c>
      <c r="N2064" t="s">
        <v>5574</v>
      </c>
    </row>
    <row r="2065" spans="1:14" x14ac:dyDescent="0.35">
      <c r="A2065" t="s">
        <v>5835</v>
      </c>
      <c r="B2065" t="s">
        <v>5836</v>
      </c>
      <c r="C2065" t="s">
        <v>30</v>
      </c>
      <c r="D2065">
        <v>126.63</v>
      </c>
      <c r="E2065">
        <v>10000</v>
      </c>
      <c r="F2065" t="s">
        <v>76</v>
      </c>
      <c r="G2065" t="s">
        <v>32</v>
      </c>
      <c r="H2065" t="s">
        <v>43</v>
      </c>
      <c r="I2065" t="s">
        <v>129</v>
      </c>
      <c r="J2065" t="s">
        <v>130</v>
      </c>
      <c r="K2065" t="s">
        <v>123</v>
      </c>
      <c r="L2065">
        <v>16</v>
      </c>
      <c r="M2065" t="s">
        <v>4650</v>
      </c>
      <c r="N2065" t="s">
        <v>1607</v>
      </c>
    </row>
    <row r="2066" spans="1:14" x14ac:dyDescent="0.35">
      <c r="A2066" t="s">
        <v>5837</v>
      </c>
      <c r="B2066" t="s">
        <v>5838</v>
      </c>
      <c r="C2066" t="s">
        <v>41</v>
      </c>
      <c r="D2066">
        <v>113.07</v>
      </c>
      <c r="E2066">
        <v>33000</v>
      </c>
      <c r="F2066" t="s">
        <v>147</v>
      </c>
      <c r="G2066" t="s">
        <v>32</v>
      </c>
      <c r="H2066" t="s">
        <v>57</v>
      </c>
      <c r="J2066" t="s">
        <v>4976</v>
      </c>
      <c r="K2066" t="s">
        <v>97</v>
      </c>
      <c r="L2066">
        <v>5</v>
      </c>
      <c r="N2066" t="s">
        <v>1856</v>
      </c>
    </row>
    <row r="2067" spans="1:14" x14ac:dyDescent="0.35">
      <c r="A2067" t="s">
        <v>5839</v>
      </c>
      <c r="B2067" t="s">
        <v>5840</v>
      </c>
      <c r="C2067" t="s">
        <v>116</v>
      </c>
      <c r="D2067">
        <v>9.14</v>
      </c>
      <c r="E2067">
        <v>500</v>
      </c>
      <c r="F2067" t="s">
        <v>36</v>
      </c>
      <c r="G2067" t="s">
        <v>32</v>
      </c>
      <c r="H2067" t="s">
        <v>33</v>
      </c>
      <c r="I2067" t="s">
        <v>44</v>
      </c>
      <c r="J2067" t="s">
        <v>45</v>
      </c>
      <c r="K2067" t="s">
        <v>46</v>
      </c>
      <c r="L2067">
        <v>5</v>
      </c>
      <c r="M2067" t="s">
        <v>2596</v>
      </c>
      <c r="N2067" t="s">
        <v>3421</v>
      </c>
    </row>
    <row r="2068" spans="1:14" x14ac:dyDescent="0.35">
      <c r="A2068" t="s">
        <v>5841</v>
      </c>
      <c r="B2068" t="s">
        <v>5842</v>
      </c>
      <c r="C2068" t="s">
        <v>69</v>
      </c>
      <c r="D2068">
        <v>71.319999999999993</v>
      </c>
      <c r="E2068">
        <v>26000</v>
      </c>
      <c r="F2068" t="s">
        <v>97</v>
      </c>
      <c r="G2068" t="s">
        <v>32</v>
      </c>
      <c r="H2068" t="s">
        <v>33</v>
      </c>
      <c r="I2068" t="s">
        <v>44</v>
      </c>
      <c r="J2068" t="s">
        <v>45</v>
      </c>
      <c r="K2068" t="s">
        <v>46</v>
      </c>
      <c r="L2068">
        <v>20</v>
      </c>
      <c r="M2068" t="s">
        <v>386</v>
      </c>
      <c r="N2068" t="s">
        <v>350</v>
      </c>
    </row>
    <row r="2069" spans="1:14" x14ac:dyDescent="0.35">
      <c r="A2069" t="s">
        <v>5843</v>
      </c>
      <c r="B2069" t="s">
        <v>5844</v>
      </c>
      <c r="C2069" t="s">
        <v>30</v>
      </c>
      <c r="D2069">
        <v>101.17</v>
      </c>
      <c r="E2069">
        <v>17000</v>
      </c>
      <c r="F2069" t="s">
        <v>236</v>
      </c>
      <c r="G2069" t="s">
        <v>32</v>
      </c>
      <c r="H2069" t="s">
        <v>57</v>
      </c>
      <c r="I2069" t="s">
        <v>34</v>
      </c>
      <c r="J2069" t="s">
        <v>45</v>
      </c>
      <c r="K2069" t="s">
        <v>46</v>
      </c>
      <c r="L2069">
        <v>3</v>
      </c>
      <c r="N2069" t="s">
        <v>3935</v>
      </c>
    </row>
    <row r="2070" spans="1:14" x14ac:dyDescent="0.35">
      <c r="A2070" t="s">
        <v>5845</v>
      </c>
      <c r="B2070" t="s">
        <v>5846</v>
      </c>
      <c r="C2070" t="s">
        <v>62</v>
      </c>
      <c r="D2070">
        <v>67.97</v>
      </c>
      <c r="E2070">
        <v>1000</v>
      </c>
      <c r="F2070" t="s">
        <v>123</v>
      </c>
      <c r="G2070" t="s">
        <v>32</v>
      </c>
      <c r="H2070" t="s">
        <v>33</v>
      </c>
      <c r="I2070" t="s">
        <v>34</v>
      </c>
      <c r="J2070" t="s">
        <v>35</v>
      </c>
      <c r="K2070" t="s">
        <v>36</v>
      </c>
      <c r="L2070">
        <v>5</v>
      </c>
      <c r="N2070" t="s">
        <v>4490</v>
      </c>
    </row>
    <row r="2071" spans="1:14" x14ac:dyDescent="0.35">
      <c r="A2071" t="s">
        <v>5847</v>
      </c>
      <c r="B2071" t="s">
        <v>5848</v>
      </c>
      <c r="C2071" t="s">
        <v>116</v>
      </c>
      <c r="D2071">
        <v>6.09</v>
      </c>
      <c r="E2071">
        <v>400</v>
      </c>
      <c r="F2071" t="s">
        <v>36</v>
      </c>
      <c r="G2071" t="s">
        <v>32</v>
      </c>
      <c r="H2071" t="s">
        <v>33</v>
      </c>
      <c r="I2071" t="s">
        <v>44</v>
      </c>
      <c r="J2071" t="s">
        <v>130</v>
      </c>
      <c r="K2071" t="s">
        <v>123</v>
      </c>
      <c r="L2071">
        <v>17</v>
      </c>
      <c r="M2071" t="s">
        <v>3696</v>
      </c>
      <c r="N2071" t="s">
        <v>199</v>
      </c>
    </row>
    <row r="2072" spans="1:14" x14ac:dyDescent="0.35">
      <c r="A2072" t="s">
        <v>5849</v>
      </c>
      <c r="B2072" t="s">
        <v>5850</v>
      </c>
      <c r="C2072" t="s">
        <v>69</v>
      </c>
      <c r="D2072">
        <v>80.58</v>
      </c>
      <c r="E2072">
        <v>82000</v>
      </c>
      <c r="F2072" t="s">
        <v>36</v>
      </c>
      <c r="G2072" t="s">
        <v>32</v>
      </c>
      <c r="H2072" t="s">
        <v>43</v>
      </c>
      <c r="I2072" t="s">
        <v>44</v>
      </c>
      <c r="J2072" t="s">
        <v>118</v>
      </c>
      <c r="K2072" t="s">
        <v>42</v>
      </c>
      <c r="L2072">
        <v>22</v>
      </c>
      <c r="M2072" t="s">
        <v>4314</v>
      </c>
      <c r="N2072" t="s">
        <v>694</v>
      </c>
    </row>
    <row r="2073" spans="1:14" x14ac:dyDescent="0.35">
      <c r="A2073" t="s">
        <v>5851</v>
      </c>
      <c r="B2073" t="s">
        <v>5852</v>
      </c>
      <c r="C2073" t="s">
        <v>30</v>
      </c>
      <c r="D2073">
        <v>162.97</v>
      </c>
      <c r="E2073">
        <v>10000</v>
      </c>
      <c r="F2073" t="s">
        <v>74</v>
      </c>
      <c r="G2073" t="s">
        <v>32</v>
      </c>
      <c r="H2073" t="s">
        <v>57</v>
      </c>
      <c r="I2073" t="s">
        <v>44</v>
      </c>
      <c r="J2073" t="s">
        <v>477</v>
      </c>
      <c r="K2073" t="s">
        <v>51</v>
      </c>
      <c r="L2073">
        <v>11</v>
      </c>
      <c r="M2073" t="s">
        <v>4242</v>
      </c>
      <c r="N2073" t="s">
        <v>4760</v>
      </c>
    </row>
    <row r="2074" spans="1:14" x14ac:dyDescent="0.35">
      <c r="A2074" t="s">
        <v>5853</v>
      </c>
      <c r="B2074" t="s">
        <v>5854</v>
      </c>
      <c r="C2074" t="s">
        <v>81</v>
      </c>
      <c r="D2074">
        <v>117.4</v>
      </c>
      <c r="E2074">
        <v>6000</v>
      </c>
      <c r="F2074" t="s">
        <v>36</v>
      </c>
      <c r="G2074" t="s">
        <v>102</v>
      </c>
      <c r="H2074" t="s">
        <v>33</v>
      </c>
      <c r="I2074" t="s">
        <v>44</v>
      </c>
      <c r="J2074" t="s">
        <v>130</v>
      </c>
      <c r="K2074" t="s">
        <v>147</v>
      </c>
      <c r="L2074">
        <v>3</v>
      </c>
      <c r="N2074" t="s">
        <v>2322</v>
      </c>
    </row>
    <row r="2075" spans="1:14" x14ac:dyDescent="0.35">
      <c r="A2075" t="s">
        <v>5855</v>
      </c>
      <c r="B2075" t="s">
        <v>5856</v>
      </c>
      <c r="C2075" t="s">
        <v>41</v>
      </c>
      <c r="D2075">
        <v>151.9</v>
      </c>
      <c r="E2075">
        <v>25000</v>
      </c>
      <c r="F2075" t="s">
        <v>123</v>
      </c>
      <c r="G2075" t="s">
        <v>32</v>
      </c>
      <c r="H2075" t="s">
        <v>43</v>
      </c>
      <c r="I2075" t="s">
        <v>44</v>
      </c>
      <c r="J2075" t="s">
        <v>2289</v>
      </c>
      <c r="K2075" t="s">
        <v>31</v>
      </c>
      <c r="L2075">
        <v>3</v>
      </c>
      <c r="N2075" t="s">
        <v>722</v>
      </c>
    </row>
    <row r="2076" spans="1:14" x14ac:dyDescent="0.35">
      <c r="A2076" t="s">
        <v>5857</v>
      </c>
      <c r="B2076" t="s">
        <v>5858</v>
      </c>
      <c r="C2076" t="s">
        <v>30</v>
      </c>
      <c r="D2076">
        <v>154.29</v>
      </c>
      <c r="E2076">
        <v>19000</v>
      </c>
      <c r="F2076" t="s">
        <v>139</v>
      </c>
      <c r="G2076" t="s">
        <v>32</v>
      </c>
      <c r="H2076" t="s">
        <v>33</v>
      </c>
      <c r="J2076" t="s">
        <v>830</v>
      </c>
      <c r="K2076" t="s">
        <v>51</v>
      </c>
      <c r="L2076">
        <v>1</v>
      </c>
      <c r="N2076" t="s">
        <v>3654</v>
      </c>
    </row>
    <row r="2077" spans="1:14" x14ac:dyDescent="0.35">
      <c r="A2077" t="s">
        <v>5859</v>
      </c>
      <c r="B2077" t="s">
        <v>5860</v>
      </c>
      <c r="C2077" t="s">
        <v>62</v>
      </c>
      <c r="D2077">
        <v>57.57</v>
      </c>
      <c r="E2077">
        <v>5000</v>
      </c>
      <c r="F2077" t="s">
        <v>74</v>
      </c>
      <c r="G2077" t="s">
        <v>32</v>
      </c>
      <c r="H2077" t="s">
        <v>57</v>
      </c>
      <c r="I2077" t="s">
        <v>44</v>
      </c>
      <c r="J2077" t="s">
        <v>63</v>
      </c>
      <c r="K2077" t="s">
        <v>64</v>
      </c>
      <c r="L2077">
        <v>12</v>
      </c>
      <c r="M2077" t="s">
        <v>2280</v>
      </c>
      <c r="N2077" t="s">
        <v>5861</v>
      </c>
    </row>
    <row r="2078" spans="1:14" x14ac:dyDescent="0.35">
      <c r="A2078" t="s">
        <v>5862</v>
      </c>
      <c r="B2078" t="s">
        <v>5863</v>
      </c>
      <c r="C2078" t="s">
        <v>116</v>
      </c>
      <c r="D2078">
        <v>9.9700000000000006</v>
      </c>
      <c r="E2078">
        <v>400</v>
      </c>
      <c r="F2078" t="s">
        <v>46</v>
      </c>
      <c r="G2078" t="s">
        <v>32</v>
      </c>
      <c r="H2078" t="s">
        <v>43</v>
      </c>
      <c r="I2078" t="s">
        <v>44</v>
      </c>
      <c r="J2078" t="s">
        <v>209</v>
      </c>
      <c r="K2078" t="s">
        <v>74</v>
      </c>
      <c r="L2078">
        <v>2</v>
      </c>
      <c r="M2078" t="s">
        <v>3266</v>
      </c>
      <c r="N2078" t="s">
        <v>5864</v>
      </c>
    </row>
    <row r="2079" spans="1:14" x14ac:dyDescent="0.35">
      <c r="A2079" t="s">
        <v>5865</v>
      </c>
      <c r="B2079" t="s">
        <v>5866</v>
      </c>
      <c r="C2079" t="s">
        <v>30</v>
      </c>
      <c r="D2079">
        <v>184.97</v>
      </c>
      <c r="E2079">
        <v>3000</v>
      </c>
      <c r="F2079" t="s">
        <v>46</v>
      </c>
      <c r="G2079" t="s">
        <v>32</v>
      </c>
      <c r="H2079" t="s">
        <v>57</v>
      </c>
      <c r="I2079" t="s">
        <v>44</v>
      </c>
      <c r="J2079" t="s">
        <v>45</v>
      </c>
      <c r="K2079" t="s">
        <v>46</v>
      </c>
      <c r="L2079">
        <v>14</v>
      </c>
      <c r="N2079" t="s">
        <v>3307</v>
      </c>
    </row>
    <row r="2080" spans="1:14" x14ac:dyDescent="0.35">
      <c r="A2080" t="s">
        <v>5867</v>
      </c>
      <c r="B2080" t="s">
        <v>5868</v>
      </c>
      <c r="C2080" t="s">
        <v>116</v>
      </c>
      <c r="D2080">
        <v>8.1300000000000008</v>
      </c>
      <c r="E2080">
        <v>200</v>
      </c>
      <c r="F2080" t="s">
        <v>147</v>
      </c>
      <c r="G2080" t="s">
        <v>32</v>
      </c>
      <c r="H2080" t="s">
        <v>57</v>
      </c>
      <c r="J2080" t="s">
        <v>316</v>
      </c>
      <c r="K2080" t="s">
        <v>97</v>
      </c>
      <c r="L2080">
        <v>10</v>
      </c>
      <c r="M2080" t="s">
        <v>675</v>
      </c>
      <c r="N2080" t="s">
        <v>5869</v>
      </c>
    </row>
    <row r="2081" spans="1:14" x14ac:dyDescent="0.35">
      <c r="A2081" t="s">
        <v>5870</v>
      </c>
      <c r="B2081" t="s">
        <v>5871</v>
      </c>
      <c r="C2081" t="s">
        <v>69</v>
      </c>
      <c r="D2081">
        <v>96.07</v>
      </c>
      <c r="E2081">
        <v>58000</v>
      </c>
      <c r="F2081" t="s">
        <v>42</v>
      </c>
      <c r="G2081" t="s">
        <v>32</v>
      </c>
      <c r="H2081" t="s">
        <v>57</v>
      </c>
      <c r="I2081" t="s">
        <v>44</v>
      </c>
      <c r="J2081" t="s">
        <v>130</v>
      </c>
      <c r="K2081" t="s">
        <v>123</v>
      </c>
      <c r="L2081">
        <v>10</v>
      </c>
      <c r="M2081" t="s">
        <v>1346</v>
      </c>
      <c r="N2081" t="s">
        <v>2317</v>
      </c>
    </row>
    <row r="2082" spans="1:14" x14ac:dyDescent="0.35">
      <c r="A2082" t="s">
        <v>5872</v>
      </c>
      <c r="B2082" t="s">
        <v>5873</v>
      </c>
      <c r="C2082" t="s">
        <v>116</v>
      </c>
      <c r="D2082">
        <v>8.07</v>
      </c>
      <c r="E2082">
        <v>100</v>
      </c>
      <c r="F2082" t="s">
        <v>46</v>
      </c>
      <c r="G2082" t="s">
        <v>102</v>
      </c>
      <c r="H2082" t="s">
        <v>57</v>
      </c>
      <c r="I2082" t="s">
        <v>44</v>
      </c>
      <c r="J2082" t="s">
        <v>75</v>
      </c>
      <c r="K2082" t="s">
        <v>76</v>
      </c>
      <c r="L2082">
        <v>2</v>
      </c>
      <c r="N2082" t="s">
        <v>3337</v>
      </c>
    </row>
    <row r="2083" spans="1:14" x14ac:dyDescent="0.35">
      <c r="A2083" t="s">
        <v>5874</v>
      </c>
      <c r="B2083" t="s">
        <v>5875</v>
      </c>
      <c r="C2083" t="s">
        <v>81</v>
      </c>
      <c r="D2083">
        <v>126.71</v>
      </c>
      <c r="E2083">
        <v>10000</v>
      </c>
      <c r="F2083" t="s">
        <v>46</v>
      </c>
      <c r="G2083" t="s">
        <v>32</v>
      </c>
      <c r="H2083" t="s">
        <v>33</v>
      </c>
      <c r="I2083" t="s">
        <v>44</v>
      </c>
      <c r="J2083" t="s">
        <v>75</v>
      </c>
      <c r="K2083" t="s">
        <v>76</v>
      </c>
      <c r="L2083">
        <v>9</v>
      </c>
      <c r="N2083" t="s">
        <v>5876</v>
      </c>
    </row>
    <row r="2084" spans="1:14" x14ac:dyDescent="0.35">
      <c r="A2084" t="s">
        <v>5877</v>
      </c>
      <c r="B2084" t="s">
        <v>5878</v>
      </c>
      <c r="C2084" t="s">
        <v>41</v>
      </c>
      <c r="D2084">
        <v>155.66999999999999</v>
      </c>
      <c r="E2084">
        <v>32000</v>
      </c>
      <c r="F2084" t="s">
        <v>106</v>
      </c>
      <c r="G2084" t="s">
        <v>32</v>
      </c>
      <c r="H2084" t="s">
        <v>43</v>
      </c>
      <c r="I2084" t="s">
        <v>34</v>
      </c>
      <c r="J2084" t="s">
        <v>523</v>
      </c>
      <c r="K2084" t="s">
        <v>36</v>
      </c>
      <c r="L2084">
        <v>6</v>
      </c>
      <c r="N2084" t="s">
        <v>2404</v>
      </c>
    </row>
    <row r="2085" spans="1:14" x14ac:dyDescent="0.35">
      <c r="A2085" t="s">
        <v>5879</v>
      </c>
      <c r="B2085" t="s">
        <v>5880</v>
      </c>
      <c r="C2085" t="s">
        <v>116</v>
      </c>
      <c r="D2085">
        <v>9.85</v>
      </c>
      <c r="E2085">
        <v>600</v>
      </c>
      <c r="F2085" t="s">
        <v>64</v>
      </c>
      <c r="G2085" t="s">
        <v>32</v>
      </c>
      <c r="H2085" t="s">
        <v>57</v>
      </c>
      <c r="J2085" t="s">
        <v>75</v>
      </c>
      <c r="K2085" t="s">
        <v>76</v>
      </c>
      <c r="L2085">
        <v>8</v>
      </c>
      <c r="M2085" t="s">
        <v>3085</v>
      </c>
      <c r="N2085" t="s">
        <v>5881</v>
      </c>
    </row>
    <row r="2086" spans="1:14" x14ac:dyDescent="0.35">
      <c r="A2086" t="s">
        <v>5882</v>
      </c>
      <c r="B2086" t="s">
        <v>5883</v>
      </c>
      <c r="C2086" t="s">
        <v>30</v>
      </c>
      <c r="D2086">
        <v>115.56</v>
      </c>
      <c r="E2086">
        <v>11000</v>
      </c>
      <c r="F2086" t="s">
        <v>51</v>
      </c>
      <c r="G2086" t="s">
        <v>32</v>
      </c>
      <c r="H2086" t="s">
        <v>57</v>
      </c>
      <c r="I2086" t="s">
        <v>34</v>
      </c>
      <c r="J2086" t="s">
        <v>543</v>
      </c>
      <c r="K2086" t="s">
        <v>51</v>
      </c>
      <c r="L2086">
        <v>15</v>
      </c>
      <c r="M2086" t="s">
        <v>3934</v>
      </c>
      <c r="N2086" t="s">
        <v>370</v>
      </c>
    </row>
    <row r="2087" spans="1:14" x14ac:dyDescent="0.35">
      <c r="A2087" t="s">
        <v>5884</v>
      </c>
      <c r="B2087" t="s">
        <v>5885</v>
      </c>
      <c r="C2087" t="s">
        <v>30</v>
      </c>
      <c r="D2087">
        <v>191.46</v>
      </c>
      <c r="E2087">
        <v>15000</v>
      </c>
      <c r="F2087" t="s">
        <v>42</v>
      </c>
      <c r="G2087" t="s">
        <v>32</v>
      </c>
      <c r="H2087" t="s">
        <v>33</v>
      </c>
      <c r="I2087" t="s">
        <v>34</v>
      </c>
      <c r="J2087" t="s">
        <v>130</v>
      </c>
      <c r="K2087" t="s">
        <v>123</v>
      </c>
      <c r="L2087">
        <v>4</v>
      </c>
      <c r="M2087" t="s">
        <v>528</v>
      </c>
      <c r="N2087" t="s">
        <v>325</v>
      </c>
    </row>
    <row r="2088" spans="1:14" x14ac:dyDescent="0.35">
      <c r="A2088" t="s">
        <v>5886</v>
      </c>
      <c r="B2088" t="s">
        <v>5887</v>
      </c>
      <c r="C2088" t="s">
        <v>41</v>
      </c>
      <c r="D2088">
        <v>128.25</v>
      </c>
      <c r="E2088">
        <v>30000</v>
      </c>
      <c r="F2088" t="s">
        <v>76</v>
      </c>
      <c r="G2088" t="s">
        <v>32</v>
      </c>
      <c r="H2088" t="s">
        <v>43</v>
      </c>
      <c r="I2088" t="s">
        <v>129</v>
      </c>
      <c r="J2088" t="s">
        <v>107</v>
      </c>
      <c r="K2088" t="s">
        <v>87</v>
      </c>
      <c r="L2088">
        <v>18</v>
      </c>
      <c r="M2088" t="s">
        <v>1687</v>
      </c>
      <c r="N2088" t="s">
        <v>504</v>
      </c>
    </row>
    <row r="2089" spans="1:14" x14ac:dyDescent="0.35">
      <c r="A2089" t="s">
        <v>5888</v>
      </c>
      <c r="B2089" t="s">
        <v>5889</v>
      </c>
      <c r="C2089" t="s">
        <v>116</v>
      </c>
      <c r="D2089">
        <v>10.76</v>
      </c>
      <c r="E2089">
        <v>400</v>
      </c>
      <c r="F2089" t="s">
        <v>87</v>
      </c>
      <c r="G2089" t="s">
        <v>32</v>
      </c>
      <c r="H2089" t="s">
        <v>33</v>
      </c>
      <c r="I2089" t="s">
        <v>34</v>
      </c>
      <c r="J2089" t="s">
        <v>235</v>
      </c>
      <c r="K2089" t="s">
        <v>236</v>
      </c>
      <c r="L2089">
        <v>9</v>
      </c>
      <c r="M2089" t="s">
        <v>1224</v>
      </c>
      <c r="N2089" t="s">
        <v>5649</v>
      </c>
    </row>
    <row r="2090" spans="1:14" x14ac:dyDescent="0.35">
      <c r="A2090" t="s">
        <v>5890</v>
      </c>
      <c r="B2090" t="s">
        <v>5891</v>
      </c>
      <c r="C2090" t="s">
        <v>69</v>
      </c>
      <c r="D2090">
        <v>67.47</v>
      </c>
      <c r="E2090">
        <v>80000</v>
      </c>
      <c r="F2090" t="s">
        <v>42</v>
      </c>
      <c r="G2090" t="s">
        <v>32</v>
      </c>
      <c r="H2090" t="s">
        <v>57</v>
      </c>
      <c r="I2090" t="s">
        <v>44</v>
      </c>
      <c r="J2090" t="s">
        <v>118</v>
      </c>
      <c r="K2090" t="s">
        <v>42</v>
      </c>
      <c r="L2090">
        <v>0</v>
      </c>
      <c r="M2090" t="s">
        <v>1625</v>
      </c>
      <c r="N2090" t="s">
        <v>1507</v>
      </c>
    </row>
    <row r="2091" spans="1:14" x14ac:dyDescent="0.35">
      <c r="A2091" t="s">
        <v>5892</v>
      </c>
      <c r="B2091" t="s">
        <v>5893</v>
      </c>
      <c r="C2091" t="s">
        <v>30</v>
      </c>
      <c r="D2091">
        <v>194.87</v>
      </c>
      <c r="E2091">
        <v>18000</v>
      </c>
      <c r="F2091" t="s">
        <v>46</v>
      </c>
      <c r="G2091" t="s">
        <v>32</v>
      </c>
      <c r="H2091" t="s">
        <v>33</v>
      </c>
      <c r="J2091" t="s">
        <v>130</v>
      </c>
      <c r="K2091" t="s">
        <v>123</v>
      </c>
      <c r="L2091">
        <v>14</v>
      </c>
      <c r="N2091" t="s">
        <v>93</v>
      </c>
    </row>
    <row r="2092" spans="1:14" x14ac:dyDescent="0.35">
      <c r="A2092" t="s">
        <v>5894</v>
      </c>
      <c r="B2092" t="s">
        <v>5895</v>
      </c>
      <c r="C2092" t="s">
        <v>116</v>
      </c>
      <c r="D2092">
        <v>9.94</v>
      </c>
      <c r="E2092">
        <v>700</v>
      </c>
      <c r="F2092" t="s">
        <v>117</v>
      </c>
      <c r="G2092" t="s">
        <v>32</v>
      </c>
      <c r="H2092" t="s">
        <v>57</v>
      </c>
      <c r="I2092" t="s">
        <v>44</v>
      </c>
      <c r="J2092" t="s">
        <v>82</v>
      </c>
      <c r="K2092" t="s">
        <v>74</v>
      </c>
      <c r="L2092">
        <v>15</v>
      </c>
      <c r="N2092" t="s">
        <v>5896</v>
      </c>
    </row>
    <row r="2093" spans="1:14" x14ac:dyDescent="0.35">
      <c r="A2093" t="s">
        <v>5897</v>
      </c>
      <c r="B2093" t="s">
        <v>5898</v>
      </c>
      <c r="C2093" t="s">
        <v>41</v>
      </c>
      <c r="D2093">
        <v>129.93</v>
      </c>
      <c r="E2093">
        <v>28000</v>
      </c>
      <c r="F2093" t="s">
        <v>123</v>
      </c>
      <c r="G2093" t="s">
        <v>32</v>
      </c>
      <c r="H2093" t="s">
        <v>43</v>
      </c>
      <c r="I2093" t="s">
        <v>34</v>
      </c>
      <c r="J2093" t="s">
        <v>543</v>
      </c>
      <c r="K2093" t="s">
        <v>51</v>
      </c>
      <c r="L2093">
        <v>12</v>
      </c>
      <c r="M2093" t="s">
        <v>1009</v>
      </c>
      <c r="N2093" t="s">
        <v>2005</v>
      </c>
    </row>
    <row r="2094" spans="1:14" x14ac:dyDescent="0.35">
      <c r="A2094" t="s">
        <v>5899</v>
      </c>
      <c r="B2094" t="s">
        <v>5900</v>
      </c>
      <c r="C2094" t="s">
        <v>81</v>
      </c>
      <c r="D2094">
        <v>98.94</v>
      </c>
      <c r="E2094">
        <v>2000</v>
      </c>
      <c r="F2094" t="s">
        <v>36</v>
      </c>
      <c r="G2094" t="s">
        <v>32</v>
      </c>
      <c r="H2094" t="s">
        <v>33</v>
      </c>
      <c r="J2094" t="s">
        <v>35</v>
      </c>
      <c r="K2094" t="s">
        <v>36</v>
      </c>
      <c r="L2094">
        <v>10</v>
      </c>
      <c r="M2094" t="s">
        <v>911</v>
      </c>
      <c r="N2094" t="s">
        <v>5901</v>
      </c>
    </row>
    <row r="2095" spans="1:14" x14ac:dyDescent="0.35">
      <c r="A2095" t="s">
        <v>5902</v>
      </c>
      <c r="B2095" t="s">
        <v>5903</v>
      </c>
      <c r="C2095" t="s">
        <v>62</v>
      </c>
      <c r="D2095">
        <v>70.59</v>
      </c>
      <c r="E2095">
        <v>2000</v>
      </c>
      <c r="F2095" t="s">
        <v>87</v>
      </c>
      <c r="G2095" t="s">
        <v>32</v>
      </c>
      <c r="H2095" t="s">
        <v>43</v>
      </c>
      <c r="I2095" t="s">
        <v>44</v>
      </c>
      <c r="J2095" t="s">
        <v>118</v>
      </c>
      <c r="K2095" t="s">
        <v>42</v>
      </c>
      <c r="L2095">
        <v>2</v>
      </c>
      <c r="N2095" t="s">
        <v>5026</v>
      </c>
    </row>
    <row r="2096" spans="1:14" x14ac:dyDescent="0.35">
      <c r="A2096" t="s">
        <v>5904</v>
      </c>
      <c r="B2096" t="s">
        <v>5905</v>
      </c>
      <c r="C2096" t="s">
        <v>41</v>
      </c>
      <c r="D2096">
        <v>116.96</v>
      </c>
      <c r="E2096">
        <v>39000</v>
      </c>
      <c r="F2096" t="s">
        <v>51</v>
      </c>
      <c r="G2096" t="s">
        <v>32</v>
      </c>
      <c r="H2096" t="s">
        <v>43</v>
      </c>
      <c r="J2096" t="s">
        <v>124</v>
      </c>
      <c r="K2096" t="s">
        <v>117</v>
      </c>
      <c r="L2096">
        <v>21</v>
      </c>
      <c r="N2096" t="s">
        <v>662</v>
      </c>
    </row>
    <row r="2097" spans="1:14" x14ac:dyDescent="0.35">
      <c r="A2097" t="s">
        <v>5906</v>
      </c>
      <c r="B2097" t="s">
        <v>5907</v>
      </c>
      <c r="C2097" t="s">
        <v>62</v>
      </c>
      <c r="D2097">
        <v>67.930000000000007</v>
      </c>
      <c r="E2097">
        <v>5000</v>
      </c>
      <c r="F2097" t="s">
        <v>74</v>
      </c>
      <c r="G2097" t="s">
        <v>32</v>
      </c>
      <c r="H2097" t="s">
        <v>43</v>
      </c>
      <c r="I2097" t="s">
        <v>34</v>
      </c>
      <c r="J2097" t="s">
        <v>130</v>
      </c>
      <c r="K2097" t="s">
        <v>123</v>
      </c>
      <c r="L2097">
        <v>4</v>
      </c>
      <c r="M2097" t="s">
        <v>2816</v>
      </c>
      <c r="N2097" t="s">
        <v>1590</v>
      </c>
    </row>
    <row r="2098" spans="1:14" x14ac:dyDescent="0.35">
      <c r="A2098" t="s">
        <v>5908</v>
      </c>
      <c r="B2098" t="s">
        <v>5909</v>
      </c>
      <c r="C2098" t="s">
        <v>41</v>
      </c>
      <c r="D2098">
        <v>156.33000000000001</v>
      </c>
      <c r="E2098">
        <v>11000</v>
      </c>
      <c r="F2098" t="s">
        <v>117</v>
      </c>
      <c r="G2098" t="s">
        <v>32</v>
      </c>
      <c r="H2098" t="s">
        <v>33</v>
      </c>
      <c r="I2098" t="s">
        <v>44</v>
      </c>
      <c r="J2098" t="s">
        <v>63</v>
      </c>
      <c r="K2098" t="s">
        <v>64</v>
      </c>
      <c r="L2098">
        <v>4</v>
      </c>
      <c r="N2098" t="s">
        <v>470</v>
      </c>
    </row>
    <row r="2099" spans="1:14" x14ac:dyDescent="0.35">
      <c r="A2099" t="s">
        <v>5910</v>
      </c>
      <c r="B2099" t="s">
        <v>5911</v>
      </c>
      <c r="C2099" t="s">
        <v>41</v>
      </c>
      <c r="D2099">
        <v>109.07</v>
      </c>
      <c r="E2099">
        <v>37000</v>
      </c>
      <c r="F2099" t="s">
        <v>123</v>
      </c>
      <c r="G2099" t="s">
        <v>32</v>
      </c>
      <c r="H2099" t="s">
        <v>57</v>
      </c>
      <c r="I2099" t="s">
        <v>44</v>
      </c>
      <c r="J2099" t="s">
        <v>124</v>
      </c>
      <c r="K2099" t="s">
        <v>117</v>
      </c>
      <c r="L2099">
        <v>8</v>
      </c>
      <c r="N2099" t="s">
        <v>313</v>
      </c>
    </row>
    <row r="2100" spans="1:14" x14ac:dyDescent="0.35">
      <c r="A2100" t="s">
        <v>5912</v>
      </c>
      <c r="B2100" t="s">
        <v>5913</v>
      </c>
      <c r="C2100" t="s">
        <v>69</v>
      </c>
      <c r="D2100">
        <v>92.74</v>
      </c>
      <c r="E2100">
        <v>36000</v>
      </c>
      <c r="F2100" t="s">
        <v>31</v>
      </c>
      <c r="G2100" t="s">
        <v>32</v>
      </c>
      <c r="H2100" t="s">
        <v>43</v>
      </c>
      <c r="I2100" t="s">
        <v>129</v>
      </c>
      <c r="J2100" t="s">
        <v>107</v>
      </c>
      <c r="K2100" t="s">
        <v>87</v>
      </c>
      <c r="L2100">
        <v>11</v>
      </c>
      <c r="N2100" t="s">
        <v>5914</v>
      </c>
    </row>
    <row r="2101" spans="1:14" x14ac:dyDescent="0.35">
      <c r="A2101" t="s">
        <v>5915</v>
      </c>
      <c r="B2101" t="s">
        <v>5916</v>
      </c>
      <c r="C2101" t="s">
        <v>116</v>
      </c>
      <c r="D2101">
        <v>10.26</v>
      </c>
      <c r="E2101">
        <v>600</v>
      </c>
      <c r="F2101" t="s">
        <v>147</v>
      </c>
      <c r="G2101" t="s">
        <v>32</v>
      </c>
      <c r="H2101" t="s">
        <v>43</v>
      </c>
      <c r="I2101" t="s">
        <v>44</v>
      </c>
      <c r="J2101" t="s">
        <v>278</v>
      </c>
      <c r="K2101" t="s">
        <v>97</v>
      </c>
      <c r="L2101">
        <v>13</v>
      </c>
      <c r="M2101" t="s">
        <v>1368</v>
      </c>
      <c r="N2101" t="s">
        <v>1274</v>
      </c>
    </row>
    <row r="2102" spans="1:14" x14ac:dyDescent="0.35">
      <c r="A2102" t="s">
        <v>5917</v>
      </c>
      <c r="B2102" t="s">
        <v>5918</v>
      </c>
      <c r="C2102" t="s">
        <v>30</v>
      </c>
      <c r="D2102">
        <v>199.45</v>
      </c>
      <c r="E2102">
        <v>1000</v>
      </c>
      <c r="F2102" t="s">
        <v>36</v>
      </c>
      <c r="G2102" t="s">
        <v>32</v>
      </c>
      <c r="H2102" t="s">
        <v>57</v>
      </c>
      <c r="J2102" t="s">
        <v>107</v>
      </c>
      <c r="K2102" t="s">
        <v>87</v>
      </c>
      <c r="L2102">
        <v>4</v>
      </c>
      <c r="N2102" t="s">
        <v>1163</v>
      </c>
    </row>
    <row r="2103" spans="1:14" x14ac:dyDescent="0.35">
      <c r="A2103" t="s">
        <v>5919</v>
      </c>
      <c r="B2103" t="s">
        <v>5920</v>
      </c>
      <c r="C2103" t="s">
        <v>41</v>
      </c>
      <c r="D2103">
        <v>130.93</v>
      </c>
      <c r="E2103">
        <v>20000</v>
      </c>
      <c r="F2103" t="s">
        <v>147</v>
      </c>
      <c r="G2103" t="s">
        <v>32</v>
      </c>
      <c r="H2103" t="s">
        <v>43</v>
      </c>
      <c r="I2103" t="s">
        <v>34</v>
      </c>
      <c r="J2103" t="s">
        <v>477</v>
      </c>
      <c r="K2103" t="s">
        <v>51</v>
      </c>
      <c r="L2103">
        <v>7</v>
      </c>
      <c r="M2103" t="s">
        <v>140</v>
      </c>
      <c r="N2103" t="s">
        <v>2968</v>
      </c>
    </row>
    <row r="2104" spans="1:14" x14ac:dyDescent="0.35">
      <c r="A2104" t="s">
        <v>5921</v>
      </c>
      <c r="B2104" t="s">
        <v>5922</v>
      </c>
      <c r="C2104" t="s">
        <v>41</v>
      </c>
      <c r="D2104">
        <v>89.34</v>
      </c>
      <c r="E2104">
        <v>32000</v>
      </c>
      <c r="F2104" t="s">
        <v>117</v>
      </c>
      <c r="G2104" t="s">
        <v>32</v>
      </c>
      <c r="H2104" t="s">
        <v>57</v>
      </c>
      <c r="I2104" t="s">
        <v>34</v>
      </c>
      <c r="J2104" t="s">
        <v>846</v>
      </c>
      <c r="K2104" t="s">
        <v>74</v>
      </c>
      <c r="L2104">
        <v>15</v>
      </c>
      <c r="M2104" t="s">
        <v>53</v>
      </c>
      <c r="N2104" t="s">
        <v>709</v>
      </c>
    </row>
    <row r="2105" spans="1:14" x14ac:dyDescent="0.35">
      <c r="A2105" t="s">
        <v>5923</v>
      </c>
      <c r="B2105" t="s">
        <v>5924</v>
      </c>
      <c r="C2105" t="s">
        <v>69</v>
      </c>
      <c r="D2105">
        <v>76.92</v>
      </c>
      <c r="E2105">
        <v>12000</v>
      </c>
      <c r="F2105" t="s">
        <v>64</v>
      </c>
      <c r="G2105" t="s">
        <v>32</v>
      </c>
      <c r="H2105" t="s">
        <v>57</v>
      </c>
      <c r="I2105" t="s">
        <v>34</v>
      </c>
      <c r="J2105" t="s">
        <v>334</v>
      </c>
      <c r="K2105" t="s">
        <v>51</v>
      </c>
      <c r="L2105">
        <v>19</v>
      </c>
      <c r="N2105" t="s">
        <v>5925</v>
      </c>
    </row>
    <row r="2106" spans="1:14" x14ac:dyDescent="0.35">
      <c r="A2106" t="s">
        <v>5926</v>
      </c>
      <c r="B2106" t="s">
        <v>5927</v>
      </c>
      <c r="C2106" t="s">
        <v>81</v>
      </c>
      <c r="D2106">
        <v>105.54</v>
      </c>
      <c r="E2106">
        <v>7000</v>
      </c>
      <c r="F2106" t="s">
        <v>147</v>
      </c>
      <c r="G2106" t="s">
        <v>32</v>
      </c>
      <c r="H2106" t="s">
        <v>33</v>
      </c>
      <c r="I2106" t="s">
        <v>44</v>
      </c>
      <c r="J2106" t="s">
        <v>35</v>
      </c>
      <c r="K2106" t="s">
        <v>36</v>
      </c>
      <c r="L2106">
        <v>18</v>
      </c>
      <c r="M2106" t="s">
        <v>3998</v>
      </c>
      <c r="N2106" t="s">
        <v>373</v>
      </c>
    </row>
    <row r="2107" spans="1:14" x14ac:dyDescent="0.35">
      <c r="A2107" t="s">
        <v>5928</v>
      </c>
      <c r="B2107" t="s">
        <v>5929</v>
      </c>
      <c r="C2107" t="s">
        <v>81</v>
      </c>
      <c r="D2107">
        <v>134.28</v>
      </c>
      <c r="E2107">
        <v>7000</v>
      </c>
      <c r="F2107" t="s">
        <v>236</v>
      </c>
      <c r="G2107" t="s">
        <v>32</v>
      </c>
      <c r="H2107" t="s">
        <v>57</v>
      </c>
      <c r="J2107" t="s">
        <v>708</v>
      </c>
      <c r="K2107" t="s">
        <v>87</v>
      </c>
      <c r="L2107">
        <v>2</v>
      </c>
      <c r="M2107" t="s">
        <v>342</v>
      </c>
      <c r="N2107" t="s">
        <v>761</v>
      </c>
    </row>
    <row r="2108" spans="1:14" x14ac:dyDescent="0.35">
      <c r="A2108" t="s">
        <v>5930</v>
      </c>
      <c r="B2108" t="s">
        <v>5931</v>
      </c>
      <c r="C2108" t="s">
        <v>30</v>
      </c>
      <c r="D2108">
        <v>111.17</v>
      </c>
      <c r="E2108">
        <v>18000</v>
      </c>
      <c r="F2108" t="s">
        <v>87</v>
      </c>
      <c r="G2108" t="s">
        <v>32</v>
      </c>
      <c r="H2108" t="s">
        <v>43</v>
      </c>
      <c r="I2108" t="s">
        <v>44</v>
      </c>
      <c r="J2108" t="s">
        <v>278</v>
      </c>
      <c r="K2108" t="s">
        <v>97</v>
      </c>
      <c r="L2108">
        <v>18</v>
      </c>
      <c r="N2108" t="s">
        <v>2521</v>
      </c>
    </row>
    <row r="2109" spans="1:14" x14ac:dyDescent="0.35">
      <c r="A2109" t="s">
        <v>5932</v>
      </c>
      <c r="B2109" t="s">
        <v>5933</v>
      </c>
      <c r="C2109" t="s">
        <v>116</v>
      </c>
      <c r="D2109">
        <v>8.6999999999999993</v>
      </c>
      <c r="E2109">
        <v>200</v>
      </c>
      <c r="F2109" t="s">
        <v>76</v>
      </c>
      <c r="G2109" t="s">
        <v>32</v>
      </c>
      <c r="H2109" t="s">
        <v>33</v>
      </c>
      <c r="I2109" t="s">
        <v>34</v>
      </c>
      <c r="J2109" t="s">
        <v>124</v>
      </c>
      <c r="K2109" t="s">
        <v>117</v>
      </c>
      <c r="L2109">
        <v>4</v>
      </c>
      <c r="M2109" t="s">
        <v>251</v>
      </c>
      <c r="N2109" t="s">
        <v>4607</v>
      </c>
    </row>
    <row r="2110" spans="1:14" x14ac:dyDescent="0.35">
      <c r="A2110" t="s">
        <v>5934</v>
      </c>
      <c r="B2110" t="s">
        <v>5935</v>
      </c>
      <c r="C2110" t="s">
        <v>62</v>
      </c>
      <c r="D2110">
        <v>88.61</v>
      </c>
      <c r="E2110">
        <v>2000</v>
      </c>
      <c r="F2110" t="s">
        <v>64</v>
      </c>
      <c r="G2110" t="s">
        <v>102</v>
      </c>
      <c r="H2110" t="s">
        <v>43</v>
      </c>
      <c r="I2110" t="s">
        <v>34</v>
      </c>
      <c r="J2110" t="s">
        <v>4362</v>
      </c>
      <c r="K2110" t="s">
        <v>147</v>
      </c>
      <c r="L2110">
        <v>21</v>
      </c>
      <c r="M2110" t="s">
        <v>742</v>
      </c>
      <c r="N2110" t="s">
        <v>3255</v>
      </c>
    </row>
    <row r="2111" spans="1:14" x14ac:dyDescent="0.35">
      <c r="A2111" t="s">
        <v>5936</v>
      </c>
      <c r="B2111" t="s">
        <v>5937</v>
      </c>
      <c r="C2111" t="s">
        <v>41</v>
      </c>
      <c r="D2111">
        <v>143.04</v>
      </c>
      <c r="E2111">
        <v>26000</v>
      </c>
      <c r="F2111" t="s">
        <v>236</v>
      </c>
      <c r="G2111" t="s">
        <v>32</v>
      </c>
      <c r="H2111" t="s">
        <v>33</v>
      </c>
      <c r="I2111" t="s">
        <v>34</v>
      </c>
      <c r="J2111" t="s">
        <v>112</v>
      </c>
      <c r="K2111" t="s">
        <v>106</v>
      </c>
      <c r="L2111">
        <v>21</v>
      </c>
      <c r="M2111" t="s">
        <v>1228</v>
      </c>
      <c r="N2111" t="s">
        <v>1954</v>
      </c>
    </row>
    <row r="2112" spans="1:14" x14ac:dyDescent="0.35">
      <c r="A2112" t="s">
        <v>5938</v>
      </c>
      <c r="B2112" t="s">
        <v>5939</v>
      </c>
      <c r="C2112" t="s">
        <v>30</v>
      </c>
      <c r="D2112">
        <v>176.95</v>
      </c>
      <c r="E2112">
        <v>11000</v>
      </c>
      <c r="F2112" t="s">
        <v>74</v>
      </c>
      <c r="G2112" t="s">
        <v>32</v>
      </c>
      <c r="H2112" t="s">
        <v>57</v>
      </c>
      <c r="J2112" t="s">
        <v>124</v>
      </c>
      <c r="K2112" t="s">
        <v>117</v>
      </c>
      <c r="L2112">
        <v>0</v>
      </c>
      <c r="M2112" t="s">
        <v>731</v>
      </c>
      <c r="N2112" t="s">
        <v>1068</v>
      </c>
    </row>
    <row r="2113" spans="1:14" x14ac:dyDescent="0.35">
      <c r="A2113" t="s">
        <v>5940</v>
      </c>
      <c r="B2113" t="s">
        <v>5941</v>
      </c>
      <c r="C2113" t="s">
        <v>62</v>
      </c>
      <c r="D2113">
        <v>53.19</v>
      </c>
      <c r="E2113">
        <v>4000</v>
      </c>
      <c r="F2113" t="s">
        <v>76</v>
      </c>
      <c r="G2113" t="s">
        <v>32</v>
      </c>
      <c r="H2113" t="s">
        <v>33</v>
      </c>
      <c r="J2113" t="s">
        <v>45</v>
      </c>
      <c r="K2113" t="s">
        <v>46</v>
      </c>
      <c r="L2113">
        <v>14</v>
      </c>
      <c r="M2113" t="s">
        <v>3773</v>
      </c>
      <c r="N2113" t="s">
        <v>5942</v>
      </c>
    </row>
    <row r="2114" spans="1:14" x14ac:dyDescent="0.35">
      <c r="A2114" t="s">
        <v>5943</v>
      </c>
      <c r="B2114" t="s">
        <v>5944</v>
      </c>
      <c r="C2114" t="s">
        <v>69</v>
      </c>
      <c r="D2114">
        <v>66.37</v>
      </c>
      <c r="E2114">
        <v>32000</v>
      </c>
      <c r="F2114" t="s">
        <v>117</v>
      </c>
      <c r="G2114" t="s">
        <v>32</v>
      </c>
      <c r="H2114" t="s">
        <v>57</v>
      </c>
      <c r="I2114" t="s">
        <v>44</v>
      </c>
      <c r="J2114" t="s">
        <v>124</v>
      </c>
      <c r="K2114" t="s">
        <v>117</v>
      </c>
      <c r="L2114">
        <v>22</v>
      </c>
      <c r="N2114" t="s">
        <v>3470</v>
      </c>
    </row>
    <row r="2115" spans="1:14" x14ac:dyDescent="0.35">
      <c r="A2115" t="s">
        <v>5945</v>
      </c>
      <c r="B2115" t="s">
        <v>5946</v>
      </c>
      <c r="C2115" t="s">
        <v>30</v>
      </c>
      <c r="D2115">
        <v>161.18</v>
      </c>
      <c r="E2115">
        <v>4000</v>
      </c>
      <c r="F2115" t="s">
        <v>46</v>
      </c>
      <c r="G2115" t="s">
        <v>32</v>
      </c>
      <c r="H2115" t="s">
        <v>57</v>
      </c>
      <c r="I2115" t="s">
        <v>34</v>
      </c>
      <c r="J2115" t="s">
        <v>543</v>
      </c>
      <c r="K2115" t="s">
        <v>51</v>
      </c>
      <c r="L2115">
        <v>15</v>
      </c>
      <c r="M2115" t="s">
        <v>765</v>
      </c>
      <c r="N2115" t="s">
        <v>5400</v>
      </c>
    </row>
    <row r="2116" spans="1:14" x14ac:dyDescent="0.35">
      <c r="A2116" t="s">
        <v>5947</v>
      </c>
      <c r="B2116" t="s">
        <v>5948</v>
      </c>
      <c r="C2116" t="s">
        <v>62</v>
      </c>
      <c r="D2116">
        <v>50.44</v>
      </c>
      <c r="E2116">
        <v>2000</v>
      </c>
      <c r="F2116" t="s">
        <v>117</v>
      </c>
      <c r="G2116" t="s">
        <v>32</v>
      </c>
      <c r="H2116" t="s">
        <v>43</v>
      </c>
      <c r="I2116" t="s">
        <v>44</v>
      </c>
      <c r="J2116" t="s">
        <v>209</v>
      </c>
      <c r="K2116" t="s">
        <v>74</v>
      </c>
      <c r="L2116">
        <v>6</v>
      </c>
      <c r="M2116" t="s">
        <v>2039</v>
      </c>
      <c r="N2116" t="s">
        <v>2608</v>
      </c>
    </row>
    <row r="2117" spans="1:14" x14ac:dyDescent="0.35">
      <c r="A2117" t="s">
        <v>5949</v>
      </c>
      <c r="B2117" t="s">
        <v>5950</v>
      </c>
      <c r="C2117" t="s">
        <v>69</v>
      </c>
      <c r="D2117">
        <v>84.33</v>
      </c>
      <c r="E2117">
        <v>77000</v>
      </c>
      <c r="F2117" t="s">
        <v>147</v>
      </c>
      <c r="G2117" t="s">
        <v>32</v>
      </c>
      <c r="H2117" t="s">
        <v>43</v>
      </c>
      <c r="I2117" t="s">
        <v>44</v>
      </c>
      <c r="J2117" t="s">
        <v>130</v>
      </c>
      <c r="K2117" t="s">
        <v>123</v>
      </c>
      <c r="L2117">
        <v>4</v>
      </c>
      <c r="M2117" t="s">
        <v>672</v>
      </c>
      <c r="N2117" t="s">
        <v>1232</v>
      </c>
    </row>
    <row r="2118" spans="1:14" x14ac:dyDescent="0.35">
      <c r="A2118" t="s">
        <v>5951</v>
      </c>
      <c r="B2118" t="s">
        <v>5952</v>
      </c>
      <c r="C2118" t="s">
        <v>81</v>
      </c>
      <c r="D2118">
        <v>95.9</v>
      </c>
      <c r="E2118">
        <v>5000</v>
      </c>
      <c r="F2118" t="s">
        <v>46</v>
      </c>
      <c r="G2118" t="s">
        <v>32</v>
      </c>
      <c r="H2118" t="s">
        <v>57</v>
      </c>
      <c r="I2118" t="s">
        <v>44</v>
      </c>
      <c r="J2118" t="s">
        <v>235</v>
      </c>
      <c r="K2118" t="s">
        <v>236</v>
      </c>
      <c r="L2118">
        <v>11</v>
      </c>
      <c r="M2118" t="s">
        <v>2352</v>
      </c>
      <c r="N2118" t="s">
        <v>3589</v>
      </c>
    </row>
    <row r="2119" spans="1:14" x14ac:dyDescent="0.35">
      <c r="A2119" t="s">
        <v>5953</v>
      </c>
      <c r="B2119" t="s">
        <v>5954</v>
      </c>
      <c r="C2119" t="s">
        <v>30</v>
      </c>
      <c r="D2119">
        <v>198.37</v>
      </c>
      <c r="E2119">
        <v>9000</v>
      </c>
      <c r="F2119" t="s">
        <v>117</v>
      </c>
      <c r="G2119" t="s">
        <v>32</v>
      </c>
      <c r="H2119" t="s">
        <v>57</v>
      </c>
      <c r="I2119" t="s">
        <v>44</v>
      </c>
      <c r="J2119" t="s">
        <v>124</v>
      </c>
      <c r="K2119" t="s">
        <v>117</v>
      </c>
      <c r="L2119">
        <v>22</v>
      </c>
      <c r="M2119" t="s">
        <v>293</v>
      </c>
      <c r="N2119" t="s">
        <v>586</v>
      </c>
    </row>
    <row r="2120" spans="1:14" x14ac:dyDescent="0.35">
      <c r="A2120" t="s">
        <v>5955</v>
      </c>
      <c r="B2120" t="s">
        <v>5956</v>
      </c>
      <c r="C2120" t="s">
        <v>116</v>
      </c>
      <c r="D2120">
        <v>6.62</v>
      </c>
      <c r="E2120">
        <v>100</v>
      </c>
      <c r="F2120" t="s">
        <v>123</v>
      </c>
      <c r="G2120" t="s">
        <v>32</v>
      </c>
      <c r="H2120" t="s">
        <v>33</v>
      </c>
      <c r="J2120" t="s">
        <v>75</v>
      </c>
      <c r="K2120" t="s">
        <v>76</v>
      </c>
      <c r="L2120">
        <v>4</v>
      </c>
      <c r="N2120" t="s">
        <v>5202</v>
      </c>
    </row>
    <row r="2121" spans="1:14" x14ac:dyDescent="0.35">
      <c r="A2121" t="s">
        <v>5957</v>
      </c>
      <c r="B2121" t="s">
        <v>5958</v>
      </c>
      <c r="C2121" t="s">
        <v>62</v>
      </c>
      <c r="D2121">
        <v>84.85</v>
      </c>
      <c r="E2121">
        <v>5000</v>
      </c>
      <c r="F2121" t="s">
        <v>36</v>
      </c>
      <c r="G2121" t="s">
        <v>32</v>
      </c>
      <c r="H2121" t="s">
        <v>43</v>
      </c>
      <c r="J2121" t="s">
        <v>1896</v>
      </c>
      <c r="K2121" t="s">
        <v>97</v>
      </c>
      <c r="L2121">
        <v>2</v>
      </c>
      <c r="M2121" t="s">
        <v>321</v>
      </c>
      <c r="N2121" t="s">
        <v>1622</v>
      </c>
    </row>
    <row r="2122" spans="1:14" x14ac:dyDescent="0.35">
      <c r="A2122" t="s">
        <v>5959</v>
      </c>
      <c r="B2122" t="s">
        <v>5960</v>
      </c>
      <c r="C2122" t="s">
        <v>30</v>
      </c>
      <c r="D2122">
        <v>114.23</v>
      </c>
      <c r="E2122">
        <v>19000</v>
      </c>
      <c r="F2122" t="s">
        <v>51</v>
      </c>
      <c r="G2122" t="s">
        <v>32</v>
      </c>
      <c r="H2122" t="s">
        <v>43</v>
      </c>
      <c r="I2122" t="s">
        <v>44</v>
      </c>
      <c r="J2122" t="s">
        <v>124</v>
      </c>
      <c r="K2122" t="s">
        <v>117</v>
      </c>
      <c r="L2122">
        <v>15</v>
      </c>
      <c r="N2122" t="s">
        <v>5961</v>
      </c>
    </row>
    <row r="2123" spans="1:14" x14ac:dyDescent="0.35">
      <c r="A2123" t="s">
        <v>5962</v>
      </c>
      <c r="B2123" t="s">
        <v>5963</v>
      </c>
      <c r="C2123" t="s">
        <v>62</v>
      </c>
      <c r="D2123">
        <v>94.87</v>
      </c>
      <c r="E2123">
        <v>1000</v>
      </c>
      <c r="F2123" t="s">
        <v>117</v>
      </c>
      <c r="G2123" t="s">
        <v>32</v>
      </c>
      <c r="H2123" t="s">
        <v>57</v>
      </c>
      <c r="I2123" t="s">
        <v>34</v>
      </c>
      <c r="J2123" t="s">
        <v>830</v>
      </c>
      <c r="K2123" t="s">
        <v>51</v>
      </c>
      <c r="L2123">
        <v>12</v>
      </c>
      <c r="N2123" t="s">
        <v>5964</v>
      </c>
    </row>
    <row r="2124" spans="1:14" x14ac:dyDescent="0.35">
      <c r="A2124" t="s">
        <v>5965</v>
      </c>
      <c r="B2124" t="s">
        <v>5966</v>
      </c>
      <c r="C2124" t="s">
        <v>81</v>
      </c>
      <c r="D2124">
        <v>70.63</v>
      </c>
      <c r="E2124">
        <v>2000</v>
      </c>
      <c r="F2124" t="s">
        <v>147</v>
      </c>
      <c r="G2124" t="s">
        <v>32</v>
      </c>
      <c r="H2124" t="s">
        <v>43</v>
      </c>
      <c r="I2124" t="s">
        <v>44</v>
      </c>
      <c r="J2124" t="s">
        <v>130</v>
      </c>
      <c r="K2124" t="s">
        <v>123</v>
      </c>
      <c r="L2124">
        <v>17</v>
      </c>
      <c r="M2124" t="s">
        <v>5967</v>
      </c>
      <c r="N2124" t="s">
        <v>1015</v>
      </c>
    </row>
    <row r="2125" spans="1:14" x14ac:dyDescent="0.35">
      <c r="A2125" t="s">
        <v>5968</v>
      </c>
      <c r="B2125" t="s">
        <v>5969</v>
      </c>
      <c r="C2125" t="s">
        <v>81</v>
      </c>
      <c r="D2125">
        <v>113.05</v>
      </c>
      <c r="E2125">
        <v>9000</v>
      </c>
      <c r="F2125" t="s">
        <v>31</v>
      </c>
      <c r="G2125" t="s">
        <v>32</v>
      </c>
      <c r="H2125" t="s">
        <v>57</v>
      </c>
      <c r="J2125" t="s">
        <v>130</v>
      </c>
      <c r="K2125" t="s">
        <v>123</v>
      </c>
      <c r="L2125">
        <v>4</v>
      </c>
      <c r="N2125" t="s">
        <v>795</v>
      </c>
    </row>
    <row r="2126" spans="1:14" x14ac:dyDescent="0.35">
      <c r="A2126" t="s">
        <v>5970</v>
      </c>
      <c r="B2126" t="s">
        <v>5971</v>
      </c>
      <c r="C2126" t="s">
        <v>41</v>
      </c>
      <c r="D2126">
        <v>113.68</v>
      </c>
      <c r="E2126">
        <v>27000</v>
      </c>
      <c r="F2126" t="s">
        <v>36</v>
      </c>
      <c r="G2126" t="s">
        <v>32</v>
      </c>
      <c r="H2126" t="s">
        <v>57</v>
      </c>
      <c r="I2126" t="s">
        <v>34</v>
      </c>
      <c r="J2126" t="s">
        <v>209</v>
      </c>
      <c r="K2126" t="s">
        <v>74</v>
      </c>
      <c r="L2126">
        <v>3</v>
      </c>
      <c r="N2126" t="s">
        <v>4586</v>
      </c>
    </row>
    <row r="2127" spans="1:14" x14ac:dyDescent="0.35">
      <c r="A2127" t="s">
        <v>5972</v>
      </c>
      <c r="B2127" t="s">
        <v>5973</v>
      </c>
      <c r="C2127" t="s">
        <v>69</v>
      </c>
      <c r="D2127">
        <v>88.29</v>
      </c>
      <c r="E2127">
        <v>35000</v>
      </c>
      <c r="F2127" t="s">
        <v>236</v>
      </c>
      <c r="G2127" t="s">
        <v>32</v>
      </c>
      <c r="H2127" t="s">
        <v>57</v>
      </c>
      <c r="I2127" t="s">
        <v>44</v>
      </c>
      <c r="J2127" t="s">
        <v>235</v>
      </c>
      <c r="K2127" t="s">
        <v>236</v>
      </c>
      <c r="L2127">
        <v>11</v>
      </c>
      <c r="N2127" t="s">
        <v>5974</v>
      </c>
    </row>
    <row r="2128" spans="1:14" x14ac:dyDescent="0.35">
      <c r="A2128" t="s">
        <v>5975</v>
      </c>
      <c r="B2128" t="s">
        <v>5976</v>
      </c>
      <c r="C2128" t="s">
        <v>41</v>
      </c>
      <c r="D2128">
        <v>121.13</v>
      </c>
      <c r="E2128">
        <v>32000</v>
      </c>
      <c r="F2128" t="s">
        <v>64</v>
      </c>
      <c r="G2128" t="s">
        <v>32</v>
      </c>
      <c r="H2128" t="s">
        <v>43</v>
      </c>
      <c r="I2128" t="s">
        <v>34</v>
      </c>
      <c r="J2128" t="s">
        <v>402</v>
      </c>
      <c r="K2128" t="s">
        <v>51</v>
      </c>
      <c r="L2128">
        <v>13</v>
      </c>
      <c r="N2128" t="s">
        <v>5435</v>
      </c>
    </row>
    <row r="2129" spans="1:14" x14ac:dyDescent="0.35">
      <c r="A2129" t="s">
        <v>5977</v>
      </c>
      <c r="B2129" t="s">
        <v>5978</v>
      </c>
      <c r="C2129" t="s">
        <v>30</v>
      </c>
      <c r="D2129">
        <v>185.57</v>
      </c>
      <c r="E2129">
        <v>20000</v>
      </c>
      <c r="F2129" t="s">
        <v>74</v>
      </c>
      <c r="G2129" t="s">
        <v>32</v>
      </c>
      <c r="H2129" t="s">
        <v>43</v>
      </c>
      <c r="I2129" t="s">
        <v>44</v>
      </c>
      <c r="J2129" t="s">
        <v>70</v>
      </c>
      <c r="K2129" t="s">
        <v>31</v>
      </c>
      <c r="L2129">
        <v>20</v>
      </c>
      <c r="M2129" t="s">
        <v>1911</v>
      </c>
      <c r="N2129" t="s">
        <v>3580</v>
      </c>
    </row>
    <row r="2130" spans="1:14" x14ac:dyDescent="0.35">
      <c r="A2130" t="s">
        <v>5979</v>
      </c>
      <c r="B2130" t="s">
        <v>5980</v>
      </c>
      <c r="C2130" t="s">
        <v>62</v>
      </c>
      <c r="D2130">
        <v>65.23</v>
      </c>
      <c r="E2130">
        <v>4000</v>
      </c>
      <c r="F2130" t="s">
        <v>147</v>
      </c>
      <c r="G2130" t="s">
        <v>102</v>
      </c>
      <c r="H2130" t="s">
        <v>43</v>
      </c>
      <c r="I2130" t="s">
        <v>44</v>
      </c>
      <c r="J2130" t="s">
        <v>118</v>
      </c>
      <c r="K2130" t="s">
        <v>42</v>
      </c>
      <c r="L2130">
        <v>0</v>
      </c>
      <c r="M2130" t="s">
        <v>1933</v>
      </c>
      <c r="N2130" t="s">
        <v>2521</v>
      </c>
    </row>
    <row r="2131" spans="1:14" x14ac:dyDescent="0.35">
      <c r="A2131" t="s">
        <v>5981</v>
      </c>
      <c r="B2131" t="s">
        <v>5982</v>
      </c>
      <c r="C2131" t="s">
        <v>81</v>
      </c>
      <c r="D2131">
        <v>136.06</v>
      </c>
      <c r="E2131">
        <v>5000</v>
      </c>
      <c r="F2131" t="s">
        <v>76</v>
      </c>
      <c r="G2131" t="s">
        <v>32</v>
      </c>
      <c r="H2131" t="s">
        <v>43</v>
      </c>
      <c r="I2131" t="s">
        <v>44</v>
      </c>
      <c r="J2131" t="s">
        <v>63</v>
      </c>
      <c r="K2131" t="s">
        <v>64</v>
      </c>
      <c r="L2131">
        <v>18</v>
      </c>
      <c r="M2131" t="s">
        <v>2664</v>
      </c>
      <c r="N2131" t="s">
        <v>5315</v>
      </c>
    </row>
    <row r="2132" spans="1:14" x14ac:dyDescent="0.35">
      <c r="A2132" t="s">
        <v>5983</v>
      </c>
      <c r="B2132" t="s">
        <v>5984</v>
      </c>
      <c r="C2132" t="s">
        <v>62</v>
      </c>
      <c r="D2132">
        <v>83.03</v>
      </c>
      <c r="E2132">
        <v>5000</v>
      </c>
      <c r="F2132" t="s">
        <v>87</v>
      </c>
      <c r="G2132" t="s">
        <v>32</v>
      </c>
      <c r="H2132" t="s">
        <v>43</v>
      </c>
      <c r="I2132" t="s">
        <v>129</v>
      </c>
      <c r="J2132" t="s">
        <v>63</v>
      </c>
      <c r="K2132" t="s">
        <v>64</v>
      </c>
      <c r="L2132">
        <v>0</v>
      </c>
      <c r="M2132" t="s">
        <v>2862</v>
      </c>
      <c r="N2132" t="s">
        <v>2587</v>
      </c>
    </row>
    <row r="2133" spans="1:14" x14ac:dyDescent="0.35">
      <c r="A2133" t="s">
        <v>5985</v>
      </c>
      <c r="B2133" t="s">
        <v>5986</v>
      </c>
      <c r="C2133" t="s">
        <v>41</v>
      </c>
      <c r="D2133">
        <v>158.43</v>
      </c>
      <c r="E2133">
        <v>37000</v>
      </c>
      <c r="F2133" t="s">
        <v>123</v>
      </c>
      <c r="G2133" t="s">
        <v>102</v>
      </c>
      <c r="H2133" t="s">
        <v>43</v>
      </c>
      <c r="J2133" t="s">
        <v>130</v>
      </c>
      <c r="K2133" t="s">
        <v>123</v>
      </c>
      <c r="L2133">
        <v>10</v>
      </c>
      <c r="N2133" t="s">
        <v>4108</v>
      </c>
    </row>
    <row r="2134" spans="1:14" x14ac:dyDescent="0.35">
      <c r="A2134" t="s">
        <v>5987</v>
      </c>
      <c r="B2134" t="s">
        <v>5988</v>
      </c>
      <c r="C2134" t="s">
        <v>41</v>
      </c>
      <c r="D2134">
        <v>105.2</v>
      </c>
      <c r="E2134">
        <v>20000</v>
      </c>
      <c r="F2134" t="s">
        <v>76</v>
      </c>
      <c r="G2134" t="s">
        <v>32</v>
      </c>
      <c r="H2134" t="s">
        <v>43</v>
      </c>
      <c r="I2134" t="s">
        <v>44</v>
      </c>
      <c r="J2134" t="s">
        <v>82</v>
      </c>
      <c r="K2134" t="s">
        <v>74</v>
      </c>
      <c r="L2134">
        <v>16</v>
      </c>
      <c r="N2134" t="s">
        <v>5006</v>
      </c>
    </row>
    <row r="2135" spans="1:14" x14ac:dyDescent="0.35">
      <c r="A2135" t="s">
        <v>5989</v>
      </c>
      <c r="B2135" t="s">
        <v>5990</v>
      </c>
      <c r="C2135" t="s">
        <v>81</v>
      </c>
      <c r="D2135">
        <v>111.65</v>
      </c>
      <c r="E2135">
        <v>10000</v>
      </c>
      <c r="F2135" t="s">
        <v>42</v>
      </c>
      <c r="G2135" t="s">
        <v>102</v>
      </c>
      <c r="H2135" t="s">
        <v>57</v>
      </c>
      <c r="I2135" t="s">
        <v>44</v>
      </c>
      <c r="J2135" t="s">
        <v>4703</v>
      </c>
      <c r="K2135" t="s">
        <v>36</v>
      </c>
      <c r="L2135">
        <v>21</v>
      </c>
      <c r="N2135" t="s">
        <v>5991</v>
      </c>
    </row>
    <row r="2136" spans="1:14" x14ac:dyDescent="0.35">
      <c r="A2136" t="s">
        <v>5992</v>
      </c>
      <c r="B2136" t="s">
        <v>5993</v>
      </c>
      <c r="C2136" t="s">
        <v>116</v>
      </c>
      <c r="D2136">
        <v>7.07</v>
      </c>
      <c r="E2136">
        <v>200</v>
      </c>
      <c r="F2136" t="s">
        <v>123</v>
      </c>
      <c r="G2136" t="s">
        <v>32</v>
      </c>
      <c r="H2136" t="s">
        <v>57</v>
      </c>
      <c r="I2136" t="s">
        <v>44</v>
      </c>
      <c r="J2136" t="s">
        <v>130</v>
      </c>
      <c r="K2136" t="s">
        <v>123</v>
      </c>
      <c r="L2136">
        <v>4</v>
      </c>
      <c r="M2136" t="s">
        <v>5994</v>
      </c>
      <c r="N2136" t="s">
        <v>3639</v>
      </c>
    </row>
    <row r="2137" spans="1:14" x14ac:dyDescent="0.35">
      <c r="A2137" t="s">
        <v>5995</v>
      </c>
      <c r="B2137" t="s">
        <v>5996</v>
      </c>
      <c r="C2137" t="s">
        <v>30</v>
      </c>
      <c r="D2137">
        <v>108.81</v>
      </c>
      <c r="E2137">
        <v>6000</v>
      </c>
      <c r="F2137" t="s">
        <v>64</v>
      </c>
      <c r="G2137" t="s">
        <v>102</v>
      </c>
      <c r="H2137" t="s">
        <v>57</v>
      </c>
      <c r="J2137" t="s">
        <v>45</v>
      </c>
      <c r="K2137" t="s">
        <v>46</v>
      </c>
      <c r="L2137">
        <v>3</v>
      </c>
      <c r="N2137" t="s">
        <v>4817</v>
      </c>
    </row>
    <row r="2138" spans="1:14" x14ac:dyDescent="0.35">
      <c r="A2138" t="s">
        <v>5997</v>
      </c>
      <c r="B2138" t="s">
        <v>5998</v>
      </c>
      <c r="C2138" t="s">
        <v>62</v>
      </c>
      <c r="D2138">
        <v>51.54</v>
      </c>
      <c r="E2138">
        <v>1000</v>
      </c>
      <c r="F2138" t="s">
        <v>74</v>
      </c>
      <c r="G2138" t="s">
        <v>32</v>
      </c>
      <c r="H2138" t="s">
        <v>43</v>
      </c>
      <c r="I2138" t="s">
        <v>129</v>
      </c>
      <c r="J2138" t="s">
        <v>5999</v>
      </c>
      <c r="K2138" t="s">
        <v>51</v>
      </c>
      <c r="L2138">
        <v>14</v>
      </c>
      <c r="M2138" t="s">
        <v>731</v>
      </c>
      <c r="N2138" t="s">
        <v>2701</v>
      </c>
    </row>
    <row r="2139" spans="1:14" x14ac:dyDescent="0.35">
      <c r="A2139" t="s">
        <v>6000</v>
      </c>
      <c r="B2139" t="s">
        <v>6001</v>
      </c>
      <c r="C2139" t="s">
        <v>81</v>
      </c>
      <c r="D2139">
        <v>98.3</v>
      </c>
      <c r="E2139">
        <v>7000</v>
      </c>
      <c r="F2139" t="s">
        <v>139</v>
      </c>
      <c r="G2139" t="s">
        <v>32</v>
      </c>
      <c r="H2139" t="s">
        <v>57</v>
      </c>
      <c r="I2139" t="s">
        <v>44</v>
      </c>
      <c r="J2139" t="s">
        <v>75</v>
      </c>
      <c r="K2139" t="s">
        <v>76</v>
      </c>
      <c r="L2139">
        <v>8</v>
      </c>
      <c r="N2139" t="s">
        <v>5251</v>
      </c>
    </row>
    <row r="2140" spans="1:14" x14ac:dyDescent="0.35">
      <c r="A2140" t="s">
        <v>6002</v>
      </c>
      <c r="B2140" t="s">
        <v>6003</v>
      </c>
      <c r="C2140" t="s">
        <v>30</v>
      </c>
      <c r="D2140">
        <v>121.86</v>
      </c>
      <c r="E2140">
        <v>11000</v>
      </c>
      <c r="F2140" t="s">
        <v>51</v>
      </c>
      <c r="G2140" t="s">
        <v>32</v>
      </c>
      <c r="H2140" t="s">
        <v>43</v>
      </c>
      <c r="I2140" t="s">
        <v>129</v>
      </c>
      <c r="J2140" t="s">
        <v>846</v>
      </c>
      <c r="K2140" t="s">
        <v>74</v>
      </c>
      <c r="L2140">
        <v>11</v>
      </c>
      <c r="N2140" t="s">
        <v>3654</v>
      </c>
    </row>
    <row r="2141" spans="1:14" x14ac:dyDescent="0.35">
      <c r="A2141" t="s">
        <v>6004</v>
      </c>
      <c r="B2141" t="s">
        <v>6005</v>
      </c>
      <c r="C2141" t="s">
        <v>69</v>
      </c>
      <c r="D2141">
        <v>62.45</v>
      </c>
      <c r="E2141">
        <v>43000</v>
      </c>
      <c r="F2141" t="s">
        <v>31</v>
      </c>
      <c r="G2141" t="s">
        <v>32</v>
      </c>
      <c r="H2141" t="s">
        <v>57</v>
      </c>
      <c r="I2141" t="s">
        <v>34</v>
      </c>
      <c r="J2141" t="s">
        <v>235</v>
      </c>
      <c r="K2141" t="s">
        <v>236</v>
      </c>
      <c r="L2141">
        <v>8</v>
      </c>
      <c r="M2141" t="s">
        <v>2754</v>
      </c>
      <c r="N2141" t="s">
        <v>2290</v>
      </c>
    </row>
    <row r="2142" spans="1:14" x14ac:dyDescent="0.35">
      <c r="A2142" t="s">
        <v>6006</v>
      </c>
      <c r="B2142" t="s">
        <v>6007</v>
      </c>
      <c r="C2142" t="s">
        <v>69</v>
      </c>
      <c r="D2142">
        <v>64.709999999999994</v>
      </c>
      <c r="E2142">
        <v>61000</v>
      </c>
      <c r="F2142" t="s">
        <v>139</v>
      </c>
      <c r="G2142" t="s">
        <v>32</v>
      </c>
      <c r="H2142" t="s">
        <v>57</v>
      </c>
      <c r="I2142" t="s">
        <v>44</v>
      </c>
      <c r="J2142" t="s">
        <v>112</v>
      </c>
      <c r="K2142" t="s">
        <v>106</v>
      </c>
      <c r="L2142">
        <v>19</v>
      </c>
      <c r="M2142" t="s">
        <v>3129</v>
      </c>
      <c r="N2142" t="s">
        <v>625</v>
      </c>
    </row>
    <row r="2143" spans="1:14" x14ac:dyDescent="0.35">
      <c r="A2143" t="s">
        <v>6008</v>
      </c>
      <c r="B2143" t="s">
        <v>6009</v>
      </c>
      <c r="C2143" t="s">
        <v>116</v>
      </c>
      <c r="D2143">
        <v>11.05</v>
      </c>
      <c r="E2143">
        <v>400</v>
      </c>
      <c r="F2143" t="s">
        <v>51</v>
      </c>
      <c r="G2143" t="s">
        <v>102</v>
      </c>
      <c r="H2143" t="s">
        <v>43</v>
      </c>
      <c r="J2143" t="s">
        <v>45</v>
      </c>
      <c r="K2143" t="s">
        <v>46</v>
      </c>
      <c r="L2143">
        <v>6</v>
      </c>
      <c r="N2143" t="s">
        <v>2363</v>
      </c>
    </row>
    <row r="2144" spans="1:14" x14ac:dyDescent="0.35">
      <c r="A2144" t="s">
        <v>6010</v>
      </c>
      <c r="B2144" t="s">
        <v>6011</v>
      </c>
      <c r="C2144" t="s">
        <v>41</v>
      </c>
      <c r="D2144">
        <v>149.44</v>
      </c>
      <c r="E2144">
        <v>12000</v>
      </c>
      <c r="F2144" t="s">
        <v>117</v>
      </c>
      <c r="G2144" t="s">
        <v>32</v>
      </c>
      <c r="H2144" t="s">
        <v>33</v>
      </c>
      <c r="I2144" t="s">
        <v>129</v>
      </c>
      <c r="J2144" t="s">
        <v>75</v>
      </c>
      <c r="K2144" t="s">
        <v>76</v>
      </c>
      <c r="L2144">
        <v>7</v>
      </c>
      <c r="M2144" t="s">
        <v>769</v>
      </c>
      <c r="N2144" t="s">
        <v>712</v>
      </c>
    </row>
    <row r="2145" spans="1:14" x14ac:dyDescent="0.35">
      <c r="A2145" t="s">
        <v>6012</v>
      </c>
      <c r="B2145" t="s">
        <v>6013</v>
      </c>
      <c r="C2145" t="s">
        <v>116</v>
      </c>
      <c r="D2145">
        <v>9.68</v>
      </c>
      <c r="E2145">
        <v>700</v>
      </c>
      <c r="F2145" t="s">
        <v>42</v>
      </c>
      <c r="G2145" t="s">
        <v>32</v>
      </c>
      <c r="H2145" t="s">
        <v>33</v>
      </c>
      <c r="I2145" t="s">
        <v>44</v>
      </c>
      <c r="J2145" t="s">
        <v>235</v>
      </c>
      <c r="K2145" t="s">
        <v>236</v>
      </c>
      <c r="L2145">
        <v>12</v>
      </c>
      <c r="M2145" t="s">
        <v>3607</v>
      </c>
      <c r="N2145" t="s">
        <v>5491</v>
      </c>
    </row>
    <row r="2146" spans="1:14" x14ac:dyDescent="0.35">
      <c r="A2146" t="s">
        <v>6014</v>
      </c>
      <c r="B2146" t="s">
        <v>6015</v>
      </c>
      <c r="C2146" t="s">
        <v>69</v>
      </c>
      <c r="D2146">
        <v>98.45</v>
      </c>
      <c r="E2146">
        <v>20000</v>
      </c>
      <c r="F2146" t="s">
        <v>46</v>
      </c>
      <c r="G2146" t="s">
        <v>32</v>
      </c>
      <c r="H2146" t="s">
        <v>33</v>
      </c>
      <c r="I2146" t="s">
        <v>44</v>
      </c>
      <c r="J2146" t="s">
        <v>2971</v>
      </c>
      <c r="K2146" t="s">
        <v>51</v>
      </c>
      <c r="L2146">
        <v>11</v>
      </c>
      <c r="M2146" t="s">
        <v>1503</v>
      </c>
      <c r="N2146" t="s">
        <v>3154</v>
      </c>
    </row>
    <row r="2147" spans="1:14" x14ac:dyDescent="0.35">
      <c r="A2147" t="s">
        <v>6016</v>
      </c>
      <c r="B2147" t="s">
        <v>6017</v>
      </c>
      <c r="C2147" t="s">
        <v>41</v>
      </c>
      <c r="D2147">
        <v>125.32</v>
      </c>
      <c r="E2147">
        <v>33000</v>
      </c>
      <c r="F2147" t="s">
        <v>51</v>
      </c>
      <c r="G2147" t="s">
        <v>32</v>
      </c>
      <c r="H2147" t="s">
        <v>33</v>
      </c>
      <c r="I2147" t="s">
        <v>129</v>
      </c>
      <c r="J2147" t="s">
        <v>45</v>
      </c>
      <c r="K2147" t="s">
        <v>46</v>
      </c>
      <c r="L2147">
        <v>21</v>
      </c>
      <c r="M2147" t="s">
        <v>1559</v>
      </c>
      <c r="N2147" t="s">
        <v>3150</v>
      </c>
    </row>
    <row r="2148" spans="1:14" x14ac:dyDescent="0.35">
      <c r="A2148" t="s">
        <v>6018</v>
      </c>
      <c r="B2148" t="s">
        <v>6019</v>
      </c>
      <c r="C2148" t="s">
        <v>116</v>
      </c>
      <c r="D2148">
        <v>10.35</v>
      </c>
      <c r="E2148">
        <v>600</v>
      </c>
      <c r="F2148" t="s">
        <v>42</v>
      </c>
      <c r="G2148" t="s">
        <v>32</v>
      </c>
      <c r="H2148" t="s">
        <v>57</v>
      </c>
      <c r="I2148" t="s">
        <v>34</v>
      </c>
      <c r="J2148" t="s">
        <v>334</v>
      </c>
      <c r="K2148" t="s">
        <v>51</v>
      </c>
      <c r="L2148">
        <v>23</v>
      </c>
      <c r="M2148" t="s">
        <v>270</v>
      </c>
      <c r="N2148" t="s">
        <v>732</v>
      </c>
    </row>
    <row r="2149" spans="1:14" x14ac:dyDescent="0.35">
      <c r="A2149" t="s">
        <v>6020</v>
      </c>
      <c r="B2149" t="s">
        <v>6021</v>
      </c>
      <c r="C2149" t="s">
        <v>69</v>
      </c>
      <c r="D2149">
        <v>59.62</v>
      </c>
      <c r="E2149">
        <v>39000</v>
      </c>
      <c r="F2149" t="s">
        <v>64</v>
      </c>
      <c r="G2149" t="s">
        <v>32</v>
      </c>
      <c r="H2149" t="s">
        <v>57</v>
      </c>
      <c r="I2149" t="s">
        <v>129</v>
      </c>
      <c r="J2149" t="s">
        <v>179</v>
      </c>
      <c r="K2149" t="s">
        <v>97</v>
      </c>
      <c r="L2149">
        <v>19</v>
      </c>
      <c r="M2149" t="s">
        <v>1294</v>
      </c>
      <c r="N2149" t="s">
        <v>1128</v>
      </c>
    </row>
    <row r="2150" spans="1:14" x14ac:dyDescent="0.35">
      <c r="A2150" t="s">
        <v>6022</v>
      </c>
      <c r="B2150" t="s">
        <v>6023</v>
      </c>
      <c r="C2150" t="s">
        <v>30</v>
      </c>
      <c r="D2150">
        <v>111.28</v>
      </c>
      <c r="E2150">
        <v>9000</v>
      </c>
      <c r="F2150" t="s">
        <v>31</v>
      </c>
      <c r="G2150" t="s">
        <v>32</v>
      </c>
      <c r="H2150" t="s">
        <v>57</v>
      </c>
      <c r="I2150" t="s">
        <v>34</v>
      </c>
      <c r="J2150" t="s">
        <v>6024</v>
      </c>
      <c r="K2150" t="s">
        <v>139</v>
      </c>
      <c r="L2150">
        <v>14</v>
      </c>
      <c r="N2150" t="s">
        <v>2822</v>
      </c>
    </row>
    <row r="2151" spans="1:14" x14ac:dyDescent="0.35">
      <c r="A2151" t="s">
        <v>6025</v>
      </c>
      <c r="B2151" t="s">
        <v>6026</v>
      </c>
      <c r="C2151" t="s">
        <v>69</v>
      </c>
      <c r="D2151">
        <v>58.41</v>
      </c>
      <c r="E2151">
        <v>15000</v>
      </c>
      <c r="F2151" t="s">
        <v>36</v>
      </c>
      <c r="G2151" t="s">
        <v>32</v>
      </c>
      <c r="H2151" t="s">
        <v>57</v>
      </c>
      <c r="I2151" t="s">
        <v>44</v>
      </c>
      <c r="J2151" t="s">
        <v>112</v>
      </c>
      <c r="K2151" t="s">
        <v>106</v>
      </c>
      <c r="L2151">
        <v>12</v>
      </c>
      <c r="M2151" t="s">
        <v>675</v>
      </c>
      <c r="N2151" t="s">
        <v>625</v>
      </c>
    </row>
    <row r="2152" spans="1:14" x14ac:dyDescent="0.35">
      <c r="A2152" t="s">
        <v>6027</v>
      </c>
      <c r="B2152" t="s">
        <v>6028</v>
      </c>
      <c r="C2152" t="s">
        <v>62</v>
      </c>
      <c r="D2152">
        <v>85.77</v>
      </c>
      <c r="E2152">
        <v>5000</v>
      </c>
      <c r="F2152" t="s">
        <v>51</v>
      </c>
      <c r="G2152" t="s">
        <v>32</v>
      </c>
      <c r="H2152" t="s">
        <v>33</v>
      </c>
      <c r="I2152" t="s">
        <v>129</v>
      </c>
      <c r="J2152" t="s">
        <v>92</v>
      </c>
      <c r="K2152" t="s">
        <v>51</v>
      </c>
      <c r="L2152">
        <v>9</v>
      </c>
      <c r="M2152" t="s">
        <v>1368</v>
      </c>
      <c r="N2152" t="s">
        <v>6029</v>
      </c>
    </row>
    <row r="2153" spans="1:14" x14ac:dyDescent="0.35">
      <c r="A2153" t="s">
        <v>6030</v>
      </c>
      <c r="B2153" t="s">
        <v>6031</v>
      </c>
      <c r="C2153" t="s">
        <v>62</v>
      </c>
      <c r="D2153">
        <v>97.39</v>
      </c>
      <c r="E2153">
        <v>4000</v>
      </c>
      <c r="F2153" t="s">
        <v>51</v>
      </c>
      <c r="G2153" t="s">
        <v>32</v>
      </c>
      <c r="H2153" t="s">
        <v>43</v>
      </c>
      <c r="I2153" t="s">
        <v>44</v>
      </c>
      <c r="J2153" t="s">
        <v>130</v>
      </c>
      <c r="K2153" t="s">
        <v>123</v>
      </c>
      <c r="L2153">
        <v>17</v>
      </c>
      <c r="M2153" t="s">
        <v>4712</v>
      </c>
      <c r="N2153" t="s">
        <v>3978</v>
      </c>
    </row>
    <row r="2154" spans="1:14" x14ac:dyDescent="0.35">
      <c r="A2154" t="s">
        <v>6032</v>
      </c>
      <c r="B2154" t="s">
        <v>6033</v>
      </c>
      <c r="C2154" t="s">
        <v>81</v>
      </c>
      <c r="D2154">
        <v>89.17</v>
      </c>
      <c r="E2154">
        <v>7000</v>
      </c>
      <c r="F2154" t="s">
        <v>139</v>
      </c>
      <c r="G2154" t="s">
        <v>32</v>
      </c>
      <c r="H2154" t="s">
        <v>57</v>
      </c>
      <c r="I2154" t="s">
        <v>44</v>
      </c>
      <c r="J2154" t="s">
        <v>164</v>
      </c>
      <c r="K2154" t="s">
        <v>74</v>
      </c>
      <c r="L2154">
        <v>4</v>
      </c>
      <c r="M2154" t="s">
        <v>772</v>
      </c>
      <c r="N2154" t="s">
        <v>6034</v>
      </c>
    </row>
    <row r="2155" spans="1:14" x14ac:dyDescent="0.35">
      <c r="A2155" t="s">
        <v>6035</v>
      </c>
      <c r="B2155" t="s">
        <v>6036</v>
      </c>
      <c r="C2155" t="s">
        <v>116</v>
      </c>
      <c r="D2155">
        <v>10.87</v>
      </c>
      <c r="E2155">
        <v>200</v>
      </c>
      <c r="F2155" t="s">
        <v>147</v>
      </c>
      <c r="G2155" t="s">
        <v>32</v>
      </c>
      <c r="H2155" t="s">
        <v>57</v>
      </c>
      <c r="J2155" t="s">
        <v>4542</v>
      </c>
      <c r="K2155" t="s">
        <v>139</v>
      </c>
      <c r="L2155">
        <v>11</v>
      </c>
      <c r="N2155" t="s">
        <v>6037</v>
      </c>
    </row>
    <row r="2156" spans="1:14" x14ac:dyDescent="0.35">
      <c r="A2156" t="s">
        <v>6038</v>
      </c>
      <c r="B2156" t="s">
        <v>6039</v>
      </c>
      <c r="C2156" t="s">
        <v>62</v>
      </c>
      <c r="D2156">
        <v>89.26</v>
      </c>
      <c r="E2156">
        <v>2000</v>
      </c>
      <c r="F2156" t="s">
        <v>139</v>
      </c>
      <c r="G2156" t="s">
        <v>32</v>
      </c>
      <c r="H2156" t="s">
        <v>43</v>
      </c>
      <c r="I2156" t="s">
        <v>34</v>
      </c>
      <c r="J2156" t="s">
        <v>118</v>
      </c>
      <c r="K2156" t="s">
        <v>42</v>
      </c>
      <c r="L2156">
        <v>1</v>
      </c>
      <c r="M2156" t="s">
        <v>1545</v>
      </c>
      <c r="N2156" t="s">
        <v>1312</v>
      </c>
    </row>
    <row r="2157" spans="1:14" x14ac:dyDescent="0.35">
      <c r="A2157" t="s">
        <v>6040</v>
      </c>
      <c r="B2157" t="s">
        <v>6041</v>
      </c>
      <c r="C2157" t="s">
        <v>81</v>
      </c>
      <c r="D2157">
        <v>92.16</v>
      </c>
      <c r="E2157">
        <v>10000</v>
      </c>
      <c r="F2157" t="s">
        <v>76</v>
      </c>
      <c r="G2157" t="s">
        <v>32</v>
      </c>
      <c r="H2157" t="s">
        <v>43</v>
      </c>
      <c r="I2157" t="s">
        <v>34</v>
      </c>
      <c r="J2157" t="s">
        <v>1531</v>
      </c>
      <c r="K2157" t="s">
        <v>42</v>
      </c>
      <c r="L2157">
        <v>0</v>
      </c>
      <c r="M2157" t="s">
        <v>3261</v>
      </c>
      <c r="N2157" t="s">
        <v>6042</v>
      </c>
    </row>
    <row r="2158" spans="1:14" x14ac:dyDescent="0.35">
      <c r="A2158" t="s">
        <v>6043</v>
      </c>
      <c r="B2158" t="s">
        <v>6044</v>
      </c>
      <c r="C2158" t="s">
        <v>116</v>
      </c>
      <c r="D2158">
        <v>10.78</v>
      </c>
      <c r="E2158">
        <v>400</v>
      </c>
      <c r="F2158" t="s">
        <v>139</v>
      </c>
      <c r="G2158" t="s">
        <v>32</v>
      </c>
      <c r="H2158" t="s">
        <v>33</v>
      </c>
      <c r="I2158" t="s">
        <v>34</v>
      </c>
      <c r="J2158" t="s">
        <v>6024</v>
      </c>
      <c r="K2158" t="s">
        <v>139</v>
      </c>
      <c r="L2158">
        <v>3</v>
      </c>
      <c r="N2158" t="s">
        <v>1298</v>
      </c>
    </row>
    <row r="2159" spans="1:14" x14ac:dyDescent="0.35">
      <c r="A2159" t="s">
        <v>6045</v>
      </c>
      <c r="B2159" t="s">
        <v>6046</v>
      </c>
      <c r="C2159" t="s">
        <v>30</v>
      </c>
      <c r="D2159">
        <v>189.17</v>
      </c>
      <c r="E2159">
        <v>18000</v>
      </c>
      <c r="F2159" t="s">
        <v>51</v>
      </c>
      <c r="G2159" t="s">
        <v>32</v>
      </c>
      <c r="H2159" t="s">
        <v>33</v>
      </c>
      <c r="J2159" t="s">
        <v>112</v>
      </c>
      <c r="K2159" t="s">
        <v>106</v>
      </c>
      <c r="L2159">
        <v>18</v>
      </c>
      <c r="M2159" t="s">
        <v>2387</v>
      </c>
      <c r="N2159" t="s">
        <v>3020</v>
      </c>
    </row>
    <row r="2160" spans="1:14" x14ac:dyDescent="0.35">
      <c r="A2160" t="s">
        <v>6047</v>
      </c>
      <c r="B2160" t="s">
        <v>6048</v>
      </c>
      <c r="C2160" t="s">
        <v>116</v>
      </c>
      <c r="D2160">
        <v>7.83</v>
      </c>
      <c r="E2160">
        <v>300</v>
      </c>
      <c r="F2160" t="s">
        <v>51</v>
      </c>
      <c r="G2160" t="s">
        <v>32</v>
      </c>
      <c r="H2160" t="s">
        <v>33</v>
      </c>
      <c r="I2160" t="s">
        <v>44</v>
      </c>
      <c r="J2160" t="s">
        <v>991</v>
      </c>
      <c r="K2160" t="s">
        <v>147</v>
      </c>
      <c r="L2160">
        <v>9</v>
      </c>
      <c r="N2160" t="s">
        <v>582</v>
      </c>
    </row>
    <row r="2161" spans="1:14" x14ac:dyDescent="0.35">
      <c r="A2161" t="s">
        <v>6049</v>
      </c>
      <c r="B2161" t="s">
        <v>6050</v>
      </c>
      <c r="C2161" t="s">
        <v>116</v>
      </c>
      <c r="D2161">
        <v>10.52</v>
      </c>
      <c r="E2161">
        <v>700</v>
      </c>
      <c r="F2161" t="s">
        <v>74</v>
      </c>
      <c r="G2161" t="s">
        <v>32</v>
      </c>
      <c r="H2161" t="s">
        <v>57</v>
      </c>
      <c r="I2161" t="s">
        <v>34</v>
      </c>
      <c r="J2161" t="s">
        <v>1071</v>
      </c>
      <c r="K2161" t="s">
        <v>236</v>
      </c>
      <c r="L2161">
        <v>4</v>
      </c>
      <c r="M2161" t="s">
        <v>742</v>
      </c>
      <c r="N2161" t="s">
        <v>2367</v>
      </c>
    </row>
    <row r="2162" spans="1:14" x14ac:dyDescent="0.35">
      <c r="A2162" t="s">
        <v>6051</v>
      </c>
      <c r="B2162" t="s">
        <v>6052</v>
      </c>
      <c r="C2162" t="s">
        <v>62</v>
      </c>
      <c r="D2162">
        <v>97.59</v>
      </c>
      <c r="E2162">
        <v>3000</v>
      </c>
      <c r="F2162" t="s">
        <v>139</v>
      </c>
      <c r="G2162" t="s">
        <v>32</v>
      </c>
      <c r="H2162" t="s">
        <v>33</v>
      </c>
      <c r="I2162" t="s">
        <v>129</v>
      </c>
      <c r="J2162" t="s">
        <v>3828</v>
      </c>
      <c r="K2162" t="s">
        <v>74</v>
      </c>
      <c r="L2162">
        <v>18</v>
      </c>
      <c r="N2162" t="s">
        <v>1281</v>
      </c>
    </row>
    <row r="2163" spans="1:14" x14ac:dyDescent="0.35">
      <c r="A2163" t="s">
        <v>6053</v>
      </c>
      <c r="B2163" t="s">
        <v>6054</v>
      </c>
      <c r="C2163" t="s">
        <v>30</v>
      </c>
      <c r="D2163">
        <v>159.96</v>
      </c>
      <c r="E2163">
        <v>8000</v>
      </c>
      <c r="F2163" t="s">
        <v>87</v>
      </c>
      <c r="G2163" t="s">
        <v>32</v>
      </c>
      <c r="H2163" t="s">
        <v>43</v>
      </c>
      <c r="I2163" t="s">
        <v>44</v>
      </c>
      <c r="J2163" t="s">
        <v>63</v>
      </c>
      <c r="K2163" t="s">
        <v>64</v>
      </c>
      <c r="L2163">
        <v>23</v>
      </c>
      <c r="M2163" t="s">
        <v>539</v>
      </c>
      <c r="N2163" t="s">
        <v>4660</v>
      </c>
    </row>
    <row r="2164" spans="1:14" x14ac:dyDescent="0.35">
      <c r="A2164" t="s">
        <v>6055</v>
      </c>
      <c r="B2164" t="s">
        <v>6056</v>
      </c>
      <c r="C2164" t="s">
        <v>41</v>
      </c>
      <c r="D2164">
        <v>107.02</v>
      </c>
      <c r="E2164">
        <v>39000</v>
      </c>
      <c r="F2164" t="s">
        <v>87</v>
      </c>
      <c r="G2164" t="s">
        <v>32</v>
      </c>
      <c r="H2164" t="s">
        <v>33</v>
      </c>
      <c r="I2164" t="s">
        <v>44</v>
      </c>
      <c r="J2164" t="s">
        <v>1391</v>
      </c>
      <c r="K2164" t="s">
        <v>36</v>
      </c>
      <c r="L2164">
        <v>10</v>
      </c>
      <c r="M2164" t="s">
        <v>544</v>
      </c>
      <c r="N2164" t="s">
        <v>6057</v>
      </c>
    </row>
    <row r="2165" spans="1:14" x14ac:dyDescent="0.35">
      <c r="A2165" t="s">
        <v>6058</v>
      </c>
      <c r="B2165" t="s">
        <v>6059</v>
      </c>
      <c r="C2165" t="s">
        <v>30</v>
      </c>
      <c r="D2165">
        <v>112.39</v>
      </c>
      <c r="E2165">
        <v>3000</v>
      </c>
      <c r="F2165" t="s">
        <v>87</v>
      </c>
      <c r="G2165" t="s">
        <v>32</v>
      </c>
      <c r="H2165" t="s">
        <v>43</v>
      </c>
      <c r="J2165" t="s">
        <v>63</v>
      </c>
      <c r="K2165" t="s">
        <v>64</v>
      </c>
      <c r="L2165">
        <v>15</v>
      </c>
      <c r="N2165" t="s">
        <v>6060</v>
      </c>
    </row>
    <row r="2166" spans="1:14" x14ac:dyDescent="0.35">
      <c r="A2166" t="s">
        <v>6061</v>
      </c>
      <c r="B2166" t="s">
        <v>6062</v>
      </c>
      <c r="C2166" t="s">
        <v>81</v>
      </c>
      <c r="D2166">
        <v>99.11</v>
      </c>
      <c r="E2166">
        <v>8000</v>
      </c>
      <c r="F2166" t="s">
        <v>147</v>
      </c>
      <c r="G2166" t="s">
        <v>32</v>
      </c>
      <c r="H2166" t="s">
        <v>33</v>
      </c>
      <c r="I2166" t="s">
        <v>44</v>
      </c>
      <c r="J2166" t="s">
        <v>6063</v>
      </c>
      <c r="K2166" t="s">
        <v>51</v>
      </c>
      <c r="L2166">
        <v>12</v>
      </c>
      <c r="N2166" t="s">
        <v>3668</v>
      </c>
    </row>
    <row r="2167" spans="1:14" x14ac:dyDescent="0.35">
      <c r="A2167" t="s">
        <v>6064</v>
      </c>
      <c r="B2167" t="s">
        <v>6065</v>
      </c>
      <c r="C2167" t="s">
        <v>116</v>
      </c>
      <c r="D2167">
        <v>6.79</v>
      </c>
      <c r="E2167">
        <v>700</v>
      </c>
      <c r="F2167" t="s">
        <v>36</v>
      </c>
      <c r="G2167" t="s">
        <v>32</v>
      </c>
      <c r="H2167" t="s">
        <v>33</v>
      </c>
      <c r="I2167" t="s">
        <v>34</v>
      </c>
      <c r="J2167" t="s">
        <v>4743</v>
      </c>
      <c r="K2167" t="s">
        <v>236</v>
      </c>
      <c r="L2167">
        <v>14</v>
      </c>
      <c r="M2167" t="s">
        <v>2495</v>
      </c>
      <c r="N2167" t="s">
        <v>5161</v>
      </c>
    </row>
    <row r="2168" spans="1:14" x14ac:dyDescent="0.35">
      <c r="A2168" t="s">
        <v>6066</v>
      </c>
      <c r="B2168" t="s">
        <v>6067</v>
      </c>
      <c r="C2168" t="s">
        <v>116</v>
      </c>
      <c r="D2168">
        <v>8.3800000000000008</v>
      </c>
      <c r="E2168">
        <v>200</v>
      </c>
      <c r="F2168" t="s">
        <v>87</v>
      </c>
      <c r="G2168" t="s">
        <v>32</v>
      </c>
      <c r="H2168" t="s">
        <v>33</v>
      </c>
      <c r="I2168" t="s">
        <v>44</v>
      </c>
      <c r="J2168" t="s">
        <v>82</v>
      </c>
      <c r="K2168" t="s">
        <v>74</v>
      </c>
      <c r="L2168">
        <v>23</v>
      </c>
      <c r="N2168" t="s">
        <v>1985</v>
      </c>
    </row>
    <row r="2169" spans="1:14" x14ac:dyDescent="0.35">
      <c r="A2169" t="s">
        <v>6068</v>
      </c>
      <c r="B2169" t="s">
        <v>6069</v>
      </c>
      <c r="C2169" t="s">
        <v>62</v>
      </c>
      <c r="D2169">
        <v>79.739999999999995</v>
      </c>
      <c r="E2169">
        <v>1000</v>
      </c>
      <c r="F2169" t="s">
        <v>42</v>
      </c>
      <c r="G2169" t="s">
        <v>32</v>
      </c>
      <c r="H2169" t="s">
        <v>43</v>
      </c>
      <c r="I2169" t="s">
        <v>44</v>
      </c>
      <c r="J2169" t="s">
        <v>235</v>
      </c>
      <c r="K2169" t="s">
        <v>236</v>
      </c>
      <c r="L2169">
        <v>9</v>
      </c>
      <c r="N2169" t="s">
        <v>3204</v>
      </c>
    </row>
    <row r="2170" spans="1:14" x14ac:dyDescent="0.35">
      <c r="A2170" t="s">
        <v>6070</v>
      </c>
      <c r="B2170" t="s">
        <v>6071</v>
      </c>
      <c r="C2170" t="s">
        <v>30</v>
      </c>
      <c r="D2170">
        <v>184.38</v>
      </c>
      <c r="E2170">
        <v>20000</v>
      </c>
      <c r="F2170" t="s">
        <v>117</v>
      </c>
      <c r="G2170" t="s">
        <v>32</v>
      </c>
      <c r="H2170" t="s">
        <v>33</v>
      </c>
      <c r="I2170" t="s">
        <v>44</v>
      </c>
      <c r="J2170" t="s">
        <v>1827</v>
      </c>
      <c r="K2170" t="s">
        <v>51</v>
      </c>
      <c r="L2170">
        <v>5</v>
      </c>
      <c r="M2170" t="s">
        <v>3995</v>
      </c>
      <c r="N2170" t="s">
        <v>2373</v>
      </c>
    </row>
    <row r="2171" spans="1:14" x14ac:dyDescent="0.35">
      <c r="A2171" t="s">
        <v>6072</v>
      </c>
      <c r="B2171" t="s">
        <v>6073</v>
      </c>
      <c r="C2171" t="s">
        <v>81</v>
      </c>
      <c r="D2171">
        <v>129.27000000000001</v>
      </c>
      <c r="E2171">
        <v>1000</v>
      </c>
      <c r="F2171" t="s">
        <v>64</v>
      </c>
      <c r="G2171" t="s">
        <v>32</v>
      </c>
      <c r="H2171" t="s">
        <v>57</v>
      </c>
      <c r="I2171" t="s">
        <v>34</v>
      </c>
      <c r="J2171" t="s">
        <v>124</v>
      </c>
      <c r="K2171" t="s">
        <v>117</v>
      </c>
      <c r="L2171">
        <v>7</v>
      </c>
      <c r="M2171" t="s">
        <v>1691</v>
      </c>
      <c r="N2171" t="s">
        <v>1891</v>
      </c>
    </row>
    <row r="2172" spans="1:14" x14ac:dyDescent="0.35">
      <c r="A2172" t="s">
        <v>6074</v>
      </c>
      <c r="B2172" t="s">
        <v>6075</v>
      </c>
      <c r="C2172" t="s">
        <v>62</v>
      </c>
      <c r="D2172">
        <v>84.58</v>
      </c>
      <c r="E2172">
        <v>1000</v>
      </c>
      <c r="F2172" t="s">
        <v>123</v>
      </c>
      <c r="G2172" t="s">
        <v>32</v>
      </c>
      <c r="H2172" t="s">
        <v>33</v>
      </c>
      <c r="J2172" t="s">
        <v>118</v>
      </c>
      <c r="K2172" t="s">
        <v>42</v>
      </c>
      <c r="L2172">
        <v>22</v>
      </c>
      <c r="N2172" t="s">
        <v>4826</v>
      </c>
    </row>
    <row r="2173" spans="1:14" x14ac:dyDescent="0.35">
      <c r="A2173" t="s">
        <v>6076</v>
      </c>
      <c r="B2173" t="s">
        <v>6077</v>
      </c>
      <c r="C2173" t="s">
        <v>62</v>
      </c>
      <c r="D2173">
        <v>85.68</v>
      </c>
      <c r="E2173">
        <v>5000</v>
      </c>
      <c r="F2173" t="s">
        <v>117</v>
      </c>
      <c r="G2173" t="s">
        <v>32</v>
      </c>
      <c r="H2173" t="s">
        <v>43</v>
      </c>
      <c r="I2173" t="s">
        <v>129</v>
      </c>
      <c r="J2173" t="s">
        <v>937</v>
      </c>
      <c r="K2173" t="s">
        <v>42</v>
      </c>
      <c r="L2173">
        <v>8</v>
      </c>
      <c r="M2173" t="s">
        <v>2511</v>
      </c>
      <c r="N2173" t="s">
        <v>905</v>
      </c>
    </row>
    <row r="2174" spans="1:14" x14ac:dyDescent="0.35">
      <c r="A2174" t="s">
        <v>6078</v>
      </c>
      <c r="B2174" t="s">
        <v>6079</v>
      </c>
      <c r="C2174" t="s">
        <v>81</v>
      </c>
      <c r="D2174">
        <v>135.88999999999999</v>
      </c>
      <c r="E2174">
        <v>8000</v>
      </c>
      <c r="F2174" t="s">
        <v>31</v>
      </c>
      <c r="G2174" t="s">
        <v>32</v>
      </c>
      <c r="H2174" t="s">
        <v>57</v>
      </c>
      <c r="I2174" t="s">
        <v>34</v>
      </c>
      <c r="J2174" t="s">
        <v>124</v>
      </c>
      <c r="K2174" t="s">
        <v>117</v>
      </c>
      <c r="L2174">
        <v>0</v>
      </c>
      <c r="M2174" t="s">
        <v>198</v>
      </c>
      <c r="N2174" t="s">
        <v>694</v>
      </c>
    </row>
    <row r="2175" spans="1:14" x14ac:dyDescent="0.35">
      <c r="A2175" t="s">
        <v>6080</v>
      </c>
      <c r="B2175" t="s">
        <v>6081</v>
      </c>
      <c r="C2175" t="s">
        <v>41</v>
      </c>
      <c r="D2175">
        <v>152.75</v>
      </c>
      <c r="E2175">
        <v>23000</v>
      </c>
      <c r="F2175" t="s">
        <v>31</v>
      </c>
      <c r="G2175" t="s">
        <v>32</v>
      </c>
      <c r="H2175" t="s">
        <v>43</v>
      </c>
      <c r="I2175" t="s">
        <v>44</v>
      </c>
      <c r="J2175" t="s">
        <v>45</v>
      </c>
      <c r="K2175" t="s">
        <v>46</v>
      </c>
      <c r="L2175">
        <v>23</v>
      </c>
      <c r="M2175" t="s">
        <v>2074</v>
      </c>
      <c r="N2175" t="s">
        <v>1528</v>
      </c>
    </row>
    <row r="2176" spans="1:14" x14ac:dyDescent="0.35">
      <c r="A2176" t="s">
        <v>6082</v>
      </c>
      <c r="B2176" t="s">
        <v>6083</v>
      </c>
      <c r="C2176" t="s">
        <v>62</v>
      </c>
      <c r="D2176">
        <v>58.06</v>
      </c>
      <c r="E2176">
        <v>2000</v>
      </c>
      <c r="F2176" t="s">
        <v>123</v>
      </c>
      <c r="G2176" t="s">
        <v>32</v>
      </c>
      <c r="H2176" t="s">
        <v>57</v>
      </c>
      <c r="I2176" t="s">
        <v>129</v>
      </c>
      <c r="J2176" t="s">
        <v>118</v>
      </c>
      <c r="K2176" t="s">
        <v>42</v>
      </c>
      <c r="L2176">
        <v>22</v>
      </c>
      <c r="M2176" t="s">
        <v>2043</v>
      </c>
      <c r="N2176" t="s">
        <v>4105</v>
      </c>
    </row>
    <row r="2177" spans="1:14" x14ac:dyDescent="0.35">
      <c r="A2177" t="s">
        <v>6084</v>
      </c>
      <c r="B2177" t="s">
        <v>6085</v>
      </c>
      <c r="C2177" t="s">
        <v>30</v>
      </c>
      <c r="D2177">
        <v>175.9</v>
      </c>
      <c r="E2177">
        <v>16000</v>
      </c>
      <c r="F2177" t="s">
        <v>42</v>
      </c>
      <c r="G2177" t="s">
        <v>32</v>
      </c>
      <c r="H2177" t="s">
        <v>57</v>
      </c>
      <c r="I2177" t="s">
        <v>44</v>
      </c>
      <c r="J2177" t="s">
        <v>107</v>
      </c>
      <c r="K2177" t="s">
        <v>87</v>
      </c>
      <c r="L2177">
        <v>22</v>
      </c>
      <c r="N2177" t="s">
        <v>4670</v>
      </c>
    </row>
    <row r="2178" spans="1:14" x14ac:dyDescent="0.35">
      <c r="A2178" t="s">
        <v>6086</v>
      </c>
      <c r="B2178" t="s">
        <v>6087</v>
      </c>
      <c r="C2178" t="s">
        <v>62</v>
      </c>
      <c r="D2178">
        <v>64.83</v>
      </c>
      <c r="E2178">
        <v>2000</v>
      </c>
      <c r="F2178" t="s">
        <v>51</v>
      </c>
      <c r="G2178" t="s">
        <v>32</v>
      </c>
      <c r="H2178" t="s">
        <v>33</v>
      </c>
      <c r="I2178" t="s">
        <v>44</v>
      </c>
      <c r="J2178" t="s">
        <v>124</v>
      </c>
      <c r="K2178" t="s">
        <v>117</v>
      </c>
      <c r="L2178">
        <v>22</v>
      </c>
      <c r="N2178" t="s">
        <v>621</v>
      </c>
    </row>
    <row r="2179" spans="1:14" x14ac:dyDescent="0.35">
      <c r="A2179" t="s">
        <v>6088</v>
      </c>
      <c r="B2179" t="s">
        <v>6089</v>
      </c>
      <c r="C2179" t="s">
        <v>30</v>
      </c>
      <c r="D2179">
        <v>150.88</v>
      </c>
      <c r="E2179">
        <v>7000</v>
      </c>
      <c r="F2179" t="s">
        <v>123</v>
      </c>
      <c r="G2179" t="s">
        <v>32</v>
      </c>
      <c r="H2179" t="s">
        <v>43</v>
      </c>
      <c r="I2179" t="s">
        <v>129</v>
      </c>
      <c r="J2179" t="s">
        <v>235</v>
      </c>
      <c r="K2179" t="s">
        <v>236</v>
      </c>
      <c r="L2179">
        <v>17</v>
      </c>
      <c r="N2179" t="s">
        <v>799</v>
      </c>
    </row>
    <row r="2180" spans="1:14" x14ac:dyDescent="0.35">
      <c r="A2180" t="s">
        <v>6090</v>
      </c>
      <c r="B2180" t="s">
        <v>6091</v>
      </c>
      <c r="C2180" t="s">
        <v>41</v>
      </c>
      <c r="D2180">
        <v>132.65</v>
      </c>
      <c r="E2180">
        <v>16000</v>
      </c>
      <c r="F2180" t="s">
        <v>123</v>
      </c>
      <c r="G2180" t="s">
        <v>32</v>
      </c>
      <c r="H2180" t="s">
        <v>57</v>
      </c>
      <c r="I2180" t="s">
        <v>34</v>
      </c>
      <c r="J2180" t="s">
        <v>3287</v>
      </c>
      <c r="K2180" t="s">
        <v>139</v>
      </c>
      <c r="L2180">
        <v>13</v>
      </c>
      <c r="N2180" t="s">
        <v>4852</v>
      </c>
    </row>
    <row r="2181" spans="1:14" x14ac:dyDescent="0.35">
      <c r="A2181" t="s">
        <v>6092</v>
      </c>
      <c r="B2181" t="s">
        <v>6093</v>
      </c>
      <c r="C2181" t="s">
        <v>62</v>
      </c>
      <c r="D2181">
        <v>80.56</v>
      </c>
      <c r="E2181">
        <v>2000</v>
      </c>
      <c r="F2181" t="s">
        <v>123</v>
      </c>
      <c r="G2181" t="s">
        <v>32</v>
      </c>
      <c r="H2181" t="s">
        <v>33</v>
      </c>
      <c r="I2181" t="s">
        <v>44</v>
      </c>
      <c r="J2181" t="s">
        <v>334</v>
      </c>
      <c r="K2181" t="s">
        <v>51</v>
      </c>
      <c r="L2181">
        <v>2</v>
      </c>
      <c r="M2181" t="s">
        <v>83</v>
      </c>
      <c r="N2181" t="s">
        <v>3393</v>
      </c>
    </row>
    <row r="2182" spans="1:14" x14ac:dyDescent="0.35">
      <c r="A2182" t="s">
        <v>6094</v>
      </c>
      <c r="B2182" t="s">
        <v>6095</v>
      </c>
      <c r="C2182" t="s">
        <v>41</v>
      </c>
      <c r="D2182">
        <v>103.51</v>
      </c>
      <c r="E2182">
        <v>17000</v>
      </c>
      <c r="F2182" t="s">
        <v>87</v>
      </c>
      <c r="G2182" t="s">
        <v>32</v>
      </c>
      <c r="H2182" t="s">
        <v>43</v>
      </c>
      <c r="I2182" t="s">
        <v>34</v>
      </c>
      <c r="J2182" t="s">
        <v>230</v>
      </c>
      <c r="K2182" t="s">
        <v>117</v>
      </c>
      <c r="L2182">
        <v>18</v>
      </c>
      <c r="M2182" t="s">
        <v>346</v>
      </c>
      <c r="N2182" t="s">
        <v>2521</v>
      </c>
    </row>
    <row r="2183" spans="1:14" x14ac:dyDescent="0.35">
      <c r="A2183" t="s">
        <v>6096</v>
      </c>
      <c r="B2183" t="s">
        <v>6097</v>
      </c>
      <c r="C2183" t="s">
        <v>30</v>
      </c>
      <c r="D2183">
        <v>113.03</v>
      </c>
      <c r="E2183">
        <v>14000</v>
      </c>
      <c r="F2183" t="s">
        <v>31</v>
      </c>
      <c r="G2183" t="s">
        <v>32</v>
      </c>
      <c r="H2183" t="s">
        <v>43</v>
      </c>
      <c r="I2183" t="s">
        <v>129</v>
      </c>
      <c r="J2183" t="s">
        <v>45</v>
      </c>
      <c r="K2183" t="s">
        <v>46</v>
      </c>
      <c r="L2183">
        <v>12</v>
      </c>
      <c r="N2183" t="s">
        <v>6098</v>
      </c>
    </row>
    <row r="2184" spans="1:14" x14ac:dyDescent="0.35">
      <c r="A2184" t="s">
        <v>6099</v>
      </c>
      <c r="B2184" t="s">
        <v>6100</v>
      </c>
      <c r="C2184" t="s">
        <v>62</v>
      </c>
      <c r="D2184">
        <v>74.98</v>
      </c>
      <c r="E2184">
        <v>2000</v>
      </c>
      <c r="F2184" t="s">
        <v>74</v>
      </c>
      <c r="G2184" t="s">
        <v>32</v>
      </c>
      <c r="H2184" t="s">
        <v>33</v>
      </c>
      <c r="I2184" t="s">
        <v>44</v>
      </c>
      <c r="J2184" t="s">
        <v>112</v>
      </c>
      <c r="K2184" t="s">
        <v>106</v>
      </c>
      <c r="L2184">
        <v>0</v>
      </c>
      <c r="N2184" t="s">
        <v>4401</v>
      </c>
    </row>
    <row r="2185" spans="1:14" x14ac:dyDescent="0.35">
      <c r="A2185" t="s">
        <v>6101</v>
      </c>
      <c r="B2185" t="s">
        <v>6102</v>
      </c>
      <c r="C2185" t="s">
        <v>41</v>
      </c>
      <c r="D2185">
        <v>157.41</v>
      </c>
      <c r="E2185">
        <v>13000</v>
      </c>
      <c r="F2185" t="s">
        <v>97</v>
      </c>
      <c r="G2185" t="s">
        <v>102</v>
      </c>
      <c r="H2185" t="s">
        <v>33</v>
      </c>
      <c r="I2185" t="s">
        <v>44</v>
      </c>
      <c r="J2185" t="s">
        <v>5513</v>
      </c>
      <c r="K2185" t="s">
        <v>147</v>
      </c>
      <c r="L2185">
        <v>21</v>
      </c>
      <c r="M2185" t="s">
        <v>769</v>
      </c>
      <c r="N2185" t="s">
        <v>6103</v>
      </c>
    </row>
    <row r="2186" spans="1:14" x14ac:dyDescent="0.35">
      <c r="A2186" t="s">
        <v>6104</v>
      </c>
      <c r="B2186" t="s">
        <v>6105</v>
      </c>
      <c r="C2186" t="s">
        <v>41</v>
      </c>
      <c r="D2186">
        <v>136.69</v>
      </c>
      <c r="E2186">
        <v>30000</v>
      </c>
      <c r="F2186" t="s">
        <v>87</v>
      </c>
      <c r="G2186" t="s">
        <v>32</v>
      </c>
      <c r="H2186" t="s">
        <v>43</v>
      </c>
      <c r="I2186" t="s">
        <v>129</v>
      </c>
      <c r="J2186" t="s">
        <v>70</v>
      </c>
      <c r="K2186" t="s">
        <v>31</v>
      </c>
      <c r="L2186">
        <v>2</v>
      </c>
      <c r="N2186" t="s">
        <v>6106</v>
      </c>
    </row>
    <row r="2187" spans="1:14" x14ac:dyDescent="0.35">
      <c r="A2187" t="s">
        <v>6107</v>
      </c>
      <c r="B2187" t="s">
        <v>6108</v>
      </c>
      <c r="C2187" t="s">
        <v>62</v>
      </c>
      <c r="D2187">
        <v>63.59</v>
      </c>
      <c r="E2187">
        <v>5000</v>
      </c>
      <c r="F2187" t="s">
        <v>147</v>
      </c>
      <c r="G2187" t="s">
        <v>32</v>
      </c>
      <c r="H2187" t="s">
        <v>33</v>
      </c>
      <c r="I2187" t="s">
        <v>44</v>
      </c>
      <c r="J2187" t="s">
        <v>6109</v>
      </c>
      <c r="K2187" t="s">
        <v>139</v>
      </c>
      <c r="L2187">
        <v>2</v>
      </c>
      <c r="M2187" t="s">
        <v>1813</v>
      </c>
      <c r="N2187" t="s">
        <v>347</v>
      </c>
    </row>
    <row r="2188" spans="1:14" x14ac:dyDescent="0.35">
      <c r="A2188" t="s">
        <v>6110</v>
      </c>
      <c r="B2188" t="s">
        <v>6111</v>
      </c>
      <c r="C2188" t="s">
        <v>69</v>
      </c>
      <c r="D2188">
        <v>58.52</v>
      </c>
      <c r="E2188">
        <v>18000</v>
      </c>
      <c r="F2188" t="s">
        <v>36</v>
      </c>
      <c r="G2188" t="s">
        <v>32</v>
      </c>
      <c r="H2188" t="s">
        <v>33</v>
      </c>
      <c r="J2188" t="s">
        <v>6112</v>
      </c>
      <c r="K2188" t="s">
        <v>51</v>
      </c>
      <c r="L2188">
        <v>1</v>
      </c>
      <c r="N2188" t="s">
        <v>1118</v>
      </c>
    </row>
    <row r="2189" spans="1:14" x14ac:dyDescent="0.35">
      <c r="A2189" t="s">
        <v>6113</v>
      </c>
      <c r="B2189" t="s">
        <v>6114</v>
      </c>
      <c r="C2189" t="s">
        <v>69</v>
      </c>
      <c r="D2189">
        <v>57.6</v>
      </c>
      <c r="E2189">
        <v>66000</v>
      </c>
      <c r="F2189" t="s">
        <v>123</v>
      </c>
      <c r="G2189" t="s">
        <v>32</v>
      </c>
      <c r="H2189" t="s">
        <v>33</v>
      </c>
      <c r="I2189" t="s">
        <v>44</v>
      </c>
      <c r="J2189" t="s">
        <v>6115</v>
      </c>
      <c r="K2189" t="s">
        <v>106</v>
      </c>
      <c r="L2189">
        <v>1</v>
      </c>
      <c r="N2189" t="s">
        <v>6116</v>
      </c>
    </row>
    <row r="2190" spans="1:14" x14ac:dyDescent="0.35">
      <c r="A2190" t="s">
        <v>6117</v>
      </c>
      <c r="B2190" t="s">
        <v>6118</v>
      </c>
      <c r="C2190" t="s">
        <v>41</v>
      </c>
      <c r="D2190">
        <v>159.38</v>
      </c>
      <c r="E2190">
        <v>14000</v>
      </c>
      <c r="F2190" t="s">
        <v>117</v>
      </c>
      <c r="G2190" t="s">
        <v>32</v>
      </c>
      <c r="H2190" t="s">
        <v>33</v>
      </c>
      <c r="I2190" t="s">
        <v>44</v>
      </c>
      <c r="J2190" t="s">
        <v>6063</v>
      </c>
      <c r="K2190" t="s">
        <v>51</v>
      </c>
      <c r="L2190">
        <v>16</v>
      </c>
      <c r="M2190" t="s">
        <v>1867</v>
      </c>
      <c r="N2190" t="s">
        <v>1524</v>
      </c>
    </row>
    <row r="2191" spans="1:14" x14ac:dyDescent="0.35">
      <c r="A2191" t="s">
        <v>6119</v>
      </c>
      <c r="B2191" t="s">
        <v>6120</v>
      </c>
      <c r="C2191" t="s">
        <v>30</v>
      </c>
      <c r="D2191">
        <v>132.69</v>
      </c>
      <c r="E2191">
        <v>8000</v>
      </c>
      <c r="F2191" t="s">
        <v>36</v>
      </c>
      <c r="G2191" t="s">
        <v>32</v>
      </c>
      <c r="H2191" t="s">
        <v>57</v>
      </c>
      <c r="J2191" t="s">
        <v>70</v>
      </c>
      <c r="K2191" t="s">
        <v>31</v>
      </c>
      <c r="L2191">
        <v>23</v>
      </c>
      <c r="N2191" t="s">
        <v>2150</v>
      </c>
    </row>
    <row r="2192" spans="1:14" x14ac:dyDescent="0.35">
      <c r="A2192" t="s">
        <v>6121</v>
      </c>
      <c r="B2192" t="s">
        <v>6122</v>
      </c>
      <c r="C2192" t="s">
        <v>69</v>
      </c>
      <c r="D2192">
        <v>54.53</v>
      </c>
      <c r="E2192">
        <v>76000</v>
      </c>
      <c r="F2192" t="s">
        <v>42</v>
      </c>
      <c r="G2192" t="s">
        <v>32</v>
      </c>
      <c r="H2192" t="s">
        <v>57</v>
      </c>
      <c r="I2192" t="s">
        <v>129</v>
      </c>
      <c r="J2192" t="s">
        <v>164</v>
      </c>
      <c r="K2192" t="s">
        <v>74</v>
      </c>
      <c r="L2192">
        <v>12</v>
      </c>
      <c r="M2192" t="s">
        <v>3129</v>
      </c>
      <c r="N2192" t="s">
        <v>6123</v>
      </c>
    </row>
    <row r="2193" spans="1:14" x14ac:dyDescent="0.35">
      <c r="A2193" t="s">
        <v>6124</v>
      </c>
      <c r="B2193" t="s">
        <v>6125</v>
      </c>
      <c r="C2193" t="s">
        <v>116</v>
      </c>
      <c r="D2193">
        <v>8.23</v>
      </c>
      <c r="E2193">
        <v>600</v>
      </c>
      <c r="F2193" t="s">
        <v>139</v>
      </c>
      <c r="G2193" t="s">
        <v>32</v>
      </c>
      <c r="H2193" t="s">
        <v>33</v>
      </c>
      <c r="J2193" t="s">
        <v>1531</v>
      </c>
      <c r="K2193" t="s">
        <v>42</v>
      </c>
      <c r="L2193">
        <v>7</v>
      </c>
      <c r="M2193" t="s">
        <v>3596</v>
      </c>
      <c r="N2193" t="s">
        <v>1128</v>
      </c>
    </row>
    <row r="2194" spans="1:14" x14ac:dyDescent="0.35">
      <c r="A2194" t="s">
        <v>6126</v>
      </c>
      <c r="B2194" t="s">
        <v>6127</v>
      </c>
      <c r="C2194" t="s">
        <v>30</v>
      </c>
      <c r="D2194">
        <v>147.02000000000001</v>
      </c>
      <c r="E2194">
        <v>16000</v>
      </c>
      <c r="F2194" t="s">
        <v>74</v>
      </c>
      <c r="G2194" t="s">
        <v>32</v>
      </c>
      <c r="H2194" t="s">
        <v>33</v>
      </c>
      <c r="I2194" t="s">
        <v>129</v>
      </c>
      <c r="J2194" t="s">
        <v>4378</v>
      </c>
      <c r="K2194" t="s">
        <v>147</v>
      </c>
      <c r="L2194">
        <v>23</v>
      </c>
      <c r="N2194" t="s">
        <v>206</v>
      </c>
    </row>
    <row r="2195" spans="1:14" x14ac:dyDescent="0.35">
      <c r="A2195" t="s">
        <v>6128</v>
      </c>
      <c r="B2195" t="s">
        <v>6129</v>
      </c>
      <c r="C2195" t="s">
        <v>30</v>
      </c>
      <c r="D2195">
        <v>183.45</v>
      </c>
      <c r="E2195">
        <v>13000</v>
      </c>
      <c r="F2195" t="s">
        <v>106</v>
      </c>
      <c r="G2195" t="s">
        <v>32</v>
      </c>
      <c r="H2195" t="s">
        <v>33</v>
      </c>
      <c r="I2195" t="s">
        <v>44</v>
      </c>
      <c r="J2195" t="s">
        <v>174</v>
      </c>
      <c r="K2195" t="s">
        <v>139</v>
      </c>
      <c r="L2195">
        <v>17</v>
      </c>
      <c r="M2195" t="s">
        <v>1209</v>
      </c>
      <c r="N2195" t="s">
        <v>3326</v>
      </c>
    </row>
    <row r="2196" spans="1:14" x14ac:dyDescent="0.35">
      <c r="A2196" t="s">
        <v>6130</v>
      </c>
      <c r="B2196" t="s">
        <v>6131</v>
      </c>
      <c r="C2196" t="s">
        <v>62</v>
      </c>
      <c r="D2196">
        <v>96.04</v>
      </c>
      <c r="E2196">
        <v>5000</v>
      </c>
      <c r="F2196" t="s">
        <v>117</v>
      </c>
      <c r="G2196" t="s">
        <v>32</v>
      </c>
      <c r="H2196" t="s">
        <v>33</v>
      </c>
      <c r="I2196" t="s">
        <v>129</v>
      </c>
      <c r="J2196" t="s">
        <v>107</v>
      </c>
      <c r="K2196" t="s">
        <v>87</v>
      </c>
      <c r="L2196">
        <v>14</v>
      </c>
      <c r="M2196" t="s">
        <v>551</v>
      </c>
      <c r="N2196" t="s">
        <v>227</v>
      </c>
    </row>
    <row r="2197" spans="1:14" x14ac:dyDescent="0.35">
      <c r="A2197" t="s">
        <v>6132</v>
      </c>
      <c r="B2197" t="s">
        <v>6133</v>
      </c>
      <c r="C2197" t="s">
        <v>116</v>
      </c>
      <c r="D2197">
        <v>8.19</v>
      </c>
      <c r="E2197">
        <v>400</v>
      </c>
      <c r="F2197" t="s">
        <v>139</v>
      </c>
      <c r="G2197" t="s">
        <v>32</v>
      </c>
      <c r="H2197" t="s">
        <v>43</v>
      </c>
      <c r="I2197" t="s">
        <v>44</v>
      </c>
      <c r="J2197" t="s">
        <v>209</v>
      </c>
      <c r="K2197" t="s">
        <v>74</v>
      </c>
      <c r="L2197">
        <v>11</v>
      </c>
      <c r="M2197" t="s">
        <v>3770</v>
      </c>
      <c r="N2197" t="s">
        <v>6134</v>
      </c>
    </row>
    <row r="2198" spans="1:14" x14ac:dyDescent="0.35">
      <c r="A2198" t="s">
        <v>6135</v>
      </c>
      <c r="B2198" t="s">
        <v>6136</v>
      </c>
      <c r="C2198" t="s">
        <v>62</v>
      </c>
      <c r="D2198">
        <v>70.78</v>
      </c>
      <c r="E2198">
        <v>1000</v>
      </c>
      <c r="F2198" t="s">
        <v>74</v>
      </c>
      <c r="G2198" t="s">
        <v>102</v>
      </c>
      <c r="H2198" t="s">
        <v>43</v>
      </c>
      <c r="I2198" t="s">
        <v>34</v>
      </c>
      <c r="J2198" t="s">
        <v>235</v>
      </c>
      <c r="K2198" t="s">
        <v>236</v>
      </c>
      <c r="L2198">
        <v>9</v>
      </c>
      <c r="N2198" t="s">
        <v>252</v>
      </c>
    </row>
    <row r="2199" spans="1:14" x14ac:dyDescent="0.35">
      <c r="A2199" t="s">
        <v>6137</v>
      </c>
      <c r="B2199" t="s">
        <v>6138</v>
      </c>
      <c r="C2199" t="s">
        <v>30</v>
      </c>
      <c r="D2199">
        <v>116.95</v>
      </c>
      <c r="E2199">
        <v>2000</v>
      </c>
      <c r="F2199" t="s">
        <v>74</v>
      </c>
      <c r="G2199" t="s">
        <v>32</v>
      </c>
      <c r="H2199" t="s">
        <v>43</v>
      </c>
      <c r="I2199" t="s">
        <v>44</v>
      </c>
      <c r="J2199" t="s">
        <v>3124</v>
      </c>
      <c r="K2199" t="s">
        <v>64</v>
      </c>
      <c r="L2199">
        <v>6</v>
      </c>
      <c r="M2199" t="s">
        <v>1711</v>
      </c>
      <c r="N2199" t="s">
        <v>1148</v>
      </c>
    </row>
    <row r="2200" spans="1:14" x14ac:dyDescent="0.35">
      <c r="A2200" t="s">
        <v>6139</v>
      </c>
      <c r="B2200" t="s">
        <v>6140</v>
      </c>
      <c r="C2200" t="s">
        <v>30</v>
      </c>
      <c r="D2200">
        <v>191.42</v>
      </c>
      <c r="E2200">
        <v>4000</v>
      </c>
      <c r="F2200" t="s">
        <v>31</v>
      </c>
      <c r="G2200" t="s">
        <v>32</v>
      </c>
      <c r="H2200" t="s">
        <v>43</v>
      </c>
      <c r="I2200" t="s">
        <v>44</v>
      </c>
      <c r="J2200" t="s">
        <v>130</v>
      </c>
      <c r="K2200" t="s">
        <v>123</v>
      </c>
      <c r="L2200">
        <v>16</v>
      </c>
      <c r="M2200" t="s">
        <v>258</v>
      </c>
      <c r="N2200" t="s">
        <v>4404</v>
      </c>
    </row>
    <row r="2201" spans="1:14" x14ac:dyDescent="0.35">
      <c r="A2201" t="s">
        <v>6141</v>
      </c>
      <c r="B2201" t="s">
        <v>6142</v>
      </c>
      <c r="C2201" t="s">
        <v>30</v>
      </c>
      <c r="D2201">
        <v>192.21</v>
      </c>
      <c r="E2201">
        <v>19000</v>
      </c>
      <c r="F2201" t="s">
        <v>97</v>
      </c>
      <c r="G2201" t="s">
        <v>32</v>
      </c>
      <c r="H2201" t="s">
        <v>43</v>
      </c>
      <c r="J2201" t="s">
        <v>6143</v>
      </c>
      <c r="K2201" t="s">
        <v>74</v>
      </c>
      <c r="L2201">
        <v>11</v>
      </c>
      <c r="N2201" t="s">
        <v>1701</v>
      </c>
    </row>
    <row r="2202" spans="1:14" x14ac:dyDescent="0.35">
      <c r="A2202" t="s">
        <v>6144</v>
      </c>
      <c r="B2202" t="s">
        <v>6145</v>
      </c>
      <c r="C2202" t="s">
        <v>62</v>
      </c>
      <c r="D2202">
        <v>60.69</v>
      </c>
      <c r="E2202">
        <v>4000</v>
      </c>
      <c r="F2202" t="s">
        <v>87</v>
      </c>
      <c r="G2202" t="s">
        <v>32</v>
      </c>
      <c r="H2202" t="s">
        <v>57</v>
      </c>
      <c r="J2202" t="s">
        <v>3218</v>
      </c>
      <c r="K2202" t="s">
        <v>147</v>
      </c>
      <c r="L2202">
        <v>12</v>
      </c>
      <c r="M2202" t="s">
        <v>1328</v>
      </c>
      <c r="N2202" t="s">
        <v>3411</v>
      </c>
    </row>
    <row r="2203" spans="1:14" x14ac:dyDescent="0.35">
      <c r="A2203" t="s">
        <v>6146</v>
      </c>
      <c r="B2203" t="s">
        <v>6147</v>
      </c>
      <c r="C2203" t="s">
        <v>41</v>
      </c>
      <c r="D2203">
        <v>134.61000000000001</v>
      </c>
      <c r="E2203">
        <v>26000</v>
      </c>
      <c r="F2203" t="s">
        <v>139</v>
      </c>
      <c r="G2203" t="s">
        <v>32</v>
      </c>
      <c r="H2203" t="s">
        <v>33</v>
      </c>
      <c r="I2203" t="s">
        <v>129</v>
      </c>
      <c r="J2203" t="s">
        <v>209</v>
      </c>
      <c r="K2203" t="s">
        <v>74</v>
      </c>
      <c r="L2203">
        <v>18</v>
      </c>
      <c r="M2203" t="s">
        <v>394</v>
      </c>
      <c r="N2203" t="s">
        <v>6148</v>
      </c>
    </row>
    <row r="2204" spans="1:14" x14ac:dyDescent="0.35">
      <c r="A2204" t="s">
        <v>6149</v>
      </c>
      <c r="B2204" t="s">
        <v>6150</v>
      </c>
      <c r="C2204" t="s">
        <v>69</v>
      </c>
      <c r="D2204">
        <v>75.73</v>
      </c>
      <c r="E2204">
        <v>34000</v>
      </c>
      <c r="F2204" t="s">
        <v>76</v>
      </c>
      <c r="G2204" t="s">
        <v>32</v>
      </c>
      <c r="H2204" t="s">
        <v>33</v>
      </c>
      <c r="I2204" t="s">
        <v>34</v>
      </c>
      <c r="J2204" t="s">
        <v>130</v>
      </c>
      <c r="K2204" t="s">
        <v>123</v>
      </c>
      <c r="L2204">
        <v>0</v>
      </c>
      <c r="N2204" t="s">
        <v>1411</v>
      </c>
    </row>
    <row r="2205" spans="1:14" x14ac:dyDescent="0.35">
      <c r="A2205" t="s">
        <v>6151</v>
      </c>
      <c r="B2205" t="s">
        <v>6152</v>
      </c>
      <c r="C2205" t="s">
        <v>41</v>
      </c>
      <c r="D2205">
        <v>103.97</v>
      </c>
      <c r="E2205">
        <v>40000</v>
      </c>
      <c r="F2205" t="s">
        <v>147</v>
      </c>
      <c r="G2205" t="s">
        <v>32</v>
      </c>
      <c r="H2205" t="s">
        <v>43</v>
      </c>
      <c r="I2205" t="s">
        <v>34</v>
      </c>
      <c r="J2205" t="s">
        <v>96</v>
      </c>
      <c r="K2205" t="s">
        <v>97</v>
      </c>
      <c r="L2205">
        <v>6</v>
      </c>
      <c r="M2205" t="s">
        <v>3006</v>
      </c>
      <c r="N2205" t="s">
        <v>2349</v>
      </c>
    </row>
    <row r="2206" spans="1:14" x14ac:dyDescent="0.35">
      <c r="A2206" t="s">
        <v>6153</v>
      </c>
      <c r="B2206" t="s">
        <v>6154</v>
      </c>
      <c r="C2206" t="s">
        <v>116</v>
      </c>
      <c r="D2206">
        <v>6.56</v>
      </c>
      <c r="E2206">
        <v>300</v>
      </c>
      <c r="F2206" t="s">
        <v>51</v>
      </c>
      <c r="G2206" t="s">
        <v>32</v>
      </c>
      <c r="H2206" t="s">
        <v>33</v>
      </c>
      <c r="I2206" t="s">
        <v>44</v>
      </c>
      <c r="J2206" t="s">
        <v>112</v>
      </c>
      <c r="K2206" t="s">
        <v>106</v>
      </c>
      <c r="L2206">
        <v>2</v>
      </c>
      <c r="M2206" t="s">
        <v>1798</v>
      </c>
      <c r="N2206" t="s">
        <v>6155</v>
      </c>
    </row>
    <row r="2207" spans="1:14" x14ac:dyDescent="0.35">
      <c r="A2207" t="s">
        <v>6156</v>
      </c>
      <c r="B2207" t="s">
        <v>6157</v>
      </c>
      <c r="C2207" t="s">
        <v>62</v>
      </c>
      <c r="D2207">
        <v>68.56</v>
      </c>
      <c r="E2207">
        <v>1000</v>
      </c>
      <c r="F2207" t="s">
        <v>51</v>
      </c>
      <c r="G2207" t="s">
        <v>32</v>
      </c>
      <c r="H2207" t="s">
        <v>43</v>
      </c>
      <c r="I2207" t="s">
        <v>34</v>
      </c>
      <c r="J2207" t="s">
        <v>45</v>
      </c>
      <c r="K2207" t="s">
        <v>46</v>
      </c>
      <c r="L2207">
        <v>4</v>
      </c>
      <c r="N2207" t="s">
        <v>48</v>
      </c>
    </row>
    <row r="2208" spans="1:14" x14ac:dyDescent="0.35">
      <c r="A2208" t="s">
        <v>6158</v>
      </c>
      <c r="B2208" t="s">
        <v>6159</v>
      </c>
      <c r="C2208" t="s">
        <v>30</v>
      </c>
      <c r="D2208">
        <v>189.16</v>
      </c>
      <c r="E2208">
        <v>19000</v>
      </c>
      <c r="F2208" t="s">
        <v>46</v>
      </c>
      <c r="G2208" t="s">
        <v>32</v>
      </c>
      <c r="H2208" t="s">
        <v>57</v>
      </c>
      <c r="I2208" t="s">
        <v>34</v>
      </c>
      <c r="J2208" t="s">
        <v>35</v>
      </c>
      <c r="K2208" t="s">
        <v>36</v>
      </c>
      <c r="L2208">
        <v>23</v>
      </c>
      <c r="N2208" t="s">
        <v>1954</v>
      </c>
    </row>
    <row r="2209" spans="1:14" x14ac:dyDescent="0.35">
      <c r="A2209" t="s">
        <v>6160</v>
      </c>
      <c r="B2209" t="s">
        <v>6161</v>
      </c>
      <c r="C2209" t="s">
        <v>69</v>
      </c>
      <c r="D2209">
        <v>74.66</v>
      </c>
      <c r="E2209">
        <v>87000</v>
      </c>
      <c r="F2209" t="s">
        <v>42</v>
      </c>
      <c r="G2209" t="s">
        <v>32</v>
      </c>
      <c r="H2209" t="s">
        <v>57</v>
      </c>
      <c r="I2209" t="s">
        <v>44</v>
      </c>
      <c r="J2209" t="s">
        <v>130</v>
      </c>
      <c r="K2209" t="s">
        <v>123</v>
      </c>
      <c r="L2209">
        <v>4</v>
      </c>
      <c r="M2209" t="s">
        <v>5734</v>
      </c>
      <c r="N2209" t="s">
        <v>6162</v>
      </c>
    </row>
    <row r="2210" spans="1:14" x14ac:dyDescent="0.35">
      <c r="A2210" t="s">
        <v>6163</v>
      </c>
      <c r="B2210" t="s">
        <v>6164</v>
      </c>
      <c r="C2210" t="s">
        <v>41</v>
      </c>
      <c r="D2210">
        <v>127.68</v>
      </c>
      <c r="E2210">
        <v>11000</v>
      </c>
      <c r="F2210" t="s">
        <v>147</v>
      </c>
      <c r="G2210" t="s">
        <v>32</v>
      </c>
      <c r="H2210" t="s">
        <v>33</v>
      </c>
      <c r="I2210" t="s">
        <v>44</v>
      </c>
      <c r="J2210" t="s">
        <v>45</v>
      </c>
      <c r="K2210" t="s">
        <v>46</v>
      </c>
      <c r="L2210">
        <v>12</v>
      </c>
      <c r="M2210" t="s">
        <v>258</v>
      </c>
      <c r="N2210" t="s">
        <v>2178</v>
      </c>
    </row>
    <row r="2211" spans="1:14" x14ac:dyDescent="0.35">
      <c r="A2211" t="s">
        <v>6165</v>
      </c>
      <c r="B2211" t="s">
        <v>6166</v>
      </c>
      <c r="C2211" t="s">
        <v>69</v>
      </c>
      <c r="D2211">
        <v>77.87</v>
      </c>
      <c r="E2211">
        <v>89000</v>
      </c>
      <c r="F2211" t="s">
        <v>87</v>
      </c>
      <c r="G2211" t="s">
        <v>32</v>
      </c>
      <c r="H2211" t="s">
        <v>57</v>
      </c>
      <c r="I2211" t="s">
        <v>44</v>
      </c>
      <c r="J2211" t="s">
        <v>278</v>
      </c>
      <c r="K2211" t="s">
        <v>97</v>
      </c>
      <c r="L2211">
        <v>6</v>
      </c>
      <c r="M2211" t="s">
        <v>995</v>
      </c>
      <c r="N2211" t="s">
        <v>5344</v>
      </c>
    </row>
    <row r="2212" spans="1:14" x14ac:dyDescent="0.35">
      <c r="A2212" t="s">
        <v>6167</v>
      </c>
      <c r="B2212" t="s">
        <v>6168</v>
      </c>
      <c r="C2212" t="s">
        <v>30</v>
      </c>
      <c r="D2212">
        <v>171.83</v>
      </c>
      <c r="E2212">
        <v>11000</v>
      </c>
      <c r="F2212" t="s">
        <v>87</v>
      </c>
      <c r="G2212" t="s">
        <v>32</v>
      </c>
      <c r="H2212" t="s">
        <v>33</v>
      </c>
      <c r="I2212" t="s">
        <v>34</v>
      </c>
      <c r="J2212" t="s">
        <v>4939</v>
      </c>
      <c r="K2212" t="s">
        <v>147</v>
      </c>
      <c r="L2212">
        <v>3</v>
      </c>
      <c r="N2212" t="s">
        <v>3418</v>
      </c>
    </row>
    <row r="2213" spans="1:14" x14ac:dyDescent="0.35">
      <c r="A2213" t="s">
        <v>6169</v>
      </c>
      <c r="B2213" t="s">
        <v>6170</v>
      </c>
      <c r="C2213" t="s">
        <v>41</v>
      </c>
      <c r="D2213">
        <v>95.57</v>
      </c>
      <c r="E2213">
        <v>23000</v>
      </c>
      <c r="F2213" t="s">
        <v>123</v>
      </c>
      <c r="G2213" t="s">
        <v>32</v>
      </c>
      <c r="H2213" t="s">
        <v>33</v>
      </c>
      <c r="I2213" t="s">
        <v>34</v>
      </c>
      <c r="J2213" t="s">
        <v>509</v>
      </c>
      <c r="K2213" t="s">
        <v>147</v>
      </c>
      <c r="L2213">
        <v>4</v>
      </c>
      <c r="M2213" t="s">
        <v>321</v>
      </c>
      <c r="N2213" t="s">
        <v>6171</v>
      </c>
    </row>
    <row r="2214" spans="1:14" x14ac:dyDescent="0.35">
      <c r="A2214" t="s">
        <v>6172</v>
      </c>
      <c r="B2214" t="s">
        <v>6173</v>
      </c>
      <c r="C2214" t="s">
        <v>69</v>
      </c>
      <c r="D2214">
        <v>93.81</v>
      </c>
      <c r="E2214">
        <v>60000</v>
      </c>
      <c r="F2214" t="s">
        <v>76</v>
      </c>
      <c r="G2214" t="s">
        <v>32</v>
      </c>
      <c r="H2214" t="s">
        <v>43</v>
      </c>
      <c r="I2214" t="s">
        <v>34</v>
      </c>
      <c r="J2214" t="s">
        <v>316</v>
      </c>
      <c r="K2214" t="s">
        <v>97</v>
      </c>
      <c r="L2214">
        <v>1</v>
      </c>
      <c r="M2214" t="s">
        <v>455</v>
      </c>
      <c r="N2214" t="s">
        <v>2225</v>
      </c>
    </row>
    <row r="2215" spans="1:14" x14ac:dyDescent="0.35">
      <c r="A2215" t="s">
        <v>6174</v>
      </c>
      <c r="B2215" t="s">
        <v>6175</v>
      </c>
      <c r="C2215" t="s">
        <v>81</v>
      </c>
      <c r="D2215">
        <v>110.36</v>
      </c>
      <c r="E2215">
        <v>10000</v>
      </c>
      <c r="F2215" t="s">
        <v>51</v>
      </c>
      <c r="G2215" t="s">
        <v>32</v>
      </c>
      <c r="H2215" t="s">
        <v>57</v>
      </c>
      <c r="I2215" t="s">
        <v>129</v>
      </c>
      <c r="J2215" t="s">
        <v>4673</v>
      </c>
      <c r="K2215" t="s">
        <v>147</v>
      </c>
      <c r="L2215">
        <v>3</v>
      </c>
      <c r="M2215" t="s">
        <v>1155</v>
      </c>
      <c r="N2215" t="s">
        <v>328</v>
      </c>
    </row>
    <row r="2216" spans="1:14" x14ac:dyDescent="0.35">
      <c r="A2216" t="s">
        <v>6176</v>
      </c>
      <c r="B2216" t="s">
        <v>6177</v>
      </c>
      <c r="C2216" t="s">
        <v>62</v>
      </c>
      <c r="D2216">
        <v>57.97</v>
      </c>
      <c r="E2216">
        <v>4000</v>
      </c>
      <c r="F2216" t="s">
        <v>36</v>
      </c>
      <c r="G2216" t="s">
        <v>32</v>
      </c>
      <c r="H2216" t="s">
        <v>33</v>
      </c>
      <c r="J2216" t="s">
        <v>70</v>
      </c>
      <c r="K2216" t="s">
        <v>31</v>
      </c>
      <c r="L2216">
        <v>0</v>
      </c>
      <c r="N2216" t="s">
        <v>2541</v>
      </c>
    </row>
    <row r="2217" spans="1:14" x14ac:dyDescent="0.35">
      <c r="A2217" t="s">
        <v>6178</v>
      </c>
      <c r="B2217" t="s">
        <v>6179</v>
      </c>
      <c r="C2217" t="s">
        <v>116</v>
      </c>
      <c r="D2217">
        <v>6.11</v>
      </c>
      <c r="E2217">
        <v>600</v>
      </c>
      <c r="F2217" t="s">
        <v>31</v>
      </c>
      <c r="G2217" t="s">
        <v>32</v>
      </c>
      <c r="H2217" t="s">
        <v>33</v>
      </c>
      <c r="I2217" t="s">
        <v>34</v>
      </c>
      <c r="J2217" t="s">
        <v>130</v>
      </c>
      <c r="K2217" t="s">
        <v>123</v>
      </c>
      <c r="L2217">
        <v>0</v>
      </c>
      <c r="M2217" t="s">
        <v>528</v>
      </c>
      <c r="N2217" t="s">
        <v>2193</v>
      </c>
    </row>
    <row r="2218" spans="1:14" x14ac:dyDescent="0.35">
      <c r="A2218" t="s">
        <v>6180</v>
      </c>
      <c r="B2218" t="s">
        <v>6181</v>
      </c>
      <c r="C2218" t="s">
        <v>41</v>
      </c>
      <c r="D2218">
        <v>83.4</v>
      </c>
      <c r="E2218">
        <v>17000</v>
      </c>
      <c r="F2218" t="s">
        <v>147</v>
      </c>
      <c r="G2218" t="s">
        <v>32</v>
      </c>
      <c r="H2218" t="s">
        <v>57</v>
      </c>
      <c r="I2218" t="s">
        <v>44</v>
      </c>
      <c r="J2218" t="s">
        <v>6182</v>
      </c>
      <c r="K2218" t="s">
        <v>147</v>
      </c>
      <c r="L2218">
        <v>20</v>
      </c>
      <c r="M2218" t="s">
        <v>407</v>
      </c>
      <c r="N2218" t="s">
        <v>882</v>
      </c>
    </row>
    <row r="2219" spans="1:14" x14ac:dyDescent="0.35">
      <c r="A2219" t="s">
        <v>6183</v>
      </c>
      <c r="B2219" t="s">
        <v>6184</v>
      </c>
      <c r="C2219" t="s">
        <v>30</v>
      </c>
      <c r="D2219">
        <v>140.88999999999999</v>
      </c>
      <c r="E2219">
        <v>3000</v>
      </c>
      <c r="F2219" t="s">
        <v>51</v>
      </c>
      <c r="G2219" t="s">
        <v>32</v>
      </c>
      <c r="H2219" t="s">
        <v>43</v>
      </c>
      <c r="I2219" t="s">
        <v>34</v>
      </c>
      <c r="J2219" t="s">
        <v>6185</v>
      </c>
      <c r="K2219" t="s">
        <v>147</v>
      </c>
      <c r="L2219">
        <v>16</v>
      </c>
      <c r="N2219" t="s">
        <v>2370</v>
      </c>
    </row>
    <row r="2220" spans="1:14" x14ac:dyDescent="0.35">
      <c r="A2220" t="s">
        <v>6186</v>
      </c>
      <c r="B2220" t="s">
        <v>6187</v>
      </c>
      <c r="C2220" t="s">
        <v>41</v>
      </c>
      <c r="D2220">
        <v>153.37</v>
      </c>
      <c r="E2220">
        <v>37000</v>
      </c>
      <c r="F2220" t="s">
        <v>51</v>
      </c>
      <c r="G2220" t="s">
        <v>32</v>
      </c>
      <c r="H2220" t="s">
        <v>33</v>
      </c>
      <c r="I2220" t="s">
        <v>129</v>
      </c>
      <c r="J2220" t="s">
        <v>75</v>
      </c>
      <c r="K2220" t="s">
        <v>76</v>
      </c>
      <c r="L2220">
        <v>15</v>
      </c>
      <c r="M2220" t="s">
        <v>1265</v>
      </c>
      <c r="N2220" t="s">
        <v>252</v>
      </c>
    </row>
    <row r="2221" spans="1:14" x14ac:dyDescent="0.35">
      <c r="A2221" t="s">
        <v>6188</v>
      </c>
      <c r="B2221" t="s">
        <v>6189</v>
      </c>
      <c r="C2221" t="s">
        <v>69</v>
      </c>
      <c r="D2221">
        <v>52.27</v>
      </c>
      <c r="E2221">
        <v>88000</v>
      </c>
      <c r="F2221" t="s">
        <v>147</v>
      </c>
      <c r="G2221" t="s">
        <v>32</v>
      </c>
      <c r="H2221" t="s">
        <v>57</v>
      </c>
      <c r="I2221" t="s">
        <v>34</v>
      </c>
      <c r="J2221" t="s">
        <v>35</v>
      </c>
      <c r="K2221" t="s">
        <v>36</v>
      </c>
      <c r="L2221">
        <v>19</v>
      </c>
      <c r="M2221" t="s">
        <v>1058</v>
      </c>
      <c r="N2221" t="s">
        <v>1712</v>
      </c>
    </row>
    <row r="2222" spans="1:14" x14ac:dyDescent="0.35">
      <c r="A2222" t="s">
        <v>6190</v>
      </c>
      <c r="B2222" t="s">
        <v>6191</v>
      </c>
      <c r="C2222" t="s">
        <v>62</v>
      </c>
      <c r="D2222">
        <v>54.73</v>
      </c>
      <c r="E2222">
        <v>5000</v>
      </c>
      <c r="F2222" t="s">
        <v>236</v>
      </c>
      <c r="G2222" t="s">
        <v>32</v>
      </c>
      <c r="H2222" t="s">
        <v>43</v>
      </c>
      <c r="I2222" t="s">
        <v>34</v>
      </c>
      <c r="J2222" t="s">
        <v>107</v>
      </c>
      <c r="K2222" t="s">
        <v>87</v>
      </c>
      <c r="L2222">
        <v>19</v>
      </c>
      <c r="M2222" t="s">
        <v>2398</v>
      </c>
      <c r="N2222" t="s">
        <v>6192</v>
      </c>
    </row>
    <row r="2223" spans="1:14" x14ac:dyDescent="0.35">
      <c r="A2223" t="s">
        <v>6193</v>
      </c>
      <c r="B2223" t="s">
        <v>6194</v>
      </c>
      <c r="C2223" t="s">
        <v>30</v>
      </c>
      <c r="D2223">
        <v>148.9</v>
      </c>
      <c r="E2223">
        <v>16000</v>
      </c>
      <c r="F2223" t="s">
        <v>147</v>
      </c>
      <c r="G2223" t="s">
        <v>32</v>
      </c>
      <c r="H2223" t="s">
        <v>57</v>
      </c>
      <c r="I2223" t="s">
        <v>44</v>
      </c>
      <c r="J2223" t="s">
        <v>130</v>
      </c>
      <c r="K2223" t="s">
        <v>123</v>
      </c>
      <c r="L2223">
        <v>9</v>
      </c>
      <c r="M2223" t="s">
        <v>1911</v>
      </c>
      <c r="N2223" t="s">
        <v>4452</v>
      </c>
    </row>
    <row r="2224" spans="1:14" x14ac:dyDescent="0.35">
      <c r="A2224" t="s">
        <v>6195</v>
      </c>
      <c r="B2224" t="s">
        <v>6196</v>
      </c>
      <c r="C2224" t="s">
        <v>69</v>
      </c>
      <c r="D2224">
        <v>62.04</v>
      </c>
      <c r="E2224">
        <v>40000</v>
      </c>
      <c r="F2224" t="s">
        <v>31</v>
      </c>
      <c r="G2224" t="s">
        <v>32</v>
      </c>
      <c r="H2224" t="s">
        <v>43</v>
      </c>
      <c r="J2224" t="s">
        <v>1852</v>
      </c>
      <c r="K2224" t="s">
        <v>147</v>
      </c>
      <c r="L2224">
        <v>17</v>
      </c>
      <c r="N2224" t="s">
        <v>5942</v>
      </c>
    </row>
    <row r="2225" spans="1:14" x14ac:dyDescent="0.35">
      <c r="A2225" t="s">
        <v>6197</v>
      </c>
      <c r="B2225" t="s">
        <v>6198</v>
      </c>
      <c r="C2225" t="s">
        <v>116</v>
      </c>
      <c r="D2225">
        <v>10.29</v>
      </c>
      <c r="E2225">
        <v>600</v>
      </c>
      <c r="F2225" t="s">
        <v>97</v>
      </c>
      <c r="G2225" t="s">
        <v>32</v>
      </c>
      <c r="H2225" t="s">
        <v>33</v>
      </c>
      <c r="J2225" t="s">
        <v>130</v>
      </c>
      <c r="K2225" t="s">
        <v>123</v>
      </c>
      <c r="L2225">
        <v>9</v>
      </c>
      <c r="M2225" t="s">
        <v>1839</v>
      </c>
      <c r="N2225" t="s">
        <v>6199</v>
      </c>
    </row>
    <row r="2226" spans="1:14" x14ac:dyDescent="0.35">
      <c r="A2226" t="s">
        <v>6200</v>
      </c>
      <c r="B2226" t="s">
        <v>6201</v>
      </c>
      <c r="C2226" t="s">
        <v>62</v>
      </c>
      <c r="D2226">
        <v>65.19</v>
      </c>
      <c r="E2226">
        <v>5000</v>
      </c>
      <c r="F2226" t="s">
        <v>236</v>
      </c>
      <c r="G2226" t="s">
        <v>32</v>
      </c>
      <c r="H2226" t="s">
        <v>33</v>
      </c>
      <c r="I2226" t="s">
        <v>129</v>
      </c>
      <c r="J2226" t="s">
        <v>402</v>
      </c>
      <c r="K2226" t="s">
        <v>51</v>
      </c>
      <c r="L2226">
        <v>20</v>
      </c>
      <c r="M2226" t="s">
        <v>1828</v>
      </c>
      <c r="N2226" t="s">
        <v>267</v>
      </c>
    </row>
    <row r="2227" spans="1:14" x14ac:dyDescent="0.35">
      <c r="A2227" t="s">
        <v>6202</v>
      </c>
      <c r="B2227" t="s">
        <v>6203</v>
      </c>
      <c r="C2227" t="s">
        <v>69</v>
      </c>
      <c r="D2227">
        <v>89.74</v>
      </c>
      <c r="E2227">
        <v>20000</v>
      </c>
      <c r="F2227" t="s">
        <v>36</v>
      </c>
      <c r="G2227" t="s">
        <v>32</v>
      </c>
      <c r="H2227" t="s">
        <v>57</v>
      </c>
      <c r="I2227" t="s">
        <v>129</v>
      </c>
      <c r="J2227" t="s">
        <v>6204</v>
      </c>
      <c r="K2227" t="s">
        <v>139</v>
      </c>
      <c r="L2227">
        <v>21</v>
      </c>
      <c r="M2227" t="s">
        <v>544</v>
      </c>
      <c r="N2227" t="s">
        <v>2724</v>
      </c>
    </row>
    <row r="2228" spans="1:14" x14ac:dyDescent="0.35">
      <c r="A2228" t="s">
        <v>6205</v>
      </c>
      <c r="B2228" t="s">
        <v>6206</v>
      </c>
      <c r="C2228" t="s">
        <v>81</v>
      </c>
      <c r="D2228">
        <v>117.55</v>
      </c>
      <c r="E2228">
        <v>1000</v>
      </c>
      <c r="F2228" t="s">
        <v>97</v>
      </c>
      <c r="G2228" t="s">
        <v>32</v>
      </c>
      <c r="H2228" t="s">
        <v>57</v>
      </c>
      <c r="I2228" t="s">
        <v>44</v>
      </c>
      <c r="J2228" t="s">
        <v>35</v>
      </c>
      <c r="K2228" t="s">
        <v>36</v>
      </c>
      <c r="L2228">
        <v>5</v>
      </c>
      <c r="M2228" t="s">
        <v>485</v>
      </c>
      <c r="N2228" t="s">
        <v>1938</v>
      </c>
    </row>
    <row r="2229" spans="1:14" x14ac:dyDescent="0.35">
      <c r="A2229" t="s">
        <v>6207</v>
      </c>
      <c r="B2229" t="s">
        <v>6208</v>
      </c>
      <c r="C2229" t="s">
        <v>116</v>
      </c>
      <c r="D2229">
        <v>9.86</v>
      </c>
      <c r="E2229">
        <v>600</v>
      </c>
      <c r="F2229" t="s">
        <v>97</v>
      </c>
      <c r="G2229" t="s">
        <v>32</v>
      </c>
      <c r="H2229" t="s">
        <v>43</v>
      </c>
      <c r="I2229" t="s">
        <v>44</v>
      </c>
      <c r="J2229" t="s">
        <v>721</v>
      </c>
      <c r="K2229" t="s">
        <v>42</v>
      </c>
      <c r="L2229">
        <v>10</v>
      </c>
      <c r="N2229" t="s">
        <v>1701</v>
      </c>
    </row>
    <row r="2230" spans="1:14" x14ac:dyDescent="0.35">
      <c r="A2230" t="s">
        <v>6209</v>
      </c>
      <c r="B2230" t="s">
        <v>6210</v>
      </c>
      <c r="C2230" t="s">
        <v>69</v>
      </c>
      <c r="D2230">
        <v>90.88</v>
      </c>
      <c r="E2230">
        <v>32000</v>
      </c>
      <c r="F2230" t="s">
        <v>46</v>
      </c>
      <c r="G2230" t="s">
        <v>32</v>
      </c>
      <c r="H2230" t="s">
        <v>57</v>
      </c>
      <c r="I2230" t="s">
        <v>44</v>
      </c>
      <c r="J2230" t="s">
        <v>118</v>
      </c>
      <c r="K2230" t="s">
        <v>42</v>
      </c>
      <c r="L2230">
        <v>21</v>
      </c>
      <c r="N2230" t="s">
        <v>4421</v>
      </c>
    </row>
    <row r="2231" spans="1:14" x14ac:dyDescent="0.35">
      <c r="A2231" t="s">
        <v>6211</v>
      </c>
      <c r="B2231" t="s">
        <v>6212</v>
      </c>
      <c r="C2231" t="s">
        <v>41</v>
      </c>
      <c r="D2231">
        <v>106.87</v>
      </c>
      <c r="E2231">
        <v>17000</v>
      </c>
      <c r="F2231" t="s">
        <v>106</v>
      </c>
      <c r="G2231" t="s">
        <v>32</v>
      </c>
      <c r="H2231" t="s">
        <v>57</v>
      </c>
      <c r="I2231" t="s">
        <v>34</v>
      </c>
      <c r="J2231" t="s">
        <v>107</v>
      </c>
      <c r="K2231" t="s">
        <v>87</v>
      </c>
      <c r="L2231">
        <v>14</v>
      </c>
      <c r="M2231" t="s">
        <v>1245</v>
      </c>
      <c r="N2231" t="s">
        <v>712</v>
      </c>
    </row>
    <row r="2232" spans="1:14" x14ac:dyDescent="0.35">
      <c r="A2232" t="s">
        <v>6213</v>
      </c>
      <c r="B2232" t="s">
        <v>5197</v>
      </c>
      <c r="C2232" t="s">
        <v>116</v>
      </c>
      <c r="D2232">
        <v>11.22</v>
      </c>
      <c r="E2232">
        <v>200</v>
      </c>
      <c r="F2232" t="s">
        <v>97</v>
      </c>
      <c r="G2232" t="s">
        <v>32</v>
      </c>
      <c r="H2232" t="s">
        <v>43</v>
      </c>
      <c r="I2232" t="s">
        <v>44</v>
      </c>
      <c r="J2232" t="s">
        <v>70</v>
      </c>
      <c r="K2232" t="s">
        <v>31</v>
      </c>
      <c r="L2232">
        <v>22</v>
      </c>
      <c r="M2232" t="s">
        <v>5498</v>
      </c>
      <c r="N2232" t="s">
        <v>412</v>
      </c>
    </row>
    <row r="2233" spans="1:14" x14ac:dyDescent="0.35">
      <c r="A2233" t="s">
        <v>6214</v>
      </c>
      <c r="B2233" t="s">
        <v>6215</v>
      </c>
      <c r="C2233" t="s">
        <v>69</v>
      </c>
      <c r="D2233">
        <v>79.34</v>
      </c>
      <c r="E2233">
        <v>52000</v>
      </c>
      <c r="F2233" t="s">
        <v>46</v>
      </c>
      <c r="G2233" t="s">
        <v>32</v>
      </c>
      <c r="H2233" t="s">
        <v>57</v>
      </c>
      <c r="I2233" t="s">
        <v>44</v>
      </c>
      <c r="J2233" t="s">
        <v>262</v>
      </c>
      <c r="K2233" t="s">
        <v>147</v>
      </c>
      <c r="L2233">
        <v>1</v>
      </c>
      <c r="N2233" t="s">
        <v>6216</v>
      </c>
    </row>
    <row r="2234" spans="1:14" x14ac:dyDescent="0.35">
      <c r="A2234" t="s">
        <v>6217</v>
      </c>
      <c r="B2234" t="s">
        <v>6218</v>
      </c>
      <c r="C2234" t="s">
        <v>41</v>
      </c>
      <c r="D2234">
        <v>82.14</v>
      </c>
      <c r="E2234">
        <v>16000</v>
      </c>
      <c r="F2234" t="s">
        <v>236</v>
      </c>
      <c r="G2234" t="s">
        <v>32</v>
      </c>
      <c r="H2234" t="s">
        <v>57</v>
      </c>
      <c r="I2234" t="s">
        <v>34</v>
      </c>
      <c r="J2234" t="s">
        <v>130</v>
      </c>
      <c r="K2234" t="s">
        <v>123</v>
      </c>
      <c r="L2234">
        <v>7</v>
      </c>
      <c r="M2234" t="s">
        <v>2021</v>
      </c>
      <c r="N2234" t="s">
        <v>1025</v>
      </c>
    </row>
    <row r="2235" spans="1:14" x14ac:dyDescent="0.35">
      <c r="A2235" t="s">
        <v>6219</v>
      </c>
      <c r="B2235" t="s">
        <v>6220</v>
      </c>
      <c r="C2235" t="s">
        <v>116</v>
      </c>
      <c r="D2235">
        <v>9.4</v>
      </c>
      <c r="E2235">
        <v>700</v>
      </c>
      <c r="F2235" t="s">
        <v>46</v>
      </c>
      <c r="G2235" t="s">
        <v>32</v>
      </c>
      <c r="H2235" t="s">
        <v>33</v>
      </c>
      <c r="I2235" t="s">
        <v>44</v>
      </c>
      <c r="J2235" t="s">
        <v>4378</v>
      </c>
      <c r="K2235" t="s">
        <v>147</v>
      </c>
      <c r="L2235">
        <v>15</v>
      </c>
      <c r="N2235" t="s">
        <v>570</v>
      </c>
    </row>
    <row r="2236" spans="1:14" x14ac:dyDescent="0.35">
      <c r="A2236" t="s">
        <v>6221</v>
      </c>
      <c r="B2236" t="s">
        <v>6222</v>
      </c>
      <c r="C2236" t="s">
        <v>81</v>
      </c>
      <c r="D2236">
        <v>104.57</v>
      </c>
      <c r="E2236">
        <v>10000</v>
      </c>
      <c r="F2236" t="s">
        <v>31</v>
      </c>
      <c r="G2236" t="s">
        <v>32</v>
      </c>
      <c r="H2236" t="s">
        <v>33</v>
      </c>
      <c r="I2236" t="s">
        <v>44</v>
      </c>
      <c r="J2236" t="s">
        <v>4378</v>
      </c>
      <c r="K2236" t="s">
        <v>147</v>
      </c>
      <c r="L2236">
        <v>8</v>
      </c>
      <c r="M2236" t="s">
        <v>1434</v>
      </c>
      <c r="N2236" t="s">
        <v>5557</v>
      </c>
    </row>
    <row r="2237" spans="1:14" x14ac:dyDescent="0.35">
      <c r="A2237" t="s">
        <v>6223</v>
      </c>
      <c r="B2237" t="s">
        <v>6224</v>
      </c>
      <c r="C2237" t="s">
        <v>116</v>
      </c>
      <c r="D2237">
        <v>7.8</v>
      </c>
      <c r="E2237">
        <v>600</v>
      </c>
      <c r="F2237" t="s">
        <v>236</v>
      </c>
      <c r="G2237" t="s">
        <v>32</v>
      </c>
      <c r="H2237" t="s">
        <v>43</v>
      </c>
      <c r="I2237" t="s">
        <v>34</v>
      </c>
      <c r="J2237" t="s">
        <v>2028</v>
      </c>
      <c r="K2237" t="s">
        <v>236</v>
      </c>
      <c r="L2237">
        <v>7</v>
      </c>
      <c r="M2237" t="s">
        <v>304</v>
      </c>
      <c r="N2237" t="s">
        <v>6225</v>
      </c>
    </row>
    <row r="2238" spans="1:14" x14ac:dyDescent="0.35">
      <c r="A2238" t="s">
        <v>6226</v>
      </c>
      <c r="B2238" t="s">
        <v>6227</v>
      </c>
      <c r="C2238" t="s">
        <v>41</v>
      </c>
      <c r="D2238">
        <v>154.04</v>
      </c>
      <c r="E2238">
        <v>13000</v>
      </c>
      <c r="F2238" t="s">
        <v>51</v>
      </c>
      <c r="G2238" t="s">
        <v>32</v>
      </c>
      <c r="H2238" t="s">
        <v>43</v>
      </c>
      <c r="I2238" t="s">
        <v>44</v>
      </c>
      <c r="J2238" t="s">
        <v>130</v>
      </c>
      <c r="K2238" t="s">
        <v>123</v>
      </c>
      <c r="L2238">
        <v>6</v>
      </c>
      <c r="M2238" t="s">
        <v>2518</v>
      </c>
      <c r="N2238" t="s">
        <v>336</v>
      </c>
    </row>
    <row r="2239" spans="1:14" x14ac:dyDescent="0.35">
      <c r="A2239" t="s">
        <v>6228</v>
      </c>
      <c r="B2239" t="s">
        <v>6229</v>
      </c>
      <c r="C2239" t="s">
        <v>116</v>
      </c>
      <c r="D2239">
        <v>10.16</v>
      </c>
      <c r="E2239">
        <v>200</v>
      </c>
      <c r="F2239" t="s">
        <v>123</v>
      </c>
      <c r="G2239" t="s">
        <v>32</v>
      </c>
      <c r="H2239" t="s">
        <v>43</v>
      </c>
      <c r="J2239" t="s">
        <v>1071</v>
      </c>
      <c r="K2239" t="s">
        <v>236</v>
      </c>
      <c r="L2239">
        <v>13</v>
      </c>
      <c r="M2239" t="s">
        <v>1209</v>
      </c>
      <c r="N2239" t="s">
        <v>5141</v>
      </c>
    </row>
    <row r="2240" spans="1:14" x14ac:dyDescent="0.35">
      <c r="A2240" t="s">
        <v>6230</v>
      </c>
      <c r="B2240" t="s">
        <v>6231</v>
      </c>
      <c r="C2240" t="s">
        <v>41</v>
      </c>
      <c r="D2240">
        <v>130.01</v>
      </c>
      <c r="E2240">
        <v>35000</v>
      </c>
      <c r="F2240" t="s">
        <v>76</v>
      </c>
      <c r="G2240" t="s">
        <v>32</v>
      </c>
      <c r="H2240" t="s">
        <v>33</v>
      </c>
      <c r="J2240" t="s">
        <v>1424</v>
      </c>
      <c r="K2240" t="s">
        <v>51</v>
      </c>
      <c r="L2240">
        <v>16</v>
      </c>
      <c r="M2240" t="s">
        <v>1767</v>
      </c>
      <c r="N2240" t="s">
        <v>1583</v>
      </c>
    </row>
    <row r="2241" spans="1:14" x14ac:dyDescent="0.35">
      <c r="A2241" t="s">
        <v>6232</v>
      </c>
      <c r="B2241" t="s">
        <v>6233</v>
      </c>
      <c r="C2241" t="s">
        <v>30</v>
      </c>
      <c r="D2241">
        <v>159.02000000000001</v>
      </c>
      <c r="E2241">
        <v>14000</v>
      </c>
      <c r="F2241" t="s">
        <v>117</v>
      </c>
      <c r="G2241" t="s">
        <v>32</v>
      </c>
      <c r="H2241" t="s">
        <v>57</v>
      </c>
      <c r="I2241" t="s">
        <v>44</v>
      </c>
      <c r="J2241" t="s">
        <v>5756</v>
      </c>
      <c r="K2241" t="s">
        <v>139</v>
      </c>
      <c r="L2241">
        <v>19</v>
      </c>
      <c r="N2241" t="s">
        <v>3003</v>
      </c>
    </row>
    <row r="2242" spans="1:14" x14ac:dyDescent="0.35">
      <c r="A2242" t="s">
        <v>6234</v>
      </c>
      <c r="B2242" t="s">
        <v>6235</v>
      </c>
      <c r="C2242" t="s">
        <v>62</v>
      </c>
      <c r="D2242">
        <v>69.11</v>
      </c>
      <c r="E2242">
        <v>5000</v>
      </c>
      <c r="F2242" t="s">
        <v>64</v>
      </c>
      <c r="G2242" t="s">
        <v>32</v>
      </c>
      <c r="H2242" t="s">
        <v>33</v>
      </c>
      <c r="I2242" t="s">
        <v>34</v>
      </c>
      <c r="J2242" t="s">
        <v>316</v>
      </c>
      <c r="K2242" t="s">
        <v>97</v>
      </c>
      <c r="L2242">
        <v>12</v>
      </c>
      <c r="M2242" t="s">
        <v>1201</v>
      </c>
      <c r="N2242" t="s">
        <v>66</v>
      </c>
    </row>
    <row r="2243" spans="1:14" x14ac:dyDescent="0.35">
      <c r="A2243" t="s">
        <v>6236</v>
      </c>
      <c r="B2243" t="s">
        <v>6237</v>
      </c>
      <c r="C2243" t="s">
        <v>69</v>
      </c>
      <c r="D2243">
        <v>68.3</v>
      </c>
      <c r="E2243">
        <v>15000</v>
      </c>
      <c r="F2243" t="s">
        <v>123</v>
      </c>
      <c r="G2243" t="s">
        <v>32</v>
      </c>
      <c r="H2243" t="s">
        <v>57</v>
      </c>
      <c r="I2243" t="s">
        <v>44</v>
      </c>
      <c r="J2243" t="s">
        <v>118</v>
      </c>
      <c r="K2243" t="s">
        <v>42</v>
      </c>
      <c r="L2243">
        <v>16</v>
      </c>
      <c r="M2243" t="s">
        <v>308</v>
      </c>
      <c r="N2243" t="s">
        <v>4305</v>
      </c>
    </row>
    <row r="2244" spans="1:14" x14ac:dyDescent="0.35">
      <c r="A2244" t="s">
        <v>6238</v>
      </c>
      <c r="B2244" t="s">
        <v>6239</v>
      </c>
      <c r="C2244" t="s">
        <v>81</v>
      </c>
      <c r="D2244">
        <v>96.48</v>
      </c>
      <c r="E2244">
        <v>4000</v>
      </c>
      <c r="F2244" t="s">
        <v>36</v>
      </c>
      <c r="G2244" t="s">
        <v>32</v>
      </c>
      <c r="H2244" t="s">
        <v>57</v>
      </c>
      <c r="I2244" t="s">
        <v>44</v>
      </c>
      <c r="J2244" t="s">
        <v>477</v>
      </c>
      <c r="K2244" t="s">
        <v>51</v>
      </c>
      <c r="L2244">
        <v>15</v>
      </c>
      <c r="M2244" t="s">
        <v>1050</v>
      </c>
      <c r="N2244" t="s">
        <v>435</v>
      </c>
    </row>
    <row r="2245" spans="1:14" x14ac:dyDescent="0.35">
      <c r="A2245" t="s">
        <v>6240</v>
      </c>
      <c r="B2245" t="s">
        <v>6241</v>
      </c>
      <c r="C2245" t="s">
        <v>69</v>
      </c>
      <c r="D2245">
        <v>74.010000000000005</v>
      </c>
      <c r="E2245">
        <v>32000</v>
      </c>
      <c r="F2245" t="s">
        <v>74</v>
      </c>
      <c r="G2245" t="s">
        <v>32</v>
      </c>
      <c r="H2245" t="s">
        <v>57</v>
      </c>
      <c r="I2245" t="s">
        <v>34</v>
      </c>
      <c r="J2245" t="s">
        <v>82</v>
      </c>
      <c r="K2245" t="s">
        <v>74</v>
      </c>
      <c r="L2245">
        <v>6</v>
      </c>
      <c r="N2245" t="s">
        <v>6242</v>
      </c>
    </row>
    <row r="2246" spans="1:14" x14ac:dyDescent="0.35">
      <c r="A2246" t="s">
        <v>6243</v>
      </c>
      <c r="B2246" t="s">
        <v>6244</v>
      </c>
      <c r="C2246" t="s">
        <v>62</v>
      </c>
      <c r="D2246">
        <v>77.180000000000007</v>
      </c>
      <c r="E2246">
        <v>5000</v>
      </c>
      <c r="F2246" t="s">
        <v>123</v>
      </c>
      <c r="G2246" t="s">
        <v>32</v>
      </c>
      <c r="H2246" t="s">
        <v>33</v>
      </c>
      <c r="I2246" t="s">
        <v>44</v>
      </c>
      <c r="J2246" t="s">
        <v>45</v>
      </c>
      <c r="K2246" t="s">
        <v>46</v>
      </c>
      <c r="L2246">
        <v>1</v>
      </c>
      <c r="M2246" t="s">
        <v>1503</v>
      </c>
      <c r="N2246" t="s">
        <v>1270</v>
      </c>
    </row>
    <row r="2247" spans="1:14" x14ac:dyDescent="0.35">
      <c r="A2247" t="s">
        <v>6245</v>
      </c>
      <c r="B2247" t="s">
        <v>6246</v>
      </c>
      <c r="C2247" t="s">
        <v>62</v>
      </c>
      <c r="D2247">
        <v>57.7</v>
      </c>
      <c r="E2247">
        <v>4000</v>
      </c>
      <c r="F2247" t="s">
        <v>117</v>
      </c>
      <c r="G2247" t="s">
        <v>32</v>
      </c>
      <c r="H2247" t="s">
        <v>33</v>
      </c>
      <c r="I2247" t="s">
        <v>44</v>
      </c>
      <c r="J2247" t="s">
        <v>209</v>
      </c>
      <c r="K2247" t="s">
        <v>74</v>
      </c>
      <c r="L2247">
        <v>23</v>
      </c>
      <c r="M2247" t="s">
        <v>3006</v>
      </c>
      <c r="N2247" t="s">
        <v>501</v>
      </c>
    </row>
    <row r="2248" spans="1:14" x14ac:dyDescent="0.35">
      <c r="A2248" t="s">
        <v>6247</v>
      </c>
      <c r="B2248" t="s">
        <v>6248</v>
      </c>
      <c r="C2248" t="s">
        <v>69</v>
      </c>
      <c r="D2248">
        <v>95.74</v>
      </c>
      <c r="E2248">
        <v>18000</v>
      </c>
      <c r="F2248" t="s">
        <v>87</v>
      </c>
      <c r="G2248" t="s">
        <v>32</v>
      </c>
      <c r="H2248" t="s">
        <v>43</v>
      </c>
      <c r="I2248" t="s">
        <v>44</v>
      </c>
      <c r="J2248" t="s">
        <v>75</v>
      </c>
      <c r="K2248" t="s">
        <v>76</v>
      </c>
      <c r="L2248">
        <v>19</v>
      </c>
      <c r="M2248" t="s">
        <v>2760</v>
      </c>
      <c r="N2248" t="s">
        <v>157</v>
      </c>
    </row>
    <row r="2249" spans="1:14" x14ac:dyDescent="0.35">
      <c r="A2249" t="s">
        <v>6249</v>
      </c>
      <c r="B2249" t="s">
        <v>6250</v>
      </c>
      <c r="C2249" t="s">
        <v>69</v>
      </c>
      <c r="D2249">
        <v>88.02</v>
      </c>
      <c r="E2249">
        <v>72000</v>
      </c>
      <c r="F2249" t="s">
        <v>117</v>
      </c>
      <c r="G2249" t="s">
        <v>32</v>
      </c>
      <c r="H2249" t="s">
        <v>43</v>
      </c>
      <c r="I2249" t="s">
        <v>34</v>
      </c>
      <c r="J2249" t="s">
        <v>75</v>
      </c>
      <c r="K2249" t="s">
        <v>76</v>
      </c>
      <c r="L2249">
        <v>10</v>
      </c>
      <c r="M2249" t="s">
        <v>382</v>
      </c>
      <c r="N2249" t="s">
        <v>1365</v>
      </c>
    </row>
    <row r="2250" spans="1:14" x14ac:dyDescent="0.35">
      <c r="A2250" t="s">
        <v>6251</v>
      </c>
      <c r="B2250" t="s">
        <v>6252</v>
      </c>
      <c r="C2250" t="s">
        <v>30</v>
      </c>
      <c r="D2250">
        <v>106.51</v>
      </c>
      <c r="E2250">
        <v>8000</v>
      </c>
      <c r="F2250" t="s">
        <v>31</v>
      </c>
      <c r="G2250" t="s">
        <v>32</v>
      </c>
      <c r="H2250" t="s">
        <v>43</v>
      </c>
      <c r="I2250" t="s">
        <v>129</v>
      </c>
      <c r="J2250" t="s">
        <v>75</v>
      </c>
      <c r="K2250" t="s">
        <v>76</v>
      </c>
      <c r="L2250">
        <v>13</v>
      </c>
      <c r="M2250" t="s">
        <v>321</v>
      </c>
      <c r="N2250" t="s">
        <v>5799</v>
      </c>
    </row>
    <row r="2251" spans="1:14" x14ac:dyDescent="0.35">
      <c r="A2251" t="s">
        <v>6253</v>
      </c>
      <c r="B2251" t="s">
        <v>6254</v>
      </c>
      <c r="C2251" t="s">
        <v>62</v>
      </c>
      <c r="D2251">
        <v>62.53</v>
      </c>
      <c r="E2251">
        <v>5000</v>
      </c>
      <c r="F2251" t="s">
        <v>51</v>
      </c>
      <c r="G2251" t="s">
        <v>32</v>
      </c>
      <c r="H2251" t="s">
        <v>57</v>
      </c>
      <c r="I2251" t="s">
        <v>34</v>
      </c>
      <c r="J2251" t="s">
        <v>112</v>
      </c>
      <c r="K2251" t="s">
        <v>106</v>
      </c>
      <c r="L2251">
        <v>7</v>
      </c>
      <c r="M2251" t="s">
        <v>2074</v>
      </c>
      <c r="N2251" t="s">
        <v>6255</v>
      </c>
    </row>
    <row r="2252" spans="1:14" x14ac:dyDescent="0.35">
      <c r="A2252" t="s">
        <v>6256</v>
      </c>
      <c r="B2252" t="s">
        <v>6257</v>
      </c>
      <c r="C2252" t="s">
        <v>30</v>
      </c>
      <c r="D2252">
        <v>151.5</v>
      </c>
      <c r="E2252">
        <v>8000</v>
      </c>
      <c r="F2252" t="s">
        <v>46</v>
      </c>
      <c r="G2252" t="s">
        <v>32</v>
      </c>
      <c r="H2252" t="s">
        <v>33</v>
      </c>
      <c r="I2252" t="s">
        <v>129</v>
      </c>
      <c r="J2252" t="s">
        <v>6258</v>
      </c>
      <c r="K2252" t="s">
        <v>74</v>
      </c>
      <c r="L2252">
        <v>4</v>
      </c>
      <c r="M2252" t="s">
        <v>394</v>
      </c>
      <c r="N2252" t="s">
        <v>1044</v>
      </c>
    </row>
    <row r="2253" spans="1:14" x14ac:dyDescent="0.35">
      <c r="A2253" t="s">
        <v>6259</v>
      </c>
      <c r="B2253" t="s">
        <v>6260</v>
      </c>
      <c r="C2253" t="s">
        <v>30</v>
      </c>
      <c r="D2253">
        <v>121.98</v>
      </c>
      <c r="E2253">
        <v>1000</v>
      </c>
      <c r="F2253" t="s">
        <v>64</v>
      </c>
      <c r="G2253" t="s">
        <v>32</v>
      </c>
      <c r="H2253" t="s">
        <v>33</v>
      </c>
      <c r="I2253" t="s">
        <v>44</v>
      </c>
      <c r="J2253" t="s">
        <v>3717</v>
      </c>
      <c r="K2253" t="s">
        <v>147</v>
      </c>
      <c r="L2253">
        <v>20</v>
      </c>
      <c r="M2253" t="s">
        <v>4115</v>
      </c>
      <c r="N2253" t="s">
        <v>2701</v>
      </c>
    </row>
    <row r="2254" spans="1:14" x14ac:dyDescent="0.35">
      <c r="A2254" t="s">
        <v>6261</v>
      </c>
      <c r="B2254" t="s">
        <v>6262</v>
      </c>
      <c r="C2254" t="s">
        <v>69</v>
      </c>
      <c r="D2254">
        <v>55.2</v>
      </c>
      <c r="E2254">
        <v>41000</v>
      </c>
      <c r="F2254" t="s">
        <v>87</v>
      </c>
      <c r="G2254" t="s">
        <v>32</v>
      </c>
      <c r="H2254" t="s">
        <v>43</v>
      </c>
      <c r="J2254" t="s">
        <v>124</v>
      </c>
      <c r="K2254" t="s">
        <v>117</v>
      </c>
      <c r="L2254">
        <v>16</v>
      </c>
      <c r="M2254" t="s">
        <v>2996</v>
      </c>
      <c r="N2254" t="s">
        <v>6263</v>
      </c>
    </row>
    <row r="2255" spans="1:14" x14ac:dyDescent="0.35">
      <c r="A2255" t="s">
        <v>6264</v>
      </c>
      <c r="B2255" t="s">
        <v>6265</v>
      </c>
      <c r="C2255" t="s">
        <v>69</v>
      </c>
      <c r="D2255">
        <v>92.23</v>
      </c>
      <c r="E2255">
        <v>94000</v>
      </c>
      <c r="F2255" t="s">
        <v>106</v>
      </c>
      <c r="G2255" t="s">
        <v>32</v>
      </c>
      <c r="H2255" t="s">
        <v>33</v>
      </c>
      <c r="J2255" t="s">
        <v>1208</v>
      </c>
      <c r="K2255" t="s">
        <v>139</v>
      </c>
      <c r="L2255">
        <v>5</v>
      </c>
      <c r="M2255" t="s">
        <v>160</v>
      </c>
      <c r="N2255" t="s">
        <v>1736</v>
      </c>
    </row>
    <row r="2256" spans="1:14" x14ac:dyDescent="0.35">
      <c r="A2256" t="s">
        <v>6266</v>
      </c>
      <c r="B2256" t="s">
        <v>6267</v>
      </c>
      <c r="C2256" t="s">
        <v>41</v>
      </c>
      <c r="D2256">
        <v>129.28</v>
      </c>
      <c r="E2256">
        <v>30000</v>
      </c>
      <c r="F2256" t="s">
        <v>117</v>
      </c>
      <c r="G2256" t="s">
        <v>32</v>
      </c>
      <c r="H2256" t="s">
        <v>33</v>
      </c>
      <c r="J2256" t="s">
        <v>45</v>
      </c>
      <c r="K2256" t="s">
        <v>46</v>
      </c>
      <c r="L2256">
        <v>7</v>
      </c>
      <c r="M2256" t="s">
        <v>462</v>
      </c>
      <c r="N2256" t="s">
        <v>1477</v>
      </c>
    </row>
    <row r="2257" spans="1:14" x14ac:dyDescent="0.35">
      <c r="A2257" t="s">
        <v>6268</v>
      </c>
      <c r="B2257" t="s">
        <v>6269</v>
      </c>
      <c r="C2257" t="s">
        <v>69</v>
      </c>
      <c r="D2257">
        <v>53.11</v>
      </c>
      <c r="E2257">
        <v>43000</v>
      </c>
      <c r="F2257" t="s">
        <v>97</v>
      </c>
      <c r="G2257" t="s">
        <v>32</v>
      </c>
      <c r="H2257" t="s">
        <v>43</v>
      </c>
      <c r="I2257" t="s">
        <v>34</v>
      </c>
      <c r="J2257" t="s">
        <v>209</v>
      </c>
      <c r="K2257" t="s">
        <v>74</v>
      </c>
      <c r="L2257">
        <v>20</v>
      </c>
      <c r="M2257" t="s">
        <v>188</v>
      </c>
      <c r="N2257" t="s">
        <v>3889</v>
      </c>
    </row>
    <row r="2258" spans="1:14" x14ac:dyDescent="0.35">
      <c r="A2258" t="s">
        <v>6270</v>
      </c>
      <c r="B2258" t="s">
        <v>6271</v>
      </c>
      <c r="C2258" t="s">
        <v>30</v>
      </c>
      <c r="D2258">
        <v>157.79</v>
      </c>
      <c r="E2258">
        <v>15000</v>
      </c>
      <c r="F2258" t="s">
        <v>51</v>
      </c>
      <c r="G2258" t="s">
        <v>32</v>
      </c>
      <c r="H2258" t="s">
        <v>33</v>
      </c>
      <c r="I2258" t="s">
        <v>44</v>
      </c>
      <c r="J2258" t="s">
        <v>70</v>
      </c>
      <c r="K2258" t="s">
        <v>31</v>
      </c>
      <c r="L2258">
        <v>0</v>
      </c>
      <c r="N2258" t="s">
        <v>1361</v>
      </c>
    </row>
    <row r="2259" spans="1:14" x14ac:dyDescent="0.35">
      <c r="A2259" t="s">
        <v>6272</v>
      </c>
      <c r="B2259" t="s">
        <v>6273</v>
      </c>
      <c r="C2259" t="s">
        <v>62</v>
      </c>
      <c r="D2259">
        <v>67.959999999999994</v>
      </c>
      <c r="E2259">
        <v>3000</v>
      </c>
      <c r="F2259" t="s">
        <v>74</v>
      </c>
      <c r="G2259" t="s">
        <v>32</v>
      </c>
      <c r="H2259" t="s">
        <v>33</v>
      </c>
      <c r="I2259" t="s">
        <v>34</v>
      </c>
      <c r="J2259" t="s">
        <v>2058</v>
      </c>
      <c r="K2259" t="s">
        <v>74</v>
      </c>
      <c r="L2259">
        <v>23</v>
      </c>
      <c r="N2259" t="s">
        <v>6274</v>
      </c>
    </row>
    <row r="2260" spans="1:14" x14ac:dyDescent="0.35">
      <c r="A2260" t="s">
        <v>6275</v>
      </c>
      <c r="B2260" t="s">
        <v>6276</v>
      </c>
      <c r="C2260" t="s">
        <v>41</v>
      </c>
      <c r="D2260">
        <v>123.6</v>
      </c>
      <c r="E2260">
        <v>13000</v>
      </c>
      <c r="F2260" t="s">
        <v>51</v>
      </c>
      <c r="G2260" t="s">
        <v>32</v>
      </c>
      <c r="H2260" t="s">
        <v>57</v>
      </c>
      <c r="I2260" t="s">
        <v>44</v>
      </c>
      <c r="J2260" t="s">
        <v>235</v>
      </c>
      <c r="K2260" t="s">
        <v>236</v>
      </c>
      <c r="L2260">
        <v>13</v>
      </c>
      <c r="M2260" t="s">
        <v>1541</v>
      </c>
      <c r="N2260" t="s">
        <v>5161</v>
      </c>
    </row>
    <row r="2261" spans="1:14" x14ac:dyDescent="0.35">
      <c r="A2261" t="s">
        <v>6277</v>
      </c>
      <c r="B2261" t="s">
        <v>6278</v>
      </c>
      <c r="C2261" t="s">
        <v>62</v>
      </c>
      <c r="D2261">
        <v>83.07</v>
      </c>
      <c r="E2261">
        <v>4000</v>
      </c>
      <c r="F2261" t="s">
        <v>36</v>
      </c>
      <c r="G2261" t="s">
        <v>32</v>
      </c>
      <c r="H2261" t="s">
        <v>43</v>
      </c>
      <c r="I2261" t="s">
        <v>34</v>
      </c>
      <c r="J2261" t="s">
        <v>130</v>
      </c>
      <c r="K2261" t="s">
        <v>123</v>
      </c>
      <c r="L2261">
        <v>11</v>
      </c>
      <c r="M2261" t="s">
        <v>4469</v>
      </c>
      <c r="N2261" t="s">
        <v>510</v>
      </c>
    </row>
    <row r="2262" spans="1:14" x14ac:dyDescent="0.35">
      <c r="A2262" t="s">
        <v>6279</v>
      </c>
      <c r="B2262" t="s">
        <v>6280</v>
      </c>
      <c r="C2262" t="s">
        <v>62</v>
      </c>
      <c r="D2262">
        <v>55.79</v>
      </c>
      <c r="E2262">
        <v>4000</v>
      </c>
      <c r="F2262" t="s">
        <v>42</v>
      </c>
      <c r="G2262" t="s">
        <v>32</v>
      </c>
      <c r="H2262" t="s">
        <v>33</v>
      </c>
      <c r="I2262" t="s">
        <v>34</v>
      </c>
      <c r="J2262" t="s">
        <v>130</v>
      </c>
      <c r="K2262" t="s">
        <v>123</v>
      </c>
      <c r="L2262">
        <v>11</v>
      </c>
      <c r="M2262" t="s">
        <v>1224</v>
      </c>
      <c r="N2262" t="s">
        <v>3105</v>
      </c>
    </row>
    <row r="2263" spans="1:14" x14ac:dyDescent="0.35">
      <c r="A2263" t="s">
        <v>6281</v>
      </c>
      <c r="B2263" t="s">
        <v>6282</v>
      </c>
      <c r="C2263" t="s">
        <v>41</v>
      </c>
      <c r="D2263">
        <v>84.22</v>
      </c>
      <c r="E2263">
        <v>30000</v>
      </c>
      <c r="F2263" t="s">
        <v>236</v>
      </c>
      <c r="G2263" t="s">
        <v>32</v>
      </c>
      <c r="H2263" t="s">
        <v>43</v>
      </c>
      <c r="J2263" t="s">
        <v>4904</v>
      </c>
      <c r="K2263" t="s">
        <v>51</v>
      </c>
      <c r="L2263">
        <v>6</v>
      </c>
      <c r="N2263" t="s">
        <v>1747</v>
      </c>
    </row>
    <row r="2264" spans="1:14" x14ac:dyDescent="0.35">
      <c r="A2264" t="s">
        <v>6283</v>
      </c>
      <c r="B2264" t="s">
        <v>6284</v>
      </c>
      <c r="C2264" t="s">
        <v>81</v>
      </c>
      <c r="D2264">
        <v>82.49</v>
      </c>
      <c r="E2264">
        <v>10000</v>
      </c>
      <c r="F2264" t="s">
        <v>236</v>
      </c>
      <c r="G2264" t="s">
        <v>32</v>
      </c>
      <c r="H2264" t="s">
        <v>43</v>
      </c>
      <c r="I2264" t="s">
        <v>44</v>
      </c>
      <c r="J2264" t="s">
        <v>118</v>
      </c>
      <c r="K2264" t="s">
        <v>42</v>
      </c>
      <c r="L2264">
        <v>21</v>
      </c>
      <c r="M2264" t="s">
        <v>1839</v>
      </c>
      <c r="N2264" t="s">
        <v>868</v>
      </c>
    </row>
    <row r="2265" spans="1:14" x14ac:dyDescent="0.35">
      <c r="A2265" t="s">
        <v>6285</v>
      </c>
      <c r="B2265" t="s">
        <v>6286</v>
      </c>
      <c r="C2265" t="s">
        <v>62</v>
      </c>
      <c r="D2265">
        <v>77.66</v>
      </c>
      <c r="E2265">
        <v>4000</v>
      </c>
      <c r="F2265" t="s">
        <v>236</v>
      </c>
      <c r="G2265" t="s">
        <v>32</v>
      </c>
      <c r="H2265" t="s">
        <v>57</v>
      </c>
      <c r="I2265" t="s">
        <v>44</v>
      </c>
      <c r="J2265" t="s">
        <v>63</v>
      </c>
      <c r="K2265" t="s">
        <v>64</v>
      </c>
      <c r="L2265">
        <v>12</v>
      </c>
      <c r="M2265" t="s">
        <v>398</v>
      </c>
      <c r="N2265" t="s">
        <v>799</v>
      </c>
    </row>
    <row r="2266" spans="1:14" x14ac:dyDescent="0.35">
      <c r="A2266" t="s">
        <v>6287</v>
      </c>
      <c r="B2266" t="s">
        <v>6288</v>
      </c>
      <c r="C2266" t="s">
        <v>69</v>
      </c>
      <c r="D2266">
        <v>96.01</v>
      </c>
      <c r="E2266">
        <v>92000</v>
      </c>
      <c r="F2266" t="s">
        <v>74</v>
      </c>
      <c r="G2266" t="s">
        <v>32</v>
      </c>
      <c r="H2266" t="s">
        <v>33</v>
      </c>
      <c r="I2266" t="s">
        <v>34</v>
      </c>
      <c r="J2266" t="s">
        <v>63</v>
      </c>
      <c r="K2266" t="s">
        <v>64</v>
      </c>
      <c r="L2266">
        <v>23</v>
      </c>
      <c r="N2266" t="s">
        <v>956</v>
      </c>
    </row>
    <row r="2267" spans="1:14" x14ac:dyDescent="0.35">
      <c r="A2267" t="s">
        <v>6289</v>
      </c>
      <c r="B2267" t="s">
        <v>6290</v>
      </c>
      <c r="C2267" t="s">
        <v>30</v>
      </c>
      <c r="D2267">
        <v>115.5</v>
      </c>
      <c r="E2267">
        <v>5000</v>
      </c>
      <c r="F2267" t="s">
        <v>139</v>
      </c>
      <c r="G2267" t="s">
        <v>32</v>
      </c>
      <c r="H2267" t="s">
        <v>57</v>
      </c>
      <c r="I2267" t="s">
        <v>34</v>
      </c>
      <c r="J2267" t="s">
        <v>209</v>
      </c>
      <c r="K2267" t="s">
        <v>74</v>
      </c>
      <c r="L2267">
        <v>0</v>
      </c>
      <c r="N2267" t="s">
        <v>1985</v>
      </c>
    </row>
    <row r="2268" spans="1:14" x14ac:dyDescent="0.35">
      <c r="A2268" t="s">
        <v>6291</v>
      </c>
      <c r="B2268" t="s">
        <v>6292</v>
      </c>
      <c r="C2268" t="s">
        <v>116</v>
      </c>
      <c r="D2268">
        <v>9.1300000000000008</v>
      </c>
      <c r="E2268">
        <v>100</v>
      </c>
      <c r="F2268" t="s">
        <v>74</v>
      </c>
      <c r="G2268" t="s">
        <v>32</v>
      </c>
      <c r="H2268" t="s">
        <v>57</v>
      </c>
      <c r="I2268" t="s">
        <v>44</v>
      </c>
      <c r="J2268" t="s">
        <v>334</v>
      </c>
      <c r="K2268" t="s">
        <v>51</v>
      </c>
      <c r="L2268">
        <v>1</v>
      </c>
      <c r="M2268" t="s">
        <v>3067</v>
      </c>
      <c r="N2268" t="s">
        <v>2537</v>
      </c>
    </row>
    <row r="2269" spans="1:14" x14ac:dyDescent="0.35">
      <c r="A2269" t="s">
        <v>6293</v>
      </c>
      <c r="B2269" t="s">
        <v>6294</v>
      </c>
      <c r="C2269" t="s">
        <v>69</v>
      </c>
      <c r="D2269">
        <v>84.67</v>
      </c>
      <c r="E2269">
        <v>55000</v>
      </c>
      <c r="F2269" t="s">
        <v>36</v>
      </c>
      <c r="G2269" t="s">
        <v>32</v>
      </c>
      <c r="H2269" t="s">
        <v>57</v>
      </c>
      <c r="I2269" t="s">
        <v>129</v>
      </c>
      <c r="J2269" t="s">
        <v>70</v>
      </c>
      <c r="K2269" t="s">
        <v>31</v>
      </c>
      <c r="L2269">
        <v>13</v>
      </c>
      <c r="M2269" t="s">
        <v>131</v>
      </c>
      <c r="N2269" t="s">
        <v>4384</v>
      </c>
    </row>
    <row r="2270" spans="1:14" x14ac:dyDescent="0.35">
      <c r="A2270" t="s">
        <v>6295</v>
      </c>
      <c r="B2270" t="s">
        <v>6296</v>
      </c>
      <c r="C2270" t="s">
        <v>30</v>
      </c>
      <c r="D2270">
        <v>169.87</v>
      </c>
      <c r="E2270">
        <v>5000</v>
      </c>
      <c r="F2270" t="s">
        <v>46</v>
      </c>
      <c r="G2270" t="s">
        <v>32</v>
      </c>
      <c r="H2270" t="s">
        <v>57</v>
      </c>
      <c r="I2270" t="s">
        <v>129</v>
      </c>
      <c r="J2270" t="s">
        <v>118</v>
      </c>
      <c r="K2270" t="s">
        <v>42</v>
      </c>
      <c r="L2270">
        <v>8</v>
      </c>
      <c r="M2270" t="s">
        <v>5734</v>
      </c>
      <c r="N2270" t="s">
        <v>1580</v>
      </c>
    </row>
    <row r="2271" spans="1:14" x14ac:dyDescent="0.35">
      <c r="A2271" t="s">
        <v>6297</v>
      </c>
      <c r="B2271" t="s">
        <v>6298</v>
      </c>
      <c r="C2271" t="s">
        <v>69</v>
      </c>
      <c r="D2271">
        <v>86.08</v>
      </c>
      <c r="E2271">
        <v>43000</v>
      </c>
      <c r="F2271" t="s">
        <v>36</v>
      </c>
      <c r="G2271" t="s">
        <v>32</v>
      </c>
      <c r="H2271" t="s">
        <v>57</v>
      </c>
      <c r="I2271" t="s">
        <v>44</v>
      </c>
      <c r="J2271" t="s">
        <v>96</v>
      </c>
      <c r="K2271" t="s">
        <v>97</v>
      </c>
      <c r="L2271">
        <v>9</v>
      </c>
      <c r="M2271" t="s">
        <v>2401</v>
      </c>
      <c r="N2271" t="s">
        <v>5104</v>
      </c>
    </row>
    <row r="2272" spans="1:14" x14ac:dyDescent="0.35">
      <c r="A2272" t="s">
        <v>6299</v>
      </c>
      <c r="B2272" t="s">
        <v>6300</v>
      </c>
      <c r="C2272" t="s">
        <v>62</v>
      </c>
      <c r="D2272">
        <v>63.85</v>
      </c>
      <c r="E2272">
        <v>3000</v>
      </c>
      <c r="F2272" t="s">
        <v>236</v>
      </c>
      <c r="G2272" t="s">
        <v>32</v>
      </c>
      <c r="H2272" t="s">
        <v>33</v>
      </c>
      <c r="I2272" t="s">
        <v>34</v>
      </c>
      <c r="J2272" t="s">
        <v>107</v>
      </c>
      <c r="K2272" t="s">
        <v>87</v>
      </c>
      <c r="L2272">
        <v>4</v>
      </c>
      <c r="M2272" t="s">
        <v>77</v>
      </c>
      <c r="N2272" t="s">
        <v>3176</v>
      </c>
    </row>
    <row r="2273" spans="1:14" x14ac:dyDescent="0.35">
      <c r="A2273" t="s">
        <v>6301</v>
      </c>
      <c r="B2273" t="s">
        <v>6302</v>
      </c>
      <c r="C2273" t="s">
        <v>69</v>
      </c>
      <c r="D2273">
        <v>76.05</v>
      </c>
      <c r="E2273">
        <v>22000</v>
      </c>
      <c r="F2273" t="s">
        <v>42</v>
      </c>
      <c r="G2273" t="s">
        <v>32</v>
      </c>
      <c r="H2273" t="s">
        <v>57</v>
      </c>
      <c r="J2273" t="s">
        <v>45</v>
      </c>
      <c r="K2273" t="s">
        <v>46</v>
      </c>
      <c r="L2273">
        <v>2</v>
      </c>
      <c r="M2273" t="s">
        <v>5382</v>
      </c>
      <c r="N2273" t="s">
        <v>3215</v>
      </c>
    </row>
    <row r="2274" spans="1:14" x14ac:dyDescent="0.35">
      <c r="A2274" t="s">
        <v>6303</v>
      </c>
      <c r="B2274" t="s">
        <v>6304</v>
      </c>
      <c r="C2274" t="s">
        <v>116</v>
      </c>
      <c r="D2274">
        <v>11.12</v>
      </c>
      <c r="E2274">
        <v>600</v>
      </c>
      <c r="F2274" t="s">
        <v>123</v>
      </c>
      <c r="G2274" t="s">
        <v>32</v>
      </c>
      <c r="H2274" t="s">
        <v>57</v>
      </c>
      <c r="I2274" t="s">
        <v>34</v>
      </c>
      <c r="J2274" t="s">
        <v>1852</v>
      </c>
      <c r="K2274" t="s">
        <v>147</v>
      </c>
      <c r="L2274">
        <v>11</v>
      </c>
      <c r="N2274" t="s">
        <v>2059</v>
      </c>
    </row>
    <row r="2275" spans="1:14" x14ac:dyDescent="0.35">
      <c r="A2275" t="s">
        <v>6305</v>
      </c>
      <c r="B2275" t="s">
        <v>6306</v>
      </c>
      <c r="C2275" t="s">
        <v>116</v>
      </c>
      <c r="D2275">
        <v>11.98</v>
      </c>
      <c r="E2275">
        <v>400</v>
      </c>
      <c r="F2275" t="s">
        <v>31</v>
      </c>
      <c r="G2275" t="s">
        <v>32</v>
      </c>
      <c r="H2275" t="s">
        <v>57</v>
      </c>
      <c r="I2275" t="s">
        <v>44</v>
      </c>
      <c r="J2275" t="s">
        <v>4486</v>
      </c>
      <c r="K2275" t="s">
        <v>147</v>
      </c>
      <c r="L2275">
        <v>8</v>
      </c>
      <c r="M2275" t="s">
        <v>807</v>
      </c>
      <c r="N2275" t="s">
        <v>2986</v>
      </c>
    </row>
    <row r="2276" spans="1:14" x14ac:dyDescent="0.35">
      <c r="A2276" t="s">
        <v>6307</v>
      </c>
      <c r="B2276" t="s">
        <v>6308</v>
      </c>
      <c r="C2276" t="s">
        <v>62</v>
      </c>
      <c r="D2276">
        <v>86.84</v>
      </c>
      <c r="E2276">
        <v>1000</v>
      </c>
      <c r="F2276" t="s">
        <v>74</v>
      </c>
      <c r="G2276" t="s">
        <v>32</v>
      </c>
      <c r="H2276" t="s">
        <v>57</v>
      </c>
      <c r="J2276" t="s">
        <v>893</v>
      </c>
      <c r="K2276" t="s">
        <v>147</v>
      </c>
      <c r="L2276">
        <v>4</v>
      </c>
      <c r="M2276" t="s">
        <v>2221</v>
      </c>
      <c r="N2276" t="s">
        <v>1594</v>
      </c>
    </row>
    <row r="2277" spans="1:14" x14ac:dyDescent="0.35">
      <c r="A2277" t="s">
        <v>6309</v>
      </c>
      <c r="B2277" t="s">
        <v>6310</v>
      </c>
      <c r="C2277" t="s">
        <v>41</v>
      </c>
      <c r="D2277">
        <v>97.82</v>
      </c>
      <c r="E2277">
        <v>34000</v>
      </c>
      <c r="F2277" t="s">
        <v>51</v>
      </c>
      <c r="G2277" t="s">
        <v>32</v>
      </c>
      <c r="H2277" t="s">
        <v>33</v>
      </c>
      <c r="I2277" t="s">
        <v>34</v>
      </c>
      <c r="J2277" t="s">
        <v>3097</v>
      </c>
      <c r="K2277" t="s">
        <v>51</v>
      </c>
      <c r="L2277">
        <v>9</v>
      </c>
      <c r="M2277" t="s">
        <v>675</v>
      </c>
      <c r="N2277" t="s">
        <v>78</v>
      </c>
    </row>
    <row r="2278" spans="1:14" x14ac:dyDescent="0.35">
      <c r="A2278" t="s">
        <v>6311</v>
      </c>
      <c r="B2278" t="s">
        <v>6312</v>
      </c>
      <c r="C2278" t="s">
        <v>62</v>
      </c>
      <c r="D2278">
        <v>71.150000000000006</v>
      </c>
      <c r="E2278">
        <v>3000</v>
      </c>
      <c r="F2278" t="s">
        <v>31</v>
      </c>
      <c r="G2278" t="s">
        <v>102</v>
      </c>
      <c r="H2278" t="s">
        <v>57</v>
      </c>
      <c r="J2278" t="s">
        <v>235</v>
      </c>
      <c r="K2278" t="s">
        <v>236</v>
      </c>
      <c r="L2278">
        <v>18</v>
      </c>
      <c r="M2278" t="s">
        <v>603</v>
      </c>
      <c r="N2278" t="s">
        <v>1641</v>
      </c>
    </row>
    <row r="2279" spans="1:14" x14ac:dyDescent="0.35">
      <c r="A2279" t="s">
        <v>6313</v>
      </c>
      <c r="B2279" t="s">
        <v>6314</v>
      </c>
      <c r="C2279" t="s">
        <v>41</v>
      </c>
      <c r="D2279">
        <v>145.07</v>
      </c>
      <c r="E2279">
        <v>12000</v>
      </c>
      <c r="F2279" t="s">
        <v>76</v>
      </c>
      <c r="G2279" t="s">
        <v>32</v>
      </c>
      <c r="H2279" t="s">
        <v>43</v>
      </c>
      <c r="I2279" t="s">
        <v>44</v>
      </c>
      <c r="J2279" t="s">
        <v>107</v>
      </c>
      <c r="K2279" t="s">
        <v>87</v>
      </c>
      <c r="L2279">
        <v>12</v>
      </c>
      <c r="M2279" t="s">
        <v>2243</v>
      </c>
      <c r="N2279" t="s">
        <v>501</v>
      </c>
    </row>
    <row r="2280" spans="1:14" x14ac:dyDescent="0.35">
      <c r="A2280" t="s">
        <v>6315</v>
      </c>
      <c r="B2280" t="s">
        <v>6316</v>
      </c>
      <c r="C2280" t="s">
        <v>81</v>
      </c>
      <c r="D2280">
        <v>74.459999999999994</v>
      </c>
      <c r="E2280">
        <v>5000</v>
      </c>
      <c r="F2280" t="s">
        <v>106</v>
      </c>
      <c r="G2280" t="s">
        <v>32</v>
      </c>
      <c r="H2280" t="s">
        <v>43</v>
      </c>
      <c r="I2280" t="s">
        <v>34</v>
      </c>
      <c r="J2280" t="s">
        <v>63</v>
      </c>
      <c r="K2280" t="s">
        <v>64</v>
      </c>
      <c r="L2280">
        <v>19</v>
      </c>
      <c r="N2280" t="s">
        <v>84</v>
      </c>
    </row>
    <row r="2281" spans="1:14" x14ac:dyDescent="0.35">
      <c r="A2281" t="s">
        <v>6317</v>
      </c>
      <c r="B2281" t="s">
        <v>6318</v>
      </c>
      <c r="C2281" t="s">
        <v>41</v>
      </c>
      <c r="D2281">
        <v>119.07</v>
      </c>
      <c r="E2281">
        <v>39000</v>
      </c>
      <c r="F2281" t="s">
        <v>87</v>
      </c>
      <c r="G2281" t="s">
        <v>32</v>
      </c>
      <c r="H2281" t="s">
        <v>33</v>
      </c>
      <c r="I2281" t="s">
        <v>44</v>
      </c>
      <c r="J2281" t="s">
        <v>70</v>
      </c>
      <c r="K2281" t="s">
        <v>31</v>
      </c>
      <c r="L2281">
        <v>3</v>
      </c>
      <c r="M2281" t="s">
        <v>2596</v>
      </c>
      <c r="N2281" t="s">
        <v>3248</v>
      </c>
    </row>
    <row r="2282" spans="1:14" x14ac:dyDescent="0.35">
      <c r="A2282" t="s">
        <v>6319</v>
      </c>
      <c r="B2282" t="s">
        <v>6320</v>
      </c>
      <c r="C2282" t="s">
        <v>30</v>
      </c>
      <c r="D2282">
        <v>157.26</v>
      </c>
      <c r="E2282">
        <v>14000</v>
      </c>
      <c r="F2282" t="s">
        <v>106</v>
      </c>
      <c r="G2282" t="s">
        <v>32</v>
      </c>
      <c r="H2282" t="s">
        <v>33</v>
      </c>
      <c r="I2282" t="s">
        <v>34</v>
      </c>
      <c r="J2282" t="s">
        <v>92</v>
      </c>
      <c r="K2282" t="s">
        <v>51</v>
      </c>
      <c r="L2282">
        <v>6</v>
      </c>
      <c r="M2282" t="s">
        <v>1036</v>
      </c>
      <c r="N2282" t="s">
        <v>977</v>
      </c>
    </row>
    <row r="2283" spans="1:14" x14ac:dyDescent="0.35">
      <c r="A2283" t="s">
        <v>6321</v>
      </c>
      <c r="B2283" t="s">
        <v>6322</v>
      </c>
      <c r="C2283" t="s">
        <v>30</v>
      </c>
      <c r="D2283">
        <v>174.04</v>
      </c>
      <c r="E2283">
        <v>11000</v>
      </c>
      <c r="F2283" t="s">
        <v>74</v>
      </c>
      <c r="G2283" t="s">
        <v>32</v>
      </c>
      <c r="H2283" t="s">
        <v>43</v>
      </c>
      <c r="J2283" t="s">
        <v>6323</v>
      </c>
      <c r="K2283" t="s">
        <v>51</v>
      </c>
      <c r="L2283">
        <v>1</v>
      </c>
      <c r="M2283" t="s">
        <v>930</v>
      </c>
      <c r="N2283" t="s">
        <v>1078</v>
      </c>
    </row>
    <row r="2284" spans="1:14" x14ac:dyDescent="0.35">
      <c r="A2284" t="s">
        <v>6324</v>
      </c>
      <c r="B2284" t="s">
        <v>6325</v>
      </c>
      <c r="C2284" t="s">
        <v>116</v>
      </c>
      <c r="D2284">
        <v>7.86</v>
      </c>
      <c r="E2284">
        <v>200</v>
      </c>
      <c r="F2284" t="s">
        <v>51</v>
      </c>
      <c r="G2284" t="s">
        <v>32</v>
      </c>
      <c r="H2284" t="s">
        <v>33</v>
      </c>
      <c r="I2284" t="s">
        <v>44</v>
      </c>
      <c r="J2284" t="s">
        <v>70</v>
      </c>
      <c r="K2284" t="s">
        <v>31</v>
      </c>
      <c r="L2284">
        <v>6</v>
      </c>
      <c r="M2284" t="s">
        <v>4311</v>
      </c>
      <c r="N2284" t="s">
        <v>5491</v>
      </c>
    </row>
    <row r="2285" spans="1:14" x14ac:dyDescent="0.35">
      <c r="A2285" t="s">
        <v>6326</v>
      </c>
      <c r="B2285" t="s">
        <v>6327</v>
      </c>
      <c r="C2285" t="s">
        <v>69</v>
      </c>
      <c r="D2285">
        <v>90.23</v>
      </c>
      <c r="E2285">
        <v>81000</v>
      </c>
      <c r="F2285" t="s">
        <v>139</v>
      </c>
      <c r="G2285" t="s">
        <v>32</v>
      </c>
      <c r="H2285" t="s">
        <v>57</v>
      </c>
      <c r="J2285" t="s">
        <v>112</v>
      </c>
      <c r="K2285" t="s">
        <v>106</v>
      </c>
      <c r="L2285">
        <v>0</v>
      </c>
      <c r="M2285" t="s">
        <v>5498</v>
      </c>
      <c r="N2285" t="s">
        <v>1758</v>
      </c>
    </row>
    <row r="2286" spans="1:14" x14ac:dyDescent="0.35">
      <c r="A2286" t="s">
        <v>6328</v>
      </c>
      <c r="B2286" t="s">
        <v>6329</v>
      </c>
      <c r="C2286" t="s">
        <v>116</v>
      </c>
      <c r="D2286">
        <v>8.7200000000000006</v>
      </c>
      <c r="E2286">
        <v>400</v>
      </c>
      <c r="F2286" t="s">
        <v>236</v>
      </c>
      <c r="G2286" t="s">
        <v>32</v>
      </c>
      <c r="H2286" t="s">
        <v>33</v>
      </c>
      <c r="I2286" t="s">
        <v>44</v>
      </c>
      <c r="J2286" t="s">
        <v>3531</v>
      </c>
      <c r="K2286" t="s">
        <v>147</v>
      </c>
      <c r="L2286">
        <v>6</v>
      </c>
      <c r="N2286" t="s">
        <v>6330</v>
      </c>
    </row>
    <row r="2287" spans="1:14" x14ac:dyDescent="0.35">
      <c r="A2287" t="s">
        <v>6331</v>
      </c>
      <c r="B2287" t="s">
        <v>6332</v>
      </c>
      <c r="C2287" t="s">
        <v>62</v>
      </c>
      <c r="D2287">
        <v>57.89</v>
      </c>
      <c r="E2287">
        <v>4000</v>
      </c>
      <c r="F2287" t="s">
        <v>123</v>
      </c>
      <c r="G2287" t="s">
        <v>32</v>
      </c>
      <c r="H2287" t="s">
        <v>43</v>
      </c>
      <c r="I2287" t="s">
        <v>44</v>
      </c>
      <c r="J2287" t="s">
        <v>118</v>
      </c>
      <c r="K2287" t="s">
        <v>42</v>
      </c>
      <c r="L2287">
        <v>13</v>
      </c>
      <c r="M2287" t="s">
        <v>1966</v>
      </c>
      <c r="N2287" t="s">
        <v>2654</v>
      </c>
    </row>
    <row r="2288" spans="1:14" x14ac:dyDescent="0.35">
      <c r="A2288" t="s">
        <v>6333</v>
      </c>
      <c r="B2288" t="s">
        <v>6334</v>
      </c>
      <c r="C2288" t="s">
        <v>69</v>
      </c>
      <c r="D2288">
        <v>76.66</v>
      </c>
      <c r="E2288">
        <v>23000</v>
      </c>
      <c r="F2288" t="s">
        <v>42</v>
      </c>
      <c r="G2288" t="s">
        <v>32</v>
      </c>
      <c r="H2288" t="s">
        <v>57</v>
      </c>
      <c r="I2288" t="s">
        <v>44</v>
      </c>
      <c r="J2288" t="s">
        <v>543</v>
      </c>
      <c r="K2288" t="s">
        <v>51</v>
      </c>
      <c r="L2288">
        <v>22</v>
      </c>
      <c r="M2288" t="s">
        <v>4469</v>
      </c>
      <c r="N2288" t="s">
        <v>6335</v>
      </c>
    </row>
    <row r="2289" spans="1:14" x14ac:dyDescent="0.35">
      <c r="A2289" t="s">
        <v>6336</v>
      </c>
      <c r="B2289" t="s">
        <v>6337</v>
      </c>
      <c r="C2289" t="s">
        <v>62</v>
      </c>
      <c r="D2289">
        <v>65.930000000000007</v>
      </c>
      <c r="E2289">
        <v>3000</v>
      </c>
      <c r="F2289" t="s">
        <v>74</v>
      </c>
      <c r="G2289" t="s">
        <v>32</v>
      </c>
      <c r="H2289" t="s">
        <v>57</v>
      </c>
      <c r="J2289" t="s">
        <v>1918</v>
      </c>
      <c r="K2289" t="s">
        <v>31</v>
      </c>
      <c r="L2289">
        <v>18</v>
      </c>
      <c r="N2289" t="s">
        <v>3201</v>
      </c>
    </row>
    <row r="2290" spans="1:14" x14ac:dyDescent="0.35">
      <c r="A2290" t="s">
        <v>6338</v>
      </c>
      <c r="B2290" t="s">
        <v>6339</v>
      </c>
      <c r="C2290" t="s">
        <v>116</v>
      </c>
      <c r="D2290">
        <v>7.02</v>
      </c>
      <c r="E2290">
        <v>600</v>
      </c>
      <c r="F2290" t="s">
        <v>46</v>
      </c>
      <c r="G2290" t="s">
        <v>32</v>
      </c>
      <c r="H2290" t="s">
        <v>33</v>
      </c>
      <c r="I2290" t="s">
        <v>34</v>
      </c>
      <c r="J2290" t="s">
        <v>118</v>
      </c>
      <c r="K2290" t="s">
        <v>42</v>
      </c>
      <c r="L2290">
        <v>19</v>
      </c>
      <c r="M2290" t="s">
        <v>394</v>
      </c>
      <c r="N2290" t="s">
        <v>6340</v>
      </c>
    </row>
    <row r="2291" spans="1:14" x14ac:dyDescent="0.35">
      <c r="A2291" t="s">
        <v>6341</v>
      </c>
      <c r="B2291" t="s">
        <v>6342</v>
      </c>
      <c r="C2291" t="s">
        <v>62</v>
      </c>
      <c r="D2291">
        <v>78.459999999999994</v>
      </c>
      <c r="E2291">
        <v>3000</v>
      </c>
      <c r="F2291" t="s">
        <v>46</v>
      </c>
      <c r="G2291" t="s">
        <v>32</v>
      </c>
      <c r="H2291" t="s">
        <v>43</v>
      </c>
      <c r="J2291" t="s">
        <v>107</v>
      </c>
      <c r="K2291" t="s">
        <v>87</v>
      </c>
      <c r="L2291">
        <v>20</v>
      </c>
      <c r="M2291" t="s">
        <v>835</v>
      </c>
      <c r="N2291" t="s">
        <v>1461</v>
      </c>
    </row>
    <row r="2292" spans="1:14" x14ac:dyDescent="0.35">
      <c r="A2292" t="s">
        <v>6343</v>
      </c>
      <c r="B2292" t="s">
        <v>6344</v>
      </c>
      <c r="C2292" t="s">
        <v>81</v>
      </c>
      <c r="D2292">
        <v>133.97999999999999</v>
      </c>
      <c r="E2292">
        <v>8000</v>
      </c>
      <c r="F2292" t="s">
        <v>87</v>
      </c>
      <c r="G2292" t="s">
        <v>32</v>
      </c>
      <c r="H2292" t="s">
        <v>33</v>
      </c>
      <c r="I2292" t="s">
        <v>44</v>
      </c>
      <c r="J2292" t="s">
        <v>35</v>
      </c>
      <c r="K2292" t="s">
        <v>36</v>
      </c>
      <c r="L2292">
        <v>15</v>
      </c>
      <c r="M2292" t="s">
        <v>447</v>
      </c>
      <c r="N2292" t="s">
        <v>2071</v>
      </c>
    </row>
    <row r="2293" spans="1:14" x14ac:dyDescent="0.35">
      <c r="A2293" t="s">
        <v>6345</v>
      </c>
      <c r="B2293" t="s">
        <v>6346</v>
      </c>
      <c r="C2293" t="s">
        <v>81</v>
      </c>
      <c r="D2293">
        <v>100.26</v>
      </c>
      <c r="E2293">
        <v>4000</v>
      </c>
      <c r="F2293" t="s">
        <v>74</v>
      </c>
      <c r="G2293" t="s">
        <v>32</v>
      </c>
      <c r="H2293" t="s">
        <v>57</v>
      </c>
      <c r="I2293" t="s">
        <v>44</v>
      </c>
      <c r="J2293" t="s">
        <v>316</v>
      </c>
      <c r="K2293" t="s">
        <v>97</v>
      </c>
      <c r="L2293">
        <v>17</v>
      </c>
      <c r="N2293" t="s">
        <v>2391</v>
      </c>
    </row>
    <row r="2294" spans="1:14" x14ac:dyDescent="0.35">
      <c r="A2294" t="s">
        <v>6347</v>
      </c>
      <c r="B2294" t="s">
        <v>6348</v>
      </c>
      <c r="C2294" t="s">
        <v>41</v>
      </c>
      <c r="D2294">
        <v>83.88</v>
      </c>
      <c r="E2294">
        <v>33000</v>
      </c>
      <c r="F2294" t="s">
        <v>87</v>
      </c>
      <c r="G2294" t="s">
        <v>32</v>
      </c>
      <c r="H2294" t="s">
        <v>43</v>
      </c>
      <c r="I2294" t="s">
        <v>34</v>
      </c>
      <c r="J2294" t="s">
        <v>6349</v>
      </c>
      <c r="K2294" t="s">
        <v>139</v>
      </c>
      <c r="L2294">
        <v>17</v>
      </c>
      <c r="N2294" t="s">
        <v>3082</v>
      </c>
    </row>
    <row r="2295" spans="1:14" x14ac:dyDescent="0.35">
      <c r="A2295" t="s">
        <v>6350</v>
      </c>
      <c r="B2295" t="s">
        <v>6351</v>
      </c>
      <c r="C2295" t="s">
        <v>69</v>
      </c>
      <c r="D2295">
        <v>92.73</v>
      </c>
      <c r="E2295">
        <v>28000</v>
      </c>
      <c r="F2295" t="s">
        <v>236</v>
      </c>
      <c r="G2295" t="s">
        <v>32</v>
      </c>
      <c r="H2295" t="s">
        <v>43</v>
      </c>
      <c r="I2295" t="s">
        <v>34</v>
      </c>
      <c r="J2295" t="s">
        <v>2524</v>
      </c>
      <c r="K2295" t="s">
        <v>51</v>
      </c>
      <c r="L2295">
        <v>9</v>
      </c>
      <c r="M2295" t="s">
        <v>1040</v>
      </c>
      <c r="N2295" t="s">
        <v>6034</v>
      </c>
    </row>
    <row r="2296" spans="1:14" x14ac:dyDescent="0.35">
      <c r="A2296" t="s">
        <v>6352</v>
      </c>
      <c r="B2296" t="s">
        <v>6353</v>
      </c>
      <c r="C2296" t="s">
        <v>69</v>
      </c>
      <c r="D2296">
        <v>85.53</v>
      </c>
      <c r="E2296">
        <v>92000</v>
      </c>
      <c r="F2296" t="s">
        <v>74</v>
      </c>
      <c r="G2296" t="s">
        <v>32</v>
      </c>
      <c r="H2296" t="s">
        <v>33</v>
      </c>
      <c r="J2296" t="s">
        <v>35</v>
      </c>
      <c r="K2296" t="s">
        <v>36</v>
      </c>
      <c r="L2296">
        <v>14</v>
      </c>
      <c r="M2296" t="s">
        <v>952</v>
      </c>
      <c r="N2296" t="s">
        <v>1081</v>
      </c>
    </row>
    <row r="2297" spans="1:14" x14ac:dyDescent="0.35">
      <c r="A2297" t="s">
        <v>6354</v>
      </c>
      <c r="B2297" t="s">
        <v>6355</v>
      </c>
      <c r="C2297" t="s">
        <v>30</v>
      </c>
      <c r="D2297">
        <v>190.47</v>
      </c>
      <c r="E2297">
        <v>8000</v>
      </c>
      <c r="F2297" t="s">
        <v>147</v>
      </c>
      <c r="G2297" t="s">
        <v>32</v>
      </c>
      <c r="H2297" t="s">
        <v>33</v>
      </c>
      <c r="I2297" t="s">
        <v>44</v>
      </c>
      <c r="J2297" t="s">
        <v>124</v>
      </c>
      <c r="K2297" t="s">
        <v>117</v>
      </c>
      <c r="L2297">
        <v>16</v>
      </c>
      <c r="N2297" t="s">
        <v>2968</v>
      </c>
    </row>
    <row r="2298" spans="1:14" x14ac:dyDescent="0.35">
      <c r="A2298" t="s">
        <v>6356</v>
      </c>
      <c r="B2298" t="s">
        <v>6357</v>
      </c>
      <c r="C2298" t="s">
        <v>116</v>
      </c>
      <c r="D2298">
        <v>9</v>
      </c>
      <c r="E2298">
        <v>700</v>
      </c>
      <c r="F2298" t="s">
        <v>64</v>
      </c>
      <c r="G2298" t="s">
        <v>32</v>
      </c>
      <c r="H2298" t="s">
        <v>57</v>
      </c>
      <c r="I2298" t="s">
        <v>44</v>
      </c>
      <c r="J2298" t="s">
        <v>92</v>
      </c>
      <c r="K2298" t="s">
        <v>51</v>
      </c>
      <c r="L2298">
        <v>22</v>
      </c>
      <c r="M2298" t="s">
        <v>3599</v>
      </c>
      <c r="N2298" t="s">
        <v>6358</v>
      </c>
    </row>
    <row r="2299" spans="1:14" x14ac:dyDescent="0.35">
      <c r="A2299" t="s">
        <v>6359</v>
      </c>
      <c r="B2299" t="s">
        <v>6360</v>
      </c>
      <c r="C2299" t="s">
        <v>69</v>
      </c>
      <c r="D2299">
        <v>52.59</v>
      </c>
      <c r="E2299">
        <v>78000</v>
      </c>
      <c r="F2299" t="s">
        <v>46</v>
      </c>
      <c r="G2299" t="s">
        <v>32</v>
      </c>
      <c r="H2299" t="s">
        <v>33</v>
      </c>
      <c r="I2299" t="s">
        <v>129</v>
      </c>
      <c r="J2299" t="s">
        <v>35</v>
      </c>
      <c r="K2299" t="s">
        <v>36</v>
      </c>
      <c r="L2299">
        <v>20</v>
      </c>
      <c r="M2299" t="s">
        <v>455</v>
      </c>
      <c r="N2299" t="s">
        <v>3157</v>
      </c>
    </row>
    <row r="2300" spans="1:14" x14ac:dyDescent="0.35">
      <c r="A2300" t="s">
        <v>6361</v>
      </c>
      <c r="B2300" t="s">
        <v>6362</v>
      </c>
      <c r="C2300" t="s">
        <v>41</v>
      </c>
      <c r="D2300">
        <v>153.46</v>
      </c>
      <c r="E2300">
        <v>12000</v>
      </c>
      <c r="F2300" t="s">
        <v>139</v>
      </c>
      <c r="G2300" t="s">
        <v>32</v>
      </c>
      <c r="H2300" t="s">
        <v>57</v>
      </c>
      <c r="I2300" t="s">
        <v>34</v>
      </c>
      <c r="J2300" t="s">
        <v>477</v>
      </c>
      <c r="K2300" t="s">
        <v>51</v>
      </c>
      <c r="L2300">
        <v>15</v>
      </c>
      <c r="N2300" t="s">
        <v>1586</v>
      </c>
    </row>
    <row r="2301" spans="1:14" x14ac:dyDescent="0.35">
      <c r="A2301" t="s">
        <v>6363</v>
      </c>
      <c r="B2301" t="s">
        <v>6364</v>
      </c>
      <c r="C2301" t="s">
        <v>81</v>
      </c>
      <c r="D2301">
        <v>70.930000000000007</v>
      </c>
      <c r="E2301">
        <v>9000</v>
      </c>
      <c r="F2301" t="s">
        <v>117</v>
      </c>
      <c r="G2301" t="s">
        <v>32</v>
      </c>
      <c r="H2301" t="s">
        <v>33</v>
      </c>
      <c r="I2301" t="s">
        <v>34</v>
      </c>
      <c r="J2301" t="s">
        <v>70</v>
      </c>
      <c r="K2301" t="s">
        <v>31</v>
      </c>
      <c r="L2301">
        <v>11</v>
      </c>
      <c r="N2301" t="s">
        <v>6365</v>
      </c>
    </row>
    <row r="2302" spans="1:14" x14ac:dyDescent="0.35">
      <c r="A2302" t="s">
        <v>6366</v>
      </c>
      <c r="B2302" t="s">
        <v>6367</v>
      </c>
      <c r="C2302" t="s">
        <v>30</v>
      </c>
      <c r="D2302">
        <v>121.44</v>
      </c>
      <c r="E2302">
        <v>20000</v>
      </c>
      <c r="F2302" t="s">
        <v>51</v>
      </c>
      <c r="G2302" t="s">
        <v>32</v>
      </c>
      <c r="H2302" t="s">
        <v>33</v>
      </c>
      <c r="I2302" t="s">
        <v>34</v>
      </c>
      <c r="J2302" t="s">
        <v>75</v>
      </c>
      <c r="K2302" t="s">
        <v>76</v>
      </c>
      <c r="L2302">
        <v>13</v>
      </c>
      <c r="N2302" t="s">
        <v>1217</v>
      </c>
    </row>
    <row r="2303" spans="1:14" x14ac:dyDescent="0.35">
      <c r="A2303" t="s">
        <v>6368</v>
      </c>
      <c r="B2303" t="s">
        <v>6369</v>
      </c>
      <c r="C2303" t="s">
        <v>30</v>
      </c>
      <c r="D2303">
        <v>124.56</v>
      </c>
      <c r="E2303">
        <v>13000</v>
      </c>
      <c r="F2303" t="s">
        <v>36</v>
      </c>
      <c r="G2303" t="s">
        <v>32</v>
      </c>
      <c r="H2303" t="s">
        <v>57</v>
      </c>
      <c r="I2303" t="s">
        <v>44</v>
      </c>
      <c r="J2303" t="s">
        <v>1208</v>
      </c>
      <c r="K2303" t="s">
        <v>147</v>
      </c>
      <c r="L2303">
        <v>1</v>
      </c>
      <c r="M2303" t="s">
        <v>693</v>
      </c>
      <c r="N2303" t="s">
        <v>2757</v>
      </c>
    </row>
    <row r="2304" spans="1:14" x14ac:dyDescent="0.35">
      <c r="A2304" t="s">
        <v>6370</v>
      </c>
      <c r="B2304" t="s">
        <v>6371</v>
      </c>
      <c r="C2304" t="s">
        <v>62</v>
      </c>
      <c r="D2304">
        <v>78.45</v>
      </c>
      <c r="E2304">
        <v>2000</v>
      </c>
      <c r="F2304" t="s">
        <v>139</v>
      </c>
      <c r="G2304" t="s">
        <v>32</v>
      </c>
      <c r="H2304" t="s">
        <v>33</v>
      </c>
      <c r="I2304" t="s">
        <v>129</v>
      </c>
      <c r="J2304" t="s">
        <v>209</v>
      </c>
      <c r="K2304" t="s">
        <v>74</v>
      </c>
      <c r="L2304">
        <v>0</v>
      </c>
      <c r="M2304" t="s">
        <v>5417</v>
      </c>
      <c r="N2304" t="s">
        <v>1554</v>
      </c>
    </row>
    <row r="2305" spans="1:14" x14ac:dyDescent="0.35">
      <c r="A2305" t="s">
        <v>6372</v>
      </c>
      <c r="B2305" t="s">
        <v>6373</v>
      </c>
      <c r="C2305" t="s">
        <v>30</v>
      </c>
      <c r="D2305">
        <v>198.05</v>
      </c>
      <c r="E2305">
        <v>13000</v>
      </c>
      <c r="F2305" t="s">
        <v>64</v>
      </c>
      <c r="G2305" t="s">
        <v>32</v>
      </c>
      <c r="H2305" t="s">
        <v>57</v>
      </c>
      <c r="J2305" t="s">
        <v>3031</v>
      </c>
      <c r="K2305" t="s">
        <v>51</v>
      </c>
      <c r="L2305">
        <v>8</v>
      </c>
      <c r="N2305" t="s">
        <v>1369</v>
      </c>
    </row>
    <row r="2306" spans="1:14" x14ac:dyDescent="0.35">
      <c r="A2306" t="s">
        <v>6374</v>
      </c>
      <c r="B2306" t="s">
        <v>6375</v>
      </c>
      <c r="C2306" t="s">
        <v>30</v>
      </c>
      <c r="D2306">
        <v>122.83</v>
      </c>
      <c r="E2306">
        <v>11000</v>
      </c>
      <c r="F2306" t="s">
        <v>123</v>
      </c>
      <c r="G2306" t="s">
        <v>32</v>
      </c>
      <c r="H2306" t="s">
        <v>33</v>
      </c>
      <c r="I2306" t="s">
        <v>34</v>
      </c>
      <c r="J2306" t="s">
        <v>5534</v>
      </c>
      <c r="K2306" t="s">
        <v>139</v>
      </c>
      <c r="L2306">
        <v>7</v>
      </c>
      <c r="N2306" t="s">
        <v>4493</v>
      </c>
    </row>
    <row r="2307" spans="1:14" x14ac:dyDescent="0.35">
      <c r="A2307" t="s">
        <v>6376</v>
      </c>
      <c r="B2307" t="s">
        <v>6377</v>
      </c>
      <c r="C2307" t="s">
        <v>116</v>
      </c>
      <c r="D2307">
        <v>8.82</v>
      </c>
      <c r="E2307">
        <v>100</v>
      </c>
      <c r="F2307" t="s">
        <v>139</v>
      </c>
      <c r="G2307" t="s">
        <v>32</v>
      </c>
      <c r="H2307" t="s">
        <v>43</v>
      </c>
      <c r="I2307" t="s">
        <v>34</v>
      </c>
      <c r="J2307" t="s">
        <v>75</v>
      </c>
      <c r="K2307" t="s">
        <v>76</v>
      </c>
      <c r="L2307">
        <v>6</v>
      </c>
      <c r="N2307" t="s">
        <v>1483</v>
      </c>
    </row>
    <row r="2308" spans="1:14" x14ac:dyDescent="0.35">
      <c r="A2308" t="s">
        <v>6378</v>
      </c>
      <c r="B2308" t="s">
        <v>6379</v>
      </c>
      <c r="C2308" t="s">
        <v>62</v>
      </c>
      <c r="D2308">
        <v>81.52</v>
      </c>
      <c r="E2308">
        <v>4000</v>
      </c>
      <c r="F2308" t="s">
        <v>106</v>
      </c>
      <c r="G2308" t="s">
        <v>32</v>
      </c>
      <c r="H2308" t="s">
        <v>33</v>
      </c>
      <c r="I2308" t="s">
        <v>34</v>
      </c>
      <c r="J2308" t="s">
        <v>477</v>
      </c>
      <c r="K2308" t="s">
        <v>51</v>
      </c>
      <c r="L2308">
        <v>11</v>
      </c>
      <c r="M2308" t="s">
        <v>4008</v>
      </c>
      <c r="N2308" t="s">
        <v>3201</v>
      </c>
    </row>
    <row r="2309" spans="1:14" x14ac:dyDescent="0.35">
      <c r="A2309" t="s">
        <v>6380</v>
      </c>
      <c r="B2309" t="s">
        <v>6381</v>
      </c>
      <c r="C2309" t="s">
        <v>41</v>
      </c>
      <c r="D2309">
        <v>129.35</v>
      </c>
      <c r="E2309">
        <v>14000</v>
      </c>
      <c r="F2309" t="s">
        <v>42</v>
      </c>
      <c r="G2309" t="s">
        <v>32</v>
      </c>
      <c r="H2309" t="s">
        <v>33</v>
      </c>
      <c r="J2309" t="s">
        <v>2611</v>
      </c>
      <c r="K2309" t="s">
        <v>97</v>
      </c>
      <c r="L2309">
        <v>10</v>
      </c>
      <c r="N2309" t="s">
        <v>6382</v>
      </c>
    </row>
    <row r="2310" spans="1:14" x14ac:dyDescent="0.35">
      <c r="A2310" t="s">
        <v>6383</v>
      </c>
      <c r="B2310" t="s">
        <v>6384</v>
      </c>
      <c r="C2310" t="s">
        <v>69</v>
      </c>
      <c r="D2310">
        <v>80.010000000000005</v>
      </c>
      <c r="E2310">
        <v>13000</v>
      </c>
      <c r="F2310" t="s">
        <v>31</v>
      </c>
      <c r="G2310" t="s">
        <v>32</v>
      </c>
      <c r="H2310" t="s">
        <v>33</v>
      </c>
      <c r="I2310" t="s">
        <v>44</v>
      </c>
      <c r="J2310" t="s">
        <v>429</v>
      </c>
      <c r="K2310" t="s">
        <v>236</v>
      </c>
      <c r="L2310">
        <v>18</v>
      </c>
      <c r="M2310" t="s">
        <v>284</v>
      </c>
      <c r="N2310" t="s">
        <v>4127</v>
      </c>
    </row>
    <row r="2311" spans="1:14" x14ac:dyDescent="0.35">
      <c r="A2311" t="s">
        <v>6385</v>
      </c>
      <c r="B2311" t="s">
        <v>6386</v>
      </c>
      <c r="C2311" t="s">
        <v>81</v>
      </c>
      <c r="D2311">
        <v>101.65</v>
      </c>
      <c r="E2311">
        <v>6000</v>
      </c>
      <c r="F2311" t="s">
        <v>147</v>
      </c>
      <c r="G2311" t="s">
        <v>32</v>
      </c>
      <c r="H2311" t="s">
        <v>33</v>
      </c>
      <c r="I2311" t="s">
        <v>44</v>
      </c>
      <c r="J2311" t="s">
        <v>130</v>
      </c>
      <c r="K2311" t="s">
        <v>123</v>
      </c>
      <c r="L2311">
        <v>15</v>
      </c>
      <c r="M2311" t="s">
        <v>4472</v>
      </c>
      <c r="N2311" t="s">
        <v>1885</v>
      </c>
    </row>
    <row r="2312" spans="1:14" x14ac:dyDescent="0.35">
      <c r="A2312" t="s">
        <v>6387</v>
      </c>
      <c r="B2312" t="s">
        <v>6388</v>
      </c>
      <c r="C2312" t="s">
        <v>62</v>
      </c>
      <c r="D2312">
        <v>83.75</v>
      </c>
      <c r="E2312">
        <v>1000</v>
      </c>
      <c r="F2312" t="s">
        <v>46</v>
      </c>
      <c r="G2312" t="s">
        <v>32</v>
      </c>
      <c r="H2312" t="s">
        <v>57</v>
      </c>
      <c r="J2312" t="s">
        <v>124</v>
      </c>
      <c r="K2312" t="s">
        <v>117</v>
      </c>
      <c r="L2312">
        <v>8</v>
      </c>
      <c r="N2312" t="s">
        <v>4579</v>
      </c>
    </row>
    <row r="2313" spans="1:14" x14ac:dyDescent="0.35">
      <c r="A2313" t="s">
        <v>6389</v>
      </c>
      <c r="B2313" t="s">
        <v>6390</v>
      </c>
      <c r="C2313" t="s">
        <v>41</v>
      </c>
      <c r="D2313">
        <v>112.5</v>
      </c>
      <c r="E2313">
        <v>14000</v>
      </c>
      <c r="F2313" t="s">
        <v>74</v>
      </c>
      <c r="G2313" t="s">
        <v>32</v>
      </c>
      <c r="H2313" t="s">
        <v>43</v>
      </c>
      <c r="I2313" t="s">
        <v>129</v>
      </c>
      <c r="J2313" t="s">
        <v>75</v>
      </c>
      <c r="K2313" t="s">
        <v>76</v>
      </c>
      <c r="L2313">
        <v>0</v>
      </c>
      <c r="M2313" t="s">
        <v>4472</v>
      </c>
      <c r="N2313" t="s">
        <v>1320</v>
      </c>
    </row>
    <row r="2314" spans="1:14" x14ac:dyDescent="0.35">
      <c r="A2314" t="s">
        <v>6391</v>
      </c>
      <c r="B2314" t="s">
        <v>6392</v>
      </c>
      <c r="C2314" t="s">
        <v>69</v>
      </c>
      <c r="D2314">
        <v>80.55</v>
      </c>
      <c r="E2314">
        <v>96000</v>
      </c>
      <c r="F2314" t="s">
        <v>74</v>
      </c>
      <c r="G2314" t="s">
        <v>32</v>
      </c>
      <c r="H2314" t="s">
        <v>43</v>
      </c>
      <c r="J2314" t="s">
        <v>63</v>
      </c>
      <c r="K2314" t="s">
        <v>64</v>
      </c>
      <c r="L2314">
        <v>23</v>
      </c>
      <c r="M2314" t="s">
        <v>3104</v>
      </c>
      <c r="N2314" t="s">
        <v>6393</v>
      </c>
    </row>
    <row r="2315" spans="1:14" x14ac:dyDescent="0.35">
      <c r="A2315" t="s">
        <v>6394</v>
      </c>
      <c r="B2315" t="s">
        <v>6395</v>
      </c>
      <c r="C2315" t="s">
        <v>41</v>
      </c>
      <c r="D2315">
        <v>115.38</v>
      </c>
      <c r="E2315">
        <v>34000</v>
      </c>
      <c r="F2315" t="s">
        <v>87</v>
      </c>
      <c r="G2315" t="s">
        <v>102</v>
      </c>
      <c r="H2315" t="s">
        <v>33</v>
      </c>
      <c r="I2315" t="s">
        <v>129</v>
      </c>
      <c r="J2315" t="s">
        <v>3828</v>
      </c>
      <c r="K2315" t="s">
        <v>74</v>
      </c>
      <c r="L2315">
        <v>22</v>
      </c>
      <c r="N2315" t="s">
        <v>4633</v>
      </c>
    </row>
    <row r="2316" spans="1:14" x14ac:dyDescent="0.35">
      <c r="A2316" t="s">
        <v>6396</v>
      </c>
      <c r="B2316" t="s">
        <v>6397</v>
      </c>
      <c r="C2316" t="s">
        <v>116</v>
      </c>
      <c r="D2316">
        <v>8.68</v>
      </c>
      <c r="E2316">
        <v>600</v>
      </c>
      <c r="F2316" t="s">
        <v>51</v>
      </c>
      <c r="G2316" t="s">
        <v>32</v>
      </c>
      <c r="H2316" t="s">
        <v>57</v>
      </c>
      <c r="I2316" t="s">
        <v>44</v>
      </c>
      <c r="J2316" t="s">
        <v>82</v>
      </c>
      <c r="K2316" t="s">
        <v>74</v>
      </c>
      <c r="L2316">
        <v>20</v>
      </c>
      <c r="M2316" t="s">
        <v>1024</v>
      </c>
      <c r="N2316" t="s">
        <v>3639</v>
      </c>
    </row>
    <row r="2317" spans="1:14" x14ac:dyDescent="0.35">
      <c r="A2317" t="s">
        <v>6398</v>
      </c>
      <c r="B2317" t="s">
        <v>6399</v>
      </c>
      <c r="C2317" t="s">
        <v>116</v>
      </c>
      <c r="D2317">
        <v>7.16</v>
      </c>
      <c r="E2317">
        <v>600</v>
      </c>
      <c r="F2317" t="s">
        <v>117</v>
      </c>
      <c r="G2317" t="s">
        <v>32</v>
      </c>
      <c r="H2317" t="s">
        <v>43</v>
      </c>
      <c r="I2317" t="s">
        <v>34</v>
      </c>
      <c r="J2317" t="s">
        <v>477</v>
      </c>
      <c r="K2317" t="s">
        <v>51</v>
      </c>
      <c r="L2317">
        <v>12</v>
      </c>
      <c r="M2317" t="s">
        <v>47</v>
      </c>
      <c r="N2317" t="s">
        <v>452</v>
      </c>
    </row>
    <row r="2318" spans="1:14" x14ac:dyDescent="0.35">
      <c r="A2318" t="s">
        <v>6400</v>
      </c>
      <c r="B2318" t="s">
        <v>6401</v>
      </c>
      <c r="C2318" t="s">
        <v>62</v>
      </c>
      <c r="D2318">
        <v>82.31</v>
      </c>
      <c r="E2318">
        <v>5000</v>
      </c>
      <c r="F2318" t="s">
        <v>76</v>
      </c>
      <c r="G2318" t="s">
        <v>32</v>
      </c>
      <c r="H2318" t="s">
        <v>43</v>
      </c>
      <c r="I2318" t="s">
        <v>34</v>
      </c>
      <c r="J2318" t="s">
        <v>63</v>
      </c>
      <c r="K2318" t="s">
        <v>64</v>
      </c>
      <c r="L2318">
        <v>19</v>
      </c>
      <c r="M2318" t="s">
        <v>2043</v>
      </c>
      <c r="N2318" t="s">
        <v>2322</v>
      </c>
    </row>
    <row r="2319" spans="1:14" x14ac:dyDescent="0.35">
      <c r="A2319" t="s">
        <v>6402</v>
      </c>
      <c r="B2319" t="s">
        <v>6403</v>
      </c>
      <c r="C2319" t="s">
        <v>62</v>
      </c>
      <c r="D2319">
        <v>93.17</v>
      </c>
      <c r="E2319">
        <v>4000</v>
      </c>
      <c r="F2319" t="s">
        <v>236</v>
      </c>
      <c r="G2319" t="s">
        <v>32</v>
      </c>
      <c r="H2319" t="s">
        <v>33</v>
      </c>
      <c r="I2319" t="s">
        <v>44</v>
      </c>
      <c r="J2319" t="s">
        <v>52</v>
      </c>
      <c r="K2319" t="s">
        <v>42</v>
      </c>
      <c r="L2319">
        <v>16</v>
      </c>
      <c r="M2319" t="s">
        <v>539</v>
      </c>
      <c r="N2319" t="s">
        <v>3559</v>
      </c>
    </row>
    <row r="2320" spans="1:14" x14ac:dyDescent="0.35">
      <c r="A2320" t="s">
        <v>6404</v>
      </c>
      <c r="B2320" t="s">
        <v>6405</v>
      </c>
      <c r="C2320" t="s">
        <v>81</v>
      </c>
      <c r="D2320">
        <v>121.14</v>
      </c>
      <c r="E2320">
        <v>8000</v>
      </c>
      <c r="F2320" t="s">
        <v>236</v>
      </c>
      <c r="G2320" t="s">
        <v>32</v>
      </c>
      <c r="H2320" t="s">
        <v>57</v>
      </c>
      <c r="I2320" t="s">
        <v>34</v>
      </c>
      <c r="J2320" t="s">
        <v>174</v>
      </c>
      <c r="K2320" t="s">
        <v>139</v>
      </c>
      <c r="L2320">
        <v>11</v>
      </c>
      <c r="M2320" t="s">
        <v>2532</v>
      </c>
      <c r="N2320" t="s">
        <v>676</v>
      </c>
    </row>
    <row r="2321" spans="1:14" x14ac:dyDescent="0.35">
      <c r="A2321" t="s">
        <v>6406</v>
      </c>
      <c r="B2321" t="s">
        <v>6407</v>
      </c>
      <c r="C2321" t="s">
        <v>116</v>
      </c>
      <c r="D2321">
        <v>11.55</v>
      </c>
      <c r="E2321">
        <v>400</v>
      </c>
      <c r="F2321" t="s">
        <v>36</v>
      </c>
      <c r="G2321" t="s">
        <v>32</v>
      </c>
      <c r="H2321" t="s">
        <v>33</v>
      </c>
      <c r="I2321" t="s">
        <v>34</v>
      </c>
      <c r="J2321" t="s">
        <v>45</v>
      </c>
      <c r="K2321" t="s">
        <v>46</v>
      </c>
      <c r="L2321">
        <v>1</v>
      </c>
      <c r="M2321" t="s">
        <v>2540</v>
      </c>
      <c r="N2321" t="s">
        <v>1632</v>
      </c>
    </row>
    <row r="2322" spans="1:14" x14ac:dyDescent="0.35">
      <c r="A2322" t="s">
        <v>6408</v>
      </c>
      <c r="B2322" t="s">
        <v>6409</v>
      </c>
      <c r="C2322" t="s">
        <v>41</v>
      </c>
      <c r="D2322">
        <v>153.02000000000001</v>
      </c>
      <c r="E2322">
        <v>17000</v>
      </c>
      <c r="F2322" t="s">
        <v>36</v>
      </c>
      <c r="G2322" t="s">
        <v>32</v>
      </c>
      <c r="H2322" t="s">
        <v>43</v>
      </c>
      <c r="J2322" t="s">
        <v>278</v>
      </c>
      <c r="K2322" t="s">
        <v>97</v>
      </c>
      <c r="L2322">
        <v>17</v>
      </c>
      <c r="M2322" t="s">
        <v>5498</v>
      </c>
      <c r="N2322" t="s">
        <v>3687</v>
      </c>
    </row>
    <row r="2323" spans="1:14" x14ac:dyDescent="0.35">
      <c r="A2323" t="s">
        <v>6410</v>
      </c>
      <c r="B2323" t="s">
        <v>6411</v>
      </c>
      <c r="C2323" t="s">
        <v>81</v>
      </c>
      <c r="D2323">
        <v>112.77</v>
      </c>
      <c r="E2323">
        <v>6000</v>
      </c>
      <c r="F2323" t="s">
        <v>97</v>
      </c>
      <c r="G2323" t="s">
        <v>32</v>
      </c>
      <c r="H2323" t="s">
        <v>43</v>
      </c>
      <c r="I2323" t="s">
        <v>44</v>
      </c>
      <c r="J2323" t="s">
        <v>2422</v>
      </c>
      <c r="K2323" t="s">
        <v>51</v>
      </c>
      <c r="L2323">
        <v>11</v>
      </c>
      <c r="N2323" t="s">
        <v>1650</v>
      </c>
    </row>
    <row r="2324" spans="1:14" x14ac:dyDescent="0.35">
      <c r="A2324" t="s">
        <v>6412</v>
      </c>
      <c r="B2324" t="s">
        <v>6413</v>
      </c>
      <c r="C2324" t="s">
        <v>69</v>
      </c>
      <c r="D2324">
        <v>64.42</v>
      </c>
      <c r="E2324">
        <v>24000</v>
      </c>
      <c r="F2324" t="s">
        <v>46</v>
      </c>
      <c r="G2324" t="s">
        <v>32</v>
      </c>
      <c r="H2324" t="s">
        <v>43</v>
      </c>
      <c r="J2324" t="s">
        <v>45</v>
      </c>
      <c r="K2324" t="s">
        <v>46</v>
      </c>
      <c r="L2324">
        <v>0</v>
      </c>
      <c r="N2324" t="s">
        <v>6103</v>
      </c>
    </row>
    <row r="2325" spans="1:14" x14ac:dyDescent="0.35">
      <c r="A2325" t="s">
        <v>6414</v>
      </c>
      <c r="B2325" t="s">
        <v>6415</v>
      </c>
      <c r="C2325" t="s">
        <v>41</v>
      </c>
      <c r="D2325">
        <v>116</v>
      </c>
      <c r="E2325">
        <v>37000</v>
      </c>
      <c r="F2325" t="s">
        <v>51</v>
      </c>
      <c r="G2325" t="s">
        <v>32</v>
      </c>
      <c r="H2325" t="s">
        <v>57</v>
      </c>
      <c r="I2325" t="s">
        <v>44</v>
      </c>
      <c r="J2325" t="s">
        <v>75</v>
      </c>
      <c r="K2325" t="s">
        <v>76</v>
      </c>
      <c r="L2325">
        <v>1</v>
      </c>
      <c r="M2325" t="s">
        <v>2175</v>
      </c>
      <c r="N2325" t="s">
        <v>6416</v>
      </c>
    </row>
    <row r="2326" spans="1:14" x14ac:dyDescent="0.35">
      <c r="A2326" t="s">
        <v>6417</v>
      </c>
      <c r="B2326" t="s">
        <v>6418</v>
      </c>
      <c r="C2326" t="s">
        <v>116</v>
      </c>
      <c r="D2326">
        <v>9.76</v>
      </c>
      <c r="E2326">
        <v>500</v>
      </c>
      <c r="F2326" t="s">
        <v>51</v>
      </c>
      <c r="G2326" t="s">
        <v>32</v>
      </c>
      <c r="H2326" t="s">
        <v>33</v>
      </c>
      <c r="I2326" t="s">
        <v>44</v>
      </c>
      <c r="J2326" t="s">
        <v>278</v>
      </c>
      <c r="K2326" t="s">
        <v>97</v>
      </c>
      <c r="L2326">
        <v>8</v>
      </c>
      <c r="M2326" t="s">
        <v>1691</v>
      </c>
      <c r="N2326" t="s">
        <v>6419</v>
      </c>
    </row>
    <row r="2327" spans="1:14" x14ac:dyDescent="0.35">
      <c r="A2327" t="s">
        <v>6420</v>
      </c>
      <c r="B2327" t="s">
        <v>6421</v>
      </c>
      <c r="C2327" t="s">
        <v>62</v>
      </c>
      <c r="D2327">
        <v>96.6</v>
      </c>
      <c r="E2327">
        <v>3000</v>
      </c>
      <c r="F2327" t="s">
        <v>123</v>
      </c>
      <c r="G2327" t="s">
        <v>32</v>
      </c>
      <c r="H2327" t="s">
        <v>57</v>
      </c>
      <c r="I2327" t="s">
        <v>34</v>
      </c>
      <c r="J2327" t="s">
        <v>235</v>
      </c>
      <c r="K2327" t="s">
        <v>236</v>
      </c>
      <c r="L2327">
        <v>5</v>
      </c>
      <c r="M2327" t="s">
        <v>2960</v>
      </c>
      <c r="N2327" t="s">
        <v>6422</v>
      </c>
    </row>
    <row r="2328" spans="1:14" x14ac:dyDescent="0.35">
      <c r="A2328" t="s">
        <v>6423</v>
      </c>
      <c r="B2328" t="s">
        <v>6424</v>
      </c>
      <c r="C2328" t="s">
        <v>81</v>
      </c>
      <c r="D2328">
        <v>131.22999999999999</v>
      </c>
      <c r="E2328">
        <v>2000</v>
      </c>
      <c r="F2328" t="s">
        <v>123</v>
      </c>
      <c r="G2328" t="s">
        <v>32</v>
      </c>
      <c r="H2328" t="s">
        <v>43</v>
      </c>
      <c r="I2328" t="s">
        <v>129</v>
      </c>
      <c r="J2328" t="s">
        <v>1096</v>
      </c>
      <c r="K2328" t="s">
        <v>76</v>
      </c>
      <c r="L2328">
        <v>15</v>
      </c>
      <c r="M2328" t="s">
        <v>672</v>
      </c>
      <c r="N2328" t="s">
        <v>1820</v>
      </c>
    </row>
    <row r="2329" spans="1:14" x14ac:dyDescent="0.35">
      <c r="A2329" t="s">
        <v>6425</v>
      </c>
      <c r="B2329" t="s">
        <v>6426</v>
      </c>
      <c r="C2329" t="s">
        <v>30</v>
      </c>
      <c r="D2329">
        <v>189.77</v>
      </c>
      <c r="E2329">
        <v>9000</v>
      </c>
      <c r="F2329" t="s">
        <v>123</v>
      </c>
      <c r="G2329" t="s">
        <v>32</v>
      </c>
      <c r="H2329" t="s">
        <v>57</v>
      </c>
      <c r="I2329" t="s">
        <v>44</v>
      </c>
      <c r="J2329" t="s">
        <v>45</v>
      </c>
      <c r="K2329" t="s">
        <v>46</v>
      </c>
      <c r="L2329">
        <v>21</v>
      </c>
      <c r="N2329" t="s">
        <v>1727</v>
      </c>
    </row>
    <row r="2330" spans="1:14" x14ac:dyDescent="0.35">
      <c r="A2330" t="s">
        <v>6427</v>
      </c>
      <c r="B2330" t="s">
        <v>6428</v>
      </c>
      <c r="C2330" t="s">
        <v>69</v>
      </c>
      <c r="D2330">
        <v>79.34</v>
      </c>
      <c r="E2330">
        <v>50000</v>
      </c>
      <c r="F2330" t="s">
        <v>123</v>
      </c>
      <c r="G2330" t="s">
        <v>32</v>
      </c>
      <c r="H2330" t="s">
        <v>57</v>
      </c>
      <c r="I2330" t="s">
        <v>44</v>
      </c>
      <c r="J2330" t="s">
        <v>469</v>
      </c>
      <c r="K2330" t="s">
        <v>147</v>
      </c>
      <c r="L2330">
        <v>22</v>
      </c>
      <c r="N2330" t="s">
        <v>1051</v>
      </c>
    </row>
    <row r="2331" spans="1:14" x14ac:dyDescent="0.35">
      <c r="A2331" t="s">
        <v>6429</v>
      </c>
      <c r="B2331" t="s">
        <v>6430</v>
      </c>
      <c r="C2331" t="s">
        <v>116</v>
      </c>
      <c r="D2331">
        <v>8.84</v>
      </c>
      <c r="E2331">
        <v>400</v>
      </c>
      <c r="F2331" t="s">
        <v>139</v>
      </c>
      <c r="G2331" t="s">
        <v>32</v>
      </c>
      <c r="H2331" t="s">
        <v>33</v>
      </c>
      <c r="I2331" t="s">
        <v>44</v>
      </c>
      <c r="J2331" t="s">
        <v>35</v>
      </c>
      <c r="K2331" t="s">
        <v>36</v>
      </c>
      <c r="L2331">
        <v>6</v>
      </c>
      <c r="M2331" t="s">
        <v>421</v>
      </c>
      <c r="N2331" t="s">
        <v>1598</v>
      </c>
    </row>
    <row r="2332" spans="1:14" x14ac:dyDescent="0.35">
      <c r="A2332" t="s">
        <v>6431</v>
      </c>
      <c r="B2332" t="s">
        <v>6432</v>
      </c>
      <c r="C2332" t="s">
        <v>62</v>
      </c>
      <c r="D2332">
        <v>71.27</v>
      </c>
      <c r="E2332">
        <v>5000</v>
      </c>
      <c r="F2332" t="s">
        <v>97</v>
      </c>
      <c r="G2332" t="s">
        <v>32</v>
      </c>
      <c r="H2332" t="s">
        <v>57</v>
      </c>
      <c r="I2332" t="s">
        <v>129</v>
      </c>
      <c r="J2332" t="s">
        <v>112</v>
      </c>
      <c r="K2332" t="s">
        <v>106</v>
      </c>
      <c r="L2332">
        <v>5</v>
      </c>
      <c r="M2332" t="s">
        <v>223</v>
      </c>
      <c r="N2332" t="s">
        <v>3497</v>
      </c>
    </row>
    <row r="2333" spans="1:14" x14ac:dyDescent="0.35">
      <c r="A2333" t="s">
        <v>6433</v>
      </c>
      <c r="B2333" t="s">
        <v>6434</v>
      </c>
      <c r="C2333" t="s">
        <v>81</v>
      </c>
      <c r="D2333">
        <v>114.51</v>
      </c>
      <c r="E2333">
        <v>6000</v>
      </c>
      <c r="F2333" t="s">
        <v>139</v>
      </c>
      <c r="G2333" t="s">
        <v>32</v>
      </c>
      <c r="H2333" t="s">
        <v>33</v>
      </c>
      <c r="I2333" t="s">
        <v>34</v>
      </c>
      <c r="J2333" t="s">
        <v>63</v>
      </c>
      <c r="K2333" t="s">
        <v>64</v>
      </c>
      <c r="L2333">
        <v>19</v>
      </c>
      <c r="M2333" t="s">
        <v>4115</v>
      </c>
      <c r="N2333" t="s">
        <v>659</v>
      </c>
    </row>
    <row r="2334" spans="1:14" x14ac:dyDescent="0.35">
      <c r="A2334" t="s">
        <v>6435</v>
      </c>
      <c r="B2334" t="s">
        <v>6436</v>
      </c>
      <c r="C2334" t="s">
        <v>30</v>
      </c>
      <c r="D2334">
        <v>124.4</v>
      </c>
      <c r="E2334">
        <v>13000</v>
      </c>
      <c r="F2334" t="s">
        <v>51</v>
      </c>
      <c r="G2334" t="s">
        <v>32</v>
      </c>
      <c r="H2334" t="s">
        <v>43</v>
      </c>
      <c r="J2334" t="s">
        <v>75</v>
      </c>
      <c r="K2334" t="s">
        <v>76</v>
      </c>
      <c r="L2334">
        <v>12</v>
      </c>
      <c r="M2334" t="s">
        <v>1286</v>
      </c>
      <c r="N2334" t="s">
        <v>1163</v>
      </c>
    </row>
    <row r="2335" spans="1:14" x14ac:dyDescent="0.35">
      <c r="A2335" t="s">
        <v>6437</v>
      </c>
      <c r="B2335" t="s">
        <v>6438</v>
      </c>
      <c r="C2335" t="s">
        <v>41</v>
      </c>
      <c r="D2335">
        <v>149.34</v>
      </c>
      <c r="E2335">
        <v>10000</v>
      </c>
      <c r="F2335" t="s">
        <v>147</v>
      </c>
      <c r="G2335" t="s">
        <v>32</v>
      </c>
      <c r="H2335" t="s">
        <v>57</v>
      </c>
      <c r="I2335" t="s">
        <v>34</v>
      </c>
      <c r="J2335" t="s">
        <v>70</v>
      </c>
      <c r="K2335" t="s">
        <v>31</v>
      </c>
      <c r="L2335">
        <v>17</v>
      </c>
      <c r="N2335" t="s">
        <v>874</v>
      </c>
    </row>
    <row r="2336" spans="1:14" x14ac:dyDescent="0.35">
      <c r="A2336" t="s">
        <v>6439</v>
      </c>
      <c r="B2336" t="s">
        <v>6440</v>
      </c>
      <c r="C2336" t="s">
        <v>116</v>
      </c>
      <c r="D2336">
        <v>11.91</v>
      </c>
      <c r="E2336">
        <v>700</v>
      </c>
      <c r="F2336" t="s">
        <v>46</v>
      </c>
      <c r="G2336" t="s">
        <v>32</v>
      </c>
      <c r="H2336" t="s">
        <v>57</v>
      </c>
      <c r="J2336" t="s">
        <v>63</v>
      </c>
      <c r="K2336" t="s">
        <v>64</v>
      </c>
      <c r="L2336">
        <v>16</v>
      </c>
      <c r="M2336" t="s">
        <v>3088</v>
      </c>
      <c r="N2336" t="s">
        <v>240</v>
      </c>
    </row>
    <row r="2337" spans="1:14" x14ac:dyDescent="0.35">
      <c r="A2337" t="s">
        <v>6441</v>
      </c>
      <c r="B2337" t="s">
        <v>6442</v>
      </c>
      <c r="C2337" t="s">
        <v>62</v>
      </c>
      <c r="D2337">
        <v>79.73</v>
      </c>
      <c r="E2337">
        <v>5000</v>
      </c>
      <c r="F2337" t="s">
        <v>236</v>
      </c>
      <c r="G2337" t="s">
        <v>32</v>
      </c>
      <c r="H2337" t="s">
        <v>57</v>
      </c>
      <c r="I2337" t="s">
        <v>34</v>
      </c>
      <c r="J2337" t="s">
        <v>2611</v>
      </c>
      <c r="K2337" t="s">
        <v>97</v>
      </c>
      <c r="L2337">
        <v>18</v>
      </c>
      <c r="M2337" t="s">
        <v>6443</v>
      </c>
      <c r="N2337" t="s">
        <v>556</v>
      </c>
    </row>
    <row r="2338" spans="1:14" x14ac:dyDescent="0.35">
      <c r="A2338" t="s">
        <v>6444</v>
      </c>
      <c r="B2338" t="s">
        <v>6445</v>
      </c>
      <c r="C2338" t="s">
        <v>116</v>
      </c>
      <c r="D2338">
        <v>9.5500000000000007</v>
      </c>
      <c r="E2338">
        <v>600</v>
      </c>
      <c r="F2338" t="s">
        <v>31</v>
      </c>
      <c r="G2338" t="s">
        <v>102</v>
      </c>
      <c r="H2338" t="s">
        <v>43</v>
      </c>
      <c r="I2338" t="s">
        <v>44</v>
      </c>
      <c r="J2338" t="s">
        <v>107</v>
      </c>
      <c r="K2338" t="s">
        <v>87</v>
      </c>
      <c r="L2338">
        <v>17</v>
      </c>
      <c r="M2338" t="s">
        <v>1032</v>
      </c>
      <c r="N2338" t="s">
        <v>1666</v>
      </c>
    </row>
    <row r="2339" spans="1:14" x14ac:dyDescent="0.35">
      <c r="A2339" t="s">
        <v>6446</v>
      </c>
      <c r="B2339" t="s">
        <v>6447</v>
      </c>
      <c r="C2339" t="s">
        <v>81</v>
      </c>
      <c r="D2339">
        <v>97.45</v>
      </c>
      <c r="E2339">
        <v>3000</v>
      </c>
      <c r="F2339" t="s">
        <v>76</v>
      </c>
      <c r="G2339" t="s">
        <v>32</v>
      </c>
      <c r="H2339" t="s">
        <v>33</v>
      </c>
      <c r="I2339" t="s">
        <v>44</v>
      </c>
      <c r="J2339" t="s">
        <v>118</v>
      </c>
      <c r="K2339" t="s">
        <v>42</v>
      </c>
      <c r="L2339">
        <v>19</v>
      </c>
      <c r="N2339" t="s">
        <v>3167</v>
      </c>
    </row>
    <row r="2340" spans="1:14" x14ac:dyDescent="0.35">
      <c r="A2340" t="s">
        <v>6448</v>
      </c>
      <c r="B2340" t="s">
        <v>6449</v>
      </c>
      <c r="C2340" t="s">
        <v>62</v>
      </c>
      <c r="D2340">
        <v>64.08</v>
      </c>
      <c r="E2340">
        <v>1000</v>
      </c>
      <c r="F2340" t="s">
        <v>42</v>
      </c>
      <c r="G2340" t="s">
        <v>32</v>
      </c>
      <c r="H2340" t="s">
        <v>43</v>
      </c>
      <c r="I2340" t="s">
        <v>44</v>
      </c>
      <c r="J2340" t="s">
        <v>3880</v>
      </c>
      <c r="K2340" t="s">
        <v>147</v>
      </c>
      <c r="L2340">
        <v>4</v>
      </c>
      <c r="N2340" t="s">
        <v>6419</v>
      </c>
    </row>
    <row r="2341" spans="1:14" x14ac:dyDescent="0.35">
      <c r="A2341" t="s">
        <v>6450</v>
      </c>
      <c r="B2341" t="s">
        <v>6451</v>
      </c>
      <c r="C2341" t="s">
        <v>81</v>
      </c>
      <c r="D2341">
        <v>75.84</v>
      </c>
      <c r="E2341">
        <v>4000</v>
      </c>
      <c r="F2341" t="s">
        <v>147</v>
      </c>
      <c r="G2341" t="s">
        <v>32</v>
      </c>
      <c r="H2341" t="s">
        <v>43</v>
      </c>
      <c r="J2341" t="s">
        <v>63</v>
      </c>
      <c r="K2341" t="s">
        <v>64</v>
      </c>
      <c r="L2341">
        <v>6</v>
      </c>
      <c r="N2341" t="s">
        <v>579</v>
      </c>
    </row>
    <row r="2342" spans="1:14" x14ac:dyDescent="0.35">
      <c r="A2342" t="s">
        <v>6452</v>
      </c>
      <c r="B2342" t="s">
        <v>6453</v>
      </c>
      <c r="C2342" t="s">
        <v>41</v>
      </c>
      <c r="D2342">
        <v>133.19</v>
      </c>
      <c r="E2342">
        <v>24000</v>
      </c>
      <c r="F2342" t="s">
        <v>147</v>
      </c>
      <c r="G2342" t="s">
        <v>32</v>
      </c>
      <c r="H2342" t="s">
        <v>33</v>
      </c>
      <c r="I2342" t="s">
        <v>44</v>
      </c>
      <c r="J2342" t="s">
        <v>4697</v>
      </c>
      <c r="K2342" t="s">
        <v>51</v>
      </c>
      <c r="L2342">
        <v>13</v>
      </c>
      <c r="M2342" t="s">
        <v>274</v>
      </c>
      <c r="N2342" t="s">
        <v>3284</v>
      </c>
    </row>
    <row r="2343" spans="1:14" x14ac:dyDescent="0.35">
      <c r="A2343" t="s">
        <v>6454</v>
      </c>
      <c r="B2343" t="s">
        <v>6455</v>
      </c>
      <c r="C2343" t="s">
        <v>69</v>
      </c>
      <c r="D2343">
        <v>84.32</v>
      </c>
      <c r="E2343">
        <v>22000</v>
      </c>
      <c r="F2343" t="s">
        <v>51</v>
      </c>
      <c r="G2343" t="s">
        <v>32</v>
      </c>
      <c r="H2343" t="s">
        <v>57</v>
      </c>
      <c r="I2343" t="s">
        <v>34</v>
      </c>
      <c r="J2343" t="s">
        <v>75</v>
      </c>
      <c r="K2343" t="s">
        <v>76</v>
      </c>
      <c r="L2343">
        <v>7</v>
      </c>
      <c r="N2343" t="s">
        <v>2946</v>
      </c>
    </row>
    <row r="2344" spans="1:14" x14ac:dyDescent="0.35">
      <c r="A2344" t="s">
        <v>6456</v>
      </c>
      <c r="B2344" t="s">
        <v>6457</v>
      </c>
      <c r="C2344" t="s">
        <v>116</v>
      </c>
      <c r="D2344">
        <v>11.93</v>
      </c>
      <c r="E2344">
        <v>600</v>
      </c>
      <c r="F2344" t="s">
        <v>36</v>
      </c>
      <c r="G2344" t="s">
        <v>102</v>
      </c>
      <c r="H2344" t="s">
        <v>57</v>
      </c>
      <c r="I2344" t="s">
        <v>34</v>
      </c>
      <c r="J2344" t="s">
        <v>543</v>
      </c>
      <c r="K2344" t="s">
        <v>51</v>
      </c>
      <c r="L2344">
        <v>21</v>
      </c>
      <c r="N2344" t="s">
        <v>263</v>
      </c>
    </row>
    <row r="2345" spans="1:14" x14ac:dyDescent="0.35">
      <c r="A2345" t="s">
        <v>6458</v>
      </c>
      <c r="B2345" t="s">
        <v>6459</v>
      </c>
      <c r="C2345" t="s">
        <v>81</v>
      </c>
      <c r="D2345">
        <v>123.61</v>
      </c>
      <c r="E2345">
        <v>6000</v>
      </c>
      <c r="F2345" t="s">
        <v>51</v>
      </c>
      <c r="G2345" t="s">
        <v>32</v>
      </c>
      <c r="H2345" t="s">
        <v>57</v>
      </c>
      <c r="J2345" t="s">
        <v>830</v>
      </c>
      <c r="K2345" t="s">
        <v>51</v>
      </c>
      <c r="L2345">
        <v>5</v>
      </c>
      <c r="M2345" t="s">
        <v>704</v>
      </c>
      <c r="N2345" t="s">
        <v>199</v>
      </c>
    </row>
    <row r="2346" spans="1:14" x14ac:dyDescent="0.35">
      <c r="A2346" t="s">
        <v>6460</v>
      </c>
      <c r="B2346" t="s">
        <v>6461</v>
      </c>
      <c r="C2346" t="s">
        <v>69</v>
      </c>
      <c r="D2346">
        <v>70.97</v>
      </c>
      <c r="E2346">
        <v>76000</v>
      </c>
      <c r="F2346" t="s">
        <v>106</v>
      </c>
      <c r="G2346" t="s">
        <v>32</v>
      </c>
      <c r="H2346" t="s">
        <v>43</v>
      </c>
      <c r="I2346" t="s">
        <v>129</v>
      </c>
      <c r="J2346" t="s">
        <v>63</v>
      </c>
      <c r="K2346" t="s">
        <v>64</v>
      </c>
      <c r="L2346">
        <v>12</v>
      </c>
      <c r="M2346" t="s">
        <v>1368</v>
      </c>
      <c r="N2346" t="s">
        <v>1704</v>
      </c>
    </row>
    <row r="2347" spans="1:14" x14ac:dyDescent="0.35">
      <c r="A2347" t="s">
        <v>6462</v>
      </c>
      <c r="B2347" t="s">
        <v>6463</v>
      </c>
      <c r="C2347" t="s">
        <v>62</v>
      </c>
      <c r="D2347">
        <v>90.86</v>
      </c>
      <c r="E2347">
        <v>1000</v>
      </c>
      <c r="F2347" t="s">
        <v>31</v>
      </c>
      <c r="G2347" t="s">
        <v>32</v>
      </c>
      <c r="H2347" t="s">
        <v>57</v>
      </c>
      <c r="I2347" t="s">
        <v>34</v>
      </c>
      <c r="J2347" t="s">
        <v>1816</v>
      </c>
      <c r="K2347" t="s">
        <v>236</v>
      </c>
      <c r="L2347">
        <v>19</v>
      </c>
      <c r="M2347" t="s">
        <v>1392</v>
      </c>
      <c r="N2347" t="s">
        <v>590</v>
      </c>
    </row>
    <row r="2348" spans="1:14" x14ac:dyDescent="0.35">
      <c r="A2348" t="s">
        <v>6464</v>
      </c>
      <c r="B2348" t="s">
        <v>6465</v>
      </c>
      <c r="C2348" t="s">
        <v>62</v>
      </c>
      <c r="D2348">
        <v>50.97</v>
      </c>
      <c r="E2348">
        <v>1000</v>
      </c>
      <c r="F2348" t="s">
        <v>36</v>
      </c>
      <c r="G2348" t="s">
        <v>32</v>
      </c>
      <c r="H2348" t="s">
        <v>43</v>
      </c>
      <c r="I2348" t="s">
        <v>34</v>
      </c>
      <c r="J2348" t="s">
        <v>63</v>
      </c>
      <c r="K2348" t="s">
        <v>64</v>
      </c>
      <c r="L2348">
        <v>9</v>
      </c>
      <c r="M2348" t="s">
        <v>2570</v>
      </c>
      <c r="N2348" t="s">
        <v>1603</v>
      </c>
    </row>
    <row r="2349" spans="1:14" x14ac:dyDescent="0.35">
      <c r="A2349" t="s">
        <v>6466</v>
      </c>
      <c r="B2349" t="s">
        <v>6467</v>
      </c>
      <c r="C2349" t="s">
        <v>41</v>
      </c>
      <c r="D2349">
        <v>135.12</v>
      </c>
      <c r="E2349">
        <v>28000</v>
      </c>
      <c r="F2349" t="s">
        <v>42</v>
      </c>
      <c r="G2349" t="s">
        <v>32</v>
      </c>
      <c r="H2349" t="s">
        <v>57</v>
      </c>
      <c r="J2349" t="s">
        <v>112</v>
      </c>
      <c r="K2349" t="s">
        <v>106</v>
      </c>
      <c r="L2349">
        <v>10</v>
      </c>
      <c r="M2349" t="s">
        <v>649</v>
      </c>
      <c r="N2349" t="s">
        <v>3935</v>
      </c>
    </row>
    <row r="2350" spans="1:14" x14ac:dyDescent="0.35">
      <c r="A2350" t="s">
        <v>6468</v>
      </c>
      <c r="B2350" t="s">
        <v>6469</v>
      </c>
      <c r="C2350" t="s">
        <v>81</v>
      </c>
      <c r="D2350">
        <v>121.58</v>
      </c>
      <c r="E2350">
        <v>4000</v>
      </c>
      <c r="F2350" t="s">
        <v>51</v>
      </c>
      <c r="G2350" t="s">
        <v>32</v>
      </c>
      <c r="H2350" t="s">
        <v>43</v>
      </c>
      <c r="I2350" t="s">
        <v>44</v>
      </c>
      <c r="J2350" t="s">
        <v>112</v>
      </c>
      <c r="K2350" t="s">
        <v>106</v>
      </c>
      <c r="L2350">
        <v>22</v>
      </c>
      <c r="M2350" t="s">
        <v>629</v>
      </c>
      <c r="N2350" t="s">
        <v>3348</v>
      </c>
    </row>
    <row r="2351" spans="1:14" x14ac:dyDescent="0.35">
      <c r="A2351" t="s">
        <v>6470</v>
      </c>
      <c r="B2351" t="s">
        <v>6471</v>
      </c>
      <c r="C2351" t="s">
        <v>30</v>
      </c>
      <c r="D2351">
        <v>175.17</v>
      </c>
      <c r="E2351">
        <v>11000</v>
      </c>
      <c r="F2351" t="s">
        <v>64</v>
      </c>
      <c r="G2351" t="s">
        <v>32</v>
      </c>
      <c r="H2351" t="s">
        <v>43</v>
      </c>
      <c r="I2351" t="s">
        <v>44</v>
      </c>
      <c r="J2351" t="s">
        <v>523</v>
      </c>
      <c r="K2351" t="s">
        <v>36</v>
      </c>
      <c r="L2351">
        <v>23</v>
      </c>
      <c r="N2351" t="s">
        <v>3252</v>
      </c>
    </row>
    <row r="2352" spans="1:14" x14ac:dyDescent="0.35">
      <c r="A2352" t="s">
        <v>6472</v>
      </c>
      <c r="B2352" t="s">
        <v>6473</v>
      </c>
      <c r="C2352" t="s">
        <v>81</v>
      </c>
      <c r="D2352">
        <v>124.28</v>
      </c>
      <c r="E2352">
        <v>5000</v>
      </c>
      <c r="F2352" t="s">
        <v>74</v>
      </c>
      <c r="G2352" t="s">
        <v>32</v>
      </c>
      <c r="H2352" t="s">
        <v>43</v>
      </c>
      <c r="I2352" t="s">
        <v>129</v>
      </c>
      <c r="J2352" t="s">
        <v>75</v>
      </c>
      <c r="K2352" t="s">
        <v>76</v>
      </c>
      <c r="L2352">
        <v>12</v>
      </c>
      <c r="M2352" t="s">
        <v>3457</v>
      </c>
      <c r="N2352" t="s">
        <v>3711</v>
      </c>
    </row>
    <row r="2353" spans="1:14" x14ac:dyDescent="0.35">
      <c r="A2353" t="s">
        <v>6474</v>
      </c>
      <c r="B2353" t="s">
        <v>6475</v>
      </c>
      <c r="C2353" t="s">
        <v>30</v>
      </c>
      <c r="D2353">
        <v>111.21</v>
      </c>
      <c r="E2353">
        <v>6000</v>
      </c>
      <c r="F2353" t="s">
        <v>117</v>
      </c>
      <c r="G2353" t="s">
        <v>32</v>
      </c>
      <c r="H2353" t="s">
        <v>57</v>
      </c>
      <c r="I2353" t="s">
        <v>44</v>
      </c>
      <c r="J2353" t="s">
        <v>130</v>
      </c>
      <c r="K2353" t="s">
        <v>123</v>
      </c>
      <c r="L2353">
        <v>12</v>
      </c>
      <c r="N2353" t="s">
        <v>181</v>
      </c>
    </row>
    <row r="2354" spans="1:14" x14ac:dyDescent="0.35">
      <c r="A2354" t="s">
        <v>6476</v>
      </c>
      <c r="B2354" t="s">
        <v>6477</v>
      </c>
      <c r="C2354" t="s">
        <v>116</v>
      </c>
      <c r="D2354">
        <v>9.1300000000000008</v>
      </c>
      <c r="E2354">
        <v>500</v>
      </c>
      <c r="F2354" t="s">
        <v>76</v>
      </c>
      <c r="G2354" t="s">
        <v>32</v>
      </c>
      <c r="H2354" t="s">
        <v>43</v>
      </c>
      <c r="I2354" t="s">
        <v>44</v>
      </c>
      <c r="J2354" t="s">
        <v>124</v>
      </c>
      <c r="K2354" t="s">
        <v>117</v>
      </c>
      <c r="L2354">
        <v>17</v>
      </c>
      <c r="N2354" t="s">
        <v>6034</v>
      </c>
    </row>
    <row r="2355" spans="1:14" x14ac:dyDescent="0.35">
      <c r="A2355" t="s">
        <v>6478</v>
      </c>
      <c r="B2355" t="s">
        <v>6479</v>
      </c>
      <c r="C2355" t="s">
        <v>62</v>
      </c>
      <c r="D2355">
        <v>54.39</v>
      </c>
      <c r="E2355">
        <v>1000</v>
      </c>
      <c r="F2355" t="s">
        <v>106</v>
      </c>
      <c r="G2355" t="s">
        <v>32</v>
      </c>
      <c r="H2355" t="s">
        <v>33</v>
      </c>
      <c r="I2355" t="s">
        <v>44</v>
      </c>
      <c r="J2355" t="s">
        <v>130</v>
      </c>
      <c r="K2355" t="s">
        <v>123</v>
      </c>
      <c r="L2355">
        <v>17</v>
      </c>
      <c r="N2355" t="s">
        <v>6480</v>
      </c>
    </row>
    <row r="2356" spans="1:14" x14ac:dyDescent="0.35">
      <c r="A2356" t="s">
        <v>6481</v>
      </c>
      <c r="B2356" t="s">
        <v>6482</v>
      </c>
      <c r="C2356" t="s">
        <v>81</v>
      </c>
      <c r="D2356">
        <v>120.32</v>
      </c>
      <c r="E2356">
        <v>6000</v>
      </c>
      <c r="F2356" t="s">
        <v>87</v>
      </c>
      <c r="G2356" t="s">
        <v>32</v>
      </c>
      <c r="H2356" t="s">
        <v>33</v>
      </c>
      <c r="I2356" t="s">
        <v>34</v>
      </c>
      <c r="J2356" t="s">
        <v>1472</v>
      </c>
      <c r="K2356" t="s">
        <v>147</v>
      </c>
      <c r="L2356">
        <v>23</v>
      </c>
      <c r="M2356" t="s">
        <v>58</v>
      </c>
      <c r="N2356" t="s">
        <v>6483</v>
      </c>
    </row>
    <row r="2357" spans="1:14" x14ac:dyDescent="0.35">
      <c r="A2357" t="s">
        <v>6484</v>
      </c>
      <c r="B2357" t="s">
        <v>6485</v>
      </c>
      <c r="C2357" t="s">
        <v>116</v>
      </c>
      <c r="D2357">
        <v>11.66</v>
      </c>
      <c r="E2357">
        <v>500</v>
      </c>
      <c r="F2357" t="s">
        <v>74</v>
      </c>
      <c r="G2357" t="s">
        <v>32</v>
      </c>
      <c r="H2357" t="s">
        <v>57</v>
      </c>
      <c r="I2357" t="s">
        <v>34</v>
      </c>
      <c r="J2357" t="s">
        <v>124</v>
      </c>
      <c r="K2357" t="s">
        <v>117</v>
      </c>
      <c r="L2357">
        <v>10</v>
      </c>
      <c r="N2357" t="s">
        <v>613</v>
      </c>
    </row>
    <row r="2358" spans="1:14" x14ac:dyDescent="0.35">
      <c r="A2358" t="s">
        <v>6486</v>
      </c>
      <c r="B2358" t="s">
        <v>6487</v>
      </c>
      <c r="C2358" t="s">
        <v>30</v>
      </c>
      <c r="D2358">
        <v>168.88</v>
      </c>
      <c r="E2358">
        <v>15000</v>
      </c>
      <c r="F2358" t="s">
        <v>36</v>
      </c>
      <c r="G2358" t="s">
        <v>32</v>
      </c>
      <c r="H2358" t="s">
        <v>43</v>
      </c>
      <c r="I2358" t="s">
        <v>129</v>
      </c>
      <c r="J2358" t="s">
        <v>130</v>
      </c>
      <c r="K2358" t="s">
        <v>123</v>
      </c>
      <c r="L2358">
        <v>3</v>
      </c>
      <c r="N2358" t="s">
        <v>2964</v>
      </c>
    </row>
    <row r="2359" spans="1:14" x14ac:dyDescent="0.35">
      <c r="A2359" t="s">
        <v>6488</v>
      </c>
      <c r="B2359" t="s">
        <v>6489</v>
      </c>
      <c r="C2359" t="s">
        <v>69</v>
      </c>
      <c r="D2359">
        <v>99.32</v>
      </c>
      <c r="E2359">
        <v>34000</v>
      </c>
      <c r="F2359" t="s">
        <v>51</v>
      </c>
      <c r="G2359" t="s">
        <v>32</v>
      </c>
      <c r="H2359" t="s">
        <v>43</v>
      </c>
      <c r="I2359" t="s">
        <v>34</v>
      </c>
      <c r="J2359" t="s">
        <v>35</v>
      </c>
      <c r="K2359" t="s">
        <v>36</v>
      </c>
      <c r="L2359">
        <v>13</v>
      </c>
      <c r="N2359" t="s">
        <v>2710</v>
      </c>
    </row>
    <row r="2360" spans="1:14" x14ac:dyDescent="0.35">
      <c r="A2360" t="s">
        <v>6490</v>
      </c>
      <c r="B2360" t="s">
        <v>6491</v>
      </c>
      <c r="C2360" t="s">
        <v>69</v>
      </c>
      <c r="D2360">
        <v>80.45</v>
      </c>
      <c r="E2360">
        <v>83000</v>
      </c>
      <c r="F2360" t="s">
        <v>51</v>
      </c>
      <c r="G2360" t="s">
        <v>32</v>
      </c>
      <c r="H2360" t="s">
        <v>43</v>
      </c>
      <c r="I2360" t="s">
        <v>129</v>
      </c>
      <c r="J2360" t="s">
        <v>70</v>
      </c>
      <c r="K2360" t="s">
        <v>31</v>
      </c>
      <c r="L2360">
        <v>7</v>
      </c>
      <c r="N2360" t="s">
        <v>1901</v>
      </c>
    </row>
    <row r="2361" spans="1:14" x14ac:dyDescent="0.35">
      <c r="A2361" t="s">
        <v>6492</v>
      </c>
      <c r="B2361" t="s">
        <v>6493</v>
      </c>
      <c r="C2361" t="s">
        <v>116</v>
      </c>
      <c r="D2361">
        <v>7.22</v>
      </c>
      <c r="E2361">
        <v>200</v>
      </c>
      <c r="F2361" t="s">
        <v>97</v>
      </c>
      <c r="G2361" t="s">
        <v>32</v>
      </c>
      <c r="H2361" t="s">
        <v>43</v>
      </c>
      <c r="I2361" t="s">
        <v>44</v>
      </c>
      <c r="J2361" t="s">
        <v>2657</v>
      </c>
      <c r="K2361" t="s">
        <v>51</v>
      </c>
      <c r="L2361">
        <v>21</v>
      </c>
      <c r="M2361" t="s">
        <v>3453</v>
      </c>
      <c r="N2361" t="s">
        <v>4898</v>
      </c>
    </row>
    <row r="2362" spans="1:14" x14ac:dyDescent="0.35">
      <c r="A2362" t="s">
        <v>6494</v>
      </c>
      <c r="B2362" t="s">
        <v>6495</v>
      </c>
      <c r="C2362" t="s">
        <v>41</v>
      </c>
      <c r="D2362">
        <v>80.86</v>
      </c>
      <c r="E2362">
        <v>18000</v>
      </c>
      <c r="F2362" t="s">
        <v>139</v>
      </c>
      <c r="G2362" t="s">
        <v>32</v>
      </c>
      <c r="H2362" t="s">
        <v>57</v>
      </c>
      <c r="I2362" t="s">
        <v>129</v>
      </c>
      <c r="J2362" t="s">
        <v>35</v>
      </c>
      <c r="K2362" t="s">
        <v>36</v>
      </c>
      <c r="L2362">
        <v>6</v>
      </c>
      <c r="M2362" t="s">
        <v>2175</v>
      </c>
      <c r="N2362" t="s">
        <v>2678</v>
      </c>
    </row>
    <row r="2363" spans="1:14" x14ac:dyDescent="0.35">
      <c r="A2363" t="s">
        <v>6496</v>
      </c>
      <c r="B2363" t="s">
        <v>6497</v>
      </c>
      <c r="C2363" t="s">
        <v>30</v>
      </c>
      <c r="D2363">
        <v>130.24</v>
      </c>
      <c r="E2363">
        <v>2000</v>
      </c>
      <c r="F2363" t="s">
        <v>46</v>
      </c>
      <c r="G2363" t="s">
        <v>32</v>
      </c>
      <c r="H2363" t="s">
        <v>33</v>
      </c>
      <c r="I2363" t="s">
        <v>44</v>
      </c>
      <c r="J2363" t="s">
        <v>523</v>
      </c>
      <c r="K2363" t="s">
        <v>36</v>
      </c>
      <c r="L2363">
        <v>22</v>
      </c>
      <c r="N2363" t="s">
        <v>582</v>
      </c>
    </row>
    <row r="2364" spans="1:14" x14ac:dyDescent="0.35">
      <c r="A2364" t="s">
        <v>6498</v>
      </c>
      <c r="B2364" t="s">
        <v>6499</v>
      </c>
      <c r="C2364" t="s">
        <v>69</v>
      </c>
      <c r="D2364">
        <v>71.959999999999994</v>
      </c>
      <c r="E2364">
        <v>43000</v>
      </c>
      <c r="F2364" t="s">
        <v>64</v>
      </c>
      <c r="G2364" t="s">
        <v>32</v>
      </c>
      <c r="H2364" t="s">
        <v>57</v>
      </c>
      <c r="I2364" t="s">
        <v>44</v>
      </c>
      <c r="J2364" t="s">
        <v>573</v>
      </c>
      <c r="K2364" t="s">
        <v>42</v>
      </c>
      <c r="L2364">
        <v>18</v>
      </c>
      <c r="N2364" t="s">
        <v>6500</v>
      </c>
    </row>
    <row r="2365" spans="1:14" x14ac:dyDescent="0.35">
      <c r="A2365" t="s">
        <v>6501</v>
      </c>
      <c r="B2365" t="s">
        <v>6502</v>
      </c>
      <c r="C2365" t="s">
        <v>69</v>
      </c>
      <c r="D2365">
        <v>53.62</v>
      </c>
      <c r="E2365">
        <v>70000</v>
      </c>
      <c r="F2365" t="s">
        <v>117</v>
      </c>
      <c r="G2365" t="s">
        <v>32</v>
      </c>
      <c r="H2365" t="s">
        <v>57</v>
      </c>
      <c r="I2365" t="s">
        <v>129</v>
      </c>
      <c r="J2365" t="s">
        <v>63</v>
      </c>
      <c r="K2365" t="s">
        <v>64</v>
      </c>
      <c r="L2365">
        <v>10</v>
      </c>
      <c r="M2365" t="s">
        <v>1665</v>
      </c>
      <c r="N2365" t="s">
        <v>5649</v>
      </c>
    </row>
    <row r="2366" spans="1:14" x14ac:dyDescent="0.35">
      <c r="A2366" t="s">
        <v>6503</v>
      </c>
      <c r="B2366" t="s">
        <v>6504</v>
      </c>
      <c r="C2366" t="s">
        <v>69</v>
      </c>
      <c r="D2366">
        <v>85.3</v>
      </c>
      <c r="E2366">
        <v>90000</v>
      </c>
      <c r="F2366" t="s">
        <v>76</v>
      </c>
      <c r="G2366" t="s">
        <v>32</v>
      </c>
      <c r="H2366" t="s">
        <v>43</v>
      </c>
      <c r="I2366" t="s">
        <v>34</v>
      </c>
      <c r="J2366" t="s">
        <v>1531</v>
      </c>
      <c r="K2366" t="s">
        <v>42</v>
      </c>
      <c r="L2366">
        <v>17</v>
      </c>
      <c r="N2366" t="s">
        <v>5191</v>
      </c>
    </row>
    <row r="2367" spans="1:14" x14ac:dyDescent="0.35">
      <c r="A2367" t="s">
        <v>6505</v>
      </c>
      <c r="B2367" t="s">
        <v>6506</v>
      </c>
      <c r="C2367" t="s">
        <v>116</v>
      </c>
      <c r="D2367">
        <v>7.19</v>
      </c>
      <c r="E2367">
        <v>700</v>
      </c>
      <c r="F2367" t="s">
        <v>51</v>
      </c>
      <c r="G2367" t="s">
        <v>32</v>
      </c>
      <c r="H2367" t="s">
        <v>57</v>
      </c>
      <c r="I2367" t="s">
        <v>44</v>
      </c>
      <c r="J2367" t="s">
        <v>63</v>
      </c>
      <c r="K2367" t="s">
        <v>64</v>
      </c>
      <c r="L2367">
        <v>15</v>
      </c>
      <c r="M2367" t="s">
        <v>2118</v>
      </c>
      <c r="N2367" t="s">
        <v>1369</v>
      </c>
    </row>
    <row r="2368" spans="1:14" x14ac:dyDescent="0.35">
      <c r="A2368" t="s">
        <v>6507</v>
      </c>
      <c r="B2368" t="s">
        <v>6508</v>
      </c>
      <c r="C2368" t="s">
        <v>30</v>
      </c>
      <c r="D2368">
        <v>109.52</v>
      </c>
      <c r="E2368">
        <v>4000</v>
      </c>
      <c r="F2368" t="s">
        <v>51</v>
      </c>
      <c r="G2368" t="s">
        <v>32</v>
      </c>
      <c r="H2368" t="s">
        <v>57</v>
      </c>
      <c r="J2368" t="s">
        <v>118</v>
      </c>
      <c r="K2368" t="s">
        <v>42</v>
      </c>
      <c r="L2368">
        <v>5</v>
      </c>
      <c r="M2368" t="s">
        <v>3046</v>
      </c>
      <c r="N2368" t="s">
        <v>1274</v>
      </c>
    </row>
    <row r="2369" spans="1:14" x14ac:dyDescent="0.35">
      <c r="A2369" t="s">
        <v>6509</v>
      </c>
      <c r="B2369" t="s">
        <v>6510</v>
      </c>
      <c r="C2369" t="s">
        <v>69</v>
      </c>
      <c r="D2369">
        <v>85.92</v>
      </c>
      <c r="E2369">
        <v>76000</v>
      </c>
      <c r="F2369" t="s">
        <v>46</v>
      </c>
      <c r="G2369" t="s">
        <v>32</v>
      </c>
      <c r="H2369" t="s">
        <v>43</v>
      </c>
      <c r="I2369" t="s">
        <v>34</v>
      </c>
      <c r="J2369" t="s">
        <v>45</v>
      </c>
      <c r="K2369" t="s">
        <v>46</v>
      </c>
      <c r="L2369">
        <v>17</v>
      </c>
      <c r="N2369" t="s">
        <v>6511</v>
      </c>
    </row>
    <row r="2370" spans="1:14" x14ac:dyDescent="0.35">
      <c r="A2370" t="s">
        <v>6512</v>
      </c>
      <c r="B2370" t="s">
        <v>6513</v>
      </c>
      <c r="C2370" t="s">
        <v>30</v>
      </c>
      <c r="D2370">
        <v>187.91</v>
      </c>
      <c r="E2370">
        <v>6000</v>
      </c>
      <c r="F2370" t="s">
        <v>87</v>
      </c>
      <c r="G2370" t="s">
        <v>32</v>
      </c>
      <c r="H2370" t="s">
        <v>57</v>
      </c>
      <c r="I2370" t="s">
        <v>44</v>
      </c>
      <c r="J2370" t="s">
        <v>130</v>
      </c>
      <c r="K2370" t="s">
        <v>123</v>
      </c>
      <c r="L2370">
        <v>10</v>
      </c>
      <c r="N2370" t="s">
        <v>5524</v>
      </c>
    </row>
    <row r="2371" spans="1:14" x14ac:dyDescent="0.35">
      <c r="A2371" t="s">
        <v>6514</v>
      </c>
      <c r="B2371" t="s">
        <v>6515</v>
      </c>
      <c r="C2371" t="s">
        <v>62</v>
      </c>
      <c r="D2371">
        <v>52.47</v>
      </c>
      <c r="E2371">
        <v>3000</v>
      </c>
      <c r="F2371" t="s">
        <v>106</v>
      </c>
      <c r="G2371" t="s">
        <v>32</v>
      </c>
      <c r="H2371" t="s">
        <v>43</v>
      </c>
      <c r="I2371" t="s">
        <v>44</v>
      </c>
      <c r="J2371" t="s">
        <v>107</v>
      </c>
      <c r="K2371" t="s">
        <v>87</v>
      </c>
      <c r="L2371">
        <v>11</v>
      </c>
      <c r="M2371" t="s">
        <v>742</v>
      </c>
      <c r="N2371" t="s">
        <v>141</v>
      </c>
    </row>
    <row r="2372" spans="1:14" x14ac:dyDescent="0.35">
      <c r="A2372" t="s">
        <v>6516</v>
      </c>
      <c r="B2372" t="s">
        <v>6517</v>
      </c>
      <c r="C2372" t="s">
        <v>81</v>
      </c>
      <c r="D2372">
        <v>89.66</v>
      </c>
      <c r="E2372">
        <v>2000</v>
      </c>
      <c r="F2372" t="s">
        <v>42</v>
      </c>
      <c r="G2372" t="s">
        <v>32</v>
      </c>
      <c r="H2372" t="s">
        <v>57</v>
      </c>
      <c r="I2372" t="s">
        <v>34</v>
      </c>
      <c r="J2372" t="s">
        <v>45</v>
      </c>
      <c r="K2372" t="s">
        <v>46</v>
      </c>
      <c r="L2372">
        <v>19</v>
      </c>
      <c r="N2372" t="s">
        <v>181</v>
      </c>
    </row>
    <row r="2373" spans="1:14" x14ac:dyDescent="0.35">
      <c r="A2373" t="s">
        <v>6518</v>
      </c>
      <c r="B2373" t="s">
        <v>6519</v>
      </c>
      <c r="C2373" t="s">
        <v>116</v>
      </c>
      <c r="D2373">
        <v>9.1199999999999992</v>
      </c>
      <c r="E2373">
        <v>300</v>
      </c>
      <c r="F2373" t="s">
        <v>64</v>
      </c>
      <c r="G2373" t="s">
        <v>32</v>
      </c>
      <c r="H2373" t="s">
        <v>43</v>
      </c>
      <c r="I2373" t="s">
        <v>129</v>
      </c>
      <c r="J2373" t="s">
        <v>303</v>
      </c>
      <c r="K2373" t="s">
        <v>147</v>
      </c>
      <c r="L2373">
        <v>22</v>
      </c>
      <c r="M2373" t="s">
        <v>807</v>
      </c>
      <c r="N2373" t="s">
        <v>3248</v>
      </c>
    </row>
    <row r="2374" spans="1:14" x14ac:dyDescent="0.35">
      <c r="A2374" t="s">
        <v>6520</v>
      </c>
      <c r="B2374" t="s">
        <v>6521</v>
      </c>
      <c r="C2374" t="s">
        <v>41</v>
      </c>
      <c r="D2374">
        <v>127.56</v>
      </c>
      <c r="E2374">
        <v>21000</v>
      </c>
      <c r="F2374" t="s">
        <v>46</v>
      </c>
      <c r="G2374" t="s">
        <v>32</v>
      </c>
      <c r="H2374" t="s">
        <v>57</v>
      </c>
      <c r="I2374" t="s">
        <v>44</v>
      </c>
      <c r="J2374" t="s">
        <v>70</v>
      </c>
      <c r="K2374" t="s">
        <v>31</v>
      </c>
      <c r="L2374">
        <v>15</v>
      </c>
      <c r="M2374" t="s">
        <v>6522</v>
      </c>
      <c r="N2374" t="s">
        <v>1229</v>
      </c>
    </row>
    <row r="2375" spans="1:14" x14ac:dyDescent="0.35">
      <c r="A2375" t="s">
        <v>6523</v>
      </c>
      <c r="B2375" t="s">
        <v>6524</v>
      </c>
      <c r="C2375" t="s">
        <v>30</v>
      </c>
      <c r="D2375">
        <v>194.43</v>
      </c>
      <c r="E2375">
        <v>12000</v>
      </c>
      <c r="F2375" t="s">
        <v>106</v>
      </c>
      <c r="G2375" t="s">
        <v>32</v>
      </c>
      <c r="H2375" t="s">
        <v>57</v>
      </c>
      <c r="I2375" t="s">
        <v>44</v>
      </c>
      <c r="J2375" t="s">
        <v>118</v>
      </c>
      <c r="K2375" t="s">
        <v>42</v>
      </c>
      <c r="L2375">
        <v>5</v>
      </c>
      <c r="N2375" t="s">
        <v>2888</v>
      </c>
    </row>
    <row r="2376" spans="1:14" x14ac:dyDescent="0.35">
      <c r="A2376" t="s">
        <v>6525</v>
      </c>
      <c r="B2376" t="s">
        <v>6526</v>
      </c>
      <c r="C2376" t="s">
        <v>116</v>
      </c>
      <c r="D2376">
        <v>6.67</v>
      </c>
      <c r="E2376">
        <v>600</v>
      </c>
      <c r="F2376" t="s">
        <v>117</v>
      </c>
      <c r="G2376" t="s">
        <v>32</v>
      </c>
      <c r="H2376" t="s">
        <v>43</v>
      </c>
      <c r="I2376" t="s">
        <v>129</v>
      </c>
      <c r="J2376" t="s">
        <v>6527</v>
      </c>
      <c r="K2376" t="s">
        <v>139</v>
      </c>
      <c r="L2376">
        <v>16</v>
      </c>
      <c r="N2376" t="s">
        <v>132</v>
      </c>
    </row>
    <row r="2377" spans="1:14" x14ac:dyDescent="0.35">
      <c r="A2377" t="s">
        <v>6528</v>
      </c>
      <c r="B2377" t="s">
        <v>6529</v>
      </c>
      <c r="C2377" t="s">
        <v>30</v>
      </c>
      <c r="D2377">
        <v>118.02</v>
      </c>
      <c r="E2377">
        <v>12000</v>
      </c>
      <c r="F2377" t="s">
        <v>74</v>
      </c>
      <c r="G2377" t="s">
        <v>32</v>
      </c>
      <c r="H2377" t="s">
        <v>57</v>
      </c>
      <c r="I2377" t="s">
        <v>34</v>
      </c>
      <c r="J2377" t="s">
        <v>235</v>
      </c>
      <c r="K2377" t="s">
        <v>236</v>
      </c>
      <c r="L2377">
        <v>8</v>
      </c>
      <c r="M2377" t="s">
        <v>231</v>
      </c>
      <c r="N2377" t="s">
        <v>2904</v>
      </c>
    </row>
    <row r="2378" spans="1:14" x14ac:dyDescent="0.35">
      <c r="A2378" t="s">
        <v>6530</v>
      </c>
      <c r="B2378" t="s">
        <v>6531</v>
      </c>
      <c r="C2378" t="s">
        <v>81</v>
      </c>
      <c r="D2378">
        <v>117.8</v>
      </c>
      <c r="E2378">
        <v>4000</v>
      </c>
      <c r="F2378" t="s">
        <v>31</v>
      </c>
      <c r="G2378" t="s">
        <v>32</v>
      </c>
      <c r="H2378" t="s">
        <v>33</v>
      </c>
      <c r="I2378" t="s">
        <v>44</v>
      </c>
      <c r="J2378" t="s">
        <v>2028</v>
      </c>
      <c r="K2378" t="s">
        <v>236</v>
      </c>
      <c r="L2378">
        <v>4</v>
      </c>
      <c r="M2378" t="s">
        <v>2636</v>
      </c>
      <c r="N2378" t="s">
        <v>980</v>
      </c>
    </row>
    <row r="2379" spans="1:14" x14ac:dyDescent="0.35">
      <c r="A2379" t="s">
        <v>6532</v>
      </c>
      <c r="B2379" t="s">
        <v>6533</v>
      </c>
      <c r="C2379" t="s">
        <v>41</v>
      </c>
      <c r="D2379">
        <v>91.52</v>
      </c>
      <c r="E2379">
        <v>40000</v>
      </c>
      <c r="F2379" t="s">
        <v>46</v>
      </c>
      <c r="G2379" t="s">
        <v>32</v>
      </c>
      <c r="H2379" t="s">
        <v>43</v>
      </c>
      <c r="J2379" t="s">
        <v>1807</v>
      </c>
      <c r="K2379" t="s">
        <v>139</v>
      </c>
      <c r="L2379">
        <v>7</v>
      </c>
      <c r="M2379" t="s">
        <v>119</v>
      </c>
      <c r="N2379" t="s">
        <v>4329</v>
      </c>
    </row>
    <row r="2380" spans="1:14" x14ac:dyDescent="0.35">
      <c r="A2380" t="s">
        <v>6534</v>
      </c>
      <c r="B2380" t="s">
        <v>6535</v>
      </c>
      <c r="C2380" t="s">
        <v>81</v>
      </c>
      <c r="D2380">
        <v>97.26</v>
      </c>
      <c r="E2380">
        <v>10000</v>
      </c>
      <c r="F2380" t="s">
        <v>42</v>
      </c>
      <c r="G2380" t="s">
        <v>32</v>
      </c>
      <c r="H2380" t="s">
        <v>33</v>
      </c>
      <c r="J2380" t="s">
        <v>235</v>
      </c>
      <c r="K2380" t="s">
        <v>236</v>
      </c>
      <c r="L2380">
        <v>19</v>
      </c>
      <c r="M2380" t="s">
        <v>1245</v>
      </c>
      <c r="N2380" t="s">
        <v>305</v>
      </c>
    </row>
    <row r="2381" spans="1:14" x14ac:dyDescent="0.35">
      <c r="A2381" t="s">
        <v>6536</v>
      </c>
      <c r="B2381" t="s">
        <v>6537</v>
      </c>
      <c r="C2381" t="s">
        <v>30</v>
      </c>
      <c r="D2381">
        <v>190.24</v>
      </c>
      <c r="E2381">
        <v>15000</v>
      </c>
      <c r="F2381" t="s">
        <v>74</v>
      </c>
      <c r="G2381" t="s">
        <v>32</v>
      </c>
      <c r="H2381" t="s">
        <v>33</v>
      </c>
      <c r="I2381" t="s">
        <v>34</v>
      </c>
      <c r="J2381" t="s">
        <v>70</v>
      </c>
      <c r="K2381" t="s">
        <v>31</v>
      </c>
      <c r="L2381">
        <v>15</v>
      </c>
      <c r="N2381" t="s">
        <v>157</v>
      </c>
    </row>
    <row r="2382" spans="1:14" x14ac:dyDescent="0.35">
      <c r="A2382" t="s">
        <v>6538</v>
      </c>
      <c r="B2382" t="s">
        <v>6539</v>
      </c>
      <c r="C2382" t="s">
        <v>81</v>
      </c>
      <c r="D2382">
        <v>85.97</v>
      </c>
      <c r="E2382">
        <v>4000</v>
      </c>
      <c r="F2382" t="s">
        <v>31</v>
      </c>
      <c r="G2382" t="s">
        <v>102</v>
      </c>
      <c r="H2382" t="s">
        <v>43</v>
      </c>
      <c r="I2382" t="s">
        <v>44</v>
      </c>
      <c r="J2382" t="s">
        <v>3973</v>
      </c>
      <c r="K2382" t="s">
        <v>147</v>
      </c>
      <c r="L2382">
        <v>20</v>
      </c>
      <c r="N2382" t="s">
        <v>4999</v>
      </c>
    </row>
    <row r="2383" spans="1:14" x14ac:dyDescent="0.35">
      <c r="A2383" t="s">
        <v>6540</v>
      </c>
      <c r="B2383" t="s">
        <v>6541</v>
      </c>
      <c r="C2383" t="s">
        <v>30</v>
      </c>
      <c r="D2383">
        <v>117.83</v>
      </c>
      <c r="E2383">
        <v>19000</v>
      </c>
      <c r="F2383" t="s">
        <v>64</v>
      </c>
      <c r="G2383" t="s">
        <v>32</v>
      </c>
      <c r="H2383" t="s">
        <v>33</v>
      </c>
      <c r="I2383" t="s">
        <v>34</v>
      </c>
      <c r="J2383" t="s">
        <v>75</v>
      </c>
      <c r="K2383" t="s">
        <v>76</v>
      </c>
      <c r="L2383">
        <v>9</v>
      </c>
      <c r="M2383" t="s">
        <v>2532</v>
      </c>
      <c r="N2383" t="s">
        <v>2451</v>
      </c>
    </row>
    <row r="2384" spans="1:14" x14ac:dyDescent="0.35">
      <c r="A2384" t="s">
        <v>6542</v>
      </c>
      <c r="B2384" t="s">
        <v>1858</v>
      </c>
      <c r="C2384" t="s">
        <v>81</v>
      </c>
      <c r="D2384">
        <v>138.43</v>
      </c>
      <c r="E2384">
        <v>5000</v>
      </c>
      <c r="F2384" t="s">
        <v>64</v>
      </c>
      <c r="G2384" t="s">
        <v>32</v>
      </c>
      <c r="H2384" t="s">
        <v>57</v>
      </c>
      <c r="I2384" t="s">
        <v>44</v>
      </c>
      <c r="J2384" t="s">
        <v>810</v>
      </c>
      <c r="K2384" t="s">
        <v>147</v>
      </c>
      <c r="L2384">
        <v>17</v>
      </c>
      <c r="N2384" t="s">
        <v>1750</v>
      </c>
    </row>
    <row r="2385" spans="1:14" x14ac:dyDescent="0.35">
      <c r="A2385" t="s">
        <v>6543</v>
      </c>
      <c r="B2385" t="s">
        <v>6544</v>
      </c>
      <c r="C2385" t="s">
        <v>116</v>
      </c>
      <c r="D2385">
        <v>7.33</v>
      </c>
      <c r="E2385">
        <v>100</v>
      </c>
      <c r="F2385" t="s">
        <v>76</v>
      </c>
      <c r="G2385" t="s">
        <v>32</v>
      </c>
      <c r="H2385" t="s">
        <v>33</v>
      </c>
      <c r="I2385" t="s">
        <v>34</v>
      </c>
      <c r="J2385" t="s">
        <v>124</v>
      </c>
      <c r="K2385" t="s">
        <v>117</v>
      </c>
      <c r="L2385">
        <v>18</v>
      </c>
      <c r="N2385" t="s">
        <v>1988</v>
      </c>
    </row>
    <row r="2386" spans="1:14" x14ac:dyDescent="0.35">
      <c r="A2386" t="s">
        <v>6545</v>
      </c>
      <c r="B2386" t="s">
        <v>6546</v>
      </c>
      <c r="C2386" t="s">
        <v>69</v>
      </c>
      <c r="D2386">
        <v>60.18</v>
      </c>
      <c r="E2386">
        <v>99000</v>
      </c>
      <c r="F2386" t="s">
        <v>236</v>
      </c>
      <c r="G2386" t="s">
        <v>32</v>
      </c>
      <c r="H2386" t="s">
        <v>43</v>
      </c>
      <c r="I2386" t="s">
        <v>129</v>
      </c>
      <c r="J2386" t="s">
        <v>179</v>
      </c>
      <c r="K2386" t="s">
        <v>97</v>
      </c>
      <c r="L2386">
        <v>15</v>
      </c>
      <c r="M2386" t="s">
        <v>1058</v>
      </c>
      <c r="N2386" t="s">
        <v>1901</v>
      </c>
    </row>
    <row r="2387" spans="1:14" x14ac:dyDescent="0.35">
      <c r="A2387" t="s">
        <v>6547</v>
      </c>
      <c r="B2387" t="s">
        <v>6548</v>
      </c>
      <c r="C2387" t="s">
        <v>62</v>
      </c>
      <c r="D2387">
        <v>94.06</v>
      </c>
      <c r="E2387">
        <v>1000</v>
      </c>
      <c r="F2387" t="s">
        <v>42</v>
      </c>
      <c r="G2387" t="s">
        <v>32</v>
      </c>
      <c r="H2387" t="s">
        <v>43</v>
      </c>
      <c r="I2387" t="s">
        <v>44</v>
      </c>
      <c r="J2387" t="s">
        <v>112</v>
      </c>
      <c r="K2387" t="s">
        <v>106</v>
      </c>
      <c r="L2387">
        <v>16</v>
      </c>
      <c r="M2387" t="s">
        <v>83</v>
      </c>
      <c r="N2387" t="s">
        <v>2168</v>
      </c>
    </row>
    <row r="2388" spans="1:14" x14ac:dyDescent="0.35">
      <c r="A2388" t="s">
        <v>6549</v>
      </c>
      <c r="B2388" t="s">
        <v>6550</v>
      </c>
      <c r="C2388" t="s">
        <v>30</v>
      </c>
      <c r="D2388">
        <v>118.53</v>
      </c>
      <c r="E2388">
        <v>14000</v>
      </c>
      <c r="F2388" t="s">
        <v>97</v>
      </c>
      <c r="G2388" t="s">
        <v>32</v>
      </c>
      <c r="H2388" t="s">
        <v>57</v>
      </c>
      <c r="I2388" t="s">
        <v>34</v>
      </c>
      <c r="J2388" t="s">
        <v>3850</v>
      </c>
      <c r="K2388" t="s">
        <v>147</v>
      </c>
      <c r="L2388">
        <v>22</v>
      </c>
      <c r="M2388" t="s">
        <v>243</v>
      </c>
      <c r="N2388" t="s">
        <v>2159</v>
      </c>
    </row>
    <row r="2389" spans="1:14" x14ac:dyDescent="0.35">
      <c r="A2389" t="s">
        <v>6551</v>
      </c>
      <c r="B2389" t="s">
        <v>6552</v>
      </c>
      <c r="C2389" t="s">
        <v>41</v>
      </c>
      <c r="D2389">
        <v>119.41</v>
      </c>
      <c r="E2389">
        <v>21000</v>
      </c>
      <c r="F2389" t="s">
        <v>97</v>
      </c>
      <c r="G2389" t="s">
        <v>32</v>
      </c>
      <c r="H2389" t="s">
        <v>33</v>
      </c>
      <c r="I2389" t="s">
        <v>44</v>
      </c>
      <c r="K2389" t="s">
        <v>51</v>
      </c>
      <c r="L2389">
        <v>10</v>
      </c>
      <c r="N2389" t="s">
        <v>3082</v>
      </c>
    </row>
    <row r="2390" spans="1:14" x14ac:dyDescent="0.35">
      <c r="A2390" t="s">
        <v>6553</v>
      </c>
      <c r="B2390" t="s">
        <v>6554</v>
      </c>
      <c r="C2390" t="s">
        <v>116</v>
      </c>
      <c r="D2390">
        <v>8.9700000000000006</v>
      </c>
      <c r="E2390">
        <v>100</v>
      </c>
      <c r="F2390" t="s">
        <v>74</v>
      </c>
      <c r="G2390" t="s">
        <v>32</v>
      </c>
      <c r="H2390" t="s">
        <v>33</v>
      </c>
      <c r="I2390" t="s">
        <v>34</v>
      </c>
      <c r="J2390" t="s">
        <v>130</v>
      </c>
      <c r="K2390" t="s">
        <v>123</v>
      </c>
      <c r="L2390">
        <v>1</v>
      </c>
      <c r="M2390" t="s">
        <v>5601</v>
      </c>
      <c r="N2390" t="s">
        <v>1180</v>
      </c>
    </row>
    <row r="2391" spans="1:14" x14ac:dyDescent="0.35">
      <c r="A2391" t="s">
        <v>6555</v>
      </c>
      <c r="B2391" t="s">
        <v>6556</v>
      </c>
      <c r="C2391" t="s">
        <v>81</v>
      </c>
      <c r="D2391">
        <v>101.27</v>
      </c>
      <c r="E2391">
        <v>10000</v>
      </c>
      <c r="F2391" t="s">
        <v>106</v>
      </c>
      <c r="G2391" t="s">
        <v>32</v>
      </c>
      <c r="H2391" t="s">
        <v>43</v>
      </c>
      <c r="J2391" t="s">
        <v>70</v>
      </c>
      <c r="K2391" t="s">
        <v>31</v>
      </c>
      <c r="L2391">
        <v>14</v>
      </c>
      <c r="N2391" t="s">
        <v>944</v>
      </c>
    </row>
    <row r="2392" spans="1:14" x14ac:dyDescent="0.35">
      <c r="A2392" t="s">
        <v>6557</v>
      </c>
      <c r="B2392" t="s">
        <v>6558</v>
      </c>
      <c r="C2392" t="s">
        <v>69</v>
      </c>
      <c r="D2392">
        <v>71.42</v>
      </c>
      <c r="E2392">
        <v>89000</v>
      </c>
      <c r="F2392" t="s">
        <v>51</v>
      </c>
      <c r="G2392" t="s">
        <v>32</v>
      </c>
      <c r="H2392" t="s">
        <v>33</v>
      </c>
      <c r="I2392" t="s">
        <v>34</v>
      </c>
      <c r="J2392" t="s">
        <v>278</v>
      </c>
      <c r="K2392" t="s">
        <v>97</v>
      </c>
      <c r="L2392">
        <v>20</v>
      </c>
      <c r="M2392" t="s">
        <v>803</v>
      </c>
      <c r="N2392" t="s">
        <v>305</v>
      </c>
    </row>
    <row r="2393" spans="1:14" x14ac:dyDescent="0.35">
      <c r="A2393" t="s">
        <v>6559</v>
      </c>
      <c r="B2393" t="s">
        <v>6560</v>
      </c>
      <c r="C2393" t="s">
        <v>41</v>
      </c>
      <c r="D2393">
        <v>132.54</v>
      </c>
      <c r="E2393">
        <v>39000</v>
      </c>
      <c r="F2393" t="s">
        <v>31</v>
      </c>
      <c r="G2393" t="s">
        <v>32</v>
      </c>
      <c r="H2393" t="s">
        <v>57</v>
      </c>
      <c r="I2393" t="s">
        <v>34</v>
      </c>
      <c r="J2393" t="s">
        <v>429</v>
      </c>
      <c r="K2393" t="s">
        <v>236</v>
      </c>
      <c r="L2393">
        <v>8</v>
      </c>
      <c r="M2393" t="s">
        <v>335</v>
      </c>
      <c r="N2393" t="s">
        <v>71</v>
      </c>
    </row>
    <row r="2394" spans="1:14" x14ac:dyDescent="0.35">
      <c r="A2394" t="s">
        <v>6561</v>
      </c>
      <c r="B2394" t="s">
        <v>6562</v>
      </c>
      <c r="C2394" t="s">
        <v>81</v>
      </c>
      <c r="D2394">
        <v>113.72</v>
      </c>
      <c r="E2394">
        <v>10000</v>
      </c>
      <c r="F2394" t="s">
        <v>42</v>
      </c>
      <c r="G2394" t="s">
        <v>32</v>
      </c>
      <c r="H2394" t="s">
        <v>33</v>
      </c>
      <c r="I2394" t="s">
        <v>34</v>
      </c>
      <c r="J2394" t="s">
        <v>45</v>
      </c>
      <c r="K2394" t="s">
        <v>46</v>
      </c>
      <c r="L2394">
        <v>20</v>
      </c>
      <c r="M2394" t="s">
        <v>5734</v>
      </c>
      <c r="N2394" t="s">
        <v>992</v>
      </c>
    </row>
    <row r="2395" spans="1:14" x14ac:dyDescent="0.35">
      <c r="A2395" t="s">
        <v>6563</v>
      </c>
      <c r="B2395" t="s">
        <v>6564</v>
      </c>
      <c r="C2395" t="s">
        <v>30</v>
      </c>
      <c r="D2395">
        <v>196.11</v>
      </c>
      <c r="E2395">
        <v>10000</v>
      </c>
      <c r="F2395" t="s">
        <v>117</v>
      </c>
      <c r="G2395" t="s">
        <v>32</v>
      </c>
      <c r="H2395" t="s">
        <v>33</v>
      </c>
      <c r="J2395" t="s">
        <v>846</v>
      </c>
      <c r="K2395" t="s">
        <v>74</v>
      </c>
      <c r="L2395">
        <v>12</v>
      </c>
      <c r="M2395" t="s">
        <v>995</v>
      </c>
      <c r="N2395" t="s">
        <v>2986</v>
      </c>
    </row>
    <row r="2396" spans="1:14" x14ac:dyDescent="0.35">
      <c r="A2396" t="s">
        <v>6565</v>
      </c>
      <c r="B2396" t="s">
        <v>6566</v>
      </c>
      <c r="C2396" t="s">
        <v>30</v>
      </c>
      <c r="D2396">
        <v>137.55000000000001</v>
      </c>
      <c r="E2396">
        <v>20000</v>
      </c>
      <c r="F2396" t="s">
        <v>236</v>
      </c>
      <c r="G2396" t="s">
        <v>32</v>
      </c>
      <c r="H2396" t="s">
        <v>57</v>
      </c>
      <c r="I2396" t="s">
        <v>34</v>
      </c>
      <c r="J2396" t="s">
        <v>45</v>
      </c>
      <c r="K2396" t="s">
        <v>46</v>
      </c>
      <c r="L2396">
        <v>4</v>
      </c>
      <c r="M2396" t="s">
        <v>2554</v>
      </c>
      <c r="N2396" t="s">
        <v>924</v>
      </c>
    </row>
    <row r="2397" spans="1:14" x14ac:dyDescent="0.35">
      <c r="A2397" t="s">
        <v>6567</v>
      </c>
      <c r="B2397" t="s">
        <v>6568</v>
      </c>
      <c r="C2397" t="s">
        <v>116</v>
      </c>
      <c r="D2397">
        <v>7.63</v>
      </c>
      <c r="E2397">
        <v>600</v>
      </c>
      <c r="F2397" t="s">
        <v>42</v>
      </c>
      <c r="G2397" t="s">
        <v>32</v>
      </c>
      <c r="H2397" t="s">
        <v>43</v>
      </c>
      <c r="I2397" t="s">
        <v>34</v>
      </c>
      <c r="J2397" t="s">
        <v>991</v>
      </c>
      <c r="K2397" t="s">
        <v>147</v>
      </c>
      <c r="L2397">
        <v>11</v>
      </c>
      <c r="M2397" t="s">
        <v>175</v>
      </c>
      <c r="N2397" t="s">
        <v>2119</v>
      </c>
    </row>
    <row r="2398" spans="1:14" x14ac:dyDescent="0.35">
      <c r="A2398" t="s">
        <v>6569</v>
      </c>
      <c r="B2398" t="s">
        <v>6570</v>
      </c>
      <c r="C2398" t="s">
        <v>116</v>
      </c>
      <c r="D2398">
        <v>7.98</v>
      </c>
      <c r="E2398">
        <v>500</v>
      </c>
      <c r="F2398" t="s">
        <v>123</v>
      </c>
      <c r="G2398" t="s">
        <v>102</v>
      </c>
      <c r="H2398" t="s">
        <v>33</v>
      </c>
      <c r="I2398" t="s">
        <v>34</v>
      </c>
      <c r="J2398" t="s">
        <v>6571</v>
      </c>
      <c r="K2398" t="s">
        <v>147</v>
      </c>
      <c r="L2398">
        <v>2</v>
      </c>
      <c r="N2398" t="s">
        <v>1483</v>
      </c>
    </row>
    <row r="2399" spans="1:14" x14ac:dyDescent="0.35">
      <c r="A2399" t="s">
        <v>6572</v>
      </c>
      <c r="B2399" t="s">
        <v>6573</v>
      </c>
      <c r="C2399" t="s">
        <v>62</v>
      </c>
      <c r="D2399">
        <v>73.97</v>
      </c>
      <c r="E2399">
        <v>2000</v>
      </c>
      <c r="F2399" t="s">
        <v>31</v>
      </c>
      <c r="G2399" t="s">
        <v>32</v>
      </c>
      <c r="H2399" t="s">
        <v>57</v>
      </c>
      <c r="I2399" t="s">
        <v>129</v>
      </c>
      <c r="J2399" t="s">
        <v>107</v>
      </c>
      <c r="K2399" t="s">
        <v>87</v>
      </c>
      <c r="L2399">
        <v>17</v>
      </c>
      <c r="M2399" t="s">
        <v>160</v>
      </c>
      <c r="N2399" t="s">
        <v>1262</v>
      </c>
    </row>
    <row r="2400" spans="1:14" x14ac:dyDescent="0.35">
      <c r="A2400" t="s">
        <v>6574</v>
      </c>
      <c r="B2400" t="s">
        <v>6575</v>
      </c>
      <c r="C2400" t="s">
        <v>81</v>
      </c>
      <c r="D2400">
        <v>73.48</v>
      </c>
      <c r="E2400">
        <v>4000</v>
      </c>
      <c r="F2400" t="s">
        <v>87</v>
      </c>
      <c r="G2400" t="s">
        <v>32</v>
      </c>
      <c r="H2400" t="s">
        <v>57</v>
      </c>
      <c r="I2400" t="s">
        <v>44</v>
      </c>
      <c r="J2400" t="s">
        <v>209</v>
      </c>
      <c r="K2400" t="s">
        <v>74</v>
      </c>
      <c r="L2400">
        <v>6</v>
      </c>
      <c r="N2400" t="s">
        <v>787</v>
      </c>
    </row>
    <row r="2401" spans="1:14" x14ac:dyDescent="0.35">
      <c r="A2401" t="s">
        <v>6576</v>
      </c>
      <c r="B2401" t="s">
        <v>6577</v>
      </c>
      <c r="C2401" t="s">
        <v>116</v>
      </c>
      <c r="D2401">
        <v>6.22</v>
      </c>
      <c r="E2401">
        <v>300</v>
      </c>
      <c r="F2401" t="s">
        <v>139</v>
      </c>
      <c r="G2401" t="s">
        <v>32</v>
      </c>
      <c r="H2401" t="s">
        <v>33</v>
      </c>
      <c r="I2401" t="s">
        <v>44</v>
      </c>
      <c r="J2401" t="s">
        <v>70</v>
      </c>
      <c r="K2401" t="s">
        <v>31</v>
      </c>
      <c r="L2401">
        <v>2</v>
      </c>
      <c r="M2401" t="s">
        <v>1136</v>
      </c>
      <c r="N2401" t="s">
        <v>5029</v>
      </c>
    </row>
    <row r="2402" spans="1:14" x14ac:dyDescent="0.35">
      <c r="A2402" t="s">
        <v>6578</v>
      </c>
      <c r="B2402" t="s">
        <v>6579</v>
      </c>
      <c r="C2402" t="s">
        <v>41</v>
      </c>
      <c r="D2402">
        <v>133.58000000000001</v>
      </c>
      <c r="E2402">
        <v>33000</v>
      </c>
      <c r="F2402" t="s">
        <v>64</v>
      </c>
      <c r="G2402" t="s">
        <v>32</v>
      </c>
      <c r="H2402" t="s">
        <v>43</v>
      </c>
      <c r="J2402" t="s">
        <v>179</v>
      </c>
      <c r="K2402" t="s">
        <v>97</v>
      </c>
      <c r="L2402">
        <v>12</v>
      </c>
      <c r="M2402" t="s">
        <v>6522</v>
      </c>
      <c r="N2402" t="s">
        <v>5392</v>
      </c>
    </row>
    <row r="2403" spans="1:14" x14ac:dyDescent="0.35">
      <c r="A2403" t="s">
        <v>6580</v>
      </c>
      <c r="B2403" t="s">
        <v>6581</v>
      </c>
      <c r="C2403" t="s">
        <v>69</v>
      </c>
      <c r="D2403">
        <v>82.4</v>
      </c>
      <c r="E2403">
        <v>74000</v>
      </c>
      <c r="F2403" t="s">
        <v>76</v>
      </c>
      <c r="G2403" t="s">
        <v>32</v>
      </c>
      <c r="H2403" t="s">
        <v>43</v>
      </c>
      <c r="I2403" t="s">
        <v>129</v>
      </c>
      <c r="J2403" t="s">
        <v>1468</v>
      </c>
      <c r="K2403" t="s">
        <v>147</v>
      </c>
      <c r="L2403">
        <v>20</v>
      </c>
      <c r="M2403" t="s">
        <v>2269</v>
      </c>
      <c r="N2403" t="s">
        <v>6134</v>
      </c>
    </row>
    <row r="2404" spans="1:14" x14ac:dyDescent="0.35">
      <c r="A2404" t="s">
        <v>6582</v>
      </c>
      <c r="B2404" t="s">
        <v>6583</v>
      </c>
      <c r="C2404" t="s">
        <v>62</v>
      </c>
      <c r="D2404">
        <v>62.87</v>
      </c>
      <c r="E2404">
        <v>4000</v>
      </c>
      <c r="F2404" t="s">
        <v>51</v>
      </c>
      <c r="G2404" t="s">
        <v>32</v>
      </c>
      <c r="H2404" t="s">
        <v>57</v>
      </c>
      <c r="I2404" t="s">
        <v>34</v>
      </c>
      <c r="J2404" t="s">
        <v>500</v>
      </c>
      <c r="K2404" t="s">
        <v>236</v>
      </c>
      <c r="L2404">
        <v>7</v>
      </c>
      <c r="M2404" t="s">
        <v>3599</v>
      </c>
      <c r="N2404" t="s">
        <v>6225</v>
      </c>
    </row>
    <row r="2405" spans="1:14" x14ac:dyDescent="0.35">
      <c r="A2405" t="s">
        <v>6584</v>
      </c>
      <c r="B2405" t="s">
        <v>6585</v>
      </c>
      <c r="C2405" t="s">
        <v>69</v>
      </c>
      <c r="D2405">
        <v>52.32</v>
      </c>
      <c r="E2405">
        <v>20000</v>
      </c>
      <c r="F2405" t="s">
        <v>51</v>
      </c>
      <c r="G2405" t="s">
        <v>32</v>
      </c>
      <c r="H2405" t="s">
        <v>33</v>
      </c>
      <c r="I2405" t="s">
        <v>44</v>
      </c>
      <c r="J2405" t="s">
        <v>477</v>
      </c>
      <c r="K2405" t="s">
        <v>51</v>
      </c>
      <c r="L2405">
        <v>14</v>
      </c>
      <c r="M2405" t="s">
        <v>513</v>
      </c>
      <c r="N2405" t="s">
        <v>1802</v>
      </c>
    </row>
    <row r="2406" spans="1:14" x14ac:dyDescent="0.35">
      <c r="A2406" t="s">
        <v>6586</v>
      </c>
      <c r="B2406" t="s">
        <v>6587</v>
      </c>
      <c r="C2406" t="s">
        <v>41</v>
      </c>
      <c r="D2406">
        <v>99.75</v>
      </c>
      <c r="E2406">
        <v>12000</v>
      </c>
      <c r="F2406" t="s">
        <v>236</v>
      </c>
      <c r="G2406" t="s">
        <v>32</v>
      </c>
      <c r="H2406" t="s">
        <v>33</v>
      </c>
      <c r="I2406" t="s">
        <v>44</v>
      </c>
      <c r="J2406" t="s">
        <v>1468</v>
      </c>
      <c r="K2406" t="s">
        <v>147</v>
      </c>
      <c r="L2406">
        <v>18</v>
      </c>
      <c r="N2406" t="s">
        <v>3431</v>
      </c>
    </row>
    <row r="2407" spans="1:14" x14ac:dyDescent="0.35">
      <c r="A2407" t="s">
        <v>6588</v>
      </c>
      <c r="B2407" t="s">
        <v>6589</v>
      </c>
      <c r="C2407" t="s">
        <v>41</v>
      </c>
      <c r="D2407">
        <v>114.02</v>
      </c>
      <c r="E2407">
        <v>24000</v>
      </c>
      <c r="F2407" t="s">
        <v>51</v>
      </c>
      <c r="G2407" t="s">
        <v>32</v>
      </c>
      <c r="H2407" t="s">
        <v>43</v>
      </c>
      <c r="I2407" t="s">
        <v>44</v>
      </c>
      <c r="J2407" t="s">
        <v>130</v>
      </c>
      <c r="K2407" t="s">
        <v>123</v>
      </c>
      <c r="L2407">
        <v>15</v>
      </c>
      <c r="M2407" t="s">
        <v>6590</v>
      </c>
      <c r="N2407" t="s">
        <v>412</v>
      </c>
    </row>
    <row r="2408" spans="1:14" x14ac:dyDescent="0.35">
      <c r="A2408" t="s">
        <v>6591</v>
      </c>
      <c r="B2408" t="s">
        <v>6592</v>
      </c>
      <c r="C2408" t="s">
        <v>116</v>
      </c>
      <c r="D2408">
        <v>11.03</v>
      </c>
      <c r="E2408">
        <v>700</v>
      </c>
      <c r="F2408" t="s">
        <v>106</v>
      </c>
      <c r="G2408" t="s">
        <v>102</v>
      </c>
      <c r="H2408" t="s">
        <v>43</v>
      </c>
      <c r="I2408" t="s">
        <v>34</v>
      </c>
      <c r="J2408" t="s">
        <v>124</v>
      </c>
      <c r="K2408" t="s">
        <v>117</v>
      </c>
      <c r="L2408">
        <v>17</v>
      </c>
      <c r="N2408" t="s">
        <v>4189</v>
      </c>
    </row>
    <row r="2409" spans="1:14" x14ac:dyDescent="0.35">
      <c r="A2409" t="s">
        <v>6593</v>
      </c>
      <c r="B2409" t="s">
        <v>6594</v>
      </c>
      <c r="C2409" t="s">
        <v>41</v>
      </c>
      <c r="D2409">
        <v>112.69</v>
      </c>
      <c r="E2409">
        <v>19000</v>
      </c>
      <c r="F2409" t="s">
        <v>87</v>
      </c>
      <c r="G2409" t="s">
        <v>32</v>
      </c>
      <c r="H2409" t="s">
        <v>57</v>
      </c>
      <c r="J2409" t="s">
        <v>45</v>
      </c>
      <c r="K2409" t="s">
        <v>46</v>
      </c>
      <c r="L2409">
        <v>14</v>
      </c>
      <c r="N2409" t="s">
        <v>1701</v>
      </c>
    </row>
    <row r="2410" spans="1:14" x14ac:dyDescent="0.35">
      <c r="A2410" t="s">
        <v>6595</v>
      </c>
      <c r="B2410" t="s">
        <v>6596</v>
      </c>
      <c r="C2410" t="s">
        <v>62</v>
      </c>
      <c r="D2410">
        <v>94.61</v>
      </c>
      <c r="E2410">
        <v>3000</v>
      </c>
      <c r="F2410" t="s">
        <v>51</v>
      </c>
      <c r="G2410" t="s">
        <v>32</v>
      </c>
      <c r="H2410" t="s">
        <v>57</v>
      </c>
      <c r="I2410" t="s">
        <v>34</v>
      </c>
      <c r="J2410" t="s">
        <v>75</v>
      </c>
      <c r="K2410" t="s">
        <v>76</v>
      </c>
      <c r="L2410">
        <v>11</v>
      </c>
      <c r="M2410" t="s">
        <v>3085</v>
      </c>
      <c r="N2410" t="s">
        <v>3897</v>
      </c>
    </row>
    <row r="2411" spans="1:14" x14ac:dyDescent="0.35">
      <c r="A2411" t="s">
        <v>6597</v>
      </c>
      <c r="B2411" t="s">
        <v>6598</v>
      </c>
      <c r="C2411" t="s">
        <v>69</v>
      </c>
      <c r="D2411">
        <v>89.08</v>
      </c>
      <c r="E2411">
        <v>45000</v>
      </c>
      <c r="F2411" t="s">
        <v>123</v>
      </c>
      <c r="G2411" t="s">
        <v>32</v>
      </c>
      <c r="H2411" t="s">
        <v>43</v>
      </c>
      <c r="I2411" t="s">
        <v>129</v>
      </c>
      <c r="J2411" t="s">
        <v>107</v>
      </c>
      <c r="K2411" t="s">
        <v>87</v>
      </c>
      <c r="L2411">
        <v>15</v>
      </c>
      <c r="M2411" t="s">
        <v>4192</v>
      </c>
      <c r="N2411" t="s">
        <v>1093</v>
      </c>
    </row>
    <row r="2412" spans="1:14" x14ac:dyDescent="0.35">
      <c r="A2412" t="s">
        <v>6599</v>
      </c>
      <c r="B2412" t="s">
        <v>6600</v>
      </c>
      <c r="C2412" t="s">
        <v>69</v>
      </c>
      <c r="D2412">
        <v>59.19</v>
      </c>
      <c r="E2412">
        <v>99000</v>
      </c>
      <c r="F2412" t="s">
        <v>76</v>
      </c>
      <c r="G2412" t="s">
        <v>32</v>
      </c>
      <c r="H2412" t="s">
        <v>33</v>
      </c>
      <c r="I2412" t="s">
        <v>44</v>
      </c>
      <c r="J2412" t="s">
        <v>35</v>
      </c>
      <c r="K2412" t="s">
        <v>36</v>
      </c>
      <c r="L2412">
        <v>13</v>
      </c>
      <c r="N2412" t="s">
        <v>1278</v>
      </c>
    </row>
    <row r="2413" spans="1:14" x14ac:dyDescent="0.35">
      <c r="A2413" t="s">
        <v>6601</v>
      </c>
      <c r="B2413" t="s">
        <v>6602</v>
      </c>
      <c r="C2413" t="s">
        <v>69</v>
      </c>
      <c r="D2413">
        <v>94.17</v>
      </c>
      <c r="E2413">
        <v>82000</v>
      </c>
      <c r="F2413" t="s">
        <v>97</v>
      </c>
      <c r="G2413" t="s">
        <v>32</v>
      </c>
      <c r="H2413" t="s">
        <v>33</v>
      </c>
      <c r="I2413" t="s">
        <v>44</v>
      </c>
      <c r="J2413" t="s">
        <v>2289</v>
      </c>
      <c r="K2413" t="s">
        <v>31</v>
      </c>
      <c r="L2413">
        <v>5</v>
      </c>
      <c r="N2413" t="s">
        <v>3697</v>
      </c>
    </row>
    <row r="2414" spans="1:14" x14ac:dyDescent="0.35">
      <c r="A2414" t="s">
        <v>6603</v>
      </c>
      <c r="B2414" t="s">
        <v>6604</v>
      </c>
      <c r="C2414" t="s">
        <v>81</v>
      </c>
      <c r="D2414">
        <v>104.33</v>
      </c>
      <c r="E2414">
        <v>6000</v>
      </c>
      <c r="F2414" t="s">
        <v>147</v>
      </c>
      <c r="G2414" t="s">
        <v>32</v>
      </c>
      <c r="H2414" t="s">
        <v>57</v>
      </c>
      <c r="I2414" t="s">
        <v>34</v>
      </c>
      <c r="J2414" t="s">
        <v>6605</v>
      </c>
      <c r="K2414" t="s">
        <v>51</v>
      </c>
      <c r="L2414">
        <v>15</v>
      </c>
      <c r="M2414" t="s">
        <v>1683</v>
      </c>
      <c r="N2414" t="s">
        <v>1312</v>
      </c>
    </row>
    <row r="2415" spans="1:14" x14ac:dyDescent="0.35">
      <c r="A2415" t="s">
        <v>6606</v>
      </c>
      <c r="B2415" t="s">
        <v>6607</v>
      </c>
      <c r="C2415" t="s">
        <v>81</v>
      </c>
      <c r="D2415">
        <v>129.01</v>
      </c>
      <c r="E2415">
        <v>10000</v>
      </c>
      <c r="F2415" t="s">
        <v>51</v>
      </c>
      <c r="G2415" t="s">
        <v>102</v>
      </c>
      <c r="H2415" t="s">
        <v>43</v>
      </c>
      <c r="I2415" t="s">
        <v>44</v>
      </c>
      <c r="J2415" t="s">
        <v>35</v>
      </c>
      <c r="K2415" t="s">
        <v>36</v>
      </c>
      <c r="L2415">
        <v>3</v>
      </c>
      <c r="M2415" t="s">
        <v>1957</v>
      </c>
      <c r="N2415" t="s">
        <v>363</v>
      </c>
    </row>
    <row r="2416" spans="1:14" x14ac:dyDescent="0.35">
      <c r="A2416" t="s">
        <v>6608</v>
      </c>
      <c r="B2416" t="s">
        <v>6609</v>
      </c>
      <c r="C2416" t="s">
        <v>81</v>
      </c>
      <c r="D2416">
        <v>121.21</v>
      </c>
      <c r="E2416">
        <v>1000</v>
      </c>
      <c r="F2416" t="s">
        <v>64</v>
      </c>
      <c r="G2416" t="s">
        <v>32</v>
      </c>
      <c r="H2416" t="s">
        <v>43</v>
      </c>
      <c r="I2416" t="s">
        <v>129</v>
      </c>
      <c r="J2416" t="s">
        <v>2943</v>
      </c>
      <c r="K2416" t="s">
        <v>74</v>
      </c>
      <c r="L2416">
        <v>4</v>
      </c>
      <c r="M2416" t="s">
        <v>6610</v>
      </c>
      <c r="N2416" t="s">
        <v>1958</v>
      </c>
    </row>
    <row r="2417" spans="1:14" x14ac:dyDescent="0.35">
      <c r="A2417" t="s">
        <v>6611</v>
      </c>
      <c r="B2417" t="s">
        <v>6612</v>
      </c>
      <c r="C2417" t="s">
        <v>69</v>
      </c>
      <c r="D2417">
        <v>98.24</v>
      </c>
      <c r="E2417">
        <v>100000</v>
      </c>
      <c r="F2417" t="s">
        <v>64</v>
      </c>
      <c r="G2417" t="s">
        <v>32</v>
      </c>
      <c r="H2417" t="s">
        <v>57</v>
      </c>
      <c r="J2417" t="s">
        <v>107</v>
      </c>
      <c r="K2417" t="s">
        <v>87</v>
      </c>
      <c r="L2417">
        <v>19</v>
      </c>
      <c r="M2417" t="s">
        <v>485</v>
      </c>
      <c r="N2417" t="s">
        <v>6098</v>
      </c>
    </row>
    <row r="2418" spans="1:14" x14ac:dyDescent="0.35">
      <c r="A2418" t="s">
        <v>6613</v>
      </c>
      <c r="B2418" t="s">
        <v>6614</v>
      </c>
      <c r="C2418" t="s">
        <v>69</v>
      </c>
      <c r="D2418">
        <v>75.209999999999994</v>
      </c>
      <c r="E2418">
        <v>80000</v>
      </c>
      <c r="F2418" t="s">
        <v>123</v>
      </c>
      <c r="G2418" t="s">
        <v>32</v>
      </c>
      <c r="H2418" t="s">
        <v>43</v>
      </c>
      <c r="I2418" t="s">
        <v>44</v>
      </c>
      <c r="J2418" t="s">
        <v>6615</v>
      </c>
      <c r="K2418" t="s">
        <v>51</v>
      </c>
      <c r="L2418">
        <v>9</v>
      </c>
      <c r="M2418" t="s">
        <v>555</v>
      </c>
      <c r="N2418" t="s">
        <v>2654</v>
      </c>
    </row>
    <row r="2419" spans="1:14" x14ac:dyDescent="0.35">
      <c r="A2419" t="s">
        <v>6616</v>
      </c>
      <c r="B2419" t="s">
        <v>6617</v>
      </c>
      <c r="C2419" t="s">
        <v>41</v>
      </c>
      <c r="D2419">
        <v>133.25</v>
      </c>
      <c r="E2419">
        <v>33000</v>
      </c>
      <c r="F2419" t="s">
        <v>76</v>
      </c>
      <c r="G2419" t="s">
        <v>32</v>
      </c>
      <c r="H2419" t="s">
        <v>57</v>
      </c>
      <c r="I2419" t="s">
        <v>44</v>
      </c>
      <c r="J2419" t="s">
        <v>107</v>
      </c>
      <c r="K2419" t="s">
        <v>87</v>
      </c>
      <c r="L2419">
        <v>16</v>
      </c>
      <c r="M2419" t="s">
        <v>274</v>
      </c>
      <c r="N2419" t="s">
        <v>1384</v>
      </c>
    </row>
    <row r="2420" spans="1:14" x14ac:dyDescent="0.35">
      <c r="A2420" t="s">
        <v>6618</v>
      </c>
      <c r="B2420" t="s">
        <v>6619</v>
      </c>
      <c r="C2420" t="s">
        <v>116</v>
      </c>
      <c r="D2420">
        <v>9.2799999999999994</v>
      </c>
      <c r="E2420">
        <v>700</v>
      </c>
      <c r="F2420" t="s">
        <v>236</v>
      </c>
      <c r="G2420" t="s">
        <v>102</v>
      </c>
      <c r="H2420" t="s">
        <v>33</v>
      </c>
      <c r="J2420" t="s">
        <v>209</v>
      </c>
      <c r="K2420" t="s">
        <v>74</v>
      </c>
      <c r="L2420">
        <v>11</v>
      </c>
      <c r="N2420" t="s">
        <v>1622</v>
      </c>
    </row>
    <row r="2421" spans="1:14" x14ac:dyDescent="0.35">
      <c r="A2421" t="s">
        <v>6620</v>
      </c>
      <c r="B2421" t="s">
        <v>6621</v>
      </c>
      <c r="C2421" t="s">
        <v>30</v>
      </c>
      <c r="D2421">
        <v>175.56</v>
      </c>
      <c r="E2421">
        <v>2000</v>
      </c>
      <c r="F2421" t="s">
        <v>87</v>
      </c>
      <c r="G2421" t="s">
        <v>32</v>
      </c>
      <c r="H2421" t="s">
        <v>43</v>
      </c>
      <c r="I2421" t="s">
        <v>44</v>
      </c>
      <c r="J2421" t="s">
        <v>429</v>
      </c>
      <c r="K2421" t="s">
        <v>236</v>
      </c>
      <c r="L2421">
        <v>17</v>
      </c>
      <c r="M2421" t="s">
        <v>407</v>
      </c>
      <c r="N2421" t="s">
        <v>2587</v>
      </c>
    </row>
    <row r="2422" spans="1:14" x14ac:dyDescent="0.35">
      <c r="A2422" t="s">
        <v>6622</v>
      </c>
      <c r="B2422" t="s">
        <v>6623</v>
      </c>
      <c r="C2422" t="s">
        <v>41</v>
      </c>
      <c r="D2422">
        <v>159.18</v>
      </c>
      <c r="E2422">
        <v>38000</v>
      </c>
      <c r="F2422" t="s">
        <v>42</v>
      </c>
      <c r="G2422" t="s">
        <v>32</v>
      </c>
      <c r="H2422" t="s">
        <v>57</v>
      </c>
      <c r="I2422" t="s">
        <v>44</v>
      </c>
      <c r="J2422" t="s">
        <v>3153</v>
      </c>
      <c r="K2422" t="s">
        <v>51</v>
      </c>
      <c r="L2422">
        <v>23</v>
      </c>
      <c r="M2422" t="s">
        <v>1228</v>
      </c>
      <c r="N2422" t="s">
        <v>2658</v>
      </c>
    </row>
    <row r="2423" spans="1:14" x14ac:dyDescent="0.35">
      <c r="A2423" t="s">
        <v>6624</v>
      </c>
      <c r="B2423" t="s">
        <v>6625</v>
      </c>
      <c r="C2423" t="s">
        <v>116</v>
      </c>
      <c r="D2423">
        <v>9.92</v>
      </c>
      <c r="E2423">
        <v>500</v>
      </c>
      <c r="F2423" t="s">
        <v>139</v>
      </c>
      <c r="G2423" t="s">
        <v>32</v>
      </c>
      <c r="H2423" t="s">
        <v>33</v>
      </c>
      <c r="I2423" t="s">
        <v>44</v>
      </c>
      <c r="J2423" t="s">
        <v>209</v>
      </c>
      <c r="K2423" t="s">
        <v>74</v>
      </c>
      <c r="L2423">
        <v>21</v>
      </c>
      <c r="M2423" t="s">
        <v>2883</v>
      </c>
      <c r="N2423" t="s">
        <v>3809</v>
      </c>
    </row>
    <row r="2424" spans="1:14" x14ac:dyDescent="0.35">
      <c r="A2424" t="s">
        <v>6626</v>
      </c>
      <c r="B2424" t="s">
        <v>6627</v>
      </c>
      <c r="C2424" t="s">
        <v>116</v>
      </c>
      <c r="D2424">
        <v>9.9499999999999993</v>
      </c>
      <c r="E2424">
        <v>100</v>
      </c>
      <c r="F2424" t="s">
        <v>147</v>
      </c>
      <c r="G2424" t="s">
        <v>32</v>
      </c>
      <c r="H2424" t="s">
        <v>57</v>
      </c>
      <c r="I2424" t="s">
        <v>34</v>
      </c>
      <c r="J2424" t="s">
        <v>107</v>
      </c>
      <c r="K2424" t="s">
        <v>87</v>
      </c>
      <c r="L2424">
        <v>23</v>
      </c>
      <c r="M2424" t="s">
        <v>1294</v>
      </c>
      <c r="N2424" t="s">
        <v>5749</v>
      </c>
    </row>
    <row r="2425" spans="1:14" x14ac:dyDescent="0.35">
      <c r="A2425" t="s">
        <v>6628</v>
      </c>
      <c r="B2425" t="s">
        <v>6629</v>
      </c>
      <c r="C2425" t="s">
        <v>69</v>
      </c>
      <c r="D2425">
        <v>69.400000000000006</v>
      </c>
      <c r="E2425">
        <v>75000</v>
      </c>
      <c r="F2425" t="s">
        <v>147</v>
      </c>
      <c r="G2425" t="s">
        <v>32</v>
      </c>
      <c r="H2425" t="s">
        <v>33</v>
      </c>
      <c r="I2425" t="s">
        <v>44</v>
      </c>
      <c r="J2425" t="s">
        <v>235</v>
      </c>
      <c r="K2425" t="s">
        <v>236</v>
      </c>
      <c r="L2425">
        <v>19</v>
      </c>
      <c r="M2425" t="s">
        <v>1434</v>
      </c>
      <c r="N2425" t="s">
        <v>6500</v>
      </c>
    </row>
    <row r="2426" spans="1:14" x14ac:dyDescent="0.35">
      <c r="A2426" t="s">
        <v>6630</v>
      </c>
      <c r="B2426" t="s">
        <v>6631</v>
      </c>
      <c r="C2426" t="s">
        <v>116</v>
      </c>
      <c r="D2426">
        <v>9.0399999999999991</v>
      </c>
      <c r="E2426">
        <v>500</v>
      </c>
      <c r="F2426" t="s">
        <v>97</v>
      </c>
      <c r="G2426" t="s">
        <v>32</v>
      </c>
      <c r="H2426" t="s">
        <v>43</v>
      </c>
      <c r="I2426" t="s">
        <v>44</v>
      </c>
      <c r="J2426" t="s">
        <v>1827</v>
      </c>
      <c r="K2426" t="s">
        <v>51</v>
      </c>
      <c r="L2426">
        <v>0</v>
      </c>
      <c r="N2426" t="s">
        <v>1257</v>
      </c>
    </row>
    <row r="2427" spans="1:14" x14ac:dyDescent="0.35">
      <c r="A2427" t="s">
        <v>6632</v>
      </c>
      <c r="B2427" t="s">
        <v>6633</v>
      </c>
      <c r="C2427" t="s">
        <v>69</v>
      </c>
      <c r="D2427">
        <v>60.54</v>
      </c>
      <c r="E2427">
        <v>39000</v>
      </c>
      <c r="F2427" t="s">
        <v>147</v>
      </c>
      <c r="G2427" t="s">
        <v>32</v>
      </c>
      <c r="H2427" t="s">
        <v>57</v>
      </c>
      <c r="I2427" t="s">
        <v>34</v>
      </c>
      <c r="J2427" t="s">
        <v>235</v>
      </c>
      <c r="K2427" t="s">
        <v>236</v>
      </c>
      <c r="L2427">
        <v>1</v>
      </c>
      <c r="N2427" t="s">
        <v>6634</v>
      </c>
    </row>
    <row r="2428" spans="1:14" x14ac:dyDescent="0.35">
      <c r="A2428" t="s">
        <v>6635</v>
      </c>
      <c r="B2428" t="s">
        <v>6636</v>
      </c>
      <c r="C2428" t="s">
        <v>81</v>
      </c>
      <c r="D2428">
        <v>85.03</v>
      </c>
      <c r="E2428">
        <v>1000</v>
      </c>
      <c r="F2428" t="s">
        <v>51</v>
      </c>
      <c r="G2428" t="s">
        <v>32</v>
      </c>
      <c r="H2428" t="s">
        <v>43</v>
      </c>
      <c r="I2428" t="s">
        <v>44</v>
      </c>
      <c r="J2428" t="s">
        <v>35</v>
      </c>
      <c r="K2428" t="s">
        <v>36</v>
      </c>
      <c r="L2428">
        <v>19</v>
      </c>
      <c r="M2428" t="s">
        <v>4712</v>
      </c>
      <c r="N2428" t="s">
        <v>6637</v>
      </c>
    </row>
    <row r="2429" spans="1:14" x14ac:dyDescent="0.35">
      <c r="A2429" t="s">
        <v>6638</v>
      </c>
      <c r="B2429" t="s">
        <v>6639</v>
      </c>
      <c r="C2429" t="s">
        <v>69</v>
      </c>
      <c r="D2429">
        <v>62.87</v>
      </c>
      <c r="E2429">
        <v>58000</v>
      </c>
      <c r="F2429" t="s">
        <v>51</v>
      </c>
      <c r="G2429" t="s">
        <v>32</v>
      </c>
      <c r="H2429" t="s">
        <v>57</v>
      </c>
      <c r="I2429" t="s">
        <v>34</v>
      </c>
      <c r="J2429" t="s">
        <v>3251</v>
      </c>
      <c r="K2429" t="s">
        <v>51</v>
      </c>
      <c r="L2429">
        <v>8</v>
      </c>
      <c r="M2429" t="s">
        <v>1396</v>
      </c>
      <c r="N2429" t="s">
        <v>2005</v>
      </c>
    </row>
    <row r="2430" spans="1:14" x14ac:dyDescent="0.35">
      <c r="A2430" t="s">
        <v>6640</v>
      </c>
      <c r="B2430" t="s">
        <v>6641</v>
      </c>
      <c r="C2430" t="s">
        <v>41</v>
      </c>
      <c r="D2430">
        <v>104.21</v>
      </c>
      <c r="E2430">
        <v>19000</v>
      </c>
      <c r="F2430" t="s">
        <v>123</v>
      </c>
      <c r="G2430" t="s">
        <v>32</v>
      </c>
      <c r="H2430" t="s">
        <v>33</v>
      </c>
      <c r="I2430" t="s">
        <v>44</v>
      </c>
      <c r="J2430" t="s">
        <v>75</v>
      </c>
      <c r="K2430" t="s">
        <v>76</v>
      </c>
      <c r="L2430">
        <v>18</v>
      </c>
      <c r="M2430" t="s">
        <v>108</v>
      </c>
      <c r="N2430" t="s">
        <v>5104</v>
      </c>
    </row>
    <row r="2431" spans="1:14" x14ac:dyDescent="0.35">
      <c r="A2431" t="s">
        <v>6642</v>
      </c>
      <c r="B2431" t="s">
        <v>6643</v>
      </c>
      <c r="C2431" t="s">
        <v>69</v>
      </c>
      <c r="D2431">
        <v>65.06</v>
      </c>
      <c r="E2431">
        <v>13000</v>
      </c>
      <c r="F2431" t="s">
        <v>46</v>
      </c>
      <c r="G2431" t="s">
        <v>32</v>
      </c>
      <c r="H2431" t="s">
        <v>33</v>
      </c>
      <c r="I2431" t="s">
        <v>44</v>
      </c>
      <c r="J2431" t="s">
        <v>112</v>
      </c>
      <c r="K2431" t="s">
        <v>106</v>
      </c>
      <c r="L2431">
        <v>21</v>
      </c>
      <c r="N2431" t="s">
        <v>38</v>
      </c>
    </row>
    <row r="2432" spans="1:14" x14ac:dyDescent="0.35">
      <c r="A2432" t="s">
        <v>6644</v>
      </c>
      <c r="B2432" t="s">
        <v>6645</v>
      </c>
      <c r="C2432" t="s">
        <v>62</v>
      </c>
      <c r="D2432">
        <v>69.94</v>
      </c>
      <c r="E2432">
        <v>5000</v>
      </c>
      <c r="F2432" t="s">
        <v>74</v>
      </c>
      <c r="G2432" t="s">
        <v>32</v>
      </c>
      <c r="H2432" t="s">
        <v>33</v>
      </c>
      <c r="I2432" t="s">
        <v>44</v>
      </c>
      <c r="J2432" t="s">
        <v>96</v>
      </c>
      <c r="K2432" t="s">
        <v>97</v>
      </c>
      <c r="L2432">
        <v>17</v>
      </c>
      <c r="M2432" t="s">
        <v>930</v>
      </c>
      <c r="N2432" t="s">
        <v>6646</v>
      </c>
    </row>
    <row r="2433" spans="1:14" x14ac:dyDescent="0.35">
      <c r="A2433" t="s">
        <v>6647</v>
      </c>
      <c r="B2433" t="s">
        <v>6648</v>
      </c>
      <c r="C2433" t="s">
        <v>116</v>
      </c>
      <c r="D2433">
        <v>11.3</v>
      </c>
      <c r="E2433">
        <v>400</v>
      </c>
      <c r="F2433" t="s">
        <v>76</v>
      </c>
      <c r="G2433" t="s">
        <v>32</v>
      </c>
      <c r="H2433" t="s">
        <v>57</v>
      </c>
      <c r="I2433" t="s">
        <v>44</v>
      </c>
      <c r="J2433" t="s">
        <v>35</v>
      </c>
      <c r="K2433" t="s">
        <v>36</v>
      </c>
      <c r="L2433">
        <v>21</v>
      </c>
      <c r="M2433" t="s">
        <v>1220</v>
      </c>
      <c r="N2433" t="s">
        <v>1055</v>
      </c>
    </row>
    <row r="2434" spans="1:14" x14ac:dyDescent="0.35">
      <c r="A2434" t="s">
        <v>6649</v>
      </c>
      <c r="B2434" t="s">
        <v>6650</v>
      </c>
      <c r="C2434" t="s">
        <v>41</v>
      </c>
      <c r="D2434">
        <v>142.69999999999999</v>
      </c>
      <c r="E2434">
        <v>27000</v>
      </c>
      <c r="F2434" t="s">
        <v>236</v>
      </c>
      <c r="G2434" t="s">
        <v>32</v>
      </c>
      <c r="H2434" t="s">
        <v>57</v>
      </c>
      <c r="I2434" t="s">
        <v>44</v>
      </c>
      <c r="J2434" t="s">
        <v>278</v>
      </c>
      <c r="K2434" t="s">
        <v>97</v>
      </c>
      <c r="L2434">
        <v>6</v>
      </c>
      <c r="M2434" t="s">
        <v>1683</v>
      </c>
      <c r="N2434" t="s">
        <v>192</v>
      </c>
    </row>
    <row r="2435" spans="1:14" x14ac:dyDescent="0.35">
      <c r="A2435" t="s">
        <v>6651</v>
      </c>
      <c r="B2435" t="s">
        <v>6652</v>
      </c>
      <c r="C2435" t="s">
        <v>69</v>
      </c>
      <c r="D2435">
        <v>84.44</v>
      </c>
      <c r="E2435">
        <v>83000</v>
      </c>
      <c r="F2435" t="s">
        <v>87</v>
      </c>
      <c r="G2435" t="s">
        <v>32</v>
      </c>
      <c r="H2435" t="s">
        <v>33</v>
      </c>
      <c r="I2435" t="s">
        <v>34</v>
      </c>
      <c r="J2435" t="s">
        <v>118</v>
      </c>
      <c r="K2435" t="s">
        <v>42</v>
      </c>
      <c r="L2435">
        <v>5</v>
      </c>
      <c r="N2435" t="s">
        <v>4133</v>
      </c>
    </row>
    <row r="2436" spans="1:14" x14ac:dyDescent="0.35">
      <c r="A2436" t="s">
        <v>6653</v>
      </c>
      <c r="B2436" t="s">
        <v>6654</v>
      </c>
      <c r="C2436" t="s">
        <v>41</v>
      </c>
      <c r="D2436">
        <v>137.32</v>
      </c>
      <c r="E2436">
        <v>30000</v>
      </c>
      <c r="F2436" t="s">
        <v>106</v>
      </c>
      <c r="G2436" t="s">
        <v>32</v>
      </c>
      <c r="H2436" t="s">
        <v>57</v>
      </c>
      <c r="I2436" t="s">
        <v>44</v>
      </c>
      <c r="J2436" t="s">
        <v>334</v>
      </c>
      <c r="K2436" t="s">
        <v>51</v>
      </c>
      <c r="L2436">
        <v>23</v>
      </c>
      <c r="M2436" t="s">
        <v>4234</v>
      </c>
      <c r="N2436" t="s">
        <v>6393</v>
      </c>
    </row>
    <row r="2437" spans="1:14" x14ac:dyDescent="0.35">
      <c r="A2437" t="s">
        <v>6655</v>
      </c>
      <c r="B2437" t="s">
        <v>6656</v>
      </c>
      <c r="C2437" t="s">
        <v>69</v>
      </c>
      <c r="D2437">
        <v>69.97</v>
      </c>
      <c r="E2437">
        <v>66000</v>
      </c>
      <c r="F2437" t="s">
        <v>117</v>
      </c>
      <c r="G2437" t="s">
        <v>32</v>
      </c>
      <c r="H2437" t="s">
        <v>57</v>
      </c>
      <c r="I2437" t="s">
        <v>44</v>
      </c>
      <c r="J2437" t="s">
        <v>235</v>
      </c>
      <c r="K2437" t="s">
        <v>236</v>
      </c>
      <c r="L2437">
        <v>10</v>
      </c>
      <c r="M2437" t="s">
        <v>971</v>
      </c>
      <c r="N2437" t="s">
        <v>1650</v>
      </c>
    </row>
    <row r="2438" spans="1:14" x14ac:dyDescent="0.35">
      <c r="A2438" t="s">
        <v>6657</v>
      </c>
      <c r="B2438" t="s">
        <v>6658</v>
      </c>
      <c r="C2438" t="s">
        <v>69</v>
      </c>
      <c r="D2438">
        <v>78.239999999999995</v>
      </c>
      <c r="E2438">
        <v>53000</v>
      </c>
      <c r="F2438" t="s">
        <v>97</v>
      </c>
      <c r="G2438" t="s">
        <v>32</v>
      </c>
      <c r="H2438" t="s">
        <v>33</v>
      </c>
      <c r="I2438" t="s">
        <v>34</v>
      </c>
      <c r="J2438" t="s">
        <v>4461</v>
      </c>
      <c r="K2438" t="s">
        <v>51</v>
      </c>
      <c r="L2438">
        <v>23</v>
      </c>
      <c r="M2438" t="s">
        <v>3794</v>
      </c>
      <c r="N2438" t="s">
        <v>220</v>
      </c>
    </row>
    <row r="2439" spans="1:14" x14ac:dyDescent="0.35">
      <c r="A2439" t="s">
        <v>6659</v>
      </c>
      <c r="B2439" t="s">
        <v>6660</v>
      </c>
      <c r="C2439" t="s">
        <v>62</v>
      </c>
      <c r="D2439">
        <v>51.81</v>
      </c>
      <c r="E2439">
        <v>1000</v>
      </c>
      <c r="F2439" t="s">
        <v>123</v>
      </c>
      <c r="G2439" t="s">
        <v>32</v>
      </c>
      <c r="H2439" t="s">
        <v>57</v>
      </c>
      <c r="I2439" t="s">
        <v>34</v>
      </c>
      <c r="J2439" t="s">
        <v>477</v>
      </c>
      <c r="K2439" t="s">
        <v>51</v>
      </c>
      <c r="L2439">
        <v>6</v>
      </c>
      <c r="M2439" t="s">
        <v>198</v>
      </c>
      <c r="N2439" t="s">
        <v>4127</v>
      </c>
    </row>
    <row r="2440" spans="1:14" x14ac:dyDescent="0.35">
      <c r="A2440" t="s">
        <v>6661</v>
      </c>
      <c r="B2440" t="s">
        <v>6662</v>
      </c>
      <c r="C2440" t="s">
        <v>30</v>
      </c>
      <c r="D2440">
        <v>196.29</v>
      </c>
      <c r="E2440">
        <v>6000</v>
      </c>
      <c r="F2440" t="s">
        <v>147</v>
      </c>
      <c r="G2440" t="s">
        <v>32</v>
      </c>
      <c r="H2440" t="s">
        <v>43</v>
      </c>
      <c r="I2440" t="s">
        <v>34</v>
      </c>
      <c r="J2440" t="s">
        <v>45</v>
      </c>
      <c r="K2440" t="s">
        <v>46</v>
      </c>
      <c r="L2440">
        <v>19</v>
      </c>
      <c r="N2440" t="s">
        <v>2360</v>
      </c>
    </row>
    <row r="2441" spans="1:14" x14ac:dyDescent="0.35">
      <c r="A2441" t="s">
        <v>6663</v>
      </c>
      <c r="B2441" t="s">
        <v>6664</v>
      </c>
      <c r="C2441" t="s">
        <v>116</v>
      </c>
      <c r="D2441">
        <v>7.78</v>
      </c>
      <c r="E2441">
        <v>200</v>
      </c>
      <c r="F2441" t="s">
        <v>139</v>
      </c>
      <c r="G2441" t="s">
        <v>102</v>
      </c>
      <c r="H2441" t="s">
        <v>33</v>
      </c>
      <c r="I2441" t="s">
        <v>44</v>
      </c>
      <c r="J2441" t="s">
        <v>70</v>
      </c>
      <c r="K2441" t="s">
        <v>31</v>
      </c>
      <c r="L2441">
        <v>21</v>
      </c>
      <c r="M2441" t="s">
        <v>131</v>
      </c>
      <c r="N2441" t="s">
        <v>2830</v>
      </c>
    </row>
    <row r="2442" spans="1:14" x14ac:dyDescent="0.35">
      <c r="A2442" t="s">
        <v>6665</v>
      </c>
      <c r="B2442" t="s">
        <v>6666</v>
      </c>
      <c r="C2442" t="s">
        <v>62</v>
      </c>
      <c r="D2442">
        <v>71.34</v>
      </c>
      <c r="E2442">
        <v>5000</v>
      </c>
      <c r="F2442" t="s">
        <v>51</v>
      </c>
      <c r="G2442" t="s">
        <v>32</v>
      </c>
      <c r="H2442" t="s">
        <v>57</v>
      </c>
      <c r="I2442" t="s">
        <v>44</v>
      </c>
      <c r="J2442" t="s">
        <v>75</v>
      </c>
      <c r="K2442" t="s">
        <v>76</v>
      </c>
      <c r="L2442">
        <v>21</v>
      </c>
      <c r="M2442" t="s">
        <v>3788</v>
      </c>
      <c r="N2442" t="s">
        <v>4426</v>
      </c>
    </row>
    <row r="2443" spans="1:14" x14ac:dyDescent="0.35">
      <c r="A2443" t="s">
        <v>6667</v>
      </c>
      <c r="B2443" t="s">
        <v>6668</v>
      </c>
      <c r="C2443" t="s">
        <v>41</v>
      </c>
      <c r="D2443">
        <v>95.71</v>
      </c>
      <c r="E2443">
        <v>15000</v>
      </c>
      <c r="F2443" t="s">
        <v>51</v>
      </c>
      <c r="G2443" t="s">
        <v>32</v>
      </c>
      <c r="H2443" t="s">
        <v>33</v>
      </c>
      <c r="I2443" t="s">
        <v>44</v>
      </c>
      <c r="J2443" t="s">
        <v>118</v>
      </c>
      <c r="K2443" t="s">
        <v>42</v>
      </c>
      <c r="L2443">
        <v>3</v>
      </c>
      <c r="N2443" t="s">
        <v>1761</v>
      </c>
    </row>
    <row r="2444" spans="1:14" x14ac:dyDescent="0.35">
      <c r="A2444" t="s">
        <v>6669</v>
      </c>
      <c r="B2444" t="s">
        <v>6670</v>
      </c>
      <c r="C2444" t="s">
        <v>41</v>
      </c>
      <c r="D2444">
        <v>119</v>
      </c>
      <c r="E2444">
        <v>18000</v>
      </c>
      <c r="F2444" t="s">
        <v>64</v>
      </c>
      <c r="G2444" t="s">
        <v>32</v>
      </c>
      <c r="H2444" t="s">
        <v>57</v>
      </c>
      <c r="I2444" t="s">
        <v>34</v>
      </c>
      <c r="J2444" t="s">
        <v>6671</v>
      </c>
      <c r="K2444" t="s">
        <v>87</v>
      </c>
      <c r="L2444">
        <v>18</v>
      </c>
      <c r="M2444" t="s">
        <v>1953</v>
      </c>
      <c r="N2444" t="s">
        <v>4169</v>
      </c>
    </row>
    <row r="2445" spans="1:14" x14ac:dyDescent="0.35">
      <c r="A2445" t="s">
        <v>6672</v>
      </c>
      <c r="B2445" t="s">
        <v>6673</v>
      </c>
      <c r="C2445" t="s">
        <v>62</v>
      </c>
      <c r="D2445">
        <v>66.8</v>
      </c>
      <c r="E2445">
        <v>3000</v>
      </c>
      <c r="F2445" t="s">
        <v>147</v>
      </c>
      <c r="G2445" t="s">
        <v>32</v>
      </c>
      <c r="H2445" t="s">
        <v>57</v>
      </c>
      <c r="I2445" t="s">
        <v>44</v>
      </c>
      <c r="J2445" t="s">
        <v>6112</v>
      </c>
      <c r="K2445" t="s">
        <v>51</v>
      </c>
      <c r="L2445">
        <v>0</v>
      </c>
      <c r="N2445" t="s">
        <v>6674</v>
      </c>
    </row>
    <row r="2446" spans="1:14" x14ac:dyDescent="0.35">
      <c r="A2446" t="s">
        <v>6675</v>
      </c>
      <c r="B2446" t="s">
        <v>6676</v>
      </c>
      <c r="C2446" t="s">
        <v>62</v>
      </c>
      <c r="D2446">
        <v>79.58</v>
      </c>
      <c r="E2446">
        <v>5000</v>
      </c>
      <c r="F2446" t="s">
        <v>76</v>
      </c>
      <c r="G2446" t="s">
        <v>32</v>
      </c>
      <c r="H2446" t="s">
        <v>43</v>
      </c>
      <c r="J2446" t="s">
        <v>63</v>
      </c>
      <c r="K2446" t="s">
        <v>64</v>
      </c>
      <c r="L2446">
        <v>17</v>
      </c>
      <c r="N2446" t="s">
        <v>1904</v>
      </c>
    </row>
    <row r="2447" spans="1:14" x14ac:dyDescent="0.35">
      <c r="A2447" t="s">
        <v>6677</v>
      </c>
      <c r="B2447" t="s">
        <v>6678</v>
      </c>
      <c r="C2447" t="s">
        <v>41</v>
      </c>
      <c r="D2447">
        <v>93.5</v>
      </c>
      <c r="E2447">
        <v>35000</v>
      </c>
      <c r="F2447" t="s">
        <v>123</v>
      </c>
      <c r="G2447" t="s">
        <v>32</v>
      </c>
      <c r="H2447" t="s">
        <v>43</v>
      </c>
      <c r="I2447" t="s">
        <v>34</v>
      </c>
      <c r="J2447" t="s">
        <v>6024</v>
      </c>
      <c r="K2447" t="s">
        <v>139</v>
      </c>
      <c r="L2447">
        <v>1</v>
      </c>
      <c r="M2447" t="s">
        <v>5498</v>
      </c>
      <c r="N2447" t="s">
        <v>1369</v>
      </c>
    </row>
    <row r="2448" spans="1:14" x14ac:dyDescent="0.35">
      <c r="A2448" t="s">
        <v>6679</v>
      </c>
      <c r="B2448" t="s">
        <v>6680</v>
      </c>
      <c r="C2448" t="s">
        <v>30</v>
      </c>
      <c r="D2448">
        <v>179.68</v>
      </c>
      <c r="E2448">
        <v>9000</v>
      </c>
      <c r="F2448" t="s">
        <v>139</v>
      </c>
      <c r="G2448" t="s">
        <v>32</v>
      </c>
      <c r="H2448" t="s">
        <v>43</v>
      </c>
      <c r="I2448" t="s">
        <v>34</v>
      </c>
      <c r="J2448" t="s">
        <v>235</v>
      </c>
      <c r="K2448" t="s">
        <v>236</v>
      </c>
      <c r="L2448">
        <v>23</v>
      </c>
      <c r="M2448" t="s">
        <v>4420</v>
      </c>
      <c r="N2448" t="s">
        <v>3748</v>
      </c>
    </row>
    <row r="2449" spans="1:14" x14ac:dyDescent="0.35">
      <c r="A2449" t="s">
        <v>6681</v>
      </c>
      <c r="B2449" t="s">
        <v>6682</v>
      </c>
      <c r="C2449" t="s">
        <v>81</v>
      </c>
      <c r="D2449">
        <v>133.22</v>
      </c>
      <c r="E2449">
        <v>8000</v>
      </c>
      <c r="F2449" t="s">
        <v>46</v>
      </c>
      <c r="G2449" t="s">
        <v>32</v>
      </c>
      <c r="H2449" t="s">
        <v>33</v>
      </c>
      <c r="J2449" t="s">
        <v>35</v>
      </c>
      <c r="K2449" t="s">
        <v>36</v>
      </c>
      <c r="L2449">
        <v>16</v>
      </c>
      <c r="M2449" t="s">
        <v>274</v>
      </c>
      <c r="N2449" t="s">
        <v>6683</v>
      </c>
    </row>
    <row r="2450" spans="1:14" x14ac:dyDescent="0.35">
      <c r="A2450" t="s">
        <v>6684</v>
      </c>
      <c r="B2450" t="s">
        <v>6685</v>
      </c>
      <c r="C2450" t="s">
        <v>69</v>
      </c>
      <c r="D2450">
        <v>66.23</v>
      </c>
      <c r="E2450">
        <v>15000</v>
      </c>
      <c r="F2450" t="s">
        <v>147</v>
      </c>
      <c r="G2450" t="s">
        <v>32</v>
      </c>
      <c r="H2450" t="s">
        <v>57</v>
      </c>
      <c r="I2450" t="s">
        <v>44</v>
      </c>
      <c r="J2450" t="s">
        <v>107</v>
      </c>
      <c r="K2450" t="s">
        <v>87</v>
      </c>
      <c r="L2450">
        <v>2</v>
      </c>
      <c r="M2450" t="s">
        <v>563</v>
      </c>
      <c r="N2450" t="s">
        <v>2171</v>
      </c>
    </row>
    <row r="2451" spans="1:14" x14ac:dyDescent="0.35">
      <c r="A2451" t="s">
        <v>6686</v>
      </c>
      <c r="B2451" t="s">
        <v>6687</v>
      </c>
      <c r="C2451" t="s">
        <v>30</v>
      </c>
      <c r="D2451">
        <v>164.51</v>
      </c>
      <c r="E2451">
        <v>19000</v>
      </c>
      <c r="F2451" t="s">
        <v>36</v>
      </c>
      <c r="G2451" t="s">
        <v>32</v>
      </c>
      <c r="H2451" t="s">
        <v>57</v>
      </c>
      <c r="I2451" t="s">
        <v>44</v>
      </c>
      <c r="J2451" t="s">
        <v>357</v>
      </c>
      <c r="K2451" t="s">
        <v>42</v>
      </c>
      <c r="L2451">
        <v>22</v>
      </c>
      <c r="M2451" t="s">
        <v>930</v>
      </c>
      <c r="N2451" t="s">
        <v>6688</v>
      </c>
    </row>
    <row r="2452" spans="1:14" x14ac:dyDescent="0.35">
      <c r="A2452" t="s">
        <v>6689</v>
      </c>
      <c r="B2452" t="s">
        <v>6690</v>
      </c>
      <c r="C2452" t="s">
        <v>81</v>
      </c>
      <c r="D2452">
        <v>123.35</v>
      </c>
      <c r="E2452">
        <v>9000</v>
      </c>
      <c r="F2452" t="s">
        <v>139</v>
      </c>
      <c r="G2452" t="s">
        <v>32</v>
      </c>
      <c r="H2452" t="s">
        <v>43</v>
      </c>
      <c r="I2452" t="s">
        <v>44</v>
      </c>
      <c r="J2452" t="s">
        <v>82</v>
      </c>
      <c r="K2452" t="s">
        <v>74</v>
      </c>
      <c r="L2452">
        <v>23</v>
      </c>
      <c r="N2452" t="s">
        <v>4575</v>
      </c>
    </row>
    <row r="2453" spans="1:14" x14ac:dyDescent="0.35">
      <c r="A2453" t="s">
        <v>6691</v>
      </c>
      <c r="B2453" t="s">
        <v>6692</v>
      </c>
      <c r="C2453" t="s">
        <v>116</v>
      </c>
      <c r="D2453">
        <v>9.93</v>
      </c>
      <c r="E2453">
        <v>400</v>
      </c>
      <c r="F2453" t="s">
        <v>147</v>
      </c>
      <c r="G2453" t="s">
        <v>32</v>
      </c>
      <c r="H2453" t="s">
        <v>43</v>
      </c>
      <c r="I2453" t="s">
        <v>44</v>
      </c>
      <c r="J2453" t="s">
        <v>75</v>
      </c>
      <c r="K2453" t="s">
        <v>76</v>
      </c>
      <c r="L2453">
        <v>19</v>
      </c>
      <c r="M2453" t="s">
        <v>2039</v>
      </c>
      <c r="N2453" t="s">
        <v>567</v>
      </c>
    </row>
    <row r="2454" spans="1:14" x14ac:dyDescent="0.35">
      <c r="A2454" t="s">
        <v>6693</v>
      </c>
      <c r="B2454" t="s">
        <v>6694</v>
      </c>
      <c r="C2454" t="s">
        <v>41</v>
      </c>
      <c r="D2454">
        <v>126.47</v>
      </c>
      <c r="E2454">
        <v>11000</v>
      </c>
      <c r="F2454" t="s">
        <v>106</v>
      </c>
      <c r="G2454" t="s">
        <v>32</v>
      </c>
      <c r="H2454" t="s">
        <v>57</v>
      </c>
      <c r="J2454" t="s">
        <v>1565</v>
      </c>
      <c r="K2454" t="s">
        <v>51</v>
      </c>
      <c r="L2454">
        <v>19</v>
      </c>
      <c r="N2454" t="s">
        <v>3172</v>
      </c>
    </row>
    <row r="2455" spans="1:14" x14ac:dyDescent="0.35">
      <c r="A2455" t="s">
        <v>6695</v>
      </c>
      <c r="B2455" t="s">
        <v>6696</v>
      </c>
      <c r="C2455" t="s">
        <v>116</v>
      </c>
      <c r="D2455">
        <v>7.64</v>
      </c>
      <c r="E2455">
        <v>600</v>
      </c>
      <c r="F2455" t="s">
        <v>87</v>
      </c>
      <c r="G2455" t="s">
        <v>32</v>
      </c>
      <c r="H2455" t="s">
        <v>33</v>
      </c>
      <c r="I2455" t="s">
        <v>129</v>
      </c>
      <c r="J2455" t="s">
        <v>1531</v>
      </c>
      <c r="K2455" t="s">
        <v>42</v>
      </c>
      <c r="L2455">
        <v>9</v>
      </c>
      <c r="M2455" t="s">
        <v>1813</v>
      </c>
      <c r="N2455" t="s">
        <v>2156</v>
      </c>
    </row>
    <row r="2456" spans="1:14" x14ac:dyDescent="0.35">
      <c r="A2456" t="s">
        <v>6697</v>
      </c>
      <c r="B2456" t="s">
        <v>6698</v>
      </c>
      <c r="C2456" t="s">
        <v>30</v>
      </c>
      <c r="D2456">
        <v>108.84</v>
      </c>
      <c r="E2456">
        <v>13000</v>
      </c>
      <c r="F2456" t="s">
        <v>236</v>
      </c>
      <c r="G2456" t="s">
        <v>32</v>
      </c>
      <c r="H2456" t="s">
        <v>43</v>
      </c>
      <c r="I2456" t="s">
        <v>44</v>
      </c>
      <c r="J2456" t="s">
        <v>63</v>
      </c>
      <c r="K2456" t="s">
        <v>64</v>
      </c>
      <c r="L2456">
        <v>13</v>
      </c>
      <c r="N2456" t="s">
        <v>4981</v>
      </c>
    </row>
    <row r="2457" spans="1:14" x14ac:dyDescent="0.35">
      <c r="A2457" t="s">
        <v>6699</v>
      </c>
      <c r="B2457" t="s">
        <v>6700</v>
      </c>
      <c r="C2457" t="s">
        <v>62</v>
      </c>
      <c r="D2457">
        <v>81.67</v>
      </c>
      <c r="E2457">
        <v>5000</v>
      </c>
      <c r="F2457" t="s">
        <v>51</v>
      </c>
      <c r="G2457" t="s">
        <v>32</v>
      </c>
      <c r="H2457" t="s">
        <v>43</v>
      </c>
      <c r="I2457" t="s">
        <v>44</v>
      </c>
      <c r="J2457" t="s">
        <v>334</v>
      </c>
      <c r="K2457" t="s">
        <v>51</v>
      </c>
      <c r="L2457">
        <v>0</v>
      </c>
      <c r="M2457" t="s">
        <v>5382</v>
      </c>
      <c r="N2457" t="s">
        <v>4324</v>
      </c>
    </row>
    <row r="2458" spans="1:14" x14ac:dyDescent="0.35">
      <c r="A2458" t="s">
        <v>6701</v>
      </c>
      <c r="B2458" t="s">
        <v>6702</v>
      </c>
      <c r="C2458" t="s">
        <v>81</v>
      </c>
      <c r="D2458">
        <v>85</v>
      </c>
      <c r="E2458">
        <v>6000</v>
      </c>
      <c r="F2458" t="s">
        <v>36</v>
      </c>
      <c r="G2458" t="s">
        <v>32</v>
      </c>
      <c r="H2458" t="s">
        <v>33</v>
      </c>
      <c r="I2458" t="s">
        <v>44</v>
      </c>
      <c r="J2458" t="s">
        <v>124</v>
      </c>
      <c r="K2458" t="s">
        <v>117</v>
      </c>
      <c r="L2458">
        <v>7</v>
      </c>
      <c r="N2458" t="s">
        <v>6703</v>
      </c>
    </row>
    <row r="2459" spans="1:14" x14ac:dyDescent="0.35">
      <c r="A2459" t="s">
        <v>6704</v>
      </c>
      <c r="B2459" t="s">
        <v>6705</v>
      </c>
      <c r="C2459" t="s">
        <v>30</v>
      </c>
      <c r="D2459">
        <v>190.71</v>
      </c>
      <c r="E2459">
        <v>11000</v>
      </c>
      <c r="F2459" t="s">
        <v>64</v>
      </c>
      <c r="G2459" t="s">
        <v>32</v>
      </c>
      <c r="H2459" t="s">
        <v>33</v>
      </c>
      <c r="J2459" t="s">
        <v>75</v>
      </c>
      <c r="K2459" t="s">
        <v>76</v>
      </c>
      <c r="L2459">
        <v>16</v>
      </c>
      <c r="N2459" t="s">
        <v>5081</v>
      </c>
    </row>
    <row r="2460" spans="1:14" x14ac:dyDescent="0.35">
      <c r="A2460" t="s">
        <v>6706</v>
      </c>
      <c r="B2460" t="s">
        <v>6707</v>
      </c>
      <c r="C2460" t="s">
        <v>116</v>
      </c>
      <c r="D2460">
        <v>7.31</v>
      </c>
      <c r="E2460">
        <v>700</v>
      </c>
      <c r="F2460" t="s">
        <v>42</v>
      </c>
      <c r="G2460" t="s">
        <v>32</v>
      </c>
      <c r="H2460" t="s">
        <v>43</v>
      </c>
      <c r="I2460" t="s">
        <v>44</v>
      </c>
      <c r="J2460" t="s">
        <v>209</v>
      </c>
      <c r="K2460" t="s">
        <v>74</v>
      </c>
      <c r="L2460">
        <v>14</v>
      </c>
      <c r="M2460" t="s">
        <v>1261</v>
      </c>
      <c r="N2460" t="s">
        <v>313</v>
      </c>
    </row>
    <row r="2461" spans="1:14" x14ac:dyDescent="0.35">
      <c r="A2461" t="s">
        <v>6708</v>
      </c>
      <c r="B2461" t="s">
        <v>6709</v>
      </c>
      <c r="C2461" t="s">
        <v>116</v>
      </c>
      <c r="D2461">
        <v>7.31</v>
      </c>
      <c r="E2461">
        <v>400</v>
      </c>
      <c r="F2461" t="s">
        <v>97</v>
      </c>
      <c r="G2461" t="s">
        <v>32</v>
      </c>
      <c r="H2461" t="s">
        <v>33</v>
      </c>
      <c r="I2461" t="s">
        <v>44</v>
      </c>
      <c r="J2461" t="s">
        <v>35</v>
      </c>
      <c r="K2461" t="s">
        <v>36</v>
      </c>
      <c r="L2461">
        <v>6</v>
      </c>
      <c r="M2461" t="s">
        <v>308</v>
      </c>
      <c r="N2461" t="s">
        <v>3431</v>
      </c>
    </row>
    <row r="2462" spans="1:14" x14ac:dyDescent="0.35">
      <c r="A2462" t="s">
        <v>6710</v>
      </c>
      <c r="B2462" t="s">
        <v>6711</v>
      </c>
      <c r="C2462" t="s">
        <v>62</v>
      </c>
      <c r="D2462">
        <v>70.900000000000006</v>
      </c>
      <c r="E2462">
        <v>3000</v>
      </c>
      <c r="F2462" t="s">
        <v>97</v>
      </c>
      <c r="G2462" t="s">
        <v>32</v>
      </c>
      <c r="H2462" t="s">
        <v>43</v>
      </c>
      <c r="I2462" t="s">
        <v>44</v>
      </c>
      <c r="J2462" t="s">
        <v>70</v>
      </c>
      <c r="K2462" t="s">
        <v>31</v>
      </c>
      <c r="L2462">
        <v>3</v>
      </c>
      <c r="M2462" t="s">
        <v>481</v>
      </c>
      <c r="N2462" t="s">
        <v>2445</v>
      </c>
    </row>
    <row r="2463" spans="1:14" x14ac:dyDescent="0.35">
      <c r="A2463" t="s">
        <v>6712</v>
      </c>
      <c r="B2463" t="s">
        <v>6713</v>
      </c>
      <c r="C2463" t="s">
        <v>41</v>
      </c>
      <c r="D2463">
        <v>122.6</v>
      </c>
      <c r="E2463">
        <v>25000</v>
      </c>
      <c r="F2463" t="s">
        <v>76</v>
      </c>
      <c r="G2463" t="s">
        <v>32</v>
      </c>
      <c r="H2463" t="s">
        <v>33</v>
      </c>
      <c r="I2463" t="s">
        <v>34</v>
      </c>
      <c r="J2463" t="s">
        <v>70</v>
      </c>
      <c r="K2463" t="s">
        <v>31</v>
      </c>
      <c r="L2463">
        <v>21</v>
      </c>
      <c r="N2463" t="s">
        <v>1554</v>
      </c>
    </row>
    <row r="2464" spans="1:14" x14ac:dyDescent="0.35">
      <c r="A2464" t="s">
        <v>6714</v>
      </c>
      <c r="B2464" t="s">
        <v>6715</v>
      </c>
      <c r="C2464" t="s">
        <v>69</v>
      </c>
      <c r="D2464">
        <v>79.23</v>
      </c>
      <c r="E2464">
        <v>64000</v>
      </c>
      <c r="F2464" t="s">
        <v>74</v>
      </c>
      <c r="G2464" t="s">
        <v>32</v>
      </c>
      <c r="H2464" t="s">
        <v>43</v>
      </c>
      <c r="I2464" t="s">
        <v>44</v>
      </c>
      <c r="J2464" t="s">
        <v>1071</v>
      </c>
      <c r="K2464" t="s">
        <v>236</v>
      </c>
      <c r="L2464">
        <v>16</v>
      </c>
      <c r="M2464" t="s">
        <v>2691</v>
      </c>
      <c r="N2464" t="s">
        <v>1497</v>
      </c>
    </row>
    <row r="2465" spans="1:14" x14ac:dyDescent="0.35">
      <c r="A2465" t="s">
        <v>6716</v>
      </c>
      <c r="B2465" t="s">
        <v>6717</v>
      </c>
      <c r="C2465" t="s">
        <v>62</v>
      </c>
      <c r="D2465">
        <v>62.59</v>
      </c>
      <c r="E2465">
        <v>4000</v>
      </c>
      <c r="F2465" t="s">
        <v>42</v>
      </c>
      <c r="G2465" t="s">
        <v>32</v>
      </c>
      <c r="H2465" t="s">
        <v>43</v>
      </c>
      <c r="I2465" t="s">
        <v>44</v>
      </c>
      <c r="J2465" t="s">
        <v>6204</v>
      </c>
      <c r="K2465" t="s">
        <v>139</v>
      </c>
      <c r="L2465">
        <v>4</v>
      </c>
      <c r="M2465" t="s">
        <v>156</v>
      </c>
      <c r="N2465" t="s">
        <v>3235</v>
      </c>
    </row>
    <row r="2466" spans="1:14" x14ac:dyDescent="0.35">
      <c r="A2466" t="s">
        <v>6718</v>
      </c>
      <c r="B2466" t="s">
        <v>6719</v>
      </c>
      <c r="C2466" t="s">
        <v>116</v>
      </c>
      <c r="D2466">
        <v>8.52</v>
      </c>
      <c r="E2466">
        <v>500</v>
      </c>
      <c r="F2466" t="s">
        <v>46</v>
      </c>
      <c r="G2466" t="s">
        <v>32</v>
      </c>
      <c r="H2466" t="s">
        <v>43</v>
      </c>
      <c r="I2466" t="s">
        <v>44</v>
      </c>
      <c r="J2466" t="s">
        <v>107</v>
      </c>
      <c r="K2466" t="s">
        <v>87</v>
      </c>
      <c r="L2466">
        <v>19</v>
      </c>
      <c r="N2466" t="s">
        <v>2566</v>
      </c>
    </row>
    <row r="2467" spans="1:14" x14ac:dyDescent="0.35">
      <c r="A2467" t="s">
        <v>6720</v>
      </c>
      <c r="B2467" t="s">
        <v>6721</v>
      </c>
      <c r="C2467" t="s">
        <v>30</v>
      </c>
      <c r="D2467">
        <v>112.92</v>
      </c>
      <c r="E2467">
        <v>7000</v>
      </c>
      <c r="F2467" t="s">
        <v>31</v>
      </c>
      <c r="G2467" t="s">
        <v>32</v>
      </c>
      <c r="H2467" t="s">
        <v>33</v>
      </c>
      <c r="I2467" t="s">
        <v>44</v>
      </c>
      <c r="J2467" t="s">
        <v>70</v>
      </c>
      <c r="K2467" t="s">
        <v>31</v>
      </c>
      <c r="L2467">
        <v>9</v>
      </c>
      <c r="M2467" t="s">
        <v>1828</v>
      </c>
      <c r="N2467" t="s">
        <v>1144</v>
      </c>
    </row>
    <row r="2468" spans="1:14" x14ac:dyDescent="0.35">
      <c r="A2468" t="s">
        <v>6722</v>
      </c>
      <c r="B2468" t="s">
        <v>6723</v>
      </c>
      <c r="C2468" t="s">
        <v>30</v>
      </c>
      <c r="D2468">
        <v>108.15</v>
      </c>
      <c r="E2468">
        <v>15000</v>
      </c>
      <c r="F2468" t="s">
        <v>74</v>
      </c>
      <c r="G2468" t="s">
        <v>32</v>
      </c>
      <c r="H2468" t="s">
        <v>33</v>
      </c>
      <c r="J2468" t="s">
        <v>334</v>
      </c>
      <c r="K2468" t="s">
        <v>51</v>
      </c>
      <c r="L2468">
        <v>9</v>
      </c>
      <c r="M2468" t="s">
        <v>308</v>
      </c>
      <c r="N2468" t="s">
        <v>851</v>
      </c>
    </row>
    <row r="2469" spans="1:14" x14ac:dyDescent="0.35">
      <c r="A2469" t="s">
        <v>6724</v>
      </c>
      <c r="B2469" t="s">
        <v>6725</v>
      </c>
      <c r="C2469" t="s">
        <v>69</v>
      </c>
      <c r="D2469">
        <v>66.2</v>
      </c>
      <c r="E2469">
        <v>67000</v>
      </c>
      <c r="F2469" t="s">
        <v>74</v>
      </c>
      <c r="G2469" t="s">
        <v>32</v>
      </c>
      <c r="H2469" t="s">
        <v>57</v>
      </c>
      <c r="J2469" t="s">
        <v>6726</v>
      </c>
      <c r="K2469" t="s">
        <v>51</v>
      </c>
      <c r="L2469">
        <v>16</v>
      </c>
      <c r="M2469" t="s">
        <v>3995</v>
      </c>
      <c r="N2469" t="s">
        <v>2140</v>
      </c>
    </row>
    <row r="2470" spans="1:14" x14ac:dyDescent="0.35">
      <c r="A2470" t="s">
        <v>6727</v>
      </c>
      <c r="B2470" t="s">
        <v>6728</v>
      </c>
      <c r="C2470" t="s">
        <v>69</v>
      </c>
      <c r="D2470">
        <v>53.02</v>
      </c>
      <c r="E2470">
        <v>28000</v>
      </c>
      <c r="F2470" t="s">
        <v>51</v>
      </c>
      <c r="G2470" t="s">
        <v>32</v>
      </c>
      <c r="H2470" t="s">
        <v>43</v>
      </c>
      <c r="I2470" t="s">
        <v>129</v>
      </c>
      <c r="J2470" t="s">
        <v>112</v>
      </c>
      <c r="K2470" t="s">
        <v>106</v>
      </c>
      <c r="L2470">
        <v>6</v>
      </c>
      <c r="N2470" t="s">
        <v>6674</v>
      </c>
    </row>
    <row r="2471" spans="1:14" x14ac:dyDescent="0.35">
      <c r="A2471" t="s">
        <v>6729</v>
      </c>
      <c r="B2471" t="s">
        <v>6730</v>
      </c>
      <c r="C2471" t="s">
        <v>116</v>
      </c>
      <c r="D2471">
        <v>9.2100000000000009</v>
      </c>
      <c r="E2471">
        <v>300</v>
      </c>
      <c r="F2471" t="s">
        <v>123</v>
      </c>
      <c r="G2471" t="s">
        <v>32</v>
      </c>
      <c r="H2471" t="s">
        <v>57</v>
      </c>
      <c r="I2471" t="s">
        <v>44</v>
      </c>
      <c r="J2471" t="s">
        <v>124</v>
      </c>
      <c r="K2471" t="s">
        <v>117</v>
      </c>
      <c r="L2471">
        <v>6</v>
      </c>
      <c r="M2471" t="s">
        <v>864</v>
      </c>
      <c r="N2471" t="s">
        <v>6731</v>
      </c>
    </row>
    <row r="2472" spans="1:14" x14ac:dyDescent="0.35">
      <c r="A2472" t="s">
        <v>6732</v>
      </c>
      <c r="B2472" t="s">
        <v>6733</v>
      </c>
      <c r="C2472" t="s">
        <v>69</v>
      </c>
      <c r="D2472">
        <v>83.59</v>
      </c>
      <c r="E2472">
        <v>12000</v>
      </c>
      <c r="F2472" t="s">
        <v>36</v>
      </c>
      <c r="G2472" t="s">
        <v>32</v>
      </c>
      <c r="H2472" t="s">
        <v>43</v>
      </c>
      <c r="I2472" t="s">
        <v>34</v>
      </c>
      <c r="J2472" t="s">
        <v>130</v>
      </c>
      <c r="K2472" t="s">
        <v>123</v>
      </c>
      <c r="L2472">
        <v>14</v>
      </c>
      <c r="M2472" t="s">
        <v>2495</v>
      </c>
      <c r="N2472" t="s">
        <v>2307</v>
      </c>
    </row>
    <row r="2473" spans="1:14" x14ac:dyDescent="0.35">
      <c r="A2473" t="s">
        <v>6734</v>
      </c>
      <c r="B2473" t="s">
        <v>6735</v>
      </c>
      <c r="C2473" t="s">
        <v>116</v>
      </c>
      <c r="D2473">
        <v>8.64</v>
      </c>
      <c r="E2473">
        <v>600</v>
      </c>
      <c r="F2473" t="s">
        <v>46</v>
      </c>
      <c r="G2473" t="s">
        <v>32</v>
      </c>
      <c r="H2473" t="s">
        <v>43</v>
      </c>
      <c r="I2473" t="s">
        <v>34</v>
      </c>
      <c r="J2473" t="s">
        <v>174</v>
      </c>
      <c r="K2473" t="s">
        <v>139</v>
      </c>
      <c r="L2473">
        <v>21</v>
      </c>
      <c r="M2473" t="s">
        <v>1743</v>
      </c>
      <c r="N2473" t="s">
        <v>766</v>
      </c>
    </row>
    <row r="2474" spans="1:14" x14ac:dyDescent="0.35">
      <c r="A2474" t="s">
        <v>6736</v>
      </c>
      <c r="B2474" t="s">
        <v>6737</v>
      </c>
      <c r="C2474" t="s">
        <v>30</v>
      </c>
      <c r="D2474">
        <v>186.35</v>
      </c>
      <c r="E2474">
        <v>2000</v>
      </c>
      <c r="F2474" t="s">
        <v>42</v>
      </c>
      <c r="G2474" t="s">
        <v>32</v>
      </c>
      <c r="H2474" t="s">
        <v>43</v>
      </c>
      <c r="J2474" t="s">
        <v>107</v>
      </c>
      <c r="K2474" t="s">
        <v>87</v>
      </c>
      <c r="L2474">
        <v>22</v>
      </c>
      <c r="N2474" t="s">
        <v>4822</v>
      </c>
    </row>
    <row r="2475" spans="1:14" x14ac:dyDescent="0.35">
      <c r="A2475" t="s">
        <v>6738</v>
      </c>
      <c r="B2475" t="s">
        <v>6739</v>
      </c>
      <c r="C2475" t="s">
        <v>30</v>
      </c>
      <c r="D2475">
        <v>123.52</v>
      </c>
      <c r="E2475">
        <v>19000</v>
      </c>
      <c r="F2475" t="s">
        <v>97</v>
      </c>
      <c r="G2475" t="s">
        <v>32</v>
      </c>
      <c r="H2475" t="s">
        <v>33</v>
      </c>
      <c r="I2475" t="s">
        <v>44</v>
      </c>
      <c r="J2475" t="s">
        <v>35</v>
      </c>
      <c r="K2475" t="s">
        <v>36</v>
      </c>
      <c r="L2475">
        <v>23</v>
      </c>
      <c r="M2475" t="s">
        <v>447</v>
      </c>
      <c r="N2475" t="s">
        <v>1131</v>
      </c>
    </row>
    <row r="2476" spans="1:14" x14ac:dyDescent="0.35">
      <c r="A2476" t="s">
        <v>6740</v>
      </c>
      <c r="B2476" t="s">
        <v>6741</v>
      </c>
      <c r="C2476" t="s">
        <v>41</v>
      </c>
      <c r="D2476">
        <v>98.86</v>
      </c>
      <c r="E2476">
        <v>36000</v>
      </c>
      <c r="F2476" t="s">
        <v>76</v>
      </c>
      <c r="G2476" t="s">
        <v>32</v>
      </c>
      <c r="H2476" t="s">
        <v>33</v>
      </c>
      <c r="I2476" t="s">
        <v>44</v>
      </c>
      <c r="J2476" t="s">
        <v>112</v>
      </c>
      <c r="K2476" t="s">
        <v>106</v>
      </c>
      <c r="L2476">
        <v>11</v>
      </c>
      <c r="M2476" t="s">
        <v>2286</v>
      </c>
      <c r="N2476" t="s">
        <v>988</v>
      </c>
    </row>
    <row r="2477" spans="1:14" x14ac:dyDescent="0.35">
      <c r="A2477" t="s">
        <v>6742</v>
      </c>
      <c r="B2477" t="s">
        <v>6743</v>
      </c>
      <c r="C2477" t="s">
        <v>69</v>
      </c>
      <c r="D2477">
        <v>50.28</v>
      </c>
      <c r="E2477">
        <v>14000</v>
      </c>
      <c r="F2477" t="s">
        <v>64</v>
      </c>
      <c r="G2477" t="s">
        <v>32</v>
      </c>
      <c r="H2477" t="s">
        <v>33</v>
      </c>
      <c r="I2477" t="s">
        <v>34</v>
      </c>
      <c r="J2477" t="s">
        <v>118</v>
      </c>
      <c r="K2477" t="s">
        <v>42</v>
      </c>
      <c r="L2477">
        <v>19</v>
      </c>
      <c r="M2477" t="s">
        <v>65</v>
      </c>
      <c r="N2477" t="s">
        <v>2008</v>
      </c>
    </row>
    <row r="2478" spans="1:14" x14ac:dyDescent="0.35">
      <c r="A2478" t="s">
        <v>6744</v>
      </c>
      <c r="B2478" t="s">
        <v>6745</v>
      </c>
      <c r="C2478" t="s">
        <v>41</v>
      </c>
      <c r="D2478">
        <v>158.07</v>
      </c>
      <c r="E2478">
        <v>23000</v>
      </c>
      <c r="F2478" t="s">
        <v>139</v>
      </c>
      <c r="G2478" t="s">
        <v>32</v>
      </c>
      <c r="H2478" t="s">
        <v>43</v>
      </c>
      <c r="I2478" t="s">
        <v>34</v>
      </c>
      <c r="J2478" t="s">
        <v>107</v>
      </c>
      <c r="K2478" t="s">
        <v>87</v>
      </c>
      <c r="L2478">
        <v>15</v>
      </c>
      <c r="N2478" t="s">
        <v>6746</v>
      </c>
    </row>
    <row r="2479" spans="1:14" x14ac:dyDescent="0.35">
      <c r="A2479" t="s">
        <v>6747</v>
      </c>
      <c r="B2479" t="s">
        <v>6748</v>
      </c>
      <c r="C2479" t="s">
        <v>62</v>
      </c>
      <c r="D2479">
        <v>53.98</v>
      </c>
      <c r="E2479">
        <v>3000</v>
      </c>
      <c r="F2479" t="s">
        <v>42</v>
      </c>
      <c r="G2479" t="s">
        <v>32</v>
      </c>
      <c r="H2479" t="s">
        <v>33</v>
      </c>
      <c r="I2479" t="s">
        <v>129</v>
      </c>
      <c r="J2479" t="s">
        <v>118</v>
      </c>
      <c r="K2479" t="s">
        <v>42</v>
      </c>
      <c r="L2479">
        <v>7</v>
      </c>
      <c r="N2479" t="s">
        <v>4777</v>
      </c>
    </row>
    <row r="2480" spans="1:14" x14ac:dyDescent="0.35">
      <c r="A2480" t="s">
        <v>6749</v>
      </c>
      <c r="B2480" t="s">
        <v>6750</v>
      </c>
      <c r="C2480" t="s">
        <v>30</v>
      </c>
      <c r="D2480">
        <v>160.88</v>
      </c>
      <c r="E2480">
        <v>9000</v>
      </c>
      <c r="F2480" t="s">
        <v>117</v>
      </c>
      <c r="G2480" t="s">
        <v>32</v>
      </c>
      <c r="H2480" t="s">
        <v>57</v>
      </c>
      <c r="J2480" t="s">
        <v>6751</v>
      </c>
      <c r="K2480" t="s">
        <v>139</v>
      </c>
      <c r="L2480">
        <v>4</v>
      </c>
      <c r="M2480" t="s">
        <v>738</v>
      </c>
      <c r="N2480" t="s">
        <v>6098</v>
      </c>
    </row>
    <row r="2481" spans="1:14" x14ac:dyDescent="0.35">
      <c r="A2481" t="s">
        <v>6752</v>
      </c>
      <c r="B2481" t="s">
        <v>6753</v>
      </c>
      <c r="C2481" t="s">
        <v>62</v>
      </c>
      <c r="D2481">
        <v>68.959999999999994</v>
      </c>
      <c r="E2481">
        <v>2000</v>
      </c>
      <c r="F2481" t="s">
        <v>64</v>
      </c>
      <c r="G2481" t="s">
        <v>32</v>
      </c>
      <c r="H2481" t="s">
        <v>43</v>
      </c>
      <c r="I2481" t="s">
        <v>34</v>
      </c>
      <c r="J2481" t="s">
        <v>63</v>
      </c>
      <c r="K2481" t="s">
        <v>64</v>
      </c>
      <c r="L2481">
        <v>7</v>
      </c>
      <c r="N2481" t="s">
        <v>497</v>
      </c>
    </row>
    <row r="2482" spans="1:14" x14ac:dyDescent="0.35">
      <c r="A2482" t="s">
        <v>6754</v>
      </c>
      <c r="B2482" t="s">
        <v>6755</v>
      </c>
      <c r="C2482" t="s">
        <v>30</v>
      </c>
      <c r="D2482">
        <v>138.80000000000001</v>
      </c>
      <c r="E2482">
        <v>16000</v>
      </c>
      <c r="F2482" t="s">
        <v>51</v>
      </c>
      <c r="G2482" t="s">
        <v>32</v>
      </c>
      <c r="H2482" t="s">
        <v>43</v>
      </c>
      <c r="I2482" t="s">
        <v>44</v>
      </c>
      <c r="J2482" t="s">
        <v>130</v>
      </c>
      <c r="K2482" t="s">
        <v>123</v>
      </c>
      <c r="L2482">
        <v>1</v>
      </c>
      <c r="M2482" t="s">
        <v>3794</v>
      </c>
      <c r="N2482" t="s">
        <v>430</v>
      </c>
    </row>
    <row r="2483" spans="1:14" x14ac:dyDescent="0.35">
      <c r="A2483" t="s">
        <v>6756</v>
      </c>
      <c r="B2483" t="s">
        <v>6757</v>
      </c>
      <c r="C2483" t="s">
        <v>41</v>
      </c>
      <c r="D2483">
        <v>85.38</v>
      </c>
      <c r="E2483">
        <v>30000</v>
      </c>
      <c r="F2483" t="s">
        <v>117</v>
      </c>
      <c r="G2483" t="s">
        <v>32</v>
      </c>
      <c r="H2483" t="s">
        <v>43</v>
      </c>
      <c r="I2483" t="s">
        <v>44</v>
      </c>
      <c r="J2483" t="s">
        <v>6758</v>
      </c>
      <c r="K2483" t="s">
        <v>51</v>
      </c>
      <c r="L2483">
        <v>15</v>
      </c>
      <c r="M2483" t="s">
        <v>2996</v>
      </c>
      <c r="N2483" t="s">
        <v>6759</v>
      </c>
    </row>
    <row r="2484" spans="1:14" x14ac:dyDescent="0.35">
      <c r="A2484" t="s">
        <v>6760</v>
      </c>
      <c r="B2484" t="s">
        <v>6761</v>
      </c>
      <c r="C2484" t="s">
        <v>81</v>
      </c>
      <c r="D2484">
        <v>74.239999999999995</v>
      </c>
      <c r="E2484">
        <v>9000</v>
      </c>
      <c r="F2484" t="s">
        <v>147</v>
      </c>
      <c r="G2484" t="s">
        <v>32</v>
      </c>
      <c r="H2484" t="s">
        <v>57</v>
      </c>
      <c r="I2484" t="s">
        <v>34</v>
      </c>
      <c r="J2484" t="s">
        <v>3766</v>
      </c>
      <c r="K2484" t="s">
        <v>97</v>
      </c>
      <c r="L2484">
        <v>14</v>
      </c>
      <c r="M2484" t="s">
        <v>2625</v>
      </c>
      <c r="N2484" t="s">
        <v>2701</v>
      </c>
    </row>
    <row r="2485" spans="1:14" x14ac:dyDescent="0.35">
      <c r="A2485" t="s">
        <v>6762</v>
      </c>
      <c r="B2485" t="s">
        <v>6763</v>
      </c>
      <c r="C2485" t="s">
        <v>41</v>
      </c>
      <c r="D2485">
        <v>81.97</v>
      </c>
      <c r="E2485">
        <v>31000</v>
      </c>
      <c r="F2485" t="s">
        <v>117</v>
      </c>
      <c r="G2485" t="s">
        <v>32</v>
      </c>
      <c r="H2485" t="s">
        <v>33</v>
      </c>
      <c r="I2485" t="s">
        <v>44</v>
      </c>
      <c r="J2485" t="s">
        <v>124</v>
      </c>
      <c r="K2485" t="s">
        <v>117</v>
      </c>
      <c r="L2485">
        <v>1</v>
      </c>
      <c r="M2485" t="s">
        <v>1273</v>
      </c>
      <c r="N2485" t="s">
        <v>4630</v>
      </c>
    </row>
    <row r="2486" spans="1:14" x14ac:dyDescent="0.35">
      <c r="A2486" t="s">
        <v>6764</v>
      </c>
      <c r="B2486" t="s">
        <v>6765</v>
      </c>
      <c r="C2486" t="s">
        <v>69</v>
      </c>
      <c r="D2486">
        <v>51.91</v>
      </c>
      <c r="E2486">
        <v>62000</v>
      </c>
      <c r="F2486" t="s">
        <v>117</v>
      </c>
      <c r="G2486" t="s">
        <v>32</v>
      </c>
      <c r="H2486" t="s">
        <v>57</v>
      </c>
      <c r="I2486" t="s">
        <v>44</v>
      </c>
      <c r="J2486" t="s">
        <v>4486</v>
      </c>
      <c r="K2486" t="s">
        <v>147</v>
      </c>
      <c r="L2486">
        <v>10</v>
      </c>
      <c r="M2486" t="s">
        <v>911</v>
      </c>
      <c r="N2486" t="s">
        <v>6766</v>
      </c>
    </row>
    <row r="2487" spans="1:14" x14ac:dyDescent="0.35">
      <c r="A2487" t="s">
        <v>6767</v>
      </c>
      <c r="B2487" t="s">
        <v>6768</v>
      </c>
      <c r="C2487" t="s">
        <v>116</v>
      </c>
      <c r="D2487">
        <v>8.33</v>
      </c>
      <c r="E2487">
        <v>200</v>
      </c>
      <c r="F2487" t="s">
        <v>42</v>
      </c>
      <c r="G2487" t="s">
        <v>32</v>
      </c>
      <c r="H2487" t="s">
        <v>43</v>
      </c>
      <c r="I2487" t="s">
        <v>44</v>
      </c>
      <c r="J2487" t="s">
        <v>3728</v>
      </c>
      <c r="K2487" t="s">
        <v>139</v>
      </c>
      <c r="L2487">
        <v>4</v>
      </c>
      <c r="M2487" t="s">
        <v>603</v>
      </c>
      <c r="N2487" t="s">
        <v>93</v>
      </c>
    </row>
    <row r="2488" spans="1:14" x14ac:dyDescent="0.35">
      <c r="A2488" t="s">
        <v>6769</v>
      </c>
      <c r="B2488" t="s">
        <v>6770</v>
      </c>
      <c r="C2488" t="s">
        <v>69</v>
      </c>
      <c r="D2488">
        <v>68.099999999999994</v>
      </c>
      <c r="E2488">
        <v>89000</v>
      </c>
      <c r="F2488" t="s">
        <v>64</v>
      </c>
      <c r="G2488" t="s">
        <v>32</v>
      </c>
      <c r="H2488" t="s">
        <v>33</v>
      </c>
      <c r="I2488" t="s">
        <v>34</v>
      </c>
      <c r="J2488" t="s">
        <v>1071</v>
      </c>
      <c r="K2488" t="s">
        <v>236</v>
      </c>
      <c r="L2488">
        <v>18</v>
      </c>
      <c r="M2488" t="s">
        <v>4472</v>
      </c>
      <c r="N2488" t="s">
        <v>1727</v>
      </c>
    </row>
    <row r="2489" spans="1:14" x14ac:dyDescent="0.35">
      <c r="A2489" t="s">
        <v>6771</v>
      </c>
      <c r="B2489" t="s">
        <v>6772</v>
      </c>
      <c r="C2489" t="s">
        <v>62</v>
      </c>
      <c r="D2489">
        <v>98.25</v>
      </c>
      <c r="E2489">
        <v>1000</v>
      </c>
      <c r="F2489" t="s">
        <v>36</v>
      </c>
      <c r="G2489" t="s">
        <v>32</v>
      </c>
      <c r="H2489" t="s">
        <v>43</v>
      </c>
      <c r="J2489" t="s">
        <v>778</v>
      </c>
      <c r="K2489" t="s">
        <v>139</v>
      </c>
      <c r="L2489">
        <v>19</v>
      </c>
      <c r="N2489" t="s">
        <v>1638</v>
      </c>
    </row>
    <row r="2490" spans="1:14" x14ac:dyDescent="0.35">
      <c r="A2490" t="s">
        <v>6773</v>
      </c>
      <c r="B2490" t="s">
        <v>6774</v>
      </c>
      <c r="C2490" t="s">
        <v>116</v>
      </c>
      <c r="D2490">
        <v>11.81</v>
      </c>
      <c r="E2490">
        <v>100</v>
      </c>
      <c r="F2490" t="s">
        <v>64</v>
      </c>
      <c r="G2490" t="s">
        <v>32</v>
      </c>
      <c r="H2490" t="s">
        <v>33</v>
      </c>
      <c r="I2490" t="s">
        <v>34</v>
      </c>
      <c r="J2490" t="s">
        <v>235</v>
      </c>
      <c r="K2490" t="s">
        <v>236</v>
      </c>
      <c r="L2490">
        <v>4</v>
      </c>
      <c r="M2490" t="s">
        <v>881</v>
      </c>
      <c r="N2490" t="s">
        <v>2819</v>
      </c>
    </row>
    <row r="2491" spans="1:14" x14ac:dyDescent="0.35">
      <c r="A2491" t="s">
        <v>6775</v>
      </c>
      <c r="B2491" t="s">
        <v>6776</v>
      </c>
      <c r="C2491" t="s">
        <v>81</v>
      </c>
      <c r="D2491">
        <v>99.59</v>
      </c>
      <c r="E2491">
        <v>9000</v>
      </c>
      <c r="F2491" t="s">
        <v>87</v>
      </c>
      <c r="G2491" t="s">
        <v>32</v>
      </c>
      <c r="H2491" t="s">
        <v>57</v>
      </c>
      <c r="J2491" t="s">
        <v>124</v>
      </c>
      <c r="K2491" t="s">
        <v>117</v>
      </c>
      <c r="L2491">
        <v>1</v>
      </c>
      <c r="M2491" t="s">
        <v>2021</v>
      </c>
      <c r="N2491" t="s">
        <v>4352</v>
      </c>
    </row>
    <row r="2492" spans="1:14" x14ac:dyDescent="0.35">
      <c r="A2492" t="s">
        <v>6777</v>
      </c>
      <c r="B2492" t="s">
        <v>6778</v>
      </c>
      <c r="C2492" t="s">
        <v>69</v>
      </c>
      <c r="D2492">
        <v>78.260000000000005</v>
      </c>
      <c r="E2492">
        <v>21000</v>
      </c>
      <c r="F2492" t="s">
        <v>36</v>
      </c>
      <c r="G2492" t="s">
        <v>32</v>
      </c>
      <c r="H2492" t="s">
        <v>43</v>
      </c>
      <c r="I2492" t="s">
        <v>44</v>
      </c>
      <c r="J2492" t="s">
        <v>70</v>
      </c>
      <c r="K2492" t="s">
        <v>31</v>
      </c>
      <c r="L2492">
        <v>21</v>
      </c>
      <c r="N2492" t="s">
        <v>984</v>
      </c>
    </row>
    <row r="2493" spans="1:14" x14ac:dyDescent="0.35">
      <c r="A2493" t="s">
        <v>6779</v>
      </c>
      <c r="B2493" t="s">
        <v>6780</v>
      </c>
      <c r="C2493" t="s">
        <v>62</v>
      </c>
      <c r="D2493">
        <v>82.21</v>
      </c>
      <c r="E2493">
        <v>4000</v>
      </c>
      <c r="F2493" t="s">
        <v>51</v>
      </c>
      <c r="G2493" t="s">
        <v>32</v>
      </c>
      <c r="H2493" t="s">
        <v>57</v>
      </c>
      <c r="J2493" t="s">
        <v>130</v>
      </c>
      <c r="K2493" t="s">
        <v>123</v>
      </c>
      <c r="L2493">
        <v>0</v>
      </c>
      <c r="M2493" t="s">
        <v>513</v>
      </c>
      <c r="N2493" t="s">
        <v>6171</v>
      </c>
    </row>
    <row r="2494" spans="1:14" x14ac:dyDescent="0.35">
      <c r="A2494" t="s">
        <v>6781</v>
      </c>
      <c r="B2494" t="s">
        <v>6782</v>
      </c>
      <c r="C2494" t="s">
        <v>116</v>
      </c>
      <c r="D2494">
        <v>9.81</v>
      </c>
      <c r="E2494">
        <v>300</v>
      </c>
      <c r="F2494" t="s">
        <v>106</v>
      </c>
      <c r="G2494" t="s">
        <v>32</v>
      </c>
      <c r="H2494" t="s">
        <v>33</v>
      </c>
      <c r="I2494" t="s">
        <v>44</v>
      </c>
      <c r="J2494" t="s">
        <v>1816</v>
      </c>
      <c r="K2494" t="s">
        <v>236</v>
      </c>
      <c r="L2494">
        <v>5</v>
      </c>
      <c r="M2494" t="s">
        <v>1396</v>
      </c>
      <c r="N2494" t="s">
        <v>6783</v>
      </c>
    </row>
    <row r="2495" spans="1:14" x14ac:dyDescent="0.35">
      <c r="A2495" t="s">
        <v>6784</v>
      </c>
      <c r="B2495" t="s">
        <v>6785</v>
      </c>
      <c r="C2495" t="s">
        <v>81</v>
      </c>
      <c r="D2495">
        <v>90.67</v>
      </c>
      <c r="E2495">
        <v>8000</v>
      </c>
      <c r="F2495" t="s">
        <v>87</v>
      </c>
      <c r="G2495" t="s">
        <v>32</v>
      </c>
      <c r="H2495" t="s">
        <v>57</v>
      </c>
      <c r="I2495" t="s">
        <v>44</v>
      </c>
      <c r="J2495" t="s">
        <v>112</v>
      </c>
      <c r="K2495" t="s">
        <v>106</v>
      </c>
      <c r="L2495">
        <v>8</v>
      </c>
      <c r="M2495" t="s">
        <v>5301</v>
      </c>
      <c r="N2495" t="s">
        <v>4493</v>
      </c>
    </row>
    <row r="2496" spans="1:14" x14ac:dyDescent="0.35">
      <c r="A2496" t="s">
        <v>6786</v>
      </c>
      <c r="B2496" t="s">
        <v>6787</v>
      </c>
      <c r="C2496" t="s">
        <v>41</v>
      </c>
      <c r="D2496">
        <v>106.22</v>
      </c>
      <c r="E2496">
        <v>20000</v>
      </c>
      <c r="F2496" t="s">
        <v>42</v>
      </c>
      <c r="G2496" t="s">
        <v>32</v>
      </c>
      <c r="H2496" t="s">
        <v>57</v>
      </c>
      <c r="I2496" t="s">
        <v>34</v>
      </c>
      <c r="J2496" t="s">
        <v>75</v>
      </c>
      <c r="K2496" t="s">
        <v>76</v>
      </c>
      <c r="L2496">
        <v>10</v>
      </c>
      <c r="M2496" t="s">
        <v>3599</v>
      </c>
      <c r="N2496" t="s">
        <v>4093</v>
      </c>
    </row>
    <row r="2497" spans="1:14" x14ac:dyDescent="0.35">
      <c r="A2497" t="s">
        <v>6788</v>
      </c>
      <c r="B2497" t="s">
        <v>6789</v>
      </c>
      <c r="C2497" t="s">
        <v>30</v>
      </c>
      <c r="D2497">
        <v>117.06</v>
      </c>
      <c r="E2497">
        <v>20000</v>
      </c>
      <c r="F2497" t="s">
        <v>139</v>
      </c>
      <c r="G2497" t="s">
        <v>32</v>
      </c>
      <c r="H2497" t="s">
        <v>33</v>
      </c>
      <c r="I2497" t="s">
        <v>44</v>
      </c>
      <c r="J2497" t="s">
        <v>124</v>
      </c>
      <c r="K2497" t="s">
        <v>117</v>
      </c>
      <c r="L2497">
        <v>14</v>
      </c>
      <c r="M2497" t="s">
        <v>547</v>
      </c>
      <c r="N2497" t="s">
        <v>1856</v>
      </c>
    </row>
    <row r="2498" spans="1:14" x14ac:dyDescent="0.35">
      <c r="A2498" t="s">
        <v>6790</v>
      </c>
      <c r="B2498" t="s">
        <v>6791</v>
      </c>
      <c r="C2498" t="s">
        <v>41</v>
      </c>
      <c r="D2498">
        <v>124.27</v>
      </c>
      <c r="E2498">
        <v>35000</v>
      </c>
      <c r="F2498" t="s">
        <v>97</v>
      </c>
      <c r="G2498" t="s">
        <v>32</v>
      </c>
      <c r="H2498" t="s">
        <v>33</v>
      </c>
      <c r="I2498" t="s">
        <v>34</v>
      </c>
      <c r="J2498" t="s">
        <v>70</v>
      </c>
      <c r="K2498" t="s">
        <v>31</v>
      </c>
      <c r="L2498">
        <v>4</v>
      </c>
      <c r="N2498" t="s">
        <v>938</v>
      </c>
    </row>
    <row r="2499" spans="1:14" x14ac:dyDescent="0.35">
      <c r="A2499" t="s">
        <v>6792</v>
      </c>
      <c r="B2499" t="s">
        <v>6793</v>
      </c>
      <c r="C2499" t="s">
        <v>81</v>
      </c>
      <c r="D2499">
        <v>124.81</v>
      </c>
      <c r="E2499">
        <v>4000</v>
      </c>
      <c r="F2499" t="s">
        <v>76</v>
      </c>
      <c r="G2499" t="s">
        <v>102</v>
      </c>
      <c r="H2499" t="s">
        <v>33</v>
      </c>
      <c r="I2499" t="s">
        <v>44</v>
      </c>
      <c r="J2499" t="s">
        <v>316</v>
      </c>
      <c r="K2499" t="s">
        <v>97</v>
      </c>
      <c r="L2499">
        <v>9</v>
      </c>
      <c r="M2499" t="s">
        <v>2532</v>
      </c>
      <c r="N2499" t="s">
        <v>5524</v>
      </c>
    </row>
    <row r="2500" spans="1:14" x14ac:dyDescent="0.35">
      <c r="A2500" t="s">
        <v>6794</v>
      </c>
      <c r="B2500" t="s">
        <v>6795</v>
      </c>
      <c r="C2500" t="s">
        <v>81</v>
      </c>
      <c r="D2500">
        <v>111.94</v>
      </c>
      <c r="E2500">
        <v>7000</v>
      </c>
      <c r="F2500" t="s">
        <v>76</v>
      </c>
      <c r="G2500" t="s">
        <v>32</v>
      </c>
      <c r="H2500" t="s">
        <v>43</v>
      </c>
      <c r="J2500" t="s">
        <v>1071</v>
      </c>
      <c r="K2500" t="s">
        <v>236</v>
      </c>
      <c r="L2500">
        <v>12</v>
      </c>
      <c r="N2500" t="s">
        <v>2373</v>
      </c>
    </row>
    <row r="2501" spans="1:14" x14ac:dyDescent="0.35">
      <c r="A2501" t="s">
        <v>6796</v>
      </c>
      <c r="B2501" t="s">
        <v>6797</v>
      </c>
      <c r="C2501" t="s">
        <v>116</v>
      </c>
      <c r="D2501">
        <v>7.18</v>
      </c>
      <c r="E2501">
        <v>600</v>
      </c>
      <c r="F2501" t="s">
        <v>42</v>
      </c>
      <c r="G2501" t="s">
        <v>32</v>
      </c>
      <c r="H2501" t="s">
        <v>43</v>
      </c>
      <c r="I2501" t="s">
        <v>34</v>
      </c>
      <c r="J2501" t="s">
        <v>1565</v>
      </c>
      <c r="K2501" t="s">
        <v>51</v>
      </c>
      <c r="L2501">
        <v>13</v>
      </c>
      <c r="M2501" t="s">
        <v>2074</v>
      </c>
      <c r="N2501" t="s">
        <v>4502</v>
      </c>
    </row>
    <row r="2502" spans="1:14" x14ac:dyDescent="0.35">
      <c r="A2502" t="s">
        <v>6798</v>
      </c>
      <c r="B2502" t="s">
        <v>6799</v>
      </c>
      <c r="C2502" t="s">
        <v>41</v>
      </c>
      <c r="D2502">
        <v>91.98</v>
      </c>
      <c r="E2502">
        <v>29000</v>
      </c>
      <c r="F2502" t="s">
        <v>87</v>
      </c>
      <c r="G2502" t="s">
        <v>32</v>
      </c>
      <c r="H2502" t="s">
        <v>33</v>
      </c>
      <c r="I2502" t="s">
        <v>129</v>
      </c>
      <c r="J2502" t="s">
        <v>6800</v>
      </c>
      <c r="K2502" t="s">
        <v>51</v>
      </c>
      <c r="L2502">
        <v>18</v>
      </c>
      <c r="M2502" t="s">
        <v>5527</v>
      </c>
      <c r="N2502" t="s">
        <v>422</v>
      </c>
    </row>
    <row r="2503" spans="1:14" x14ac:dyDescent="0.35">
      <c r="A2503" t="s">
        <v>6801</v>
      </c>
      <c r="B2503" t="s">
        <v>6802</v>
      </c>
      <c r="C2503" t="s">
        <v>81</v>
      </c>
      <c r="D2503">
        <v>126.84</v>
      </c>
      <c r="E2503">
        <v>3000</v>
      </c>
      <c r="F2503" t="s">
        <v>74</v>
      </c>
      <c r="G2503" t="s">
        <v>32</v>
      </c>
      <c r="H2503" t="s">
        <v>33</v>
      </c>
      <c r="I2503" t="s">
        <v>44</v>
      </c>
      <c r="J2503" t="s">
        <v>45</v>
      </c>
      <c r="K2503" t="s">
        <v>46</v>
      </c>
      <c r="L2503">
        <v>13</v>
      </c>
      <c r="M2503" t="s">
        <v>2074</v>
      </c>
      <c r="N2503" t="s">
        <v>4505</v>
      </c>
    </row>
    <row r="2504" spans="1:14" x14ac:dyDescent="0.35">
      <c r="A2504" t="s">
        <v>6803</v>
      </c>
      <c r="B2504" t="s">
        <v>6804</v>
      </c>
      <c r="C2504" t="s">
        <v>41</v>
      </c>
      <c r="D2504">
        <v>92.43</v>
      </c>
      <c r="E2504">
        <v>37000</v>
      </c>
      <c r="F2504" t="s">
        <v>236</v>
      </c>
      <c r="G2504" t="s">
        <v>32</v>
      </c>
      <c r="H2504" t="s">
        <v>57</v>
      </c>
      <c r="I2504" t="s">
        <v>34</v>
      </c>
      <c r="J2504" t="s">
        <v>2289</v>
      </c>
      <c r="K2504" t="s">
        <v>31</v>
      </c>
      <c r="L2504">
        <v>10</v>
      </c>
      <c r="M2504" t="s">
        <v>175</v>
      </c>
      <c r="N2504" t="s">
        <v>613</v>
      </c>
    </row>
    <row r="2505" spans="1:14" x14ac:dyDescent="0.35">
      <c r="A2505" t="s">
        <v>6805</v>
      </c>
      <c r="B2505" t="s">
        <v>6806</v>
      </c>
      <c r="C2505" t="s">
        <v>62</v>
      </c>
      <c r="D2505">
        <v>56.27</v>
      </c>
      <c r="E2505">
        <v>1000</v>
      </c>
      <c r="F2505" t="s">
        <v>31</v>
      </c>
      <c r="G2505" t="s">
        <v>32</v>
      </c>
      <c r="H2505" t="s">
        <v>57</v>
      </c>
      <c r="I2505" t="s">
        <v>129</v>
      </c>
      <c r="J2505" t="s">
        <v>3531</v>
      </c>
      <c r="K2505" t="s">
        <v>147</v>
      </c>
      <c r="L2505">
        <v>15</v>
      </c>
      <c r="N2505" t="s">
        <v>2171</v>
      </c>
    </row>
    <row r="2506" spans="1:14" x14ac:dyDescent="0.35">
      <c r="A2506" t="s">
        <v>6807</v>
      </c>
      <c r="B2506" t="s">
        <v>6808</v>
      </c>
      <c r="C2506" t="s">
        <v>30</v>
      </c>
      <c r="D2506">
        <v>186.05</v>
      </c>
      <c r="E2506">
        <v>20000</v>
      </c>
      <c r="F2506" t="s">
        <v>106</v>
      </c>
      <c r="G2506" t="s">
        <v>32</v>
      </c>
      <c r="H2506" t="s">
        <v>43</v>
      </c>
      <c r="I2506" t="s">
        <v>34</v>
      </c>
      <c r="J2506" t="s">
        <v>75</v>
      </c>
      <c r="K2506" t="s">
        <v>76</v>
      </c>
      <c r="L2506">
        <v>18</v>
      </c>
      <c r="M2506" t="s">
        <v>607</v>
      </c>
      <c r="N2506" t="s">
        <v>564</v>
      </c>
    </row>
    <row r="2507" spans="1:14" x14ac:dyDescent="0.35">
      <c r="A2507" t="s">
        <v>6809</v>
      </c>
      <c r="B2507" t="s">
        <v>6810</v>
      </c>
      <c r="C2507" t="s">
        <v>62</v>
      </c>
      <c r="D2507">
        <v>84.31</v>
      </c>
      <c r="E2507">
        <v>5000</v>
      </c>
      <c r="F2507" t="s">
        <v>139</v>
      </c>
      <c r="G2507" t="s">
        <v>32</v>
      </c>
      <c r="H2507" t="s">
        <v>57</v>
      </c>
      <c r="I2507" t="s">
        <v>44</v>
      </c>
      <c r="J2507" t="s">
        <v>45</v>
      </c>
      <c r="K2507" t="s">
        <v>46</v>
      </c>
      <c r="L2507">
        <v>22</v>
      </c>
      <c r="M2507" t="s">
        <v>1828</v>
      </c>
      <c r="N2507" t="s">
        <v>1225</v>
      </c>
    </row>
    <row r="2508" spans="1:14" x14ac:dyDescent="0.35">
      <c r="A2508" t="s">
        <v>6811</v>
      </c>
      <c r="B2508" t="s">
        <v>6812</v>
      </c>
      <c r="C2508" t="s">
        <v>41</v>
      </c>
      <c r="D2508">
        <v>87.15</v>
      </c>
      <c r="E2508">
        <v>33000</v>
      </c>
      <c r="F2508" t="s">
        <v>31</v>
      </c>
      <c r="G2508" t="s">
        <v>32</v>
      </c>
      <c r="H2508" t="s">
        <v>33</v>
      </c>
      <c r="I2508" t="s">
        <v>129</v>
      </c>
      <c r="J2508" t="s">
        <v>209</v>
      </c>
      <c r="K2508" t="s">
        <v>74</v>
      </c>
      <c r="L2508">
        <v>4</v>
      </c>
      <c r="M2508" t="s">
        <v>2021</v>
      </c>
      <c r="N2508" t="s">
        <v>820</v>
      </c>
    </row>
    <row r="2509" spans="1:14" x14ac:dyDescent="0.35">
      <c r="A2509" t="s">
        <v>6813</v>
      </c>
      <c r="B2509" t="s">
        <v>6814</v>
      </c>
      <c r="C2509" t="s">
        <v>41</v>
      </c>
      <c r="D2509">
        <v>146.80000000000001</v>
      </c>
      <c r="E2509">
        <v>34000</v>
      </c>
      <c r="F2509" t="s">
        <v>74</v>
      </c>
      <c r="G2509" t="s">
        <v>32</v>
      </c>
      <c r="H2509" t="s">
        <v>43</v>
      </c>
      <c r="I2509" t="s">
        <v>44</v>
      </c>
      <c r="J2509" t="s">
        <v>107</v>
      </c>
      <c r="K2509" t="s">
        <v>87</v>
      </c>
      <c r="L2509">
        <v>23</v>
      </c>
      <c r="M2509" t="s">
        <v>289</v>
      </c>
      <c r="N2509" t="s">
        <v>4363</v>
      </c>
    </row>
    <row r="2510" spans="1:14" x14ac:dyDescent="0.35">
      <c r="A2510" t="s">
        <v>6815</v>
      </c>
      <c r="B2510" t="s">
        <v>6816</v>
      </c>
      <c r="C2510" t="s">
        <v>69</v>
      </c>
      <c r="D2510">
        <v>98.15</v>
      </c>
      <c r="E2510">
        <v>10000</v>
      </c>
      <c r="F2510" t="s">
        <v>106</v>
      </c>
      <c r="G2510" t="s">
        <v>32</v>
      </c>
      <c r="H2510" t="s">
        <v>57</v>
      </c>
      <c r="I2510" t="s">
        <v>34</v>
      </c>
      <c r="J2510" t="s">
        <v>124</v>
      </c>
      <c r="K2510" t="s">
        <v>117</v>
      </c>
      <c r="L2510">
        <v>17</v>
      </c>
      <c r="N2510" t="s">
        <v>3559</v>
      </c>
    </row>
    <row r="2511" spans="1:14" x14ac:dyDescent="0.35">
      <c r="A2511" t="s">
        <v>6817</v>
      </c>
      <c r="B2511" t="s">
        <v>6818</v>
      </c>
      <c r="C2511" t="s">
        <v>116</v>
      </c>
      <c r="D2511">
        <v>9.98</v>
      </c>
      <c r="E2511">
        <v>200</v>
      </c>
      <c r="F2511" t="s">
        <v>236</v>
      </c>
      <c r="G2511" t="s">
        <v>32</v>
      </c>
      <c r="H2511" t="s">
        <v>33</v>
      </c>
      <c r="I2511" t="s">
        <v>44</v>
      </c>
      <c r="J2511" t="s">
        <v>124</v>
      </c>
      <c r="K2511" t="s">
        <v>117</v>
      </c>
      <c r="L2511">
        <v>22</v>
      </c>
      <c r="M2511" t="s">
        <v>485</v>
      </c>
      <c r="N2511" t="s">
        <v>322</v>
      </c>
    </row>
    <row r="2512" spans="1:14" x14ac:dyDescent="0.35">
      <c r="A2512" t="s">
        <v>6819</v>
      </c>
      <c r="B2512" t="s">
        <v>6820</v>
      </c>
      <c r="C2512" t="s">
        <v>30</v>
      </c>
      <c r="D2512">
        <v>182.21</v>
      </c>
      <c r="E2512">
        <v>16000</v>
      </c>
      <c r="F2512" t="s">
        <v>106</v>
      </c>
      <c r="G2512" t="s">
        <v>32</v>
      </c>
      <c r="H2512" t="s">
        <v>43</v>
      </c>
      <c r="I2512" t="s">
        <v>44</v>
      </c>
      <c r="J2512" t="s">
        <v>45</v>
      </c>
      <c r="K2512" t="s">
        <v>46</v>
      </c>
      <c r="L2512">
        <v>19</v>
      </c>
      <c r="N2512" t="s">
        <v>5524</v>
      </c>
    </row>
    <row r="2513" spans="1:14" x14ac:dyDescent="0.35">
      <c r="A2513" t="s">
        <v>6821</v>
      </c>
      <c r="B2513" t="s">
        <v>6822</v>
      </c>
      <c r="C2513" t="s">
        <v>81</v>
      </c>
      <c r="D2513">
        <v>83.78</v>
      </c>
      <c r="E2513">
        <v>9000</v>
      </c>
      <c r="F2513" t="s">
        <v>51</v>
      </c>
      <c r="G2513" t="s">
        <v>32</v>
      </c>
      <c r="H2513" t="s">
        <v>33</v>
      </c>
      <c r="I2513" t="s">
        <v>34</v>
      </c>
      <c r="J2513" t="s">
        <v>523</v>
      </c>
      <c r="K2513" t="s">
        <v>36</v>
      </c>
      <c r="L2513">
        <v>20</v>
      </c>
      <c r="M2513" t="s">
        <v>251</v>
      </c>
      <c r="N2513" t="s">
        <v>2198</v>
      </c>
    </row>
    <row r="2514" spans="1:14" x14ac:dyDescent="0.35">
      <c r="A2514" t="s">
        <v>6823</v>
      </c>
      <c r="B2514" t="s">
        <v>6824</v>
      </c>
      <c r="C2514" t="s">
        <v>81</v>
      </c>
      <c r="D2514">
        <v>139.47999999999999</v>
      </c>
      <c r="E2514">
        <v>9000</v>
      </c>
      <c r="F2514" t="s">
        <v>139</v>
      </c>
      <c r="G2514" t="s">
        <v>32</v>
      </c>
      <c r="H2514" t="s">
        <v>57</v>
      </c>
      <c r="I2514" t="s">
        <v>34</v>
      </c>
      <c r="J2514" t="s">
        <v>118</v>
      </c>
      <c r="K2514" t="s">
        <v>42</v>
      </c>
      <c r="L2514">
        <v>6</v>
      </c>
      <c r="M2514" t="s">
        <v>2760</v>
      </c>
      <c r="N2514" t="s">
        <v>6825</v>
      </c>
    </row>
    <row r="2515" spans="1:14" x14ac:dyDescent="0.35">
      <c r="A2515" t="s">
        <v>6826</v>
      </c>
      <c r="B2515" t="s">
        <v>6827</v>
      </c>
      <c r="C2515" t="s">
        <v>116</v>
      </c>
      <c r="D2515">
        <v>7.79</v>
      </c>
      <c r="E2515">
        <v>600</v>
      </c>
      <c r="F2515" t="s">
        <v>87</v>
      </c>
      <c r="G2515" t="s">
        <v>32</v>
      </c>
      <c r="H2515" t="s">
        <v>43</v>
      </c>
      <c r="I2515" t="s">
        <v>34</v>
      </c>
      <c r="J2515" t="s">
        <v>75</v>
      </c>
      <c r="K2515" t="s">
        <v>76</v>
      </c>
      <c r="L2515">
        <v>16</v>
      </c>
      <c r="M2515" t="s">
        <v>1396</v>
      </c>
      <c r="N2515" t="s">
        <v>4185</v>
      </c>
    </row>
    <row r="2516" spans="1:14" x14ac:dyDescent="0.35">
      <c r="A2516" t="s">
        <v>6828</v>
      </c>
      <c r="B2516" t="s">
        <v>6829</v>
      </c>
      <c r="C2516" t="s">
        <v>62</v>
      </c>
      <c r="D2516">
        <v>62.7</v>
      </c>
      <c r="E2516">
        <v>5000</v>
      </c>
      <c r="F2516" t="s">
        <v>236</v>
      </c>
      <c r="G2516" t="s">
        <v>32</v>
      </c>
      <c r="H2516" t="s">
        <v>43</v>
      </c>
      <c r="I2516" t="s">
        <v>129</v>
      </c>
      <c r="J2516" t="s">
        <v>112</v>
      </c>
      <c r="K2516" t="s">
        <v>106</v>
      </c>
      <c r="L2516">
        <v>12</v>
      </c>
      <c r="M2516" t="s">
        <v>1919</v>
      </c>
      <c r="N2516" t="s">
        <v>210</v>
      </c>
    </row>
    <row r="2517" spans="1:14" x14ac:dyDescent="0.35">
      <c r="A2517" t="s">
        <v>6830</v>
      </c>
      <c r="B2517" t="s">
        <v>6831</v>
      </c>
      <c r="C2517" t="s">
        <v>69</v>
      </c>
      <c r="D2517">
        <v>92.89</v>
      </c>
      <c r="E2517">
        <v>69000</v>
      </c>
      <c r="F2517" t="s">
        <v>51</v>
      </c>
      <c r="G2517" t="s">
        <v>32</v>
      </c>
      <c r="H2517" t="s">
        <v>33</v>
      </c>
      <c r="I2517" t="s">
        <v>34</v>
      </c>
      <c r="J2517" t="s">
        <v>316</v>
      </c>
      <c r="K2517" t="s">
        <v>97</v>
      </c>
      <c r="L2517">
        <v>18</v>
      </c>
      <c r="M2517" t="s">
        <v>6832</v>
      </c>
      <c r="N2517" t="s">
        <v>3735</v>
      </c>
    </row>
    <row r="2518" spans="1:14" x14ac:dyDescent="0.35">
      <c r="A2518" t="s">
        <v>6833</v>
      </c>
      <c r="B2518" t="s">
        <v>6834</v>
      </c>
      <c r="C2518" t="s">
        <v>116</v>
      </c>
      <c r="D2518">
        <v>8.7799999999999994</v>
      </c>
      <c r="E2518">
        <v>500</v>
      </c>
      <c r="F2518" t="s">
        <v>76</v>
      </c>
      <c r="G2518" t="s">
        <v>32</v>
      </c>
      <c r="H2518" t="s">
        <v>33</v>
      </c>
      <c r="I2518" t="s">
        <v>44</v>
      </c>
      <c r="J2518" t="s">
        <v>130</v>
      </c>
      <c r="K2518" t="s">
        <v>123</v>
      </c>
      <c r="L2518">
        <v>22</v>
      </c>
      <c r="M2518" t="s">
        <v>4242</v>
      </c>
      <c r="N2518" t="s">
        <v>709</v>
      </c>
    </row>
    <row r="2519" spans="1:14" x14ac:dyDescent="0.35">
      <c r="A2519" t="s">
        <v>6835</v>
      </c>
      <c r="B2519" t="s">
        <v>6836</v>
      </c>
      <c r="C2519" t="s">
        <v>69</v>
      </c>
      <c r="D2519">
        <v>57.65</v>
      </c>
      <c r="E2519">
        <v>81000</v>
      </c>
      <c r="F2519" t="s">
        <v>36</v>
      </c>
      <c r="G2519" t="s">
        <v>32</v>
      </c>
      <c r="H2519" t="s">
        <v>57</v>
      </c>
      <c r="I2519" t="s">
        <v>44</v>
      </c>
      <c r="J2519" t="s">
        <v>107</v>
      </c>
      <c r="K2519" t="s">
        <v>87</v>
      </c>
      <c r="L2519">
        <v>23</v>
      </c>
      <c r="M2519" t="s">
        <v>88</v>
      </c>
      <c r="N2519" t="s">
        <v>2641</v>
      </c>
    </row>
    <row r="2520" spans="1:14" x14ac:dyDescent="0.35">
      <c r="A2520" t="s">
        <v>6837</v>
      </c>
      <c r="B2520" t="s">
        <v>6838</v>
      </c>
      <c r="C2520" t="s">
        <v>69</v>
      </c>
      <c r="D2520">
        <v>92.46</v>
      </c>
      <c r="E2520">
        <v>81000</v>
      </c>
      <c r="F2520" t="s">
        <v>46</v>
      </c>
      <c r="G2520" t="s">
        <v>102</v>
      </c>
      <c r="H2520" t="s">
        <v>57</v>
      </c>
      <c r="J2520" t="s">
        <v>70</v>
      </c>
      <c r="K2520" t="s">
        <v>31</v>
      </c>
      <c r="L2520">
        <v>22</v>
      </c>
      <c r="M2520" t="s">
        <v>930</v>
      </c>
      <c r="N2520" t="s">
        <v>3248</v>
      </c>
    </row>
    <row r="2521" spans="1:14" x14ac:dyDescent="0.35">
      <c r="A2521" t="s">
        <v>6839</v>
      </c>
      <c r="B2521" t="s">
        <v>6840</v>
      </c>
      <c r="C2521" t="s">
        <v>81</v>
      </c>
      <c r="D2521">
        <v>78.67</v>
      </c>
      <c r="E2521">
        <v>1000</v>
      </c>
      <c r="F2521" t="s">
        <v>46</v>
      </c>
      <c r="G2521" t="s">
        <v>32</v>
      </c>
      <c r="H2521" t="s">
        <v>33</v>
      </c>
      <c r="I2521" t="s">
        <v>34</v>
      </c>
      <c r="J2521" t="s">
        <v>235</v>
      </c>
      <c r="K2521" t="s">
        <v>236</v>
      </c>
      <c r="L2521">
        <v>22</v>
      </c>
      <c r="N2521" t="s">
        <v>4978</v>
      </c>
    </row>
    <row r="2522" spans="1:14" x14ac:dyDescent="0.35">
      <c r="A2522" t="s">
        <v>6841</v>
      </c>
      <c r="B2522" t="s">
        <v>6842</v>
      </c>
      <c r="C2522" t="s">
        <v>41</v>
      </c>
      <c r="D2522">
        <v>81.41</v>
      </c>
      <c r="E2522">
        <v>37000</v>
      </c>
      <c r="F2522" t="s">
        <v>51</v>
      </c>
      <c r="G2522" t="s">
        <v>32</v>
      </c>
      <c r="H2522" t="s">
        <v>33</v>
      </c>
      <c r="I2522" t="s">
        <v>34</v>
      </c>
      <c r="J2522" t="s">
        <v>209</v>
      </c>
      <c r="K2522" t="s">
        <v>74</v>
      </c>
      <c r="L2522">
        <v>14</v>
      </c>
      <c r="M2522" t="s">
        <v>911</v>
      </c>
      <c r="N2522" t="s">
        <v>6843</v>
      </c>
    </row>
    <row r="2523" spans="1:14" x14ac:dyDescent="0.35">
      <c r="A2523" t="s">
        <v>6844</v>
      </c>
      <c r="B2523" t="s">
        <v>6845</v>
      </c>
      <c r="C2523" t="s">
        <v>62</v>
      </c>
      <c r="D2523">
        <v>56.79</v>
      </c>
      <c r="E2523">
        <v>4000</v>
      </c>
      <c r="F2523" t="s">
        <v>51</v>
      </c>
      <c r="G2523" t="s">
        <v>32</v>
      </c>
      <c r="H2523" t="s">
        <v>57</v>
      </c>
      <c r="J2523" t="s">
        <v>70</v>
      </c>
      <c r="K2523" t="s">
        <v>31</v>
      </c>
      <c r="L2523">
        <v>20</v>
      </c>
      <c r="N2523" t="s">
        <v>1736</v>
      </c>
    </row>
    <row r="2524" spans="1:14" x14ac:dyDescent="0.35">
      <c r="A2524" t="s">
        <v>6846</v>
      </c>
      <c r="B2524" t="s">
        <v>6847</v>
      </c>
      <c r="C2524" t="s">
        <v>69</v>
      </c>
      <c r="D2524">
        <v>84.04</v>
      </c>
      <c r="E2524">
        <v>29000</v>
      </c>
      <c r="F2524" t="s">
        <v>64</v>
      </c>
      <c r="G2524" t="s">
        <v>32</v>
      </c>
      <c r="H2524" t="s">
        <v>33</v>
      </c>
      <c r="I2524" t="s">
        <v>129</v>
      </c>
      <c r="J2524" t="s">
        <v>118</v>
      </c>
      <c r="K2524" t="s">
        <v>42</v>
      </c>
      <c r="L2524">
        <v>16</v>
      </c>
      <c r="M2524" t="s">
        <v>3934</v>
      </c>
      <c r="N2524" t="s">
        <v>3288</v>
      </c>
    </row>
    <row r="2525" spans="1:14" x14ac:dyDescent="0.35">
      <c r="A2525" t="s">
        <v>6848</v>
      </c>
      <c r="B2525" t="s">
        <v>6849</v>
      </c>
      <c r="C2525" t="s">
        <v>41</v>
      </c>
      <c r="D2525">
        <v>102.31</v>
      </c>
      <c r="E2525">
        <v>10000</v>
      </c>
      <c r="F2525" t="s">
        <v>42</v>
      </c>
      <c r="G2525" t="s">
        <v>32</v>
      </c>
      <c r="H2525" t="s">
        <v>33</v>
      </c>
      <c r="I2525" t="s">
        <v>44</v>
      </c>
      <c r="J2525" t="s">
        <v>63</v>
      </c>
      <c r="K2525" t="s">
        <v>64</v>
      </c>
      <c r="L2525">
        <v>8</v>
      </c>
      <c r="N2525" t="s">
        <v>1680</v>
      </c>
    </row>
    <row r="2526" spans="1:14" x14ac:dyDescent="0.35">
      <c r="A2526" t="s">
        <v>6850</v>
      </c>
      <c r="B2526" t="s">
        <v>6851</v>
      </c>
      <c r="C2526" t="s">
        <v>116</v>
      </c>
      <c r="D2526">
        <v>9.24</v>
      </c>
      <c r="E2526">
        <v>100</v>
      </c>
      <c r="F2526" t="s">
        <v>236</v>
      </c>
      <c r="G2526" t="s">
        <v>32</v>
      </c>
      <c r="H2526" t="s">
        <v>57</v>
      </c>
      <c r="I2526" t="s">
        <v>34</v>
      </c>
      <c r="J2526" t="s">
        <v>6852</v>
      </c>
      <c r="K2526" t="s">
        <v>46</v>
      </c>
      <c r="L2526">
        <v>12</v>
      </c>
      <c r="M2526" t="s">
        <v>382</v>
      </c>
      <c r="N2526" t="s">
        <v>3023</v>
      </c>
    </row>
    <row r="2527" spans="1:14" x14ac:dyDescent="0.35">
      <c r="A2527" t="s">
        <v>6853</v>
      </c>
      <c r="B2527" t="s">
        <v>6854</v>
      </c>
      <c r="C2527" t="s">
        <v>69</v>
      </c>
      <c r="D2527">
        <v>79.86</v>
      </c>
      <c r="E2527">
        <v>49000</v>
      </c>
      <c r="F2527" t="s">
        <v>236</v>
      </c>
      <c r="G2527" t="s">
        <v>32</v>
      </c>
      <c r="H2527" t="s">
        <v>33</v>
      </c>
      <c r="I2527" t="s">
        <v>34</v>
      </c>
      <c r="J2527" t="s">
        <v>35</v>
      </c>
      <c r="K2527" t="s">
        <v>36</v>
      </c>
      <c r="L2527">
        <v>0</v>
      </c>
      <c r="N2527" t="s">
        <v>525</v>
      </c>
    </row>
    <row r="2528" spans="1:14" x14ac:dyDescent="0.35">
      <c r="A2528" t="s">
        <v>6855</v>
      </c>
      <c r="B2528" t="s">
        <v>6856</v>
      </c>
      <c r="C2528" t="s">
        <v>30</v>
      </c>
      <c r="D2528">
        <v>132.28</v>
      </c>
      <c r="E2528">
        <v>20000</v>
      </c>
      <c r="F2528" t="s">
        <v>87</v>
      </c>
      <c r="G2528" t="s">
        <v>32</v>
      </c>
      <c r="H2528" t="s">
        <v>43</v>
      </c>
      <c r="I2528" t="s">
        <v>34</v>
      </c>
      <c r="J2528" t="s">
        <v>130</v>
      </c>
      <c r="K2528" t="s">
        <v>123</v>
      </c>
      <c r="L2528">
        <v>8</v>
      </c>
      <c r="N2528" t="s">
        <v>2615</v>
      </c>
    </row>
    <row r="2529" spans="1:14" x14ac:dyDescent="0.35">
      <c r="A2529" t="s">
        <v>6857</v>
      </c>
      <c r="B2529" t="s">
        <v>6858</v>
      </c>
      <c r="C2529" t="s">
        <v>41</v>
      </c>
      <c r="D2529">
        <v>156.96</v>
      </c>
      <c r="E2529">
        <v>21000</v>
      </c>
      <c r="F2529" t="s">
        <v>76</v>
      </c>
      <c r="G2529" t="s">
        <v>32</v>
      </c>
      <c r="H2529" t="s">
        <v>43</v>
      </c>
      <c r="I2529" t="s">
        <v>44</v>
      </c>
      <c r="J2529" t="s">
        <v>35</v>
      </c>
      <c r="K2529" t="s">
        <v>36</v>
      </c>
      <c r="L2529">
        <v>11</v>
      </c>
      <c r="M2529" t="s">
        <v>1665</v>
      </c>
      <c r="N2529" t="s">
        <v>1431</v>
      </c>
    </row>
    <row r="2530" spans="1:14" x14ac:dyDescent="0.35">
      <c r="A2530" t="s">
        <v>6859</v>
      </c>
      <c r="B2530" t="s">
        <v>6860</v>
      </c>
      <c r="C2530" t="s">
        <v>30</v>
      </c>
      <c r="D2530">
        <v>111.35</v>
      </c>
      <c r="E2530">
        <v>5000</v>
      </c>
      <c r="F2530" t="s">
        <v>76</v>
      </c>
      <c r="G2530" t="s">
        <v>32</v>
      </c>
      <c r="H2530" t="s">
        <v>43</v>
      </c>
      <c r="I2530" t="s">
        <v>34</v>
      </c>
      <c r="J2530" t="s">
        <v>70</v>
      </c>
      <c r="K2530" t="s">
        <v>31</v>
      </c>
      <c r="L2530">
        <v>3</v>
      </c>
      <c r="N2530" t="s">
        <v>4908</v>
      </c>
    </row>
    <row r="2531" spans="1:14" x14ac:dyDescent="0.35">
      <c r="A2531" t="s">
        <v>6861</v>
      </c>
      <c r="B2531" t="s">
        <v>6862</v>
      </c>
      <c r="C2531" t="s">
        <v>81</v>
      </c>
      <c r="D2531">
        <v>97.37</v>
      </c>
      <c r="E2531">
        <v>7000</v>
      </c>
      <c r="F2531" t="s">
        <v>36</v>
      </c>
      <c r="G2531" t="s">
        <v>32</v>
      </c>
      <c r="H2531" t="s">
        <v>57</v>
      </c>
      <c r="J2531" t="s">
        <v>1565</v>
      </c>
      <c r="K2531" t="s">
        <v>51</v>
      </c>
      <c r="L2531">
        <v>6</v>
      </c>
      <c r="N2531" t="s">
        <v>3729</v>
      </c>
    </row>
    <row r="2532" spans="1:14" x14ac:dyDescent="0.35">
      <c r="A2532" t="s">
        <v>6863</v>
      </c>
      <c r="B2532" t="s">
        <v>6864</v>
      </c>
      <c r="C2532" t="s">
        <v>69</v>
      </c>
      <c r="D2532">
        <v>85.42</v>
      </c>
      <c r="E2532">
        <v>45000</v>
      </c>
      <c r="F2532" t="s">
        <v>51</v>
      </c>
      <c r="G2532" t="s">
        <v>32</v>
      </c>
      <c r="H2532" t="s">
        <v>33</v>
      </c>
      <c r="I2532" t="s">
        <v>34</v>
      </c>
      <c r="J2532" t="s">
        <v>3690</v>
      </c>
      <c r="K2532" t="s">
        <v>139</v>
      </c>
      <c r="L2532">
        <v>14</v>
      </c>
      <c r="M2532" t="s">
        <v>1036</v>
      </c>
      <c r="N2532" t="s">
        <v>3431</v>
      </c>
    </row>
    <row r="2533" spans="1:14" x14ac:dyDescent="0.35">
      <c r="A2533" t="s">
        <v>6865</v>
      </c>
      <c r="B2533" t="s">
        <v>6866</v>
      </c>
      <c r="C2533" t="s">
        <v>69</v>
      </c>
      <c r="D2533">
        <v>65.33</v>
      </c>
      <c r="E2533">
        <v>14000</v>
      </c>
      <c r="F2533" t="s">
        <v>46</v>
      </c>
      <c r="G2533" t="s">
        <v>32</v>
      </c>
      <c r="H2533" t="s">
        <v>43</v>
      </c>
      <c r="I2533" t="s">
        <v>34</v>
      </c>
      <c r="J2533" t="s">
        <v>130</v>
      </c>
      <c r="K2533" t="s">
        <v>123</v>
      </c>
      <c r="L2533">
        <v>12</v>
      </c>
      <c r="M2533" t="s">
        <v>160</v>
      </c>
      <c r="N2533" t="s">
        <v>6867</v>
      </c>
    </row>
    <row r="2534" spans="1:14" x14ac:dyDescent="0.35">
      <c r="A2534" t="s">
        <v>6868</v>
      </c>
      <c r="B2534" t="s">
        <v>6869</v>
      </c>
      <c r="C2534" t="s">
        <v>81</v>
      </c>
      <c r="D2534">
        <v>134.80000000000001</v>
      </c>
      <c r="E2534">
        <v>6000</v>
      </c>
      <c r="F2534" t="s">
        <v>139</v>
      </c>
      <c r="G2534" t="s">
        <v>32</v>
      </c>
      <c r="H2534" t="s">
        <v>43</v>
      </c>
      <c r="I2534" t="s">
        <v>44</v>
      </c>
      <c r="J2534" t="s">
        <v>82</v>
      </c>
      <c r="K2534" t="s">
        <v>74</v>
      </c>
      <c r="L2534">
        <v>20</v>
      </c>
      <c r="M2534" t="s">
        <v>4234</v>
      </c>
      <c r="N2534" t="s">
        <v>2337</v>
      </c>
    </row>
    <row r="2535" spans="1:14" x14ac:dyDescent="0.35">
      <c r="A2535" t="s">
        <v>6870</v>
      </c>
      <c r="B2535" t="s">
        <v>6871</v>
      </c>
      <c r="C2535" t="s">
        <v>81</v>
      </c>
      <c r="D2535">
        <v>70.22</v>
      </c>
      <c r="E2535">
        <v>2000</v>
      </c>
      <c r="F2535" t="s">
        <v>97</v>
      </c>
      <c r="G2535" t="s">
        <v>32</v>
      </c>
      <c r="H2535" t="s">
        <v>43</v>
      </c>
      <c r="I2535" t="s">
        <v>34</v>
      </c>
      <c r="J2535" t="s">
        <v>70</v>
      </c>
      <c r="K2535" t="s">
        <v>31</v>
      </c>
      <c r="L2535">
        <v>21</v>
      </c>
      <c r="N2535" t="s">
        <v>1308</v>
      </c>
    </row>
    <row r="2536" spans="1:14" x14ac:dyDescent="0.35">
      <c r="A2536" t="s">
        <v>6872</v>
      </c>
      <c r="B2536" t="s">
        <v>6873</v>
      </c>
      <c r="C2536" t="s">
        <v>62</v>
      </c>
      <c r="D2536">
        <v>86.37</v>
      </c>
      <c r="E2536">
        <v>5000</v>
      </c>
      <c r="F2536" t="s">
        <v>42</v>
      </c>
      <c r="G2536" t="s">
        <v>32</v>
      </c>
      <c r="H2536" t="s">
        <v>33</v>
      </c>
      <c r="I2536" t="s">
        <v>44</v>
      </c>
      <c r="J2536" t="s">
        <v>941</v>
      </c>
      <c r="K2536" t="s">
        <v>147</v>
      </c>
      <c r="L2536">
        <v>0</v>
      </c>
      <c r="N2536" t="s">
        <v>379</v>
      </c>
    </row>
    <row r="2537" spans="1:14" x14ac:dyDescent="0.35">
      <c r="A2537" t="s">
        <v>6874</v>
      </c>
      <c r="B2537" t="s">
        <v>6875</v>
      </c>
      <c r="C2537" t="s">
        <v>62</v>
      </c>
      <c r="D2537">
        <v>51.45</v>
      </c>
      <c r="E2537">
        <v>2000</v>
      </c>
      <c r="F2537" t="s">
        <v>46</v>
      </c>
      <c r="G2537" t="s">
        <v>32</v>
      </c>
      <c r="H2537" t="s">
        <v>43</v>
      </c>
      <c r="I2537" t="s">
        <v>44</v>
      </c>
      <c r="J2537" t="s">
        <v>130</v>
      </c>
      <c r="K2537" t="s">
        <v>123</v>
      </c>
      <c r="L2537">
        <v>1</v>
      </c>
      <c r="M2537" t="s">
        <v>1562</v>
      </c>
      <c r="N2537" t="s">
        <v>1607</v>
      </c>
    </row>
    <row r="2538" spans="1:14" x14ac:dyDescent="0.35">
      <c r="A2538" t="s">
        <v>6876</v>
      </c>
      <c r="B2538" t="s">
        <v>6877</v>
      </c>
      <c r="C2538" t="s">
        <v>41</v>
      </c>
      <c r="D2538">
        <v>109.31</v>
      </c>
      <c r="E2538">
        <v>15000</v>
      </c>
      <c r="F2538" t="s">
        <v>31</v>
      </c>
      <c r="G2538" t="s">
        <v>32</v>
      </c>
      <c r="H2538" t="s">
        <v>43</v>
      </c>
      <c r="J2538" t="s">
        <v>130</v>
      </c>
      <c r="K2538" t="s">
        <v>123</v>
      </c>
      <c r="L2538">
        <v>9</v>
      </c>
      <c r="M2538" t="s">
        <v>5336</v>
      </c>
      <c r="N2538" t="s">
        <v>2515</v>
      </c>
    </row>
    <row r="2539" spans="1:14" x14ac:dyDescent="0.35">
      <c r="A2539" t="s">
        <v>6878</v>
      </c>
      <c r="B2539" t="s">
        <v>6879</v>
      </c>
      <c r="C2539" t="s">
        <v>69</v>
      </c>
      <c r="D2539">
        <v>82.54</v>
      </c>
      <c r="E2539">
        <v>16000</v>
      </c>
      <c r="F2539" t="s">
        <v>46</v>
      </c>
      <c r="G2539" t="s">
        <v>32</v>
      </c>
      <c r="H2539" t="s">
        <v>33</v>
      </c>
      <c r="I2539" t="s">
        <v>129</v>
      </c>
      <c r="J2539" t="s">
        <v>92</v>
      </c>
      <c r="K2539" t="s">
        <v>51</v>
      </c>
      <c r="L2539">
        <v>9</v>
      </c>
      <c r="M2539" t="s">
        <v>6880</v>
      </c>
      <c r="N2539" t="s">
        <v>977</v>
      </c>
    </row>
    <row r="2540" spans="1:14" x14ac:dyDescent="0.35">
      <c r="A2540" t="s">
        <v>6881</v>
      </c>
      <c r="B2540" t="s">
        <v>6882</v>
      </c>
      <c r="C2540" t="s">
        <v>30</v>
      </c>
      <c r="D2540">
        <v>124.95</v>
      </c>
      <c r="E2540">
        <v>13000</v>
      </c>
      <c r="F2540" t="s">
        <v>42</v>
      </c>
      <c r="G2540" t="s">
        <v>32</v>
      </c>
      <c r="H2540" t="s">
        <v>57</v>
      </c>
      <c r="J2540" t="s">
        <v>75</v>
      </c>
      <c r="K2540" t="s">
        <v>76</v>
      </c>
      <c r="L2540">
        <v>21</v>
      </c>
      <c r="M2540" t="s">
        <v>37</v>
      </c>
      <c r="N2540" t="s">
        <v>3875</v>
      </c>
    </row>
    <row r="2541" spans="1:14" x14ac:dyDescent="0.35">
      <c r="A2541" t="s">
        <v>6883</v>
      </c>
      <c r="B2541" t="s">
        <v>6884</v>
      </c>
      <c r="C2541" t="s">
        <v>41</v>
      </c>
      <c r="D2541">
        <v>126.45</v>
      </c>
      <c r="E2541">
        <v>32000</v>
      </c>
      <c r="F2541" t="s">
        <v>64</v>
      </c>
      <c r="G2541" t="s">
        <v>32</v>
      </c>
      <c r="H2541" t="s">
        <v>57</v>
      </c>
      <c r="I2541" t="s">
        <v>44</v>
      </c>
      <c r="J2541" t="s">
        <v>118</v>
      </c>
      <c r="K2541" t="s">
        <v>42</v>
      </c>
      <c r="L2541">
        <v>9</v>
      </c>
      <c r="M2541" t="s">
        <v>1687</v>
      </c>
      <c r="N2541" t="s">
        <v>6885</v>
      </c>
    </row>
    <row r="2542" spans="1:14" x14ac:dyDescent="0.35">
      <c r="A2542" t="s">
        <v>6886</v>
      </c>
      <c r="B2542" t="s">
        <v>6887</v>
      </c>
      <c r="C2542" t="s">
        <v>62</v>
      </c>
      <c r="D2542">
        <v>55.32</v>
      </c>
      <c r="E2542">
        <v>2000</v>
      </c>
      <c r="F2542" t="s">
        <v>123</v>
      </c>
      <c r="G2542" t="s">
        <v>102</v>
      </c>
      <c r="H2542" t="s">
        <v>57</v>
      </c>
      <c r="I2542" t="s">
        <v>44</v>
      </c>
      <c r="J2542" t="s">
        <v>118</v>
      </c>
      <c r="K2542" t="s">
        <v>42</v>
      </c>
      <c r="L2542">
        <v>5</v>
      </c>
      <c r="M2542" t="s">
        <v>786</v>
      </c>
      <c r="N2542" t="s">
        <v>5337</v>
      </c>
    </row>
    <row r="2543" spans="1:14" x14ac:dyDescent="0.35">
      <c r="A2543" t="s">
        <v>6888</v>
      </c>
      <c r="B2543" t="s">
        <v>6889</v>
      </c>
      <c r="C2543" t="s">
        <v>30</v>
      </c>
      <c r="D2543">
        <v>144.88999999999999</v>
      </c>
      <c r="E2543">
        <v>19000</v>
      </c>
      <c r="F2543" t="s">
        <v>36</v>
      </c>
      <c r="G2543" t="s">
        <v>32</v>
      </c>
      <c r="H2543" t="s">
        <v>57</v>
      </c>
      <c r="I2543" t="s">
        <v>44</v>
      </c>
      <c r="J2543" t="s">
        <v>209</v>
      </c>
      <c r="K2543" t="s">
        <v>74</v>
      </c>
      <c r="L2543">
        <v>10</v>
      </c>
      <c r="M2543" t="s">
        <v>624</v>
      </c>
      <c r="N2543" t="s">
        <v>2577</v>
      </c>
    </row>
    <row r="2544" spans="1:14" x14ac:dyDescent="0.35">
      <c r="A2544" t="s">
        <v>6890</v>
      </c>
      <c r="B2544" t="s">
        <v>6891</v>
      </c>
      <c r="C2544" t="s">
        <v>69</v>
      </c>
      <c r="D2544">
        <v>55.03</v>
      </c>
      <c r="E2544">
        <v>24000</v>
      </c>
      <c r="F2544" t="s">
        <v>123</v>
      </c>
      <c r="G2544" t="s">
        <v>32</v>
      </c>
      <c r="H2544" t="s">
        <v>33</v>
      </c>
      <c r="I2544" t="s">
        <v>44</v>
      </c>
      <c r="J2544" t="s">
        <v>235</v>
      </c>
      <c r="K2544" t="s">
        <v>236</v>
      </c>
      <c r="L2544">
        <v>6</v>
      </c>
      <c r="M2544" t="s">
        <v>2280</v>
      </c>
      <c r="N2544" t="s">
        <v>4527</v>
      </c>
    </row>
    <row r="2545" spans="1:14" x14ac:dyDescent="0.35">
      <c r="A2545" t="s">
        <v>6892</v>
      </c>
      <c r="B2545" t="s">
        <v>6893</v>
      </c>
      <c r="C2545" t="s">
        <v>62</v>
      </c>
      <c r="D2545">
        <v>85.74</v>
      </c>
      <c r="E2545">
        <v>2000</v>
      </c>
      <c r="F2545" t="s">
        <v>46</v>
      </c>
      <c r="G2545" t="s">
        <v>102</v>
      </c>
      <c r="H2545" t="s">
        <v>33</v>
      </c>
      <c r="I2545" t="s">
        <v>44</v>
      </c>
      <c r="J2545" t="s">
        <v>45</v>
      </c>
      <c r="K2545" t="s">
        <v>46</v>
      </c>
      <c r="L2545">
        <v>17</v>
      </c>
      <c r="M2545" t="s">
        <v>3453</v>
      </c>
      <c r="N2545" t="s">
        <v>984</v>
      </c>
    </row>
    <row r="2546" spans="1:14" x14ac:dyDescent="0.35">
      <c r="A2546" t="s">
        <v>6894</v>
      </c>
      <c r="B2546" t="s">
        <v>4173</v>
      </c>
      <c r="C2546" t="s">
        <v>69</v>
      </c>
      <c r="D2546">
        <v>51</v>
      </c>
      <c r="E2546">
        <v>64000</v>
      </c>
      <c r="F2546" t="s">
        <v>76</v>
      </c>
      <c r="G2546" t="s">
        <v>32</v>
      </c>
      <c r="H2546" t="s">
        <v>57</v>
      </c>
      <c r="I2546" t="s">
        <v>34</v>
      </c>
      <c r="J2546" t="s">
        <v>1071</v>
      </c>
      <c r="K2546" t="s">
        <v>236</v>
      </c>
      <c r="L2546">
        <v>11</v>
      </c>
      <c r="M2546" t="s">
        <v>2816</v>
      </c>
      <c r="N2546" t="s">
        <v>699</v>
      </c>
    </row>
    <row r="2547" spans="1:14" x14ac:dyDescent="0.35">
      <c r="A2547" t="s">
        <v>6895</v>
      </c>
      <c r="B2547" t="s">
        <v>6896</v>
      </c>
      <c r="C2547" t="s">
        <v>62</v>
      </c>
      <c r="D2547">
        <v>77.260000000000005</v>
      </c>
      <c r="E2547">
        <v>1000</v>
      </c>
      <c r="F2547" t="s">
        <v>74</v>
      </c>
      <c r="G2547" t="s">
        <v>102</v>
      </c>
      <c r="H2547" t="s">
        <v>57</v>
      </c>
      <c r="I2547" t="s">
        <v>44</v>
      </c>
      <c r="J2547" t="s">
        <v>3494</v>
      </c>
      <c r="K2547" t="s">
        <v>51</v>
      </c>
      <c r="L2547">
        <v>22</v>
      </c>
      <c r="M2547" t="s">
        <v>1998</v>
      </c>
      <c r="N2547" t="s">
        <v>6897</v>
      </c>
    </row>
    <row r="2548" spans="1:14" x14ac:dyDescent="0.35">
      <c r="A2548" t="s">
        <v>6898</v>
      </c>
      <c r="B2548" t="s">
        <v>6899</v>
      </c>
      <c r="C2548" t="s">
        <v>62</v>
      </c>
      <c r="D2548">
        <v>86.62</v>
      </c>
      <c r="E2548">
        <v>4000</v>
      </c>
      <c r="F2548" t="s">
        <v>139</v>
      </c>
      <c r="G2548" t="s">
        <v>32</v>
      </c>
      <c r="H2548" t="s">
        <v>33</v>
      </c>
      <c r="I2548" t="s">
        <v>44</v>
      </c>
      <c r="J2548" t="s">
        <v>75</v>
      </c>
      <c r="K2548" t="s">
        <v>76</v>
      </c>
      <c r="L2548">
        <v>5</v>
      </c>
      <c r="M2548" t="s">
        <v>1425</v>
      </c>
      <c r="N2548" t="s">
        <v>4189</v>
      </c>
    </row>
    <row r="2549" spans="1:14" x14ac:dyDescent="0.35">
      <c r="A2549" t="s">
        <v>6900</v>
      </c>
      <c r="B2549" t="s">
        <v>6901</v>
      </c>
      <c r="C2549" t="s">
        <v>69</v>
      </c>
      <c r="D2549">
        <v>80.94</v>
      </c>
      <c r="E2549">
        <v>48000</v>
      </c>
      <c r="F2549" t="s">
        <v>123</v>
      </c>
      <c r="G2549" t="s">
        <v>32</v>
      </c>
      <c r="H2549" t="s">
        <v>33</v>
      </c>
      <c r="J2549" t="s">
        <v>130</v>
      </c>
      <c r="K2549" t="s">
        <v>123</v>
      </c>
      <c r="L2549">
        <v>14</v>
      </c>
      <c r="M2549" t="s">
        <v>53</v>
      </c>
      <c r="N2549" t="s">
        <v>1879</v>
      </c>
    </row>
    <row r="2550" spans="1:14" x14ac:dyDescent="0.35">
      <c r="A2550" t="s">
        <v>6902</v>
      </c>
      <c r="B2550" t="s">
        <v>6903</v>
      </c>
      <c r="C2550" t="s">
        <v>116</v>
      </c>
      <c r="D2550">
        <v>6.75</v>
      </c>
      <c r="E2550">
        <v>500</v>
      </c>
      <c r="F2550" t="s">
        <v>139</v>
      </c>
      <c r="G2550" t="s">
        <v>32</v>
      </c>
      <c r="H2550" t="s">
        <v>57</v>
      </c>
      <c r="I2550" t="s">
        <v>34</v>
      </c>
      <c r="J2550" t="s">
        <v>35</v>
      </c>
      <c r="K2550" t="s">
        <v>36</v>
      </c>
      <c r="L2550">
        <v>10</v>
      </c>
      <c r="M2550" t="s">
        <v>3831</v>
      </c>
      <c r="N2550" t="s">
        <v>2727</v>
      </c>
    </row>
    <row r="2551" spans="1:14" x14ac:dyDescent="0.35">
      <c r="A2551" t="s">
        <v>6904</v>
      </c>
      <c r="B2551" t="s">
        <v>6905</v>
      </c>
      <c r="C2551" t="s">
        <v>62</v>
      </c>
      <c r="D2551">
        <v>84.82</v>
      </c>
      <c r="E2551">
        <v>3000</v>
      </c>
      <c r="F2551" t="s">
        <v>97</v>
      </c>
      <c r="G2551" t="s">
        <v>32</v>
      </c>
      <c r="H2551" t="s">
        <v>57</v>
      </c>
      <c r="I2551" t="s">
        <v>34</v>
      </c>
      <c r="J2551" t="s">
        <v>4378</v>
      </c>
      <c r="K2551" t="s">
        <v>147</v>
      </c>
      <c r="L2551">
        <v>4</v>
      </c>
      <c r="M2551" t="s">
        <v>840</v>
      </c>
      <c r="N2551" t="s">
        <v>5769</v>
      </c>
    </row>
    <row r="2552" spans="1:14" x14ac:dyDescent="0.35">
      <c r="A2552" t="s">
        <v>6906</v>
      </c>
      <c r="B2552" t="s">
        <v>6907</v>
      </c>
      <c r="C2552" t="s">
        <v>69</v>
      </c>
      <c r="D2552">
        <v>71.45</v>
      </c>
      <c r="E2552">
        <v>36000</v>
      </c>
      <c r="F2552" t="s">
        <v>31</v>
      </c>
      <c r="G2552" t="s">
        <v>32</v>
      </c>
      <c r="H2552" t="s">
        <v>33</v>
      </c>
      <c r="I2552" t="s">
        <v>34</v>
      </c>
      <c r="J2552" t="s">
        <v>118</v>
      </c>
      <c r="K2552" t="s">
        <v>42</v>
      </c>
      <c r="L2552">
        <v>21</v>
      </c>
      <c r="M2552" t="s">
        <v>1018</v>
      </c>
      <c r="N2552" t="s">
        <v>3307</v>
      </c>
    </row>
    <row r="2553" spans="1:14" x14ac:dyDescent="0.35">
      <c r="A2553" t="s">
        <v>6908</v>
      </c>
      <c r="B2553" t="s">
        <v>6909</v>
      </c>
      <c r="C2553" t="s">
        <v>41</v>
      </c>
      <c r="D2553">
        <v>145.15</v>
      </c>
      <c r="E2553">
        <v>39000</v>
      </c>
      <c r="F2553" t="s">
        <v>236</v>
      </c>
      <c r="G2553" t="s">
        <v>32</v>
      </c>
      <c r="H2553" t="s">
        <v>43</v>
      </c>
      <c r="I2553" t="s">
        <v>129</v>
      </c>
      <c r="J2553" t="s">
        <v>1807</v>
      </c>
      <c r="K2553" t="s">
        <v>139</v>
      </c>
      <c r="L2553">
        <v>15</v>
      </c>
      <c r="M2553" t="s">
        <v>1873</v>
      </c>
      <c r="N2553" t="s">
        <v>1415</v>
      </c>
    </row>
    <row r="2554" spans="1:14" x14ac:dyDescent="0.35">
      <c r="A2554" t="s">
        <v>6910</v>
      </c>
      <c r="B2554" t="s">
        <v>6911</v>
      </c>
      <c r="C2554" t="s">
        <v>30</v>
      </c>
      <c r="D2554">
        <v>172.41</v>
      </c>
      <c r="E2554">
        <v>13000</v>
      </c>
      <c r="F2554" t="s">
        <v>97</v>
      </c>
      <c r="G2554" t="s">
        <v>32</v>
      </c>
      <c r="H2554" t="s">
        <v>33</v>
      </c>
      <c r="I2554" t="s">
        <v>44</v>
      </c>
      <c r="J2554" t="s">
        <v>130</v>
      </c>
      <c r="K2554" t="s">
        <v>123</v>
      </c>
      <c r="L2554">
        <v>22</v>
      </c>
      <c r="N2554" t="s">
        <v>6912</v>
      </c>
    </row>
    <row r="2555" spans="1:14" x14ac:dyDescent="0.35">
      <c r="A2555" t="s">
        <v>6913</v>
      </c>
      <c r="B2555" t="s">
        <v>6914</v>
      </c>
      <c r="C2555" t="s">
        <v>69</v>
      </c>
      <c r="D2555">
        <v>92.52</v>
      </c>
      <c r="E2555">
        <v>65000</v>
      </c>
      <c r="F2555" t="s">
        <v>123</v>
      </c>
      <c r="G2555" t="s">
        <v>32</v>
      </c>
      <c r="H2555" t="s">
        <v>43</v>
      </c>
      <c r="J2555" t="s">
        <v>164</v>
      </c>
      <c r="K2555" t="s">
        <v>74</v>
      </c>
      <c r="L2555">
        <v>15</v>
      </c>
      <c r="M2555" t="s">
        <v>898</v>
      </c>
      <c r="N2555" t="s">
        <v>6915</v>
      </c>
    </row>
    <row r="2556" spans="1:14" x14ac:dyDescent="0.35">
      <c r="A2556" t="s">
        <v>6916</v>
      </c>
      <c r="B2556" t="s">
        <v>6917</v>
      </c>
      <c r="C2556" t="s">
        <v>41</v>
      </c>
      <c r="D2556">
        <v>125</v>
      </c>
      <c r="E2556">
        <v>34000</v>
      </c>
      <c r="F2556" t="s">
        <v>46</v>
      </c>
      <c r="G2556" t="s">
        <v>32</v>
      </c>
      <c r="H2556" t="s">
        <v>43</v>
      </c>
      <c r="J2556" t="s">
        <v>75</v>
      </c>
      <c r="K2556" t="s">
        <v>76</v>
      </c>
      <c r="L2556">
        <v>12</v>
      </c>
      <c r="M2556" t="s">
        <v>4115</v>
      </c>
      <c r="N2556" t="s">
        <v>699</v>
      </c>
    </row>
    <row r="2557" spans="1:14" x14ac:dyDescent="0.35">
      <c r="A2557" t="s">
        <v>6918</v>
      </c>
      <c r="B2557" t="s">
        <v>6919</v>
      </c>
      <c r="C2557" t="s">
        <v>62</v>
      </c>
      <c r="D2557">
        <v>78.36</v>
      </c>
      <c r="E2557">
        <v>3000</v>
      </c>
      <c r="F2557" t="s">
        <v>64</v>
      </c>
      <c r="G2557" t="s">
        <v>32</v>
      </c>
      <c r="H2557" t="s">
        <v>33</v>
      </c>
      <c r="I2557" t="s">
        <v>34</v>
      </c>
      <c r="J2557" t="s">
        <v>45</v>
      </c>
      <c r="K2557" t="s">
        <v>46</v>
      </c>
      <c r="L2557">
        <v>9</v>
      </c>
      <c r="N2557" t="s">
        <v>3047</v>
      </c>
    </row>
    <row r="2558" spans="1:14" x14ac:dyDescent="0.35">
      <c r="A2558" t="s">
        <v>6920</v>
      </c>
      <c r="B2558" t="s">
        <v>6921</v>
      </c>
      <c r="C2558" t="s">
        <v>81</v>
      </c>
      <c r="D2558">
        <v>128.65</v>
      </c>
      <c r="E2558">
        <v>3000</v>
      </c>
      <c r="F2558" t="s">
        <v>64</v>
      </c>
      <c r="G2558" t="s">
        <v>32</v>
      </c>
      <c r="H2558" t="s">
        <v>43</v>
      </c>
      <c r="I2558" t="s">
        <v>44</v>
      </c>
      <c r="J2558" t="s">
        <v>1269</v>
      </c>
      <c r="K2558" t="s">
        <v>51</v>
      </c>
      <c r="L2558">
        <v>19</v>
      </c>
      <c r="M2558" t="s">
        <v>485</v>
      </c>
      <c r="N2558" t="s">
        <v>3940</v>
      </c>
    </row>
    <row r="2559" spans="1:14" x14ac:dyDescent="0.35">
      <c r="A2559" t="s">
        <v>6922</v>
      </c>
      <c r="B2559" t="s">
        <v>6923</v>
      </c>
      <c r="C2559" t="s">
        <v>62</v>
      </c>
      <c r="D2559">
        <v>80.94</v>
      </c>
      <c r="E2559">
        <v>1000</v>
      </c>
      <c r="F2559" t="s">
        <v>42</v>
      </c>
      <c r="G2559" t="s">
        <v>32</v>
      </c>
      <c r="H2559" t="s">
        <v>33</v>
      </c>
      <c r="I2559" t="s">
        <v>44</v>
      </c>
      <c r="J2559" t="s">
        <v>75</v>
      </c>
      <c r="K2559" t="s">
        <v>76</v>
      </c>
      <c r="L2559">
        <v>16</v>
      </c>
      <c r="M2559" t="s">
        <v>386</v>
      </c>
      <c r="N2559" t="s">
        <v>171</v>
      </c>
    </row>
    <row r="2560" spans="1:14" x14ac:dyDescent="0.35">
      <c r="A2560" t="s">
        <v>6924</v>
      </c>
      <c r="B2560" t="s">
        <v>6925</v>
      </c>
      <c r="C2560" t="s">
        <v>81</v>
      </c>
      <c r="D2560">
        <v>133.19</v>
      </c>
      <c r="E2560">
        <v>8000</v>
      </c>
      <c r="F2560" t="s">
        <v>42</v>
      </c>
      <c r="G2560" t="s">
        <v>32</v>
      </c>
      <c r="H2560" t="s">
        <v>57</v>
      </c>
      <c r="I2560" t="s">
        <v>44</v>
      </c>
      <c r="J2560" t="s">
        <v>334</v>
      </c>
      <c r="K2560" t="s">
        <v>51</v>
      </c>
      <c r="L2560">
        <v>19</v>
      </c>
      <c r="N2560" t="s">
        <v>2304</v>
      </c>
    </row>
    <row r="2561" spans="1:14" x14ac:dyDescent="0.35">
      <c r="A2561" t="s">
        <v>6926</v>
      </c>
      <c r="B2561" t="s">
        <v>6927</v>
      </c>
      <c r="C2561" t="s">
        <v>41</v>
      </c>
      <c r="D2561">
        <v>149.29</v>
      </c>
      <c r="E2561">
        <v>19000</v>
      </c>
      <c r="F2561" t="s">
        <v>87</v>
      </c>
      <c r="G2561" t="s">
        <v>32</v>
      </c>
      <c r="H2561" t="s">
        <v>43</v>
      </c>
      <c r="I2561" t="s">
        <v>34</v>
      </c>
      <c r="J2561" t="s">
        <v>70</v>
      </c>
      <c r="K2561" t="s">
        <v>31</v>
      </c>
      <c r="L2561">
        <v>19</v>
      </c>
      <c r="M2561" t="s">
        <v>916</v>
      </c>
      <c r="N2561" t="s">
        <v>1580</v>
      </c>
    </row>
    <row r="2562" spans="1:14" x14ac:dyDescent="0.35">
      <c r="A2562" t="s">
        <v>6928</v>
      </c>
      <c r="B2562" t="s">
        <v>6929</v>
      </c>
      <c r="C2562" t="s">
        <v>116</v>
      </c>
      <c r="D2562">
        <v>6.08</v>
      </c>
      <c r="E2562">
        <v>100</v>
      </c>
      <c r="F2562" t="s">
        <v>147</v>
      </c>
      <c r="G2562" t="s">
        <v>32</v>
      </c>
      <c r="H2562" t="s">
        <v>57</v>
      </c>
      <c r="I2562" t="s">
        <v>34</v>
      </c>
      <c r="J2562" t="s">
        <v>1216</v>
      </c>
      <c r="K2562" t="s">
        <v>51</v>
      </c>
      <c r="L2562">
        <v>23</v>
      </c>
      <c r="M2562" t="s">
        <v>492</v>
      </c>
      <c r="N2562" t="s">
        <v>4140</v>
      </c>
    </row>
    <row r="2563" spans="1:14" x14ac:dyDescent="0.35">
      <c r="A2563" t="s">
        <v>6930</v>
      </c>
      <c r="B2563" t="s">
        <v>6931</v>
      </c>
      <c r="C2563" t="s">
        <v>30</v>
      </c>
      <c r="D2563">
        <v>184.93</v>
      </c>
      <c r="E2563">
        <v>9000</v>
      </c>
      <c r="F2563" t="s">
        <v>106</v>
      </c>
      <c r="G2563" t="s">
        <v>32</v>
      </c>
      <c r="H2563" t="s">
        <v>57</v>
      </c>
      <c r="I2563" t="s">
        <v>44</v>
      </c>
      <c r="J2563" t="s">
        <v>130</v>
      </c>
      <c r="K2563" t="s">
        <v>123</v>
      </c>
      <c r="L2563">
        <v>8</v>
      </c>
      <c r="M2563" t="s">
        <v>2039</v>
      </c>
      <c r="N2563" t="s">
        <v>1180</v>
      </c>
    </row>
    <row r="2564" spans="1:14" x14ac:dyDescent="0.35">
      <c r="A2564" t="s">
        <v>6932</v>
      </c>
      <c r="B2564" t="s">
        <v>6933</v>
      </c>
      <c r="C2564" t="s">
        <v>41</v>
      </c>
      <c r="D2564">
        <v>115.66</v>
      </c>
      <c r="E2564">
        <v>38000</v>
      </c>
      <c r="F2564" t="s">
        <v>31</v>
      </c>
      <c r="G2564" t="s">
        <v>32</v>
      </c>
      <c r="H2564" t="s">
        <v>43</v>
      </c>
      <c r="I2564" t="s">
        <v>44</v>
      </c>
      <c r="J2564" t="s">
        <v>112</v>
      </c>
      <c r="K2564" t="s">
        <v>106</v>
      </c>
      <c r="L2564">
        <v>19</v>
      </c>
      <c r="N2564" t="s">
        <v>6934</v>
      </c>
    </row>
    <row r="2565" spans="1:14" x14ac:dyDescent="0.35">
      <c r="A2565" t="s">
        <v>6935</v>
      </c>
      <c r="B2565" t="s">
        <v>6936</v>
      </c>
      <c r="C2565" t="s">
        <v>41</v>
      </c>
      <c r="D2565">
        <v>153.69999999999999</v>
      </c>
      <c r="E2565">
        <v>21000</v>
      </c>
      <c r="F2565" t="s">
        <v>117</v>
      </c>
      <c r="G2565" t="s">
        <v>32</v>
      </c>
      <c r="H2565" t="s">
        <v>43</v>
      </c>
      <c r="J2565" t="s">
        <v>45</v>
      </c>
      <c r="K2565" t="s">
        <v>46</v>
      </c>
      <c r="L2565">
        <v>17</v>
      </c>
      <c r="M2565" t="s">
        <v>6937</v>
      </c>
      <c r="N2565" t="s">
        <v>2593</v>
      </c>
    </row>
    <row r="2566" spans="1:14" x14ac:dyDescent="0.35">
      <c r="A2566" t="s">
        <v>6938</v>
      </c>
      <c r="B2566" t="s">
        <v>6939</v>
      </c>
      <c r="C2566" t="s">
        <v>30</v>
      </c>
      <c r="D2566">
        <v>131.75</v>
      </c>
      <c r="E2566">
        <v>17000</v>
      </c>
      <c r="F2566" t="s">
        <v>64</v>
      </c>
      <c r="G2566" t="s">
        <v>32</v>
      </c>
      <c r="H2566" t="s">
        <v>43</v>
      </c>
      <c r="I2566" t="s">
        <v>34</v>
      </c>
      <c r="J2566" t="s">
        <v>107</v>
      </c>
      <c r="K2566" t="s">
        <v>87</v>
      </c>
      <c r="L2566">
        <v>19</v>
      </c>
      <c r="M2566" t="s">
        <v>2636</v>
      </c>
      <c r="N2566" t="s">
        <v>1047</v>
      </c>
    </row>
    <row r="2567" spans="1:14" x14ac:dyDescent="0.35">
      <c r="A2567" t="s">
        <v>6940</v>
      </c>
      <c r="B2567" t="s">
        <v>6941</v>
      </c>
      <c r="C2567" t="s">
        <v>69</v>
      </c>
      <c r="D2567">
        <v>72.61</v>
      </c>
      <c r="E2567">
        <v>85000</v>
      </c>
      <c r="F2567" t="s">
        <v>76</v>
      </c>
      <c r="G2567" t="s">
        <v>32</v>
      </c>
      <c r="H2567" t="s">
        <v>43</v>
      </c>
      <c r="I2567" t="s">
        <v>34</v>
      </c>
      <c r="J2567" t="s">
        <v>63</v>
      </c>
      <c r="K2567" t="s">
        <v>64</v>
      </c>
      <c r="L2567">
        <v>12</v>
      </c>
      <c r="M2567" t="s">
        <v>1559</v>
      </c>
      <c r="N2567" t="s">
        <v>4692</v>
      </c>
    </row>
    <row r="2568" spans="1:14" x14ac:dyDescent="0.35">
      <c r="A2568" t="s">
        <v>6942</v>
      </c>
      <c r="B2568" t="s">
        <v>6943</v>
      </c>
      <c r="C2568" t="s">
        <v>62</v>
      </c>
      <c r="D2568">
        <v>54.62</v>
      </c>
      <c r="E2568">
        <v>3000</v>
      </c>
      <c r="F2568" t="s">
        <v>31</v>
      </c>
      <c r="G2568" t="s">
        <v>32</v>
      </c>
      <c r="H2568" t="s">
        <v>33</v>
      </c>
      <c r="I2568" t="s">
        <v>34</v>
      </c>
      <c r="J2568" t="s">
        <v>2058</v>
      </c>
      <c r="K2568" t="s">
        <v>74</v>
      </c>
      <c r="L2568">
        <v>20</v>
      </c>
      <c r="N2568" t="s">
        <v>6944</v>
      </c>
    </row>
    <row r="2569" spans="1:14" x14ac:dyDescent="0.35">
      <c r="A2569" t="s">
        <v>6945</v>
      </c>
      <c r="B2569" t="s">
        <v>6946</v>
      </c>
      <c r="C2569" t="s">
        <v>30</v>
      </c>
      <c r="D2569">
        <v>117.32</v>
      </c>
      <c r="E2569">
        <v>7000</v>
      </c>
      <c r="F2569" t="s">
        <v>42</v>
      </c>
      <c r="G2569" t="s">
        <v>102</v>
      </c>
      <c r="H2569" t="s">
        <v>43</v>
      </c>
      <c r="I2569" t="s">
        <v>44</v>
      </c>
      <c r="J2569" t="s">
        <v>70</v>
      </c>
      <c r="K2569" t="s">
        <v>31</v>
      </c>
      <c r="L2569">
        <v>11</v>
      </c>
      <c r="M2569" t="s">
        <v>823</v>
      </c>
      <c r="N2569" t="s">
        <v>5430</v>
      </c>
    </row>
    <row r="2570" spans="1:14" x14ac:dyDescent="0.35">
      <c r="A2570" t="s">
        <v>6947</v>
      </c>
      <c r="B2570" t="s">
        <v>6948</v>
      </c>
      <c r="C2570" t="s">
        <v>69</v>
      </c>
      <c r="D2570">
        <v>58.26</v>
      </c>
      <c r="E2570">
        <v>58000</v>
      </c>
      <c r="F2570" t="s">
        <v>76</v>
      </c>
      <c r="G2570" t="s">
        <v>32</v>
      </c>
      <c r="H2570" t="s">
        <v>33</v>
      </c>
      <c r="I2570" t="s">
        <v>34</v>
      </c>
      <c r="J2570" t="s">
        <v>6949</v>
      </c>
      <c r="K2570" t="s">
        <v>139</v>
      </c>
      <c r="L2570">
        <v>11</v>
      </c>
      <c r="M2570" t="s">
        <v>317</v>
      </c>
      <c r="N2570" t="s">
        <v>2367</v>
      </c>
    </row>
    <row r="2571" spans="1:14" x14ac:dyDescent="0.35">
      <c r="A2571" t="s">
        <v>6950</v>
      </c>
      <c r="B2571" t="s">
        <v>6951</v>
      </c>
      <c r="C2571" t="s">
        <v>116</v>
      </c>
      <c r="D2571">
        <v>11.49</v>
      </c>
      <c r="E2571">
        <v>600</v>
      </c>
      <c r="F2571" t="s">
        <v>97</v>
      </c>
      <c r="G2571" t="s">
        <v>32</v>
      </c>
      <c r="H2571" t="s">
        <v>57</v>
      </c>
      <c r="I2571" t="s">
        <v>44</v>
      </c>
      <c r="J2571" t="s">
        <v>70</v>
      </c>
      <c r="K2571" t="s">
        <v>31</v>
      </c>
      <c r="L2571">
        <v>20</v>
      </c>
      <c r="N2571" t="s">
        <v>4140</v>
      </c>
    </row>
    <row r="2572" spans="1:14" x14ac:dyDescent="0.35">
      <c r="A2572" t="s">
        <v>6952</v>
      </c>
      <c r="B2572" t="s">
        <v>6953</v>
      </c>
      <c r="C2572" t="s">
        <v>41</v>
      </c>
      <c r="D2572">
        <v>127.12</v>
      </c>
      <c r="E2572">
        <v>34000</v>
      </c>
      <c r="F2572" t="s">
        <v>36</v>
      </c>
      <c r="G2572" t="s">
        <v>32</v>
      </c>
      <c r="H2572" t="s">
        <v>43</v>
      </c>
      <c r="I2572" t="s">
        <v>44</v>
      </c>
      <c r="J2572" t="s">
        <v>75</v>
      </c>
      <c r="K2572" t="s">
        <v>76</v>
      </c>
      <c r="L2572">
        <v>5</v>
      </c>
      <c r="M2572" t="s">
        <v>971</v>
      </c>
      <c r="N2572" t="s">
        <v>5081</v>
      </c>
    </row>
    <row r="2573" spans="1:14" x14ac:dyDescent="0.35">
      <c r="A2573" t="s">
        <v>6954</v>
      </c>
      <c r="B2573" t="s">
        <v>6955</v>
      </c>
      <c r="C2573" t="s">
        <v>62</v>
      </c>
      <c r="D2573">
        <v>71.17</v>
      </c>
      <c r="E2573">
        <v>4000</v>
      </c>
      <c r="F2573" t="s">
        <v>74</v>
      </c>
      <c r="G2573" t="s">
        <v>32</v>
      </c>
      <c r="H2573" t="s">
        <v>57</v>
      </c>
      <c r="J2573" t="s">
        <v>82</v>
      </c>
      <c r="K2573" t="s">
        <v>74</v>
      </c>
      <c r="L2573">
        <v>1</v>
      </c>
      <c r="M2573" t="s">
        <v>1196</v>
      </c>
      <c r="N2573" t="s">
        <v>470</v>
      </c>
    </row>
    <row r="2574" spans="1:14" x14ac:dyDescent="0.35">
      <c r="A2574" t="s">
        <v>6956</v>
      </c>
      <c r="B2574" t="s">
        <v>6957</v>
      </c>
      <c r="C2574" t="s">
        <v>116</v>
      </c>
      <c r="D2574">
        <v>7.4</v>
      </c>
      <c r="E2574">
        <v>500</v>
      </c>
      <c r="F2574" t="s">
        <v>76</v>
      </c>
      <c r="G2574" t="s">
        <v>32</v>
      </c>
      <c r="H2574" t="s">
        <v>57</v>
      </c>
      <c r="I2574" t="s">
        <v>44</v>
      </c>
      <c r="J2574" t="s">
        <v>118</v>
      </c>
      <c r="K2574" t="s">
        <v>42</v>
      </c>
      <c r="L2574">
        <v>10</v>
      </c>
      <c r="N2574" t="s">
        <v>1006</v>
      </c>
    </row>
    <row r="2575" spans="1:14" x14ac:dyDescent="0.35">
      <c r="A2575" t="s">
        <v>6958</v>
      </c>
      <c r="B2575" t="s">
        <v>6959</v>
      </c>
      <c r="C2575" t="s">
        <v>62</v>
      </c>
      <c r="D2575">
        <v>80.2</v>
      </c>
      <c r="E2575">
        <v>3000</v>
      </c>
      <c r="F2575" t="s">
        <v>139</v>
      </c>
      <c r="G2575" t="s">
        <v>32</v>
      </c>
      <c r="H2575" t="s">
        <v>43</v>
      </c>
      <c r="I2575" t="s">
        <v>44</v>
      </c>
      <c r="J2575" t="s">
        <v>130</v>
      </c>
      <c r="K2575" t="s">
        <v>123</v>
      </c>
      <c r="L2575">
        <v>11</v>
      </c>
      <c r="M2575" t="s">
        <v>4008</v>
      </c>
      <c r="N2575" t="s">
        <v>705</v>
      </c>
    </row>
    <row r="2576" spans="1:14" x14ac:dyDescent="0.35">
      <c r="A2576" t="s">
        <v>6960</v>
      </c>
      <c r="B2576" t="s">
        <v>6961</v>
      </c>
      <c r="C2576" t="s">
        <v>30</v>
      </c>
      <c r="D2576">
        <v>102.1</v>
      </c>
      <c r="E2576">
        <v>19000</v>
      </c>
      <c r="F2576" t="s">
        <v>51</v>
      </c>
      <c r="G2576" t="s">
        <v>32</v>
      </c>
      <c r="H2576" t="s">
        <v>43</v>
      </c>
      <c r="I2576" t="s">
        <v>129</v>
      </c>
      <c r="J2576" t="s">
        <v>112</v>
      </c>
      <c r="K2576" t="s">
        <v>106</v>
      </c>
      <c r="L2576">
        <v>22</v>
      </c>
      <c r="N2576" t="s">
        <v>2850</v>
      </c>
    </row>
    <row r="2577" spans="1:14" x14ac:dyDescent="0.35">
      <c r="A2577" t="s">
        <v>6962</v>
      </c>
      <c r="B2577" t="s">
        <v>6963</v>
      </c>
      <c r="C2577" t="s">
        <v>62</v>
      </c>
      <c r="D2577">
        <v>50.1</v>
      </c>
      <c r="E2577">
        <v>5000</v>
      </c>
      <c r="F2577" t="s">
        <v>147</v>
      </c>
      <c r="G2577" t="s">
        <v>32</v>
      </c>
      <c r="H2577" t="s">
        <v>43</v>
      </c>
      <c r="I2577" t="s">
        <v>34</v>
      </c>
      <c r="J2577" t="s">
        <v>75</v>
      </c>
      <c r="K2577" t="s">
        <v>76</v>
      </c>
      <c r="L2577">
        <v>3</v>
      </c>
      <c r="N2577" t="s">
        <v>570</v>
      </c>
    </row>
    <row r="2578" spans="1:14" x14ac:dyDescent="0.35">
      <c r="A2578" t="s">
        <v>6964</v>
      </c>
      <c r="B2578" t="s">
        <v>6965</v>
      </c>
      <c r="C2578" t="s">
        <v>41</v>
      </c>
      <c r="D2578">
        <v>119.03</v>
      </c>
      <c r="E2578">
        <v>36000</v>
      </c>
      <c r="F2578" t="s">
        <v>64</v>
      </c>
      <c r="G2578" t="s">
        <v>32</v>
      </c>
      <c r="H2578" t="s">
        <v>33</v>
      </c>
      <c r="I2578" t="s">
        <v>129</v>
      </c>
      <c r="J2578" t="s">
        <v>2293</v>
      </c>
      <c r="K2578" t="s">
        <v>51</v>
      </c>
      <c r="L2578">
        <v>18</v>
      </c>
      <c r="N2578" t="s">
        <v>4767</v>
      </c>
    </row>
    <row r="2579" spans="1:14" x14ac:dyDescent="0.35">
      <c r="A2579" t="s">
        <v>6966</v>
      </c>
      <c r="B2579" t="s">
        <v>6967</v>
      </c>
      <c r="C2579" t="s">
        <v>69</v>
      </c>
      <c r="D2579">
        <v>56.34</v>
      </c>
      <c r="E2579">
        <v>33000</v>
      </c>
      <c r="F2579" t="s">
        <v>64</v>
      </c>
      <c r="G2579" t="s">
        <v>32</v>
      </c>
      <c r="H2579" t="s">
        <v>33</v>
      </c>
      <c r="J2579" t="s">
        <v>112</v>
      </c>
      <c r="K2579" t="s">
        <v>106</v>
      </c>
      <c r="L2579">
        <v>3</v>
      </c>
      <c r="M2579" t="s">
        <v>2557</v>
      </c>
      <c r="N2579" t="s">
        <v>3553</v>
      </c>
    </row>
    <row r="2580" spans="1:14" x14ac:dyDescent="0.35">
      <c r="A2580" t="s">
        <v>6968</v>
      </c>
      <c r="B2580" t="s">
        <v>6969</v>
      </c>
      <c r="C2580" t="s">
        <v>62</v>
      </c>
      <c r="D2580">
        <v>83.23</v>
      </c>
      <c r="E2580">
        <v>1000</v>
      </c>
      <c r="F2580" t="s">
        <v>51</v>
      </c>
      <c r="G2580" t="s">
        <v>102</v>
      </c>
      <c r="H2580" t="s">
        <v>43</v>
      </c>
      <c r="J2580" t="s">
        <v>124</v>
      </c>
      <c r="K2580" t="s">
        <v>117</v>
      </c>
      <c r="L2580">
        <v>15</v>
      </c>
      <c r="M2580" t="s">
        <v>2286</v>
      </c>
      <c r="N2580" t="s">
        <v>161</v>
      </c>
    </row>
    <row r="2581" spans="1:14" x14ac:dyDescent="0.35">
      <c r="A2581" t="s">
        <v>6970</v>
      </c>
      <c r="B2581" t="s">
        <v>6971</v>
      </c>
      <c r="C2581" t="s">
        <v>30</v>
      </c>
      <c r="D2581">
        <v>152.12</v>
      </c>
      <c r="E2581">
        <v>8000</v>
      </c>
      <c r="F2581" t="s">
        <v>97</v>
      </c>
      <c r="G2581" t="s">
        <v>32</v>
      </c>
      <c r="H2581" t="s">
        <v>57</v>
      </c>
      <c r="J2581" t="s">
        <v>124</v>
      </c>
      <c r="K2581" t="s">
        <v>117</v>
      </c>
      <c r="L2581">
        <v>3</v>
      </c>
      <c r="N2581" t="s">
        <v>520</v>
      </c>
    </row>
    <row r="2582" spans="1:14" x14ac:dyDescent="0.35">
      <c r="A2582" t="s">
        <v>6972</v>
      </c>
      <c r="B2582" t="s">
        <v>6973</v>
      </c>
      <c r="C2582" t="s">
        <v>69</v>
      </c>
      <c r="D2582">
        <v>84.62</v>
      </c>
      <c r="E2582">
        <v>55000</v>
      </c>
      <c r="F2582" t="s">
        <v>74</v>
      </c>
      <c r="G2582" t="s">
        <v>32</v>
      </c>
      <c r="H2582" t="s">
        <v>57</v>
      </c>
      <c r="I2582" t="s">
        <v>44</v>
      </c>
      <c r="J2582" t="s">
        <v>2174</v>
      </c>
      <c r="K2582" t="s">
        <v>139</v>
      </c>
      <c r="L2582">
        <v>11</v>
      </c>
      <c r="N2582" t="s">
        <v>5577</v>
      </c>
    </row>
    <row r="2583" spans="1:14" x14ac:dyDescent="0.35">
      <c r="A2583" t="s">
        <v>6974</v>
      </c>
      <c r="B2583" t="s">
        <v>6975</v>
      </c>
      <c r="C2583" t="s">
        <v>41</v>
      </c>
      <c r="D2583">
        <v>82.38</v>
      </c>
      <c r="E2583">
        <v>28000</v>
      </c>
      <c r="F2583" t="s">
        <v>76</v>
      </c>
      <c r="G2583" t="s">
        <v>32</v>
      </c>
      <c r="H2583" t="s">
        <v>33</v>
      </c>
      <c r="I2583" t="s">
        <v>44</v>
      </c>
      <c r="J2583" t="s">
        <v>124</v>
      </c>
      <c r="K2583" t="s">
        <v>117</v>
      </c>
      <c r="L2583">
        <v>16</v>
      </c>
      <c r="M2583" t="s">
        <v>6522</v>
      </c>
      <c r="N2583" t="s">
        <v>157</v>
      </c>
    </row>
    <row r="2584" spans="1:14" x14ac:dyDescent="0.35">
      <c r="A2584" t="s">
        <v>6976</v>
      </c>
      <c r="B2584" t="s">
        <v>6977</v>
      </c>
      <c r="C2584" t="s">
        <v>69</v>
      </c>
      <c r="D2584">
        <v>51.1</v>
      </c>
      <c r="E2584">
        <v>32000</v>
      </c>
      <c r="F2584" t="s">
        <v>36</v>
      </c>
      <c r="G2584" t="s">
        <v>32</v>
      </c>
      <c r="H2584" t="s">
        <v>57</v>
      </c>
      <c r="I2584" t="s">
        <v>44</v>
      </c>
      <c r="J2584" t="s">
        <v>75</v>
      </c>
      <c r="K2584" t="s">
        <v>76</v>
      </c>
      <c r="L2584">
        <v>3</v>
      </c>
      <c r="M2584" t="s">
        <v>539</v>
      </c>
      <c r="N2584" t="s">
        <v>4527</v>
      </c>
    </row>
    <row r="2585" spans="1:14" x14ac:dyDescent="0.35">
      <c r="A2585" t="s">
        <v>6978</v>
      </c>
      <c r="B2585" t="s">
        <v>6979</v>
      </c>
      <c r="C2585" t="s">
        <v>41</v>
      </c>
      <c r="D2585">
        <v>152.91</v>
      </c>
      <c r="E2585">
        <v>16000</v>
      </c>
      <c r="F2585" t="s">
        <v>51</v>
      </c>
      <c r="G2585" t="s">
        <v>32</v>
      </c>
      <c r="H2585" t="s">
        <v>57</v>
      </c>
      <c r="I2585" t="s">
        <v>34</v>
      </c>
      <c r="J2585" t="s">
        <v>683</v>
      </c>
      <c r="K2585" t="s">
        <v>97</v>
      </c>
      <c r="L2585">
        <v>14</v>
      </c>
      <c r="M2585" t="s">
        <v>3354</v>
      </c>
      <c r="N2585" t="s">
        <v>1901</v>
      </c>
    </row>
    <row r="2586" spans="1:14" x14ac:dyDescent="0.35">
      <c r="A2586" t="s">
        <v>6980</v>
      </c>
      <c r="B2586" t="s">
        <v>6981</v>
      </c>
      <c r="C2586" t="s">
        <v>116</v>
      </c>
      <c r="D2586">
        <v>9.77</v>
      </c>
      <c r="E2586">
        <v>600</v>
      </c>
      <c r="F2586" t="s">
        <v>139</v>
      </c>
      <c r="G2586" t="s">
        <v>32</v>
      </c>
      <c r="H2586" t="s">
        <v>57</v>
      </c>
      <c r="I2586" t="s">
        <v>129</v>
      </c>
      <c r="J2586" t="s">
        <v>63</v>
      </c>
      <c r="K2586" t="s">
        <v>64</v>
      </c>
      <c r="L2586">
        <v>3</v>
      </c>
      <c r="N2586" t="s">
        <v>3868</v>
      </c>
    </row>
    <row r="2587" spans="1:14" x14ac:dyDescent="0.35">
      <c r="A2587" t="s">
        <v>6982</v>
      </c>
      <c r="B2587" t="s">
        <v>6983</v>
      </c>
      <c r="C2587" t="s">
        <v>116</v>
      </c>
      <c r="D2587">
        <v>11.74</v>
      </c>
      <c r="E2587">
        <v>100</v>
      </c>
      <c r="F2587" t="s">
        <v>36</v>
      </c>
      <c r="G2587" t="s">
        <v>32</v>
      </c>
      <c r="H2587" t="s">
        <v>33</v>
      </c>
      <c r="I2587" t="s">
        <v>44</v>
      </c>
      <c r="J2587" t="s">
        <v>366</v>
      </c>
      <c r="K2587" t="s">
        <v>51</v>
      </c>
      <c r="L2587">
        <v>22</v>
      </c>
      <c r="N2587" t="s">
        <v>2786</v>
      </c>
    </row>
    <row r="2588" spans="1:14" x14ac:dyDescent="0.35">
      <c r="A2588" t="s">
        <v>6984</v>
      </c>
      <c r="B2588" t="s">
        <v>6985</v>
      </c>
      <c r="C2588" t="s">
        <v>81</v>
      </c>
      <c r="D2588">
        <v>138.28</v>
      </c>
      <c r="E2588">
        <v>8000</v>
      </c>
      <c r="F2588" t="s">
        <v>64</v>
      </c>
      <c r="G2588" t="s">
        <v>32</v>
      </c>
      <c r="H2588" t="s">
        <v>43</v>
      </c>
      <c r="I2588" t="s">
        <v>44</v>
      </c>
      <c r="J2588" t="s">
        <v>334</v>
      </c>
      <c r="K2588" t="s">
        <v>51</v>
      </c>
      <c r="L2588">
        <v>15</v>
      </c>
      <c r="N2588" t="s">
        <v>735</v>
      </c>
    </row>
    <row r="2589" spans="1:14" x14ac:dyDescent="0.35">
      <c r="A2589" t="s">
        <v>6986</v>
      </c>
      <c r="B2589" t="s">
        <v>6987</v>
      </c>
      <c r="C2589" t="s">
        <v>41</v>
      </c>
      <c r="D2589">
        <v>124.03</v>
      </c>
      <c r="E2589">
        <v>40000</v>
      </c>
      <c r="F2589" t="s">
        <v>36</v>
      </c>
      <c r="G2589" t="s">
        <v>32</v>
      </c>
      <c r="H2589" t="s">
        <v>57</v>
      </c>
      <c r="I2589" t="s">
        <v>34</v>
      </c>
      <c r="J2589" t="s">
        <v>75</v>
      </c>
      <c r="K2589" t="s">
        <v>76</v>
      </c>
      <c r="L2589">
        <v>15</v>
      </c>
      <c r="M2589" t="s">
        <v>616</v>
      </c>
      <c r="N2589" t="s">
        <v>379</v>
      </c>
    </row>
    <row r="2590" spans="1:14" x14ac:dyDescent="0.35">
      <c r="A2590" t="s">
        <v>6988</v>
      </c>
      <c r="B2590" t="s">
        <v>6989</v>
      </c>
      <c r="C2590" t="s">
        <v>69</v>
      </c>
      <c r="D2590">
        <v>55.32</v>
      </c>
      <c r="E2590">
        <v>18000</v>
      </c>
      <c r="F2590" t="s">
        <v>36</v>
      </c>
      <c r="G2590" t="s">
        <v>32</v>
      </c>
      <c r="H2590" t="s">
        <v>43</v>
      </c>
      <c r="J2590" t="s">
        <v>45</v>
      </c>
      <c r="K2590" t="s">
        <v>46</v>
      </c>
      <c r="L2590">
        <v>19</v>
      </c>
      <c r="M2590" t="s">
        <v>1190</v>
      </c>
      <c r="N2590" t="s">
        <v>5344</v>
      </c>
    </row>
    <row r="2591" spans="1:14" x14ac:dyDescent="0.35">
      <c r="A2591" t="s">
        <v>6990</v>
      </c>
      <c r="B2591" t="s">
        <v>6991</v>
      </c>
      <c r="C2591" t="s">
        <v>30</v>
      </c>
      <c r="D2591">
        <v>109.52</v>
      </c>
      <c r="E2591">
        <v>16000</v>
      </c>
      <c r="F2591" t="s">
        <v>236</v>
      </c>
      <c r="G2591" t="s">
        <v>32</v>
      </c>
      <c r="H2591" t="s">
        <v>33</v>
      </c>
      <c r="I2591" t="s">
        <v>129</v>
      </c>
      <c r="J2591" t="s">
        <v>278</v>
      </c>
      <c r="K2591" t="s">
        <v>97</v>
      </c>
      <c r="L2591">
        <v>13</v>
      </c>
      <c r="M2591" t="s">
        <v>2407</v>
      </c>
      <c r="N2591" t="s">
        <v>2481</v>
      </c>
    </row>
    <row r="2592" spans="1:14" x14ac:dyDescent="0.35">
      <c r="A2592" t="s">
        <v>6992</v>
      </c>
      <c r="B2592" t="s">
        <v>6993</v>
      </c>
      <c r="C2592" t="s">
        <v>69</v>
      </c>
      <c r="D2592">
        <v>92.9</v>
      </c>
      <c r="E2592">
        <v>65000</v>
      </c>
      <c r="F2592" t="s">
        <v>51</v>
      </c>
      <c r="G2592" t="s">
        <v>32</v>
      </c>
      <c r="H2592" t="s">
        <v>43</v>
      </c>
      <c r="I2592" t="s">
        <v>34</v>
      </c>
      <c r="J2592" t="s">
        <v>915</v>
      </c>
      <c r="K2592" t="s">
        <v>139</v>
      </c>
      <c r="L2592">
        <v>4</v>
      </c>
      <c r="M2592" t="s">
        <v>1286</v>
      </c>
      <c r="N2592" t="s">
        <v>962</v>
      </c>
    </row>
    <row r="2593" spans="1:14" x14ac:dyDescent="0.35">
      <c r="A2593" t="s">
        <v>6994</v>
      </c>
      <c r="B2593" t="s">
        <v>6995</v>
      </c>
      <c r="C2593" t="s">
        <v>30</v>
      </c>
      <c r="D2593">
        <v>197.92</v>
      </c>
      <c r="E2593">
        <v>10000</v>
      </c>
      <c r="F2593" t="s">
        <v>76</v>
      </c>
      <c r="G2593" t="s">
        <v>32</v>
      </c>
      <c r="H2593" t="s">
        <v>43</v>
      </c>
      <c r="I2593" t="s">
        <v>34</v>
      </c>
      <c r="J2593" t="s">
        <v>124</v>
      </c>
      <c r="K2593" t="s">
        <v>117</v>
      </c>
      <c r="L2593">
        <v>13</v>
      </c>
      <c r="M2593" t="s">
        <v>2074</v>
      </c>
      <c r="N2593" t="s">
        <v>2277</v>
      </c>
    </row>
    <row r="2594" spans="1:14" x14ac:dyDescent="0.35">
      <c r="A2594" t="s">
        <v>6996</v>
      </c>
      <c r="B2594" t="s">
        <v>6997</v>
      </c>
      <c r="C2594" t="s">
        <v>81</v>
      </c>
      <c r="D2594">
        <v>84.1</v>
      </c>
      <c r="E2594">
        <v>6000</v>
      </c>
      <c r="F2594" t="s">
        <v>139</v>
      </c>
      <c r="G2594" t="s">
        <v>32</v>
      </c>
      <c r="H2594" t="s">
        <v>33</v>
      </c>
      <c r="I2594" t="s">
        <v>34</v>
      </c>
      <c r="J2594" t="s">
        <v>45</v>
      </c>
      <c r="K2594" t="s">
        <v>46</v>
      </c>
      <c r="L2594">
        <v>12</v>
      </c>
      <c r="M2594" t="s">
        <v>4063</v>
      </c>
      <c r="N2594" t="s">
        <v>6419</v>
      </c>
    </row>
    <row r="2595" spans="1:14" x14ac:dyDescent="0.35">
      <c r="A2595" t="s">
        <v>6998</v>
      </c>
      <c r="B2595" t="s">
        <v>6999</v>
      </c>
      <c r="C2595" t="s">
        <v>69</v>
      </c>
      <c r="D2595">
        <v>70.819999999999993</v>
      </c>
      <c r="E2595">
        <v>73000</v>
      </c>
      <c r="F2595" t="s">
        <v>123</v>
      </c>
      <c r="G2595" t="s">
        <v>32</v>
      </c>
      <c r="H2595" t="s">
        <v>43</v>
      </c>
      <c r="I2595" t="s">
        <v>34</v>
      </c>
      <c r="J2595" t="s">
        <v>35</v>
      </c>
      <c r="K2595" t="s">
        <v>36</v>
      </c>
      <c r="L2595">
        <v>2</v>
      </c>
      <c r="M2595" t="s">
        <v>4549</v>
      </c>
      <c r="N2595" t="s">
        <v>4144</v>
      </c>
    </row>
    <row r="2596" spans="1:14" x14ac:dyDescent="0.35">
      <c r="A2596" t="s">
        <v>7000</v>
      </c>
      <c r="B2596" t="s">
        <v>7001</v>
      </c>
      <c r="C2596" t="s">
        <v>30</v>
      </c>
      <c r="D2596">
        <v>168.01</v>
      </c>
      <c r="E2596">
        <v>1000</v>
      </c>
      <c r="F2596" t="s">
        <v>97</v>
      </c>
      <c r="G2596" t="s">
        <v>32</v>
      </c>
      <c r="H2596" t="s">
        <v>33</v>
      </c>
      <c r="J2596" t="s">
        <v>75</v>
      </c>
      <c r="K2596" t="s">
        <v>76</v>
      </c>
      <c r="L2596">
        <v>1</v>
      </c>
      <c r="N2596" t="s">
        <v>6480</v>
      </c>
    </row>
    <row r="2597" spans="1:14" x14ac:dyDescent="0.35">
      <c r="A2597" t="s">
        <v>7002</v>
      </c>
      <c r="B2597" t="s">
        <v>7003</v>
      </c>
      <c r="C2597" t="s">
        <v>116</v>
      </c>
      <c r="D2597">
        <v>6.88</v>
      </c>
      <c r="E2597">
        <v>400</v>
      </c>
      <c r="F2597" t="s">
        <v>123</v>
      </c>
      <c r="G2597" t="s">
        <v>32</v>
      </c>
      <c r="H2597" t="s">
        <v>57</v>
      </c>
      <c r="I2597" t="s">
        <v>44</v>
      </c>
      <c r="J2597" t="s">
        <v>316</v>
      </c>
      <c r="K2597" t="s">
        <v>97</v>
      </c>
      <c r="L2597">
        <v>11</v>
      </c>
      <c r="M2597" t="s">
        <v>1541</v>
      </c>
      <c r="N2597" t="s">
        <v>2521</v>
      </c>
    </row>
    <row r="2598" spans="1:14" x14ac:dyDescent="0.35">
      <c r="A2598" t="s">
        <v>7004</v>
      </c>
      <c r="B2598" t="s">
        <v>7005</v>
      </c>
      <c r="C2598" t="s">
        <v>69</v>
      </c>
      <c r="D2598">
        <v>57.7</v>
      </c>
      <c r="E2598">
        <v>100000</v>
      </c>
      <c r="F2598" t="s">
        <v>64</v>
      </c>
      <c r="G2598" t="s">
        <v>32</v>
      </c>
      <c r="H2598" t="s">
        <v>57</v>
      </c>
      <c r="J2598" t="s">
        <v>107</v>
      </c>
      <c r="K2598" t="s">
        <v>87</v>
      </c>
      <c r="L2598">
        <v>11</v>
      </c>
      <c r="M2598" t="s">
        <v>760</v>
      </c>
      <c r="N2598" t="s">
        <v>7006</v>
      </c>
    </row>
    <row r="2599" spans="1:14" x14ac:dyDescent="0.35">
      <c r="A2599" t="s">
        <v>7007</v>
      </c>
      <c r="B2599" t="s">
        <v>7008</v>
      </c>
      <c r="C2599" t="s">
        <v>41</v>
      </c>
      <c r="D2599">
        <v>154.93</v>
      </c>
      <c r="E2599">
        <v>29000</v>
      </c>
      <c r="F2599" t="s">
        <v>42</v>
      </c>
      <c r="G2599" t="s">
        <v>32</v>
      </c>
      <c r="H2599" t="s">
        <v>33</v>
      </c>
      <c r="J2599" t="s">
        <v>500</v>
      </c>
      <c r="K2599" t="s">
        <v>236</v>
      </c>
      <c r="L2599">
        <v>3</v>
      </c>
      <c r="N2599" t="s">
        <v>5772</v>
      </c>
    </row>
    <row r="2600" spans="1:14" x14ac:dyDescent="0.35">
      <c r="A2600" t="s">
        <v>7009</v>
      </c>
      <c r="B2600" t="s">
        <v>7010</v>
      </c>
      <c r="C2600" t="s">
        <v>41</v>
      </c>
      <c r="D2600">
        <v>152.94999999999999</v>
      </c>
      <c r="E2600">
        <v>11000</v>
      </c>
      <c r="F2600" t="s">
        <v>87</v>
      </c>
      <c r="G2600" t="s">
        <v>32</v>
      </c>
      <c r="H2600" t="s">
        <v>57</v>
      </c>
      <c r="J2600" t="s">
        <v>7011</v>
      </c>
      <c r="K2600" t="s">
        <v>51</v>
      </c>
      <c r="L2600">
        <v>6</v>
      </c>
      <c r="N2600" t="s">
        <v>4924</v>
      </c>
    </row>
    <row r="2601" spans="1:14" x14ac:dyDescent="0.35">
      <c r="A2601" t="s">
        <v>7012</v>
      </c>
      <c r="B2601" t="s">
        <v>7013</v>
      </c>
      <c r="C2601" t="s">
        <v>62</v>
      </c>
      <c r="D2601">
        <v>71.89</v>
      </c>
      <c r="E2601">
        <v>4000</v>
      </c>
      <c r="F2601" t="s">
        <v>42</v>
      </c>
      <c r="G2601" t="s">
        <v>32</v>
      </c>
      <c r="H2601" t="s">
        <v>33</v>
      </c>
      <c r="I2601" t="s">
        <v>44</v>
      </c>
      <c r="J2601" t="s">
        <v>70</v>
      </c>
      <c r="K2601" t="s">
        <v>31</v>
      </c>
      <c r="L2601">
        <v>15</v>
      </c>
      <c r="N2601" t="s">
        <v>4140</v>
      </c>
    </row>
    <row r="2602" spans="1:14" x14ac:dyDescent="0.35">
      <c r="A2602" t="s">
        <v>7014</v>
      </c>
      <c r="B2602" t="s">
        <v>7015</v>
      </c>
      <c r="C2602" t="s">
        <v>69</v>
      </c>
      <c r="D2602">
        <v>80.36</v>
      </c>
      <c r="E2602">
        <v>46000</v>
      </c>
      <c r="F2602" t="s">
        <v>76</v>
      </c>
      <c r="G2602" t="s">
        <v>32</v>
      </c>
      <c r="H2602" t="s">
        <v>33</v>
      </c>
      <c r="I2602" t="s">
        <v>34</v>
      </c>
      <c r="J2602" t="s">
        <v>70</v>
      </c>
      <c r="K2602" t="s">
        <v>31</v>
      </c>
      <c r="L2602">
        <v>20</v>
      </c>
      <c r="N2602" t="s">
        <v>4717</v>
      </c>
    </row>
    <row r="2603" spans="1:14" x14ac:dyDescent="0.35">
      <c r="A2603" t="s">
        <v>7016</v>
      </c>
      <c r="B2603" t="s">
        <v>7017</v>
      </c>
      <c r="C2603" t="s">
        <v>116</v>
      </c>
      <c r="D2603">
        <v>7.73</v>
      </c>
      <c r="E2603">
        <v>400</v>
      </c>
      <c r="F2603" t="s">
        <v>236</v>
      </c>
      <c r="G2603" t="s">
        <v>32</v>
      </c>
      <c r="H2603" t="s">
        <v>33</v>
      </c>
      <c r="I2603" t="s">
        <v>34</v>
      </c>
      <c r="J2603" t="s">
        <v>70</v>
      </c>
      <c r="K2603" t="s">
        <v>31</v>
      </c>
      <c r="L2603">
        <v>22</v>
      </c>
      <c r="N2603" t="s">
        <v>841</v>
      </c>
    </row>
    <row r="2604" spans="1:14" x14ac:dyDescent="0.35">
      <c r="A2604" t="s">
        <v>7018</v>
      </c>
      <c r="B2604" t="s">
        <v>7019</v>
      </c>
      <c r="C2604" t="s">
        <v>41</v>
      </c>
      <c r="D2604">
        <v>103.65</v>
      </c>
      <c r="E2604">
        <v>10000</v>
      </c>
      <c r="F2604" t="s">
        <v>42</v>
      </c>
      <c r="G2604" t="s">
        <v>32</v>
      </c>
      <c r="H2604" t="s">
        <v>43</v>
      </c>
      <c r="I2604" t="s">
        <v>129</v>
      </c>
      <c r="J2604" t="s">
        <v>45</v>
      </c>
      <c r="K2604" t="s">
        <v>46</v>
      </c>
      <c r="L2604">
        <v>16</v>
      </c>
      <c r="N2604" t="s">
        <v>2434</v>
      </c>
    </row>
    <row r="2605" spans="1:14" x14ac:dyDescent="0.35">
      <c r="A2605" t="s">
        <v>7020</v>
      </c>
      <c r="B2605" t="s">
        <v>7021</v>
      </c>
      <c r="C2605" t="s">
        <v>62</v>
      </c>
      <c r="D2605">
        <v>61.86</v>
      </c>
      <c r="E2605">
        <v>4000</v>
      </c>
      <c r="F2605" t="s">
        <v>36</v>
      </c>
      <c r="G2605" t="s">
        <v>32</v>
      </c>
      <c r="H2605" t="s">
        <v>57</v>
      </c>
      <c r="I2605" t="s">
        <v>34</v>
      </c>
      <c r="J2605" t="s">
        <v>35</v>
      </c>
      <c r="K2605" t="s">
        <v>36</v>
      </c>
      <c r="L2605">
        <v>7</v>
      </c>
      <c r="N2605" t="s">
        <v>610</v>
      </c>
    </row>
    <row r="2606" spans="1:14" x14ac:dyDescent="0.35">
      <c r="A2606" t="s">
        <v>7022</v>
      </c>
      <c r="B2606" t="s">
        <v>7023</v>
      </c>
      <c r="C2606" t="s">
        <v>69</v>
      </c>
      <c r="D2606">
        <v>78.83</v>
      </c>
      <c r="E2606">
        <v>77000</v>
      </c>
      <c r="F2606" t="s">
        <v>46</v>
      </c>
      <c r="G2606" t="s">
        <v>32</v>
      </c>
      <c r="H2606" t="s">
        <v>57</v>
      </c>
      <c r="J2606" t="s">
        <v>45</v>
      </c>
      <c r="K2606" t="s">
        <v>46</v>
      </c>
      <c r="L2606">
        <v>21</v>
      </c>
      <c r="M2606" t="s">
        <v>1273</v>
      </c>
      <c r="N2606" t="s">
        <v>2918</v>
      </c>
    </row>
    <row r="2607" spans="1:14" x14ac:dyDescent="0.35">
      <c r="A2607" t="s">
        <v>7024</v>
      </c>
      <c r="B2607" t="s">
        <v>7025</v>
      </c>
      <c r="C2607" t="s">
        <v>69</v>
      </c>
      <c r="D2607">
        <v>70.53</v>
      </c>
      <c r="E2607">
        <v>84000</v>
      </c>
      <c r="F2607" t="s">
        <v>87</v>
      </c>
      <c r="G2607" t="s">
        <v>32</v>
      </c>
      <c r="H2607" t="s">
        <v>33</v>
      </c>
      <c r="I2607" t="s">
        <v>44</v>
      </c>
      <c r="J2607" t="s">
        <v>2013</v>
      </c>
      <c r="K2607" t="s">
        <v>147</v>
      </c>
      <c r="L2607">
        <v>19</v>
      </c>
      <c r="M2607" t="s">
        <v>2437</v>
      </c>
      <c r="N2607" t="s">
        <v>7026</v>
      </c>
    </row>
    <row r="2608" spans="1:14" x14ac:dyDescent="0.35">
      <c r="A2608" t="s">
        <v>7027</v>
      </c>
      <c r="B2608" t="s">
        <v>7028</v>
      </c>
      <c r="C2608" t="s">
        <v>62</v>
      </c>
      <c r="D2608">
        <v>93.8</v>
      </c>
      <c r="E2608">
        <v>2000</v>
      </c>
      <c r="F2608" t="s">
        <v>97</v>
      </c>
      <c r="G2608" t="s">
        <v>32</v>
      </c>
      <c r="H2608" t="s">
        <v>43</v>
      </c>
      <c r="I2608" t="s">
        <v>34</v>
      </c>
      <c r="J2608" t="s">
        <v>3494</v>
      </c>
      <c r="K2608" t="s">
        <v>51</v>
      </c>
      <c r="L2608">
        <v>17</v>
      </c>
      <c r="M2608" t="s">
        <v>742</v>
      </c>
      <c r="N2608" t="s">
        <v>213</v>
      </c>
    </row>
    <row r="2609" spans="1:14" x14ac:dyDescent="0.35">
      <c r="A2609" t="s">
        <v>7029</v>
      </c>
      <c r="B2609" t="s">
        <v>7030</v>
      </c>
      <c r="C2609" t="s">
        <v>81</v>
      </c>
      <c r="D2609">
        <v>121.94</v>
      </c>
      <c r="E2609">
        <v>2000</v>
      </c>
      <c r="F2609" t="s">
        <v>97</v>
      </c>
      <c r="G2609" t="s">
        <v>32</v>
      </c>
      <c r="H2609" t="s">
        <v>43</v>
      </c>
      <c r="J2609" t="s">
        <v>124</v>
      </c>
      <c r="K2609" t="s">
        <v>117</v>
      </c>
      <c r="L2609">
        <v>8</v>
      </c>
      <c r="M2609" t="s">
        <v>916</v>
      </c>
      <c r="N2609" t="s">
        <v>4275</v>
      </c>
    </row>
    <row r="2610" spans="1:14" x14ac:dyDescent="0.35">
      <c r="A2610" t="s">
        <v>7031</v>
      </c>
      <c r="B2610" t="s">
        <v>7032</v>
      </c>
      <c r="C2610" t="s">
        <v>62</v>
      </c>
      <c r="D2610">
        <v>52.27</v>
      </c>
      <c r="E2610">
        <v>3000</v>
      </c>
      <c r="F2610" t="s">
        <v>31</v>
      </c>
      <c r="G2610" t="s">
        <v>32</v>
      </c>
      <c r="H2610" t="s">
        <v>43</v>
      </c>
      <c r="I2610" t="s">
        <v>44</v>
      </c>
      <c r="J2610" t="s">
        <v>278</v>
      </c>
      <c r="K2610" t="s">
        <v>97</v>
      </c>
      <c r="L2610">
        <v>16</v>
      </c>
      <c r="M2610" t="s">
        <v>3599</v>
      </c>
      <c r="N2610" t="s">
        <v>5112</v>
      </c>
    </row>
    <row r="2611" spans="1:14" x14ac:dyDescent="0.35">
      <c r="A2611" t="s">
        <v>7033</v>
      </c>
      <c r="B2611" t="s">
        <v>7034</v>
      </c>
      <c r="C2611" t="s">
        <v>69</v>
      </c>
      <c r="D2611">
        <v>77.53</v>
      </c>
      <c r="E2611">
        <v>81000</v>
      </c>
      <c r="F2611" t="s">
        <v>74</v>
      </c>
      <c r="G2611" t="s">
        <v>32</v>
      </c>
      <c r="H2611" t="s">
        <v>33</v>
      </c>
      <c r="I2611" t="s">
        <v>44</v>
      </c>
      <c r="J2611" t="s">
        <v>35</v>
      </c>
      <c r="K2611" t="s">
        <v>36</v>
      </c>
      <c r="L2611">
        <v>3</v>
      </c>
      <c r="M2611" t="s">
        <v>4712</v>
      </c>
      <c r="N2611" t="s">
        <v>7035</v>
      </c>
    </row>
    <row r="2612" spans="1:14" x14ac:dyDescent="0.35">
      <c r="A2612" t="s">
        <v>7036</v>
      </c>
      <c r="B2612" t="s">
        <v>7037</v>
      </c>
      <c r="C2612" t="s">
        <v>81</v>
      </c>
      <c r="D2612">
        <v>99.44</v>
      </c>
      <c r="E2612">
        <v>6000</v>
      </c>
      <c r="F2612" t="s">
        <v>106</v>
      </c>
      <c r="G2612" t="s">
        <v>32</v>
      </c>
      <c r="H2612" t="s">
        <v>33</v>
      </c>
      <c r="I2612" t="s">
        <v>44</v>
      </c>
      <c r="J2612" t="s">
        <v>118</v>
      </c>
      <c r="K2612" t="s">
        <v>42</v>
      </c>
      <c r="L2612">
        <v>7</v>
      </c>
      <c r="M2612" t="s">
        <v>930</v>
      </c>
      <c r="N2612" t="s">
        <v>6480</v>
      </c>
    </row>
    <row r="2613" spans="1:14" x14ac:dyDescent="0.35">
      <c r="A2613" t="s">
        <v>7038</v>
      </c>
      <c r="B2613" t="s">
        <v>7039</v>
      </c>
      <c r="C2613" t="s">
        <v>41</v>
      </c>
      <c r="D2613">
        <v>123.35</v>
      </c>
      <c r="E2613">
        <v>24000</v>
      </c>
      <c r="F2613" t="s">
        <v>31</v>
      </c>
      <c r="G2613" t="s">
        <v>32</v>
      </c>
      <c r="H2613" t="s">
        <v>33</v>
      </c>
      <c r="J2613" t="s">
        <v>107</v>
      </c>
      <c r="K2613" t="s">
        <v>87</v>
      </c>
      <c r="L2613">
        <v>19</v>
      </c>
      <c r="N2613" t="s">
        <v>240</v>
      </c>
    </row>
    <row r="2614" spans="1:14" x14ac:dyDescent="0.35">
      <c r="A2614" t="s">
        <v>7040</v>
      </c>
      <c r="B2614" t="s">
        <v>7041</v>
      </c>
      <c r="C2614" t="s">
        <v>41</v>
      </c>
      <c r="D2614">
        <v>156.36000000000001</v>
      </c>
      <c r="E2614">
        <v>31000</v>
      </c>
      <c r="F2614" t="s">
        <v>74</v>
      </c>
      <c r="G2614" t="s">
        <v>32</v>
      </c>
      <c r="H2614" t="s">
        <v>33</v>
      </c>
      <c r="I2614" t="s">
        <v>129</v>
      </c>
      <c r="J2614" t="s">
        <v>107</v>
      </c>
      <c r="K2614" t="s">
        <v>87</v>
      </c>
      <c r="L2614">
        <v>19</v>
      </c>
      <c r="M2614" t="s">
        <v>624</v>
      </c>
      <c r="N2614" t="s">
        <v>7042</v>
      </c>
    </row>
    <row r="2615" spans="1:14" x14ac:dyDescent="0.35">
      <c r="A2615" t="s">
        <v>7043</v>
      </c>
      <c r="B2615" t="s">
        <v>7044</v>
      </c>
      <c r="C2615" t="s">
        <v>41</v>
      </c>
      <c r="D2615">
        <v>145.9</v>
      </c>
      <c r="E2615">
        <v>17000</v>
      </c>
      <c r="F2615" t="s">
        <v>106</v>
      </c>
      <c r="G2615" t="s">
        <v>32</v>
      </c>
      <c r="H2615" t="s">
        <v>33</v>
      </c>
      <c r="I2615" t="s">
        <v>44</v>
      </c>
      <c r="J2615" t="s">
        <v>118</v>
      </c>
      <c r="K2615" t="s">
        <v>42</v>
      </c>
      <c r="L2615">
        <v>11</v>
      </c>
      <c r="N2615" t="s">
        <v>662</v>
      </c>
    </row>
    <row r="2616" spans="1:14" x14ac:dyDescent="0.35">
      <c r="A2616" t="s">
        <v>7045</v>
      </c>
      <c r="B2616" t="s">
        <v>7046</v>
      </c>
      <c r="C2616" t="s">
        <v>41</v>
      </c>
      <c r="D2616">
        <v>93.91</v>
      </c>
      <c r="E2616">
        <v>12000</v>
      </c>
      <c r="F2616" t="s">
        <v>123</v>
      </c>
      <c r="G2616" t="s">
        <v>32</v>
      </c>
      <c r="H2616" t="s">
        <v>43</v>
      </c>
      <c r="I2616" t="s">
        <v>129</v>
      </c>
      <c r="J2616" t="s">
        <v>7047</v>
      </c>
      <c r="K2616" t="s">
        <v>51</v>
      </c>
      <c r="L2616">
        <v>4</v>
      </c>
      <c r="M2616" t="s">
        <v>1151</v>
      </c>
      <c r="N2616" t="s">
        <v>7048</v>
      </c>
    </row>
    <row r="2617" spans="1:14" x14ac:dyDescent="0.35">
      <c r="A2617" t="s">
        <v>7049</v>
      </c>
      <c r="B2617" t="s">
        <v>7050</v>
      </c>
      <c r="C2617" t="s">
        <v>116</v>
      </c>
      <c r="D2617">
        <v>9.82</v>
      </c>
      <c r="E2617">
        <v>500</v>
      </c>
      <c r="F2617" t="s">
        <v>117</v>
      </c>
      <c r="G2617" t="s">
        <v>32</v>
      </c>
      <c r="H2617" t="s">
        <v>33</v>
      </c>
      <c r="I2617" t="s">
        <v>34</v>
      </c>
      <c r="J2617" t="s">
        <v>130</v>
      </c>
      <c r="K2617" t="s">
        <v>123</v>
      </c>
      <c r="L2617">
        <v>23</v>
      </c>
      <c r="M2617" t="s">
        <v>1111</v>
      </c>
      <c r="N2617" t="s">
        <v>2448</v>
      </c>
    </row>
    <row r="2618" spans="1:14" x14ac:dyDescent="0.35">
      <c r="A2618" t="s">
        <v>7051</v>
      </c>
      <c r="B2618" t="s">
        <v>7052</v>
      </c>
      <c r="C2618" t="s">
        <v>30</v>
      </c>
      <c r="D2618">
        <v>113.42</v>
      </c>
      <c r="E2618">
        <v>14000</v>
      </c>
      <c r="F2618" t="s">
        <v>51</v>
      </c>
      <c r="G2618" t="s">
        <v>32</v>
      </c>
      <c r="H2618" t="s">
        <v>43</v>
      </c>
      <c r="I2618" t="s">
        <v>44</v>
      </c>
      <c r="J2618" t="s">
        <v>209</v>
      </c>
      <c r="K2618" t="s">
        <v>74</v>
      </c>
      <c r="L2618">
        <v>18</v>
      </c>
      <c r="M2618" t="s">
        <v>1050</v>
      </c>
      <c r="N2618" t="s">
        <v>1662</v>
      </c>
    </row>
    <row r="2619" spans="1:14" x14ac:dyDescent="0.35">
      <c r="A2619" t="s">
        <v>7053</v>
      </c>
      <c r="B2619" t="s">
        <v>7054</v>
      </c>
      <c r="C2619" t="s">
        <v>69</v>
      </c>
      <c r="D2619">
        <v>61.48</v>
      </c>
      <c r="E2619">
        <v>30000</v>
      </c>
      <c r="F2619" t="s">
        <v>74</v>
      </c>
      <c r="G2619" t="s">
        <v>32</v>
      </c>
      <c r="H2619" t="s">
        <v>33</v>
      </c>
      <c r="I2619" t="s">
        <v>34</v>
      </c>
      <c r="J2619" t="s">
        <v>130</v>
      </c>
      <c r="K2619" t="s">
        <v>123</v>
      </c>
      <c r="L2619">
        <v>22</v>
      </c>
      <c r="M2619" t="s">
        <v>289</v>
      </c>
      <c r="N2619" t="s">
        <v>1888</v>
      </c>
    </row>
    <row r="2620" spans="1:14" x14ac:dyDescent="0.35">
      <c r="A2620" t="s">
        <v>7055</v>
      </c>
      <c r="B2620" t="s">
        <v>7056</v>
      </c>
      <c r="C2620" t="s">
        <v>41</v>
      </c>
      <c r="D2620">
        <v>143.62</v>
      </c>
      <c r="E2620">
        <v>37000</v>
      </c>
      <c r="F2620" t="s">
        <v>51</v>
      </c>
      <c r="G2620" t="s">
        <v>32</v>
      </c>
      <c r="H2620" t="s">
        <v>43</v>
      </c>
      <c r="J2620" t="s">
        <v>107</v>
      </c>
      <c r="K2620" t="s">
        <v>87</v>
      </c>
      <c r="L2620">
        <v>0</v>
      </c>
      <c r="M2620" t="s">
        <v>2967</v>
      </c>
      <c r="N2620" t="s">
        <v>6358</v>
      </c>
    </row>
    <row r="2621" spans="1:14" x14ac:dyDescent="0.35">
      <c r="A2621" t="s">
        <v>7057</v>
      </c>
      <c r="B2621" t="s">
        <v>7058</v>
      </c>
      <c r="C2621" t="s">
        <v>116</v>
      </c>
      <c r="D2621">
        <v>6.82</v>
      </c>
      <c r="E2621">
        <v>700</v>
      </c>
      <c r="F2621" t="s">
        <v>236</v>
      </c>
      <c r="G2621" t="s">
        <v>32</v>
      </c>
      <c r="H2621" t="s">
        <v>33</v>
      </c>
      <c r="I2621" t="s">
        <v>34</v>
      </c>
      <c r="J2621" t="s">
        <v>45</v>
      </c>
      <c r="K2621" t="s">
        <v>46</v>
      </c>
      <c r="L2621">
        <v>2</v>
      </c>
      <c r="M2621" t="s">
        <v>738</v>
      </c>
      <c r="N2621" t="s">
        <v>1305</v>
      </c>
    </row>
    <row r="2622" spans="1:14" x14ac:dyDescent="0.35">
      <c r="A2622" t="s">
        <v>7059</v>
      </c>
      <c r="B2622" t="s">
        <v>7060</v>
      </c>
      <c r="C2622" t="s">
        <v>62</v>
      </c>
      <c r="D2622">
        <v>91.67</v>
      </c>
      <c r="E2622">
        <v>1000</v>
      </c>
      <c r="F2622" t="s">
        <v>42</v>
      </c>
      <c r="G2622" t="s">
        <v>32</v>
      </c>
      <c r="H2622" t="s">
        <v>33</v>
      </c>
      <c r="I2622" t="s">
        <v>44</v>
      </c>
      <c r="J2622" t="s">
        <v>7061</v>
      </c>
      <c r="K2622" t="s">
        <v>147</v>
      </c>
      <c r="L2622">
        <v>21</v>
      </c>
      <c r="N2622" t="s">
        <v>2761</v>
      </c>
    </row>
    <row r="2623" spans="1:14" x14ac:dyDescent="0.35">
      <c r="A2623" t="s">
        <v>7062</v>
      </c>
      <c r="B2623" t="s">
        <v>7063</v>
      </c>
      <c r="C2623" t="s">
        <v>116</v>
      </c>
      <c r="D2623">
        <v>8.1</v>
      </c>
      <c r="E2623">
        <v>300</v>
      </c>
      <c r="F2623" t="s">
        <v>42</v>
      </c>
      <c r="G2623" t="s">
        <v>32</v>
      </c>
      <c r="H2623" t="s">
        <v>33</v>
      </c>
      <c r="I2623" t="s">
        <v>44</v>
      </c>
      <c r="J2623" t="s">
        <v>45</v>
      </c>
      <c r="K2623" t="s">
        <v>46</v>
      </c>
      <c r="L2623">
        <v>2</v>
      </c>
      <c r="M2623" t="s">
        <v>53</v>
      </c>
      <c r="N2623" t="s">
        <v>2168</v>
      </c>
    </row>
    <row r="2624" spans="1:14" x14ac:dyDescent="0.35">
      <c r="A2624" t="s">
        <v>7064</v>
      </c>
      <c r="B2624" t="s">
        <v>7065</v>
      </c>
      <c r="C2624" t="s">
        <v>81</v>
      </c>
      <c r="D2624">
        <v>72.08</v>
      </c>
      <c r="E2624">
        <v>7000</v>
      </c>
      <c r="F2624" t="s">
        <v>42</v>
      </c>
      <c r="G2624" t="s">
        <v>32</v>
      </c>
      <c r="H2624" t="s">
        <v>57</v>
      </c>
      <c r="I2624" t="s">
        <v>34</v>
      </c>
      <c r="J2624" t="s">
        <v>45</v>
      </c>
      <c r="K2624" t="s">
        <v>46</v>
      </c>
      <c r="L2624">
        <v>4</v>
      </c>
      <c r="M2624" t="s">
        <v>1143</v>
      </c>
      <c r="N2624" t="s">
        <v>1093</v>
      </c>
    </row>
    <row r="2625" spans="1:14" x14ac:dyDescent="0.35">
      <c r="A2625" t="s">
        <v>7066</v>
      </c>
      <c r="B2625" t="s">
        <v>7067</v>
      </c>
      <c r="C2625" t="s">
        <v>116</v>
      </c>
      <c r="D2625">
        <v>10.34</v>
      </c>
      <c r="E2625">
        <v>700</v>
      </c>
      <c r="F2625" t="s">
        <v>42</v>
      </c>
      <c r="G2625" t="s">
        <v>32</v>
      </c>
      <c r="H2625" t="s">
        <v>43</v>
      </c>
      <c r="I2625" t="s">
        <v>44</v>
      </c>
      <c r="J2625" t="s">
        <v>4976</v>
      </c>
      <c r="K2625" t="s">
        <v>97</v>
      </c>
      <c r="L2625">
        <v>1</v>
      </c>
      <c r="M2625" t="s">
        <v>624</v>
      </c>
      <c r="N2625" t="s">
        <v>7068</v>
      </c>
    </row>
    <row r="2626" spans="1:14" x14ac:dyDescent="0.35">
      <c r="A2626" t="s">
        <v>7069</v>
      </c>
      <c r="B2626" t="s">
        <v>7070</v>
      </c>
      <c r="C2626" t="s">
        <v>41</v>
      </c>
      <c r="D2626">
        <v>142.66</v>
      </c>
      <c r="E2626">
        <v>37000</v>
      </c>
      <c r="F2626" t="s">
        <v>64</v>
      </c>
      <c r="G2626" t="s">
        <v>32</v>
      </c>
      <c r="H2626" t="s">
        <v>57</v>
      </c>
      <c r="I2626" t="s">
        <v>34</v>
      </c>
      <c r="J2626" t="s">
        <v>112</v>
      </c>
      <c r="K2626" t="s">
        <v>106</v>
      </c>
      <c r="L2626">
        <v>4</v>
      </c>
      <c r="N2626" t="s">
        <v>2597</v>
      </c>
    </row>
    <row r="2627" spans="1:14" x14ac:dyDescent="0.35">
      <c r="A2627" t="s">
        <v>7071</v>
      </c>
      <c r="B2627" t="s">
        <v>7072</v>
      </c>
      <c r="C2627" t="s">
        <v>116</v>
      </c>
      <c r="D2627">
        <v>9.5500000000000007</v>
      </c>
      <c r="E2627">
        <v>300</v>
      </c>
      <c r="F2627" t="s">
        <v>236</v>
      </c>
      <c r="G2627" t="s">
        <v>32</v>
      </c>
      <c r="H2627" t="s">
        <v>43</v>
      </c>
      <c r="I2627" t="s">
        <v>44</v>
      </c>
      <c r="J2627" t="s">
        <v>6758</v>
      </c>
      <c r="K2627" t="s">
        <v>51</v>
      </c>
      <c r="L2627">
        <v>19</v>
      </c>
      <c r="M2627" t="s">
        <v>563</v>
      </c>
      <c r="N2627" t="s">
        <v>1519</v>
      </c>
    </row>
    <row r="2628" spans="1:14" x14ac:dyDescent="0.35">
      <c r="A2628" t="s">
        <v>7073</v>
      </c>
      <c r="B2628" t="s">
        <v>7074</v>
      </c>
      <c r="C2628" t="s">
        <v>41</v>
      </c>
      <c r="D2628">
        <v>150.77000000000001</v>
      </c>
      <c r="E2628">
        <v>24000</v>
      </c>
      <c r="F2628" t="s">
        <v>97</v>
      </c>
      <c r="G2628" t="s">
        <v>32</v>
      </c>
      <c r="H2628" t="s">
        <v>43</v>
      </c>
      <c r="I2628" t="s">
        <v>34</v>
      </c>
      <c r="J2628" t="s">
        <v>235</v>
      </c>
      <c r="K2628" t="s">
        <v>236</v>
      </c>
      <c r="L2628">
        <v>11</v>
      </c>
      <c r="M2628" t="s">
        <v>649</v>
      </c>
      <c r="N2628" t="s">
        <v>4746</v>
      </c>
    </row>
    <row r="2629" spans="1:14" x14ac:dyDescent="0.35">
      <c r="A2629" t="s">
        <v>7075</v>
      </c>
      <c r="B2629" t="s">
        <v>7076</v>
      </c>
      <c r="C2629" t="s">
        <v>30</v>
      </c>
      <c r="D2629">
        <v>114.96</v>
      </c>
      <c r="E2629">
        <v>10000</v>
      </c>
      <c r="F2629" t="s">
        <v>236</v>
      </c>
      <c r="G2629" t="s">
        <v>32</v>
      </c>
      <c r="H2629" t="s">
        <v>57</v>
      </c>
      <c r="I2629" t="s">
        <v>44</v>
      </c>
      <c r="J2629" t="s">
        <v>130</v>
      </c>
      <c r="K2629" t="s">
        <v>123</v>
      </c>
      <c r="L2629">
        <v>15</v>
      </c>
      <c r="M2629" t="s">
        <v>3266</v>
      </c>
      <c r="N2629" t="s">
        <v>4527</v>
      </c>
    </row>
    <row r="2630" spans="1:14" x14ac:dyDescent="0.35">
      <c r="A2630" t="s">
        <v>7077</v>
      </c>
      <c r="B2630" t="s">
        <v>7078</v>
      </c>
      <c r="C2630" t="s">
        <v>62</v>
      </c>
      <c r="D2630">
        <v>68.790000000000006</v>
      </c>
      <c r="E2630">
        <v>2000</v>
      </c>
      <c r="F2630" t="s">
        <v>106</v>
      </c>
      <c r="G2630" t="s">
        <v>32</v>
      </c>
      <c r="H2630" t="s">
        <v>43</v>
      </c>
      <c r="I2630" t="s">
        <v>129</v>
      </c>
      <c r="J2630" t="s">
        <v>1950</v>
      </c>
      <c r="K2630" t="s">
        <v>42</v>
      </c>
      <c r="L2630">
        <v>13</v>
      </c>
      <c r="M2630" t="s">
        <v>3064</v>
      </c>
      <c r="N2630" t="s">
        <v>2587</v>
      </c>
    </row>
    <row r="2631" spans="1:14" x14ac:dyDescent="0.35">
      <c r="A2631" t="s">
        <v>7079</v>
      </c>
      <c r="B2631" t="s">
        <v>7080</v>
      </c>
      <c r="C2631" t="s">
        <v>41</v>
      </c>
      <c r="D2631">
        <v>131.28</v>
      </c>
      <c r="E2631">
        <v>30000</v>
      </c>
      <c r="F2631" t="s">
        <v>36</v>
      </c>
      <c r="G2631" t="s">
        <v>32</v>
      </c>
      <c r="H2631" t="s">
        <v>33</v>
      </c>
      <c r="I2631" t="s">
        <v>34</v>
      </c>
      <c r="J2631" t="s">
        <v>118</v>
      </c>
      <c r="K2631" t="s">
        <v>42</v>
      </c>
      <c r="L2631">
        <v>17</v>
      </c>
      <c r="M2631" t="s">
        <v>180</v>
      </c>
      <c r="N2631" t="s">
        <v>1337</v>
      </c>
    </row>
    <row r="2632" spans="1:14" x14ac:dyDescent="0.35">
      <c r="A2632" t="s">
        <v>7081</v>
      </c>
      <c r="B2632" t="s">
        <v>7082</v>
      </c>
      <c r="C2632" t="s">
        <v>30</v>
      </c>
      <c r="D2632">
        <v>165.96</v>
      </c>
      <c r="E2632">
        <v>13000</v>
      </c>
      <c r="F2632" t="s">
        <v>106</v>
      </c>
      <c r="G2632" t="s">
        <v>32</v>
      </c>
      <c r="H2632" t="s">
        <v>43</v>
      </c>
      <c r="J2632" t="s">
        <v>63</v>
      </c>
      <c r="K2632" t="s">
        <v>64</v>
      </c>
      <c r="L2632">
        <v>18</v>
      </c>
      <c r="M2632" t="s">
        <v>1798</v>
      </c>
      <c r="N2632" t="s">
        <v>3559</v>
      </c>
    </row>
    <row r="2633" spans="1:14" x14ac:dyDescent="0.35">
      <c r="A2633" t="s">
        <v>7083</v>
      </c>
      <c r="B2633" t="s">
        <v>7084</v>
      </c>
      <c r="C2633" t="s">
        <v>41</v>
      </c>
      <c r="D2633">
        <v>116.87</v>
      </c>
      <c r="E2633">
        <v>25000</v>
      </c>
      <c r="F2633" t="s">
        <v>106</v>
      </c>
      <c r="G2633" t="s">
        <v>32</v>
      </c>
      <c r="H2633" t="s">
        <v>57</v>
      </c>
      <c r="I2633" t="s">
        <v>129</v>
      </c>
      <c r="J2633" t="s">
        <v>683</v>
      </c>
      <c r="K2633" t="s">
        <v>97</v>
      </c>
      <c r="L2633">
        <v>0</v>
      </c>
      <c r="M2633" t="s">
        <v>593</v>
      </c>
      <c r="N2633" t="s">
        <v>3661</v>
      </c>
    </row>
    <row r="2634" spans="1:14" x14ac:dyDescent="0.35">
      <c r="A2634" t="s">
        <v>7085</v>
      </c>
      <c r="B2634" t="s">
        <v>7086</v>
      </c>
      <c r="C2634" t="s">
        <v>69</v>
      </c>
      <c r="D2634">
        <v>80</v>
      </c>
      <c r="E2634">
        <v>61000</v>
      </c>
      <c r="F2634" t="s">
        <v>64</v>
      </c>
      <c r="G2634" t="s">
        <v>32</v>
      </c>
      <c r="H2634" t="s">
        <v>43</v>
      </c>
      <c r="I2634" t="s">
        <v>44</v>
      </c>
      <c r="J2634" t="s">
        <v>124</v>
      </c>
      <c r="K2634" t="s">
        <v>117</v>
      </c>
      <c r="L2634">
        <v>4</v>
      </c>
      <c r="N2634" t="s">
        <v>753</v>
      </c>
    </row>
    <row r="2635" spans="1:14" x14ac:dyDescent="0.35">
      <c r="A2635" t="s">
        <v>7087</v>
      </c>
      <c r="B2635" t="s">
        <v>7088</v>
      </c>
      <c r="C2635" t="s">
        <v>41</v>
      </c>
      <c r="D2635">
        <v>131.54</v>
      </c>
      <c r="E2635">
        <v>13000</v>
      </c>
      <c r="F2635" t="s">
        <v>74</v>
      </c>
      <c r="G2635" t="s">
        <v>32</v>
      </c>
      <c r="H2635" t="s">
        <v>33</v>
      </c>
      <c r="I2635" t="s">
        <v>34</v>
      </c>
      <c r="J2635" t="s">
        <v>35</v>
      </c>
      <c r="K2635" t="s">
        <v>36</v>
      </c>
      <c r="L2635">
        <v>13</v>
      </c>
      <c r="M2635" t="s">
        <v>1839</v>
      </c>
      <c r="N2635" t="s">
        <v>757</v>
      </c>
    </row>
    <row r="2636" spans="1:14" x14ac:dyDescent="0.35">
      <c r="A2636" t="s">
        <v>7089</v>
      </c>
      <c r="B2636" t="s">
        <v>7090</v>
      </c>
      <c r="C2636" t="s">
        <v>69</v>
      </c>
      <c r="D2636">
        <v>83.71</v>
      </c>
      <c r="E2636">
        <v>37000</v>
      </c>
      <c r="F2636" t="s">
        <v>117</v>
      </c>
      <c r="G2636" t="s">
        <v>32</v>
      </c>
      <c r="H2636" t="s">
        <v>33</v>
      </c>
      <c r="J2636" t="s">
        <v>70</v>
      </c>
      <c r="K2636" t="s">
        <v>31</v>
      </c>
      <c r="L2636">
        <v>5</v>
      </c>
      <c r="M2636" t="s">
        <v>3934</v>
      </c>
      <c r="N2636" t="s">
        <v>2964</v>
      </c>
    </row>
    <row r="2637" spans="1:14" x14ac:dyDescent="0.35">
      <c r="A2637" t="s">
        <v>7091</v>
      </c>
      <c r="B2637" t="s">
        <v>7092</v>
      </c>
      <c r="C2637" t="s">
        <v>62</v>
      </c>
      <c r="D2637">
        <v>62.68</v>
      </c>
      <c r="E2637">
        <v>3000</v>
      </c>
      <c r="F2637" t="s">
        <v>46</v>
      </c>
      <c r="G2637" t="s">
        <v>102</v>
      </c>
      <c r="H2637" t="s">
        <v>43</v>
      </c>
      <c r="I2637" t="s">
        <v>44</v>
      </c>
      <c r="J2637" t="s">
        <v>316</v>
      </c>
      <c r="K2637" t="s">
        <v>97</v>
      </c>
      <c r="L2637">
        <v>14</v>
      </c>
      <c r="N2637" t="s">
        <v>4499</v>
      </c>
    </row>
    <row r="2638" spans="1:14" x14ac:dyDescent="0.35">
      <c r="A2638" t="s">
        <v>7093</v>
      </c>
      <c r="B2638" t="s">
        <v>7094</v>
      </c>
      <c r="C2638" t="s">
        <v>62</v>
      </c>
      <c r="D2638">
        <v>56.73</v>
      </c>
      <c r="E2638">
        <v>1000</v>
      </c>
      <c r="F2638" t="s">
        <v>46</v>
      </c>
      <c r="G2638" t="s">
        <v>32</v>
      </c>
      <c r="H2638" t="s">
        <v>43</v>
      </c>
      <c r="I2638" t="s">
        <v>44</v>
      </c>
      <c r="J2638" t="s">
        <v>124</v>
      </c>
      <c r="K2638" t="s">
        <v>117</v>
      </c>
      <c r="L2638">
        <v>13</v>
      </c>
      <c r="N2638" t="s">
        <v>4535</v>
      </c>
    </row>
    <row r="2639" spans="1:14" x14ac:dyDescent="0.35">
      <c r="A2639" t="s">
        <v>7095</v>
      </c>
      <c r="B2639" t="s">
        <v>7096</v>
      </c>
      <c r="C2639" t="s">
        <v>41</v>
      </c>
      <c r="D2639">
        <v>130.97</v>
      </c>
      <c r="E2639">
        <v>31000</v>
      </c>
      <c r="F2639" t="s">
        <v>74</v>
      </c>
      <c r="G2639" t="s">
        <v>32</v>
      </c>
      <c r="H2639" t="s">
        <v>43</v>
      </c>
      <c r="J2639" t="s">
        <v>124</v>
      </c>
      <c r="K2639" t="s">
        <v>117</v>
      </c>
      <c r="L2639">
        <v>8</v>
      </c>
      <c r="M2639" t="s">
        <v>528</v>
      </c>
      <c r="N2639" t="s">
        <v>3294</v>
      </c>
    </row>
    <row r="2640" spans="1:14" x14ac:dyDescent="0.35">
      <c r="A2640" t="s">
        <v>7097</v>
      </c>
      <c r="B2640" t="s">
        <v>7098</v>
      </c>
      <c r="C2640" t="s">
        <v>41</v>
      </c>
      <c r="D2640">
        <v>88.05</v>
      </c>
      <c r="E2640">
        <v>29000</v>
      </c>
      <c r="F2640" t="s">
        <v>76</v>
      </c>
      <c r="G2640" t="s">
        <v>32</v>
      </c>
      <c r="H2640" t="s">
        <v>57</v>
      </c>
      <c r="I2640" t="s">
        <v>129</v>
      </c>
      <c r="J2640" t="s">
        <v>3766</v>
      </c>
      <c r="K2640" t="s">
        <v>97</v>
      </c>
      <c r="L2640">
        <v>6</v>
      </c>
      <c r="M2640" t="s">
        <v>641</v>
      </c>
      <c r="N2640" t="s">
        <v>2840</v>
      </c>
    </row>
    <row r="2641" spans="1:14" x14ac:dyDescent="0.35">
      <c r="A2641" t="s">
        <v>7099</v>
      </c>
      <c r="B2641" t="s">
        <v>7100</v>
      </c>
      <c r="C2641" t="s">
        <v>62</v>
      </c>
      <c r="D2641">
        <v>53.33</v>
      </c>
      <c r="E2641">
        <v>1000</v>
      </c>
      <c r="F2641" t="s">
        <v>74</v>
      </c>
      <c r="G2641" t="s">
        <v>32</v>
      </c>
      <c r="H2641" t="s">
        <v>43</v>
      </c>
      <c r="I2641" t="s">
        <v>44</v>
      </c>
      <c r="J2641" t="s">
        <v>235</v>
      </c>
      <c r="K2641" t="s">
        <v>236</v>
      </c>
      <c r="L2641">
        <v>18</v>
      </c>
      <c r="N2641" t="s">
        <v>6330</v>
      </c>
    </row>
    <row r="2642" spans="1:14" x14ac:dyDescent="0.35">
      <c r="A2642" t="s">
        <v>7101</v>
      </c>
      <c r="B2642" t="s">
        <v>7102</v>
      </c>
      <c r="C2642" t="s">
        <v>30</v>
      </c>
      <c r="D2642">
        <v>155.18</v>
      </c>
      <c r="E2642">
        <v>9000</v>
      </c>
      <c r="F2642" t="s">
        <v>74</v>
      </c>
      <c r="G2642" t="s">
        <v>32</v>
      </c>
      <c r="H2642" t="s">
        <v>33</v>
      </c>
      <c r="I2642" t="s">
        <v>44</v>
      </c>
      <c r="J2642" t="s">
        <v>63</v>
      </c>
      <c r="K2642" t="s">
        <v>64</v>
      </c>
      <c r="L2642">
        <v>16</v>
      </c>
      <c r="N2642" t="s">
        <v>5896</v>
      </c>
    </row>
    <row r="2643" spans="1:14" x14ac:dyDescent="0.35">
      <c r="A2643" t="s">
        <v>7103</v>
      </c>
      <c r="B2643" t="s">
        <v>7104</v>
      </c>
      <c r="C2643" t="s">
        <v>62</v>
      </c>
      <c r="D2643">
        <v>73.06</v>
      </c>
      <c r="E2643">
        <v>3000</v>
      </c>
      <c r="F2643" t="s">
        <v>36</v>
      </c>
      <c r="G2643" t="s">
        <v>32</v>
      </c>
      <c r="H2643" t="s">
        <v>57</v>
      </c>
      <c r="I2643" t="s">
        <v>44</v>
      </c>
      <c r="J2643" t="s">
        <v>2502</v>
      </c>
      <c r="K2643" t="s">
        <v>51</v>
      </c>
      <c r="L2643">
        <v>9</v>
      </c>
      <c r="N2643" t="s">
        <v>4401</v>
      </c>
    </row>
    <row r="2644" spans="1:14" x14ac:dyDescent="0.35">
      <c r="A2644" t="s">
        <v>7105</v>
      </c>
      <c r="B2644" t="s">
        <v>7106</v>
      </c>
      <c r="C2644" t="s">
        <v>81</v>
      </c>
      <c r="D2644">
        <v>131.82</v>
      </c>
      <c r="E2644">
        <v>1000</v>
      </c>
      <c r="F2644" t="s">
        <v>31</v>
      </c>
      <c r="G2644" t="s">
        <v>32</v>
      </c>
      <c r="H2644" t="s">
        <v>57</v>
      </c>
      <c r="J2644" t="s">
        <v>112</v>
      </c>
      <c r="K2644" t="s">
        <v>106</v>
      </c>
      <c r="L2644">
        <v>19</v>
      </c>
      <c r="N2644" t="s">
        <v>4927</v>
      </c>
    </row>
    <row r="2645" spans="1:14" x14ac:dyDescent="0.35">
      <c r="A2645" t="s">
        <v>7107</v>
      </c>
      <c r="B2645" t="s">
        <v>7108</v>
      </c>
      <c r="C2645" t="s">
        <v>41</v>
      </c>
      <c r="D2645">
        <v>109.97</v>
      </c>
      <c r="E2645">
        <v>25000</v>
      </c>
      <c r="F2645" t="s">
        <v>97</v>
      </c>
      <c r="G2645" t="s">
        <v>32</v>
      </c>
      <c r="H2645" t="s">
        <v>43</v>
      </c>
      <c r="I2645" t="s">
        <v>34</v>
      </c>
      <c r="J2645" t="s">
        <v>118</v>
      </c>
      <c r="K2645" t="s">
        <v>42</v>
      </c>
      <c r="L2645">
        <v>7</v>
      </c>
      <c r="M2645" t="s">
        <v>1527</v>
      </c>
      <c r="N2645" t="s">
        <v>2376</v>
      </c>
    </row>
    <row r="2646" spans="1:14" x14ac:dyDescent="0.35">
      <c r="A2646" t="s">
        <v>7109</v>
      </c>
      <c r="B2646" t="s">
        <v>7110</v>
      </c>
      <c r="C2646" t="s">
        <v>30</v>
      </c>
      <c r="D2646">
        <v>141.4</v>
      </c>
      <c r="E2646">
        <v>2000</v>
      </c>
      <c r="F2646" t="s">
        <v>123</v>
      </c>
      <c r="G2646" t="s">
        <v>32</v>
      </c>
      <c r="H2646" t="s">
        <v>57</v>
      </c>
      <c r="I2646" t="s">
        <v>34</v>
      </c>
      <c r="J2646" t="s">
        <v>7111</v>
      </c>
      <c r="K2646" t="s">
        <v>51</v>
      </c>
      <c r="L2646">
        <v>2</v>
      </c>
      <c r="M2646" t="s">
        <v>675</v>
      </c>
      <c r="N2646" t="s">
        <v>6885</v>
      </c>
    </row>
    <row r="2647" spans="1:14" x14ac:dyDescent="0.35">
      <c r="A2647" t="s">
        <v>7112</v>
      </c>
      <c r="B2647" t="s">
        <v>7113</v>
      </c>
      <c r="C2647" t="s">
        <v>30</v>
      </c>
      <c r="D2647">
        <v>179.15</v>
      </c>
      <c r="E2647">
        <v>17000</v>
      </c>
      <c r="F2647" t="s">
        <v>42</v>
      </c>
      <c r="G2647" t="s">
        <v>32</v>
      </c>
      <c r="H2647" t="s">
        <v>33</v>
      </c>
      <c r="I2647" t="s">
        <v>44</v>
      </c>
      <c r="J2647" t="s">
        <v>130</v>
      </c>
      <c r="K2647" t="s">
        <v>123</v>
      </c>
      <c r="L2647">
        <v>5</v>
      </c>
      <c r="M2647" t="s">
        <v>65</v>
      </c>
      <c r="N2647" t="s">
        <v>7114</v>
      </c>
    </row>
    <row r="2648" spans="1:14" x14ac:dyDescent="0.35">
      <c r="A2648" t="s">
        <v>7115</v>
      </c>
      <c r="B2648" t="s">
        <v>7116</v>
      </c>
      <c r="C2648" t="s">
        <v>62</v>
      </c>
      <c r="D2648">
        <v>98.23</v>
      </c>
      <c r="E2648">
        <v>3000</v>
      </c>
      <c r="F2648" t="s">
        <v>117</v>
      </c>
      <c r="G2648" t="s">
        <v>32</v>
      </c>
      <c r="H2648" t="s">
        <v>33</v>
      </c>
      <c r="I2648" t="s">
        <v>34</v>
      </c>
      <c r="J2648" t="s">
        <v>124</v>
      </c>
      <c r="K2648" t="s">
        <v>117</v>
      </c>
      <c r="L2648">
        <v>8</v>
      </c>
      <c r="M2648" t="s">
        <v>2492</v>
      </c>
      <c r="N2648" t="s">
        <v>7117</v>
      </c>
    </row>
    <row r="2649" spans="1:14" x14ac:dyDescent="0.35">
      <c r="A2649" t="s">
        <v>7118</v>
      </c>
      <c r="B2649" t="s">
        <v>7119</v>
      </c>
      <c r="C2649" t="s">
        <v>81</v>
      </c>
      <c r="D2649">
        <v>73.62</v>
      </c>
      <c r="E2649">
        <v>6000</v>
      </c>
      <c r="F2649" t="s">
        <v>46</v>
      </c>
      <c r="G2649" t="s">
        <v>32</v>
      </c>
      <c r="H2649" t="s">
        <v>33</v>
      </c>
      <c r="I2649" t="s">
        <v>44</v>
      </c>
      <c r="J2649" t="s">
        <v>118</v>
      </c>
      <c r="K2649" t="s">
        <v>42</v>
      </c>
      <c r="L2649">
        <v>15</v>
      </c>
      <c r="M2649" t="s">
        <v>3788</v>
      </c>
      <c r="N2649" t="s">
        <v>4499</v>
      </c>
    </row>
    <row r="2650" spans="1:14" x14ac:dyDescent="0.35">
      <c r="A2650" t="s">
        <v>7120</v>
      </c>
      <c r="B2650" t="s">
        <v>7121</v>
      </c>
      <c r="C2650" t="s">
        <v>116</v>
      </c>
      <c r="D2650">
        <v>7.27</v>
      </c>
      <c r="E2650">
        <v>600</v>
      </c>
      <c r="F2650" t="s">
        <v>46</v>
      </c>
      <c r="G2650" t="s">
        <v>32</v>
      </c>
      <c r="H2650" t="s">
        <v>33</v>
      </c>
      <c r="J2650" t="s">
        <v>209</v>
      </c>
      <c r="K2650" t="s">
        <v>74</v>
      </c>
      <c r="L2650">
        <v>12</v>
      </c>
      <c r="M2650" t="s">
        <v>693</v>
      </c>
      <c r="N2650" t="s">
        <v>7122</v>
      </c>
    </row>
    <row r="2651" spans="1:14" x14ac:dyDescent="0.35">
      <c r="A2651" t="s">
        <v>7123</v>
      </c>
      <c r="B2651" t="s">
        <v>7124</v>
      </c>
      <c r="C2651" t="s">
        <v>69</v>
      </c>
      <c r="D2651">
        <v>96.12</v>
      </c>
      <c r="E2651">
        <v>85000</v>
      </c>
      <c r="F2651" t="s">
        <v>31</v>
      </c>
      <c r="G2651" t="s">
        <v>32</v>
      </c>
      <c r="H2651" t="s">
        <v>43</v>
      </c>
      <c r="I2651" t="s">
        <v>34</v>
      </c>
      <c r="J2651" t="s">
        <v>4378</v>
      </c>
      <c r="K2651" t="s">
        <v>147</v>
      </c>
      <c r="L2651">
        <v>20</v>
      </c>
      <c r="M2651" t="s">
        <v>270</v>
      </c>
      <c r="N2651" t="s">
        <v>5251</v>
      </c>
    </row>
    <row r="2652" spans="1:14" x14ac:dyDescent="0.35">
      <c r="A2652" t="s">
        <v>7125</v>
      </c>
      <c r="B2652" t="s">
        <v>7126</v>
      </c>
      <c r="C2652" t="s">
        <v>69</v>
      </c>
      <c r="D2652">
        <v>50.1</v>
      </c>
      <c r="E2652">
        <v>33000</v>
      </c>
      <c r="F2652" t="s">
        <v>74</v>
      </c>
      <c r="G2652" t="s">
        <v>32</v>
      </c>
      <c r="H2652" t="s">
        <v>33</v>
      </c>
      <c r="I2652" t="s">
        <v>129</v>
      </c>
      <c r="J2652" t="s">
        <v>96</v>
      </c>
      <c r="K2652" t="s">
        <v>97</v>
      </c>
      <c r="L2652">
        <v>16</v>
      </c>
      <c r="M2652" t="s">
        <v>3691</v>
      </c>
      <c r="N2652" t="s">
        <v>6915</v>
      </c>
    </row>
    <row r="2653" spans="1:14" x14ac:dyDescent="0.35">
      <c r="A2653" t="s">
        <v>7127</v>
      </c>
      <c r="B2653" t="s">
        <v>7128</v>
      </c>
      <c r="C2653" t="s">
        <v>116</v>
      </c>
      <c r="D2653">
        <v>11.72</v>
      </c>
      <c r="E2653">
        <v>600</v>
      </c>
      <c r="F2653" t="s">
        <v>106</v>
      </c>
      <c r="G2653" t="s">
        <v>32</v>
      </c>
      <c r="H2653" t="s">
        <v>57</v>
      </c>
      <c r="I2653" t="s">
        <v>44</v>
      </c>
      <c r="J2653" t="s">
        <v>118</v>
      </c>
      <c r="K2653" t="s">
        <v>42</v>
      </c>
      <c r="L2653">
        <v>3</v>
      </c>
      <c r="M2653" t="s">
        <v>2785</v>
      </c>
      <c r="N2653" t="s">
        <v>2150</v>
      </c>
    </row>
    <row r="2654" spans="1:14" x14ac:dyDescent="0.35">
      <c r="A2654" t="s">
        <v>7129</v>
      </c>
      <c r="B2654" t="s">
        <v>7130</v>
      </c>
      <c r="C2654" t="s">
        <v>62</v>
      </c>
      <c r="D2654">
        <v>71</v>
      </c>
      <c r="E2654">
        <v>4000</v>
      </c>
      <c r="F2654" t="s">
        <v>106</v>
      </c>
      <c r="G2654" t="s">
        <v>32</v>
      </c>
      <c r="H2654" t="s">
        <v>43</v>
      </c>
      <c r="I2654" t="s">
        <v>44</v>
      </c>
      <c r="J2654" t="s">
        <v>35</v>
      </c>
      <c r="K2654" t="s">
        <v>36</v>
      </c>
      <c r="L2654">
        <v>2</v>
      </c>
      <c r="M2654" t="s">
        <v>965</v>
      </c>
      <c r="N2654" t="s">
        <v>7131</v>
      </c>
    </row>
    <row r="2655" spans="1:14" x14ac:dyDescent="0.35">
      <c r="A2655" t="s">
        <v>7132</v>
      </c>
      <c r="B2655" t="s">
        <v>7133</v>
      </c>
      <c r="C2655" t="s">
        <v>69</v>
      </c>
      <c r="D2655">
        <v>70.510000000000005</v>
      </c>
      <c r="E2655">
        <v>10000</v>
      </c>
      <c r="F2655" t="s">
        <v>139</v>
      </c>
      <c r="G2655" t="s">
        <v>32</v>
      </c>
      <c r="H2655" t="s">
        <v>57</v>
      </c>
      <c r="I2655" t="s">
        <v>34</v>
      </c>
      <c r="J2655" t="s">
        <v>130</v>
      </c>
      <c r="K2655" t="s">
        <v>123</v>
      </c>
      <c r="L2655">
        <v>1</v>
      </c>
      <c r="M2655" t="s">
        <v>2111</v>
      </c>
      <c r="N2655" t="s">
        <v>7134</v>
      </c>
    </row>
    <row r="2656" spans="1:14" x14ac:dyDescent="0.35">
      <c r="A2656" t="s">
        <v>7135</v>
      </c>
      <c r="B2656" t="s">
        <v>7136</v>
      </c>
      <c r="C2656" t="s">
        <v>62</v>
      </c>
      <c r="D2656">
        <v>93.52</v>
      </c>
      <c r="E2656">
        <v>5000</v>
      </c>
      <c r="F2656" t="s">
        <v>42</v>
      </c>
      <c r="G2656" t="s">
        <v>32</v>
      </c>
      <c r="H2656" t="s">
        <v>57</v>
      </c>
      <c r="I2656" t="s">
        <v>44</v>
      </c>
      <c r="J2656" t="s">
        <v>477</v>
      </c>
      <c r="K2656" t="s">
        <v>51</v>
      </c>
      <c r="L2656">
        <v>20</v>
      </c>
      <c r="M2656" t="s">
        <v>77</v>
      </c>
      <c r="N2656" t="s">
        <v>4189</v>
      </c>
    </row>
    <row r="2657" spans="1:14" x14ac:dyDescent="0.35">
      <c r="A2657" t="s">
        <v>7137</v>
      </c>
      <c r="B2657" t="s">
        <v>7138</v>
      </c>
      <c r="C2657" t="s">
        <v>81</v>
      </c>
      <c r="D2657">
        <v>74.97</v>
      </c>
      <c r="E2657">
        <v>1000</v>
      </c>
      <c r="F2657" t="s">
        <v>31</v>
      </c>
      <c r="G2657" t="s">
        <v>32</v>
      </c>
      <c r="H2657" t="s">
        <v>33</v>
      </c>
      <c r="I2657" t="s">
        <v>44</v>
      </c>
      <c r="J2657" t="s">
        <v>124</v>
      </c>
      <c r="K2657" t="s">
        <v>117</v>
      </c>
      <c r="L2657">
        <v>20</v>
      </c>
      <c r="M2657" t="s">
        <v>2269</v>
      </c>
      <c r="N2657" t="s">
        <v>3777</v>
      </c>
    </row>
    <row r="2658" spans="1:14" x14ac:dyDescent="0.35">
      <c r="A2658" t="s">
        <v>7139</v>
      </c>
      <c r="B2658" t="s">
        <v>7140</v>
      </c>
      <c r="C2658" t="s">
        <v>41</v>
      </c>
      <c r="D2658">
        <v>84.38</v>
      </c>
      <c r="E2658">
        <v>27000</v>
      </c>
      <c r="F2658" t="s">
        <v>64</v>
      </c>
      <c r="G2658" t="s">
        <v>32</v>
      </c>
      <c r="H2658" t="s">
        <v>57</v>
      </c>
      <c r="I2658" t="s">
        <v>34</v>
      </c>
      <c r="J2658" t="s">
        <v>130</v>
      </c>
      <c r="K2658" t="s">
        <v>123</v>
      </c>
      <c r="L2658">
        <v>2</v>
      </c>
      <c r="N2658" t="s">
        <v>4349</v>
      </c>
    </row>
    <row r="2659" spans="1:14" x14ac:dyDescent="0.35">
      <c r="A2659" t="s">
        <v>7141</v>
      </c>
      <c r="B2659" t="s">
        <v>7142</v>
      </c>
      <c r="C2659" t="s">
        <v>81</v>
      </c>
      <c r="D2659">
        <v>100.18</v>
      </c>
      <c r="E2659">
        <v>1000</v>
      </c>
      <c r="F2659" t="s">
        <v>64</v>
      </c>
      <c r="G2659" t="s">
        <v>32</v>
      </c>
      <c r="H2659" t="s">
        <v>57</v>
      </c>
      <c r="I2659" t="s">
        <v>129</v>
      </c>
      <c r="J2659" t="s">
        <v>45</v>
      </c>
      <c r="K2659" t="s">
        <v>46</v>
      </c>
      <c r="L2659">
        <v>5</v>
      </c>
      <c r="N2659" t="s">
        <v>3487</v>
      </c>
    </row>
    <row r="2660" spans="1:14" x14ac:dyDescent="0.35">
      <c r="A2660" t="s">
        <v>7143</v>
      </c>
      <c r="B2660" t="s">
        <v>7144</v>
      </c>
      <c r="C2660" t="s">
        <v>41</v>
      </c>
      <c r="D2660">
        <v>113.42</v>
      </c>
      <c r="E2660">
        <v>23000</v>
      </c>
      <c r="F2660" t="s">
        <v>31</v>
      </c>
      <c r="G2660" t="s">
        <v>32</v>
      </c>
      <c r="H2660" t="s">
        <v>57</v>
      </c>
      <c r="I2660" t="s">
        <v>44</v>
      </c>
      <c r="J2660" t="s">
        <v>35</v>
      </c>
      <c r="K2660" t="s">
        <v>36</v>
      </c>
      <c r="L2660">
        <v>9</v>
      </c>
      <c r="N2660" t="s">
        <v>3235</v>
      </c>
    </row>
    <row r="2661" spans="1:14" x14ac:dyDescent="0.35">
      <c r="A2661" t="s">
        <v>7145</v>
      </c>
      <c r="B2661" t="s">
        <v>7146</v>
      </c>
      <c r="C2661" t="s">
        <v>41</v>
      </c>
      <c r="D2661">
        <v>119.18</v>
      </c>
      <c r="E2661">
        <v>37000</v>
      </c>
      <c r="F2661" t="s">
        <v>42</v>
      </c>
      <c r="G2661" t="s">
        <v>32</v>
      </c>
      <c r="H2661" t="s">
        <v>43</v>
      </c>
      <c r="J2661" t="s">
        <v>70</v>
      </c>
      <c r="K2661" t="s">
        <v>31</v>
      </c>
      <c r="L2661">
        <v>6</v>
      </c>
      <c r="M2661" t="s">
        <v>1867</v>
      </c>
      <c r="N2661" t="s">
        <v>4388</v>
      </c>
    </row>
    <row r="2662" spans="1:14" x14ac:dyDescent="0.35">
      <c r="A2662" t="s">
        <v>7147</v>
      </c>
      <c r="B2662" t="s">
        <v>7148</v>
      </c>
      <c r="C2662" t="s">
        <v>69</v>
      </c>
      <c r="D2662">
        <v>56.86</v>
      </c>
      <c r="E2662">
        <v>94000</v>
      </c>
      <c r="F2662" t="s">
        <v>117</v>
      </c>
      <c r="G2662" t="s">
        <v>32</v>
      </c>
      <c r="H2662" t="s">
        <v>43</v>
      </c>
      <c r="I2662" t="s">
        <v>44</v>
      </c>
      <c r="J2662" t="s">
        <v>2242</v>
      </c>
      <c r="K2662" t="s">
        <v>74</v>
      </c>
      <c r="L2662">
        <v>12</v>
      </c>
      <c r="M2662" t="s">
        <v>1496</v>
      </c>
      <c r="N2662" t="s">
        <v>7149</v>
      </c>
    </row>
    <row r="2663" spans="1:14" x14ac:dyDescent="0.35">
      <c r="A2663" t="s">
        <v>7150</v>
      </c>
      <c r="B2663" t="s">
        <v>7151</v>
      </c>
      <c r="C2663" t="s">
        <v>62</v>
      </c>
      <c r="D2663">
        <v>70.47</v>
      </c>
      <c r="E2663">
        <v>4000</v>
      </c>
      <c r="F2663" t="s">
        <v>46</v>
      </c>
      <c r="G2663" t="s">
        <v>32</v>
      </c>
      <c r="H2663" t="s">
        <v>57</v>
      </c>
      <c r="I2663" t="s">
        <v>34</v>
      </c>
      <c r="J2663" t="s">
        <v>235</v>
      </c>
      <c r="K2663" t="s">
        <v>236</v>
      </c>
      <c r="L2663">
        <v>0</v>
      </c>
      <c r="M2663" t="s">
        <v>4314</v>
      </c>
      <c r="N2663" t="s">
        <v>4641</v>
      </c>
    </row>
    <row r="2664" spans="1:14" x14ac:dyDescent="0.35">
      <c r="A2664" t="s">
        <v>7152</v>
      </c>
      <c r="B2664" t="s">
        <v>7153</v>
      </c>
      <c r="C2664" t="s">
        <v>81</v>
      </c>
      <c r="D2664">
        <v>104.57</v>
      </c>
      <c r="E2664">
        <v>8000</v>
      </c>
      <c r="F2664" t="s">
        <v>123</v>
      </c>
      <c r="G2664" t="s">
        <v>102</v>
      </c>
      <c r="H2664" t="s">
        <v>33</v>
      </c>
      <c r="I2664" t="s">
        <v>34</v>
      </c>
      <c r="J2664" t="s">
        <v>70</v>
      </c>
      <c r="K2664" t="s">
        <v>31</v>
      </c>
      <c r="L2664">
        <v>6</v>
      </c>
      <c r="M2664" t="s">
        <v>1579</v>
      </c>
      <c r="N2664" t="s">
        <v>746</v>
      </c>
    </row>
    <row r="2665" spans="1:14" x14ac:dyDescent="0.35">
      <c r="A2665" t="s">
        <v>7154</v>
      </c>
      <c r="B2665" t="s">
        <v>7155</v>
      </c>
      <c r="C2665" t="s">
        <v>69</v>
      </c>
      <c r="D2665">
        <v>82.06</v>
      </c>
      <c r="E2665">
        <v>74000</v>
      </c>
      <c r="F2665" t="s">
        <v>51</v>
      </c>
      <c r="G2665" t="s">
        <v>32</v>
      </c>
      <c r="H2665" t="s">
        <v>43</v>
      </c>
      <c r="I2665" t="s">
        <v>44</v>
      </c>
      <c r="J2665" t="s">
        <v>357</v>
      </c>
      <c r="K2665" t="s">
        <v>42</v>
      </c>
      <c r="L2665">
        <v>23</v>
      </c>
      <c r="M2665" t="s">
        <v>4379</v>
      </c>
      <c r="N2665" t="s">
        <v>2537</v>
      </c>
    </row>
    <row r="2666" spans="1:14" x14ac:dyDescent="0.35">
      <c r="A2666" t="s">
        <v>7156</v>
      </c>
      <c r="B2666" t="s">
        <v>7157</v>
      </c>
      <c r="C2666" t="s">
        <v>30</v>
      </c>
      <c r="D2666">
        <v>184.17</v>
      </c>
      <c r="E2666">
        <v>9000</v>
      </c>
      <c r="F2666" t="s">
        <v>117</v>
      </c>
      <c r="G2666" t="s">
        <v>32</v>
      </c>
      <c r="H2666" t="s">
        <v>43</v>
      </c>
      <c r="I2666" t="s">
        <v>129</v>
      </c>
      <c r="J2666" t="s">
        <v>4378</v>
      </c>
      <c r="K2666" t="s">
        <v>147</v>
      </c>
      <c r="L2666">
        <v>9</v>
      </c>
      <c r="N2666" t="s">
        <v>504</v>
      </c>
    </row>
    <row r="2667" spans="1:14" x14ac:dyDescent="0.35">
      <c r="A2667" t="s">
        <v>7158</v>
      </c>
      <c r="B2667" t="s">
        <v>7159</v>
      </c>
      <c r="C2667" t="s">
        <v>30</v>
      </c>
      <c r="D2667">
        <v>108.81</v>
      </c>
      <c r="E2667">
        <v>3000</v>
      </c>
      <c r="F2667" t="s">
        <v>97</v>
      </c>
      <c r="G2667" t="s">
        <v>32</v>
      </c>
      <c r="H2667" t="s">
        <v>33</v>
      </c>
      <c r="J2667" t="s">
        <v>5700</v>
      </c>
      <c r="K2667" t="s">
        <v>42</v>
      </c>
      <c r="L2667">
        <v>3</v>
      </c>
      <c r="N2667" t="s">
        <v>7160</v>
      </c>
    </row>
    <row r="2668" spans="1:14" x14ac:dyDescent="0.35">
      <c r="A2668" t="s">
        <v>7161</v>
      </c>
      <c r="B2668" t="s">
        <v>6154</v>
      </c>
      <c r="C2668" t="s">
        <v>69</v>
      </c>
      <c r="D2668">
        <v>72.89</v>
      </c>
      <c r="E2668">
        <v>26000</v>
      </c>
      <c r="F2668" t="s">
        <v>87</v>
      </c>
      <c r="G2668" t="s">
        <v>32</v>
      </c>
      <c r="H2668" t="s">
        <v>33</v>
      </c>
      <c r="I2668" t="s">
        <v>44</v>
      </c>
      <c r="J2668" t="s">
        <v>130</v>
      </c>
      <c r="K2668" t="s">
        <v>123</v>
      </c>
      <c r="L2668">
        <v>23</v>
      </c>
      <c r="M2668" t="s">
        <v>3410</v>
      </c>
      <c r="N2668" t="s">
        <v>4685</v>
      </c>
    </row>
    <row r="2669" spans="1:14" x14ac:dyDescent="0.35">
      <c r="A2669" t="s">
        <v>7162</v>
      </c>
      <c r="B2669" t="s">
        <v>7163</v>
      </c>
      <c r="C2669" t="s">
        <v>69</v>
      </c>
      <c r="D2669">
        <v>53.51</v>
      </c>
      <c r="E2669">
        <v>76000</v>
      </c>
      <c r="F2669" t="s">
        <v>106</v>
      </c>
      <c r="G2669" t="s">
        <v>32</v>
      </c>
      <c r="H2669" t="s">
        <v>33</v>
      </c>
      <c r="J2669" t="s">
        <v>35</v>
      </c>
      <c r="K2669" t="s">
        <v>36</v>
      </c>
      <c r="L2669">
        <v>12</v>
      </c>
      <c r="M2669" t="s">
        <v>251</v>
      </c>
      <c r="N2669" t="s">
        <v>2615</v>
      </c>
    </row>
    <row r="2670" spans="1:14" x14ac:dyDescent="0.35">
      <c r="A2670" t="s">
        <v>7164</v>
      </c>
      <c r="B2670" t="s">
        <v>7165</v>
      </c>
      <c r="C2670" t="s">
        <v>69</v>
      </c>
      <c r="D2670">
        <v>52.52</v>
      </c>
      <c r="E2670">
        <v>10000</v>
      </c>
      <c r="F2670" t="s">
        <v>74</v>
      </c>
      <c r="G2670" t="s">
        <v>32</v>
      </c>
      <c r="H2670" t="s">
        <v>33</v>
      </c>
      <c r="I2670" t="s">
        <v>44</v>
      </c>
      <c r="J2670" t="s">
        <v>124</v>
      </c>
      <c r="K2670" t="s">
        <v>117</v>
      </c>
      <c r="L2670">
        <v>1</v>
      </c>
      <c r="N2670" t="s">
        <v>5026</v>
      </c>
    </row>
    <row r="2671" spans="1:14" x14ac:dyDescent="0.35">
      <c r="A2671" t="s">
        <v>7166</v>
      </c>
      <c r="B2671" t="s">
        <v>7167</v>
      </c>
      <c r="C2671" t="s">
        <v>41</v>
      </c>
      <c r="D2671">
        <v>158.03</v>
      </c>
      <c r="E2671">
        <v>35000</v>
      </c>
      <c r="F2671" t="s">
        <v>74</v>
      </c>
      <c r="G2671" t="s">
        <v>102</v>
      </c>
      <c r="H2671" t="s">
        <v>33</v>
      </c>
      <c r="J2671" t="s">
        <v>70</v>
      </c>
      <c r="K2671" t="s">
        <v>31</v>
      </c>
      <c r="L2671">
        <v>7</v>
      </c>
      <c r="N2671" t="s">
        <v>3074</v>
      </c>
    </row>
    <row r="2672" spans="1:14" x14ac:dyDescent="0.35">
      <c r="A2672" t="s">
        <v>7168</v>
      </c>
      <c r="B2672" t="s">
        <v>7169</v>
      </c>
      <c r="C2672" t="s">
        <v>81</v>
      </c>
      <c r="D2672">
        <v>124.37</v>
      </c>
      <c r="E2672">
        <v>3000</v>
      </c>
      <c r="F2672" t="s">
        <v>51</v>
      </c>
      <c r="G2672" t="s">
        <v>32</v>
      </c>
      <c r="H2672" t="s">
        <v>33</v>
      </c>
      <c r="I2672" t="s">
        <v>44</v>
      </c>
      <c r="J2672" t="s">
        <v>70</v>
      </c>
      <c r="K2672" t="s">
        <v>31</v>
      </c>
      <c r="L2672">
        <v>2</v>
      </c>
      <c r="M2672" t="s">
        <v>1256</v>
      </c>
      <c r="N2672" t="s">
        <v>6688</v>
      </c>
    </row>
    <row r="2673" spans="1:14" x14ac:dyDescent="0.35">
      <c r="A2673" t="s">
        <v>7170</v>
      </c>
      <c r="B2673" t="s">
        <v>7171</v>
      </c>
      <c r="C2673" t="s">
        <v>30</v>
      </c>
      <c r="D2673">
        <v>191.87</v>
      </c>
      <c r="E2673">
        <v>9000</v>
      </c>
      <c r="F2673" t="s">
        <v>117</v>
      </c>
      <c r="G2673" t="s">
        <v>32</v>
      </c>
      <c r="H2673" t="s">
        <v>57</v>
      </c>
      <c r="I2673" t="s">
        <v>34</v>
      </c>
      <c r="J2673" t="s">
        <v>70</v>
      </c>
      <c r="K2673" t="s">
        <v>31</v>
      </c>
      <c r="L2673">
        <v>21</v>
      </c>
      <c r="N2673" t="s">
        <v>1210</v>
      </c>
    </row>
    <row r="2674" spans="1:14" x14ac:dyDescent="0.35">
      <c r="A2674" t="s">
        <v>7172</v>
      </c>
      <c r="B2674" t="s">
        <v>7173</v>
      </c>
      <c r="C2674" t="s">
        <v>62</v>
      </c>
      <c r="D2674">
        <v>85.19</v>
      </c>
      <c r="E2674">
        <v>2000</v>
      </c>
      <c r="F2674" t="s">
        <v>42</v>
      </c>
      <c r="G2674" t="s">
        <v>32</v>
      </c>
      <c r="H2674" t="s">
        <v>43</v>
      </c>
      <c r="I2674" t="s">
        <v>44</v>
      </c>
      <c r="J2674" t="s">
        <v>118</v>
      </c>
      <c r="K2674" t="s">
        <v>42</v>
      </c>
      <c r="L2674">
        <v>23</v>
      </c>
      <c r="M2674" t="s">
        <v>5994</v>
      </c>
      <c r="N2674" t="s">
        <v>7174</v>
      </c>
    </row>
    <row r="2675" spans="1:14" x14ac:dyDescent="0.35">
      <c r="A2675" t="s">
        <v>7175</v>
      </c>
      <c r="B2675" t="s">
        <v>7176</v>
      </c>
      <c r="C2675" t="s">
        <v>62</v>
      </c>
      <c r="D2675">
        <v>89.12</v>
      </c>
      <c r="E2675">
        <v>5000</v>
      </c>
      <c r="F2675" t="s">
        <v>236</v>
      </c>
      <c r="G2675" t="s">
        <v>32</v>
      </c>
      <c r="H2675" t="s">
        <v>33</v>
      </c>
      <c r="J2675" t="s">
        <v>35</v>
      </c>
      <c r="K2675" t="s">
        <v>36</v>
      </c>
      <c r="L2675">
        <v>12</v>
      </c>
      <c r="M2675" t="s">
        <v>4192</v>
      </c>
      <c r="N2675" t="s">
        <v>7177</v>
      </c>
    </row>
    <row r="2676" spans="1:14" x14ac:dyDescent="0.35">
      <c r="A2676" t="s">
        <v>7178</v>
      </c>
      <c r="B2676" t="s">
        <v>7179</v>
      </c>
      <c r="C2676" t="s">
        <v>41</v>
      </c>
      <c r="D2676">
        <v>155.58000000000001</v>
      </c>
      <c r="E2676">
        <v>32000</v>
      </c>
      <c r="F2676" t="s">
        <v>46</v>
      </c>
      <c r="G2676" t="s">
        <v>102</v>
      </c>
      <c r="H2676" t="s">
        <v>43</v>
      </c>
      <c r="I2676" t="s">
        <v>34</v>
      </c>
      <c r="J2676" t="s">
        <v>63</v>
      </c>
      <c r="K2676" t="s">
        <v>64</v>
      </c>
      <c r="L2676">
        <v>10</v>
      </c>
      <c r="M2676" t="s">
        <v>3696</v>
      </c>
      <c r="N2676" t="s">
        <v>1938</v>
      </c>
    </row>
    <row r="2677" spans="1:14" x14ac:dyDescent="0.35">
      <c r="A2677" t="s">
        <v>7180</v>
      </c>
      <c r="B2677" t="s">
        <v>7181</v>
      </c>
      <c r="C2677" t="s">
        <v>116</v>
      </c>
      <c r="D2677">
        <v>9.23</v>
      </c>
      <c r="E2677">
        <v>700</v>
      </c>
      <c r="F2677" t="s">
        <v>31</v>
      </c>
      <c r="G2677" t="s">
        <v>32</v>
      </c>
      <c r="H2677" t="s">
        <v>33</v>
      </c>
      <c r="J2677" t="s">
        <v>130</v>
      </c>
      <c r="K2677" t="s">
        <v>123</v>
      </c>
      <c r="L2677">
        <v>1</v>
      </c>
      <c r="N2677" t="s">
        <v>3687</v>
      </c>
    </row>
    <row r="2678" spans="1:14" x14ac:dyDescent="0.35">
      <c r="A2678" t="s">
        <v>7182</v>
      </c>
      <c r="B2678" t="s">
        <v>7183</v>
      </c>
      <c r="C2678" t="s">
        <v>30</v>
      </c>
      <c r="D2678">
        <v>156.63999999999999</v>
      </c>
      <c r="E2678">
        <v>7000</v>
      </c>
      <c r="F2678" t="s">
        <v>36</v>
      </c>
      <c r="G2678" t="s">
        <v>32</v>
      </c>
      <c r="H2678" t="s">
        <v>33</v>
      </c>
      <c r="I2678" t="s">
        <v>44</v>
      </c>
      <c r="J2678" t="s">
        <v>75</v>
      </c>
      <c r="K2678" t="s">
        <v>76</v>
      </c>
      <c r="L2678">
        <v>22</v>
      </c>
      <c r="M2678" t="s">
        <v>6522</v>
      </c>
      <c r="N2678" t="s">
        <v>2290</v>
      </c>
    </row>
    <row r="2679" spans="1:14" x14ac:dyDescent="0.35">
      <c r="A2679" t="s">
        <v>7184</v>
      </c>
      <c r="B2679" t="s">
        <v>7185</v>
      </c>
      <c r="C2679" t="s">
        <v>62</v>
      </c>
      <c r="D2679">
        <v>66.63</v>
      </c>
      <c r="E2679">
        <v>1000</v>
      </c>
      <c r="F2679" t="s">
        <v>74</v>
      </c>
      <c r="G2679" t="s">
        <v>32</v>
      </c>
      <c r="H2679" t="s">
        <v>33</v>
      </c>
      <c r="I2679" t="s">
        <v>44</v>
      </c>
      <c r="J2679" t="s">
        <v>107</v>
      </c>
      <c r="K2679" t="s">
        <v>87</v>
      </c>
      <c r="L2679">
        <v>0</v>
      </c>
      <c r="M2679" t="s">
        <v>2043</v>
      </c>
      <c r="N2679" t="s">
        <v>2215</v>
      </c>
    </row>
    <row r="2680" spans="1:14" x14ac:dyDescent="0.35">
      <c r="A2680" t="s">
        <v>7186</v>
      </c>
      <c r="B2680" t="s">
        <v>7187</v>
      </c>
      <c r="C2680" t="s">
        <v>62</v>
      </c>
      <c r="D2680">
        <v>51.44</v>
      </c>
      <c r="E2680">
        <v>3000</v>
      </c>
      <c r="F2680" t="s">
        <v>76</v>
      </c>
      <c r="G2680" t="s">
        <v>32</v>
      </c>
      <c r="H2680" t="s">
        <v>33</v>
      </c>
      <c r="I2680" t="s">
        <v>44</v>
      </c>
      <c r="J2680" t="s">
        <v>1827</v>
      </c>
      <c r="K2680" t="s">
        <v>51</v>
      </c>
      <c r="L2680">
        <v>6</v>
      </c>
      <c r="N2680" t="s">
        <v>3940</v>
      </c>
    </row>
    <row r="2681" spans="1:14" x14ac:dyDescent="0.35">
      <c r="A2681" t="s">
        <v>7188</v>
      </c>
      <c r="B2681" t="s">
        <v>7189</v>
      </c>
      <c r="C2681" t="s">
        <v>30</v>
      </c>
      <c r="D2681">
        <v>106.64</v>
      </c>
      <c r="E2681">
        <v>5000</v>
      </c>
      <c r="F2681" t="s">
        <v>123</v>
      </c>
      <c r="G2681" t="s">
        <v>32</v>
      </c>
      <c r="H2681" t="s">
        <v>43</v>
      </c>
      <c r="I2681" t="s">
        <v>44</v>
      </c>
      <c r="J2681" t="s">
        <v>82</v>
      </c>
      <c r="K2681" t="s">
        <v>74</v>
      </c>
      <c r="L2681">
        <v>15</v>
      </c>
      <c r="M2681" t="s">
        <v>131</v>
      </c>
      <c r="N2681" t="s">
        <v>2626</v>
      </c>
    </row>
    <row r="2682" spans="1:14" x14ac:dyDescent="0.35">
      <c r="A2682" t="s">
        <v>7190</v>
      </c>
      <c r="B2682" t="s">
        <v>7191</v>
      </c>
      <c r="C2682" t="s">
        <v>69</v>
      </c>
      <c r="D2682">
        <v>80.55</v>
      </c>
      <c r="E2682">
        <v>49000</v>
      </c>
      <c r="F2682" t="s">
        <v>117</v>
      </c>
      <c r="G2682" t="s">
        <v>32</v>
      </c>
      <c r="H2682" t="s">
        <v>33</v>
      </c>
      <c r="I2682" t="s">
        <v>44</v>
      </c>
      <c r="J2682" t="s">
        <v>45</v>
      </c>
      <c r="K2682" t="s">
        <v>46</v>
      </c>
      <c r="L2682">
        <v>2</v>
      </c>
      <c r="M2682" t="s">
        <v>1828</v>
      </c>
      <c r="N2682" t="s">
        <v>1490</v>
      </c>
    </row>
    <row r="2683" spans="1:14" x14ac:dyDescent="0.35">
      <c r="A2683" t="s">
        <v>7192</v>
      </c>
      <c r="B2683" t="s">
        <v>7193</v>
      </c>
      <c r="C2683" t="s">
        <v>69</v>
      </c>
      <c r="D2683">
        <v>55.02</v>
      </c>
      <c r="E2683">
        <v>23000</v>
      </c>
      <c r="F2683" t="s">
        <v>64</v>
      </c>
      <c r="G2683" t="s">
        <v>102</v>
      </c>
      <c r="H2683" t="s">
        <v>43</v>
      </c>
      <c r="J2683" t="s">
        <v>1071</v>
      </c>
      <c r="K2683" t="s">
        <v>236</v>
      </c>
      <c r="L2683">
        <v>14</v>
      </c>
      <c r="N2683" t="s">
        <v>2940</v>
      </c>
    </row>
    <row r="2684" spans="1:14" x14ac:dyDescent="0.35">
      <c r="A2684" t="s">
        <v>7194</v>
      </c>
      <c r="B2684" t="s">
        <v>7195</v>
      </c>
      <c r="C2684" t="s">
        <v>116</v>
      </c>
      <c r="D2684">
        <v>8.31</v>
      </c>
      <c r="E2684">
        <v>300</v>
      </c>
      <c r="F2684" t="s">
        <v>76</v>
      </c>
      <c r="G2684" t="s">
        <v>32</v>
      </c>
      <c r="H2684" t="s">
        <v>43</v>
      </c>
      <c r="I2684" t="s">
        <v>34</v>
      </c>
      <c r="J2684" t="s">
        <v>1896</v>
      </c>
      <c r="K2684" t="s">
        <v>97</v>
      </c>
      <c r="L2684">
        <v>16</v>
      </c>
      <c r="M2684" t="s">
        <v>742</v>
      </c>
      <c r="N2684" t="s">
        <v>4670</v>
      </c>
    </row>
    <row r="2685" spans="1:14" x14ac:dyDescent="0.35">
      <c r="A2685" t="s">
        <v>7196</v>
      </c>
      <c r="B2685" t="s">
        <v>7197</v>
      </c>
      <c r="C2685" t="s">
        <v>41</v>
      </c>
      <c r="D2685">
        <v>146.62</v>
      </c>
      <c r="E2685">
        <v>17000</v>
      </c>
      <c r="F2685" t="s">
        <v>106</v>
      </c>
      <c r="G2685" t="s">
        <v>32</v>
      </c>
      <c r="H2685" t="s">
        <v>43</v>
      </c>
      <c r="I2685" t="s">
        <v>44</v>
      </c>
      <c r="J2685" t="s">
        <v>63</v>
      </c>
      <c r="K2685" t="s">
        <v>64</v>
      </c>
      <c r="L2685">
        <v>14</v>
      </c>
      <c r="N2685" t="s">
        <v>4898</v>
      </c>
    </row>
    <row r="2686" spans="1:14" x14ac:dyDescent="0.35">
      <c r="A2686" t="s">
        <v>7198</v>
      </c>
      <c r="B2686" t="s">
        <v>7199</v>
      </c>
      <c r="C2686" t="s">
        <v>30</v>
      </c>
      <c r="D2686">
        <v>189.4</v>
      </c>
      <c r="E2686">
        <v>12000</v>
      </c>
      <c r="F2686" t="s">
        <v>64</v>
      </c>
      <c r="G2686" t="s">
        <v>32</v>
      </c>
      <c r="H2686" t="s">
        <v>57</v>
      </c>
      <c r="I2686" t="s">
        <v>34</v>
      </c>
      <c r="J2686" t="s">
        <v>63</v>
      </c>
      <c r="K2686" t="s">
        <v>64</v>
      </c>
      <c r="L2686">
        <v>19</v>
      </c>
      <c r="M2686" t="s">
        <v>5309</v>
      </c>
      <c r="N2686" t="s">
        <v>141</v>
      </c>
    </row>
    <row r="2687" spans="1:14" x14ac:dyDescent="0.35">
      <c r="A2687" t="s">
        <v>7200</v>
      </c>
      <c r="B2687" t="s">
        <v>7201</v>
      </c>
      <c r="C2687" t="s">
        <v>116</v>
      </c>
      <c r="D2687">
        <v>10.53</v>
      </c>
      <c r="E2687">
        <v>100</v>
      </c>
      <c r="F2687" t="s">
        <v>106</v>
      </c>
      <c r="G2687" t="s">
        <v>102</v>
      </c>
      <c r="H2687" t="s">
        <v>57</v>
      </c>
      <c r="I2687" t="s">
        <v>44</v>
      </c>
      <c r="J2687" t="s">
        <v>235</v>
      </c>
      <c r="K2687" t="s">
        <v>236</v>
      </c>
      <c r="L2687">
        <v>0</v>
      </c>
      <c r="N2687" t="s">
        <v>363</v>
      </c>
    </row>
    <row r="2688" spans="1:14" x14ac:dyDescent="0.35">
      <c r="A2688" t="s">
        <v>7202</v>
      </c>
      <c r="B2688" t="s">
        <v>7203</v>
      </c>
      <c r="C2688" t="s">
        <v>41</v>
      </c>
      <c r="D2688">
        <v>138.41</v>
      </c>
      <c r="E2688">
        <v>12000</v>
      </c>
      <c r="F2688" t="s">
        <v>139</v>
      </c>
      <c r="G2688" t="s">
        <v>32</v>
      </c>
      <c r="H2688" t="s">
        <v>43</v>
      </c>
      <c r="I2688" t="s">
        <v>34</v>
      </c>
      <c r="J2688" t="s">
        <v>124</v>
      </c>
      <c r="K2688" t="s">
        <v>117</v>
      </c>
      <c r="L2688">
        <v>4</v>
      </c>
      <c r="M2688" t="s">
        <v>1672</v>
      </c>
      <c r="N2688" t="s">
        <v>1629</v>
      </c>
    </row>
    <row r="2689" spans="1:14" x14ac:dyDescent="0.35">
      <c r="A2689" t="s">
        <v>7204</v>
      </c>
      <c r="B2689" t="s">
        <v>7205</v>
      </c>
      <c r="C2689" t="s">
        <v>30</v>
      </c>
      <c r="D2689">
        <v>187.55</v>
      </c>
      <c r="E2689">
        <v>7000</v>
      </c>
      <c r="F2689" t="s">
        <v>87</v>
      </c>
      <c r="G2689" t="s">
        <v>32</v>
      </c>
      <c r="H2689" t="s">
        <v>57</v>
      </c>
      <c r="I2689" t="s">
        <v>34</v>
      </c>
      <c r="J2689" t="s">
        <v>70</v>
      </c>
      <c r="K2689" t="s">
        <v>31</v>
      </c>
      <c r="L2689">
        <v>2</v>
      </c>
      <c r="M2689" t="s">
        <v>1143</v>
      </c>
      <c r="N2689" t="s">
        <v>493</v>
      </c>
    </row>
    <row r="2690" spans="1:14" x14ac:dyDescent="0.35">
      <c r="A2690" t="s">
        <v>7206</v>
      </c>
      <c r="B2690" t="s">
        <v>7207</v>
      </c>
      <c r="C2690" t="s">
        <v>62</v>
      </c>
      <c r="D2690">
        <v>81.33</v>
      </c>
      <c r="E2690">
        <v>1000</v>
      </c>
      <c r="F2690" t="s">
        <v>147</v>
      </c>
      <c r="G2690" t="s">
        <v>32</v>
      </c>
      <c r="H2690" t="s">
        <v>57</v>
      </c>
      <c r="I2690" t="s">
        <v>34</v>
      </c>
      <c r="J2690" t="s">
        <v>316</v>
      </c>
      <c r="K2690" t="s">
        <v>97</v>
      </c>
      <c r="L2690">
        <v>3</v>
      </c>
      <c r="N2690" t="s">
        <v>2079</v>
      </c>
    </row>
    <row r="2691" spans="1:14" x14ac:dyDescent="0.35">
      <c r="A2691" t="s">
        <v>7208</v>
      </c>
      <c r="B2691" t="s">
        <v>7209</v>
      </c>
      <c r="C2691" t="s">
        <v>41</v>
      </c>
      <c r="D2691">
        <v>108.42</v>
      </c>
      <c r="E2691">
        <v>38000</v>
      </c>
      <c r="F2691" t="s">
        <v>46</v>
      </c>
      <c r="G2691" t="s">
        <v>32</v>
      </c>
      <c r="H2691" t="s">
        <v>57</v>
      </c>
      <c r="I2691" t="s">
        <v>44</v>
      </c>
      <c r="J2691" t="s">
        <v>118</v>
      </c>
      <c r="K2691" t="s">
        <v>42</v>
      </c>
      <c r="L2691">
        <v>23</v>
      </c>
      <c r="M2691" t="s">
        <v>1957</v>
      </c>
      <c r="N2691" t="s">
        <v>3484</v>
      </c>
    </row>
    <row r="2692" spans="1:14" x14ac:dyDescent="0.35">
      <c r="A2692" t="s">
        <v>7210</v>
      </c>
      <c r="B2692" t="s">
        <v>7211</v>
      </c>
      <c r="C2692" t="s">
        <v>81</v>
      </c>
      <c r="D2692">
        <v>128.24</v>
      </c>
      <c r="E2692">
        <v>7000</v>
      </c>
      <c r="F2692" t="s">
        <v>46</v>
      </c>
      <c r="G2692" t="s">
        <v>32</v>
      </c>
      <c r="H2692" t="s">
        <v>43</v>
      </c>
      <c r="I2692" t="s">
        <v>34</v>
      </c>
      <c r="J2692" t="s">
        <v>70</v>
      </c>
      <c r="K2692" t="s">
        <v>31</v>
      </c>
      <c r="L2692">
        <v>11</v>
      </c>
      <c r="M2692" t="s">
        <v>2243</v>
      </c>
      <c r="N2692" t="s">
        <v>7068</v>
      </c>
    </row>
    <row r="2693" spans="1:14" x14ac:dyDescent="0.35">
      <c r="A2693" t="s">
        <v>7212</v>
      </c>
      <c r="B2693" t="s">
        <v>7213</v>
      </c>
      <c r="C2693" t="s">
        <v>62</v>
      </c>
      <c r="D2693">
        <v>54.47</v>
      </c>
      <c r="E2693">
        <v>1000</v>
      </c>
      <c r="F2693" t="s">
        <v>74</v>
      </c>
      <c r="G2693" t="s">
        <v>32</v>
      </c>
      <c r="H2693" t="s">
        <v>57</v>
      </c>
      <c r="J2693" t="s">
        <v>45</v>
      </c>
      <c r="K2693" t="s">
        <v>46</v>
      </c>
      <c r="L2693">
        <v>0</v>
      </c>
      <c r="M2693" t="s">
        <v>965</v>
      </c>
      <c r="N2693" t="s">
        <v>7174</v>
      </c>
    </row>
    <row r="2694" spans="1:14" x14ac:dyDescent="0.35">
      <c r="A2694" t="s">
        <v>7214</v>
      </c>
      <c r="B2694" t="s">
        <v>7215</v>
      </c>
      <c r="C2694" t="s">
        <v>81</v>
      </c>
      <c r="D2694">
        <v>76.349999999999994</v>
      </c>
      <c r="E2694">
        <v>10000</v>
      </c>
      <c r="F2694" t="s">
        <v>64</v>
      </c>
      <c r="G2694" t="s">
        <v>32</v>
      </c>
      <c r="H2694" t="s">
        <v>57</v>
      </c>
      <c r="I2694" t="s">
        <v>44</v>
      </c>
      <c r="J2694" t="s">
        <v>75</v>
      </c>
      <c r="K2694" t="s">
        <v>76</v>
      </c>
      <c r="L2694">
        <v>16</v>
      </c>
      <c r="N2694" t="s">
        <v>1758</v>
      </c>
    </row>
    <row r="2695" spans="1:14" x14ac:dyDescent="0.35">
      <c r="A2695" t="s">
        <v>7216</v>
      </c>
      <c r="B2695" t="s">
        <v>7217</v>
      </c>
      <c r="C2695" t="s">
        <v>69</v>
      </c>
      <c r="D2695">
        <v>72.58</v>
      </c>
      <c r="E2695">
        <v>29000</v>
      </c>
      <c r="F2695" t="s">
        <v>31</v>
      </c>
      <c r="G2695" t="s">
        <v>32</v>
      </c>
      <c r="H2695" t="s">
        <v>43</v>
      </c>
      <c r="J2695" t="s">
        <v>124</v>
      </c>
      <c r="K2695" t="s">
        <v>117</v>
      </c>
      <c r="L2695">
        <v>2</v>
      </c>
      <c r="M2695" t="s">
        <v>3545</v>
      </c>
      <c r="N2695" t="s">
        <v>7218</v>
      </c>
    </row>
    <row r="2696" spans="1:14" x14ac:dyDescent="0.35">
      <c r="A2696" t="s">
        <v>7219</v>
      </c>
      <c r="B2696" t="s">
        <v>7220</v>
      </c>
      <c r="C2696" t="s">
        <v>41</v>
      </c>
      <c r="D2696">
        <v>115.26</v>
      </c>
      <c r="E2696">
        <v>28000</v>
      </c>
      <c r="F2696" t="s">
        <v>46</v>
      </c>
      <c r="G2696" t="s">
        <v>32</v>
      </c>
      <c r="H2696" t="s">
        <v>57</v>
      </c>
      <c r="I2696" t="s">
        <v>44</v>
      </c>
      <c r="J2696" t="s">
        <v>3725</v>
      </c>
      <c r="K2696" t="s">
        <v>147</v>
      </c>
      <c r="L2696">
        <v>3</v>
      </c>
      <c r="N2696" t="s">
        <v>84</v>
      </c>
    </row>
    <row r="2697" spans="1:14" x14ac:dyDescent="0.35">
      <c r="A2697" t="s">
        <v>7221</v>
      </c>
      <c r="B2697" t="s">
        <v>7222</v>
      </c>
      <c r="C2697" t="s">
        <v>81</v>
      </c>
      <c r="D2697">
        <v>110.18</v>
      </c>
      <c r="E2697">
        <v>6000</v>
      </c>
      <c r="F2697" t="s">
        <v>42</v>
      </c>
      <c r="G2697" t="s">
        <v>32</v>
      </c>
      <c r="H2697" t="s">
        <v>43</v>
      </c>
      <c r="I2697" t="s">
        <v>129</v>
      </c>
      <c r="J2697" t="s">
        <v>209</v>
      </c>
      <c r="K2697" t="s">
        <v>74</v>
      </c>
      <c r="L2697">
        <v>14</v>
      </c>
      <c r="M2697" t="s">
        <v>1553</v>
      </c>
      <c r="N2697" t="s">
        <v>1118</v>
      </c>
    </row>
    <row r="2698" spans="1:14" x14ac:dyDescent="0.35">
      <c r="A2698" t="s">
        <v>7223</v>
      </c>
      <c r="B2698" t="s">
        <v>7224</v>
      </c>
      <c r="C2698" t="s">
        <v>116</v>
      </c>
      <c r="D2698">
        <v>8.98</v>
      </c>
      <c r="E2698">
        <v>600</v>
      </c>
      <c r="F2698" t="s">
        <v>117</v>
      </c>
      <c r="G2698" t="s">
        <v>32</v>
      </c>
      <c r="H2698" t="s">
        <v>33</v>
      </c>
      <c r="I2698" t="s">
        <v>44</v>
      </c>
      <c r="J2698" t="s">
        <v>2313</v>
      </c>
      <c r="K2698" t="s">
        <v>139</v>
      </c>
      <c r="L2698">
        <v>12</v>
      </c>
      <c r="M2698" t="s">
        <v>1933</v>
      </c>
      <c r="N2698" t="s">
        <v>2049</v>
      </c>
    </row>
    <row r="2699" spans="1:14" x14ac:dyDescent="0.35">
      <c r="A2699" t="s">
        <v>7225</v>
      </c>
      <c r="B2699" t="s">
        <v>7226</v>
      </c>
      <c r="C2699" t="s">
        <v>62</v>
      </c>
      <c r="D2699">
        <v>89.45</v>
      </c>
      <c r="E2699">
        <v>3000</v>
      </c>
      <c r="F2699" t="s">
        <v>76</v>
      </c>
      <c r="G2699" t="s">
        <v>32</v>
      </c>
      <c r="H2699" t="s">
        <v>43</v>
      </c>
      <c r="I2699" t="s">
        <v>44</v>
      </c>
      <c r="J2699" t="s">
        <v>316</v>
      </c>
      <c r="K2699" t="s">
        <v>97</v>
      </c>
      <c r="L2699">
        <v>14</v>
      </c>
      <c r="M2699" t="s">
        <v>1496</v>
      </c>
      <c r="N2699" t="s">
        <v>203</v>
      </c>
    </row>
    <row r="2700" spans="1:14" x14ac:dyDescent="0.35">
      <c r="A2700" t="s">
        <v>7227</v>
      </c>
      <c r="B2700" t="s">
        <v>7228</v>
      </c>
      <c r="C2700" t="s">
        <v>41</v>
      </c>
      <c r="D2700">
        <v>132.18</v>
      </c>
      <c r="E2700">
        <v>11000</v>
      </c>
      <c r="F2700" t="s">
        <v>51</v>
      </c>
      <c r="G2700" t="s">
        <v>32</v>
      </c>
      <c r="H2700" t="s">
        <v>57</v>
      </c>
      <c r="I2700" t="s">
        <v>34</v>
      </c>
      <c r="J2700" t="s">
        <v>35</v>
      </c>
      <c r="K2700" t="s">
        <v>36</v>
      </c>
      <c r="L2700">
        <v>7</v>
      </c>
      <c r="N2700" t="s">
        <v>4275</v>
      </c>
    </row>
    <row r="2701" spans="1:14" x14ac:dyDescent="0.35">
      <c r="A2701" t="s">
        <v>7229</v>
      </c>
      <c r="B2701" t="s">
        <v>7230</v>
      </c>
      <c r="C2701" t="s">
        <v>116</v>
      </c>
      <c r="D2701">
        <v>8.64</v>
      </c>
      <c r="E2701">
        <v>700</v>
      </c>
      <c r="F2701" t="s">
        <v>51</v>
      </c>
      <c r="G2701" t="s">
        <v>102</v>
      </c>
      <c r="H2701" t="s">
        <v>43</v>
      </c>
      <c r="J2701" t="s">
        <v>288</v>
      </c>
      <c r="K2701" t="s">
        <v>51</v>
      </c>
      <c r="L2701">
        <v>20</v>
      </c>
      <c r="M2701" t="s">
        <v>65</v>
      </c>
      <c r="N2701" t="s">
        <v>3269</v>
      </c>
    </row>
    <row r="2702" spans="1:14" x14ac:dyDescent="0.35">
      <c r="A2702" t="s">
        <v>7231</v>
      </c>
      <c r="B2702" t="s">
        <v>7232</v>
      </c>
      <c r="C2702" t="s">
        <v>69</v>
      </c>
      <c r="D2702">
        <v>54.59</v>
      </c>
      <c r="E2702">
        <v>90000</v>
      </c>
      <c r="F2702" t="s">
        <v>87</v>
      </c>
      <c r="G2702" t="s">
        <v>32</v>
      </c>
      <c r="H2702" t="s">
        <v>57</v>
      </c>
      <c r="I2702" t="s">
        <v>129</v>
      </c>
      <c r="J2702" t="s">
        <v>235</v>
      </c>
      <c r="K2702" t="s">
        <v>236</v>
      </c>
      <c r="L2702">
        <v>21</v>
      </c>
      <c r="M2702" t="s">
        <v>3085</v>
      </c>
      <c r="N2702" t="s">
        <v>2515</v>
      </c>
    </row>
    <row r="2703" spans="1:14" x14ac:dyDescent="0.35">
      <c r="A2703" t="s">
        <v>7233</v>
      </c>
      <c r="B2703" t="s">
        <v>7234</v>
      </c>
      <c r="C2703" t="s">
        <v>62</v>
      </c>
      <c r="D2703">
        <v>72.13</v>
      </c>
      <c r="E2703">
        <v>4000</v>
      </c>
      <c r="F2703" t="s">
        <v>51</v>
      </c>
      <c r="G2703" t="s">
        <v>32</v>
      </c>
      <c r="H2703" t="s">
        <v>57</v>
      </c>
      <c r="I2703" t="s">
        <v>44</v>
      </c>
      <c r="J2703" t="s">
        <v>830</v>
      </c>
      <c r="K2703" t="s">
        <v>51</v>
      </c>
      <c r="L2703">
        <v>16</v>
      </c>
      <c r="M2703" t="s">
        <v>485</v>
      </c>
      <c r="N2703" t="s">
        <v>2761</v>
      </c>
    </row>
    <row r="2704" spans="1:14" x14ac:dyDescent="0.35">
      <c r="A2704" t="s">
        <v>7235</v>
      </c>
      <c r="B2704" t="s">
        <v>7236</v>
      </c>
      <c r="C2704" t="s">
        <v>62</v>
      </c>
      <c r="D2704">
        <v>87.15</v>
      </c>
      <c r="E2704">
        <v>1000</v>
      </c>
      <c r="F2704" t="s">
        <v>74</v>
      </c>
      <c r="G2704" t="s">
        <v>102</v>
      </c>
      <c r="H2704" t="s">
        <v>43</v>
      </c>
      <c r="I2704" t="s">
        <v>44</v>
      </c>
      <c r="J2704" t="s">
        <v>63</v>
      </c>
      <c r="K2704" t="s">
        <v>64</v>
      </c>
      <c r="L2704">
        <v>10</v>
      </c>
      <c r="M2704" t="s">
        <v>1050</v>
      </c>
      <c r="N2704" t="s">
        <v>877</v>
      </c>
    </row>
    <row r="2705" spans="1:14" x14ac:dyDescent="0.35">
      <c r="A2705" t="s">
        <v>7237</v>
      </c>
      <c r="B2705" t="s">
        <v>7238</v>
      </c>
      <c r="C2705" t="s">
        <v>69</v>
      </c>
      <c r="D2705">
        <v>68.39</v>
      </c>
      <c r="E2705">
        <v>42000</v>
      </c>
      <c r="F2705" t="s">
        <v>139</v>
      </c>
      <c r="G2705" t="s">
        <v>32</v>
      </c>
      <c r="H2705" t="s">
        <v>33</v>
      </c>
      <c r="I2705" t="s">
        <v>34</v>
      </c>
      <c r="J2705" t="s">
        <v>63</v>
      </c>
      <c r="K2705" t="s">
        <v>64</v>
      </c>
      <c r="L2705">
        <v>23</v>
      </c>
      <c r="M2705" t="s">
        <v>1286</v>
      </c>
      <c r="N2705" t="s">
        <v>938</v>
      </c>
    </row>
    <row r="2706" spans="1:14" x14ac:dyDescent="0.35">
      <c r="A2706" t="s">
        <v>7239</v>
      </c>
      <c r="B2706" t="s">
        <v>7240</v>
      </c>
      <c r="C2706" t="s">
        <v>116</v>
      </c>
      <c r="D2706">
        <v>10.15</v>
      </c>
      <c r="E2706">
        <v>600</v>
      </c>
      <c r="F2706" t="s">
        <v>64</v>
      </c>
      <c r="G2706" t="s">
        <v>32</v>
      </c>
      <c r="H2706" t="s">
        <v>33</v>
      </c>
      <c r="I2706" t="s">
        <v>44</v>
      </c>
      <c r="J2706" t="s">
        <v>2174</v>
      </c>
      <c r="K2706" t="s">
        <v>139</v>
      </c>
      <c r="L2706">
        <v>18</v>
      </c>
      <c r="M2706" t="s">
        <v>335</v>
      </c>
      <c r="N2706" t="s">
        <v>7241</v>
      </c>
    </row>
    <row r="2707" spans="1:14" x14ac:dyDescent="0.35">
      <c r="A2707" t="s">
        <v>7242</v>
      </c>
      <c r="B2707" t="s">
        <v>7243</v>
      </c>
      <c r="C2707" t="s">
        <v>116</v>
      </c>
      <c r="D2707">
        <v>8</v>
      </c>
      <c r="E2707">
        <v>400</v>
      </c>
      <c r="F2707" t="s">
        <v>236</v>
      </c>
      <c r="G2707" t="s">
        <v>32</v>
      </c>
      <c r="H2707" t="s">
        <v>43</v>
      </c>
      <c r="I2707" t="s">
        <v>44</v>
      </c>
      <c r="J2707" t="s">
        <v>130</v>
      </c>
      <c r="K2707" t="s">
        <v>123</v>
      </c>
      <c r="L2707">
        <v>6</v>
      </c>
      <c r="N2707" t="s">
        <v>3189</v>
      </c>
    </row>
    <row r="2708" spans="1:14" x14ac:dyDescent="0.35">
      <c r="A2708" t="s">
        <v>7244</v>
      </c>
      <c r="B2708" t="s">
        <v>7245</v>
      </c>
      <c r="C2708" t="s">
        <v>116</v>
      </c>
      <c r="D2708">
        <v>10.78</v>
      </c>
      <c r="E2708">
        <v>500</v>
      </c>
      <c r="F2708" t="s">
        <v>74</v>
      </c>
      <c r="G2708" t="s">
        <v>32</v>
      </c>
      <c r="H2708" t="s">
        <v>43</v>
      </c>
      <c r="I2708" t="s">
        <v>44</v>
      </c>
      <c r="J2708" t="s">
        <v>1500</v>
      </c>
      <c r="K2708" t="s">
        <v>97</v>
      </c>
      <c r="L2708">
        <v>19</v>
      </c>
      <c r="N2708" t="s">
        <v>2935</v>
      </c>
    </row>
    <row r="2709" spans="1:14" x14ac:dyDescent="0.35">
      <c r="A2709" t="s">
        <v>7246</v>
      </c>
      <c r="B2709" t="s">
        <v>7247</v>
      </c>
      <c r="C2709" t="s">
        <v>41</v>
      </c>
      <c r="D2709">
        <v>97.8</v>
      </c>
      <c r="E2709">
        <v>34000</v>
      </c>
      <c r="F2709" t="s">
        <v>147</v>
      </c>
      <c r="G2709" t="s">
        <v>32</v>
      </c>
      <c r="H2709" t="s">
        <v>33</v>
      </c>
      <c r="I2709" t="s">
        <v>129</v>
      </c>
      <c r="J2709" t="s">
        <v>209</v>
      </c>
      <c r="K2709" t="s">
        <v>74</v>
      </c>
      <c r="L2709">
        <v>13</v>
      </c>
      <c r="M2709" t="s">
        <v>2960</v>
      </c>
      <c r="N2709" t="s">
        <v>6242</v>
      </c>
    </row>
    <row r="2710" spans="1:14" x14ac:dyDescent="0.35">
      <c r="A2710" t="s">
        <v>7248</v>
      </c>
      <c r="B2710" t="s">
        <v>7249</v>
      </c>
      <c r="C2710" t="s">
        <v>62</v>
      </c>
      <c r="D2710">
        <v>71.5</v>
      </c>
      <c r="E2710">
        <v>2000</v>
      </c>
      <c r="F2710" t="s">
        <v>51</v>
      </c>
      <c r="G2710" t="s">
        <v>32</v>
      </c>
      <c r="H2710" t="s">
        <v>33</v>
      </c>
      <c r="I2710" t="s">
        <v>129</v>
      </c>
      <c r="J2710" t="s">
        <v>1071</v>
      </c>
      <c r="K2710" t="s">
        <v>236</v>
      </c>
      <c r="L2710">
        <v>0</v>
      </c>
      <c r="M2710" t="s">
        <v>3998</v>
      </c>
      <c r="N2710" t="s">
        <v>7250</v>
      </c>
    </row>
    <row r="2711" spans="1:14" x14ac:dyDescent="0.35">
      <c r="A2711" t="s">
        <v>7251</v>
      </c>
      <c r="B2711" t="s">
        <v>7252</v>
      </c>
      <c r="C2711" t="s">
        <v>116</v>
      </c>
      <c r="D2711">
        <v>8.86</v>
      </c>
      <c r="E2711">
        <v>500</v>
      </c>
      <c r="F2711" t="s">
        <v>51</v>
      </c>
      <c r="G2711" t="s">
        <v>32</v>
      </c>
      <c r="H2711" t="s">
        <v>33</v>
      </c>
      <c r="I2711" t="s">
        <v>129</v>
      </c>
      <c r="J2711" t="s">
        <v>70</v>
      </c>
      <c r="K2711" t="s">
        <v>31</v>
      </c>
      <c r="L2711">
        <v>15</v>
      </c>
      <c r="N2711" t="s">
        <v>2768</v>
      </c>
    </row>
    <row r="2712" spans="1:14" x14ac:dyDescent="0.35">
      <c r="A2712" t="s">
        <v>7253</v>
      </c>
      <c r="B2712" t="s">
        <v>7254</v>
      </c>
      <c r="C2712" t="s">
        <v>62</v>
      </c>
      <c r="D2712">
        <v>52.7</v>
      </c>
      <c r="E2712">
        <v>4000</v>
      </c>
      <c r="F2712" t="s">
        <v>236</v>
      </c>
      <c r="G2712" t="s">
        <v>32</v>
      </c>
      <c r="H2712" t="s">
        <v>43</v>
      </c>
      <c r="I2712" t="s">
        <v>44</v>
      </c>
      <c r="J2712" t="s">
        <v>316</v>
      </c>
      <c r="K2712" t="s">
        <v>97</v>
      </c>
      <c r="L2712">
        <v>22</v>
      </c>
      <c r="N2712" t="s">
        <v>5508</v>
      </c>
    </row>
    <row r="2713" spans="1:14" x14ac:dyDescent="0.35">
      <c r="A2713" t="s">
        <v>7255</v>
      </c>
      <c r="B2713" t="s">
        <v>7256</v>
      </c>
      <c r="C2713" t="s">
        <v>69</v>
      </c>
      <c r="D2713">
        <v>86.28</v>
      </c>
      <c r="E2713">
        <v>14000</v>
      </c>
      <c r="F2713" t="s">
        <v>42</v>
      </c>
      <c r="G2713" t="s">
        <v>32</v>
      </c>
      <c r="H2713" t="s">
        <v>57</v>
      </c>
      <c r="I2713" t="s">
        <v>34</v>
      </c>
      <c r="J2713" t="s">
        <v>45</v>
      </c>
      <c r="K2713" t="s">
        <v>46</v>
      </c>
      <c r="L2713">
        <v>21</v>
      </c>
      <c r="N2713" t="s">
        <v>255</v>
      </c>
    </row>
    <row r="2714" spans="1:14" x14ac:dyDescent="0.35">
      <c r="A2714" t="s">
        <v>7257</v>
      </c>
      <c r="B2714" t="s">
        <v>7258</v>
      </c>
      <c r="C2714" t="s">
        <v>116</v>
      </c>
      <c r="D2714">
        <v>10.46</v>
      </c>
      <c r="E2714">
        <v>200</v>
      </c>
      <c r="F2714" t="s">
        <v>87</v>
      </c>
      <c r="G2714" t="s">
        <v>32</v>
      </c>
      <c r="H2714" t="s">
        <v>57</v>
      </c>
      <c r="I2714" t="s">
        <v>129</v>
      </c>
      <c r="J2714" t="s">
        <v>70</v>
      </c>
      <c r="K2714" t="s">
        <v>31</v>
      </c>
      <c r="L2714">
        <v>18</v>
      </c>
      <c r="M2714" t="s">
        <v>1228</v>
      </c>
      <c r="N2714" t="s">
        <v>4981</v>
      </c>
    </row>
    <row r="2715" spans="1:14" x14ac:dyDescent="0.35">
      <c r="A2715" t="s">
        <v>7259</v>
      </c>
      <c r="B2715" t="s">
        <v>7260</v>
      </c>
      <c r="C2715" t="s">
        <v>116</v>
      </c>
      <c r="D2715">
        <v>10.72</v>
      </c>
      <c r="E2715">
        <v>400</v>
      </c>
      <c r="F2715" t="s">
        <v>97</v>
      </c>
      <c r="G2715" t="s">
        <v>32</v>
      </c>
      <c r="H2715" t="s">
        <v>57</v>
      </c>
      <c r="I2715" t="s">
        <v>44</v>
      </c>
      <c r="J2715" t="s">
        <v>107</v>
      </c>
      <c r="K2715" t="s">
        <v>87</v>
      </c>
      <c r="L2715">
        <v>19</v>
      </c>
      <c r="M2715" t="s">
        <v>807</v>
      </c>
      <c r="N2715" t="s">
        <v>722</v>
      </c>
    </row>
    <row r="2716" spans="1:14" x14ac:dyDescent="0.35">
      <c r="A2716" t="s">
        <v>7261</v>
      </c>
      <c r="B2716" t="s">
        <v>7262</v>
      </c>
      <c r="C2716" t="s">
        <v>116</v>
      </c>
      <c r="D2716">
        <v>10.81</v>
      </c>
      <c r="E2716">
        <v>200</v>
      </c>
      <c r="F2716" t="s">
        <v>31</v>
      </c>
      <c r="G2716" t="s">
        <v>32</v>
      </c>
      <c r="H2716" t="s">
        <v>57</v>
      </c>
      <c r="J2716" t="s">
        <v>235</v>
      </c>
      <c r="K2716" t="s">
        <v>236</v>
      </c>
      <c r="L2716">
        <v>10</v>
      </c>
      <c r="M2716" t="s">
        <v>2546</v>
      </c>
      <c r="N2716" t="s">
        <v>3517</v>
      </c>
    </row>
    <row r="2717" spans="1:14" x14ac:dyDescent="0.35">
      <c r="A2717" t="s">
        <v>7263</v>
      </c>
      <c r="B2717" t="s">
        <v>7264</v>
      </c>
      <c r="C2717" t="s">
        <v>30</v>
      </c>
      <c r="D2717">
        <v>112.32</v>
      </c>
      <c r="E2717">
        <v>15000</v>
      </c>
      <c r="F2717" t="s">
        <v>51</v>
      </c>
      <c r="G2717" t="s">
        <v>32</v>
      </c>
      <c r="H2717" t="s">
        <v>33</v>
      </c>
      <c r="J2717" t="s">
        <v>118</v>
      </c>
      <c r="K2717" t="s">
        <v>42</v>
      </c>
      <c r="L2717">
        <v>9</v>
      </c>
      <c r="M2717" t="s">
        <v>3111</v>
      </c>
      <c r="N2717" t="s">
        <v>2363</v>
      </c>
    </row>
    <row r="2718" spans="1:14" x14ac:dyDescent="0.35">
      <c r="A2718" t="s">
        <v>7265</v>
      </c>
      <c r="B2718" t="s">
        <v>7266</v>
      </c>
      <c r="C2718" t="s">
        <v>30</v>
      </c>
      <c r="D2718">
        <v>114.89</v>
      </c>
      <c r="E2718">
        <v>17000</v>
      </c>
      <c r="F2718" t="s">
        <v>123</v>
      </c>
      <c r="G2718" t="s">
        <v>32</v>
      </c>
      <c r="H2718" t="s">
        <v>43</v>
      </c>
      <c r="I2718" t="s">
        <v>44</v>
      </c>
      <c r="J2718" t="s">
        <v>70</v>
      </c>
      <c r="K2718" t="s">
        <v>31</v>
      </c>
      <c r="L2718">
        <v>19</v>
      </c>
      <c r="N2718" t="s">
        <v>2353</v>
      </c>
    </row>
    <row r="2719" spans="1:14" x14ac:dyDescent="0.35">
      <c r="A2719" t="s">
        <v>7267</v>
      </c>
      <c r="B2719" t="s">
        <v>7268</v>
      </c>
      <c r="C2719" t="s">
        <v>62</v>
      </c>
      <c r="D2719">
        <v>55.33</v>
      </c>
      <c r="E2719">
        <v>2000</v>
      </c>
      <c r="F2719" t="s">
        <v>87</v>
      </c>
      <c r="G2719" t="s">
        <v>32</v>
      </c>
      <c r="H2719" t="s">
        <v>33</v>
      </c>
      <c r="I2719" t="s">
        <v>34</v>
      </c>
      <c r="J2719" t="s">
        <v>118</v>
      </c>
      <c r="K2719" t="s">
        <v>42</v>
      </c>
      <c r="L2719">
        <v>0</v>
      </c>
      <c r="M2719" t="s">
        <v>1957</v>
      </c>
      <c r="N2719" t="s">
        <v>2322</v>
      </c>
    </row>
    <row r="2720" spans="1:14" x14ac:dyDescent="0.35">
      <c r="A2720" t="s">
        <v>7269</v>
      </c>
      <c r="B2720" t="s">
        <v>7270</v>
      </c>
      <c r="C2720" t="s">
        <v>30</v>
      </c>
      <c r="D2720">
        <v>117.41</v>
      </c>
      <c r="E2720">
        <v>5000</v>
      </c>
      <c r="F2720" t="s">
        <v>31</v>
      </c>
      <c r="G2720" t="s">
        <v>32</v>
      </c>
      <c r="H2720" t="s">
        <v>43</v>
      </c>
      <c r="J2720" t="s">
        <v>70</v>
      </c>
      <c r="K2720" t="s">
        <v>31</v>
      </c>
      <c r="L2720">
        <v>8</v>
      </c>
      <c r="M2720" t="s">
        <v>5281</v>
      </c>
      <c r="N2720" t="s">
        <v>5304</v>
      </c>
    </row>
    <row r="2721" spans="1:14" x14ac:dyDescent="0.35">
      <c r="A2721" t="s">
        <v>7271</v>
      </c>
      <c r="B2721" t="s">
        <v>7272</v>
      </c>
      <c r="C2721" t="s">
        <v>81</v>
      </c>
      <c r="D2721">
        <v>129.16999999999999</v>
      </c>
      <c r="E2721">
        <v>5000</v>
      </c>
      <c r="F2721" t="s">
        <v>74</v>
      </c>
      <c r="G2721" t="s">
        <v>32</v>
      </c>
      <c r="H2721" t="s">
        <v>43</v>
      </c>
      <c r="I2721" t="s">
        <v>34</v>
      </c>
      <c r="J2721" t="s">
        <v>124</v>
      </c>
      <c r="K2721" t="s">
        <v>117</v>
      </c>
      <c r="L2721">
        <v>1</v>
      </c>
      <c r="M2721" t="s">
        <v>2996</v>
      </c>
      <c r="N2721" t="s">
        <v>5914</v>
      </c>
    </row>
    <row r="2722" spans="1:14" x14ac:dyDescent="0.35">
      <c r="A2722" t="s">
        <v>7273</v>
      </c>
      <c r="B2722" t="s">
        <v>7274</v>
      </c>
      <c r="C2722" t="s">
        <v>62</v>
      </c>
      <c r="D2722">
        <v>87.42</v>
      </c>
      <c r="E2722">
        <v>1000</v>
      </c>
      <c r="F2722" t="s">
        <v>64</v>
      </c>
      <c r="G2722" t="s">
        <v>32</v>
      </c>
      <c r="H2722" t="s">
        <v>43</v>
      </c>
      <c r="J2722" t="s">
        <v>107</v>
      </c>
      <c r="K2722" t="s">
        <v>87</v>
      </c>
      <c r="L2722">
        <v>22</v>
      </c>
      <c r="M2722" t="s">
        <v>2557</v>
      </c>
      <c r="N2722" t="s">
        <v>1915</v>
      </c>
    </row>
    <row r="2723" spans="1:14" x14ac:dyDescent="0.35">
      <c r="A2723" t="s">
        <v>7275</v>
      </c>
      <c r="B2723" t="s">
        <v>7276</v>
      </c>
      <c r="C2723" t="s">
        <v>62</v>
      </c>
      <c r="D2723">
        <v>72.08</v>
      </c>
      <c r="E2723">
        <v>2000</v>
      </c>
      <c r="F2723" t="s">
        <v>97</v>
      </c>
      <c r="G2723" t="s">
        <v>32</v>
      </c>
      <c r="H2723" t="s">
        <v>33</v>
      </c>
      <c r="I2723" t="s">
        <v>129</v>
      </c>
      <c r="J2723" t="s">
        <v>45</v>
      </c>
      <c r="K2723" t="s">
        <v>46</v>
      </c>
      <c r="L2723">
        <v>2</v>
      </c>
      <c r="N2723" t="s">
        <v>1859</v>
      </c>
    </row>
    <row r="2724" spans="1:14" x14ac:dyDescent="0.35">
      <c r="A2724" t="s">
        <v>7277</v>
      </c>
      <c r="B2724" t="s">
        <v>7278</v>
      </c>
      <c r="C2724" t="s">
        <v>116</v>
      </c>
      <c r="D2724">
        <v>7.57</v>
      </c>
      <c r="E2724">
        <v>600</v>
      </c>
      <c r="F2724" t="s">
        <v>31</v>
      </c>
      <c r="G2724" t="s">
        <v>32</v>
      </c>
      <c r="H2724" t="s">
        <v>57</v>
      </c>
      <c r="I2724" t="s">
        <v>44</v>
      </c>
      <c r="J2724" t="s">
        <v>130</v>
      </c>
      <c r="K2724" t="s">
        <v>123</v>
      </c>
      <c r="L2724">
        <v>15</v>
      </c>
      <c r="M2724" t="s">
        <v>2960</v>
      </c>
      <c r="N2724" t="s">
        <v>6263</v>
      </c>
    </row>
    <row r="2725" spans="1:14" x14ac:dyDescent="0.35">
      <c r="A2725" t="s">
        <v>7279</v>
      </c>
      <c r="B2725" t="s">
        <v>7280</v>
      </c>
      <c r="C2725" t="s">
        <v>69</v>
      </c>
      <c r="D2725">
        <v>61.47</v>
      </c>
      <c r="E2725">
        <v>55000</v>
      </c>
      <c r="F2725" t="s">
        <v>147</v>
      </c>
      <c r="G2725" t="s">
        <v>32</v>
      </c>
      <c r="H2725" t="s">
        <v>57</v>
      </c>
      <c r="I2725" t="s">
        <v>44</v>
      </c>
      <c r="J2725" t="s">
        <v>3287</v>
      </c>
      <c r="K2725" t="s">
        <v>139</v>
      </c>
      <c r="L2725">
        <v>14</v>
      </c>
      <c r="M2725" t="s">
        <v>1772</v>
      </c>
      <c r="N2725" t="s">
        <v>3569</v>
      </c>
    </row>
    <row r="2726" spans="1:14" x14ac:dyDescent="0.35">
      <c r="A2726" t="s">
        <v>7281</v>
      </c>
      <c r="B2726" t="s">
        <v>7282</v>
      </c>
      <c r="C2726" t="s">
        <v>69</v>
      </c>
      <c r="D2726">
        <v>57.54</v>
      </c>
      <c r="E2726">
        <v>14000</v>
      </c>
      <c r="F2726" t="s">
        <v>106</v>
      </c>
      <c r="G2726" t="s">
        <v>32</v>
      </c>
      <c r="H2726" t="s">
        <v>33</v>
      </c>
      <c r="I2726" t="s">
        <v>44</v>
      </c>
      <c r="J2726" t="s">
        <v>118</v>
      </c>
      <c r="K2726" t="s">
        <v>42</v>
      </c>
      <c r="L2726">
        <v>19</v>
      </c>
      <c r="N2726" t="s">
        <v>2059</v>
      </c>
    </row>
    <row r="2727" spans="1:14" x14ac:dyDescent="0.35">
      <c r="A2727" t="s">
        <v>7283</v>
      </c>
      <c r="B2727" t="s">
        <v>7284</v>
      </c>
      <c r="C2727" t="s">
        <v>41</v>
      </c>
      <c r="D2727">
        <v>116.35</v>
      </c>
      <c r="E2727">
        <v>12000</v>
      </c>
      <c r="F2727" t="s">
        <v>31</v>
      </c>
      <c r="G2727" t="s">
        <v>32</v>
      </c>
      <c r="H2727" t="s">
        <v>33</v>
      </c>
      <c r="I2727" t="s">
        <v>34</v>
      </c>
      <c r="J2727" t="s">
        <v>35</v>
      </c>
      <c r="K2727" t="s">
        <v>36</v>
      </c>
      <c r="L2727">
        <v>9</v>
      </c>
      <c r="M2727" t="s">
        <v>769</v>
      </c>
      <c r="N2727" t="s">
        <v>3940</v>
      </c>
    </row>
    <row r="2728" spans="1:14" x14ac:dyDescent="0.35">
      <c r="A2728" t="s">
        <v>7285</v>
      </c>
      <c r="B2728" t="s">
        <v>7286</v>
      </c>
      <c r="C2728" t="s">
        <v>81</v>
      </c>
      <c r="D2728">
        <v>119.44</v>
      </c>
      <c r="E2728">
        <v>4000</v>
      </c>
      <c r="F2728" t="s">
        <v>236</v>
      </c>
      <c r="G2728" t="s">
        <v>102</v>
      </c>
      <c r="H2728" t="s">
        <v>33</v>
      </c>
      <c r="I2728" t="s">
        <v>44</v>
      </c>
      <c r="J2728" t="s">
        <v>2502</v>
      </c>
      <c r="K2728" t="s">
        <v>51</v>
      </c>
      <c r="L2728">
        <v>2</v>
      </c>
      <c r="M2728" t="s">
        <v>1783</v>
      </c>
      <c r="N2728" t="s">
        <v>6885</v>
      </c>
    </row>
    <row r="2729" spans="1:14" x14ac:dyDescent="0.35">
      <c r="A2729" t="s">
        <v>7287</v>
      </c>
      <c r="B2729" t="s">
        <v>7288</v>
      </c>
      <c r="C2729" t="s">
        <v>62</v>
      </c>
      <c r="D2729">
        <v>99.73</v>
      </c>
      <c r="E2729">
        <v>5000</v>
      </c>
      <c r="F2729" t="s">
        <v>31</v>
      </c>
      <c r="G2729" t="s">
        <v>32</v>
      </c>
      <c r="H2729" t="s">
        <v>57</v>
      </c>
      <c r="J2729" t="s">
        <v>63</v>
      </c>
      <c r="K2729" t="s">
        <v>64</v>
      </c>
      <c r="L2729">
        <v>13</v>
      </c>
      <c r="M2729" t="s">
        <v>434</v>
      </c>
      <c r="N2729" t="s">
        <v>2099</v>
      </c>
    </row>
    <row r="2730" spans="1:14" x14ac:dyDescent="0.35">
      <c r="A2730" t="s">
        <v>7289</v>
      </c>
      <c r="B2730" t="s">
        <v>7290</v>
      </c>
      <c r="C2730" t="s">
        <v>69</v>
      </c>
      <c r="D2730">
        <v>53.21</v>
      </c>
      <c r="E2730">
        <v>74000</v>
      </c>
      <c r="F2730" t="s">
        <v>51</v>
      </c>
      <c r="G2730" t="s">
        <v>32</v>
      </c>
      <c r="H2730" t="s">
        <v>43</v>
      </c>
      <c r="J2730" t="s">
        <v>70</v>
      </c>
      <c r="K2730" t="s">
        <v>31</v>
      </c>
      <c r="L2730">
        <v>7</v>
      </c>
      <c r="M2730" t="s">
        <v>2243</v>
      </c>
      <c r="N2730" t="s">
        <v>7291</v>
      </c>
    </row>
    <row r="2731" spans="1:14" x14ac:dyDescent="0.35">
      <c r="A2731" t="s">
        <v>7292</v>
      </c>
      <c r="B2731" t="s">
        <v>7293</v>
      </c>
      <c r="C2731" t="s">
        <v>81</v>
      </c>
      <c r="D2731">
        <v>136.35</v>
      </c>
      <c r="E2731">
        <v>7000</v>
      </c>
      <c r="F2731" t="s">
        <v>123</v>
      </c>
      <c r="G2731" t="s">
        <v>32</v>
      </c>
      <c r="H2731" t="s">
        <v>43</v>
      </c>
      <c r="I2731" t="s">
        <v>34</v>
      </c>
      <c r="J2731" t="s">
        <v>45</v>
      </c>
      <c r="K2731" t="s">
        <v>46</v>
      </c>
      <c r="L2731">
        <v>3</v>
      </c>
      <c r="M2731" t="s">
        <v>1009</v>
      </c>
      <c r="N2731" t="s">
        <v>309</v>
      </c>
    </row>
    <row r="2732" spans="1:14" x14ac:dyDescent="0.35">
      <c r="A2732" t="s">
        <v>7294</v>
      </c>
      <c r="B2732" t="s">
        <v>7295</v>
      </c>
      <c r="C2732" t="s">
        <v>30</v>
      </c>
      <c r="D2732">
        <v>115.5</v>
      </c>
      <c r="E2732">
        <v>18000</v>
      </c>
      <c r="F2732" t="s">
        <v>117</v>
      </c>
      <c r="G2732" t="s">
        <v>32</v>
      </c>
      <c r="H2732" t="s">
        <v>43</v>
      </c>
      <c r="J2732" t="s">
        <v>112</v>
      </c>
      <c r="K2732" t="s">
        <v>106</v>
      </c>
      <c r="L2732">
        <v>2</v>
      </c>
      <c r="N2732" t="s">
        <v>4777</v>
      </c>
    </row>
    <row r="2733" spans="1:14" x14ac:dyDescent="0.35">
      <c r="A2733" t="s">
        <v>7296</v>
      </c>
      <c r="B2733" t="s">
        <v>7297</v>
      </c>
      <c r="C2733" t="s">
        <v>116</v>
      </c>
      <c r="D2733">
        <v>11.36</v>
      </c>
      <c r="E2733">
        <v>300</v>
      </c>
      <c r="F2733" t="s">
        <v>87</v>
      </c>
      <c r="G2733" t="s">
        <v>102</v>
      </c>
      <c r="H2733" t="s">
        <v>57</v>
      </c>
      <c r="I2733" t="s">
        <v>44</v>
      </c>
      <c r="J2733" t="s">
        <v>721</v>
      </c>
      <c r="K2733" t="s">
        <v>42</v>
      </c>
      <c r="L2733">
        <v>13</v>
      </c>
      <c r="M2733" t="s">
        <v>1050</v>
      </c>
      <c r="N2733" t="s">
        <v>4624</v>
      </c>
    </row>
    <row r="2734" spans="1:14" x14ac:dyDescent="0.35">
      <c r="A2734" t="s">
        <v>7298</v>
      </c>
      <c r="B2734" t="s">
        <v>7299</v>
      </c>
      <c r="C2734" t="s">
        <v>62</v>
      </c>
      <c r="D2734">
        <v>65.739999999999995</v>
      </c>
      <c r="E2734">
        <v>2000</v>
      </c>
      <c r="F2734" t="s">
        <v>51</v>
      </c>
      <c r="G2734" t="s">
        <v>32</v>
      </c>
      <c r="H2734" t="s">
        <v>33</v>
      </c>
      <c r="I2734" t="s">
        <v>34</v>
      </c>
      <c r="J2734" t="s">
        <v>130</v>
      </c>
      <c r="K2734" t="s">
        <v>123</v>
      </c>
      <c r="L2734">
        <v>4</v>
      </c>
      <c r="M2734" t="s">
        <v>1328</v>
      </c>
      <c r="N2734" t="s">
        <v>7300</v>
      </c>
    </row>
    <row r="2735" spans="1:14" x14ac:dyDescent="0.35">
      <c r="A2735" t="s">
        <v>7301</v>
      </c>
      <c r="B2735" t="s">
        <v>7302</v>
      </c>
      <c r="C2735" t="s">
        <v>116</v>
      </c>
      <c r="D2735">
        <v>11.71</v>
      </c>
      <c r="E2735">
        <v>200</v>
      </c>
      <c r="F2735" t="s">
        <v>46</v>
      </c>
      <c r="G2735" t="s">
        <v>32</v>
      </c>
      <c r="H2735" t="s">
        <v>43</v>
      </c>
      <c r="I2735" t="s">
        <v>44</v>
      </c>
      <c r="J2735" t="s">
        <v>45</v>
      </c>
      <c r="K2735" t="s">
        <v>46</v>
      </c>
      <c r="L2735">
        <v>1</v>
      </c>
      <c r="M2735" t="s">
        <v>1328</v>
      </c>
      <c r="N2735" t="s">
        <v>4855</v>
      </c>
    </row>
    <row r="2736" spans="1:14" x14ac:dyDescent="0.35">
      <c r="A2736" t="s">
        <v>7303</v>
      </c>
      <c r="B2736" t="s">
        <v>7304</v>
      </c>
      <c r="C2736" t="s">
        <v>30</v>
      </c>
      <c r="D2736">
        <v>149.22</v>
      </c>
      <c r="E2736">
        <v>14000</v>
      </c>
      <c r="F2736" t="s">
        <v>74</v>
      </c>
      <c r="G2736" t="s">
        <v>32</v>
      </c>
      <c r="H2736" t="s">
        <v>33</v>
      </c>
      <c r="I2736" t="s">
        <v>129</v>
      </c>
      <c r="J2736" t="s">
        <v>112</v>
      </c>
      <c r="K2736" t="s">
        <v>106</v>
      </c>
      <c r="L2736">
        <v>5</v>
      </c>
      <c r="M2736" t="s">
        <v>955</v>
      </c>
      <c r="N2736" t="s">
        <v>192</v>
      </c>
    </row>
    <row r="2737" spans="1:14" x14ac:dyDescent="0.35">
      <c r="A2737" t="s">
        <v>7305</v>
      </c>
      <c r="B2737" t="s">
        <v>7306</v>
      </c>
      <c r="C2737" t="s">
        <v>41</v>
      </c>
      <c r="D2737">
        <v>106.72</v>
      </c>
      <c r="E2737">
        <v>21000</v>
      </c>
      <c r="F2737" t="s">
        <v>87</v>
      </c>
      <c r="G2737" t="s">
        <v>32</v>
      </c>
      <c r="H2737" t="s">
        <v>43</v>
      </c>
      <c r="I2737" t="s">
        <v>44</v>
      </c>
      <c r="J2737" t="s">
        <v>3973</v>
      </c>
      <c r="K2737" t="s">
        <v>147</v>
      </c>
      <c r="L2737">
        <v>7</v>
      </c>
      <c r="M2737" t="s">
        <v>2437</v>
      </c>
      <c r="N2737" t="s">
        <v>5161</v>
      </c>
    </row>
    <row r="2738" spans="1:14" x14ac:dyDescent="0.35">
      <c r="A2738" t="s">
        <v>7307</v>
      </c>
      <c r="B2738" t="s">
        <v>7308</v>
      </c>
      <c r="C2738" t="s">
        <v>62</v>
      </c>
      <c r="D2738">
        <v>84.45</v>
      </c>
      <c r="E2738">
        <v>4000</v>
      </c>
      <c r="F2738" t="s">
        <v>64</v>
      </c>
      <c r="G2738" t="s">
        <v>32</v>
      </c>
      <c r="H2738" t="s">
        <v>43</v>
      </c>
      <c r="I2738" t="s">
        <v>34</v>
      </c>
      <c r="J2738" t="s">
        <v>75</v>
      </c>
      <c r="K2738" t="s">
        <v>76</v>
      </c>
      <c r="L2738">
        <v>9</v>
      </c>
      <c r="N2738" t="s">
        <v>1173</v>
      </c>
    </row>
    <row r="2739" spans="1:14" x14ac:dyDescent="0.35">
      <c r="A2739" t="s">
        <v>7309</v>
      </c>
      <c r="B2739" t="s">
        <v>7310</v>
      </c>
      <c r="C2739" t="s">
        <v>116</v>
      </c>
      <c r="D2739">
        <v>6.56</v>
      </c>
      <c r="E2739">
        <v>700</v>
      </c>
      <c r="F2739" t="s">
        <v>76</v>
      </c>
      <c r="G2739" t="s">
        <v>32</v>
      </c>
      <c r="H2739" t="s">
        <v>43</v>
      </c>
      <c r="I2739" t="s">
        <v>34</v>
      </c>
      <c r="J2739" t="s">
        <v>130</v>
      </c>
      <c r="K2739" t="s">
        <v>123</v>
      </c>
      <c r="L2739">
        <v>1</v>
      </c>
      <c r="M2739" t="s">
        <v>403</v>
      </c>
      <c r="N2739" t="s">
        <v>7311</v>
      </c>
    </row>
    <row r="2740" spans="1:14" x14ac:dyDescent="0.35">
      <c r="A2740" t="s">
        <v>7312</v>
      </c>
      <c r="B2740" t="s">
        <v>7313</v>
      </c>
      <c r="C2740" t="s">
        <v>81</v>
      </c>
      <c r="D2740">
        <v>82.39</v>
      </c>
      <c r="E2740">
        <v>7000</v>
      </c>
      <c r="F2740" t="s">
        <v>46</v>
      </c>
      <c r="G2740" t="s">
        <v>32</v>
      </c>
      <c r="H2740" t="s">
        <v>33</v>
      </c>
      <c r="I2740" t="s">
        <v>34</v>
      </c>
      <c r="J2740" t="s">
        <v>75</v>
      </c>
      <c r="K2740" t="s">
        <v>76</v>
      </c>
      <c r="L2740">
        <v>4</v>
      </c>
      <c r="N2740" t="s">
        <v>2701</v>
      </c>
    </row>
    <row r="2741" spans="1:14" x14ac:dyDescent="0.35">
      <c r="A2741" t="s">
        <v>7314</v>
      </c>
      <c r="B2741" t="s">
        <v>7315</v>
      </c>
      <c r="C2741" t="s">
        <v>62</v>
      </c>
      <c r="D2741">
        <v>96.88</v>
      </c>
      <c r="E2741">
        <v>1000</v>
      </c>
      <c r="F2741" t="s">
        <v>147</v>
      </c>
      <c r="G2741" t="s">
        <v>32</v>
      </c>
      <c r="H2741" t="s">
        <v>33</v>
      </c>
      <c r="J2741" t="s">
        <v>2502</v>
      </c>
      <c r="K2741" t="s">
        <v>51</v>
      </c>
      <c r="L2741">
        <v>2</v>
      </c>
      <c r="M2741" t="s">
        <v>2407</v>
      </c>
      <c r="N2741" t="s">
        <v>7300</v>
      </c>
    </row>
    <row r="2742" spans="1:14" x14ac:dyDescent="0.35">
      <c r="A2742" t="s">
        <v>7316</v>
      </c>
      <c r="B2742" t="s">
        <v>7317</v>
      </c>
      <c r="C2742" t="s">
        <v>30</v>
      </c>
      <c r="D2742">
        <v>118.26</v>
      </c>
      <c r="E2742">
        <v>2000</v>
      </c>
      <c r="F2742" t="s">
        <v>139</v>
      </c>
      <c r="G2742" t="s">
        <v>32</v>
      </c>
      <c r="H2742" t="s">
        <v>43</v>
      </c>
      <c r="J2742" t="s">
        <v>130</v>
      </c>
      <c r="K2742" t="s">
        <v>123</v>
      </c>
      <c r="L2742">
        <v>2</v>
      </c>
      <c r="M2742" t="s">
        <v>223</v>
      </c>
      <c r="N2742" t="s">
        <v>4169</v>
      </c>
    </row>
    <row r="2743" spans="1:14" x14ac:dyDescent="0.35">
      <c r="A2743" t="s">
        <v>7318</v>
      </c>
      <c r="B2743" t="s">
        <v>7319</v>
      </c>
      <c r="C2743" t="s">
        <v>62</v>
      </c>
      <c r="D2743">
        <v>61.3</v>
      </c>
      <c r="E2743">
        <v>2000</v>
      </c>
      <c r="F2743" t="s">
        <v>74</v>
      </c>
      <c r="G2743" t="s">
        <v>32</v>
      </c>
      <c r="H2743" t="s">
        <v>43</v>
      </c>
      <c r="I2743" t="s">
        <v>34</v>
      </c>
      <c r="J2743" t="s">
        <v>118</v>
      </c>
      <c r="K2743" t="s">
        <v>42</v>
      </c>
      <c r="L2743">
        <v>10</v>
      </c>
      <c r="N2743" t="s">
        <v>3089</v>
      </c>
    </row>
    <row r="2744" spans="1:14" x14ac:dyDescent="0.35">
      <c r="A2744" t="s">
        <v>7320</v>
      </c>
      <c r="B2744" t="s">
        <v>7321</v>
      </c>
      <c r="C2744" t="s">
        <v>41</v>
      </c>
      <c r="D2744">
        <v>130.65</v>
      </c>
      <c r="E2744">
        <v>37000</v>
      </c>
      <c r="F2744" t="s">
        <v>64</v>
      </c>
      <c r="G2744" t="s">
        <v>32</v>
      </c>
      <c r="H2744" t="s">
        <v>43</v>
      </c>
      <c r="J2744" t="s">
        <v>130</v>
      </c>
      <c r="K2744" t="s">
        <v>123</v>
      </c>
      <c r="L2744">
        <v>9</v>
      </c>
      <c r="N2744" t="s">
        <v>3181</v>
      </c>
    </row>
    <row r="2745" spans="1:14" x14ac:dyDescent="0.35">
      <c r="A2745" t="s">
        <v>7322</v>
      </c>
      <c r="B2745" t="s">
        <v>7323</v>
      </c>
      <c r="C2745" t="s">
        <v>30</v>
      </c>
      <c r="D2745">
        <v>183.75</v>
      </c>
      <c r="E2745">
        <v>14000</v>
      </c>
      <c r="F2745" t="s">
        <v>31</v>
      </c>
      <c r="G2745" t="s">
        <v>32</v>
      </c>
      <c r="H2745" t="s">
        <v>57</v>
      </c>
      <c r="I2745" t="s">
        <v>44</v>
      </c>
      <c r="J2745" t="s">
        <v>45</v>
      </c>
      <c r="K2745" t="s">
        <v>46</v>
      </c>
      <c r="L2745">
        <v>3</v>
      </c>
      <c r="M2745" t="s">
        <v>803</v>
      </c>
      <c r="N2745" t="s">
        <v>2314</v>
      </c>
    </row>
    <row r="2746" spans="1:14" x14ac:dyDescent="0.35">
      <c r="A2746" t="s">
        <v>7324</v>
      </c>
      <c r="B2746" t="s">
        <v>7325</v>
      </c>
      <c r="C2746" t="s">
        <v>116</v>
      </c>
      <c r="D2746">
        <v>10.85</v>
      </c>
      <c r="E2746">
        <v>600</v>
      </c>
      <c r="F2746" t="s">
        <v>139</v>
      </c>
      <c r="G2746" t="s">
        <v>102</v>
      </c>
      <c r="H2746" t="s">
        <v>57</v>
      </c>
      <c r="I2746" t="s">
        <v>44</v>
      </c>
      <c r="J2746" t="s">
        <v>107</v>
      </c>
      <c r="K2746" t="s">
        <v>87</v>
      </c>
      <c r="L2746">
        <v>20</v>
      </c>
      <c r="M2746" t="s">
        <v>2546</v>
      </c>
      <c r="N2746" t="s">
        <v>459</v>
      </c>
    </row>
    <row r="2747" spans="1:14" x14ac:dyDescent="0.35">
      <c r="A2747" t="s">
        <v>7326</v>
      </c>
      <c r="B2747" t="s">
        <v>7327</v>
      </c>
      <c r="C2747" t="s">
        <v>41</v>
      </c>
      <c r="D2747">
        <v>126.01</v>
      </c>
      <c r="E2747">
        <v>22000</v>
      </c>
      <c r="F2747" t="s">
        <v>123</v>
      </c>
      <c r="G2747" t="s">
        <v>102</v>
      </c>
      <c r="H2747" t="s">
        <v>43</v>
      </c>
      <c r="I2747" t="s">
        <v>44</v>
      </c>
      <c r="J2747" t="s">
        <v>82</v>
      </c>
      <c r="K2747" t="s">
        <v>74</v>
      </c>
      <c r="L2747">
        <v>3</v>
      </c>
      <c r="M2747" t="s">
        <v>1695</v>
      </c>
      <c r="N2747" t="s">
        <v>3586</v>
      </c>
    </row>
    <row r="2748" spans="1:14" x14ac:dyDescent="0.35">
      <c r="A2748" t="s">
        <v>7328</v>
      </c>
      <c r="B2748" t="s">
        <v>7329</v>
      </c>
      <c r="C2748" t="s">
        <v>62</v>
      </c>
      <c r="D2748">
        <v>55.12</v>
      </c>
      <c r="E2748">
        <v>2000</v>
      </c>
      <c r="F2748" t="s">
        <v>117</v>
      </c>
      <c r="G2748" t="s">
        <v>32</v>
      </c>
      <c r="H2748" t="s">
        <v>57</v>
      </c>
      <c r="I2748" t="s">
        <v>34</v>
      </c>
      <c r="J2748" t="s">
        <v>130</v>
      </c>
      <c r="K2748" t="s">
        <v>123</v>
      </c>
      <c r="L2748">
        <v>22</v>
      </c>
      <c r="M2748" t="s">
        <v>231</v>
      </c>
      <c r="N2748" t="s">
        <v>2391</v>
      </c>
    </row>
    <row r="2749" spans="1:14" x14ac:dyDescent="0.35">
      <c r="A2749" t="s">
        <v>7330</v>
      </c>
      <c r="B2749" t="s">
        <v>7331</v>
      </c>
      <c r="C2749" t="s">
        <v>30</v>
      </c>
      <c r="D2749">
        <v>126.16</v>
      </c>
      <c r="E2749">
        <v>14000</v>
      </c>
      <c r="F2749" t="s">
        <v>123</v>
      </c>
      <c r="G2749" t="s">
        <v>32</v>
      </c>
      <c r="H2749" t="s">
        <v>57</v>
      </c>
      <c r="I2749" t="s">
        <v>34</v>
      </c>
      <c r="J2749" t="s">
        <v>63</v>
      </c>
      <c r="K2749" t="s">
        <v>64</v>
      </c>
      <c r="L2749">
        <v>15</v>
      </c>
      <c r="M2749" t="s">
        <v>555</v>
      </c>
      <c r="N2749" t="s">
        <v>6225</v>
      </c>
    </row>
    <row r="2750" spans="1:14" x14ac:dyDescent="0.35">
      <c r="A2750" t="s">
        <v>7332</v>
      </c>
      <c r="B2750" t="s">
        <v>7333</v>
      </c>
      <c r="C2750" t="s">
        <v>30</v>
      </c>
      <c r="D2750">
        <v>183.63</v>
      </c>
      <c r="E2750">
        <v>6000</v>
      </c>
      <c r="F2750" t="s">
        <v>42</v>
      </c>
      <c r="G2750" t="s">
        <v>32</v>
      </c>
      <c r="H2750" t="s">
        <v>43</v>
      </c>
      <c r="I2750" t="s">
        <v>34</v>
      </c>
      <c r="J2750" t="s">
        <v>45</v>
      </c>
      <c r="K2750" t="s">
        <v>46</v>
      </c>
      <c r="L2750">
        <v>8</v>
      </c>
      <c r="N2750" t="s">
        <v>1662</v>
      </c>
    </row>
    <row r="2751" spans="1:14" x14ac:dyDescent="0.35">
      <c r="A2751" t="s">
        <v>7334</v>
      </c>
      <c r="B2751" t="s">
        <v>7335</v>
      </c>
      <c r="C2751" t="s">
        <v>30</v>
      </c>
      <c r="D2751">
        <v>110.26</v>
      </c>
      <c r="E2751">
        <v>10000</v>
      </c>
      <c r="F2751" t="s">
        <v>123</v>
      </c>
      <c r="G2751" t="s">
        <v>32</v>
      </c>
      <c r="H2751" t="s">
        <v>43</v>
      </c>
      <c r="I2751" t="s">
        <v>34</v>
      </c>
      <c r="J2751" t="s">
        <v>1216</v>
      </c>
      <c r="K2751" t="s">
        <v>51</v>
      </c>
      <c r="L2751">
        <v>7</v>
      </c>
      <c r="N2751" t="s">
        <v>1044</v>
      </c>
    </row>
    <row r="2752" spans="1:14" x14ac:dyDescent="0.35">
      <c r="A2752" t="s">
        <v>7336</v>
      </c>
      <c r="B2752" t="s">
        <v>7337</v>
      </c>
      <c r="C2752" t="s">
        <v>30</v>
      </c>
      <c r="D2752">
        <v>116.31</v>
      </c>
      <c r="E2752">
        <v>6000</v>
      </c>
      <c r="F2752" t="s">
        <v>76</v>
      </c>
      <c r="G2752" t="s">
        <v>32</v>
      </c>
      <c r="H2752" t="s">
        <v>43</v>
      </c>
      <c r="I2752" t="s">
        <v>34</v>
      </c>
      <c r="J2752" t="s">
        <v>1071</v>
      </c>
      <c r="K2752" t="s">
        <v>236</v>
      </c>
      <c r="L2752">
        <v>14</v>
      </c>
      <c r="N2752" t="s">
        <v>1421</v>
      </c>
    </row>
    <row r="2753" spans="1:14" x14ac:dyDescent="0.35">
      <c r="A2753" t="s">
        <v>7338</v>
      </c>
      <c r="B2753" t="s">
        <v>7339</v>
      </c>
      <c r="C2753" t="s">
        <v>41</v>
      </c>
      <c r="D2753">
        <v>92.58</v>
      </c>
      <c r="E2753">
        <v>19000</v>
      </c>
      <c r="F2753" t="s">
        <v>87</v>
      </c>
      <c r="G2753" t="s">
        <v>32</v>
      </c>
      <c r="H2753" t="s">
        <v>33</v>
      </c>
      <c r="I2753" t="s">
        <v>34</v>
      </c>
      <c r="J2753" t="s">
        <v>75</v>
      </c>
      <c r="K2753" t="s">
        <v>76</v>
      </c>
      <c r="L2753">
        <v>21</v>
      </c>
      <c r="N2753" t="s">
        <v>4657</v>
      </c>
    </row>
    <row r="2754" spans="1:14" x14ac:dyDescent="0.35">
      <c r="A2754" t="s">
        <v>7340</v>
      </c>
      <c r="B2754" t="s">
        <v>7341</v>
      </c>
      <c r="C2754" t="s">
        <v>116</v>
      </c>
      <c r="D2754">
        <v>7.48</v>
      </c>
      <c r="E2754">
        <v>700</v>
      </c>
      <c r="F2754" t="s">
        <v>42</v>
      </c>
      <c r="G2754" t="s">
        <v>32</v>
      </c>
      <c r="H2754" t="s">
        <v>43</v>
      </c>
      <c r="I2754" t="s">
        <v>34</v>
      </c>
      <c r="J2754" t="s">
        <v>209</v>
      </c>
      <c r="K2754" t="s">
        <v>74</v>
      </c>
      <c r="L2754">
        <v>5</v>
      </c>
      <c r="M2754" t="s">
        <v>160</v>
      </c>
      <c r="N2754" t="s">
        <v>540</v>
      </c>
    </row>
    <row r="2755" spans="1:14" x14ac:dyDescent="0.35">
      <c r="A2755" t="s">
        <v>7342</v>
      </c>
      <c r="B2755" t="s">
        <v>7343</v>
      </c>
      <c r="C2755" t="s">
        <v>62</v>
      </c>
      <c r="D2755">
        <v>64.87</v>
      </c>
      <c r="E2755">
        <v>1000</v>
      </c>
      <c r="F2755" t="s">
        <v>64</v>
      </c>
      <c r="G2755" t="s">
        <v>32</v>
      </c>
      <c r="H2755" t="s">
        <v>43</v>
      </c>
      <c r="I2755" t="s">
        <v>44</v>
      </c>
      <c r="J2755" t="s">
        <v>63</v>
      </c>
      <c r="K2755" t="s">
        <v>64</v>
      </c>
      <c r="L2755">
        <v>14</v>
      </c>
      <c r="M2755" t="s">
        <v>4650</v>
      </c>
      <c r="N2755" t="s">
        <v>7344</v>
      </c>
    </row>
    <row r="2756" spans="1:14" x14ac:dyDescent="0.35">
      <c r="A2756" t="s">
        <v>7345</v>
      </c>
      <c r="B2756" t="s">
        <v>7346</v>
      </c>
      <c r="C2756" t="s">
        <v>41</v>
      </c>
      <c r="D2756">
        <v>121.91</v>
      </c>
      <c r="E2756">
        <v>34000</v>
      </c>
      <c r="F2756" t="s">
        <v>46</v>
      </c>
      <c r="G2756" t="s">
        <v>32</v>
      </c>
      <c r="H2756" t="s">
        <v>33</v>
      </c>
      <c r="I2756" t="s">
        <v>34</v>
      </c>
      <c r="J2756" t="s">
        <v>82</v>
      </c>
      <c r="K2756" t="s">
        <v>74</v>
      </c>
      <c r="L2756">
        <v>12</v>
      </c>
      <c r="M2756" t="s">
        <v>1597</v>
      </c>
      <c r="N2756" t="s">
        <v>3654</v>
      </c>
    </row>
    <row r="2757" spans="1:14" x14ac:dyDescent="0.35">
      <c r="A2757" t="s">
        <v>7347</v>
      </c>
      <c r="B2757" t="s">
        <v>7348</v>
      </c>
      <c r="C2757" t="s">
        <v>41</v>
      </c>
      <c r="D2757">
        <v>156.38999999999999</v>
      </c>
      <c r="E2757">
        <v>19000</v>
      </c>
      <c r="F2757" t="s">
        <v>64</v>
      </c>
      <c r="G2757" t="s">
        <v>32</v>
      </c>
      <c r="H2757" t="s">
        <v>43</v>
      </c>
      <c r="I2757" t="s">
        <v>129</v>
      </c>
      <c r="J2757" t="s">
        <v>70</v>
      </c>
      <c r="K2757" t="s">
        <v>31</v>
      </c>
      <c r="L2757">
        <v>16</v>
      </c>
      <c r="M2757" t="s">
        <v>760</v>
      </c>
      <c r="N2757" t="s">
        <v>7349</v>
      </c>
    </row>
    <row r="2758" spans="1:14" x14ac:dyDescent="0.35">
      <c r="A2758" t="s">
        <v>7350</v>
      </c>
      <c r="B2758" t="s">
        <v>7351</v>
      </c>
      <c r="C2758" t="s">
        <v>116</v>
      </c>
      <c r="D2758">
        <v>7.76</v>
      </c>
      <c r="E2758">
        <v>500</v>
      </c>
      <c r="F2758" t="s">
        <v>64</v>
      </c>
      <c r="G2758" t="s">
        <v>32</v>
      </c>
      <c r="H2758" t="s">
        <v>57</v>
      </c>
      <c r="I2758" t="s">
        <v>34</v>
      </c>
      <c r="J2758" t="s">
        <v>473</v>
      </c>
      <c r="K2758" t="s">
        <v>51</v>
      </c>
      <c r="L2758">
        <v>21</v>
      </c>
      <c r="N2758" t="s">
        <v>7352</v>
      </c>
    </row>
    <row r="2759" spans="1:14" x14ac:dyDescent="0.35">
      <c r="A2759" t="s">
        <v>7353</v>
      </c>
      <c r="B2759" t="s">
        <v>7354</v>
      </c>
      <c r="C2759" t="s">
        <v>41</v>
      </c>
      <c r="D2759">
        <v>135.25</v>
      </c>
      <c r="E2759">
        <v>18000</v>
      </c>
      <c r="F2759" t="s">
        <v>123</v>
      </c>
      <c r="G2759" t="s">
        <v>32</v>
      </c>
      <c r="H2759" t="s">
        <v>57</v>
      </c>
      <c r="J2759" t="s">
        <v>2382</v>
      </c>
      <c r="K2759" t="s">
        <v>97</v>
      </c>
      <c r="L2759">
        <v>14</v>
      </c>
      <c r="M2759" t="s">
        <v>911</v>
      </c>
      <c r="N2759" t="s">
        <v>2698</v>
      </c>
    </row>
    <row r="2760" spans="1:14" x14ac:dyDescent="0.35">
      <c r="A2760" t="s">
        <v>7355</v>
      </c>
      <c r="B2760" t="s">
        <v>7356</v>
      </c>
      <c r="C2760" t="s">
        <v>81</v>
      </c>
      <c r="D2760">
        <v>88.91</v>
      </c>
      <c r="E2760">
        <v>6000</v>
      </c>
      <c r="F2760" t="s">
        <v>76</v>
      </c>
      <c r="G2760" t="s">
        <v>32</v>
      </c>
      <c r="H2760" t="s">
        <v>43</v>
      </c>
      <c r="I2760" t="s">
        <v>34</v>
      </c>
      <c r="J2760" t="s">
        <v>63</v>
      </c>
      <c r="K2760" t="s">
        <v>64</v>
      </c>
      <c r="L2760">
        <v>19</v>
      </c>
      <c r="M2760" t="s">
        <v>1593</v>
      </c>
      <c r="N2760" t="s">
        <v>2112</v>
      </c>
    </row>
    <row r="2761" spans="1:14" x14ac:dyDescent="0.35">
      <c r="A2761" t="s">
        <v>7357</v>
      </c>
      <c r="B2761" t="s">
        <v>7358</v>
      </c>
      <c r="C2761" t="s">
        <v>69</v>
      </c>
      <c r="D2761">
        <v>99.58</v>
      </c>
      <c r="E2761">
        <v>69000</v>
      </c>
      <c r="F2761" t="s">
        <v>74</v>
      </c>
      <c r="G2761" t="s">
        <v>32</v>
      </c>
      <c r="H2761" t="s">
        <v>57</v>
      </c>
      <c r="J2761" t="s">
        <v>1606</v>
      </c>
      <c r="K2761" t="s">
        <v>139</v>
      </c>
      <c r="L2761">
        <v>21</v>
      </c>
      <c r="M2761" t="s">
        <v>1286</v>
      </c>
      <c r="N2761" t="s">
        <v>2334</v>
      </c>
    </row>
    <row r="2762" spans="1:14" x14ac:dyDescent="0.35">
      <c r="A2762" t="s">
        <v>7359</v>
      </c>
      <c r="B2762" t="s">
        <v>7360</v>
      </c>
      <c r="C2762" t="s">
        <v>81</v>
      </c>
      <c r="D2762">
        <v>125.98</v>
      </c>
      <c r="E2762">
        <v>10000</v>
      </c>
      <c r="F2762" t="s">
        <v>36</v>
      </c>
      <c r="G2762" t="s">
        <v>32</v>
      </c>
      <c r="H2762" t="s">
        <v>33</v>
      </c>
      <c r="I2762" t="s">
        <v>44</v>
      </c>
      <c r="J2762" t="s">
        <v>45</v>
      </c>
      <c r="K2762" t="s">
        <v>46</v>
      </c>
      <c r="L2762">
        <v>20</v>
      </c>
      <c r="M2762" t="s">
        <v>3135</v>
      </c>
      <c r="N2762" t="s">
        <v>1337</v>
      </c>
    </row>
    <row r="2763" spans="1:14" x14ac:dyDescent="0.35">
      <c r="A2763" t="s">
        <v>7361</v>
      </c>
      <c r="B2763" t="s">
        <v>7362</v>
      </c>
      <c r="C2763" t="s">
        <v>62</v>
      </c>
      <c r="D2763">
        <v>74.34</v>
      </c>
      <c r="E2763">
        <v>3000</v>
      </c>
      <c r="F2763" t="s">
        <v>147</v>
      </c>
      <c r="G2763" t="s">
        <v>32</v>
      </c>
      <c r="H2763" t="s">
        <v>57</v>
      </c>
      <c r="I2763" t="s">
        <v>129</v>
      </c>
      <c r="J2763" t="s">
        <v>209</v>
      </c>
      <c r="K2763" t="s">
        <v>74</v>
      </c>
      <c r="L2763">
        <v>5</v>
      </c>
      <c r="M2763" t="s">
        <v>2843</v>
      </c>
      <c r="N2763" t="s">
        <v>3089</v>
      </c>
    </row>
    <row r="2764" spans="1:14" x14ac:dyDescent="0.35">
      <c r="A2764" t="s">
        <v>7363</v>
      </c>
      <c r="B2764" t="s">
        <v>7364</v>
      </c>
      <c r="C2764" t="s">
        <v>41</v>
      </c>
      <c r="D2764">
        <v>135.93</v>
      </c>
      <c r="E2764">
        <v>26000</v>
      </c>
      <c r="F2764" t="s">
        <v>117</v>
      </c>
      <c r="G2764" t="s">
        <v>102</v>
      </c>
      <c r="H2764" t="s">
        <v>43</v>
      </c>
      <c r="I2764" t="s">
        <v>44</v>
      </c>
      <c r="J2764" t="s">
        <v>63</v>
      </c>
      <c r="K2764" t="s">
        <v>64</v>
      </c>
      <c r="L2764">
        <v>23</v>
      </c>
      <c r="M2764" t="s">
        <v>1414</v>
      </c>
      <c r="N2764" t="s">
        <v>2989</v>
      </c>
    </row>
    <row r="2765" spans="1:14" x14ac:dyDescent="0.35">
      <c r="A2765" t="s">
        <v>7365</v>
      </c>
      <c r="B2765" t="s">
        <v>7366</v>
      </c>
      <c r="C2765" t="s">
        <v>62</v>
      </c>
      <c r="D2765">
        <v>86.01</v>
      </c>
      <c r="E2765">
        <v>3000</v>
      </c>
      <c r="F2765" t="s">
        <v>139</v>
      </c>
      <c r="G2765" t="s">
        <v>32</v>
      </c>
      <c r="H2765" t="s">
        <v>33</v>
      </c>
      <c r="I2765" t="s">
        <v>44</v>
      </c>
      <c r="J2765" t="s">
        <v>63</v>
      </c>
      <c r="K2765" t="s">
        <v>64</v>
      </c>
      <c r="L2765">
        <v>5</v>
      </c>
      <c r="M2765" t="s">
        <v>782</v>
      </c>
      <c r="N2765" t="s">
        <v>4169</v>
      </c>
    </row>
    <row r="2766" spans="1:14" x14ac:dyDescent="0.35">
      <c r="A2766" t="s">
        <v>7367</v>
      </c>
      <c r="B2766" t="s">
        <v>7368</v>
      </c>
      <c r="C2766" t="s">
        <v>116</v>
      </c>
      <c r="D2766">
        <v>6.95</v>
      </c>
      <c r="E2766">
        <v>700</v>
      </c>
      <c r="F2766" t="s">
        <v>236</v>
      </c>
      <c r="G2766" t="s">
        <v>32</v>
      </c>
      <c r="H2766" t="s">
        <v>43</v>
      </c>
      <c r="I2766" t="s">
        <v>44</v>
      </c>
      <c r="J2766" t="s">
        <v>2797</v>
      </c>
      <c r="K2766" t="s">
        <v>236</v>
      </c>
      <c r="L2766">
        <v>19</v>
      </c>
      <c r="N2766" t="s">
        <v>252</v>
      </c>
    </row>
    <row r="2767" spans="1:14" x14ac:dyDescent="0.35">
      <c r="A2767" t="s">
        <v>7369</v>
      </c>
      <c r="B2767" t="s">
        <v>7370</v>
      </c>
      <c r="C2767" t="s">
        <v>81</v>
      </c>
      <c r="D2767">
        <v>78.430000000000007</v>
      </c>
      <c r="E2767">
        <v>8000</v>
      </c>
      <c r="F2767" t="s">
        <v>64</v>
      </c>
      <c r="G2767" t="s">
        <v>32</v>
      </c>
      <c r="H2767" t="s">
        <v>33</v>
      </c>
      <c r="I2767" t="s">
        <v>34</v>
      </c>
      <c r="J2767" t="s">
        <v>112</v>
      </c>
      <c r="K2767" t="s">
        <v>106</v>
      </c>
      <c r="L2767">
        <v>14</v>
      </c>
      <c r="N2767" t="s">
        <v>1573</v>
      </c>
    </row>
    <row r="2768" spans="1:14" x14ac:dyDescent="0.35">
      <c r="A2768" t="s">
        <v>7371</v>
      </c>
      <c r="B2768" t="s">
        <v>7372</v>
      </c>
      <c r="C2768" t="s">
        <v>62</v>
      </c>
      <c r="D2768">
        <v>82.54</v>
      </c>
      <c r="E2768">
        <v>4000</v>
      </c>
      <c r="F2768" t="s">
        <v>46</v>
      </c>
      <c r="G2768" t="s">
        <v>32</v>
      </c>
      <c r="H2768" t="s">
        <v>33</v>
      </c>
      <c r="I2768" t="s">
        <v>44</v>
      </c>
      <c r="J2768" t="s">
        <v>523</v>
      </c>
      <c r="K2768" t="s">
        <v>36</v>
      </c>
      <c r="L2768">
        <v>19</v>
      </c>
      <c r="N2768" t="s">
        <v>1676</v>
      </c>
    </row>
    <row r="2769" spans="1:14" x14ac:dyDescent="0.35">
      <c r="A2769" t="s">
        <v>7373</v>
      </c>
      <c r="B2769" t="s">
        <v>7374</v>
      </c>
      <c r="C2769" t="s">
        <v>30</v>
      </c>
      <c r="D2769">
        <v>170.3</v>
      </c>
      <c r="E2769">
        <v>4000</v>
      </c>
      <c r="F2769" t="s">
        <v>74</v>
      </c>
      <c r="G2769" t="s">
        <v>32</v>
      </c>
      <c r="H2769" t="s">
        <v>57</v>
      </c>
      <c r="I2769" t="s">
        <v>34</v>
      </c>
      <c r="J2769" t="s">
        <v>3103</v>
      </c>
      <c r="K2769" t="s">
        <v>51</v>
      </c>
      <c r="L2769">
        <v>17</v>
      </c>
      <c r="M2769" t="s">
        <v>1616</v>
      </c>
      <c r="N2769" t="s">
        <v>3172</v>
      </c>
    </row>
    <row r="2770" spans="1:14" x14ac:dyDescent="0.35">
      <c r="A2770" t="s">
        <v>7375</v>
      </c>
      <c r="B2770" t="s">
        <v>7376</v>
      </c>
      <c r="C2770" t="s">
        <v>81</v>
      </c>
      <c r="D2770">
        <v>113.19</v>
      </c>
      <c r="E2770">
        <v>5000</v>
      </c>
      <c r="F2770" t="s">
        <v>76</v>
      </c>
      <c r="G2770" t="s">
        <v>32</v>
      </c>
      <c r="H2770" t="s">
        <v>43</v>
      </c>
      <c r="I2770" t="s">
        <v>34</v>
      </c>
      <c r="J2770" t="s">
        <v>278</v>
      </c>
      <c r="K2770" t="s">
        <v>97</v>
      </c>
      <c r="L2770">
        <v>4</v>
      </c>
      <c r="M2770" t="s">
        <v>3681</v>
      </c>
      <c r="N2770" t="s">
        <v>792</v>
      </c>
    </row>
    <row r="2771" spans="1:14" x14ac:dyDescent="0.35">
      <c r="A2771" t="s">
        <v>7377</v>
      </c>
      <c r="B2771" t="s">
        <v>7378</v>
      </c>
      <c r="C2771" t="s">
        <v>41</v>
      </c>
      <c r="D2771">
        <v>159.12</v>
      </c>
      <c r="E2771">
        <v>40000</v>
      </c>
      <c r="F2771" t="s">
        <v>46</v>
      </c>
      <c r="G2771" t="s">
        <v>32</v>
      </c>
      <c r="H2771" t="s">
        <v>33</v>
      </c>
      <c r="I2771" t="s">
        <v>129</v>
      </c>
      <c r="J2771" t="s">
        <v>523</v>
      </c>
      <c r="K2771" t="s">
        <v>36</v>
      </c>
      <c r="L2771">
        <v>7</v>
      </c>
      <c r="M2771" t="s">
        <v>3457</v>
      </c>
      <c r="N2771" t="s">
        <v>4586</v>
      </c>
    </row>
    <row r="2772" spans="1:14" x14ac:dyDescent="0.35">
      <c r="A2772" t="s">
        <v>7379</v>
      </c>
      <c r="B2772" t="s">
        <v>7380</v>
      </c>
      <c r="C2772" t="s">
        <v>30</v>
      </c>
      <c r="D2772">
        <v>134.38999999999999</v>
      </c>
      <c r="E2772">
        <v>5000</v>
      </c>
      <c r="F2772" t="s">
        <v>106</v>
      </c>
      <c r="G2772" t="s">
        <v>32</v>
      </c>
      <c r="H2772" t="s">
        <v>57</v>
      </c>
      <c r="J2772" t="s">
        <v>316</v>
      </c>
      <c r="K2772" t="s">
        <v>97</v>
      </c>
      <c r="L2772">
        <v>14</v>
      </c>
      <c r="M2772" t="s">
        <v>1387</v>
      </c>
      <c r="N2772" t="s">
        <v>1281</v>
      </c>
    </row>
    <row r="2773" spans="1:14" x14ac:dyDescent="0.35">
      <c r="A2773" t="s">
        <v>7381</v>
      </c>
      <c r="B2773" t="s">
        <v>7382</v>
      </c>
      <c r="C2773" t="s">
        <v>41</v>
      </c>
      <c r="D2773">
        <v>86.61</v>
      </c>
      <c r="E2773">
        <v>22000</v>
      </c>
      <c r="F2773" t="s">
        <v>117</v>
      </c>
      <c r="G2773" t="s">
        <v>32</v>
      </c>
      <c r="H2773" t="s">
        <v>57</v>
      </c>
      <c r="I2773" t="s">
        <v>34</v>
      </c>
      <c r="J2773" t="s">
        <v>209</v>
      </c>
      <c r="K2773" t="s">
        <v>74</v>
      </c>
      <c r="L2773">
        <v>7</v>
      </c>
      <c r="M2773" t="s">
        <v>1476</v>
      </c>
      <c r="N2773" t="s">
        <v>5964</v>
      </c>
    </row>
    <row r="2774" spans="1:14" x14ac:dyDescent="0.35">
      <c r="A2774" t="s">
        <v>7383</v>
      </c>
      <c r="B2774" t="s">
        <v>7384</v>
      </c>
      <c r="C2774" t="s">
        <v>62</v>
      </c>
      <c r="D2774">
        <v>87.19</v>
      </c>
      <c r="E2774">
        <v>2000</v>
      </c>
      <c r="F2774" t="s">
        <v>139</v>
      </c>
      <c r="G2774" t="s">
        <v>32</v>
      </c>
      <c r="H2774" t="s">
        <v>57</v>
      </c>
      <c r="I2774" t="s">
        <v>44</v>
      </c>
      <c r="J2774" t="s">
        <v>4703</v>
      </c>
      <c r="K2774" t="s">
        <v>36</v>
      </c>
      <c r="L2774">
        <v>22</v>
      </c>
      <c r="M2774" t="s">
        <v>3046</v>
      </c>
      <c r="N2774" t="s">
        <v>3428</v>
      </c>
    </row>
    <row r="2775" spans="1:14" x14ac:dyDescent="0.35">
      <c r="A2775" t="s">
        <v>7385</v>
      </c>
      <c r="B2775" t="s">
        <v>7386</v>
      </c>
      <c r="C2775" t="s">
        <v>69</v>
      </c>
      <c r="D2775">
        <v>51.44</v>
      </c>
      <c r="E2775">
        <v>69000</v>
      </c>
      <c r="F2775" t="s">
        <v>147</v>
      </c>
      <c r="G2775" t="s">
        <v>32</v>
      </c>
      <c r="H2775" t="s">
        <v>43</v>
      </c>
      <c r="I2775" t="s">
        <v>44</v>
      </c>
      <c r="J2775" t="s">
        <v>112</v>
      </c>
      <c r="K2775" t="s">
        <v>106</v>
      </c>
      <c r="L2775">
        <v>7</v>
      </c>
      <c r="M2775" t="s">
        <v>4969</v>
      </c>
      <c r="N2775" t="s">
        <v>3735</v>
      </c>
    </row>
    <row r="2776" spans="1:14" x14ac:dyDescent="0.35">
      <c r="A2776" t="s">
        <v>7387</v>
      </c>
      <c r="B2776" t="s">
        <v>7388</v>
      </c>
      <c r="C2776" t="s">
        <v>30</v>
      </c>
      <c r="D2776">
        <v>152.80000000000001</v>
      </c>
      <c r="E2776">
        <v>3000</v>
      </c>
      <c r="F2776" t="s">
        <v>31</v>
      </c>
      <c r="G2776" t="s">
        <v>32</v>
      </c>
      <c r="H2776" t="s">
        <v>57</v>
      </c>
      <c r="J2776" t="s">
        <v>112</v>
      </c>
      <c r="K2776" t="s">
        <v>106</v>
      </c>
      <c r="L2776">
        <v>12</v>
      </c>
      <c r="M2776" t="s">
        <v>4530</v>
      </c>
      <c r="N2776" t="s">
        <v>6255</v>
      </c>
    </row>
    <row r="2777" spans="1:14" x14ac:dyDescent="0.35">
      <c r="A2777" t="s">
        <v>7389</v>
      </c>
      <c r="B2777" t="s">
        <v>7390</v>
      </c>
      <c r="C2777" t="s">
        <v>30</v>
      </c>
      <c r="D2777">
        <v>182.67</v>
      </c>
      <c r="E2777">
        <v>16000</v>
      </c>
      <c r="F2777" t="s">
        <v>123</v>
      </c>
      <c r="G2777" t="s">
        <v>32</v>
      </c>
      <c r="H2777" t="s">
        <v>43</v>
      </c>
      <c r="I2777" t="s">
        <v>44</v>
      </c>
      <c r="J2777" t="s">
        <v>96</v>
      </c>
      <c r="K2777" t="s">
        <v>97</v>
      </c>
      <c r="L2777">
        <v>2</v>
      </c>
      <c r="M2777" t="s">
        <v>995</v>
      </c>
      <c r="N2777" t="s">
        <v>6263</v>
      </c>
    </row>
    <row r="2778" spans="1:14" x14ac:dyDescent="0.35">
      <c r="A2778" t="s">
        <v>7391</v>
      </c>
      <c r="B2778" t="s">
        <v>7392</v>
      </c>
      <c r="C2778" t="s">
        <v>62</v>
      </c>
      <c r="D2778">
        <v>79.42</v>
      </c>
      <c r="E2778">
        <v>4000</v>
      </c>
      <c r="F2778" t="s">
        <v>51</v>
      </c>
      <c r="G2778" t="s">
        <v>32</v>
      </c>
      <c r="H2778" t="s">
        <v>43</v>
      </c>
      <c r="I2778" t="s">
        <v>44</v>
      </c>
      <c r="J2778" t="s">
        <v>118</v>
      </c>
      <c r="K2778" t="s">
        <v>42</v>
      </c>
      <c r="L2778">
        <v>5</v>
      </c>
      <c r="M2778" t="s">
        <v>243</v>
      </c>
      <c r="N2778" t="s">
        <v>4978</v>
      </c>
    </row>
    <row r="2779" spans="1:14" x14ac:dyDescent="0.35">
      <c r="A2779" t="s">
        <v>7393</v>
      </c>
      <c r="B2779" t="s">
        <v>7394</v>
      </c>
      <c r="C2779" t="s">
        <v>62</v>
      </c>
      <c r="D2779">
        <v>96.62</v>
      </c>
      <c r="E2779">
        <v>3000</v>
      </c>
      <c r="F2779" t="s">
        <v>74</v>
      </c>
      <c r="G2779" t="s">
        <v>32</v>
      </c>
      <c r="H2779" t="s">
        <v>43</v>
      </c>
      <c r="I2779" t="s">
        <v>44</v>
      </c>
      <c r="J2779" t="s">
        <v>334</v>
      </c>
      <c r="K2779" t="s">
        <v>51</v>
      </c>
      <c r="L2779">
        <v>10</v>
      </c>
      <c r="M2779" t="s">
        <v>772</v>
      </c>
      <c r="N2779" t="s">
        <v>7395</v>
      </c>
    </row>
    <row r="2780" spans="1:14" x14ac:dyDescent="0.35">
      <c r="A2780" t="s">
        <v>7396</v>
      </c>
      <c r="B2780" t="s">
        <v>7397</v>
      </c>
      <c r="C2780" t="s">
        <v>116</v>
      </c>
      <c r="D2780">
        <v>9.17</v>
      </c>
      <c r="E2780">
        <v>500</v>
      </c>
      <c r="F2780" t="s">
        <v>147</v>
      </c>
      <c r="G2780" t="s">
        <v>32</v>
      </c>
      <c r="H2780" t="s">
        <v>33</v>
      </c>
      <c r="J2780" t="s">
        <v>70</v>
      </c>
      <c r="K2780" t="s">
        <v>31</v>
      </c>
      <c r="L2780">
        <v>0</v>
      </c>
      <c r="M2780" t="s">
        <v>140</v>
      </c>
      <c r="N2780" t="s">
        <v>7398</v>
      </c>
    </row>
    <row r="2781" spans="1:14" x14ac:dyDescent="0.35">
      <c r="A2781" t="s">
        <v>7399</v>
      </c>
      <c r="B2781" t="s">
        <v>7400</v>
      </c>
      <c r="C2781" t="s">
        <v>81</v>
      </c>
      <c r="D2781">
        <v>93.16</v>
      </c>
      <c r="E2781">
        <v>2000</v>
      </c>
      <c r="F2781" t="s">
        <v>236</v>
      </c>
      <c r="G2781" t="s">
        <v>102</v>
      </c>
      <c r="H2781" t="s">
        <v>33</v>
      </c>
      <c r="J2781" t="s">
        <v>70</v>
      </c>
      <c r="K2781" t="s">
        <v>31</v>
      </c>
      <c r="L2781">
        <v>14</v>
      </c>
      <c r="N2781" t="s">
        <v>6422</v>
      </c>
    </row>
    <row r="2782" spans="1:14" x14ac:dyDescent="0.35">
      <c r="A2782" t="s">
        <v>7401</v>
      </c>
      <c r="B2782" t="s">
        <v>7402</v>
      </c>
      <c r="C2782" t="s">
        <v>69</v>
      </c>
      <c r="D2782">
        <v>84.96</v>
      </c>
      <c r="E2782">
        <v>92000</v>
      </c>
      <c r="F2782" t="s">
        <v>51</v>
      </c>
      <c r="G2782" t="s">
        <v>32</v>
      </c>
      <c r="H2782" t="s">
        <v>43</v>
      </c>
      <c r="I2782" t="s">
        <v>44</v>
      </c>
      <c r="J2782" t="s">
        <v>70</v>
      </c>
      <c r="K2782" t="s">
        <v>31</v>
      </c>
      <c r="L2782">
        <v>10</v>
      </c>
      <c r="N2782" t="s">
        <v>662</v>
      </c>
    </row>
    <row r="2783" spans="1:14" x14ac:dyDescent="0.35">
      <c r="A2783" t="s">
        <v>7403</v>
      </c>
      <c r="B2783" t="s">
        <v>7404</v>
      </c>
      <c r="C2783" t="s">
        <v>30</v>
      </c>
      <c r="D2783">
        <v>195.36</v>
      </c>
      <c r="E2783">
        <v>2000</v>
      </c>
      <c r="F2783" t="s">
        <v>76</v>
      </c>
      <c r="G2783" t="s">
        <v>32</v>
      </c>
      <c r="H2783" t="s">
        <v>57</v>
      </c>
      <c r="I2783" t="s">
        <v>34</v>
      </c>
      <c r="J2783" t="s">
        <v>543</v>
      </c>
      <c r="K2783" t="s">
        <v>51</v>
      </c>
      <c r="L2783">
        <v>13</v>
      </c>
      <c r="M2783" t="s">
        <v>3599</v>
      </c>
      <c r="N2783" t="s">
        <v>7405</v>
      </c>
    </row>
    <row r="2784" spans="1:14" x14ac:dyDescent="0.35">
      <c r="A2784" t="s">
        <v>7406</v>
      </c>
      <c r="B2784" t="s">
        <v>7407</v>
      </c>
      <c r="C2784" t="s">
        <v>116</v>
      </c>
      <c r="D2784">
        <v>9.75</v>
      </c>
      <c r="E2784">
        <v>400</v>
      </c>
      <c r="F2784" t="s">
        <v>46</v>
      </c>
      <c r="G2784" t="s">
        <v>32</v>
      </c>
      <c r="H2784" t="s">
        <v>43</v>
      </c>
      <c r="I2784" t="s">
        <v>34</v>
      </c>
      <c r="J2784" t="s">
        <v>35</v>
      </c>
      <c r="K2784" t="s">
        <v>36</v>
      </c>
      <c r="L2784">
        <v>21</v>
      </c>
      <c r="N2784" t="s">
        <v>5542</v>
      </c>
    </row>
    <row r="2785" spans="1:14" x14ac:dyDescent="0.35">
      <c r="A2785" t="s">
        <v>7408</v>
      </c>
      <c r="B2785" t="s">
        <v>7409</v>
      </c>
      <c r="C2785" t="s">
        <v>30</v>
      </c>
      <c r="D2785">
        <v>177.87</v>
      </c>
      <c r="E2785">
        <v>17000</v>
      </c>
      <c r="F2785" t="s">
        <v>123</v>
      </c>
      <c r="G2785" t="s">
        <v>32</v>
      </c>
      <c r="H2785" t="s">
        <v>57</v>
      </c>
      <c r="J2785" t="s">
        <v>118</v>
      </c>
      <c r="K2785" t="s">
        <v>42</v>
      </c>
      <c r="L2785">
        <v>4</v>
      </c>
      <c r="N2785" t="s">
        <v>7410</v>
      </c>
    </row>
    <row r="2786" spans="1:14" x14ac:dyDescent="0.35">
      <c r="A2786" t="s">
        <v>7411</v>
      </c>
      <c r="B2786" t="s">
        <v>7412</v>
      </c>
      <c r="C2786" t="s">
        <v>30</v>
      </c>
      <c r="D2786">
        <v>144.07</v>
      </c>
      <c r="E2786">
        <v>20000</v>
      </c>
      <c r="F2786" t="s">
        <v>76</v>
      </c>
      <c r="G2786" t="s">
        <v>32</v>
      </c>
      <c r="H2786" t="s">
        <v>43</v>
      </c>
      <c r="I2786" t="s">
        <v>34</v>
      </c>
      <c r="J2786" t="s">
        <v>118</v>
      </c>
      <c r="K2786" t="s">
        <v>42</v>
      </c>
      <c r="L2786">
        <v>13</v>
      </c>
      <c r="M2786" t="s">
        <v>7413</v>
      </c>
      <c r="N2786" t="s">
        <v>354</v>
      </c>
    </row>
    <row r="2787" spans="1:14" x14ac:dyDescent="0.35">
      <c r="A2787" t="s">
        <v>7414</v>
      </c>
      <c r="B2787" t="s">
        <v>7415</v>
      </c>
      <c r="C2787" t="s">
        <v>30</v>
      </c>
      <c r="D2787">
        <v>168.41</v>
      </c>
      <c r="E2787">
        <v>2000</v>
      </c>
      <c r="F2787" t="s">
        <v>64</v>
      </c>
      <c r="G2787" t="s">
        <v>32</v>
      </c>
      <c r="H2787" t="s">
        <v>33</v>
      </c>
      <c r="I2787" t="s">
        <v>44</v>
      </c>
      <c r="J2787" t="s">
        <v>45</v>
      </c>
      <c r="K2787" t="s">
        <v>46</v>
      </c>
      <c r="L2787">
        <v>15</v>
      </c>
      <c r="M2787" t="s">
        <v>4774</v>
      </c>
      <c r="N2787" t="s">
        <v>3475</v>
      </c>
    </row>
    <row r="2788" spans="1:14" x14ac:dyDescent="0.35">
      <c r="A2788" t="s">
        <v>7416</v>
      </c>
      <c r="B2788" t="s">
        <v>7417</v>
      </c>
      <c r="C2788" t="s">
        <v>116</v>
      </c>
      <c r="D2788">
        <v>7.52</v>
      </c>
      <c r="E2788">
        <v>200</v>
      </c>
      <c r="F2788" t="s">
        <v>74</v>
      </c>
      <c r="G2788" t="s">
        <v>32</v>
      </c>
      <c r="H2788" t="s">
        <v>57</v>
      </c>
      <c r="J2788" t="s">
        <v>1071</v>
      </c>
      <c r="K2788" t="s">
        <v>236</v>
      </c>
      <c r="L2788">
        <v>4</v>
      </c>
      <c r="N2788" t="s">
        <v>4435</v>
      </c>
    </row>
    <row r="2789" spans="1:14" x14ac:dyDescent="0.35">
      <c r="A2789" t="s">
        <v>7418</v>
      </c>
      <c r="B2789" t="s">
        <v>7419</v>
      </c>
      <c r="C2789" t="s">
        <v>81</v>
      </c>
      <c r="D2789">
        <v>79.069999999999993</v>
      </c>
      <c r="E2789">
        <v>7000</v>
      </c>
      <c r="F2789" t="s">
        <v>97</v>
      </c>
      <c r="G2789" t="s">
        <v>32</v>
      </c>
      <c r="H2789" t="s">
        <v>43</v>
      </c>
      <c r="J2789" t="s">
        <v>901</v>
      </c>
      <c r="K2789" t="s">
        <v>97</v>
      </c>
      <c r="L2789">
        <v>1</v>
      </c>
      <c r="M2789" t="s">
        <v>2607</v>
      </c>
      <c r="N2789" t="s">
        <v>908</v>
      </c>
    </row>
    <row r="2790" spans="1:14" x14ac:dyDescent="0.35">
      <c r="A2790" t="s">
        <v>7420</v>
      </c>
      <c r="B2790" t="s">
        <v>7421</v>
      </c>
      <c r="C2790" t="s">
        <v>116</v>
      </c>
      <c r="D2790">
        <v>11.24</v>
      </c>
      <c r="E2790">
        <v>700</v>
      </c>
      <c r="F2790" t="s">
        <v>106</v>
      </c>
      <c r="G2790" t="s">
        <v>32</v>
      </c>
      <c r="H2790" t="s">
        <v>43</v>
      </c>
      <c r="I2790" t="s">
        <v>129</v>
      </c>
      <c r="J2790" t="s">
        <v>124</v>
      </c>
      <c r="K2790" t="s">
        <v>117</v>
      </c>
      <c r="L2790">
        <v>8</v>
      </c>
      <c r="N2790" t="s">
        <v>1991</v>
      </c>
    </row>
    <row r="2791" spans="1:14" x14ac:dyDescent="0.35">
      <c r="A2791" t="s">
        <v>7422</v>
      </c>
      <c r="B2791" t="s">
        <v>7423</v>
      </c>
      <c r="C2791" t="s">
        <v>81</v>
      </c>
      <c r="D2791">
        <v>110.54</v>
      </c>
      <c r="E2791">
        <v>7000</v>
      </c>
      <c r="F2791" t="s">
        <v>76</v>
      </c>
      <c r="G2791" t="s">
        <v>32</v>
      </c>
      <c r="H2791" t="s">
        <v>57</v>
      </c>
      <c r="I2791" t="s">
        <v>34</v>
      </c>
      <c r="J2791" t="s">
        <v>35</v>
      </c>
      <c r="K2791" t="s">
        <v>36</v>
      </c>
      <c r="L2791">
        <v>15</v>
      </c>
      <c r="N2791" t="s">
        <v>827</v>
      </c>
    </row>
    <row r="2792" spans="1:14" x14ac:dyDescent="0.35">
      <c r="A2792" t="s">
        <v>7424</v>
      </c>
      <c r="B2792" t="s">
        <v>7425</v>
      </c>
      <c r="C2792" t="s">
        <v>62</v>
      </c>
      <c r="D2792">
        <v>96.41</v>
      </c>
      <c r="E2792">
        <v>1000</v>
      </c>
      <c r="F2792" t="s">
        <v>123</v>
      </c>
      <c r="G2792" t="s">
        <v>32</v>
      </c>
      <c r="H2792" t="s">
        <v>33</v>
      </c>
      <c r="I2792" t="s">
        <v>44</v>
      </c>
      <c r="J2792" t="s">
        <v>45</v>
      </c>
      <c r="K2792" t="s">
        <v>46</v>
      </c>
      <c r="L2792">
        <v>16</v>
      </c>
      <c r="N2792" t="s">
        <v>6106</v>
      </c>
    </row>
    <row r="2793" spans="1:14" x14ac:dyDescent="0.35">
      <c r="A2793" t="s">
        <v>7426</v>
      </c>
      <c r="B2793" t="s">
        <v>7427</v>
      </c>
      <c r="C2793" t="s">
        <v>41</v>
      </c>
      <c r="D2793">
        <v>116.14</v>
      </c>
      <c r="E2793">
        <v>24000</v>
      </c>
      <c r="F2793" t="s">
        <v>87</v>
      </c>
      <c r="G2793" t="s">
        <v>32</v>
      </c>
      <c r="H2793" t="s">
        <v>33</v>
      </c>
      <c r="I2793" t="s">
        <v>44</v>
      </c>
      <c r="J2793" t="s">
        <v>118</v>
      </c>
      <c r="K2793" t="s">
        <v>42</v>
      </c>
      <c r="L2793">
        <v>10</v>
      </c>
      <c r="N2793" t="s">
        <v>4031</v>
      </c>
    </row>
    <row r="2794" spans="1:14" x14ac:dyDescent="0.35">
      <c r="A2794" t="s">
        <v>7428</v>
      </c>
      <c r="B2794" t="s">
        <v>7429</v>
      </c>
      <c r="C2794" t="s">
        <v>41</v>
      </c>
      <c r="D2794">
        <v>140.94</v>
      </c>
      <c r="E2794">
        <v>29000</v>
      </c>
      <c r="F2794" t="s">
        <v>123</v>
      </c>
      <c r="G2794" t="s">
        <v>32</v>
      </c>
      <c r="H2794" t="s">
        <v>33</v>
      </c>
      <c r="I2794" t="s">
        <v>34</v>
      </c>
      <c r="J2794" t="s">
        <v>4879</v>
      </c>
      <c r="K2794" t="s">
        <v>51</v>
      </c>
      <c r="L2794">
        <v>2</v>
      </c>
      <c r="M2794" t="s">
        <v>1151</v>
      </c>
      <c r="N2794" t="s">
        <v>1278</v>
      </c>
    </row>
    <row r="2795" spans="1:14" x14ac:dyDescent="0.35">
      <c r="A2795" t="s">
        <v>7430</v>
      </c>
      <c r="B2795" t="s">
        <v>7431</v>
      </c>
      <c r="C2795" t="s">
        <v>41</v>
      </c>
      <c r="D2795">
        <v>113.75</v>
      </c>
      <c r="E2795">
        <v>30000</v>
      </c>
      <c r="F2795" t="s">
        <v>51</v>
      </c>
      <c r="G2795" t="s">
        <v>32</v>
      </c>
      <c r="H2795" t="s">
        <v>57</v>
      </c>
      <c r="I2795" t="s">
        <v>34</v>
      </c>
      <c r="J2795" t="s">
        <v>124</v>
      </c>
      <c r="K2795" t="s">
        <v>117</v>
      </c>
      <c r="L2795">
        <v>13</v>
      </c>
      <c r="M2795" t="s">
        <v>2664</v>
      </c>
      <c r="N2795" t="s">
        <v>1971</v>
      </c>
    </row>
    <row r="2796" spans="1:14" x14ac:dyDescent="0.35">
      <c r="A2796" t="s">
        <v>7432</v>
      </c>
      <c r="B2796" t="s">
        <v>7433</v>
      </c>
      <c r="C2796" t="s">
        <v>69</v>
      </c>
      <c r="D2796">
        <v>87.12</v>
      </c>
      <c r="E2796">
        <v>42000</v>
      </c>
      <c r="F2796" t="s">
        <v>97</v>
      </c>
      <c r="G2796" t="s">
        <v>32</v>
      </c>
      <c r="H2796" t="s">
        <v>57</v>
      </c>
      <c r="I2796" t="s">
        <v>44</v>
      </c>
      <c r="J2796" t="s">
        <v>118</v>
      </c>
      <c r="K2796" t="s">
        <v>42</v>
      </c>
      <c r="L2796">
        <v>14</v>
      </c>
      <c r="M2796" t="s">
        <v>1294</v>
      </c>
      <c r="N2796" t="s">
        <v>5006</v>
      </c>
    </row>
    <row r="2797" spans="1:14" x14ac:dyDescent="0.35">
      <c r="A2797" t="s">
        <v>7434</v>
      </c>
      <c r="B2797" t="s">
        <v>7435</v>
      </c>
      <c r="C2797" t="s">
        <v>41</v>
      </c>
      <c r="D2797">
        <v>82.16</v>
      </c>
      <c r="E2797">
        <v>36000</v>
      </c>
      <c r="F2797" t="s">
        <v>42</v>
      </c>
      <c r="G2797" t="s">
        <v>32</v>
      </c>
      <c r="H2797" t="s">
        <v>33</v>
      </c>
      <c r="J2797" t="s">
        <v>118</v>
      </c>
      <c r="K2797" t="s">
        <v>42</v>
      </c>
      <c r="L2797">
        <v>20</v>
      </c>
      <c r="N2797" t="s">
        <v>2373</v>
      </c>
    </row>
    <row r="2798" spans="1:14" x14ac:dyDescent="0.35">
      <c r="A2798" t="s">
        <v>7436</v>
      </c>
      <c r="B2798" t="s">
        <v>7437</v>
      </c>
      <c r="C2798" t="s">
        <v>81</v>
      </c>
      <c r="D2798">
        <v>77.81</v>
      </c>
      <c r="E2798">
        <v>3000</v>
      </c>
      <c r="F2798" t="s">
        <v>76</v>
      </c>
      <c r="G2798" t="s">
        <v>32</v>
      </c>
      <c r="H2798" t="s">
        <v>33</v>
      </c>
      <c r="I2798" t="s">
        <v>34</v>
      </c>
      <c r="J2798" t="s">
        <v>118</v>
      </c>
      <c r="K2798" t="s">
        <v>42</v>
      </c>
      <c r="L2798">
        <v>9</v>
      </c>
      <c r="M2798" t="s">
        <v>1980</v>
      </c>
      <c r="N2798" t="s">
        <v>4670</v>
      </c>
    </row>
    <row r="2799" spans="1:14" x14ac:dyDescent="0.35">
      <c r="A2799" t="s">
        <v>7438</v>
      </c>
      <c r="B2799" t="s">
        <v>7439</v>
      </c>
      <c r="C2799" t="s">
        <v>116</v>
      </c>
      <c r="D2799">
        <v>8.75</v>
      </c>
      <c r="E2799">
        <v>600</v>
      </c>
      <c r="F2799" t="s">
        <v>46</v>
      </c>
      <c r="G2799" t="s">
        <v>32</v>
      </c>
      <c r="H2799" t="s">
        <v>43</v>
      </c>
      <c r="I2799" t="s">
        <v>44</v>
      </c>
      <c r="J2799" t="s">
        <v>209</v>
      </c>
      <c r="K2799" t="s">
        <v>74</v>
      </c>
      <c r="L2799">
        <v>3</v>
      </c>
      <c r="N2799" t="s">
        <v>2949</v>
      </c>
    </row>
    <row r="2800" spans="1:14" x14ac:dyDescent="0.35">
      <c r="A2800" t="s">
        <v>7440</v>
      </c>
      <c r="B2800" t="s">
        <v>7441</v>
      </c>
      <c r="C2800" t="s">
        <v>62</v>
      </c>
      <c r="D2800">
        <v>94.75</v>
      </c>
      <c r="E2800">
        <v>2000</v>
      </c>
      <c r="F2800" t="s">
        <v>106</v>
      </c>
      <c r="G2800" t="s">
        <v>32</v>
      </c>
      <c r="H2800" t="s">
        <v>33</v>
      </c>
      <c r="I2800" t="s">
        <v>44</v>
      </c>
      <c r="J2800" t="s">
        <v>124</v>
      </c>
      <c r="K2800" t="s">
        <v>117</v>
      </c>
      <c r="L2800">
        <v>6</v>
      </c>
      <c r="M2800" t="s">
        <v>1855</v>
      </c>
      <c r="N2800" t="s">
        <v>7442</v>
      </c>
    </row>
    <row r="2801" spans="1:14" x14ac:dyDescent="0.35">
      <c r="A2801" t="s">
        <v>7443</v>
      </c>
      <c r="B2801" t="s">
        <v>7444</v>
      </c>
      <c r="C2801" t="s">
        <v>116</v>
      </c>
      <c r="D2801">
        <v>8.9600000000000009</v>
      </c>
      <c r="E2801">
        <v>500</v>
      </c>
      <c r="F2801" t="s">
        <v>51</v>
      </c>
      <c r="G2801" t="s">
        <v>32</v>
      </c>
      <c r="H2801" t="s">
        <v>57</v>
      </c>
      <c r="J2801" t="s">
        <v>235</v>
      </c>
      <c r="K2801" t="s">
        <v>236</v>
      </c>
      <c r="L2801">
        <v>16</v>
      </c>
      <c r="M2801" t="s">
        <v>2561</v>
      </c>
      <c r="N2801" t="s">
        <v>3201</v>
      </c>
    </row>
    <row r="2802" spans="1:14" x14ac:dyDescent="0.35">
      <c r="A2802" t="s">
        <v>7445</v>
      </c>
      <c r="B2802" t="s">
        <v>7446</v>
      </c>
      <c r="C2802" t="s">
        <v>41</v>
      </c>
      <c r="D2802">
        <v>80.8</v>
      </c>
      <c r="E2802">
        <v>33000</v>
      </c>
      <c r="F2802" t="s">
        <v>106</v>
      </c>
      <c r="G2802" t="s">
        <v>32</v>
      </c>
      <c r="H2802" t="s">
        <v>33</v>
      </c>
      <c r="I2802" t="s">
        <v>44</v>
      </c>
      <c r="J2802" t="s">
        <v>75</v>
      </c>
      <c r="K2802" t="s">
        <v>76</v>
      </c>
      <c r="L2802">
        <v>7</v>
      </c>
      <c r="N2802" t="s">
        <v>2340</v>
      </c>
    </row>
    <row r="2803" spans="1:14" x14ac:dyDescent="0.35">
      <c r="A2803" t="s">
        <v>7447</v>
      </c>
      <c r="B2803" t="s">
        <v>7448</v>
      </c>
      <c r="C2803" t="s">
        <v>30</v>
      </c>
      <c r="D2803">
        <v>134.85</v>
      </c>
      <c r="E2803">
        <v>2000</v>
      </c>
      <c r="F2803" t="s">
        <v>236</v>
      </c>
      <c r="G2803" t="s">
        <v>32</v>
      </c>
      <c r="H2803" t="s">
        <v>33</v>
      </c>
      <c r="I2803" t="s">
        <v>44</v>
      </c>
      <c r="J2803" t="s">
        <v>45</v>
      </c>
      <c r="K2803" t="s">
        <v>46</v>
      </c>
      <c r="L2803">
        <v>18</v>
      </c>
      <c r="N2803" t="s">
        <v>3189</v>
      </c>
    </row>
    <row r="2804" spans="1:14" x14ac:dyDescent="0.35">
      <c r="A2804" t="s">
        <v>7449</v>
      </c>
      <c r="B2804" t="s">
        <v>7450</v>
      </c>
      <c r="C2804" t="s">
        <v>30</v>
      </c>
      <c r="D2804">
        <v>146.9</v>
      </c>
      <c r="E2804">
        <v>5000</v>
      </c>
      <c r="F2804" t="s">
        <v>87</v>
      </c>
      <c r="G2804" t="s">
        <v>32</v>
      </c>
      <c r="H2804" t="s">
        <v>43</v>
      </c>
      <c r="I2804" t="s">
        <v>34</v>
      </c>
      <c r="J2804" t="s">
        <v>839</v>
      </c>
      <c r="K2804" t="s">
        <v>139</v>
      </c>
      <c r="L2804">
        <v>1</v>
      </c>
      <c r="M2804" t="s">
        <v>2809</v>
      </c>
      <c r="N2804" t="s">
        <v>2626</v>
      </c>
    </row>
    <row r="2805" spans="1:14" x14ac:dyDescent="0.35">
      <c r="A2805" t="s">
        <v>7451</v>
      </c>
      <c r="B2805" t="s">
        <v>7452</v>
      </c>
      <c r="C2805" t="s">
        <v>116</v>
      </c>
      <c r="D2805">
        <v>8.07</v>
      </c>
      <c r="E2805">
        <v>700</v>
      </c>
      <c r="F2805" t="s">
        <v>76</v>
      </c>
      <c r="G2805" t="s">
        <v>32</v>
      </c>
      <c r="H2805" t="s">
        <v>33</v>
      </c>
      <c r="I2805" t="s">
        <v>44</v>
      </c>
      <c r="J2805" t="s">
        <v>179</v>
      </c>
      <c r="K2805" t="s">
        <v>97</v>
      </c>
      <c r="L2805">
        <v>19</v>
      </c>
      <c r="M2805" t="s">
        <v>1513</v>
      </c>
      <c r="N2805" t="s">
        <v>3307</v>
      </c>
    </row>
    <row r="2806" spans="1:14" x14ac:dyDescent="0.35">
      <c r="A2806" t="s">
        <v>7453</v>
      </c>
      <c r="B2806" t="s">
        <v>7454</v>
      </c>
      <c r="C2806" t="s">
        <v>116</v>
      </c>
      <c r="D2806">
        <v>8.4499999999999993</v>
      </c>
      <c r="E2806">
        <v>100</v>
      </c>
      <c r="F2806" t="s">
        <v>117</v>
      </c>
      <c r="G2806" t="s">
        <v>32</v>
      </c>
      <c r="H2806" t="s">
        <v>57</v>
      </c>
      <c r="I2806" t="s">
        <v>44</v>
      </c>
      <c r="J2806" t="s">
        <v>35</v>
      </c>
      <c r="K2806" t="s">
        <v>36</v>
      </c>
      <c r="L2806">
        <v>17</v>
      </c>
      <c r="M2806" t="s">
        <v>3111</v>
      </c>
      <c r="N2806" t="s">
        <v>3434</v>
      </c>
    </row>
    <row r="2807" spans="1:14" x14ac:dyDescent="0.35">
      <c r="A2807" t="s">
        <v>7455</v>
      </c>
      <c r="B2807" t="s">
        <v>7456</v>
      </c>
      <c r="C2807" t="s">
        <v>69</v>
      </c>
      <c r="D2807">
        <v>70.5</v>
      </c>
      <c r="E2807">
        <v>93000</v>
      </c>
      <c r="F2807" t="s">
        <v>117</v>
      </c>
      <c r="G2807" t="s">
        <v>32</v>
      </c>
      <c r="H2807" t="s">
        <v>57</v>
      </c>
      <c r="I2807" t="s">
        <v>34</v>
      </c>
      <c r="J2807" t="s">
        <v>235</v>
      </c>
      <c r="K2807" t="s">
        <v>236</v>
      </c>
      <c r="L2807">
        <v>10</v>
      </c>
      <c r="N2807" t="s">
        <v>5816</v>
      </c>
    </row>
    <row r="2808" spans="1:14" x14ac:dyDescent="0.35">
      <c r="A2808" t="s">
        <v>7457</v>
      </c>
      <c r="B2808" t="s">
        <v>7458</v>
      </c>
      <c r="C2808" t="s">
        <v>30</v>
      </c>
      <c r="D2808">
        <v>163.21</v>
      </c>
      <c r="E2808">
        <v>10000</v>
      </c>
      <c r="F2808" t="s">
        <v>87</v>
      </c>
      <c r="G2808" t="s">
        <v>32</v>
      </c>
      <c r="H2808" t="s">
        <v>33</v>
      </c>
      <c r="I2808" t="s">
        <v>44</v>
      </c>
      <c r="J2808" t="s">
        <v>75</v>
      </c>
      <c r="K2808" t="s">
        <v>76</v>
      </c>
      <c r="L2808">
        <v>1</v>
      </c>
      <c r="M2808" t="s">
        <v>2570</v>
      </c>
      <c r="N2808" t="s">
        <v>4189</v>
      </c>
    </row>
    <row r="2809" spans="1:14" x14ac:dyDescent="0.35">
      <c r="A2809" t="s">
        <v>7459</v>
      </c>
      <c r="B2809" t="s">
        <v>7460</v>
      </c>
      <c r="C2809" t="s">
        <v>69</v>
      </c>
      <c r="D2809">
        <v>71.739999999999995</v>
      </c>
      <c r="E2809">
        <v>10000</v>
      </c>
      <c r="F2809" t="s">
        <v>31</v>
      </c>
      <c r="G2809" t="s">
        <v>32</v>
      </c>
      <c r="H2809" t="s">
        <v>33</v>
      </c>
      <c r="I2809" t="s">
        <v>129</v>
      </c>
      <c r="J2809" t="s">
        <v>75</v>
      </c>
      <c r="K2809" t="s">
        <v>76</v>
      </c>
      <c r="L2809">
        <v>14</v>
      </c>
      <c r="M2809" t="s">
        <v>3342</v>
      </c>
      <c r="N2809" t="s">
        <v>2615</v>
      </c>
    </row>
    <row r="2810" spans="1:14" x14ac:dyDescent="0.35">
      <c r="A2810" t="s">
        <v>7461</v>
      </c>
      <c r="B2810" t="s">
        <v>2939</v>
      </c>
      <c r="C2810" t="s">
        <v>62</v>
      </c>
      <c r="D2810">
        <v>79.099999999999994</v>
      </c>
      <c r="E2810">
        <v>4000</v>
      </c>
      <c r="F2810" t="s">
        <v>76</v>
      </c>
      <c r="G2810" t="s">
        <v>32</v>
      </c>
      <c r="H2810" t="s">
        <v>43</v>
      </c>
      <c r="I2810" t="s">
        <v>34</v>
      </c>
      <c r="J2810" t="s">
        <v>1391</v>
      </c>
      <c r="K2810" t="s">
        <v>36</v>
      </c>
      <c r="L2810">
        <v>1</v>
      </c>
      <c r="N2810" t="s">
        <v>126</v>
      </c>
    </row>
    <row r="2811" spans="1:14" x14ac:dyDescent="0.35">
      <c r="A2811" t="s">
        <v>7462</v>
      </c>
      <c r="B2811" t="s">
        <v>7463</v>
      </c>
      <c r="C2811" t="s">
        <v>69</v>
      </c>
      <c r="D2811">
        <v>52.45</v>
      </c>
      <c r="E2811">
        <v>43000</v>
      </c>
      <c r="F2811" t="s">
        <v>51</v>
      </c>
      <c r="G2811" t="s">
        <v>32</v>
      </c>
      <c r="H2811" t="s">
        <v>33</v>
      </c>
      <c r="J2811" t="s">
        <v>209</v>
      </c>
      <c r="K2811" t="s">
        <v>74</v>
      </c>
      <c r="L2811">
        <v>17</v>
      </c>
      <c r="N2811" t="s">
        <v>3774</v>
      </c>
    </row>
    <row r="2812" spans="1:14" x14ac:dyDescent="0.35">
      <c r="A2812" t="s">
        <v>7464</v>
      </c>
      <c r="B2812" t="s">
        <v>7465</v>
      </c>
      <c r="C2812" t="s">
        <v>62</v>
      </c>
      <c r="D2812">
        <v>57.75</v>
      </c>
      <c r="E2812">
        <v>1000</v>
      </c>
      <c r="F2812" t="s">
        <v>87</v>
      </c>
      <c r="G2812" t="s">
        <v>32</v>
      </c>
      <c r="H2812" t="s">
        <v>43</v>
      </c>
      <c r="I2812" t="s">
        <v>34</v>
      </c>
      <c r="J2812" t="s">
        <v>1379</v>
      </c>
      <c r="K2812" t="s">
        <v>51</v>
      </c>
      <c r="L2812">
        <v>17</v>
      </c>
      <c r="N2812" t="s">
        <v>195</v>
      </c>
    </row>
    <row r="2813" spans="1:14" x14ac:dyDescent="0.35">
      <c r="A2813" t="s">
        <v>7466</v>
      </c>
      <c r="B2813" t="s">
        <v>7467</v>
      </c>
      <c r="C2813" t="s">
        <v>62</v>
      </c>
      <c r="D2813">
        <v>63.53</v>
      </c>
      <c r="E2813">
        <v>3000</v>
      </c>
      <c r="F2813" t="s">
        <v>42</v>
      </c>
      <c r="G2813" t="s">
        <v>32</v>
      </c>
      <c r="H2813" t="s">
        <v>43</v>
      </c>
      <c r="I2813" t="s">
        <v>129</v>
      </c>
      <c r="J2813" t="s">
        <v>2855</v>
      </c>
      <c r="K2813" t="s">
        <v>139</v>
      </c>
      <c r="L2813">
        <v>17</v>
      </c>
      <c r="M2813" t="s">
        <v>2583</v>
      </c>
      <c r="N2813" t="s">
        <v>2901</v>
      </c>
    </row>
    <row r="2814" spans="1:14" x14ac:dyDescent="0.35">
      <c r="A2814" t="s">
        <v>7468</v>
      </c>
      <c r="B2814" t="s">
        <v>7469</v>
      </c>
      <c r="C2814" t="s">
        <v>69</v>
      </c>
      <c r="D2814">
        <v>87.16</v>
      </c>
      <c r="E2814">
        <v>42000</v>
      </c>
      <c r="F2814" t="s">
        <v>236</v>
      </c>
      <c r="G2814" t="s">
        <v>102</v>
      </c>
      <c r="H2814" t="s">
        <v>57</v>
      </c>
      <c r="I2814" t="s">
        <v>44</v>
      </c>
      <c r="J2814" t="s">
        <v>112</v>
      </c>
      <c r="K2814" t="s">
        <v>106</v>
      </c>
      <c r="L2814">
        <v>6</v>
      </c>
      <c r="N2814" t="s">
        <v>38</v>
      </c>
    </row>
    <row r="2815" spans="1:14" x14ac:dyDescent="0.35">
      <c r="A2815" t="s">
        <v>7470</v>
      </c>
      <c r="B2815" t="s">
        <v>7471</v>
      </c>
      <c r="C2815" t="s">
        <v>41</v>
      </c>
      <c r="D2815">
        <v>128.12</v>
      </c>
      <c r="E2815">
        <v>11000</v>
      </c>
      <c r="F2815" t="s">
        <v>117</v>
      </c>
      <c r="G2815" t="s">
        <v>32</v>
      </c>
      <c r="H2815" t="s">
        <v>43</v>
      </c>
      <c r="I2815" t="s">
        <v>44</v>
      </c>
      <c r="J2815" t="s">
        <v>75</v>
      </c>
      <c r="K2815" t="s">
        <v>76</v>
      </c>
      <c r="L2815">
        <v>0</v>
      </c>
      <c r="N2815" t="s">
        <v>3711</v>
      </c>
    </row>
    <row r="2816" spans="1:14" x14ac:dyDescent="0.35">
      <c r="A2816" t="s">
        <v>7472</v>
      </c>
      <c r="B2816" t="s">
        <v>7473</v>
      </c>
      <c r="C2816" t="s">
        <v>62</v>
      </c>
      <c r="D2816">
        <v>86.4</v>
      </c>
      <c r="E2816">
        <v>4000</v>
      </c>
      <c r="F2816" t="s">
        <v>64</v>
      </c>
      <c r="G2816" t="s">
        <v>32</v>
      </c>
      <c r="H2816" t="s">
        <v>57</v>
      </c>
      <c r="I2816" t="s">
        <v>44</v>
      </c>
      <c r="J2816" t="s">
        <v>5700</v>
      </c>
      <c r="K2816" t="s">
        <v>42</v>
      </c>
      <c r="L2816">
        <v>22</v>
      </c>
      <c r="M2816" t="s">
        <v>4008</v>
      </c>
      <c r="N2816" t="s">
        <v>2334</v>
      </c>
    </row>
    <row r="2817" spans="1:14" x14ac:dyDescent="0.35">
      <c r="A2817" t="s">
        <v>7474</v>
      </c>
      <c r="B2817" t="s">
        <v>7475</v>
      </c>
      <c r="C2817" t="s">
        <v>81</v>
      </c>
      <c r="D2817">
        <v>118.73</v>
      </c>
      <c r="E2817">
        <v>3000</v>
      </c>
      <c r="F2817" t="s">
        <v>51</v>
      </c>
      <c r="G2817" t="s">
        <v>32</v>
      </c>
      <c r="H2817" t="s">
        <v>33</v>
      </c>
      <c r="I2817" t="s">
        <v>44</v>
      </c>
      <c r="J2817" t="s">
        <v>235</v>
      </c>
      <c r="K2817" t="s">
        <v>236</v>
      </c>
      <c r="L2817">
        <v>21</v>
      </c>
      <c r="M2817" t="s">
        <v>53</v>
      </c>
      <c r="N2817" t="s">
        <v>4973</v>
      </c>
    </row>
    <row r="2818" spans="1:14" x14ac:dyDescent="0.35">
      <c r="A2818" t="s">
        <v>7476</v>
      </c>
      <c r="B2818" t="s">
        <v>7477</v>
      </c>
      <c r="C2818" t="s">
        <v>62</v>
      </c>
      <c r="D2818">
        <v>58.8</v>
      </c>
      <c r="E2818">
        <v>1000</v>
      </c>
      <c r="F2818" t="s">
        <v>97</v>
      </c>
      <c r="G2818" t="s">
        <v>32</v>
      </c>
      <c r="H2818" t="s">
        <v>33</v>
      </c>
      <c r="I2818" t="s">
        <v>44</v>
      </c>
      <c r="J2818" t="s">
        <v>107</v>
      </c>
      <c r="K2818" t="s">
        <v>87</v>
      </c>
      <c r="L2818">
        <v>15</v>
      </c>
      <c r="M2818" t="s">
        <v>3266</v>
      </c>
      <c r="N2818" t="s">
        <v>2512</v>
      </c>
    </row>
    <row r="2819" spans="1:14" x14ac:dyDescent="0.35">
      <c r="A2819" t="s">
        <v>7478</v>
      </c>
      <c r="B2819" t="s">
        <v>7479</v>
      </c>
      <c r="C2819" t="s">
        <v>41</v>
      </c>
      <c r="D2819">
        <v>85.48</v>
      </c>
      <c r="E2819">
        <v>23000</v>
      </c>
      <c r="F2819" t="s">
        <v>51</v>
      </c>
      <c r="G2819" t="s">
        <v>102</v>
      </c>
      <c r="H2819" t="s">
        <v>57</v>
      </c>
      <c r="I2819" t="s">
        <v>34</v>
      </c>
      <c r="J2819" t="s">
        <v>124</v>
      </c>
      <c r="K2819" t="s">
        <v>117</v>
      </c>
      <c r="L2819">
        <v>23</v>
      </c>
      <c r="N2819" t="s">
        <v>2541</v>
      </c>
    </row>
    <row r="2820" spans="1:14" x14ac:dyDescent="0.35">
      <c r="A2820" t="s">
        <v>7480</v>
      </c>
      <c r="B2820" t="s">
        <v>7481</v>
      </c>
      <c r="C2820" t="s">
        <v>30</v>
      </c>
      <c r="D2820">
        <v>190.89</v>
      </c>
      <c r="E2820">
        <v>11000</v>
      </c>
      <c r="F2820" t="s">
        <v>31</v>
      </c>
      <c r="G2820" t="s">
        <v>32</v>
      </c>
      <c r="H2820" t="s">
        <v>57</v>
      </c>
      <c r="I2820" t="s">
        <v>34</v>
      </c>
      <c r="J2820" t="s">
        <v>63</v>
      </c>
      <c r="K2820" t="s">
        <v>64</v>
      </c>
      <c r="L2820">
        <v>6</v>
      </c>
      <c r="N2820" t="s">
        <v>6060</v>
      </c>
    </row>
    <row r="2821" spans="1:14" x14ac:dyDescent="0.35">
      <c r="A2821" t="s">
        <v>7482</v>
      </c>
      <c r="B2821" t="s">
        <v>7483</v>
      </c>
      <c r="C2821" t="s">
        <v>41</v>
      </c>
      <c r="D2821">
        <v>123.94</v>
      </c>
      <c r="E2821">
        <v>17000</v>
      </c>
      <c r="F2821" t="s">
        <v>46</v>
      </c>
      <c r="G2821" t="s">
        <v>32</v>
      </c>
      <c r="H2821" t="s">
        <v>57</v>
      </c>
      <c r="I2821" t="s">
        <v>34</v>
      </c>
      <c r="J2821" t="s">
        <v>130</v>
      </c>
      <c r="K2821" t="s">
        <v>123</v>
      </c>
      <c r="L2821">
        <v>20</v>
      </c>
      <c r="M2821" t="s">
        <v>624</v>
      </c>
      <c r="N2821" t="s">
        <v>7484</v>
      </c>
    </row>
    <row r="2822" spans="1:14" x14ac:dyDescent="0.35">
      <c r="A2822" t="s">
        <v>7485</v>
      </c>
      <c r="B2822" t="s">
        <v>7486</v>
      </c>
      <c r="C2822" t="s">
        <v>69</v>
      </c>
      <c r="D2822">
        <v>74.930000000000007</v>
      </c>
      <c r="E2822">
        <v>96000</v>
      </c>
      <c r="F2822" t="s">
        <v>147</v>
      </c>
      <c r="G2822" t="s">
        <v>32</v>
      </c>
      <c r="H2822" t="s">
        <v>43</v>
      </c>
      <c r="I2822" t="s">
        <v>44</v>
      </c>
      <c r="J2822" t="s">
        <v>209</v>
      </c>
      <c r="K2822" t="s">
        <v>74</v>
      </c>
      <c r="L2822">
        <v>15</v>
      </c>
      <c r="M2822" t="s">
        <v>180</v>
      </c>
      <c r="N2822" t="s">
        <v>820</v>
      </c>
    </row>
    <row r="2823" spans="1:14" x14ac:dyDescent="0.35">
      <c r="A2823" t="s">
        <v>7487</v>
      </c>
      <c r="B2823" t="s">
        <v>7488</v>
      </c>
      <c r="C2823" t="s">
        <v>30</v>
      </c>
      <c r="D2823">
        <v>113.7</v>
      </c>
      <c r="E2823">
        <v>3000</v>
      </c>
      <c r="F2823" t="s">
        <v>46</v>
      </c>
      <c r="G2823" t="s">
        <v>32</v>
      </c>
      <c r="H2823" t="s">
        <v>33</v>
      </c>
      <c r="I2823" t="s">
        <v>44</v>
      </c>
      <c r="J2823" t="s">
        <v>124</v>
      </c>
      <c r="K2823" t="s">
        <v>117</v>
      </c>
      <c r="L2823">
        <v>1</v>
      </c>
      <c r="M2823" t="s">
        <v>3491</v>
      </c>
      <c r="N2823" t="s">
        <v>4852</v>
      </c>
    </row>
    <row r="2824" spans="1:14" x14ac:dyDescent="0.35">
      <c r="A2824" t="s">
        <v>7489</v>
      </c>
      <c r="B2824" t="s">
        <v>7490</v>
      </c>
      <c r="C2824" t="s">
        <v>116</v>
      </c>
      <c r="D2824">
        <v>7.16</v>
      </c>
      <c r="E2824">
        <v>300</v>
      </c>
      <c r="F2824" t="s">
        <v>42</v>
      </c>
      <c r="G2824" t="s">
        <v>32</v>
      </c>
      <c r="H2824" t="s">
        <v>33</v>
      </c>
      <c r="I2824" t="s">
        <v>44</v>
      </c>
      <c r="J2824" t="s">
        <v>3541</v>
      </c>
      <c r="K2824" t="s">
        <v>36</v>
      </c>
      <c r="L2824">
        <v>5</v>
      </c>
      <c r="M2824" t="s">
        <v>1143</v>
      </c>
      <c r="N2824" t="s">
        <v>2189</v>
      </c>
    </row>
    <row r="2825" spans="1:14" x14ac:dyDescent="0.35">
      <c r="A2825" t="s">
        <v>7491</v>
      </c>
      <c r="B2825" t="s">
        <v>7492</v>
      </c>
      <c r="C2825" t="s">
        <v>81</v>
      </c>
      <c r="D2825">
        <v>111.67</v>
      </c>
      <c r="E2825">
        <v>6000</v>
      </c>
      <c r="F2825" t="s">
        <v>64</v>
      </c>
      <c r="G2825" t="s">
        <v>32</v>
      </c>
      <c r="H2825" t="s">
        <v>43</v>
      </c>
      <c r="I2825" t="s">
        <v>44</v>
      </c>
      <c r="J2825" t="s">
        <v>75</v>
      </c>
      <c r="K2825" t="s">
        <v>76</v>
      </c>
      <c r="L2825">
        <v>2</v>
      </c>
      <c r="M2825" t="s">
        <v>513</v>
      </c>
      <c r="N2825" t="s">
        <v>4352</v>
      </c>
    </row>
    <row r="2826" spans="1:14" x14ac:dyDescent="0.35">
      <c r="A2826" t="s">
        <v>7493</v>
      </c>
      <c r="B2826" t="s">
        <v>7494</v>
      </c>
      <c r="C2826" t="s">
        <v>69</v>
      </c>
      <c r="D2826">
        <v>54.4</v>
      </c>
      <c r="E2826">
        <v>22000</v>
      </c>
      <c r="F2826" t="s">
        <v>42</v>
      </c>
      <c r="G2826" t="s">
        <v>32</v>
      </c>
      <c r="H2826" t="s">
        <v>33</v>
      </c>
      <c r="I2826" t="s">
        <v>44</v>
      </c>
      <c r="J2826" t="s">
        <v>130</v>
      </c>
      <c r="K2826" t="s">
        <v>123</v>
      </c>
      <c r="L2826">
        <v>10</v>
      </c>
      <c r="N2826" t="s">
        <v>2343</v>
      </c>
    </row>
    <row r="2827" spans="1:14" x14ac:dyDescent="0.35">
      <c r="A2827" t="s">
        <v>7495</v>
      </c>
      <c r="B2827" t="s">
        <v>7496</v>
      </c>
      <c r="C2827" t="s">
        <v>30</v>
      </c>
      <c r="D2827">
        <v>196.89</v>
      </c>
      <c r="E2827">
        <v>11000</v>
      </c>
      <c r="F2827" t="s">
        <v>74</v>
      </c>
      <c r="G2827" t="s">
        <v>32</v>
      </c>
      <c r="H2827" t="s">
        <v>57</v>
      </c>
      <c r="J2827" t="s">
        <v>130</v>
      </c>
      <c r="K2827" t="s">
        <v>123</v>
      </c>
      <c r="L2827">
        <v>21</v>
      </c>
      <c r="M2827" t="s">
        <v>3261</v>
      </c>
      <c r="N2827" t="s">
        <v>227</v>
      </c>
    </row>
    <row r="2828" spans="1:14" x14ac:dyDescent="0.35">
      <c r="A2828" t="s">
        <v>7497</v>
      </c>
      <c r="B2828" t="s">
        <v>7498</v>
      </c>
      <c r="C2828" t="s">
        <v>69</v>
      </c>
      <c r="D2828">
        <v>98.97</v>
      </c>
      <c r="E2828">
        <v>54000</v>
      </c>
      <c r="F2828" t="s">
        <v>87</v>
      </c>
      <c r="G2828" t="s">
        <v>32</v>
      </c>
      <c r="H2828" t="s">
        <v>57</v>
      </c>
      <c r="J2828" t="s">
        <v>70</v>
      </c>
      <c r="K2828" t="s">
        <v>31</v>
      </c>
      <c r="L2828">
        <v>2</v>
      </c>
      <c r="M2828" t="s">
        <v>5734</v>
      </c>
      <c r="N2828" t="s">
        <v>1159</v>
      </c>
    </row>
    <row r="2829" spans="1:14" x14ac:dyDescent="0.35">
      <c r="A2829" t="s">
        <v>7499</v>
      </c>
      <c r="B2829" t="s">
        <v>7500</v>
      </c>
      <c r="C2829" t="s">
        <v>62</v>
      </c>
      <c r="D2829">
        <v>75.790000000000006</v>
      </c>
      <c r="E2829">
        <v>2000</v>
      </c>
      <c r="F2829" t="s">
        <v>87</v>
      </c>
      <c r="G2829" t="s">
        <v>32</v>
      </c>
      <c r="H2829" t="s">
        <v>57</v>
      </c>
      <c r="J2829" t="s">
        <v>107</v>
      </c>
      <c r="K2829" t="s">
        <v>87</v>
      </c>
      <c r="L2829">
        <v>6</v>
      </c>
      <c r="M2829" t="s">
        <v>2554</v>
      </c>
      <c r="N2829" t="s">
        <v>3028</v>
      </c>
    </row>
    <row r="2830" spans="1:14" x14ac:dyDescent="0.35">
      <c r="A2830" t="s">
        <v>7501</v>
      </c>
      <c r="B2830" t="s">
        <v>7502</v>
      </c>
      <c r="C2830" t="s">
        <v>81</v>
      </c>
      <c r="D2830">
        <v>129.79</v>
      </c>
      <c r="E2830">
        <v>2000</v>
      </c>
      <c r="F2830" t="s">
        <v>87</v>
      </c>
      <c r="G2830" t="s">
        <v>32</v>
      </c>
      <c r="H2830" t="s">
        <v>33</v>
      </c>
      <c r="J2830" t="s">
        <v>124</v>
      </c>
      <c r="K2830" t="s">
        <v>117</v>
      </c>
      <c r="L2830">
        <v>16</v>
      </c>
      <c r="M2830" t="s">
        <v>3934</v>
      </c>
      <c r="N2830" t="s">
        <v>4665</v>
      </c>
    </row>
    <row r="2831" spans="1:14" x14ac:dyDescent="0.35">
      <c r="A2831" t="s">
        <v>7503</v>
      </c>
      <c r="B2831" t="s">
        <v>7504</v>
      </c>
      <c r="C2831" t="s">
        <v>81</v>
      </c>
      <c r="D2831">
        <v>80.22</v>
      </c>
      <c r="E2831">
        <v>9000</v>
      </c>
      <c r="F2831" t="s">
        <v>236</v>
      </c>
      <c r="G2831" t="s">
        <v>32</v>
      </c>
      <c r="H2831" t="s">
        <v>43</v>
      </c>
      <c r="J2831" t="s">
        <v>124</v>
      </c>
      <c r="K2831" t="s">
        <v>117</v>
      </c>
      <c r="L2831">
        <v>7</v>
      </c>
      <c r="M2831" t="s">
        <v>1072</v>
      </c>
      <c r="N2831" t="s">
        <v>3276</v>
      </c>
    </row>
    <row r="2832" spans="1:14" x14ac:dyDescent="0.35">
      <c r="A2832" t="s">
        <v>7505</v>
      </c>
      <c r="B2832" t="s">
        <v>7506</v>
      </c>
      <c r="C2832" t="s">
        <v>30</v>
      </c>
      <c r="D2832">
        <v>170.75</v>
      </c>
      <c r="E2832">
        <v>5000</v>
      </c>
      <c r="F2832" t="s">
        <v>36</v>
      </c>
      <c r="G2832" t="s">
        <v>32</v>
      </c>
      <c r="H2832" t="s">
        <v>57</v>
      </c>
      <c r="I2832" t="s">
        <v>44</v>
      </c>
      <c r="J2832" t="s">
        <v>334</v>
      </c>
      <c r="K2832" t="s">
        <v>51</v>
      </c>
      <c r="L2832">
        <v>11</v>
      </c>
      <c r="M2832" t="s">
        <v>1476</v>
      </c>
      <c r="N2832" t="s">
        <v>7484</v>
      </c>
    </row>
    <row r="2833" spans="1:14" x14ac:dyDescent="0.35">
      <c r="A2833" t="s">
        <v>7507</v>
      </c>
      <c r="B2833" t="s">
        <v>7508</v>
      </c>
      <c r="C2833" t="s">
        <v>116</v>
      </c>
      <c r="D2833">
        <v>9.33</v>
      </c>
      <c r="E2833">
        <v>600</v>
      </c>
      <c r="F2833" t="s">
        <v>64</v>
      </c>
      <c r="G2833" t="s">
        <v>102</v>
      </c>
      <c r="H2833" t="s">
        <v>57</v>
      </c>
      <c r="I2833" t="s">
        <v>44</v>
      </c>
      <c r="J2833" t="s">
        <v>118</v>
      </c>
      <c r="K2833" t="s">
        <v>42</v>
      </c>
      <c r="L2833">
        <v>3</v>
      </c>
      <c r="N2833" t="s">
        <v>280</v>
      </c>
    </row>
    <row r="2834" spans="1:14" x14ac:dyDescent="0.35">
      <c r="A2834" t="s">
        <v>7509</v>
      </c>
      <c r="B2834" t="s">
        <v>7510</v>
      </c>
      <c r="C2834" t="s">
        <v>81</v>
      </c>
      <c r="D2834">
        <v>110.54</v>
      </c>
      <c r="E2834">
        <v>8000</v>
      </c>
      <c r="F2834" t="s">
        <v>117</v>
      </c>
      <c r="G2834" t="s">
        <v>32</v>
      </c>
      <c r="H2834" t="s">
        <v>57</v>
      </c>
      <c r="I2834" t="s">
        <v>34</v>
      </c>
      <c r="J2834" t="s">
        <v>235</v>
      </c>
      <c r="K2834" t="s">
        <v>236</v>
      </c>
      <c r="L2834">
        <v>8</v>
      </c>
      <c r="M2834" t="s">
        <v>3135</v>
      </c>
      <c r="N2834" t="s">
        <v>5799</v>
      </c>
    </row>
    <row r="2835" spans="1:14" x14ac:dyDescent="0.35">
      <c r="A2835" t="s">
        <v>7511</v>
      </c>
      <c r="B2835" t="s">
        <v>7512</v>
      </c>
      <c r="C2835" t="s">
        <v>62</v>
      </c>
      <c r="D2835">
        <v>51.07</v>
      </c>
      <c r="E2835">
        <v>2000</v>
      </c>
      <c r="F2835" t="s">
        <v>42</v>
      </c>
      <c r="G2835" t="s">
        <v>32</v>
      </c>
      <c r="H2835" t="s">
        <v>57</v>
      </c>
      <c r="I2835" t="s">
        <v>34</v>
      </c>
      <c r="J2835" t="s">
        <v>82</v>
      </c>
      <c r="K2835" t="s">
        <v>74</v>
      </c>
      <c r="L2835">
        <v>18</v>
      </c>
      <c r="N2835" t="s">
        <v>5961</v>
      </c>
    </row>
    <row r="2836" spans="1:14" x14ac:dyDescent="0.35">
      <c r="A2836" t="s">
        <v>7513</v>
      </c>
      <c r="B2836" t="s">
        <v>7514</v>
      </c>
      <c r="C2836" t="s">
        <v>69</v>
      </c>
      <c r="D2836">
        <v>88.99</v>
      </c>
      <c r="E2836">
        <v>76000</v>
      </c>
      <c r="F2836" t="s">
        <v>123</v>
      </c>
      <c r="G2836" t="s">
        <v>32</v>
      </c>
      <c r="H2836" t="s">
        <v>43</v>
      </c>
      <c r="I2836" t="s">
        <v>129</v>
      </c>
      <c r="J2836" t="s">
        <v>70</v>
      </c>
      <c r="K2836" t="s">
        <v>31</v>
      </c>
      <c r="L2836">
        <v>0</v>
      </c>
      <c r="N2836" t="s">
        <v>3651</v>
      </c>
    </row>
    <row r="2837" spans="1:14" x14ac:dyDescent="0.35">
      <c r="A2837" t="s">
        <v>7515</v>
      </c>
      <c r="B2837" t="s">
        <v>7516</v>
      </c>
      <c r="C2837" t="s">
        <v>30</v>
      </c>
      <c r="D2837">
        <v>197.5</v>
      </c>
      <c r="E2837">
        <v>15000</v>
      </c>
      <c r="F2837" t="s">
        <v>117</v>
      </c>
      <c r="G2837" t="s">
        <v>32</v>
      </c>
      <c r="H2837" t="s">
        <v>57</v>
      </c>
      <c r="I2837" t="s">
        <v>44</v>
      </c>
      <c r="J2837" t="s">
        <v>70</v>
      </c>
      <c r="K2837" t="s">
        <v>31</v>
      </c>
      <c r="L2837">
        <v>6</v>
      </c>
      <c r="N2837" t="s">
        <v>3668</v>
      </c>
    </row>
    <row r="2838" spans="1:14" x14ac:dyDescent="0.35">
      <c r="A2838" t="s">
        <v>7517</v>
      </c>
      <c r="B2838" t="s">
        <v>7518</v>
      </c>
      <c r="C2838" t="s">
        <v>69</v>
      </c>
      <c r="D2838">
        <v>94.69</v>
      </c>
      <c r="E2838">
        <v>56000</v>
      </c>
      <c r="F2838" t="s">
        <v>36</v>
      </c>
      <c r="G2838" t="s">
        <v>32</v>
      </c>
      <c r="H2838" t="s">
        <v>33</v>
      </c>
      <c r="I2838" t="s">
        <v>44</v>
      </c>
      <c r="J2838" t="s">
        <v>130</v>
      </c>
      <c r="K2838" t="s">
        <v>123</v>
      </c>
      <c r="L2838">
        <v>14</v>
      </c>
      <c r="N2838" t="s">
        <v>4329</v>
      </c>
    </row>
    <row r="2839" spans="1:14" x14ac:dyDescent="0.35">
      <c r="A2839" t="s">
        <v>7519</v>
      </c>
      <c r="B2839" t="s">
        <v>7520</v>
      </c>
      <c r="C2839" t="s">
        <v>30</v>
      </c>
      <c r="D2839">
        <v>114.67</v>
      </c>
      <c r="E2839">
        <v>16000</v>
      </c>
      <c r="F2839" t="s">
        <v>106</v>
      </c>
      <c r="G2839" t="s">
        <v>32</v>
      </c>
      <c r="H2839" t="s">
        <v>33</v>
      </c>
      <c r="I2839" t="s">
        <v>34</v>
      </c>
      <c r="J2839" t="s">
        <v>118</v>
      </c>
      <c r="K2839" t="s">
        <v>42</v>
      </c>
      <c r="L2839">
        <v>15</v>
      </c>
      <c r="N2839" t="s">
        <v>2794</v>
      </c>
    </row>
    <row r="2840" spans="1:14" x14ac:dyDescent="0.35">
      <c r="A2840" t="s">
        <v>7521</v>
      </c>
      <c r="B2840" t="s">
        <v>7522</v>
      </c>
      <c r="C2840" t="s">
        <v>116</v>
      </c>
      <c r="D2840">
        <v>10.199999999999999</v>
      </c>
      <c r="E2840">
        <v>600</v>
      </c>
      <c r="F2840" t="s">
        <v>123</v>
      </c>
      <c r="G2840" t="s">
        <v>32</v>
      </c>
      <c r="H2840" t="s">
        <v>57</v>
      </c>
      <c r="I2840" t="s">
        <v>34</v>
      </c>
      <c r="J2840" t="s">
        <v>2569</v>
      </c>
      <c r="K2840" t="s">
        <v>139</v>
      </c>
      <c r="L2840">
        <v>6</v>
      </c>
      <c r="M2840" t="s">
        <v>930</v>
      </c>
      <c r="N2840" t="s">
        <v>7174</v>
      </c>
    </row>
    <row r="2841" spans="1:14" x14ac:dyDescent="0.35">
      <c r="A2841" t="s">
        <v>7523</v>
      </c>
      <c r="B2841" t="s">
        <v>7524</v>
      </c>
      <c r="C2841" t="s">
        <v>116</v>
      </c>
      <c r="D2841">
        <v>6.18</v>
      </c>
      <c r="E2841">
        <v>500</v>
      </c>
      <c r="F2841" t="s">
        <v>139</v>
      </c>
      <c r="G2841" t="s">
        <v>32</v>
      </c>
      <c r="H2841" t="s">
        <v>33</v>
      </c>
      <c r="J2841" t="s">
        <v>366</v>
      </c>
      <c r="K2841" t="s">
        <v>51</v>
      </c>
      <c r="L2841">
        <v>0</v>
      </c>
      <c r="M2841" t="s">
        <v>434</v>
      </c>
      <c r="N2841" t="s">
        <v>4817</v>
      </c>
    </row>
    <row r="2842" spans="1:14" x14ac:dyDescent="0.35">
      <c r="A2842" t="s">
        <v>7525</v>
      </c>
      <c r="B2842" t="s">
        <v>7526</v>
      </c>
      <c r="C2842" t="s">
        <v>81</v>
      </c>
      <c r="D2842">
        <v>81.88</v>
      </c>
      <c r="E2842">
        <v>3000</v>
      </c>
      <c r="F2842" t="s">
        <v>76</v>
      </c>
      <c r="G2842" t="s">
        <v>32</v>
      </c>
      <c r="H2842" t="s">
        <v>33</v>
      </c>
      <c r="J2842" t="s">
        <v>107</v>
      </c>
      <c r="K2842" t="s">
        <v>87</v>
      </c>
      <c r="L2842">
        <v>20</v>
      </c>
      <c r="M2842" t="s">
        <v>3599</v>
      </c>
      <c r="N2842" t="s">
        <v>3434</v>
      </c>
    </row>
    <row r="2843" spans="1:14" x14ac:dyDescent="0.35">
      <c r="A2843" t="s">
        <v>7527</v>
      </c>
      <c r="B2843" t="s">
        <v>7528</v>
      </c>
      <c r="C2843" t="s">
        <v>69</v>
      </c>
      <c r="D2843">
        <v>63.97</v>
      </c>
      <c r="E2843">
        <v>81000</v>
      </c>
      <c r="F2843" t="s">
        <v>123</v>
      </c>
      <c r="G2843" t="s">
        <v>32</v>
      </c>
      <c r="H2843" t="s">
        <v>33</v>
      </c>
      <c r="I2843" t="s">
        <v>44</v>
      </c>
      <c r="J2843" t="s">
        <v>92</v>
      </c>
      <c r="K2843" t="s">
        <v>51</v>
      </c>
      <c r="L2843">
        <v>12</v>
      </c>
      <c r="M2843" t="s">
        <v>1364</v>
      </c>
      <c r="N2843" t="s">
        <v>7529</v>
      </c>
    </row>
    <row r="2844" spans="1:14" x14ac:dyDescent="0.35">
      <c r="A2844" t="s">
        <v>7530</v>
      </c>
      <c r="B2844" t="s">
        <v>7531</v>
      </c>
      <c r="C2844" t="s">
        <v>81</v>
      </c>
      <c r="D2844">
        <v>75</v>
      </c>
      <c r="E2844">
        <v>1000</v>
      </c>
      <c r="F2844" t="s">
        <v>97</v>
      </c>
      <c r="G2844" t="s">
        <v>32</v>
      </c>
      <c r="H2844" t="s">
        <v>43</v>
      </c>
      <c r="I2844" t="s">
        <v>34</v>
      </c>
      <c r="J2844" t="s">
        <v>35</v>
      </c>
      <c r="K2844" t="s">
        <v>36</v>
      </c>
      <c r="L2844">
        <v>6</v>
      </c>
      <c r="M2844" t="s">
        <v>274</v>
      </c>
      <c r="N2844" t="s">
        <v>1006</v>
      </c>
    </row>
    <row r="2845" spans="1:14" x14ac:dyDescent="0.35">
      <c r="A2845" t="s">
        <v>7532</v>
      </c>
      <c r="B2845" t="s">
        <v>7533</v>
      </c>
      <c r="C2845" t="s">
        <v>116</v>
      </c>
      <c r="D2845">
        <v>9.9</v>
      </c>
      <c r="E2845">
        <v>100</v>
      </c>
      <c r="F2845" t="s">
        <v>117</v>
      </c>
      <c r="G2845" t="s">
        <v>32</v>
      </c>
      <c r="H2845" t="s">
        <v>43</v>
      </c>
      <c r="I2845" t="s">
        <v>34</v>
      </c>
      <c r="J2845" t="s">
        <v>75</v>
      </c>
      <c r="K2845" t="s">
        <v>76</v>
      </c>
      <c r="L2845">
        <v>20</v>
      </c>
      <c r="M2845" t="s">
        <v>2809</v>
      </c>
      <c r="N2845" t="s">
        <v>1598</v>
      </c>
    </row>
    <row r="2846" spans="1:14" x14ac:dyDescent="0.35">
      <c r="A2846" t="s">
        <v>7534</v>
      </c>
      <c r="B2846" t="s">
        <v>7535</v>
      </c>
      <c r="C2846" t="s">
        <v>69</v>
      </c>
      <c r="D2846">
        <v>90.16</v>
      </c>
      <c r="E2846">
        <v>35000</v>
      </c>
      <c r="F2846" t="s">
        <v>46</v>
      </c>
      <c r="G2846" t="s">
        <v>32</v>
      </c>
      <c r="H2846" t="s">
        <v>57</v>
      </c>
      <c r="J2846" t="s">
        <v>130</v>
      </c>
      <c r="K2846" t="s">
        <v>123</v>
      </c>
      <c r="L2846">
        <v>7</v>
      </c>
      <c r="M2846" t="s">
        <v>6610</v>
      </c>
      <c r="N2846" t="s">
        <v>438</v>
      </c>
    </row>
    <row r="2847" spans="1:14" x14ac:dyDescent="0.35">
      <c r="A2847" t="s">
        <v>7536</v>
      </c>
      <c r="B2847" t="s">
        <v>7537</v>
      </c>
      <c r="C2847" t="s">
        <v>62</v>
      </c>
      <c r="D2847">
        <v>89.39</v>
      </c>
      <c r="E2847">
        <v>5000</v>
      </c>
      <c r="F2847" t="s">
        <v>74</v>
      </c>
      <c r="G2847" t="s">
        <v>32</v>
      </c>
      <c r="H2847" t="s">
        <v>33</v>
      </c>
      <c r="I2847" t="s">
        <v>129</v>
      </c>
      <c r="J2847" t="s">
        <v>174</v>
      </c>
      <c r="K2847" t="s">
        <v>139</v>
      </c>
      <c r="L2847">
        <v>4</v>
      </c>
      <c r="N2847" t="s">
        <v>1985</v>
      </c>
    </row>
    <row r="2848" spans="1:14" x14ac:dyDescent="0.35">
      <c r="A2848" t="s">
        <v>7538</v>
      </c>
      <c r="B2848" t="s">
        <v>7539</v>
      </c>
      <c r="C2848" t="s">
        <v>30</v>
      </c>
      <c r="D2848">
        <v>122.48</v>
      </c>
      <c r="E2848">
        <v>6000</v>
      </c>
      <c r="F2848" t="s">
        <v>64</v>
      </c>
      <c r="G2848" t="s">
        <v>32</v>
      </c>
      <c r="H2848" t="s">
        <v>57</v>
      </c>
      <c r="I2848" t="s">
        <v>44</v>
      </c>
      <c r="J2848" t="s">
        <v>543</v>
      </c>
      <c r="K2848" t="s">
        <v>51</v>
      </c>
      <c r="L2848">
        <v>11</v>
      </c>
      <c r="N2848" t="s">
        <v>3146</v>
      </c>
    </row>
    <row r="2849" spans="1:14" x14ac:dyDescent="0.35">
      <c r="A2849" t="s">
        <v>7540</v>
      </c>
      <c r="B2849" t="s">
        <v>7541</v>
      </c>
      <c r="C2849" t="s">
        <v>69</v>
      </c>
      <c r="D2849">
        <v>75.14</v>
      </c>
      <c r="E2849">
        <v>70000</v>
      </c>
      <c r="F2849" t="s">
        <v>139</v>
      </c>
      <c r="G2849" t="s">
        <v>32</v>
      </c>
      <c r="H2849" t="s">
        <v>57</v>
      </c>
      <c r="I2849" t="s">
        <v>34</v>
      </c>
      <c r="J2849" t="s">
        <v>393</v>
      </c>
      <c r="K2849" t="s">
        <v>74</v>
      </c>
      <c r="L2849">
        <v>7</v>
      </c>
      <c r="N2849" t="s">
        <v>157</v>
      </c>
    </row>
    <row r="2850" spans="1:14" x14ac:dyDescent="0.35">
      <c r="A2850" t="s">
        <v>7542</v>
      </c>
      <c r="B2850" t="s">
        <v>7543</v>
      </c>
      <c r="C2850" t="s">
        <v>116</v>
      </c>
      <c r="D2850">
        <v>8.39</v>
      </c>
      <c r="E2850">
        <v>700</v>
      </c>
      <c r="F2850" t="s">
        <v>106</v>
      </c>
      <c r="G2850" t="s">
        <v>32</v>
      </c>
      <c r="H2850" t="s">
        <v>57</v>
      </c>
      <c r="I2850" t="s">
        <v>129</v>
      </c>
      <c r="J2850" t="s">
        <v>82</v>
      </c>
      <c r="K2850" t="s">
        <v>74</v>
      </c>
      <c r="L2850">
        <v>1</v>
      </c>
      <c r="N2850" t="s">
        <v>4767</v>
      </c>
    </row>
    <row r="2851" spans="1:14" x14ac:dyDescent="0.35">
      <c r="A2851" t="s">
        <v>7544</v>
      </c>
      <c r="B2851" t="s">
        <v>7545</v>
      </c>
      <c r="C2851" t="s">
        <v>116</v>
      </c>
      <c r="D2851">
        <v>7.33</v>
      </c>
      <c r="E2851">
        <v>200</v>
      </c>
      <c r="F2851" t="s">
        <v>236</v>
      </c>
      <c r="G2851" t="s">
        <v>32</v>
      </c>
      <c r="H2851" t="s">
        <v>43</v>
      </c>
      <c r="I2851" t="s">
        <v>34</v>
      </c>
      <c r="J2851" t="s">
        <v>124</v>
      </c>
      <c r="K2851" t="s">
        <v>117</v>
      </c>
      <c r="L2851">
        <v>10</v>
      </c>
      <c r="N2851" t="s">
        <v>493</v>
      </c>
    </row>
    <row r="2852" spans="1:14" x14ac:dyDescent="0.35">
      <c r="A2852" t="s">
        <v>7546</v>
      </c>
      <c r="B2852" t="s">
        <v>7547</v>
      </c>
      <c r="C2852" t="s">
        <v>30</v>
      </c>
      <c r="D2852">
        <v>175.02</v>
      </c>
      <c r="E2852">
        <v>13000</v>
      </c>
      <c r="F2852" t="s">
        <v>51</v>
      </c>
      <c r="G2852" t="s">
        <v>32</v>
      </c>
      <c r="H2852" t="s">
        <v>43</v>
      </c>
      <c r="I2852" t="s">
        <v>44</v>
      </c>
      <c r="J2852" t="s">
        <v>63</v>
      </c>
      <c r="K2852" t="s">
        <v>64</v>
      </c>
      <c r="L2852">
        <v>17</v>
      </c>
      <c r="M2852" t="s">
        <v>3085</v>
      </c>
      <c r="N2852" t="s">
        <v>684</v>
      </c>
    </row>
    <row r="2853" spans="1:14" x14ac:dyDescent="0.35">
      <c r="A2853" t="s">
        <v>7548</v>
      </c>
      <c r="B2853" t="s">
        <v>7549</v>
      </c>
      <c r="C2853" t="s">
        <v>81</v>
      </c>
      <c r="D2853">
        <v>99.44</v>
      </c>
      <c r="E2853">
        <v>7000</v>
      </c>
      <c r="F2853" t="s">
        <v>42</v>
      </c>
      <c r="G2853" t="s">
        <v>32</v>
      </c>
      <c r="H2853" t="s">
        <v>43</v>
      </c>
      <c r="I2853" t="s">
        <v>44</v>
      </c>
      <c r="J2853" t="s">
        <v>118</v>
      </c>
      <c r="K2853" t="s">
        <v>42</v>
      </c>
      <c r="L2853">
        <v>21</v>
      </c>
      <c r="M2853" t="s">
        <v>1579</v>
      </c>
      <c r="N2853" t="s">
        <v>817</v>
      </c>
    </row>
    <row r="2854" spans="1:14" x14ac:dyDescent="0.35">
      <c r="A2854" t="s">
        <v>7550</v>
      </c>
      <c r="B2854" t="s">
        <v>7551</v>
      </c>
      <c r="C2854" t="s">
        <v>30</v>
      </c>
      <c r="D2854">
        <v>119.4</v>
      </c>
      <c r="E2854">
        <v>14000</v>
      </c>
      <c r="F2854" t="s">
        <v>42</v>
      </c>
      <c r="G2854" t="s">
        <v>32</v>
      </c>
      <c r="H2854" t="s">
        <v>43</v>
      </c>
      <c r="I2854" t="s">
        <v>44</v>
      </c>
      <c r="J2854" t="s">
        <v>1424</v>
      </c>
      <c r="K2854" t="s">
        <v>51</v>
      </c>
      <c r="L2854">
        <v>12</v>
      </c>
      <c r="M2854" t="s">
        <v>1739</v>
      </c>
      <c r="N2854" t="s">
        <v>3785</v>
      </c>
    </row>
    <row r="2855" spans="1:14" x14ac:dyDescent="0.35">
      <c r="A2855" t="s">
        <v>7552</v>
      </c>
      <c r="B2855" t="s">
        <v>7553</v>
      </c>
      <c r="C2855" t="s">
        <v>62</v>
      </c>
      <c r="D2855">
        <v>72.849999999999994</v>
      </c>
      <c r="E2855">
        <v>2000</v>
      </c>
      <c r="F2855" t="s">
        <v>76</v>
      </c>
      <c r="G2855" t="s">
        <v>32</v>
      </c>
      <c r="H2855" t="s">
        <v>33</v>
      </c>
      <c r="I2855" t="s">
        <v>129</v>
      </c>
      <c r="J2855" t="s">
        <v>70</v>
      </c>
      <c r="K2855" t="s">
        <v>31</v>
      </c>
      <c r="L2855">
        <v>15</v>
      </c>
      <c r="N2855" t="s">
        <v>2761</v>
      </c>
    </row>
    <row r="2856" spans="1:14" x14ac:dyDescent="0.35">
      <c r="A2856" t="s">
        <v>7554</v>
      </c>
      <c r="B2856" t="s">
        <v>7555</v>
      </c>
      <c r="C2856" t="s">
        <v>41</v>
      </c>
      <c r="D2856">
        <v>128.82</v>
      </c>
      <c r="E2856">
        <v>10000</v>
      </c>
      <c r="F2856" t="s">
        <v>117</v>
      </c>
      <c r="G2856" t="s">
        <v>32</v>
      </c>
      <c r="H2856" t="s">
        <v>43</v>
      </c>
      <c r="I2856" t="s">
        <v>44</v>
      </c>
      <c r="J2856" t="s">
        <v>6024</v>
      </c>
      <c r="K2856" t="s">
        <v>139</v>
      </c>
      <c r="L2856">
        <v>6</v>
      </c>
      <c r="M2856" t="s">
        <v>672</v>
      </c>
      <c r="N2856" t="s">
        <v>1701</v>
      </c>
    </row>
    <row r="2857" spans="1:14" x14ac:dyDescent="0.35">
      <c r="A2857" t="s">
        <v>7556</v>
      </c>
      <c r="B2857" t="s">
        <v>7557</v>
      </c>
      <c r="C2857" t="s">
        <v>69</v>
      </c>
      <c r="D2857">
        <v>88.37</v>
      </c>
      <c r="E2857">
        <v>63000</v>
      </c>
      <c r="F2857" t="s">
        <v>76</v>
      </c>
      <c r="G2857" t="s">
        <v>32</v>
      </c>
      <c r="H2857" t="s">
        <v>57</v>
      </c>
      <c r="I2857" t="s">
        <v>44</v>
      </c>
      <c r="J2857" t="s">
        <v>1096</v>
      </c>
      <c r="K2857" t="s">
        <v>147</v>
      </c>
      <c r="L2857">
        <v>9</v>
      </c>
      <c r="M2857" t="s">
        <v>58</v>
      </c>
      <c r="N2857" t="s">
        <v>3738</v>
      </c>
    </row>
    <row r="2858" spans="1:14" x14ac:dyDescent="0.35">
      <c r="A2858" t="s">
        <v>7558</v>
      </c>
      <c r="B2858" t="s">
        <v>7559</v>
      </c>
      <c r="C2858" t="s">
        <v>30</v>
      </c>
      <c r="D2858">
        <v>177.76</v>
      </c>
      <c r="E2858">
        <v>14000</v>
      </c>
      <c r="F2858" t="s">
        <v>74</v>
      </c>
      <c r="G2858" t="s">
        <v>32</v>
      </c>
      <c r="H2858" t="s">
        <v>33</v>
      </c>
      <c r="J2858" t="s">
        <v>118</v>
      </c>
      <c r="K2858" t="s">
        <v>42</v>
      </c>
      <c r="L2858">
        <v>1</v>
      </c>
      <c r="N2858" t="s">
        <v>2373</v>
      </c>
    </row>
    <row r="2859" spans="1:14" x14ac:dyDescent="0.35">
      <c r="A2859" t="s">
        <v>7560</v>
      </c>
      <c r="B2859" t="s">
        <v>7561</v>
      </c>
      <c r="C2859" t="s">
        <v>41</v>
      </c>
      <c r="D2859">
        <v>92.38</v>
      </c>
      <c r="E2859">
        <v>20000</v>
      </c>
      <c r="F2859" t="s">
        <v>97</v>
      </c>
      <c r="G2859" t="s">
        <v>32</v>
      </c>
      <c r="H2859" t="s">
        <v>57</v>
      </c>
      <c r="J2859" t="s">
        <v>2289</v>
      </c>
      <c r="K2859" t="s">
        <v>31</v>
      </c>
      <c r="L2859">
        <v>6</v>
      </c>
      <c r="M2859" t="s">
        <v>1559</v>
      </c>
      <c r="N2859" t="s">
        <v>2273</v>
      </c>
    </row>
    <row r="2860" spans="1:14" x14ac:dyDescent="0.35">
      <c r="A2860" t="s">
        <v>7562</v>
      </c>
      <c r="B2860" t="s">
        <v>7563</v>
      </c>
      <c r="C2860" t="s">
        <v>62</v>
      </c>
      <c r="D2860">
        <v>84.93</v>
      </c>
      <c r="E2860">
        <v>1000</v>
      </c>
      <c r="F2860" t="s">
        <v>46</v>
      </c>
      <c r="G2860" t="s">
        <v>32</v>
      </c>
      <c r="H2860" t="s">
        <v>43</v>
      </c>
      <c r="I2860" t="s">
        <v>44</v>
      </c>
      <c r="J2860" t="s">
        <v>45</v>
      </c>
      <c r="K2860" t="s">
        <v>46</v>
      </c>
      <c r="L2860">
        <v>21</v>
      </c>
      <c r="N2860" t="s">
        <v>1901</v>
      </c>
    </row>
    <row r="2861" spans="1:14" x14ac:dyDescent="0.35">
      <c r="A2861" t="s">
        <v>7564</v>
      </c>
      <c r="B2861" t="s">
        <v>7565</v>
      </c>
      <c r="C2861" t="s">
        <v>81</v>
      </c>
      <c r="D2861">
        <v>74.25</v>
      </c>
      <c r="E2861">
        <v>6000</v>
      </c>
      <c r="F2861" t="s">
        <v>51</v>
      </c>
      <c r="G2861" t="s">
        <v>32</v>
      </c>
      <c r="H2861" t="s">
        <v>43</v>
      </c>
      <c r="J2861" t="s">
        <v>830</v>
      </c>
      <c r="K2861" t="s">
        <v>51</v>
      </c>
      <c r="L2861">
        <v>3</v>
      </c>
      <c r="M2861" t="s">
        <v>2754</v>
      </c>
      <c r="N2861" t="s">
        <v>336</v>
      </c>
    </row>
    <row r="2862" spans="1:14" x14ac:dyDescent="0.35">
      <c r="A2862" t="s">
        <v>7566</v>
      </c>
      <c r="B2862" t="s">
        <v>7567</v>
      </c>
      <c r="C2862" t="s">
        <v>41</v>
      </c>
      <c r="D2862">
        <v>127.49</v>
      </c>
      <c r="E2862">
        <v>20000</v>
      </c>
      <c r="F2862" t="s">
        <v>64</v>
      </c>
      <c r="G2862" t="s">
        <v>32</v>
      </c>
      <c r="H2862" t="s">
        <v>57</v>
      </c>
      <c r="I2862" t="s">
        <v>44</v>
      </c>
      <c r="J2862" t="s">
        <v>118</v>
      </c>
      <c r="K2862" t="s">
        <v>42</v>
      </c>
      <c r="L2862">
        <v>15</v>
      </c>
      <c r="M2862" t="s">
        <v>1147</v>
      </c>
      <c r="N2862" t="s">
        <v>2612</v>
      </c>
    </row>
    <row r="2863" spans="1:14" x14ac:dyDescent="0.35">
      <c r="A2863" t="s">
        <v>7568</v>
      </c>
      <c r="B2863" t="s">
        <v>7569</v>
      </c>
      <c r="C2863" t="s">
        <v>69</v>
      </c>
      <c r="D2863">
        <v>68.56</v>
      </c>
      <c r="E2863">
        <v>13000</v>
      </c>
      <c r="F2863" t="s">
        <v>51</v>
      </c>
      <c r="G2863" t="s">
        <v>32</v>
      </c>
      <c r="H2863" t="s">
        <v>57</v>
      </c>
      <c r="I2863" t="s">
        <v>34</v>
      </c>
      <c r="J2863" t="s">
        <v>5612</v>
      </c>
      <c r="K2863" t="s">
        <v>147</v>
      </c>
      <c r="L2863">
        <v>21</v>
      </c>
      <c r="M2863" t="s">
        <v>1072</v>
      </c>
      <c r="N2863" t="s">
        <v>4085</v>
      </c>
    </row>
    <row r="2864" spans="1:14" x14ac:dyDescent="0.35">
      <c r="A2864" t="s">
        <v>7570</v>
      </c>
      <c r="B2864" t="s">
        <v>7571</v>
      </c>
      <c r="C2864" t="s">
        <v>116</v>
      </c>
      <c r="D2864">
        <v>11.85</v>
      </c>
      <c r="E2864">
        <v>500</v>
      </c>
      <c r="F2864" t="s">
        <v>117</v>
      </c>
      <c r="G2864" t="s">
        <v>32</v>
      </c>
      <c r="H2864" t="s">
        <v>43</v>
      </c>
      <c r="I2864" t="s">
        <v>129</v>
      </c>
      <c r="J2864" t="s">
        <v>164</v>
      </c>
      <c r="K2864" t="s">
        <v>74</v>
      </c>
      <c r="L2864">
        <v>15</v>
      </c>
      <c r="M2864" t="s">
        <v>462</v>
      </c>
      <c r="N2864" t="s">
        <v>38</v>
      </c>
    </row>
    <row r="2865" spans="1:14" x14ac:dyDescent="0.35">
      <c r="A2865" t="s">
        <v>7572</v>
      </c>
      <c r="B2865" t="s">
        <v>7573</v>
      </c>
      <c r="C2865" t="s">
        <v>69</v>
      </c>
      <c r="D2865">
        <v>66.34</v>
      </c>
      <c r="E2865">
        <v>75000</v>
      </c>
      <c r="F2865" t="s">
        <v>117</v>
      </c>
      <c r="G2865" t="s">
        <v>32</v>
      </c>
      <c r="H2865" t="s">
        <v>43</v>
      </c>
      <c r="I2865" t="s">
        <v>34</v>
      </c>
      <c r="J2865" t="s">
        <v>810</v>
      </c>
      <c r="K2865" t="s">
        <v>139</v>
      </c>
      <c r="L2865">
        <v>12</v>
      </c>
      <c r="M2865" t="s">
        <v>847</v>
      </c>
      <c r="N2865" t="s">
        <v>6330</v>
      </c>
    </row>
    <row r="2866" spans="1:14" x14ac:dyDescent="0.35">
      <c r="A2866" t="s">
        <v>7574</v>
      </c>
      <c r="B2866" t="s">
        <v>7575</v>
      </c>
      <c r="C2866" t="s">
        <v>41</v>
      </c>
      <c r="D2866">
        <v>98.85</v>
      </c>
      <c r="E2866">
        <v>35000</v>
      </c>
      <c r="F2866" t="s">
        <v>51</v>
      </c>
      <c r="G2866" t="s">
        <v>32</v>
      </c>
      <c r="H2866" t="s">
        <v>33</v>
      </c>
      <c r="J2866" t="s">
        <v>35</v>
      </c>
      <c r="K2866" t="s">
        <v>36</v>
      </c>
      <c r="L2866">
        <v>15</v>
      </c>
      <c r="M2866" t="s">
        <v>184</v>
      </c>
      <c r="N2866" t="s">
        <v>220</v>
      </c>
    </row>
    <row r="2867" spans="1:14" x14ac:dyDescent="0.35">
      <c r="A2867" t="s">
        <v>7576</v>
      </c>
      <c r="B2867" t="s">
        <v>7577</v>
      </c>
      <c r="C2867" t="s">
        <v>116</v>
      </c>
      <c r="D2867">
        <v>7.67</v>
      </c>
      <c r="E2867">
        <v>200</v>
      </c>
      <c r="F2867" t="s">
        <v>147</v>
      </c>
      <c r="G2867" t="s">
        <v>32</v>
      </c>
      <c r="H2867" t="s">
        <v>43</v>
      </c>
      <c r="I2867" t="s">
        <v>44</v>
      </c>
      <c r="J2867" t="s">
        <v>118</v>
      </c>
      <c r="K2867" t="s">
        <v>42</v>
      </c>
      <c r="L2867">
        <v>14</v>
      </c>
      <c r="M2867" t="s">
        <v>2186</v>
      </c>
      <c r="N2867" t="s">
        <v>3897</v>
      </c>
    </row>
    <row r="2868" spans="1:14" x14ac:dyDescent="0.35">
      <c r="A2868" t="s">
        <v>7578</v>
      </c>
      <c r="B2868" t="s">
        <v>7579</v>
      </c>
      <c r="C2868" t="s">
        <v>30</v>
      </c>
      <c r="D2868">
        <v>163.69999999999999</v>
      </c>
      <c r="E2868">
        <v>10000</v>
      </c>
      <c r="F2868" t="s">
        <v>106</v>
      </c>
      <c r="G2868" t="s">
        <v>32</v>
      </c>
      <c r="H2868" t="s">
        <v>43</v>
      </c>
      <c r="I2868" t="s">
        <v>44</v>
      </c>
      <c r="J2868" t="s">
        <v>107</v>
      </c>
      <c r="K2868" t="s">
        <v>87</v>
      </c>
      <c r="L2868">
        <v>12</v>
      </c>
      <c r="N2868" t="s">
        <v>4505</v>
      </c>
    </row>
    <row r="2869" spans="1:14" x14ac:dyDescent="0.35">
      <c r="A2869" t="s">
        <v>7580</v>
      </c>
      <c r="B2869" t="s">
        <v>7581</v>
      </c>
      <c r="C2869" t="s">
        <v>30</v>
      </c>
      <c r="D2869">
        <v>187.12</v>
      </c>
      <c r="E2869">
        <v>2000</v>
      </c>
      <c r="F2869" t="s">
        <v>139</v>
      </c>
      <c r="G2869" t="s">
        <v>32</v>
      </c>
      <c r="H2869" t="s">
        <v>57</v>
      </c>
      <c r="J2869" t="s">
        <v>130</v>
      </c>
      <c r="K2869" t="s">
        <v>123</v>
      </c>
      <c r="L2869">
        <v>4</v>
      </c>
      <c r="M2869" t="s">
        <v>1476</v>
      </c>
      <c r="N2869" t="s">
        <v>1376</v>
      </c>
    </row>
    <row r="2870" spans="1:14" x14ac:dyDescent="0.35">
      <c r="A2870" t="s">
        <v>7582</v>
      </c>
      <c r="B2870" t="s">
        <v>7583</v>
      </c>
      <c r="C2870" t="s">
        <v>116</v>
      </c>
      <c r="D2870">
        <v>11.41</v>
      </c>
      <c r="E2870">
        <v>100</v>
      </c>
      <c r="F2870" t="s">
        <v>74</v>
      </c>
      <c r="G2870" t="s">
        <v>32</v>
      </c>
      <c r="H2870" t="s">
        <v>57</v>
      </c>
      <c r="I2870" t="s">
        <v>44</v>
      </c>
      <c r="J2870" t="s">
        <v>235</v>
      </c>
      <c r="K2870" t="s">
        <v>236</v>
      </c>
      <c r="L2870">
        <v>2</v>
      </c>
      <c r="N2870" t="s">
        <v>5491</v>
      </c>
    </row>
    <row r="2871" spans="1:14" x14ac:dyDescent="0.35">
      <c r="A2871" t="s">
        <v>7584</v>
      </c>
      <c r="B2871" t="s">
        <v>7585</v>
      </c>
      <c r="C2871" t="s">
        <v>81</v>
      </c>
      <c r="D2871">
        <v>112.24</v>
      </c>
      <c r="E2871">
        <v>8000</v>
      </c>
      <c r="F2871" t="s">
        <v>139</v>
      </c>
      <c r="G2871" t="s">
        <v>32</v>
      </c>
      <c r="H2871" t="s">
        <v>57</v>
      </c>
      <c r="J2871" t="s">
        <v>118</v>
      </c>
      <c r="K2871" t="s">
        <v>42</v>
      </c>
      <c r="L2871">
        <v>6</v>
      </c>
      <c r="M2871" t="s">
        <v>2607</v>
      </c>
      <c r="N2871" t="s">
        <v>7586</v>
      </c>
    </row>
    <row r="2872" spans="1:14" x14ac:dyDescent="0.35">
      <c r="A2872" t="s">
        <v>7587</v>
      </c>
      <c r="B2872" t="s">
        <v>7588</v>
      </c>
      <c r="C2872" t="s">
        <v>30</v>
      </c>
      <c r="D2872">
        <v>105.13</v>
      </c>
      <c r="E2872">
        <v>6000</v>
      </c>
      <c r="F2872" t="s">
        <v>51</v>
      </c>
      <c r="G2872" t="s">
        <v>32</v>
      </c>
      <c r="H2872" t="s">
        <v>43</v>
      </c>
      <c r="I2872" t="s">
        <v>34</v>
      </c>
      <c r="J2872" t="s">
        <v>316</v>
      </c>
      <c r="K2872" t="s">
        <v>97</v>
      </c>
      <c r="L2872">
        <v>11</v>
      </c>
      <c r="N2872" t="s">
        <v>2800</v>
      </c>
    </row>
    <row r="2873" spans="1:14" x14ac:dyDescent="0.35">
      <c r="A2873" t="s">
        <v>7589</v>
      </c>
      <c r="B2873" t="s">
        <v>7590</v>
      </c>
      <c r="C2873" t="s">
        <v>69</v>
      </c>
      <c r="D2873">
        <v>93.37</v>
      </c>
      <c r="E2873">
        <v>63000</v>
      </c>
      <c r="F2873" t="s">
        <v>147</v>
      </c>
      <c r="G2873" t="s">
        <v>32</v>
      </c>
      <c r="H2873" t="s">
        <v>57</v>
      </c>
      <c r="I2873" t="s">
        <v>44</v>
      </c>
      <c r="J2873" t="s">
        <v>118</v>
      </c>
      <c r="K2873" t="s">
        <v>42</v>
      </c>
      <c r="L2873">
        <v>8</v>
      </c>
      <c r="M2873" t="s">
        <v>1984</v>
      </c>
      <c r="N2873" t="s">
        <v>5392</v>
      </c>
    </row>
    <row r="2874" spans="1:14" x14ac:dyDescent="0.35">
      <c r="A2874" t="s">
        <v>7591</v>
      </c>
      <c r="B2874" t="s">
        <v>7592</v>
      </c>
      <c r="C2874" t="s">
        <v>81</v>
      </c>
      <c r="D2874">
        <v>86.06</v>
      </c>
      <c r="E2874">
        <v>4000</v>
      </c>
      <c r="F2874" t="s">
        <v>51</v>
      </c>
      <c r="G2874" t="s">
        <v>32</v>
      </c>
      <c r="H2874" t="s">
        <v>57</v>
      </c>
      <c r="I2874" t="s">
        <v>44</v>
      </c>
      <c r="J2874" t="s">
        <v>75</v>
      </c>
      <c r="K2874" t="s">
        <v>76</v>
      </c>
      <c r="L2874">
        <v>9</v>
      </c>
      <c r="M2874" t="s">
        <v>1032</v>
      </c>
      <c r="N2874" t="s">
        <v>1598</v>
      </c>
    </row>
    <row r="2875" spans="1:14" x14ac:dyDescent="0.35">
      <c r="A2875" t="s">
        <v>7593</v>
      </c>
      <c r="B2875" t="s">
        <v>7594</v>
      </c>
      <c r="C2875" t="s">
        <v>30</v>
      </c>
      <c r="D2875">
        <v>166.78</v>
      </c>
      <c r="E2875">
        <v>18000</v>
      </c>
      <c r="F2875" t="s">
        <v>87</v>
      </c>
      <c r="G2875" t="s">
        <v>32</v>
      </c>
      <c r="H2875" t="s">
        <v>57</v>
      </c>
      <c r="I2875" t="s">
        <v>44</v>
      </c>
      <c r="J2875" t="s">
        <v>107</v>
      </c>
      <c r="K2875" t="s">
        <v>87</v>
      </c>
      <c r="L2875">
        <v>10</v>
      </c>
      <c r="N2875" t="s">
        <v>2317</v>
      </c>
    </row>
    <row r="2876" spans="1:14" x14ac:dyDescent="0.35">
      <c r="A2876" t="s">
        <v>7595</v>
      </c>
      <c r="B2876" t="s">
        <v>7596</v>
      </c>
      <c r="C2876" t="s">
        <v>69</v>
      </c>
      <c r="D2876">
        <v>62.62</v>
      </c>
      <c r="E2876">
        <v>37000</v>
      </c>
      <c r="F2876" t="s">
        <v>42</v>
      </c>
      <c r="G2876" t="s">
        <v>32</v>
      </c>
      <c r="H2876" t="s">
        <v>43</v>
      </c>
      <c r="I2876" t="s">
        <v>44</v>
      </c>
      <c r="J2876" t="s">
        <v>63</v>
      </c>
      <c r="K2876" t="s">
        <v>64</v>
      </c>
      <c r="L2876">
        <v>3</v>
      </c>
      <c r="M2876" t="s">
        <v>131</v>
      </c>
      <c r="N2876" t="s">
        <v>3678</v>
      </c>
    </row>
    <row r="2877" spans="1:14" x14ac:dyDescent="0.35">
      <c r="A2877" t="s">
        <v>7597</v>
      </c>
      <c r="B2877" t="s">
        <v>7598</v>
      </c>
      <c r="C2877" t="s">
        <v>81</v>
      </c>
      <c r="D2877">
        <v>106.01</v>
      </c>
      <c r="E2877">
        <v>3000</v>
      </c>
      <c r="F2877" t="s">
        <v>64</v>
      </c>
      <c r="G2877" t="s">
        <v>32</v>
      </c>
      <c r="H2877" t="s">
        <v>33</v>
      </c>
      <c r="J2877" t="s">
        <v>45</v>
      </c>
      <c r="K2877" t="s">
        <v>46</v>
      </c>
      <c r="L2877">
        <v>9</v>
      </c>
      <c r="M2877" t="s">
        <v>3686</v>
      </c>
      <c r="N2877" t="s">
        <v>5539</v>
      </c>
    </row>
    <row r="2878" spans="1:14" x14ac:dyDescent="0.35">
      <c r="A2878" t="s">
        <v>7599</v>
      </c>
      <c r="B2878" t="s">
        <v>7600</v>
      </c>
      <c r="C2878" t="s">
        <v>41</v>
      </c>
      <c r="D2878">
        <v>158.16</v>
      </c>
      <c r="E2878">
        <v>27000</v>
      </c>
      <c r="F2878" t="s">
        <v>139</v>
      </c>
      <c r="G2878" t="s">
        <v>32</v>
      </c>
      <c r="H2878" t="s">
        <v>43</v>
      </c>
      <c r="I2878" t="s">
        <v>129</v>
      </c>
      <c r="J2878" t="s">
        <v>7601</v>
      </c>
      <c r="K2878" t="s">
        <v>139</v>
      </c>
      <c r="L2878">
        <v>13</v>
      </c>
      <c r="M2878" t="s">
        <v>2043</v>
      </c>
      <c r="N2878" t="s">
        <v>1131</v>
      </c>
    </row>
    <row r="2879" spans="1:14" x14ac:dyDescent="0.35">
      <c r="A2879" t="s">
        <v>7602</v>
      </c>
      <c r="B2879" t="s">
        <v>7603</v>
      </c>
      <c r="C2879" t="s">
        <v>62</v>
      </c>
      <c r="D2879">
        <v>50.33</v>
      </c>
      <c r="E2879">
        <v>3000</v>
      </c>
      <c r="F2879" t="s">
        <v>64</v>
      </c>
      <c r="G2879" t="s">
        <v>32</v>
      </c>
      <c r="H2879" t="s">
        <v>33</v>
      </c>
      <c r="I2879" t="s">
        <v>129</v>
      </c>
      <c r="J2879" t="s">
        <v>118</v>
      </c>
      <c r="K2879" t="s">
        <v>42</v>
      </c>
      <c r="L2879">
        <v>16</v>
      </c>
      <c r="M2879" t="s">
        <v>5237</v>
      </c>
      <c r="N2879" t="s">
        <v>3189</v>
      </c>
    </row>
    <row r="2880" spans="1:14" x14ac:dyDescent="0.35">
      <c r="A2880" t="s">
        <v>7604</v>
      </c>
      <c r="B2880" t="s">
        <v>7605</v>
      </c>
      <c r="C2880" t="s">
        <v>30</v>
      </c>
      <c r="D2880">
        <v>184.61</v>
      </c>
      <c r="E2880">
        <v>5000</v>
      </c>
      <c r="F2880" t="s">
        <v>64</v>
      </c>
      <c r="G2880" t="s">
        <v>32</v>
      </c>
      <c r="H2880" t="s">
        <v>33</v>
      </c>
      <c r="J2880" t="s">
        <v>112</v>
      </c>
      <c r="K2880" t="s">
        <v>106</v>
      </c>
      <c r="L2880">
        <v>21</v>
      </c>
      <c r="N2880" t="s">
        <v>1065</v>
      </c>
    </row>
    <row r="2881" spans="1:14" x14ac:dyDescent="0.35">
      <c r="A2881" t="s">
        <v>7606</v>
      </c>
      <c r="B2881" t="s">
        <v>7607</v>
      </c>
      <c r="C2881" t="s">
        <v>69</v>
      </c>
      <c r="D2881">
        <v>68.89</v>
      </c>
      <c r="E2881">
        <v>98000</v>
      </c>
      <c r="F2881" t="s">
        <v>97</v>
      </c>
      <c r="G2881" t="s">
        <v>32</v>
      </c>
      <c r="H2881" t="s">
        <v>57</v>
      </c>
      <c r="I2881" t="s">
        <v>129</v>
      </c>
      <c r="J2881" t="s">
        <v>2549</v>
      </c>
      <c r="K2881" t="s">
        <v>147</v>
      </c>
      <c r="L2881">
        <v>16</v>
      </c>
      <c r="N2881" t="s">
        <v>4338</v>
      </c>
    </row>
    <row r="2882" spans="1:14" x14ac:dyDescent="0.35">
      <c r="A2882" t="s">
        <v>7608</v>
      </c>
      <c r="B2882" t="s">
        <v>7609</v>
      </c>
      <c r="C2882" t="s">
        <v>81</v>
      </c>
      <c r="D2882">
        <v>113.14</v>
      </c>
      <c r="E2882">
        <v>4000</v>
      </c>
      <c r="F2882" t="s">
        <v>236</v>
      </c>
      <c r="G2882" t="s">
        <v>32</v>
      </c>
      <c r="H2882" t="s">
        <v>43</v>
      </c>
      <c r="I2882" t="s">
        <v>34</v>
      </c>
      <c r="J2882" t="s">
        <v>235</v>
      </c>
      <c r="K2882" t="s">
        <v>236</v>
      </c>
      <c r="L2882">
        <v>22</v>
      </c>
      <c r="N2882" t="s">
        <v>7610</v>
      </c>
    </row>
    <row r="2883" spans="1:14" x14ac:dyDescent="0.35">
      <c r="A2883" t="s">
        <v>7611</v>
      </c>
      <c r="B2883" t="s">
        <v>7612</v>
      </c>
      <c r="C2883" t="s">
        <v>116</v>
      </c>
      <c r="D2883">
        <v>6.13</v>
      </c>
      <c r="E2883">
        <v>300</v>
      </c>
      <c r="F2883" t="s">
        <v>46</v>
      </c>
      <c r="G2883" t="s">
        <v>32</v>
      </c>
      <c r="H2883" t="s">
        <v>33</v>
      </c>
      <c r="I2883" t="s">
        <v>34</v>
      </c>
      <c r="J2883" t="s">
        <v>63</v>
      </c>
      <c r="K2883" t="s">
        <v>64</v>
      </c>
      <c r="L2883">
        <v>0</v>
      </c>
      <c r="M2883" t="s">
        <v>2257</v>
      </c>
      <c r="N2883" t="s">
        <v>152</v>
      </c>
    </row>
    <row r="2884" spans="1:14" x14ac:dyDescent="0.35">
      <c r="A2884" t="s">
        <v>7613</v>
      </c>
      <c r="B2884" t="s">
        <v>7614</v>
      </c>
      <c r="C2884" t="s">
        <v>41</v>
      </c>
      <c r="D2884">
        <v>113.45</v>
      </c>
      <c r="E2884">
        <v>10000</v>
      </c>
      <c r="F2884" t="s">
        <v>117</v>
      </c>
      <c r="G2884" t="s">
        <v>32</v>
      </c>
      <c r="H2884" t="s">
        <v>43</v>
      </c>
      <c r="I2884" t="s">
        <v>44</v>
      </c>
      <c r="J2884" t="s">
        <v>107</v>
      </c>
      <c r="K2884" t="s">
        <v>87</v>
      </c>
      <c r="L2884">
        <v>18</v>
      </c>
      <c r="M2884" t="s">
        <v>1072</v>
      </c>
      <c r="N2884" t="s">
        <v>1372</v>
      </c>
    </row>
    <row r="2885" spans="1:14" x14ac:dyDescent="0.35">
      <c r="A2885" t="s">
        <v>7615</v>
      </c>
      <c r="B2885" t="s">
        <v>7616</v>
      </c>
      <c r="C2885" t="s">
        <v>30</v>
      </c>
      <c r="D2885">
        <v>196.94</v>
      </c>
      <c r="E2885">
        <v>19000</v>
      </c>
      <c r="F2885" t="s">
        <v>51</v>
      </c>
      <c r="G2885" t="s">
        <v>32</v>
      </c>
      <c r="H2885" t="s">
        <v>57</v>
      </c>
      <c r="I2885" t="s">
        <v>44</v>
      </c>
      <c r="J2885" t="s">
        <v>107</v>
      </c>
      <c r="K2885" t="s">
        <v>87</v>
      </c>
      <c r="L2885">
        <v>16</v>
      </c>
      <c r="N2885" t="s">
        <v>1717</v>
      </c>
    </row>
    <row r="2886" spans="1:14" x14ac:dyDescent="0.35">
      <c r="A2886" t="s">
        <v>7617</v>
      </c>
      <c r="B2886" t="s">
        <v>7618</v>
      </c>
      <c r="C2886" t="s">
        <v>81</v>
      </c>
      <c r="D2886">
        <v>134.6</v>
      </c>
      <c r="E2886">
        <v>5000</v>
      </c>
      <c r="F2886" t="s">
        <v>97</v>
      </c>
      <c r="G2886" t="s">
        <v>102</v>
      </c>
      <c r="H2886" t="s">
        <v>57</v>
      </c>
      <c r="J2886" t="s">
        <v>991</v>
      </c>
      <c r="K2886" t="s">
        <v>147</v>
      </c>
      <c r="L2886">
        <v>13</v>
      </c>
      <c r="M2886" t="s">
        <v>4549</v>
      </c>
      <c r="N2886" t="s">
        <v>1100</v>
      </c>
    </row>
    <row r="2887" spans="1:14" x14ac:dyDescent="0.35">
      <c r="A2887" t="s">
        <v>7619</v>
      </c>
      <c r="B2887" t="s">
        <v>7620</v>
      </c>
      <c r="C2887" t="s">
        <v>30</v>
      </c>
      <c r="D2887">
        <v>125.61</v>
      </c>
      <c r="E2887">
        <v>3000</v>
      </c>
      <c r="F2887" t="s">
        <v>117</v>
      </c>
      <c r="G2887" t="s">
        <v>32</v>
      </c>
      <c r="H2887" t="s">
        <v>43</v>
      </c>
      <c r="I2887" t="s">
        <v>34</v>
      </c>
      <c r="J2887" t="s">
        <v>107</v>
      </c>
      <c r="K2887" t="s">
        <v>87</v>
      </c>
      <c r="L2887">
        <v>12</v>
      </c>
      <c r="N2887" t="s">
        <v>851</v>
      </c>
    </row>
    <row r="2888" spans="1:14" x14ac:dyDescent="0.35">
      <c r="A2888" t="s">
        <v>7621</v>
      </c>
      <c r="B2888" t="s">
        <v>7622</v>
      </c>
      <c r="C2888" t="s">
        <v>81</v>
      </c>
      <c r="D2888">
        <v>122.52</v>
      </c>
      <c r="E2888">
        <v>5000</v>
      </c>
      <c r="F2888" t="s">
        <v>64</v>
      </c>
      <c r="G2888" t="s">
        <v>32</v>
      </c>
      <c r="H2888" t="s">
        <v>57</v>
      </c>
      <c r="I2888" t="s">
        <v>129</v>
      </c>
      <c r="J2888" t="s">
        <v>35</v>
      </c>
      <c r="K2888" t="s">
        <v>36</v>
      </c>
      <c r="L2888">
        <v>17</v>
      </c>
      <c r="M2888" t="s">
        <v>1265</v>
      </c>
      <c r="N2888" t="s">
        <v>313</v>
      </c>
    </row>
    <row r="2889" spans="1:14" x14ac:dyDescent="0.35">
      <c r="A2889" t="s">
        <v>7623</v>
      </c>
      <c r="B2889" t="s">
        <v>7624</v>
      </c>
      <c r="C2889" t="s">
        <v>81</v>
      </c>
      <c r="D2889">
        <v>114.63</v>
      </c>
      <c r="E2889">
        <v>2000</v>
      </c>
      <c r="F2889" t="s">
        <v>117</v>
      </c>
      <c r="G2889" t="s">
        <v>32</v>
      </c>
      <c r="H2889" t="s">
        <v>57</v>
      </c>
      <c r="I2889" t="s">
        <v>129</v>
      </c>
      <c r="J2889" t="s">
        <v>283</v>
      </c>
      <c r="K2889" t="s">
        <v>139</v>
      </c>
      <c r="L2889">
        <v>3</v>
      </c>
      <c r="N2889" t="s">
        <v>4338</v>
      </c>
    </row>
    <row r="2890" spans="1:14" x14ac:dyDescent="0.35">
      <c r="A2890" t="s">
        <v>7625</v>
      </c>
      <c r="B2890" t="s">
        <v>7626</v>
      </c>
      <c r="C2890" t="s">
        <v>62</v>
      </c>
      <c r="D2890">
        <v>54.79</v>
      </c>
      <c r="E2890">
        <v>2000</v>
      </c>
      <c r="F2890" t="s">
        <v>87</v>
      </c>
      <c r="G2890" t="s">
        <v>32</v>
      </c>
      <c r="H2890" t="s">
        <v>33</v>
      </c>
      <c r="I2890" t="s">
        <v>44</v>
      </c>
      <c r="J2890" t="s">
        <v>63</v>
      </c>
      <c r="K2890" t="s">
        <v>64</v>
      </c>
      <c r="L2890">
        <v>2</v>
      </c>
      <c r="M2890" t="s">
        <v>1828</v>
      </c>
      <c r="N2890" t="s">
        <v>3559</v>
      </c>
    </row>
    <row r="2891" spans="1:14" x14ac:dyDescent="0.35">
      <c r="A2891" t="s">
        <v>7627</v>
      </c>
      <c r="B2891" t="s">
        <v>7628</v>
      </c>
      <c r="C2891" t="s">
        <v>116</v>
      </c>
      <c r="D2891">
        <v>11.79</v>
      </c>
      <c r="E2891">
        <v>700</v>
      </c>
      <c r="F2891" t="s">
        <v>236</v>
      </c>
      <c r="G2891" t="s">
        <v>32</v>
      </c>
      <c r="H2891" t="s">
        <v>33</v>
      </c>
      <c r="I2891" t="s">
        <v>34</v>
      </c>
      <c r="J2891" t="s">
        <v>1452</v>
      </c>
      <c r="K2891" t="s">
        <v>42</v>
      </c>
      <c r="L2891">
        <v>6</v>
      </c>
      <c r="N2891" t="s">
        <v>625</v>
      </c>
    </row>
    <row r="2892" spans="1:14" x14ac:dyDescent="0.35">
      <c r="A2892" t="s">
        <v>7629</v>
      </c>
      <c r="B2892" t="s">
        <v>7630</v>
      </c>
      <c r="C2892" t="s">
        <v>81</v>
      </c>
      <c r="D2892">
        <v>101.27</v>
      </c>
      <c r="E2892">
        <v>5000</v>
      </c>
      <c r="F2892" t="s">
        <v>97</v>
      </c>
      <c r="G2892" t="s">
        <v>32</v>
      </c>
      <c r="H2892" t="s">
        <v>33</v>
      </c>
      <c r="I2892" t="s">
        <v>34</v>
      </c>
      <c r="J2892" t="s">
        <v>179</v>
      </c>
      <c r="K2892" t="s">
        <v>97</v>
      </c>
      <c r="L2892">
        <v>0</v>
      </c>
      <c r="N2892" t="s">
        <v>7631</v>
      </c>
    </row>
    <row r="2893" spans="1:14" x14ac:dyDescent="0.35">
      <c r="A2893" t="s">
        <v>7632</v>
      </c>
      <c r="B2893" t="s">
        <v>7633</v>
      </c>
      <c r="C2893" t="s">
        <v>62</v>
      </c>
      <c r="D2893">
        <v>56.59</v>
      </c>
      <c r="E2893">
        <v>4000</v>
      </c>
      <c r="F2893" t="s">
        <v>46</v>
      </c>
      <c r="G2893" t="s">
        <v>32</v>
      </c>
      <c r="H2893" t="s">
        <v>57</v>
      </c>
      <c r="I2893" t="s">
        <v>44</v>
      </c>
      <c r="J2893" t="s">
        <v>63</v>
      </c>
      <c r="K2893" t="s">
        <v>64</v>
      </c>
      <c r="L2893">
        <v>15</v>
      </c>
      <c r="M2893" t="s">
        <v>398</v>
      </c>
      <c r="N2893" t="s">
        <v>5354</v>
      </c>
    </row>
    <row r="2894" spans="1:14" x14ac:dyDescent="0.35">
      <c r="A2894" t="s">
        <v>7634</v>
      </c>
      <c r="B2894" t="s">
        <v>7635</v>
      </c>
      <c r="C2894" t="s">
        <v>30</v>
      </c>
      <c r="D2894">
        <v>126.46</v>
      </c>
      <c r="E2894">
        <v>5000</v>
      </c>
      <c r="F2894" t="s">
        <v>123</v>
      </c>
      <c r="G2894" t="s">
        <v>102</v>
      </c>
      <c r="H2894" t="s">
        <v>43</v>
      </c>
      <c r="I2894" t="s">
        <v>129</v>
      </c>
      <c r="J2894" t="s">
        <v>334</v>
      </c>
      <c r="K2894" t="s">
        <v>51</v>
      </c>
      <c r="L2894">
        <v>18</v>
      </c>
      <c r="M2894" t="s">
        <v>2996</v>
      </c>
      <c r="N2894" t="s">
        <v>7241</v>
      </c>
    </row>
    <row r="2895" spans="1:14" x14ac:dyDescent="0.35">
      <c r="A2895" t="s">
        <v>7636</v>
      </c>
      <c r="B2895" t="s">
        <v>7637</v>
      </c>
      <c r="C2895" t="s">
        <v>69</v>
      </c>
      <c r="D2895">
        <v>95.94</v>
      </c>
      <c r="E2895">
        <v>26000</v>
      </c>
      <c r="F2895" t="s">
        <v>46</v>
      </c>
      <c r="G2895" t="s">
        <v>32</v>
      </c>
      <c r="H2895" t="s">
        <v>43</v>
      </c>
      <c r="I2895" t="s">
        <v>44</v>
      </c>
      <c r="J2895" t="s">
        <v>683</v>
      </c>
      <c r="K2895" t="s">
        <v>97</v>
      </c>
      <c r="L2895">
        <v>19</v>
      </c>
      <c r="N2895" t="s">
        <v>7638</v>
      </c>
    </row>
    <row r="2896" spans="1:14" x14ac:dyDescent="0.35">
      <c r="A2896" t="s">
        <v>7639</v>
      </c>
      <c r="B2896" t="s">
        <v>7640</v>
      </c>
      <c r="C2896" t="s">
        <v>62</v>
      </c>
      <c r="D2896">
        <v>89.63</v>
      </c>
      <c r="E2896">
        <v>2000</v>
      </c>
      <c r="F2896" t="s">
        <v>106</v>
      </c>
      <c r="G2896" t="s">
        <v>32</v>
      </c>
      <c r="H2896" t="s">
        <v>57</v>
      </c>
      <c r="I2896" t="s">
        <v>44</v>
      </c>
      <c r="J2896" t="s">
        <v>75</v>
      </c>
      <c r="K2896" t="s">
        <v>76</v>
      </c>
      <c r="L2896">
        <v>12</v>
      </c>
      <c r="M2896" t="s">
        <v>4774</v>
      </c>
      <c r="N2896" t="s">
        <v>7641</v>
      </c>
    </row>
    <row r="2897" spans="1:14" x14ac:dyDescent="0.35">
      <c r="A2897" t="s">
        <v>7642</v>
      </c>
      <c r="B2897" t="s">
        <v>7643</v>
      </c>
      <c r="C2897" t="s">
        <v>116</v>
      </c>
      <c r="D2897">
        <v>7.11</v>
      </c>
      <c r="E2897">
        <v>700</v>
      </c>
      <c r="F2897" t="s">
        <v>147</v>
      </c>
      <c r="G2897" t="s">
        <v>32</v>
      </c>
      <c r="H2897" t="s">
        <v>57</v>
      </c>
      <c r="I2897" t="s">
        <v>44</v>
      </c>
      <c r="J2897" t="s">
        <v>63</v>
      </c>
      <c r="K2897" t="s">
        <v>64</v>
      </c>
      <c r="L2897">
        <v>20</v>
      </c>
      <c r="M2897" t="s">
        <v>574</v>
      </c>
      <c r="N2897" t="s">
        <v>4338</v>
      </c>
    </row>
    <row r="2898" spans="1:14" x14ac:dyDescent="0.35">
      <c r="A2898" t="s">
        <v>7644</v>
      </c>
      <c r="B2898" t="s">
        <v>7645</v>
      </c>
      <c r="C2898" t="s">
        <v>62</v>
      </c>
      <c r="D2898">
        <v>72</v>
      </c>
      <c r="E2898">
        <v>1000</v>
      </c>
      <c r="F2898" t="s">
        <v>42</v>
      </c>
      <c r="G2898" t="s">
        <v>32</v>
      </c>
      <c r="H2898" t="s">
        <v>43</v>
      </c>
      <c r="I2898" t="s">
        <v>44</v>
      </c>
      <c r="J2898" t="s">
        <v>130</v>
      </c>
      <c r="K2898" t="s">
        <v>123</v>
      </c>
      <c r="L2898">
        <v>19</v>
      </c>
      <c r="N2898" t="s">
        <v>152</v>
      </c>
    </row>
    <row r="2899" spans="1:14" x14ac:dyDescent="0.35">
      <c r="A2899" t="s">
        <v>7646</v>
      </c>
      <c r="B2899" t="s">
        <v>7647</v>
      </c>
      <c r="C2899" t="s">
        <v>41</v>
      </c>
      <c r="D2899">
        <v>91.34</v>
      </c>
      <c r="E2899">
        <v>12000</v>
      </c>
      <c r="F2899" t="s">
        <v>97</v>
      </c>
      <c r="G2899" t="s">
        <v>32</v>
      </c>
      <c r="H2899" t="s">
        <v>43</v>
      </c>
      <c r="I2899" t="s">
        <v>129</v>
      </c>
      <c r="J2899" t="s">
        <v>7648</v>
      </c>
      <c r="K2899" t="s">
        <v>139</v>
      </c>
      <c r="L2899">
        <v>18</v>
      </c>
      <c r="M2899" t="s">
        <v>148</v>
      </c>
      <c r="N2899" t="s">
        <v>259</v>
      </c>
    </row>
    <row r="2900" spans="1:14" x14ac:dyDescent="0.35">
      <c r="A2900" t="s">
        <v>7649</v>
      </c>
      <c r="B2900" t="s">
        <v>7650</v>
      </c>
      <c r="C2900" t="s">
        <v>81</v>
      </c>
      <c r="D2900">
        <v>118.98</v>
      </c>
      <c r="E2900">
        <v>10000</v>
      </c>
      <c r="F2900" t="s">
        <v>31</v>
      </c>
      <c r="G2900" t="s">
        <v>32</v>
      </c>
      <c r="H2900" t="s">
        <v>43</v>
      </c>
      <c r="J2900" t="s">
        <v>209</v>
      </c>
      <c r="K2900" t="s">
        <v>74</v>
      </c>
      <c r="L2900">
        <v>4</v>
      </c>
      <c r="M2900" t="s">
        <v>2960</v>
      </c>
      <c r="N2900" t="s">
        <v>1750</v>
      </c>
    </row>
    <row r="2901" spans="1:14" x14ac:dyDescent="0.35">
      <c r="A2901" t="s">
        <v>7651</v>
      </c>
      <c r="B2901" t="s">
        <v>7652</v>
      </c>
      <c r="C2901" t="s">
        <v>81</v>
      </c>
      <c r="D2901">
        <v>85.8</v>
      </c>
      <c r="E2901">
        <v>7000</v>
      </c>
      <c r="F2901" t="s">
        <v>147</v>
      </c>
      <c r="G2901" t="s">
        <v>32</v>
      </c>
      <c r="H2901" t="s">
        <v>43</v>
      </c>
      <c r="I2901" t="s">
        <v>44</v>
      </c>
      <c r="J2901" t="s">
        <v>107</v>
      </c>
      <c r="K2901" t="s">
        <v>87</v>
      </c>
      <c r="L2901">
        <v>11</v>
      </c>
      <c r="M2901" t="s">
        <v>2723</v>
      </c>
      <c r="N2901" t="s">
        <v>4158</v>
      </c>
    </row>
    <row r="2902" spans="1:14" x14ac:dyDescent="0.35">
      <c r="A2902" t="s">
        <v>7653</v>
      </c>
      <c r="B2902" t="s">
        <v>4996</v>
      </c>
      <c r="C2902" t="s">
        <v>41</v>
      </c>
      <c r="D2902">
        <v>152.13</v>
      </c>
      <c r="E2902">
        <v>10000</v>
      </c>
      <c r="F2902" t="s">
        <v>42</v>
      </c>
      <c r="G2902" t="s">
        <v>32</v>
      </c>
      <c r="H2902" t="s">
        <v>57</v>
      </c>
      <c r="I2902" t="s">
        <v>44</v>
      </c>
      <c r="J2902" t="s">
        <v>63</v>
      </c>
      <c r="K2902" t="s">
        <v>64</v>
      </c>
      <c r="L2902">
        <v>16</v>
      </c>
      <c r="N2902" t="s">
        <v>6340</v>
      </c>
    </row>
    <row r="2903" spans="1:14" x14ac:dyDescent="0.35">
      <c r="A2903" t="s">
        <v>7654</v>
      </c>
      <c r="B2903" t="s">
        <v>7655</v>
      </c>
      <c r="C2903" t="s">
        <v>30</v>
      </c>
      <c r="D2903">
        <v>154.85</v>
      </c>
      <c r="E2903">
        <v>10000</v>
      </c>
      <c r="F2903" t="s">
        <v>46</v>
      </c>
      <c r="G2903" t="s">
        <v>32</v>
      </c>
      <c r="H2903" t="s">
        <v>33</v>
      </c>
      <c r="J2903" t="s">
        <v>35</v>
      </c>
      <c r="K2903" t="s">
        <v>36</v>
      </c>
      <c r="L2903">
        <v>8</v>
      </c>
      <c r="M2903" t="s">
        <v>987</v>
      </c>
      <c r="N2903" t="s">
        <v>6419</v>
      </c>
    </row>
    <row r="2904" spans="1:14" x14ac:dyDescent="0.35">
      <c r="A2904" t="s">
        <v>7656</v>
      </c>
      <c r="B2904" t="s">
        <v>7657</v>
      </c>
      <c r="C2904" t="s">
        <v>69</v>
      </c>
      <c r="D2904">
        <v>92.18</v>
      </c>
      <c r="E2904">
        <v>83000</v>
      </c>
      <c r="F2904" t="s">
        <v>64</v>
      </c>
      <c r="G2904" t="s">
        <v>32</v>
      </c>
      <c r="H2904" t="s">
        <v>43</v>
      </c>
      <c r="I2904" t="s">
        <v>44</v>
      </c>
      <c r="J2904" t="s">
        <v>7658</v>
      </c>
      <c r="K2904" t="s">
        <v>42</v>
      </c>
      <c r="L2904">
        <v>18</v>
      </c>
      <c r="N2904" t="s">
        <v>2718</v>
      </c>
    </row>
    <row r="2905" spans="1:14" x14ac:dyDescent="0.35">
      <c r="A2905" t="s">
        <v>7659</v>
      </c>
      <c r="B2905" t="s">
        <v>7660</v>
      </c>
      <c r="C2905" t="s">
        <v>41</v>
      </c>
      <c r="D2905">
        <v>135</v>
      </c>
      <c r="E2905">
        <v>30000</v>
      </c>
      <c r="F2905" t="s">
        <v>76</v>
      </c>
      <c r="G2905" t="s">
        <v>32</v>
      </c>
      <c r="H2905" t="s">
        <v>57</v>
      </c>
      <c r="I2905" t="s">
        <v>34</v>
      </c>
      <c r="J2905" t="s">
        <v>118</v>
      </c>
      <c r="K2905" t="s">
        <v>42</v>
      </c>
      <c r="L2905">
        <v>17</v>
      </c>
      <c r="M2905" t="s">
        <v>346</v>
      </c>
      <c r="N2905" t="s">
        <v>4193</v>
      </c>
    </row>
    <row r="2906" spans="1:14" x14ac:dyDescent="0.35">
      <c r="A2906" t="s">
        <v>7661</v>
      </c>
      <c r="B2906" t="s">
        <v>7662</v>
      </c>
      <c r="C2906" t="s">
        <v>81</v>
      </c>
      <c r="D2906">
        <v>80.319999999999993</v>
      </c>
      <c r="E2906">
        <v>6000</v>
      </c>
      <c r="F2906" t="s">
        <v>42</v>
      </c>
      <c r="G2906" t="s">
        <v>32</v>
      </c>
      <c r="H2906" t="s">
        <v>33</v>
      </c>
      <c r="J2906" t="s">
        <v>941</v>
      </c>
      <c r="K2906" t="s">
        <v>147</v>
      </c>
      <c r="L2906">
        <v>6</v>
      </c>
      <c r="M2906" t="s">
        <v>1196</v>
      </c>
      <c r="N2906" t="s">
        <v>1764</v>
      </c>
    </row>
    <row r="2907" spans="1:14" x14ac:dyDescent="0.35">
      <c r="A2907" t="s">
        <v>7663</v>
      </c>
      <c r="B2907" t="s">
        <v>7664</v>
      </c>
      <c r="C2907" t="s">
        <v>30</v>
      </c>
      <c r="D2907">
        <v>137.26</v>
      </c>
      <c r="E2907">
        <v>10000</v>
      </c>
      <c r="F2907" t="s">
        <v>74</v>
      </c>
      <c r="G2907" t="s">
        <v>32</v>
      </c>
      <c r="H2907" t="s">
        <v>33</v>
      </c>
      <c r="I2907" t="s">
        <v>129</v>
      </c>
      <c r="J2907" t="s">
        <v>75</v>
      </c>
      <c r="K2907" t="s">
        <v>76</v>
      </c>
      <c r="L2907">
        <v>10</v>
      </c>
      <c r="N2907" t="s">
        <v>4670</v>
      </c>
    </row>
    <row r="2908" spans="1:14" x14ac:dyDescent="0.35">
      <c r="A2908" t="s">
        <v>7665</v>
      </c>
      <c r="B2908" t="s">
        <v>7666</v>
      </c>
      <c r="C2908" t="s">
        <v>62</v>
      </c>
      <c r="D2908">
        <v>63.8</v>
      </c>
      <c r="E2908">
        <v>4000</v>
      </c>
      <c r="F2908" t="s">
        <v>51</v>
      </c>
      <c r="G2908" t="s">
        <v>32</v>
      </c>
      <c r="H2908" t="s">
        <v>43</v>
      </c>
      <c r="I2908" t="s">
        <v>44</v>
      </c>
      <c r="J2908" t="s">
        <v>937</v>
      </c>
      <c r="K2908" t="s">
        <v>42</v>
      </c>
      <c r="L2908">
        <v>1</v>
      </c>
      <c r="M2908" t="s">
        <v>769</v>
      </c>
      <c r="N2908" t="s">
        <v>1610</v>
      </c>
    </row>
    <row r="2909" spans="1:14" x14ac:dyDescent="0.35">
      <c r="A2909" t="s">
        <v>7667</v>
      </c>
      <c r="B2909" t="s">
        <v>7668</v>
      </c>
      <c r="C2909" t="s">
        <v>30</v>
      </c>
      <c r="D2909">
        <v>150.06</v>
      </c>
      <c r="E2909">
        <v>18000</v>
      </c>
      <c r="F2909" t="s">
        <v>31</v>
      </c>
      <c r="G2909" t="s">
        <v>32</v>
      </c>
      <c r="H2909" t="s">
        <v>43</v>
      </c>
      <c r="I2909" t="s">
        <v>34</v>
      </c>
      <c r="J2909" t="s">
        <v>235</v>
      </c>
      <c r="K2909" t="s">
        <v>236</v>
      </c>
      <c r="L2909">
        <v>22</v>
      </c>
      <c r="N2909" t="s">
        <v>181</v>
      </c>
    </row>
    <row r="2910" spans="1:14" x14ac:dyDescent="0.35">
      <c r="A2910" t="s">
        <v>7669</v>
      </c>
      <c r="B2910" t="s">
        <v>7670</v>
      </c>
      <c r="C2910" t="s">
        <v>81</v>
      </c>
      <c r="D2910">
        <v>111.87</v>
      </c>
      <c r="E2910">
        <v>10000</v>
      </c>
      <c r="F2910" t="s">
        <v>97</v>
      </c>
      <c r="G2910" t="s">
        <v>32</v>
      </c>
      <c r="H2910" t="s">
        <v>43</v>
      </c>
      <c r="J2910" t="s">
        <v>45</v>
      </c>
      <c r="K2910" t="s">
        <v>46</v>
      </c>
      <c r="L2910">
        <v>11</v>
      </c>
      <c r="M2910" t="s">
        <v>447</v>
      </c>
      <c r="N2910" t="s">
        <v>556</v>
      </c>
    </row>
    <row r="2911" spans="1:14" x14ac:dyDescent="0.35">
      <c r="A2911" t="s">
        <v>7671</v>
      </c>
      <c r="B2911" t="s">
        <v>7672</v>
      </c>
      <c r="C2911" t="s">
        <v>69</v>
      </c>
      <c r="D2911">
        <v>99.11</v>
      </c>
      <c r="E2911">
        <v>79000</v>
      </c>
      <c r="F2911" t="s">
        <v>31</v>
      </c>
      <c r="G2911" t="s">
        <v>32</v>
      </c>
      <c r="H2911" t="s">
        <v>33</v>
      </c>
      <c r="J2911" t="s">
        <v>63</v>
      </c>
      <c r="K2911" t="s">
        <v>64</v>
      </c>
      <c r="L2911">
        <v>9</v>
      </c>
      <c r="M2911" t="s">
        <v>1733</v>
      </c>
      <c r="N2911" t="s">
        <v>3559</v>
      </c>
    </row>
    <row r="2912" spans="1:14" x14ac:dyDescent="0.35">
      <c r="A2912" t="s">
        <v>7673</v>
      </c>
      <c r="B2912" t="s">
        <v>7674</v>
      </c>
      <c r="C2912" t="s">
        <v>69</v>
      </c>
      <c r="D2912">
        <v>65.13</v>
      </c>
      <c r="E2912">
        <v>92000</v>
      </c>
      <c r="F2912" t="s">
        <v>87</v>
      </c>
      <c r="G2912" t="s">
        <v>32</v>
      </c>
      <c r="H2912" t="s">
        <v>33</v>
      </c>
      <c r="I2912" t="s">
        <v>129</v>
      </c>
      <c r="J2912" t="s">
        <v>118</v>
      </c>
      <c r="K2912" t="s">
        <v>42</v>
      </c>
      <c r="L2912">
        <v>3</v>
      </c>
      <c r="M2912" t="s">
        <v>53</v>
      </c>
      <c r="N2912" t="s">
        <v>7675</v>
      </c>
    </row>
    <row r="2913" spans="1:14" x14ac:dyDescent="0.35">
      <c r="A2913" t="s">
        <v>7676</v>
      </c>
      <c r="B2913" t="s">
        <v>7677</v>
      </c>
      <c r="C2913" t="s">
        <v>41</v>
      </c>
      <c r="D2913">
        <v>154.47999999999999</v>
      </c>
      <c r="E2913">
        <v>27000</v>
      </c>
      <c r="F2913" t="s">
        <v>31</v>
      </c>
      <c r="G2913" t="s">
        <v>32</v>
      </c>
      <c r="H2913" t="s">
        <v>33</v>
      </c>
      <c r="I2913" t="s">
        <v>34</v>
      </c>
      <c r="J2913" t="s">
        <v>112</v>
      </c>
      <c r="K2913" t="s">
        <v>106</v>
      </c>
      <c r="L2913">
        <v>13</v>
      </c>
      <c r="N2913" t="s">
        <v>5524</v>
      </c>
    </row>
    <row r="2914" spans="1:14" x14ac:dyDescent="0.35">
      <c r="A2914" t="s">
        <v>7678</v>
      </c>
      <c r="B2914" t="s">
        <v>7679</v>
      </c>
      <c r="C2914" t="s">
        <v>69</v>
      </c>
      <c r="D2914">
        <v>89.14</v>
      </c>
      <c r="E2914">
        <v>89000</v>
      </c>
      <c r="F2914" t="s">
        <v>64</v>
      </c>
      <c r="G2914" t="s">
        <v>102</v>
      </c>
      <c r="H2914" t="s">
        <v>43</v>
      </c>
      <c r="I2914" t="s">
        <v>34</v>
      </c>
      <c r="J2914" t="s">
        <v>164</v>
      </c>
      <c r="K2914" t="s">
        <v>74</v>
      </c>
      <c r="L2914">
        <v>6</v>
      </c>
      <c r="N2914" t="s">
        <v>972</v>
      </c>
    </row>
    <row r="2915" spans="1:14" x14ac:dyDescent="0.35">
      <c r="A2915" t="s">
        <v>7680</v>
      </c>
      <c r="B2915" t="s">
        <v>7681</v>
      </c>
      <c r="C2915" t="s">
        <v>81</v>
      </c>
      <c r="D2915">
        <v>75.28</v>
      </c>
      <c r="E2915">
        <v>6000</v>
      </c>
      <c r="F2915" t="s">
        <v>51</v>
      </c>
      <c r="G2915" t="s">
        <v>32</v>
      </c>
      <c r="H2915" t="s">
        <v>57</v>
      </c>
      <c r="J2915" t="s">
        <v>500</v>
      </c>
      <c r="K2915" t="s">
        <v>236</v>
      </c>
      <c r="L2915">
        <v>8</v>
      </c>
      <c r="M2915" t="s">
        <v>987</v>
      </c>
      <c r="N2915" t="s">
        <v>4651</v>
      </c>
    </row>
    <row r="2916" spans="1:14" x14ac:dyDescent="0.35">
      <c r="A2916" t="s">
        <v>7682</v>
      </c>
      <c r="B2916" t="s">
        <v>7683</v>
      </c>
      <c r="C2916" t="s">
        <v>81</v>
      </c>
      <c r="D2916">
        <v>85</v>
      </c>
      <c r="E2916">
        <v>7000</v>
      </c>
      <c r="F2916" t="s">
        <v>51</v>
      </c>
      <c r="G2916" t="s">
        <v>32</v>
      </c>
      <c r="H2916" t="s">
        <v>33</v>
      </c>
      <c r="I2916" t="s">
        <v>44</v>
      </c>
      <c r="J2916" t="s">
        <v>75</v>
      </c>
      <c r="K2916" t="s">
        <v>76</v>
      </c>
      <c r="L2916">
        <v>6</v>
      </c>
      <c r="M2916" t="s">
        <v>1593</v>
      </c>
      <c r="N2916" t="s">
        <v>176</v>
      </c>
    </row>
    <row r="2917" spans="1:14" x14ac:dyDescent="0.35">
      <c r="A2917" t="s">
        <v>7684</v>
      </c>
      <c r="B2917" t="s">
        <v>7685</v>
      </c>
      <c r="C2917" t="s">
        <v>41</v>
      </c>
      <c r="D2917">
        <v>108.66</v>
      </c>
      <c r="E2917">
        <v>37000</v>
      </c>
      <c r="F2917" t="s">
        <v>147</v>
      </c>
      <c r="G2917" t="s">
        <v>32</v>
      </c>
      <c r="H2917" t="s">
        <v>57</v>
      </c>
      <c r="I2917" t="s">
        <v>34</v>
      </c>
      <c r="J2917" t="s">
        <v>7686</v>
      </c>
      <c r="K2917" t="s">
        <v>51</v>
      </c>
      <c r="L2917">
        <v>8</v>
      </c>
      <c r="M2917" t="s">
        <v>1311</v>
      </c>
      <c r="N2917" t="s">
        <v>1680</v>
      </c>
    </row>
    <row r="2918" spans="1:14" x14ac:dyDescent="0.35">
      <c r="A2918" t="s">
        <v>7687</v>
      </c>
      <c r="B2918" t="s">
        <v>7688</v>
      </c>
      <c r="C2918" t="s">
        <v>69</v>
      </c>
      <c r="D2918">
        <v>96.05</v>
      </c>
      <c r="E2918">
        <v>83000</v>
      </c>
      <c r="F2918" t="s">
        <v>123</v>
      </c>
      <c r="G2918" t="s">
        <v>32</v>
      </c>
      <c r="H2918" t="s">
        <v>43</v>
      </c>
      <c r="I2918" t="s">
        <v>34</v>
      </c>
      <c r="J2918" t="s">
        <v>107</v>
      </c>
      <c r="K2918" t="s">
        <v>87</v>
      </c>
      <c r="L2918">
        <v>5</v>
      </c>
      <c r="M2918" t="s">
        <v>4115</v>
      </c>
      <c r="N2918" t="s">
        <v>313</v>
      </c>
    </row>
    <row r="2919" spans="1:14" x14ac:dyDescent="0.35">
      <c r="A2919" t="s">
        <v>7689</v>
      </c>
      <c r="B2919" t="s">
        <v>7690</v>
      </c>
      <c r="C2919" t="s">
        <v>116</v>
      </c>
      <c r="D2919">
        <v>6.73</v>
      </c>
      <c r="E2919">
        <v>500</v>
      </c>
      <c r="F2919" t="s">
        <v>64</v>
      </c>
      <c r="G2919" t="s">
        <v>32</v>
      </c>
      <c r="H2919" t="s">
        <v>43</v>
      </c>
      <c r="I2919" t="s">
        <v>44</v>
      </c>
      <c r="J2919" t="s">
        <v>1441</v>
      </c>
      <c r="K2919" t="s">
        <v>147</v>
      </c>
      <c r="L2919">
        <v>12</v>
      </c>
      <c r="M2919" t="s">
        <v>2039</v>
      </c>
      <c r="N2919" t="s">
        <v>931</v>
      </c>
    </row>
    <row r="2920" spans="1:14" x14ac:dyDescent="0.35">
      <c r="A2920" t="s">
        <v>7691</v>
      </c>
      <c r="B2920" t="s">
        <v>7692</v>
      </c>
      <c r="C2920" t="s">
        <v>81</v>
      </c>
      <c r="D2920">
        <v>117</v>
      </c>
      <c r="E2920">
        <v>9000</v>
      </c>
      <c r="F2920" t="s">
        <v>139</v>
      </c>
      <c r="G2920" t="s">
        <v>32</v>
      </c>
      <c r="H2920" t="s">
        <v>43</v>
      </c>
      <c r="I2920" t="s">
        <v>34</v>
      </c>
      <c r="J2920" t="s">
        <v>278</v>
      </c>
      <c r="K2920" t="s">
        <v>97</v>
      </c>
      <c r="L2920">
        <v>17</v>
      </c>
      <c r="N2920" t="s">
        <v>2506</v>
      </c>
    </row>
    <row r="2921" spans="1:14" x14ac:dyDescent="0.35">
      <c r="A2921" t="s">
        <v>7693</v>
      </c>
      <c r="B2921" t="s">
        <v>7694</v>
      </c>
      <c r="C2921" t="s">
        <v>81</v>
      </c>
      <c r="D2921">
        <v>103.2</v>
      </c>
      <c r="E2921">
        <v>2000</v>
      </c>
      <c r="F2921" t="s">
        <v>51</v>
      </c>
      <c r="G2921" t="s">
        <v>102</v>
      </c>
      <c r="H2921" t="s">
        <v>43</v>
      </c>
      <c r="I2921" t="s">
        <v>129</v>
      </c>
      <c r="J2921" t="s">
        <v>75</v>
      </c>
      <c r="K2921" t="s">
        <v>76</v>
      </c>
      <c r="L2921">
        <v>16</v>
      </c>
      <c r="M2921" t="s">
        <v>3607</v>
      </c>
      <c r="N2921" t="s">
        <v>2810</v>
      </c>
    </row>
    <row r="2922" spans="1:14" x14ac:dyDescent="0.35">
      <c r="A2922" t="s">
        <v>7695</v>
      </c>
      <c r="B2922" t="s">
        <v>7696</v>
      </c>
      <c r="C2922" t="s">
        <v>69</v>
      </c>
      <c r="D2922">
        <v>50.26</v>
      </c>
      <c r="E2922">
        <v>78000</v>
      </c>
      <c r="F2922" t="s">
        <v>139</v>
      </c>
      <c r="G2922" t="s">
        <v>32</v>
      </c>
      <c r="H2922" t="s">
        <v>33</v>
      </c>
      <c r="I2922" t="s">
        <v>34</v>
      </c>
      <c r="J2922" t="s">
        <v>164</v>
      </c>
      <c r="K2922" t="s">
        <v>74</v>
      </c>
      <c r="L2922">
        <v>11</v>
      </c>
      <c r="N2922" t="s">
        <v>7035</v>
      </c>
    </row>
    <row r="2923" spans="1:14" x14ac:dyDescent="0.35">
      <c r="A2923" t="s">
        <v>7697</v>
      </c>
      <c r="B2923" t="s">
        <v>7698</v>
      </c>
      <c r="C2923" t="s">
        <v>30</v>
      </c>
      <c r="D2923">
        <v>168.54</v>
      </c>
      <c r="E2923">
        <v>13000</v>
      </c>
      <c r="F2923" t="s">
        <v>117</v>
      </c>
      <c r="G2923" t="s">
        <v>32</v>
      </c>
      <c r="H2923" t="s">
        <v>33</v>
      </c>
      <c r="I2923" t="s">
        <v>44</v>
      </c>
      <c r="J2923" t="s">
        <v>500</v>
      </c>
      <c r="K2923" t="s">
        <v>236</v>
      </c>
      <c r="L2923">
        <v>14</v>
      </c>
      <c r="N2923" t="s">
        <v>2270</v>
      </c>
    </row>
    <row r="2924" spans="1:14" x14ac:dyDescent="0.35">
      <c r="A2924" t="s">
        <v>7699</v>
      </c>
      <c r="B2924" t="s">
        <v>7700</v>
      </c>
      <c r="C2924" t="s">
        <v>81</v>
      </c>
      <c r="D2924">
        <v>119.35</v>
      </c>
      <c r="E2924">
        <v>5000</v>
      </c>
      <c r="F2924" t="s">
        <v>46</v>
      </c>
      <c r="G2924" t="s">
        <v>32</v>
      </c>
      <c r="H2924" t="s">
        <v>43</v>
      </c>
      <c r="I2924" t="s">
        <v>44</v>
      </c>
      <c r="J2924" t="s">
        <v>45</v>
      </c>
      <c r="K2924" t="s">
        <v>46</v>
      </c>
      <c r="L2924">
        <v>19</v>
      </c>
      <c r="M2924" t="s">
        <v>1579</v>
      </c>
      <c r="N2924" t="s">
        <v>3767</v>
      </c>
    </row>
    <row r="2925" spans="1:14" x14ac:dyDescent="0.35">
      <c r="A2925" t="s">
        <v>7701</v>
      </c>
      <c r="B2925" t="s">
        <v>7702</v>
      </c>
      <c r="C2925" t="s">
        <v>116</v>
      </c>
      <c r="D2925">
        <v>11.28</v>
      </c>
      <c r="E2925">
        <v>500</v>
      </c>
      <c r="F2925" t="s">
        <v>97</v>
      </c>
      <c r="G2925" t="s">
        <v>32</v>
      </c>
      <c r="H2925" t="s">
        <v>43</v>
      </c>
      <c r="I2925" t="s">
        <v>44</v>
      </c>
      <c r="J2925" t="s">
        <v>235</v>
      </c>
      <c r="K2925" t="s">
        <v>236</v>
      </c>
      <c r="L2925">
        <v>17</v>
      </c>
      <c r="N2925" t="s">
        <v>395</v>
      </c>
    </row>
    <row r="2926" spans="1:14" x14ac:dyDescent="0.35">
      <c r="A2926" t="s">
        <v>7703</v>
      </c>
      <c r="B2926" t="s">
        <v>7704</v>
      </c>
      <c r="C2926" t="s">
        <v>81</v>
      </c>
      <c r="D2926">
        <v>107.18</v>
      </c>
      <c r="E2926">
        <v>8000</v>
      </c>
      <c r="F2926" t="s">
        <v>42</v>
      </c>
      <c r="G2926" t="s">
        <v>32</v>
      </c>
      <c r="H2926" t="s">
        <v>33</v>
      </c>
      <c r="I2926" t="s">
        <v>34</v>
      </c>
      <c r="J2926" t="s">
        <v>75</v>
      </c>
      <c r="K2926" t="s">
        <v>76</v>
      </c>
      <c r="L2926">
        <v>22</v>
      </c>
      <c r="M2926" t="s">
        <v>1072</v>
      </c>
      <c r="N2926" t="s">
        <v>2911</v>
      </c>
    </row>
    <row r="2927" spans="1:14" x14ac:dyDescent="0.35">
      <c r="A2927" t="s">
        <v>7705</v>
      </c>
      <c r="B2927" t="s">
        <v>7706</v>
      </c>
      <c r="C2927" t="s">
        <v>116</v>
      </c>
      <c r="D2927">
        <v>11.82</v>
      </c>
      <c r="E2927">
        <v>300</v>
      </c>
      <c r="F2927" t="s">
        <v>97</v>
      </c>
      <c r="G2927" t="s">
        <v>32</v>
      </c>
      <c r="H2927" t="s">
        <v>57</v>
      </c>
      <c r="I2927" t="s">
        <v>44</v>
      </c>
      <c r="J2927" t="s">
        <v>235</v>
      </c>
      <c r="K2927" t="s">
        <v>236</v>
      </c>
      <c r="L2927">
        <v>23</v>
      </c>
      <c r="M2927" t="s">
        <v>4469</v>
      </c>
      <c r="N2927" t="s">
        <v>3192</v>
      </c>
    </row>
    <row r="2928" spans="1:14" x14ac:dyDescent="0.35">
      <c r="A2928" t="s">
        <v>7707</v>
      </c>
      <c r="B2928" t="s">
        <v>7708</v>
      </c>
      <c r="C2928" t="s">
        <v>81</v>
      </c>
      <c r="D2928">
        <v>122.34</v>
      </c>
      <c r="E2928">
        <v>4000</v>
      </c>
      <c r="F2928" t="s">
        <v>123</v>
      </c>
      <c r="G2928" t="s">
        <v>32</v>
      </c>
      <c r="H2928" t="s">
        <v>33</v>
      </c>
      <c r="I2928" t="s">
        <v>44</v>
      </c>
      <c r="J2928" t="s">
        <v>130</v>
      </c>
      <c r="K2928" t="s">
        <v>123</v>
      </c>
      <c r="L2928">
        <v>6</v>
      </c>
      <c r="M2928" t="s">
        <v>6590</v>
      </c>
      <c r="N2928" t="s">
        <v>6148</v>
      </c>
    </row>
    <row r="2929" spans="1:14" x14ac:dyDescent="0.35">
      <c r="A2929" t="s">
        <v>7709</v>
      </c>
      <c r="B2929" t="s">
        <v>7710</v>
      </c>
      <c r="C2929" t="s">
        <v>62</v>
      </c>
      <c r="D2929">
        <v>77.44</v>
      </c>
      <c r="E2929">
        <v>1000</v>
      </c>
      <c r="F2929" t="s">
        <v>64</v>
      </c>
      <c r="G2929" t="s">
        <v>102</v>
      </c>
      <c r="H2929" t="s">
        <v>33</v>
      </c>
      <c r="I2929" t="s">
        <v>44</v>
      </c>
      <c r="J2929" t="s">
        <v>477</v>
      </c>
      <c r="K2929" t="s">
        <v>51</v>
      </c>
      <c r="L2929">
        <v>8</v>
      </c>
      <c r="N2929" t="s">
        <v>4056</v>
      </c>
    </row>
    <row r="2930" spans="1:14" x14ac:dyDescent="0.35">
      <c r="A2930" t="s">
        <v>7711</v>
      </c>
      <c r="B2930" t="s">
        <v>7712</v>
      </c>
      <c r="C2930" t="s">
        <v>81</v>
      </c>
      <c r="D2930">
        <v>132.26</v>
      </c>
      <c r="E2930">
        <v>4000</v>
      </c>
      <c r="F2930" t="s">
        <v>139</v>
      </c>
      <c r="G2930" t="s">
        <v>32</v>
      </c>
      <c r="H2930" t="s">
        <v>57</v>
      </c>
      <c r="I2930" t="s">
        <v>44</v>
      </c>
      <c r="J2930" t="s">
        <v>209</v>
      </c>
      <c r="K2930" t="s">
        <v>74</v>
      </c>
      <c r="L2930">
        <v>1</v>
      </c>
      <c r="N2930" t="s">
        <v>6783</v>
      </c>
    </row>
    <row r="2931" spans="1:14" x14ac:dyDescent="0.35">
      <c r="A2931" t="s">
        <v>7713</v>
      </c>
      <c r="B2931" t="s">
        <v>7714</v>
      </c>
      <c r="C2931" t="s">
        <v>81</v>
      </c>
      <c r="D2931">
        <v>118.4</v>
      </c>
      <c r="E2931">
        <v>1000</v>
      </c>
      <c r="F2931" t="s">
        <v>46</v>
      </c>
      <c r="G2931" t="s">
        <v>32</v>
      </c>
      <c r="H2931" t="s">
        <v>43</v>
      </c>
      <c r="I2931" t="s">
        <v>44</v>
      </c>
      <c r="J2931" t="s">
        <v>235</v>
      </c>
      <c r="K2931" t="s">
        <v>236</v>
      </c>
      <c r="L2931">
        <v>8</v>
      </c>
      <c r="N2931" t="s">
        <v>4908</v>
      </c>
    </row>
    <row r="2932" spans="1:14" x14ac:dyDescent="0.35">
      <c r="A2932" t="s">
        <v>7715</v>
      </c>
      <c r="B2932" t="s">
        <v>7716</v>
      </c>
      <c r="C2932" t="s">
        <v>62</v>
      </c>
      <c r="D2932">
        <v>84.34</v>
      </c>
      <c r="E2932">
        <v>1000</v>
      </c>
      <c r="F2932" t="s">
        <v>42</v>
      </c>
      <c r="G2932" t="s">
        <v>32</v>
      </c>
      <c r="H2932" t="s">
        <v>43</v>
      </c>
      <c r="I2932" t="s">
        <v>34</v>
      </c>
      <c r="J2932" t="s">
        <v>107</v>
      </c>
      <c r="K2932" t="s">
        <v>87</v>
      </c>
      <c r="L2932">
        <v>9</v>
      </c>
      <c r="M2932" t="s">
        <v>2039</v>
      </c>
      <c r="N2932" t="s">
        <v>4452</v>
      </c>
    </row>
    <row r="2933" spans="1:14" x14ac:dyDescent="0.35">
      <c r="A2933" t="s">
        <v>7717</v>
      </c>
      <c r="B2933" t="s">
        <v>7718</v>
      </c>
      <c r="C2933" t="s">
        <v>62</v>
      </c>
      <c r="D2933">
        <v>73.569999999999993</v>
      </c>
      <c r="E2933">
        <v>1000</v>
      </c>
      <c r="F2933" t="s">
        <v>64</v>
      </c>
      <c r="G2933" t="s">
        <v>32</v>
      </c>
      <c r="H2933" t="s">
        <v>43</v>
      </c>
      <c r="I2933" t="s">
        <v>129</v>
      </c>
      <c r="J2933" t="s">
        <v>7719</v>
      </c>
      <c r="K2933" t="s">
        <v>51</v>
      </c>
      <c r="L2933">
        <v>10</v>
      </c>
      <c r="M2933" t="s">
        <v>6832</v>
      </c>
      <c r="N2933" t="s">
        <v>6674</v>
      </c>
    </row>
    <row r="2934" spans="1:14" x14ac:dyDescent="0.35">
      <c r="A2934" t="s">
        <v>7720</v>
      </c>
      <c r="B2934" t="s">
        <v>7721</v>
      </c>
      <c r="C2934" t="s">
        <v>62</v>
      </c>
      <c r="D2934">
        <v>51.05</v>
      </c>
      <c r="E2934">
        <v>1000</v>
      </c>
      <c r="F2934" t="s">
        <v>36</v>
      </c>
      <c r="G2934" t="s">
        <v>32</v>
      </c>
      <c r="H2934" t="s">
        <v>33</v>
      </c>
      <c r="I2934" t="s">
        <v>44</v>
      </c>
      <c r="J2934" t="s">
        <v>3353</v>
      </c>
      <c r="K2934" t="s">
        <v>74</v>
      </c>
      <c r="L2934">
        <v>17</v>
      </c>
      <c r="M2934" t="s">
        <v>88</v>
      </c>
      <c r="N2934" t="s">
        <v>6634</v>
      </c>
    </row>
    <row r="2935" spans="1:14" x14ac:dyDescent="0.35">
      <c r="A2935" t="s">
        <v>7722</v>
      </c>
      <c r="B2935" t="s">
        <v>7723</v>
      </c>
      <c r="C2935" t="s">
        <v>116</v>
      </c>
      <c r="D2935">
        <v>9.0299999999999994</v>
      </c>
      <c r="E2935">
        <v>700</v>
      </c>
      <c r="F2935" t="s">
        <v>51</v>
      </c>
      <c r="G2935" t="s">
        <v>32</v>
      </c>
      <c r="H2935" t="s">
        <v>57</v>
      </c>
      <c r="I2935" t="s">
        <v>34</v>
      </c>
      <c r="J2935" t="s">
        <v>523</v>
      </c>
      <c r="K2935" t="s">
        <v>36</v>
      </c>
      <c r="L2935">
        <v>18</v>
      </c>
      <c r="M2935" t="s">
        <v>223</v>
      </c>
      <c r="N2935" t="s">
        <v>4149</v>
      </c>
    </row>
    <row r="2936" spans="1:14" x14ac:dyDescent="0.35">
      <c r="A2936" t="s">
        <v>7724</v>
      </c>
      <c r="B2936" t="s">
        <v>7725</v>
      </c>
      <c r="C2936" t="s">
        <v>116</v>
      </c>
      <c r="D2936">
        <v>11.72</v>
      </c>
      <c r="E2936">
        <v>600</v>
      </c>
      <c r="F2936" t="s">
        <v>139</v>
      </c>
      <c r="G2936" t="s">
        <v>32</v>
      </c>
      <c r="H2936" t="s">
        <v>43</v>
      </c>
      <c r="I2936" t="s">
        <v>44</v>
      </c>
      <c r="J2936" t="s">
        <v>75</v>
      </c>
      <c r="K2936" t="s">
        <v>76</v>
      </c>
      <c r="L2936">
        <v>7</v>
      </c>
      <c r="M2936" t="s">
        <v>1209</v>
      </c>
      <c r="N2936" t="s">
        <v>3767</v>
      </c>
    </row>
    <row r="2937" spans="1:14" x14ac:dyDescent="0.35">
      <c r="A2937" t="s">
        <v>7726</v>
      </c>
      <c r="B2937" t="s">
        <v>7727</v>
      </c>
      <c r="C2937" t="s">
        <v>41</v>
      </c>
      <c r="D2937">
        <v>99.72</v>
      </c>
      <c r="E2937">
        <v>13000</v>
      </c>
      <c r="F2937" t="s">
        <v>117</v>
      </c>
      <c r="G2937" t="s">
        <v>32</v>
      </c>
      <c r="H2937" t="s">
        <v>33</v>
      </c>
      <c r="I2937" t="s">
        <v>44</v>
      </c>
      <c r="J2937" t="s">
        <v>70</v>
      </c>
      <c r="K2937" t="s">
        <v>31</v>
      </c>
      <c r="L2937">
        <v>19</v>
      </c>
      <c r="M2937" t="s">
        <v>1086</v>
      </c>
      <c r="N2937" t="s">
        <v>4624</v>
      </c>
    </row>
    <row r="2938" spans="1:14" x14ac:dyDescent="0.35">
      <c r="A2938" t="s">
        <v>7728</v>
      </c>
      <c r="B2938" t="s">
        <v>7729</v>
      </c>
      <c r="C2938" t="s">
        <v>41</v>
      </c>
      <c r="D2938">
        <v>83.58</v>
      </c>
      <c r="E2938">
        <v>11000</v>
      </c>
      <c r="F2938" t="s">
        <v>117</v>
      </c>
      <c r="G2938" t="s">
        <v>32</v>
      </c>
      <c r="H2938" t="s">
        <v>43</v>
      </c>
      <c r="I2938" t="s">
        <v>44</v>
      </c>
      <c r="J2938" t="s">
        <v>107</v>
      </c>
      <c r="K2938" t="s">
        <v>87</v>
      </c>
      <c r="L2938">
        <v>23</v>
      </c>
      <c r="N2938" t="s">
        <v>1078</v>
      </c>
    </row>
    <row r="2939" spans="1:14" x14ac:dyDescent="0.35">
      <c r="A2939" t="s">
        <v>7730</v>
      </c>
      <c r="B2939" t="s">
        <v>7731</v>
      </c>
      <c r="C2939" t="s">
        <v>41</v>
      </c>
      <c r="D2939">
        <v>157.51</v>
      </c>
      <c r="E2939">
        <v>32000</v>
      </c>
      <c r="F2939" t="s">
        <v>42</v>
      </c>
      <c r="G2939" t="s">
        <v>32</v>
      </c>
      <c r="H2939" t="s">
        <v>33</v>
      </c>
      <c r="I2939" t="s">
        <v>44</v>
      </c>
      <c r="J2939" t="s">
        <v>45</v>
      </c>
      <c r="K2939" t="s">
        <v>46</v>
      </c>
      <c r="L2939">
        <v>1</v>
      </c>
      <c r="M2939" t="s">
        <v>1798</v>
      </c>
      <c r="N2939" t="s">
        <v>1708</v>
      </c>
    </row>
    <row r="2940" spans="1:14" x14ac:dyDescent="0.35">
      <c r="A2940" t="s">
        <v>7732</v>
      </c>
      <c r="B2940" t="s">
        <v>7733</v>
      </c>
      <c r="C2940" t="s">
        <v>69</v>
      </c>
      <c r="D2940">
        <v>89.33</v>
      </c>
      <c r="E2940">
        <v>22000</v>
      </c>
      <c r="F2940" t="s">
        <v>87</v>
      </c>
      <c r="G2940" t="s">
        <v>32</v>
      </c>
      <c r="H2940" t="s">
        <v>43</v>
      </c>
      <c r="I2940" t="s">
        <v>34</v>
      </c>
      <c r="J2940" t="s">
        <v>118</v>
      </c>
      <c r="K2940" t="s">
        <v>42</v>
      </c>
      <c r="L2940">
        <v>13</v>
      </c>
      <c r="M2940" t="s">
        <v>551</v>
      </c>
      <c r="N2940" t="s">
        <v>1118</v>
      </c>
    </row>
    <row r="2941" spans="1:14" x14ac:dyDescent="0.35">
      <c r="A2941" t="s">
        <v>7734</v>
      </c>
      <c r="B2941" t="s">
        <v>7735</v>
      </c>
      <c r="C2941" t="s">
        <v>62</v>
      </c>
      <c r="D2941">
        <v>70.09</v>
      </c>
      <c r="E2941">
        <v>4000</v>
      </c>
      <c r="F2941" t="s">
        <v>46</v>
      </c>
      <c r="G2941" t="s">
        <v>32</v>
      </c>
      <c r="H2941" t="s">
        <v>33</v>
      </c>
      <c r="I2941" t="s">
        <v>44</v>
      </c>
      <c r="J2941" t="s">
        <v>1500</v>
      </c>
      <c r="K2941" t="s">
        <v>97</v>
      </c>
      <c r="L2941">
        <v>11</v>
      </c>
      <c r="N2941" t="s">
        <v>7736</v>
      </c>
    </row>
    <row r="2942" spans="1:14" x14ac:dyDescent="0.35">
      <c r="A2942" t="s">
        <v>7737</v>
      </c>
      <c r="B2942" t="s">
        <v>7738</v>
      </c>
      <c r="C2942" t="s">
        <v>30</v>
      </c>
      <c r="D2942">
        <v>196.79</v>
      </c>
      <c r="E2942">
        <v>15000</v>
      </c>
      <c r="F2942" t="s">
        <v>51</v>
      </c>
      <c r="G2942" t="s">
        <v>32</v>
      </c>
      <c r="H2942" t="s">
        <v>33</v>
      </c>
      <c r="I2942" t="s">
        <v>34</v>
      </c>
      <c r="J2942" t="s">
        <v>107</v>
      </c>
      <c r="K2942" t="s">
        <v>87</v>
      </c>
      <c r="L2942">
        <v>7</v>
      </c>
      <c r="M2942" t="s">
        <v>823</v>
      </c>
      <c r="N2942" t="s">
        <v>4144</v>
      </c>
    </row>
    <row r="2943" spans="1:14" x14ac:dyDescent="0.35">
      <c r="A2943" t="s">
        <v>7739</v>
      </c>
      <c r="B2943" t="s">
        <v>7740</v>
      </c>
      <c r="C2943" t="s">
        <v>41</v>
      </c>
      <c r="D2943">
        <v>150.58000000000001</v>
      </c>
      <c r="E2943">
        <v>33000</v>
      </c>
      <c r="F2943" t="s">
        <v>31</v>
      </c>
      <c r="G2943" t="s">
        <v>32</v>
      </c>
      <c r="H2943" t="s">
        <v>43</v>
      </c>
      <c r="I2943" t="s">
        <v>34</v>
      </c>
      <c r="J2943" t="s">
        <v>112</v>
      </c>
      <c r="K2943" t="s">
        <v>106</v>
      </c>
      <c r="L2943">
        <v>20</v>
      </c>
      <c r="M2943" t="s">
        <v>3319</v>
      </c>
      <c r="N2943" t="s">
        <v>1891</v>
      </c>
    </row>
    <row r="2944" spans="1:14" x14ac:dyDescent="0.35">
      <c r="A2944" t="s">
        <v>7741</v>
      </c>
      <c r="B2944" t="s">
        <v>7030</v>
      </c>
      <c r="C2944" t="s">
        <v>116</v>
      </c>
      <c r="D2944">
        <v>10.27</v>
      </c>
      <c r="E2944">
        <v>600</v>
      </c>
      <c r="F2944" t="s">
        <v>97</v>
      </c>
      <c r="G2944" t="s">
        <v>32</v>
      </c>
      <c r="H2944" t="s">
        <v>43</v>
      </c>
      <c r="J2944" t="s">
        <v>830</v>
      </c>
      <c r="K2944" t="s">
        <v>51</v>
      </c>
      <c r="L2944">
        <v>22</v>
      </c>
      <c r="M2944" t="s">
        <v>539</v>
      </c>
      <c r="N2944" t="s">
        <v>5876</v>
      </c>
    </row>
    <row r="2945" spans="1:14" x14ac:dyDescent="0.35">
      <c r="A2945" t="s">
        <v>7742</v>
      </c>
      <c r="B2945" t="s">
        <v>7743</v>
      </c>
      <c r="C2945" t="s">
        <v>30</v>
      </c>
      <c r="D2945">
        <v>125.05</v>
      </c>
      <c r="E2945">
        <v>15000</v>
      </c>
      <c r="F2945" t="s">
        <v>123</v>
      </c>
      <c r="G2945" t="s">
        <v>32</v>
      </c>
      <c r="H2945" t="s">
        <v>57</v>
      </c>
      <c r="I2945" t="s">
        <v>44</v>
      </c>
      <c r="J2945" t="s">
        <v>63</v>
      </c>
      <c r="K2945" t="s">
        <v>64</v>
      </c>
      <c r="L2945">
        <v>7</v>
      </c>
      <c r="M2945" t="s">
        <v>563</v>
      </c>
      <c r="N2945" t="s">
        <v>2863</v>
      </c>
    </row>
    <row r="2946" spans="1:14" x14ac:dyDescent="0.35">
      <c r="A2946" t="s">
        <v>7744</v>
      </c>
      <c r="B2946" t="s">
        <v>7745</v>
      </c>
      <c r="C2946" t="s">
        <v>30</v>
      </c>
      <c r="D2946">
        <v>131.01</v>
      </c>
      <c r="E2946">
        <v>20000</v>
      </c>
      <c r="F2946" t="s">
        <v>139</v>
      </c>
      <c r="G2946" t="s">
        <v>32</v>
      </c>
      <c r="H2946" t="s">
        <v>33</v>
      </c>
      <c r="I2946" t="s">
        <v>44</v>
      </c>
      <c r="J2946" t="s">
        <v>45</v>
      </c>
      <c r="K2946" t="s">
        <v>46</v>
      </c>
      <c r="L2946">
        <v>5</v>
      </c>
      <c r="M2946" t="s">
        <v>2636</v>
      </c>
      <c r="N2946" t="s">
        <v>4868</v>
      </c>
    </row>
    <row r="2947" spans="1:14" x14ac:dyDescent="0.35">
      <c r="A2947" t="s">
        <v>7746</v>
      </c>
      <c r="B2947" t="s">
        <v>7747</v>
      </c>
      <c r="C2947" t="s">
        <v>116</v>
      </c>
      <c r="D2947">
        <v>6.75</v>
      </c>
      <c r="E2947">
        <v>500</v>
      </c>
      <c r="F2947" t="s">
        <v>51</v>
      </c>
      <c r="G2947" t="s">
        <v>32</v>
      </c>
      <c r="H2947" t="s">
        <v>33</v>
      </c>
      <c r="I2947" t="s">
        <v>34</v>
      </c>
      <c r="J2947" t="s">
        <v>708</v>
      </c>
      <c r="K2947" t="s">
        <v>87</v>
      </c>
      <c r="L2947">
        <v>16</v>
      </c>
      <c r="M2947" t="s">
        <v>3545</v>
      </c>
      <c r="N2947" t="s">
        <v>5363</v>
      </c>
    </row>
    <row r="2948" spans="1:14" x14ac:dyDescent="0.35">
      <c r="A2948" t="s">
        <v>7748</v>
      </c>
      <c r="B2948" t="s">
        <v>7749</v>
      </c>
      <c r="C2948" t="s">
        <v>41</v>
      </c>
      <c r="D2948">
        <v>82.23</v>
      </c>
      <c r="E2948">
        <v>19000</v>
      </c>
      <c r="F2948" t="s">
        <v>51</v>
      </c>
      <c r="G2948" t="s">
        <v>32</v>
      </c>
      <c r="H2948" t="s">
        <v>57</v>
      </c>
      <c r="I2948" t="s">
        <v>34</v>
      </c>
      <c r="J2948" t="s">
        <v>6527</v>
      </c>
      <c r="K2948" t="s">
        <v>139</v>
      </c>
      <c r="L2948">
        <v>9</v>
      </c>
      <c r="N2948" t="s">
        <v>795</v>
      </c>
    </row>
    <row r="2949" spans="1:14" x14ac:dyDescent="0.35">
      <c r="A2949" t="s">
        <v>7750</v>
      </c>
      <c r="B2949" t="s">
        <v>7751</v>
      </c>
      <c r="C2949" t="s">
        <v>81</v>
      </c>
      <c r="D2949">
        <v>134.96</v>
      </c>
      <c r="E2949">
        <v>7000</v>
      </c>
      <c r="F2949" t="s">
        <v>147</v>
      </c>
      <c r="G2949" t="s">
        <v>32</v>
      </c>
      <c r="H2949" t="s">
        <v>33</v>
      </c>
      <c r="I2949" t="s">
        <v>34</v>
      </c>
      <c r="J2949" t="s">
        <v>70</v>
      </c>
      <c r="K2949" t="s">
        <v>31</v>
      </c>
      <c r="L2949">
        <v>1</v>
      </c>
      <c r="M2949" t="s">
        <v>885</v>
      </c>
      <c r="N2949" t="s">
        <v>715</v>
      </c>
    </row>
    <row r="2950" spans="1:14" x14ac:dyDescent="0.35">
      <c r="A2950" t="s">
        <v>7752</v>
      </c>
      <c r="B2950" t="s">
        <v>7753</v>
      </c>
      <c r="C2950" t="s">
        <v>116</v>
      </c>
      <c r="D2950">
        <v>6.77</v>
      </c>
      <c r="E2950">
        <v>400</v>
      </c>
      <c r="F2950" t="s">
        <v>74</v>
      </c>
      <c r="G2950" t="s">
        <v>32</v>
      </c>
      <c r="H2950" t="s">
        <v>57</v>
      </c>
      <c r="I2950" t="s">
        <v>34</v>
      </c>
      <c r="J2950" t="s">
        <v>70</v>
      </c>
      <c r="K2950" t="s">
        <v>31</v>
      </c>
      <c r="L2950">
        <v>19</v>
      </c>
      <c r="M2950" t="s">
        <v>421</v>
      </c>
      <c r="N2950" t="s">
        <v>3569</v>
      </c>
    </row>
    <row r="2951" spans="1:14" x14ac:dyDescent="0.35">
      <c r="A2951" t="s">
        <v>7754</v>
      </c>
      <c r="B2951" t="s">
        <v>7755</v>
      </c>
      <c r="C2951" t="s">
        <v>81</v>
      </c>
      <c r="D2951">
        <v>87.89</v>
      </c>
      <c r="E2951">
        <v>3000</v>
      </c>
      <c r="F2951" t="s">
        <v>42</v>
      </c>
      <c r="G2951" t="s">
        <v>32</v>
      </c>
      <c r="H2951" t="s">
        <v>33</v>
      </c>
      <c r="I2951" t="s">
        <v>44</v>
      </c>
      <c r="J2951" t="s">
        <v>523</v>
      </c>
      <c r="K2951" t="s">
        <v>36</v>
      </c>
      <c r="L2951">
        <v>11</v>
      </c>
      <c r="M2951" t="s">
        <v>3445</v>
      </c>
      <c r="N2951" t="s">
        <v>2228</v>
      </c>
    </row>
    <row r="2952" spans="1:14" x14ac:dyDescent="0.35">
      <c r="A2952" t="s">
        <v>7756</v>
      </c>
      <c r="B2952" t="s">
        <v>7757</v>
      </c>
      <c r="C2952" t="s">
        <v>69</v>
      </c>
      <c r="D2952">
        <v>80.650000000000006</v>
      </c>
      <c r="E2952">
        <v>93000</v>
      </c>
      <c r="F2952" t="s">
        <v>117</v>
      </c>
      <c r="G2952" t="s">
        <v>32</v>
      </c>
      <c r="H2952" t="s">
        <v>33</v>
      </c>
      <c r="I2952" t="s">
        <v>44</v>
      </c>
      <c r="J2952" t="s">
        <v>63</v>
      </c>
      <c r="K2952" t="s">
        <v>64</v>
      </c>
      <c r="L2952">
        <v>3</v>
      </c>
      <c r="N2952" t="s">
        <v>3121</v>
      </c>
    </row>
    <row r="2953" spans="1:14" x14ac:dyDescent="0.35">
      <c r="A2953" t="s">
        <v>7758</v>
      </c>
      <c r="B2953" t="s">
        <v>7759</v>
      </c>
      <c r="C2953" t="s">
        <v>30</v>
      </c>
      <c r="D2953">
        <v>116.03</v>
      </c>
      <c r="E2953">
        <v>5000</v>
      </c>
      <c r="F2953" t="s">
        <v>74</v>
      </c>
      <c r="G2953" t="s">
        <v>32</v>
      </c>
      <c r="H2953" t="s">
        <v>33</v>
      </c>
      <c r="J2953" t="s">
        <v>1816</v>
      </c>
      <c r="K2953" t="s">
        <v>236</v>
      </c>
      <c r="L2953">
        <v>4</v>
      </c>
      <c r="M2953" t="s">
        <v>88</v>
      </c>
      <c r="N2953" t="s">
        <v>1740</v>
      </c>
    </row>
    <row r="2954" spans="1:14" x14ac:dyDescent="0.35">
      <c r="A2954" t="s">
        <v>7760</v>
      </c>
      <c r="B2954" t="s">
        <v>7761</v>
      </c>
      <c r="C2954" t="s">
        <v>62</v>
      </c>
      <c r="D2954">
        <v>88.68</v>
      </c>
      <c r="E2954">
        <v>3000</v>
      </c>
      <c r="F2954" t="s">
        <v>36</v>
      </c>
      <c r="G2954" t="s">
        <v>32</v>
      </c>
      <c r="H2954" t="s">
        <v>43</v>
      </c>
      <c r="I2954" t="s">
        <v>34</v>
      </c>
      <c r="J2954" t="s">
        <v>82</v>
      </c>
      <c r="K2954" t="s">
        <v>74</v>
      </c>
      <c r="L2954">
        <v>3</v>
      </c>
      <c r="M2954" t="s">
        <v>3710</v>
      </c>
      <c r="N2954" t="s">
        <v>504</v>
      </c>
    </row>
    <row r="2955" spans="1:14" x14ac:dyDescent="0.35">
      <c r="A2955" t="s">
        <v>7762</v>
      </c>
      <c r="B2955" t="s">
        <v>7763</v>
      </c>
      <c r="C2955" t="s">
        <v>62</v>
      </c>
      <c r="D2955">
        <v>79.64</v>
      </c>
      <c r="E2955">
        <v>2000</v>
      </c>
      <c r="F2955" t="s">
        <v>97</v>
      </c>
      <c r="G2955" t="s">
        <v>32</v>
      </c>
      <c r="H2955" t="s">
        <v>57</v>
      </c>
      <c r="I2955" t="s">
        <v>129</v>
      </c>
      <c r="J2955" t="s">
        <v>124</v>
      </c>
      <c r="K2955" t="s">
        <v>117</v>
      </c>
      <c r="L2955">
        <v>22</v>
      </c>
      <c r="M2955" t="s">
        <v>1220</v>
      </c>
      <c r="N2955" t="s">
        <v>868</v>
      </c>
    </row>
    <row r="2956" spans="1:14" x14ac:dyDescent="0.35">
      <c r="A2956" t="s">
        <v>7764</v>
      </c>
      <c r="B2956" t="s">
        <v>7765</v>
      </c>
      <c r="C2956" t="s">
        <v>116</v>
      </c>
      <c r="D2956">
        <v>9.84</v>
      </c>
      <c r="E2956">
        <v>300</v>
      </c>
      <c r="F2956" t="s">
        <v>51</v>
      </c>
      <c r="G2956" t="s">
        <v>32</v>
      </c>
      <c r="H2956" t="s">
        <v>57</v>
      </c>
      <c r="I2956" t="s">
        <v>34</v>
      </c>
      <c r="J2956" t="s">
        <v>82</v>
      </c>
      <c r="K2956" t="s">
        <v>74</v>
      </c>
      <c r="L2956">
        <v>6</v>
      </c>
      <c r="N2956" t="s">
        <v>3192</v>
      </c>
    </row>
    <row r="2957" spans="1:14" x14ac:dyDescent="0.35">
      <c r="A2957" t="s">
        <v>7766</v>
      </c>
      <c r="B2957" t="s">
        <v>7767</v>
      </c>
      <c r="C2957" t="s">
        <v>81</v>
      </c>
      <c r="D2957">
        <v>83.05</v>
      </c>
      <c r="E2957">
        <v>8000</v>
      </c>
      <c r="F2957" t="s">
        <v>51</v>
      </c>
      <c r="G2957" t="s">
        <v>32</v>
      </c>
      <c r="H2957" t="s">
        <v>43</v>
      </c>
      <c r="I2957" t="s">
        <v>44</v>
      </c>
      <c r="J2957" t="s">
        <v>45</v>
      </c>
      <c r="K2957" t="s">
        <v>46</v>
      </c>
      <c r="L2957">
        <v>1</v>
      </c>
      <c r="M2957" t="s">
        <v>3445</v>
      </c>
      <c r="N2957" t="s">
        <v>2065</v>
      </c>
    </row>
    <row r="2958" spans="1:14" x14ac:dyDescent="0.35">
      <c r="A2958" t="s">
        <v>7768</v>
      </c>
      <c r="B2958" t="s">
        <v>7769</v>
      </c>
      <c r="C2958" t="s">
        <v>116</v>
      </c>
      <c r="D2958">
        <v>6.25</v>
      </c>
      <c r="E2958">
        <v>600</v>
      </c>
      <c r="F2958" t="s">
        <v>64</v>
      </c>
      <c r="G2958" t="s">
        <v>32</v>
      </c>
      <c r="H2958" t="s">
        <v>57</v>
      </c>
      <c r="I2958" t="s">
        <v>44</v>
      </c>
      <c r="J2958" t="s">
        <v>3080</v>
      </c>
      <c r="K2958" t="s">
        <v>139</v>
      </c>
      <c r="L2958">
        <v>6</v>
      </c>
      <c r="M2958" t="s">
        <v>478</v>
      </c>
      <c r="N2958" t="s">
        <v>2626</v>
      </c>
    </row>
    <row r="2959" spans="1:14" x14ac:dyDescent="0.35">
      <c r="A2959" t="s">
        <v>7770</v>
      </c>
      <c r="B2959" t="s">
        <v>7771</v>
      </c>
      <c r="C2959" t="s">
        <v>30</v>
      </c>
      <c r="D2959">
        <v>196.72</v>
      </c>
      <c r="E2959">
        <v>7000</v>
      </c>
      <c r="F2959" t="s">
        <v>117</v>
      </c>
      <c r="G2959" t="s">
        <v>32</v>
      </c>
      <c r="H2959" t="s">
        <v>33</v>
      </c>
      <c r="J2959" t="s">
        <v>1071</v>
      </c>
      <c r="K2959" t="s">
        <v>236</v>
      </c>
      <c r="L2959">
        <v>4</v>
      </c>
      <c r="M2959" t="s">
        <v>5498</v>
      </c>
      <c r="N2959" t="s">
        <v>1528</v>
      </c>
    </row>
    <row r="2960" spans="1:14" x14ac:dyDescent="0.35">
      <c r="A2960" t="s">
        <v>7772</v>
      </c>
      <c r="B2960" t="s">
        <v>7773</v>
      </c>
      <c r="C2960" t="s">
        <v>116</v>
      </c>
      <c r="D2960">
        <v>9.3000000000000007</v>
      </c>
      <c r="E2960">
        <v>200</v>
      </c>
      <c r="F2960" t="s">
        <v>87</v>
      </c>
      <c r="G2960" t="s">
        <v>32</v>
      </c>
      <c r="H2960" t="s">
        <v>33</v>
      </c>
      <c r="I2960" t="s">
        <v>44</v>
      </c>
      <c r="J2960" t="s">
        <v>124</v>
      </c>
      <c r="K2960" t="s">
        <v>117</v>
      </c>
      <c r="L2960">
        <v>3</v>
      </c>
      <c r="N2960" t="s">
        <v>3407</v>
      </c>
    </row>
    <row r="2961" spans="1:14" x14ac:dyDescent="0.35">
      <c r="A2961" t="s">
        <v>7774</v>
      </c>
      <c r="B2961" t="s">
        <v>7775</v>
      </c>
      <c r="C2961" t="s">
        <v>116</v>
      </c>
      <c r="D2961">
        <v>9.9600000000000009</v>
      </c>
      <c r="E2961">
        <v>200</v>
      </c>
      <c r="F2961" t="s">
        <v>87</v>
      </c>
      <c r="G2961" t="s">
        <v>32</v>
      </c>
      <c r="H2961" t="s">
        <v>57</v>
      </c>
      <c r="I2961" t="s">
        <v>44</v>
      </c>
      <c r="J2961" t="s">
        <v>230</v>
      </c>
      <c r="K2961" t="s">
        <v>117</v>
      </c>
      <c r="L2961">
        <v>12</v>
      </c>
      <c r="M2961" t="s">
        <v>2398</v>
      </c>
      <c r="N2961" t="s">
        <v>984</v>
      </c>
    </row>
    <row r="2962" spans="1:14" x14ac:dyDescent="0.35">
      <c r="A2962" t="s">
        <v>7776</v>
      </c>
      <c r="B2962" t="s">
        <v>7777</v>
      </c>
      <c r="C2962" t="s">
        <v>81</v>
      </c>
      <c r="D2962">
        <v>82.99</v>
      </c>
      <c r="E2962">
        <v>4000</v>
      </c>
      <c r="F2962" t="s">
        <v>31</v>
      </c>
      <c r="G2962" t="s">
        <v>32</v>
      </c>
      <c r="H2962" t="s">
        <v>57</v>
      </c>
      <c r="I2962" t="s">
        <v>34</v>
      </c>
      <c r="J2962" t="s">
        <v>130</v>
      </c>
      <c r="K2962" t="s">
        <v>123</v>
      </c>
      <c r="L2962">
        <v>6</v>
      </c>
      <c r="M2962" t="s">
        <v>930</v>
      </c>
      <c r="N2962" t="s">
        <v>5180</v>
      </c>
    </row>
    <row r="2963" spans="1:14" x14ac:dyDescent="0.35">
      <c r="A2963" t="s">
        <v>7778</v>
      </c>
      <c r="B2963" t="s">
        <v>7779</v>
      </c>
      <c r="C2963" t="s">
        <v>116</v>
      </c>
      <c r="D2963">
        <v>8.26</v>
      </c>
      <c r="E2963">
        <v>400</v>
      </c>
      <c r="F2963" t="s">
        <v>87</v>
      </c>
      <c r="G2963" t="s">
        <v>32</v>
      </c>
      <c r="H2963" t="s">
        <v>33</v>
      </c>
      <c r="J2963" t="s">
        <v>45</v>
      </c>
      <c r="K2963" t="s">
        <v>46</v>
      </c>
      <c r="L2963">
        <v>20</v>
      </c>
      <c r="M2963" t="s">
        <v>2691</v>
      </c>
      <c r="N2963" t="s">
        <v>2661</v>
      </c>
    </row>
    <row r="2964" spans="1:14" x14ac:dyDescent="0.35">
      <c r="A2964" t="s">
        <v>7780</v>
      </c>
      <c r="B2964" t="s">
        <v>7781</v>
      </c>
      <c r="C2964" t="s">
        <v>69</v>
      </c>
      <c r="D2964">
        <v>68.7</v>
      </c>
      <c r="E2964">
        <v>23000</v>
      </c>
      <c r="F2964" t="s">
        <v>117</v>
      </c>
      <c r="G2964" t="s">
        <v>32</v>
      </c>
      <c r="H2964" t="s">
        <v>43</v>
      </c>
      <c r="J2964" t="s">
        <v>118</v>
      </c>
      <c r="K2964" t="s">
        <v>42</v>
      </c>
      <c r="L2964">
        <v>0</v>
      </c>
      <c r="M2964" t="s">
        <v>752</v>
      </c>
      <c r="N2964" t="s">
        <v>7174</v>
      </c>
    </row>
    <row r="2965" spans="1:14" x14ac:dyDescent="0.35">
      <c r="A2965" t="s">
        <v>7782</v>
      </c>
      <c r="B2965" t="s">
        <v>7783</v>
      </c>
      <c r="C2965" t="s">
        <v>62</v>
      </c>
      <c r="D2965">
        <v>86.72</v>
      </c>
      <c r="E2965">
        <v>2000</v>
      </c>
      <c r="F2965" t="s">
        <v>87</v>
      </c>
      <c r="G2965" t="s">
        <v>32</v>
      </c>
      <c r="H2965" t="s">
        <v>43</v>
      </c>
      <c r="I2965" t="s">
        <v>34</v>
      </c>
      <c r="J2965" t="s">
        <v>112</v>
      </c>
      <c r="K2965" t="s">
        <v>106</v>
      </c>
      <c r="L2965">
        <v>8</v>
      </c>
      <c r="M2965" t="s">
        <v>1028</v>
      </c>
      <c r="N2965" t="s">
        <v>379</v>
      </c>
    </row>
    <row r="2966" spans="1:14" x14ac:dyDescent="0.35">
      <c r="A2966" t="s">
        <v>7784</v>
      </c>
      <c r="B2966" t="s">
        <v>7785</v>
      </c>
      <c r="C2966" t="s">
        <v>30</v>
      </c>
      <c r="D2966">
        <v>184.96</v>
      </c>
      <c r="E2966">
        <v>5000</v>
      </c>
      <c r="F2966" t="s">
        <v>147</v>
      </c>
      <c r="G2966" t="s">
        <v>32</v>
      </c>
      <c r="H2966" t="s">
        <v>33</v>
      </c>
      <c r="J2966" t="s">
        <v>316</v>
      </c>
      <c r="K2966" t="s">
        <v>97</v>
      </c>
      <c r="L2966">
        <v>4</v>
      </c>
      <c r="M2966" t="s">
        <v>175</v>
      </c>
      <c r="N2966" t="s">
        <v>2968</v>
      </c>
    </row>
    <row r="2967" spans="1:14" x14ac:dyDescent="0.35">
      <c r="A2967" t="s">
        <v>7786</v>
      </c>
      <c r="B2967" t="s">
        <v>7787</v>
      </c>
      <c r="C2967" t="s">
        <v>81</v>
      </c>
      <c r="D2967">
        <v>122.88</v>
      </c>
      <c r="E2967">
        <v>1000</v>
      </c>
      <c r="F2967" t="s">
        <v>123</v>
      </c>
      <c r="G2967" t="s">
        <v>102</v>
      </c>
      <c r="H2967" t="s">
        <v>33</v>
      </c>
      <c r="I2967" t="s">
        <v>129</v>
      </c>
      <c r="J2967" t="s">
        <v>3080</v>
      </c>
      <c r="K2967" t="s">
        <v>139</v>
      </c>
      <c r="L2967">
        <v>6</v>
      </c>
      <c r="M2967" t="s">
        <v>3261</v>
      </c>
      <c r="N2967" t="s">
        <v>7122</v>
      </c>
    </row>
    <row r="2968" spans="1:14" x14ac:dyDescent="0.35">
      <c r="A2968" t="s">
        <v>7788</v>
      </c>
      <c r="B2968" t="s">
        <v>7789</v>
      </c>
      <c r="C2968" t="s">
        <v>81</v>
      </c>
      <c r="D2968">
        <v>96.33</v>
      </c>
      <c r="E2968">
        <v>7000</v>
      </c>
      <c r="F2968" t="s">
        <v>51</v>
      </c>
      <c r="G2968" t="s">
        <v>32</v>
      </c>
      <c r="H2968" t="s">
        <v>43</v>
      </c>
      <c r="I2968" t="s">
        <v>44</v>
      </c>
      <c r="J2968" t="s">
        <v>411</v>
      </c>
      <c r="K2968" t="s">
        <v>147</v>
      </c>
      <c r="L2968">
        <v>9</v>
      </c>
      <c r="M2968" t="s">
        <v>2111</v>
      </c>
      <c r="N2968" t="s">
        <v>1656</v>
      </c>
    </row>
    <row r="2969" spans="1:14" x14ac:dyDescent="0.35">
      <c r="A2969" t="s">
        <v>7790</v>
      </c>
      <c r="B2969" t="s">
        <v>7791</v>
      </c>
      <c r="C2969" t="s">
        <v>69</v>
      </c>
      <c r="D2969">
        <v>88.16</v>
      </c>
      <c r="E2969">
        <v>62000</v>
      </c>
      <c r="F2969" t="s">
        <v>42</v>
      </c>
      <c r="G2969" t="s">
        <v>102</v>
      </c>
      <c r="H2969" t="s">
        <v>57</v>
      </c>
      <c r="I2969" t="s">
        <v>44</v>
      </c>
      <c r="J2969" t="s">
        <v>4461</v>
      </c>
      <c r="K2969" t="s">
        <v>51</v>
      </c>
      <c r="L2969">
        <v>14</v>
      </c>
      <c r="M2969" t="s">
        <v>2785</v>
      </c>
      <c r="N2969" t="s">
        <v>7792</v>
      </c>
    </row>
    <row r="2970" spans="1:14" x14ac:dyDescent="0.35">
      <c r="A2970" t="s">
        <v>7793</v>
      </c>
      <c r="B2970" t="s">
        <v>7794</v>
      </c>
      <c r="C2970" t="s">
        <v>41</v>
      </c>
      <c r="D2970">
        <v>95.68</v>
      </c>
      <c r="E2970">
        <v>20000</v>
      </c>
      <c r="F2970" t="s">
        <v>74</v>
      </c>
      <c r="G2970" t="s">
        <v>32</v>
      </c>
      <c r="H2970" t="s">
        <v>43</v>
      </c>
      <c r="I2970" t="s">
        <v>129</v>
      </c>
      <c r="J2970" t="s">
        <v>959</v>
      </c>
      <c r="K2970" t="s">
        <v>139</v>
      </c>
      <c r="L2970">
        <v>19</v>
      </c>
      <c r="M2970" t="s">
        <v>3545</v>
      </c>
      <c r="N2970" t="s">
        <v>6915</v>
      </c>
    </row>
    <row r="2971" spans="1:14" x14ac:dyDescent="0.35">
      <c r="A2971" t="s">
        <v>7795</v>
      </c>
      <c r="B2971" t="s">
        <v>7796</v>
      </c>
      <c r="C2971" t="s">
        <v>81</v>
      </c>
      <c r="D2971">
        <v>109.97</v>
      </c>
      <c r="E2971">
        <v>3000</v>
      </c>
      <c r="F2971" t="s">
        <v>74</v>
      </c>
      <c r="G2971" t="s">
        <v>32</v>
      </c>
      <c r="H2971" t="s">
        <v>33</v>
      </c>
      <c r="I2971" t="s">
        <v>34</v>
      </c>
      <c r="J2971" t="s">
        <v>75</v>
      </c>
      <c r="K2971" t="s">
        <v>76</v>
      </c>
      <c r="L2971">
        <v>18</v>
      </c>
      <c r="M2971" t="s">
        <v>2730</v>
      </c>
      <c r="N2971" t="s">
        <v>1317</v>
      </c>
    </row>
    <row r="2972" spans="1:14" x14ac:dyDescent="0.35">
      <c r="A2972" t="s">
        <v>7797</v>
      </c>
      <c r="B2972" t="s">
        <v>7798</v>
      </c>
      <c r="C2972" t="s">
        <v>116</v>
      </c>
      <c r="D2972">
        <v>7.77</v>
      </c>
      <c r="E2972">
        <v>600</v>
      </c>
      <c r="F2972" t="s">
        <v>64</v>
      </c>
      <c r="G2972" t="s">
        <v>32</v>
      </c>
      <c r="H2972" t="s">
        <v>33</v>
      </c>
      <c r="I2972" t="s">
        <v>129</v>
      </c>
      <c r="J2972" t="s">
        <v>75</v>
      </c>
      <c r="K2972" t="s">
        <v>76</v>
      </c>
      <c r="L2972">
        <v>17</v>
      </c>
      <c r="M2972" t="s">
        <v>1196</v>
      </c>
      <c r="N2972" t="s">
        <v>2964</v>
      </c>
    </row>
    <row r="2973" spans="1:14" x14ac:dyDescent="0.35">
      <c r="A2973" t="s">
        <v>7799</v>
      </c>
      <c r="B2973" t="s">
        <v>7800</v>
      </c>
      <c r="C2973" t="s">
        <v>62</v>
      </c>
      <c r="D2973">
        <v>99.89</v>
      </c>
      <c r="E2973">
        <v>2000</v>
      </c>
      <c r="F2973" t="s">
        <v>76</v>
      </c>
      <c r="G2973" t="s">
        <v>32</v>
      </c>
      <c r="H2973" t="s">
        <v>33</v>
      </c>
      <c r="I2973" t="s">
        <v>44</v>
      </c>
      <c r="J2973" t="s">
        <v>45</v>
      </c>
      <c r="K2973" t="s">
        <v>46</v>
      </c>
      <c r="L2973">
        <v>9</v>
      </c>
      <c r="M2973" t="s">
        <v>434</v>
      </c>
      <c r="N2973" t="s">
        <v>2727</v>
      </c>
    </row>
    <row r="2974" spans="1:14" x14ac:dyDescent="0.35">
      <c r="A2974" t="s">
        <v>7801</v>
      </c>
      <c r="B2974" t="s">
        <v>7802</v>
      </c>
      <c r="C2974" t="s">
        <v>41</v>
      </c>
      <c r="D2974">
        <v>134.69999999999999</v>
      </c>
      <c r="E2974">
        <v>36000</v>
      </c>
      <c r="F2974" t="s">
        <v>76</v>
      </c>
      <c r="G2974" t="s">
        <v>32</v>
      </c>
      <c r="H2974" t="s">
        <v>57</v>
      </c>
      <c r="I2974" t="s">
        <v>129</v>
      </c>
      <c r="J2974" t="s">
        <v>5115</v>
      </c>
      <c r="K2974" t="s">
        <v>51</v>
      </c>
      <c r="L2974">
        <v>14</v>
      </c>
      <c r="M2974" t="s">
        <v>513</v>
      </c>
      <c r="N2974" t="s">
        <v>1977</v>
      </c>
    </row>
    <row r="2975" spans="1:14" x14ac:dyDescent="0.35">
      <c r="A2975" t="s">
        <v>7803</v>
      </c>
      <c r="B2975" t="s">
        <v>7804</v>
      </c>
      <c r="C2975" t="s">
        <v>62</v>
      </c>
      <c r="D2975">
        <v>85.14</v>
      </c>
      <c r="E2975">
        <v>4000</v>
      </c>
      <c r="F2975" t="s">
        <v>97</v>
      </c>
      <c r="G2975" t="s">
        <v>32</v>
      </c>
      <c r="H2975" t="s">
        <v>57</v>
      </c>
      <c r="I2975" t="s">
        <v>129</v>
      </c>
      <c r="J2975" t="s">
        <v>45</v>
      </c>
      <c r="K2975" t="s">
        <v>46</v>
      </c>
      <c r="L2975">
        <v>4</v>
      </c>
      <c r="N2975" t="s">
        <v>7349</v>
      </c>
    </row>
    <row r="2976" spans="1:14" x14ac:dyDescent="0.35">
      <c r="A2976" t="s">
        <v>7805</v>
      </c>
      <c r="B2976" t="s">
        <v>7806</v>
      </c>
      <c r="C2976" t="s">
        <v>81</v>
      </c>
      <c r="D2976">
        <v>71.319999999999993</v>
      </c>
      <c r="E2976">
        <v>8000</v>
      </c>
      <c r="F2976" t="s">
        <v>76</v>
      </c>
      <c r="G2976" t="s">
        <v>32</v>
      </c>
      <c r="H2976" t="s">
        <v>33</v>
      </c>
      <c r="I2976" t="s">
        <v>34</v>
      </c>
      <c r="J2976" t="s">
        <v>63</v>
      </c>
      <c r="K2976" t="s">
        <v>64</v>
      </c>
      <c r="L2976">
        <v>14</v>
      </c>
      <c r="M2976" t="s">
        <v>2809</v>
      </c>
      <c r="N2976" t="s">
        <v>2580</v>
      </c>
    </row>
    <row r="2977" spans="1:14" x14ac:dyDescent="0.35">
      <c r="A2977" t="s">
        <v>7807</v>
      </c>
      <c r="B2977" t="s">
        <v>7808</v>
      </c>
      <c r="C2977" t="s">
        <v>62</v>
      </c>
      <c r="D2977">
        <v>60.56</v>
      </c>
      <c r="E2977">
        <v>2000</v>
      </c>
      <c r="F2977" t="s">
        <v>51</v>
      </c>
      <c r="G2977" t="s">
        <v>32</v>
      </c>
      <c r="H2977" t="s">
        <v>57</v>
      </c>
      <c r="I2977" t="s">
        <v>44</v>
      </c>
      <c r="J2977" t="s">
        <v>130</v>
      </c>
      <c r="K2977" t="s">
        <v>123</v>
      </c>
      <c r="L2977">
        <v>5</v>
      </c>
      <c r="M2977" t="s">
        <v>2433</v>
      </c>
      <c r="N2977" t="s">
        <v>4093</v>
      </c>
    </row>
    <row r="2978" spans="1:14" x14ac:dyDescent="0.35">
      <c r="A2978" t="s">
        <v>7809</v>
      </c>
      <c r="B2978" t="s">
        <v>7810</v>
      </c>
      <c r="C2978" t="s">
        <v>69</v>
      </c>
      <c r="D2978">
        <v>57.97</v>
      </c>
      <c r="E2978">
        <v>65000</v>
      </c>
      <c r="F2978" t="s">
        <v>31</v>
      </c>
      <c r="G2978" t="s">
        <v>32</v>
      </c>
      <c r="H2978" t="s">
        <v>43</v>
      </c>
      <c r="I2978" t="s">
        <v>129</v>
      </c>
      <c r="J2978" t="s">
        <v>92</v>
      </c>
      <c r="K2978" t="s">
        <v>51</v>
      </c>
      <c r="L2978">
        <v>0</v>
      </c>
      <c r="N2978" t="s">
        <v>59</v>
      </c>
    </row>
    <row r="2979" spans="1:14" x14ac:dyDescent="0.35">
      <c r="A2979" t="s">
        <v>7811</v>
      </c>
      <c r="B2979" t="s">
        <v>7812</v>
      </c>
      <c r="C2979" t="s">
        <v>116</v>
      </c>
      <c r="D2979">
        <v>6.49</v>
      </c>
      <c r="E2979">
        <v>700</v>
      </c>
      <c r="F2979" t="s">
        <v>117</v>
      </c>
      <c r="G2979" t="s">
        <v>32</v>
      </c>
      <c r="H2979" t="s">
        <v>57</v>
      </c>
      <c r="I2979" t="s">
        <v>34</v>
      </c>
      <c r="J2979" t="s">
        <v>118</v>
      </c>
      <c r="K2979" t="s">
        <v>42</v>
      </c>
      <c r="L2979">
        <v>15</v>
      </c>
      <c r="N2979" t="s">
        <v>7813</v>
      </c>
    </row>
    <row r="2980" spans="1:14" x14ac:dyDescent="0.35">
      <c r="A2980" t="s">
        <v>7814</v>
      </c>
      <c r="B2980" t="s">
        <v>7815</v>
      </c>
      <c r="C2980" t="s">
        <v>81</v>
      </c>
      <c r="D2980">
        <v>84.77</v>
      </c>
      <c r="E2980">
        <v>4000</v>
      </c>
      <c r="F2980" t="s">
        <v>42</v>
      </c>
      <c r="G2980" t="s">
        <v>32</v>
      </c>
      <c r="H2980" t="s">
        <v>57</v>
      </c>
      <c r="I2980" t="s">
        <v>44</v>
      </c>
      <c r="J2980" t="s">
        <v>235</v>
      </c>
      <c r="K2980" t="s">
        <v>236</v>
      </c>
      <c r="L2980">
        <v>21</v>
      </c>
      <c r="N2980" t="s">
        <v>4349</v>
      </c>
    </row>
    <row r="2981" spans="1:14" x14ac:dyDescent="0.35">
      <c r="A2981" t="s">
        <v>7816</v>
      </c>
      <c r="B2981" t="s">
        <v>7817</v>
      </c>
      <c r="C2981" t="s">
        <v>69</v>
      </c>
      <c r="D2981">
        <v>92.01</v>
      </c>
      <c r="E2981">
        <v>54000</v>
      </c>
      <c r="F2981" t="s">
        <v>36</v>
      </c>
      <c r="G2981" t="s">
        <v>32</v>
      </c>
      <c r="H2981" t="s">
        <v>33</v>
      </c>
      <c r="I2981" t="s">
        <v>44</v>
      </c>
      <c r="J2981" t="s">
        <v>75</v>
      </c>
      <c r="K2981" t="s">
        <v>76</v>
      </c>
      <c r="L2981">
        <v>11</v>
      </c>
      <c r="M2981" t="s">
        <v>5498</v>
      </c>
      <c r="N2981" t="s">
        <v>6480</v>
      </c>
    </row>
    <row r="2982" spans="1:14" x14ac:dyDescent="0.35">
      <c r="A2982" t="s">
        <v>7818</v>
      </c>
      <c r="B2982" t="s">
        <v>7819</v>
      </c>
      <c r="C2982" t="s">
        <v>116</v>
      </c>
      <c r="D2982">
        <v>7.03</v>
      </c>
      <c r="E2982">
        <v>300</v>
      </c>
      <c r="F2982" t="s">
        <v>74</v>
      </c>
      <c r="G2982" t="s">
        <v>32</v>
      </c>
      <c r="H2982" t="s">
        <v>43</v>
      </c>
      <c r="I2982" t="s">
        <v>34</v>
      </c>
      <c r="J2982" t="s">
        <v>941</v>
      </c>
      <c r="K2982" t="s">
        <v>147</v>
      </c>
      <c r="L2982">
        <v>19</v>
      </c>
      <c r="M2982" t="s">
        <v>304</v>
      </c>
      <c r="N2982" t="s">
        <v>3157</v>
      </c>
    </row>
    <row r="2983" spans="1:14" x14ac:dyDescent="0.35">
      <c r="A2983" t="s">
        <v>7820</v>
      </c>
      <c r="B2983" t="s">
        <v>7821</v>
      </c>
      <c r="C2983" t="s">
        <v>30</v>
      </c>
      <c r="D2983">
        <v>125.77</v>
      </c>
      <c r="E2983">
        <v>7000</v>
      </c>
      <c r="F2983" t="s">
        <v>46</v>
      </c>
      <c r="G2983" t="s">
        <v>32</v>
      </c>
      <c r="H2983" t="s">
        <v>43</v>
      </c>
      <c r="I2983" t="s">
        <v>34</v>
      </c>
      <c r="J2983" t="s">
        <v>75</v>
      </c>
      <c r="K2983" t="s">
        <v>76</v>
      </c>
      <c r="L2983">
        <v>10</v>
      </c>
      <c r="M2983" t="s">
        <v>2348</v>
      </c>
      <c r="N2983" t="s">
        <v>3687</v>
      </c>
    </row>
    <row r="2984" spans="1:14" x14ac:dyDescent="0.35">
      <c r="A2984" t="s">
        <v>7822</v>
      </c>
      <c r="B2984" t="s">
        <v>7823</v>
      </c>
      <c r="C2984" t="s">
        <v>30</v>
      </c>
      <c r="D2984">
        <v>139.6</v>
      </c>
      <c r="E2984">
        <v>11000</v>
      </c>
      <c r="F2984" t="s">
        <v>36</v>
      </c>
      <c r="G2984" t="s">
        <v>32</v>
      </c>
      <c r="H2984" t="s">
        <v>43</v>
      </c>
      <c r="I2984" t="s">
        <v>44</v>
      </c>
      <c r="J2984" t="s">
        <v>1827</v>
      </c>
      <c r="K2984" t="s">
        <v>51</v>
      </c>
      <c r="L2984">
        <v>8</v>
      </c>
      <c r="M2984" t="s">
        <v>4905</v>
      </c>
      <c r="N2984" t="s">
        <v>3209</v>
      </c>
    </row>
    <row r="2985" spans="1:14" x14ac:dyDescent="0.35">
      <c r="A2985" t="s">
        <v>7824</v>
      </c>
      <c r="B2985" t="s">
        <v>7825</v>
      </c>
      <c r="C2985" t="s">
        <v>62</v>
      </c>
      <c r="D2985">
        <v>92.8</v>
      </c>
      <c r="E2985">
        <v>4000</v>
      </c>
      <c r="F2985" t="s">
        <v>36</v>
      </c>
      <c r="G2985" t="s">
        <v>32</v>
      </c>
      <c r="H2985" t="s">
        <v>43</v>
      </c>
      <c r="I2985" t="s">
        <v>129</v>
      </c>
      <c r="J2985" t="s">
        <v>75</v>
      </c>
      <c r="K2985" t="s">
        <v>76</v>
      </c>
      <c r="L2985">
        <v>10</v>
      </c>
      <c r="M2985" t="s">
        <v>83</v>
      </c>
      <c r="N2985" t="s">
        <v>5392</v>
      </c>
    </row>
    <row r="2986" spans="1:14" x14ac:dyDescent="0.35">
      <c r="A2986" t="s">
        <v>7826</v>
      </c>
      <c r="B2986" t="s">
        <v>7827</v>
      </c>
      <c r="C2986" t="s">
        <v>69</v>
      </c>
      <c r="D2986">
        <v>97.07</v>
      </c>
      <c r="E2986">
        <v>25000</v>
      </c>
      <c r="F2986" t="s">
        <v>97</v>
      </c>
      <c r="G2986" t="s">
        <v>32</v>
      </c>
      <c r="H2986" t="s">
        <v>43</v>
      </c>
      <c r="I2986" t="s">
        <v>34</v>
      </c>
      <c r="J2986" t="s">
        <v>63</v>
      </c>
      <c r="K2986" t="s">
        <v>64</v>
      </c>
      <c r="L2986">
        <v>18</v>
      </c>
      <c r="M2986" t="s">
        <v>4825</v>
      </c>
      <c r="N2986" t="s">
        <v>3528</v>
      </c>
    </row>
    <row r="2987" spans="1:14" x14ac:dyDescent="0.35">
      <c r="A2987" t="s">
        <v>7828</v>
      </c>
      <c r="B2987" t="s">
        <v>7829</v>
      </c>
      <c r="C2987" t="s">
        <v>41</v>
      </c>
      <c r="D2987">
        <v>93.56</v>
      </c>
      <c r="E2987">
        <v>20000</v>
      </c>
      <c r="F2987" t="s">
        <v>36</v>
      </c>
      <c r="G2987" t="s">
        <v>32</v>
      </c>
      <c r="H2987" t="s">
        <v>43</v>
      </c>
      <c r="I2987" t="s">
        <v>34</v>
      </c>
      <c r="J2987" t="s">
        <v>112</v>
      </c>
      <c r="K2987" t="s">
        <v>106</v>
      </c>
      <c r="L2987">
        <v>20</v>
      </c>
      <c r="M2987" t="s">
        <v>7413</v>
      </c>
      <c r="N2987" t="s">
        <v>1995</v>
      </c>
    </row>
    <row r="2988" spans="1:14" x14ac:dyDescent="0.35">
      <c r="A2988" t="s">
        <v>7830</v>
      </c>
      <c r="B2988" t="s">
        <v>7831</v>
      </c>
      <c r="C2988" t="s">
        <v>41</v>
      </c>
      <c r="D2988">
        <v>142.35</v>
      </c>
      <c r="E2988">
        <v>40000</v>
      </c>
      <c r="F2988" t="s">
        <v>139</v>
      </c>
      <c r="G2988" t="s">
        <v>32</v>
      </c>
      <c r="H2988" t="s">
        <v>57</v>
      </c>
      <c r="J2988" t="s">
        <v>179</v>
      </c>
      <c r="K2988" t="s">
        <v>97</v>
      </c>
      <c r="L2988">
        <v>19</v>
      </c>
      <c r="M2988" t="s">
        <v>1873</v>
      </c>
      <c r="N2988" t="s">
        <v>3428</v>
      </c>
    </row>
    <row r="2989" spans="1:14" x14ac:dyDescent="0.35">
      <c r="A2989" t="s">
        <v>7832</v>
      </c>
      <c r="B2989" t="s">
        <v>7833</v>
      </c>
      <c r="C2989" t="s">
        <v>69</v>
      </c>
      <c r="D2989">
        <v>97.67</v>
      </c>
      <c r="E2989">
        <v>60000</v>
      </c>
      <c r="F2989" t="s">
        <v>76</v>
      </c>
      <c r="G2989" t="s">
        <v>32</v>
      </c>
      <c r="H2989" t="s">
        <v>43</v>
      </c>
      <c r="I2989" t="s">
        <v>129</v>
      </c>
      <c r="J2989" t="s">
        <v>92</v>
      </c>
      <c r="K2989" t="s">
        <v>51</v>
      </c>
      <c r="L2989">
        <v>18</v>
      </c>
      <c r="M2989" t="s">
        <v>398</v>
      </c>
      <c r="N2989" t="s">
        <v>3387</v>
      </c>
    </row>
    <row r="2990" spans="1:14" x14ac:dyDescent="0.35">
      <c r="A2990" t="s">
        <v>7834</v>
      </c>
      <c r="B2990" t="s">
        <v>7835</v>
      </c>
      <c r="C2990" t="s">
        <v>30</v>
      </c>
      <c r="D2990">
        <v>195.71</v>
      </c>
      <c r="E2990">
        <v>6000</v>
      </c>
      <c r="F2990" t="s">
        <v>51</v>
      </c>
      <c r="G2990" t="s">
        <v>32</v>
      </c>
      <c r="H2990" t="s">
        <v>57</v>
      </c>
      <c r="I2990" t="s">
        <v>44</v>
      </c>
      <c r="J2990" t="s">
        <v>959</v>
      </c>
      <c r="K2990" t="s">
        <v>139</v>
      </c>
      <c r="L2990">
        <v>0</v>
      </c>
      <c r="M2990" t="s">
        <v>1425</v>
      </c>
      <c r="N2990" t="s">
        <v>2357</v>
      </c>
    </row>
    <row r="2991" spans="1:14" x14ac:dyDescent="0.35">
      <c r="A2991" t="s">
        <v>7836</v>
      </c>
      <c r="B2991" t="s">
        <v>7837</v>
      </c>
      <c r="C2991" t="s">
        <v>62</v>
      </c>
      <c r="D2991">
        <v>99</v>
      </c>
      <c r="E2991">
        <v>5000</v>
      </c>
      <c r="F2991" t="s">
        <v>46</v>
      </c>
      <c r="G2991" t="s">
        <v>32</v>
      </c>
      <c r="H2991" t="s">
        <v>33</v>
      </c>
      <c r="I2991" t="s">
        <v>34</v>
      </c>
      <c r="J2991" t="s">
        <v>6204</v>
      </c>
      <c r="K2991" t="s">
        <v>139</v>
      </c>
      <c r="L2991">
        <v>20</v>
      </c>
      <c r="N2991" t="s">
        <v>2337</v>
      </c>
    </row>
    <row r="2992" spans="1:14" x14ac:dyDescent="0.35">
      <c r="A2992" t="s">
        <v>7838</v>
      </c>
      <c r="B2992" t="s">
        <v>7839</v>
      </c>
      <c r="C2992" t="s">
        <v>69</v>
      </c>
      <c r="D2992">
        <v>91.72</v>
      </c>
      <c r="E2992">
        <v>62000</v>
      </c>
      <c r="F2992" t="s">
        <v>31</v>
      </c>
      <c r="G2992" t="s">
        <v>102</v>
      </c>
      <c r="H2992" t="s">
        <v>57</v>
      </c>
      <c r="J2992" t="s">
        <v>130</v>
      </c>
      <c r="K2992" t="s">
        <v>123</v>
      </c>
      <c r="L2992">
        <v>22</v>
      </c>
      <c r="M2992" t="s">
        <v>188</v>
      </c>
      <c r="N2992" t="s">
        <v>2859</v>
      </c>
    </row>
    <row r="2993" spans="1:14" x14ac:dyDescent="0.35">
      <c r="A2993" t="s">
        <v>7840</v>
      </c>
      <c r="B2993" t="s">
        <v>7841</v>
      </c>
      <c r="C2993" t="s">
        <v>81</v>
      </c>
      <c r="D2993">
        <v>78.97</v>
      </c>
      <c r="E2993">
        <v>1000</v>
      </c>
      <c r="F2993" t="s">
        <v>51</v>
      </c>
      <c r="G2993" t="s">
        <v>32</v>
      </c>
      <c r="H2993" t="s">
        <v>43</v>
      </c>
      <c r="I2993" t="s">
        <v>129</v>
      </c>
      <c r="J2993" t="s">
        <v>209</v>
      </c>
      <c r="K2993" t="s">
        <v>74</v>
      </c>
      <c r="L2993">
        <v>3</v>
      </c>
      <c r="N2993" t="s">
        <v>4760</v>
      </c>
    </row>
    <row r="2994" spans="1:14" x14ac:dyDescent="0.35">
      <c r="A2994" t="s">
        <v>7842</v>
      </c>
      <c r="B2994" t="s">
        <v>7843</v>
      </c>
      <c r="C2994" t="s">
        <v>62</v>
      </c>
      <c r="D2994">
        <v>71.680000000000007</v>
      </c>
      <c r="E2994">
        <v>2000</v>
      </c>
      <c r="F2994" t="s">
        <v>97</v>
      </c>
      <c r="G2994" t="s">
        <v>32</v>
      </c>
      <c r="H2994" t="s">
        <v>33</v>
      </c>
      <c r="I2994" t="s">
        <v>44</v>
      </c>
      <c r="J2994" t="s">
        <v>830</v>
      </c>
      <c r="K2994" t="s">
        <v>51</v>
      </c>
      <c r="L2994">
        <v>14</v>
      </c>
      <c r="M2994" t="s">
        <v>77</v>
      </c>
      <c r="N2994" t="s">
        <v>1780</v>
      </c>
    </row>
    <row r="2995" spans="1:14" x14ac:dyDescent="0.35">
      <c r="A2995" t="s">
        <v>7844</v>
      </c>
      <c r="B2995" t="s">
        <v>7845</v>
      </c>
      <c r="C2995" t="s">
        <v>62</v>
      </c>
      <c r="D2995">
        <v>78.12</v>
      </c>
      <c r="E2995">
        <v>2000</v>
      </c>
      <c r="F2995" t="s">
        <v>97</v>
      </c>
      <c r="G2995" t="s">
        <v>32</v>
      </c>
      <c r="H2995" t="s">
        <v>43</v>
      </c>
      <c r="J2995" t="s">
        <v>124</v>
      </c>
      <c r="K2995" t="s">
        <v>117</v>
      </c>
      <c r="L2995">
        <v>6</v>
      </c>
      <c r="M2995" t="s">
        <v>6832</v>
      </c>
      <c r="N2995" t="s">
        <v>735</v>
      </c>
    </row>
    <row r="2996" spans="1:14" x14ac:dyDescent="0.35">
      <c r="A2996" t="s">
        <v>7846</v>
      </c>
      <c r="B2996" t="s">
        <v>7847</v>
      </c>
      <c r="C2996" t="s">
        <v>69</v>
      </c>
      <c r="D2996">
        <v>56.93</v>
      </c>
      <c r="E2996">
        <v>64000</v>
      </c>
      <c r="F2996" t="s">
        <v>236</v>
      </c>
      <c r="G2996" t="s">
        <v>32</v>
      </c>
      <c r="H2996" t="s">
        <v>43</v>
      </c>
      <c r="I2996" t="s">
        <v>44</v>
      </c>
      <c r="J2996" t="s">
        <v>118</v>
      </c>
      <c r="K2996" t="s">
        <v>42</v>
      </c>
      <c r="L2996">
        <v>16</v>
      </c>
      <c r="M2996" t="s">
        <v>1743</v>
      </c>
      <c r="N2996" t="s">
        <v>493</v>
      </c>
    </row>
    <row r="2997" spans="1:14" x14ac:dyDescent="0.35">
      <c r="A2997" t="s">
        <v>7848</v>
      </c>
      <c r="B2997" t="s">
        <v>7849</v>
      </c>
      <c r="C2997" t="s">
        <v>30</v>
      </c>
      <c r="D2997">
        <v>113.68</v>
      </c>
      <c r="E2997">
        <v>18000</v>
      </c>
      <c r="F2997" t="s">
        <v>147</v>
      </c>
      <c r="G2997" t="s">
        <v>32</v>
      </c>
      <c r="H2997" t="s">
        <v>57</v>
      </c>
      <c r="I2997" t="s">
        <v>44</v>
      </c>
      <c r="J2997" t="s">
        <v>124</v>
      </c>
      <c r="K2997" t="s">
        <v>117</v>
      </c>
      <c r="L2997">
        <v>23</v>
      </c>
      <c r="M2997" t="s">
        <v>2265</v>
      </c>
      <c r="N2997" t="s">
        <v>7300</v>
      </c>
    </row>
    <row r="2998" spans="1:14" x14ac:dyDescent="0.35">
      <c r="A2998" t="s">
        <v>7850</v>
      </c>
      <c r="B2998" t="s">
        <v>7851</v>
      </c>
      <c r="C2998" t="s">
        <v>69</v>
      </c>
      <c r="D2998">
        <v>66.81</v>
      </c>
      <c r="E2998">
        <v>41000</v>
      </c>
      <c r="F2998" t="s">
        <v>74</v>
      </c>
      <c r="G2998" t="s">
        <v>32</v>
      </c>
      <c r="H2998" t="s">
        <v>43</v>
      </c>
      <c r="I2998" t="s">
        <v>129</v>
      </c>
      <c r="J2998" t="s">
        <v>35</v>
      </c>
      <c r="K2998" t="s">
        <v>36</v>
      </c>
      <c r="L2998">
        <v>13</v>
      </c>
      <c r="M2998" t="s">
        <v>2265</v>
      </c>
      <c r="N2998" t="s">
        <v>1180</v>
      </c>
    </row>
    <row r="2999" spans="1:14" x14ac:dyDescent="0.35">
      <c r="A2999" t="s">
        <v>7852</v>
      </c>
      <c r="B2999" t="s">
        <v>7450</v>
      </c>
      <c r="C2999" t="s">
        <v>69</v>
      </c>
      <c r="D2999">
        <v>78.34</v>
      </c>
      <c r="E2999">
        <v>92000</v>
      </c>
      <c r="F2999" t="s">
        <v>42</v>
      </c>
      <c r="G2999" t="s">
        <v>32</v>
      </c>
      <c r="H2999" t="s">
        <v>33</v>
      </c>
      <c r="I2999" t="s">
        <v>44</v>
      </c>
      <c r="J2999" t="s">
        <v>209</v>
      </c>
      <c r="K2999" t="s">
        <v>74</v>
      </c>
      <c r="L2999">
        <v>21</v>
      </c>
      <c r="N2999" t="s">
        <v>2290</v>
      </c>
    </row>
    <row r="3000" spans="1:14" x14ac:dyDescent="0.35">
      <c r="A3000" t="s">
        <v>7853</v>
      </c>
      <c r="B3000" t="s">
        <v>7854</v>
      </c>
      <c r="C3000" t="s">
        <v>62</v>
      </c>
      <c r="D3000">
        <v>81.56</v>
      </c>
      <c r="E3000">
        <v>3000</v>
      </c>
      <c r="F3000" t="s">
        <v>42</v>
      </c>
      <c r="G3000" t="s">
        <v>32</v>
      </c>
      <c r="H3000" t="s">
        <v>57</v>
      </c>
      <c r="I3000" t="s">
        <v>34</v>
      </c>
      <c r="J3000" t="s">
        <v>138</v>
      </c>
      <c r="K3000" t="s">
        <v>139</v>
      </c>
      <c r="L3000">
        <v>14</v>
      </c>
      <c r="N3000" t="s">
        <v>1393</v>
      </c>
    </row>
    <row r="3001" spans="1:14" x14ac:dyDescent="0.35">
      <c r="A3001" t="s">
        <v>7855</v>
      </c>
      <c r="B3001" t="s">
        <v>7856</v>
      </c>
      <c r="C3001" t="s">
        <v>41</v>
      </c>
      <c r="D3001">
        <v>86.5</v>
      </c>
      <c r="E3001">
        <v>28000</v>
      </c>
      <c r="F3001" t="s">
        <v>87</v>
      </c>
      <c r="G3001" t="s">
        <v>32</v>
      </c>
      <c r="H3001" t="s">
        <v>33</v>
      </c>
      <c r="I3001" t="s">
        <v>34</v>
      </c>
      <c r="J3001" t="s">
        <v>107</v>
      </c>
      <c r="K3001" t="s">
        <v>87</v>
      </c>
      <c r="L3001">
        <v>2</v>
      </c>
      <c r="N3001" t="s">
        <v>996</v>
      </c>
    </row>
    <row r="3002" spans="1:14" x14ac:dyDescent="0.35">
      <c r="A3002" t="s">
        <v>7857</v>
      </c>
      <c r="B3002" t="s">
        <v>7858</v>
      </c>
      <c r="C3002" t="s">
        <v>62</v>
      </c>
      <c r="D3002">
        <v>78.349999999999994</v>
      </c>
      <c r="E3002">
        <v>1000</v>
      </c>
      <c r="F3002" t="s">
        <v>46</v>
      </c>
      <c r="G3002" t="s">
        <v>32</v>
      </c>
      <c r="H3002" t="s">
        <v>57</v>
      </c>
      <c r="I3002" t="s">
        <v>44</v>
      </c>
      <c r="J3002" t="s">
        <v>63</v>
      </c>
      <c r="K3002" t="s">
        <v>64</v>
      </c>
      <c r="L3002">
        <v>22</v>
      </c>
      <c r="M3002" t="s">
        <v>1147</v>
      </c>
      <c r="N3002" t="s">
        <v>3201</v>
      </c>
    </row>
    <row r="3003" spans="1:14" x14ac:dyDescent="0.35">
      <c r="A3003" t="s">
        <v>7859</v>
      </c>
      <c r="B3003" t="s">
        <v>7860</v>
      </c>
      <c r="C3003" t="s">
        <v>116</v>
      </c>
      <c r="D3003">
        <v>8.73</v>
      </c>
      <c r="E3003">
        <v>500</v>
      </c>
      <c r="F3003" t="s">
        <v>46</v>
      </c>
      <c r="G3003" t="s">
        <v>32</v>
      </c>
      <c r="H3003" t="s">
        <v>33</v>
      </c>
      <c r="I3003" t="s">
        <v>129</v>
      </c>
      <c r="J3003" t="s">
        <v>118</v>
      </c>
      <c r="K3003" t="s">
        <v>42</v>
      </c>
      <c r="L3003">
        <v>3</v>
      </c>
      <c r="M3003" t="s">
        <v>2723</v>
      </c>
      <c r="N3003" t="s">
        <v>3745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4"/>
  <sheetViews>
    <sheetView topLeftCell="J1" zoomScaleNormal="100" workbookViewId="0">
      <pane ySplit="4" topLeftCell="A5" activePane="bottomLeft" state="frozen"/>
      <selection pane="bottomLeft" sqref="A1:P1"/>
    </sheetView>
  </sheetViews>
  <sheetFormatPr defaultColWidth="8.6328125" defaultRowHeight="14.5" x14ac:dyDescent="0.35"/>
  <cols>
    <col min="1" max="8" width="20" customWidth="1"/>
    <col min="9" max="9" width="31" bestFit="1" customWidth="1"/>
    <col min="10" max="11" width="20" customWidth="1"/>
    <col min="12" max="12" width="28.6328125" bestFit="1" customWidth="1"/>
    <col min="13" max="15" width="20" customWidth="1"/>
  </cols>
  <sheetData>
    <row r="1" spans="1:16" ht="18" x14ac:dyDescent="0.4">
      <c r="A1" s="2" t="s">
        <v>7861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s="1" t="s">
        <v>7862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x14ac:dyDescent="0.35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7863</v>
      </c>
      <c r="J4" s="10" t="s">
        <v>23</v>
      </c>
      <c r="K4" s="10" t="s">
        <v>24</v>
      </c>
      <c r="L4" s="10" t="s">
        <v>25</v>
      </c>
      <c r="M4" s="10" t="s">
        <v>7864</v>
      </c>
      <c r="N4" s="10" t="s">
        <v>27</v>
      </c>
      <c r="O4" s="10" t="s">
        <v>7865</v>
      </c>
    </row>
    <row r="5" spans="1:16" x14ac:dyDescent="0.35">
      <c r="A5" t="str">
        <f>Raw_Claims_Data!A4</f>
        <v>TXN00000001</v>
      </c>
      <c r="B5" t="str">
        <f>TRIM(Raw_Claims_Data!B4)</f>
        <v>Christopher Demarest</v>
      </c>
      <c r="C5" t="str">
        <f>Raw_Claims_Data!C4</f>
        <v>Health</v>
      </c>
      <c r="D5">
        <f>Raw_Claims_Data!D4</f>
        <v>157.13</v>
      </c>
      <c r="E5">
        <f>Raw_Claims_Data!E4</f>
        <v>9000</v>
      </c>
      <c r="F5" t="str">
        <f>Raw_Claims_Data!F4</f>
        <v>AZ</v>
      </c>
      <c r="G5" t="str">
        <f>Raw_Claims_Data!G4</f>
        <v>A</v>
      </c>
      <c r="H5" t="str">
        <f>Raw_Claims_Data!H4</f>
        <v>Major Loss</v>
      </c>
      <c r="I5" t="str">
        <f>IF(Raw_Claims_Data!I4="","None",Raw_Claims_Data!I4)</f>
        <v>Police</v>
      </c>
      <c r="J5" t="str">
        <f>Raw_Claims_Data!J4</f>
        <v>Savannah</v>
      </c>
      <c r="K5" t="str">
        <f>Raw_Claims_Data!K4</f>
        <v>GA</v>
      </c>
      <c r="L5">
        <f>Raw_Claims_Data!L4</f>
        <v>4</v>
      </c>
      <c r="M5" t="str">
        <f>IF(Raw_Claims_Data!M4="","N/A",Raw_Claims_Data!M4)</f>
        <v>VNDR00556</v>
      </c>
      <c r="N5" t="str">
        <f>Raw_Claims_Data!N4</f>
        <v>AGENT00413</v>
      </c>
      <c r="O5">
        <f>IF(Raw_Claims_Data!G4="D",1,0)</f>
        <v>0</v>
      </c>
    </row>
    <row r="6" spans="1:16" x14ac:dyDescent="0.35">
      <c r="A6" t="str">
        <f>Raw_Claims_Data!A5</f>
        <v>TXN00000002</v>
      </c>
      <c r="B6" t="str">
        <f>TRIM(Raw_Claims_Data!B5)</f>
        <v>Ricardo Gatlin</v>
      </c>
      <c r="C6" t="str">
        <f>Raw_Claims_Data!C5</f>
        <v>Property</v>
      </c>
      <c r="D6">
        <f>Raw_Claims_Data!D5</f>
        <v>141.71</v>
      </c>
      <c r="E6">
        <f>Raw_Claims_Data!E5</f>
        <v>26000</v>
      </c>
      <c r="F6" t="str">
        <f>Raw_Claims_Data!F5</f>
        <v>CO</v>
      </c>
      <c r="G6" t="str">
        <f>Raw_Claims_Data!G5</f>
        <v>A</v>
      </c>
      <c r="H6" t="str">
        <f>Raw_Claims_Data!H5</f>
        <v>Total Loss</v>
      </c>
      <c r="I6" t="str">
        <f>IF(Raw_Claims_Data!I5="","None",Raw_Claims_Data!I5)</f>
        <v>Ambulance</v>
      </c>
      <c r="J6" t="str">
        <f>Raw_Claims_Data!J5</f>
        <v>Montgomery</v>
      </c>
      <c r="K6" t="str">
        <f>Raw_Claims_Data!K5</f>
        <v>AL</v>
      </c>
      <c r="L6">
        <f>Raw_Claims_Data!L5</f>
        <v>0</v>
      </c>
      <c r="M6" t="str">
        <f>IF(Raw_Claims_Data!M5="","N/A",Raw_Claims_Data!M5)</f>
        <v>VNDR00592</v>
      </c>
      <c r="N6" t="str">
        <f>Raw_Claims_Data!N5</f>
        <v>AGENT00769</v>
      </c>
      <c r="O6">
        <f>IF(Raw_Claims_Data!G5="D",1,0)</f>
        <v>0</v>
      </c>
    </row>
    <row r="7" spans="1:16" x14ac:dyDescent="0.35">
      <c r="A7" t="str">
        <f>Raw_Claims_Data!A6</f>
        <v>TXN00000003</v>
      </c>
      <c r="B7" t="str">
        <f>TRIM(Raw_Claims_Data!B6)</f>
        <v>Lashawn Engles</v>
      </c>
      <c r="C7" t="str">
        <f>Raw_Claims_Data!C6</f>
        <v>Property</v>
      </c>
      <c r="D7">
        <f>Raw_Claims_Data!D6</f>
        <v>157.24</v>
      </c>
      <c r="E7">
        <f>Raw_Claims_Data!E6</f>
        <v>13000</v>
      </c>
      <c r="F7" t="str">
        <f>Raw_Claims_Data!F6</f>
        <v>CA</v>
      </c>
      <c r="G7" t="str">
        <f>Raw_Claims_Data!G6</f>
        <v>A</v>
      </c>
      <c r="H7" t="str">
        <f>Raw_Claims_Data!H6</f>
        <v>Total Loss</v>
      </c>
      <c r="I7" t="str">
        <f>IF(Raw_Claims_Data!I6="","None",Raw_Claims_Data!I6)</f>
        <v>Police</v>
      </c>
      <c r="J7" t="str">
        <f>Raw_Claims_Data!J6</f>
        <v>Grand Junction</v>
      </c>
      <c r="K7" t="str">
        <f>Raw_Claims_Data!K6</f>
        <v>CO</v>
      </c>
      <c r="L7">
        <f>Raw_Claims_Data!L6</f>
        <v>19</v>
      </c>
      <c r="M7" t="str">
        <f>IF(Raw_Claims_Data!M6="","N/A",Raw_Claims_Data!M6)</f>
        <v>VNDR00031</v>
      </c>
      <c r="N7" t="str">
        <f>Raw_Claims_Data!N6</f>
        <v>AGENT00883</v>
      </c>
      <c r="O7">
        <f>IF(Raw_Claims_Data!G6="D",1,0)</f>
        <v>0</v>
      </c>
    </row>
    <row r="8" spans="1:16" x14ac:dyDescent="0.35">
      <c r="A8" t="str">
        <f>Raw_Claims_Data!A7</f>
        <v>TXN00000004</v>
      </c>
      <c r="B8" t="str">
        <f>TRIM(Raw_Claims_Data!B7)</f>
        <v>Steven Bassett</v>
      </c>
      <c r="C8" t="str">
        <f>Raw_Claims_Data!C7</f>
        <v>Health</v>
      </c>
      <c r="D8">
        <f>Raw_Claims_Data!D7</f>
        <v>172.87</v>
      </c>
      <c r="E8">
        <f>Raw_Claims_Data!E7</f>
        <v>16000</v>
      </c>
      <c r="F8" t="str">
        <f>Raw_Claims_Data!F7</f>
        <v>GA</v>
      </c>
      <c r="G8" t="str">
        <f>Raw_Claims_Data!G7</f>
        <v>A</v>
      </c>
      <c r="H8" t="str">
        <f>Raw_Claims_Data!H7</f>
        <v>Minor Loss</v>
      </c>
      <c r="I8" t="str">
        <f>IF(Raw_Claims_Data!I7="","None",Raw_Claims_Data!I7)</f>
        <v>Ambulance</v>
      </c>
      <c r="J8" t="str">
        <f>Raw_Claims_Data!J7</f>
        <v>Savannah</v>
      </c>
      <c r="K8" t="str">
        <f>Raw_Claims_Data!K7</f>
        <v>GA</v>
      </c>
      <c r="L8">
        <f>Raw_Claims_Data!L7</f>
        <v>12</v>
      </c>
      <c r="M8" t="str">
        <f>IF(Raw_Claims_Data!M7="","N/A",Raw_Claims_Data!M7)</f>
        <v>VNDR00075</v>
      </c>
      <c r="N8" t="str">
        <f>Raw_Claims_Data!N7</f>
        <v>AGENT00278</v>
      </c>
      <c r="O8">
        <f>IF(Raw_Claims_Data!G7="D",1,0)</f>
        <v>0</v>
      </c>
    </row>
    <row r="9" spans="1:16" x14ac:dyDescent="0.35">
      <c r="A9" t="str">
        <f>Raw_Claims_Data!A8</f>
        <v>TXN00000005</v>
      </c>
      <c r="B9" t="str">
        <f>TRIM(Raw_Claims_Data!B8)</f>
        <v>Jason Rodriguez</v>
      </c>
      <c r="C9" t="str">
        <f>Raw_Claims_Data!C8</f>
        <v>Travel</v>
      </c>
      <c r="D9">
        <f>Raw_Claims_Data!D8</f>
        <v>88.53</v>
      </c>
      <c r="E9">
        <f>Raw_Claims_Data!E8</f>
        <v>3000</v>
      </c>
      <c r="F9" t="str">
        <f>Raw_Claims_Data!F8</f>
        <v>CA</v>
      </c>
      <c r="G9" t="str">
        <f>Raw_Claims_Data!G8</f>
        <v>A</v>
      </c>
      <c r="H9" t="str">
        <f>Raw_Claims_Data!H8</f>
        <v>Major Loss</v>
      </c>
      <c r="I9" t="str">
        <f>IF(Raw_Claims_Data!I8="","None",Raw_Claims_Data!I8)</f>
        <v>Police</v>
      </c>
      <c r="J9" t="str">
        <f>Raw_Claims_Data!J8</f>
        <v>Nashville</v>
      </c>
      <c r="K9" t="str">
        <f>Raw_Claims_Data!K8</f>
        <v>TN</v>
      </c>
      <c r="L9">
        <f>Raw_Claims_Data!L8</f>
        <v>18</v>
      </c>
      <c r="M9" t="str">
        <f>IF(Raw_Claims_Data!M8="","N/A",Raw_Claims_Data!M8)</f>
        <v>VNDR00472</v>
      </c>
      <c r="N9" t="str">
        <f>Raw_Claims_Data!N8</f>
        <v>AGENT00636</v>
      </c>
      <c r="O9">
        <f>IF(Raw_Claims_Data!G8="D",1,0)</f>
        <v>0</v>
      </c>
    </row>
    <row r="10" spans="1:16" x14ac:dyDescent="0.35">
      <c r="A10" t="str">
        <f>Raw_Claims_Data!A9</f>
        <v>TXN00000006</v>
      </c>
      <c r="B10" t="str">
        <f>TRIM(Raw_Claims_Data!B9)</f>
        <v>Terrance Han</v>
      </c>
      <c r="C10" t="str">
        <f>Raw_Claims_Data!C9</f>
        <v>Life</v>
      </c>
      <c r="D10">
        <f>Raw_Claims_Data!D9</f>
        <v>87.02</v>
      </c>
      <c r="E10">
        <f>Raw_Claims_Data!E9</f>
        <v>63000</v>
      </c>
      <c r="F10" t="str">
        <f>Raw_Claims_Data!F9</f>
        <v>AZ</v>
      </c>
      <c r="G10" t="str">
        <f>Raw_Claims_Data!G9</f>
        <v>A</v>
      </c>
      <c r="H10" t="str">
        <f>Raw_Claims_Data!H9</f>
        <v>Major Loss</v>
      </c>
      <c r="I10" t="str">
        <f>IF(Raw_Claims_Data!I9="","None",Raw_Claims_Data!I9)</f>
        <v>Ambulance</v>
      </c>
      <c r="J10" t="str">
        <f>Raw_Claims_Data!J9</f>
        <v>Glendale</v>
      </c>
      <c r="K10" t="str">
        <f>Raw_Claims_Data!K9</f>
        <v>AZ</v>
      </c>
      <c r="L10">
        <f>Raw_Claims_Data!L9</f>
        <v>0</v>
      </c>
      <c r="M10" t="str">
        <f>IF(Raw_Claims_Data!M9="","N/A",Raw_Claims_Data!M9)</f>
        <v>N/A</v>
      </c>
      <c r="N10" t="str">
        <f>Raw_Claims_Data!N9</f>
        <v>AGENT00402</v>
      </c>
      <c r="O10">
        <f>IF(Raw_Claims_Data!G9="D",1,0)</f>
        <v>0</v>
      </c>
    </row>
    <row r="11" spans="1:16" x14ac:dyDescent="0.35">
      <c r="A11" t="str">
        <f>Raw_Claims_Data!A10</f>
        <v>TXN00000007</v>
      </c>
      <c r="B11" t="str">
        <f>TRIM(Raw_Claims_Data!B10)</f>
        <v>Dennis Johnson</v>
      </c>
      <c r="C11" t="str">
        <f>Raw_Claims_Data!C10</f>
        <v>Health</v>
      </c>
      <c r="D11">
        <f>Raw_Claims_Data!D10</f>
        <v>197.23</v>
      </c>
      <c r="E11">
        <f>Raw_Claims_Data!E10</f>
        <v>3000</v>
      </c>
      <c r="F11" t="str">
        <f>Raw_Claims_Data!F10</f>
        <v>FL</v>
      </c>
      <c r="G11" t="str">
        <f>Raw_Claims_Data!G10</f>
        <v>A</v>
      </c>
      <c r="H11" t="str">
        <f>Raw_Claims_Data!H10</f>
        <v>Major Loss</v>
      </c>
      <c r="I11" t="str">
        <f>IF(Raw_Claims_Data!I10="","None",Raw_Claims_Data!I10)</f>
        <v>Police</v>
      </c>
      <c r="J11" t="str">
        <f>Raw_Claims_Data!J10</f>
        <v>Manchester</v>
      </c>
      <c r="K11" t="str">
        <f>Raw_Claims_Data!K10</f>
        <v>CT</v>
      </c>
      <c r="L11">
        <f>Raw_Claims_Data!L10</f>
        <v>10</v>
      </c>
      <c r="M11" t="str">
        <f>IF(Raw_Claims_Data!M10="","N/A",Raw_Claims_Data!M10)</f>
        <v>VNDR00150</v>
      </c>
      <c r="N11" t="str">
        <f>Raw_Claims_Data!N10</f>
        <v>AGENT00322</v>
      </c>
      <c r="O11">
        <f>IF(Raw_Claims_Data!G10="D",1,0)</f>
        <v>0</v>
      </c>
    </row>
    <row r="12" spans="1:16" x14ac:dyDescent="0.35">
      <c r="A12" t="str">
        <f>Raw_Claims_Data!A11</f>
        <v>TXN00000008</v>
      </c>
      <c r="B12" t="str">
        <f>TRIM(Raw_Claims_Data!B11)</f>
        <v>Maryalice Martinez</v>
      </c>
      <c r="C12" t="str">
        <f>Raw_Claims_Data!C11</f>
        <v>Motor</v>
      </c>
      <c r="D12">
        <f>Raw_Claims_Data!D11</f>
        <v>83.77</v>
      </c>
      <c r="E12">
        <f>Raw_Claims_Data!E11</f>
        <v>8000</v>
      </c>
      <c r="F12" t="str">
        <f>Raw_Claims_Data!F11</f>
        <v>GA</v>
      </c>
      <c r="G12" t="str">
        <f>Raw_Claims_Data!G11</f>
        <v>A</v>
      </c>
      <c r="H12" t="str">
        <f>Raw_Claims_Data!H11</f>
        <v>Total Loss</v>
      </c>
      <c r="I12" t="str">
        <f>IF(Raw_Claims_Data!I11="","None",Raw_Claims_Data!I11)</f>
        <v>Police</v>
      </c>
      <c r="J12" t="str">
        <f>Raw_Claims_Data!J11</f>
        <v>Panama City Beach</v>
      </c>
      <c r="K12" t="str">
        <f>Raw_Claims_Data!K11</f>
        <v>FL</v>
      </c>
      <c r="L12">
        <f>Raw_Claims_Data!L11</f>
        <v>10</v>
      </c>
      <c r="M12" t="str">
        <f>IF(Raw_Claims_Data!M11="","N/A",Raw_Claims_Data!M11)</f>
        <v>VNDR00326</v>
      </c>
      <c r="N12" t="str">
        <f>Raw_Claims_Data!N11</f>
        <v>AGENT00152</v>
      </c>
      <c r="O12">
        <f>IF(Raw_Claims_Data!G11="D",1,0)</f>
        <v>0</v>
      </c>
    </row>
    <row r="13" spans="1:16" x14ac:dyDescent="0.35">
      <c r="A13" t="str">
        <f>Raw_Claims_Data!A12</f>
        <v>TXN00000009</v>
      </c>
      <c r="B13" t="str">
        <f>TRIM(Raw_Claims_Data!B12)</f>
        <v>Nicholas Hamilton</v>
      </c>
      <c r="C13" t="str">
        <f>Raw_Claims_Data!C12</f>
        <v>Motor</v>
      </c>
      <c r="D13">
        <f>Raw_Claims_Data!D12</f>
        <v>82.14</v>
      </c>
      <c r="E13">
        <f>Raw_Claims_Data!E12</f>
        <v>5000</v>
      </c>
      <c r="F13" t="str">
        <f>Raw_Claims_Data!F12</f>
        <v>KY</v>
      </c>
      <c r="G13" t="str">
        <f>Raw_Claims_Data!G12</f>
        <v>A</v>
      </c>
      <c r="H13" t="str">
        <f>Raw_Claims_Data!H12</f>
        <v>Major Loss</v>
      </c>
      <c r="I13" t="str">
        <f>IF(Raw_Claims_Data!I12="","None",Raw_Claims_Data!I12)</f>
        <v>Police</v>
      </c>
      <c r="J13" t="str">
        <f>Raw_Claims_Data!J12</f>
        <v>Glendale</v>
      </c>
      <c r="K13" t="str">
        <f>Raw_Claims_Data!K12</f>
        <v>AZ</v>
      </c>
      <c r="L13">
        <f>Raw_Claims_Data!L12</f>
        <v>22</v>
      </c>
      <c r="M13" t="str">
        <f>IF(Raw_Claims_Data!M12="","N/A",Raw_Claims_Data!M12)</f>
        <v>VNDR00437</v>
      </c>
      <c r="N13" t="str">
        <f>Raw_Claims_Data!N12</f>
        <v>AGENT00450</v>
      </c>
      <c r="O13">
        <f>IF(Raw_Claims_Data!G12="D",1,0)</f>
        <v>0</v>
      </c>
    </row>
    <row r="14" spans="1:16" x14ac:dyDescent="0.35">
      <c r="A14" t="str">
        <f>Raw_Claims_Data!A13</f>
        <v>TXN00000010</v>
      </c>
      <c r="B14" t="str">
        <f>TRIM(Raw_Claims_Data!B13)</f>
        <v>Nicholas Honokaupu</v>
      </c>
      <c r="C14" t="str">
        <f>Raw_Claims_Data!C13</f>
        <v>Travel</v>
      </c>
      <c r="D14">
        <f>Raw_Claims_Data!D13</f>
        <v>71.290000000000006</v>
      </c>
      <c r="E14">
        <f>Raw_Claims_Data!E13</f>
        <v>4000</v>
      </c>
      <c r="F14" t="str">
        <f>Raw_Claims_Data!F13</f>
        <v>AL</v>
      </c>
      <c r="G14" t="str">
        <f>Raw_Claims_Data!G13</f>
        <v>A</v>
      </c>
      <c r="H14" t="str">
        <f>Raw_Claims_Data!H13</f>
        <v>Major Loss</v>
      </c>
      <c r="I14" t="str">
        <f>IF(Raw_Claims_Data!I13="","None",Raw_Claims_Data!I13)</f>
        <v>None</v>
      </c>
      <c r="J14" t="str">
        <f>Raw_Claims_Data!J13</f>
        <v>San Leandro</v>
      </c>
      <c r="K14" t="str">
        <f>Raw_Claims_Data!K13</f>
        <v>CA</v>
      </c>
      <c r="L14">
        <f>Raw_Claims_Data!L13</f>
        <v>4</v>
      </c>
      <c r="M14" t="str">
        <f>IF(Raw_Claims_Data!M13="","N/A",Raw_Claims_Data!M13)</f>
        <v>N/A</v>
      </c>
      <c r="N14" t="str">
        <f>Raw_Claims_Data!N13</f>
        <v>AGENT00682</v>
      </c>
      <c r="O14">
        <f>IF(Raw_Claims_Data!G13="D",1,0)</f>
        <v>0</v>
      </c>
    </row>
    <row r="15" spans="1:16" x14ac:dyDescent="0.35">
      <c r="A15" t="str">
        <f>Raw_Claims_Data!A14</f>
        <v>TXN00000011</v>
      </c>
      <c r="B15" t="str">
        <f>TRIM(Raw_Claims_Data!B14)</f>
        <v>Janet Watts</v>
      </c>
      <c r="C15" t="str">
        <f>Raw_Claims_Data!C14</f>
        <v>Life</v>
      </c>
      <c r="D15">
        <f>Raw_Claims_Data!D14</f>
        <v>61.45</v>
      </c>
      <c r="E15">
        <f>Raw_Claims_Data!E14</f>
        <v>92000</v>
      </c>
      <c r="F15" t="str">
        <f>Raw_Claims_Data!F14</f>
        <v>CT</v>
      </c>
      <c r="G15" t="str">
        <f>Raw_Claims_Data!G14</f>
        <v>A</v>
      </c>
      <c r="H15" t="str">
        <f>Raw_Claims_Data!H14</f>
        <v>Major Loss</v>
      </c>
      <c r="I15" t="str">
        <f>IF(Raw_Claims_Data!I14="","None",Raw_Claims_Data!I14)</f>
        <v>Ambulance</v>
      </c>
      <c r="J15" t="str">
        <f>Raw_Claims_Data!J14</f>
        <v>Crofton</v>
      </c>
      <c r="K15" t="str">
        <f>Raw_Claims_Data!K14</f>
        <v>MD</v>
      </c>
      <c r="L15">
        <f>Raw_Claims_Data!L14</f>
        <v>23</v>
      </c>
      <c r="M15" t="str">
        <f>IF(Raw_Claims_Data!M14="","N/A",Raw_Claims_Data!M14)</f>
        <v>VNDR00163</v>
      </c>
      <c r="N15" t="str">
        <f>Raw_Claims_Data!N14</f>
        <v>AGENT01091</v>
      </c>
      <c r="O15">
        <f>IF(Raw_Claims_Data!G14="D",1,0)</f>
        <v>0</v>
      </c>
    </row>
    <row r="16" spans="1:16" x14ac:dyDescent="0.35">
      <c r="A16" t="str">
        <f>Raw_Claims_Data!A15</f>
        <v>TXN00000012</v>
      </c>
      <c r="B16" t="str">
        <f>TRIM(Raw_Claims_Data!B15)</f>
        <v>Patricia Garrett</v>
      </c>
      <c r="C16" t="str">
        <f>Raw_Claims_Data!C15</f>
        <v>Motor</v>
      </c>
      <c r="D16">
        <f>Raw_Claims_Data!D15</f>
        <v>101.15</v>
      </c>
      <c r="E16">
        <f>Raw_Claims_Data!E15</f>
        <v>8000</v>
      </c>
      <c r="F16" t="str">
        <f>Raw_Claims_Data!F15</f>
        <v>TN</v>
      </c>
      <c r="G16" t="str">
        <f>Raw_Claims_Data!G15</f>
        <v>D</v>
      </c>
      <c r="H16" t="str">
        <f>Raw_Claims_Data!H15</f>
        <v>Major Loss</v>
      </c>
      <c r="I16" t="str">
        <f>IF(Raw_Claims_Data!I15="","None",Raw_Claims_Data!I15)</f>
        <v>Ambulance</v>
      </c>
      <c r="J16" t="str">
        <f>Raw_Claims_Data!J15</f>
        <v>Manchester</v>
      </c>
      <c r="K16" t="str">
        <f>Raw_Claims_Data!K15</f>
        <v>CT</v>
      </c>
      <c r="L16">
        <f>Raw_Claims_Data!L15</f>
        <v>3</v>
      </c>
      <c r="M16" t="str">
        <f>IF(Raw_Claims_Data!M15="","N/A",Raw_Claims_Data!M15)</f>
        <v>N/A</v>
      </c>
      <c r="N16" t="str">
        <f>Raw_Claims_Data!N15</f>
        <v>AGENT00288</v>
      </c>
      <c r="O16">
        <f>IF(Raw_Claims_Data!G15="D",1,0)</f>
        <v>1</v>
      </c>
    </row>
    <row r="17" spans="1:15" x14ac:dyDescent="0.35">
      <c r="A17" t="str">
        <f>Raw_Claims_Data!A16</f>
        <v>TXN00000013</v>
      </c>
      <c r="B17" t="str">
        <f>TRIM(Raw_Claims_Data!B16)</f>
        <v>Lisa Rosario</v>
      </c>
      <c r="C17" t="str">
        <f>Raw_Claims_Data!C16</f>
        <v>Health</v>
      </c>
      <c r="D17">
        <f>Raw_Claims_Data!D16</f>
        <v>157.94999999999999</v>
      </c>
      <c r="E17">
        <f>Raw_Claims_Data!E16</f>
        <v>11000</v>
      </c>
      <c r="F17" t="str">
        <f>Raw_Claims_Data!F16</f>
        <v>AK</v>
      </c>
      <c r="G17" t="str">
        <f>Raw_Claims_Data!G16</f>
        <v>A</v>
      </c>
      <c r="H17" t="str">
        <f>Raw_Claims_Data!H16</f>
        <v>Major Loss</v>
      </c>
      <c r="I17" t="str">
        <f>IF(Raw_Claims_Data!I16="","None",Raw_Claims_Data!I16)</f>
        <v>None</v>
      </c>
      <c r="J17" t="str">
        <f>Raw_Claims_Data!J16</f>
        <v>Louisville</v>
      </c>
      <c r="K17" t="str">
        <f>Raw_Claims_Data!K16</f>
        <v>KY</v>
      </c>
      <c r="L17">
        <f>Raw_Claims_Data!L16</f>
        <v>22</v>
      </c>
      <c r="M17" t="str">
        <f>IF(Raw_Claims_Data!M16="","N/A",Raw_Claims_Data!M16)</f>
        <v>VNDR00191</v>
      </c>
      <c r="N17" t="str">
        <f>Raw_Claims_Data!N16</f>
        <v>AGENT00015</v>
      </c>
      <c r="O17">
        <f>IF(Raw_Claims_Data!G16="D",1,0)</f>
        <v>0</v>
      </c>
    </row>
    <row r="18" spans="1:15" x14ac:dyDescent="0.35">
      <c r="A18" t="str">
        <f>Raw_Claims_Data!A17</f>
        <v>TXN00000014</v>
      </c>
      <c r="B18" t="str">
        <f>TRIM(Raw_Claims_Data!B17)</f>
        <v>Felicita Stoughton</v>
      </c>
      <c r="C18" t="str">
        <f>Raw_Claims_Data!C17</f>
        <v>Life</v>
      </c>
      <c r="D18">
        <f>Raw_Claims_Data!D17</f>
        <v>64.16</v>
      </c>
      <c r="E18">
        <f>Raw_Claims_Data!E17</f>
        <v>51000</v>
      </c>
      <c r="F18" t="str">
        <f>Raw_Claims_Data!F17</f>
        <v>GA</v>
      </c>
      <c r="G18" t="str">
        <f>Raw_Claims_Data!G17</f>
        <v>A</v>
      </c>
      <c r="H18" t="str">
        <f>Raw_Claims_Data!H17</f>
        <v>Total Loss</v>
      </c>
      <c r="I18" t="str">
        <f>IF(Raw_Claims_Data!I17="","None",Raw_Claims_Data!I17)</f>
        <v>Ambulance</v>
      </c>
      <c r="J18" t="str">
        <f>Raw_Claims_Data!J17</f>
        <v>Anchorage</v>
      </c>
      <c r="K18" t="str">
        <f>Raw_Claims_Data!K17</f>
        <v>AK</v>
      </c>
      <c r="L18">
        <f>Raw_Claims_Data!L17</f>
        <v>0</v>
      </c>
      <c r="M18" t="str">
        <f>IF(Raw_Claims_Data!M17="","N/A",Raw_Claims_Data!M17)</f>
        <v>N/A</v>
      </c>
      <c r="N18" t="str">
        <f>Raw_Claims_Data!N17</f>
        <v>AGENT01094</v>
      </c>
      <c r="O18">
        <f>IF(Raw_Claims_Data!G17="D",1,0)</f>
        <v>0</v>
      </c>
    </row>
    <row r="19" spans="1:15" x14ac:dyDescent="0.35">
      <c r="A19" t="str">
        <f>Raw_Claims_Data!A18</f>
        <v>TXN00000015</v>
      </c>
      <c r="B19" t="str">
        <f>TRIM(Raw_Claims_Data!B18)</f>
        <v>David Pennington</v>
      </c>
      <c r="C19" t="str">
        <f>Raw_Claims_Data!C18</f>
        <v>Mobile</v>
      </c>
      <c r="D19">
        <f>Raw_Claims_Data!D18</f>
        <v>6.76</v>
      </c>
      <c r="E19">
        <f>Raw_Claims_Data!E18</f>
        <v>700</v>
      </c>
      <c r="F19" t="str">
        <f>Raw_Claims_Data!F18</f>
        <v>AR</v>
      </c>
      <c r="G19" t="str">
        <f>Raw_Claims_Data!G18</f>
        <v>A</v>
      </c>
      <c r="H19" t="str">
        <f>Raw_Claims_Data!H18</f>
        <v>Major Loss</v>
      </c>
      <c r="I19" t="str">
        <f>IF(Raw_Claims_Data!I18="","None",Raw_Claims_Data!I18)</f>
        <v>Police</v>
      </c>
      <c r="J19" t="str">
        <f>Raw_Claims_Data!J18</f>
        <v>Arvada</v>
      </c>
      <c r="K19" t="str">
        <f>Raw_Claims_Data!K18</f>
        <v>CO</v>
      </c>
      <c r="L19">
        <f>Raw_Claims_Data!L18</f>
        <v>11</v>
      </c>
      <c r="M19" t="str">
        <f>IF(Raw_Claims_Data!M18="","N/A",Raw_Claims_Data!M18)</f>
        <v>VNDR00135</v>
      </c>
      <c r="N19" t="str">
        <f>Raw_Claims_Data!N18</f>
        <v>AGENT00324</v>
      </c>
      <c r="O19">
        <f>IF(Raw_Claims_Data!G18="D",1,0)</f>
        <v>0</v>
      </c>
    </row>
    <row r="20" spans="1:15" x14ac:dyDescent="0.35">
      <c r="A20" t="str">
        <f>Raw_Claims_Data!A19</f>
        <v>TXN00000016</v>
      </c>
      <c r="B20" t="str">
        <f>TRIM(Raw_Claims_Data!B19)</f>
        <v>William Halcomb</v>
      </c>
      <c r="C20" t="str">
        <f>Raw_Claims_Data!C19</f>
        <v>Motor</v>
      </c>
      <c r="D20">
        <f>Raw_Claims_Data!D19</f>
        <v>128.72999999999999</v>
      </c>
      <c r="E20">
        <f>Raw_Claims_Data!E19</f>
        <v>9000</v>
      </c>
      <c r="F20" t="str">
        <f>Raw_Claims_Data!F19</f>
        <v>DC</v>
      </c>
      <c r="G20" t="str">
        <f>Raw_Claims_Data!G19</f>
        <v>A</v>
      </c>
      <c r="H20" t="str">
        <f>Raw_Claims_Data!H19</f>
        <v>Minor Loss</v>
      </c>
      <c r="I20" t="str">
        <f>IF(Raw_Claims_Data!I19="","None",Raw_Claims_Data!I19)</f>
        <v>Police</v>
      </c>
      <c r="J20" t="str">
        <f>Raw_Claims_Data!J19</f>
        <v>Fayetteville</v>
      </c>
      <c r="K20" t="str">
        <f>Raw_Claims_Data!K19</f>
        <v>AR</v>
      </c>
      <c r="L20">
        <f>Raw_Claims_Data!L19</f>
        <v>22</v>
      </c>
      <c r="M20" t="str">
        <f>IF(Raw_Claims_Data!M19="","N/A",Raw_Claims_Data!M19)</f>
        <v>VNDR00051</v>
      </c>
      <c r="N20" t="str">
        <f>Raw_Claims_Data!N19</f>
        <v>AGENT00608</v>
      </c>
      <c r="O20">
        <f>IF(Raw_Claims_Data!G19="D",1,0)</f>
        <v>0</v>
      </c>
    </row>
    <row r="21" spans="1:15" x14ac:dyDescent="0.35">
      <c r="A21" t="str">
        <f>Raw_Claims_Data!A20</f>
        <v>TXN00000017</v>
      </c>
      <c r="B21" t="str">
        <f>TRIM(Raw_Claims_Data!B20)</f>
        <v>Michael Kimball</v>
      </c>
      <c r="C21" t="str">
        <f>Raw_Claims_Data!C20</f>
        <v>Property</v>
      </c>
      <c r="D21">
        <f>Raw_Claims_Data!D20</f>
        <v>114.42</v>
      </c>
      <c r="E21">
        <f>Raw_Claims_Data!E20</f>
        <v>39000</v>
      </c>
      <c r="F21" t="str">
        <f>Raw_Claims_Data!F20</f>
        <v>CT</v>
      </c>
      <c r="G21" t="str">
        <f>Raw_Claims_Data!G20</f>
        <v>A</v>
      </c>
      <c r="H21" t="str">
        <f>Raw_Claims_Data!H20</f>
        <v>Major Loss</v>
      </c>
      <c r="I21" t="str">
        <f>IF(Raw_Claims_Data!I20="","None",Raw_Claims_Data!I20)</f>
        <v>Other</v>
      </c>
      <c r="J21" t="str">
        <f>Raw_Claims_Data!J20</f>
        <v>Washington</v>
      </c>
      <c r="K21" t="str">
        <f>Raw_Claims_Data!K20</f>
        <v>DC</v>
      </c>
      <c r="L21">
        <f>Raw_Claims_Data!L20</f>
        <v>2</v>
      </c>
      <c r="M21" t="str">
        <f>IF(Raw_Claims_Data!M20="","N/A",Raw_Claims_Data!M20)</f>
        <v>VNDR00238</v>
      </c>
      <c r="N21" t="str">
        <f>Raw_Claims_Data!N20</f>
        <v>AGENT00911</v>
      </c>
      <c r="O21">
        <f>IF(Raw_Claims_Data!G20="D",1,0)</f>
        <v>0</v>
      </c>
    </row>
    <row r="22" spans="1:15" x14ac:dyDescent="0.35">
      <c r="A22" t="str">
        <f>Raw_Claims_Data!A21</f>
        <v>TXN00000018</v>
      </c>
      <c r="B22" t="str">
        <f>TRIM(Raw_Claims_Data!B21)</f>
        <v>Mark Huang</v>
      </c>
      <c r="C22" t="str">
        <f>Raw_Claims_Data!C21</f>
        <v>Property</v>
      </c>
      <c r="D22">
        <f>Raw_Claims_Data!D21</f>
        <v>157.18</v>
      </c>
      <c r="E22">
        <f>Raw_Claims_Data!E21</f>
        <v>40000</v>
      </c>
      <c r="F22" t="str">
        <f>Raw_Claims_Data!F21</f>
        <v>CO</v>
      </c>
      <c r="G22" t="str">
        <f>Raw_Claims_Data!G21</f>
        <v>A</v>
      </c>
      <c r="H22" t="str">
        <f>Raw_Claims_Data!H21</f>
        <v>Major Loss</v>
      </c>
      <c r="I22" t="str">
        <f>IF(Raw_Claims_Data!I21="","None",Raw_Claims_Data!I21)</f>
        <v>Police</v>
      </c>
      <c r="J22" t="str">
        <f>Raw_Claims_Data!J21</f>
        <v>Montgomery</v>
      </c>
      <c r="K22" t="str">
        <f>Raw_Claims_Data!K21</f>
        <v>AL</v>
      </c>
      <c r="L22">
        <f>Raw_Claims_Data!L21</f>
        <v>14</v>
      </c>
      <c r="M22" t="str">
        <f>IF(Raw_Claims_Data!M21="","N/A",Raw_Claims_Data!M21)</f>
        <v>N/A</v>
      </c>
      <c r="N22" t="str">
        <f>Raw_Claims_Data!N21</f>
        <v>AGENT00079</v>
      </c>
      <c r="O22">
        <f>IF(Raw_Claims_Data!G21="D",1,0)</f>
        <v>0</v>
      </c>
    </row>
    <row r="23" spans="1:15" x14ac:dyDescent="0.35">
      <c r="A23" t="str">
        <f>Raw_Claims_Data!A22</f>
        <v>TXN00000019</v>
      </c>
      <c r="B23" t="str">
        <f>TRIM(Raw_Claims_Data!B22)</f>
        <v>Marshall Worm</v>
      </c>
      <c r="C23" t="str">
        <f>Raw_Claims_Data!C22</f>
        <v>Motor</v>
      </c>
      <c r="D23">
        <f>Raw_Claims_Data!D22</f>
        <v>116.55</v>
      </c>
      <c r="E23">
        <f>Raw_Claims_Data!E22</f>
        <v>8000</v>
      </c>
      <c r="F23" t="str">
        <f>Raw_Claims_Data!F22</f>
        <v>CT</v>
      </c>
      <c r="G23" t="str">
        <f>Raw_Claims_Data!G22</f>
        <v>A</v>
      </c>
      <c r="H23" t="str">
        <f>Raw_Claims_Data!H22</f>
        <v>Total Loss</v>
      </c>
      <c r="I23" t="str">
        <f>IF(Raw_Claims_Data!I22="","None",Raw_Claims_Data!I22)</f>
        <v>Ambulance</v>
      </c>
      <c r="J23" t="str">
        <f>Raw_Claims_Data!J22</f>
        <v>Fitchburg</v>
      </c>
      <c r="K23" t="str">
        <f>Raw_Claims_Data!K22</f>
        <v>MA</v>
      </c>
      <c r="L23">
        <f>Raw_Claims_Data!L22</f>
        <v>20</v>
      </c>
      <c r="M23" t="str">
        <f>IF(Raw_Claims_Data!M22="","N/A",Raw_Claims_Data!M22)</f>
        <v>VNDR00107</v>
      </c>
      <c r="N23" t="str">
        <f>Raw_Claims_Data!N22</f>
        <v>AGENT00994</v>
      </c>
      <c r="O23">
        <f>IF(Raw_Claims_Data!G22="D",1,0)</f>
        <v>0</v>
      </c>
    </row>
    <row r="24" spans="1:15" x14ac:dyDescent="0.35">
      <c r="A24" t="str">
        <f>Raw_Claims_Data!A23</f>
        <v>TXN00000020</v>
      </c>
      <c r="B24" t="str">
        <f>TRIM(Raw_Claims_Data!B23)</f>
        <v>Mary Carmona</v>
      </c>
      <c r="C24" t="str">
        <f>Raw_Claims_Data!C23</f>
        <v>Life</v>
      </c>
      <c r="D24">
        <f>Raw_Claims_Data!D23</f>
        <v>77.17</v>
      </c>
      <c r="E24">
        <f>Raw_Claims_Data!E23</f>
        <v>68000</v>
      </c>
      <c r="F24" t="str">
        <f>Raw_Claims_Data!F23</f>
        <v>DC</v>
      </c>
      <c r="G24" t="str">
        <f>Raw_Claims_Data!G23</f>
        <v>A</v>
      </c>
      <c r="H24" t="str">
        <f>Raw_Claims_Data!H23</f>
        <v>Total Loss</v>
      </c>
      <c r="I24" t="str">
        <f>IF(Raw_Claims_Data!I23="","None",Raw_Claims_Data!I23)</f>
        <v>None</v>
      </c>
      <c r="J24" t="str">
        <f>Raw_Claims_Data!J23</f>
        <v>Arvada</v>
      </c>
      <c r="K24" t="str">
        <f>Raw_Claims_Data!K23</f>
        <v>CO</v>
      </c>
      <c r="L24">
        <f>Raw_Claims_Data!L23</f>
        <v>1</v>
      </c>
      <c r="M24" t="str">
        <f>IF(Raw_Claims_Data!M23="","N/A",Raw_Claims_Data!M23)</f>
        <v>N/A</v>
      </c>
      <c r="N24" t="str">
        <f>Raw_Claims_Data!N23</f>
        <v>AGENT00490</v>
      </c>
      <c r="O24">
        <f>IF(Raw_Claims_Data!G23="D",1,0)</f>
        <v>0</v>
      </c>
    </row>
    <row r="25" spans="1:15" x14ac:dyDescent="0.35">
      <c r="A25" t="str">
        <f>Raw_Claims_Data!A24</f>
        <v>TXN00000021</v>
      </c>
      <c r="B25" t="str">
        <f>TRIM(Raw_Claims_Data!B24)</f>
        <v>Stacey Lopez</v>
      </c>
      <c r="C25" t="str">
        <f>Raw_Claims_Data!C24</f>
        <v>Health</v>
      </c>
      <c r="D25">
        <f>Raw_Claims_Data!D24</f>
        <v>155.22999999999999</v>
      </c>
      <c r="E25">
        <f>Raw_Claims_Data!E24</f>
        <v>17000</v>
      </c>
      <c r="F25" t="str">
        <f>Raw_Claims_Data!F24</f>
        <v>VT</v>
      </c>
      <c r="G25" t="str">
        <f>Raw_Claims_Data!G24</f>
        <v>A</v>
      </c>
      <c r="H25" t="str">
        <f>Raw_Claims_Data!H24</f>
        <v>Total Loss</v>
      </c>
      <c r="I25" t="str">
        <f>IF(Raw_Claims_Data!I24="","None",Raw_Claims_Data!I24)</f>
        <v>Other</v>
      </c>
      <c r="J25" t="str">
        <f>Raw_Claims_Data!J24</f>
        <v>Arvada</v>
      </c>
      <c r="K25" t="str">
        <f>Raw_Claims_Data!K24</f>
        <v>CO</v>
      </c>
      <c r="L25">
        <f>Raw_Claims_Data!L24</f>
        <v>3</v>
      </c>
      <c r="M25" t="str">
        <f>IF(Raw_Claims_Data!M24="","N/A",Raw_Claims_Data!M24)</f>
        <v>VNDR00215</v>
      </c>
      <c r="N25" t="str">
        <f>Raw_Claims_Data!N24</f>
        <v>AGENT00446</v>
      </c>
      <c r="O25">
        <f>IF(Raw_Claims_Data!G24="D",1,0)</f>
        <v>0</v>
      </c>
    </row>
    <row r="26" spans="1:15" x14ac:dyDescent="0.35">
      <c r="A26" t="str">
        <f>Raw_Claims_Data!A25</f>
        <v>TXN00000022</v>
      </c>
      <c r="B26" t="str">
        <f>TRIM(Raw_Claims_Data!B25)</f>
        <v>David Goodman</v>
      </c>
      <c r="C26" t="str">
        <f>Raw_Claims_Data!C25</f>
        <v>Mobile</v>
      </c>
      <c r="D26">
        <f>Raw_Claims_Data!D25</f>
        <v>9.15</v>
      </c>
      <c r="E26">
        <f>Raw_Claims_Data!E25</f>
        <v>300</v>
      </c>
      <c r="F26" t="str">
        <f>Raw_Claims_Data!F25</f>
        <v>CA</v>
      </c>
      <c r="G26" t="str">
        <f>Raw_Claims_Data!G25</f>
        <v>A</v>
      </c>
      <c r="H26" t="str">
        <f>Raw_Claims_Data!H25</f>
        <v>Major Loss</v>
      </c>
      <c r="I26" t="str">
        <f>IF(Raw_Claims_Data!I25="","None",Raw_Claims_Data!I25)</f>
        <v>Ambulance</v>
      </c>
      <c r="J26" t="str">
        <f>Raw_Claims_Data!J25</f>
        <v>Washington</v>
      </c>
      <c r="K26" t="str">
        <f>Raw_Claims_Data!K25</f>
        <v>DC</v>
      </c>
      <c r="L26">
        <f>Raw_Claims_Data!L25</f>
        <v>18</v>
      </c>
      <c r="M26" t="str">
        <f>IF(Raw_Claims_Data!M25="","N/A",Raw_Claims_Data!M25)</f>
        <v>N/A</v>
      </c>
      <c r="N26" t="str">
        <f>Raw_Claims_Data!N25</f>
        <v>AGENT00379</v>
      </c>
      <c r="O26">
        <f>IF(Raw_Claims_Data!G25="D",1,0)</f>
        <v>0</v>
      </c>
    </row>
    <row r="27" spans="1:15" x14ac:dyDescent="0.35">
      <c r="A27" t="str">
        <f>Raw_Claims_Data!A26</f>
        <v>TXN00000023</v>
      </c>
      <c r="B27" t="str">
        <f>TRIM(Raw_Claims_Data!B26)</f>
        <v>Doris Yazzie</v>
      </c>
      <c r="C27" t="str">
        <f>Raw_Claims_Data!C26</f>
        <v>Life</v>
      </c>
      <c r="D27">
        <f>Raw_Claims_Data!D26</f>
        <v>81.45</v>
      </c>
      <c r="E27">
        <f>Raw_Claims_Data!E26</f>
        <v>80000</v>
      </c>
      <c r="F27" t="str">
        <f>Raw_Claims_Data!F26</f>
        <v>FL</v>
      </c>
      <c r="G27" t="str">
        <f>Raw_Claims_Data!G26</f>
        <v>A</v>
      </c>
      <c r="H27" t="str">
        <f>Raw_Claims_Data!H26</f>
        <v>Major Loss</v>
      </c>
      <c r="I27" t="str">
        <f>IF(Raw_Claims_Data!I26="","None",Raw_Claims_Data!I26)</f>
        <v>Ambulance</v>
      </c>
      <c r="J27" t="str">
        <f>Raw_Claims_Data!J26</f>
        <v>Woodland</v>
      </c>
      <c r="K27" t="str">
        <f>Raw_Claims_Data!K26</f>
        <v>CA</v>
      </c>
      <c r="L27">
        <f>Raw_Claims_Data!L26</f>
        <v>7</v>
      </c>
      <c r="M27" t="str">
        <f>IF(Raw_Claims_Data!M26="","N/A",Raw_Claims_Data!M26)</f>
        <v>VNDR00375</v>
      </c>
      <c r="N27" t="str">
        <f>Raw_Claims_Data!N26</f>
        <v>AGENT00302</v>
      </c>
      <c r="O27">
        <f>IF(Raw_Claims_Data!G26="D",1,0)</f>
        <v>0</v>
      </c>
    </row>
    <row r="28" spans="1:15" x14ac:dyDescent="0.35">
      <c r="A28" t="str">
        <f>Raw_Claims_Data!A27</f>
        <v>TXN00000024</v>
      </c>
      <c r="B28" t="str">
        <f>TRIM(Raw_Claims_Data!B27)</f>
        <v>Matt Mattis</v>
      </c>
      <c r="C28" t="str">
        <f>Raw_Claims_Data!C27</f>
        <v>Property</v>
      </c>
      <c r="D28">
        <f>Raw_Claims_Data!D27</f>
        <v>153.04</v>
      </c>
      <c r="E28">
        <f>Raw_Claims_Data!E27</f>
        <v>10000</v>
      </c>
      <c r="F28" t="str">
        <f>Raw_Claims_Data!F27</f>
        <v>AK</v>
      </c>
      <c r="G28" t="str">
        <f>Raw_Claims_Data!G27</f>
        <v>A</v>
      </c>
      <c r="H28" t="str">
        <f>Raw_Claims_Data!H27</f>
        <v>Total Loss</v>
      </c>
      <c r="I28" t="str">
        <f>IF(Raw_Claims_Data!I27="","None",Raw_Claims_Data!I27)</f>
        <v>None</v>
      </c>
      <c r="J28" t="str">
        <f>Raw_Claims_Data!J27</f>
        <v>Arvada</v>
      </c>
      <c r="K28" t="str">
        <f>Raw_Claims_Data!K27</f>
        <v>CO</v>
      </c>
      <c r="L28">
        <f>Raw_Claims_Data!L27</f>
        <v>22</v>
      </c>
      <c r="M28" t="str">
        <f>IF(Raw_Claims_Data!M27="","N/A",Raw_Claims_Data!M27)</f>
        <v>VNDR00585</v>
      </c>
      <c r="N28" t="str">
        <f>Raw_Claims_Data!N27</f>
        <v>AGENT00266</v>
      </c>
      <c r="O28">
        <f>IF(Raw_Claims_Data!G27="D",1,0)</f>
        <v>0</v>
      </c>
    </row>
    <row r="29" spans="1:15" x14ac:dyDescent="0.35">
      <c r="A29" t="str">
        <f>Raw_Claims_Data!A28</f>
        <v>TXN00000025</v>
      </c>
      <c r="B29" t="str">
        <f>TRIM(Raw_Claims_Data!B28)</f>
        <v>Roberto Trudel</v>
      </c>
      <c r="C29" t="str">
        <f>Raw_Claims_Data!C28</f>
        <v>Property</v>
      </c>
      <c r="D29">
        <f>Raw_Claims_Data!D28</f>
        <v>120.31</v>
      </c>
      <c r="E29">
        <f>Raw_Claims_Data!E28</f>
        <v>30000</v>
      </c>
      <c r="F29" t="str">
        <f>Raw_Claims_Data!F28</f>
        <v>GA</v>
      </c>
      <c r="G29" t="str">
        <f>Raw_Claims_Data!G28</f>
        <v>A</v>
      </c>
      <c r="H29" t="str">
        <f>Raw_Claims_Data!H28</f>
        <v>Minor Loss</v>
      </c>
      <c r="I29" t="str">
        <f>IF(Raw_Claims_Data!I28="","None",Raw_Claims_Data!I28)</f>
        <v>Police</v>
      </c>
      <c r="J29" t="str">
        <f>Raw_Claims_Data!J28</f>
        <v>Lynn Haven</v>
      </c>
      <c r="K29" t="str">
        <f>Raw_Claims_Data!K28</f>
        <v>FL</v>
      </c>
      <c r="L29">
        <f>Raw_Claims_Data!L28</f>
        <v>10</v>
      </c>
      <c r="M29" t="str">
        <f>IF(Raw_Claims_Data!M28="","N/A",Raw_Claims_Data!M28)</f>
        <v>N/A</v>
      </c>
      <c r="N29" t="str">
        <f>Raw_Claims_Data!N28</f>
        <v>AGENT00947</v>
      </c>
      <c r="O29">
        <f>IF(Raw_Claims_Data!G28="D",1,0)</f>
        <v>0</v>
      </c>
    </row>
    <row r="30" spans="1:15" x14ac:dyDescent="0.35">
      <c r="A30" t="str">
        <f>Raw_Claims_Data!A29</f>
        <v>TXN00000026</v>
      </c>
      <c r="B30" t="str">
        <f>TRIM(Raw_Claims_Data!B29)</f>
        <v>Brian Conley</v>
      </c>
      <c r="C30" t="str">
        <f>Raw_Claims_Data!C29</f>
        <v>Property</v>
      </c>
      <c r="D30">
        <f>Raw_Claims_Data!D29</f>
        <v>87.09</v>
      </c>
      <c r="E30">
        <f>Raw_Claims_Data!E29</f>
        <v>37000</v>
      </c>
      <c r="F30" t="str">
        <f>Raw_Claims_Data!F29</f>
        <v>MD</v>
      </c>
      <c r="G30" t="str">
        <f>Raw_Claims_Data!G29</f>
        <v>A</v>
      </c>
      <c r="H30" t="str">
        <f>Raw_Claims_Data!H29</f>
        <v>Minor Loss</v>
      </c>
      <c r="I30" t="str">
        <f>IF(Raw_Claims_Data!I29="","None",Raw_Claims_Data!I29)</f>
        <v>Police</v>
      </c>
      <c r="J30" t="str">
        <f>Raw_Claims_Data!J29</f>
        <v>Nashville</v>
      </c>
      <c r="K30" t="str">
        <f>Raw_Claims_Data!K29</f>
        <v>TN</v>
      </c>
      <c r="L30">
        <f>Raw_Claims_Data!L29</f>
        <v>13</v>
      </c>
      <c r="M30" t="str">
        <f>IF(Raw_Claims_Data!M29="","N/A",Raw_Claims_Data!M29)</f>
        <v>VNDR00051</v>
      </c>
      <c r="N30" t="str">
        <f>Raw_Claims_Data!N29</f>
        <v>AGENT00070</v>
      </c>
      <c r="O30">
        <f>IF(Raw_Claims_Data!G29="D",1,0)</f>
        <v>0</v>
      </c>
    </row>
    <row r="31" spans="1:15" x14ac:dyDescent="0.35">
      <c r="A31" t="str">
        <f>Raw_Claims_Data!A30</f>
        <v>TXN00000027</v>
      </c>
      <c r="B31" t="str">
        <f>TRIM(Raw_Claims_Data!B30)</f>
        <v>Barbara Clouthier</v>
      </c>
      <c r="C31" t="str">
        <f>Raw_Claims_Data!C30</f>
        <v>Health</v>
      </c>
      <c r="D31">
        <f>Raw_Claims_Data!D30</f>
        <v>130.78</v>
      </c>
      <c r="E31">
        <f>Raw_Claims_Data!E30</f>
        <v>17000</v>
      </c>
      <c r="F31" t="str">
        <f>Raw_Claims_Data!F30</f>
        <v>CA</v>
      </c>
      <c r="G31" t="str">
        <f>Raw_Claims_Data!G30</f>
        <v>A</v>
      </c>
      <c r="H31" t="str">
        <f>Raw_Claims_Data!H30</f>
        <v>Total Loss</v>
      </c>
      <c r="I31" t="str">
        <f>IF(Raw_Claims_Data!I30="","None",Raw_Claims_Data!I30)</f>
        <v>Police</v>
      </c>
      <c r="J31" t="str">
        <f>Raw_Claims_Data!J30</f>
        <v>Savannah</v>
      </c>
      <c r="K31" t="str">
        <f>Raw_Claims_Data!K30</f>
        <v>GA</v>
      </c>
      <c r="L31">
        <f>Raw_Claims_Data!L30</f>
        <v>11</v>
      </c>
      <c r="M31" t="str">
        <f>IF(Raw_Claims_Data!M30="","N/A",Raw_Claims_Data!M30)</f>
        <v>N/A</v>
      </c>
      <c r="N31" t="str">
        <f>Raw_Claims_Data!N30</f>
        <v>AGENT00739</v>
      </c>
      <c r="O31">
        <f>IF(Raw_Claims_Data!G30="D",1,0)</f>
        <v>0</v>
      </c>
    </row>
    <row r="32" spans="1:15" x14ac:dyDescent="0.35">
      <c r="A32" t="str">
        <f>Raw_Claims_Data!A31</f>
        <v>TXN00000028</v>
      </c>
      <c r="B32" t="str">
        <f>TRIM(Raw_Claims_Data!B31)</f>
        <v>Elbert Felix</v>
      </c>
      <c r="C32" t="str">
        <f>Raw_Claims_Data!C31</f>
        <v>Health</v>
      </c>
      <c r="D32">
        <f>Raw_Claims_Data!D31</f>
        <v>119.4</v>
      </c>
      <c r="E32">
        <f>Raw_Claims_Data!E31</f>
        <v>19000</v>
      </c>
      <c r="F32" t="str">
        <f>Raw_Claims_Data!F31</f>
        <v>AR</v>
      </c>
      <c r="G32" t="str">
        <f>Raw_Claims_Data!G31</f>
        <v>A</v>
      </c>
      <c r="H32" t="str">
        <f>Raw_Claims_Data!H31</f>
        <v>Minor Loss</v>
      </c>
      <c r="I32" t="str">
        <f>IF(Raw_Claims_Data!I31="","None",Raw_Claims_Data!I31)</f>
        <v>Police</v>
      </c>
      <c r="J32" t="str">
        <f>Raw_Claims_Data!J31</f>
        <v>Quincy</v>
      </c>
      <c r="K32" t="str">
        <f>Raw_Claims_Data!K31</f>
        <v>MA</v>
      </c>
      <c r="L32">
        <f>Raw_Claims_Data!L31</f>
        <v>0</v>
      </c>
      <c r="M32" t="str">
        <f>IF(Raw_Claims_Data!M31="","N/A",Raw_Claims_Data!M31)</f>
        <v>VNDR00310</v>
      </c>
      <c r="N32" t="str">
        <f>Raw_Claims_Data!N31</f>
        <v>AGENT01169</v>
      </c>
      <c r="O32">
        <f>IF(Raw_Claims_Data!G31="D",1,0)</f>
        <v>0</v>
      </c>
    </row>
    <row r="33" spans="1:15" x14ac:dyDescent="0.35">
      <c r="A33" t="str">
        <f>Raw_Claims_Data!A32</f>
        <v>TXN00000029</v>
      </c>
      <c r="B33" t="str">
        <f>TRIM(Raw_Claims_Data!B32)</f>
        <v>Ronald Shaver</v>
      </c>
      <c r="C33" t="str">
        <f>Raw_Claims_Data!C32</f>
        <v>Property</v>
      </c>
      <c r="D33">
        <f>Raw_Claims_Data!D32</f>
        <v>159.19999999999999</v>
      </c>
      <c r="E33">
        <f>Raw_Claims_Data!E32</f>
        <v>37000</v>
      </c>
      <c r="F33" t="str">
        <f>Raw_Claims_Data!F32</f>
        <v>AL</v>
      </c>
      <c r="G33" t="str">
        <f>Raw_Claims_Data!G32</f>
        <v>A</v>
      </c>
      <c r="H33" t="str">
        <f>Raw_Claims_Data!H32</f>
        <v>Minor Loss</v>
      </c>
      <c r="I33" t="str">
        <f>IF(Raw_Claims_Data!I32="","None",Raw_Claims_Data!I32)</f>
        <v>None</v>
      </c>
      <c r="J33" t="str">
        <f>Raw_Claims_Data!J32</f>
        <v>Pasadena</v>
      </c>
      <c r="K33" t="str">
        <f>Raw_Claims_Data!K32</f>
        <v>MD</v>
      </c>
      <c r="L33">
        <f>Raw_Claims_Data!L32</f>
        <v>7</v>
      </c>
      <c r="M33" t="str">
        <f>IF(Raw_Claims_Data!M32="","N/A",Raw_Claims_Data!M32)</f>
        <v>VNDR00339</v>
      </c>
      <c r="N33" t="str">
        <f>Raw_Claims_Data!N32</f>
        <v>AGENT00431</v>
      </c>
      <c r="O33">
        <f>IF(Raw_Claims_Data!G32="D",1,0)</f>
        <v>0</v>
      </c>
    </row>
    <row r="34" spans="1:15" x14ac:dyDescent="0.35">
      <c r="A34" t="str">
        <f>Raw_Claims_Data!A33</f>
        <v>TXN00000030</v>
      </c>
      <c r="B34" t="str">
        <f>TRIM(Raw_Claims_Data!B33)</f>
        <v>Lauren Loftin</v>
      </c>
      <c r="C34" t="str">
        <f>Raw_Claims_Data!C33</f>
        <v>Mobile</v>
      </c>
      <c r="D34">
        <f>Raw_Claims_Data!D33</f>
        <v>8.32</v>
      </c>
      <c r="E34">
        <f>Raw_Claims_Data!E33</f>
        <v>600</v>
      </c>
      <c r="F34" t="str">
        <f>Raw_Claims_Data!F33</f>
        <v>TN</v>
      </c>
      <c r="G34" t="str">
        <f>Raw_Claims_Data!G33</f>
        <v>A</v>
      </c>
      <c r="H34" t="str">
        <f>Raw_Claims_Data!H33</f>
        <v>Major Loss</v>
      </c>
      <c r="I34" t="str">
        <f>IF(Raw_Claims_Data!I33="","None",Raw_Claims_Data!I33)</f>
        <v>Police</v>
      </c>
      <c r="J34" t="str">
        <f>Raw_Claims_Data!J33</f>
        <v>Arvada</v>
      </c>
      <c r="K34" t="str">
        <f>Raw_Claims_Data!K33</f>
        <v>CO</v>
      </c>
      <c r="L34">
        <f>Raw_Claims_Data!L33</f>
        <v>19</v>
      </c>
      <c r="M34" t="str">
        <f>IF(Raw_Claims_Data!M33="","N/A",Raw_Claims_Data!M33)</f>
        <v>VNDR00233</v>
      </c>
      <c r="N34" t="str">
        <f>Raw_Claims_Data!N33</f>
        <v>AGENT00546</v>
      </c>
      <c r="O34">
        <f>IF(Raw_Claims_Data!G33="D",1,0)</f>
        <v>0</v>
      </c>
    </row>
    <row r="35" spans="1:15" x14ac:dyDescent="0.35">
      <c r="A35" t="str">
        <f>Raw_Claims_Data!A34</f>
        <v>TXN00000031</v>
      </c>
      <c r="B35" t="str">
        <f>TRIM(Raw_Claims_Data!B34)</f>
        <v>Mildred Whitten</v>
      </c>
      <c r="C35" t="str">
        <f>Raw_Claims_Data!C34</f>
        <v>Health</v>
      </c>
      <c r="D35">
        <f>Raw_Claims_Data!D34</f>
        <v>147.69999999999999</v>
      </c>
      <c r="E35">
        <f>Raw_Claims_Data!E34</f>
        <v>13000</v>
      </c>
      <c r="F35" t="str">
        <f>Raw_Claims_Data!F34</f>
        <v>AZ</v>
      </c>
      <c r="G35" t="str">
        <f>Raw_Claims_Data!G34</f>
        <v>A</v>
      </c>
      <c r="H35" t="str">
        <f>Raw_Claims_Data!H34</f>
        <v>Major Loss</v>
      </c>
      <c r="I35" t="str">
        <f>IF(Raw_Claims_Data!I34="","None",Raw_Claims_Data!I34)</f>
        <v>Ambulance</v>
      </c>
      <c r="J35" t="str">
        <f>Raw_Claims_Data!J34</f>
        <v>Arvada</v>
      </c>
      <c r="K35" t="str">
        <f>Raw_Claims_Data!K34</f>
        <v>CO</v>
      </c>
      <c r="L35">
        <f>Raw_Claims_Data!L34</f>
        <v>3</v>
      </c>
      <c r="M35" t="str">
        <f>IF(Raw_Claims_Data!M34="","N/A",Raw_Claims_Data!M34)</f>
        <v>VNDR00249</v>
      </c>
      <c r="N35" t="str">
        <f>Raw_Claims_Data!N34</f>
        <v>AGENT00531</v>
      </c>
      <c r="O35">
        <f>IF(Raw_Claims_Data!G34="D",1,0)</f>
        <v>0</v>
      </c>
    </row>
    <row r="36" spans="1:15" x14ac:dyDescent="0.35">
      <c r="A36" t="str">
        <f>Raw_Claims_Data!A35</f>
        <v>TXN00000032</v>
      </c>
      <c r="B36" t="str">
        <f>TRIM(Raw_Claims_Data!B35)</f>
        <v>Alyssa Bowen</v>
      </c>
      <c r="C36" t="str">
        <f>Raw_Claims_Data!C35</f>
        <v>Property</v>
      </c>
      <c r="D36">
        <f>Raw_Claims_Data!D35</f>
        <v>124.45</v>
      </c>
      <c r="E36">
        <f>Raw_Claims_Data!E35</f>
        <v>15000</v>
      </c>
      <c r="F36" t="str">
        <f>Raw_Claims_Data!F35</f>
        <v>MD</v>
      </c>
      <c r="G36" t="str">
        <f>Raw_Claims_Data!G35</f>
        <v>A</v>
      </c>
      <c r="H36" t="str">
        <f>Raw_Claims_Data!H35</f>
        <v>Minor Loss</v>
      </c>
      <c r="I36" t="str">
        <f>IF(Raw_Claims_Data!I35="","None",Raw_Claims_Data!I35)</f>
        <v>Ambulance</v>
      </c>
      <c r="J36" t="str">
        <f>Raw_Claims_Data!J35</f>
        <v>Montgomery</v>
      </c>
      <c r="K36" t="str">
        <f>Raw_Claims_Data!K35</f>
        <v>AL</v>
      </c>
      <c r="L36">
        <f>Raw_Claims_Data!L35</f>
        <v>22</v>
      </c>
      <c r="M36" t="str">
        <f>IF(Raw_Claims_Data!M35="","N/A",Raw_Claims_Data!M35)</f>
        <v>N/A</v>
      </c>
      <c r="N36" t="str">
        <f>Raw_Claims_Data!N35</f>
        <v>AGENT01134</v>
      </c>
      <c r="O36">
        <f>IF(Raw_Claims_Data!G35="D",1,0)</f>
        <v>0</v>
      </c>
    </row>
    <row r="37" spans="1:15" x14ac:dyDescent="0.35">
      <c r="A37" t="str">
        <f>Raw_Claims_Data!A36</f>
        <v>TXN00000033</v>
      </c>
      <c r="B37" t="str">
        <f>TRIM(Raw_Claims_Data!B36)</f>
        <v>James Hendrickson</v>
      </c>
      <c r="C37" t="str">
        <f>Raw_Claims_Data!C36</f>
        <v>Life</v>
      </c>
      <c r="D37">
        <f>Raw_Claims_Data!D36</f>
        <v>51.18</v>
      </c>
      <c r="E37">
        <f>Raw_Claims_Data!E36</f>
        <v>27000</v>
      </c>
      <c r="F37" t="str">
        <f>Raw_Claims_Data!F36</f>
        <v>DC</v>
      </c>
      <c r="G37" t="str">
        <f>Raw_Claims_Data!G36</f>
        <v>A</v>
      </c>
      <c r="H37" t="str">
        <f>Raw_Claims_Data!H36</f>
        <v>Minor Loss</v>
      </c>
      <c r="I37" t="str">
        <f>IF(Raw_Claims_Data!I36="","None",Raw_Claims_Data!I36)</f>
        <v>Police</v>
      </c>
      <c r="J37" t="str">
        <f>Raw_Claims_Data!J36</f>
        <v>Louisville</v>
      </c>
      <c r="K37" t="str">
        <f>Raw_Claims_Data!K36</f>
        <v>KY</v>
      </c>
      <c r="L37">
        <f>Raw_Claims_Data!L36</f>
        <v>0</v>
      </c>
      <c r="M37" t="str">
        <f>IF(Raw_Claims_Data!M36="","N/A",Raw_Claims_Data!M36)</f>
        <v>N/A</v>
      </c>
      <c r="N37" t="str">
        <f>Raw_Claims_Data!N36</f>
        <v>AGENT00552</v>
      </c>
      <c r="O37">
        <f>IF(Raw_Claims_Data!G36="D",1,0)</f>
        <v>0</v>
      </c>
    </row>
    <row r="38" spans="1:15" x14ac:dyDescent="0.35">
      <c r="A38" t="str">
        <f>Raw_Claims_Data!A37</f>
        <v>TXN00000034</v>
      </c>
      <c r="B38" t="str">
        <f>TRIM(Raw_Claims_Data!B37)</f>
        <v>Brent Lusk</v>
      </c>
      <c r="C38" t="str">
        <f>Raw_Claims_Data!C37</f>
        <v>Mobile</v>
      </c>
      <c r="D38">
        <f>Raw_Claims_Data!D37</f>
        <v>8.3800000000000008</v>
      </c>
      <c r="E38">
        <f>Raw_Claims_Data!E37</f>
        <v>100</v>
      </c>
      <c r="F38" t="str">
        <f>Raw_Claims_Data!F37</f>
        <v>MA</v>
      </c>
      <c r="G38" t="str">
        <f>Raw_Claims_Data!G37</f>
        <v>A</v>
      </c>
      <c r="H38" t="str">
        <f>Raw_Claims_Data!H37</f>
        <v>Minor Loss</v>
      </c>
      <c r="I38" t="str">
        <f>IF(Raw_Claims_Data!I37="","None",Raw_Claims_Data!I37)</f>
        <v>Other</v>
      </c>
      <c r="J38" t="str">
        <f>Raw_Claims_Data!J37</f>
        <v>Manchester</v>
      </c>
      <c r="K38" t="str">
        <f>Raw_Claims_Data!K37</f>
        <v>CT</v>
      </c>
      <c r="L38">
        <f>Raw_Claims_Data!L37</f>
        <v>17</v>
      </c>
      <c r="M38" t="str">
        <f>IF(Raw_Claims_Data!M37="","N/A",Raw_Claims_Data!M37)</f>
        <v>VNDR00045</v>
      </c>
      <c r="N38" t="str">
        <f>Raw_Claims_Data!N37</f>
        <v>AGENT00623</v>
      </c>
      <c r="O38">
        <f>IF(Raw_Claims_Data!G37="D",1,0)</f>
        <v>0</v>
      </c>
    </row>
    <row r="39" spans="1:15" x14ac:dyDescent="0.35">
      <c r="A39" t="str">
        <f>Raw_Claims_Data!A38</f>
        <v>TXN00000035</v>
      </c>
      <c r="B39" t="str">
        <f>TRIM(Raw_Claims_Data!B38)</f>
        <v>Charles Johnson</v>
      </c>
      <c r="C39" t="str">
        <f>Raw_Claims_Data!C38</f>
        <v>Life</v>
      </c>
      <c r="D39">
        <f>Raw_Claims_Data!D38</f>
        <v>95.16</v>
      </c>
      <c r="E39">
        <f>Raw_Claims_Data!E38</f>
        <v>74000</v>
      </c>
      <c r="F39" t="str">
        <f>Raw_Claims_Data!F38</f>
        <v>CA</v>
      </c>
      <c r="G39" t="str">
        <f>Raw_Claims_Data!G38</f>
        <v>A</v>
      </c>
      <c r="H39" t="str">
        <f>Raw_Claims_Data!H38</f>
        <v>Major Loss</v>
      </c>
      <c r="I39" t="str">
        <f>IF(Raw_Claims_Data!I38="","None",Raw_Claims_Data!I38)</f>
        <v>None</v>
      </c>
      <c r="J39" t="str">
        <f>Raw_Claims_Data!J38</f>
        <v>Louisville</v>
      </c>
      <c r="K39" t="str">
        <f>Raw_Claims_Data!K38</f>
        <v>KY</v>
      </c>
      <c r="L39">
        <f>Raw_Claims_Data!L38</f>
        <v>13</v>
      </c>
      <c r="M39" t="str">
        <f>IF(Raw_Claims_Data!M38="","N/A",Raw_Claims_Data!M38)</f>
        <v>VNDR00226</v>
      </c>
      <c r="N39" t="str">
        <f>Raw_Claims_Data!N38</f>
        <v>AGENT00313</v>
      </c>
      <c r="O39">
        <f>IF(Raw_Claims_Data!G38="D",1,0)</f>
        <v>0</v>
      </c>
    </row>
    <row r="40" spans="1:15" x14ac:dyDescent="0.35">
      <c r="A40" t="str">
        <f>Raw_Claims_Data!A39</f>
        <v>TXN00000036</v>
      </c>
      <c r="B40" t="str">
        <f>TRIM(Raw_Claims_Data!B39)</f>
        <v>Gloria Davis</v>
      </c>
      <c r="C40" t="str">
        <f>Raw_Claims_Data!C39</f>
        <v>Life</v>
      </c>
      <c r="D40">
        <f>Raw_Claims_Data!D39</f>
        <v>66.73</v>
      </c>
      <c r="E40">
        <f>Raw_Claims_Data!E39</f>
        <v>69000</v>
      </c>
      <c r="F40" t="str">
        <f>Raw_Claims_Data!F39</f>
        <v>CO</v>
      </c>
      <c r="G40" t="str">
        <f>Raw_Claims_Data!G39</f>
        <v>A</v>
      </c>
      <c r="H40" t="str">
        <f>Raw_Claims_Data!H39</f>
        <v>Minor Loss</v>
      </c>
      <c r="I40" t="str">
        <f>IF(Raw_Claims_Data!I39="","None",Raw_Claims_Data!I39)</f>
        <v>Ambulance</v>
      </c>
      <c r="J40" t="str">
        <f>Raw_Claims_Data!J39</f>
        <v>Pasadena</v>
      </c>
      <c r="K40" t="str">
        <f>Raw_Claims_Data!K39</f>
        <v>MD</v>
      </c>
      <c r="L40">
        <f>Raw_Claims_Data!L39</f>
        <v>7</v>
      </c>
      <c r="M40" t="str">
        <f>IF(Raw_Claims_Data!M39="","N/A",Raw_Claims_Data!M39)</f>
        <v>N/A</v>
      </c>
      <c r="N40" t="str">
        <f>Raw_Claims_Data!N39</f>
        <v>AGENT00886</v>
      </c>
      <c r="O40">
        <f>IF(Raw_Claims_Data!G39="D",1,0)</f>
        <v>0</v>
      </c>
    </row>
    <row r="41" spans="1:15" x14ac:dyDescent="0.35">
      <c r="A41" t="str">
        <f>Raw_Claims_Data!A40</f>
        <v>TXN00000037</v>
      </c>
      <c r="B41" t="str">
        <f>TRIM(Raw_Claims_Data!B40)</f>
        <v>Irene Metcalf</v>
      </c>
      <c r="C41" t="str">
        <f>Raw_Claims_Data!C40</f>
        <v>Mobile</v>
      </c>
      <c r="D41">
        <f>Raw_Claims_Data!D40</f>
        <v>8.27</v>
      </c>
      <c r="E41">
        <f>Raw_Claims_Data!E40</f>
        <v>300</v>
      </c>
      <c r="F41" t="str">
        <f>Raw_Claims_Data!F40</f>
        <v>FL</v>
      </c>
      <c r="G41" t="str">
        <f>Raw_Claims_Data!G40</f>
        <v>A</v>
      </c>
      <c r="H41" t="str">
        <f>Raw_Claims_Data!H40</f>
        <v>Minor Loss</v>
      </c>
      <c r="I41" t="str">
        <f>IF(Raw_Claims_Data!I40="","None",Raw_Claims_Data!I40)</f>
        <v>Police</v>
      </c>
      <c r="J41" t="str">
        <f>Raw_Claims_Data!J40</f>
        <v>Panama City</v>
      </c>
      <c r="K41" t="str">
        <f>Raw_Claims_Data!K40</f>
        <v>FL</v>
      </c>
      <c r="L41">
        <f>Raw_Claims_Data!L40</f>
        <v>8</v>
      </c>
      <c r="M41" t="str">
        <f>IF(Raw_Claims_Data!M40="","N/A",Raw_Claims_Data!M40)</f>
        <v>N/A</v>
      </c>
      <c r="N41" t="str">
        <f>Raw_Claims_Data!N40</f>
        <v>AGENT00690</v>
      </c>
      <c r="O41">
        <f>IF(Raw_Claims_Data!G40="D",1,0)</f>
        <v>0</v>
      </c>
    </row>
    <row r="42" spans="1:15" x14ac:dyDescent="0.35">
      <c r="A42" t="str">
        <f>Raw_Claims_Data!A41</f>
        <v>TXN00000038</v>
      </c>
      <c r="B42" t="str">
        <f>TRIM(Raw_Claims_Data!B41)</f>
        <v>Patsy Cantu</v>
      </c>
      <c r="C42" t="str">
        <f>Raw_Claims_Data!C41</f>
        <v>Life</v>
      </c>
      <c r="D42">
        <f>Raw_Claims_Data!D41</f>
        <v>50.3</v>
      </c>
      <c r="E42">
        <f>Raw_Claims_Data!E41</f>
        <v>18000</v>
      </c>
      <c r="F42" t="str">
        <f>Raw_Claims_Data!F41</f>
        <v>CA</v>
      </c>
      <c r="G42" t="str">
        <f>Raw_Claims_Data!G41</f>
        <v>A</v>
      </c>
      <c r="H42" t="str">
        <f>Raw_Claims_Data!H41</f>
        <v>Total Loss</v>
      </c>
      <c r="I42" t="str">
        <f>IF(Raw_Claims_Data!I41="","None",Raw_Claims_Data!I41)</f>
        <v>Police</v>
      </c>
      <c r="J42" t="str">
        <f>Raw_Claims_Data!J41</f>
        <v>Montgomery</v>
      </c>
      <c r="K42" t="str">
        <f>Raw_Claims_Data!K41</f>
        <v>AL</v>
      </c>
      <c r="L42">
        <f>Raw_Claims_Data!L41</f>
        <v>14</v>
      </c>
      <c r="M42" t="str">
        <f>IF(Raw_Claims_Data!M41="","N/A",Raw_Claims_Data!M41)</f>
        <v>N/A</v>
      </c>
      <c r="N42" t="str">
        <f>Raw_Claims_Data!N41</f>
        <v>AGENT00678</v>
      </c>
      <c r="O42">
        <f>IF(Raw_Claims_Data!G41="D",1,0)</f>
        <v>0</v>
      </c>
    </row>
    <row r="43" spans="1:15" x14ac:dyDescent="0.35">
      <c r="A43" t="str">
        <f>Raw_Claims_Data!A42</f>
        <v>TXN00000039</v>
      </c>
      <c r="B43" t="str">
        <f>TRIM(Raw_Claims_Data!B42)</f>
        <v>Louis Yang</v>
      </c>
      <c r="C43" t="str">
        <f>Raw_Claims_Data!C42</f>
        <v>Mobile</v>
      </c>
      <c r="D43">
        <f>Raw_Claims_Data!D42</f>
        <v>6.59</v>
      </c>
      <c r="E43">
        <f>Raw_Claims_Data!E42</f>
        <v>600</v>
      </c>
      <c r="F43" t="str">
        <f>Raw_Claims_Data!F42</f>
        <v>KY</v>
      </c>
      <c r="G43" t="str">
        <f>Raw_Claims_Data!G42</f>
        <v>A</v>
      </c>
      <c r="H43" t="str">
        <f>Raw_Claims_Data!H42</f>
        <v>Minor Loss</v>
      </c>
      <c r="I43" t="str">
        <f>IF(Raw_Claims_Data!I42="","None",Raw_Claims_Data!I42)</f>
        <v>Ambulance</v>
      </c>
      <c r="J43" t="str">
        <f>Raw_Claims_Data!J42</f>
        <v>Washington</v>
      </c>
      <c r="K43" t="str">
        <f>Raw_Claims_Data!K42</f>
        <v>DC</v>
      </c>
      <c r="L43">
        <f>Raw_Claims_Data!L42</f>
        <v>6</v>
      </c>
      <c r="M43" t="str">
        <f>IF(Raw_Claims_Data!M42="","N/A",Raw_Claims_Data!M42)</f>
        <v>VNDR00560</v>
      </c>
      <c r="N43" t="str">
        <f>Raw_Claims_Data!N42</f>
        <v>AGENT00132</v>
      </c>
      <c r="O43">
        <f>IF(Raw_Claims_Data!G42="D",1,0)</f>
        <v>0</v>
      </c>
    </row>
    <row r="44" spans="1:15" x14ac:dyDescent="0.35">
      <c r="A44" t="str">
        <f>Raw_Claims_Data!A43</f>
        <v>TXN00000040</v>
      </c>
      <c r="B44" t="str">
        <f>TRIM(Raw_Claims_Data!B43)</f>
        <v>Albert Wilkie</v>
      </c>
      <c r="C44" t="str">
        <f>Raw_Claims_Data!C43</f>
        <v>Mobile</v>
      </c>
      <c r="D44">
        <f>Raw_Claims_Data!D43</f>
        <v>11.04</v>
      </c>
      <c r="E44">
        <f>Raw_Claims_Data!E43</f>
        <v>600</v>
      </c>
      <c r="F44" t="str">
        <f>Raw_Claims_Data!F43</f>
        <v>MA</v>
      </c>
      <c r="G44" t="str">
        <f>Raw_Claims_Data!G43</f>
        <v>A</v>
      </c>
      <c r="H44" t="str">
        <f>Raw_Claims_Data!H43</f>
        <v>Total Loss</v>
      </c>
      <c r="I44" t="str">
        <f>IF(Raw_Claims_Data!I43="","None",Raw_Claims_Data!I43)</f>
        <v>Other</v>
      </c>
      <c r="J44" t="str">
        <f>Raw_Claims_Data!J43</f>
        <v>Manchester</v>
      </c>
      <c r="K44" t="str">
        <f>Raw_Claims_Data!K43</f>
        <v>CT</v>
      </c>
      <c r="L44">
        <f>Raw_Claims_Data!L43</f>
        <v>0</v>
      </c>
      <c r="M44" t="str">
        <f>IF(Raw_Claims_Data!M43="","N/A",Raw_Claims_Data!M43)</f>
        <v>N/A</v>
      </c>
      <c r="N44" t="str">
        <f>Raw_Claims_Data!N43</f>
        <v>AGENT00284</v>
      </c>
      <c r="O44">
        <f>IF(Raw_Claims_Data!G43="D",1,0)</f>
        <v>0</v>
      </c>
    </row>
    <row r="45" spans="1:15" x14ac:dyDescent="0.35">
      <c r="A45" t="str">
        <f>Raw_Claims_Data!A44</f>
        <v>TXN00000041</v>
      </c>
      <c r="B45" t="str">
        <f>TRIM(Raw_Claims_Data!B44)</f>
        <v>Paula Davis</v>
      </c>
      <c r="C45" t="str">
        <f>Raw_Claims_Data!C44</f>
        <v>Life</v>
      </c>
      <c r="D45">
        <f>Raw_Claims_Data!D44</f>
        <v>86.77</v>
      </c>
      <c r="E45">
        <f>Raw_Claims_Data!E44</f>
        <v>34000</v>
      </c>
      <c r="F45" t="str">
        <f>Raw_Claims_Data!F44</f>
        <v>DC</v>
      </c>
      <c r="G45" t="str">
        <f>Raw_Claims_Data!G44</f>
        <v>A</v>
      </c>
      <c r="H45" t="str">
        <f>Raw_Claims_Data!H44</f>
        <v>Major Loss</v>
      </c>
      <c r="I45" t="str">
        <f>IF(Raw_Claims_Data!I44="","None",Raw_Claims_Data!I44)</f>
        <v>Ambulance</v>
      </c>
      <c r="J45" t="str">
        <f>Raw_Claims_Data!J44</f>
        <v>Manchester</v>
      </c>
      <c r="K45" t="str">
        <f>Raw_Claims_Data!K44</f>
        <v>CT</v>
      </c>
      <c r="L45">
        <f>Raw_Claims_Data!L44</f>
        <v>2</v>
      </c>
      <c r="M45" t="str">
        <f>IF(Raw_Claims_Data!M44="","N/A",Raw_Claims_Data!M44)</f>
        <v>VNDR00018</v>
      </c>
      <c r="N45" t="str">
        <f>Raw_Claims_Data!N44</f>
        <v>AGENT00312</v>
      </c>
      <c r="O45">
        <f>IF(Raw_Claims_Data!G44="D",1,0)</f>
        <v>0</v>
      </c>
    </row>
    <row r="46" spans="1:15" x14ac:dyDescent="0.35">
      <c r="A46" t="str">
        <f>Raw_Claims_Data!A45</f>
        <v>TXN00000042</v>
      </c>
      <c r="B46" t="str">
        <f>TRIM(Raw_Claims_Data!B45)</f>
        <v>Dorothy James</v>
      </c>
      <c r="C46" t="str">
        <f>Raw_Claims_Data!C45</f>
        <v>Motor</v>
      </c>
      <c r="D46">
        <f>Raw_Claims_Data!D45</f>
        <v>89.11</v>
      </c>
      <c r="E46">
        <f>Raw_Claims_Data!E45</f>
        <v>2000</v>
      </c>
      <c r="F46" t="str">
        <f>Raw_Claims_Data!F45</f>
        <v>VT</v>
      </c>
      <c r="G46" t="str">
        <f>Raw_Claims_Data!G45</f>
        <v>A</v>
      </c>
      <c r="H46" t="str">
        <f>Raw_Claims_Data!H45</f>
        <v>Minor Loss</v>
      </c>
      <c r="I46" t="str">
        <f>IF(Raw_Claims_Data!I45="","None",Raw_Claims_Data!I45)</f>
        <v>Police</v>
      </c>
      <c r="J46" t="str">
        <f>Raw_Claims_Data!J45</f>
        <v>Anchorage</v>
      </c>
      <c r="K46" t="str">
        <f>Raw_Claims_Data!K45</f>
        <v>AK</v>
      </c>
      <c r="L46">
        <f>Raw_Claims_Data!L45</f>
        <v>14</v>
      </c>
      <c r="M46" t="str">
        <f>IF(Raw_Claims_Data!M45="","N/A",Raw_Claims_Data!M45)</f>
        <v>VNDR00560</v>
      </c>
      <c r="N46" t="str">
        <f>Raw_Claims_Data!N45</f>
        <v>AGENT00622</v>
      </c>
      <c r="O46">
        <f>IF(Raw_Claims_Data!G45="D",1,0)</f>
        <v>0</v>
      </c>
    </row>
    <row r="47" spans="1:15" x14ac:dyDescent="0.35">
      <c r="A47" t="str">
        <f>Raw_Claims_Data!A46</f>
        <v>TXN00000043</v>
      </c>
      <c r="B47" t="str">
        <f>TRIM(Raw_Claims_Data!B46)</f>
        <v>Wayne Landrum</v>
      </c>
      <c r="C47" t="str">
        <f>Raw_Claims_Data!C46</f>
        <v>Property</v>
      </c>
      <c r="D47">
        <f>Raw_Claims_Data!D46</f>
        <v>140.72</v>
      </c>
      <c r="E47">
        <f>Raw_Claims_Data!E46</f>
        <v>35000</v>
      </c>
      <c r="F47" t="str">
        <f>Raw_Claims_Data!F46</f>
        <v>CT</v>
      </c>
      <c r="G47" t="str">
        <f>Raw_Claims_Data!G46</f>
        <v>A</v>
      </c>
      <c r="H47" t="str">
        <f>Raw_Claims_Data!H46</f>
        <v>Total Loss</v>
      </c>
      <c r="I47" t="str">
        <f>IF(Raw_Claims_Data!I46="","None",Raw_Claims_Data!I46)</f>
        <v>Police</v>
      </c>
      <c r="J47" t="str">
        <f>Raw_Claims_Data!J46</f>
        <v>Farmington</v>
      </c>
      <c r="K47" t="str">
        <f>Raw_Claims_Data!K46</f>
        <v>AR</v>
      </c>
      <c r="L47">
        <f>Raw_Claims_Data!L46</f>
        <v>0</v>
      </c>
      <c r="M47" t="str">
        <f>IF(Raw_Claims_Data!M46="","N/A",Raw_Claims_Data!M46)</f>
        <v>VNDR00086</v>
      </c>
      <c r="N47" t="str">
        <f>Raw_Claims_Data!N46</f>
        <v>AGENT00896</v>
      </c>
      <c r="O47">
        <f>IF(Raw_Claims_Data!G46="D",1,0)</f>
        <v>0</v>
      </c>
    </row>
    <row r="48" spans="1:15" x14ac:dyDescent="0.35">
      <c r="A48" t="str">
        <f>Raw_Claims_Data!A47</f>
        <v>TXN00000044</v>
      </c>
      <c r="B48" t="str">
        <f>TRIM(Raw_Claims_Data!B47)</f>
        <v>Edward Igtanloc</v>
      </c>
      <c r="C48" t="str">
        <f>Raw_Claims_Data!C47</f>
        <v>Property</v>
      </c>
      <c r="D48">
        <f>Raw_Claims_Data!D47</f>
        <v>129.9</v>
      </c>
      <c r="E48">
        <f>Raw_Claims_Data!E47</f>
        <v>18000</v>
      </c>
      <c r="F48" t="str">
        <f>Raw_Claims_Data!F47</f>
        <v>FL</v>
      </c>
      <c r="G48" t="str">
        <f>Raw_Claims_Data!G47</f>
        <v>A</v>
      </c>
      <c r="H48" t="str">
        <f>Raw_Claims_Data!H47</f>
        <v>Minor Loss</v>
      </c>
      <c r="I48" t="str">
        <f>IF(Raw_Claims_Data!I47="","None",Raw_Claims_Data!I47)</f>
        <v>Ambulance</v>
      </c>
      <c r="J48" t="str">
        <f>Raw_Claims_Data!J47</f>
        <v>Oklahoma City</v>
      </c>
      <c r="K48" t="str">
        <f>Raw_Claims_Data!K47</f>
        <v>OK</v>
      </c>
      <c r="L48">
        <f>Raw_Claims_Data!L47</f>
        <v>18</v>
      </c>
      <c r="M48" t="str">
        <f>IF(Raw_Claims_Data!M47="","N/A",Raw_Claims_Data!M47)</f>
        <v>N/A</v>
      </c>
      <c r="N48" t="str">
        <f>Raw_Claims_Data!N47</f>
        <v>AGENT00744</v>
      </c>
      <c r="O48">
        <f>IF(Raw_Claims_Data!G47="D",1,0)</f>
        <v>0</v>
      </c>
    </row>
    <row r="49" spans="1:15" x14ac:dyDescent="0.35">
      <c r="A49" t="str">
        <f>Raw_Claims_Data!A48</f>
        <v>TXN00000045</v>
      </c>
      <c r="B49" t="str">
        <f>TRIM(Raw_Claims_Data!B48)</f>
        <v>Cheryl Silva</v>
      </c>
      <c r="C49" t="str">
        <f>Raw_Claims_Data!C48</f>
        <v>Life</v>
      </c>
      <c r="D49">
        <f>Raw_Claims_Data!D48</f>
        <v>84.99</v>
      </c>
      <c r="E49">
        <f>Raw_Claims_Data!E48</f>
        <v>66000</v>
      </c>
      <c r="F49" t="str">
        <f>Raw_Claims_Data!F48</f>
        <v>AL</v>
      </c>
      <c r="G49" t="str">
        <f>Raw_Claims_Data!G48</f>
        <v>A</v>
      </c>
      <c r="H49" t="str">
        <f>Raw_Claims_Data!H48</f>
        <v>Minor Loss</v>
      </c>
      <c r="I49" t="str">
        <f>IF(Raw_Claims_Data!I48="","None",Raw_Claims_Data!I48)</f>
        <v>Ambulance</v>
      </c>
      <c r="J49" t="str">
        <f>Raw_Claims_Data!J48</f>
        <v>Montgomery</v>
      </c>
      <c r="K49" t="str">
        <f>Raw_Claims_Data!K48</f>
        <v>AL</v>
      </c>
      <c r="L49">
        <f>Raw_Claims_Data!L48</f>
        <v>16</v>
      </c>
      <c r="M49" t="str">
        <f>IF(Raw_Claims_Data!M48="","N/A",Raw_Claims_Data!M48)</f>
        <v>N/A</v>
      </c>
      <c r="N49" t="str">
        <f>Raw_Claims_Data!N48</f>
        <v>AGENT00617</v>
      </c>
      <c r="O49">
        <f>IF(Raw_Claims_Data!G48="D",1,0)</f>
        <v>0</v>
      </c>
    </row>
    <row r="50" spans="1:15" x14ac:dyDescent="0.35">
      <c r="A50" t="str">
        <f>Raw_Claims_Data!A49</f>
        <v>TXN00000046</v>
      </c>
      <c r="B50" t="str">
        <f>TRIM(Raw_Claims_Data!B49)</f>
        <v>Mary Cotton</v>
      </c>
      <c r="C50" t="str">
        <f>Raw_Claims_Data!C49</f>
        <v>Travel</v>
      </c>
      <c r="D50">
        <f>Raw_Claims_Data!D49</f>
        <v>90.04</v>
      </c>
      <c r="E50">
        <f>Raw_Claims_Data!E49</f>
        <v>5000</v>
      </c>
      <c r="F50" t="str">
        <f>Raw_Claims_Data!F49</f>
        <v>AZ</v>
      </c>
      <c r="G50" t="str">
        <f>Raw_Claims_Data!G49</f>
        <v>A</v>
      </c>
      <c r="H50" t="str">
        <f>Raw_Claims_Data!H49</f>
        <v>Minor Loss</v>
      </c>
      <c r="I50" t="str">
        <f>IF(Raw_Claims_Data!I49="","None",Raw_Claims_Data!I49)</f>
        <v>None</v>
      </c>
      <c r="J50" t="str">
        <f>Raw_Claims_Data!J49</f>
        <v>Farmington</v>
      </c>
      <c r="K50" t="str">
        <f>Raw_Claims_Data!K49</f>
        <v>AR</v>
      </c>
      <c r="L50">
        <f>Raw_Claims_Data!L49</f>
        <v>5</v>
      </c>
      <c r="M50" t="str">
        <f>IF(Raw_Claims_Data!M49="","N/A",Raw_Claims_Data!M49)</f>
        <v>VNDR00071</v>
      </c>
      <c r="N50" t="str">
        <f>Raw_Claims_Data!N49</f>
        <v>AGENT00969</v>
      </c>
      <c r="O50">
        <f>IF(Raw_Claims_Data!G49="D",1,0)</f>
        <v>0</v>
      </c>
    </row>
    <row r="51" spans="1:15" x14ac:dyDescent="0.35">
      <c r="A51" t="str">
        <f>Raw_Claims_Data!A50</f>
        <v>TXN00000047</v>
      </c>
      <c r="B51" t="str">
        <f>TRIM(Raw_Claims_Data!B50)</f>
        <v>Harold Garcia</v>
      </c>
      <c r="C51" t="str">
        <f>Raw_Claims_Data!C50</f>
        <v>Motor</v>
      </c>
      <c r="D51">
        <f>Raw_Claims_Data!D50</f>
        <v>117.72</v>
      </c>
      <c r="E51">
        <f>Raw_Claims_Data!E50</f>
        <v>7000</v>
      </c>
      <c r="F51" t="str">
        <f>Raw_Claims_Data!F50</f>
        <v>CA</v>
      </c>
      <c r="G51" t="str">
        <f>Raw_Claims_Data!G50</f>
        <v>D</v>
      </c>
      <c r="H51" t="str">
        <f>Raw_Claims_Data!H50</f>
        <v>Major Loss</v>
      </c>
      <c r="I51" t="str">
        <f>IF(Raw_Claims_Data!I50="","None",Raw_Claims_Data!I50)</f>
        <v>Police</v>
      </c>
      <c r="J51" t="str">
        <f>Raw_Claims_Data!J50</f>
        <v>Arvada</v>
      </c>
      <c r="K51" t="str">
        <f>Raw_Claims_Data!K50</f>
        <v>CO</v>
      </c>
      <c r="L51">
        <f>Raw_Claims_Data!L50</f>
        <v>0</v>
      </c>
      <c r="M51" t="str">
        <f>IF(Raw_Claims_Data!M50="","N/A",Raw_Claims_Data!M50)</f>
        <v>N/A</v>
      </c>
      <c r="N51" t="str">
        <f>Raw_Claims_Data!N50</f>
        <v>AGENT00642</v>
      </c>
      <c r="O51">
        <f>IF(Raw_Claims_Data!G50="D",1,0)</f>
        <v>1</v>
      </c>
    </row>
    <row r="52" spans="1:15" x14ac:dyDescent="0.35">
      <c r="A52" t="str">
        <f>Raw_Claims_Data!A51</f>
        <v>TXN00000048</v>
      </c>
      <c r="B52" t="str">
        <f>TRIM(Raw_Claims_Data!B51)</f>
        <v>Tori Mcbride</v>
      </c>
      <c r="C52" t="str">
        <f>Raw_Claims_Data!C51</f>
        <v>Property</v>
      </c>
      <c r="D52">
        <f>Raw_Claims_Data!D51</f>
        <v>109.74</v>
      </c>
      <c r="E52">
        <f>Raw_Claims_Data!E51</f>
        <v>15000</v>
      </c>
      <c r="F52" t="str">
        <f>Raw_Claims_Data!F51</f>
        <v>VT</v>
      </c>
      <c r="G52" t="str">
        <f>Raw_Claims_Data!G51</f>
        <v>D</v>
      </c>
      <c r="H52" t="str">
        <f>Raw_Claims_Data!H51</f>
        <v>Minor Loss</v>
      </c>
      <c r="I52" t="str">
        <f>IF(Raw_Claims_Data!I51="","None",Raw_Claims_Data!I51)</f>
        <v>None</v>
      </c>
      <c r="J52" t="str">
        <f>Raw_Claims_Data!J51</f>
        <v>Richmond</v>
      </c>
      <c r="K52" t="str">
        <f>Raw_Claims_Data!K51</f>
        <v>VT</v>
      </c>
      <c r="L52">
        <f>Raw_Claims_Data!L51</f>
        <v>2</v>
      </c>
      <c r="M52" t="str">
        <f>IF(Raw_Claims_Data!M51="","N/A",Raw_Claims_Data!M51)</f>
        <v>VNDR00009</v>
      </c>
      <c r="N52" t="str">
        <f>Raw_Claims_Data!N51</f>
        <v>AGENT00845</v>
      </c>
      <c r="O52">
        <f>IF(Raw_Claims_Data!G51="D",1,0)</f>
        <v>1</v>
      </c>
    </row>
    <row r="53" spans="1:15" x14ac:dyDescent="0.35">
      <c r="A53" t="str">
        <f>Raw_Claims_Data!A52</f>
        <v>TXN00000049</v>
      </c>
      <c r="B53" t="str">
        <f>TRIM(Raw_Claims_Data!B52)</f>
        <v>Bertha Roseman</v>
      </c>
      <c r="C53" t="str">
        <f>Raw_Claims_Data!C52</f>
        <v>Mobile</v>
      </c>
      <c r="D53">
        <f>Raw_Claims_Data!D52</f>
        <v>9.0500000000000007</v>
      </c>
      <c r="E53">
        <f>Raw_Claims_Data!E52</f>
        <v>300</v>
      </c>
      <c r="F53" t="str">
        <f>Raw_Claims_Data!F52</f>
        <v>KY</v>
      </c>
      <c r="G53" t="str">
        <f>Raw_Claims_Data!G52</f>
        <v>A</v>
      </c>
      <c r="H53" t="str">
        <f>Raw_Claims_Data!H52</f>
        <v>Major Loss</v>
      </c>
      <c r="I53" t="str">
        <f>IF(Raw_Claims_Data!I52="","None",Raw_Claims_Data!I52)</f>
        <v>Ambulance</v>
      </c>
      <c r="J53" t="str">
        <f>Raw_Claims_Data!J52</f>
        <v>Washington</v>
      </c>
      <c r="K53" t="str">
        <f>Raw_Claims_Data!K52</f>
        <v>DC</v>
      </c>
      <c r="L53">
        <f>Raw_Claims_Data!L52</f>
        <v>22</v>
      </c>
      <c r="M53" t="str">
        <f>IF(Raw_Claims_Data!M52="","N/A",Raw_Claims_Data!M52)</f>
        <v>N/A</v>
      </c>
      <c r="N53" t="str">
        <f>Raw_Claims_Data!N52</f>
        <v>AGENT00580</v>
      </c>
      <c r="O53">
        <f>IF(Raw_Claims_Data!G52="D",1,0)</f>
        <v>0</v>
      </c>
    </row>
    <row r="54" spans="1:15" x14ac:dyDescent="0.35">
      <c r="A54" t="str">
        <f>Raw_Claims_Data!A53</f>
        <v>TXN00000050</v>
      </c>
      <c r="B54" t="str">
        <f>TRIM(Raw_Claims_Data!B53)</f>
        <v>Travis Louis</v>
      </c>
      <c r="C54" t="str">
        <f>Raw_Claims_Data!C53</f>
        <v>Motor</v>
      </c>
      <c r="D54">
        <f>Raw_Claims_Data!D53</f>
        <v>116.99</v>
      </c>
      <c r="E54">
        <f>Raw_Claims_Data!E53</f>
        <v>10000</v>
      </c>
      <c r="F54" t="str">
        <f>Raw_Claims_Data!F53</f>
        <v>AZ</v>
      </c>
      <c r="G54" t="str">
        <f>Raw_Claims_Data!G53</f>
        <v>A</v>
      </c>
      <c r="H54" t="str">
        <f>Raw_Claims_Data!H53</f>
        <v>Minor Loss</v>
      </c>
      <c r="I54" t="str">
        <f>IF(Raw_Claims_Data!I53="","None",Raw_Claims_Data!I53)</f>
        <v>Ambulance</v>
      </c>
      <c r="J54" t="str">
        <f>Raw_Claims_Data!J53</f>
        <v>Glendale</v>
      </c>
      <c r="K54" t="str">
        <f>Raw_Claims_Data!K53</f>
        <v>AZ</v>
      </c>
      <c r="L54">
        <f>Raw_Claims_Data!L53</f>
        <v>13</v>
      </c>
      <c r="M54" t="str">
        <f>IF(Raw_Claims_Data!M53="","N/A",Raw_Claims_Data!M53)</f>
        <v>VNDR00488</v>
      </c>
      <c r="N54" t="str">
        <f>Raw_Claims_Data!N53</f>
        <v>AGENT00697</v>
      </c>
      <c r="O54">
        <f>IF(Raw_Claims_Data!G53="D",1,0)</f>
        <v>0</v>
      </c>
    </row>
    <row r="55" spans="1:15" x14ac:dyDescent="0.35">
      <c r="A55" t="str">
        <f>Raw_Claims_Data!A54</f>
        <v>TXN00000051</v>
      </c>
      <c r="B55" t="str">
        <f>TRIM(Raw_Claims_Data!B54)</f>
        <v>Marion Dollyhigh</v>
      </c>
      <c r="C55" t="str">
        <f>Raw_Claims_Data!C54</f>
        <v>Mobile</v>
      </c>
      <c r="D55">
        <f>Raw_Claims_Data!D54</f>
        <v>11.04</v>
      </c>
      <c r="E55">
        <f>Raw_Claims_Data!E54</f>
        <v>400</v>
      </c>
      <c r="F55" t="str">
        <f>Raw_Claims_Data!F54</f>
        <v>KY</v>
      </c>
      <c r="G55" t="str">
        <f>Raw_Claims_Data!G54</f>
        <v>A</v>
      </c>
      <c r="H55" t="str">
        <f>Raw_Claims_Data!H54</f>
        <v>Total Loss</v>
      </c>
      <c r="I55" t="str">
        <f>IF(Raw_Claims_Data!I54="","None",Raw_Claims_Data!I54)</f>
        <v>Ambulance</v>
      </c>
      <c r="J55" t="str">
        <f>Raw_Claims_Data!J54</f>
        <v>Greensboro</v>
      </c>
      <c r="K55" t="str">
        <f>Raw_Claims_Data!K54</f>
        <v>VT</v>
      </c>
      <c r="L55">
        <f>Raw_Claims_Data!L54</f>
        <v>22</v>
      </c>
      <c r="M55" t="str">
        <f>IF(Raw_Claims_Data!M54="","N/A",Raw_Claims_Data!M54)</f>
        <v>N/A</v>
      </c>
      <c r="N55" t="str">
        <f>Raw_Claims_Data!N54</f>
        <v>AGENT00780</v>
      </c>
      <c r="O55">
        <f>IF(Raw_Claims_Data!G54="D",1,0)</f>
        <v>0</v>
      </c>
    </row>
    <row r="56" spans="1:15" x14ac:dyDescent="0.35">
      <c r="A56" t="str">
        <f>Raw_Claims_Data!A55</f>
        <v>TXN00000052</v>
      </c>
      <c r="B56" t="str">
        <f>TRIM(Raw_Claims_Data!B55)</f>
        <v>Thomas Lancon</v>
      </c>
      <c r="C56" t="str">
        <f>Raw_Claims_Data!C55</f>
        <v>Mobile</v>
      </c>
      <c r="D56">
        <f>Raw_Claims_Data!D55</f>
        <v>6.63</v>
      </c>
      <c r="E56">
        <f>Raw_Claims_Data!E55</f>
        <v>600</v>
      </c>
      <c r="F56" t="str">
        <f>Raw_Claims_Data!F55</f>
        <v>VT</v>
      </c>
      <c r="G56" t="str">
        <f>Raw_Claims_Data!G55</f>
        <v>A</v>
      </c>
      <c r="H56" t="str">
        <f>Raw_Claims_Data!H55</f>
        <v>Total Loss</v>
      </c>
      <c r="I56" t="str">
        <f>IF(Raw_Claims_Data!I55="","None",Raw_Claims_Data!I55)</f>
        <v>Other</v>
      </c>
      <c r="J56" t="str">
        <f>Raw_Claims_Data!J55</f>
        <v>Montgomery</v>
      </c>
      <c r="K56" t="str">
        <f>Raw_Claims_Data!K55</f>
        <v>AL</v>
      </c>
      <c r="L56">
        <f>Raw_Claims_Data!L55</f>
        <v>22</v>
      </c>
      <c r="M56" t="str">
        <f>IF(Raw_Claims_Data!M55="","N/A",Raw_Claims_Data!M55)</f>
        <v>VNDR00277</v>
      </c>
      <c r="N56" t="str">
        <f>Raw_Claims_Data!N55</f>
        <v>AGENT01183</v>
      </c>
      <c r="O56">
        <f>IF(Raw_Claims_Data!G55="D",1,0)</f>
        <v>0</v>
      </c>
    </row>
    <row r="57" spans="1:15" x14ac:dyDescent="0.35">
      <c r="A57" t="str">
        <f>Raw_Claims_Data!A56</f>
        <v>TXN00000053</v>
      </c>
      <c r="B57" t="str">
        <f>TRIM(Raw_Claims_Data!B56)</f>
        <v>Wanda Ellison</v>
      </c>
      <c r="C57" t="str">
        <f>Raw_Claims_Data!C56</f>
        <v>Motor</v>
      </c>
      <c r="D57">
        <f>Raw_Claims_Data!D56</f>
        <v>82.82</v>
      </c>
      <c r="E57">
        <f>Raw_Claims_Data!E56</f>
        <v>9000</v>
      </c>
      <c r="F57" t="str">
        <f>Raw_Claims_Data!F56</f>
        <v>OK</v>
      </c>
      <c r="G57" t="str">
        <f>Raw_Claims_Data!G56</f>
        <v>A</v>
      </c>
      <c r="H57" t="str">
        <f>Raw_Claims_Data!H56</f>
        <v>Major Loss</v>
      </c>
      <c r="I57" t="str">
        <f>IF(Raw_Claims_Data!I56="","None",Raw_Claims_Data!I56)</f>
        <v>Ambulance</v>
      </c>
      <c r="J57" t="str">
        <f>Raw_Claims_Data!J56</f>
        <v>Anchorage</v>
      </c>
      <c r="K57" t="str">
        <f>Raw_Claims_Data!K56</f>
        <v>AK</v>
      </c>
      <c r="L57">
        <f>Raw_Claims_Data!L56</f>
        <v>21</v>
      </c>
      <c r="M57" t="str">
        <f>IF(Raw_Claims_Data!M56="","N/A",Raw_Claims_Data!M56)</f>
        <v>VNDR00025</v>
      </c>
      <c r="N57" t="str">
        <f>Raw_Claims_Data!N56</f>
        <v>AGENT00293</v>
      </c>
      <c r="O57">
        <f>IF(Raw_Claims_Data!G56="D",1,0)</f>
        <v>0</v>
      </c>
    </row>
    <row r="58" spans="1:15" x14ac:dyDescent="0.35">
      <c r="A58" t="str">
        <f>Raw_Claims_Data!A57</f>
        <v>TXN00000054</v>
      </c>
      <c r="B58" t="str">
        <f>TRIM(Raw_Claims_Data!B57)</f>
        <v>Donald Meehan</v>
      </c>
      <c r="C58" t="str">
        <f>Raw_Claims_Data!C57</f>
        <v>Property</v>
      </c>
      <c r="D58">
        <f>Raw_Claims_Data!D57</f>
        <v>104.05</v>
      </c>
      <c r="E58">
        <f>Raw_Claims_Data!E57</f>
        <v>16000</v>
      </c>
      <c r="F58" t="str">
        <f>Raw_Claims_Data!F57</f>
        <v>OK</v>
      </c>
      <c r="G58" t="str">
        <f>Raw_Claims_Data!G57</f>
        <v>A</v>
      </c>
      <c r="H58" t="str">
        <f>Raw_Claims_Data!H57</f>
        <v>Minor Loss</v>
      </c>
      <c r="I58" t="str">
        <f>IF(Raw_Claims_Data!I57="","None",Raw_Claims_Data!I57)</f>
        <v>Ambulance</v>
      </c>
      <c r="J58" t="str">
        <f>Raw_Claims_Data!J57</f>
        <v>Savannah</v>
      </c>
      <c r="K58" t="str">
        <f>Raw_Claims_Data!K57</f>
        <v>GA</v>
      </c>
      <c r="L58">
        <f>Raw_Claims_Data!L57</f>
        <v>5</v>
      </c>
      <c r="M58" t="str">
        <f>IF(Raw_Claims_Data!M57="","N/A",Raw_Claims_Data!M57)</f>
        <v>VNDR00448</v>
      </c>
      <c r="N58" t="str">
        <f>Raw_Claims_Data!N57</f>
        <v>AGENT01049</v>
      </c>
      <c r="O58">
        <f>IF(Raw_Claims_Data!G57="D",1,0)</f>
        <v>0</v>
      </c>
    </row>
    <row r="59" spans="1:15" x14ac:dyDescent="0.35">
      <c r="A59" t="str">
        <f>Raw_Claims_Data!A58</f>
        <v>TXN00000055</v>
      </c>
      <c r="B59" t="str">
        <f>TRIM(Raw_Claims_Data!B58)</f>
        <v>Phillip Walker</v>
      </c>
      <c r="C59" t="str">
        <f>Raw_Claims_Data!C58</f>
        <v>Property</v>
      </c>
      <c r="D59">
        <f>Raw_Claims_Data!D58</f>
        <v>137.02000000000001</v>
      </c>
      <c r="E59">
        <f>Raw_Claims_Data!E58</f>
        <v>19000</v>
      </c>
      <c r="F59" t="str">
        <f>Raw_Claims_Data!F58</f>
        <v>AL</v>
      </c>
      <c r="G59" t="str">
        <f>Raw_Claims_Data!G58</f>
        <v>A</v>
      </c>
      <c r="H59" t="str">
        <f>Raw_Claims_Data!H58</f>
        <v>Total Loss</v>
      </c>
      <c r="I59" t="str">
        <f>IF(Raw_Claims_Data!I58="","None",Raw_Claims_Data!I58)</f>
        <v>Ambulance</v>
      </c>
      <c r="J59" t="str">
        <f>Raw_Claims_Data!J58</f>
        <v>Glen Burnie</v>
      </c>
      <c r="K59" t="str">
        <f>Raw_Claims_Data!K58</f>
        <v>MD</v>
      </c>
      <c r="L59">
        <f>Raw_Claims_Data!L58</f>
        <v>9</v>
      </c>
      <c r="M59" t="str">
        <f>IF(Raw_Claims_Data!M58="","N/A",Raw_Claims_Data!M58)</f>
        <v>VNDR00445</v>
      </c>
      <c r="N59" t="str">
        <f>Raw_Claims_Data!N58</f>
        <v>AGENT00046</v>
      </c>
      <c r="O59">
        <f>IF(Raw_Claims_Data!G58="D",1,0)</f>
        <v>0</v>
      </c>
    </row>
    <row r="60" spans="1:15" x14ac:dyDescent="0.35">
      <c r="A60" t="str">
        <f>Raw_Claims_Data!A59</f>
        <v>TXN00000056</v>
      </c>
      <c r="B60" t="str">
        <f>TRIM(Raw_Claims_Data!B59)</f>
        <v>Claire Carter</v>
      </c>
      <c r="C60" t="str">
        <f>Raw_Claims_Data!C59</f>
        <v>Travel</v>
      </c>
      <c r="D60">
        <f>Raw_Claims_Data!D59</f>
        <v>75.989999999999995</v>
      </c>
      <c r="E60">
        <f>Raw_Claims_Data!E59</f>
        <v>3000</v>
      </c>
      <c r="F60" t="str">
        <f>Raw_Claims_Data!F59</f>
        <v>VT</v>
      </c>
      <c r="G60" t="str">
        <f>Raw_Claims_Data!G59</f>
        <v>A</v>
      </c>
      <c r="H60" t="str">
        <f>Raw_Claims_Data!H59</f>
        <v>Total Loss</v>
      </c>
      <c r="I60" t="str">
        <f>IF(Raw_Claims_Data!I59="","None",Raw_Claims_Data!I59)</f>
        <v>Ambulance</v>
      </c>
      <c r="J60" t="str">
        <f>Raw_Claims_Data!J59</f>
        <v>Waltham</v>
      </c>
      <c r="K60" t="str">
        <f>Raw_Claims_Data!K59</f>
        <v>MA</v>
      </c>
      <c r="L60">
        <f>Raw_Claims_Data!L59</f>
        <v>19</v>
      </c>
      <c r="M60" t="str">
        <f>IF(Raw_Claims_Data!M59="","N/A",Raw_Claims_Data!M59)</f>
        <v>VNDR00498</v>
      </c>
      <c r="N60" t="str">
        <f>Raw_Claims_Data!N59</f>
        <v>AGENT00224</v>
      </c>
      <c r="O60">
        <f>IF(Raw_Claims_Data!G59="D",1,0)</f>
        <v>0</v>
      </c>
    </row>
    <row r="61" spans="1:15" x14ac:dyDescent="0.35">
      <c r="A61" t="str">
        <f>Raw_Claims_Data!A60</f>
        <v>TXN00000057</v>
      </c>
      <c r="B61" t="str">
        <f>TRIM(Raw_Claims_Data!B60)</f>
        <v>Antony Ender</v>
      </c>
      <c r="C61" t="str">
        <f>Raw_Claims_Data!C60</f>
        <v>Motor</v>
      </c>
      <c r="D61">
        <f>Raw_Claims_Data!D60</f>
        <v>92.71</v>
      </c>
      <c r="E61">
        <f>Raw_Claims_Data!E60</f>
        <v>2000</v>
      </c>
      <c r="F61" t="str">
        <f>Raw_Claims_Data!F60</f>
        <v>MD</v>
      </c>
      <c r="G61" t="str">
        <f>Raw_Claims_Data!G60</f>
        <v>A</v>
      </c>
      <c r="H61" t="str">
        <f>Raw_Claims_Data!H60</f>
        <v>Total Loss</v>
      </c>
      <c r="I61" t="str">
        <f>IF(Raw_Claims_Data!I60="","None",Raw_Claims_Data!I60)</f>
        <v>Police</v>
      </c>
      <c r="J61" t="str">
        <f>Raw_Claims_Data!J60</f>
        <v>Jackson</v>
      </c>
      <c r="K61" t="str">
        <f>Raw_Claims_Data!K60</f>
        <v>CA</v>
      </c>
      <c r="L61">
        <f>Raw_Claims_Data!L60</f>
        <v>7</v>
      </c>
      <c r="M61" t="str">
        <f>IF(Raw_Claims_Data!M60="","N/A",Raw_Claims_Data!M60)</f>
        <v>VNDR00358</v>
      </c>
      <c r="N61" t="str">
        <f>Raw_Claims_Data!N60</f>
        <v>AGENT00410</v>
      </c>
      <c r="O61">
        <f>IF(Raw_Claims_Data!G60="D",1,0)</f>
        <v>0</v>
      </c>
    </row>
    <row r="62" spans="1:15" x14ac:dyDescent="0.35">
      <c r="A62" t="str">
        <f>Raw_Claims_Data!A61</f>
        <v>TXN00000058</v>
      </c>
      <c r="B62" t="str">
        <f>TRIM(Raw_Claims_Data!B61)</f>
        <v>John Tilley</v>
      </c>
      <c r="C62" t="str">
        <f>Raw_Claims_Data!C61</f>
        <v>Property</v>
      </c>
      <c r="D62">
        <f>Raw_Claims_Data!D61</f>
        <v>111.33</v>
      </c>
      <c r="E62">
        <f>Raw_Claims_Data!E61</f>
        <v>30000</v>
      </c>
      <c r="F62" t="str">
        <f>Raw_Claims_Data!F61</f>
        <v>AR</v>
      </c>
      <c r="G62" t="str">
        <f>Raw_Claims_Data!G61</f>
        <v>A</v>
      </c>
      <c r="H62" t="str">
        <f>Raw_Claims_Data!H61</f>
        <v>Total Loss</v>
      </c>
      <c r="I62" t="str">
        <f>IF(Raw_Claims_Data!I61="","None",Raw_Claims_Data!I61)</f>
        <v>Ambulance</v>
      </c>
      <c r="J62" t="str">
        <f>Raw_Claims_Data!J61</f>
        <v>Anchorage</v>
      </c>
      <c r="K62" t="str">
        <f>Raw_Claims_Data!K61</f>
        <v>AK</v>
      </c>
      <c r="L62">
        <f>Raw_Claims_Data!L61</f>
        <v>14</v>
      </c>
      <c r="M62" t="str">
        <f>IF(Raw_Claims_Data!M61="","N/A",Raw_Claims_Data!M61)</f>
        <v>VNDR00164</v>
      </c>
      <c r="N62" t="str">
        <f>Raw_Claims_Data!N61</f>
        <v>AGENT00515</v>
      </c>
      <c r="O62">
        <f>IF(Raw_Claims_Data!G61="D",1,0)</f>
        <v>0</v>
      </c>
    </row>
    <row r="63" spans="1:15" x14ac:dyDescent="0.35">
      <c r="A63" t="str">
        <f>Raw_Claims_Data!A62</f>
        <v>TXN00000059</v>
      </c>
      <c r="B63" t="str">
        <f>TRIM(Raw_Claims_Data!B62)</f>
        <v>John Flores</v>
      </c>
      <c r="C63" t="str">
        <f>Raw_Claims_Data!C62</f>
        <v>Mobile</v>
      </c>
      <c r="D63">
        <f>Raw_Claims_Data!D62</f>
        <v>8.51</v>
      </c>
      <c r="E63">
        <f>Raw_Claims_Data!E62</f>
        <v>300</v>
      </c>
      <c r="F63" t="str">
        <f>Raw_Claims_Data!F62</f>
        <v>VT</v>
      </c>
      <c r="G63" t="str">
        <f>Raw_Claims_Data!G62</f>
        <v>A</v>
      </c>
      <c r="H63" t="str">
        <f>Raw_Claims_Data!H62</f>
        <v>Major Loss</v>
      </c>
      <c r="I63" t="str">
        <f>IF(Raw_Claims_Data!I62="","None",Raw_Claims_Data!I62)</f>
        <v>Ambulance</v>
      </c>
      <c r="J63" t="str">
        <f>Raw_Claims_Data!J62</f>
        <v>Oklahoma City</v>
      </c>
      <c r="K63" t="str">
        <f>Raw_Claims_Data!K62</f>
        <v>OK</v>
      </c>
      <c r="L63">
        <f>Raw_Claims_Data!L62</f>
        <v>21</v>
      </c>
      <c r="M63" t="str">
        <f>IF(Raw_Claims_Data!M62="","N/A",Raw_Claims_Data!M62)</f>
        <v>VNDR00083</v>
      </c>
      <c r="N63" t="str">
        <f>Raw_Claims_Data!N62</f>
        <v>AGENT00824</v>
      </c>
      <c r="O63">
        <f>IF(Raw_Claims_Data!G62="D",1,0)</f>
        <v>0</v>
      </c>
    </row>
    <row r="64" spans="1:15" x14ac:dyDescent="0.35">
      <c r="A64" t="str">
        <f>Raw_Claims_Data!A63</f>
        <v>TXN00000060</v>
      </c>
      <c r="B64" t="str">
        <f>TRIM(Raw_Claims_Data!B63)</f>
        <v>Edward Laderman</v>
      </c>
      <c r="C64" t="str">
        <f>Raw_Claims_Data!C63</f>
        <v>Travel</v>
      </c>
      <c r="D64">
        <f>Raw_Claims_Data!D63</f>
        <v>97.08</v>
      </c>
      <c r="E64">
        <f>Raw_Claims_Data!E63</f>
        <v>2000</v>
      </c>
      <c r="F64" t="str">
        <f>Raw_Claims_Data!F63</f>
        <v>GA</v>
      </c>
      <c r="G64" t="str">
        <f>Raw_Claims_Data!G63</f>
        <v>A</v>
      </c>
      <c r="H64" t="str">
        <f>Raw_Claims_Data!H63</f>
        <v>Total Loss</v>
      </c>
      <c r="I64" t="str">
        <f>IF(Raw_Claims_Data!I63="","None",Raw_Claims_Data!I63)</f>
        <v>None</v>
      </c>
      <c r="J64" t="str">
        <f>Raw_Claims_Data!J63</f>
        <v>Louisville</v>
      </c>
      <c r="K64" t="str">
        <f>Raw_Claims_Data!K63</f>
        <v>KY</v>
      </c>
      <c r="L64">
        <f>Raw_Claims_Data!L63</f>
        <v>11</v>
      </c>
      <c r="M64" t="str">
        <f>IF(Raw_Claims_Data!M63="","N/A",Raw_Claims_Data!M63)</f>
        <v>N/A</v>
      </c>
      <c r="N64" t="str">
        <f>Raw_Claims_Data!N63</f>
        <v>AGENT00288</v>
      </c>
      <c r="O64">
        <f>IF(Raw_Claims_Data!G63="D",1,0)</f>
        <v>0</v>
      </c>
    </row>
    <row r="65" spans="1:15" x14ac:dyDescent="0.35">
      <c r="A65" t="str">
        <f>Raw_Claims_Data!A64</f>
        <v>TXN00000061</v>
      </c>
      <c r="B65" t="str">
        <f>TRIM(Raw_Claims_Data!B64)</f>
        <v>Margaret Bolen</v>
      </c>
      <c r="C65" t="str">
        <f>Raw_Claims_Data!C64</f>
        <v>Property</v>
      </c>
      <c r="D65">
        <f>Raw_Claims_Data!D64</f>
        <v>155.05000000000001</v>
      </c>
      <c r="E65">
        <f>Raw_Claims_Data!E64</f>
        <v>16000</v>
      </c>
      <c r="F65" t="str">
        <f>Raw_Claims_Data!F64</f>
        <v>AL</v>
      </c>
      <c r="G65" t="str">
        <f>Raw_Claims_Data!G64</f>
        <v>A</v>
      </c>
      <c r="H65" t="str">
        <f>Raw_Claims_Data!H64</f>
        <v>Minor Loss</v>
      </c>
      <c r="I65" t="str">
        <f>IF(Raw_Claims_Data!I64="","None",Raw_Claims_Data!I64)</f>
        <v>Ambulance</v>
      </c>
      <c r="J65" t="str">
        <f>Raw_Claims_Data!J64</f>
        <v>Fairfax</v>
      </c>
      <c r="K65" t="str">
        <f>Raw_Claims_Data!K64</f>
        <v>VT</v>
      </c>
      <c r="L65">
        <f>Raw_Claims_Data!L64</f>
        <v>15</v>
      </c>
      <c r="M65" t="str">
        <f>IF(Raw_Claims_Data!M64="","N/A",Raw_Claims_Data!M64)</f>
        <v>VNDR00457</v>
      </c>
      <c r="N65" t="str">
        <f>Raw_Claims_Data!N64</f>
        <v>AGENT00308</v>
      </c>
      <c r="O65">
        <f>IF(Raw_Claims_Data!G64="D",1,0)</f>
        <v>0</v>
      </c>
    </row>
    <row r="66" spans="1:15" x14ac:dyDescent="0.35">
      <c r="A66" t="str">
        <f>Raw_Claims_Data!A65</f>
        <v>TXN00000062</v>
      </c>
      <c r="B66" t="str">
        <f>TRIM(Raw_Claims_Data!B65)</f>
        <v>Calvin Eichelberger</v>
      </c>
      <c r="C66" t="str">
        <f>Raw_Claims_Data!C65</f>
        <v>Property</v>
      </c>
      <c r="D66">
        <f>Raw_Claims_Data!D65</f>
        <v>124.97</v>
      </c>
      <c r="E66">
        <f>Raw_Claims_Data!E65</f>
        <v>35000</v>
      </c>
      <c r="F66" t="str">
        <f>Raw_Claims_Data!F65</f>
        <v>DC</v>
      </c>
      <c r="G66" t="str">
        <f>Raw_Claims_Data!G65</f>
        <v>A</v>
      </c>
      <c r="H66" t="str">
        <f>Raw_Claims_Data!H65</f>
        <v>Total Loss</v>
      </c>
      <c r="I66" t="str">
        <f>IF(Raw_Claims_Data!I65="","None",Raw_Claims_Data!I65)</f>
        <v>Other</v>
      </c>
      <c r="J66" t="str">
        <f>Raw_Claims_Data!J65</f>
        <v>Oklahoma City</v>
      </c>
      <c r="K66" t="str">
        <f>Raw_Claims_Data!K65</f>
        <v>OK</v>
      </c>
      <c r="L66">
        <f>Raw_Claims_Data!L65</f>
        <v>21</v>
      </c>
      <c r="M66" t="str">
        <f>IF(Raw_Claims_Data!M65="","N/A",Raw_Claims_Data!M65)</f>
        <v>VNDR00383</v>
      </c>
      <c r="N66" t="str">
        <f>Raw_Claims_Data!N65</f>
        <v>AGENT01028</v>
      </c>
      <c r="O66">
        <f>IF(Raw_Claims_Data!G65="D",1,0)</f>
        <v>0</v>
      </c>
    </row>
    <row r="67" spans="1:15" x14ac:dyDescent="0.35">
      <c r="A67" t="str">
        <f>Raw_Claims_Data!A66</f>
        <v>TXN00000063</v>
      </c>
      <c r="B67" t="str">
        <f>TRIM(Raw_Claims_Data!B66)</f>
        <v>Arthur Mitchell</v>
      </c>
      <c r="C67" t="str">
        <f>Raw_Claims_Data!C66</f>
        <v>Property</v>
      </c>
      <c r="D67">
        <f>Raw_Claims_Data!D66</f>
        <v>151.81</v>
      </c>
      <c r="E67">
        <f>Raw_Claims_Data!E66</f>
        <v>15000</v>
      </c>
      <c r="F67" t="str">
        <f>Raw_Claims_Data!F66</f>
        <v>FL</v>
      </c>
      <c r="G67" t="str">
        <f>Raw_Claims_Data!G66</f>
        <v>A</v>
      </c>
      <c r="H67" t="str">
        <f>Raw_Claims_Data!H66</f>
        <v>Minor Loss</v>
      </c>
      <c r="I67" t="str">
        <f>IF(Raw_Claims_Data!I66="","None",Raw_Claims_Data!I66)</f>
        <v>Ambulance</v>
      </c>
      <c r="J67" t="str">
        <f>Raw_Claims_Data!J66</f>
        <v>Glendale</v>
      </c>
      <c r="K67" t="str">
        <f>Raw_Claims_Data!K66</f>
        <v>AZ</v>
      </c>
      <c r="L67">
        <f>Raw_Claims_Data!L66</f>
        <v>20</v>
      </c>
      <c r="M67" t="str">
        <f>IF(Raw_Claims_Data!M66="","N/A",Raw_Claims_Data!M66)</f>
        <v>VNDR00010</v>
      </c>
      <c r="N67" t="str">
        <f>Raw_Claims_Data!N66</f>
        <v>AGENT00111</v>
      </c>
      <c r="O67">
        <f>IF(Raw_Claims_Data!G66="D",1,0)</f>
        <v>0</v>
      </c>
    </row>
    <row r="68" spans="1:15" x14ac:dyDescent="0.35">
      <c r="A68" t="str">
        <f>Raw_Claims_Data!A67</f>
        <v>TXN00000064</v>
      </c>
      <c r="B68" t="str">
        <f>TRIM(Raw_Claims_Data!B67)</f>
        <v>Debra Oliphant</v>
      </c>
      <c r="C68" t="str">
        <f>Raw_Claims_Data!C67</f>
        <v>Property</v>
      </c>
      <c r="D68">
        <f>Raw_Claims_Data!D67</f>
        <v>121.54</v>
      </c>
      <c r="E68">
        <f>Raw_Claims_Data!E67</f>
        <v>31000</v>
      </c>
      <c r="F68" t="str">
        <f>Raw_Claims_Data!F67</f>
        <v>TN</v>
      </c>
      <c r="G68" t="str">
        <f>Raw_Claims_Data!G67</f>
        <v>A</v>
      </c>
      <c r="H68" t="str">
        <f>Raw_Claims_Data!H67</f>
        <v>Major Loss</v>
      </c>
      <c r="I68" t="str">
        <f>IF(Raw_Claims_Data!I67="","None",Raw_Claims_Data!I67)</f>
        <v>Police</v>
      </c>
      <c r="J68" t="str">
        <f>Raw_Claims_Data!J67</f>
        <v>Annapolis</v>
      </c>
      <c r="K68" t="str">
        <f>Raw_Claims_Data!K67</f>
        <v>MD</v>
      </c>
      <c r="L68">
        <f>Raw_Claims_Data!L67</f>
        <v>22</v>
      </c>
      <c r="M68" t="str">
        <f>IF(Raw_Claims_Data!M67="","N/A",Raw_Claims_Data!M67)</f>
        <v>VNDR00269</v>
      </c>
      <c r="N68" t="str">
        <f>Raw_Claims_Data!N67</f>
        <v>AGENT00697</v>
      </c>
      <c r="O68">
        <f>IF(Raw_Claims_Data!G67="D",1,0)</f>
        <v>0</v>
      </c>
    </row>
    <row r="69" spans="1:15" x14ac:dyDescent="0.35">
      <c r="A69" t="str">
        <f>Raw_Claims_Data!A68</f>
        <v>TXN00000065</v>
      </c>
      <c r="B69" t="str">
        <f>TRIM(Raw_Claims_Data!B68)</f>
        <v>Mariann Hill</v>
      </c>
      <c r="C69" t="str">
        <f>Raw_Claims_Data!C68</f>
        <v>Travel</v>
      </c>
      <c r="D69">
        <f>Raw_Claims_Data!D68</f>
        <v>77.47</v>
      </c>
      <c r="E69">
        <f>Raw_Claims_Data!E68</f>
        <v>3000</v>
      </c>
      <c r="F69" t="str">
        <f>Raw_Claims_Data!F68</f>
        <v>CA</v>
      </c>
      <c r="G69" t="str">
        <f>Raw_Claims_Data!G68</f>
        <v>D</v>
      </c>
      <c r="H69" t="str">
        <f>Raw_Claims_Data!H68</f>
        <v>Total Loss</v>
      </c>
      <c r="I69" t="str">
        <f>IF(Raw_Claims_Data!I68="","None",Raw_Claims_Data!I68)</f>
        <v>Ambulance</v>
      </c>
      <c r="J69" t="str">
        <f>Raw_Claims_Data!J68</f>
        <v>Millersville</v>
      </c>
      <c r="K69" t="str">
        <f>Raw_Claims_Data!K68</f>
        <v>MD</v>
      </c>
      <c r="L69">
        <f>Raw_Claims_Data!L68</f>
        <v>12</v>
      </c>
      <c r="M69" t="str">
        <f>IF(Raw_Claims_Data!M68="","N/A",Raw_Claims_Data!M68)</f>
        <v>VNDR00314</v>
      </c>
      <c r="N69" t="str">
        <f>Raw_Claims_Data!N68</f>
        <v>AGENT00018</v>
      </c>
      <c r="O69">
        <f>IF(Raw_Claims_Data!G68="D",1,0)</f>
        <v>1</v>
      </c>
    </row>
    <row r="70" spans="1:15" x14ac:dyDescent="0.35">
      <c r="A70" t="str">
        <f>Raw_Claims_Data!A69</f>
        <v>TXN00000066</v>
      </c>
      <c r="B70" t="str">
        <f>TRIM(Raw_Claims_Data!B69)</f>
        <v>Michael Beltrami</v>
      </c>
      <c r="C70" t="str">
        <f>Raw_Claims_Data!C69</f>
        <v>Life</v>
      </c>
      <c r="D70">
        <f>Raw_Claims_Data!D69</f>
        <v>67.55</v>
      </c>
      <c r="E70">
        <f>Raw_Claims_Data!E69</f>
        <v>96000</v>
      </c>
      <c r="F70" t="str">
        <f>Raw_Claims_Data!F69</f>
        <v>VT</v>
      </c>
      <c r="G70" t="str">
        <f>Raw_Claims_Data!G69</f>
        <v>A</v>
      </c>
      <c r="H70" t="str">
        <f>Raw_Claims_Data!H69</f>
        <v>Major Loss</v>
      </c>
      <c r="I70" t="str">
        <f>IF(Raw_Claims_Data!I69="","None",Raw_Claims_Data!I69)</f>
        <v>Police</v>
      </c>
      <c r="J70" t="str">
        <f>Raw_Claims_Data!J69</f>
        <v>Manchester</v>
      </c>
      <c r="K70" t="str">
        <f>Raw_Claims_Data!K69</f>
        <v>CT</v>
      </c>
      <c r="L70">
        <f>Raw_Claims_Data!L69</f>
        <v>13</v>
      </c>
      <c r="M70" t="str">
        <f>IF(Raw_Claims_Data!M69="","N/A",Raw_Claims_Data!M69)</f>
        <v>N/A</v>
      </c>
      <c r="N70" t="str">
        <f>Raw_Claims_Data!N69</f>
        <v>AGENT00612</v>
      </c>
      <c r="O70">
        <f>IF(Raw_Claims_Data!G69="D",1,0)</f>
        <v>0</v>
      </c>
    </row>
    <row r="71" spans="1:15" x14ac:dyDescent="0.35">
      <c r="A71" t="str">
        <f>Raw_Claims_Data!A70</f>
        <v>TXN00000067</v>
      </c>
      <c r="B71" t="str">
        <f>TRIM(Raw_Claims_Data!B70)</f>
        <v>Marion Coffey</v>
      </c>
      <c r="C71" t="str">
        <f>Raw_Claims_Data!C70</f>
        <v>Travel</v>
      </c>
      <c r="D71">
        <f>Raw_Claims_Data!D70</f>
        <v>98.49</v>
      </c>
      <c r="E71">
        <f>Raw_Claims_Data!E70</f>
        <v>2000</v>
      </c>
      <c r="F71" t="str">
        <f>Raw_Claims_Data!F70</f>
        <v>MD</v>
      </c>
      <c r="G71" t="str">
        <f>Raw_Claims_Data!G70</f>
        <v>A</v>
      </c>
      <c r="H71" t="str">
        <f>Raw_Claims_Data!H70</f>
        <v>Total Loss</v>
      </c>
      <c r="I71" t="str">
        <f>IF(Raw_Claims_Data!I70="","None",Raw_Claims_Data!I70)</f>
        <v>Other</v>
      </c>
      <c r="J71" t="str">
        <f>Raw_Claims_Data!J70</f>
        <v>Anchorage</v>
      </c>
      <c r="K71" t="str">
        <f>Raw_Claims_Data!K70</f>
        <v>AK</v>
      </c>
      <c r="L71">
        <f>Raw_Claims_Data!L70</f>
        <v>5</v>
      </c>
      <c r="M71" t="str">
        <f>IF(Raw_Claims_Data!M70="","N/A",Raw_Claims_Data!M70)</f>
        <v>VNDR00383</v>
      </c>
      <c r="N71" t="str">
        <f>Raw_Claims_Data!N70</f>
        <v>AGENT00141</v>
      </c>
      <c r="O71">
        <f>IF(Raw_Claims_Data!G70="D",1,0)</f>
        <v>0</v>
      </c>
    </row>
    <row r="72" spans="1:15" x14ac:dyDescent="0.35">
      <c r="A72" t="str">
        <f>Raw_Claims_Data!A71</f>
        <v>TXN00000068</v>
      </c>
      <c r="B72" t="str">
        <f>TRIM(Raw_Claims_Data!B71)</f>
        <v>Denise Blake</v>
      </c>
      <c r="C72" t="str">
        <f>Raw_Claims_Data!C71</f>
        <v>Mobile</v>
      </c>
      <c r="D72">
        <f>Raw_Claims_Data!D71</f>
        <v>11.21</v>
      </c>
      <c r="E72">
        <f>Raw_Claims_Data!E71</f>
        <v>400</v>
      </c>
      <c r="F72" t="str">
        <f>Raw_Claims_Data!F71</f>
        <v>KY</v>
      </c>
      <c r="G72" t="str">
        <f>Raw_Claims_Data!G71</f>
        <v>A</v>
      </c>
      <c r="H72" t="str">
        <f>Raw_Claims_Data!H71</f>
        <v>Total Loss</v>
      </c>
      <c r="I72" t="str">
        <f>IF(Raw_Claims_Data!I71="","None",Raw_Claims_Data!I71)</f>
        <v>Other</v>
      </c>
      <c r="J72" t="str">
        <f>Raw_Claims_Data!J71</f>
        <v>Manchester</v>
      </c>
      <c r="K72" t="str">
        <f>Raw_Claims_Data!K71</f>
        <v>CT</v>
      </c>
      <c r="L72">
        <f>Raw_Claims_Data!L71</f>
        <v>10</v>
      </c>
      <c r="M72" t="str">
        <f>IF(Raw_Claims_Data!M71="","N/A",Raw_Claims_Data!M71)</f>
        <v>N/A</v>
      </c>
      <c r="N72" t="str">
        <f>Raw_Claims_Data!N71</f>
        <v>AGENT00572</v>
      </c>
      <c r="O72">
        <f>IF(Raw_Claims_Data!G71="D",1,0)</f>
        <v>0</v>
      </c>
    </row>
    <row r="73" spans="1:15" x14ac:dyDescent="0.35">
      <c r="A73" t="str">
        <f>Raw_Claims_Data!A72</f>
        <v>TXN00000069</v>
      </c>
      <c r="B73" t="str">
        <f>TRIM(Raw_Claims_Data!B72)</f>
        <v>William Martin</v>
      </c>
      <c r="C73" t="str">
        <f>Raw_Claims_Data!C72</f>
        <v>Health</v>
      </c>
      <c r="D73">
        <f>Raw_Claims_Data!D72</f>
        <v>156.19999999999999</v>
      </c>
      <c r="E73">
        <f>Raw_Claims_Data!E72</f>
        <v>3000</v>
      </c>
      <c r="F73" t="str">
        <f>Raw_Claims_Data!F72</f>
        <v>TN</v>
      </c>
      <c r="G73" t="str">
        <f>Raw_Claims_Data!G72</f>
        <v>A</v>
      </c>
      <c r="H73" t="str">
        <f>Raw_Claims_Data!H72</f>
        <v>Total Loss</v>
      </c>
      <c r="I73" t="str">
        <f>IF(Raw_Claims_Data!I72="","None",Raw_Claims_Data!I72)</f>
        <v>Police</v>
      </c>
      <c r="J73" t="str">
        <f>Raw_Claims_Data!J72</f>
        <v>Oakland</v>
      </c>
      <c r="K73" t="str">
        <f>Raw_Claims_Data!K72</f>
        <v>CA</v>
      </c>
      <c r="L73">
        <f>Raw_Claims_Data!L72</f>
        <v>7</v>
      </c>
      <c r="M73" t="str">
        <f>IF(Raw_Claims_Data!M72="","N/A",Raw_Claims_Data!M72)</f>
        <v>VNDR00239</v>
      </c>
      <c r="N73" t="str">
        <f>Raw_Claims_Data!N72</f>
        <v>AGENT00565</v>
      </c>
      <c r="O73">
        <f>IF(Raw_Claims_Data!G72="D",1,0)</f>
        <v>0</v>
      </c>
    </row>
    <row r="74" spans="1:15" x14ac:dyDescent="0.35">
      <c r="A74" t="str">
        <f>Raw_Claims_Data!A73</f>
        <v>TXN00000070</v>
      </c>
      <c r="B74" t="str">
        <f>TRIM(Raw_Claims_Data!B73)</f>
        <v>Jacqueline Simpson</v>
      </c>
      <c r="C74" t="str">
        <f>Raw_Claims_Data!C73</f>
        <v>Mobile</v>
      </c>
      <c r="D74">
        <f>Raw_Claims_Data!D73</f>
        <v>7.23</v>
      </c>
      <c r="E74">
        <f>Raw_Claims_Data!E73</f>
        <v>100</v>
      </c>
      <c r="F74" t="str">
        <f>Raw_Claims_Data!F73</f>
        <v>OK</v>
      </c>
      <c r="G74" t="str">
        <f>Raw_Claims_Data!G73</f>
        <v>A</v>
      </c>
      <c r="H74" t="str">
        <f>Raw_Claims_Data!H73</f>
        <v>Major Loss</v>
      </c>
      <c r="I74" t="str">
        <f>IF(Raw_Claims_Data!I73="","None",Raw_Claims_Data!I73)</f>
        <v>Other</v>
      </c>
      <c r="J74" t="str">
        <f>Raw_Claims_Data!J73</f>
        <v>Fayetteville</v>
      </c>
      <c r="K74" t="str">
        <f>Raw_Claims_Data!K73</f>
        <v>AR</v>
      </c>
      <c r="L74">
        <f>Raw_Claims_Data!L73</f>
        <v>9</v>
      </c>
      <c r="M74" t="str">
        <f>IF(Raw_Claims_Data!M73="","N/A",Raw_Claims_Data!M73)</f>
        <v>N/A</v>
      </c>
      <c r="N74" t="str">
        <f>Raw_Claims_Data!N73</f>
        <v>AGENT00603</v>
      </c>
      <c r="O74">
        <f>IF(Raw_Claims_Data!G73="D",1,0)</f>
        <v>0</v>
      </c>
    </row>
    <row r="75" spans="1:15" x14ac:dyDescent="0.35">
      <c r="A75" t="str">
        <f>Raw_Claims_Data!A74</f>
        <v>TXN00000071</v>
      </c>
      <c r="B75" t="str">
        <f>TRIM(Raw_Claims_Data!B74)</f>
        <v>James Thurgood</v>
      </c>
      <c r="C75" t="str">
        <f>Raw_Claims_Data!C74</f>
        <v>Mobile</v>
      </c>
      <c r="D75">
        <f>Raw_Claims_Data!D74</f>
        <v>11.63</v>
      </c>
      <c r="E75">
        <f>Raw_Claims_Data!E74</f>
        <v>400</v>
      </c>
      <c r="F75" t="str">
        <f>Raw_Claims_Data!F74</f>
        <v>MD</v>
      </c>
      <c r="G75" t="str">
        <f>Raw_Claims_Data!G74</f>
        <v>A</v>
      </c>
      <c r="H75" t="str">
        <f>Raw_Claims_Data!H74</f>
        <v>Total Loss</v>
      </c>
      <c r="I75" t="str">
        <f>IF(Raw_Claims_Data!I74="","None",Raw_Claims_Data!I74)</f>
        <v>Ambulance</v>
      </c>
      <c r="J75" t="str">
        <f>Raw_Claims_Data!J74</f>
        <v>Anchorage</v>
      </c>
      <c r="K75" t="str">
        <f>Raw_Claims_Data!K74</f>
        <v>AK</v>
      </c>
      <c r="L75">
        <f>Raw_Claims_Data!L74</f>
        <v>1</v>
      </c>
      <c r="M75" t="str">
        <f>IF(Raw_Claims_Data!M74="","N/A",Raw_Claims_Data!M74)</f>
        <v>VNDR00033</v>
      </c>
      <c r="N75" t="str">
        <f>Raw_Claims_Data!N74</f>
        <v>AGENT01107</v>
      </c>
      <c r="O75">
        <f>IF(Raw_Claims_Data!G74="D",1,0)</f>
        <v>0</v>
      </c>
    </row>
    <row r="76" spans="1:15" x14ac:dyDescent="0.35">
      <c r="A76" t="str">
        <f>Raw_Claims_Data!A75</f>
        <v>TXN00000072</v>
      </c>
      <c r="B76" t="str">
        <f>TRIM(Raw_Claims_Data!B75)</f>
        <v>Mathew Sims</v>
      </c>
      <c r="C76" t="str">
        <f>Raw_Claims_Data!C75</f>
        <v>Travel</v>
      </c>
      <c r="D76">
        <f>Raw_Claims_Data!D75</f>
        <v>74.36</v>
      </c>
      <c r="E76">
        <f>Raw_Claims_Data!E75</f>
        <v>5000</v>
      </c>
      <c r="F76" t="str">
        <f>Raw_Claims_Data!F75</f>
        <v>GA</v>
      </c>
      <c r="G76" t="str">
        <f>Raw_Claims_Data!G75</f>
        <v>A</v>
      </c>
      <c r="H76" t="str">
        <f>Raw_Claims_Data!H75</f>
        <v>Total Loss</v>
      </c>
      <c r="I76" t="str">
        <f>IF(Raw_Claims_Data!I75="","None",Raw_Claims_Data!I75)</f>
        <v>Police</v>
      </c>
      <c r="J76" t="str">
        <f>Raw_Claims_Data!J75</f>
        <v>Arvada</v>
      </c>
      <c r="K76" t="str">
        <f>Raw_Claims_Data!K75</f>
        <v>CO</v>
      </c>
      <c r="L76">
        <f>Raw_Claims_Data!L75</f>
        <v>5</v>
      </c>
      <c r="M76" t="str">
        <f>IF(Raw_Claims_Data!M75="","N/A",Raw_Claims_Data!M75)</f>
        <v>VNDR00407</v>
      </c>
      <c r="N76" t="str">
        <f>Raw_Claims_Data!N75</f>
        <v>AGENT00615</v>
      </c>
      <c r="O76">
        <f>IF(Raw_Claims_Data!G75="D",1,0)</f>
        <v>0</v>
      </c>
    </row>
    <row r="77" spans="1:15" x14ac:dyDescent="0.35">
      <c r="A77" t="str">
        <f>Raw_Claims_Data!A76</f>
        <v>TXN00000073</v>
      </c>
      <c r="B77" t="str">
        <f>TRIM(Raw_Claims_Data!B76)</f>
        <v>Jeremy Riccio</v>
      </c>
      <c r="C77" t="str">
        <f>Raw_Claims_Data!C76</f>
        <v>Life</v>
      </c>
      <c r="D77">
        <f>Raw_Claims_Data!D76</f>
        <v>76.97</v>
      </c>
      <c r="E77">
        <f>Raw_Claims_Data!E76</f>
        <v>99000</v>
      </c>
      <c r="F77" t="str">
        <f>Raw_Claims_Data!F76</f>
        <v>AR</v>
      </c>
      <c r="G77" t="str">
        <f>Raw_Claims_Data!G76</f>
        <v>A</v>
      </c>
      <c r="H77" t="str">
        <f>Raw_Claims_Data!H76</f>
        <v>Minor Loss</v>
      </c>
      <c r="I77" t="str">
        <f>IF(Raw_Claims_Data!I76="","None",Raw_Claims_Data!I76)</f>
        <v>Ambulance</v>
      </c>
      <c r="J77" t="str">
        <f>Raw_Claims_Data!J76</f>
        <v>Panama City Beach</v>
      </c>
      <c r="K77" t="str">
        <f>Raw_Claims_Data!K76</f>
        <v>FL</v>
      </c>
      <c r="L77">
        <f>Raw_Claims_Data!L76</f>
        <v>3</v>
      </c>
      <c r="M77" t="str">
        <f>IF(Raw_Claims_Data!M76="","N/A",Raw_Claims_Data!M76)</f>
        <v>N/A</v>
      </c>
      <c r="N77" t="str">
        <f>Raw_Claims_Data!N76</f>
        <v>AGENT00309</v>
      </c>
      <c r="O77">
        <f>IF(Raw_Claims_Data!G76="D",1,0)</f>
        <v>0</v>
      </c>
    </row>
    <row r="78" spans="1:15" x14ac:dyDescent="0.35">
      <c r="A78" t="str">
        <f>Raw_Claims_Data!A77</f>
        <v>TXN00000074</v>
      </c>
      <c r="B78" t="str">
        <f>TRIM(Raw_Claims_Data!B77)</f>
        <v>Susan Petersen</v>
      </c>
      <c r="C78" t="str">
        <f>Raw_Claims_Data!C77</f>
        <v>Mobile</v>
      </c>
      <c r="D78">
        <f>Raw_Claims_Data!D77</f>
        <v>6.15</v>
      </c>
      <c r="E78">
        <f>Raw_Claims_Data!E77</f>
        <v>300</v>
      </c>
      <c r="F78" t="str">
        <f>Raw_Claims_Data!F77</f>
        <v>CO</v>
      </c>
      <c r="G78" t="str">
        <f>Raw_Claims_Data!G77</f>
        <v>A</v>
      </c>
      <c r="H78" t="str">
        <f>Raw_Claims_Data!H77</f>
        <v>Total Loss</v>
      </c>
      <c r="I78" t="str">
        <f>IF(Raw_Claims_Data!I77="","None",Raw_Claims_Data!I77)</f>
        <v>Ambulance</v>
      </c>
      <c r="J78" t="str">
        <f>Raw_Claims_Data!J77</f>
        <v>Montgomery</v>
      </c>
      <c r="K78" t="str">
        <f>Raw_Claims_Data!K77</f>
        <v>AL</v>
      </c>
      <c r="L78">
        <f>Raw_Claims_Data!L77</f>
        <v>9</v>
      </c>
      <c r="M78" t="str">
        <f>IF(Raw_Claims_Data!M77="","N/A",Raw_Claims_Data!M77)</f>
        <v>VNDR00056</v>
      </c>
      <c r="N78" t="str">
        <f>Raw_Claims_Data!N77</f>
        <v>AGENT00315</v>
      </c>
      <c r="O78">
        <f>IF(Raw_Claims_Data!G77="D",1,0)</f>
        <v>0</v>
      </c>
    </row>
    <row r="79" spans="1:15" x14ac:dyDescent="0.35">
      <c r="A79" t="str">
        <f>Raw_Claims_Data!A78</f>
        <v>TXN00000075</v>
      </c>
      <c r="B79" t="str">
        <f>TRIM(Raw_Claims_Data!B78)</f>
        <v>Anthony Girard</v>
      </c>
      <c r="C79" t="str">
        <f>Raw_Claims_Data!C78</f>
        <v>Life</v>
      </c>
      <c r="D79">
        <f>Raw_Claims_Data!D78</f>
        <v>78.34</v>
      </c>
      <c r="E79">
        <f>Raw_Claims_Data!E78</f>
        <v>52000</v>
      </c>
      <c r="F79" t="str">
        <f>Raw_Claims_Data!F78</f>
        <v>TN</v>
      </c>
      <c r="G79" t="str">
        <f>Raw_Claims_Data!G78</f>
        <v>A</v>
      </c>
      <c r="H79" t="str">
        <f>Raw_Claims_Data!H78</f>
        <v>Minor Loss</v>
      </c>
      <c r="I79" t="str">
        <f>IF(Raw_Claims_Data!I78="","None",Raw_Claims_Data!I78)</f>
        <v>Ambulance</v>
      </c>
      <c r="J79" t="str">
        <f>Raw_Claims_Data!J78</f>
        <v>Telluride</v>
      </c>
      <c r="K79" t="str">
        <f>Raw_Claims_Data!K78</f>
        <v>CO</v>
      </c>
      <c r="L79">
        <f>Raw_Claims_Data!L78</f>
        <v>17</v>
      </c>
      <c r="M79" t="str">
        <f>IF(Raw_Claims_Data!M78="","N/A",Raw_Claims_Data!M78)</f>
        <v>N/A</v>
      </c>
      <c r="N79" t="str">
        <f>Raw_Claims_Data!N78</f>
        <v>AGENT00561</v>
      </c>
      <c r="O79">
        <f>IF(Raw_Claims_Data!G78="D",1,0)</f>
        <v>0</v>
      </c>
    </row>
    <row r="80" spans="1:15" x14ac:dyDescent="0.35">
      <c r="A80" t="str">
        <f>Raw_Claims_Data!A79</f>
        <v>TXN00000076</v>
      </c>
      <c r="B80" t="str">
        <f>TRIM(Raw_Claims_Data!B79)</f>
        <v>Eileen Svoboda</v>
      </c>
      <c r="C80" t="str">
        <f>Raw_Claims_Data!C79</f>
        <v>Life</v>
      </c>
      <c r="D80">
        <f>Raw_Claims_Data!D79</f>
        <v>67.88</v>
      </c>
      <c r="E80">
        <f>Raw_Claims_Data!E79</f>
        <v>59000</v>
      </c>
      <c r="F80" t="str">
        <f>Raw_Claims_Data!F79</f>
        <v>GA</v>
      </c>
      <c r="G80" t="str">
        <f>Raw_Claims_Data!G79</f>
        <v>A</v>
      </c>
      <c r="H80" t="str">
        <f>Raw_Claims_Data!H79</f>
        <v>Major Loss</v>
      </c>
      <c r="I80" t="str">
        <f>IF(Raw_Claims_Data!I79="","None",Raw_Claims_Data!I79)</f>
        <v>Ambulance</v>
      </c>
      <c r="J80" t="str">
        <f>Raw_Claims_Data!J79</f>
        <v>Wheat Ridge</v>
      </c>
      <c r="K80" t="str">
        <f>Raw_Claims_Data!K79</f>
        <v>CO</v>
      </c>
      <c r="L80">
        <f>Raw_Claims_Data!L79</f>
        <v>19</v>
      </c>
      <c r="M80" t="str">
        <f>IF(Raw_Claims_Data!M79="","N/A",Raw_Claims_Data!M79)</f>
        <v>VNDR00521</v>
      </c>
      <c r="N80" t="str">
        <f>Raw_Claims_Data!N79</f>
        <v>AGENT00935</v>
      </c>
      <c r="O80">
        <f>IF(Raw_Claims_Data!G79="D",1,0)</f>
        <v>0</v>
      </c>
    </row>
    <row r="81" spans="1:15" x14ac:dyDescent="0.35">
      <c r="A81" t="str">
        <f>Raw_Claims_Data!A80</f>
        <v>TXN00000077</v>
      </c>
      <c r="B81" t="str">
        <f>TRIM(Raw_Claims_Data!B80)</f>
        <v>William Zeigler</v>
      </c>
      <c r="C81" t="str">
        <f>Raw_Claims_Data!C80</f>
        <v>Life</v>
      </c>
      <c r="D81">
        <f>Raw_Claims_Data!D80</f>
        <v>68.72</v>
      </c>
      <c r="E81">
        <f>Raw_Claims_Data!E80</f>
        <v>60000</v>
      </c>
      <c r="F81" t="str">
        <f>Raw_Claims_Data!F80</f>
        <v>TN</v>
      </c>
      <c r="G81" t="str">
        <f>Raw_Claims_Data!G80</f>
        <v>A</v>
      </c>
      <c r="H81" t="str">
        <f>Raw_Claims_Data!H80</f>
        <v>Major Loss</v>
      </c>
      <c r="I81" t="str">
        <f>IF(Raw_Claims_Data!I80="","None",Raw_Claims_Data!I80)</f>
        <v>None</v>
      </c>
      <c r="J81" t="str">
        <f>Raw_Claims_Data!J80</f>
        <v>Livermore</v>
      </c>
      <c r="K81" t="str">
        <f>Raw_Claims_Data!K80</f>
        <v>CA</v>
      </c>
      <c r="L81">
        <f>Raw_Claims_Data!L80</f>
        <v>5</v>
      </c>
      <c r="M81" t="str">
        <f>IF(Raw_Claims_Data!M80="","N/A",Raw_Claims_Data!M80)</f>
        <v>VNDR00488</v>
      </c>
      <c r="N81" t="str">
        <f>Raw_Claims_Data!N80</f>
        <v>AGENT00210</v>
      </c>
      <c r="O81">
        <f>IF(Raw_Claims_Data!G80="D",1,0)</f>
        <v>0</v>
      </c>
    </row>
    <row r="82" spans="1:15" x14ac:dyDescent="0.35">
      <c r="A82" t="str">
        <f>Raw_Claims_Data!A81</f>
        <v>TXN00000078</v>
      </c>
      <c r="B82" t="str">
        <f>TRIM(Raw_Claims_Data!B81)</f>
        <v>James Hodges</v>
      </c>
      <c r="C82" t="str">
        <f>Raw_Claims_Data!C81</f>
        <v>Life</v>
      </c>
      <c r="D82">
        <f>Raw_Claims_Data!D81</f>
        <v>86.31</v>
      </c>
      <c r="E82">
        <f>Raw_Claims_Data!E81</f>
        <v>39000</v>
      </c>
      <c r="F82" t="str">
        <f>Raw_Claims_Data!F81</f>
        <v>CA</v>
      </c>
      <c r="G82" t="str">
        <f>Raw_Claims_Data!G81</f>
        <v>A</v>
      </c>
      <c r="H82" t="str">
        <f>Raw_Claims_Data!H81</f>
        <v>Major Loss</v>
      </c>
      <c r="I82" t="str">
        <f>IF(Raw_Claims_Data!I81="","None",Raw_Claims_Data!I81)</f>
        <v>Ambulance</v>
      </c>
      <c r="J82" t="str">
        <f>Raw_Claims_Data!J81</f>
        <v>Fayetteville</v>
      </c>
      <c r="K82" t="str">
        <f>Raw_Claims_Data!K81</f>
        <v>AR</v>
      </c>
      <c r="L82">
        <f>Raw_Claims_Data!L81</f>
        <v>17</v>
      </c>
      <c r="M82" t="str">
        <f>IF(Raw_Claims_Data!M81="","N/A",Raw_Claims_Data!M81)</f>
        <v>N/A</v>
      </c>
      <c r="N82" t="str">
        <f>Raw_Claims_Data!N81</f>
        <v>AGENT00283</v>
      </c>
      <c r="O82">
        <f>IF(Raw_Claims_Data!G81="D",1,0)</f>
        <v>0</v>
      </c>
    </row>
    <row r="83" spans="1:15" x14ac:dyDescent="0.35">
      <c r="A83" t="str">
        <f>Raw_Claims_Data!A82</f>
        <v>TXN00000079</v>
      </c>
      <c r="B83" t="str">
        <f>TRIM(Raw_Claims_Data!B82)</f>
        <v>Carlos Montello</v>
      </c>
      <c r="C83" t="str">
        <f>Raw_Claims_Data!C82</f>
        <v>Motor</v>
      </c>
      <c r="D83">
        <f>Raw_Claims_Data!D82</f>
        <v>100.14</v>
      </c>
      <c r="E83">
        <f>Raw_Claims_Data!E82</f>
        <v>7000</v>
      </c>
      <c r="F83" t="str">
        <f>Raw_Claims_Data!F82</f>
        <v>MA</v>
      </c>
      <c r="G83" t="str">
        <f>Raw_Claims_Data!G82</f>
        <v>A</v>
      </c>
      <c r="H83" t="str">
        <f>Raw_Claims_Data!H82</f>
        <v>Major Loss</v>
      </c>
      <c r="I83" t="str">
        <f>IF(Raw_Claims_Data!I82="","None",Raw_Claims_Data!I82)</f>
        <v>Police</v>
      </c>
      <c r="J83" t="str">
        <f>Raw_Claims_Data!J82</f>
        <v>Oakland</v>
      </c>
      <c r="K83" t="str">
        <f>Raw_Claims_Data!K82</f>
        <v>CA</v>
      </c>
      <c r="L83">
        <f>Raw_Claims_Data!L82</f>
        <v>15</v>
      </c>
      <c r="M83" t="str">
        <f>IF(Raw_Claims_Data!M82="","N/A",Raw_Claims_Data!M82)</f>
        <v>N/A</v>
      </c>
      <c r="N83" t="str">
        <f>Raw_Claims_Data!N82</f>
        <v>AGENT00094</v>
      </c>
      <c r="O83">
        <f>IF(Raw_Claims_Data!G82="D",1,0)</f>
        <v>0</v>
      </c>
    </row>
    <row r="84" spans="1:15" x14ac:dyDescent="0.35">
      <c r="A84" t="str">
        <f>Raw_Claims_Data!A83</f>
        <v>TXN00000080</v>
      </c>
      <c r="B84" t="str">
        <f>TRIM(Raw_Claims_Data!B83)</f>
        <v>Gary Enciso</v>
      </c>
      <c r="C84" t="str">
        <f>Raw_Claims_Data!C83</f>
        <v>Travel</v>
      </c>
      <c r="D84">
        <f>Raw_Claims_Data!D83</f>
        <v>81.790000000000006</v>
      </c>
      <c r="E84">
        <f>Raw_Claims_Data!E83</f>
        <v>4000</v>
      </c>
      <c r="F84" t="str">
        <f>Raw_Claims_Data!F83</f>
        <v>CO</v>
      </c>
      <c r="G84" t="str">
        <f>Raw_Claims_Data!G83</f>
        <v>A</v>
      </c>
      <c r="H84" t="str">
        <f>Raw_Claims_Data!H83</f>
        <v>Major Loss</v>
      </c>
      <c r="I84" t="str">
        <f>IF(Raw_Claims_Data!I83="","None",Raw_Claims_Data!I83)</f>
        <v>Ambulance</v>
      </c>
      <c r="J84" t="str">
        <f>Raw_Claims_Data!J83</f>
        <v>Fayetteville</v>
      </c>
      <c r="K84" t="str">
        <f>Raw_Claims_Data!K83</f>
        <v>AR</v>
      </c>
      <c r="L84">
        <f>Raw_Claims_Data!L83</f>
        <v>4</v>
      </c>
      <c r="M84" t="str">
        <f>IF(Raw_Claims_Data!M83="","N/A",Raw_Claims_Data!M83)</f>
        <v>N/A</v>
      </c>
      <c r="N84" t="str">
        <f>Raw_Claims_Data!N83</f>
        <v>AGENT00680</v>
      </c>
      <c r="O84">
        <f>IF(Raw_Claims_Data!G83="D",1,0)</f>
        <v>0</v>
      </c>
    </row>
    <row r="85" spans="1:15" x14ac:dyDescent="0.35">
      <c r="A85" t="str">
        <f>Raw_Claims_Data!A84</f>
        <v>TXN00000081</v>
      </c>
      <c r="B85" t="str">
        <f>TRIM(Raw_Claims_Data!B84)</f>
        <v>Melva Ramirez</v>
      </c>
      <c r="C85" t="str">
        <f>Raw_Claims_Data!C84</f>
        <v>Life</v>
      </c>
      <c r="D85">
        <f>Raw_Claims_Data!D84</f>
        <v>88.05</v>
      </c>
      <c r="E85">
        <f>Raw_Claims_Data!E84</f>
        <v>79000</v>
      </c>
      <c r="F85" t="str">
        <f>Raw_Claims_Data!F84</f>
        <v>OK</v>
      </c>
      <c r="G85" t="str">
        <f>Raw_Claims_Data!G84</f>
        <v>A</v>
      </c>
      <c r="H85" t="str">
        <f>Raw_Claims_Data!H84</f>
        <v>Minor Loss</v>
      </c>
      <c r="I85" t="str">
        <f>IF(Raw_Claims_Data!I84="","None",Raw_Claims_Data!I84)</f>
        <v>Ambulance</v>
      </c>
      <c r="J85" t="str">
        <f>Raw_Claims_Data!J84</f>
        <v>Savannah</v>
      </c>
      <c r="K85" t="str">
        <f>Raw_Claims_Data!K84</f>
        <v>GA</v>
      </c>
      <c r="L85">
        <f>Raw_Claims_Data!L84</f>
        <v>21</v>
      </c>
      <c r="M85" t="str">
        <f>IF(Raw_Claims_Data!M84="","N/A",Raw_Claims_Data!M84)</f>
        <v>N/A</v>
      </c>
      <c r="N85" t="str">
        <f>Raw_Claims_Data!N84</f>
        <v>AGENT00319</v>
      </c>
      <c r="O85">
        <f>IF(Raw_Claims_Data!G84="D",1,0)</f>
        <v>0</v>
      </c>
    </row>
    <row r="86" spans="1:15" x14ac:dyDescent="0.35">
      <c r="A86" t="str">
        <f>Raw_Claims_Data!A85</f>
        <v>TXN00000082</v>
      </c>
      <c r="B86" t="str">
        <f>TRIM(Raw_Claims_Data!B85)</f>
        <v>Richard Lavalle</v>
      </c>
      <c r="C86" t="str">
        <f>Raw_Claims_Data!C85</f>
        <v>Travel</v>
      </c>
      <c r="D86">
        <f>Raw_Claims_Data!D85</f>
        <v>89.36</v>
      </c>
      <c r="E86">
        <f>Raw_Claims_Data!E85</f>
        <v>2000</v>
      </c>
      <c r="F86" t="str">
        <f>Raw_Claims_Data!F85</f>
        <v>CT</v>
      </c>
      <c r="G86" t="str">
        <f>Raw_Claims_Data!G85</f>
        <v>A</v>
      </c>
      <c r="H86" t="str">
        <f>Raw_Claims_Data!H85</f>
        <v>Major Loss</v>
      </c>
      <c r="I86" t="str">
        <f>IF(Raw_Claims_Data!I85="","None",Raw_Claims_Data!I85)</f>
        <v>Ambulance</v>
      </c>
      <c r="J86" t="str">
        <f>Raw_Claims_Data!J85</f>
        <v>Savannah</v>
      </c>
      <c r="K86" t="str">
        <f>Raw_Claims_Data!K85</f>
        <v>GA</v>
      </c>
      <c r="L86">
        <f>Raw_Claims_Data!L85</f>
        <v>10</v>
      </c>
      <c r="M86" t="str">
        <f>IF(Raw_Claims_Data!M85="","N/A",Raw_Claims_Data!M85)</f>
        <v>VNDR00287</v>
      </c>
      <c r="N86" t="str">
        <f>Raw_Claims_Data!N85</f>
        <v>AGENT00630</v>
      </c>
      <c r="O86">
        <f>IF(Raw_Claims_Data!G85="D",1,0)</f>
        <v>0</v>
      </c>
    </row>
    <row r="87" spans="1:15" x14ac:dyDescent="0.35">
      <c r="A87" t="str">
        <f>Raw_Claims_Data!A86</f>
        <v>TXN00000083</v>
      </c>
      <c r="B87" t="str">
        <f>TRIM(Raw_Claims_Data!B86)</f>
        <v>Marion Talley</v>
      </c>
      <c r="C87" t="str">
        <f>Raw_Claims_Data!C86</f>
        <v>Life</v>
      </c>
      <c r="D87">
        <f>Raw_Claims_Data!D86</f>
        <v>95.04</v>
      </c>
      <c r="E87">
        <f>Raw_Claims_Data!E86</f>
        <v>14000</v>
      </c>
      <c r="F87" t="str">
        <f>Raw_Claims_Data!F86</f>
        <v>MD</v>
      </c>
      <c r="G87" t="str">
        <f>Raw_Claims_Data!G86</f>
        <v>A</v>
      </c>
      <c r="H87" t="str">
        <f>Raw_Claims_Data!H86</f>
        <v>Minor Loss</v>
      </c>
      <c r="I87" t="str">
        <f>IF(Raw_Claims_Data!I86="","None",Raw_Claims_Data!I86)</f>
        <v>Ambulance</v>
      </c>
      <c r="J87" t="str">
        <f>Raw_Claims_Data!J86</f>
        <v>Anchorage</v>
      </c>
      <c r="K87" t="str">
        <f>Raw_Claims_Data!K86</f>
        <v>AK</v>
      </c>
      <c r="L87">
        <f>Raw_Claims_Data!L86</f>
        <v>10</v>
      </c>
      <c r="M87" t="str">
        <f>IF(Raw_Claims_Data!M86="","N/A",Raw_Claims_Data!M86)</f>
        <v>VNDR00466</v>
      </c>
      <c r="N87" t="str">
        <f>Raw_Claims_Data!N86</f>
        <v>AGENT00559</v>
      </c>
      <c r="O87">
        <f>IF(Raw_Claims_Data!G86="D",1,0)</f>
        <v>0</v>
      </c>
    </row>
    <row r="88" spans="1:15" x14ac:dyDescent="0.35">
      <c r="A88" t="str">
        <f>Raw_Claims_Data!A87</f>
        <v>TXN00000084</v>
      </c>
      <c r="B88" t="str">
        <f>TRIM(Raw_Claims_Data!B87)</f>
        <v>Diane Givens</v>
      </c>
      <c r="C88" t="str">
        <f>Raw_Claims_Data!C87</f>
        <v>Mobile</v>
      </c>
      <c r="D88">
        <f>Raw_Claims_Data!D87</f>
        <v>11.57</v>
      </c>
      <c r="E88">
        <f>Raw_Claims_Data!E87</f>
        <v>100</v>
      </c>
      <c r="F88" t="str">
        <f>Raw_Claims_Data!F87</f>
        <v>TN</v>
      </c>
      <c r="G88" t="str">
        <f>Raw_Claims_Data!G87</f>
        <v>A</v>
      </c>
      <c r="H88" t="str">
        <f>Raw_Claims_Data!H87</f>
        <v>Minor Loss</v>
      </c>
      <c r="I88" t="str">
        <f>IF(Raw_Claims_Data!I87="","None",Raw_Claims_Data!I87)</f>
        <v>None</v>
      </c>
      <c r="J88" t="str">
        <f>Raw_Claims_Data!J87</f>
        <v>Panama City</v>
      </c>
      <c r="K88" t="str">
        <f>Raw_Claims_Data!K87</f>
        <v>FL</v>
      </c>
      <c r="L88">
        <f>Raw_Claims_Data!L87</f>
        <v>13</v>
      </c>
      <c r="M88" t="str">
        <f>IF(Raw_Claims_Data!M87="","N/A",Raw_Claims_Data!M87)</f>
        <v>N/A</v>
      </c>
      <c r="N88" t="str">
        <f>Raw_Claims_Data!N87</f>
        <v>AGENT00771</v>
      </c>
      <c r="O88">
        <f>IF(Raw_Claims_Data!G87="D",1,0)</f>
        <v>0</v>
      </c>
    </row>
    <row r="89" spans="1:15" x14ac:dyDescent="0.35">
      <c r="A89" t="str">
        <f>Raw_Claims_Data!A88</f>
        <v>TXN00000085</v>
      </c>
      <c r="B89" t="str">
        <f>TRIM(Raw_Claims_Data!B88)</f>
        <v>Jimmie Herbert</v>
      </c>
      <c r="C89" t="str">
        <f>Raw_Claims_Data!C88</f>
        <v>Motor</v>
      </c>
      <c r="D89">
        <f>Raw_Claims_Data!D88</f>
        <v>109.33</v>
      </c>
      <c r="E89">
        <f>Raw_Claims_Data!E88</f>
        <v>6000</v>
      </c>
      <c r="F89" t="str">
        <f>Raw_Claims_Data!F88</f>
        <v>AR</v>
      </c>
      <c r="G89" t="str">
        <f>Raw_Claims_Data!G88</f>
        <v>A</v>
      </c>
      <c r="H89" t="str">
        <f>Raw_Claims_Data!H88</f>
        <v>Total Loss</v>
      </c>
      <c r="I89" t="str">
        <f>IF(Raw_Claims_Data!I88="","None",Raw_Claims_Data!I88)</f>
        <v>None</v>
      </c>
      <c r="J89" t="str">
        <f>Raw_Claims_Data!J88</f>
        <v>Youngstown</v>
      </c>
      <c r="K89" t="str">
        <f>Raw_Claims_Data!K88</f>
        <v>FL</v>
      </c>
      <c r="L89">
        <f>Raw_Claims_Data!L88</f>
        <v>0</v>
      </c>
      <c r="M89" t="str">
        <f>IF(Raw_Claims_Data!M88="","N/A",Raw_Claims_Data!M88)</f>
        <v>VNDR00077</v>
      </c>
      <c r="N89" t="str">
        <f>Raw_Claims_Data!N88</f>
        <v>AGENT00304</v>
      </c>
      <c r="O89">
        <f>IF(Raw_Claims_Data!G88="D",1,0)</f>
        <v>0</v>
      </c>
    </row>
    <row r="90" spans="1:15" x14ac:dyDescent="0.35">
      <c r="A90" t="str">
        <f>Raw_Claims_Data!A89</f>
        <v>TXN00000086</v>
      </c>
      <c r="B90" t="str">
        <f>TRIM(Raw_Claims_Data!B89)</f>
        <v>James Miles</v>
      </c>
      <c r="C90" t="str">
        <f>Raw_Claims_Data!C89</f>
        <v>Motor</v>
      </c>
      <c r="D90">
        <f>Raw_Claims_Data!D89</f>
        <v>126.63</v>
      </c>
      <c r="E90">
        <f>Raw_Claims_Data!E89</f>
        <v>1000</v>
      </c>
      <c r="F90" t="str">
        <f>Raw_Claims_Data!F89</f>
        <v>TN</v>
      </c>
      <c r="G90" t="str">
        <f>Raw_Claims_Data!G89</f>
        <v>A</v>
      </c>
      <c r="H90" t="str">
        <f>Raw_Claims_Data!H89</f>
        <v>Major Loss</v>
      </c>
      <c r="I90" t="str">
        <f>IF(Raw_Claims_Data!I89="","None",Raw_Claims_Data!I89)</f>
        <v>Police</v>
      </c>
      <c r="J90" t="str">
        <f>Raw_Claims_Data!J89</f>
        <v>Arvada</v>
      </c>
      <c r="K90" t="str">
        <f>Raw_Claims_Data!K89</f>
        <v>CO</v>
      </c>
      <c r="L90">
        <f>Raw_Claims_Data!L89</f>
        <v>9</v>
      </c>
      <c r="M90" t="str">
        <f>IF(Raw_Claims_Data!M89="","N/A",Raw_Claims_Data!M89)</f>
        <v>VNDR00541</v>
      </c>
      <c r="N90" t="str">
        <f>Raw_Claims_Data!N89</f>
        <v>AGENT00167</v>
      </c>
      <c r="O90">
        <f>IF(Raw_Claims_Data!G89="D",1,0)</f>
        <v>0</v>
      </c>
    </row>
    <row r="91" spans="1:15" x14ac:dyDescent="0.35">
      <c r="A91" t="str">
        <f>Raw_Claims_Data!A90</f>
        <v>TXN00000087</v>
      </c>
      <c r="B91" t="str">
        <f>TRIM(Raw_Claims_Data!B90)</f>
        <v>Monica Threlkeld</v>
      </c>
      <c r="C91" t="str">
        <f>Raw_Claims_Data!C90</f>
        <v>Life</v>
      </c>
      <c r="D91">
        <f>Raw_Claims_Data!D90</f>
        <v>77.650000000000006</v>
      </c>
      <c r="E91">
        <f>Raw_Claims_Data!E90</f>
        <v>78000</v>
      </c>
      <c r="F91" t="str">
        <f>Raw_Claims_Data!F90</f>
        <v>FL</v>
      </c>
      <c r="G91" t="str">
        <f>Raw_Claims_Data!G90</f>
        <v>A</v>
      </c>
      <c r="H91" t="str">
        <f>Raw_Claims_Data!H90</f>
        <v>Major Loss</v>
      </c>
      <c r="I91" t="str">
        <f>IF(Raw_Claims_Data!I90="","None",Raw_Claims_Data!I90)</f>
        <v>Ambulance</v>
      </c>
      <c r="J91" t="str">
        <f>Raw_Claims_Data!J90</f>
        <v>Hesperia</v>
      </c>
      <c r="K91" t="str">
        <f>Raw_Claims_Data!K90</f>
        <v>CA</v>
      </c>
      <c r="L91">
        <f>Raw_Claims_Data!L90</f>
        <v>16</v>
      </c>
      <c r="M91" t="str">
        <f>IF(Raw_Claims_Data!M90="","N/A",Raw_Claims_Data!M90)</f>
        <v>VNDR00588</v>
      </c>
      <c r="N91" t="str">
        <f>Raw_Claims_Data!N90</f>
        <v>AGENT00792</v>
      </c>
      <c r="O91">
        <f>IF(Raw_Claims_Data!G90="D",1,0)</f>
        <v>0</v>
      </c>
    </row>
    <row r="92" spans="1:15" x14ac:dyDescent="0.35">
      <c r="A92" t="str">
        <f>Raw_Claims_Data!A91</f>
        <v>TXN00000088</v>
      </c>
      <c r="B92" t="str">
        <f>TRIM(Raw_Claims_Data!B91)</f>
        <v>Tasha Bolds</v>
      </c>
      <c r="C92" t="str">
        <f>Raw_Claims_Data!C91</f>
        <v>Motor</v>
      </c>
      <c r="D92">
        <f>Raw_Claims_Data!D91</f>
        <v>82</v>
      </c>
      <c r="E92">
        <f>Raw_Claims_Data!E91</f>
        <v>10000</v>
      </c>
      <c r="F92" t="str">
        <f>Raw_Claims_Data!F91</f>
        <v>CO</v>
      </c>
      <c r="G92" t="str">
        <f>Raw_Claims_Data!G91</f>
        <v>A</v>
      </c>
      <c r="H92" t="str">
        <f>Raw_Claims_Data!H91</f>
        <v>Minor Loss</v>
      </c>
      <c r="I92" t="str">
        <f>IF(Raw_Claims_Data!I91="","None",Raw_Claims_Data!I91)</f>
        <v>None</v>
      </c>
      <c r="J92" t="str">
        <f>Raw_Claims_Data!J91</f>
        <v>Lynn Haven</v>
      </c>
      <c r="K92" t="str">
        <f>Raw_Claims_Data!K91</f>
        <v>FL</v>
      </c>
      <c r="L92">
        <f>Raw_Claims_Data!L91</f>
        <v>4</v>
      </c>
      <c r="M92" t="str">
        <f>IF(Raw_Claims_Data!M91="","N/A",Raw_Claims_Data!M91)</f>
        <v>VNDR00394</v>
      </c>
      <c r="N92" t="str">
        <f>Raw_Claims_Data!N91</f>
        <v>AGENT00001</v>
      </c>
      <c r="O92">
        <f>IF(Raw_Claims_Data!G91="D",1,0)</f>
        <v>0</v>
      </c>
    </row>
    <row r="93" spans="1:15" x14ac:dyDescent="0.35">
      <c r="A93" t="str">
        <f>Raw_Claims_Data!A92</f>
        <v>TXN00000089</v>
      </c>
      <c r="B93" t="str">
        <f>TRIM(Raw_Claims_Data!B92)</f>
        <v>Joseph Walt</v>
      </c>
      <c r="C93" t="str">
        <f>Raw_Claims_Data!C92</f>
        <v>Health</v>
      </c>
      <c r="D93">
        <f>Raw_Claims_Data!D92</f>
        <v>102.63</v>
      </c>
      <c r="E93">
        <f>Raw_Claims_Data!E92</f>
        <v>9000</v>
      </c>
      <c r="F93" t="str">
        <f>Raw_Claims_Data!F92</f>
        <v>CA</v>
      </c>
      <c r="G93" t="str">
        <f>Raw_Claims_Data!G92</f>
        <v>A</v>
      </c>
      <c r="H93" t="str">
        <f>Raw_Claims_Data!H92</f>
        <v>Major Loss</v>
      </c>
      <c r="I93" t="str">
        <f>IF(Raw_Claims_Data!I92="","None",Raw_Claims_Data!I92)</f>
        <v>None</v>
      </c>
      <c r="J93" t="str">
        <f>Raw_Claims_Data!J92</f>
        <v>Lowell</v>
      </c>
      <c r="K93" t="str">
        <f>Raw_Claims_Data!K92</f>
        <v>MA</v>
      </c>
      <c r="L93">
        <f>Raw_Claims_Data!L92</f>
        <v>4</v>
      </c>
      <c r="M93" t="str">
        <f>IF(Raw_Claims_Data!M92="","N/A",Raw_Claims_Data!M92)</f>
        <v>N/A</v>
      </c>
      <c r="N93" t="str">
        <f>Raw_Claims_Data!N92</f>
        <v>AGENT00955</v>
      </c>
      <c r="O93">
        <f>IF(Raw_Claims_Data!G92="D",1,0)</f>
        <v>0</v>
      </c>
    </row>
    <row r="94" spans="1:15" x14ac:dyDescent="0.35">
      <c r="A94" t="str">
        <f>Raw_Claims_Data!A93</f>
        <v>TXN00000090</v>
      </c>
      <c r="B94" t="str">
        <f>TRIM(Raw_Claims_Data!B93)</f>
        <v>Kate Tito</v>
      </c>
      <c r="C94" t="str">
        <f>Raw_Claims_Data!C93</f>
        <v>Health</v>
      </c>
      <c r="D94">
        <f>Raw_Claims_Data!D93</f>
        <v>199.63</v>
      </c>
      <c r="E94">
        <f>Raw_Claims_Data!E93</f>
        <v>16000</v>
      </c>
      <c r="F94" t="str">
        <f>Raw_Claims_Data!F93</f>
        <v>AZ</v>
      </c>
      <c r="G94" t="str">
        <f>Raw_Claims_Data!G93</f>
        <v>A</v>
      </c>
      <c r="H94" t="str">
        <f>Raw_Claims_Data!H93</f>
        <v>Major Loss</v>
      </c>
      <c r="I94" t="str">
        <f>IF(Raw_Claims_Data!I93="","None",Raw_Claims_Data!I93)</f>
        <v>Police</v>
      </c>
      <c r="J94" t="str">
        <f>Raw_Claims_Data!J93</f>
        <v>Panama City</v>
      </c>
      <c r="K94" t="str">
        <f>Raw_Claims_Data!K93</f>
        <v>FL</v>
      </c>
      <c r="L94">
        <f>Raw_Claims_Data!L93</f>
        <v>9</v>
      </c>
      <c r="M94" t="str">
        <f>IF(Raw_Claims_Data!M93="","N/A",Raw_Claims_Data!M93)</f>
        <v>N/A</v>
      </c>
      <c r="N94" t="str">
        <f>Raw_Claims_Data!N93</f>
        <v>AGENT00428</v>
      </c>
      <c r="O94">
        <f>IF(Raw_Claims_Data!G93="D",1,0)</f>
        <v>0</v>
      </c>
    </row>
    <row r="95" spans="1:15" x14ac:dyDescent="0.35">
      <c r="A95" t="str">
        <f>Raw_Claims_Data!A94</f>
        <v>TXN00000091</v>
      </c>
      <c r="B95" t="str">
        <f>TRIM(Raw_Claims_Data!B94)</f>
        <v>Mary Todd</v>
      </c>
      <c r="C95" t="str">
        <f>Raw_Claims_Data!C94</f>
        <v>Travel</v>
      </c>
      <c r="D95">
        <f>Raw_Claims_Data!D94</f>
        <v>62.02</v>
      </c>
      <c r="E95">
        <f>Raw_Claims_Data!E94</f>
        <v>1000</v>
      </c>
      <c r="F95" t="str">
        <f>Raw_Claims_Data!F94</f>
        <v>CT</v>
      </c>
      <c r="G95" t="str">
        <f>Raw_Claims_Data!G94</f>
        <v>A</v>
      </c>
      <c r="H95" t="str">
        <f>Raw_Claims_Data!H94</f>
        <v>Minor Loss</v>
      </c>
      <c r="I95" t="str">
        <f>IF(Raw_Claims_Data!I94="","None",Raw_Claims_Data!I94)</f>
        <v>Ambulance</v>
      </c>
      <c r="J95" t="str">
        <f>Raw_Claims_Data!J94</f>
        <v>Oklahoma City</v>
      </c>
      <c r="K95" t="str">
        <f>Raw_Claims_Data!K94</f>
        <v>OK</v>
      </c>
      <c r="L95">
        <f>Raw_Claims_Data!L94</f>
        <v>22</v>
      </c>
      <c r="M95" t="str">
        <f>IF(Raw_Claims_Data!M94="","N/A",Raw_Claims_Data!M94)</f>
        <v>VNDR00086</v>
      </c>
      <c r="N95" t="str">
        <f>Raw_Claims_Data!N94</f>
        <v>AGENT01136</v>
      </c>
      <c r="O95">
        <f>IF(Raw_Claims_Data!G94="D",1,0)</f>
        <v>0</v>
      </c>
    </row>
    <row r="96" spans="1:15" x14ac:dyDescent="0.35">
      <c r="A96" t="str">
        <f>Raw_Claims_Data!A95</f>
        <v>TXN00000092</v>
      </c>
      <c r="B96" t="str">
        <f>TRIM(Raw_Claims_Data!B95)</f>
        <v>Vivian Kiesel</v>
      </c>
      <c r="C96" t="str">
        <f>Raw_Claims_Data!C95</f>
        <v>Health</v>
      </c>
      <c r="D96">
        <f>Raw_Claims_Data!D95</f>
        <v>153.52000000000001</v>
      </c>
      <c r="E96">
        <f>Raw_Claims_Data!E95</f>
        <v>19000</v>
      </c>
      <c r="F96" t="str">
        <f>Raw_Claims_Data!F95</f>
        <v>KY</v>
      </c>
      <c r="G96" t="str">
        <f>Raw_Claims_Data!G95</f>
        <v>A</v>
      </c>
      <c r="H96" t="str">
        <f>Raw_Claims_Data!H95</f>
        <v>Minor Loss</v>
      </c>
      <c r="I96" t="str">
        <f>IF(Raw_Claims_Data!I95="","None",Raw_Claims_Data!I95)</f>
        <v>Other</v>
      </c>
      <c r="J96" t="str">
        <f>Raw_Claims_Data!J95</f>
        <v>Nashville</v>
      </c>
      <c r="K96" t="str">
        <f>Raw_Claims_Data!K95</f>
        <v>TN</v>
      </c>
      <c r="L96">
        <f>Raw_Claims_Data!L95</f>
        <v>9</v>
      </c>
      <c r="M96" t="str">
        <f>IF(Raw_Claims_Data!M95="","N/A",Raw_Claims_Data!M95)</f>
        <v>VNDR00532</v>
      </c>
      <c r="N96" t="str">
        <f>Raw_Claims_Data!N95</f>
        <v>AGENT00573</v>
      </c>
      <c r="O96">
        <f>IF(Raw_Claims_Data!G95="D",1,0)</f>
        <v>0</v>
      </c>
    </row>
    <row r="97" spans="1:15" x14ac:dyDescent="0.35">
      <c r="A97" t="str">
        <f>Raw_Claims_Data!A96</f>
        <v>TXN00000093</v>
      </c>
      <c r="B97" t="str">
        <f>TRIM(Raw_Claims_Data!B96)</f>
        <v>Anthony Carpenter</v>
      </c>
      <c r="C97" t="str">
        <f>Raw_Claims_Data!C96</f>
        <v>Health</v>
      </c>
      <c r="D97">
        <f>Raw_Claims_Data!D96</f>
        <v>116.27</v>
      </c>
      <c r="E97">
        <f>Raw_Claims_Data!E96</f>
        <v>7000</v>
      </c>
      <c r="F97" t="str">
        <f>Raw_Claims_Data!F96</f>
        <v>VT</v>
      </c>
      <c r="G97" t="str">
        <f>Raw_Claims_Data!G96</f>
        <v>A</v>
      </c>
      <c r="H97" t="str">
        <f>Raw_Claims_Data!H96</f>
        <v>Major Loss</v>
      </c>
      <c r="I97" t="str">
        <f>IF(Raw_Claims_Data!I96="","None",Raw_Claims_Data!I96)</f>
        <v>Ambulance</v>
      </c>
      <c r="J97" t="str">
        <f>Raw_Claims_Data!J96</f>
        <v>Oakland</v>
      </c>
      <c r="K97" t="str">
        <f>Raw_Claims_Data!K96</f>
        <v>CA</v>
      </c>
      <c r="L97">
        <f>Raw_Claims_Data!L96</f>
        <v>7</v>
      </c>
      <c r="M97" t="str">
        <f>IF(Raw_Claims_Data!M96="","N/A",Raw_Claims_Data!M96)</f>
        <v>VNDR00251</v>
      </c>
      <c r="N97" t="str">
        <f>Raw_Claims_Data!N96</f>
        <v>AGENT00474</v>
      </c>
      <c r="O97">
        <f>IF(Raw_Claims_Data!G96="D",1,0)</f>
        <v>0</v>
      </c>
    </row>
    <row r="98" spans="1:15" x14ac:dyDescent="0.35">
      <c r="A98" t="str">
        <f>Raw_Claims_Data!A97</f>
        <v>TXN00000094</v>
      </c>
      <c r="B98" t="str">
        <f>TRIM(Raw_Claims_Data!B97)</f>
        <v>Catherine Wells</v>
      </c>
      <c r="C98" t="str">
        <f>Raw_Claims_Data!C97</f>
        <v>Travel</v>
      </c>
      <c r="D98">
        <f>Raw_Claims_Data!D97</f>
        <v>72.52</v>
      </c>
      <c r="E98">
        <f>Raw_Claims_Data!E97</f>
        <v>1000</v>
      </c>
      <c r="F98" t="str">
        <f>Raw_Claims_Data!F97</f>
        <v>OK</v>
      </c>
      <c r="G98" t="str">
        <f>Raw_Claims_Data!G97</f>
        <v>A</v>
      </c>
      <c r="H98" t="str">
        <f>Raw_Claims_Data!H97</f>
        <v>Total Loss</v>
      </c>
      <c r="I98" t="str">
        <f>IF(Raw_Claims_Data!I97="","None",Raw_Claims_Data!I97)</f>
        <v>Police</v>
      </c>
      <c r="J98" t="str">
        <f>Raw_Claims_Data!J97</f>
        <v>Moore</v>
      </c>
      <c r="K98" t="str">
        <f>Raw_Claims_Data!K97</f>
        <v>OK</v>
      </c>
      <c r="L98">
        <f>Raw_Claims_Data!L97</f>
        <v>10</v>
      </c>
      <c r="M98" t="str">
        <f>IF(Raw_Claims_Data!M97="","N/A",Raw_Claims_Data!M97)</f>
        <v>N/A</v>
      </c>
      <c r="N98" t="str">
        <f>Raw_Claims_Data!N97</f>
        <v>AGENT00908</v>
      </c>
      <c r="O98">
        <f>IF(Raw_Claims_Data!G97="D",1,0)</f>
        <v>0</v>
      </c>
    </row>
    <row r="99" spans="1:15" x14ac:dyDescent="0.35">
      <c r="A99" t="str">
        <f>Raw_Claims_Data!A98</f>
        <v>TXN00000095</v>
      </c>
      <c r="B99" t="str">
        <f>TRIM(Raw_Claims_Data!B98)</f>
        <v>Mariana Waller</v>
      </c>
      <c r="C99" t="str">
        <f>Raw_Claims_Data!C98</f>
        <v>Life</v>
      </c>
      <c r="D99">
        <f>Raw_Claims_Data!D98</f>
        <v>83.23</v>
      </c>
      <c r="E99">
        <f>Raw_Claims_Data!E98</f>
        <v>95000</v>
      </c>
      <c r="F99" t="str">
        <f>Raw_Claims_Data!F98</f>
        <v>AL</v>
      </c>
      <c r="G99" t="str">
        <f>Raw_Claims_Data!G98</f>
        <v>A</v>
      </c>
      <c r="H99" t="str">
        <f>Raw_Claims_Data!H98</f>
        <v>Major Loss</v>
      </c>
      <c r="I99" t="str">
        <f>IF(Raw_Claims_Data!I98="","None",Raw_Claims_Data!I98)</f>
        <v>None</v>
      </c>
      <c r="J99" t="str">
        <f>Raw_Claims_Data!J98</f>
        <v>Davidsonville</v>
      </c>
      <c r="K99" t="str">
        <f>Raw_Claims_Data!K98</f>
        <v>MD</v>
      </c>
      <c r="L99">
        <f>Raw_Claims_Data!L98</f>
        <v>6</v>
      </c>
      <c r="M99" t="str">
        <f>IF(Raw_Claims_Data!M98="","N/A",Raw_Claims_Data!M98)</f>
        <v>VNDR00508</v>
      </c>
      <c r="N99" t="str">
        <f>Raw_Claims_Data!N98</f>
        <v>AGENT00254</v>
      </c>
      <c r="O99">
        <f>IF(Raw_Claims_Data!G98="D",1,0)</f>
        <v>0</v>
      </c>
    </row>
    <row r="100" spans="1:15" x14ac:dyDescent="0.35">
      <c r="A100" t="str">
        <f>Raw_Claims_Data!A99</f>
        <v>TXN00000096</v>
      </c>
      <c r="B100" t="str">
        <f>TRIM(Raw_Claims_Data!B99)</f>
        <v>Brent Fly</v>
      </c>
      <c r="C100" t="str">
        <f>Raw_Claims_Data!C99</f>
        <v>Motor</v>
      </c>
      <c r="D100">
        <f>Raw_Claims_Data!D99</f>
        <v>116.8</v>
      </c>
      <c r="E100">
        <f>Raw_Claims_Data!E99</f>
        <v>9000</v>
      </c>
      <c r="F100" t="str">
        <f>Raw_Claims_Data!F99</f>
        <v>DC</v>
      </c>
      <c r="G100" t="str">
        <f>Raw_Claims_Data!G99</f>
        <v>A</v>
      </c>
      <c r="H100" t="str">
        <f>Raw_Claims_Data!H99</f>
        <v>Total Loss</v>
      </c>
      <c r="I100" t="str">
        <f>IF(Raw_Claims_Data!I99="","None",Raw_Claims_Data!I99)</f>
        <v>Ambulance</v>
      </c>
      <c r="J100" t="str">
        <f>Raw_Claims_Data!J99</f>
        <v>Anchorage</v>
      </c>
      <c r="K100" t="str">
        <f>Raw_Claims_Data!K99</f>
        <v>AK</v>
      </c>
      <c r="L100">
        <f>Raw_Claims_Data!L99</f>
        <v>13</v>
      </c>
      <c r="M100" t="str">
        <f>IF(Raw_Claims_Data!M99="","N/A",Raw_Claims_Data!M99)</f>
        <v>N/A</v>
      </c>
      <c r="N100" t="str">
        <f>Raw_Claims_Data!N99</f>
        <v>AGENT00482</v>
      </c>
      <c r="O100">
        <f>IF(Raw_Claims_Data!G99="D",1,0)</f>
        <v>0</v>
      </c>
    </row>
    <row r="101" spans="1:15" x14ac:dyDescent="0.35">
      <c r="A101" t="str">
        <f>Raw_Claims_Data!A100</f>
        <v>TXN00000097</v>
      </c>
      <c r="B101" t="str">
        <f>TRIM(Raw_Claims_Data!B100)</f>
        <v>Christopher Lee</v>
      </c>
      <c r="C101" t="str">
        <f>Raw_Claims_Data!C100</f>
        <v>Life</v>
      </c>
      <c r="D101">
        <f>Raw_Claims_Data!D100</f>
        <v>82.05</v>
      </c>
      <c r="E101">
        <f>Raw_Claims_Data!E100</f>
        <v>15000</v>
      </c>
      <c r="F101" t="str">
        <f>Raw_Claims_Data!F100</f>
        <v>DC</v>
      </c>
      <c r="G101" t="str">
        <f>Raw_Claims_Data!G100</f>
        <v>A</v>
      </c>
      <c r="H101" t="str">
        <f>Raw_Claims_Data!H100</f>
        <v>Total Loss</v>
      </c>
      <c r="I101" t="str">
        <f>IF(Raw_Claims_Data!I100="","None",Raw_Claims_Data!I100)</f>
        <v>None</v>
      </c>
      <c r="J101" t="str">
        <f>Raw_Claims_Data!J100</f>
        <v>Washington</v>
      </c>
      <c r="K101" t="str">
        <f>Raw_Claims_Data!K100</f>
        <v>DC</v>
      </c>
      <c r="L101">
        <f>Raw_Claims_Data!L100</f>
        <v>8</v>
      </c>
      <c r="M101" t="str">
        <f>IF(Raw_Claims_Data!M100="","N/A",Raw_Claims_Data!M100)</f>
        <v>N/A</v>
      </c>
      <c r="N101" t="str">
        <f>Raw_Claims_Data!N100</f>
        <v>AGENT00397</v>
      </c>
      <c r="O101">
        <f>IF(Raw_Claims_Data!G100="D",1,0)</f>
        <v>0</v>
      </c>
    </row>
    <row r="102" spans="1:15" x14ac:dyDescent="0.35">
      <c r="A102" t="str">
        <f>Raw_Claims_Data!A101</f>
        <v>TXN00000098</v>
      </c>
      <c r="B102" t="str">
        <f>TRIM(Raw_Claims_Data!B101)</f>
        <v>Donna Delosh</v>
      </c>
      <c r="C102" t="str">
        <f>Raw_Claims_Data!C101</f>
        <v>Life</v>
      </c>
      <c r="D102">
        <f>Raw_Claims_Data!D101</f>
        <v>75.599999999999994</v>
      </c>
      <c r="E102">
        <f>Raw_Claims_Data!E101</f>
        <v>41000</v>
      </c>
      <c r="F102" t="str">
        <f>Raw_Claims_Data!F101</f>
        <v>TN</v>
      </c>
      <c r="G102" t="str">
        <f>Raw_Claims_Data!G101</f>
        <v>A</v>
      </c>
      <c r="H102" t="str">
        <f>Raw_Claims_Data!H101</f>
        <v>Total Loss</v>
      </c>
      <c r="I102" t="str">
        <f>IF(Raw_Claims_Data!I101="","None",Raw_Claims_Data!I101)</f>
        <v>Police</v>
      </c>
      <c r="J102" t="str">
        <f>Raw_Claims_Data!J101</f>
        <v>Panama City</v>
      </c>
      <c r="K102" t="str">
        <f>Raw_Claims_Data!K101</f>
        <v>FL</v>
      </c>
      <c r="L102">
        <f>Raw_Claims_Data!L101</f>
        <v>7</v>
      </c>
      <c r="M102" t="str">
        <f>IF(Raw_Claims_Data!M101="","N/A",Raw_Claims_Data!M101)</f>
        <v>N/A</v>
      </c>
      <c r="N102" t="str">
        <f>Raw_Claims_Data!N101</f>
        <v>AGENT00786</v>
      </c>
      <c r="O102">
        <f>IF(Raw_Claims_Data!G101="D",1,0)</f>
        <v>0</v>
      </c>
    </row>
    <row r="103" spans="1:15" x14ac:dyDescent="0.35">
      <c r="A103" t="str">
        <f>Raw_Claims_Data!A102</f>
        <v>TXN00000099</v>
      </c>
      <c r="B103" t="str">
        <f>TRIM(Raw_Claims_Data!B102)</f>
        <v>Alice Murphy</v>
      </c>
      <c r="C103" t="str">
        <f>Raw_Claims_Data!C102</f>
        <v>Mobile</v>
      </c>
      <c r="D103">
        <f>Raw_Claims_Data!D102</f>
        <v>9.14</v>
      </c>
      <c r="E103">
        <f>Raw_Claims_Data!E102</f>
        <v>300</v>
      </c>
      <c r="F103" t="str">
        <f>Raw_Claims_Data!F102</f>
        <v>AZ</v>
      </c>
      <c r="G103" t="str">
        <f>Raw_Claims_Data!G102</f>
        <v>A</v>
      </c>
      <c r="H103" t="str">
        <f>Raw_Claims_Data!H102</f>
        <v>Minor Loss</v>
      </c>
      <c r="I103" t="str">
        <f>IF(Raw_Claims_Data!I102="","None",Raw_Claims_Data!I102)</f>
        <v>Ambulance</v>
      </c>
      <c r="J103" t="str">
        <f>Raw_Claims_Data!J102</f>
        <v>Savannah</v>
      </c>
      <c r="K103" t="str">
        <f>Raw_Claims_Data!K102</f>
        <v>GA</v>
      </c>
      <c r="L103">
        <f>Raw_Claims_Data!L102</f>
        <v>10</v>
      </c>
      <c r="M103" t="str">
        <f>IF(Raw_Claims_Data!M102="","N/A",Raw_Claims_Data!M102)</f>
        <v>VNDR00597</v>
      </c>
      <c r="N103" t="str">
        <f>Raw_Claims_Data!N102</f>
        <v>AGENT00943</v>
      </c>
      <c r="O103">
        <f>IF(Raw_Claims_Data!G102="D",1,0)</f>
        <v>0</v>
      </c>
    </row>
    <row r="104" spans="1:15" x14ac:dyDescent="0.35">
      <c r="A104" t="str">
        <f>Raw_Claims_Data!A103</f>
        <v>TXN00000100</v>
      </c>
      <c r="B104" t="str">
        <f>TRIM(Raw_Claims_Data!B103)</f>
        <v>Chester Castleberry</v>
      </c>
      <c r="C104" t="str">
        <f>Raw_Claims_Data!C103</f>
        <v>Mobile</v>
      </c>
      <c r="D104">
        <f>Raw_Claims_Data!D103</f>
        <v>11.34</v>
      </c>
      <c r="E104">
        <f>Raw_Claims_Data!E103</f>
        <v>200</v>
      </c>
      <c r="F104" t="str">
        <f>Raw_Claims_Data!F103</f>
        <v>AK</v>
      </c>
      <c r="G104" t="str">
        <f>Raw_Claims_Data!G103</f>
        <v>A</v>
      </c>
      <c r="H104" t="str">
        <f>Raw_Claims_Data!H103</f>
        <v>Major Loss</v>
      </c>
      <c r="I104" t="str">
        <f>IF(Raw_Claims_Data!I103="","None",Raw_Claims_Data!I103)</f>
        <v>Ambulance</v>
      </c>
      <c r="J104" t="str">
        <f>Raw_Claims_Data!J103</f>
        <v>Cupertino</v>
      </c>
      <c r="K104" t="str">
        <f>Raw_Claims_Data!K103</f>
        <v>CA</v>
      </c>
      <c r="L104">
        <f>Raw_Claims_Data!L103</f>
        <v>13</v>
      </c>
      <c r="M104" t="str">
        <f>IF(Raw_Claims_Data!M103="","N/A",Raw_Claims_Data!M103)</f>
        <v>N/A</v>
      </c>
      <c r="N104" t="str">
        <f>Raw_Claims_Data!N103</f>
        <v>AGENT00011</v>
      </c>
      <c r="O104">
        <f>IF(Raw_Claims_Data!G103="D",1,0)</f>
        <v>0</v>
      </c>
    </row>
    <row r="105" spans="1:15" x14ac:dyDescent="0.35">
      <c r="A105" t="str">
        <f>Raw_Claims_Data!A104</f>
        <v>TXN00000101</v>
      </c>
      <c r="B105" t="str">
        <f>TRIM(Raw_Claims_Data!B104)</f>
        <v>Mary Cloud</v>
      </c>
      <c r="C105" t="str">
        <f>Raw_Claims_Data!C104</f>
        <v>Property</v>
      </c>
      <c r="D105">
        <f>Raw_Claims_Data!D104</f>
        <v>89.76</v>
      </c>
      <c r="E105">
        <f>Raw_Claims_Data!E104</f>
        <v>31000</v>
      </c>
      <c r="F105" t="str">
        <f>Raw_Claims_Data!F104</f>
        <v>GA</v>
      </c>
      <c r="G105" t="str">
        <f>Raw_Claims_Data!G104</f>
        <v>A</v>
      </c>
      <c r="H105" t="str">
        <f>Raw_Claims_Data!H104</f>
        <v>Major Loss</v>
      </c>
      <c r="I105" t="str">
        <f>IF(Raw_Claims_Data!I104="","None",Raw_Claims_Data!I104)</f>
        <v>Ambulance</v>
      </c>
      <c r="J105" t="str">
        <f>Raw_Claims_Data!J104</f>
        <v>Glendale</v>
      </c>
      <c r="K105" t="str">
        <f>Raw_Claims_Data!K104</f>
        <v>AZ</v>
      </c>
      <c r="L105">
        <f>Raw_Claims_Data!L104</f>
        <v>10</v>
      </c>
      <c r="M105" t="str">
        <f>IF(Raw_Claims_Data!M104="","N/A",Raw_Claims_Data!M104)</f>
        <v>VNDR00057</v>
      </c>
      <c r="N105" t="str">
        <f>Raw_Claims_Data!N104</f>
        <v>AGENT00007</v>
      </c>
      <c r="O105">
        <f>IF(Raw_Claims_Data!G104="D",1,0)</f>
        <v>0</v>
      </c>
    </row>
    <row r="106" spans="1:15" x14ac:dyDescent="0.35">
      <c r="A106" t="str">
        <f>Raw_Claims_Data!A105</f>
        <v>TXN00000102</v>
      </c>
      <c r="B106" t="str">
        <f>TRIM(Raw_Claims_Data!B105)</f>
        <v>Bernice Santomauro</v>
      </c>
      <c r="C106" t="str">
        <f>Raw_Claims_Data!C105</f>
        <v>Motor</v>
      </c>
      <c r="D106">
        <f>Raw_Claims_Data!D105</f>
        <v>136.47</v>
      </c>
      <c r="E106">
        <f>Raw_Claims_Data!E105</f>
        <v>1000</v>
      </c>
      <c r="F106" t="str">
        <f>Raw_Claims_Data!F105</f>
        <v>AK</v>
      </c>
      <c r="G106" t="str">
        <f>Raw_Claims_Data!G105</f>
        <v>A</v>
      </c>
      <c r="H106" t="str">
        <f>Raw_Claims_Data!H105</f>
        <v>Total Loss</v>
      </c>
      <c r="I106" t="str">
        <f>IF(Raw_Claims_Data!I105="","None",Raw_Claims_Data!I105)</f>
        <v>Ambulance</v>
      </c>
      <c r="J106" t="str">
        <f>Raw_Claims_Data!J105</f>
        <v>Glendale</v>
      </c>
      <c r="K106" t="str">
        <f>Raw_Claims_Data!K105</f>
        <v>AZ</v>
      </c>
      <c r="L106">
        <f>Raw_Claims_Data!L105</f>
        <v>23</v>
      </c>
      <c r="M106" t="str">
        <f>IF(Raw_Claims_Data!M105="","N/A",Raw_Claims_Data!M105)</f>
        <v>N/A</v>
      </c>
      <c r="N106" t="str">
        <f>Raw_Claims_Data!N105</f>
        <v>AGENT00691</v>
      </c>
      <c r="O106">
        <f>IF(Raw_Claims_Data!G105="D",1,0)</f>
        <v>0</v>
      </c>
    </row>
    <row r="107" spans="1:15" x14ac:dyDescent="0.35">
      <c r="A107" t="str">
        <f>Raw_Claims_Data!A106</f>
        <v>TXN00000103</v>
      </c>
      <c r="B107" t="str">
        <f>TRIM(Raw_Claims_Data!B106)</f>
        <v>William Wilson</v>
      </c>
      <c r="C107" t="str">
        <f>Raw_Claims_Data!C106</f>
        <v>Motor</v>
      </c>
      <c r="D107">
        <f>Raw_Claims_Data!D106</f>
        <v>127.87</v>
      </c>
      <c r="E107">
        <f>Raw_Claims_Data!E106</f>
        <v>7000</v>
      </c>
      <c r="F107" t="str">
        <f>Raw_Claims_Data!F106</f>
        <v>FL</v>
      </c>
      <c r="G107" t="str">
        <f>Raw_Claims_Data!G106</f>
        <v>A</v>
      </c>
      <c r="H107" t="str">
        <f>Raw_Claims_Data!H106</f>
        <v>Total Loss</v>
      </c>
      <c r="I107" t="str">
        <f>IF(Raw_Claims_Data!I106="","None",Raw_Claims_Data!I106)</f>
        <v>None</v>
      </c>
      <c r="J107" t="str">
        <f>Raw_Claims_Data!J106</f>
        <v>Montgomery</v>
      </c>
      <c r="K107" t="str">
        <f>Raw_Claims_Data!K106</f>
        <v>AL</v>
      </c>
      <c r="L107">
        <f>Raw_Claims_Data!L106</f>
        <v>8</v>
      </c>
      <c r="M107" t="str">
        <f>IF(Raw_Claims_Data!M106="","N/A",Raw_Claims_Data!M106)</f>
        <v>VNDR00344</v>
      </c>
      <c r="N107" t="str">
        <f>Raw_Claims_Data!N106</f>
        <v>AGENT00198</v>
      </c>
      <c r="O107">
        <f>IF(Raw_Claims_Data!G106="D",1,0)</f>
        <v>0</v>
      </c>
    </row>
    <row r="108" spans="1:15" x14ac:dyDescent="0.35">
      <c r="A108" t="str">
        <f>Raw_Claims_Data!A107</f>
        <v>TXN00000104</v>
      </c>
      <c r="B108" t="str">
        <f>TRIM(Raw_Claims_Data!B107)</f>
        <v>Kara Williams</v>
      </c>
      <c r="C108" t="str">
        <f>Raw_Claims_Data!C107</f>
        <v>Travel</v>
      </c>
      <c r="D108">
        <f>Raw_Claims_Data!D107</f>
        <v>60.87</v>
      </c>
      <c r="E108">
        <f>Raw_Claims_Data!E107</f>
        <v>3000</v>
      </c>
      <c r="F108" t="str">
        <f>Raw_Claims_Data!F107</f>
        <v>DC</v>
      </c>
      <c r="G108" t="str">
        <f>Raw_Claims_Data!G107</f>
        <v>A</v>
      </c>
      <c r="H108" t="str">
        <f>Raw_Claims_Data!H107</f>
        <v>Minor Loss</v>
      </c>
      <c r="I108" t="str">
        <f>IF(Raw_Claims_Data!I107="","None",Raw_Claims_Data!I107)</f>
        <v>Police</v>
      </c>
      <c r="J108" t="str">
        <f>Raw_Claims_Data!J107</f>
        <v>Washington</v>
      </c>
      <c r="K108" t="str">
        <f>Raw_Claims_Data!K107</f>
        <v>DC</v>
      </c>
      <c r="L108">
        <f>Raw_Claims_Data!L107</f>
        <v>7</v>
      </c>
      <c r="M108" t="str">
        <f>IF(Raw_Claims_Data!M107="","N/A",Raw_Claims_Data!M107)</f>
        <v>N/A</v>
      </c>
      <c r="N108" t="str">
        <f>Raw_Claims_Data!N107</f>
        <v>AGENT00869</v>
      </c>
      <c r="O108">
        <f>IF(Raw_Claims_Data!G107="D",1,0)</f>
        <v>0</v>
      </c>
    </row>
    <row r="109" spans="1:15" x14ac:dyDescent="0.35">
      <c r="A109" t="str">
        <f>Raw_Claims_Data!A108</f>
        <v>TXN00000105</v>
      </c>
      <c r="B109" t="str">
        <f>TRIM(Raw_Claims_Data!B108)</f>
        <v>Kenneth Hill</v>
      </c>
      <c r="C109" t="str">
        <f>Raw_Claims_Data!C108</f>
        <v>Life</v>
      </c>
      <c r="D109">
        <f>Raw_Claims_Data!D108</f>
        <v>92.65</v>
      </c>
      <c r="E109">
        <f>Raw_Claims_Data!E108</f>
        <v>19000</v>
      </c>
      <c r="F109" t="str">
        <f>Raw_Claims_Data!F108</f>
        <v>MA</v>
      </c>
      <c r="G109" t="str">
        <f>Raw_Claims_Data!G108</f>
        <v>A</v>
      </c>
      <c r="H109" t="str">
        <f>Raw_Claims_Data!H108</f>
        <v>Major Loss</v>
      </c>
      <c r="I109" t="str">
        <f>IF(Raw_Claims_Data!I108="","None",Raw_Claims_Data!I108)</f>
        <v>Police</v>
      </c>
      <c r="J109" t="str">
        <f>Raw_Claims_Data!J108</f>
        <v>Saint Albans City</v>
      </c>
      <c r="K109" t="str">
        <f>Raw_Claims_Data!K108</f>
        <v>VT</v>
      </c>
      <c r="L109">
        <f>Raw_Claims_Data!L108</f>
        <v>1</v>
      </c>
      <c r="M109" t="str">
        <f>IF(Raw_Claims_Data!M108="","N/A",Raw_Claims_Data!M108)</f>
        <v>N/A</v>
      </c>
      <c r="N109" t="str">
        <f>Raw_Claims_Data!N108</f>
        <v>AGENT01177</v>
      </c>
      <c r="O109">
        <f>IF(Raw_Claims_Data!G108="D",1,0)</f>
        <v>0</v>
      </c>
    </row>
    <row r="110" spans="1:15" x14ac:dyDescent="0.35">
      <c r="A110" t="str">
        <f>Raw_Claims_Data!A109</f>
        <v>TXN00000106</v>
      </c>
      <c r="B110" t="str">
        <f>TRIM(Raw_Claims_Data!B109)</f>
        <v>Nathaniel Graham</v>
      </c>
      <c r="C110" t="str">
        <f>Raw_Claims_Data!C109</f>
        <v>Life</v>
      </c>
      <c r="D110">
        <f>Raw_Claims_Data!D109</f>
        <v>96.95</v>
      </c>
      <c r="E110">
        <f>Raw_Claims_Data!E109</f>
        <v>50000</v>
      </c>
      <c r="F110" t="str">
        <f>Raw_Claims_Data!F109</f>
        <v>MD</v>
      </c>
      <c r="G110" t="str">
        <f>Raw_Claims_Data!G109</f>
        <v>A</v>
      </c>
      <c r="H110" t="str">
        <f>Raw_Claims_Data!H109</f>
        <v>Major Loss</v>
      </c>
      <c r="I110" t="str">
        <f>IF(Raw_Claims_Data!I109="","None",Raw_Claims_Data!I109)</f>
        <v>Ambulance</v>
      </c>
      <c r="J110" t="str">
        <f>Raw_Claims_Data!J109</f>
        <v>Suisun City</v>
      </c>
      <c r="K110" t="str">
        <f>Raw_Claims_Data!K109</f>
        <v>CA</v>
      </c>
      <c r="L110">
        <f>Raw_Claims_Data!L109</f>
        <v>5</v>
      </c>
      <c r="M110" t="str">
        <f>IF(Raw_Claims_Data!M109="","N/A",Raw_Claims_Data!M109)</f>
        <v>N/A</v>
      </c>
      <c r="N110" t="str">
        <f>Raw_Claims_Data!N109</f>
        <v>AGENT01119</v>
      </c>
      <c r="O110">
        <f>IF(Raw_Claims_Data!G109="D",1,0)</f>
        <v>0</v>
      </c>
    </row>
    <row r="111" spans="1:15" x14ac:dyDescent="0.35">
      <c r="A111" t="str">
        <f>Raw_Claims_Data!A110</f>
        <v>TXN00000107</v>
      </c>
      <c r="B111" t="str">
        <f>TRIM(Raw_Claims_Data!B110)</f>
        <v>Gary Patten</v>
      </c>
      <c r="C111" t="str">
        <f>Raw_Claims_Data!C110</f>
        <v>Life</v>
      </c>
      <c r="D111">
        <f>Raw_Claims_Data!D110</f>
        <v>69.59</v>
      </c>
      <c r="E111">
        <f>Raw_Claims_Data!E110</f>
        <v>84000</v>
      </c>
      <c r="F111" t="str">
        <f>Raw_Claims_Data!F110</f>
        <v>AL</v>
      </c>
      <c r="G111" t="str">
        <f>Raw_Claims_Data!G110</f>
        <v>A</v>
      </c>
      <c r="H111" t="str">
        <f>Raw_Claims_Data!H110</f>
        <v>Minor Loss</v>
      </c>
      <c r="I111" t="str">
        <f>IF(Raw_Claims_Data!I110="","None",Raw_Claims_Data!I110)</f>
        <v>Other</v>
      </c>
      <c r="J111" t="str">
        <f>Raw_Claims_Data!J110</f>
        <v>Hayward</v>
      </c>
      <c r="K111" t="str">
        <f>Raw_Claims_Data!K110</f>
        <v>CA</v>
      </c>
      <c r="L111">
        <f>Raw_Claims_Data!L110</f>
        <v>12</v>
      </c>
      <c r="M111" t="str">
        <f>IF(Raw_Claims_Data!M110="","N/A",Raw_Claims_Data!M110)</f>
        <v>VNDR00474</v>
      </c>
      <c r="N111" t="str">
        <f>Raw_Claims_Data!N110</f>
        <v>AGENT00603</v>
      </c>
      <c r="O111">
        <f>IF(Raw_Claims_Data!G110="D",1,0)</f>
        <v>0</v>
      </c>
    </row>
    <row r="112" spans="1:15" x14ac:dyDescent="0.35">
      <c r="A112" t="str">
        <f>Raw_Claims_Data!A111</f>
        <v>TXN00000108</v>
      </c>
      <c r="B112" t="str">
        <f>TRIM(Raw_Claims_Data!B111)</f>
        <v>Martin Tommolino</v>
      </c>
      <c r="C112" t="str">
        <f>Raw_Claims_Data!C111</f>
        <v>Property</v>
      </c>
      <c r="D112">
        <f>Raw_Claims_Data!D111</f>
        <v>94.33</v>
      </c>
      <c r="E112">
        <f>Raw_Claims_Data!E111</f>
        <v>20000</v>
      </c>
      <c r="F112" t="str">
        <f>Raw_Claims_Data!F111</f>
        <v>AR</v>
      </c>
      <c r="G112" t="str">
        <f>Raw_Claims_Data!G111</f>
        <v>A</v>
      </c>
      <c r="H112" t="str">
        <f>Raw_Claims_Data!H111</f>
        <v>Major Loss</v>
      </c>
      <c r="I112" t="str">
        <f>IF(Raw_Claims_Data!I111="","None",Raw_Claims_Data!I111)</f>
        <v>Ambulance</v>
      </c>
      <c r="J112" t="str">
        <f>Raw_Claims_Data!J111</f>
        <v>Montgomery</v>
      </c>
      <c r="K112" t="str">
        <f>Raw_Claims_Data!K111</f>
        <v>AL</v>
      </c>
      <c r="L112">
        <f>Raw_Claims_Data!L111</f>
        <v>11</v>
      </c>
      <c r="M112" t="str">
        <f>IF(Raw_Claims_Data!M111="","N/A",Raw_Claims_Data!M111)</f>
        <v>VNDR00360</v>
      </c>
      <c r="N112" t="str">
        <f>Raw_Claims_Data!N111</f>
        <v>AGENT00265</v>
      </c>
      <c r="O112">
        <f>IF(Raw_Claims_Data!G111="D",1,0)</f>
        <v>0</v>
      </c>
    </row>
    <row r="113" spans="1:15" x14ac:dyDescent="0.35">
      <c r="A113" t="str">
        <f>Raw_Claims_Data!A112</f>
        <v>TXN00000109</v>
      </c>
      <c r="B113" t="str">
        <f>TRIM(Raw_Claims_Data!B112)</f>
        <v>Michelle Thomas</v>
      </c>
      <c r="C113" t="str">
        <f>Raw_Claims_Data!C112</f>
        <v>Life</v>
      </c>
      <c r="D113">
        <f>Raw_Claims_Data!D112</f>
        <v>71.650000000000006</v>
      </c>
      <c r="E113">
        <f>Raw_Claims_Data!E112</f>
        <v>78000</v>
      </c>
      <c r="F113" t="str">
        <f>Raw_Claims_Data!F112</f>
        <v>DC</v>
      </c>
      <c r="G113" t="str">
        <f>Raw_Claims_Data!G112</f>
        <v>A</v>
      </c>
      <c r="H113" t="str">
        <f>Raw_Claims_Data!H112</f>
        <v>Total Loss</v>
      </c>
      <c r="I113" t="str">
        <f>IF(Raw_Claims_Data!I112="","None",Raw_Claims_Data!I112)</f>
        <v>Police</v>
      </c>
      <c r="J113" t="str">
        <f>Raw_Claims_Data!J112</f>
        <v>Nashville</v>
      </c>
      <c r="K113" t="str">
        <f>Raw_Claims_Data!K112</f>
        <v>TN</v>
      </c>
      <c r="L113">
        <f>Raw_Claims_Data!L112</f>
        <v>14</v>
      </c>
      <c r="M113" t="str">
        <f>IF(Raw_Claims_Data!M112="","N/A",Raw_Claims_Data!M112)</f>
        <v>VNDR00046</v>
      </c>
      <c r="N113" t="str">
        <f>Raw_Claims_Data!N112</f>
        <v>AGENT01042</v>
      </c>
      <c r="O113">
        <f>IF(Raw_Claims_Data!G112="D",1,0)</f>
        <v>0</v>
      </c>
    </row>
    <row r="114" spans="1:15" x14ac:dyDescent="0.35">
      <c r="A114" t="str">
        <f>Raw_Claims_Data!A113</f>
        <v>TXN00000110</v>
      </c>
      <c r="B114" t="str">
        <f>TRIM(Raw_Claims_Data!B113)</f>
        <v>Fannie Williams</v>
      </c>
      <c r="C114" t="str">
        <f>Raw_Claims_Data!C113</f>
        <v>Travel</v>
      </c>
      <c r="D114">
        <f>Raw_Claims_Data!D113</f>
        <v>96.33</v>
      </c>
      <c r="E114">
        <f>Raw_Claims_Data!E113</f>
        <v>2000</v>
      </c>
      <c r="F114" t="str">
        <f>Raw_Claims_Data!F113</f>
        <v>CA</v>
      </c>
      <c r="G114" t="str">
        <f>Raw_Claims_Data!G113</f>
        <v>A</v>
      </c>
      <c r="H114" t="str">
        <f>Raw_Claims_Data!H113</f>
        <v>Minor Loss</v>
      </c>
      <c r="I114" t="str">
        <f>IF(Raw_Claims_Data!I113="","None",Raw_Claims_Data!I113)</f>
        <v>Ambulance</v>
      </c>
      <c r="J114" t="str">
        <f>Raw_Claims_Data!J113</f>
        <v>Manchester</v>
      </c>
      <c r="K114" t="str">
        <f>Raw_Claims_Data!K113</f>
        <v>CT</v>
      </c>
      <c r="L114">
        <f>Raw_Claims_Data!L113</f>
        <v>21</v>
      </c>
      <c r="M114" t="str">
        <f>IF(Raw_Claims_Data!M113="","N/A",Raw_Claims_Data!M113)</f>
        <v>VNDR00233</v>
      </c>
      <c r="N114" t="str">
        <f>Raw_Claims_Data!N113</f>
        <v>AGENT00491</v>
      </c>
      <c r="O114">
        <f>IF(Raw_Claims_Data!G113="D",1,0)</f>
        <v>0</v>
      </c>
    </row>
    <row r="115" spans="1:15" x14ac:dyDescent="0.35">
      <c r="A115" t="str">
        <f>Raw_Claims_Data!A114</f>
        <v>TXN00000111</v>
      </c>
      <c r="B115" t="str">
        <f>TRIM(Raw_Claims_Data!B114)</f>
        <v>Sean Billotte</v>
      </c>
      <c r="C115" t="str">
        <f>Raw_Claims_Data!C114</f>
        <v>Mobile</v>
      </c>
      <c r="D115">
        <f>Raw_Claims_Data!D114</f>
        <v>9.58</v>
      </c>
      <c r="E115">
        <f>Raw_Claims_Data!E114</f>
        <v>600</v>
      </c>
      <c r="F115" t="str">
        <f>Raw_Claims_Data!F114</f>
        <v>GA</v>
      </c>
      <c r="G115" t="str">
        <f>Raw_Claims_Data!G114</f>
        <v>A</v>
      </c>
      <c r="H115" t="str">
        <f>Raw_Claims_Data!H114</f>
        <v>Major Loss</v>
      </c>
      <c r="I115" t="str">
        <f>IF(Raw_Claims_Data!I114="","None",Raw_Claims_Data!I114)</f>
        <v>Other</v>
      </c>
      <c r="J115" t="str">
        <f>Raw_Claims_Data!J114</f>
        <v>Washington</v>
      </c>
      <c r="K115" t="str">
        <f>Raw_Claims_Data!K114</f>
        <v>DC</v>
      </c>
      <c r="L115">
        <f>Raw_Claims_Data!L114</f>
        <v>5</v>
      </c>
      <c r="M115" t="str">
        <f>IF(Raw_Claims_Data!M114="","N/A",Raw_Claims_Data!M114)</f>
        <v>VNDR00170</v>
      </c>
      <c r="N115" t="str">
        <f>Raw_Claims_Data!N114</f>
        <v>AGENT01181</v>
      </c>
      <c r="O115">
        <f>IF(Raw_Claims_Data!G114="D",1,0)</f>
        <v>0</v>
      </c>
    </row>
    <row r="116" spans="1:15" x14ac:dyDescent="0.35">
      <c r="A116" t="str">
        <f>Raw_Claims_Data!A115</f>
        <v>TXN00000112</v>
      </c>
      <c r="B116" t="str">
        <f>TRIM(Raw_Claims_Data!B115)</f>
        <v>Ida Nam</v>
      </c>
      <c r="C116" t="str">
        <f>Raw_Claims_Data!C115</f>
        <v>Motor</v>
      </c>
      <c r="D116">
        <f>Raw_Claims_Data!D115</f>
        <v>134.55000000000001</v>
      </c>
      <c r="E116">
        <f>Raw_Claims_Data!E115</f>
        <v>6000</v>
      </c>
      <c r="F116" t="str">
        <f>Raw_Claims_Data!F115</f>
        <v>GA</v>
      </c>
      <c r="G116" t="str">
        <f>Raw_Claims_Data!G115</f>
        <v>A</v>
      </c>
      <c r="H116" t="str">
        <f>Raw_Claims_Data!H115</f>
        <v>Major Loss</v>
      </c>
      <c r="I116" t="str">
        <f>IF(Raw_Claims_Data!I115="","None",Raw_Claims_Data!I115)</f>
        <v>Ambulance</v>
      </c>
      <c r="J116" t="str">
        <f>Raw_Claims_Data!J115</f>
        <v>Anchorage</v>
      </c>
      <c r="K116" t="str">
        <f>Raw_Claims_Data!K115</f>
        <v>AK</v>
      </c>
      <c r="L116">
        <f>Raw_Claims_Data!L115</f>
        <v>0</v>
      </c>
      <c r="M116" t="str">
        <f>IF(Raw_Claims_Data!M115="","N/A",Raw_Claims_Data!M115)</f>
        <v>VNDR00423</v>
      </c>
      <c r="N116" t="str">
        <f>Raw_Claims_Data!N115</f>
        <v>AGENT00028</v>
      </c>
      <c r="O116">
        <f>IF(Raw_Claims_Data!G115="D",1,0)</f>
        <v>0</v>
      </c>
    </row>
    <row r="117" spans="1:15" x14ac:dyDescent="0.35">
      <c r="A117" t="str">
        <f>Raw_Claims_Data!A116</f>
        <v>TXN00000113</v>
      </c>
      <c r="B117" t="str">
        <f>TRIM(Raw_Claims_Data!B116)</f>
        <v>Sarah Toms</v>
      </c>
      <c r="C117" t="str">
        <f>Raw_Claims_Data!C116</f>
        <v>Motor</v>
      </c>
      <c r="D117">
        <f>Raw_Claims_Data!D116</f>
        <v>107.72</v>
      </c>
      <c r="E117">
        <f>Raw_Claims_Data!E116</f>
        <v>3000</v>
      </c>
      <c r="F117" t="str">
        <f>Raw_Claims_Data!F116</f>
        <v>CT</v>
      </c>
      <c r="G117" t="str">
        <f>Raw_Claims_Data!G116</f>
        <v>A</v>
      </c>
      <c r="H117" t="str">
        <f>Raw_Claims_Data!H116</f>
        <v>Total Loss</v>
      </c>
      <c r="I117" t="str">
        <f>IF(Raw_Claims_Data!I116="","None",Raw_Claims_Data!I116)</f>
        <v>Police</v>
      </c>
      <c r="J117" t="str">
        <f>Raw_Claims_Data!J116</f>
        <v>Midwest City</v>
      </c>
      <c r="K117" t="str">
        <f>Raw_Claims_Data!K116</f>
        <v>OK</v>
      </c>
      <c r="L117">
        <f>Raw_Claims_Data!L116</f>
        <v>12</v>
      </c>
      <c r="M117" t="str">
        <f>IF(Raw_Claims_Data!M116="","N/A",Raw_Claims_Data!M116)</f>
        <v>N/A</v>
      </c>
      <c r="N117" t="str">
        <f>Raw_Claims_Data!N116</f>
        <v>AGENT00383</v>
      </c>
      <c r="O117">
        <f>IF(Raw_Claims_Data!G116="D",1,0)</f>
        <v>0</v>
      </c>
    </row>
    <row r="118" spans="1:15" x14ac:dyDescent="0.35">
      <c r="A118" t="str">
        <f>Raw_Claims_Data!A117</f>
        <v>TXN00000114</v>
      </c>
      <c r="B118" t="str">
        <f>TRIM(Raw_Claims_Data!B117)</f>
        <v>Jorge Anderson</v>
      </c>
      <c r="C118" t="str">
        <f>Raw_Claims_Data!C117</f>
        <v>Health</v>
      </c>
      <c r="D118">
        <f>Raw_Claims_Data!D117</f>
        <v>189.17</v>
      </c>
      <c r="E118">
        <f>Raw_Claims_Data!E117</f>
        <v>10000</v>
      </c>
      <c r="F118" t="str">
        <f>Raw_Claims_Data!F117</f>
        <v>KY</v>
      </c>
      <c r="G118" t="str">
        <f>Raw_Claims_Data!G117</f>
        <v>D</v>
      </c>
      <c r="H118" t="str">
        <f>Raw_Claims_Data!H117</f>
        <v>Total Loss</v>
      </c>
      <c r="I118" t="str">
        <f>IF(Raw_Claims_Data!I117="","None",Raw_Claims_Data!I117)</f>
        <v>Police</v>
      </c>
      <c r="J118" t="str">
        <f>Raw_Claims_Data!J117</f>
        <v>Arvada</v>
      </c>
      <c r="K118" t="str">
        <f>Raw_Claims_Data!K117</f>
        <v>CO</v>
      </c>
      <c r="L118">
        <f>Raw_Claims_Data!L117</f>
        <v>17</v>
      </c>
      <c r="M118" t="str">
        <f>IF(Raw_Claims_Data!M117="","N/A",Raw_Claims_Data!M117)</f>
        <v>N/A</v>
      </c>
      <c r="N118" t="str">
        <f>Raw_Claims_Data!N117</f>
        <v>AGENT00438</v>
      </c>
      <c r="O118">
        <f>IF(Raw_Claims_Data!G117="D",1,0)</f>
        <v>1</v>
      </c>
    </row>
    <row r="119" spans="1:15" x14ac:dyDescent="0.35">
      <c r="A119" t="str">
        <f>Raw_Claims_Data!A118</f>
        <v>TXN00000115</v>
      </c>
      <c r="B119" t="str">
        <f>TRIM(Raw_Claims_Data!B118)</f>
        <v>Jorge Silva</v>
      </c>
      <c r="C119" t="str">
        <f>Raw_Claims_Data!C118</f>
        <v>Travel</v>
      </c>
      <c r="D119">
        <f>Raw_Claims_Data!D118</f>
        <v>61.14</v>
      </c>
      <c r="E119">
        <f>Raw_Claims_Data!E118</f>
        <v>3000</v>
      </c>
      <c r="F119" t="str">
        <f>Raw_Claims_Data!F118</f>
        <v>TN</v>
      </c>
      <c r="G119" t="str">
        <f>Raw_Claims_Data!G118</f>
        <v>A</v>
      </c>
      <c r="H119" t="str">
        <f>Raw_Claims_Data!H118</f>
        <v>Major Loss</v>
      </c>
      <c r="I119" t="str">
        <f>IF(Raw_Claims_Data!I118="","None",Raw_Claims_Data!I118)</f>
        <v>Ambulance</v>
      </c>
      <c r="J119" t="str">
        <f>Raw_Claims_Data!J118</f>
        <v>Manchester</v>
      </c>
      <c r="K119" t="str">
        <f>Raw_Claims_Data!K118</f>
        <v>CT</v>
      </c>
      <c r="L119">
        <f>Raw_Claims_Data!L118</f>
        <v>8</v>
      </c>
      <c r="M119" t="str">
        <f>IF(Raw_Claims_Data!M118="","N/A",Raw_Claims_Data!M118)</f>
        <v>N/A</v>
      </c>
      <c r="N119" t="str">
        <f>Raw_Claims_Data!N118</f>
        <v>AGENT00969</v>
      </c>
      <c r="O119">
        <f>IF(Raw_Claims_Data!G118="D",1,0)</f>
        <v>0</v>
      </c>
    </row>
    <row r="120" spans="1:15" x14ac:dyDescent="0.35">
      <c r="A120" t="str">
        <f>Raw_Claims_Data!A119</f>
        <v>TXN00000116</v>
      </c>
      <c r="B120" t="str">
        <f>TRIM(Raw_Claims_Data!B119)</f>
        <v>Andrea Silver</v>
      </c>
      <c r="C120" t="str">
        <f>Raw_Claims_Data!C119</f>
        <v>Mobile</v>
      </c>
      <c r="D120">
        <f>Raw_Claims_Data!D119</f>
        <v>8.41</v>
      </c>
      <c r="E120">
        <f>Raw_Claims_Data!E119</f>
        <v>100</v>
      </c>
      <c r="F120" t="str">
        <f>Raw_Claims_Data!F119</f>
        <v>CT</v>
      </c>
      <c r="G120" t="str">
        <f>Raw_Claims_Data!G119</f>
        <v>A</v>
      </c>
      <c r="H120" t="str">
        <f>Raw_Claims_Data!H119</f>
        <v>Major Loss</v>
      </c>
      <c r="I120" t="str">
        <f>IF(Raw_Claims_Data!I119="","None",Raw_Claims_Data!I119)</f>
        <v>Ambulance</v>
      </c>
      <c r="J120" t="str">
        <f>Raw_Claims_Data!J119</f>
        <v>Colchester</v>
      </c>
      <c r="K120" t="str">
        <f>Raw_Claims_Data!K119</f>
        <v>VT</v>
      </c>
      <c r="L120">
        <f>Raw_Claims_Data!L119</f>
        <v>20</v>
      </c>
      <c r="M120" t="str">
        <f>IF(Raw_Claims_Data!M119="","N/A",Raw_Claims_Data!M119)</f>
        <v>VNDR00375</v>
      </c>
      <c r="N120" t="str">
        <f>Raw_Claims_Data!N119</f>
        <v>AGENT00694</v>
      </c>
      <c r="O120">
        <f>IF(Raw_Claims_Data!G119="D",1,0)</f>
        <v>0</v>
      </c>
    </row>
    <row r="121" spans="1:15" x14ac:dyDescent="0.35">
      <c r="A121" t="str">
        <f>Raw_Claims_Data!A120</f>
        <v>TXN00000117</v>
      </c>
      <c r="B121" t="str">
        <f>TRIM(Raw_Claims_Data!B120)</f>
        <v>Jacinta Suiter</v>
      </c>
      <c r="C121" t="str">
        <f>Raw_Claims_Data!C120</f>
        <v>Life</v>
      </c>
      <c r="D121">
        <f>Raw_Claims_Data!D120</f>
        <v>82.01</v>
      </c>
      <c r="E121">
        <f>Raw_Claims_Data!E120</f>
        <v>100000</v>
      </c>
      <c r="F121" t="str">
        <f>Raw_Claims_Data!F120</f>
        <v>CA</v>
      </c>
      <c r="G121" t="str">
        <f>Raw_Claims_Data!G120</f>
        <v>A</v>
      </c>
      <c r="H121" t="str">
        <f>Raw_Claims_Data!H120</f>
        <v>Total Loss</v>
      </c>
      <c r="I121" t="str">
        <f>IF(Raw_Claims_Data!I120="","None",Raw_Claims_Data!I120)</f>
        <v>Ambulance</v>
      </c>
      <c r="J121" t="str">
        <f>Raw_Claims_Data!J120</f>
        <v>Fayetteville</v>
      </c>
      <c r="K121" t="str">
        <f>Raw_Claims_Data!K120</f>
        <v>AR</v>
      </c>
      <c r="L121">
        <f>Raw_Claims_Data!L120</f>
        <v>23</v>
      </c>
      <c r="M121" t="str">
        <f>IF(Raw_Claims_Data!M120="","N/A",Raw_Claims_Data!M120)</f>
        <v>VNDR00117</v>
      </c>
      <c r="N121" t="str">
        <f>Raw_Claims_Data!N120</f>
        <v>AGENT01193</v>
      </c>
      <c r="O121">
        <f>IF(Raw_Claims_Data!G120="D",1,0)</f>
        <v>0</v>
      </c>
    </row>
    <row r="122" spans="1:15" x14ac:dyDescent="0.35">
      <c r="A122" t="str">
        <f>Raw_Claims_Data!A121</f>
        <v>TXN00000118</v>
      </c>
      <c r="B122" t="str">
        <f>TRIM(Raw_Claims_Data!B121)</f>
        <v>Mary Hartman</v>
      </c>
      <c r="C122" t="str">
        <f>Raw_Claims_Data!C121</f>
        <v>Property</v>
      </c>
      <c r="D122">
        <f>Raw_Claims_Data!D121</f>
        <v>116.87</v>
      </c>
      <c r="E122">
        <f>Raw_Claims_Data!E121</f>
        <v>21000</v>
      </c>
      <c r="F122" t="str">
        <f>Raw_Claims_Data!F121</f>
        <v>VT</v>
      </c>
      <c r="G122" t="str">
        <f>Raw_Claims_Data!G121</f>
        <v>A</v>
      </c>
      <c r="H122" t="str">
        <f>Raw_Claims_Data!H121</f>
        <v>Major Loss</v>
      </c>
      <c r="I122" t="str">
        <f>IF(Raw_Claims_Data!I121="","None",Raw_Claims_Data!I121)</f>
        <v>Police</v>
      </c>
      <c r="J122" t="str">
        <f>Raw_Claims_Data!J121</f>
        <v>Manchester</v>
      </c>
      <c r="K122" t="str">
        <f>Raw_Claims_Data!K121</f>
        <v>CT</v>
      </c>
      <c r="L122">
        <f>Raw_Claims_Data!L121</f>
        <v>5</v>
      </c>
      <c r="M122" t="str">
        <f>IF(Raw_Claims_Data!M121="","N/A",Raw_Claims_Data!M121)</f>
        <v>N/A</v>
      </c>
      <c r="N122" t="str">
        <f>Raw_Claims_Data!N121</f>
        <v>AGENT00353</v>
      </c>
      <c r="O122">
        <f>IF(Raw_Claims_Data!G121="D",1,0)</f>
        <v>0</v>
      </c>
    </row>
    <row r="123" spans="1:15" x14ac:dyDescent="0.35">
      <c r="A123" t="str">
        <f>Raw_Claims_Data!A122</f>
        <v>TXN00000119</v>
      </c>
      <c r="B123" t="str">
        <f>TRIM(Raw_Claims_Data!B122)</f>
        <v>Nan Mottet</v>
      </c>
      <c r="C123" t="str">
        <f>Raw_Claims_Data!C122</f>
        <v>Mobile</v>
      </c>
      <c r="D123">
        <f>Raw_Claims_Data!D122</f>
        <v>6.19</v>
      </c>
      <c r="E123">
        <f>Raw_Claims_Data!E122</f>
        <v>700</v>
      </c>
      <c r="F123" t="str">
        <f>Raw_Claims_Data!F122</f>
        <v>CA</v>
      </c>
      <c r="G123" t="str">
        <f>Raw_Claims_Data!G122</f>
        <v>A</v>
      </c>
      <c r="H123" t="str">
        <f>Raw_Claims_Data!H122</f>
        <v>Minor Loss</v>
      </c>
      <c r="I123" t="str">
        <f>IF(Raw_Claims_Data!I122="","None",Raw_Claims_Data!I122)</f>
        <v>Ambulance</v>
      </c>
      <c r="J123" t="str">
        <f>Raw_Claims_Data!J122</f>
        <v>Glen Burnie</v>
      </c>
      <c r="K123" t="str">
        <f>Raw_Claims_Data!K122</f>
        <v>MD</v>
      </c>
      <c r="L123">
        <f>Raw_Claims_Data!L122</f>
        <v>7</v>
      </c>
      <c r="M123" t="str">
        <f>IF(Raw_Claims_Data!M122="","N/A",Raw_Claims_Data!M122)</f>
        <v>N/A</v>
      </c>
      <c r="N123" t="str">
        <f>Raw_Claims_Data!N122</f>
        <v>AGENT00382</v>
      </c>
      <c r="O123">
        <f>IF(Raw_Claims_Data!G122="D",1,0)</f>
        <v>0</v>
      </c>
    </row>
    <row r="124" spans="1:15" x14ac:dyDescent="0.35">
      <c r="A124" t="str">
        <f>Raw_Claims_Data!A123</f>
        <v>TXN00000120</v>
      </c>
      <c r="B124" t="str">
        <f>TRIM(Raw_Claims_Data!B123)</f>
        <v>Vivian Wallace</v>
      </c>
      <c r="C124" t="str">
        <f>Raw_Claims_Data!C123</f>
        <v>Travel</v>
      </c>
      <c r="D124">
        <f>Raw_Claims_Data!D123</f>
        <v>95.96</v>
      </c>
      <c r="E124">
        <f>Raw_Claims_Data!E123</f>
        <v>4000</v>
      </c>
      <c r="F124" t="str">
        <f>Raw_Claims_Data!F123</f>
        <v>CO</v>
      </c>
      <c r="G124" t="str">
        <f>Raw_Claims_Data!G123</f>
        <v>A</v>
      </c>
      <c r="H124" t="str">
        <f>Raw_Claims_Data!H123</f>
        <v>Minor Loss</v>
      </c>
      <c r="I124" t="str">
        <f>IF(Raw_Claims_Data!I123="","None",Raw_Claims_Data!I123)</f>
        <v>Other</v>
      </c>
      <c r="J124" t="str">
        <f>Raw_Claims_Data!J123</f>
        <v>Pooler</v>
      </c>
      <c r="K124" t="str">
        <f>Raw_Claims_Data!K123</f>
        <v>GA</v>
      </c>
      <c r="L124">
        <f>Raw_Claims_Data!L123</f>
        <v>18</v>
      </c>
      <c r="M124" t="str">
        <f>IF(Raw_Claims_Data!M123="","N/A",Raw_Claims_Data!M123)</f>
        <v>VNDR00313</v>
      </c>
      <c r="N124" t="str">
        <f>Raw_Claims_Data!N123</f>
        <v>AGENT00391</v>
      </c>
      <c r="O124">
        <f>IF(Raw_Claims_Data!G123="D",1,0)</f>
        <v>0</v>
      </c>
    </row>
    <row r="125" spans="1:15" x14ac:dyDescent="0.35">
      <c r="A125" t="str">
        <f>Raw_Claims_Data!A124</f>
        <v>TXN00000121</v>
      </c>
      <c r="B125" t="str">
        <f>TRIM(Raw_Claims_Data!B124)</f>
        <v>Jonathan Hurley</v>
      </c>
      <c r="C125" t="str">
        <f>Raw_Claims_Data!C124</f>
        <v>Life</v>
      </c>
      <c r="D125">
        <f>Raw_Claims_Data!D124</f>
        <v>56.22</v>
      </c>
      <c r="E125">
        <f>Raw_Claims_Data!E124</f>
        <v>97000</v>
      </c>
      <c r="F125" t="str">
        <f>Raw_Claims_Data!F124</f>
        <v>OK</v>
      </c>
      <c r="G125" t="str">
        <f>Raw_Claims_Data!G124</f>
        <v>D</v>
      </c>
      <c r="H125" t="str">
        <f>Raw_Claims_Data!H124</f>
        <v>Major Loss</v>
      </c>
      <c r="I125" t="str">
        <f>IF(Raw_Claims_Data!I124="","None",Raw_Claims_Data!I124)</f>
        <v>Police</v>
      </c>
      <c r="J125" t="str">
        <f>Raw_Claims_Data!J124</f>
        <v>Panama City</v>
      </c>
      <c r="K125" t="str">
        <f>Raw_Claims_Data!K124</f>
        <v>FL</v>
      </c>
      <c r="L125">
        <f>Raw_Claims_Data!L124</f>
        <v>12</v>
      </c>
      <c r="M125" t="str">
        <f>IF(Raw_Claims_Data!M124="","N/A",Raw_Claims_Data!M124)</f>
        <v>VNDR00256</v>
      </c>
      <c r="N125" t="str">
        <f>Raw_Claims_Data!N124</f>
        <v>AGENT00861</v>
      </c>
      <c r="O125">
        <f>IF(Raw_Claims_Data!G124="D",1,0)</f>
        <v>1</v>
      </c>
    </row>
    <row r="126" spans="1:15" x14ac:dyDescent="0.35">
      <c r="A126" t="str">
        <f>Raw_Claims_Data!A125</f>
        <v>TXN00000122</v>
      </c>
      <c r="B126" t="str">
        <f>TRIM(Raw_Claims_Data!B125)</f>
        <v>Victoria Learn</v>
      </c>
      <c r="C126" t="str">
        <f>Raw_Claims_Data!C125</f>
        <v>Mobile</v>
      </c>
      <c r="D126">
        <f>Raw_Claims_Data!D125</f>
        <v>10.220000000000001</v>
      </c>
      <c r="E126">
        <f>Raw_Claims_Data!E125</f>
        <v>700</v>
      </c>
      <c r="F126" t="str">
        <f>Raw_Claims_Data!F125</f>
        <v>CO</v>
      </c>
      <c r="G126" t="str">
        <f>Raw_Claims_Data!G125</f>
        <v>A</v>
      </c>
      <c r="H126" t="str">
        <f>Raw_Claims_Data!H125</f>
        <v>Major Loss</v>
      </c>
      <c r="I126" t="str">
        <f>IF(Raw_Claims_Data!I125="","None",Raw_Claims_Data!I125)</f>
        <v>Police</v>
      </c>
      <c r="J126" t="str">
        <f>Raw_Claims_Data!J125</f>
        <v>Sacramento</v>
      </c>
      <c r="K126" t="str">
        <f>Raw_Claims_Data!K125</f>
        <v>CA</v>
      </c>
      <c r="L126">
        <f>Raw_Claims_Data!L125</f>
        <v>14</v>
      </c>
      <c r="M126" t="str">
        <f>IF(Raw_Claims_Data!M125="","N/A",Raw_Claims_Data!M125)</f>
        <v>N/A</v>
      </c>
      <c r="N126" t="str">
        <f>Raw_Claims_Data!N125</f>
        <v>AGENT00476</v>
      </c>
      <c r="O126">
        <f>IF(Raw_Claims_Data!G125="D",1,0)</f>
        <v>0</v>
      </c>
    </row>
    <row r="127" spans="1:15" x14ac:dyDescent="0.35">
      <c r="A127" t="str">
        <f>Raw_Claims_Data!A126</f>
        <v>TXN00000123</v>
      </c>
      <c r="B127" t="str">
        <f>TRIM(Raw_Claims_Data!B126)</f>
        <v>Michael Macklin</v>
      </c>
      <c r="C127" t="str">
        <f>Raw_Claims_Data!C126</f>
        <v>Property</v>
      </c>
      <c r="D127">
        <f>Raw_Claims_Data!D126</f>
        <v>139.5</v>
      </c>
      <c r="E127">
        <f>Raw_Claims_Data!E126</f>
        <v>15000</v>
      </c>
      <c r="F127" t="str">
        <f>Raw_Claims_Data!F126</f>
        <v>AK</v>
      </c>
      <c r="G127" t="str">
        <f>Raw_Claims_Data!G126</f>
        <v>D</v>
      </c>
      <c r="H127" t="str">
        <f>Raw_Claims_Data!H126</f>
        <v>Minor Loss</v>
      </c>
      <c r="I127" t="str">
        <f>IF(Raw_Claims_Data!I126="","None",Raw_Claims_Data!I126)</f>
        <v>Ambulance</v>
      </c>
      <c r="J127" t="str">
        <f>Raw_Claims_Data!J126</f>
        <v>Arvada</v>
      </c>
      <c r="K127" t="str">
        <f>Raw_Claims_Data!K126</f>
        <v>CO</v>
      </c>
      <c r="L127">
        <f>Raw_Claims_Data!L126</f>
        <v>18</v>
      </c>
      <c r="M127" t="str">
        <f>IF(Raw_Claims_Data!M126="","N/A",Raw_Claims_Data!M126)</f>
        <v>N/A</v>
      </c>
      <c r="N127" t="str">
        <f>Raw_Claims_Data!N126</f>
        <v>AGENT01038</v>
      </c>
      <c r="O127">
        <f>IF(Raw_Claims_Data!G126="D",1,0)</f>
        <v>1</v>
      </c>
    </row>
    <row r="128" spans="1:15" x14ac:dyDescent="0.35">
      <c r="A128" t="str">
        <f>Raw_Claims_Data!A127</f>
        <v>TXN00000124</v>
      </c>
      <c r="B128" t="str">
        <f>TRIM(Raw_Claims_Data!B127)</f>
        <v>Joe Capps</v>
      </c>
      <c r="C128" t="str">
        <f>Raw_Claims_Data!C127</f>
        <v>Travel</v>
      </c>
      <c r="D128">
        <f>Raw_Claims_Data!D127</f>
        <v>59.16</v>
      </c>
      <c r="E128">
        <f>Raw_Claims_Data!E127</f>
        <v>4000</v>
      </c>
      <c r="F128" t="str">
        <f>Raw_Claims_Data!F127</f>
        <v>DC</v>
      </c>
      <c r="G128" t="str">
        <f>Raw_Claims_Data!G127</f>
        <v>A</v>
      </c>
      <c r="H128" t="str">
        <f>Raw_Claims_Data!H127</f>
        <v>Major Loss</v>
      </c>
      <c r="I128" t="str">
        <f>IF(Raw_Claims_Data!I127="","None",Raw_Claims_Data!I127)</f>
        <v>Police</v>
      </c>
      <c r="J128" t="str">
        <f>Raw_Claims_Data!J127</f>
        <v>Savannah</v>
      </c>
      <c r="K128" t="str">
        <f>Raw_Claims_Data!K127</f>
        <v>GA</v>
      </c>
      <c r="L128">
        <f>Raw_Claims_Data!L127</f>
        <v>13</v>
      </c>
      <c r="M128" t="str">
        <f>IF(Raw_Claims_Data!M127="","N/A",Raw_Claims_Data!M127)</f>
        <v>VNDR00293</v>
      </c>
      <c r="N128" t="str">
        <f>Raw_Claims_Data!N127</f>
        <v>AGENT00280</v>
      </c>
      <c r="O128">
        <f>IF(Raw_Claims_Data!G127="D",1,0)</f>
        <v>0</v>
      </c>
    </row>
    <row r="129" spans="1:15" x14ac:dyDescent="0.35">
      <c r="A129" t="str">
        <f>Raw_Claims_Data!A128</f>
        <v>TXN00000125</v>
      </c>
      <c r="B129" t="str">
        <f>TRIM(Raw_Claims_Data!B128)</f>
        <v>Francine Scott</v>
      </c>
      <c r="C129" t="str">
        <f>Raw_Claims_Data!C128</f>
        <v>Life</v>
      </c>
      <c r="D129">
        <f>Raw_Claims_Data!D128</f>
        <v>74.25</v>
      </c>
      <c r="E129">
        <f>Raw_Claims_Data!E128</f>
        <v>86000</v>
      </c>
      <c r="F129" t="str">
        <f>Raw_Claims_Data!F128</f>
        <v>MA</v>
      </c>
      <c r="G129" t="str">
        <f>Raw_Claims_Data!G128</f>
        <v>A</v>
      </c>
      <c r="H129" t="str">
        <f>Raw_Claims_Data!H128</f>
        <v>Minor Loss</v>
      </c>
      <c r="I129" t="str">
        <f>IF(Raw_Claims_Data!I128="","None",Raw_Claims_Data!I128)</f>
        <v>None</v>
      </c>
      <c r="J129" t="str">
        <f>Raw_Claims_Data!J128</f>
        <v>Berkeley</v>
      </c>
      <c r="K129" t="str">
        <f>Raw_Claims_Data!K128</f>
        <v>CA</v>
      </c>
      <c r="L129">
        <f>Raw_Claims_Data!L128</f>
        <v>17</v>
      </c>
      <c r="M129" t="str">
        <f>IF(Raw_Claims_Data!M128="","N/A",Raw_Claims_Data!M128)</f>
        <v>VNDR00591</v>
      </c>
      <c r="N129" t="str">
        <f>Raw_Claims_Data!N128</f>
        <v>AGENT00280</v>
      </c>
      <c r="O129">
        <f>IF(Raw_Claims_Data!G128="D",1,0)</f>
        <v>0</v>
      </c>
    </row>
    <row r="130" spans="1:15" x14ac:dyDescent="0.35">
      <c r="A130" t="str">
        <f>Raw_Claims_Data!A129</f>
        <v>TXN00000126</v>
      </c>
      <c r="B130" t="str">
        <f>TRIM(Raw_Claims_Data!B129)</f>
        <v>Brian Morison</v>
      </c>
      <c r="C130" t="str">
        <f>Raw_Claims_Data!C129</f>
        <v>Life</v>
      </c>
      <c r="D130">
        <f>Raw_Claims_Data!D129</f>
        <v>51.12</v>
      </c>
      <c r="E130">
        <f>Raw_Claims_Data!E129</f>
        <v>36000</v>
      </c>
      <c r="F130" t="str">
        <f>Raw_Claims_Data!F129</f>
        <v>KY</v>
      </c>
      <c r="G130" t="str">
        <f>Raw_Claims_Data!G129</f>
        <v>A</v>
      </c>
      <c r="H130" t="str">
        <f>Raw_Claims_Data!H129</f>
        <v>Total Loss</v>
      </c>
      <c r="I130" t="str">
        <f>IF(Raw_Claims_Data!I129="","None",Raw_Claims_Data!I129)</f>
        <v>None</v>
      </c>
      <c r="J130" t="str">
        <f>Raw_Claims_Data!J129</f>
        <v>Midwest City</v>
      </c>
      <c r="K130" t="str">
        <f>Raw_Claims_Data!K129</f>
        <v>OK</v>
      </c>
      <c r="L130">
        <f>Raw_Claims_Data!L129</f>
        <v>5</v>
      </c>
      <c r="M130" t="str">
        <f>IF(Raw_Claims_Data!M129="","N/A",Raw_Claims_Data!M129)</f>
        <v>VNDR00519</v>
      </c>
      <c r="N130" t="str">
        <f>Raw_Claims_Data!N129</f>
        <v>AGENT01006</v>
      </c>
      <c r="O130">
        <f>IF(Raw_Claims_Data!G129="D",1,0)</f>
        <v>0</v>
      </c>
    </row>
    <row r="131" spans="1:15" x14ac:dyDescent="0.35">
      <c r="A131" t="str">
        <f>Raw_Claims_Data!A130</f>
        <v>TXN00000127</v>
      </c>
      <c r="B131" t="str">
        <f>TRIM(Raw_Claims_Data!B130)</f>
        <v>Steve Painter</v>
      </c>
      <c r="C131" t="str">
        <f>Raw_Claims_Data!C130</f>
        <v>Life</v>
      </c>
      <c r="D131">
        <f>Raw_Claims_Data!D130</f>
        <v>52.71</v>
      </c>
      <c r="E131">
        <f>Raw_Claims_Data!E130</f>
        <v>43000</v>
      </c>
      <c r="F131" t="str">
        <f>Raw_Claims_Data!F130</f>
        <v>AL</v>
      </c>
      <c r="G131" t="str">
        <f>Raw_Claims_Data!G130</f>
        <v>A</v>
      </c>
      <c r="H131" t="str">
        <f>Raw_Claims_Data!H130</f>
        <v>Total Loss</v>
      </c>
      <c r="I131" t="str">
        <f>IF(Raw_Claims_Data!I130="","None",Raw_Claims_Data!I130)</f>
        <v>Police</v>
      </c>
      <c r="J131" t="str">
        <f>Raw_Claims_Data!J130</f>
        <v>Anchorage</v>
      </c>
      <c r="K131" t="str">
        <f>Raw_Claims_Data!K130</f>
        <v>AK</v>
      </c>
      <c r="L131">
        <f>Raw_Claims_Data!L130</f>
        <v>5</v>
      </c>
      <c r="M131" t="str">
        <f>IF(Raw_Claims_Data!M130="","N/A",Raw_Claims_Data!M130)</f>
        <v>VNDR00280</v>
      </c>
      <c r="N131" t="str">
        <f>Raw_Claims_Data!N130</f>
        <v>AGENT01114</v>
      </c>
      <c r="O131">
        <f>IF(Raw_Claims_Data!G130="D",1,0)</f>
        <v>0</v>
      </c>
    </row>
    <row r="132" spans="1:15" x14ac:dyDescent="0.35">
      <c r="A132" t="str">
        <f>Raw_Claims_Data!A131</f>
        <v>TXN00000128</v>
      </c>
      <c r="B132" t="str">
        <f>TRIM(Raw_Claims_Data!B131)</f>
        <v>John Tefft</v>
      </c>
      <c r="C132" t="str">
        <f>Raw_Claims_Data!C131</f>
        <v>Motor</v>
      </c>
      <c r="D132">
        <f>Raw_Claims_Data!D131</f>
        <v>111.08</v>
      </c>
      <c r="E132">
        <f>Raw_Claims_Data!E131</f>
        <v>5000</v>
      </c>
      <c r="F132" t="str">
        <f>Raw_Claims_Data!F131</f>
        <v>AZ</v>
      </c>
      <c r="G132" t="str">
        <f>Raw_Claims_Data!G131</f>
        <v>A</v>
      </c>
      <c r="H132" t="str">
        <f>Raw_Claims_Data!H131</f>
        <v>Minor Loss</v>
      </c>
      <c r="I132" t="str">
        <f>IF(Raw_Claims_Data!I131="","None",Raw_Claims_Data!I131)</f>
        <v>Other</v>
      </c>
      <c r="J132" t="str">
        <f>Raw_Claims_Data!J131</f>
        <v>Savannah</v>
      </c>
      <c r="K132" t="str">
        <f>Raw_Claims_Data!K131</f>
        <v>GA</v>
      </c>
      <c r="L132">
        <f>Raw_Claims_Data!L131</f>
        <v>23</v>
      </c>
      <c r="M132" t="str">
        <f>IF(Raw_Claims_Data!M131="","N/A",Raw_Claims_Data!M131)</f>
        <v>VNDR00183</v>
      </c>
      <c r="N132" t="str">
        <f>Raw_Claims_Data!N131</f>
        <v>AGENT00050</v>
      </c>
      <c r="O132">
        <f>IF(Raw_Claims_Data!G131="D",1,0)</f>
        <v>0</v>
      </c>
    </row>
    <row r="133" spans="1:15" x14ac:dyDescent="0.35">
      <c r="A133" t="str">
        <f>Raw_Claims_Data!A132</f>
        <v>TXN00000129</v>
      </c>
      <c r="B133" t="str">
        <f>TRIM(Raw_Claims_Data!B132)</f>
        <v>Laura Nelson</v>
      </c>
      <c r="C133" t="str">
        <f>Raw_Claims_Data!C132</f>
        <v>Property</v>
      </c>
      <c r="D133">
        <f>Raw_Claims_Data!D132</f>
        <v>120.86</v>
      </c>
      <c r="E133">
        <f>Raw_Claims_Data!E132</f>
        <v>39000</v>
      </c>
      <c r="F133" t="str">
        <f>Raw_Claims_Data!F132</f>
        <v>FL</v>
      </c>
      <c r="G133" t="str">
        <f>Raw_Claims_Data!G132</f>
        <v>A</v>
      </c>
      <c r="H133" t="str">
        <f>Raw_Claims_Data!H132</f>
        <v>Minor Loss</v>
      </c>
      <c r="I133" t="str">
        <f>IF(Raw_Claims_Data!I132="","None",Raw_Claims_Data!I132)</f>
        <v>None</v>
      </c>
      <c r="J133" t="str">
        <f>Raw_Claims_Data!J132</f>
        <v>Anchorage</v>
      </c>
      <c r="K133" t="str">
        <f>Raw_Claims_Data!K132</f>
        <v>AK</v>
      </c>
      <c r="L133">
        <f>Raw_Claims_Data!L132</f>
        <v>10</v>
      </c>
      <c r="M133" t="str">
        <f>IF(Raw_Claims_Data!M132="","N/A",Raw_Claims_Data!M132)</f>
        <v>VNDR00599</v>
      </c>
      <c r="N133" t="str">
        <f>Raw_Claims_Data!N132</f>
        <v>AGENT00226</v>
      </c>
      <c r="O133">
        <f>IF(Raw_Claims_Data!G132="D",1,0)</f>
        <v>0</v>
      </c>
    </row>
    <row r="134" spans="1:15" x14ac:dyDescent="0.35">
      <c r="A134" t="str">
        <f>Raw_Claims_Data!A133</f>
        <v>TXN00000130</v>
      </c>
      <c r="B134" t="str">
        <f>TRIM(Raw_Claims_Data!B133)</f>
        <v>Daniel Keiss</v>
      </c>
      <c r="C134" t="str">
        <f>Raw_Claims_Data!C133</f>
        <v>Life</v>
      </c>
      <c r="D134">
        <f>Raw_Claims_Data!D133</f>
        <v>53.86</v>
      </c>
      <c r="E134">
        <f>Raw_Claims_Data!E133</f>
        <v>92000</v>
      </c>
      <c r="F134" t="str">
        <f>Raw_Claims_Data!F133</f>
        <v>TN</v>
      </c>
      <c r="G134" t="str">
        <f>Raw_Claims_Data!G133</f>
        <v>A</v>
      </c>
      <c r="H134" t="str">
        <f>Raw_Claims_Data!H133</f>
        <v>Major Loss</v>
      </c>
      <c r="I134" t="str">
        <f>IF(Raw_Claims_Data!I133="","None",Raw_Claims_Data!I133)</f>
        <v>Police</v>
      </c>
      <c r="J134" t="str">
        <f>Raw_Claims_Data!J133</f>
        <v>Nashville</v>
      </c>
      <c r="K134" t="str">
        <f>Raw_Claims_Data!K133</f>
        <v>TN</v>
      </c>
      <c r="L134">
        <f>Raw_Claims_Data!L133</f>
        <v>18</v>
      </c>
      <c r="M134" t="str">
        <f>IF(Raw_Claims_Data!M133="","N/A",Raw_Claims_Data!M133)</f>
        <v>VNDR00517</v>
      </c>
      <c r="N134" t="str">
        <f>Raw_Claims_Data!N133</f>
        <v>AGENT00460</v>
      </c>
      <c r="O134">
        <f>IF(Raw_Claims_Data!G133="D",1,0)</f>
        <v>0</v>
      </c>
    </row>
    <row r="135" spans="1:15" x14ac:dyDescent="0.35">
      <c r="A135" t="str">
        <f>Raw_Claims_Data!A134</f>
        <v>TXN00000131</v>
      </c>
      <c r="B135" t="str">
        <f>TRIM(Raw_Claims_Data!B134)</f>
        <v>Everett Smudrick</v>
      </c>
      <c r="C135" t="str">
        <f>Raw_Claims_Data!C134</f>
        <v>Mobile</v>
      </c>
      <c r="D135">
        <f>Raw_Claims_Data!D134</f>
        <v>10.39</v>
      </c>
      <c r="E135">
        <f>Raw_Claims_Data!E134</f>
        <v>300</v>
      </c>
      <c r="F135" t="str">
        <f>Raw_Claims_Data!F134</f>
        <v>AZ</v>
      </c>
      <c r="G135" t="str">
        <f>Raw_Claims_Data!G134</f>
        <v>A</v>
      </c>
      <c r="H135" t="str">
        <f>Raw_Claims_Data!H134</f>
        <v>Total Loss</v>
      </c>
      <c r="I135" t="str">
        <f>IF(Raw_Claims_Data!I134="","None",Raw_Claims_Data!I134)</f>
        <v>None</v>
      </c>
      <c r="J135" t="str">
        <f>Raw_Claims_Data!J134</f>
        <v>Manchester</v>
      </c>
      <c r="K135" t="str">
        <f>Raw_Claims_Data!K134</f>
        <v>CT</v>
      </c>
      <c r="L135">
        <f>Raw_Claims_Data!L134</f>
        <v>18</v>
      </c>
      <c r="M135" t="str">
        <f>IF(Raw_Claims_Data!M134="","N/A",Raw_Claims_Data!M134)</f>
        <v>N/A</v>
      </c>
      <c r="N135" t="str">
        <f>Raw_Claims_Data!N134</f>
        <v>AGENT01109</v>
      </c>
      <c r="O135">
        <f>IF(Raw_Claims_Data!G134="D",1,0)</f>
        <v>0</v>
      </c>
    </row>
    <row r="136" spans="1:15" x14ac:dyDescent="0.35">
      <c r="A136" t="str">
        <f>Raw_Claims_Data!A135</f>
        <v>TXN00000132</v>
      </c>
      <c r="B136" t="str">
        <f>TRIM(Raw_Claims_Data!B135)</f>
        <v>Jane Bell</v>
      </c>
      <c r="C136" t="str">
        <f>Raw_Claims_Data!C135</f>
        <v>Motor</v>
      </c>
      <c r="D136">
        <f>Raw_Claims_Data!D135</f>
        <v>91.56</v>
      </c>
      <c r="E136">
        <f>Raw_Claims_Data!E135</f>
        <v>5000</v>
      </c>
      <c r="F136" t="str">
        <f>Raw_Claims_Data!F135</f>
        <v>CO</v>
      </c>
      <c r="G136" t="str">
        <f>Raw_Claims_Data!G135</f>
        <v>A</v>
      </c>
      <c r="H136" t="str">
        <f>Raw_Claims_Data!H135</f>
        <v>Minor Loss</v>
      </c>
      <c r="I136" t="str">
        <f>IF(Raw_Claims_Data!I135="","None",Raw_Claims_Data!I135)</f>
        <v>None</v>
      </c>
      <c r="J136" t="str">
        <f>Raw_Claims_Data!J135</f>
        <v>Panama City</v>
      </c>
      <c r="K136" t="str">
        <f>Raw_Claims_Data!K135</f>
        <v>FL</v>
      </c>
      <c r="L136">
        <f>Raw_Claims_Data!L135</f>
        <v>9</v>
      </c>
      <c r="M136" t="str">
        <f>IF(Raw_Claims_Data!M135="","N/A",Raw_Claims_Data!M135)</f>
        <v>N/A</v>
      </c>
      <c r="N136" t="str">
        <f>Raw_Claims_Data!N135</f>
        <v>AGENT00271</v>
      </c>
      <c r="O136">
        <f>IF(Raw_Claims_Data!G135="D",1,0)</f>
        <v>0</v>
      </c>
    </row>
    <row r="137" spans="1:15" x14ac:dyDescent="0.35">
      <c r="A137" t="str">
        <f>Raw_Claims_Data!A136</f>
        <v>TXN00000133</v>
      </c>
      <c r="B137" t="str">
        <f>TRIM(Raw_Claims_Data!B136)</f>
        <v>Orpha Mcclellan</v>
      </c>
      <c r="C137" t="str">
        <f>Raw_Claims_Data!C136</f>
        <v>Property</v>
      </c>
      <c r="D137">
        <f>Raw_Claims_Data!D136</f>
        <v>140.85</v>
      </c>
      <c r="E137">
        <f>Raw_Claims_Data!E136</f>
        <v>13000</v>
      </c>
      <c r="F137" t="str">
        <f>Raw_Claims_Data!F136</f>
        <v>AL</v>
      </c>
      <c r="G137" t="str">
        <f>Raw_Claims_Data!G136</f>
        <v>A</v>
      </c>
      <c r="H137" t="str">
        <f>Raw_Claims_Data!H136</f>
        <v>Total Loss</v>
      </c>
      <c r="I137" t="str">
        <f>IF(Raw_Claims_Data!I136="","None",Raw_Claims_Data!I136)</f>
        <v>Ambulance</v>
      </c>
      <c r="J137" t="str">
        <f>Raw_Claims_Data!J136</f>
        <v>Aspen</v>
      </c>
      <c r="K137" t="str">
        <f>Raw_Claims_Data!K136</f>
        <v>CO</v>
      </c>
      <c r="L137">
        <f>Raw_Claims_Data!L136</f>
        <v>8</v>
      </c>
      <c r="M137" t="str">
        <f>IF(Raw_Claims_Data!M136="","N/A",Raw_Claims_Data!M136)</f>
        <v>VNDR00348</v>
      </c>
      <c r="N137" t="str">
        <f>Raw_Claims_Data!N136</f>
        <v>AGENT01085</v>
      </c>
      <c r="O137">
        <f>IF(Raw_Claims_Data!G136="D",1,0)</f>
        <v>0</v>
      </c>
    </row>
    <row r="138" spans="1:15" x14ac:dyDescent="0.35">
      <c r="A138" t="str">
        <f>Raw_Claims_Data!A137</f>
        <v>TXN00000134</v>
      </c>
      <c r="B138" t="str">
        <f>TRIM(Raw_Claims_Data!B137)</f>
        <v>Ida Holder</v>
      </c>
      <c r="C138" t="str">
        <f>Raw_Claims_Data!C137</f>
        <v>Travel</v>
      </c>
      <c r="D138">
        <f>Raw_Claims_Data!D137</f>
        <v>64.31</v>
      </c>
      <c r="E138">
        <f>Raw_Claims_Data!E137</f>
        <v>4000</v>
      </c>
      <c r="F138" t="str">
        <f>Raw_Claims_Data!F137</f>
        <v>KY</v>
      </c>
      <c r="G138" t="str">
        <f>Raw_Claims_Data!G137</f>
        <v>A</v>
      </c>
      <c r="H138" t="str">
        <f>Raw_Claims_Data!H137</f>
        <v>Major Loss</v>
      </c>
      <c r="I138" t="str">
        <f>IF(Raw_Claims_Data!I137="","None",Raw_Claims_Data!I137)</f>
        <v>Other</v>
      </c>
      <c r="J138" t="str">
        <f>Raw_Claims_Data!J137</f>
        <v>Montevallo</v>
      </c>
      <c r="K138" t="str">
        <f>Raw_Claims_Data!K137</f>
        <v>AL</v>
      </c>
      <c r="L138">
        <f>Raw_Claims_Data!L137</f>
        <v>8</v>
      </c>
      <c r="M138" t="str">
        <f>IF(Raw_Claims_Data!M137="","N/A",Raw_Claims_Data!M137)</f>
        <v>N/A</v>
      </c>
      <c r="N138" t="str">
        <f>Raw_Claims_Data!N137</f>
        <v>AGENT01013</v>
      </c>
      <c r="O138">
        <f>IF(Raw_Claims_Data!G137="D",1,0)</f>
        <v>0</v>
      </c>
    </row>
    <row r="139" spans="1:15" x14ac:dyDescent="0.35">
      <c r="A139" t="str">
        <f>Raw_Claims_Data!A138</f>
        <v>TXN00000135</v>
      </c>
      <c r="B139" t="str">
        <f>TRIM(Raw_Claims_Data!B138)</f>
        <v>Charles Turman</v>
      </c>
      <c r="C139" t="str">
        <f>Raw_Claims_Data!C138</f>
        <v>Travel</v>
      </c>
      <c r="D139">
        <f>Raw_Claims_Data!D138</f>
        <v>68.83</v>
      </c>
      <c r="E139">
        <f>Raw_Claims_Data!E138</f>
        <v>5000</v>
      </c>
      <c r="F139" t="str">
        <f>Raw_Claims_Data!F138</f>
        <v>AR</v>
      </c>
      <c r="G139" t="str">
        <f>Raw_Claims_Data!G138</f>
        <v>A</v>
      </c>
      <c r="H139" t="str">
        <f>Raw_Claims_Data!H138</f>
        <v>Total Loss</v>
      </c>
      <c r="I139" t="str">
        <f>IF(Raw_Claims_Data!I138="","None",Raw_Claims_Data!I138)</f>
        <v>Ambulance</v>
      </c>
      <c r="J139" t="str">
        <f>Raw_Claims_Data!J138</f>
        <v>Colchester</v>
      </c>
      <c r="K139" t="str">
        <f>Raw_Claims_Data!K138</f>
        <v>VT</v>
      </c>
      <c r="L139">
        <f>Raw_Claims_Data!L138</f>
        <v>22</v>
      </c>
      <c r="M139" t="str">
        <f>IF(Raw_Claims_Data!M138="","N/A",Raw_Claims_Data!M138)</f>
        <v>N/A</v>
      </c>
      <c r="N139" t="str">
        <f>Raw_Claims_Data!N138</f>
        <v>AGENT00879</v>
      </c>
      <c r="O139">
        <f>IF(Raw_Claims_Data!G138="D",1,0)</f>
        <v>0</v>
      </c>
    </row>
    <row r="140" spans="1:15" x14ac:dyDescent="0.35">
      <c r="A140" t="str">
        <f>Raw_Claims_Data!A139</f>
        <v>TXN00000136</v>
      </c>
      <c r="B140" t="str">
        <f>TRIM(Raw_Claims_Data!B139)</f>
        <v>Tony Crawley</v>
      </c>
      <c r="C140" t="str">
        <f>Raw_Claims_Data!C139</f>
        <v>Travel</v>
      </c>
      <c r="D140">
        <f>Raw_Claims_Data!D139</f>
        <v>59.33</v>
      </c>
      <c r="E140">
        <f>Raw_Claims_Data!E139</f>
        <v>3000</v>
      </c>
      <c r="F140" t="str">
        <f>Raw_Claims_Data!F139</f>
        <v>AL</v>
      </c>
      <c r="G140" t="str">
        <f>Raw_Claims_Data!G139</f>
        <v>A</v>
      </c>
      <c r="H140" t="str">
        <f>Raw_Claims_Data!H139</f>
        <v>Total Loss</v>
      </c>
      <c r="I140" t="str">
        <f>IF(Raw_Claims_Data!I139="","None",Raw_Claims_Data!I139)</f>
        <v>Ambulance</v>
      </c>
      <c r="J140" t="str">
        <f>Raw_Claims_Data!J139</f>
        <v>Panama City Beach</v>
      </c>
      <c r="K140" t="str">
        <f>Raw_Claims_Data!K139</f>
        <v>FL</v>
      </c>
      <c r="L140">
        <f>Raw_Claims_Data!L139</f>
        <v>12</v>
      </c>
      <c r="M140" t="str">
        <f>IF(Raw_Claims_Data!M139="","N/A",Raw_Claims_Data!M139)</f>
        <v>VNDR00496</v>
      </c>
      <c r="N140" t="str">
        <f>Raw_Claims_Data!N139</f>
        <v>AGENT00088</v>
      </c>
      <c r="O140">
        <f>IF(Raw_Claims_Data!G139="D",1,0)</f>
        <v>0</v>
      </c>
    </row>
    <row r="141" spans="1:15" x14ac:dyDescent="0.35">
      <c r="A141" t="str">
        <f>Raw_Claims_Data!A140</f>
        <v>TXN00000137</v>
      </c>
      <c r="B141" t="str">
        <f>TRIM(Raw_Claims_Data!B140)</f>
        <v>William Baez</v>
      </c>
      <c r="C141" t="str">
        <f>Raw_Claims_Data!C140</f>
        <v>Motor</v>
      </c>
      <c r="D141">
        <f>Raw_Claims_Data!D140</f>
        <v>129.58000000000001</v>
      </c>
      <c r="E141">
        <f>Raw_Claims_Data!E140</f>
        <v>4000</v>
      </c>
      <c r="F141" t="str">
        <f>Raw_Claims_Data!F140</f>
        <v>AR</v>
      </c>
      <c r="G141" t="str">
        <f>Raw_Claims_Data!G140</f>
        <v>A</v>
      </c>
      <c r="H141" t="str">
        <f>Raw_Claims_Data!H140</f>
        <v>Minor Loss</v>
      </c>
      <c r="I141" t="str">
        <f>IF(Raw_Claims_Data!I140="","None",Raw_Claims_Data!I140)</f>
        <v>Police</v>
      </c>
      <c r="J141" t="str">
        <f>Raw_Claims_Data!J140</f>
        <v>Thetford</v>
      </c>
      <c r="K141" t="str">
        <f>Raw_Claims_Data!K140</f>
        <v>VT</v>
      </c>
      <c r="L141">
        <f>Raw_Claims_Data!L140</f>
        <v>5</v>
      </c>
      <c r="M141" t="str">
        <f>IF(Raw_Claims_Data!M140="","N/A",Raw_Claims_Data!M140)</f>
        <v>VNDR00423</v>
      </c>
      <c r="N141" t="str">
        <f>Raw_Claims_Data!N140</f>
        <v>AGENT01100</v>
      </c>
      <c r="O141">
        <f>IF(Raw_Claims_Data!G140="D",1,0)</f>
        <v>0</v>
      </c>
    </row>
    <row r="142" spans="1:15" x14ac:dyDescent="0.35">
      <c r="A142" t="str">
        <f>Raw_Claims_Data!A141</f>
        <v>TXN00000138</v>
      </c>
      <c r="B142" t="str">
        <f>TRIM(Raw_Claims_Data!B141)</f>
        <v>David Toney</v>
      </c>
      <c r="C142" t="str">
        <f>Raw_Claims_Data!C141</f>
        <v>Mobile</v>
      </c>
      <c r="D142">
        <f>Raw_Claims_Data!D141</f>
        <v>11.46</v>
      </c>
      <c r="E142">
        <f>Raw_Claims_Data!E141</f>
        <v>100</v>
      </c>
      <c r="F142" t="str">
        <f>Raw_Claims_Data!F141</f>
        <v>VT</v>
      </c>
      <c r="G142" t="str">
        <f>Raw_Claims_Data!G141</f>
        <v>A</v>
      </c>
      <c r="H142" t="str">
        <f>Raw_Claims_Data!H141</f>
        <v>Minor Loss</v>
      </c>
      <c r="I142" t="str">
        <f>IF(Raw_Claims_Data!I141="","None",Raw_Claims_Data!I141)</f>
        <v>Other</v>
      </c>
      <c r="J142" t="str">
        <f>Raw_Claims_Data!J141</f>
        <v>Fayetteville</v>
      </c>
      <c r="K142" t="str">
        <f>Raw_Claims_Data!K141</f>
        <v>AR</v>
      </c>
      <c r="L142">
        <f>Raw_Claims_Data!L141</f>
        <v>23</v>
      </c>
      <c r="M142" t="str">
        <f>IF(Raw_Claims_Data!M141="","N/A",Raw_Claims_Data!M141)</f>
        <v>VNDR00548</v>
      </c>
      <c r="N142" t="str">
        <f>Raw_Claims_Data!N141</f>
        <v>AGENT00341</v>
      </c>
      <c r="O142">
        <f>IF(Raw_Claims_Data!G141="D",1,0)</f>
        <v>0</v>
      </c>
    </row>
    <row r="143" spans="1:15" x14ac:dyDescent="0.35">
      <c r="A143" t="str">
        <f>Raw_Claims_Data!A142</f>
        <v>TXN00000139</v>
      </c>
      <c r="B143" t="str">
        <f>TRIM(Raw_Claims_Data!B142)</f>
        <v>Sophia Meier</v>
      </c>
      <c r="C143" t="str">
        <f>Raw_Claims_Data!C142</f>
        <v>Mobile</v>
      </c>
      <c r="D143">
        <f>Raw_Claims_Data!D142</f>
        <v>6.75</v>
      </c>
      <c r="E143">
        <f>Raw_Claims_Data!E142</f>
        <v>200</v>
      </c>
      <c r="F143" t="str">
        <f>Raw_Claims_Data!F142</f>
        <v>CT</v>
      </c>
      <c r="G143" t="str">
        <f>Raw_Claims_Data!G142</f>
        <v>A</v>
      </c>
      <c r="H143" t="str">
        <f>Raw_Claims_Data!H142</f>
        <v>Minor Loss</v>
      </c>
      <c r="I143" t="str">
        <f>IF(Raw_Claims_Data!I142="","None",Raw_Claims_Data!I142)</f>
        <v>None</v>
      </c>
      <c r="J143" t="str">
        <f>Raw_Claims_Data!J142</f>
        <v>Washington</v>
      </c>
      <c r="K143" t="str">
        <f>Raw_Claims_Data!K142</f>
        <v>DC</v>
      </c>
      <c r="L143">
        <f>Raw_Claims_Data!L142</f>
        <v>4</v>
      </c>
      <c r="M143" t="str">
        <f>IF(Raw_Claims_Data!M142="","N/A",Raw_Claims_Data!M142)</f>
        <v>N/A</v>
      </c>
      <c r="N143" t="str">
        <f>Raw_Claims_Data!N142</f>
        <v>AGENT01049</v>
      </c>
      <c r="O143">
        <f>IF(Raw_Claims_Data!G142="D",1,0)</f>
        <v>0</v>
      </c>
    </row>
    <row r="144" spans="1:15" x14ac:dyDescent="0.35">
      <c r="A144" t="str">
        <f>Raw_Claims_Data!A143</f>
        <v>TXN00000140</v>
      </c>
      <c r="B144" t="str">
        <f>TRIM(Raw_Claims_Data!B143)</f>
        <v>Rodney Miller</v>
      </c>
      <c r="C144" t="str">
        <f>Raw_Claims_Data!C143</f>
        <v>Health</v>
      </c>
      <c r="D144">
        <f>Raw_Claims_Data!D143</f>
        <v>121.26</v>
      </c>
      <c r="E144">
        <f>Raw_Claims_Data!E143</f>
        <v>3000</v>
      </c>
      <c r="F144" t="str">
        <f>Raw_Claims_Data!F143</f>
        <v>MD</v>
      </c>
      <c r="G144" t="str">
        <f>Raw_Claims_Data!G143</f>
        <v>A</v>
      </c>
      <c r="H144" t="str">
        <f>Raw_Claims_Data!H143</f>
        <v>Total Loss</v>
      </c>
      <c r="I144" t="str">
        <f>IF(Raw_Claims_Data!I143="","None",Raw_Claims_Data!I143)</f>
        <v>Ambulance</v>
      </c>
      <c r="J144" t="str">
        <f>Raw_Claims_Data!J143</f>
        <v>Fall River</v>
      </c>
      <c r="K144" t="str">
        <f>Raw_Claims_Data!K143</f>
        <v>MA</v>
      </c>
      <c r="L144">
        <f>Raw_Claims_Data!L143</f>
        <v>7</v>
      </c>
      <c r="M144" t="str">
        <f>IF(Raw_Claims_Data!M143="","N/A",Raw_Claims_Data!M143)</f>
        <v>VNDR00375</v>
      </c>
      <c r="N144" t="str">
        <f>Raw_Claims_Data!N143</f>
        <v>AGENT00639</v>
      </c>
      <c r="O144">
        <f>IF(Raw_Claims_Data!G143="D",1,0)</f>
        <v>0</v>
      </c>
    </row>
    <row r="145" spans="1:15" x14ac:dyDescent="0.35">
      <c r="A145" t="str">
        <f>Raw_Claims_Data!A144</f>
        <v>TXN00000141</v>
      </c>
      <c r="B145" t="str">
        <f>TRIM(Raw_Claims_Data!B144)</f>
        <v>Gary Frey</v>
      </c>
      <c r="C145" t="str">
        <f>Raw_Claims_Data!C144</f>
        <v>Health</v>
      </c>
      <c r="D145">
        <f>Raw_Claims_Data!D144</f>
        <v>188.54</v>
      </c>
      <c r="E145">
        <f>Raw_Claims_Data!E144</f>
        <v>17000</v>
      </c>
      <c r="F145" t="str">
        <f>Raw_Claims_Data!F144</f>
        <v>AK</v>
      </c>
      <c r="G145" t="str">
        <f>Raw_Claims_Data!G144</f>
        <v>A</v>
      </c>
      <c r="H145" t="str">
        <f>Raw_Claims_Data!H144</f>
        <v>Minor Loss</v>
      </c>
      <c r="I145" t="str">
        <f>IF(Raw_Claims_Data!I144="","None",Raw_Claims_Data!I144)</f>
        <v>Police</v>
      </c>
      <c r="J145" t="str">
        <f>Raw_Claims_Data!J144</f>
        <v>Savannah</v>
      </c>
      <c r="K145" t="str">
        <f>Raw_Claims_Data!K144</f>
        <v>GA</v>
      </c>
      <c r="L145">
        <f>Raw_Claims_Data!L144</f>
        <v>10</v>
      </c>
      <c r="M145" t="str">
        <f>IF(Raw_Claims_Data!M144="","N/A",Raw_Claims_Data!M144)</f>
        <v>VNDR00583</v>
      </c>
      <c r="N145" t="str">
        <f>Raw_Claims_Data!N144</f>
        <v>AGENT00929</v>
      </c>
      <c r="O145">
        <f>IF(Raw_Claims_Data!G144="D",1,0)</f>
        <v>0</v>
      </c>
    </row>
    <row r="146" spans="1:15" x14ac:dyDescent="0.35">
      <c r="A146" t="str">
        <f>Raw_Claims_Data!A145</f>
        <v>TXN00000142</v>
      </c>
      <c r="B146" t="str">
        <f>TRIM(Raw_Claims_Data!B145)</f>
        <v>Julius Cooks</v>
      </c>
      <c r="C146" t="str">
        <f>Raw_Claims_Data!C145</f>
        <v>Property</v>
      </c>
      <c r="D146">
        <f>Raw_Claims_Data!D145</f>
        <v>105.82</v>
      </c>
      <c r="E146">
        <f>Raw_Claims_Data!E145</f>
        <v>31000</v>
      </c>
      <c r="F146" t="str">
        <f>Raw_Claims_Data!F145</f>
        <v>GA</v>
      </c>
      <c r="G146" t="str">
        <f>Raw_Claims_Data!G145</f>
        <v>A</v>
      </c>
      <c r="H146" t="str">
        <f>Raw_Claims_Data!H145</f>
        <v>Major Loss</v>
      </c>
      <c r="I146" t="str">
        <f>IF(Raw_Claims_Data!I145="","None",Raw_Claims_Data!I145)</f>
        <v>None</v>
      </c>
      <c r="J146" t="str">
        <f>Raw_Claims_Data!J145</f>
        <v>Louisville</v>
      </c>
      <c r="K146" t="str">
        <f>Raw_Claims_Data!K145</f>
        <v>KY</v>
      </c>
      <c r="L146">
        <f>Raw_Claims_Data!L145</f>
        <v>2</v>
      </c>
      <c r="M146" t="str">
        <f>IF(Raw_Claims_Data!M145="","N/A",Raw_Claims_Data!M145)</f>
        <v>VNDR00600</v>
      </c>
      <c r="N146" t="str">
        <f>Raw_Claims_Data!N145</f>
        <v>AGENT01177</v>
      </c>
      <c r="O146">
        <f>IF(Raw_Claims_Data!G145="D",1,0)</f>
        <v>0</v>
      </c>
    </row>
    <row r="147" spans="1:15" x14ac:dyDescent="0.35">
      <c r="A147" t="str">
        <f>Raw_Claims_Data!A146</f>
        <v>TXN00000143</v>
      </c>
      <c r="B147" t="str">
        <f>TRIM(Raw_Claims_Data!B146)</f>
        <v>Judy Solian</v>
      </c>
      <c r="C147" t="str">
        <f>Raw_Claims_Data!C146</f>
        <v>Mobile</v>
      </c>
      <c r="D147">
        <f>Raw_Claims_Data!D146</f>
        <v>7.6</v>
      </c>
      <c r="E147">
        <f>Raw_Claims_Data!E146</f>
        <v>100</v>
      </c>
      <c r="F147" t="str">
        <f>Raw_Claims_Data!F146</f>
        <v>CO</v>
      </c>
      <c r="G147" t="str">
        <f>Raw_Claims_Data!G146</f>
        <v>A</v>
      </c>
      <c r="H147" t="str">
        <f>Raw_Claims_Data!H146</f>
        <v>Minor Loss</v>
      </c>
      <c r="I147" t="str">
        <f>IF(Raw_Claims_Data!I146="","None",Raw_Claims_Data!I146)</f>
        <v>Ambulance</v>
      </c>
      <c r="J147" t="str">
        <f>Raw_Claims_Data!J146</f>
        <v>Washington</v>
      </c>
      <c r="K147" t="str">
        <f>Raw_Claims_Data!K146</f>
        <v>DC</v>
      </c>
      <c r="L147">
        <f>Raw_Claims_Data!L146</f>
        <v>18</v>
      </c>
      <c r="M147" t="str">
        <f>IF(Raw_Claims_Data!M146="","N/A",Raw_Claims_Data!M146)</f>
        <v>VNDR00075</v>
      </c>
      <c r="N147" t="str">
        <f>Raw_Claims_Data!N146</f>
        <v>AGENT00394</v>
      </c>
      <c r="O147">
        <f>IF(Raw_Claims_Data!G146="D",1,0)</f>
        <v>0</v>
      </c>
    </row>
    <row r="148" spans="1:15" x14ac:dyDescent="0.35">
      <c r="A148" t="str">
        <f>Raw_Claims_Data!A147</f>
        <v>TXN00000144</v>
      </c>
      <c r="B148" t="str">
        <f>TRIM(Raw_Claims_Data!B147)</f>
        <v>Alice Weigel</v>
      </c>
      <c r="C148" t="str">
        <f>Raw_Claims_Data!C147</f>
        <v>Mobile</v>
      </c>
      <c r="D148">
        <f>Raw_Claims_Data!D147</f>
        <v>6.08</v>
      </c>
      <c r="E148">
        <f>Raw_Claims_Data!E147</f>
        <v>200</v>
      </c>
      <c r="F148" t="str">
        <f>Raw_Claims_Data!F147</f>
        <v>MD</v>
      </c>
      <c r="G148" t="str">
        <f>Raw_Claims_Data!G147</f>
        <v>A</v>
      </c>
      <c r="H148" t="str">
        <f>Raw_Claims_Data!H147</f>
        <v>Major Loss</v>
      </c>
      <c r="I148" t="str">
        <f>IF(Raw_Claims_Data!I147="","None",Raw_Claims_Data!I147)</f>
        <v>None</v>
      </c>
      <c r="J148" t="str">
        <f>Raw_Claims_Data!J147</f>
        <v>Glen Burnie</v>
      </c>
      <c r="K148" t="str">
        <f>Raw_Claims_Data!K147</f>
        <v>MD</v>
      </c>
      <c r="L148">
        <f>Raw_Claims_Data!L147</f>
        <v>10</v>
      </c>
      <c r="M148" t="str">
        <f>IF(Raw_Claims_Data!M147="","N/A",Raw_Claims_Data!M147)</f>
        <v>VNDR00313</v>
      </c>
      <c r="N148" t="str">
        <f>Raw_Claims_Data!N147</f>
        <v>AGENT00976</v>
      </c>
      <c r="O148">
        <f>IF(Raw_Claims_Data!G147="D",1,0)</f>
        <v>0</v>
      </c>
    </row>
    <row r="149" spans="1:15" x14ac:dyDescent="0.35">
      <c r="A149" t="str">
        <f>Raw_Claims_Data!A148</f>
        <v>TXN00000145</v>
      </c>
      <c r="B149" t="str">
        <f>TRIM(Raw_Claims_Data!B148)</f>
        <v>Laverne Gross</v>
      </c>
      <c r="C149" t="str">
        <f>Raw_Claims_Data!C148</f>
        <v>Property</v>
      </c>
      <c r="D149">
        <f>Raw_Claims_Data!D148</f>
        <v>147.74</v>
      </c>
      <c r="E149">
        <f>Raw_Claims_Data!E148</f>
        <v>11000</v>
      </c>
      <c r="F149" t="str">
        <f>Raw_Claims_Data!F148</f>
        <v>TN</v>
      </c>
      <c r="G149" t="str">
        <f>Raw_Claims_Data!G148</f>
        <v>A</v>
      </c>
      <c r="H149" t="str">
        <f>Raw_Claims_Data!H148</f>
        <v>Minor Loss</v>
      </c>
      <c r="I149" t="str">
        <f>IF(Raw_Claims_Data!I148="","None",Raw_Claims_Data!I148)</f>
        <v>Police</v>
      </c>
      <c r="J149" t="str">
        <f>Raw_Claims_Data!J148</f>
        <v>Pooler</v>
      </c>
      <c r="K149" t="str">
        <f>Raw_Claims_Data!K148</f>
        <v>GA</v>
      </c>
      <c r="L149">
        <f>Raw_Claims_Data!L148</f>
        <v>0</v>
      </c>
      <c r="M149" t="str">
        <f>IF(Raw_Claims_Data!M148="","N/A",Raw_Claims_Data!M148)</f>
        <v>VNDR00200</v>
      </c>
      <c r="N149" t="str">
        <f>Raw_Claims_Data!N148</f>
        <v>AGENT00518</v>
      </c>
      <c r="O149">
        <f>IF(Raw_Claims_Data!G148="D",1,0)</f>
        <v>0</v>
      </c>
    </row>
    <row r="150" spans="1:15" x14ac:dyDescent="0.35">
      <c r="A150" t="str">
        <f>Raw_Claims_Data!A149</f>
        <v>TXN00000146</v>
      </c>
      <c r="B150" t="str">
        <f>TRIM(Raw_Claims_Data!B149)</f>
        <v>Albert Dixon</v>
      </c>
      <c r="C150" t="str">
        <f>Raw_Claims_Data!C149</f>
        <v>Mobile</v>
      </c>
      <c r="D150">
        <f>Raw_Claims_Data!D149</f>
        <v>6.91</v>
      </c>
      <c r="E150">
        <f>Raw_Claims_Data!E149</f>
        <v>100</v>
      </c>
      <c r="F150" t="str">
        <f>Raw_Claims_Data!F149</f>
        <v>MA</v>
      </c>
      <c r="G150" t="str">
        <f>Raw_Claims_Data!G149</f>
        <v>A</v>
      </c>
      <c r="H150" t="str">
        <f>Raw_Claims_Data!H149</f>
        <v>Minor Loss</v>
      </c>
      <c r="I150" t="str">
        <f>IF(Raw_Claims_Data!I149="","None",Raw_Claims_Data!I149)</f>
        <v>None</v>
      </c>
      <c r="J150" t="str">
        <f>Raw_Claims_Data!J149</f>
        <v>Nolensville</v>
      </c>
      <c r="K150" t="str">
        <f>Raw_Claims_Data!K149</f>
        <v>TN</v>
      </c>
      <c r="L150">
        <f>Raw_Claims_Data!L149</f>
        <v>16</v>
      </c>
      <c r="M150" t="str">
        <f>IF(Raw_Claims_Data!M149="","N/A",Raw_Claims_Data!M149)</f>
        <v>N/A</v>
      </c>
      <c r="N150" t="str">
        <f>Raw_Claims_Data!N149</f>
        <v>AGENT01066</v>
      </c>
      <c r="O150">
        <f>IF(Raw_Claims_Data!G149="D",1,0)</f>
        <v>0</v>
      </c>
    </row>
    <row r="151" spans="1:15" x14ac:dyDescent="0.35">
      <c r="A151" t="str">
        <f>Raw_Claims_Data!A150</f>
        <v>TXN00000147</v>
      </c>
      <c r="B151" t="str">
        <f>TRIM(Raw_Claims_Data!B150)</f>
        <v>Jeffrey James</v>
      </c>
      <c r="C151" t="str">
        <f>Raw_Claims_Data!C150</f>
        <v>Life</v>
      </c>
      <c r="D151">
        <f>Raw_Claims_Data!D150</f>
        <v>70.03</v>
      </c>
      <c r="E151">
        <f>Raw_Claims_Data!E150</f>
        <v>39000</v>
      </c>
      <c r="F151" t="str">
        <f>Raw_Claims_Data!F150</f>
        <v>AR</v>
      </c>
      <c r="G151" t="str">
        <f>Raw_Claims_Data!G150</f>
        <v>A</v>
      </c>
      <c r="H151" t="str">
        <f>Raw_Claims_Data!H150</f>
        <v>Total Loss</v>
      </c>
      <c r="I151" t="str">
        <f>IF(Raw_Claims_Data!I150="","None",Raw_Claims_Data!I150)</f>
        <v>Police</v>
      </c>
      <c r="J151" t="str">
        <f>Raw_Claims_Data!J150</f>
        <v>Nashville</v>
      </c>
      <c r="K151" t="str">
        <f>Raw_Claims_Data!K150</f>
        <v>TN</v>
      </c>
      <c r="L151">
        <f>Raw_Claims_Data!L150</f>
        <v>6</v>
      </c>
      <c r="M151" t="str">
        <f>IF(Raw_Claims_Data!M150="","N/A",Raw_Claims_Data!M150)</f>
        <v>VNDR00137</v>
      </c>
      <c r="N151" t="str">
        <f>Raw_Claims_Data!N150</f>
        <v>AGENT00648</v>
      </c>
      <c r="O151">
        <f>IF(Raw_Claims_Data!G150="D",1,0)</f>
        <v>0</v>
      </c>
    </row>
    <row r="152" spans="1:15" x14ac:dyDescent="0.35">
      <c r="A152" t="str">
        <f>Raw_Claims_Data!A151</f>
        <v>TXN00000148</v>
      </c>
      <c r="B152" t="str">
        <f>TRIM(Raw_Claims_Data!B151)</f>
        <v>Kathlene Mcnamara</v>
      </c>
      <c r="C152" t="str">
        <f>Raw_Claims_Data!C151</f>
        <v>Property</v>
      </c>
      <c r="D152">
        <f>Raw_Claims_Data!D151</f>
        <v>129.38999999999999</v>
      </c>
      <c r="E152">
        <f>Raw_Claims_Data!E151</f>
        <v>29000</v>
      </c>
      <c r="F152" t="str">
        <f>Raw_Claims_Data!F151</f>
        <v>CA</v>
      </c>
      <c r="G152" t="str">
        <f>Raw_Claims_Data!G151</f>
        <v>A</v>
      </c>
      <c r="H152" t="str">
        <f>Raw_Claims_Data!H151</f>
        <v>Minor Loss</v>
      </c>
      <c r="I152" t="str">
        <f>IF(Raw_Claims_Data!I151="","None",Raw_Claims_Data!I151)</f>
        <v>Other</v>
      </c>
      <c r="J152" t="str">
        <f>Raw_Claims_Data!J151</f>
        <v>Northfield</v>
      </c>
      <c r="K152" t="str">
        <f>Raw_Claims_Data!K151</f>
        <v>KY</v>
      </c>
      <c r="L152">
        <f>Raw_Claims_Data!L151</f>
        <v>21</v>
      </c>
      <c r="M152" t="str">
        <f>IF(Raw_Claims_Data!M151="","N/A",Raw_Claims_Data!M151)</f>
        <v>VNDR00042</v>
      </c>
      <c r="N152" t="str">
        <f>Raw_Claims_Data!N151</f>
        <v>AGENT00137</v>
      </c>
      <c r="O152">
        <f>IF(Raw_Claims_Data!G151="D",1,0)</f>
        <v>0</v>
      </c>
    </row>
    <row r="153" spans="1:15" x14ac:dyDescent="0.35">
      <c r="A153" t="str">
        <f>Raw_Claims_Data!A152</f>
        <v>TXN00000149</v>
      </c>
      <c r="B153" t="str">
        <f>TRIM(Raw_Claims_Data!B152)</f>
        <v>Von Wolfe</v>
      </c>
      <c r="C153" t="str">
        <f>Raw_Claims_Data!C152</f>
        <v>Travel</v>
      </c>
      <c r="D153">
        <f>Raw_Claims_Data!D152</f>
        <v>56.73</v>
      </c>
      <c r="E153">
        <f>Raw_Claims_Data!E152</f>
        <v>5000</v>
      </c>
      <c r="F153" t="str">
        <f>Raw_Claims_Data!F152</f>
        <v>CT</v>
      </c>
      <c r="G153" t="str">
        <f>Raw_Claims_Data!G152</f>
        <v>A</v>
      </c>
      <c r="H153" t="str">
        <f>Raw_Claims_Data!H152</f>
        <v>Total Loss</v>
      </c>
      <c r="I153" t="str">
        <f>IF(Raw_Claims_Data!I152="","None",Raw_Claims_Data!I152)</f>
        <v>Ambulance</v>
      </c>
      <c r="J153" t="str">
        <f>Raw_Claims_Data!J152</f>
        <v>Louisville</v>
      </c>
      <c r="K153" t="str">
        <f>Raw_Claims_Data!K152</f>
        <v>KY</v>
      </c>
      <c r="L153">
        <f>Raw_Claims_Data!L152</f>
        <v>11</v>
      </c>
      <c r="M153" t="str">
        <f>IF(Raw_Claims_Data!M152="","N/A",Raw_Claims_Data!M152)</f>
        <v>N/A</v>
      </c>
      <c r="N153" t="str">
        <f>Raw_Claims_Data!N152</f>
        <v>AGENT00092</v>
      </c>
      <c r="O153">
        <f>IF(Raw_Claims_Data!G152="D",1,0)</f>
        <v>0</v>
      </c>
    </row>
    <row r="154" spans="1:15" x14ac:dyDescent="0.35">
      <c r="A154" t="str">
        <f>Raw_Claims_Data!A153</f>
        <v>TXN00000150</v>
      </c>
      <c r="B154" t="str">
        <f>TRIM(Raw_Claims_Data!B153)</f>
        <v>Michael Neff</v>
      </c>
      <c r="C154" t="str">
        <f>Raw_Claims_Data!C153</f>
        <v>Life</v>
      </c>
      <c r="D154">
        <f>Raw_Claims_Data!D153</f>
        <v>67.5</v>
      </c>
      <c r="E154">
        <f>Raw_Claims_Data!E153</f>
        <v>34000</v>
      </c>
      <c r="F154" t="str">
        <f>Raw_Claims_Data!F153</f>
        <v>FL</v>
      </c>
      <c r="G154" t="str">
        <f>Raw_Claims_Data!G153</f>
        <v>A</v>
      </c>
      <c r="H154" t="str">
        <f>Raw_Claims_Data!H153</f>
        <v>Total Loss</v>
      </c>
      <c r="I154" t="str">
        <f>IF(Raw_Claims_Data!I153="","None",Raw_Claims_Data!I153)</f>
        <v>Ambulance</v>
      </c>
      <c r="J154" t="str">
        <f>Raw_Claims_Data!J153</f>
        <v>Bethel</v>
      </c>
      <c r="K154" t="str">
        <f>Raw_Claims_Data!K153</f>
        <v>VT</v>
      </c>
      <c r="L154">
        <f>Raw_Claims_Data!L153</f>
        <v>17</v>
      </c>
      <c r="M154" t="str">
        <f>IF(Raw_Claims_Data!M153="","N/A",Raw_Claims_Data!M153)</f>
        <v>VNDR00430</v>
      </c>
      <c r="N154" t="str">
        <f>Raw_Claims_Data!N153</f>
        <v>AGENT00345</v>
      </c>
      <c r="O154">
        <f>IF(Raw_Claims_Data!G153="D",1,0)</f>
        <v>0</v>
      </c>
    </row>
    <row r="155" spans="1:15" x14ac:dyDescent="0.35">
      <c r="A155" t="str">
        <f>Raw_Claims_Data!A154</f>
        <v>TXN00000151</v>
      </c>
      <c r="B155" t="str">
        <f>TRIM(Raw_Claims_Data!B154)</f>
        <v>Tosha Thompson</v>
      </c>
      <c r="C155" t="str">
        <f>Raw_Claims_Data!C154</f>
        <v>Property</v>
      </c>
      <c r="D155">
        <f>Raw_Claims_Data!D154</f>
        <v>91.55</v>
      </c>
      <c r="E155">
        <f>Raw_Claims_Data!E154</f>
        <v>28000</v>
      </c>
      <c r="F155" t="str">
        <f>Raw_Claims_Data!F154</f>
        <v>FL</v>
      </c>
      <c r="G155" t="str">
        <f>Raw_Claims_Data!G154</f>
        <v>A</v>
      </c>
      <c r="H155" t="str">
        <f>Raw_Claims_Data!H154</f>
        <v>Major Loss</v>
      </c>
      <c r="I155" t="str">
        <f>IF(Raw_Claims_Data!I154="","None",Raw_Claims_Data!I154)</f>
        <v>Police</v>
      </c>
      <c r="J155" t="str">
        <f>Raw_Claims_Data!J154</f>
        <v>Annapolis</v>
      </c>
      <c r="K155" t="str">
        <f>Raw_Claims_Data!K154</f>
        <v>MD</v>
      </c>
      <c r="L155">
        <f>Raw_Claims_Data!L154</f>
        <v>19</v>
      </c>
      <c r="M155" t="str">
        <f>IF(Raw_Claims_Data!M154="","N/A",Raw_Claims_Data!M154)</f>
        <v>VNDR00412</v>
      </c>
      <c r="N155" t="str">
        <f>Raw_Claims_Data!N154</f>
        <v>AGENT00168</v>
      </c>
      <c r="O155">
        <f>IF(Raw_Claims_Data!G154="D",1,0)</f>
        <v>0</v>
      </c>
    </row>
    <row r="156" spans="1:15" x14ac:dyDescent="0.35">
      <c r="A156" t="str">
        <f>Raw_Claims_Data!A155</f>
        <v>TXN00000152</v>
      </c>
      <c r="B156" t="str">
        <f>TRIM(Raw_Claims_Data!B155)</f>
        <v>Catherine Sisco</v>
      </c>
      <c r="C156" t="str">
        <f>Raw_Claims_Data!C155</f>
        <v>Health</v>
      </c>
      <c r="D156">
        <f>Raw_Claims_Data!D155</f>
        <v>135.82</v>
      </c>
      <c r="E156">
        <f>Raw_Claims_Data!E155</f>
        <v>16000</v>
      </c>
      <c r="F156" t="str">
        <f>Raw_Claims_Data!F155</f>
        <v>FL</v>
      </c>
      <c r="G156" t="str">
        <f>Raw_Claims_Data!G155</f>
        <v>A</v>
      </c>
      <c r="H156" t="str">
        <f>Raw_Claims_Data!H155</f>
        <v>Major Loss</v>
      </c>
      <c r="I156" t="str">
        <f>IF(Raw_Claims_Data!I155="","None",Raw_Claims_Data!I155)</f>
        <v>None</v>
      </c>
      <c r="J156" t="str">
        <f>Raw_Claims_Data!J155</f>
        <v>Pawlet</v>
      </c>
      <c r="K156" t="str">
        <f>Raw_Claims_Data!K155</f>
        <v>VT</v>
      </c>
      <c r="L156">
        <f>Raw_Claims_Data!L155</f>
        <v>10</v>
      </c>
      <c r="M156" t="str">
        <f>IF(Raw_Claims_Data!M155="","N/A",Raw_Claims_Data!M155)</f>
        <v>VNDR00292</v>
      </c>
      <c r="N156" t="str">
        <f>Raw_Claims_Data!N155</f>
        <v>AGENT00391</v>
      </c>
      <c r="O156">
        <f>IF(Raw_Claims_Data!G155="D",1,0)</f>
        <v>0</v>
      </c>
    </row>
    <row r="157" spans="1:15" x14ac:dyDescent="0.35">
      <c r="A157" t="str">
        <f>Raw_Claims_Data!A156</f>
        <v>TXN00000153</v>
      </c>
      <c r="B157" t="str">
        <f>TRIM(Raw_Claims_Data!B156)</f>
        <v>Amber Cobb</v>
      </c>
      <c r="C157" t="str">
        <f>Raw_Claims_Data!C156</f>
        <v>Mobile</v>
      </c>
      <c r="D157">
        <f>Raw_Claims_Data!D156</f>
        <v>7.21</v>
      </c>
      <c r="E157">
        <f>Raw_Claims_Data!E156</f>
        <v>500</v>
      </c>
      <c r="F157" t="str">
        <f>Raw_Claims_Data!F156</f>
        <v>KY</v>
      </c>
      <c r="G157" t="str">
        <f>Raw_Claims_Data!G156</f>
        <v>A</v>
      </c>
      <c r="H157" t="str">
        <f>Raw_Claims_Data!H156</f>
        <v>Minor Loss</v>
      </c>
      <c r="I157" t="str">
        <f>IF(Raw_Claims_Data!I156="","None",Raw_Claims_Data!I156)</f>
        <v>Police</v>
      </c>
      <c r="J157" t="str">
        <f>Raw_Claims_Data!J156</f>
        <v>Arvada</v>
      </c>
      <c r="K157" t="str">
        <f>Raw_Claims_Data!K156</f>
        <v>CO</v>
      </c>
      <c r="L157">
        <f>Raw_Claims_Data!L156</f>
        <v>3</v>
      </c>
      <c r="M157" t="str">
        <f>IF(Raw_Claims_Data!M156="","N/A",Raw_Claims_Data!M156)</f>
        <v>VNDR00586</v>
      </c>
      <c r="N157" t="str">
        <f>Raw_Claims_Data!N156</f>
        <v>AGENT01074</v>
      </c>
      <c r="O157">
        <f>IF(Raw_Claims_Data!G156="D",1,0)</f>
        <v>0</v>
      </c>
    </row>
    <row r="158" spans="1:15" x14ac:dyDescent="0.35">
      <c r="A158" t="str">
        <f>Raw_Claims_Data!A157</f>
        <v>TXN00000154</v>
      </c>
      <c r="B158" t="str">
        <f>TRIM(Raw_Claims_Data!B157)</f>
        <v>Jon Nobles</v>
      </c>
      <c r="C158" t="str">
        <f>Raw_Claims_Data!C157</f>
        <v>Mobile</v>
      </c>
      <c r="D158">
        <f>Raw_Claims_Data!D157</f>
        <v>6.79</v>
      </c>
      <c r="E158">
        <f>Raw_Claims_Data!E157</f>
        <v>300</v>
      </c>
      <c r="F158" t="str">
        <f>Raw_Claims_Data!F157</f>
        <v>AR</v>
      </c>
      <c r="G158" t="str">
        <f>Raw_Claims_Data!G157</f>
        <v>A</v>
      </c>
      <c r="H158" t="str">
        <f>Raw_Claims_Data!H157</f>
        <v>Total Loss</v>
      </c>
      <c r="I158" t="str">
        <f>IF(Raw_Claims_Data!I157="","None",Raw_Claims_Data!I157)</f>
        <v>Police</v>
      </c>
      <c r="J158" t="str">
        <f>Raw_Claims_Data!J157</f>
        <v>Cupertino</v>
      </c>
      <c r="K158" t="str">
        <f>Raw_Claims_Data!K157</f>
        <v>CA</v>
      </c>
      <c r="L158">
        <f>Raw_Claims_Data!L157</f>
        <v>5</v>
      </c>
      <c r="M158" t="str">
        <f>IF(Raw_Claims_Data!M157="","N/A",Raw_Claims_Data!M157)</f>
        <v>VNDR00404</v>
      </c>
      <c r="N158" t="str">
        <f>Raw_Claims_Data!N157</f>
        <v>AGENT00235</v>
      </c>
      <c r="O158">
        <f>IF(Raw_Claims_Data!G157="D",1,0)</f>
        <v>0</v>
      </c>
    </row>
    <row r="159" spans="1:15" x14ac:dyDescent="0.35">
      <c r="A159" t="str">
        <f>Raw_Claims_Data!A158</f>
        <v>TXN00000155</v>
      </c>
      <c r="B159" t="str">
        <f>TRIM(Raw_Claims_Data!B158)</f>
        <v>Bill Kwok</v>
      </c>
      <c r="C159" t="str">
        <f>Raw_Claims_Data!C158</f>
        <v>Motor</v>
      </c>
      <c r="D159">
        <f>Raw_Claims_Data!D158</f>
        <v>80.73</v>
      </c>
      <c r="E159">
        <f>Raw_Claims_Data!E158</f>
        <v>4000</v>
      </c>
      <c r="F159" t="str">
        <f>Raw_Claims_Data!F158</f>
        <v>CA</v>
      </c>
      <c r="G159" t="str">
        <f>Raw_Claims_Data!G158</f>
        <v>A</v>
      </c>
      <c r="H159" t="str">
        <f>Raw_Claims_Data!H158</f>
        <v>Minor Loss</v>
      </c>
      <c r="I159" t="str">
        <f>IF(Raw_Claims_Data!I158="","None",Raw_Claims_Data!I158)</f>
        <v>Police</v>
      </c>
      <c r="J159" t="str">
        <f>Raw_Claims_Data!J158</f>
        <v>Arlington</v>
      </c>
      <c r="K159" t="str">
        <f>Raw_Claims_Data!K158</f>
        <v>MA</v>
      </c>
      <c r="L159">
        <f>Raw_Claims_Data!L158</f>
        <v>16</v>
      </c>
      <c r="M159" t="str">
        <f>IF(Raw_Claims_Data!M158="","N/A",Raw_Claims_Data!M158)</f>
        <v>VNDR00093</v>
      </c>
      <c r="N159" t="str">
        <f>Raw_Claims_Data!N158</f>
        <v>AGENT00468</v>
      </c>
      <c r="O159">
        <f>IF(Raw_Claims_Data!G158="D",1,0)</f>
        <v>0</v>
      </c>
    </row>
    <row r="160" spans="1:15" x14ac:dyDescent="0.35">
      <c r="A160" t="str">
        <f>Raw_Claims_Data!A159</f>
        <v>TXN00000156</v>
      </c>
      <c r="B160" t="str">
        <f>TRIM(Raw_Claims_Data!B159)</f>
        <v>Deanna Humiston</v>
      </c>
      <c r="C160" t="str">
        <f>Raw_Claims_Data!C159</f>
        <v>Health</v>
      </c>
      <c r="D160">
        <f>Raw_Claims_Data!D159</f>
        <v>124.56</v>
      </c>
      <c r="E160">
        <f>Raw_Claims_Data!E159</f>
        <v>8000</v>
      </c>
      <c r="F160" t="str">
        <f>Raw_Claims_Data!F159</f>
        <v>CA</v>
      </c>
      <c r="G160" t="str">
        <f>Raw_Claims_Data!G159</f>
        <v>A</v>
      </c>
      <c r="H160" t="str">
        <f>Raw_Claims_Data!H159</f>
        <v>Total Loss</v>
      </c>
      <c r="I160" t="str">
        <f>IF(Raw_Claims_Data!I159="","None",Raw_Claims_Data!I159)</f>
        <v>Ambulance</v>
      </c>
      <c r="J160" t="str">
        <f>Raw_Claims_Data!J159</f>
        <v>Arvada</v>
      </c>
      <c r="K160" t="str">
        <f>Raw_Claims_Data!K159</f>
        <v>CO</v>
      </c>
      <c r="L160">
        <f>Raw_Claims_Data!L159</f>
        <v>16</v>
      </c>
      <c r="M160" t="str">
        <f>IF(Raw_Claims_Data!M159="","N/A",Raw_Claims_Data!M159)</f>
        <v>N/A</v>
      </c>
      <c r="N160" t="str">
        <f>Raw_Claims_Data!N159</f>
        <v>AGENT00031</v>
      </c>
      <c r="O160">
        <f>IF(Raw_Claims_Data!G159="D",1,0)</f>
        <v>0</v>
      </c>
    </row>
    <row r="161" spans="1:15" x14ac:dyDescent="0.35">
      <c r="A161" t="str">
        <f>Raw_Claims_Data!A160</f>
        <v>TXN00000157</v>
      </c>
      <c r="B161" t="str">
        <f>TRIM(Raw_Claims_Data!B160)</f>
        <v>Lance Kher</v>
      </c>
      <c r="C161" t="str">
        <f>Raw_Claims_Data!C160</f>
        <v>Property</v>
      </c>
      <c r="D161">
        <f>Raw_Claims_Data!D160</f>
        <v>117.59</v>
      </c>
      <c r="E161">
        <f>Raw_Claims_Data!E160</f>
        <v>34000</v>
      </c>
      <c r="F161" t="str">
        <f>Raw_Claims_Data!F160</f>
        <v>OK</v>
      </c>
      <c r="G161" t="str">
        <f>Raw_Claims_Data!G160</f>
        <v>A</v>
      </c>
      <c r="H161" t="str">
        <f>Raw_Claims_Data!H160</f>
        <v>Major Loss</v>
      </c>
      <c r="I161" t="str">
        <f>IF(Raw_Claims_Data!I160="","None",Raw_Claims_Data!I160)</f>
        <v>Police</v>
      </c>
      <c r="J161" t="str">
        <f>Raw_Claims_Data!J160</f>
        <v>Fayetteville</v>
      </c>
      <c r="K161" t="str">
        <f>Raw_Claims_Data!K160</f>
        <v>AR</v>
      </c>
      <c r="L161">
        <f>Raw_Claims_Data!L160</f>
        <v>8</v>
      </c>
      <c r="M161" t="str">
        <f>IF(Raw_Claims_Data!M160="","N/A",Raw_Claims_Data!M160)</f>
        <v>N/A</v>
      </c>
      <c r="N161" t="str">
        <f>Raw_Claims_Data!N160</f>
        <v>AGENT00855</v>
      </c>
      <c r="O161">
        <f>IF(Raw_Claims_Data!G160="D",1,0)</f>
        <v>0</v>
      </c>
    </row>
    <row r="162" spans="1:15" x14ac:dyDescent="0.35">
      <c r="A162" t="str">
        <f>Raw_Claims_Data!A161</f>
        <v>TXN00000158</v>
      </c>
      <c r="B162" t="str">
        <f>TRIM(Raw_Claims_Data!B161)</f>
        <v>Linda Thruman</v>
      </c>
      <c r="C162" t="str">
        <f>Raw_Claims_Data!C161</f>
        <v>Property</v>
      </c>
      <c r="D162">
        <f>Raw_Claims_Data!D161</f>
        <v>124.28</v>
      </c>
      <c r="E162">
        <f>Raw_Claims_Data!E161</f>
        <v>33000</v>
      </c>
      <c r="F162" t="str">
        <f>Raw_Claims_Data!F161</f>
        <v>AZ</v>
      </c>
      <c r="G162" t="str">
        <f>Raw_Claims_Data!G161</f>
        <v>A</v>
      </c>
      <c r="H162" t="str">
        <f>Raw_Claims_Data!H161</f>
        <v>Total Loss</v>
      </c>
      <c r="I162" t="str">
        <f>IF(Raw_Claims_Data!I161="","None",Raw_Claims_Data!I161)</f>
        <v>Ambulance</v>
      </c>
      <c r="J162" t="str">
        <f>Raw_Claims_Data!J161</f>
        <v>Manchester</v>
      </c>
      <c r="K162" t="str">
        <f>Raw_Claims_Data!K161</f>
        <v>CT</v>
      </c>
      <c r="L162">
        <f>Raw_Claims_Data!L161</f>
        <v>22</v>
      </c>
      <c r="M162" t="str">
        <f>IF(Raw_Claims_Data!M161="","N/A",Raw_Claims_Data!M161)</f>
        <v>VNDR00215</v>
      </c>
      <c r="N162" t="str">
        <f>Raw_Claims_Data!N161</f>
        <v>AGENT01017</v>
      </c>
      <c r="O162">
        <f>IF(Raw_Claims_Data!G161="D",1,0)</f>
        <v>0</v>
      </c>
    </row>
    <row r="163" spans="1:15" x14ac:dyDescent="0.35">
      <c r="A163" t="str">
        <f>Raw_Claims_Data!A162</f>
        <v>TXN00000159</v>
      </c>
      <c r="B163" t="str">
        <f>TRIM(Raw_Claims_Data!B162)</f>
        <v>Mike Robert</v>
      </c>
      <c r="C163" t="str">
        <f>Raw_Claims_Data!C162</f>
        <v>Property</v>
      </c>
      <c r="D163">
        <f>Raw_Claims_Data!D162</f>
        <v>123.41</v>
      </c>
      <c r="E163">
        <f>Raw_Claims_Data!E162</f>
        <v>24000</v>
      </c>
      <c r="F163" t="str">
        <f>Raw_Claims_Data!F162</f>
        <v>MA</v>
      </c>
      <c r="G163" t="str">
        <f>Raw_Claims_Data!G162</f>
        <v>A</v>
      </c>
      <c r="H163" t="str">
        <f>Raw_Claims_Data!H162</f>
        <v>Total Loss</v>
      </c>
      <c r="I163" t="str">
        <f>IF(Raw_Claims_Data!I162="","None",Raw_Claims_Data!I162)</f>
        <v>Ambulance</v>
      </c>
      <c r="J163" t="str">
        <f>Raw_Claims_Data!J162</f>
        <v>Inverness</v>
      </c>
      <c r="K163" t="str">
        <f>Raw_Claims_Data!K162</f>
        <v>FL</v>
      </c>
      <c r="L163">
        <f>Raw_Claims_Data!L162</f>
        <v>20</v>
      </c>
      <c r="M163" t="str">
        <f>IF(Raw_Claims_Data!M162="","N/A",Raw_Claims_Data!M162)</f>
        <v>VNDR00094</v>
      </c>
      <c r="N163" t="str">
        <f>Raw_Claims_Data!N162</f>
        <v>AGENT00929</v>
      </c>
      <c r="O163">
        <f>IF(Raw_Claims_Data!G162="D",1,0)</f>
        <v>0</v>
      </c>
    </row>
    <row r="164" spans="1:15" x14ac:dyDescent="0.35">
      <c r="A164" t="str">
        <f>Raw_Claims_Data!A163</f>
        <v>TXN00000160</v>
      </c>
      <c r="B164" t="str">
        <f>TRIM(Raw_Claims_Data!B163)</f>
        <v>Keith Martel</v>
      </c>
      <c r="C164" t="str">
        <f>Raw_Claims_Data!C163</f>
        <v>Health</v>
      </c>
      <c r="D164">
        <f>Raw_Claims_Data!D163</f>
        <v>121.92</v>
      </c>
      <c r="E164">
        <f>Raw_Claims_Data!E163</f>
        <v>20000</v>
      </c>
      <c r="F164" t="str">
        <f>Raw_Claims_Data!F163</f>
        <v>CO</v>
      </c>
      <c r="G164" t="str">
        <f>Raw_Claims_Data!G163</f>
        <v>A</v>
      </c>
      <c r="H164" t="str">
        <f>Raw_Claims_Data!H163</f>
        <v>Total Loss</v>
      </c>
      <c r="I164" t="str">
        <f>IF(Raw_Claims_Data!I163="","None",Raw_Claims_Data!I163)</f>
        <v>None</v>
      </c>
      <c r="J164" t="str">
        <f>Raw_Claims_Data!J163</f>
        <v>Montgomery</v>
      </c>
      <c r="K164" t="str">
        <f>Raw_Claims_Data!K163</f>
        <v>AL</v>
      </c>
      <c r="L164">
        <f>Raw_Claims_Data!L163</f>
        <v>9</v>
      </c>
      <c r="M164" t="str">
        <f>IF(Raw_Claims_Data!M163="","N/A",Raw_Claims_Data!M163)</f>
        <v>VNDR00397</v>
      </c>
      <c r="N164" t="str">
        <f>Raw_Claims_Data!N163</f>
        <v>AGENT00889</v>
      </c>
      <c r="O164">
        <f>IF(Raw_Claims_Data!G163="D",1,0)</f>
        <v>0</v>
      </c>
    </row>
    <row r="165" spans="1:15" x14ac:dyDescent="0.35">
      <c r="A165" t="str">
        <f>Raw_Claims_Data!A164</f>
        <v>TXN00000161</v>
      </c>
      <c r="B165" t="str">
        <f>TRIM(Raw_Claims_Data!B164)</f>
        <v>Joe Introini</v>
      </c>
      <c r="C165" t="str">
        <f>Raw_Claims_Data!C164</f>
        <v>Life</v>
      </c>
      <c r="D165">
        <f>Raw_Claims_Data!D164</f>
        <v>55.99</v>
      </c>
      <c r="E165">
        <f>Raw_Claims_Data!E164</f>
        <v>90000</v>
      </c>
      <c r="F165" t="str">
        <f>Raw_Claims_Data!F164</f>
        <v>MD</v>
      </c>
      <c r="G165" t="str">
        <f>Raw_Claims_Data!G164</f>
        <v>A</v>
      </c>
      <c r="H165" t="str">
        <f>Raw_Claims_Data!H164</f>
        <v>Major Loss</v>
      </c>
      <c r="I165" t="str">
        <f>IF(Raw_Claims_Data!I164="","None",Raw_Claims_Data!I164)</f>
        <v>None</v>
      </c>
      <c r="J165" t="str">
        <f>Raw_Claims_Data!J164</f>
        <v>Dracut</v>
      </c>
      <c r="K165" t="str">
        <f>Raw_Claims_Data!K164</f>
        <v>MA</v>
      </c>
      <c r="L165">
        <f>Raw_Claims_Data!L164</f>
        <v>22</v>
      </c>
      <c r="M165" t="str">
        <f>IF(Raw_Claims_Data!M164="","N/A",Raw_Claims_Data!M164)</f>
        <v>N/A</v>
      </c>
      <c r="N165" t="str">
        <f>Raw_Claims_Data!N164</f>
        <v>AGENT00163</v>
      </c>
      <c r="O165">
        <f>IF(Raw_Claims_Data!G164="D",1,0)</f>
        <v>0</v>
      </c>
    </row>
    <row r="166" spans="1:15" x14ac:dyDescent="0.35">
      <c r="A166" t="str">
        <f>Raw_Claims_Data!A165</f>
        <v>TXN00000162</v>
      </c>
      <c r="B166" t="str">
        <f>TRIM(Raw_Claims_Data!B165)</f>
        <v>Calvin Howell</v>
      </c>
      <c r="C166" t="str">
        <f>Raw_Claims_Data!C165</f>
        <v>Health</v>
      </c>
      <c r="D166">
        <f>Raw_Claims_Data!D165</f>
        <v>187.72</v>
      </c>
      <c r="E166">
        <f>Raw_Claims_Data!E165</f>
        <v>1000</v>
      </c>
      <c r="F166" t="str">
        <f>Raw_Claims_Data!F165</f>
        <v>AR</v>
      </c>
      <c r="G166" t="str">
        <f>Raw_Claims_Data!G165</f>
        <v>D</v>
      </c>
      <c r="H166" t="str">
        <f>Raw_Claims_Data!H165</f>
        <v>Minor Loss</v>
      </c>
      <c r="I166" t="str">
        <f>IF(Raw_Claims_Data!I165="","None",Raw_Claims_Data!I165)</f>
        <v>None</v>
      </c>
      <c r="J166" t="str">
        <f>Raw_Claims_Data!J165</f>
        <v>Severn</v>
      </c>
      <c r="K166" t="str">
        <f>Raw_Claims_Data!K165</f>
        <v>MD</v>
      </c>
      <c r="L166">
        <f>Raw_Claims_Data!L165</f>
        <v>19</v>
      </c>
      <c r="M166" t="str">
        <f>IF(Raw_Claims_Data!M165="","N/A",Raw_Claims_Data!M165)</f>
        <v>N/A</v>
      </c>
      <c r="N166" t="str">
        <f>Raw_Claims_Data!N165</f>
        <v>AGENT00568</v>
      </c>
      <c r="O166">
        <f>IF(Raw_Claims_Data!G165="D",1,0)</f>
        <v>1</v>
      </c>
    </row>
    <row r="167" spans="1:15" x14ac:dyDescent="0.35">
      <c r="A167" t="str">
        <f>Raw_Claims_Data!A166</f>
        <v>TXN00000163</v>
      </c>
      <c r="B167" t="str">
        <f>TRIM(Raw_Claims_Data!B166)</f>
        <v>Lillian Decker</v>
      </c>
      <c r="C167" t="str">
        <f>Raw_Claims_Data!C166</f>
        <v>Property</v>
      </c>
      <c r="D167">
        <f>Raw_Claims_Data!D166</f>
        <v>146.79</v>
      </c>
      <c r="E167">
        <f>Raw_Claims_Data!E166</f>
        <v>32000</v>
      </c>
      <c r="F167" t="str">
        <f>Raw_Claims_Data!F166</f>
        <v>AR</v>
      </c>
      <c r="G167" t="str">
        <f>Raw_Claims_Data!G166</f>
        <v>A</v>
      </c>
      <c r="H167" t="str">
        <f>Raw_Claims_Data!H166</f>
        <v>Total Loss</v>
      </c>
      <c r="I167" t="str">
        <f>IF(Raw_Claims_Data!I166="","None",Raw_Claims_Data!I166)</f>
        <v>Ambulance</v>
      </c>
      <c r="J167" t="str">
        <f>Raw_Claims_Data!J166</f>
        <v>Savannah</v>
      </c>
      <c r="K167" t="str">
        <f>Raw_Claims_Data!K166</f>
        <v>GA</v>
      </c>
      <c r="L167">
        <f>Raw_Claims_Data!L166</f>
        <v>6</v>
      </c>
      <c r="M167" t="str">
        <f>IF(Raw_Claims_Data!M166="","N/A",Raw_Claims_Data!M166)</f>
        <v>N/A</v>
      </c>
      <c r="N167" t="str">
        <f>Raw_Claims_Data!N166</f>
        <v>AGENT00929</v>
      </c>
      <c r="O167">
        <f>IF(Raw_Claims_Data!G166="D",1,0)</f>
        <v>0</v>
      </c>
    </row>
    <row r="168" spans="1:15" x14ac:dyDescent="0.35">
      <c r="A168" t="str">
        <f>Raw_Claims_Data!A167</f>
        <v>TXN00000164</v>
      </c>
      <c r="B168" t="str">
        <f>TRIM(Raw_Claims_Data!B167)</f>
        <v>Roxann Waters</v>
      </c>
      <c r="C168" t="str">
        <f>Raw_Claims_Data!C167</f>
        <v>Property</v>
      </c>
      <c r="D168">
        <f>Raw_Claims_Data!D167</f>
        <v>120.07</v>
      </c>
      <c r="E168">
        <f>Raw_Claims_Data!E167</f>
        <v>33000</v>
      </c>
      <c r="F168" t="str">
        <f>Raw_Claims_Data!F167</f>
        <v>CO</v>
      </c>
      <c r="G168" t="str">
        <f>Raw_Claims_Data!G167</f>
        <v>A</v>
      </c>
      <c r="H168" t="str">
        <f>Raw_Claims_Data!H167</f>
        <v>Major Loss</v>
      </c>
      <c r="I168" t="str">
        <f>IF(Raw_Claims_Data!I167="","None",Raw_Claims_Data!I167)</f>
        <v>Ambulance</v>
      </c>
      <c r="J168" t="str">
        <f>Raw_Claims_Data!J167</f>
        <v>Pike Road</v>
      </c>
      <c r="K168" t="str">
        <f>Raw_Claims_Data!K167</f>
        <v>AL</v>
      </c>
      <c r="L168">
        <f>Raw_Claims_Data!L167</f>
        <v>14</v>
      </c>
      <c r="M168" t="str">
        <f>IF(Raw_Claims_Data!M167="","N/A",Raw_Claims_Data!M167)</f>
        <v>N/A</v>
      </c>
      <c r="N168" t="str">
        <f>Raw_Claims_Data!N167</f>
        <v>AGENT00194</v>
      </c>
      <c r="O168">
        <f>IF(Raw_Claims_Data!G167="D",1,0)</f>
        <v>0</v>
      </c>
    </row>
    <row r="169" spans="1:15" x14ac:dyDescent="0.35">
      <c r="A169" t="str">
        <f>Raw_Claims_Data!A168</f>
        <v>TXN00000165</v>
      </c>
      <c r="B169" t="str">
        <f>TRIM(Raw_Claims_Data!B168)</f>
        <v>Perry Wright</v>
      </c>
      <c r="C169" t="str">
        <f>Raw_Claims_Data!C168</f>
        <v>Property</v>
      </c>
      <c r="D169">
        <f>Raw_Claims_Data!D168</f>
        <v>129.97</v>
      </c>
      <c r="E169">
        <f>Raw_Claims_Data!E168</f>
        <v>15000</v>
      </c>
      <c r="F169" t="str">
        <f>Raw_Claims_Data!F168</f>
        <v>MA</v>
      </c>
      <c r="G169" t="str">
        <f>Raw_Claims_Data!G168</f>
        <v>A</v>
      </c>
      <c r="H169" t="str">
        <f>Raw_Claims_Data!H168</f>
        <v>Total Loss</v>
      </c>
      <c r="I169" t="str">
        <f>IF(Raw_Claims_Data!I168="","None",Raw_Claims_Data!I168)</f>
        <v>Police</v>
      </c>
      <c r="J169" t="str">
        <f>Raw_Claims_Data!J168</f>
        <v>Fayetteville</v>
      </c>
      <c r="K169" t="str">
        <f>Raw_Claims_Data!K168</f>
        <v>AR</v>
      </c>
      <c r="L169">
        <f>Raw_Claims_Data!L168</f>
        <v>13</v>
      </c>
      <c r="M169" t="str">
        <f>IF(Raw_Claims_Data!M168="","N/A",Raw_Claims_Data!M168)</f>
        <v>VNDR00482</v>
      </c>
      <c r="N169" t="str">
        <f>Raw_Claims_Data!N168</f>
        <v>AGENT00696</v>
      </c>
      <c r="O169">
        <f>IF(Raw_Claims_Data!G168="D",1,0)</f>
        <v>0</v>
      </c>
    </row>
    <row r="170" spans="1:15" x14ac:dyDescent="0.35">
      <c r="A170" t="str">
        <f>Raw_Claims_Data!A169</f>
        <v>TXN00000166</v>
      </c>
      <c r="B170" t="str">
        <f>TRIM(Raw_Claims_Data!B169)</f>
        <v>Florence Merritt</v>
      </c>
      <c r="C170" t="str">
        <f>Raw_Claims_Data!C169</f>
        <v>Motor</v>
      </c>
      <c r="D170">
        <f>Raw_Claims_Data!D169</f>
        <v>110.4</v>
      </c>
      <c r="E170">
        <f>Raw_Claims_Data!E169</f>
        <v>1000</v>
      </c>
      <c r="F170" t="str">
        <f>Raw_Claims_Data!F169</f>
        <v>AL</v>
      </c>
      <c r="G170" t="str">
        <f>Raw_Claims_Data!G169</f>
        <v>A</v>
      </c>
      <c r="H170" t="str">
        <f>Raw_Claims_Data!H169</f>
        <v>Minor Loss</v>
      </c>
      <c r="I170" t="str">
        <f>IF(Raw_Claims_Data!I169="","None",Raw_Claims_Data!I169)</f>
        <v>Ambulance</v>
      </c>
      <c r="J170" t="str">
        <f>Raw_Claims_Data!J169</f>
        <v>Palmer</v>
      </c>
      <c r="K170" t="str">
        <f>Raw_Claims_Data!K169</f>
        <v>MA</v>
      </c>
      <c r="L170">
        <f>Raw_Claims_Data!L169</f>
        <v>6</v>
      </c>
      <c r="M170" t="str">
        <f>IF(Raw_Claims_Data!M169="","N/A",Raw_Claims_Data!M169)</f>
        <v>VNDR00153</v>
      </c>
      <c r="N170" t="str">
        <f>Raw_Claims_Data!N169</f>
        <v>AGENT00427</v>
      </c>
      <c r="O170">
        <f>IF(Raw_Claims_Data!G169="D",1,0)</f>
        <v>0</v>
      </c>
    </row>
    <row r="171" spans="1:15" x14ac:dyDescent="0.35">
      <c r="A171" t="str">
        <f>Raw_Claims_Data!A170</f>
        <v>TXN00000167</v>
      </c>
      <c r="B171" t="str">
        <f>TRIM(Raw_Claims_Data!B170)</f>
        <v>Ann Knight</v>
      </c>
      <c r="C171" t="str">
        <f>Raw_Claims_Data!C170</f>
        <v>Mobile</v>
      </c>
      <c r="D171">
        <f>Raw_Claims_Data!D170</f>
        <v>6.76</v>
      </c>
      <c r="E171">
        <f>Raw_Claims_Data!E170</f>
        <v>300</v>
      </c>
      <c r="F171" t="str">
        <f>Raw_Claims_Data!F170</f>
        <v>OK</v>
      </c>
      <c r="G171" t="str">
        <f>Raw_Claims_Data!G170</f>
        <v>A</v>
      </c>
      <c r="H171" t="str">
        <f>Raw_Claims_Data!H170</f>
        <v>Major Loss</v>
      </c>
      <c r="I171" t="str">
        <f>IF(Raw_Claims_Data!I170="","None",Raw_Claims_Data!I170)</f>
        <v>None</v>
      </c>
      <c r="J171" t="str">
        <f>Raw_Claims_Data!J170</f>
        <v>Severn</v>
      </c>
      <c r="K171" t="str">
        <f>Raw_Claims_Data!K170</f>
        <v>MD</v>
      </c>
      <c r="L171">
        <f>Raw_Claims_Data!L170</f>
        <v>10</v>
      </c>
      <c r="M171" t="str">
        <f>IF(Raw_Claims_Data!M170="","N/A",Raw_Claims_Data!M170)</f>
        <v>N/A</v>
      </c>
      <c r="N171" t="str">
        <f>Raw_Claims_Data!N170</f>
        <v>AGENT00552</v>
      </c>
      <c r="O171">
        <f>IF(Raw_Claims_Data!G170="D",1,0)</f>
        <v>0</v>
      </c>
    </row>
    <row r="172" spans="1:15" x14ac:dyDescent="0.35">
      <c r="A172" t="str">
        <f>Raw_Claims_Data!A171</f>
        <v>TXN00000168</v>
      </c>
      <c r="B172" t="str">
        <f>TRIM(Raw_Claims_Data!B171)</f>
        <v>Jason Marshall</v>
      </c>
      <c r="C172" t="str">
        <f>Raw_Claims_Data!C171</f>
        <v>Mobile</v>
      </c>
      <c r="D172">
        <f>Raw_Claims_Data!D171</f>
        <v>9.49</v>
      </c>
      <c r="E172">
        <f>Raw_Claims_Data!E171</f>
        <v>700</v>
      </c>
      <c r="F172" t="str">
        <f>Raw_Claims_Data!F171</f>
        <v>MA</v>
      </c>
      <c r="G172" t="str">
        <f>Raw_Claims_Data!G171</f>
        <v>A</v>
      </c>
      <c r="H172" t="str">
        <f>Raw_Claims_Data!H171</f>
        <v>Total Loss</v>
      </c>
      <c r="I172" t="str">
        <f>IF(Raw_Claims_Data!I171="","None",Raw_Claims_Data!I171)</f>
        <v>Other</v>
      </c>
      <c r="J172" t="str">
        <f>Raw_Claims_Data!J171</f>
        <v>Nashville</v>
      </c>
      <c r="K172" t="str">
        <f>Raw_Claims_Data!K171</f>
        <v>TN</v>
      </c>
      <c r="L172">
        <f>Raw_Claims_Data!L171</f>
        <v>18</v>
      </c>
      <c r="M172" t="str">
        <f>IF(Raw_Claims_Data!M171="","N/A",Raw_Claims_Data!M171)</f>
        <v>VNDR00456</v>
      </c>
      <c r="N172" t="str">
        <f>Raw_Claims_Data!N171</f>
        <v>AGENT00437</v>
      </c>
      <c r="O172">
        <f>IF(Raw_Claims_Data!G171="D",1,0)</f>
        <v>0</v>
      </c>
    </row>
    <row r="173" spans="1:15" x14ac:dyDescent="0.35">
      <c r="A173" t="str">
        <f>Raw_Claims_Data!A172</f>
        <v>TXN00000169</v>
      </c>
      <c r="B173" t="str">
        <f>TRIM(Raw_Claims_Data!B172)</f>
        <v>Ronald Porter</v>
      </c>
      <c r="C173" t="str">
        <f>Raw_Claims_Data!C172</f>
        <v>Mobile</v>
      </c>
      <c r="D173">
        <f>Raw_Claims_Data!D172</f>
        <v>11.87</v>
      </c>
      <c r="E173">
        <f>Raw_Claims_Data!E172</f>
        <v>400</v>
      </c>
      <c r="F173" t="str">
        <f>Raw_Claims_Data!F172</f>
        <v>MD</v>
      </c>
      <c r="G173" t="str">
        <f>Raw_Claims_Data!G172</f>
        <v>A</v>
      </c>
      <c r="H173" t="str">
        <f>Raw_Claims_Data!H172</f>
        <v>Total Loss</v>
      </c>
      <c r="I173" t="str">
        <f>IF(Raw_Claims_Data!I172="","None",Raw_Claims_Data!I172)</f>
        <v>None</v>
      </c>
      <c r="J173" t="str">
        <f>Raw_Claims_Data!J172</f>
        <v>Saint Matthews</v>
      </c>
      <c r="K173" t="str">
        <f>Raw_Claims_Data!K172</f>
        <v>KY</v>
      </c>
      <c r="L173">
        <f>Raw_Claims_Data!L172</f>
        <v>18</v>
      </c>
      <c r="M173" t="str">
        <f>IF(Raw_Claims_Data!M172="","N/A",Raw_Claims_Data!M172)</f>
        <v>VNDR00077</v>
      </c>
      <c r="N173" t="str">
        <f>Raw_Claims_Data!N172</f>
        <v>AGENT00299</v>
      </c>
      <c r="O173">
        <f>IF(Raw_Claims_Data!G172="D",1,0)</f>
        <v>0</v>
      </c>
    </row>
    <row r="174" spans="1:15" x14ac:dyDescent="0.35">
      <c r="A174" t="str">
        <f>Raw_Claims_Data!A173</f>
        <v>TXN00000170</v>
      </c>
      <c r="B174" t="str">
        <f>TRIM(Raw_Claims_Data!B173)</f>
        <v>Gregory Drees</v>
      </c>
      <c r="C174" t="str">
        <f>Raw_Claims_Data!C173</f>
        <v>Property</v>
      </c>
      <c r="D174">
        <f>Raw_Claims_Data!D173</f>
        <v>109.65</v>
      </c>
      <c r="E174">
        <f>Raw_Claims_Data!E173</f>
        <v>17000</v>
      </c>
      <c r="F174" t="str">
        <f>Raw_Claims_Data!F173</f>
        <v>TN</v>
      </c>
      <c r="G174" t="str">
        <f>Raw_Claims_Data!G173</f>
        <v>A</v>
      </c>
      <c r="H174" t="str">
        <f>Raw_Claims_Data!H173</f>
        <v>Minor Loss</v>
      </c>
      <c r="I174" t="str">
        <f>IF(Raw_Claims_Data!I173="","None",Raw_Claims_Data!I173)</f>
        <v>None</v>
      </c>
      <c r="J174" t="str">
        <f>Raw_Claims_Data!J173</f>
        <v>Glendale</v>
      </c>
      <c r="K174" t="str">
        <f>Raw_Claims_Data!K173</f>
        <v>AZ</v>
      </c>
      <c r="L174">
        <f>Raw_Claims_Data!L173</f>
        <v>22</v>
      </c>
      <c r="M174" t="str">
        <f>IF(Raw_Claims_Data!M173="","N/A",Raw_Claims_Data!M173)</f>
        <v>N/A</v>
      </c>
      <c r="N174" t="str">
        <f>Raw_Claims_Data!N173</f>
        <v>AGENT00038</v>
      </c>
      <c r="O174">
        <f>IF(Raw_Claims_Data!G173="D",1,0)</f>
        <v>0</v>
      </c>
    </row>
    <row r="175" spans="1:15" x14ac:dyDescent="0.35">
      <c r="A175" t="str">
        <f>Raw_Claims_Data!A174</f>
        <v>TXN00000171</v>
      </c>
      <c r="B175" t="str">
        <f>TRIM(Raw_Claims_Data!B174)</f>
        <v>Tony Hunter</v>
      </c>
      <c r="C175" t="str">
        <f>Raw_Claims_Data!C174</f>
        <v>Health</v>
      </c>
      <c r="D175">
        <f>Raw_Claims_Data!D174</f>
        <v>164.79</v>
      </c>
      <c r="E175">
        <f>Raw_Claims_Data!E174</f>
        <v>8000</v>
      </c>
      <c r="F175" t="str">
        <f>Raw_Claims_Data!F174</f>
        <v>GA</v>
      </c>
      <c r="G175" t="str">
        <f>Raw_Claims_Data!G174</f>
        <v>A</v>
      </c>
      <c r="H175" t="str">
        <f>Raw_Claims_Data!H174</f>
        <v>Minor Loss</v>
      </c>
      <c r="I175" t="str">
        <f>IF(Raw_Claims_Data!I174="","None",Raw_Claims_Data!I174)</f>
        <v>Police</v>
      </c>
      <c r="J175" t="str">
        <f>Raw_Claims_Data!J174</f>
        <v>Montgomery</v>
      </c>
      <c r="K175" t="str">
        <f>Raw_Claims_Data!K174</f>
        <v>AL</v>
      </c>
      <c r="L175">
        <f>Raw_Claims_Data!L174</f>
        <v>13</v>
      </c>
      <c r="M175" t="str">
        <f>IF(Raw_Claims_Data!M174="","N/A",Raw_Claims_Data!M174)</f>
        <v>N/A</v>
      </c>
      <c r="N175" t="str">
        <f>Raw_Claims_Data!N174</f>
        <v>AGENT00781</v>
      </c>
      <c r="O175">
        <f>IF(Raw_Claims_Data!G174="D",1,0)</f>
        <v>0</v>
      </c>
    </row>
    <row r="176" spans="1:15" x14ac:dyDescent="0.35">
      <c r="A176" t="str">
        <f>Raw_Claims_Data!A175</f>
        <v>TXN00000172</v>
      </c>
      <c r="B176" t="str">
        <f>TRIM(Raw_Claims_Data!B175)</f>
        <v>Edward Ruvalcaba</v>
      </c>
      <c r="C176" t="str">
        <f>Raw_Claims_Data!C175</f>
        <v>Property</v>
      </c>
      <c r="D176">
        <f>Raw_Claims_Data!D175</f>
        <v>133.52000000000001</v>
      </c>
      <c r="E176">
        <f>Raw_Claims_Data!E175</f>
        <v>13000</v>
      </c>
      <c r="F176" t="str">
        <f>Raw_Claims_Data!F175</f>
        <v>DC</v>
      </c>
      <c r="G176" t="str">
        <f>Raw_Claims_Data!G175</f>
        <v>A</v>
      </c>
      <c r="H176" t="str">
        <f>Raw_Claims_Data!H175</f>
        <v>Major Loss</v>
      </c>
      <c r="I176" t="str">
        <f>IF(Raw_Claims_Data!I175="","None",Raw_Claims_Data!I175)</f>
        <v>None</v>
      </c>
      <c r="J176" t="str">
        <f>Raw_Claims_Data!J175</f>
        <v>Nashville</v>
      </c>
      <c r="K176" t="str">
        <f>Raw_Claims_Data!K175</f>
        <v>TN</v>
      </c>
      <c r="L176">
        <f>Raw_Claims_Data!L175</f>
        <v>1</v>
      </c>
      <c r="M176" t="str">
        <f>IF(Raw_Claims_Data!M175="","N/A",Raw_Claims_Data!M175)</f>
        <v>N/A</v>
      </c>
      <c r="N176" t="str">
        <f>Raw_Claims_Data!N175</f>
        <v>AGENT01020</v>
      </c>
      <c r="O176">
        <f>IF(Raw_Claims_Data!G175="D",1,0)</f>
        <v>0</v>
      </c>
    </row>
    <row r="177" spans="1:15" x14ac:dyDescent="0.35">
      <c r="A177" t="str">
        <f>Raw_Claims_Data!A176</f>
        <v>TXN00000173</v>
      </c>
      <c r="B177" t="str">
        <f>TRIM(Raw_Claims_Data!B176)</f>
        <v>Lloyd Roberts</v>
      </c>
      <c r="C177" t="str">
        <f>Raw_Claims_Data!C176</f>
        <v>Mobile</v>
      </c>
      <c r="D177">
        <f>Raw_Claims_Data!D176</f>
        <v>9.69</v>
      </c>
      <c r="E177">
        <f>Raw_Claims_Data!E176</f>
        <v>300</v>
      </c>
      <c r="F177" t="str">
        <f>Raw_Claims_Data!F176</f>
        <v>GA</v>
      </c>
      <c r="G177" t="str">
        <f>Raw_Claims_Data!G176</f>
        <v>A</v>
      </c>
      <c r="H177" t="str">
        <f>Raw_Claims_Data!H176</f>
        <v>Minor Loss</v>
      </c>
      <c r="I177" t="str">
        <f>IF(Raw_Claims_Data!I176="","None",Raw_Claims_Data!I176)</f>
        <v>Ambulance</v>
      </c>
      <c r="J177" t="str">
        <f>Raw_Claims_Data!J176</f>
        <v>Boulder</v>
      </c>
      <c r="K177" t="str">
        <f>Raw_Claims_Data!K176</f>
        <v>CO</v>
      </c>
      <c r="L177">
        <f>Raw_Claims_Data!L176</f>
        <v>0</v>
      </c>
      <c r="M177" t="str">
        <f>IF(Raw_Claims_Data!M176="","N/A",Raw_Claims_Data!M176)</f>
        <v>N/A</v>
      </c>
      <c r="N177" t="str">
        <f>Raw_Claims_Data!N176</f>
        <v>AGENT00297</v>
      </c>
      <c r="O177">
        <f>IF(Raw_Claims_Data!G176="D",1,0)</f>
        <v>0</v>
      </c>
    </row>
    <row r="178" spans="1:15" x14ac:dyDescent="0.35">
      <c r="A178" t="str">
        <f>Raw_Claims_Data!A177</f>
        <v>TXN00000174</v>
      </c>
      <c r="B178" t="str">
        <f>TRIM(Raw_Claims_Data!B177)</f>
        <v>Warren Frink</v>
      </c>
      <c r="C178" t="str">
        <f>Raw_Claims_Data!C177</f>
        <v>Mobile</v>
      </c>
      <c r="D178">
        <f>Raw_Claims_Data!D177</f>
        <v>11.11</v>
      </c>
      <c r="E178">
        <f>Raw_Claims_Data!E177</f>
        <v>100</v>
      </c>
      <c r="F178" t="str">
        <f>Raw_Claims_Data!F177</f>
        <v>OK</v>
      </c>
      <c r="G178" t="str">
        <f>Raw_Claims_Data!G177</f>
        <v>A</v>
      </c>
      <c r="H178" t="str">
        <f>Raw_Claims_Data!H177</f>
        <v>Minor Loss</v>
      </c>
      <c r="I178" t="str">
        <f>IF(Raw_Claims_Data!I177="","None",Raw_Claims_Data!I177)</f>
        <v>Ambulance</v>
      </c>
      <c r="J178" t="str">
        <f>Raw_Claims_Data!J177</f>
        <v>Panama City</v>
      </c>
      <c r="K178" t="str">
        <f>Raw_Claims_Data!K177</f>
        <v>FL</v>
      </c>
      <c r="L178">
        <f>Raw_Claims_Data!L177</f>
        <v>18</v>
      </c>
      <c r="M178" t="str">
        <f>IF(Raw_Claims_Data!M177="","N/A",Raw_Claims_Data!M177)</f>
        <v>VNDR00310</v>
      </c>
      <c r="N178" t="str">
        <f>Raw_Claims_Data!N177</f>
        <v>AGENT00933</v>
      </c>
      <c r="O178">
        <f>IF(Raw_Claims_Data!G177="D",1,0)</f>
        <v>0</v>
      </c>
    </row>
    <row r="179" spans="1:15" x14ac:dyDescent="0.35">
      <c r="A179" t="str">
        <f>Raw_Claims_Data!A178</f>
        <v>TXN00000175</v>
      </c>
      <c r="B179" t="str">
        <f>TRIM(Raw_Claims_Data!B178)</f>
        <v>Robert Lawrence</v>
      </c>
      <c r="C179" t="str">
        <f>Raw_Claims_Data!C178</f>
        <v>Life</v>
      </c>
      <c r="D179">
        <f>Raw_Claims_Data!D178</f>
        <v>89.74</v>
      </c>
      <c r="E179">
        <f>Raw_Claims_Data!E178</f>
        <v>99000</v>
      </c>
      <c r="F179" t="str">
        <f>Raw_Claims_Data!F178</f>
        <v>VT</v>
      </c>
      <c r="G179" t="str">
        <f>Raw_Claims_Data!G178</f>
        <v>A</v>
      </c>
      <c r="H179" t="str">
        <f>Raw_Claims_Data!H178</f>
        <v>Total Loss</v>
      </c>
      <c r="I179" t="str">
        <f>IF(Raw_Claims_Data!I178="","None",Raw_Claims_Data!I178)</f>
        <v>Ambulance</v>
      </c>
      <c r="J179" t="str">
        <f>Raw_Claims_Data!J178</f>
        <v>Severn</v>
      </c>
      <c r="K179" t="str">
        <f>Raw_Claims_Data!K178</f>
        <v>MD</v>
      </c>
      <c r="L179">
        <f>Raw_Claims_Data!L178</f>
        <v>2</v>
      </c>
      <c r="M179" t="str">
        <f>IF(Raw_Claims_Data!M178="","N/A",Raw_Claims_Data!M178)</f>
        <v>N/A</v>
      </c>
      <c r="N179" t="str">
        <f>Raw_Claims_Data!N178</f>
        <v>AGENT00646</v>
      </c>
      <c r="O179">
        <f>IF(Raw_Claims_Data!G178="D",1,0)</f>
        <v>0</v>
      </c>
    </row>
    <row r="180" spans="1:15" x14ac:dyDescent="0.35">
      <c r="A180" t="str">
        <f>Raw_Claims_Data!A179</f>
        <v>TXN00000176</v>
      </c>
      <c r="B180" t="str">
        <f>TRIM(Raw_Claims_Data!B179)</f>
        <v>Cheryl Denny</v>
      </c>
      <c r="C180" t="str">
        <f>Raw_Claims_Data!C179</f>
        <v>Travel</v>
      </c>
      <c r="D180">
        <f>Raw_Claims_Data!D179</f>
        <v>79.900000000000006</v>
      </c>
      <c r="E180">
        <f>Raw_Claims_Data!E179</f>
        <v>5000</v>
      </c>
      <c r="F180" t="str">
        <f>Raw_Claims_Data!F179</f>
        <v>FL</v>
      </c>
      <c r="G180" t="str">
        <f>Raw_Claims_Data!G179</f>
        <v>A</v>
      </c>
      <c r="H180" t="str">
        <f>Raw_Claims_Data!H179</f>
        <v>Minor Loss</v>
      </c>
      <c r="I180" t="str">
        <f>IF(Raw_Claims_Data!I179="","None",Raw_Claims_Data!I179)</f>
        <v>Other</v>
      </c>
      <c r="J180" t="str">
        <f>Raw_Claims_Data!J179</f>
        <v>Louisville</v>
      </c>
      <c r="K180" t="str">
        <f>Raw_Claims_Data!K179</f>
        <v>KY</v>
      </c>
      <c r="L180">
        <f>Raw_Claims_Data!L179</f>
        <v>15</v>
      </c>
      <c r="M180" t="str">
        <f>IF(Raw_Claims_Data!M179="","N/A",Raw_Claims_Data!M179)</f>
        <v>VNDR00060</v>
      </c>
      <c r="N180" t="str">
        <f>Raw_Claims_Data!N179</f>
        <v>AGENT00388</v>
      </c>
      <c r="O180">
        <f>IF(Raw_Claims_Data!G179="D",1,0)</f>
        <v>0</v>
      </c>
    </row>
    <row r="181" spans="1:15" x14ac:dyDescent="0.35">
      <c r="A181" t="str">
        <f>Raw_Claims_Data!A180</f>
        <v>TXN00000177</v>
      </c>
      <c r="B181" t="str">
        <f>TRIM(Raw_Claims_Data!B180)</f>
        <v>Walter Thibodeaux</v>
      </c>
      <c r="C181" t="str">
        <f>Raw_Claims_Data!C180</f>
        <v>Health</v>
      </c>
      <c r="D181">
        <f>Raw_Claims_Data!D180</f>
        <v>140.37</v>
      </c>
      <c r="E181">
        <f>Raw_Claims_Data!E180</f>
        <v>5000</v>
      </c>
      <c r="F181" t="str">
        <f>Raw_Claims_Data!F180</f>
        <v>AR</v>
      </c>
      <c r="G181" t="str">
        <f>Raw_Claims_Data!G180</f>
        <v>A</v>
      </c>
      <c r="H181" t="str">
        <f>Raw_Claims_Data!H180</f>
        <v>Minor Loss</v>
      </c>
      <c r="I181" t="str">
        <f>IF(Raw_Claims_Data!I180="","None",Raw_Claims_Data!I180)</f>
        <v>Police</v>
      </c>
      <c r="J181" t="str">
        <f>Raw_Claims_Data!J180</f>
        <v>Arvada</v>
      </c>
      <c r="K181" t="str">
        <f>Raw_Claims_Data!K180</f>
        <v>CO</v>
      </c>
      <c r="L181">
        <f>Raw_Claims_Data!L180</f>
        <v>3</v>
      </c>
      <c r="M181" t="str">
        <f>IF(Raw_Claims_Data!M180="","N/A",Raw_Claims_Data!M180)</f>
        <v>N/A</v>
      </c>
      <c r="N181" t="str">
        <f>Raw_Claims_Data!N180</f>
        <v>AGENT00905</v>
      </c>
      <c r="O181">
        <f>IF(Raw_Claims_Data!G180="D",1,0)</f>
        <v>0</v>
      </c>
    </row>
    <row r="182" spans="1:15" x14ac:dyDescent="0.35">
      <c r="A182" t="str">
        <f>Raw_Claims_Data!A181</f>
        <v>TXN00000178</v>
      </c>
      <c r="B182" t="str">
        <f>TRIM(Raw_Claims_Data!B181)</f>
        <v>Patricia Benjamin</v>
      </c>
      <c r="C182" t="str">
        <f>Raw_Claims_Data!C181</f>
        <v>Travel</v>
      </c>
      <c r="D182">
        <f>Raw_Claims_Data!D181</f>
        <v>79.180000000000007</v>
      </c>
      <c r="E182">
        <f>Raw_Claims_Data!E181</f>
        <v>2000</v>
      </c>
      <c r="F182" t="str">
        <f>Raw_Claims_Data!F181</f>
        <v>CA</v>
      </c>
      <c r="G182" t="str">
        <f>Raw_Claims_Data!G181</f>
        <v>A</v>
      </c>
      <c r="H182" t="str">
        <f>Raw_Claims_Data!H181</f>
        <v>Major Loss</v>
      </c>
      <c r="I182" t="str">
        <f>IF(Raw_Claims_Data!I181="","None",Raw_Claims_Data!I181)</f>
        <v>Ambulance</v>
      </c>
      <c r="J182" t="str">
        <f>Raw_Claims_Data!J181</f>
        <v>Glendale</v>
      </c>
      <c r="K182" t="str">
        <f>Raw_Claims_Data!K181</f>
        <v>AZ</v>
      </c>
      <c r="L182">
        <f>Raw_Claims_Data!L181</f>
        <v>7</v>
      </c>
      <c r="M182" t="str">
        <f>IF(Raw_Claims_Data!M181="","N/A",Raw_Claims_Data!M181)</f>
        <v>VNDR00076</v>
      </c>
      <c r="N182" t="str">
        <f>Raw_Claims_Data!N181</f>
        <v>AGENT00730</v>
      </c>
      <c r="O182">
        <f>IF(Raw_Claims_Data!G181="D",1,0)</f>
        <v>0</v>
      </c>
    </row>
    <row r="183" spans="1:15" x14ac:dyDescent="0.35">
      <c r="A183" t="str">
        <f>Raw_Claims_Data!A182</f>
        <v>TXN00000179</v>
      </c>
      <c r="B183" t="str">
        <f>TRIM(Raw_Claims_Data!B182)</f>
        <v>Robert Mcneil</v>
      </c>
      <c r="C183" t="str">
        <f>Raw_Claims_Data!C182</f>
        <v>Travel</v>
      </c>
      <c r="D183">
        <f>Raw_Claims_Data!D182</f>
        <v>85.43</v>
      </c>
      <c r="E183">
        <f>Raw_Claims_Data!E182</f>
        <v>4000</v>
      </c>
      <c r="F183" t="str">
        <f>Raw_Claims_Data!F182</f>
        <v>VT</v>
      </c>
      <c r="G183" t="str">
        <f>Raw_Claims_Data!G182</f>
        <v>A</v>
      </c>
      <c r="H183" t="str">
        <f>Raw_Claims_Data!H182</f>
        <v>Total Loss</v>
      </c>
      <c r="I183" t="str">
        <f>IF(Raw_Claims_Data!I182="","None",Raw_Claims_Data!I182)</f>
        <v>Other</v>
      </c>
      <c r="J183" t="str">
        <f>Raw_Claims_Data!J182</f>
        <v>Nashville</v>
      </c>
      <c r="K183" t="str">
        <f>Raw_Claims_Data!K182</f>
        <v>TN</v>
      </c>
      <c r="L183">
        <f>Raw_Claims_Data!L182</f>
        <v>10</v>
      </c>
      <c r="M183" t="str">
        <f>IF(Raw_Claims_Data!M182="","N/A",Raw_Claims_Data!M182)</f>
        <v>VNDR00555</v>
      </c>
      <c r="N183" t="str">
        <f>Raw_Claims_Data!N182</f>
        <v>AGENT00588</v>
      </c>
      <c r="O183">
        <f>IF(Raw_Claims_Data!G182="D",1,0)</f>
        <v>0</v>
      </c>
    </row>
    <row r="184" spans="1:15" x14ac:dyDescent="0.35">
      <c r="A184" t="str">
        <f>Raw_Claims_Data!A183</f>
        <v>TXN00000180</v>
      </c>
      <c r="B184" t="str">
        <f>TRIM(Raw_Claims_Data!B183)</f>
        <v>James Sicard</v>
      </c>
      <c r="C184" t="str">
        <f>Raw_Claims_Data!C183</f>
        <v>Motor</v>
      </c>
      <c r="D184">
        <f>Raw_Claims_Data!D183</f>
        <v>112.42</v>
      </c>
      <c r="E184">
        <f>Raw_Claims_Data!E183</f>
        <v>4000</v>
      </c>
      <c r="F184" t="str">
        <f>Raw_Claims_Data!F183</f>
        <v>MD</v>
      </c>
      <c r="G184" t="str">
        <f>Raw_Claims_Data!G183</f>
        <v>A</v>
      </c>
      <c r="H184" t="str">
        <f>Raw_Claims_Data!H183</f>
        <v>Total Loss</v>
      </c>
      <c r="I184" t="str">
        <f>IF(Raw_Claims_Data!I183="","None",Raw_Claims_Data!I183)</f>
        <v>None</v>
      </c>
      <c r="J184" t="str">
        <f>Raw_Claims_Data!J183</f>
        <v>Panama City</v>
      </c>
      <c r="K184" t="str">
        <f>Raw_Claims_Data!K183</f>
        <v>FL</v>
      </c>
      <c r="L184">
        <f>Raw_Claims_Data!L183</f>
        <v>1</v>
      </c>
      <c r="M184" t="str">
        <f>IF(Raw_Claims_Data!M183="","N/A",Raw_Claims_Data!M183)</f>
        <v>VNDR00251</v>
      </c>
      <c r="N184" t="str">
        <f>Raw_Claims_Data!N183</f>
        <v>AGENT00523</v>
      </c>
      <c r="O184">
        <f>IF(Raw_Claims_Data!G183="D",1,0)</f>
        <v>0</v>
      </c>
    </row>
    <row r="185" spans="1:15" x14ac:dyDescent="0.35">
      <c r="A185" t="str">
        <f>Raw_Claims_Data!A184</f>
        <v>TXN00000181</v>
      </c>
      <c r="B185" t="str">
        <f>TRIM(Raw_Claims_Data!B184)</f>
        <v>Elizabeth Rodriguez</v>
      </c>
      <c r="C185" t="str">
        <f>Raw_Claims_Data!C184</f>
        <v>Mobile</v>
      </c>
      <c r="D185">
        <f>Raw_Claims_Data!D184</f>
        <v>10.57</v>
      </c>
      <c r="E185">
        <f>Raw_Claims_Data!E184</f>
        <v>300</v>
      </c>
      <c r="F185" t="str">
        <f>Raw_Claims_Data!F184</f>
        <v>MA</v>
      </c>
      <c r="G185" t="str">
        <f>Raw_Claims_Data!G184</f>
        <v>D</v>
      </c>
      <c r="H185" t="str">
        <f>Raw_Claims_Data!H184</f>
        <v>Total Loss</v>
      </c>
      <c r="I185" t="str">
        <f>IF(Raw_Claims_Data!I184="","None",Raw_Claims_Data!I184)</f>
        <v>Other</v>
      </c>
      <c r="J185" t="str">
        <f>Raw_Claims_Data!J184</f>
        <v>Glendale</v>
      </c>
      <c r="K185" t="str">
        <f>Raw_Claims_Data!K184</f>
        <v>AZ</v>
      </c>
      <c r="L185">
        <f>Raw_Claims_Data!L184</f>
        <v>6</v>
      </c>
      <c r="M185" t="str">
        <f>IF(Raw_Claims_Data!M184="","N/A",Raw_Claims_Data!M184)</f>
        <v>N/A</v>
      </c>
      <c r="N185" t="str">
        <f>Raw_Claims_Data!N184</f>
        <v>AGENT01176</v>
      </c>
      <c r="O185">
        <f>IF(Raw_Claims_Data!G184="D",1,0)</f>
        <v>1</v>
      </c>
    </row>
    <row r="186" spans="1:15" x14ac:dyDescent="0.35">
      <c r="A186" t="str">
        <f>Raw_Claims_Data!A185</f>
        <v>TXN00000182</v>
      </c>
      <c r="B186" t="str">
        <f>TRIM(Raw_Claims_Data!B185)</f>
        <v>Mary Lopez</v>
      </c>
      <c r="C186" t="str">
        <f>Raw_Claims_Data!C185</f>
        <v>Mobile</v>
      </c>
      <c r="D186">
        <f>Raw_Claims_Data!D185</f>
        <v>6.37</v>
      </c>
      <c r="E186">
        <f>Raw_Claims_Data!E185</f>
        <v>300</v>
      </c>
      <c r="F186" t="str">
        <f>Raw_Claims_Data!F185</f>
        <v>CT</v>
      </c>
      <c r="G186" t="str">
        <f>Raw_Claims_Data!G185</f>
        <v>A</v>
      </c>
      <c r="H186" t="str">
        <f>Raw_Claims_Data!H185</f>
        <v>Total Loss</v>
      </c>
      <c r="I186" t="str">
        <f>IF(Raw_Claims_Data!I185="","None",Raw_Claims_Data!I185)</f>
        <v>Ambulance</v>
      </c>
      <c r="J186" t="str">
        <f>Raw_Claims_Data!J185</f>
        <v>Washington</v>
      </c>
      <c r="K186" t="str">
        <f>Raw_Claims_Data!K185</f>
        <v>DC</v>
      </c>
      <c r="L186">
        <f>Raw_Claims_Data!L185</f>
        <v>16</v>
      </c>
      <c r="M186" t="str">
        <f>IF(Raw_Claims_Data!M185="","N/A",Raw_Claims_Data!M185)</f>
        <v>VNDR00109</v>
      </c>
      <c r="N186" t="str">
        <f>Raw_Claims_Data!N185</f>
        <v>AGENT00294</v>
      </c>
      <c r="O186">
        <f>IF(Raw_Claims_Data!G185="D",1,0)</f>
        <v>0</v>
      </c>
    </row>
    <row r="187" spans="1:15" x14ac:dyDescent="0.35">
      <c r="A187" t="str">
        <f>Raw_Claims_Data!A186</f>
        <v>TXN00000183</v>
      </c>
      <c r="B187" t="str">
        <f>TRIM(Raw_Claims_Data!B186)</f>
        <v>Lexie Kirley</v>
      </c>
      <c r="C187" t="str">
        <f>Raw_Claims_Data!C186</f>
        <v>Life</v>
      </c>
      <c r="D187">
        <f>Raw_Claims_Data!D186</f>
        <v>61.5</v>
      </c>
      <c r="E187">
        <f>Raw_Claims_Data!E186</f>
        <v>38000</v>
      </c>
      <c r="F187" t="str">
        <f>Raw_Claims_Data!F186</f>
        <v>CA</v>
      </c>
      <c r="G187" t="str">
        <f>Raw_Claims_Data!G186</f>
        <v>A</v>
      </c>
      <c r="H187" t="str">
        <f>Raw_Claims_Data!H186</f>
        <v>Total Loss</v>
      </c>
      <c r="I187" t="str">
        <f>IF(Raw_Claims_Data!I186="","None",Raw_Claims_Data!I186)</f>
        <v>Other</v>
      </c>
      <c r="J187" t="str">
        <f>Raw_Claims_Data!J186</f>
        <v>Nashville</v>
      </c>
      <c r="K187" t="str">
        <f>Raw_Claims_Data!K186</f>
        <v>TN</v>
      </c>
      <c r="L187">
        <f>Raw_Claims_Data!L186</f>
        <v>12</v>
      </c>
      <c r="M187" t="str">
        <f>IF(Raw_Claims_Data!M186="","N/A",Raw_Claims_Data!M186)</f>
        <v>VNDR00156</v>
      </c>
      <c r="N187" t="str">
        <f>Raw_Claims_Data!N186</f>
        <v>AGENT01106</v>
      </c>
      <c r="O187">
        <f>IF(Raw_Claims_Data!G186="D",1,0)</f>
        <v>0</v>
      </c>
    </row>
    <row r="188" spans="1:15" x14ac:dyDescent="0.35">
      <c r="A188" t="str">
        <f>Raw_Claims_Data!A187</f>
        <v>TXN00000184</v>
      </c>
      <c r="B188" t="str">
        <f>TRIM(Raw_Claims_Data!B187)</f>
        <v>Robert Gonzalez</v>
      </c>
      <c r="C188" t="str">
        <f>Raw_Claims_Data!C187</f>
        <v>Mobile</v>
      </c>
      <c r="D188">
        <f>Raw_Claims_Data!D187</f>
        <v>10.6</v>
      </c>
      <c r="E188">
        <f>Raw_Claims_Data!E187</f>
        <v>400</v>
      </c>
      <c r="F188" t="str">
        <f>Raw_Claims_Data!F187</f>
        <v>FL</v>
      </c>
      <c r="G188" t="str">
        <f>Raw_Claims_Data!G187</f>
        <v>A</v>
      </c>
      <c r="H188" t="str">
        <f>Raw_Claims_Data!H187</f>
        <v>Minor Loss</v>
      </c>
      <c r="I188" t="str">
        <f>IF(Raw_Claims_Data!I187="","None",Raw_Claims_Data!I187)</f>
        <v>Ambulance</v>
      </c>
      <c r="J188">
        <f>Raw_Claims_Data!J187</f>
        <v>0</v>
      </c>
      <c r="K188" t="str">
        <f>Raw_Claims_Data!K187</f>
        <v>VT</v>
      </c>
      <c r="L188">
        <f>Raw_Claims_Data!L187</f>
        <v>22</v>
      </c>
      <c r="M188" t="str">
        <f>IF(Raw_Claims_Data!M187="","N/A",Raw_Claims_Data!M187)</f>
        <v>VNDR00470</v>
      </c>
      <c r="N188" t="str">
        <f>Raw_Claims_Data!N187</f>
        <v>AGENT00757</v>
      </c>
      <c r="O188">
        <f>IF(Raw_Claims_Data!G187="D",1,0)</f>
        <v>0</v>
      </c>
    </row>
    <row r="189" spans="1:15" x14ac:dyDescent="0.35">
      <c r="A189" t="str">
        <f>Raw_Claims_Data!A188</f>
        <v>TXN00000185</v>
      </c>
      <c r="B189" t="str">
        <f>TRIM(Raw_Claims_Data!B188)</f>
        <v>Mark Jones</v>
      </c>
      <c r="C189" t="str">
        <f>Raw_Claims_Data!C188</f>
        <v>Health</v>
      </c>
      <c r="D189">
        <f>Raw_Claims_Data!D188</f>
        <v>183.13</v>
      </c>
      <c r="E189">
        <f>Raw_Claims_Data!E188</f>
        <v>12000</v>
      </c>
      <c r="F189" t="str">
        <f>Raw_Claims_Data!F188</f>
        <v>KY</v>
      </c>
      <c r="G189" t="str">
        <f>Raw_Claims_Data!G188</f>
        <v>A</v>
      </c>
      <c r="H189" t="str">
        <f>Raw_Claims_Data!H188</f>
        <v>Total Loss</v>
      </c>
      <c r="I189" t="str">
        <f>IF(Raw_Claims_Data!I188="","None",Raw_Claims_Data!I188)</f>
        <v>Ambulance</v>
      </c>
      <c r="J189" t="str">
        <f>Raw_Claims_Data!J188</f>
        <v>Scituate</v>
      </c>
      <c r="K189" t="str">
        <f>Raw_Claims_Data!K188</f>
        <v>MA</v>
      </c>
      <c r="L189">
        <f>Raw_Claims_Data!L188</f>
        <v>20</v>
      </c>
      <c r="M189" t="str">
        <f>IF(Raw_Claims_Data!M188="","N/A",Raw_Claims_Data!M188)</f>
        <v>VNDR00429</v>
      </c>
      <c r="N189" t="str">
        <f>Raw_Claims_Data!N188</f>
        <v>AGENT00543</v>
      </c>
      <c r="O189">
        <f>IF(Raw_Claims_Data!G188="D",1,0)</f>
        <v>0</v>
      </c>
    </row>
    <row r="190" spans="1:15" x14ac:dyDescent="0.35">
      <c r="A190" t="str">
        <f>Raw_Claims_Data!A189</f>
        <v>TXN00000186</v>
      </c>
      <c r="B190" t="str">
        <f>TRIM(Raw_Claims_Data!B189)</f>
        <v>Angelo Belcher</v>
      </c>
      <c r="C190" t="str">
        <f>Raw_Claims_Data!C189</f>
        <v>Property</v>
      </c>
      <c r="D190">
        <f>Raw_Claims_Data!D189</f>
        <v>111.63</v>
      </c>
      <c r="E190">
        <f>Raw_Claims_Data!E189</f>
        <v>17000</v>
      </c>
      <c r="F190" t="str">
        <f>Raw_Claims_Data!F189</f>
        <v>MD</v>
      </c>
      <c r="G190" t="str">
        <f>Raw_Claims_Data!G189</f>
        <v>A</v>
      </c>
      <c r="H190" t="str">
        <f>Raw_Claims_Data!H189</f>
        <v>Major Loss</v>
      </c>
      <c r="I190" t="str">
        <f>IF(Raw_Claims_Data!I189="","None",Raw_Claims_Data!I189)</f>
        <v>Ambulance</v>
      </c>
      <c r="J190" t="str">
        <f>Raw_Claims_Data!J189</f>
        <v>Louisville</v>
      </c>
      <c r="K190" t="str">
        <f>Raw_Claims_Data!K189</f>
        <v>KY</v>
      </c>
      <c r="L190">
        <f>Raw_Claims_Data!L189</f>
        <v>6</v>
      </c>
      <c r="M190" t="str">
        <f>IF(Raw_Claims_Data!M189="","N/A",Raw_Claims_Data!M189)</f>
        <v>VNDR00211</v>
      </c>
      <c r="N190" t="str">
        <f>Raw_Claims_Data!N189</f>
        <v>AGENT00771</v>
      </c>
      <c r="O190">
        <f>IF(Raw_Claims_Data!G189="D",1,0)</f>
        <v>0</v>
      </c>
    </row>
    <row r="191" spans="1:15" x14ac:dyDescent="0.35">
      <c r="A191" t="str">
        <f>Raw_Claims_Data!A190</f>
        <v>TXN00000187</v>
      </c>
      <c r="B191" t="str">
        <f>TRIM(Raw_Claims_Data!B190)</f>
        <v>Jerry Flesher</v>
      </c>
      <c r="C191" t="str">
        <f>Raw_Claims_Data!C190</f>
        <v>Property</v>
      </c>
      <c r="D191">
        <f>Raw_Claims_Data!D190</f>
        <v>115.92</v>
      </c>
      <c r="E191">
        <f>Raw_Claims_Data!E190</f>
        <v>15000</v>
      </c>
      <c r="F191" t="str">
        <f>Raw_Claims_Data!F190</f>
        <v>CO</v>
      </c>
      <c r="G191" t="str">
        <f>Raw_Claims_Data!G190</f>
        <v>D</v>
      </c>
      <c r="H191" t="str">
        <f>Raw_Claims_Data!H190</f>
        <v>Total Loss</v>
      </c>
      <c r="I191" t="str">
        <f>IF(Raw_Claims_Data!I190="","None",Raw_Claims_Data!I190)</f>
        <v>Ambulance</v>
      </c>
      <c r="J191" t="str">
        <f>Raw_Claims_Data!J190</f>
        <v>Louisville</v>
      </c>
      <c r="K191" t="str">
        <f>Raw_Claims_Data!K190</f>
        <v>KY</v>
      </c>
      <c r="L191">
        <f>Raw_Claims_Data!L190</f>
        <v>21</v>
      </c>
      <c r="M191" t="str">
        <f>IF(Raw_Claims_Data!M190="","N/A",Raw_Claims_Data!M190)</f>
        <v>VNDR00019</v>
      </c>
      <c r="N191" t="str">
        <f>Raw_Claims_Data!N190</f>
        <v>AGENT00266</v>
      </c>
      <c r="O191">
        <f>IF(Raw_Claims_Data!G190="D",1,0)</f>
        <v>1</v>
      </c>
    </row>
    <row r="192" spans="1:15" x14ac:dyDescent="0.35">
      <c r="A192" t="str">
        <f>Raw_Claims_Data!A191</f>
        <v>TXN00000188</v>
      </c>
      <c r="B192" t="str">
        <f>TRIM(Raw_Claims_Data!B191)</f>
        <v>Christine Berryman</v>
      </c>
      <c r="C192" t="str">
        <f>Raw_Claims_Data!C191</f>
        <v>Property</v>
      </c>
      <c r="D192">
        <f>Raw_Claims_Data!D191</f>
        <v>98.83</v>
      </c>
      <c r="E192">
        <f>Raw_Claims_Data!E191</f>
        <v>10000</v>
      </c>
      <c r="F192" t="str">
        <f>Raw_Claims_Data!F191</f>
        <v>DC</v>
      </c>
      <c r="G192" t="str">
        <f>Raw_Claims_Data!G191</f>
        <v>A</v>
      </c>
      <c r="H192" t="str">
        <f>Raw_Claims_Data!H191</f>
        <v>Total Loss</v>
      </c>
      <c r="I192" t="str">
        <f>IF(Raw_Claims_Data!I191="","None",Raw_Claims_Data!I191)</f>
        <v>Ambulance</v>
      </c>
      <c r="J192" t="str">
        <f>Raw_Claims_Data!J191</f>
        <v>Panama City</v>
      </c>
      <c r="K192" t="str">
        <f>Raw_Claims_Data!K191</f>
        <v>FL</v>
      </c>
      <c r="L192">
        <f>Raw_Claims_Data!L191</f>
        <v>5</v>
      </c>
      <c r="M192" t="str">
        <f>IF(Raw_Claims_Data!M191="","N/A",Raw_Claims_Data!M191)</f>
        <v>N/A</v>
      </c>
      <c r="N192" t="str">
        <f>Raw_Claims_Data!N191</f>
        <v>AGENT01078</v>
      </c>
      <c r="O192">
        <f>IF(Raw_Claims_Data!G191="D",1,0)</f>
        <v>0</v>
      </c>
    </row>
    <row r="193" spans="1:15" x14ac:dyDescent="0.35">
      <c r="A193" t="str">
        <f>Raw_Claims_Data!A192</f>
        <v>TXN00000189</v>
      </c>
      <c r="B193" t="str">
        <f>TRIM(Raw_Claims_Data!B192)</f>
        <v>Benjamin Peterson</v>
      </c>
      <c r="C193" t="str">
        <f>Raw_Claims_Data!C192</f>
        <v>Mobile</v>
      </c>
      <c r="D193">
        <f>Raw_Claims_Data!D192</f>
        <v>10.52</v>
      </c>
      <c r="E193">
        <f>Raw_Claims_Data!E192</f>
        <v>700</v>
      </c>
      <c r="F193" t="str">
        <f>Raw_Claims_Data!F192</f>
        <v>GA</v>
      </c>
      <c r="G193" t="str">
        <f>Raw_Claims_Data!G192</f>
        <v>A</v>
      </c>
      <c r="H193" t="str">
        <f>Raw_Claims_Data!H192</f>
        <v>Major Loss</v>
      </c>
      <c r="I193" t="str">
        <f>IF(Raw_Claims_Data!I192="","None",Raw_Claims_Data!I192)</f>
        <v>Ambulance</v>
      </c>
      <c r="J193" t="str">
        <f>Raw_Claims_Data!J192</f>
        <v>New Bedford</v>
      </c>
      <c r="K193" t="str">
        <f>Raw_Claims_Data!K192</f>
        <v>MA</v>
      </c>
      <c r="L193">
        <f>Raw_Claims_Data!L192</f>
        <v>15</v>
      </c>
      <c r="M193" t="str">
        <f>IF(Raw_Claims_Data!M192="","N/A",Raw_Claims_Data!M192)</f>
        <v>VNDR00407</v>
      </c>
      <c r="N193" t="str">
        <f>Raw_Claims_Data!N192</f>
        <v>AGENT01097</v>
      </c>
      <c r="O193">
        <f>IF(Raw_Claims_Data!G192="D",1,0)</f>
        <v>0</v>
      </c>
    </row>
    <row r="194" spans="1:15" x14ac:dyDescent="0.35">
      <c r="A194" t="str">
        <f>Raw_Claims_Data!A193</f>
        <v>TXN00000190</v>
      </c>
      <c r="B194" t="str">
        <f>TRIM(Raw_Claims_Data!B193)</f>
        <v>Jeanette Craig</v>
      </c>
      <c r="C194" t="str">
        <f>Raw_Claims_Data!C193</f>
        <v>Property</v>
      </c>
      <c r="D194">
        <f>Raw_Claims_Data!D193</f>
        <v>149.71</v>
      </c>
      <c r="E194">
        <f>Raw_Claims_Data!E193</f>
        <v>30000</v>
      </c>
      <c r="F194" t="str">
        <f>Raw_Claims_Data!F193</f>
        <v>VT</v>
      </c>
      <c r="G194" t="str">
        <f>Raw_Claims_Data!G193</f>
        <v>A</v>
      </c>
      <c r="H194" t="str">
        <f>Raw_Claims_Data!H193</f>
        <v>Total Loss</v>
      </c>
      <c r="I194" t="str">
        <f>IF(Raw_Claims_Data!I193="","None",Raw_Claims_Data!I193)</f>
        <v>Other</v>
      </c>
      <c r="J194" t="str">
        <f>Raw_Claims_Data!J193</f>
        <v>Arvada</v>
      </c>
      <c r="K194" t="str">
        <f>Raw_Claims_Data!K193</f>
        <v>CO</v>
      </c>
      <c r="L194">
        <f>Raw_Claims_Data!L193</f>
        <v>7</v>
      </c>
      <c r="M194" t="str">
        <f>IF(Raw_Claims_Data!M193="","N/A",Raw_Claims_Data!M193)</f>
        <v>VNDR00382</v>
      </c>
      <c r="N194" t="str">
        <f>Raw_Claims_Data!N193</f>
        <v>AGENT00290</v>
      </c>
      <c r="O194">
        <f>IF(Raw_Claims_Data!G193="D",1,0)</f>
        <v>0</v>
      </c>
    </row>
    <row r="195" spans="1:15" x14ac:dyDescent="0.35">
      <c r="A195" t="str">
        <f>Raw_Claims_Data!A194</f>
        <v>TXN00000191</v>
      </c>
      <c r="B195" t="str">
        <f>TRIM(Raw_Claims_Data!B194)</f>
        <v>Megan Finney</v>
      </c>
      <c r="C195" t="str">
        <f>Raw_Claims_Data!C194</f>
        <v>Mobile</v>
      </c>
      <c r="D195">
        <f>Raw_Claims_Data!D194</f>
        <v>7.79</v>
      </c>
      <c r="E195">
        <f>Raw_Claims_Data!E194</f>
        <v>500</v>
      </c>
      <c r="F195" t="str">
        <f>Raw_Claims_Data!F194</f>
        <v>KY</v>
      </c>
      <c r="G195" t="str">
        <f>Raw_Claims_Data!G194</f>
        <v>A</v>
      </c>
      <c r="H195" t="str">
        <f>Raw_Claims_Data!H194</f>
        <v>Total Loss</v>
      </c>
      <c r="I195" t="str">
        <f>IF(Raw_Claims_Data!I194="","None",Raw_Claims_Data!I194)</f>
        <v>Police</v>
      </c>
      <c r="J195" t="str">
        <f>Raw_Claims_Data!J194</f>
        <v>Hayward</v>
      </c>
      <c r="K195" t="str">
        <f>Raw_Claims_Data!K194</f>
        <v>CA</v>
      </c>
      <c r="L195">
        <f>Raw_Claims_Data!L194</f>
        <v>14</v>
      </c>
      <c r="M195" t="str">
        <f>IF(Raw_Claims_Data!M194="","N/A",Raw_Claims_Data!M194)</f>
        <v>VNDR00350</v>
      </c>
      <c r="N195" t="str">
        <f>Raw_Claims_Data!N194</f>
        <v>AGENT00550</v>
      </c>
      <c r="O195">
        <f>IF(Raw_Claims_Data!G194="D",1,0)</f>
        <v>0</v>
      </c>
    </row>
    <row r="196" spans="1:15" x14ac:dyDescent="0.35">
      <c r="A196" t="str">
        <f>Raw_Claims_Data!A195</f>
        <v>TXN00000192</v>
      </c>
      <c r="B196" t="str">
        <f>TRIM(Raw_Claims_Data!B195)</f>
        <v>Michelle Taylor</v>
      </c>
      <c r="C196" t="str">
        <f>Raw_Claims_Data!C195</f>
        <v>Property</v>
      </c>
      <c r="D196">
        <f>Raw_Claims_Data!D195</f>
        <v>141.85</v>
      </c>
      <c r="E196">
        <f>Raw_Claims_Data!E195</f>
        <v>29000</v>
      </c>
      <c r="F196" t="str">
        <f>Raw_Claims_Data!F195</f>
        <v>CA</v>
      </c>
      <c r="G196" t="str">
        <f>Raw_Claims_Data!G195</f>
        <v>A</v>
      </c>
      <c r="H196" t="str">
        <f>Raw_Claims_Data!H195</f>
        <v>Minor Loss</v>
      </c>
      <c r="I196" t="str">
        <f>IF(Raw_Claims_Data!I195="","None",Raw_Claims_Data!I195)</f>
        <v>Ambulance</v>
      </c>
      <c r="J196" t="str">
        <f>Raw_Claims_Data!J195</f>
        <v>Bethel</v>
      </c>
      <c r="K196" t="str">
        <f>Raw_Claims_Data!K195</f>
        <v>VT</v>
      </c>
      <c r="L196">
        <f>Raw_Claims_Data!L195</f>
        <v>16</v>
      </c>
      <c r="M196" t="str">
        <f>IF(Raw_Claims_Data!M195="","N/A",Raw_Claims_Data!M195)</f>
        <v>N/A</v>
      </c>
      <c r="N196" t="str">
        <f>Raw_Claims_Data!N195</f>
        <v>AGENT00383</v>
      </c>
      <c r="O196">
        <f>IF(Raw_Claims_Data!G195="D",1,0)</f>
        <v>0</v>
      </c>
    </row>
    <row r="197" spans="1:15" x14ac:dyDescent="0.35">
      <c r="A197" t="str">
        <f>Raw_Claims_Data!A196</f>
        <v>TXN00000193</v>
      </c>
      <c r="B197" t="str">
        <f>TRIM(Raw_Claims_Data!B196)</f>
        <v>James Pollitt</v>
      </c>
      <c r="C197" t="str">
        <f>Raw_Claims_Data!C196</f>
        <v>Travel</v>
      </c>
      <c r="D197">
        <f>Raw_Claims_Data!D196</f>
        <v>96.15</v>
      </c>
      <c r="E197">
        <f>Raw_Claims_Data!E196</f>
        <v>5000</v>
      </c>
      <c r="F197" t="str">
        <f>Raw_Claims_Data!F196</f>
        <v>VT</v>
      </c>
      <c r="G197" t="str">
        <f>Raw_Claims_Data!G196</f>
        <v>A</v>
      </c>
      <c r="H197" t="str">
        <f>Raw_Claims_Data!H196</f>
        <v>Total Loss</v>
      </c>
      <c r="I197" t="str">
        <f>IF(Raw_Claims_Data!I196="","None",Raw_Claims_Data!I196)</f>
        <v>Police</v>
      </c>
      <c r="J197" t="str">
        <f>Raw_Claims_Data!J196</f>
        <v>Arvada</v>
      </c>
      <c r="K197" t="str">
        <f>Raw_Claims_Data!K196</f>
        <v>CO</v>
      </c>
      <c r="L197">
        <f>Raw_Claims_Data!L196</f>
        <v>23</v>
      </c>
      <c r="M197" t="str">
        <f>IF(Raw_Claims_Data!M196="","N/A",Raw_Claims_Data!M196)</f>
        <v>N/A</v>
      </c>
      <c r="N197" t="str">
        <f>Raw_Claims_Data!N196</f>
        <v>AGENT00385</v>
      </c>
      <c r="O197">
        <f>IF(Raw_Claims_Data!G196="D",1,0)</f>
        <v>0</v>
      </c>
    </row>
    <row r="198" spans="1:15" x14ac:dyDescent="0.35">
      <c r="A198" t="str">
        <f>Raw_Claims_Data!A197</f>
        <v>TXN00000194</v>
      </c>
      <c r="B198" t="str">
        <f>TRIM(Raw_Claims_Data!B197)</f>
        <v>Raymond Kiffer</v>
      </c>
      <c r="C198" t="str">
        <f>Raw_Claims_Data!C197</f>
        <v>Property</v>
      </c>
      <c r="D198">
        <f>Raw_Claims_Data!D197</f>
        <v>94.3</v>
      </c>
      <c r="E198">
        <f>Raw_Claims_Data!E197</f>
        <v>15000</v>
      </c>
      <c r="F198" t="str">
        <f>Raw_Claims_Data!F197</f>
        <v>MD</v>
      </c>
      <c r="G198" t="str">
        <f>Raw_Claims_Data!G197</f>
        <v>A</v>
      </c>
      <c r="H198" t="str">
        <f>Raw_Claims_Data!H197</f>
        <v>Minor Loss</v>
      </c>
      <c r="I198" t="str">
        <f>IF(Raw_Claims_Data!I197="","None",Raw_Claims_Data!I197)</f>
        <v>Ambulance</v>
      </c>
      <c r="J198" t="str">
        <f>Raw_Claims_Data!J197</f>
        <v>Montgomery</v>
      </c>
      <c r="K198" t="str">
        <f>Raw_Claims_Data!K197</f>
        <v>AL</v>
      </c>
      <c r="L198">
        <f>Raw_Claims_Data!L197</f>
        <v>20</v>
      </c>
      <c r="M198" t="str">
        <f>IF(Raw_Claims_Data!M197="","N/A",Raw_Claims_Data!M197)</f>
        <v>N/A</v>
      </c>
      <c r="N198" t="str">
        <f>Raw_Claims_Data!N197</f>
        <v>AGENT00877</v>
      </c>
      <c r="O198">
        <f>IF(Raw_Claims_Data!G197="D",1,0)</f>
        <v>0</v>
      </c>
    </row>
    <row r="199" spans="1:15" x14ac:dyDescent="0.35">
      <c r="A199" t="str">
        <f>Raw_Claims_Data!A198</f>
        <v>TXN00000195</v>
      </c>
      <c r="B199" t="str">
        <f>TRIM(Raw_Claims_Data!B198)</f>
        <v>Roger Lambert</v>
      </c>
      <c r="C199" t="str">
        <f>Raw_Claims_Data!C198</f>
        <v>Travel</v>
      </c>
      <c r="D199">
        <f>Raw_Claims_Data!D198</f>
        <v>53.44</v>
      </c>
      <c r="E199">
        <f>Raw_Claims_Data!E198</f>
        <v>4000</v>
      </c>
      <c r="F199" t="str">
        <f>Raw_Claims_Data!F198</f>
        <v>AZ</v>
      </c>
      <c r="G199" t="str">
        <f>Raw_Claims_Data!G198</f>
        <v>A</v>
      </c>
      <c r="H199" t="str">
        <f>Raw_Claims_Data!H198</f>
        <v>Major Loss</v>
      </c>
      <c r="I199" t="str">
        <f>IF(Raw_Claims_Data!I198="","None",Raw_Claims_Data!I198)</f>
        <v>None</v>
      </c>
      <c r="J199" t="str">
        <f>Raw_Claims_Data!J198</f>
        <v>Washington</v>
      </c>
      <c r="K199" t="str">
        <f>Raw_Claims_Data!K198</f>
        <v>DC</v>
      </c>
      <c r="L199">
        <f>Raw_Claims_Data!L198</f>
        <v>20</v>
      </c>
      <c r="M199" t="str">
        <f>IF(Raw_Claims_Data!M198="","N/A",Raw_Claims_Data!M198)</f>
        <v>VNDR00278</v>
      </c>
      <c r="N199" t="str">
        <f>Raw_Claims_Data!N198</f>
        <v>AGENT00922</v>
      </c>
      <c r="O199">
        <f>IF(Raw_Claims_Data!G198="D",1,0)</f>
        <v>0</v>
      </c>
    </row>
    <row r="200" spans="1:15" x14ac:dyDescent="0.35">
      <c r="A200" t="str">
        <f>Raw_Claims_Data!A199</f>
        <v>TXN00000196</v>
      </c>
      <c r="B200" t="str">
        <f>TRIM(Raw_Claims_Data!B199)</f>
        <v>Jessica Dawkins</v>
      </c>
      <c r="C200" t="str">
        <f>Raw_Claims_Data!C199</f>
        <v>Property</v>
      </c>
      <c r="D200">
        <f>Raw_Claims_Data!D199</f>
        <v>135.07</v>
      </c>
      <c r="E200">
        <f>Raw_Claims_Data!E199</f>
        <v>32000</v>
      </c>
      <c r="F200" t="str">
        <f>Raw_Claims_Data!F199</f>
        <v>FL</v>
      </c>
      <c r="G200" t="str">
        <f>Raw_Claims_Data!G199</f>
        <v>A</v>
      </c>
      <c r="H200" t="str">
        <f>Raw_Claims_Data!H199</f>
        <v>Total Loss</v>
      </c>
      <c r="I200" t="str">
        <f>IF(Raw_Claims_Data!I199="","None",Raw_Claims_Data!I199)</f>
        <v>Ambulance</v>
      </c>
      <c r="J200" t="str">
        <f>Raw_Claims_Data!J199</f>
        <v>San Lorenzo</v>
      </c>
      <c r="K200" t="str">
        <f>Raw_Claims_Data!K199</f>
        <v>CA</v>
      </c>
      <c r="L200">
        <f>Raw_Claims_Data!L199</f>
        <v>5</v>
      </c>
      <c r="M200" t="str">
        <f>IF(Raw_Claims_Data!M199="","N/A",Raw_Claims_Data!M199)</f>
        <v>VNDR00275</v>
      </c>
      <c r="N200" t="str">
        <f>Raw_Claims_Data!N199</f>
        <v>AGENT00176</v>
      </c>
      <c r="O200">
        <f>IF(Raw_Claims_Data!G199="D",1,0)</f>
        <v>0</v>
      </c>
    </row>
    <row r="201" spans="1:15" x14ac:dyDescent="0.35">
      <c r="A201" t="str">
        <f>Raw_Claims_Data!A200</f>
        <v>TXN00000197</v>
      </c>
      <c r="B201" t="str">
        <f>TRIM(Raw_Claims_Data!B200)</f>
        <v>Mary Bentz</v>
      </c>
      <c r="C201" t="str">
        <f>Raw_Claims_Data!C200</f>
        <v>Health</v>
      </c>
      <c r="D201">
        <f>Raw_Claims_Data!D200</f>
        <v>145.91999999999999</v>
      </c>
      <c r="E201">
        <f>Raw_Claims_Data!E200</f>
        <v>11000</v>
      </c>
      <c r="F201" t="str">
        <f>Raw_Claims_Data!F200</f>
        <v>VT</v>
      </c>
      <c r="G201" t="str">
        <f>Raw_Claims_Data!G200</f>
        <v>A</v>
      </c>
      <c r="H201" t="str">
        <f>Raw_Claims_Data!H200</f>
        <v>Total Loss</v>
      </c>
      <c r="I201" t="str">
        <f>IF(Raw_Claims_Data!I200="","None",Raw_Claims_Data!I200)</f>
        <v>Ambulance</v>
      </c>
      <c r="J201" t="str">
        <f>Raw_Claims_Data!J200</f>
        <v>Montgomery</v>
      </c>
      <c r="K201" t="str">
        <f>Raw_Claims_Data!K200</f>
        <v>AL</v>
      </c>
      <c r="L201">
        <f>Raw_Claims_Data!L200</f>
        <v>6</v>
      </c>
      <c r="M201" t="str">
        <f>IF(Raw_Claims_Data!M200="","N/A",Raw_Claims_Data!M200)</f>
        <v>VNDR00279</v>
      </c>
      <c r="N201" t="str">
        <f>Raw_Claims_Data!N200</f>
        <v>AGENT00739</v>
      </c>
      <c r="O201">
        <f>IF(Raw_Claims_Data!G200="D",1,0)</f>
        <v>0</v>
      </c>
    </row>
    <row r="202" spans="1:15" x14ac:dyDescent="0.35">
      <c r="A202" t="str">
        <f>Raw_Claims_Data!A201</f>
        <v>TXN00000198</v>
      </c>
      <c r="B202" t="str">
        <f>TRIM(Raw_Claims_Data!B201)</f>
        <v>Susan Ridgeway</v>
      </c>
      <c r="C202" t="str">
        <f>Raw_Claims_Data!C201</f>
        <v>Health</v>
      </c>
      <c r="D202">
        <f>Raw_Claims_Data!D201</f>
        <v>148.66</v>
      </c>
      <c r="E202">
        <f>Raw_Claims_Data!E201</f>
        <v>16000</v>
      </c>
      <c r="F202" t="str">
        <f>Raw_Claims_Data!F201</f>
        <v>KY</v>
      </c>
      <c r="G202" t="str">
        <f>Raw_Claims_Data!G201</f>
        <v>A</v>
      </c>
      <c r="H202" t="str">
        <f>Raw_Claims_Data!H201</f>
        <v>Minor Loss</v>
      </c>
      <c r="I202" t="str">
        <f>IF(Raw_Claims_Data!I201="","None",Raw_Claims_Data!I201)</f>
        <v>Police</v>
      </c>
      <c r="J202" t="str">
        <f>Raw_Claims_Data!J201</f>
        <v>Springfield</v>
      </c>
      <c r="K202" t="str">
        <f>Raw_Claims_Data!K201</f>
        <v>MA</v>
      </c>
      <c r="L202">
        <f>Raw_Claims_Data!L201</f>
        <v>2</v>
      </c>
      <c r="M202" t="str">
        <f>IF(Raw_Claims_Data!M201="","N/A",Raw_Claims_Data!M201)</f>
        <v>N/A</v>
      </c>
      <c r="N202" t="str">
        <f>Raw_Claims_Data!N201</f>
        <v>AGENT01194</v>
      </c>
      <c r="O202">
        <f>IF(Raw_Claims_Data!G201="D",1,0)</f>
        <v>0</v>
      </c>
    </row>
    <row r="203" spans="1:15" x14ac:dyDescent="0.35">
      <c r="A203" t="str">
        <f>Raw_Claims_Data!A202</f>
        <v>TXN00000199</v>
      </c>
      <c r="B203" t="str">
        <f>TRIM(Raw_Claims_Data!B202)</f>
        <v>James House</v>
      </c>
      <c r="C203" t="str">
        <f>Raw_Claims_Data!C202</f>
        <v>Property</v>
      </c>
      <c r="D203">
        <f>Raw_Claims_Data!D202</f>
        <v>130.11000000000001</v>
      </c>
      <c r="E203">
        <f>Raw_Claims_Data!E202</f>
        <v>13000</v>
      </c>
      <c r="F203" t="str">
        <f>Raw_Claims_Data!F202</f>
        <v>MD</v>
      </c>
      <c r="G203" t="str">
        <f>Raw_Claims_Data!G202</f>
        <v>A</v>
      </c>
      <c r="H203" t="str">
        <f>Raw_Claims_Data!H202</f>
        <v>Major Loss</v>
      </c>
      <c r="I203" t="str">
        <f>IF(Raw_Claims_Data!I202="","None",Raw_Claims_Data!I202)</f>
        <v>Ambulance</v>
      </c>
      <c r="J203" t="str">
        <f>Raw_Claims_Data!J202</f>
        <v>Anchorage</v>
      </c>
      <c r="K203" t="str">
        <f>Raw_Claims_Data!K202</f>
        <v>AK</v>
      </c>
      <c r="L203">
        <f>Raw_Claims_Data!L202</f>
        <v>11</v>
      </c>
      <c r="M203" t="str">
        <f>IF(Raw_Claims_Data!M202="","N/A",Raw_Claims_Data!M202)</f>
        <v>N/A</v>
      </c>
      <c r="N203" t="str">
        <f>Raw_Claims_Data!N202</f>
        <v>AGENT00613</v>
      </c>
      <c r="O203">
        <f>IF(Raw_Claims_Data!G202="D",1,0)</f>
        <v>0</v>
      </c>
    </row>
    <row r="204" spans="1:15" x14ac:dyDescent="0.35">
      <c r="A204" t="str">
        <f>Raw_Claims_Data!A203</f>
        <v>TXN00000200</v>
      </c>
      <c r="B204" t="str">
        <f>TRIM(Raw_Claims_Data!B203)</f>
        <v>Mac Offerdahl</v>
      </c>
      <c r="C204" t="str">
        <f>Raw_Claims_Data!C203</f>
        <v>Mobile</v>
      </c>
      <c r="D204">
        <f>Raw_Claims_Data!D203</f>
        <v>9.68</v>
      </c>
      <c r="E204">
        <f>Raw_Claims_Data!E203</f>
        <v>400</v>
      </c>
      <c r="F204" t="str">
        <f>Raw_Claims_Data!F203</f>
        <v>CO</v>
      </c>
      <c r="G204" t="str">
        <f>Raw_Claims_Data!G203</f>
        <v>A</v>
      </c>
      <c r="H204" t="str">
        <f>Raw_Claims_Data!H203</f>
        <v>Total Loss</v>
      </c>
      <c r="I204" t="str">
        <f>IF(Raw_Claims_Data!I203="","None",Raw_Claims_Data!I203)</f>
        <v>Police</v>
      </c>
      <c r="J204" t="str">
        <f>Raw_Claims_Data!J203</f>
        <v>Panama City</v>
      </c>
      <c r="K204" t="str">
        <f>Raw_Claims_Data!K203</f>
        <v>FL</v>
      </c>
      <c r="L204">
        <f>Raw_Claims_Data!L203</f>
        <v>6</v>
      </c>
      <c r="M204" t="str">
        <f>IF(Raw_Claims_Data!M203="","N/A",Raw_Claims_Data!M203)</f>
        <v>VNDR00083</v>
      </c>
      <c r="N204" t="str">
        <f>Raw_Claims_Data!N203</f>
        <v>AGENT00704</v>
      </c>
      <c r="O204">
        <f>IF(Raw_Claims_Data!G203="D",1,0)</f>
        <v>0</v>
      </c>
    </row>
    <row r="205" spans="1:15" x14ac:dyDescent="0.35">
      <c r="A205" t="str">
        <f>Raw_Claims_Data!A204</f>
        <v>TXN00000201</v>
      </c>
      <c r="B205" t="str">
        <f>TRIM(Raw_Claims_Data!B204)</f>
        <v>Brenda Eddins</v>
      </c>
      <c r="C205" t="str">
        <f>Raw_Claims_Data!C204</f>
        <v>Travel</v>
      </c>
      <c r="D205">
        <f>Raw_Claims_Data!D204</f>
        <v>87.89</v>
      </c>
      <c r="E205">
        <f>Raw_Claims_Data!E204</f>
        <v>2000</v>
      </c>
      <c r="F205" t="str">
        <f>Raw_Claims_Data!F204</f>
        <v>CO</v>
      </c>
      <c r="G205" t="str">
        <f>Raw_Claims_Data!G204</f>
        <v>A</v>
      </c>
      <c r="H205" t="str">
        <f>Raw_Claims_Data!H204</f>
        <v>Total Loss</v>
      </c>
      <c r="I205" t="str">
        <f>IF(Raw_Claims_Data!I204="","None",Raw_Claims_Data!I204)</f>
        <v>Police</v>
      </c>
      <c r="J205" t="str">
        <f>Raw_Claims_Data!J204</f>
        <v>Savannah</v>
      </c>
      <c r="K205" t="str">
        <f>Raw_Claims_Data!K204</f>
        <v>GA</v>
      </c>
      <c r="L205">
        <f>Raw_Claims_Data!L204</f>
        <v>18</v>
      </c>
      <c r="M205" t="str">
        <f>IF(Raw_Claims_Data!M204="","N/A",Raw_Claims_Data!M204)</f>
        <v>N/A</v>
      </c>
      <c r="N205" t="str">
        <f>Raw_Claims_Data!N204</f>
        <v>AGENT01072</v>
      </c>
      <c r="O205">
        <f>IF(Raw_Claims_Data!G204="D",1,0)</f>
        <v>0</v>
      </c>
    </row>
    <row r="206" spans="1:15" x14ac:dyDescent="0.35">
      <c r="A206" t="str">
        <f>Raw_Claims_Data!A205</f>
        <v>TXN00000202</v>
      </c>
      <c r="B206" t="str">
        <f>TRIM(Raw_Claims_Data!B205)</f>
        <v>Annie Stumpf</v>
      </c>
      <c r="C206" t="str">
        <f>Raw_Claims_Data!C205</f>
        <v>Travel</v>
      </c>
      <c r="D206">
        <f>Raw_Claims_Data!D205</f>
        <v>57.47</v>
      </c>
      <c r="E206">
        <f>Raw_Claims_Data!E205</f>
        <v>1000</v>
      </c>
      <c r="F206" t="str">
        <f>Raw_Claims_Data!F205</f>
        <v>MD</v>
      </c>
      <c r="G206" t="str">
        <f>Raw_Claims_Data!G205</f>
        <v>A</v>
      </c>
      <c r="H206" t="str">
        <f>Raw_Claims_Data!H205</f>
        <v>Minor Loss</v>
      </c>
      <c r="I206" t="str">
        <f>IF(Raw_Claims_Data!I205="","None",Raw_Claims_Data!I205)</f>
        <v>Ambulance</v>
      </c>
      <c r="J206" t="str">
        <f>Raw_Claims_Data!J205</f>
        <v>Nashville</v>
      </c>
      <c r="K206" t="str">
        <f>Raw_Claims_Data!K205</f>
        <v>TN</v>
      </c>
      <c r="L206">
        <f>Raw_Claims_Data!L205</f>
        <v>4</v>
      </c>
      <c r="M206" t="str">
        <f>IF(Raw_Claims_Data!M205="","N/A",Raw_Claims_Data!M205)</f>
        <v>VNDR00305</v>
      </c>
      <c r="N206" t="str">
        <f>Raw_Claims_Data!N205</f>
        <v>AGENT00086</v>
      </c>
      <c r="O206">
        <f>IF(Raw_Claims_Data!G205="D",1,0)</f>
        <v>0</v>
      </c>
    </row>
    <row r="207" spans="1:15" x14ac:dyDescent="0.35">
      <c r="A207" t="str">
        <f>Raw_Claims_Data!A206</f>
        <v>TXN00000203</v>
      </c>
      <c r="B207" t="str">
        <f>TRIM(Raw_Claims_Data!B206)</f>
        <v>Susan Lewis</v>
      </c>
      <c r="C207" t="str">
        <f>Raw_Claims_Data!C206</f>
        <v>Life</v>
      </c>
      <c r="D207">
        <f>Raw_Claims_Data!D206</f>
        <v>69.5</v>
      </c>
      <c r="E207">
        <f>Raw_Claims_Data!E206</f>
        <v>35000</v>
      </c>
      <c r="F207" t="str">
        <f>Raw_Claims_Data!F206</f>
        <v>CA</v>
      </c>
      <c r="G207" t="str">
        <f>Raw_Claims_Data!G206</f>
        <v>A</v>
      </c>
      <c r="H207" t="str">
        <f>Raw_Claims_Data!H206</f>
        <v>Total Loss</v>
      </c>
      <c r="I207" t="str">
        <f>IF(Raw_Claims_Data!I206="","None",Raw_Claims_Data!I206)</f>
        <v>Other</v>
      </c>
      <c r="J207" t="str">
        <f>Raw_Claims_Data!J206</f>
        <v>Montgomery</v>
      </c>
      <c r="K207" t="str">
        <f>Raw_Claims_Data!K206</f>
        <v>AL</v>
      </c>
      <c r="L207">
        <f>Raw_Claims_Data!L206</f>
        <v>17</v>
      </c>
      <c r="M207" t="str">
        <f>IF(Raw_Claims_Data!M206="","N/A",Raw_Claims_Data!M206)</f>
        <v>VNDR00083</v>
      </c>
      <c r="N207" t="str">
        <f>Raw_Claims_Data!N206</f>
        <v>AGENT00296</v>
      </c>
      <c r="O207">
        <f>IF(Raw_Claims_Data!G206="D",1,0)</f>
        <v>0</v>
      </c>
    </row>
    <row r="208" spans="1:15" x14ac:dyDescent="0.35">
      <c r="A208" t="str">
        <f>Raw_Claims_Data!A207</f>
        <v>TXN00000204</v>
      </c>
      <c r="B208" t="str">
        <f>TRIM(Raw_Claims_Data!B207)</f>
        <v>Daniel Conklin</v>
      </c>
      <c r="C208" t="str">
        <f>Raw_Claims_Data!C207</f>
        <v>Life</v>
      </c>
      <c r="D208">
        <f>Raw_Claims_Data!D207</f>
        <v>83.46</v>
      </c>
      <c r="E208">
        <f>Raw_Claims_Data!E207</f>
        <v>99000</v>
      </c>
      <c r="F208" t="str">
        <f>Raw_Claims_Data!F207</f>
        <v>CA</v>
      </c>
      <c r="G208" t="str">
        <f>Raw_Claims_Data!G207</f>
        <v>A</v>
      </c>
      <c r="H208" t="str">
        <f>Raw_Claims_Data!H207</f>
        <v>Major Loss</v>
      </c>
      <c r="I208" t="str">
        <f>IF(Raw_Claims_Data!I207="","None",Raw_Claims_Data!I207)</f>
        <v>Ambulance</v>
      </c>
      <c r="J208" t="str">
        <f>Raw_Claims_Data!J207</f>
        <v>Fremont</v>
      </c>
      <c r="K208" t="str">
        <f>Raw_Claims_Data!K207</f>
        <v>CA</v>
      </c>
      <c r="L208">
        <f>Raw_Claims_Data!L207</f>
        <v>12</v>
      </c>
      <c r="M208" t="str">
        <f>IF(Raw_Claims_Data!M207="","N/A",Raw_Claims_Data!M207)</f>
        <v>VNDR00594</v>
      </c>
      <c r="N208" t="str">
        <f>Raw_Claims_Data!N207</f>
        <v>AGENT00837</v>
      </c>
      <c r="O208">
        <f>IF(Raw_Claims_Data!G207="D",1,0)</f>
        <v>0</v>
      </c>
    </row>
    <row r="209" spans="1:15" x14ac:dyDescent="0.35">
      <c r="A209" t="str">
        <f>Raw_Claims_Data!A208</f>
        <v>TXN00000205</v>
      </c>
      <c r="B209" t="str">
        <f>TRIM(Raw_Claims_Data!B208)</f>
        <v>Joseph Dinkel</v>
      </c>
      <c r="C209" t="str">
        <f>Raw_Claims_Data!C208</f>
        <v>Mobile</v>
      </c>
      <c r="D209">
        <f>Raw_Claims_Data!D208</f>
        <v>7.92</v>
      </c>
      <c r="E209">
        <f>Raw_Claims_Data!E208</f>
        <v>400</v>
      </c>
      <c r="F209" t="str">
        <f>Raw_Claims_Data!F208</f>
        <v>AK</v>
      </c>
      <c r="G209" t="str">
        <f>Raw_Claims_Data!G208</f>
        <v>A</v>
      </c>
      <c r="H209" t="str">
        <f>Raw_Claims_Data!H208</f>
        <v>Minor Loss</v>
      </c>
      <c r="I209" t="str">
        <f>IF(Raw_Claims_Data!I208="","None",Raw_Claims_Data!I208)</f>
        <v>Police</v>
      </c>
      <c r="J209" t="str">
        <f>Raw_Claims_Data!J208</f>
        <v>Nashville</v>
      </c>
      <c r="K209" t="str">
        <f>Raw_Claims_Data!K208</f>
        <v>TN</v>
      </c>
      <c r="L209">
        <f>Raw_Claims_Data!L208</f>
        <v>20</v>
      </c>
      <c r="M209" t="str">
        <f>IF(Raw_Claims_Data!M208="","N/A",Raw_Claims_Data!M208)</f>
        <v>VNDR00540</v>
      </c>
      <c r="N209" t="str">
        <f>Raw_Claims_Data!N208</f>
        <v>AGENT00788</v>
      </c>
      <c r="O209">
        <f>IF(Raw_Claims_Data!G208="D",1,0)</f>
        <v>0</v>
      </c>
    </row>
    <row r="210" spans="1:15" x14ac:dyDescent="0.35">
      <c r="A210" t="str">
        <f>Raw_Claims_Data!A209</f>
        <v>TXN00000206</v>
      </c>
      <c r="B210" t="str">
        <f>TRIM(Raw_Claims_Data!B209)</f>
        <v>Elizabeth Perry</v>
      </c>
      <c r="C210" t="str">
        <f>Raw_Claims_Data!C209</f>
        <v>Motor</v>
      </c>
      <c r="D210">
        <f>Raw_Claims_Data!D209</f>
        <v>71.180000000000007</v>
      </c>
      <c r="E210">
        <f>Raw_Claims_Data!E209</f>
        <v>7000</v>
      </c>
      <c r="F210" t="str">
        <f>Raw_Claims_Data!F209</f>
        <v>AK</v>
      </c>
      <c r="G210" t="str">
        <f>Raw_Claims_Data!G209</f>
        <v>A</v>
      </c>
      <c r="H210" t="str">
        <f>Raw_Claims_Data!H209</f>
        <v>Minor Loss</v>
      </c>
      <c r="I210" t="str">
        <f>IF(Raw_Claims_Data!I209="","None",Raw_Claims_Data!I209)</f>
        <v>Other</v>
      </c>
      <c r="J210" t="str">
        <f>Raw_Claims_Data!J209</f>
        <v>Brookline</v>
      </c>
      <c r="K210" t="str">
        <f>Raw_Claims_Data!K209</f>
        <v>MA</v>
      </c>
      <c r="L210">
        <f>Raw_Claims_Data!L209</f>
        <v>6</v>
      </c>
      <c r="M210" t="str">
        <f>IF(Raw_Claims_Data!M209="","N/A",Raw_Claims_Data!M209)</f>
        <v>VNDR00365</v>
      </c>
      <c r="N210" t="str">
        <f>Raw_Claims_Data!N209</f>
        <v>AGENT01015</v>
      </c>
      <c r="O210">
        <f>IF(Raw_Claims_Data!G209="D",1,0)</f>
        <v>0</v>
      </c>
    </row>
    <row r="211" spans="1:15" x14ac:dyDescent="0.35">
      <c r="A211" t="str">
        <f>Raw_Claims_Data!A210</f>
        <v>TXN00000207</v>
      </c>
      <c r="B211" t="str">
        <f>TRIM(Raw_Claims_Data!B210)</f>
        <v>Gail Mauldin</v>
      </c>
      <c r="C211" t="str">
        <f>Raw_Claims_Data!C210</f>
        <v>Health</v>
      </c>
      <c r="D211">
        <f>Raw_Claims_Data!D210</f>
        <v>181.29</v>
      </c>
      <c r="E211">
        <f>Raw_Claims_Data!E210</f>
        <v>6000</v>
      </c>
      <c r="F211" t="str">
        <f>Raw_Claims_Data!F210</f>
        <v>CT</v>
      </c>
      <c r="G211" t="str">
        <f>Raw_Claims_Data!G210</f>
        <v>A</v>
      </c>
      <c r="H211" t="str">
        <f>Raw_Claims_Data!H210</f>
        <v>Major Loss</v>
      </c>
      <c r="I211" t="str">
        <f>IF(Raw_Claims_Data!I210="","None",Raw_Claims_Data!I210)</f>
        <v>None</v>
      </c>
      <c r="J211" t="str">
        <f>Raw_Claims_Data!J210</f>
        <v>Livermore</v>
      </c>
      <c r="K211" t="str">
        <f>Raw_Claims_Data!K210</f>
        <v>CA</v>
      </c>
      <c r="L211">
        <f>Raw_Claims_Data!L210</f>
        <v>4</v>
      </c>
      <c r="M211" t="str">
        <f>IF(Raw_Claims_Data!M210="","N/A",Raw_Claims_Data!M210)</f>
        <v>N/A</v>
      </c>
      <c r="N211" t="str">
        <f>Raw_Claims_Data!N210</f>
        <v>AGENT00319</v>
      </c>
      <c r="O211">
        <f>IF(Raw_Claims_Data!G210="D",1,0)</f>
        <v>0</v>
      </c>
    </row>
    <row r="212" spans="1:15" x14ac:dyDescent="0.35">
      <c r="A212" t="str">
        <f>Raw_Claims_Data!A211</f>
        <v>TXN00000208</v>
      </c>
      <c r="B212" t="str">
        <f>TRIM(Raw_Claims_Data!B211)</f>
        <v>Betty Bowman</v>
      </c>
      <c r="C212" t="str">
        <f>Raw_Claims_Data!C211</f>
        <v>Travel</v>
      </c>
      <c r="D212">
        <f>Raw_Claims_Data!D211</f>
        <v>91.27</v>
      </c>
      <c r="E212">
        <f>Raw_Claims_Data!E211</f>
        <v>2000</v>
      </c>
      <c r="F212" t="str">
        <f>Raw_Claims_Data!F211</f>
        <v>CA</v>
      </c>
      <c r="G212" t="str">
        <f>Raw_Claims_Data!G211</f>
        <v>A</v>
      </c>
      <c r="H212" t="str">
        <f>Raw_Claims_Data!H211</f>
        <v>Major Loss</v>
      </c>
      <c r="I212" t="str">
        <f>IF(Raw_Claims_Data!I211="","None",Raw_Claims_Data!I211)</f>
        <v>None</v>
      </c>
      <c r="J212" t="str">
        <f>Raw_Claims_Data!J211</f>
        <v>Mexico Beach</v>
      </c>
      <c r="K212" t="str">
        <f>Raw_Claims_Data!K211</f>
        <v>FL</v>
      </c>
      <c r="L212">
        <f>Raw_Claims_Data!L211</f>
        <v>20</v>
      </c>
      <c r="M212" t="str">
        <f>IF(Raw_Claims_Data!M211="","N/A",Raw_Claims_Data!M211)</f>
        <v>VNDR00003</v>
      </c>
      <c r="N212" t="str">
        <f>Raw_Claims_Data!N211</f>
        <v>AGENT00688</v>
      </c>
      <c r="O212">
        <f>IF(Raw_Claims_Data!G211="D",1,0)</f>
        <v>0</v>
      </c>
    </row>
    <row r="213" spans="1:15" x14ac:dyDescent="0.35">
      <c r="A213" t="str">
        <f>Raw_Claims_Data!A212</f>
        <v>TXN00000209</v>
      </c>
      <c r="B213" t="str">
        <f>TRIM(Raw_Claims_Data!B212)</f>
        <v>Joseph Armstrong</v>
      </c>
      <c r="C213" t="str">
        <f>Raw_Claims_Data!C212</f>
        <v>Travel</v>
      </c>
      <c r="D213">
        <f>Raw_Claims_Data!D212</f>
        <v>82.11</v>
      </c>
      <c r="E213">
        <f>Raw_Claims_Data!E212</f>
        <v>2000</v>
      </c>
      <c r="F213" t="str">
        <f>Raw_Claims_Data!F212</f>
        <v>AZ</v>
      </c>
      <c r="G213" t="str">
        <f>Raw_Claims_Data!G212</f>
        <v>A</v>
      </c>
      <c r="H213" t="str">
        <f>Raw_Claims_Data!H212</f>
        <v>Major Loss</v>
      </c>
      <c r="I213" t="str">
        <f>IF(Raw_Claims_Data!I212="","None",Raw_Claims_Data!I212)</f>
        <v>None</v>
      </c>
      <c r="J213" t="str">
        <f>Raw_Claims_Data!J212</f>
        <v>Savannah</v>
      </c>
      <c r="K213" t="str">
        <f>Raw_Claims_Data!K212</f>
        <v>GA</v>
      </c>
      <c r="L213">
        <f>Raw_Claims_Data!L212</f>
        <v>17</v>
      </c>
      <c r="M213" t="str">
        <f>IF(Raw_Claims_Data!M212="","N/A",Raw_Claims_Data!M212)</f>
        <v>VNDR00269</v>
      </c>
      <c r="N213" t="str">
        <f>Raw_Claims_Data!N212</f>
        <v>AGENT00907</v>
      </c>
      <c r="O213">
        <f>IF(Raw_Claims_Data!G212="D",1,0)</f>
        <v>0</v>
      </c>
    </row>
    <row r="214" spans="1:15" x14ac:dyDescent="0.35">
      <c r="A214" t="str">
        <f>Raw_Claims_Data!A213</f>
        <v>TXN00000210</v>
      </c>
      <c r="B214" t="str">
        <f>TRIM(Raw_Claims_Data!B213)</f>
        <v>Richard Herrera</v>
      </c>
      <c r="C214" t="str">
        <f>Raw_Claims_Data!C213</f>
        <v>Motor</v>
      </c>
      <c r="D214">
        <f>Raw_Claims_Data!D213</f>
        <v>78.650000000000006</v>
      </c>
      <c r="E214">
        <f>Raw_Claims_Data!E213</f>
        <v>3000</v>
      </c>
      <c r="F214" t="str">
        <f>Raw_Claims_Data!F213</f>
        <v>CA</v>
      </c>
      <c r="G214" t="str">
        <f>Raw_Claims_Data!G213</f>
        <v>A</v>
      </c>
      <c r="H214" t="str">
        <f>Raw_Claims_Data!H213</f>
        <v>Total Loss</v>
      </c>
      <c r="I214" t="str">
        <f>IF(Raw_Claims_Data!I213="","None",Raw_Claims_Data!I213)</f>
        <v>Other</v>
      </c>
      <c r="J214" t="str">
        <f>Raw_Claims_Data!J213</f>
        <v>Yucaipa</v>
      </c>
      <c r="K214" t="str">
        <f>Raw_Claims_Data!K213</f>
        <v>CA</v>
      </c>
      <c r="L214">
        <f>Raw_Claims_Data!L213</f>
        <v>10</v>
      </c>
      <c r="M214" t="str">
        <f>IF(Raw_Claims_Data!M213="","N/A",Raw_Claims_Data!M213)</f>
        <v>N/A</v>
      </c>
      <c r="N214" t="str">
        <f>Raw_Claims_Data!N213</f>
        <v>AGENT00226</v>
      </c>
      <c r="O214">
        <f>IF(Raw_Claims_Data!G213="D",1,0)</f>
        <v>0</v>
      </c>
    </row>
    <row r="215" spans="1:15" x14ac:dyDescent="0.35">
      <c r="A215" t="str">
        <f>Raw_Claims_Data!A214</f>
        <v>TXN00000211</v>
      </c>
      <c r="B215" t="str">
        <f>TRIM(Raw_Claims_Data!B214)</f>
        <v>Garry Rushing</v>
      </c>
      <c r="C215" t="str">
        <f>Raw_Claims_Data!C214</f>
        <v>Travel</v>
      </c>
      <c r="D215">
        <f>Raw_Claims_Data!D214</f>
        <v>65.44</v>
      </c>
      <c r="E215">
        <f>Raw_Claims_Data!E214</f>
        <v>4000</v>
      </c>
      <c r="F215" t="str">
        <f>Raw_Claims_Data!F214</f>
        <v>AR</v>
      </c>
      <c r="G215" t="str">
        <f>Raw_Claims_Data!G214</f>
        <v>A</v>
      </c>
      <c r="H215" t="str">
        <f>Raw_Claims_Data!H214</f>
        <v>Total Loss</v>
      </c>
      <c r="I215" t="str">
        <f>IF(Raw_Claims_Data!I214="","None",Raw_Claims_Data!I214)</f>
        <v>Ambulance</v>
      </c>
      <c r="J215" t="str">
        <f>Raw_Claims_Data!J214</f>
        <v>Brookline</v>
      </c>
      <c r="K215" t="str">
        <f>Raw_Claims_Data!K214</f>
        <v>MA</v>
      </c>
      <c r="L215">
        <f>Raw_Claims_Data!L214</f>
        <v>7</v>
      </c>
      <c r="M215" t="str">
        <f>IF(Raw_Claims_Data!M214="","N/A",Raw_Claims_Data!M214)</f>
        <v>N/A</v>
      </c>
      <c r="N215" t="str">
        <f>Raw_Claims_Data!N214</f>
        <v>AGENT00274</v>
      </c>
      <c r="O215">
        <f>IF(Raw_Claims_Data!G214="D",1,0)</f>
        <v>0</v>
      </c>
    </row>
    <row r="216" spans="1:15" x14ac:dyDescent="0.35">
      <c r="A216" t="str">
        <f>Raw_Claims_Data!A215</f>
        <v>TXN00000212</v>
      </c>
      <c r="B216" t="str">
        <f>TRIM(Raw_Claims_Data!B215)</f>
        <v>Eric Hutchinson</v>
      </c>
      <c r="C216" t="str">
        <f>Raw_Claims_Data!C215</f>
        <v>Life</v>
      </c>
      <c r="D216">
        <f>Raw_Claims_Data!D215</f>
        <v>80.75</v>
      </c>
      <c r="E216">
        <f>Raw_Claims_Data!E215</f>
        <v>16000</v>
      </c>
      <c r="F216" t="str">
        <f>Raw_Claims_Data!F215</f>
        <v>CO</v>
      </c>
      <c r="G216" t="str">
        <f>Raw_Claims_Data!G215</f>
        <v>A</v>
      </c>
      <c r="H216" t="str">
        <f>Raw_Claims_Data!H215</f>
        <v>Minor Loss</v>
      </c>
      <c r="I216" t="str">
        <f>IF(Raw_Claims_Data!I215="","None",Raw_Claims_Data!I215)</f>
        <v>Ambulance</v>
      </c>
      <c r="J216" t="str">
        <f>Raw_Claims_Data!J215</f>
        <v>Peoria</v>
      </c>
      <c r="K216" t="str">
        <f>Raw_Claims_Data!K215</f>
        <v>AZ</v>
      </c>
      <c r="L216">
        <f>Raw_Claims_Data!L215</f>
        <v>4</v>
      </c>
      <c r="M216" t="str">
        <f>IF(Raw_Claims_Data!M215="","N/A",Raw_Claims_Data!M215)</f>
        <v>N/A</v>
      </c>
      <c r="N216" t="str">
        <f>Raw_Claims_Data!N215</f>
        <v>AGENT00244</v>
      </c>
      <c r="O216">
        <f>IF(Raw_Claims_Data!G215="D",1,0)</f>
        <v>0</v>
      </c>
    </row>
    <row r="217" spans="1:15" x14ac:dyDescent="0.35">
      <c r="A217" t="str">
        <f>Raw_Claims_Data!A216</f>
        <v>TXN00000213</v>
      </c>
      <c r="B217" t="str">
        <f>TRIM(Raw_Claims_Data!B216)</f>
        <v>Stuart Menist</v>
      </c>
      <c r="C217" t="str">
        <f>Raw_Claims_Data!C216</f>
        <v>Motor</v>
      </c>
      <c r="D217">
        <f>Raw_Claims_Data!D216</f>
        <v>95.58</v>
      </c>
      <c r="E217">
        <f>Raw_Claims_Data!E216</f>
        <v>5000</v>
      </c>
      <c r="F217" t="str">
        <f>Raw_Claims_Data!F216</f>
        <v>AR</v>
      </c>
      <c r="G217" t="str">
        <f>Raw_Claims_Data!G216</f>
        <v>A</v>
      </c>
      <c r="H217" t="str">
        <f>Raw_Claims_Data!H216</f>
        <v>Major Loss</v>
      </c>
      <c r="I217" t="str">
        <f>IF(Raw_Claims_Data!I216="","None",Raw_Claims_Data!I216)</f>
        <v>None</v>
      </c>
      <c r="J217" t="str">
        <f>Raw_Claims_Data!J216</f>
        <v>Savannah</v>
      </c>
      <c r="K217" t="str">
        <f>Raw_Claims_Data!K216</f>
        <v>GA</v>
      </c>
      <c r="L217">
        <f>Raw_Claims_Data!L216</f>
        <v>11</v>
      </c>
      <c r="M217" t="str">
        <f>IF(Raw_Claims_Data!M216="","N/A",Raw_Claims_Data!M216)</f>
        <v>VNDR00461</v>
      </c>
      <c r="N217" t="str">
        <f>Raw_Claims_Data!N216</f>
        <v>AGENT00227</v>
      </c>
      <c r="O217">
        <f>IF(Raw_Claims_Data!G216="D",1,0)</f>
        <v>0</v>
      </c>
    </row>
    <row r="218" spans="1:15" x14ac:dyDescent="0.35">
      <c r="A218" t="str">
        <f>Raw_Claims_Data!A217</f>
        <v>TXN00000214</v>
      </c>
      <c r="B218" t="str">
        <f>TRIM(Raw_Claims_Data!B217)</f>
        <v>Gloria Knutson</v>
      </c>
      <c r="C218" t="str">
        <f>Raw_Claims_Data!C217</f>
        <v>Travel</v>
      </c>
      <c r="D218">
        <f>Raw_Claims_Data!D217</f>
        <v>88.24</v>
      </c>
      <c r="E218">
        <f>Raw_Claims_Data!E217</f>
        <v>4000</v>
      </c>
      <c r="F218" t="str">
        <f>Raw_Claims_Data!F217</f>
        <v>VT</v>
      </c>
      <c r="G218" t="str">
        <f>Raw_Claims_Data!G217</f>
        <v>A</v>
      </c>
      <c r="H218" t="str">
        <f>Raw_Claims_Data!H217</f>
        <v>Total Loss</v>
      </c>
      <c r="I218" t="str">
        <f>IF(Raw_Claims_Data!I217="","None",Raw_Claims_Data!I217)</f>
        <v>Ambulance</v>
      </c>
      <c r="J218" t="str">
        <f>Raw_Claims_Data!J217</f>
        <v>Louisville</v>
      </c>
      <c r="K218" t="str">
        <f>Raw_Claims_Data!K217</f>
        <v>KY</v>
      </c>
      <c r="L218">
        <f>Raw_Claims_Data!L217</f>
        <v>23</v>
      </c>
      <c r="M218" t="str">
        <f>IF(Raw_Claims_Data!M217="","N/A",Raw_Claims_Data!M217)</f>
        <v>N/A</v>
      </c>
      <c r="N218" t="str">
        <f>Raw_Claims_Data!N217</f>
        <v>AGENT00921</v>
      </c>
      <c r="O218">
        <f>IF(Raw_Claims_Data!G217="D",1,0)</f>
        <v>0</v>
      </c>
    </row>
    <row r="219" spans="1:15" x14ac:dyDescent="0.35">
      <c r="A219" t="str">
        <f>Raw_Claims_Data!A218</f>
        <v>TXN00000215</v>
      </c>
      <c r="B219" t="str">
        <f>TRIM(Raw_Claims_Data!B218)</f>
        <v>Rhonda Diemer</v>
      </c>
      <c r="C219" t="str">
        <f>Raw_Claims_Data!C218</f>
        <v>Property</v>
      </c>
      <c r="D219">
        <f>Raw_Claims_Data!D218</f>
        <v>106.79</v>
      </c>
      <c r="E219">
        <f>Raw_Claims_Data!E218</f>
        <v>17000</v>
      </c>
      <c r="F219" t="str">
        <f>Raw_Claims_Data!F218</f>
        <v>GA</v>
      </c>
      <c r="G219" t="str">
        <f>Raw_Claims_Data!G218</f>
        <v>D</v>
      </c>
      <c r="H219" t="str">
        <f>Raw_Claims_Data!H218</f>
        <v>Major Loss</v>
      </c>
      <c r="I219" t="str">
        <f>IF(Raw_Claims_Data!I218="","None",Raw_Claims_Data!I218)</f>
        <v>Police</v>
      </c>
      <c r="J219" t="str">
        <f>Raw_Claims_Data!J218</f>
        <v>Oakland</v>
      </c>
      <c r="K219" t="str">
        <f>Raw_Claims_Data!K218</f>
        <v>CA</v>
      </c>
      <c r="L219">
        <f>Raw_Claims_Data!L218</f>
        <v>14</v>
      </c>
      <c r="M219" t="str">
        <f>IF(Raw_Claims_Data!M218="","N/A",Raw_Claims_Data!M218)</f>
        <v>N/A</v>
      </c>
      <c r="N219" t="str">
        <f>Raw_Claims_Data!N218</f>
        <v>AGENT00711</v>
      </c>
      <c r="O219">
        <f>IF(Raw_Claims_Data!G218="D",1,0)</f>
        <v>1</v>
      </c>
    </row>
    <row r="220" spans="1:15" x14ac:dyDescent="0.35">
      <c r="A220" t="str">
        <f>Raw_Claims_Data!A219</f>
        <v>TXN00000216</v>
      </c>
      <c r="B220" t="str">
        <f>TRIM(Raw_Claims_Data!B219)</f>
        <v>Linda Hearn</v>
      </c>
      <c r="C220" t="str">
        <f>Raw_Claims_Data!C219</f>
        <v>Property</v>
      </c>
      <c r="D220">
        <f>Raw_Claims_Data!D219</f>
        <v>97.11</v>
      </c>
      <c r="E220">
        <f>Raw_Claims_Data!E219</f>
        <v>12000</v>
      </c>
      <c r="F220" t="str">
        <f>Raw_Claims_Data!F219</f>
        <v>VT</v>
      </c>
      <c r="G220" t="str">
        <f>Raw_Claims_Data!G219</f>
        <v>A</v>
      </c>
      <c r="H220" t="str">
        <f>Raw_Claims_Data!H219</f>
        <v>Minor Loss</v>
      </c>
      <c r="I220" t="str">
        <f>IF(Raw_Claims_Data!I219="","None",Raw_Claims_Data!I219)</f>
        <v>Other</v>
      </c>
      <c r="J220" t="str">
        <f>Raw_Claims_Data!J219</f>
        <v>Panama City</v>
      </c>
      <c r="K220" t="str">
        <f>Raw_Claims_Data!K219</f>
        <v>FL</v>
      </c>
      <c r="L220">
        <f>Raw_Claims_Data!L219</f>
        <v>18</v>
      </c>
      <c r="M220" t="str">
        <f>IF(Raw_Claims_Data!M219="","N/A",Raw_Claims_Data!M219)</f>
        <v>N/A</v>
      </c>
      <c r="N220" t="str">
        <f>Raw_Claims_Data!N219</f>
        <v>AGENT00426</v>
      </c>
      <c r="O220">
        <f>IF(Raw_Claims_Data!G219="D",1,0)</f>
        <v>0</v>
      </c>
    </row>
    <row r="221" spans="1:15" x14ac:dyDescent="0.35">
      <c r="A221" t="str">
        <f>Raw_Claims_Data!A220</f>
        <v>TXN00000217</v>
      </c>
      <c r="B221" t="str">
        <f>TRIM(Raw_Claims_Data!B220)</f>
        <v>Mae Lowery</v>
      </c>
      <c r="C221" t="str">
        <f>Raw_Claims_Data!C220</f>
        <v>Property</v>
      </c>
      <c r="D221">
        <f>Raw_Claims_Data!D220</f>
        <v>151.43</v>
      </c>
      <c r="E221">
        <f>Raw_Claims_Data!E220</f>
        <v>13000</v>
      </c>
      <c r="F221" t="str">
        <f>Raw_Claims_Data!F220</f>
        <v>TN</v>
      </c>
      <c r="G221" t="str">
        <f>Raw_Claims_Data!G220</f>
        <v>A</v>
      </c>
      <c r="H221" t="str">
        <f>Raw_Claims_Data!H220</f>
        <v>Total Loss</v>
      </c>
      <c r="I221" t="str">
        <f>IF(Raw_Claims_Data!I220="","None",Raw_Claims_Data!I220)</f>
        <v>Ambulance</v>
      </c>
      <c r="J221" t="str">
        <f>Raw_Claims_Data!J220</f>
        <v>Oakland</v>
      </c>
      <c r="K221" t="str">
        <f>Raw_Claims_Data!K220</f>
        <v>CA</v>
      </c>
      <c r="L221">
        <f>Raw_Claims_Data!L220</f>
        <v>5</v>
      </c>
      <c r="M221" t="str">
        <f>IF(Raw_Claims_Data!M220="","N/A",Raw_Claims_Data!M220)</f>
        <v>N/A</v>
      </c>
      <c r="N221" t="str">
        <f>Raw_Claims_Data!N220</f>
        <v>AGENT00557</v>
      </c>
      <c r="O221">
        <f>IF(Raw_Claims_Data!G220="D",1,0)</f>
        <v>0</v>
      </c>
    </row>
    <row r="222" spans="1:15" x14ac:dyDescent="0.35">
      <c r="A222" t="str">
        <f>Raw_Claims_Data!A221</f>
        <v>TXN00000218</v>
      </c>
      <c r="B222" t="str">
        <f>TRIM(Raw_Claims_Data!B221)</f>
        <v>Chester Barnard</v>
      </c>
      <c r="C222" t="str">
        <f>Raw_Claims_Data!C221</f>
        <v>Life</v>
      </c>
      <c r="D222">
        <f>Raw_Claims_Data!D221</f>
        <v>74.48</v>
      </c>
      <c r="E222">
        <f>Raw_Claims_Data!E221</f>
        <v>11000</v>
      </c>
      <c r="F222" t="str">
        <f>Raw_Claims_Data!F221</f>
        <v>GA</v>
      </c>
      <c r="G222" t="str">
        <f>Raw_Claims_Data!G221</f>
        <v>D</v>
      </c>
      <c r="H222" t="str">
        <f>Raw_Claims_Data!H221</f>
        <v>Total Loss</v>
      </c>
      <c r="I222" t="str">
        <f>IF(Raw_Claims_Data!I221="","None",Raw_Claims_Data!I221)</f>
        <v>None</v>
      </c>
      <c r="J222" t="str">
        <f>Raw_Claims_Data!J221</f>
        <v>Holyoke</v>
      </c>
      <c r="K222" t="str">
        <f>Raw_Claims_Data!K221</f>
        <v>MA</v>
      </c>
      <c r="L222">
        <f>Raw_Claims_Data!L221</f>
        <v>5</v>
      </c>
      <c r="M222" t="str">
        <f>IF(Raw_Claims_Data!M221="","N/A",Raw_Claims_Data!M221)</f>
        <v>VNDR00192</v>
      </c>
      <c r="N222" t="str">
        <f>Raw_Claims_Data!N221</f>
        <v>AGENT00475</v>
      </c>
      <c r="O222">
        <f>IF(Raw_Claims_Data!G221="D",1,0)</f>
        <v>1</v>
      </c>
    </row>
    <row r="223" spans="1:15" x14ac:dyDescent="0.35">
      <c r="A223" t="str">
        <f>Raw_Claims_Data!A222</f>
        <v>TXN00000219</v>
      </c>
      <c r="B223" t="str">
        <f>TRIM(Raw_Claims_Data!B222)</f>
        <v>Chris Hosley</v>
      </c>
      <c r="C223" t="str">
        <f>Raw_Claims_Data!C222</f>
        <v>Property</v>
      </c>
      <c r="D223">
        <f>Raw_Claims_Data!D222</f>
        <v>116.93</v>
      </c>
      <c r="E223">
        <f>Raw_Claims_Data!E222</f>
        <v>15000</v>
      </c>
      <c r="F223" t="str">
        <f>Raw_Claims_Data!F222</f>
        <v>VT</v>
      </c>
      <c r="G223" t="str">
        <f>Raw_Claims_Data!G222</f>
        <v>A</v>
      </c>
      <c r="H223" t="str">
        <f>Raw_Claims_Data!H222</f>
        <v>Minor Loss</v>
      </c>
      <c r="I223" t="str">
        <f>IF(Raw_Claims_Data!I222="","None",Raw_Claims_Data!I222)</f>
        <v>Ambulance</v>
      </c>
      <c r="J223" t="str">
        <f>Raw_Claims_Data!J222</f>
        <v>Manchester</v>
      </c>
      <c r="K223" t="str">
        <f>Raw_Claims_Data!K222</f>
        <v>CT</v>
      </c>
      <c r="L223">
        <f>Raw_Claims_Data!L222</f>
        <v>15</v>
      </c>
      <c r="M223" t="str">
        <f>IF(Raw_Claims_Data!M222="","N/A",Raw_Claims_Data!M222)</f>
        <v>VNDR00247</v>
      </c>
      <c r="N223" t="str">
        <f>Raw_Claims_Data!N222</f>
        <v>AGENT00969</v>
      </c>
      <c r="O223">
        <f>IF(Raw_Claims_Data!G222="D",1,0)</f>
        <v>0</v>
      </c>
    </row>
    <row r="224" spans="1:15" x14ac:dyDescent="0.35">
      <c r="A224" t="str">
        <f>Raw_Claims_Data!A223</f>
        <v>TXN00000220</v>
      </c>
      <c r="B224" t="str">
        <f>TRIM(Raw_Claims_Data!B223)</f>
        <v>John Ho</v>
      </c>
      <c r="C224" t="str">
        <f>Raw_Claims_Data!C223</f>
        <v>Life</v>
      </c>
      <c r="D224">
        <f>Raw_Claims_Data!D223</f>
        <v>60.07</v>
      </c>
      <c r="E224">
        <f>Raw_Claims_Data!E223</f>
        <v>45000</v>
      </c>
      <c r="F224" t="str">
        <f>Raw_Claims_Data!F223</f>
        <v>VT</v>
      </c>
      <c r="G224" t="str">
        <f>Raw_Claims_Data!G223</f>
        <v>D</v>
      </c>
      <c r="H224" t="str">
        <f>Raw_Claims_Data!H223</f>
        <v>Major Loss</v>
      </c>
      <c r="I224" t="str">
        <f>IF(Raw_Claims_Data!I223="","None",Raw_Claims_Data!I223)</f>
        <v>Ambulance</v>
      </c>
      <c r="J224" t="str">
        <f>Raw_Claims_Data!J223</f>
        <v>Melrose</v>
      </c>
      <c r="K224" t="str">
        <f>Raw_Claims_Data!K223</f>
        <v>MA</v>
      </c>
      <c r="L224">
        <f>Raw_Claims_Data!L223</f>
        <v>20</v>
      </c>
      <c r="M224" t="str">
        <f>IF(Raw_Claims_Data!M223="","N/A",Raw_Claims_Data!M223)</f>
        <v>VNDR00447</v>
      </c>
      <c r="N224" t="str">
        <f>Raw_Claims_Data!N223</f>
        <v>AGENT00093</v>
      </c>
      <c r="O224">
        <f>IF(Raw_Claims_Data!G223="D",1,0)</f>
        <v>1</v>
      </c>
    </row>
    <row r="225" spans="1:15" x14ac:dyDescent="0.35">
      <c r="A225" t="str">
        <f>Raw_Claims_Data!A224</f>
        <v>TXN00000221</v>
      </c>
      <c r="B225" t="str">
        <f>TRIM(Raw_Claims_Data!B224)</f>
        <v>Peter Jones</v>
      </c>
      <c r="C225" t="str">
        <f>Raw_Claims_Data!C224</f>
        <v>Health</v>
      </c>
      <c r="D225">
        <f>Raw_Claims_Data!D224</f>
        <v>190.93</v>
      </c>
      <c r="E225">
        <f>Raw_Claims_Data!E224</f>
        <v>1000</v>
      </c>
      <c r="F225" t="str">
        <f>Raw_Claims_Data!F224</f>
        <v>CT</v>
      </c>
      <c r="G225" t="str">
        <f>Raw_Claims_Data!G224</f>
        <v>A</v>
      </c>
      <c r="H225" t="str">
        <f>Raw_Claims_Data!H224</f>
        <v>Major Loss</v>
      </c>
      <c r="I225" t="str">
        <f>IF(Raw_Claims_Data!I224="","None",Raw_Claims_Data!I224)</f>
        <v>Other</v>
      </c>
      <c r="J225" t="str">
        <f>Raw_Claims_Data!J224</f>
        <v>Randolph</v>
      </c>
      <c r="K225" t="str">
        <f>Raw_Claims_Data!K224</f>
        <v>VT</v>
      </c>
      <c r="L225">
        <f>Raw_Claims_Data!L224</f>
        <v>2</v>
      </c>
      <c r="M225" t="str">
        <f>IF(Raw_Claims_Data!M224="","N/A",Raw_Claims_Data!M224)</f>
        <v>VNDR00395</v>
      </c>
      <c r="N225" t="str">
        <f>Raw_Claims_Data!N224</f>
        <v>AGENT00162</v>
      </c>
      <c r="O225">
        <f>IF(Raw_Claims_Data!G224="D",1,0)</f>
        <v>0</v>
      </c>
    </row>
    <row r="226" spans="1:15" x14ac:dyDescent="0.35">
      <c r="A226" t="str">
        <f>Raw_Claims_Data!A225</f>
        <v>TXN00000222</v>
      </c>
      <c r="B226" t="str">
        <f>TRIM(Raw_Claims_Data!B225)</f>
        <v>Ronald Stcharles</v>
      </c>
      <c r="C226" t="str">
        <f>Raw_Claims_Data!C225</f>
        <v>Property</v>
      </c>
      <c r="D226">
        <f>Raw_Claims_Data!D225</f>
        <v>111.07</v>
      </c>
      <c r="E226">
        <f>Raw_Claims_Data!E225</f>
        <v>19000</v>
      </c>
      <c r="F226" t="str">
        <f>Raw_Claims_Data!F225</f>
        <v>GA</v>
      </c>
      <c r="G226" t="str">
        <f>Raw_Claims_Data!G225</f>
        <v>A</v>
      </c>
      <c r="H226" t="str">
        <f>Raw_Claims_Data!H225</f>
        <v>Minor Loss</v>
      </c>
      <c r="I226" t="str">
        <f>IF(Raw_Claims_Data!I225="","None",Raw_Claims_Data!I225)</f>
        <v>Other</v>
      </c>
      <c r="J226" t="str">
        <f>Raw_Claims_Data!J225</f>
        <v>Washington</v>
      </c>
      <c r="K226" t="str">
        <f>Raw_Claims_Data!K225</f>
        <v>DC</v>
      </c>
      <c r="L226">
        <f>Raw_Claims_Data!L225</f>
        <v>16</v>
      </c>
      <c r="M226" t="str">
        <f>IF(Raw_Claims_Data!M225="","N/A",Raw_Claims_Data!M225)</f>
        <v>VNDR00417</v>
      </c>
      <c r="N226" t="str">
        <f>Raw_Claims_Data!N225</f>
        <v>AGENT00322</v>
      </c>
      <c r="O226">
        <f>IF(Raw_Claims_Data!G225="D",1,0)</f>
        <v>0</v>
      </c>
    </row>
    <row r="227" spans="1:15" x14ac:dyDescent="0.35">
      <c r="A227" t="str">
        <f>Raw_Claims_Data!A226</f>
        <v>TXN00000223</v>
      </c>
      <c r="B227" t="str">
        <f>TRIM(Raw_Claims_Data!B226)</f>
        <v>Buddy Hinkle</v>
      </c>
      <c r="C227" t="str">
        <f>Raw_Claims_Data!C226</f>
        <v>Health</v>
      </c>
      <c r="D227">
        <f>Raw_Claims_Data!D226</f>
        <v>119.13</v>
      </c>
      <c r="E227">
        <f>Raw_Claims_Data!E226</f>
        <v>13000</v>
      </c>
      <c r="F227" t="str">
        <f>Raw_Claims_Data!F226</f>
        <v>VT</v>
      </c>
      <c r="G227" t="str">
        <f>Raw_Claims_Data!G226</f>
        <v>A</v>
      </c>
      <c r="H227" t="str">
        <f>Raw_Claims_Data!H226</f>
        <v>Major Loss</v>
      </c>
      <c r="I227" t="str">
        <f>IF(Raw_Claims_Data!I226="","None",Raw_Claims_Data!I226)</f>
        <v>None</v>
      </c>
      <c r="J227" t="str">
        <f>Raw_Claims_Data!J226</f>
        <v>Crownsville</v>
      </c>
      <c r="K227" t="str">
        <f>Raw_Claims_Data!K226</f>
        <v>MD</v>
      </c>
      <c r="L227">
        <f>Raw_Claims_Data!L226</f>
        <v>10</v>
      </c>
      <c r="M227" t="str">
        <f>IF(Raw_Claims_Data!M226="","N/A",Raw_Claims_Data!M226)</f>
        <v>N/A</v>
      </c>
      <c r="N227" t="str">
        <f>Raw_Claims_Data!N226</f>
        <v>AGENT00601</v>
      </c>
      <c r="O227">
        <f>IF(Raw_Claims_Data!G226="D",1,0)</f>
        <v>0</v>
      </c>
    </row>
    <row r="228" spans="1:15" x14ac:dyDescent="0.35">
      <c r="A228" t="str">
        <f>Raw_Claims_Data!A227</f>
        <v>TXN00000224</v>
      </c>
      <c r="B228" t="str">
        <f>TRIM(Raw_Claims_Data!B227)</f>
        <v>Celestine Woods</v>
      </c>
      <c r="C228" t="str">
        <f>Raw_Claims_Data!C227</f>
        <v>Travel</v>
      </c>
      <c r="D228">
        <f>Raw_Claims_Data!D227</f>
        <v>76.13</v>
      </c>
      <c r="E228">
        <f>Raw_Claims_Data!E227</f>
        <v>3000</v>
      </c>
      <c r="F228" t="str">
        <f>Raw_Claims_Data!F227</f>
        <v>AZ</v>
      </c>
      <c r="G228" t="str">
        <f>Raw_Claims_Data!G227</f>
        <v>A</v>
      </c>
      <c r="H228" t="str">
        <f>Raw_Claims_Data!H227</f>
        <v>Minor Loss</v>
      </c>
      <c r="I228" t="str">
        <f>IF(Raw_Claims_Data!I227="","None",Raw_Claims_Data!I227)</f>
        <v>None</v>
      </c>
      <c r="J228" t="str">
        <f>Raw_Claims_Data!J227</f>
        <v>Glendale</v>
      </c>
      <c r="K228" t="str">
        <f>Raw_Claims_Data!K227</f>
        <v>AZ</v>
      </c>
      <c r="L228">
        <f>Raw_Claims_Data!L227</f>
        <v>15</v>
      </c>
      <c r="M228" t="str">
        <f>IF(Raw_Claims_Data!M227="","N/A",Raw_Claims_Data!M227)</f>
        <v>N/A</v>
      </c>
      <c r="N228" t="str">
        <f>Raw_Claims_Data!N227</f>
        <v>AGENT00709</v>
      </c>
      <c r="O228">
        <f>IF(Raw_Claims_Data!G227="D",1,0)</f>
        <v>0</v>
      </c>
    </row>
    <row r="229" spans="1:15" x14ac:dyDescent="0.35">
      <c r="A229" t="str">
        <f>Raw_Claims_Data!A228</f>
        <v>TXN00000225</v>
      </c>
      <c r="B229" t="str">
        <f>TRIM(Raw_Claims_Data!B228)</f>
        <v>Jennifer Zimmerman</v>
      </c>
      <c r="C229" t="str">
        <f>Raw_Claims_Data!C228</f>
        <v>Mobile</v>
      </c>
      <c r="D229">
        <f>Raw_Claims_Data!D228</f>
        <v>8.51</v>
      </c>
      <c r="E229">
        <f>Raw_Claims_Data!E228</f>
        <v>500</v>
      </c>
      <c r="F229" t="str">
        <f>Raw_Claims_Data!F228</f>
        <v>FL</v>
      </c>
      <c r="G229" t="str">
        <f>Raw_Claims_Data!G228</f>
        <v>A</v>
      </c>
      <c r="H229" t="str">
        <f>Raw_Claims_Data!H228</f>
        <v>Minor Loss</v>
      </c>
      <c r="I229" t="str">
        <f>IF(Raw_Claims_Data!I228="","None",Raw_Claims_Data!I228)</f>
        <v>None</v>
      </c>
      <c r="J229" t="str">
        <f>Raw_Claims_Data!J228</f>
        <v>Washington</v>
      </c>
      <c r="K229" t="str">
        <f>Raw_Claims_Data!K228</f>
        <v>DC</v>
      </c>
      <c r="L229">
        <f>Raw_Claims_Data!L228</f>
        <v>2</v>
      </c>
      <c r="M229" t="str">
        <f>IF(Raw_Claims_Data!M228="","N/A",Raw_Claims_Data!M228)</f>
        <v>N/A</v>
      </c>
      <c r="N229" t="str">
        <f>Raw_Claims_Data!N228</f>
        <v>AGENT00917</v>
      </c>
      <c r="O229">
        <f>IF(Raw_Claims_Data!G228="D",1,0)</f>
        <v>0</v>
      </c>
    </row>
    <row r="230" spans="1:15" x14ac:dyDescent="0.35">
      <c r="A230" t="str">
        <f>Raw_Claims_Data!A229</f>
        <v>TXN00000226</v>
      </c>
      <c r="B230" t="str">
        <f>TRIM(Raw_Claims_Data!B229)</f>
        <v>Thomas Hickson</v>
      </c>
      <c r="C230" t="str">
        <f>Raw_Claims_Data!C229</f>
        <v>Health</v>
      </c>
      <c r="D230">
        <f>Raw_Claims_Data!D229</f>
        <v>118.33</v>
      </c>
      <c r="E230">
        <f>Raw_Claims_Data!E229</f>
        <v>7000</v>
      </c>
      <c r="F230" t="str">
        <f>Raw_Claims_Data!F229</f>
        <v>AR</v>
      </c>
      <c r="G230" t="str">
        <f>Raw_Claims_Data!G229</f>
        <v>A</v>
      </c>
      <c r="H230" t="str">
        <f>Raw_Claims_Data!H229</f>
        <v>Major Loss</v>
      </c>
      <c r="I230" t="str">
        <f>IF(Raw_Claims_Data!I229="","None",Raw_Claims_Data!I229)</f>
        <v>None</v>
      </c>
      <c r="J230" t="str">
        <f>Raw_Claims_Data!J229</f>
        <v>Manchester</v>
      </c>
      <c r="K230" t="str">
        <f>Raw_Claims_Data!K229</f>
        <v>CT</v>
      </c>
      <c r="L230">
        <f>Raw_Claims_Data!L229</f>
        <v>3</v>
      </c>
      <c r="M230" t="str">
        <f>IF(Raw_Claims_Data!M229="","N/A",Raw_Claims_Data!M229)</f>
        <v>VNDR00168</v>
      </c>
      <c r="N230" t="str">
        <f>Raw_Claims_Data!N229</f>
        <v>AGENT00395</v>
      </c>
      <c r="O230">
        <f>IF(Raw_Claims_Data!G229="D",1,0)</f>
        <v>0</v>
      </c>
    </row>
    <row r="231" spans="1:15" x14ac:dyDescent="0.35">
      <c r="A231" t="str">
        <f>Raw_Claims_Data!A230</f>
        <v>TXN00000227</v>
      </c>
      <c r="B231" t="str">
        <f>TRIM(Raw_Claims_Data!B230)</f>
        <v>Mildred Stone</v>
      </c>
      <c r="C231" t="str">
        <f>Raw_Claims_Data!C230</f>
        <v>Property</v>
      </c>
      <c r="D231">
        <f>Raw_Claims_Data!D230</f>
        <v>137.68</v>
      </c>
      <c r="E231">
        <f>Raw_Claims_Data!E230</f>
        <v>15000</v>
      </c>
      <c r="F231" t="str">
        <f>Raw_Claims_Data!F230</f>
        <v>AL</v>
      </c>
      <c r="G231" t="str">
        <f>Raw_Claims_Data!G230</f>
        <v>A</v>
      </c>
      <c r="H231" t="str">
        <f>Raw_Claims_Data!H230</f>
        <v>Total Loss</v>
      </c>
      <c r="I231" t="str">
        <f>IF(Raw_Claims_Data!I230="","None",Raw_Claims_Data!I230)</f>
        <v>None</v>
      </c>
      <c r="J231" t="str">
        <f>Raw_Claims_Data!J230</f>
        <v>Webster</v>
      </c>
      <c r="K231" t="str">
        <f>Raw_Claims_Data!K230</f>
        <v>MA</v>
      </c>
      <c r="L231">
        <f>Raw_Claims_Data!L230</f>
        <v>1</v>
      </c>
      <c r="M231" t="str">
        <f>IF(Raw_Claims_Data!M230="","N/A",Raw_Claims_Data!M230)</f>
        <v>VNDR00132</v>
      </c>
      <c r="N231" t="str">
        <f>Raw_Claims_Data!N230</f>
        <v>AGENT00739</v>
      </c>
      <c r="O231">
        <f>IF(Raw_Claims_Data!G230="D",1,0)</f>
        <v>0</v>
      </c>
    </row>
    <row r="232" spans="1:15" x14ac:dyDescent="0.35">
      <c r="A232" t="str">
        <f>Raw_Claims_Data!A231</f>
        <v>TXN00000228</v>
      </c>
      <c r="B232" t="str">
        <f>TRIM(Raw_Claims_Data!B231)</f>
        <v>Bryan Barbour</v>
      </c>
      <c r="C232" t="str">
        <f>Raw_Claims_Data!C231</f>
        <v>Life</v>
      </c>
      <c r="D232">
        <f>Raw_Claims_Data!D231</f>
        <v>98.28</v>
      </c>
      <c r="E232">
        <f>Raw_Claims_Data!E231</f>
        <v>49000</v>
      </c>
      <c r="F232" t="str">
        <f>Raw_Claims_Data!F231</f>
        <v>DC</v>
      </c>
      <c r="G232" t="str">
        <f>Raw_Claims_Data!G231</f>
        <v>D</v>
      </c>
      <c r="H232" t="str">
        <f>Raw_Claims_Data!H231</f>
        <v>Total Loss</v>
      </c>
      <c r="I232" t="str">
        <f>IF(Raw_Claims_Data!I231="","None",Raw_Claims_Data!I231)</f>
        <v>Ambulance</v>
      </c>
      <c r="J232" t="str">
        <f>Raw_Claims_Data!J231</f>
        <v>Ione</v>
      </c>
      <c r="K232" t="str">
        <f>Raw_Claims_Data!K231</f>
        <v>CA</v>
      </c>
      <c r="L232">
        <f>Raw_Claims_Data!L231</f>
        <v>15</v>
      </c>
      <c r="M232" t="str">
        <f>IF(Raw_Claims_Data!M231="","N/A",Raw_Claims_Data!M231)</f>
        <v>VNDR00083</v>
      </c>
      <c r="N232" t="str">
        <f>Raw_Claims_Data!N231</f>
        <v>AGENT00242</v>
      </c>
      <c r="O232">
        <f>IF(Raw_Claims_Data!G231="D",1,0)</f>
        <v>1</v>
      </c>
    </row>
    <row r="233" spans="1:15" x14ac:dyDescent="0.35">
      <c r="A233" t="str">
        <f>Raw_Claims_Data!A232</f>
        <v>TXN00000229</v>
      </c>
      <c r="B233" t="str">
        <f>TRIM(Raw_Claims_Data!B232)</f>
        <v>Andree Williams</v>
      </c>
      <c r="C233" t="str">
        <f>Raw_Claims_Data!C232</f>
        <v>Property</v>
      </c>
      <c r="D233">
        <f>Raw_Claims_Data!D232</f>
        <v>111.12</v>
      </c>
      <c r="E233">
        <f>Raw_Claims_Data!E232</f>
        <v>34000</v>
      </c>
      <c r="F233" t="str">
        <f>Raw_Claims_Data!F232</f>
        <v>MD</v>
      </c>
      <c r="G233" t="str">
        <f>Raw_Claims_Data!G232</f>
        <v>A</v>
      </c>
      <c r="H233" t="str">
        <f>Raw_Claims_Data!H232</f>
        <v>Major Loss</v>
      </c>
      <c r="I233" t="str">
        <f>IF(Raw_Claims_Data!I232="","None",Raw_Claims_Data!I232)</f>
        <v>Ambulance</v>
      </c>
      <c r="J233" t="str">
        <f>Raw_Claims_Data!J232</f>
        <v>Glendale</v>
      </c>
      <c r="K233" t="str">
        <f>Raw_Claims_Data!K232</f>
        <v>AZ</v>
      </c>
      <c r="L233">
        <f>Raw_Claims_Data!L232</f>
        <v>6</v>
      </c>
      <c r="M233" t="str">
        <f>IF(Raw_Claims_Data!M232="","N/A",Raw_Claims_Data!M232)</f>
        <v>VNDR00216</v>
      </c>
      <c r="N233" t="str">
        <f>Raw_Claims_Data!N232</f>
        <v>AGENT00129</v>
      </c>
      <c r="O233">
        <f>IF(Raw_Claims_Data!G232="D",1,0)</f>
        <v>0</v>
      </c>
    </row>
    <row r="234" spans="1:15" x14ac:dyDescent="0.35">
      <c r="A234" t="str">
        <f>Raw_Claims_Data!A233</f>
        <v>TXN00000230</v>
      </c>
      <c r="B234" t="str">
        <f>TRIM(Raw_Claims_Data!B233)</f>
        <v>Anita Granado</v>
      </c>
      <c r="C234" t="str">
        <f>Raw_Claims_Data!C233</f>
        <v>Motor</v>
      </c>
      <c r="D234">
        <f>Raw_Claims_Data!D233</f>
        <v>92.14</v>
      </c>
      <c r="E234">
        <f>Raw_Claims_Data!E233</f>
        <v>1000</v>
      </c>
      <c r="F234" t="str">
        <f>Raw_Claims_Data!F233</f>
        <v>OK</v>
      </c>
      <c r="G234" t="str">
        <f>Raw_Claims_Data!G233</f>
        <v>A</v>
      </c>
      <c r="H234" t="str">
        <f>Raw_Claims_Data!H233</f>
        <v>Major Loss</v>
      </c>
      <c r="I234" t="str">
        <f>IF(Raw_Claims_Data!I233="","None",Raw_Claims_Data!I233)</f>
        <v>Other</v>
      </c>
      <c r="J234" t="str">
        <f>Raw_Claims_Data!J233</f>
        <v>Panama City</v>
      </c>
      <c r="K234" t="str">
        <f>Raw_Claims_Data!K233</f>
        <v>FL</v>
      </c>
      <c r="L234">
        <f>Raw_Claims_Data!L233</f>
        <v>7</v>
      </c>
      <c r="M234" t="str">
        <f>IF(Raw_Claims_Data!M233="","N/A",Raw_Claims_Data!M233)</f>
        <v>VNDR00153</v>
      </c>
      <c r="N234" t="str">
        <f>Raw_Claims_Data!N233</f>
        <v>AGENT00063</v>
      </c>
      <c r="O234">
        <f>IF(Raw_Claims_Data!G233="D",1,0)</f>
        <v>0</v>
      </c>
    </row>
    <row r="235" spans="1:15" x14ac:dyDescent="0.35">
      <c r="A235" t="str">
        <f>Raw_Claims_Data!A234</f>
        <v>TXN00000231</v>
      </c>
      <c r="B235" t="str">
        <f>TRIM(Raw_Claims_Data!B234)</f>
        <v>Marie Collins</v>
      </c>
      <c r="C235" t="str">
        <f>Raw_Claims_Data!C234</f>
        <v>Travel</v>
      </c>
      <c r="D235">
        <f>Raw_Claims_Data!D234</f>
        <v>53.47</v>
      </c>
      <c r="E235">
        <f>Raw_Claims_Data!E234</f>
        <v>5000</v>
      </c>
      <c r="F235" t="str">
        <f>Raw_Claims_Data!F234</f>
        <v>VT</v>
      </c>
      <c r="G235" t="str">
        <f>Raw_Claims_Data!G234</f>
        <v>D</v>
      </c>
      <c r="H235" t="str">
        <f>Raw_Claims_Data!H234</f>
        <v>Minor Loss</v>
      </c>
      <c r="I235" t="str">
        <f>IF(Raw_Claims_Data!I234="","None",Raw_Claims_Data!I234)</f>
        <v>Ambulance</v>
      </c>
      <c r="J235" t="str">
        <f>Raw_Claims_Data!J234</f>
        <v>Oakland</v>
      </c>
      <c r="K235" t="str">
        <f>Raw_Claims_Data!K234</f>
        <v>CA</v>
      </c>
      <c r="L235">
        <f>Raw_Claims_Data!L234</f>
        <v>16</v>
      </c>
      <c r="M235" t="str">
        <f>IF(Raw_Claims_Data!M234="","N/A",Raw_Claims_Data!M234)</f>
        <v>VNDR00535</v>
      </c>
      <c r="N235" t="str">
        <f>Raw_Claims_Data!N234</f>
        <v>AGENT00497</v>
      </c>
      <c r="O235">
        <f>IF(Raw_Claims_Data!G234="D",1,0)</f>
        <v>1</v>
      </c>
    </row>
    <row r="236" spans="1:15" x14ac:dyDescent="0.35">
      <c r="A236" t="str">
        <f>Raw_Claims_Data!A235</f>
        <v>TXN00000232</v>
      </c>
      <c r="B236" t="str">
        <f>TRIM(Raw_Claims_Data!B235)</f>
        <v>Hazel Ferris</v>
      </c>
      <c r="C236" t="str">
        <f>Raw_Claims_Data!C235</f>
        <v>Property</v>
      </c>
      <c r="D236">
        <f>Raw_Claims_Data!D235</f>
        <v>133.58000000000001</v>
      </c>
      <c r="E236">
        <f>Raw_Claims_Data!E235</f>
        <v>30000</v>
      </c>
      <c r="F236" t="str">
        <f>Raw_Claims_Data!F235</f>
        <v>AK</v>
      </c>
      <c r="G236" t="str">
        <f>Raw_Claims_Data!G235</f>
        <v>A</v>
      </c>
      <c r="H236" t="str">
        <f>Raw_Claims_Data!H235</f>
        <v>Total Loss</v>
      </c>
      <c r="I236" t="str">
        <f>IF(Raw_Claims_Data!I235="","None",Raw_Claims_Data!I235)</f>
        <v>Ambulance</v>
      </c>
      <c r="J236" t="str">
        <f>Raw_Claims_Data!J235</f>
        <v>Nashville</v>
      </c>
      <c r="K236" t="str">
        <f>Raw_Claims_Data!K235</f>
        <v>TN</v>
      </c>
      <c r="L236">
        <f>Raw_Claims_Data!L235</f>
        <v>15</v>
      </c>
      <c r="M236" t="str">
        <f>IF(Raw_Claims_Data!M235="","N/A",Raw_Claims_Data!M235)</f>
        <v>VNDR00075</v>
      </c>
      <c r="N236" t="str">
        <f>Raw_Claims_Data!N235</f>
        <v>AGENT00459</v>
      </c>
      <c r="O236">
        <f>IF(Raw_Claims_Data!G235="D",1,0)</f>
        <v>0</v>
      </c>
    </row>
    <row r="237" spans="1:15" x14ac:dyDescent="0.35">
      <c r="A237" t="str">
        <f>Raw_Claims_Data!A236</f>
        <v>TXN00000233</v>
      </c>
      <c r="B237" t="str">
        <f>TRIM(Raw_Claims_Data!B236)</f>
        <v>Randi Dinsmoor</v>
      </c>
      <c r="C237" t="str">
        <f>Raw_Claims_Data!C236</f>
        <v>Health</v>
      </c>
      <c r="D237">
        <f>Raw_Claims_Data!D236</f>
        <v>129.55000000000001</v>
      </c>
      <c r="E237">
        <f>Raw_Claims_Data!E236</f>
        <v>5000</v>
      </c>
      <c r="F237" t="str">
        <f>Raw_Claims_Data!F236</f>
        <v>OK</v>
      </c>
      <c r="G237" t="str">
        <f>Raw_Claims_Data!G236</f>
        <v>A</v>
      </c>
      <c r="H237" t="str">
        <f>Raw_Claims_Data!H236</f>
        <v>Total Loss</v>
      </c>
      <c r="I237" t="str">
        <f>IF(Raw_Claims_Data!I236="","None",Raw_Claims_Data!I236)</f>
        <v>Ambulance</v>
      </c>
      <c r="J237" t="str">
        <f>Raw_Claims_Data!J236</f>
        <v>Greeley</v>
      </c>
      <c r="K237" t="str">
        <f>Raw_Claims_Data!K236</f>
        <v>CO</v>
      </c>
      <c r="L237">
        <f>Raw_Claims_Data!L236</f>
        <v>8</v>
      </c>
      <c r="M237" t="str">
        <f>IF(Raw_Claims_Data!M236="","N/A",Raw_Claims_Data!M236)</f>
        <v>VNDR00313</v>
      </c>
      <c r="N237" t="str">
        <f>Raw_Claims_Data!N236</f>
        <v>AGENT00980</v>
      </c>
      <c r="O237">
        <f>IF(Raw_Claims_Data!G236="D",1,0)</f>
        <v>0</v>
      </c>
    </row>
    <row r="238" spans="1:15" x14ac:dyDescent="0.35">
      <c r="A238" t="str">
        <f>Raw_Claims_Data!A237</f>
        <v>TXN00000234</v>
      </c>
      <c r="B238" t="str">
        <f>TRIM(Raw_Claims_Data!B237)</f>
        <v>Darrel Ralph</v>
      </c>
      <c r="C238" t="str">
        <f>Raw_Claims_Data!C237</f>
        <v>Motor</v>
      </c>
      <c r="D238">
        <f>Raw_Claims_Data!D237</f>
        <v>136.01</v>
      </c>
      <c r="E238">
        <f>Raw_Claims_Data!E237</f>
        <v>5000</v>
      </c>
      <c r="F238" t="str">
        <f>Raw_Claims_Data!F237</f>
        <v>CT</v>
      </c>
      <c r="G238" t="str">
        <f>Raw_Claims_Data!G237</f>
        <v>A</v>
      </c>
      <c r="H238" t="str">
        <f>Raw_Claims_Data!H237</f>
        <v>Major Loss</v>
      </c>
      <c r="I238" t="str">
        <f>IF(Raw_Claims_Data!I237="","None",Raw_Claims_Data!I237)</f>
        <v>Other</v>
      </c>
      <c r="J238" t="str">
        <f>Raw_Claims_Data!J237</f>
        <v>Hartford</v>
      </c>
      <c r="K238" t="str">
        <f>Raw_Claims_Data!K237</f>
        <v>VT</v>
      </c>
      <c r="L238">
        <f>Raw_Claims_Data!L237</f>
        <v>15</v>
      </c>
      <c r="M238" t="str">
        <f>IF(Raw_Claims_Data!M237="","N/A",Raw_Claims_Data!M237)</f>
        <v>VNDR00430</v>
      </c>
      <c r="N238" t="str">
        <f>Raw_Claims_Data!N237</f>
        <v>AGENT00322</v>
      </c>
      <c r="O238">
        <f>IF(Raw_Claims_Data!G237="D",1,0)</f>
        <v>0</v>
      </c>
    </row>
    <row r="239" spans="1:15" x14ac:dyDescent="0.35">
      <c r="A239" t="str">
        <f>Raw_Claims_Data!A238</f>
        <v>TXN00000235</v>
      </c>
      <c r="B239" t="str">
        <f>TRIM(Raw_Claims_Data!B238)</f>
        <v>Walter Daughtry</v>
      </c>
      <c r="C239" t="str">
        <f>Raw_Claims_Data!C238</f>
        <v>Health</v>
      </c>
      <c r="D239">
        <f>Raw_Claims_Data!D238</f>
        <v>149.02000000000001</v>
      </c>
      <c r="E239">
        <f>Raw_Claims_Data!E238</f>
        <v>2000</v>
      </c>
      <c r="F239" t="str">
        <f>Raw_Claims_Data!F238</f>
        <v>AK</v>
      </c>
      <c r="G239" t="str">
        <f>Raw_Claims_Data!G238</f>
        <v>A</v>
      </c>
      <c r="H239" t="str">
        <f>Raw_Claims_Data!H238</f>
        <v>Major Loss</v>
      </c>
      <c r="I239" t="str">
        <f>IF(Raw_Claims_Data!I238="","None",Raw_Claims_Data!I238)</f>
        <v>Ambulance</v>
      </c>
      <c r="J239" t="str">
        <f>Raw_Claims_Data!J238</f>
        <v>Arvada</v>
      </c>
      <c r="K239" t="str">
        <f>Raw_Claims_Data!K238</f>
        <v>CO</v>
      </c>
      <c r="L239">
        <f>Raw_Claims_Data!L238</f>
        <v>19</v>
      </c>
      <c r="M239" t="str">
        <f>IF(Raw_Claims_Data!M238="","N/A",Raw_Claims_Data!M238)</f>
        <v>N/A</v>
      </c>
      <c r="N239" t="str">
        <f>Raw_Claims_Data!N238</f>
        <v>AGENT00660</v>
      </c>
      <c r="O239">
        <f>IF(Raw_Claims_Data!G238="D",1,0)</f>
        <v>0</v>
      </c>
    </row>
    <row r="240" spans="1:15" x14ac:dyDescent="0.35">
      <c r="A240" t="str">
        <f>Raw_Claims_Data!A239</f>
        <v>TXN00000236</v>
      </c>
      <c r="B240" t="str">
        <f>TRIM(Raw_Claims_Data!B239)</f>
        <v>Robert Sim</v>
      </c>
      <c r="C240" t="str">
        <f>Raw_Claims_Data!C239</f>
        <v>Property</v>
      </c>
      <c r="D240">
        <f>Raw_Claims_Data!D239</f>
        <v>120.41</v>
      </c>
      <c r="E240">
        <f>Raw_Claims_Data!E239</f>
        <v>10000</v>
      </c>
      <c r="F240" t="str">
        <f>Raw_Claims_Data!F239</f>
        <v>OK</v>
      </c>
      <c r="G240" t="str">
        <f>Raw_Claims_Data!G239</f>
        <v>A</v>
      </c>
      <c r="H240" t="str">
        <f>Raw_Claims_Data!H239</f>
        <v>Major Loss</v>
      </c>
      <c r="I240" t="str">
        <f>IF(Raw_Claims_Data!I239="","None",Raw_Claims_Data!I239)</f>
        <v>Ambulance</v>
      </c>
      <c r="J240" t="str">
        <f>Raw_Claims_Data!J239</f>
        <v>Newark</v>
      </c>
      <c r="K240" t="str">
        <f>Raw_Claims_Data!K239</f>
        <v>CA</v>
      </c>
      <c r="L240">
        <f>Raw_Claims_Data!L239</f>
        <v>1</v>
      </c>
      <c r="M240" t="str">
        <f>IF(Raw_Claims_Data!M239="","N/A",Raw_Claims_Data!M239)</f>
        <v>N/A</v>
      </c>
      <c r="N240" t="str">
        <f>Raw_Claims_Data!N239</f>
        <v>AGENT00218</v>
      </c>
      <c r="O240">
        <f>IF(Raw_Claims_Data!G239="D",1,0)</f>
        <v>0</v>
      </c>
    </row>
    <row r="241" spans="1:15" x14ac:dyDescent="0.35">
      <c r="A241" t="str">
        <f>Raw_Claims_Data!A240</f>
        <v>TXN00000237</v>
      </c>
      <c r="B241" t="str">
        <f>TRIM(Raw_Claims_Data!B240)</f>
        <v>Kevin Haggerty</v>
      </c>
      <c r="C241" t="str">
        <f>Raw_Claims_Data!C240</f>
        <v>Mobile</v>
      </c>
      <c r="D241">
        <f>Raw_Claims_Data!D240</f>
        <v>7.03</v>
      </c>
      <c r="E241">
        <f>Raw_Claims_Data!E240</f>
        <v>700</v>
      </c>
      <c r="F241" t="str">
        <f>Raw_Claims_Data!F240</f>
        <v>AR</v>
      </c>
      <c r="G241" t="str">
        <f>Raw_Claims_Data!G240</f>
        <v>A</v>
      </c>
      <c r="H241" t="str">
        <f>Raw_Claims_Data!H240</f>
        <v>Total Loss</v>
      </c>
      <c r="I241" t="str">
        <f>IF(Raw_Claims_Data!I240="","None",Raw_Claims_Data!I240)</f>
        <v>Ambulance</v>
      </c>
      <c r="J241" t="str">
        <f>Raw_Claims_Data!J240</f>
        <v>Montpelier</v>
      </c>
      <c r="K241" t="str">
        <f>Raw_Claims_Data!K240</f>
        <v>VT</v>
      </c>
      <c r="L241">
        <f>Raw_Claims_Data!L240</f>
        <v>11</v>
      </c>
      <c r="M241" t="str">
        <f>IF(Raw_Claims_Data!M240="","N/A",Raw_Claims_Data!M240)</f>
        <v>VNDR00543</v>
      </c>
      <c r="N241" t="str">
        <f>Raw_Claims_Data!N240</f>
        <v>AGENT00636</v>
      </c>
      <c r="O241">
        <f>IF(Raw_Claims_Data!G240="D",1,0)</f>
        <v>0</v>
      </c>
    </row>
    <row r="242" spans="1:15" x14ac:dyDescent="0.35">
      <c r="A242" t="str">
        <f>Raw_Claims_Data!A241</f>
        <v>TXN00000238</v>
      </c>
      <c r="B242" t="str">
        <f>TRIM(Raw_Claims_Data!B241)</f>
        <v>Thomas Lelacheur</v>
      </c>
      <c r="C242" t="str">
        <f>Raw_Claims_Data!C241</f>
        <v>Property</v>
      </c>
      <c r="D242">
        <f>Raw_Claims_Data!D241</f>
        <v>127.6</v>
      </c>
      <c r="E242">
        <f>Raw_Claims_Data!E241</f>
        <v>28000</v>
      </c>
      <c r="F242" t="str">
        <f>Raw_Claims_Data!F241</f>
        <v>AK</v>
      </c>
      <c r="G242" t="str">
        <f>Raw_Claims_Data!G241</f>
        <v>A</v>
      </c>
      <c r="H242" t="str">
        <f>Raw_Claims_Data!H241</f>
        <v>Total Loss</v>
      </c>
      <c r="I242" t="str">
        <f>IF(Raw_Claims_Data!I241="","None",Raw_Claims_Data!I241)</f>
        <v>Other</v>
      </c>
      <c r="J242" t="str">
        <f>Raw_Claims_Data!J241</f>
        <v>Panama City</v>
      </c>
      <c r="K242" t="str">
        <f>Raw_Claims_Data!K241</f>
        <v>FL</v>
      </c>
      <c r="L242">
        <f>Raw_Claims_Data!L241</f>
        <v>7</v>
      </c>
      <c r="M242" t="str">
        <f>IF(Raw_Claims_Data!M241="","N/A",Raw_Claims_Data!M241)</f>
        <v>VNDR00316</v>
      </c>
      <c r="N242" t="str">
        <f>Raw_Claims_Data!N241</f>
        <v>AGENT01001</v>
      </c>
      <c r="O242">
        <f>IF(Raw_Claims_Data!G241="D",1,0)</f>
        <v>0</v>
      </c>
    </row>
    <row r="243" spans="1:15" x14ac:dyDescent="0.35">
      <c r="A243" t="str">
        <f>Raw_Claims_Data!A242</f>
        <v>TXN00000239</v>
      </c>
      <c r="B243" t="str">
        <f>TRIM(Raw_Claims_Data!B242)</f>
        <v>Alisha Peterson</v>
      </c>
      <c r="C243" t="str">
        <f>Raw_Claims_Data!C242</f>
        <v>Property</v>
      </c>
      <c r="D243">
        <f>Raw_Claims_Data!D242</f>
        <v>80.98</v>
      </c>
      <c r="E243">
        <f>Raw_Claims_Data!E242</f>
        <v>30000</v>
      </c>
      <c r="F243" t="str">
        <f>Raw_Claims_Data!F242</f>
        <v>CO</v>
      </c>
      <c r="G243" t="str">
        <f>Raw_Claims_Data!G242</f>
        <v>A</v>
      </c>
      <c r="H243" t="str">
        <f>Raw_Claims_Data!H242</f>
        <v>Minor Loss</v>
      </c>
      <c r="I243" t="str">
        <f>IF(Raw_Claims_Data!I242="","None",Raw_Claims_Data!I242)</f>
        <v>Ambulance</v>
      </c>
      <c r="J243" t="str">
        <f>Raw_Claims_Data!J242</f>
        <v>Medford</v>
      </c>
      <c r="K243" t="str">
        <f>Raw_Claims_Data!K242</f>
        <v>MA</v>
      </c>
      <c r="L243">
        <f>Raw_Claims_Data!L242</f>
        <v>20</v>
      </c>
      <c r="M243" t="str">
        <f>IF(Raw_Claims_Data!M242="","N/A",Raw_Claims_Data!M242)</f>
        <v>VNDR00591</v>
      </c>
      <c r="N243" t="str">
        <f>Raw_Claims_Data!N242</f>
        <v>AGENT00312</v>
      </c>
      <c r="O243">
        <f>IF(Raw_Claims_Data!G242="D",1,0)</f>
        <v>0</v>
      </c>
    </row>
    <row r="244" spans="1:15" x14ac:dyDescent="0.35">
      <c r="A244" t="str">
        <f>Raw_Claims_Data!A243</f>
        <v>TXN00000240</v>
      </c>
      <c r="B244" t="str">
        <f>TRIM(Raw_Claims_Data!B243)</f>
        <v>Julie Moore</v>
      </c>
      <c r="C244" t="str">
        <f>Raw_Claims_Data!C243</f>
        <v>Life</v>
      </c>
      <c r="D244">
        <f>Raw_Claims_Data!D243</f>
        <v>73.52</v>
      </c>
      <c r="E244">
        <f>Raw_Claims_Data!E243</f>
        <v>55000</v>
      </c>
      <c r="F244" t="str">
        <f>Raw_Claims_Data!F243</f>
        <v>CA</v>
      </c>
      <c r="G244" t="str">
        <f>Raw_Claims_Data!G243</f>
        <v>A</v>
      </c>
      <c r="H244" t="str">
        <f>Raw_Claims_Data!H243</f>
        <v>Total Loss</v>
      </c>
      <c r="I244" t="str">
        <f>IF(Raw_Claims_Data!I243="","None",Raw_Claims_Data!I243)</f>
        <v>None</v>
      </c>
      <c r="J244" t="str">
        <f>Raw_Claims_Data!J243</f>
        <v>Manchester</v>
      </c>
      <c r="K244" t="str">
        <f>Raw_Claims_Data!K243</f>
        <v>CT</v>
      </c>
      <c r="L244">
        <f>Raw_Claims_Data!L243</f>
        <v>16</v>
      </c>
      <c r="M244" t="str">
        <f>IF(Raw_Claims_Data!M243="","N/A",Raw_Claims_Data!M243)</f>
        <v>N/A</v>
      </c>
      <c r="N244" t="str">
        <f>Raw_Claims_Data!N243</f>
        <v>AGENT00806</v>
      </c>
      <c r="O244">
        <f>IF(Raw_Claims_Data!G243="D",1,0)</f>
        <v>0</v>
      </c>
    </row>
    <row r="245" spans="1:15" x14ac:dyDescent="0.35">
      <c r="A245" t="str">
        <f>Raw_Claims_Data!A244</f>
        <v>TXN00000241</v>
      </c>
      <c r="B245" t="str">
        <f>TRIM(Raw_Claims_Data!B244)</f>
        <v>Jason Cearns</v>
      </c>
      <c r="C245" t="str">
        <f>Raw_Claims_Data!C244</f>
        <v>Travel</v>
      </c>
      <c r="D245">
        <f>Raw_Claims_Data!D244</f>
        <v>57.72</v>
      </c>
      <c r="E245">
        <f>Raw_Claims_Data!E244</f>
        <v>5000</v>
      </c>
      <c r="F245" t="str">
        <f>Raw_Claims_Data!F244</f>
        <v>KY</v>
      </c>
      <c r="G245" t="str">
        <f>Raw_Claims_Data!G244</f>
        <v>A</v>
      </c>
      <c r="H245" t="str">
        <f>Raw_Claims_Data!H244</f>
        <v>Major Loss</v>
      </c>
      <c r="I245" t="str">
        <f>IF(Raw_Claims_Data!I244="","None",Raw_Claims_Data!I244)</f>
        <v>Ambulance</v>
      </c>
      <c r="J245" t="str">
        <f>Raw_Claims_Data!J244</f>
        <v>Bethel</v>
      </c>
      <c r="K245" t="str">
        <f>Raw_Claims_Data!K244</f>
        <v>VT</v>
      </c>
      <c r="L245">
        <f>Raw_Claims_Data!L244</f>
        <v>17</v>
      </c>
      <c r="M245" t="str">
        <f>IF(Raw_Claims_Data!M244="","N/A",Raw_Claims_Data!M244)</f>
        <v>VNDR00243</v>
      </c>
      <c r="N245" t="str">
        <f>Raw_Claims_Data!N244</f>
        <v>AGENT00613</v>
      </c>
      <c r="O245">
        <f>IF(Raw_Claims_Data!G244="D",1,0)</f>
        <v>0</v>
      </c>
    </row>
    <row r="246" spans="1:15" x14ac:dyDescent="0.35">
      <c r="A246" t="str">
        <f>Raw_Claims_Data!A245</f>
        <v>TXN00000242</v>
      </c>
      <c r="B246" t="str">
        <f>TRIM(Raw_Claims_Data!B245)</f>
        <v>Jeffrey Arnold</v>
      </c>
      <c r="C246" t="str">
        <f>Raw_Claims_Data!C245</f>
        <v>Mobile</v>
      </c>
      <c r="D246">
        <f>Raw_Claims_Data!D245</f>
        <v>10.61</v>
      </c>
      <c r="E246">
        <f>Raw_Claims_Data!E245</f>
        <v>700</v>
      </c>
      <c r="F246" t="str">
        <f>Raw_Claims_Data!F245</f>
        <v>AK</v>
      </c>
      <c r="G246" t="str">
        <f>Raw_Claims_Data!G245</f>
        <v>A</v>
      </c>
      <c r="H246" t="str">
        <f>Raw_Claims_Data!H245</f>
        <v>Total Loss</v>
      </c>
      <c r="I246" t="str">
        <f>IF(Raw_Claims_Data!I245="","None",Raw_Claims_Data!I245)</f>
        <v>Ambulance</v>
      </c>
      <c r="J246" t="str">
        <f>Raw_Claims_Data!J245</f>
        <v>Manchester</v>
      </c>
      <c r="K246" t="str">
        <f>Raw_Claims_Data!K245</f>
        <v>CT</v>
      </c>
      <c r="L246">
        <f>Raw_Claims_Data!L245</f>
        <v>7</v>
      </c>
      <c r="M246" t="str">
        <f>IF(Raw_Claims_Data!M245="","N/A",Raw_Claims_Data!M245)</f>
        <v>N/A</v>
      </c>
      <c r="N246" t="str">
        <f>Raw_Claims_Data!N245</f>
        <v>AGENT01011</v>
      </c>
      <c r="O246">
        <f>IF(Raw_Claims_Data!G245="D",1,0)</f>
        <v>0</v>
      </c>
    </row>
    <row r="247" spans="1:15" x14ac:dyDescent="0.35">
      <c r="A247" t="str">
        <f>Raw_Claims_Data!A246</f>
        <v>TXN00000243</v>
      </c>
      <c r="B247" t="str">
        <f>TRIM(Raw_Claims_Data!B246)</f>
        <v>Sarah Clermont</v>
      </c>
      <c r="C247" t="str">
        <f>Raw_Claims_Data!C246</f>
        <v>Life</v>
      </c>
      <c r="D247">
        <f>Raw_Claims_Data!D246</f>
        <v>74.66</v>
      </c>
      <c r="E247">
        <f>Raw_Claims_Data!E246</f>
        <v>63000</v>
      </c>
      <c r="F247" t="str">
        <f>Raw_Claims_Data!F246</f>
        <v>AR</v>
      </c>
      <c r="G247" t="str">
        <f>Raw_Claims_Data!G246</f>
        <v>A</v>
      </c>
      <c r="H247" t="str">
        <f>Raw_Claims_Data!H246</f>
        <v>Total Loss</v>
      </c>
      <c r="I247" t="str">
        <f>IF(Raw_Claims_Data!I246="","None",Raw_Claims_Data!I246)</f>
        <v>Other</v>
      </c>
      <c r="J247" t="str">
        <f>Raw_Claims_Data!J246</f>
        <v>Fayetteville</v>
      </c>
      <c r="K247" t="str">
        <f>Raw_Claims_Data!K246</f>
        <v>AR</v>
      </c>
      <c r="L247">
        <f>Raw_Claims_Data!L246</f>
        <v>8</v>
      </c>
      <c r="M247" t="str">
        <f>IF(Raw_Claims_Data!M246="","N/A",Raw_Claims_Data!M246)</f>
        <v>VNDR00458</v>
      </c>
      <c r="N247" t="str">
        <f>Raw_Claims_Data!N246</f>
        <v>AGENT00807</v>
      </c>
      <c r="O247">
        <f>IF(Raw_Claims_Data!G246="D",1,0)</f>
        <v>0</v>
      </c>
    </row>
    <row r="248" spans="1:15" x14ac:dyDescent="0.35">
      <c r="A248" t="str">
        <f>Raw_Claims_Data!A247</f>
        <v>TXN00000244</v>
      </c>
      <c r="B248" t="str">
        <f>TRIM(Raw_Claims_Data!B247)</f>
        <v>John Knapp</v>
      </c>
      <c r="C248" t="str">
        <f>Raw_Claims_Data!C247</f>
        <v>Travel</v>
      </c>
      <c r="D248">
        <f>Raw_Claims_Data!D247</f>
        <v>77.349999999999994</v>
      </c>
      <c r="E248">
        <f>Raw_Claims_Data!E247</f>
        <v>1000</v>
      </c>
      <c r="F248" t="str">
        <f>Raw_Claims_Data!F247</f>
        <v>CA</v>
      </c>
      <c r="G248" t="str">
        <f>Raw_Claims_Data!G247</f>
        <v>A</v>
      </c>
      <c r="H248" t="str">
        <f>Raw_Claims_Data!H247</f>
        <v>Major Loss</v>
      </c>
      <c r="I248" t="str">
        <f>IF(Raw_Claims_Data!I247="","None",Raw_Claims_Data!I247)</f>
        <v>Ambulance</v>
      </c>
      <c r="J248" t="str">
        <f>Raw_Claims_Data!J247</f>
        <v>Fall River</v>
      </c>
      <c r="K248" t="str">
        <f>Raw_Claims_Data!K247</f>
        <v>MA</v>
      </c>
      <c r="L248">
        <f>Raw_Claims_Data!L247</f>
        <v>0</v>
      </c>
      <c r="M248" t="str">
        <f>IF(Raw_Claims_Data!M247="","N/A",Raw_Claims_Data!M247)</f>
        <v>VNDR00540</v>
      </c>
      <c r="N248" t="str">
        <f>Raw_Claims_Data!N247</f>
        <v>AGENT00018</v>
      </c>
      <c r="O248">
        <f>IF(Raw_Claims_Data!G247="D",1,0)</f>
        <v>0</v>
      </c>
    </row>
    <row r="249" spans="1:15" x14ac:dyDescent="0.35">
      <c r="A249" t="str">
        <f>Raw_Claims_Data!A248</f>
        <v>TXN00000245</v>
      </c>
      <c r="B249" t="str">
        <f>TRIM(Raw_Claims_Data!B248)</f>
        <v>Robert Valasquez</v>
      </c>
      <c r="C249" t="str">
        <f>Raw_Claims_Data!C248</f>
        <v>Property</v>
      </c>
      <c r="D249">
        <f>Raw_Claims_Data!D248</f>
        <v>130.65</v>
      </c>
      <c r="E249">
        <f>Raw_Claims_Data!E248</f>
        <v>39000</v>
      </c>
      <c r="F249" t="str">
        <f>Raw_Claims_Data!F248</f>
        <v>CO</v>
      </c>
      <c r="G249" t="str">
        <f>Raw_Claims_Data!G248</f>
        <v>A</v>
      </c>
      <c r="H249" t="str">
        <f>Raw_Claims_Data!H248</f>
        <v>Total Loss</v>
      </c>
      <c r="I249" t="str">
        <f>IF(Raw_Claims_Data!I248="","None",Raw_Claims_Data!I248)</f>
        <v>Police</v>
      </c>
      <c r="J249" t="str">
        <f>Raw_Claims_Data!J248</f>
        <v>Fayetteville</v>
      </c>
      <c r="K249" t="str">
        <f>Raw_Claims_Data!K248</f>
        <v>AR</v>
      </c>
      <c r="L249">
        <f>Raw_Claims_Data!L248</f>
        <v>13</v>
      </c>
      <c r="M249" t="str">
        <f>IF(Raw_Claims_Data!M248="","N/A",Raw_Claims_Data!M248)</f>
        <v>N/A</v>
      </c>
      <c r="N249" t="str">
        <f>Raw_Claims_Data!N248</f>
        <v>AGENT01086</v>
      </c>
      <c r="O249">
        <f>IF(Raw_Claims_Data!G248="D",1,0)</f>
        <v>0</v>
      </c>
    </row>
    <row r="250" spans="1:15" x14ac:dyDescent="0.35">
      <c r="A250" t="str">
        <f>Raw_Claims_Data!A249</f>
        <v>TXN00000246</v>
      </c>
      <c r="B250" t="str">
        <f>TRIM(Raw_Claims_Data!B249)</f>
        <v>Viviana Cole</v>
      </c>
      <c r="C250" t="str">
        <f>Raw_Claims_Data!C249</f>
        <v>Mobile</v>
      </c>
      <c r="D250">
        <f>Raw_Claims_Data!D249</f>
        <v>10.199999999999999</v>
      </c>
      <c r="E250">
        <f>Raw_Claims_Data!E249</f>
        <v>400</v>
      </c>
      <c r="F250" t="str">
        <f>Raw_Claims_Data!F249</f>
        <v>AL</v>
      </c>
      <c r="G250" t="str">
        <f>Raw_Claims_Data!G249</f>
        <v>A</v>
      </c>
      <c r="H250" t="str">
        <f>Raw_Claims_Data!H249</f>
        <v>Total Loss</v>
      </c>
      <c r="I250" t="str">
        <f>IF(Raw_Claims_Data!I249="","None",Raw_Claims_Data!I249)</f>
        <v>None</v>
      </c>
      <c r="J250" t="str">
        <f>Raw_Claims_Data!J249</f>
        <v>Louisville</v>
      </c>
      <c r="K250" t="str">
        <f>Raw_Claims_Data!K249</f>
        <v>KY</v>
      </c>
      <c r="L250">
        <f>Raw_Claims_Data!L249</f>
        <v>8</v>
      </c>
      <c r="M250" t="str">
        <f>IF(Raw_Claims_Data!M249="","N/A",Raw_Claims_Data!M249)</f>
        <v>N/A</v>
      </c>
      <c r="N250" t="str">
        <f>Raw_Claims_Data!N249</f>
        <v>AGENT00295</v>
      </c>
      <c r="O250">
        <f>IF(Raw_Claims_Data!G249="D",1,0)</f>
        <v>0</v>
      </c>
    </row>
    <row r="251" spans="1:15" x14ac:dyDescent="0.35">
      <c r="A251" t="str">
        <f>Raw_Claims_Data!A250</f>
        <v>TXN00000247</v>
      </c>
      <c r="B251" t="str">
        <f>TRIM(Raw_Claims_Data!B250)</f>
        <v>Latonya Combs</v>
      </c>
      <c r="C251" t="str">
        <f>Raw_Claims_Data!C250</f>
        <v>Motor</v>
      </c>
      <c r="D251">
        <f>Raw_Claims_Data!D250</f>
        <v>123.3</v>
      </c>
      <c r="E251">
        <f>Raw_Claims_Data!E250</f>
        <v>1000</v>
      </c>
      <c r="F251" t="str">
        <f>Raw_Claims_Data!F250</f>
        <v>CA</v>
      </c>
      <c r="G251" t="str">
        <f>Raw_Claims_Data!G250</f>
        <v>A</v>
      </c>
      <c r="H251" t="str">
        <f>Raw_Claims_Data!H250</f>
        <v>Total Loss</v>
      </c>
      <c r="I251" t="str">
        <f>IF(Raw_Claims_Data!I250="","None",Raw_Claims_Data!I250)</f>
        <v>Ambulance</v>
      </c>
      <c r="J251" t="str">
        <f>Raw_Claims_Data!J250</f>
        <v>Hanford</v>
      </c>
      <c r="K251" t="str">
        <f>Raw_Claims_Data!K250</f>
        <v>CA</v>
      </c>
      <c r="L251">
        <f>Raw_Claims_Data!L250</f>
        <v>7</v>
      </c>
      <c r="M251" t="str">
        <f>IF(Raw_Claims_Data!M250="","N/A",Raw_Claims_Data!M250)</f>
        <v>N/A</v>
      </c>
      <c r="N251" t="str">
        <f>Raw_Claims_Data!N250</f>
        <v>AGENT00864</v>
      </c>
      <c r="O251">
        <f>IF(Raw_Claims_Data!G250="D",1,0)</f>
        <v>0</v>
      </c>
    </row>
    <row r="252" spans="1:15" x14ac:dyDescent="0.35">
      <c r="A252" t="str">
        <f>Raw_Claims_Data!A251</f>
        <v>TXN00000248</v>
      </c>
      <c r="B252" t="str">
        <f>TRIM(Raw_Claims_Data!B251)</f>
        <v>Dale Miller</v>
      </c>
      <c r="C252" t="str">
        <f>Raw_Claims_Data!C251</f>
        <v>Motor</v>
      </c>
      <c r="D252">
        <f>Raw_Claims_Data!D251</f>
        <v>90.32</v>
      </c>
      <c r="E252">
        <f>Raw_Claims_Data!E251</f>
        <v>5000</v>
      </c>
      <c r="F252" t="str">
        <f>Raw_Claims_Data!F251</f>
        <v>AL</v>
      </c>
      <c r="G252" t="str">
        <f>Raw_Claims_Data!G251</f>
        <v>A</v>
      </c>
      <c r="H252" t="str">
        <f>Raw_Claims_Data!H251</f>
        <v>Total Loss</v>
      </c>
      <c r="I252" t="str">
        <f>IF(Raw_Claims_Data!I251="","None",Raw_Claims_Data!I251)</f>
        <v>Other</v>
      </c>
      <c r="J252" t="str">
        <f>Raw_Claims_Data!J251</f>
        <v>Panama City</v>
      </c>
      <c r="K252" t="str">
        <f>Raw_Claims_Data!K251</f>
        <v>FL</v>
      </c>
      <c r="L252">
        <f>Raw_Claims_Data!L251</f>
        <v>0</v>
      </c>
      <c r="M252" t="str">
        <f>IF(Raw_Claims_Data!M251="","N/A",Raw_Claims_Data!M251)</f>
        <v>VNDR00204</v>
      </c>
      <c r="N252" t="str">
        <f>Raw_Claims_Data!N251</f>
        <v>AGENT00974</v>
      </c>
      <c r="O252">
        <f>IF(Raw_Claims_Data!G251="D",1,0)</f>
        <v>0</v>
      </c>
    </row>
    <row r="253" spans="1:15" x14ac:dyDescent="0.35">
      <c r="A253" t="str">
        <f>Raw_Claims_Data!A252</f>
        <v>TXN00000249</v>
      </c>
      <c r="B253" t="str">
        <f>TRIM(Raw_Claims_Data!B252)</f>
        <v>Delma Mallett</v>
      </c>
      <c r="C253" t="str">
        <f>Raw_Claims_Data!C252</f>
        <v>Mobile</v>
      </c>
      <c r="D253">
        <f>Raw_Claims_Data!D252</f>
        <v>10.18</v>
      </c>
      <c r="E253">
        <f>Raw_Claims_Data!E252</f>
        <v>200</v>
      </c>
      <c r="F253" t="str">
        <f>Raw_Claims_Data!F252</f>
        <v>VT</v>
      </c>
      <c r="G253" t="str">
        <f>Raw_Claims_Data!G252</f>
        <v>A</v>
      </c>
      <c r="H253" t="str">
        <f>Raw_Claims_Data!H252</f>
        <v>Major Loss</v>
      </c>
      <c r="I253" t="str">
        <f>IF(Raw_Claims_Data!I252="","None",Raw_Claims_Data!I252)</f>
        <v>Ambulance</v>
      </c>
      <c r="J253" t="str">
        <f>Raw_Claims_Data!J252</f>
        <v>Poultney</v>
      </c>
      <c r="K253" t="str">
        <f>Raw_Claims_Data!K252</f>
        <v>VT</v>
      </c>
      <c r="L253">
        <f>Raw_Claims_Data!L252</f>
        <v>19</v>
      </c>
      <c r="M253" t="str">
        <f>IF(Raw_Claims_Data!M252="","N/A",Raw_Claims_Data!M252)</f>
        <v>N/A</v>
      </c>
      <c r="N253" t="str">
        <f>Raw_Claims_Data!N252</f>
        <v>AGENT00464</v>
      </c>
      <c r="O253">
        <f>IF(Raw_Claims_Data!G252="D",1,0)</f>
        <v>0</v>
      </c>
    </row>
    <row r="254" spans="1:15" x14ac:dyDescent="0.35">
      <c r="A254" t="str">
        <f>Raw_Claims_Data!A253</f>
        <v>TXN00000250</v>
      </c>
      <c r="B254" t="str">
        <f>TRIM(Raw_Claims_Data!B253)</f>
        <v>Jennifer Macdonald</v>
      </c>
      <c r="C254" t="str">
        <f>Raw_Claims_Data!C253</f>
        <v>Health</v>
      </c>
      <c r="D254">
        <f>Raw_Claims_Data!D253</f>
        <v>190.93</v>
      </c>
      <c r="E254">
        <f>Raw_Claims_Data!E253</f>
        <v>4000</v>
      </c>
      <c r="F254" t="str">
        <f>Raw_Claims_Data!F253</f>
        <v>CA</v>
      </c>
      <c r="G254" t="str">
        <f>Raw_Claims_Data!G253</f>
        <v>A</v>
      </c>
      <c r="H254" t="str">
        <f>Raw_Claims_Data!H253</f>
        <v>Major Loss</v>
      </c>
      <c r="I254" t="str">
        <f>IF(Raw_Claims_Data!I253="","None",Raw_Claims_Data!I253)</f>
        <v>Ambulance</v>
      </c>
      <c r="J254" t="str">
        <f>Raw_Claims_Data!J253</f>
        <v>Manchester</v>
      </c>
      <c r="K254" t="str">
        <f>Raw_Claims_Data!K253</f>
        <v>CT</v>
      </c>
      <c r="L254">
        <f>Raw_Claims_Data!L253</f>
        <v>14</v>
      </c>
      <c r="M254" t="str">
        <f>IF(Raw_Claims_Data!M253="","N/A",Raw_Claims_Data!M253)</f>
        <v>VNDR00529</v>
      </c>
      <c r="N254" t="str">
        <f>Raw_Claims_Data!N253</f>
        <v>AGENT00367</v>
      </c>
      <c r="O254">
        <f>IF(Raw_Claims_Data!G253="D",1,0)</f>
        <v>0</v>
      </c>
    </row>
    <row r="255" spans="1:15" x14ac:dyDescent="0.35">
      <c r="A255" t="str">
        <f>Raw_Claims_Data!A254</f>
        <v>TXN00000251</v>
      </c>
      <c r="B255" t="str">
        <f>TRIM(Raw_Claims_Data!B254)</f>
        <v>Joan Potts</v>
      </c>
      <c r="C255" t="str">
        <f>Raw_Claims_Data!C254</f>
        <v>Mobile</v>
      </c>
      <c r="D255">
        <f>Raw_Claims_Data!D254</f>
        <v>11.64</v>
      </c>
      <c r="E255">
        <f>Raw_Claims_Data!E254</f>
        <v>100</v>
      </c>
      <c r="F255" t="str">
        <f>Raw_Claims_Data!F254</f>
        <v>AL</v>
      </c>
      <c r="G255" t="str">
        <f>Raw_Claims_Data!G254</f>
        <v>A</v>
      </c>
      <c r="H255" t="str">
        <f>Raw_Claims_Data!H254</f>
        <v>Major Loss</v>
      </c>
      <c r="I255" t="str">
        <f>IF(Raw_Claims_Data!I254="","None",Raw_Claims_Data!I254)</f>
        <v>Police</v>
      </c>
      <c r="J255" t="str">
        <f>Raw_Claims_Data!J254</f>
        <v>Midwest City</v>
      </c>
      <c r="K255" t="str">
        <f>Raw_Claims_Data!K254</f>
        <v>OK</v>
      </c>
      <c r="L255">
        <f>Raw_Claims_Data!L254</f>
        <v>6</v>
      </c>
      <c r="M255" t="str">
        <f>IF(Raw_Claims_Data!M254="","N/A",Raw_Claims_Data!M254)</f>
        <v>VNDR00086</v>
      </c>
      <c r="N255" t="str">
        <f>Raw_Claims_Data!N254</f>
        <v>AGENT00979</v>
      </c>
      <c r="O255">
        <f>IF(Raw_Claims_Data!G254="D",1,0)</f>
        <v>0</v>
      </c>
    </row>
    <row r="256" spans="1:15" x14ac:dyDescent="0.35">
      <c r="A256" t="str">
        <f>Raw_Claims_Data!A255</f>
        <v>TXN00000252</v>
      </c>
      <c r="B256" t="str">
        <f>TRIM(Raw_Claims_Data!B255)</f>
        <v>Alice Vigue</v>
      </c>
      <c r="C256" t="str">
        <f>Raw_Claims_Data!C255</f>
        <v>Motor</v>
      </c>
      <c r="D256">
        <f>Raw_Claims_Data!D255</f>
        <v>74.819999999999993</v>
      </c>
      <c r="E256">
        <f>Raw_Claims_Data!E255</f>
        <v>6000</v>
      </c>
      <c r="F256" t="str">
        <f>Raw_Claims_Data!F255</f>
        <v>MA</v>
      </c>
      <c r="G256" t="str">
        <f>Raw_Claims_Data!G255</f>
        <v>D</v>
      </c>
      <c r="H256" t="str">
        <f>Raw_Claims_Data!H255</f>
        <v>Minor Loss</v>
      </c>
      <c r="I256" t="str">
        <f>IF(Raw_Claims_Data!I255="","None",Raw_Claims_Data!I255)</f>
        <v>None</v>
      </c>
      <c r="J256" t="str">
        <f>Raw_Claims_Data!J255</f>
        <v>Anchorage</v>
      </c>
      <c r="K256" t="str">
        <f>Raw_Claims_Data!K255</f>
        <v>AK</v>
      </c>
      <c r="L256">
        <f>Raw_Claims_Data!L255</f>
        <v>2</v>
      </c>
      <c r="M256" t="str">
        <f>IF(Raw_Claims_Data!M255="","N/A",Raw_Claims_Data!M255)</f>
        <v>VNDR00517</v>
      </c>
      <c r="N256" t="str">
        <f>Raw_Claims_Data!N255</f>
        <v>AGENT00412</v>
      </c>
      <c r="O256">
        <f>IF(Raw_Claims_Data!G255="D",1,0)</f>
        <v>1</v>
      </c>
    </row>
    <row r="257" spans="1:15" x14ac:dyDescent="0.35">
      <c r="A257" t="str">
        <f>Raw_Claims_Data!A256</f>
        <v>TXN00000253</v>
      </c>
      <c r="B257" t="str">
        <f>TRIM(Raw_Claims_Data!B256)</f>
        <v>Steve Smith</v>
      </c>
      <c r="C257" t="str">
        <f>Raw_Claims_Data!C256</f>
        <v>Travel</v>
      </c>
      <c r="D257">
        <f>Raw_Claims_Data!D256</f>
        <v>98.9</v>
      </c>
      <c r="E257">
        <f>Raw_Claims_Data!E256</f>
        <v>3000</v>
      </c>
      <c r="F257" t="str">
        <f>Raw_Claims_Data!F256</f>
        <v>VT</v>
      </c>
      <c r="G257" t="str">
        <f>Raw_Claims_Data!G256</f>
        <v>A</v>
      </c>
      <c r="H257" t="str">
        <f>Raw_Claims_Data!H256</f>
        <v>Total Loss</v>
      </c>
      <c r="I257" t="str">
        <f>IF(Raw_Claims_Data!I256="","None",Raw_Claims_Data!I256)</f>
        <v>Ambulance</v>
      </c>
      <c r="J257" t="str">
        <f>Raw_Claims_Data!J256</f>
        <v>Gardner</v>
      </c>
      <c r="K257" t="str">
        <f>Raw_Claims_Data!K256</f>
        <v>MA</v>
      </c>
      <c r="L257">
        <f>Raw_Claims_Data!L256</f>
        <v>6</v>
      </c>
      <c r="M257" t="str">
        <f>IF(Raw_Claims_Data!M256="","N/A",Raw_Claims_Data!M256)</f>
        <v>N/A</v>
      </c>
      <c r="N257" t="str">
        <f>Raw_Claims_Data!N256</f>
        <v>AGENT00121</v>
      </c>
      <c r="O257">
        <f>IF(Raw_Claims_Data!G256="D",1,0)</f>
        <v>0</v>
      </c>
    </row>
    <row r="258" spans="1:15" x14ac:dyDescent="0.35">
      <c r="A258" t="str">
        <f>Raw_Claims_Data!A257</f>
        <v>TXN00000254</v>
      </c>
      <c r="B258" t="str">
        <f>TRIM(Raw_Claims_Data!B257)</f>
        <v>Rogelio Joseph</v>
      </c>
      <c r="C258" t="str">
        <f>Raw_Claims_Data!C257</f>
        <v>Motor</v>
      </c>
      <c r="D258">
        <f>Raw_Claims_Data!D257</f>
        <v>70.94</v>
      </c>
      <c r="E258">
        <f>Raw_Claims_Data!E257</f>
        <v>4000</v>
      </c>
      <c r="F258" t="str">
        <f>Raw_Claims_Data!F257</f>
        <v>MD</v>
      </c>
      <c r="G258" t="str">
        <f>Raw_Claims_Data!G257</f>
        <v>A</v>
      </c>
      <c r="H258" t="str">
        <f>Raw_Claims_Data!H257</f>
        <v>Total Loss</v>
      </c>
      <c r="I258" t="str">
        <f>IF(Raw_Claims_Data!I257="","None",Raw_Claims_Data!I257)</f>
        <v>Ambulance</v>
      </c>
      <c r="J258" t="str">
        <f>Raw_Claims_Data!J257</f>
        <v>San Leandro</v>
      </c>
      <c r="K258" t="str">
        <f>Raw_Claims_Data!K257</f>
        <v>CA</v>
      </c>
      <c r="L258">
        <f>Raw_Claims_Data!L257</f>
        <v>10</v>
      </c>
      <c r="M258" t="str">
        <f>IF(Raw_Claims_Data!M257="","N/A",Raw_Claims_Data!M257)</f>
        <v>VNDR00188</v>
      </c>
      <c r="N258" t="str">
        <f>Raw_Claims_Data!N257</f>
        <v>AGENT00428</v>
      </c>
      <c r="O258">
        <f>IF(Raw_Claims_Data!G257="D",1,0)</f>
        <v>0</v>
      </c>
    </row>
    <row r="259" spans="1:15" x14ac:dyDescent="0.35">
      <c r="A259" t="str">
        <f>Raw_Claims_Data!A258</f>
        <v>TXN00000255</v>
      </c>
      <c r="B259" t="str">
        <f>TRIM(Raw_Claims_Data!B258)</f>
        <v>Joseph White</v>
      </c>
      <c r="C259" t="str">
        <f>Raw_Claims_Data!C258</f>
        <v>Motor</v>
      </c>
      <c r="D259">
        <f>Raw_Claims_Data!D258</f>
        <v>106.17</v>
      </c>
      <c r="E259">
        <f>Raw_Claims_Data!E258</f>
        <v>2000</v>
      </c>
      <c r="F259" t="str">
        <f>Raw_Claims_Data!F258</f>
        <v>DC</v>
      </c>
      <c r="G259" t="str">
        <f>Raw_Claims_Data!G258</f>
        <v>A</v>
      </c>
      <c r="H259" t="str">
        <f>Raw_Claims_Data!H258</f>
        <v>Minor Loss</v>
      </c>
      <c r="I259" t="str">
        <f>IF(Raw_Claims_Data!I258="","None",Raw_Claims_Data!I258)</f>
        <v>None</v>
      </c>
      <c r="J259" t="str">
        <f>Raw_Claims_Data!J258</f>
        <v>Louisville</v>
      </c>
      <c r="K259" t="str">
        <f>Raw_Claims_Data!K258</f>
        <v>KY</v>
      </c>
      <c r="L259">
        <f>Raw_Claims_Data!L258</f>
        <v>23</v>
      </c>
      <c r="M259" t="str">
        <f>IF(Raw_Claims_Data!M258="","N/A",Raw_Claims_Data!M258)</f>
        <v>N/A</v>
      </c>
      <c r="N259" t="str">
        <f>Raw_Claims_Data!N258</f>
        <v>AGENT00274</v>
      </c>
      <c r="O259">
        <f>IF(Raw_Claims_Data!G258="D",1,0)</f>
        <v>0</v>
      </c>
    </row>
    <row r="260" spans="1:15" x14ac:dyDescent="0.35">
      <c r="A260" t="str">
        <f>Raw_Claims_Data!A259</f>
        <v>TXN00000256</v>
      </c>
      <c r="B260" t="str">
        <f>TRIM(Raw_Claims_Data!B259)</f>
        <v>Leroy Huling</v>
      </c>
      <c r="C260" t="str">
        <f>Raw_Claims_Data!C259</f>
        <v>Life</v>
      </c>
      <c r="D260">
        <f>Raw_Claims_Data!D259</f>
        <v>88.45</v>
      </c>
      <c r="E260">
        <f>Raw_Claims_Data!E259</f>
        <v>80000</v>
      </c>
      <c r="F260" t="str">
        <f>Raw_Claims_Data!F259</f>
        <v>AZ</v>
      </c>
      <c r="G260" t="str">
        <f>Raw_Claims_Data!G259</f>
        <v>A</v>
      </c>
      <c r="H260" t="str">
        <f>Raw_Claims_Data!H259</f>
        <v>Major Loss</v>
      </c>
      <c r="I260" t="str">
        <f>IF(Raw_Claims_Data!I259="","None",Raw_Claims_Data!I259)</f>
        <v>Ambulance</v>
      </c>
      <c r="J260" t="str">
        <f>Raw_Claims_Data!J259</f>
        <v>Glen Burnie</v>
      </c>
      <c r="K260" t="str">
        <f>Raw_Claims_Data!K259</f>
        <v>MD</v>
      </c>
      <c r="L260">
        <f>Raw_Claims_Data!L259</f>
        <v>6</v>
      </c>
      <c r="M260" t="str">
        <f>IF(Raw_Claims_Data!M259="","N/A",Raw_Claims_Data!M259)</f>
        <v>VNDR00126</v>
      </c>
      <c r="N260" t="str">
        <f>Raw_Claims_Data!N259</f>
        <v>AGENT00027</v>
      </c>
      <c r="O260">
        <f>IF(Raw_Claims_Data!G259="D",1,0)</f>
        <v>0</v>
      </c>
    </row>
    <row r="261" spans="1:15" x14ac:dyDescent="0.35">
      <c r="A261" t="str">
        <f>Raw_Claims_Data!A260</f>
        <v>TXN00000257</v>
      </c>
      <c r="B261" t="str">
        <f>TRIM(Raw_Claims_Data!B260)</f>
        <v>Annabelle Krouse</v>
      </c>
      <c r="C261" t="str">
        <f>Raw_Claims_Data!C260</f>
        <v>Travel</v>
      </c>
      <c r="D261">
        <f>Raw_Claims_Data!D260</f>
        <v>75.38</v>
      </c>
      <c r="E261">
        <f>Raw_Claims_Data!E260</f>
        <v>4000</v>
      </c>
      <c r="F261" t="str">
        <f>Raw_Claims_Data!F260</f>
        <v>AZ</v>
      </c>
      <c r="G261" t="str">
        <f>Raw_Claims_Data!G260</f>
        <v>A</v>
      </c>
      <c r="H261" t="str">
        <f>Raw_Claims_Data!H260</f>
        <v>Major Loss</v>
      </c>
      <c r="I261" t="str">
        <f>IF(Raw_Claims_Data!I260="","None",Raw_Claims_Data!I260)</f>
        <v>Police</v>
      </c>
      <c r="J261" t="str">
        <f>Raw_Claims_Data!J260</f>
        <v>Arvada</v>
      </c>
      <c r="K261" t="str">
        <f>Raw_Claims_Data!K260</f>
        <v>CO</v>
      </c>
      <c r="L261">
        <f>Raw_Claims_Data!L260</f>
        <v>10</v>
      </c>
      <c r="M261" t="str">
        <f>IF(Raw_Claims_Data!M260="","N/A",Raw_Claims_Data!M260)</f>
        <v>VNDR00546</v>
      </c>
      <c r="N261" t="str">
        <f>Raw_Claims_Data!N260</f>
        <v>AGENT00014</v>
      </c>
      <c r="O261">
        <f>IF(Raw_Claims_Data!G260="D",1,0)</f>
        <v>0</v>
      </c>
    </row>
    <row r="262" spans="1:15" x14ac:dyDescent="0.35">
      <c r="A262" t="str">
        <f>Raw_Claims_Data!A261</f>
        <v>TXN00000258</v>
      </c>
      <c r="B262" t="str">
        <f>TRIM(Raw_Claims_Data!B261)</f>
        <v>Tommy Young</v>
      </c>
      <c r="C262" t="str">
        <f>Raw_Claims_Data!C261</f>
        <v>Life</v>
      </c>
      <c r="D262">
        <f>Raw_Claims_Data!D261</f>
        <v>57.15</v>
      </c>
      <c r="E262">
        <f>Raw_Claims_Data!E261</f>
        <v>54000</v>
      </c>
      <c r="F262" t="str">
        <f>Raw_Claims_Data!F261</f>
        <v>CO</v>
      </c>
      <c r="G262" t="str">
        <f>Raw_Claims_Data!G261</f>
        <v>A</v>
      </c>
      <c r="H262" t="str">
        <f>Raw_Claims_Data!H261</f>
        <v>Minor Loss</v>
      </c>
      <c r="I262" t="str">
        <f>IF(Raw_Claims_Data!I261="","None",Raw_Claims_Data!I261)</f>
        <v>None</v>
      </c>
      <c r="J262" t="str">
        <f>Raw_Claims_Data!J261</f>
        <v>Anchorage</v>
      </c>
      <c r="K262" t="str">
        <f>Raw_Claims_Data!K261</f>
        <v>AK</v>
      </c>
      <c r="L262">
        <f>Raw_Claims_Data!L261</f>
        <v>13</v>
      </c>
      <c r="M262" t="str">
        <f>IF(Raw_Claims_Data!M261="","N/A",Raw_Claims_Data!M261)</f>
        <v>N/A</v>
      </c>
      <c r="N262" t="str">
        <f>Raw_Claims_Data!N261</f>
        <v>AGENT00413</v>
      </c>
      <c r="O262">
        <f>IF(Raw_Claims_Data!G261="D",1,0)</f>
        <v>0</v>
      </c>
    </row>
    <row r="263" spans="1:15" x14ac:dyDescent="0.35">
      <c r="A263" t="str">
        <f>Raw_Claims_Data!A262</f>
        <v>TXN00000259</v>
      </c>
      <c r="B263" t="str">
        <f>TRIM(Raw_Claims_Data!B262)</f>
        <v>Daniel Stephen</v>
      </c>
      <c r="C263" t="str">
        <f>Raw_Claims_Data!C262</f>
        <v>Motor</v>
      </c>
      <c r="D263">
        <f>Raw_Claims_Data!D262</f>
        <v>73.44</v>
      </c>
      <c r="E263">
        <f>Raw_Claims_Data!E262</f>
        <v>1000</v>
      </c>
      <c r="F263" t="str">
        <f>Raw_Claims_Data!F262</f>
        <v>AR</v>
      </c>
      <c r="G263" t="str">
        <f>Raw_Claims_Data!G262</f>
        <v>A</v>
      </c>
      <c r="H263" t="str">
        <f>Raw_Claims_Data!H262</f>
        <v>Major Loss</v>
      </c>
      <c r="I263" t="str">
        <f>IF(Raw_Claims_Data!I262="","None",Raw_Claims_Data!I262)</f>
        <v>Ambulance</v>
      </c>
      <c r="J263" t="str">
        <f>Raw_Claims_Data!J262</f>
        <v>Anchorage</v>
      </c>
      <c r="K263" t="str">
        <f>Raw_Claims_Data!K262</f>
        <v>AK</v>
      </c>
      <c r="L263">
        <f>Raw_Claims_Data!L262</f>
        <v>18</v>
      </c>
      <c r="M263" t="str">
        <f>IF(Raw_Claims_Data!M262="","N/A",Raw_Claims_Data!M262)</f>
        <v>VNDR00550</v>
      </c>
      <c r="N263" t="str">
        <f>Raw_Claims_Data!N262</f>
        <v>AGENT00808</v>
      </c>
      <c r="O263">
        <f>IF(Raw_Claims_Data!G262="D",1,0)</f>
        <v>0</v>
      </c>
    </row>
    <row r="264" spans="1:15" x14ac:dyDescent="0.35">
      <c r="A264" t="str">
        <f>Raw_Claims_Data!A263</f>
        <v>TXN00000260</v>
      </c>
      <c r="B264" t="str">
        <f>TRIM(Raw_Claims_Data!B263)</f>
        <v>Jill Alonzo</v>
      </c>
      <c r="C264" t="str">
        <f>Raw_Claims_Data!C263</f>
        <v>Mobile</v>
      </c>
      <c r="D264">
        <f>Raw_Claims_Data!D263</f>
        <v>9.6</v>
      </c>
      <c r="E264">
        <f>Raw_Claims_Data!E263</f>
        <v>200</v>
      </c>
      <c r="F264" t="str">
        <f>Raw_Claims_Data!F263</f>
        <v>CA</v>
      </c>
      <c r="G264" t="str">
        <f>Raw_Claims_Data!G263</f>
        <v>A</v>
      </c>
      <c r="H264" t="str">
        <f>Raw_Claims_Data!H263</f>
        <v>Minor Loss</v>
      </c>
      <c r="I264" t="str">
        <f>IF(Raw_Claims_Data!I263="","None",Raw_Claims_Data!I263)</f>
        <v>Other</v>
      </c>
      <c r="J264" t="str">
        <f>Raw_Claims_Data!J263</f>
        <v>Panama City</v>
      </c>
      <c r="K264" t="str">
        <f>Raw_Claims_Data!K263</f>
        <v>FL</v>
      </c>
      <c r="L264">
        <f>Raw_Claims_Data!L263</f>
        <v>11</v>
      </c>
      <c r="M264" t="str">
        <f>IF(Raw_Claims_Data!M263="","N/A",Raw_Claims_Data!M263)</f>
        <v>VNDR00228</v>
      </c>
      <c r="N264" t="str">
        <f>Raw_Claims_Data!N263</f>
        <v>AGENT00982</v>
      </c>
      <c r="O264">
        <f>IF(Raw_Claims_Data!G263="D",1,0)</f>
        <v>0</v>
      </c>
    </row>
    <row r="265" spans="1:15" x14ac:dyDescent="0.35">
      <c r="A265" t="str">
        <f>Raw_Claims_Data!A264</f>
        <v>TXN00000261</v>
      </c>
      <c r="B265" t="str">
        <f>TRIM(Raw_Claims_Data!B264)</f>
        <v>Timothy Williamson</v>
      </c>
      <c r="C265" t="str">
        <f>Raw_Claims_Data!C264</f>
        <v>Motor</v>
      </c>
      <c r="D265">
        <f>Raw_Claims_Data!D264</f>
        <v>129.97</v>
      </c>
      <c r="E265">
        <f>Raw_Claims_Data!E264</f>
        <v>4000</v>
      </c>
      <c r="F265" t="str">
        <f>Raw_Claims_Data!F264</f>
        <v>TN</v>
      </c>
      <c r="G265" t="str">
        <f>Raw_Claims_Data!G264</f>
        <v>D</v>
      </c>
      <c r="H265" t="str">
        <f>Raw_Claims_Data!H264</f>
        <v>Major Loss</v>
      </c>
      <c r="I265" t="str">
        <f>IF(Raw_Claims_Data!I264="","None",Raw_Claims_Data!I264)</f>
        <v>Other</v>
      </c>
      <c r="J265" t="str">
        <f>Raw_Claims_Data!J264</f>
        <v>Anchorage</v>
      </c>
      <c r="K265" t="str">
        <f>Raw_Claims_Data!K264</f>
        <v>AK</v>
      </c>
      <c r="L265">
        <f>Raw_Claims_Data!L264</f>
        <v>6</v>
      </c>
      <c r="M265" t="str">
        <f>IF(Raw_Claims_Data!M264="","N/A",Raw_Claims_Data!M264)</f>
        <v>VNDR00307</v>
      </c>
      <c r="N265" t="str">
        <f>Raw_Claims_Data!N264</f>
        <v>AGENT01068</v>
      </c>
      <c r="O265">
        <f>IF(Raw_Claims_Data!G264="D",1,0)</f>
        <v>1</v>
      </c>
    </row>
    <row r="266" spans="1:15" x14ac:dyDescent="0.35">
      <c r="A266" t="str">
        <f>Raw_Claims_Data!A265</f>
        <v>TXN00000262</v>
      </c>
      <c r="B266" t="str">
        <f>TRIM(Raw_Claims_Data!B265)</f>
        <v>Kari Pritt</v>
      </c>
      <c r="C266" t="str">
        <f>Raw_Claims_Data!C265</f>
        <v>Life</v>
      </c>
      <c r="D266">
        <f>Raw_Claims_Data!D265</f>
        <v>52.48</v>
      </c>
      <c r="E266">
        <f>Raw_Claims_Data!E265</f>
        <v>73000</v>
      </c>
      <c r="F266" t="str">
        <f>Raw_Claims_Data!F265</f>
        <v>CA</v>
      </c>
      <c r="G266" t="str">
        <f>Raw_Claims_Data!G265</f>
        <v>A</v>
      </c>
      <c r="H266" t="str">
        <f>Raw_Claims_Data!H265</f>
        <v>Minor Loss</v>
      </c>
      <c r="I266" t="str">
        <f>IF(Raw_Claims_Data!I265="","None",Raw_Claims_Data!I265)</f>
        <v>Ambulance</v>
      </c>
      <c r="J266" t="str">
        <f>Raw_Claims_Data!J265</f>
        <v>Moore</v>
      </c>
      <c r="K266" t="str">
        <f>Raw_Claims_Data!K265</f>
        <v>OK</v>
      </c>
      <c r="L266">
        <f>Raw_Claims_Data!L265</f>
        <v>16</v>
      </c>
      <c r="M266" t="str">
        <f>IF(Raw_Claims_Data!M265="","N/A",Raw_Claims_Data!M265)</f>
        <v>VNDR00385</v>
      </c>
      <c r="N266" t="str">
        <f>Raw_Claims_Data!N265</f>
        <v>AGENT00392</v>
      </c>
      <c r="O266">
        <f>IF(Raw_Claims_Data!G265="D",1,0)</f>
        <v>0</v>
      </c>
    </row>
    <row r="267" spans="1:15" x14ac:dyDescent="0.35">
      <c r="A267" t="str">
        <f>Raw_Claims_Data!A266</f>
        <v>TXN00000263</v>
      </c>
      <c r="B267" t="str">
        <f>TRIM(Raw_Claims_Data!B266)</f>
        <v>Pedro Brown</v>
      </c>
      <c r="C267" t="str">
        <f>Raw_Claims_Data!C266</f>
        <v>Motor</v>
      </c>
      <c r="D267">
        <f>Raw_Claims_Data!D266</f>
        <v>134.18</v>
      </c>
      <c r="E267">
        <f>Raw_Claims_Data!E266</f>
        <v>4000</v>
      </c>
      <c r="F267" t="str">
        <f>Raw_Claims_Data!F266</f>
        <v>OK</v>
      </c>
      <c r="G267" t="str">
        <f>Raw_Claims_Data!G266</f>
        <v>A</v>
      </c>
      <c r="H267" t="str">
        <f>Raw_Claims_Data!H266</f>
        <v>Minor Loss</v>
      </c>
      <c r="I267" t="str">
        <f>IF(Raw_Claims_Data!I266="","None",Raw_Claims_Data!I266)</f>
        <v>Police</v>
      </c>
      <c r="J267" t="str">
        <f>Raw_Claims_Data!J266</f>
        <v>Montgomery</v>
      </c>
      <c r="K267" t="str">
        <f>Raw_Claims_Data!K266</f>
        <v>AL</v>
      </c>
      <c r="L267">
        <f>Raw_Claims_Data!L266</f>
        <v>1</v>
      </c>
      <c r="M267" t="str">
        <f>IF(Raw_Claims_Data!M266="","N/A",Raw_Claims_Data!M266)</f>
        <v>VNDR00582</v>
      </c>
      <c r="N267" t="str">
        <f>Raw_Claims_Data!N266</f>
        <v>AGENT00072</v>
      </c>
      <c r="O267">
        <f>IF(Raw_Claims_Data!G266="D",1,0)</f>
        <v>0</v>
      </c>
    </row>
    <row r="268" spans="1:15" x14ac:dyDescent="0.35">
      <c r="A268" t="str">
        <f>Raw_Claims_Data!A267</f>
        <v>TXN00000264</v>
      </c>
      <c r="B268" t="str">
        <f>TRIM(Raw_Claims_Data!B267)</f>
        <v>Jerrod Robidoux</v>
      </c>
      <c r="C268" t="str">
        <f>Raw_Claims_Data!C267</f>
        <v>Travel</v>
      </c>
      <c r="D268">
        <f>Raw_Claims_Data!D267</f>
        <v>66.98</v>
      </c>
      <c r="E268">
        <f>Raw_Claims_Data!E267</f>
        <v>5000</v>
      </c>
      <c r="F268" t="str">
        <f>Raw_Claims_Data!F267</f>
        <v>KY</v>
      </c>
      <c r="G268" t="str">
        <f>Raw_Claims_Data!G267</f>
        <v>A</v>
      </c>
      <c r="H268" t="str">
        <f>Raw_Claims_Data!H267</f>
        <v>Major Loss</v>
      </c>
      <c r="I268" t="str">
        <f>IF(Raw_Claims_Data!I267="","None",Raw_Claims_Data!I267)</f>
        <v>Ambulance</v>
      </c>
      <c r="J268" t="str">
        <f>Raw_Claims_Data!J267</f>
        <v>Fremont</v>
      </c>
      <c r="K268" t="str">
        <f>Raw_Claims_Data!K267</f>
        <v>CA</v>
      </c>
      <c r="L268">
        <f>Raw_Claims_Data!L267</f>
        <v>19</v>
      </c>
      <c r="M268" t="str">
        <f>IF(Raw_Claims_Data!M267="","N/A",Raw_Claims_Data!M267)</f>
        <v>N/A</v>
      </c>
      <c r="N268" t="str">
        <f>Raw_Claims_Data!N267</f>
        <v>AGENT01103</v>
      </c>
      <c r="O268">
        <f>IF(Raw_Claims_Data!G267="D",1,0)</f>
        <v>0</v>
      </c>
    </row>
    <row r="269" spans="1:15" x14ac:dyDescent="0.35">
      <c r="A269" t="str">
        <f>Raw_Claims_Data!A268</f>
        <v>TXN00000265</v>
      </c>
      <c r="B269" t="str">
        <f>TRIM(Raw_Claims_Data!B268)</f>
        <v>Richard Love</v>
      </c>
      <c r="C269" t="str">
        <f>Raw_Claims_Data!C268</f>
        <v>Mobile</v>
      </c>
      <c r="D269">
        <f>Raw_Claims_Data!D268</f>
        <v>7.38</v>
      </c>
      <c r="E269">
        <f>Raw_Claims_Data!E268</f>
        <v>400</v>
      </c>
      <c r="F269" t="str">
        <f>Raw_Claims_Data!F268</f>
        <v>CA</v>
      </c>
      <c r="G269" t="str">
        <f>Raw_Claims_Data!G268</f>
        <v>A</v>
      </c>
      <c r="H269" t="str">
        <f>Raw_Claims_Data!H268</f>
        <v>Total Loss</v>
      </c>
      <c r="I269" t="str">
        <f>IF(Raw_Claims_Data!I268="","None",Raw_Claims_Data!I268)</f>
        <v>Police</v>
      </c>
      <c r="J269" t="str">
        <f>Raw_Claims_Data!J268</f>
        <v>Washington</v>
      </c>
      <c r="K269" t="str">
        <f>Raw_Claims_Data!K268</f>
        <v>DC</v>
      </c>
      <c r="L269">
        <f>Raw_Claims_Data!L268</f>
        <v>23</v>
      </c>
      <c r="M269" t="str">
        <f>IF(Raw_Claims_Data!M268="","N/A",Raw_Claims_Data!M268)</f>
        <v>VNDR00461</v>
      </c>
      <c r="N269" t="str">
        <f>Raw_Claims_Data!N268</f>
        <v>AGENT01121</v>
      </c>
      <c r="O269">
        <f>IF(Raw_Claims_Data!G268="D",1,0)</f>
        <v>0</v>
      </c>
    </row>
    <row r="270" spans="1:15" x14ac:dyDescent="0.35">
      <c r="A270" t="str">
        <f>Raw_Claims_Data!A269</f>
        <v>TXN00000266</v>
      </c>
      <c r="B270" t="str">
        <f>TRIM(Raw_Claims_Data!B269)</f>
        <v>Ryan Perez</v>
      </c>
      <c r="C270" t="str">
        <f>Raw_Claims_Data!C269</f>
        <v>Health</v>
      </c>
      <c r="D270">
        <f>Raw_Claims_Data!D269</f>
        <v>149.03</v>
      </c>
      <c r="E270">
        <f>Raw_Claims_Data!E269</f>
        <v>2000</v>
      </c>
      <c r="F270" t="str">
        <f>Raw_Claims_Data!F269</f>
        <v>FL</v>
      </c>
      <c r="G270" t="str">
        <f>Raw_Claims_Data!G269</f>
        <v>A</v>
      </c>
      <c r="H270" t="str">
        <f>Raw_Claims_Data!H269</f>
        <v>Major Loss</v>
      </c>
      <c r="I270" t="str">
        <f>IF(Raw_Claims_Data!I269="","None",Raw_Claims_Data!I269)</f>
        <v>None</v>
      </c>
      <c r="J270" t="str">
        <f>Raw_Claims_Data!J269</f>
        <v>Manchester</v>
      </c>
      <c r="K270" t="str">
        <f>Raw_Claims_Data!K269</f>
        <v>CT</v>
      </c>
      <c r="L270">
        <f>Raw_Claims_Data!L269</f>
        <v>19</v>
      </c>
      <c r="M270" t="str">
        <f>IF(Raw_Claims_Data!M269="","N/A",Raw_Claims_Data!M269)</f>
        <v>VNDR00509</v>
      </c>
      <c r="N270" t="str">
        <f>Raw_Claims_Data!N269</f>
        <v>AGENT00480</v>
      </c>
      <c r="O270">
        <f>IF(Raw_Claims_Data!G269="D",1,0)</f>
        <v>0</v>
      </c>
    </row>
    <row r="271" spans="1:15" x14ac:dyDescent="0.35">
      <c r="A271" t="str">
        <f>Raw_Claims_Data!A270</f>
        <v>TXN00000267</v>
      </c>
      <c r="B271" t="str">
        <f>TRIM(Raw_Claims_Data!B270)</f>
        <v>Marion Smith</v>
      </c>
      <c r="C271" t="str">
        <f>Raw_Claims_Data!C270</f>
        <v>Motor</v>
      </c>
      <c r="D271">
        <f>Raw_Claims_Data!D270</f>
        <v>134.54</v>
      </c>
      <c r="E271">
        <f>Raw_Claims_Data!E270</f>
        <v>6000</v>
      </c>
      <c r="F271" t="str">
        <f>Raw_Claims_Data!F270</f>
        <v>DC</v>
      </c>
      <c r="G271" t="str">
        <f>Raw_Claims_Data!G270</f>
        <v>A</v>
      </c>
      <c r="H271" t="str">
        <f>Raw_Claims_Data!H270</f>
        <v>Total Loss</v>
      </c>
      <c r="I271" t="str">
        <f>IF(Raw_Claims_Data!I270="","None",Raw_Claims_Data!I270)</f>
        <v>Police</v>
      </c>
      <c r="J271" t="str">
        <f>Raw_Claims_Data!J270</f>
        <v>Fayetteville</v>
      </c>
      <c r="K271" t="str">
        <f>Raw_Claims_Data!K270</f>
        <v>AR</v>
      </c>
      <c r="L271">
        <f>Raw_Claims_Data!L270</f>
        <v>1</v>
      </c>
      <c r="M271" t="str">
        <f>IF(Raw_Claims_Data!M270="","N/A",Raw_Claims_Data!M270)</f>
        <v>VNDR00187</v>
      </c>
      <c r="N271" t="str">
        <f>Raw_Claims_Data!N270</f>
        <v>AGENT00173</v>
      </c>
      <c r="O271">
        <f>IF(Raw_Claims_Data!G270="D",1,0)</f>
        <v>0</v>
      </c>
    </row>
    <row r="272" spans="1:15" x14ac:dyDescent="0.35">
      <c r="A272" t="str">
        <f>Raw_Claims_Data!A271</f>
        <v>TXN00000268</v>
      </c>
      <c r="B272" t="str">
        <f>TRIM(Raw_Claims_Data!B271)</f>
        <v>Lorena Ramirez</v>
      </c>
      <c r="C272" t="str">
        <f>Raw_Claims_Data!C271</f>
        <v>Travel</v>
      </c>
      <c r="D272">
        <f>Raw_Claims_Data!D271</f>
        <v>61.82</v>
      </c>
      <c r="E272">
        <f>Raw_Claims_Data!E271</f>
        <v>1000</v>
      </c>
      <c r="F272" t="str">
        <f>Raw_Claims_Data!F271</f>
        <v>AR</v>
      </c>
      <c r="G272" t="str">
        <f>Raw_Claims_Data!G271</f>
        <v>A</v>
      </c>
      <c r="H272" t="str">
        <f>Raw_Claims_Data!H271</f>
        <v>Total Loss</v>
      </c>
      <c r="I272" t="str">
        <f>IF(Raw_Claims_Data!I271="","None",Raw_Claims_Data!I271)</f>
        <v>Ambulance</v>
      </c>
      <c r="J272" t="str">
        <f>Raw_Claims_Data!J271</f>
        <v>Anchorage</v>
      </c>
      <c r="K272" t="str">
        <f>Raw_Claims_Data!K271</f>
        <v>AK</v>
      </c>
      <c r="L272">
        <f>Raw_Claims_Data!L271</f>
        <v>1</v>
      </c>
      <c r="M272" t="str">
        <f>IF(Raw_Claims_Data!M271="","N/A",Raw_Claims_Data!M271)</f>
        <v>VNDR00325</v>
      </c>
      <c r="N272" t="str">
        <f>Raw_Claims_Data!N271</f>
        <v>AGENT00217</v>
      </c>
      <c r="O272">
        <f>IF(Raw_Claims_Data!G271="D",1,0)</f>
        <v>0</v>
      </c>
    </row>
    <row r="273" spans="1:15" x14ac:dyDescent="0.35">
      <c r="A273" t="str">
        <f>Raw_Claims_Data!A272</f>
        <v>TXN00000269</v>
      </c>
      <c r="B273" t="str">
        <f>TRIM(Raw_Claims_Data!B272)</f>
        <v>Anna Jordan</v>
      </c>
      <c r="C273" t="str">
        <f>Raw_Claims_Data!C272</f>
        <v>Travel</v>
      </c>
      <c r="D273">
        <f>Raw_Claims_Data!D272</f>
        <v>89.56</v>
      </c>
      <c r="E273">
        <f>Raw_Claims_Data!E272</f>
        <v>5000</v>
      </c>
      <c r="F273" t="str">
        <f>Raw_Claims_Data!F272</f>
        <v>MA</v>
      </c>
      <c r="G273" t="str">
        <f>Raw_Claims_Data!G272</f>
        <v>A</v>
      </c>
      <c r="H273" t="str">
        <f>Raw_Claims_Data!H272</f>
        <v>Major Loss</v>
      </c>
      <c r="I273" t="str">
        <f>IF(Raw_Claims_Data!I272="","None",Raw_Claims_Data!I272)</f>
        <v>Ambulance</v>
      </c>
      <c r="J273" t="str">
        <f>Raw_Claims_Data!J272</f>
        <v>Manchester</v>
      </c>
      <c r="K273" t="str">
        <f>Raw_Claims_Data!K272</f>
        <v>CT</v>
      </c>
      <c r="L273">
        <f>Raw_Claims_Data!L272</f>
        <v>12</v>
      </c>
      <c r="M273" t="str">
        <f>IF(Raw_Claims_Data!M272="","N/A",Raw_Claims_Data!M272)</f>
        <v>VNDR00423</v>
      </c>
      <c r="N273" t="str">
        <f>Raw_Claims_Data!N272</f>
        <v>AGENT00673</v>
      </c>
      <c r="O273">
        <f>IF(Raw_Claims_Data!G272="D",1,0)</f>
        <v>0</v>
      </c>
    </row>
    <row r="274" spans="1:15" x14ac:dyDescent="0.35">
      <c r="A274" t="str">
        <f>Raw_Claims_Data!A273</f>
        <v>TXN00000270</v>
      </c>
      <c r="B274" t="str">
        <f>TRIM(Raw_Claims_Data!B273)</f>
        <v>Margaret Reid</v>
      </c>
      <c r="C274" t="str">
        <f>Raw_Claims_Data!C273</f>
        <v>Travel</v>
      </c>
      <c r="D274">
        <f>Raw_Claims_Data!D273</f>
        <v>72.489999999999995</v>
      </c>
      <c r="E274">
        <f>Raw_Claims_Data!E273</f>
        <v>1000</v>
      </c>
      <c r="F274" t="str">
        <f>Raw_Claims_Data!F273</f>
        <v>AR</v>
      </c>
      <c r="G274" t="str">
        <f>Raw_Claims_Data!G273</f>
        <v>A</v>
      </c>
      <c r="H274" t="str">
        <f>Raw_Claims_Data!H273</f>
        <v>Total Loss</v>
      </c>
      <c r="I274" t="str">
        <f>IF(Raw_Claims_Data!I273="","None",Raw_Claims_Data!I273)</f>
        <v>Police</v>
      </c>
      <c r="J274" t="str">
        <f>Raw_Claims_Data!J273</f>
        <v>Montgomery</v>
      </c>
      <c r="K274" t="str">
        <f>Raw_Claims_Data!K273</f>
        <v>AL</v>
      </c>
      <c r="L274">
        <f>Raw_Claims_Data!L273</f>
        <v>1</v>
      </c>
      <c r="M274" t="str">
        <f>IF(Raw_Claims_Data!M273="","N/A",Raw_Claims_Data!M273)</f>
        <v>VNDR00010</v>
      </c>
      <c r="N274" t="str">
        <f>Raw_Claims_Data!N273</f>
        <v>AGENT00925</v>
      </c>
      <c r="O274">
        <f>IF(Raw_Claims_Data!G273="D",1,0)</f>
        <v>0</v>
      </c>
    </row>
    <row r="275" spans="1:15" x14ac:dyDescent="0.35">
      <c r="A275" t="str">
        <f>Raw_Claims_Data!A274</f>
        <v>TXN00000271</v>
      </c>
      <c r="B275" t="str">
        <f>TRIM(Raw_Claims_Data!B274)</f>
        <v>William Archibald</v>
      </c>
      <c r="C275" t="str">
        <f>Raw_Claims_Data!C274</f>
        <v>Life</v>
      </c>
      <c r="D275">
        <f>Raw_Claims_Data!D274</f>
        <v>82.7</v>
      </c>
      <c r="E275">
        <f>Raw_Claims_Data!E274</f>
        <v>72000</v>
      </c>
      <c r="F275" t="str">
        <f>Raw_Claims_Data!F274</f>
        <v>CA</v>
      </c>
      <c r="G275" t="str">
        <f>Raw_Claims_Data!G274</f>
        <v>A</v>
      </c>
      <c r="H275" t="str">
        <f>Raw_Claims_Data!H274</f>
        <v>Total Loss</v>
      </c>
      <c r="I275" t="str">
        <f>IF(Raw_Claims_Data!I274="","None",Raw_Claims_Data!I274)</f>
        <v>Police</v>
      </c>
      <c r="J275" t="str">
        <f>Raw_Claims_Data!J274</f>
        <v>Louisville</v>
      </c>
      <c r="K275" t="str">
        <f>Raw_Claims_Data!K274</f>
        <v>KY</v>
      </c>
      <c r="L275">
        <f>Raw_Claims_Data!L274</f>
        <v>5</v>
      </c>
      <c r="M275" t="str">
        <f>IF(Raw_Claims_Data!M274="","N/A",Raw_Claims_Data!M274)</f>
        <v>N/A</v>
      </c>
      <c r="N275" t="str">
        <f>Raw_Claims_Data!N274</f>
        <v>AGENT00789</v>
      </c>
      <c r="O275">
        <f>IF(Raw_Claims_Data!G274="D",1,0)</f>
        <v>0</v>
      </c>
    </row>
    <row r="276" spans="1:15" x14ac:dyDescent="0.35">
      <c r="A276" t="str">
        <f>Raw_Claims_Data!A275</f>
        <v>TXN00000272</v>
      </c>
      <c r="B276" t="str">
        <f>TRIM(Raw_Claims_Data!B275)</f>
        <v>Ethel Forti</v>
      </c>
      <c r="C276" t="str">
        <f>Raw_Claims_Data!C275</f>
        <v>Health</v>
      </c>
      <c r="D276">
        <f>Raw_Claims_Data!D275</f>
        <v>131.69999999999999</v>
      </c>
      <c r="E276">
        <f>Raw_Claims_Data!E275</f>
        <v>11000</v>
      </c>
      <c r="F276" t="str">
        <f>Raw_Claims_Data!F275</f>
        <v>AR</v>
      </c>
      <c r="G276" t="str">
        <f>Raw_Claims_Data!G275</f>
        <v>A</v>
      </c>
      <c r="H276" t="str">
        <f>Raw_Claims_Data!H275</f>
        <v>Major Loss</v>
      </c>
      <c r="I276" t="str">
        <f>IF(Raw_Claims_Data!I275="","None",Raw_Claims_Data!I275)</f>
        <v>None</v>
      </c>
      <c r="J276" t="str">
        <f>Raw_Claims_Data!J275</f>
        <v>Edmond</v>
      </c>
      <c r="K276" t="str">
        <f>Raw_Claims_Data!K275</f>
        <v>OK</v>
      </c>
      <c r="L276">
        <f>Raw_Claims_Data!L275</f>
        <v>20</v>
      </c>
      <c r="M276" t="str">
        <f>IF(Raw_Claims_Data!M275="","N/A",Raw_Claims_Data!M275)</f>
        <v>VNDR00545</v>
      </c>
      <c r="N276" t="str">
        <f>Raw_Claims_Data!N275</f>
        <v>AGENT00115</v>
      </c>
      <c r="O276">
        <f>IF(Raw_Claims_Data!G275="D",1,0)</f>
        <v>0</v>
      </c>
    </row>
    <row r="277" spans="1:15" x14ac:dyDescent="0.35">
      <c r="A277" t="str">
        <f>Raw_Claims_Data!A276</f>
        <v>TXN00000273</v>
      </c>
      <c r="B277" t="str">
        <f>TRIM(Raw_Claims_Data!B276)</f>
        <v>Jeffrey Walters</v>
      </c>
      <c r="C277" t="str">
        <f>Raw_Claims_Data!C276</f>
        <v>Property</v>
      </c>
      <c r="D277">
        <f>Raw_Claims_Data!D276</f>
        <v>153.34</v>
      </c>
      <c r="E277">
        <f>Raw_Claims_Data!E276</f>
        <v>27000</v>
      </c>
      <c r="F277" t="str">
        <f>Raw_Claims_Data!F276</f>
        <v>OK</v>
      </c>
      <c r="G277" t="str">
        <f>Raw_Claims_Data!G276</f>
        <v>A</v>
      </c>
      <c r="H277" t="str">
        <f>Raw_Claims_Data!H276</f>
        <v>Major Loss</v>
      </c>
      <c r="I277" t="str">
        <f>IF(Raw_Claims_Data!I276="","None",Raw_Claims_Data!I276)</f>
        <v>Other</v>
      </c>
      <c r="J277" t="str">
        <f>Raw_Claims_Data!J276</f>
        <v>Soldotna</v>
      </c>
      <c r="K277" t="str">
        <f>Raw_Claims_Data!K276</f>
        <v>AK</v>
      </c>
      <c r="L277">
        <f>Raw_Claims_Data!L276</f>
        <v>12</v>
      </c>
      <c r="M277" t="str">
        <f>IF(Raw_Claims_Data!M276="","N/A",Raw_Claims_Data!M276)</f>
        <v>VNDR00571</v>
      </c>
      <c r="N277" t="str">
        <f>Raw_Claims_Data!N276</f>
        <v>AGENT00241</v>
      </c>
      <c r="O277">
        <f>IF(Raw_Claims_Data!G276="D",1,0)</f>
        <v>0</v>
      </c>
    </row>
    <row r="278" spans="1:15" x14ac:dyDescent="0.35">
      <c r="A278" t="str">
        <f>Raw_Claims_Data!A277</f>
        <v>TXN00000274</v>
      </c>
      <c r="B278" t="str">
        <f>TRIM(Raw_Claims_Data!B277)</f>
        <v>Griselda Blackman</v>
      </c>
      <c r="C278" t="str">
        <f>Raw_Claims_Data!C277</f>
        <v>Health</v>
      </c>
      <c r="D278">
        <f>Raw_Claims_Data!D277</f>
        <v>180.34</v>
      </c>
      <c r="E278">
        <f>Raw_Claims_Data!E277</f>
        <v>12000</v>
      </c>
      <c r="F278" t="str">
        <f>Raw_Claims_Data!F277</f>
        <v>AK</v>
      </c>
      <c r="G278" t="str">
        <f>Raw_Claims_Data!G277</f>
        <v>A</v>
      </c>
      <c r="H278" t="str">
        <f>Raw_Claims_Data!H277</f>
        <v>Total Loss</v>
      </c>
      <c r="I278" t="str">
        <f>IF(Raw_Claims_Data!I277="","None",Raw_Claims_Data!I277)</f>
        <v>Ambulance</v>
      </c>
      <c r="J278" t="str">
        <f>Raw_Claims_Data!J277</f>
        <v>Arvada</v>
      </c>
      <c r="K278" t="str">
        <f>Raw_Claims_Data!K277</f>
        <v>CO</v>
      </c>
      <c r="L278">
        <f>Raw_Claims_Data!L277</f>
        <v>23</v>
      </c>
      <c r="M278" t="str">
        <f>IF(Raw_Claims_Data!M277="","N/A",Raw_Claims_Data!M277)</f>
        <v>N/A</v>
      </c>
      <c r="N278" t="str">
        <f>Raw_Claims_Data!N277</f>
        <v>AGENT00667</v>
      </c>
      <c r="O278">
        <f>IF(Raw_Claims_Data!G277="D",1,0)</f>
        <v>0</v>
      </c>
    </row>
    <row r="279" spans="1:15" x14ac:dyDescent="0.35">
      <c r="A279" t="str">
        <f>Raw_Claims_Data!A278</f>
        <v>TXN00000275</v>
      </c>
      <c r="B279" t="str">
        <f>TRIM(Raw_Claims_Data!B278)</f>
        <v>Dale Goss</v>
      </c>
      <c r="C279" t="str">
        <f>Raw_Claims_Data!C278</f>
        <v>Mobile</v>
      </c>
      <c r="D279">
        <f>Raw_Claims_Data!D278</f>
        <v>8.74</v>
      </c>
      <c r="E279">
        <f>Raw_Claims_Data!E278</f>
        <v>100</v>
      </c>
      <c r="F279" t="str">
        <f>Raw_Claims_Data!F278</f>
        <v>FL</v>
      </c>
      <c r="G279" t="str">
        <f>Raw_Claims_Data!G278</f>
        <v>A</v>
      </c>
      <c r="H279" t="str">
        <f>Raw_Claims_Data!H278</f>
        <v>Minor Loss</v>
      </c>
      <c r="I279" t="str">
        <f>IF(Raw_Claims_Data!I278="","None",Raw_Claims_Data!I278)</f>
        <v>Ambulance</v>
      </c>
      <c r="J279" t="str">
        <f>Raw_Claims_Data!J278</f>
        <v>Anchorage</v>
      </c>
      <c r="K279" t="str">
        <f>Raw_Claims_Data!K278</f>
        <v>AK</v>
      </c>
      <c r="L279">
        <f>Raw_Claims_Data!L278</f>
        <v>6</v>
      </c>
      <c r="M279" t="str">
        <f>IF(Raw_Claims_Data!M278="","N/A",Raw_Claims_Data!M278)</f>
        <v>VNDR00060</v>
      </c>
      <c r="N279" t="str">
        <f>Raw_Claims_Data!N278</f>
        <v>AGENT00094</v>
      </c>
      <c r="O279">
        <f>IF(Raw_Claims_Data!G278="D",1,0)</f>
        <v>0</v>
      </c>
    </row>
    <row r="280" spans="1:15" x14ac:dyDescent="0.35">
      <c r="A280" t="str">
        <f>Raw_Claims_Data!A279</f>
        <v>TXN00000276</v>
      </c>
      <c r="B280" t="str">
        <f>TRIM(Raw_Claims_Data!B279)</f>
        <v>Micheal Houston</v>
      </c>
      <c r="C280" t="str">
        <f>Raw_Claims_Data!C279</f>
        <v>Property</v>
      </c>
      <c r="D280">
        <f>Raw_Claims_Data!D279</f>
        <v>85.41</v>
      </c>
      <c r="E280">
        <f>Raw_Claims_Data!E279</f>
        <v>29000</v>
      </c>
      <c r="F280" t="str">
        <f>Raw_Claims_Data!F279</f>
        <v>TN</v>
      </c>
      <c r="G280" t="str">
        <f>Raw_Claims_Data!G279</f>
        <v>A</v>
      </c>
      <c r="H280" t="str">
        <f>Raw_Claims_Data!H279</f>
        <v>Major Loss</v>
      </c>
      <c r="I280" t="str">
        <f>IF(Raw_Claims_Data!I279="","None",Raw_Claims_Data!I279)</f>
        <v>Ambulance</v>
      </c>
      <c r="J280" t="str">
        <f>Raw_Claims_Data!J279</f>
        <v>Louisville</v>
      </c>
      <c r="K280" t="str">
        <f>Raw_Claims_Data!K279</f>
        <v>KY</v>
      </c>
      <c r="L280">
        <f>Raw_Claims_Data!L279</f>
        <v>6</v>
      </c>
      <c r="M280" t="str">
        <f>IF(Raw_Claims_Data!M279="","N/A",Raw_Claims_Data!M279)</f>
        <v>VNDR00538</v>
      </c>
      <c r="N280" t="str">
        <f>Raw_Claims_Data!N279</f>
        <v>AGENT00037</v>
      </c>
      <c r="O280">
        <f>IF(Raw_Claims_Data!G279="D",1,0)</f>
        <v>0</v>
      </c>
    </row>
    <row r="281" spans="1:15" x14ac:dyDescent="0.35">
      <c r="A281" t="str">
        <f>Raw_Claims_Data!A280</f>
        <v>TXN00000277</v>
      </c>
      <c r="B281" t="str">
        <f>TRIM(Raw_Claims_Data!B280)</f>
        <v>Christopher Vollmer</v>
      </c>
      <c r="C281" t="str">
        <f>Raw_Claims_Data!C280</f>
        <v>Health</v>
      </c>
      <c r="D281">
        <f>Raw_Claims_Data!D280</f>
        <v>141.15</v>
      </c>
      <c r="E281">
        <f>Raw_Claims_Data!E280</f>
        <v>11000</v>
      </c>
      <c r="F281" t="str">
        <f>Raw_Claims_Data!F280</f>
        <v>KY</v>
      </c>
      <c r="G281" t="str">
        <f>Raw_Claims_Data!G280</f>
        <v>A</v>
      </c>
      <c r="H281" t="str">
        <f>Raw_Claims_Data!H280</f>
        <v>Minor Loss</v>
      </c>
      <c r="I281" t="str">
        <f>IF(Raw_Claims_Data!I280="","None",Raw_Claims_Data!I280)</f>
        <v>Other</v>
      </c>
      <c r="J281" t="str">
        <f>Raw_Claims_Data!J280</f>
        <v>Louisville</v>
      </c>
      <c r="K281" t="str">
        <f>Raw_Claims_Data!K280</f>
        <v>KY</v>
      </c>
      <c r="L281">
        <f>Raw_Claims_Data!L280</f>
        <v>10</v>
      </c>
      <c r="M281" t="str">
        <f>IF(Raw_Claims_Data!M280="","N/A",Raw_Claims_Data!M280)</f>
        <v>N/A</v>
      </c>
      <c r="N281" t="str">
        <f>Raw_Claims_Data!N280</f>
        <v>AGENT00741</v>
      </c>
      <c r="O281">
        <f>IF(Raw_Claims_Data!G280="D",1,0)</f>
        <v>0</v>
      </c>
    </row>
    <row r="282" spans="1:15" x14ac:dyDescent="0.35">
      <c r="A282" t="str">
        <f>Raw_Claims_Data!A281</f>
        <v>TXN00000278</v>
      </c>
      <c r="B282" t="str">
        <f>TRIM(Raw_Claims_Data!B281)</f>
        <v>Eugenia Burnett</v>
      </c>
      <c r="C282" t="str">
        <f>Raw_Claims_Data!C281</f>
        <v>Mobile</v>
      </c>
      <c r="D282">
        <f>Raw_Claims_Data!D281</f>
        <v>8.58</v>
      </c>
      <c r="E282">
        <f>Raw_Claims_Data!E281</f>
        <v>700</v>
      </c>
      <c r="F282" t="str">
        <f>Raw_Claims_Data!F281</f>
        <v>DC</v>
      </c>
      <c r="G282" t="str">
        <f>Raw_Claims_Data!G281</f>
        <v>A</v>
      </c>
      <c r="H282" t="str">
        <f>Raw_Claims_Data!H281</f>
        <v>Total Loss</v>
      </c>
      <c r="I282" t="str">
        <f>IF(Raw_Claims_Data!I281="","None",Raw_Claims_Data!I281)</f>
        <v>Ambulance</v>
      </c>
      <c r="J282" t="str">
        <f>Raw_Claims_Data!J281</f>
        <v>Glendale</v>
      </c>
      <c r="K282" t="str">
        <f>Raw_Claims_Data!K281</f>
        <v>AZ</v>
      </c>
      <c r="L282">
        <f>Raw_Claims_Data!L281</f>
        <v>6</v>
      </c>
      <c r="M282" t="str">
        <f>IF(Raw_Claims_Data!M281="","N/A",Raw_Claims_Data!M281)</f>
        <v>N/A</v>
      </c>
      <c r="N282" t="str">
        <f>Raw_Claims_Data!N281</f>
        <v>AGENT00843</v>
      </c>
      <c r="O282">
        <f>IF(Raw_Claims_Data!G281="D",1,0)</f>
        <v>0</v>
      </c>
    </row>
    <row r="283" spans="1:15" x14ac:dyDescent="0.35">
      <c r="A283" t="str">
        <f>Raw_Claims_Data!A282</f>
        <v>TXN00000279</v>
      </c>
      <c r="B283" t="str">
        <f>TRIM(Raw_Claims_Data!B282)</f>
        <v>Ruth Harris</v>
      </c>
      <c r="C283" t="str">
        <f>Raw_Claims_Data!C282</f>
        <v>Property</v>
      </c>
      <c r="D283">
        <f>Raw_Claims_Data!D282</f>
        <v>120.98</v>
      </c>
      <c r="E283">
        <f>Raw_Claims_Data!E282</f>
        <v>19000</v>
      </c>
      <c r="F283" t="str">
        <f>Raw_Claims_Data!F282</f>
        <v>AK</v>
      </c>
      <c r="G283" t="str">
        <f>Raw_Claims_Data!G282</f>
        <v>A</v>
      </c>
      <c r="H283" t="str">
        <f>Raw_Claims_Data!H282</f>
        <v>Minor Loss</v>
      </c>
      <c r="I283" t="str">
        <f>IF(Raw_Claims_Data!I282="","None",Raw_Claims_Data!I282)</f>
        <v>Police</v>
      </c>
      <c r="J283" t="str">
        <f>Raw_Claims_Data!J282</f>
        <v>Groton</v>
      </c>
      <c r="K283" t="str">
        <f>Raw_Claims_Data!K282</f>
        <v>CT</v>
      </c>
      <c r="L283">
        <f>Raw_Claims_Data!L282</f>
        <v>12</v>
      </c>
      <c r="M283" t="str">
        <f>IF(Raw_Claims_Data!M282="","N/A",Raw_Claims_Data!M282)</f>
        <v>VNDR00535</v>
      </c>
      <c r="N283" t="str">
        <f>Raw_Claims_Data!N282</f>
        <v>AGENT01090</v>
      </c>
      <c r="O283">
        <f>IF(Raw_Claims_Data!G282="D",1,0)</f>
        <v>0</v>
      </c>
    </row>
    <row r="284" spans="1:15" x14ac:dyDescent="0.35">
      <c r="A284" t="str">
        <f>Raw_Claims_Data!A283</f>
        <v>TXN00000280</v>
      </c>
      <c r="B284" t="str">
        <f>TRIM(Raw_Claims_Data!B283)</f>
        <v>Walter Yoes</v>
      </c>
      <c r="C284" t="str">
        <f>Raw_Claims_Data!C283</f>
        <v>Mobile</v>
      </c>
      <c r="D284">
        <f>Raw_Claims_Data!D283</f>
        <v>8.25</v>
      </c>
      <c r="E284">
        <f>Raw_Claims_Data!E283</f>
        <v>200</v>
      </c>
      <c r="F284" t="str">
        <f>Raw_Claims_Data!F283</f>
        <v>FL</v>
      </c>
      <c r="G284" t="str">
        <f>Raw_Claims_Data!G283</f>
        <v>A</v>
      </c>
      <c r="H284" t="str">
        <f>Raw_Claims_Data!H283</f>
        <v>Total Loss</v>
      </c>
      <c r="I284" t="str">
        <f>IF(Raw_Claims_Data!I283="","None",Raw_Claims_Data!I283)</f>
        <v>Police</v>
      </c>
      <c r="J284" t="str">
        <f>Raw_Claims_Data!J283</f>
        <v>Montgomery</v>
      </c>
      <c r="K284" t="str">
        <f>Raw_Claims_Data!K283</f>
        <v>AL</v>
      </c>
      <c r="L284">
        <f>Raw_Claims_Data!L283</f>
        <v>14</v>
      </c>
      <c r="M284" t="str">
        <f>IF(Raw_Claims_Data!M283="","N/A",Raw_Claims_Data!M283)</f>
        <v>VNDR00305</v>
      </c>
      <c r="N284" t="str">
        <f>Raw_Claims_Data!N283</f>
        <v>AGENT00059</v>
      </c>
      <c r="O284">
        <f>IF(Raw_Claims_Data!G283="D",1,0)</f>
        <v>0</v>
      </c>
    </row>
    <row r="285" spans="1:15" x14ac:dyDescent="0.35">
      <c r="A285" t="str">
        <f>Raw_Claims_Data!A284</f>
        <v>TXN00000281</v>
      </c>
      <c r="B285" t="str">
        <f>TRIM(Raw_Claims_Data!B284)</f>
        <v>William Farnsworth</v>
      </c>
      <c r="C285" t="str">
        <f>Raw_Claims_Data!C284</f>
        <v>Motor</v>
      </c>
      <c r="D285">
        <f>Raw_Claims_Data!D284</f>
        <v>93.9</v>
      </c>
      <c r="E285">
        <f>Raw_Claims_Data!E284</f>
        <v>2000</v>
      </c>
      <c r="F285" t="str">
        <f>Raw_Claims_Data!F284</f>
        <v>MA</v>
      </c>
      <c r="G285" t="str">
        <f>Raw_Claims_Data!G284</f>
        <v>A</v>
      </c>
      <c r="H285" t="str">
        <f>Raw_Claims_Data!H284</f>
        <v>Major Loss</v>
      </c>
      <c r="I285" t="str">
        <f>IF(Raw_Claims_Data!I284="","None",Raw_Claims_Data!I284)</f>
        <v>Police</v>
      </c>
      <c r="J285" t="str">
        <f>Raw_Claims_Data!J284</f>
        <v>Washington</v>
      </c>
      <c r="K285" t="str">
        <f>Raw_Claims_Data!K284</f>
        <v>DC</v>
      </c>
      <c r="L285">
        <f>Raw_Claims_Data!L284</f>
        <v>3</v>
      </c>
      <c r="M285" t="str">
        <f>IF(Raw_Claims_Data!M284="","N/A",Raw_Claims_Data!M284)</f>
        <v>N/A</v>
      </c>
      <c r="N285" t="str">
        <f>Raw_Claims_Data!N284</f>
        <v>AGENT00467</v>
      </c>
      <c r="O285">
        <f>IF(Raw_Claims_Data!G284="D",1,0)</f>
        <v>0</v>
      </c>
    </row>
    <row r="286" spans="1:15" x14ac:dyDescent="0.35">
      <c r="A286" t="str">
        <f>Raw_Claims_Data!A285</f>
        <v>TXN00000282</v>
      </c>
      <c r="B286" t="str">
        <f>TRIM(Raw_Claims_Data!B285)</f>
        <v>Darrell Vang</v>
      </c>
      <c r="C286" t="str">
        <f>Raw_Claims_Data!C285</f>
        <v>Mobile</v>
      </c>
      <c r="D286">
        <f>Raw_Claims_Data!D285</f>
        <v>7.7</v>
      </c>
      <c r="E286">
        <f>Raw_Claims_Data!E285</f>
        <v>200</v>
      </c>
      <c r="F286" t="str">
        <f>Raw_Claims_Data!F285</f>
        <v>KY</v>
      </c>
      <c r="G286" t="str">
        <f>Raw_Claims_Data!G285</f>
        <v>A</v>
      </c>
      <c r="H286" t="str">
        <f>Raw_Claims_Data!H285</f>
        <v>Minor Loss</v>
      </c>
      <c r="I286" t="str">
        <f>IF(Raw_Claims_Data!I285="","None",Raw_Claims_Data!I285)</f>
        <v>None</v>
      </c>
      <c r="J286" t="str">
        <f>Raw_Claims_Data!J285</f>
        <v>Panama City</v>
      </c>
      <c r="K286" t="str">
        <f>Raw_Claims_Data!K285</f>
        <v>FL</v>
      </c>
      <c r="L286">
        <f>Raw_Claims_Data!L285</f>
        <v>6</v>
      </c>
      <c r="M286" t="str">
        <f>IF(Raw_Claims_Data!M285="","N/A",Raw_Claims_Data!M285)</f>
        <v>VNDR00233</v>
      </c>
      <c r="N286" t="str">
        <f>Raw_Claims_Data!N285</f>
        <v>AGENT00480</v>
      </c>
      <c r="O286">
        <f>IF(Raw_Claims_Data!G285="D",1,0)</f>
        <v>0</v>
      </c>
    </row>
    <row r="287" spans="1:15" x14ac:dyDescent="0.35">
      <c r="A287" t="str">
        <f>Raw_Claims_Data!A286</f>
        <v>TXN00000283</v>
      </c>
      <c r="B287" t="str">
        <f>TRIM(Raw_Claims_Data!B286)</f>
        <v>Mitchell Schultz</v>
      </c>
      <c r="C287" t="str">
        <f>Raw_Claims_Data!C286</f>
        <v>Health</v>
      </c>
      <c r="D287">
        <f>Raw_Claims_Data!D286</f>
        <v>117.02</v>
      </c>
      <c r="E287">
        <f>Raw_Claims_Data!E286</f>
        <v>19000</v>
      </c>
      <c r="F287" t="str">
        <f>Raw_Claims_Data!F286</f>
        <v>CO</v>
      </c>
      <c r="G287" t="str">
        <f>Raw_Claims_Data!G286</f>
        <v>A</v>
      </c>
      <c r="H287" t="str">
        <f>Raw_Claims_Data!H286</f>
        <v>Minor Loss</v>
      </c>
      <c r="I287" t="str">
        <f>IF(Raw_Claims_Data!I286="","None",Raw_Claims_Data!I286)</f>
        <v>Ambulance</v>
      </c>
      <c r="J287" t="str">
        <f>Raw_Claims_Data!J286</f>
        <v>Arvada</v>
      </c>
      <c r="K287" t="str">
        <f>Raw_Claims_Data!K286</f>
        <v>CO</v>
      </c>
      <c r="L287">
        <f>Raw_Claims_Data!L286</f>
        <v>19</v>
      </c>
      <c r="M287" t="str">
        <f>IF(Raw_Claims_Data!M286="","N/A",Raw_Claims_Data!M286)</f>
        <v>N/A</v>
      </c>
      <c r="N287" t="str">
        <f>Raw_Claims_Data!N286</f>
        <v>AGENT00542</v>
      </c>
      <c r="O287">
        <f>IF(Raw_Claims_Data!G286="D",1,0)</f>
        <v>0</v>
      </c>
    </row>
    <row r="288" spans="1:15" x14ac:dyDescent="0.35">
      <c r="A288" t="str">
        <f>Raw_Claims_Data!A287</f>
        <v>TXN00000284</v>
      </c>
      <c r="B288" t="str">
        <f>TRIM(Raw_Claims_Data!B287)</f>
        <v>Andrea Rivera</v>
      </c>
      <c r="C288" t="str">
        <f>Raw_Claims_Data!C287</f>
        <v>Health</v>
      </c>
      <c r="D288">
        <f>Raw_Claims_Data!D287</f>
        <v>113.93</v>
      </c>
      <c r="E288">
        <f>Raw_Claims_Data!E287</f>
        <v>10000</v>
      </c>
      <c r="F288" t="str">
        <f>Raw_Claims_Data!F287</f>
        <v>GA</v>
      </c>
      <c r="G288" t="str">
        <f>Raw_Claims_Data!G287</f>
        <v>D</v>
      </c>
      <c r="H288" t="str">
        <f>Raw_Claims_Data!H287</f>
        <v>Major Loss</v>
      </c>
      <c r="I288" t="str">
        <f>IF(Raw_Claims_Data!I287="","None",Raw_Claims_Data!I287)</f>
        <v>Ambulance</v>
      </c>
      <c r="J288" t="str">
        <f>Raw_Claims_Data!J287</f>
        <v>Midwest City</v>
      </c>
      <c r="K288" t="str">
        <f>Raw_Claims_Data!K287</f>
        <v>OK</v>
      </c>
      <c r="L288">
        <f>Raw_Claims_Data!L287</f>
        <v>6</v>
      </c>
      <c r="M288" t="str">
        <f>IF(Raw_Claims_Data!M287="","N/A",Raw_Claims_Data!M287)</f>
        <v>VNDR00377</v>
      </c>
      <c r="N288" t="str">
        <f>Raw_Claims_Data!N287</f>
        <v>AGENT00647</v>
      </c>
      <c r="O288">
        <f>IF(Raw_Claims_Data!G287="D",1,0)</f>
        <v>1</v>
      </c>
    </row>
    <row r="289" spans="1:15" x14ac:dyDescent="0.35">
      <c r="A289" t="str">
        <f>Raw_Claims_Data!A288</f>
        <v>TXN00000285</v>
      </c>
      <c r="B289" t="str">
        <f>TRIM(Raw_Claims_Data!B288)</f>
        <v>Stanley Harman</v>
      </c>
      <c r="C289" t="str">
        <f>Raw_Claims_Data!C288</f>
        <v>Property</v>
      </c>
      <c r="D289">
        <f>Raw_Claims_Data!D288</f>
        <v>127.79</v>
      </c>
      <c r="E289">
        <f>Raw_Claims_Data!E288</f>
        <v>36000</v>
      </c>
      <c r="F289" t="str">
        <f>Raw_Claims_Data!F288</f>
        <v>TN</v>
      </c>
      <c r="G289" t="str">
        <f>Raw_Claims_Data!G288</f>
        <v>A</v>
      </c>
      <c r="H289" t="str">
        <f>Raw_Claims_Data!H288</f>
        <v>Minor Loss</v>
      </c>
      <c r="I289" t="str">
        <f>IF(Raw_Claims_Data!I288="","None",Raw_Claims_Data!I288)</f>
        <v>Police</v>
      </c>
      <c r="J289" t="str">
        <f>Raw_Claims_Data!J288</f>
        <v>Savannah</v>
      </c>
      <c r="K289" t="str">
        <f>Raw_Claims_Data!K288</f>
        <v>GA</v>
      </c>
      <c r="L289">
        <f>Raw_Claims_Data!L288</f>
        <v>10</v>
      </c>
      <c r="M289" t="str">
        <f>IF(Raw_Claims_Data!M288="","N/A",Raw_Claims_Data!M288)</f>
        <v>N/A</v>
      </c>
      <c r="N289" t="str">
        <f>Raw_Claims_Data!N288</f>
        <v>AGENT01109</v>
      </c>
      <c r="O289">
        <f>IF(Raw_Claims_Data!G288="D",1,0)</f>
        <v>0</v>
      </c>
    </row>
    <row r="290" spans="1:15" x14ac:dyDescent="0.35">
      <c r="A290" t="str">
        <f>Raw_Claims_Data!A289</f>
        <v>TXN00000286</v>
      </c>
      <c r="B290" t="str">
        <f>TRIM(Raw_Claims_Data!B289)</f>
        <v>Shantel Gray</v>
      </c>
      <c r="C290" t="str">
        <f>Raw_Claims_Data!C289</f>
        <v>Motor</v>
      </c>
      <c r="D290">
        <f>Raw_Claims_Data!D289</f>
        <v>115.54</v>
      </c>
      <c r="E290">
        <f>Raw_Claims_Data!E289</f>
        <v>5000</v>
      </c>
      <c r="F290" t="str">
        <f>Raw_Claims_Data!F289</f>
        <v>DC</v>
      </c>
      <c r="G290" t="str">
        <f>Raw_Claims_Data!G289</f>
        <v>A</v>
      </c>
      <c r="H290" t="str">
        <f>Raw_Claims_Data!H289</f>
        <v>Total Loss</v>
      </c>
      <c r="I290" t="str">
        <f>IF(Raw_Claims_Data!I289="","None",Raw_Claims_Data!I289)</f>
        <v>Ambulance</v>
      </c>
      <c r="J290" t="str">
        <f>Raw_Claims_Data!J289</f>
        <v>Woodland</v>
      </c>
      <c r="K290" t="str">
        <f>Raw_Claims_Data!K289</f>
        <v>CA</v>
      </c>
      <c r="L290">
        <f>Raw_Claims_Data!L289</f>
        <v>5</v>
      </c>
      <c r="M290" t="str">
        <f>IF(Raw_Claims_Data!M289="","N/A",Raw_Claims_Data!M289)</f>
        <v>VNDR00570</v>
      </c>
      <c r="N290" t="str">
        <f>Raw_Claims_Data!N289</f>
        <v>AGENT00633</v>
      </c>
      <c r="O290">
        <f>IF(Raw_Claims_Data!G289="D",1,0)</f>
        <v>0</v>
      </c>
    </row>
    <row r="291" spans="1:15" x14ac:dyDescent="0.35">
      <c r="A291" t="str">
        <f>Raw_Claims_Data!A290</f>
        <v>TXN00000287</v>
      </c>
      <c r="B291" t="str">
        <f>TRIM(Raw_Claims_Data!B290)</f>
        <v>Garry Morreale</v>
      </c>
      <c r="C291" t="str">
        <f>Raw_Claims_Data!C290</f>
        <v>Life</v>
      </c>
      <c r="D291">
        <f>Raw_Claims_Data!D290</f>
        <v>75.849999999999994</v>
      </c>
      <c r="E291">
        <f>Raw_Claims_Data!E290</f>
        <v>60000</v>
      </c>
      <c r="F291" t="str">
        <f>Raw_Claims_Data!F290</f>
        <v>OK</v>
      </c>
      <c r="G291" t="str">
        <f>Raw_Claims_Data!G290</f>
        <v>A</v>
      </c>
      <c r="H291" t="str">
        <f>Raw_Claims_Data!H290</f>
        <v>Total Loss</v>
      </c>
      <c r="I291" t="str">
        <f>IF(Raw_Claims_Data!I290="","None",Raw_Claims_Data!I290)</f>
        <v>Police</v>
      </c>
      <c r="J291" t="str">
        <f>Raw_Claims_Data!J290</f>
        <v>Louisville</v>
      </c>
      <c r="K291" t="str">
        <f>Raw_Claims_Data!K290</f>
        <v>KY</v>
      </c>
      <c r="L291">
        <f>Raw_Claims_Data!L290</f>
        <v>12</v>
      </c>
      <c r="M291" t="str">
        <f>IF(Raw_Claims_Data!M290="","N/A",Raw_Claims_Data!M290)</f>
        <v>VNDR00468</v>
      </c>
      <c r="N291" t="str">
        <f>Raw_Claims_Data!N290</f>
        <v>AGENT01124</v>
      </c>
      <c r="O291">
        <f>IF(Raw_Claims_Data!G290="D",1,0)</f>
        <v>0</v>
      </c>
    </row>
    <row r="292" spans="1:15" x14ac:dyDescent="0.35">
      <c r="A292" t="str">
        <f>Raw_Claims_Data!A291</f>
        <v>TXN00000288</v>
      </c>
      <c r="B292" t="str">
        <f>TRIM(Raw_Claims_Data!B291)</f>
        <v>Mary Plummer</v>
      </c>
      <c r="C292" t="str">
        <f>Raw_Claims_Data!C291</f>
        <v>Property</v>
      </c>
      <c r="D292">
        <f>Raw_Claims_Data!D291</f>
        <v>159.97999999999999</v>
      </c>
      <c r="E292">
        <f>Raw_Claims_Data!E291</f>
        <v>25000</v>
      </c>
      <c r="F292" t="str">
        <f>Raw_Claims_Data!F291</f>
        <v>CA</v>
      </c>
      <c r="G292" t="str">
        <f>Raw_Claims_Data!G291</f>
        <v>A</v>
      </c>
      <c r="H292" t="str">
        <f>Raw_Claims_Data!H291</f>
        <v>Total Loss</v>
      </c>
      <c r="I292" t="str">
        <f>IF(Raw_Claims_Data!I291="","None",Raw_Claims_Data!I291)</f>
        <v>None</v>
      </c>
      <c r="J292" t="str">
        <f>Raw_Claims_Data!J291</f>
        <v>Anchorage</v>
      </c>
      <c r="K292" t="str">
        <f>Raw_Claims_Data!K291</f>
        <v>AK</v>
      </c>
      <c r="L292">
        <f>Raw_Claims_Data!L291</f>
        <v>1</v>
      </c>
      <c r="M292" t="str">
        <f>IF(Raw_Claims_Data!M291="","N/A",Raw_Claims_Data!M291)</f>
        <v>VNDR00019</v>
      </c>
      <c r="N292" t="str">
        <f>Raw_Claims_Data!N291</f>
        <v>AGENT00048</v>
      </c>
      <c r="O292">
        <f>IF(Raw_Claims_Data!G291="D",1,0)</f>
        <v>0</v>
      </c>
    </row>
    <row r="293" spans="1:15" x14ac:dyDescent="0.35">
      <c r="A293" t="str">
        <f>Raw_Claims_Data!A292</f>
        <v>TXN00000289</v>
      </c>
      <c r="B293" t="str">
        <f>TRIM(Raw_Claims_Data!B292)</f>
        <v>Richard Richmond</v>
      </c>
      <c r="C293" t="str">
        <f>Raw_Claims_Data!C292</f>
        <v>Mobile</v>
      </c>
      <c r="D293">
        <f>Raw_Claims_Data!D292</f>
        <v>8.6</v>
      </c>
      <c r="E293">
        <f>Raw_Claims_Data!E292</f>
        <v>400</v>
      </c>
      <c r="F293" t="str">
        <f>Raw_Claims_Data!F292</f>
        <v>FL</v>
      </c>
      <c r="G293" t="str">
        <f>Raw_Claims_Data!G292</f>
        <v>A</v>
      </c>
      <c r="H293" t="str">
        <f>Raw_Claims_Data!H292</f>
        <v>Minor Loss</v>
      </c>
      <c r="I293" t="str">
        <f>IF(Raw_Claims_Data!I292="","None",Raw_Claims_Data!I292)</f>
        <v>Ambulance</v>
      </c>
      <c r="J293" t="str">
        <f>Raw_Claims_Data!J292</f>
        <v>Arvada</v>
      </c>
      <c r="K293" t="str">
        <f>Raw_Claims_Data!K292</f>
        <v>CO</v>
      </c>
      <c r="L293">
        <f>Raw_Claims_Data!L292</f>
        <v>15</v>
      </c>
      <c r="M293" t="str">
        <f>IF(Raw_Claims_Data!M292="","N/A",Raw_Claims_Data!M292)</f>
        <v>N/A</v>
      </c>
      <c r="N293" t="str">
        <f>Raw_Claims_Data!N292</f>
        <v>AGENT00719</v>
      </c>
      <c r="O293">
        <f>IF(Raw_Claims_Data!G292="D",1,0)</f>
        <v>0</v>
      </c>
    </row>
    <row r="294" spans="1:15" x14ac:dyDescent="0.35">
      <c r="A294" t="str">
        <f>Raw_Claims_Data!A293</f>
        <v>TXN00000290</v>
      </c>
      <c r="B294" t="str">
        <f>TRIM(Raw_Claims_Data!B293)</f>
        <v>Arlene Ortega</v>
      </c>
      <c r="C294" t="str">
        <f>Raw_Claims_Data!C293</f>
        <v>Property</v>
      </c>
      <c r="D294">
        <f>Raw_Claims_Data!D293</f>
        <v>145</v>
      </c>
      <c r="E294">
        <f>Raw_Claims_Data!E293</f>
        <v>23000</v>
      </c>
      <c r="F294" t="str">
        <f>Raw_Claims_Data!F293</f>
        <v>CA</v>
      </c>
      <c r="G294" t="str">
        <f>Raw_Claims_Data!G293</f>
        <v>A</v>
      </c>
      <c r="H294" t="str">
        <f>Raw_Claims_Data!H293</f>
        <v>Minor Loss</v>
      </c>
      <c r="I294" t="str">
        <f>IF(Raw_Claims_Data!I293="","None",Raw_Claims_Data!I293)</f>
        <v>Ambulance</v>
      </c>
      <c r="J294" t="str">
        <f>Raw_Claims_Data!J293</f>
        <v>Glendale</v>
      </c>
      <c r="K294" t="str">
        <f>Raw_Claims_Data!K293</f>
        <v>AZ</v>
      </c>
      <c r="L294">
        <f>Raw_Claims_Data!L293</f>
        <v>10</v>
      </c>
      <c r="M294" t="str">
        <f>IF(Raw_Claims_Data!M293="","N/A",Raw_Claims_Data!M293)</f>
        <v>VNDR00555</v>
      </c>
      <c r="N294" t="str">
        <f>Raw_Claims_Data!N293</f>
        <v>AGENT01168</v>
      </c>
      <c r="O294">
        <f>IF(Raw_Claims_Data!G293="D",1,0)</f>
        <v>0</v>
      </c>
    </row>
    <row r="295" spans="1:15" x14ac:dyDescent="0.35">
      <c r="A295" t="str">
        <f>Raw_Claims_Data!A294</f>
        <v>TXN00000291</v>
      </c>
      <c r="B295" t="str">
        <f>TRIM(Raw_Claims_Data!B294)</f>
        <v>Nadine Harris</v>
      </c>
      <c r="C295" t="str">
        <f>Raw_Claims_Data!C294</f>
        <v>Life</v>
      </c>
      <c r="D295">
        <f>Raw_Claims_Data!D294</f>
        <v>93.84</v>
      </c>
      <c r="E295">
        <f>Raw_Claims_Data!E294</f>
        <v>44000</v>
      </c>
      <c r="F295" t="str">
        <f>Raw_Claims_Data!F294</f>
        <v>VT</v>
      </c>
      <c r="G295" t="str">
        <f>Raw_Claims_Data!G294</f>
        <v>A</v>
      </c>
      <c r="H295" t="str">
        <f>Raw_Claims_Data!H294</f>
        <v>Major Loss</v>
      </c>
      <c r="I295" t="str">
        <f>IF(Raw_Claims_Data!I294="","None",Raw_Claims_Data!I294)</f>
        <v>None</v>
      </c>
      <c r="J295" t="str">
        <f>Raw_Claims_Data!J294</f>
        <v>Severn</v>
      </c>
      <c r="K295" t="str">
        <f>Raw_Claims_Data!K294</f>
        <v>MD</v>
      </c>
      <c r="L295">
        <f>Raw_Claims_Data!L294</f>
        <v>11</v>
      </c>
      <c r="M295" t="str">
        <f>IF(Raw_Claims_Data!M294="","N/A",Raw_Claims_Data!M294)</f>
        <v>N/A</v>
      </c>
      <c r="N295" t="str">
        <f>Raw_Claims_Data!N294</f>
        <v>AGENT00093</v>
      </c>
      <c r="O295">
        <f>IF(Raw_Claims_Data!G294="D",1,0)</f>
        <v>0</v>
      </c>
    </row>
    <row r="296" spans="1:15" x14ac:dyDescent="0.35">
      <c r="A296" t="str">
        <f>Raw_Claims_Data!A295</f>
        <v>TXN00000292</v>
      </c>
      <c r="B296" t="str">
        <f>TRIM(Raw_Claims_Data!B295)</f>
        <v>Michael Marks</v>
      </c>
      <c r="C296" t="str">
        <f>Raw_Claims_Data!C295</f>
        <v>Life</v>
      </c>
      <c r="D296">
        <f>Raw_Claims_Data!D295</f>
        <v>52.94</v>
      </c>
      <c r="E296">
        <f>Raw_Claims_Data!E295</f>
        <v>47000</v>
      </c>
      <c r="F296" t="str">
        <f>Raw_Claims_Data!F295</f>
        <v>AK</v>
      </c>
      <c r="G296" t="str">
        <f>Raw_Claims_Data!G295</f>
        <v>A</v>
      </c>
      <c r="H296" t="str">
        <f>Raw_Claims_Data!H295</f>
        <v>Total Loss</v>
      </c>
      <c r="I296" t="str">
        <f>IF(Raw_Claims_Data!I295="","None",Raw_Claims_Data!I295)</f>
        <v>Other</v>
      </c>
      <c r="J296" t="str">
        <f>Raw_Claims_Data!J295</f>
        <v>Washington</v>
      </c>
      <c r="K296" t="str">
        <f>Raw_Claims_Data!K295</f>
        <v>DC</v>
      </c>
      <c r="L296">
        <f>Raw_Claims_Data!L295</f>
        <v>8</v>
      </c>
      <c r="M296" t="str">
        <f>IF(Raw_Claims_Data!M295="","N/A",Raw_Claims_Data!M295)</f>
        <v>VNDR00366</v>
      </c>
      <c r="N296" t="str">
        <f>Raw_Claims_Data!N295</f>
        <v>AGENT00658</v>
      </c>
      <c r="O296">
        <f>IF(Raw_Claims_Data!G295="D",1,0)</f>
        <v>0</v>
      </c>
    </row>
    <row r="297" spans="1:15" x14ac:dyDescent="0.35">
      <c r="A297" t="str">
        <f>Raw_Claims_Data!A296</f>
        <v>TXN00000293</v>
      </c>
      <c r="B297" t="str">
        <f>TRIM(Raw_Claims_Data!B296)</f>
        <v>Geraldine Luck</v>
      </c>
      <c r="C297" t="str">
        <f>Raw_Claims_Data!C296</f>
        <v>Property</v>
      </c>
      <c r="D297">
        <f>Raw_Claims_Data!D296</f>
        <v>149.77000000000001</v>
      </c>
      <c r="E297">
        <f>Raw_Claims_Data!E296</f>
        <v>27000</v>
      </c>
      <c r="F297" t="str">
        <f>Raw_Claims_Data!F296</f>
        <v>CT</v>
      </c>
      <c r="G297" t="str">
        <f>Raw_Claims_Data!G296</f>
        <v>A</v>
      </c>
      <c r="H297" t="str">
        <f>Raw_Claims_Data!H296</f>
        <v>Minor Loss</v>
      </c>
      <c r="I297" t="str">
        <f>IF(Raw_Claims_Data!I296="","None",Raw_Claims_Data!I296)</f>
        <v>Ambulance</v>
      </c>
      <c r="J297" t="str">
        <f>Raw_Claims_Data!J296</f>
        <v>Arvada</v>
      </c>
      <c r="K297" t="str">
        <f>Raw_Claims_Data!K296</f>
        <v>CO</v>
      </c>
      <c r="L297">
        <f>Raw_Claims_Data!L296</f>
        <v>1</v>
      </c>
      <c r="M297" t="str">
        <f>IF(Raw_Claims_Data!M296="","N/A",Raw_Claims_Data!M296)</f>
        <v>N/A</v>
      </c>
      <c r="N297" t="str">
        <f>Raw_Claims_Data!N296</f>
        <v>AGENT00352</v>
      </c>
      <c r="O297">
        <f>IF(Raw_Claims_Data!G296="D",1,0)</f>
        <v>0</v>
      </c>
    </row>
    <row r="298" spans="1:15" x14ac:dyDescent="0.35">
      <c r="A298" t="str">
        <f>Raw_Claims_Data!A297</f>
        <v>TXN00000294</v>
      </c>
      <c r="B298" t="str">
        <f>TRIM(Raw_Claims_Data!B297)</f>
        <v>Delphine Ellison</v>
      </c>
      <c r="C298" t="str">
        <f>Raw_Claims_Data!C297</f>
        <v>Property</v>
      </c>
      <c r="D298">
        <f>Raw_Claims_Data!D297</f>
        <v>103.98</v>
      </c>
      <c r="E298">
        <f>Raw_Claims_Data!E297</f>
        <v>25000</v>
      </c>
      <c r="F298" t="str">
        <f>Raw_Claims_Data!F297</f>
        <v>GA</v>
      </c>
      <c r="G298" t="str">
        <f>Raw_Claims_Data!G297</f>
        <v>A</v>
      </c>
      <c r="H298" t="str">
        <f>Raw_Claims_Data!H297</f>
        <v>Total Loss</v>
      </c>
      <c r="I298" t="str">
        <f>IF(Raw_Claims_Data!I297="","None",Raw_Claims_Data!I297)</f>
        <v>Other</v>
      </c>
      <c r="J298" t="str">
        <f>Raw_Claims_Data!J297</f>
        <v>Washington</v>
      </c>
      <c r="K298" t="str">
        <f>Raw_Claims_Data!K297</f>
        <v>DC</v>
      </c>
      <c r="L298">
        <f>Raw_Claims_Data!L297</f>
        <v>0</v>
      </c>
      <c r="M298" t="str">
        <f>IF(Raw_Claims_Data!M297="","N/A",Raw_Claims_Data!M297)</f>
        <v>VNDR00012</v>
      </c>
      <c r="N298" t="str">
        <f>Raw_Claims_Data!N297</f>
        <v>AGENT00077</v>
      </c>
      <c r="O298">
        <f>IF(Raw_Claims_Data!G297="D",1,0)</f>
        <v>0</v>
      </c>
    </row>
    <row r="299" spans="1:15" x14ac:dyDescent="0.35">
      <c r="A299" t="str">
        <f>Raw_Claims_Data!A298</f>
        <v>TXN00000295</v>
      </c>
      <c r="B299" t="str">
        <f>TRIM(Raw_Claims_Data!B298)</f>
        <v>Vickie Lopez</v>
      </c>
      <c r="C299" t="str">
        <f>Raw_Claims_Data!C298</f>
        <v>Property</v>
      </c>
      <c r="D299">
        <f>Raw_Claims_Data!D298</f>
        <v>138.1</v>
      </c>
      <c r="E299">
        <f>Raw_Claims_Data!E298</f>
        <v>23000</v>
      </c>
      <c r="F299" t="str">
        <f>Raw_Claims_Data!F298</f>
        <v>CO</v>
      </c>
      <c r="G299" t="str">
        <f>Raw_Claims_Data!G298</f>
        <v>A</v>
      </c>
      <c r="H299" t="str">
        <f>Raw_Claims_Data!H298</f>
        <v>Total Loss</v>
      </c>
      <c r="I299" t="str">
        <f>IF(Raw_Claims_Data!I298="","None",Raw_Claims_Data!I298)</f>
        <v>Ambulance</v>
      </c>
      <c r="J299" t="str">
        <f>Raw_Claims_Data!J298</f>
        <v>Nashville</v>
      </c>
      <c r="K299" t="str">
        <f>Raw_Claims_Data!K298</f>
        <v>TN</v>
      </c>
      <c r="L299">
        <f>Raw_Claims_Data!L298</f>
        <v>6</v>
      </c>
      <c r="M299" t="str">
        <f>IF(Raw_Claims_Data!M298="","N/A",Raw_Claims_Data!M298)</f>
        <v>VNDR00266</v>
      </c>
      <c r="N299" t="str">
        <f>Raw_Claims_Data!N298</f>
        <v>AGENT00161</v>
      </c>
      <c r="O299">
        <f>IF(Raw_Claims_Data!G298="D",1,0)</f>
        <v>0</v>
      </c>
    </row>
    <row r="300" spans="1:15" x14ac:dyDescent="0.35">
      <c r="A300" t="str">
        <f>Raw_Claims_Data!A299</f>
        <v>TXN00000296</v>
      </c>
      <c r="B300" t="str">
        <f>TRIM(Raw_Claims_Data!B299)</f>
        <v>Arthur Herman</v>
      </c>
      <c r="C300" t="str">
        <f>Raw_Claims_Data!C299</f>
        <v>Life</v>
      </c>
      <c r="D300">
        <f>Raw_Claims_Data!D299</f>
        <v>82.08</v>
      </c>
      <c r="E300">
        <f>Raw_Claims_Data!E299</f>
        <v>89000</v>
      </c>
      <c r="F300" t="str">
        <f>Raw_Claims_Data!F299</f>
        <v>AZ</v>
      </c>
      <c r="G300" t="str">
        <f>Raw_Claims_Data!G299</f>
        <v>A</v>
      </c>
      <c r="H300" t="str">
        <f>Raw_Claims_Data!H299</f>
        <v>Major Loss</v>
      </c>
      <c r="I300" t="str">
        <f>IF(Raw_Claims_Data!I299="","None",Raw_Claims_Data!I299)</f>
        <v>None</v>
      </c>
      <c r="J300" t="str">
        <f>Raw_Claims_Data!J299</f>
        <v>Arvada</v>
      </c>
      <c r="K300" t="str">
        <f>Raw_Claims_Data!K299</f>
        <v>CO</v>
      </c>
      <c r="L300">
        <f>Raw_Claims_Data!L299</f>
        <v>12</v>
      </c>
      <c r="M300" t="str">
        <f>IF(Raw_Claims_Data!M299="","N/A",Raw_Claims_Data!M299)</f>
        <v>VNDR00087</v>
      </c>
      <c r="N300" t="str">
        <f>Raw_Claims_Data!N299</f>
        <v>AGENT00492</v>
      </c>
      <c r="O300">
        <f>IF(Raw_Claims_Data!G299="D",1,0)</f>
        <v>0</v>
      </c>
    </row>
    <row r="301" spans="1:15" x14ac:dyDescent="0.35">
      <c r="A301" t="str">
        <f>Raw_Claims_Data!A300</f>
        <v>TXN00000297</v>
      </c>
      <c r="B301" t="str">
        <f>TRIM(Raw_Claims_Data!B300)</f>
        <v>Karen Gorman</v>
      </c>
      <c r="C301" t="str">
        <f>Raw_Claims_Data!C300</f>
        <v>Life</v>
      </c>
      <c r="D301">
        <f>Raw_Claims_Data!D300</f>
        <v>56.26</v>
      </c>
      <c r="E301">
        <f>Raw_Claims_Data!E300</f>
        <v>70000</v>
      </c>
      <c r="F301" t="str">
        <f>Raw_Claims_Data!F300</f>
        <v>OK</v>
      </c>
      <c r="G301" t="str">
        <f>Raw_Claims_Data!G300</f>
        <v>A</v>
      </c>
      <c r="H301" t="str">
        <f>Raw_Claims_Data!H300</f>
        <v>Total Loss</v>
      </c>
      <c r="I301" t="str">
        <f>IF(Raw_Claims_Data!I300="","None",Raw_Claims_Data!I300)</f>
        <v>Ambulance</v>
      </c>
      <c r="J301" t="str">
        <f>Raw_Claims_Data!J300</f>
        <v>Glendale</v>
      </c>
      <c r="K301" t="str">
        <f>Raw_Claims_Data!K300</f>
        <v>AZ</v>
      </c>
      <c r="L301">
        <f>Raw_Claims_Data!L300</f>
        <v>19</v>
      </c>
      <c r="M301" t="str">
        <f>IF(Raw_Claims_Data!M300="","N/A",Raw_Claims_Data!M300)</f>
        <v>VNDR00106</v>
      </c>
      <c r="N301" t="str">
        <f>Raw_Claims_Data!N300</f>
        <v>AGENT00383</v>
      </c>
      <c r="O301">
        <f>IF(Raw_Claims_Data!G300="D",1,0)</f>
        <v>0</v>
      </c>
    </row>
    <row r="302" spans="1:15" x14ac:dyDescent="0.35">
      <c r="A302" t="str">
        <f>Raw_Claims_Data!A301</f>
        <v>TXN00000298</v>
      </c>
      <c r="B302" t="str">
        <f>TRIM(Raw_Claims_Data!B301)</f>
        <v>Jeannie Perez</v>
      </c>
      <c r="C302" t="str">
        <f>Raw_Claims_Data!C301</f>
        <v>Travel</v>
      </c>
      <c r="D302">
        <f>Raw_Claims_Data!D301</f>
        <v>74.959999999999994</v>
      </c>
      <c r="E302">
        <f>Raw_Claims_Data!E301</f>
        <v>1000</v>
      </c>
      <c r="F302" t="str">
        <f>Raw_Claims_Data!F301</f>
        <v>KY</v>
      </c>
      <c r="G302" t="str">
        <f>Raw_Claims_Data!G301</f>
        <v>A</v>
      </c>
      <c r="H302" t="str">
        <f>Raw_Claims_Data!H301</f>
        <v>Total Loss</v>
      </c>
      <c r="I302" t="str">
        <f>IF(Raw_Claims_Data!I301="","None",Raw_Claims_Data!I301)</f>
        <v>Ambulance</v>
      </c>
      <c r="J302" t="str">
        <f>Raw_Claims_Data!J301</f>
        <v>Savannah</v>
      </c>
      <c r="K302" t="str">
        <f>Raw_Claims_Data!K301</f>
        <v>GA</v>
      </c>
      <c r="L302">
        <f>Raw_Claims_Data!L301</f>
        <v>13</v>
      </c>
      <c r="M302" t="str">
        <f>IF(Raw_Claims_Data!M301="","N/A",Raw_Claims_Data!M301)</f>
        <v>VNDR00484</v>
      </c>
      <c r="N302" t="str">
        <f>Raw_Claims_Data!N301</f>
        <v>AGENT00110</v>
      </c>
      <c r="O302">
        <f>IF(Raw_Claims_Data!G301="D",1,0)</f>
        <v>0</v>
      </c>
    </row>
    <row r="303" spans="1:15" x14ac:dyDescent="0.35">
      <c r="A303" t="str">
        <f>Raw_Claims_Data!A302</f>
        <v>TXN00000299</v>
      </c>
      <c r="B303" t="str">
        <f>TRIM(Raw_Claims_Data!B302)</f>
        <v>Russell Stclair</v>
      </c>
      <c r="C303" t="str">
        <f>Raw_Claims_Data!C302</f>
        <v>Mobile</v>
      </c>
      <c r="D303">
        <f>Raw_Claims_Data!D302</f>
        <v>9.51</v>
      </c>
      <c r="E303">
        <f>Raw_Claims_Data!E302</f>
        <v>100</v>
      </c>
      <c r="F303" t="str">
        <f>Raw_Claims_Data!F302</f>
        <v>VT</v>
      </c>
      <c r="G303" t="str">
        <f>Raw_Claims_Data!G302</f>
        <v>A</v>
      </c>
      <c r="H303" t="str">
        <f>Raw_Claims_Data!H302</f>
        <v>Minor Loss</v>
      </c>
      <c r="I303" t="str">
        <f>IF(Raw_Claims_Data!I302="","None",Raw_Claims_Data!I302)</f>
        <v>Other</v>
      </c>
      <c r="J303" t="str">
        <f>Raw_Claims_Data!J302</f>
        <v>Woodford</v>
      </c>
      <c r="K303" t="str">
        <f>Raw_Claims_Data!K302</f>
        <v>VT</v>
      </c>
      <c r="L303">
        <f>Raw_Claims_Data!L302</f>
        <v>4</v>
      </c>
      <c r="M303" t="str">
        <f>IF(Raw_Claims_Data!M302="","N/A",Raw_Claims_Data!M302)</f>
        <v>N/A</v>
      </c>
      <c r="N303" t="str">
        <f>Raw_Claims_Data!N302</f>
        <v>AGENT00496</v>
      </c>
      <c r="O303">
        <f>IF(Raw_Claims_Data!G302="D",1,0)</f>
        <v>0</v>
      </c>
    </row>
    <row r="304" spans="1:15" x14ac:dyDescent="0.35">
      <c r="A304" t="str">
        <f>Raw_Claims_Data!A303</f>
        <v>TXN00000300</v>
      </c>
      <c r="B304" t="str">
        <f>TRIM(Raw_Claims_Data!B303)</f>
        <v>Gabriel Vangieson</v>
      </c>
      <c r="C304" t="str">
        <f>Raw_Claims_Data!C303</f>
        <v>Health</v>
      </c>
      <c r="D304">
        <f>Raw_Claims_Data!D303</f>
        <v>107.93</v>
      </c>
      <c r="E304">
        <f>Raw_Claims_Data!E303</f>
        <v>19000</v>
      </c>
      <c r="F304" t="str">
        <f>Raw_Claims_Data!F303</f>
        <v>FL</v>
      </c>
      <c r="G304" t="str">
        <f>Raw_Claims_Data!G303</f>
        <v>D</v>
      </c>
      <c r="H304" t="str">
        <f>Raw_Claims_Data!H303</f>
        <v>Major Loss</v>
      </c>
      <c r="I304" t="str">
        <f>IF(Raw_Claims_Data!I303="","None",Raw_Claims_Data!I303)</f>
        <v>Ambulance</v>
      </c>
      <c r="J304" t="str">
        <f>Raw_Claims_Data!J303</f>
        <v>Nashville</v>
      </c>
      <c r="K304" t="str">
        <f>Raw_Claims_Data!K303</f>
        <v>TN</v>
      </c>
      <c r="L304">
        <f>Raw_Claims_Data!L303</f>
        <v>10</v>
      </c>
      <c r="M304" t="str">
        <f>IF(Raw_Claims_Data!M303="","N/A",Raw_Claims_Data!M303)</f>
        <v>N/A</v>
      </c>
      <c r="N304" t="str">
        <f>Raw_Claims_Data!N303</f>
        <v>AGENT00825</v>
      </c>
      <c r="O304">
        <f>IF(Raw_Claims_Data!G303="D",1,0)</f>
        <v>1</v>
      </c>
    </row>
    <row r="305" spans="1:15" x14ac:dyDescent="0.35">
      <c r="A305" t="str">
        <f>Raw_Claims_Data!A304</f>
        <v>TXN00000301</v>
      </c>
      <c r="B305" t="str">
        <f>TRIM(Raw_Claims_Data!B304)</f>
        <v>Tony Mclennan</v>
      </c>
      <c r="C305" t="str">
        <f>Raw_Claims_Data!C304</f>
        <v>Property</v>
      </c>
      <c r="D305">
        <f>Raw_Claims_Data!D304</f>
        <v>105.12</v>
      </c>
      <c r="E305">
        <f>Raw_Claims_Data!E304</f>
        <v>21000</v>
      </c>
      <c r="F305" t="str">
        <f>Raw_Claims_Data!F304</f>
        <v>MD</v>
      </c>
      <c r="G305" t="str">
        <f>Raw_Claims_Data!G304</f>
        <v>A</v>
      </c>
      <c r="H305" t="str">
        <f>Raw_Claims_Data!H304</f>
        <v>Major Loss</v>
      </c>
      <c r="I305" t="str">
        <f>IF(Raw_Claims_Data!I304="","None",Raw_Claims_Data!I304)</f>
        <v>Ambulance</v>
      </c>
      <c r="J305" t="str">
        <f>Raw_Claims_Data!J304</f>
        <v>Fayetteville</v>
      </c>
      <c r="K305" t="str">
        <f>Raw_Claims_Data!K304</f>
        <v>AR</v>
      </c>
      <c r="L305">
        <f>Raw_Claims_Data!L304</f>
        <v>8</v>
      </c>
      <c r="M305" t="str">
        <f>IF(Raw_Claims_Data!M304="","N/A",Raw_Claims_Data!M304)</f>
        <v>VNDR00541</v>
      </c>
      <c r="N305" t="str">
        <f>Raw_Claims_Data!N304</f>
        <v>AGENT00262</v>
      </c>
      <c r="O305">
        <f>IF(Raw_Claims_Data!G304="D",1,0)</f>
        <v>0</v>
      </c>
    </row>
    <row r="306" spans="1:15" x14ac:dyDescent="0.35">
      <c r="A306" t="str">
        <f>Raw_Claims_Data!A305</f>
        <v>TXN00000302</v>
      </c>
      <c r="B306" t="str">
        <f>TRIM(Raw_Claims_Data!B305)</f>
        <v>Brianna Luna</v>
      </c>
      <c r="C306" t="str">
        <f>Raw_Claims_Data!C305</f>
        <v>Property</v>
      </c>
      <c r="D306">
        <f>Raw_Claims_Data!D305</f>
        <v>87.66</v>
      </c>
      <c r="E306">
        <f>Raw_Claims_Data!E305</f>
        <v>21000</v>
      </c>
      <c r="F306" t="str">
        <f>Raw_Claims_Data!F305</f>
        <v>OK</v>
      </c>
      <c r="G306" t="str">
        <f>Raw_Claims_Data!G305</f>
        <v>A</v>
      </c>
      <c r="H306" t="str">
        <f>Raw_Claims_Data!H305</f>
        <v>Major Loss</v>
      </c>
      <c r="I306" t="str">
        <f>IF(Raw_Claims_Data!I305="","None",Raw_Claims_Data!I305)</f>
        <v>None</v>
      </c>
      <c r="J306" t="str">
        <f>Raw_Claims_Data!J305</f>
        <v>Melrose</v>
      </c>
      <c r="K306" t="str">
        <f>Raw_Claims_Data!K305</f>
        <v>MA</v>
      </c>
      <c r="L306">
        <f>Raw_Claims_Data!L305</f>
        <v>5</v>
      </c>
      <c r="M306" t="str">
        <f>IF(Raw_Claims_Data!M305="","N/A",Raw_Claims_Data!M305)</f>
        <v>VNDR00414</v>
      </c>
      <c r="N306" t="str">
        <f>Raw_Claims_Data!N305</f>
        <v>AGENT00977</v>
      </c>
      <c r="O306">
        <f>IF(Raw_Claims_Data!G305="D",1,0)</f>
        <v>0</v>
      </c>
    </row>
    <row r="307" spans="1:15" x14ac:dyDescent="0.35">
      <c r="A307" t="str">
        <f>Raw_Claims_Data!A306</f>
        <v>TXN00000303</v>
      </c>
      <c r="B307" t="str">
        <f>TRIM(Raw_Claims_Data!B306)</f>
        <v>Bobbie Wampler</v>
      </c>
      <c r="C307" t="str">
        <f>Raw_Claims_Data!C306</f>
        <v>Property</v>
      </c>
      <c r="D307">
        <f>Raw_Claims_Data!D306</f>
        <v>149.62</v>
      </c>
      <c r="E307">
        <f>Raw_Claims_Data!E306</f>
        <v>25000</v>
      </c>
      <c r="F307" t="str">
        <f>Raw_Claims_Data!F306</f>
        <v>TN</v>
      </c>
      <c r="G307" t="str">
        <f>Raw_Claims_Data!G306</f>
        <v>A</v>
      </c>
      <c r="H307" t="str">
        <f>Raw_Claims_Data!H306</f>
        <v>Minor Loss</v>
      </c>
      <c r="I307" t="str">
        <f>IF(Raw_Claims_Data!I306="","None",Raw_Claims_Data!I306)</f>
        <v>Ambulance</v>
      </c>
      <c r="J307" t="str">
        <f>Raw_Claims_Data!J306</f>
        <v>Salem</v>
      </c>
      <c r="K307" t="str">
        <f>Raw_Claims_Data!K306</f>
        <v>MA</v>
      </c>
      <c r="L307">
        <f>Raw_Claims_Data!L306</f>
        <v>15</v>
      </c>
      <c r="M307" t="str">
        <f>IF(Raw_Claims_Data!M306="","N/A",Raw_Claims_Data!M306)</f>
        <v>N/A</v>
      </c>
      <c r="N307" t="str">
        <f>Raw_Claims_Data!N306</f>
        <v>AGENT00906</v>
      </c>
      <c r="O307">
        <f>IF(Raw_Claims_Data!G306="D",1,0)</f>
        <v>0</v>
      </c>
    </row>
    <row r="308" spans="1:15" x14ac:dyDescent="0.35">
      <c r="A308" t="str">
        <f>Raw_Claims_Data!A307</f>
        <v>TXN00000304</v>
      </c>
      <c r="B308" t="str">
        <f>TRIM(Raw_Claims_Data!B307)</f>
        <v>Graham Skinner</v>
      </c>
      <c r="C308" t="str">
        <f>Raw_Claims_Data!C307</f>
        <v>Motor</v>
      </c>
      <c r="D308">
        <f>Raw_Claims_Data!D307</f>
        <v>103.16</v>
      </c>
      <c r="E308">
        <f>Raw_Claims_Data!E307</f>
        <v>3000</v>
      </c>
      <c r="F308" t="str">
        <f>Raw_Claims_Data!F307</f>
        <v>AL</v>
      </c>
      <c r="G308" t="str">
        <f>Raw_Claims_Data!G307</f>
        <v>A</v>
      </c>
      <c r="H308" t="str">
        <f>Raw_Claims_Data!H307</f>
        <v>Minor Loss</v>
      </c>
      <c r="I308" t="str">
        <f>IF(Raw_Claims_Data!I307="","None",Raw_Claims_Data!I307)</f>
        <v>None</v>
      </c>
      <c r="J308" t="str">
        <f>Raw_Claims_Data!J307</f>
        <v>Manchester</v>
      </c>
      <c r="K308" t="str">
        <f>Raw_Claims_Data!K307</f>
        <v>CT</v>
      </c>
      <c r="L308">
        <f>Raw_Claims_Data!L307</f>
        <v>0</v>
      </c>
      <c r="M308" t="str">
        <f>IF(Raw_Claims_Data!M307="","N/A",Raw_Claims_Data!M307)</f>
        <v>N/A</v>
      </c>
      <c r="N308" t="str">
        <f>Raw_Claims_Data!N307</f>
        <v>AGENT00534</v>
      </c>
      <c r="O308">
        <f>IF(Raw_Claims_Data!G307="D",1,0)</f>
        <v>0</v>
      </c>
    </row>
    <row r="309" spans="1:15" x14ac:dyDescent="0.35">
      <c r="A309" t="str">
        <f>Raw_Claims_Data!A308</f>
        <v>TXN00000305</v>
      </c>
      <c r="B309" t="str">
        <f>TRIM(Raw_Claims_Data!B308)</f>
        <v>Rebecca Ramirez</v>
      </c>
      <c r="C309" t="str">
        <f>Raw_Claims_Data!C308</f>
        <v>Health</v>
      </c>
      <c r="D309">
        <f>Raw_Claims_Data!D308</f>
        <v>151.57</v>
      </c>
      <c r="E309">
        <f>Raw_Claims_Data!E308</f>
        <v>5000</v>
      </c>
      <c r="F309" t="str">
        <f>Raw_Claims_Data!F308</f>
        <v>AZ</v>
      </c>
      <c r="G309" t="str">
        <f>Raw_Claims_Data!G308</f>
        <v>A</v>
      </c>
      <c r="H309" t="str">
        <f>Raw_Claims_Data!H308</f>
        <v>Total Loss</v>
      </c>
      <c r="I309" t="str">
        <f>IF(Raw_Claims_Data!I308="","None",Raw_Claims_Data!I308)</f>
        <v>None</v>
      </c>
      <c r="J309">
        <f>Raw_Claims_Data!J308</f>
        <v>0</v>
      </c>
      <c r="K309" t="str">
        <f>Raw_Claims_Data!K308</f>
        <v>VT</v>
      </c>
      <c r="L309">
        <f>Raw_Claims_Data!L308</f>
        <v>22</v>
      </c>
      <c r="M309" t="str">
        <f>IF(Raw_Claims_Data!M308="","N/A",Raw_Claims_Data!M308)</f>
        <v>N/A</v>
      </c>
      <c r="N309" t="str">
        <f>Raw_Claims_Data!N308</f>
        <v>AGENT00922</v>
      </c>
      <c r="O309">
        <f>IF(Raw_Claims_Data!G308="D",1,0)</f>
        <v>0</v>
      </c>
    </row>
    <row r="310" spans="1:15" x14ac:dyDescent="0.35">
      <c r="A310" t="str">
        <f>Raw_Claims_Data!A309</f>
        <v>TXN00000306</v>
      </c>
      <c r="B310" t="str">
        <f>TRIM(Raw_Claims_Data!B309)</f>
        <v>Kristy Bradford</v>
      </c>
      <c r="C310" t="str">
        <f>Raw_Claims_Data!C309</f>
        <v>Motor</v>
      </c>
      <c r="D310">
        <f>Raw_Claims_Data!D309</f>
        <v>124.6</v>
      </c>
      <c r="E310">
        <f>Raw_Claims_Data!E309</f>
        <v>5000</v>
      </c>
      <c r="F310" t="str">
        <f>Raw_Claims_Data!F309</f>
        <v>AL</v>
      </c>
      <c r="G310" t="str">
        <f>Raw_Claims_Data!G309</f>
        <v>A</v>
      </c>
      <c r="H310" t="str">
        <f>Raw_Claims_Data!H309</f>
        <v>Total Loss</v>
      </c>
      <c r="I310" t="str">
        <f>IF(Raw_Claims_Data!I309="","None",Raw_Claims_Data!I309)</f>
        <v>Other</v>
      </c>
      <c r="J310" t="str">
        <f>Raw_Claims_Data!J309</f>
        <v>Somerville</v>
      </c>
      <c r="K310" t="str">
        <f>Raw_Claims_Data!K309</f>
        <v>MA</v>
      </c>
      <c r="L310">
        <f>Raw_Claims_Data!L309</f>
        <v>22</v>
      </c>
      <c r="M310" t="str">
        <f>IF(Raw_Claims_Data!M309="","N/A",Raw_Claims_Data!M309)</f>
        <v>VNDR00141</v>
      </c>
      <c r="N310" t="str">
        <f>Raw_Claims_Data!N309</f>
        <v>AGENT00068</v>
      </c>
      <c r="O310">
        <f>IF(Raw_Claims_Data!G309="D",1,0)</f>
        <v>0</v>
      </c>
    </row>
    <row r="311" spans="1:15" x14ac:dyDescent="0.35">
      <c r="A311" t="str">
        <f>Raw_Claims_Data!A310</f>
        <v>TXN00000307</v>
      </c>
      <c r="B311" t="str">
        <f>TRIM(Raw_Claims_Data!B310)</f>
        <v>Jennifer Walsh</v>
      </c>
      <c r="C311" t="str">
        <f>Raw_Claims_Data!C310</f>
        <v>Motor</v>
      </c>
      <c r="D311">
        <f>Raw_Claims_Data!D310</f>
        <v>106.34</v>
      </c>
      <c r="E311">
        <f>Raw_Claims_Data!E310</f>
        <v>8000</v>
      </c>
      <c r="F311" t="str">
        <f>Raw_Claims_Data!F310</f>
        <v>AK</v>
      </c>
      <c r="G311" t="str">
        <f>Raw_Claims_Data!G310</f>
        <v>D</v>
      </c>
      <c r="H311" t="str">
        <f>Raw_Claims_Data!H310</f>
        <v>Minor Loss</v>
      </c>
      <c r="I311" t="str">
        <f>IF(Raw_Claims_Data!I310="","None",Raw_Claims_Data!I310)</f>
        <v>Other</v>
      </c>
      <c r="J311" t="str">
        <f>Raw_Claims_Data!J310</f>
        <v>Manchester</v>
      </c>
      <c r="K311" t="str">
        <f>Raw_Claims_Data!K310</f>
        <v>CT</v>
      </c>
      <c r="L311">
        <f>Raw_Claims_Data!L310</f>
        <v>3</v>
      </c>
      <c r="M311" t="str">
        <f>IF(Raw_Claims_Data!M310="","N/A",Raw_Claims_Data!M310)</f>
        <v>VNDR00222</v>
      </c>
      <c r="N311" t="str">
        <f>Raw_Claims_Data!N310</f>
        <v>AGENT00383</v>
      </c>
      <c r="O311">
        <f>IF(Raw_Claims_Data!G310="D",1,0)</f>
        <v>1</v>
      </c>
    </row>
    <row r="312" spans="1:15" x14ac:dyDescent="0.35">
      <c r="A312" t="str">
        <f>Raw_Claims_Data!A311</f>
        <v>TXN00000308</v>
      </c>
      <c r="B312" t="str">
        <f>TRIM(Raw_Claims_Data!B311)</f>
        <v>Imelda Hollen</v>
      </c>
      <c r="C312" t="str">
        <f>Raw_Claims_Data!C311</f>
        <v>Property</v>
      </c>
      <c r="D312">
        <f>Raw_Claims_Data!D311</f>
        <v>128.91999999999999</v>
      </c>
      <c r="E312">
        <f>Raw_Claims_Data!E311</f>
        <v>24000</v>
      </c>
      <c r="F312" t="str">
        <f>Raw_Claims_Data!F311</f>
        <v>KY</v>
      </c>
      <c r="G312" t="str">
        <f>Raw_Claims_Data!G311</f>
        <v>A</v>
      </c>
      <c r="H312" t="str">
        <f>Raw_Claims_Data!H311</f>
        <v>Major Loss</v>
      </c>
      <c r="I312" t="str">
        <f>IF(Raw_Claims_Data!I311="","None",Raw_Claims_Data!I311)</f>
        <v>Other</v>
      </c>
      <c r="J312" t="str">
        <f>Raw_Claims_Data!J311</f>
        <v>Boulder</v>
      </c>
      <c r="K312" t="str">
        <f>Raw_Claims_Data!K311</f>
        <v>CO</v>
      </c>
      <c r="L312">
        <f>Raw_Claims_Data!L311</f>
        <v>18</v>
      </c>
      <c r="M312" t="str">
        <f>IF(Raw_Claims_Data!M311="","N/A",Raw_Claims_Data!M311)</f>
        <v>VNDR00204</v>
      </c>
      <c r="N312" t="str">
        <f>Raw_Claims_Data!N311</f>
        <v>AGENT00938</v>
      </c>
      <c r="O312">
        <f>IF(Raw_Claims_Data!G311="D",1,0)</f>
        <v>0</v>
      </c>
    </row>
    <row r="313" spans="1:15" x14ac:dyDescent="0.35">
      <c r="A313" t="str">
        <f>Raw_Claims_Data!A312</f>
        <v>TXN00000309</v>
      </c>
      <c r="B313" t="str">
        <f>TRIM(Raw_Claims_Data!B312)</f>
        <v>Nathan Yusef</v>
      </c>
      <c r="C313" t="str">
        <f>Raw_Claims_Data!C312</f>
        <v>Health</v>
      </c>
      <c r="D313">
        <f>Raw_Claims_Data!D312</f>
        <v>116.33</v>
      </c>
      <c r="E313">
        <f>Raw_Claims_Data!E312</f>
        <v>4000</v>
      </c>
      <c r="F313" t="str">
        <f>Raw_Claims_Data!F312</f>
        <v>FL</v>
      </c>
      <c r="G313" t="str">
        <f>Raw_Claims_Data!G312</f>
        <v>A</v>
      </c>
      <c r="H313" t="str">
        <f>Raw_Claims_Data!H312</f>
        <v>Major Loss</v>
      </c>
      <c r="I313" t="str">
        <f>IF(Raw_Claims_Data!I312="","None",Raw_Claims_Data!I312)</f>
        <v>Police</v>
      </c>
      <c r="J313" t="str">
        <f>Raw_Claims_Data!J312</f>
        <v>Anchorage</v>
      </c>
      <c r="K313" t="str">
        <f>Raw_Claims_Data!K312</f>
        <v>AK</v>
      </c>
      <c r="L313">
        <f>Raw_Claims_Data!L312</f>
        <v>15</v>
      </c>
      <c r="M313" t="str">
        <f>IF(Raw_Claims_Data!M312="","N/A",Raw_Claims_Data!M312)</f>
        <v>VNDR00513</v>
      </c>
      <c r="N313" t="str">
        <f>Raw_Claims_Data!N312</f>
        <v>AGENT00921</v>
      </c>
      <c r="O313">
        <f>IF(Raw_Claims_Data!G312="D",1,0)</f>
        <v>0</v>
      </c>
    </row>
    <row r="314" spans="1:15" x14ac:dyDescent="0.35">
      <c r="A314" t="str">
        <f>Raw_Claims_Data!A313</f>
        <v>TXN00000310</v>
      </c>
      <c r="B314" t="str">
        <f>TRIM(Raw_Claims_Data!B313)</f>
        <v>Jeanette Bickford</v>
      </c>
      <c r="C314" t="str">
        <f>Raw_Claims_Data!C313</f>
        <v>Motor</v>
      </c>
      <c r="D314">
        <f>Raw_Claims_Data!D313</f>
        <v>96.1</v>
      </c>
      <c r="E314">
        <f>Raw_Claims_Data!E313</f>
        <v>6000</v>
      </c>
      <c r="F314" t="str">
        <f>Raw_Claims_Data!F313</f>
        <v>AK</v>
      </c>
      <c r="G314" t="str">
        <f>Raw_Claims_Data!G313</f>
        <v>A</v>
      </c>
      <c r="H314" t="str">
        <f>Raw_Claims_Data!H313</f>
        <v>Minor Loss</v>
      </c>
      <c r="I314" t="str">
        <f>IF(Raw_Claims_Data!I313="","None",Raw_Claims_Data!I313)</f>
        <v>None</v>
      </c>
      <c r="J314" t="str">
        <f>Raw_Claims_Data!J313</f>
        <v>Louisville</v>
      </c>
      <c r="K314" t="str">
        <f>Raw_Claims_Data!K313</f>
        <v>KY</v>
      </c>
      <c r="L314">
        <f>Raw_Claims_Data!L313</f>
        <v>12</v>
      </c>
      <c r="M314" t="str">
        <f>IF(Raw_Claims_Data!M313="","N/A",Raw_Claims_Data!M313)</f>
        <v>N/A</v>
      </c>
      <c r="N314" t="str">
        <f>Raw_Claims_Data!N313</f>
        <v>AGENT00730</v>
      </c>
      <c r="O314">
        <f>IF(Raw_Claims_Data!G313="D",1,0)</f>
        <v>0</v>
      </c>
    </row>
    <row r="315" spans="1:15" x14ac:dyDescent="0.35">
      <c r="A315" t="str">
        <f>Raw_Claims_Data!A314</f>
        <v>TXN00000311</v>
      </c>
      <c r="B315" t="str">
        <f>TRIM(Raw_Claims_Data!B314)</f>
        <v>Gina Butler</v>
      </c>
      <c r="C315" t="str">
        <f>Raw_Claims_Data!C314</f>
        <v>Health</v>
      </c>
      <c r="D315">
        <f>Raw_Claims_Data!D314</f>
        <v>107.76</v>
      </c>
      <c r="E315">
        <f>Raw_Claims_Data!E314</f>
        <v>4000</v>
      </c>
      <c r="F315" t="str">
        <f>Raw_Claims_Data!F314</f>
        <v>GA</v>
      </c>
      <c r="G315" t="str">
        <f>Raw_Claims_Data!G314</f>
        <v>A</v>
      </c>
      <c r="H315" t="str">
        <f>Raw_Claims_Data!H314</f>
        <v>Total Loss</v>
      </c>
      <c r="I315" t="str">
        <f>IF(Raw_Claims_Data!I314="","None",Raw_Claims_Data!I314)</f>
        <v>Police</v>
      </c>
      <c r="J315" t="str">
        <f>Raw_Claims_Data!J314</f>
        <v>Arvada</v>
      </c>
      <c r="K315" t="str">
        <f>Raw_Claims_Data!K314</f>
        <v>CO</v>
      </c>
      <c r="L315">
        <f>Raw_Claims_Data!L314</f>
        <v>9</v>
      </c>
      <c r="M315" t="str">
        <f>IF(Raw_Claims_Data!M314="","N/A",Raw_Claims_Data!M314)</f>
        <v>VNDR00364</v>
      </c>
      <c r="N315" t="str">
        <f>Raw_Claims_Data!N314</f>
        <v>AGENT00278</v>
      </c>
      <c r="O315">
        <f>IF(Raw_Claims_Data!G314="D",1,0)</f>
        <v>0</v>
      </c>
    </row>
    <row r="316" spans="1:15" x14ac:dyDescent="0.35">
      <c r="A316" t="str">
        <f>Raw_Claims_Data!A315</f>
        <v>TXN00000312</v>
      </c>
      <c r="B316" t="str">
        <f>TRIM(Raw_Claims_Data!B315)</f>
        <v>Dorothy Henson</v>
      </c>
      <c r="C316" t="str">
        <f>Raw_Claims_Data!C315</f>
        <v>Travel</v>
      </c>
      <c r="D316">
        <f>Raw_Claims_Data!D315</f>
        <v>77.48</v>
      </c>
      <c r="E316">
        <f>Raw_Claims_Data!E315</f>
        <v>5000</v>
      </c>
      <c r="F316" t="str">
        <f>Raw_Claims_Data!F315</f>
        <v>AL</v>
      </c>
      <c r="G316" t="str">
        <f>Raw_Claims_Data!G315</f>
        <v>A</v>
      </c>
      <c r="H316" t="str">
        <f>Raw_Claims_Data!H315</f>
        <v>Total Loss</v>
      </c>
      <c r="I316" t="str">
        <f>IF(Raw_Claims_Data!I315="","None",Raw_Claims_Data!I315)</f>
        <v>Ambulance</v>
      </c>
      <c r="J316" t="str">
        <f>Raw_Claims_Data!J315</f>
        <v>Louisville</v>
      </c>
      <c r="K316" t="str">
        <f>Raw_Claims_Data!K315</f>
        <v>KY</v>
      </c>
      <c r="L316">
        <f>Raw_Claims_Data!L315</f>
        <v>1</v>
      </c>
      <c r="M316" t="str">
        <f>IF(Raw_Claims_Data!M315="","N/A",Raw_Claims_Data!M315)</f>
        <v>VNDR00391</v>
      </c>
      <c r="N316" t="str">
        <f>Raw_Claims_Data!N315</f>
        <v>AGENT00963</v>
      </c>
      <c r="O316">
        <f>IF(Raw_Claims_Data!G315="D",1,0)</f>
        <v>0</v>
      </c>
    </row>
    <row r="317" spans="1:15" x14ac:dyDescent="0.35">
      <c r="A317" t="str">
        <f>Raw_Claims_Data!A316</f>
        <v>TXN00000313</v>
      </c>
      <c r="B317" t="str">
        <f>TRIM(Raw_Claims_Data!B316)</f>
        <v>Robert Williams</v>
      </c>
      <c r="C317" t="str">
        <f>Raw_Claims_Data!C316</f>
        <v>Travel</v>
      </c>
      <c r="D317">
        <f>Raw_Claims_Data!D316</f>
        <v>94.66</v>
      </c>
      <c r="E317">
        <f>Raw_Claims_Data!E316</f>
        <v>5000</v>
      </c>
      <c r="F317" t="str">
        <f>Raw_Claims_Data!F316</f>
        <v>CO</v>
      </c>
      <c r="G317" t="str">
        <f>Raw_Claims_Data!G316</f>
        <v>D</v>
      </c>
      <c r="H317" t="str">
        <f>Raw_Claims_Data!H316</f>
        <v>Minor Loss</v>
      </c>
      <c r="I317" t="str">
        <f>IF(Raw_Claims_Data!I316="","None",Raw_Claims_Data!I316)</f>
        <v>Ambulance</v>
      </c>
      <c r="J317" t="str">
        <f>Raw_Claims_Data!J316</f>
        <v>Burlington</v>
      </c>
      <c r="K317" t="str">
        <f>Raw_Claims_Data!K316</f>
        <v>VT</v>
      </c>
      <c r="L317">
        <f>Raw_Claims_Data!L316</f>
        <v>9</v>
      </c>
      <c r="M317" t="str">
        <f>IF(Raw_Claims_Data!M316="","N/A",Raw_Claims_Data!M316)</f>
        <v>VNDR00327</v>
      </c>
      <c r="N317" t="str">
        <f>Raw_Claims_Data!N316</f>
        <v>AGENT00970</v>
      </c>
      <c r="O317">
        <f>IF(Raw_Claims_Data!G316="D",1,0)</f>
        <v>1</v>
      </c>
    </row>
    <row r="318" spans="1:15" x14ac:dyDescent="0.35">
      <c r="A318" t="str">
        <f>Raw_Claims_Data!A317</f>
        <v>TXN00000314</v>
      </c>
      <c r="B318" t="str">
        <f>TRIM(Raw_Claims_Data!B317)</f>
        <v>Arthur Noman</v>
      </c>
      <c r="C318" t="str">
        <f>Raw_Claims_Data!C317</f>
        <v>Mobile</v>
      </c>
      <c r="D318">
        <f>Raw_Claims_Data!D317</f>
        <v>7.16</v>
      </c>
      <c r="E318">
        <f>Raw_Claims_Data!E317</f>
        <v>100</v>
      </c>
      <c r="F318" t="str">
        <f>Raw_Claims_Data!F317</f>
        <v>CT</v>
      </c>
      <c r="G318" t="str">
        <f>Raw_Claims_Data!G317</f>
        <v>A</v>
      </c>
      <c r="H318" t="str">
        <f>Raw_Claims_Data!H317</f>
        <v>Minor Loss</v>
      </c>
      <c r="I318" t="str">
        <f>IF(Raw_Claims_Data!I317="","None",Raw_Claims_Data!I317)</f>
        <v>Police</v>
      </c>
      <c r="J318" t="str">
        <f>Raw_Claims_Data!J317</f>
        <v>Fayetteville</v>
      </c>
      <c r="K318" t="str">
        <f>Raw_Claims_Data!K317</f>
        <v>AR</v>
      </c>
      <c r="L318">
        <f>Raw_Claims_Data!L317</f>
        <v>9</v>
      </c>
      <c r="M318" t="str">
        <f>IF(Raw_Claims_Data!M317="","N/A",Raw_Claims_Data!M317)</f>
        <v>VNDR00532</v>
      </c>
      <c r="N318" t="str">
        <f>Raw_Claims_Data!N317</f>
        <v>AGENT00369</v>
      </c>
      <c r="O318">
        <f>IF(Raw_Claims_Data!G317="D",1,0)</f>
        <v>0</v>
      </c>
    </row>
    <row r="319" spans="1:15" x14ac:dyDescent="0.35">
      <c r="A319" t="str">
        <f>Raw_Claims_Data!A318</f>
        <v>TXN00000315</v>
      </c>
      <c r="B319" t="str">
        <f>TRIM(Raw_Claims_Data!B318)</f>
        <v>Kurt Barker</v>
      </c>
      <c r="C319" t="str">
        <f>Raw_Claims_Data!C318</f>
        <v>Life</v>
      </c>
      <c r="D319">
        <f>Raw_Claims_Data!D318</f>
        <v>98.98</v>
      </c>
      <c r="E319">
        <f>Raw_Claims_Data!E318</f>
        <v>36000</v>
      </c>
      <c r="F319" t="str">
        <f>Raw_Claims_Data!F318</f>
        <v>AZ</v>
      </c>
      <c r="G319" t="str">
        <f>Raw_Claims_Data!G318</f>
        <v>A</v>
      </c>
      <c r="H319" t="str">
        <f>Raw_Claims_Data!H318</f>
        <v>Major Loss</v>
      </c>
      <c r="I319" t="str">
        <f>IF(Raw_Claims_Data!I318="","None",Raw_Claims_Data!I318)</f>
        <v>Police</v>
      </c>
      <c r="J319" t="str">
        <f>Raw_Claims_Data!J318</f>
        <v>Alameda</v>
      </c>
      <c r="K319" t="str">
        <f>Raw_Claims_Data!K318</f>
        <v>CA</v>
      </c>
      <c r="L319">
        <f>Raw_Claims_Data!L318</f>
        <v>16</v>
      </c>
      <c r="M319" t="str">
        <f>IF(Raw_Claims_Data!M318="","N/A",Raw_Claims_Data!M318)</f>
        <v>VNDR00327</v>
      </c>
      <c r="N319" t="str">
        <f>Raw_Claims_Data!N318</f>
        <v>AGENT00411</v>
      </c>
      <c r="O319">
        <f>IF(Raw_Claims_Data!G318="D",1,0)</f>
        <v>0</v>
      </c>
    </row>
    <row r="320" spans="1:15" x14ac:dyDescent="0.35">
      <c r="A320" t="str">
        <f>Raw_Claims_Data!A319</f>
        <v>TXN00000316</v>
      </c>
      <c r="B320" t="str">
        <f>TRIM(Raw_Claims_Data!B319)</f>
        <v>Helen Brooks</v>
      </c>
      <c r="C320" t="str">
        <f>Raw_Claims_Data!C319</f>
        <v>Property</v>
      </c>
      <c r="D320">
        <f>Raw_Claims_Data!D319</f>
        <v>141.91</v>
      </c>
      <c r="E320">
        <f>Raw_Claims_Data!E319</f>
        <v>17000</v>
      </c>
      <c r="F320" t="str">
        <f>Raw_Claims_Data!F319</f>
        <v>AZ</v>
      </c>
      <c r="G320" t="str">
        <f>Raw_Claims_Data!G319</f>
        <v>A</v>
      </c>
      <c r="H320" t="str">
        <f>Raw_Claims_Data!H319</f>
        <v>Major Loss</v>
      </c>
      <c r="I320" t="str">
        <f>IF(Raw_Claims_Data!I319="","None",Raw_Claims_Data!I319)</f>
        <v>Police</v>
      </c>
      <c r="J320" t="str">
        <f>Raw_Claims_Data!J319</f>
        <v>Washington</v>
      </c>
      <c r="K320" t="str">
        <f>Raw_Claims_Data!K319</f>
        <v>DC</v>
      </c>
      <c r="L320">
        <f>Raw_Claims_Data!L319</f>
        <v>0</v>
      </c>
      <c r="M320" t="str">
        <f>IF(Raw_Claims_Data!M319="","N/A",Raw_Claims_Data!M319)</f>
        <v>VNDR00301</v>
      </c>
      <c r="N320" t="str">
        <f>Raw_Claims_Data!N319</f>
        <v>AGENT01138</v>
      </c>
      <c r="O320">
        <f>IF(Raw_Claims_Data!G319="D",1,0)</f>
        <v>0</v>
      </c>
    </row>
    <row r="321" spans="1:15" x14ac:dyDescent="0.35">
      <c r="A321" t="str">
        <f>Raw_Claims_Data!A320</f>
        <v>TXN00000317</v>
      </c>
      <c r="B321" t="str">
        <f>TRIM(Raw_Claims_Data!B320)</f>
        <v>Lou Preston</v>
      </c>
      <c r="C321" t="str">
        <f>Raw_Claims_Data!C320</f>
        <v>Motor</v>
      </c>
      <c r="D321">
        <f>Raw_Claims_Data!D320</f>
        <v>110.44</v>
      </c>
      <c r="E321">
        <f>Raw_Claims_Data!E320</f>
        <v>3000</v>
      </c>
      <c r="F321" t="str">
        <f>Raw_Claims_Data!F320</f>
        <v>MA</v>
      </c>
      <c r="G321" t="str">
        <f>Raw_Claims_Data!G320</f>
        <v>A</v>
      </c>
      <c r="H321" t="str">
        <f>Raw_Claims_Data!H320</f>
        <v>Total Loss</v>
      </c>
      <c r="I321" t="str">
        <f>IF(Raw_Claims_Data!I320="","None",Raw_Claims_Data!I320)</f>
        <v>Ambulance</v>
      </c>
      <c r="J321" t="str">
        <f>Raw_Claims_Data!J320</f>
        <v>Glendale</v>
      </c>
      <c r="K321" t="str">
        <f>Raw_Claims_Data!K320</f>
        <v>AZ</v>
      </c>
      <c r="L321">
        <f>Raw_Claims_Data!L320</f>
        <v>19</v>
      </c>
      <c r="M321" t="str">
        <f>IF(Raw_Claims_Data!M320="","N/A",Raw_Claims_Data!M320)</f>
        <v>VNDR00584</v>
      </c>
      <c r="N321" t="str">
        <f>Raw_Claims_Data!N320</f>
        <v>AGENT00966</v>
      </c>
      <c r="O321">
        <f>IF(Raw_Claims_Data!G320="D",1,0)</f>
        <v>0</v>
      </c>
    </row>
    <row r="322" spans="1:15" x14ac:dyDescent="0.35">
      <c r="A322" t="str">
        <f>Raw_Claims_Data!A321</f>
        <v>TXN00000318</v>
      </c>
      <c r="B322" t="str">
        <f>TRIM(Raw_Claims_Data!B321)</f>
        <v>Thomas Conlisk</v>
      </c>
      <c r="C322" t="str">
        <f>Raw_Claims_Data!C321</f>
        <v>Health</v>
      </c>
      <c r="D322">
        <f>Raw_Claims_Data!D321</f>
        <v>125.57</v>
      </c>
      <c r="E322">
        <f>Raw_Claims_Data!E321</f>
        <v>5000</v>
      </c>
      <c r="F322" t="str">
        <f>Raw_Claims_Data!F321</f>
        <v>AR</v>
      </c>
      <c r="G322" t="str">
        <f>Raw_Claims_Data!G321</f>
        <v>A</v>
      </c>
      <c r="H322" t="str">
        <f>Raw_Claims_Data!H321</f>
        <v>Minor Loss</v>
      </c>
      <c r="I322" t="str">
        <f>IF(Raw_Claims_Data!I321="","None",Raw_Claims_Data!I321)</f>
        <v>Ambulance</v>
      </c>
      <c r="J322" t="str">
        <f>Raw_Claims_Data!J321</f>
        <v>Nashville</v>
      </c>
      <c r="K322" t="str">
        <f>Raw_Claims_Data!K321</f>
        <v>TN</v>
      </c>
      <c r="L322">
        <f>Raw_Claims_Data!L321</f>
        <v>23</v>
      </c>
      <c r="M322" t="str">
        <f>IF(Raw_Claims_Data!M321="","N/A",Raw_Claims_Data!M321)</f>
        <v>VNDR00415</v>
      </c>
      <c r="N322" t="str">
        <f>Raw_Claims_Data!N321</f>
        <v>AGENT00923</v>
      </c>
      <c r="O322">
        <f>IF(Raw_Claims_Data!G321="D",1,0)</f>
        <v>0</v>
      </c>
    </row>
    <row r="323" spans="1:15" x14ac:dyDescent="0.35">
      <c r="A323" t="str">
        <f>Raw_Claims_Data!A322</f>
        <v>TXN00000319</v>
      </c>
      <c r="B323" t="str">
        <f>TRIM(Raw_Claims_Data!B322)</f>
        <v>Gerard Duncan</v>
      </c>
      <c r="C323" t="str">
        <f>Raw_Claims_Data!C322</f>
        <v>Health</v>
      </c>
      <c r="D323">
        <f>Raw_Claims_Data!D322</f>
        <v>151.18</v>
      </c>
      <c r="E323">
        <f>Raw_Claims_Data!E322</f>
        <v>2000</v>
      </c>
      <c r="F323" t="str">
        <f>Raw_Claims_Data!F322</f>
        <v>VT</v>
      </c>
      <c r="G323" t="str">
        <f>Raw_Claims_Data!G322</f>
        <v>A</v>
      </c>
      <c r="H323" t="str">
        <f>Raw_Claims_Data!H322</f>
        <v>Minor Loss</v>
      </c>
      <c r="I323" t="str">
        <f>IF(Raw_Claims_Data!I322="","None",Raw_Claims_Data!I322)</f>
        <v>Police</v>
      </c>
      <c r="J323" t="str">
        <f>Raw_Claims_Data!J322</f>
        <v>Pasadena</v>
      </c>
      <c r="K323" t="str">
        <f>Raw_Claims_Data!K322</f>
        <v>MD</v>
      </c>
      <c r="L323">
        <f>Raw_Claims_Data!L322</f>
        <v>6</v>
      </c>
      <c r="M323" t="str">
        <f>IF(Raw_Claims_Data!M322="","N/A",Raw_Claims_Data!M322)</f>
        <v>VNDR00183</v>
      </c>
      <c r="N323" t="str">
        <f>Raw_Claims_Data!N322</f>
        <v>AGENT00066</v>
      </c>
      <c r="O323">
        <f>IF(Raw_Claims_Data!G322="D",1,0)</f>
        <v>0</v>
      </c>
    </row>
    <row r="324" spans="1:15" x14ac:dyDescent="0.35">
      <c r="A324" t="str">
        <f>Raw_Claims_Data!A323</f>
        <v>TXN00000320</v>
      </c>
      <c r="B324" t="str">
        <f>TRIM(Raw_Claims_Data!B323)</f>
        <v>Charlene Schnitker</v>
      </c>
      <c r="C324" t="str">
        <f>Raw_Claims_Data!C323</f>
        <v>Health</v>
      </c>
      <c r="D324">
        <f>Raw_Claims_Data!D323</f>
        <v>181.48</v>
      </c>
      <c r="E324">
        <f>Raw_Claims_Data!E323</f>
        <v>10000</v>
      </c>
      <c r="F324" t="str">
        <f>Raw_Claims_Data!F323</f>
        <v>AL</v>
      </c>
      <c r="G324" t="str">
        <f>Raw_Claims_Data!G323</f>
        <v>A</v>
      </c>
      <c r="H324" t="str">
        <f>Raw_Claims_Data!H323</f>
        <v>Minor Loss</v>
      </c>
      <c r="I324" t="str">
        <f>IF(Raw_Claims_Data!I323="","None",Raw_Claims_Data!I323)</f>
        <v>Ambulance</v>
      </c>
      <c r="J324" t="str">
        <f>Raw_Claims_Data!J323</f>
        <v>Montgomery</v>
      </c>
      <c r="K324" t="str">
        <f>Raw_Claims_Data!K323</f>
        <v>AL</v>
      </c>
      <c r="L324">
        <f>Raw_Claims_Data!L323</f>
        <v>3</v>
      </c>
      <c r="M324" t="str">
        <f>IF(Raw_Claims_Data!M323="","N/A",Raw_Claims_Data!M323)</f>
        <v>VNDR00324</v>
      </c>
      <c r="N324" t="str">
        <f>Raw_Claims_Data!N323</f>
        <v>AGENT00614</v>
      </c>
      <c r="O324">
        <f>IF(Raw_Claims_Data!G323="D",1,0)</f>
        <v>0</v>
      </c>
    </row>
    <row r="325" spans="1:15" x14ac:dyDescent="0.35">
      <c r="A325" t="str">
        <f>Raw_Claims_Data!A324</f>
        <v>TXN00000321</v>
      </c>
      <c r="B325" t="str">
        <f>TRIM(Raw_Claims_Data!B324)</f>
        <v>Lillian Carraway</v>
      </c>
      <c r="C325" t="str">
        <f>Raw_Claims_Data!C324</f>
        <v>Motor</v>
      </c>
      <c r="D325">
        <f>Raw_Claims_Data!D324</f>
        <v>121.7</v>
      </c>
      <c r="E325">
        <f>Raw_Claims_Data!E324</f>
        <v>4000</v>
      </c>
      <c r="F325" t="str">
        <f>Raw_Claims_Data!F324</f>
        <v>KY</v>
      </c>
      <c r="G325" t="str">
        <f>Raw_Claims_Data!G324</f>
        <v>A</v>
      </c>
      <c r="H325" t="str">
        <f>Raw_Claims_Data!H324</f>
        <v>Major Loss</v>
      </c>
      <c r="I325" t="str">
        <f>IF(Raw_Claims_Data!I324="","None",Raw_Claims_Data!I324)</f>
        <v>Police</v>
      </c>
      <c r="J325" t="str">
        <f>Raw_Claims_Data!J324</f>
        <v>Fayetteville</v>
      </c>
      <c r="K325" t="str">
        <f>Raw_Claims_Data!K324</f>
        <v>AR</v>
      </c>
      <c r="L325">
        <f>Raw_Claims_Data!L324</f>
        <v>8</v>
      </c>
      <c r="M325" t="str">
        <f>IF(Raw_Claims_Data!M324="","N/A",Raw_Claims_Data!M324)</f>
        <v>VNDR00564</v>
      </c>
      <c r="N325" t="str">
        <f>Raw_Claims_Data!N324</f>
        <v>AGENT00940</v>
      </c>
      <c r="O325">
        <f>IF(Raw_Claims_Data!G324="D",1,0)</f>
        <v>0</v>
      </c>
    </row>
    <row r="326" spans="1:15" x14ac:dyDescent="0.35">
      <c r="A326" t="str">
        <f>Raw_Claims_Data!A325</f>
        <v>TXN00000322</v>
      </c>
      <c r="B326" t="str">
        <f>TRIM(Raw_Claims_Data!B325)</f>
        <v>Sean Jackson</v>
      </c>
      <c r="C326" t="str">
        <f>Raw_Claims_Data!C325</f>
        <v>Motor</v>
      </c>
      <c r="D326">
        <f>Raw_Claims_Data!D325</f>
        <v>114.12</v>
      </c>
      <c r="E326">
        <f>Raw_Claims_Data!E325</f>
        <v>5000</v>
      </c>
      <c r="F326" t="str">
        <f>Raw_Claims_Data!F325</f>
        <v>AR</v>
      </c>
      <c r="G326" t="str">
        <f>Raw_Claims_Data!G325</f>
        <v>A</v>
      </c>
      <c r="H326" t="str">
        <f>Raw_Claims_Data!H325</f>
        <v>Total Loss</v>
      </c>
      <c r="I326" t="str">
        <f>IF(Raw_Claims_Data!I325="","None",Raw_Claims_Data!I325)</f>
        <v>Other</v>
      </c>
      <c r="J326" t="str">
        <f>Raw_Claims_Data!J325</f>
        <v>Annapolis</v>
      </c>
      <c r="K326" t="str">
        <f>Raw_Claims_Data!K325</f>
        <v>MD</v>
      </c>
      <c r="L326">
        <f>Raw_Claims_Data!L325</f>
        <v>20</v>
      </c>
      <c r="M326" t="str">
        <f>IF(Raw_Claims_Data!M325="","N/A",Raw_Claims_Data!M325)</f>
        <v>N/A</v>
      </c>
      <c r="N326" t="str">
        <f>Raw_Claims_Data!N325</f>
        <v>AGENT01013</v>
      </c>
      <c r="O326">
        <f>IF(Raw_Claims_Data!G325="D",1,0)</f>
        <v>0</v>
      </c>
    </row>
    <row r="327" spans="1:15" x14ac:dyDescent="0.35">
      <c r="A327" t="str">
        <f>Raw_Claims_Data!A326</f>
        <v>TXN00000323</v>
      </c>
      <c r="B327" t="str">
        <f>TRIM(Raw_Claims_Data!B326)</f>
        <v>Cherie Regalado</v>
      </c>
      <c r="C327" t="str">
        <f>Raw_Claims_Data!C326</f>
        <v>Property</v>
      </c>
      <c r="D327">
        <f>Raw_Claims_Data!D326</f>
        <v>83.07</v>
      </c>
      <c r="E327">
        <f>Raw_Claims_Data!E326</f>
        <v>19000</v>
      </c>
      <c r="F327" t="str">
        <f>Raw_Claims_Data!F326</f>
        <v>DC</v>
      </c>
      <c r="G327" t="str">
        <f>Raw_Claims_Data!G326</f>
        <v>A</v>
      </c>
      <c r="H327" t="str">
        <f>Raw_Claims_Data!H326</f>
        <v>Total Loss</v>
      </c>
      <c r="I327" t="str">
        <f>IF(Raw_Claims_Data!I326="","None",Raw_Claims_Data!I326)</f>
        <v>Other</v>
      </c>
      <c r="J327" t="str">
        <f>Raw_Claims_Data!J326</f>
        <v>Glendale</v>
      </c>
      <c r="K327" t="str">
        <f>Raw_Claims_Data!K326</f>
        <v>AZ</v>
      </c>
      <c r="L327">
        <f>Raw_Claims_Data!L326</f>
        <v>20</v>
      </c>
      <c r="M327" t="str">
        <f>IF(Raw_Claims_Data!M326="","N/A",Raw_Claims_Data!M326)</f>
        <v>VNDR00553</v>
      </c>
      <c r="N327" t="str">
        <f>Raw_Claims_Data!N326</f>
        <v>AGENT01178</v>
      </c>
      <c r="O327">
        <f>IF(Raw_Claims_Data!G326="D",1,0)</f>
        <v>0</v>
      </c>
    </row>
    <row r="328" spans="1:15" x14ac:dyDescent="0.35">
      <c r="A328" t="str">
        <f>Raw_Claims_Data!A327</f>
        <v>TXN00000324</v>
      </c>
      <c r="B328" t="str">
        <f>TRIM(Raw_Claims_Data!B327)</f>
        <v>Seth Keisler</v>
      </c>
      <c r="C328" t="str">
        <f>Raw_Claims_Data!C327</f>
        <v>Motor</v>
      </c>
      <c r="D328">
        <f>Raw_Claims_Data!D327</f>
        <v>104.64</v>
      </c>
      <c r="E328">
        <f>Raw_Claims_Data!E327</f>
        <v>8000</v>
      </c>
      <c r="F328" t="str">
        <f>Raw_Claims_Data!F327</f>
        <v>CA</v>
      </c>
      <c r="G328" t="str">
        <f>Raw_Claims_Data!G327</f>
        <v>A</v>
      </c>
      <c r="H328" t="str">
        <f>Raw_Claims_Data!H327</f>
        <v>Total Loss</v>
      </c>
      <c r="I328" t="str">
        <f>IF(Raw_Claims_Data!I327="","None",Raw_Claims_Data!I327)</f>
        <v>Ambulance</v>
      </c>
      <c r="J328" t="str">
        <f>Raw_Claims_Data!J327</f>
        <v>Nashville</v>
      </c>
      <c r="K328" t="str">
        <f>Raw_Claims_Data!K327</f>
        <v>TN</v>
      </c>
      <c r="L328">
        <f>Raw_Claims_Data!L327</f>
        <v>1</v>
      </c>
      <c r="M328" t="str">
        <f>IF(Raw_Claims_Data!M327="","N/A",Raw_Claims_Data!M327)</f>
        <v>N/A</v>
      </c>
      <c r="N328" t="str">
        <f>Raw_Claims_Data!N327</f>
        <v>AGENT00705</v>
      </c>
      <c r="O328">
        <f>IF(Raw_Claims_Data!G327="D",1,0)</f>
        <v>0</v>
      </c>
    </row>
    <row r="329" spans="1:15" x14ac:dyDescent="0.35">
      <c r="A329" t="str">
        <f>Raw_Claims_Data!A328</f>
        <v>TXN00000325</v>
      </c>
      <c r="B329" t="str">
        <f>TRIM(Raw_Claims_Data!B328)</f>
        <v>Shawn Mency</v>
      </c>
      <c r="C329" t="str">
        <f>Raw_Claims_Data!C328</f>
        <v>Motor</v>
      </c>
      <c r="D329">
        <f>Raw_Claims_Data!D328</f>
        <v>97.13</v>
      </c>
      <c r="E329">
        <f>Raw_Claims_Data!E328</f>
        <v>6000</v>
      </c>
      <c r="F329" t="str">
        <f>Raw_Claims_Data!F328</f>
        <v>CO</v>
      </c>
      <c r="G329" t="str">
        <f>Raw_Claims_Data!G328</f>
        <v>A</v>
      </c>
      <c r="H329" t="str">
        <f>Raw_Claims_Data!H328</f>
        <v>Major Loss</v>
      </c>
      <c r="I329" t="str">
        <f>IF(Raw_Claims_Data!I328="","None",Raw_Claims_Data!I328)</f>
        <v>Other</v>
      </c>
      <c r="J329" t="str">
        <f>Raw_Claims_Data!J328</f>
        <v>Fayetteville</v>
      </c>
      <c r="K329" t="str">
        <f>Raw_Claims_Data!K328</f>
        <v>AR</v>
      </c>
      <c r="L329">
        <f>Raw_Claims_Data!L328</f>
        <v>12</v>
      </c>
      <c r="M329" t="str">
        <f>IF(Raw_Claims_Data!M328="","N/A",Raw_Claims_Data!M328)</f>
        <v>VNDR00373</v>
      </c>
      <c r="N329" t="str">
        <f>Raw_Claims_Data!N328</f>
        <v>AGENT00643</v>
      </c>
      <c r="O329">
        <f>IF(Raw_Claims_Data!G328="D",1,0)</f>
        <v>0</v>
      </c>
    </row>
    <row r="330" spans="1:15" x14ac:dyDescent="0.35">
      <c r="A330" t="str">
        <f>Raw_Claims_Data!A329</f>
        <v>TXN00000326</v>
      </c>
      <c r="B330" t="str">
        <f>TRIM(Raw_Claims_Data!B329)</f>
        <v>George Harris</v>
      </c>
      <c r="C330" t="str">
        <f>Raw_Claims_Data!C329</f>
        <v>Property</v>
      </c>
      <c r="D330">
        <f>Raw_Claims_Data!D329</f>
        <v>108.04</v>
      </c>
      <c r="E330">
        <f>Raw_Claims_Data!E329</f>
        <v>14000</v>
      </c>
      <c r="F330" t="str">
        <f>Raw_Claims_Data!F329</f>
        <v>DC</v>
      </c>
      <c r="G330" t="str">
        <f>Raw_Claims_Data!G329</f>
        <v>A</v>
      </c>
      <c r="H330" t="str">
        <f>Raw_Claims_Data!H329</f>
        <v>Major Loss</v>
      </c>
      <c r="I330" t="str">
        <f>IF(Raw_Claims_Data!I329="","None",Raw_Claims_Data!I329)</f>
        <v>None</v>
      </c>
      <c r="J330" t="str">
        <f>Raw_Claims_Data!J329</f>
        <v>Boulder</v>
      </c>
      <c r="K330" t="str">
        <f>Raw_Claims_Data!K329</f>
        <v>CO</v>
      </c>
      <c r="L330">
        <f>Raw_Claims_Data!L329</f>
        <v>1</v>
      </c>
      <c r="M330" t="str">
        <f>IF(Raw_Claims_Data!M329="","N/A",Raw_Claims_Data!M329)</f>
        <v>VNDR00102</v>
      </c>
      <c r="N330" t="str">
        <f>Raw_Claims_Data!N329</f>
        <v>AGENT00720</v>
      </c>
      <c r="O330">
        <f>IF(Raw_Claims_Data!G329="D",1,0)</f>
        <v>0</v>
      </c>
    </row>
    <row r="331" spans="1:15" x14ac:dyDescent="0.35">
      <c r="A331" t="str">
        <f>Raw_Claims_Data!A330</f>
        <v>TXN00000327</v>
      </c>
      <c r="B331" t="str">
        <f>TRIM(Raw_Claims_Data!B330)</f>
        <v>Jeffrey Gutshall</v>
      </c>
      <c r="C331" t="str">
        <f>Raw_Claims_Data!C330</f>
        <v>Travel</v>
      </c>
      <c r="D331">
        <f>Raw_Claims_Data!D330</f>
        <v>69.61</v>
      </c>
      <c r="E331">
        <f>Raw_Claims_Data!E330</f>
        <v>5000</v>
      </c>
      <c r="F331" t="str">
        <f>Raw_Claims_Data!F330</f>
        <v>AR</v>
      </c>
      <c r="G331" t="str">
        <f>Raw_Claims_Data!G330</f>
        <v>A</v>
      </c>
      <c r="H331" t="str">
        <f>Raw_Claims_Data!H330</f>
        <v>Major Loss</v>
      </c>
      <c r="I331" t="str">
        <f>IF(Raw_Claims_Data!I330="","None",Raw_Claims_Data!I330)</f>
        <v>Ambulance</v>
      </c>
      <c r="J331" t="str">
        <f>Raw_Claims_Data!J330</f>
        <v>West Windsor</v>
      </c>
      <c r="K331" t="str">
        <f>Raw_Claims_Data!K330</f>
        <v>VT</v>
      </c>
      <c r="L331">
        <f>Raw_Claims_Data!L330</f>
        <v>1</v>
      </c>
      <c r="M331" t="str">
        <f>IF(Raw_Claims_Data!M330="","N/A",Raw_Claims_Data!M330)</f>
        <v>VNDR00449</v>
      </c>
      <c r="N331" t="str">
        <f>Raw_Claims_Data!N330</f>
        <v>AGENT00463</v>
      </c>
      <c r="O331">
        <f>IF(Raw_Claims_Data!G330="D",1,0)</f>
        <v>0</v>
      </c>
    </row>
    <row r="332" spans="1:15" x14ac:dyDescent="0.35">
      <c r="A332" t="str">
        <f>Raw_Claims_Data!A331</f>
        <v>TXN00000328</v>
      </c>
      <c r="B332" t="str">
        <f>TRIM(Raw_Claims_Data!B331)</f>
        <v>Thomas Cagle</v>
      </c>
      <c r="C332" t="str">
        <f>Raw_Claims_Data!C331</f>
        <v>Life</v>
      </c>
      <c r="D332">
        <f>Raw_Claims_Data!D331</f>
        <v>57.03</v>
      </c>
      <c r="E332">
        <f>Raw_Claims_Data!E331</f>
        <v>78000</v>
      </c>
      <c r="F332" t="str">
        <f>Raw_Claims_Data!F331</f>
        <v>TN</v>
      </c>
      <c r="G332" t="str">
        <f>Raw_Claims_Data!G331</f>
        <v>A</v>
      </c>
      <c r="H332" t="str">
        <f>Raw_Claims_Data!H331</f>
        <v>Major Loss</v>
      </c>
      <c r="I332" t="str">
        <f>IF(Raw_Claims_Data!I331="","None",Raw_Claims_Data!I331)</f>
        <v>Police</v>
      </c>
      <c r="J332" t="str">
        <f>Raw_Claims_Data!J331</f>
        <v>Louisville</v>
      </c>
      <c r="K332" t="str">
        <f>Raw_Claims_Data!K331</f>
        <v>KY</v>
      </c>
      <c r="L332">
        <f>Raw_Claims_Data!L331</f>
        <v>11</v>
      </c>
      <c r="M332" t="str">
        <f>IF(Raw_Claims_Data!M331="","N/A",Raw_Claims_Data!M331)</f>
        <v>VNDR00283</v>
      </c>
      <c r="N332" t="str">
        <f>Raw_Claims_Data!N331</f>
        <v>AGENT00754</v>
      </c>
      <c r="O332">
        <f>IF(Raw_Claims_Data!G331="D",1,0)</f>
        <v>0</v>
      </c>
    </row>
    <row r="333" spans="1:15" x14ac:dyDescent="0.35">
      <c r="A333" t="str">
        <f>Raw_Claims_Data!A332</f>
        <v>TXN00000329</v>
      </c>
      <c r="B333" t="str">
        <f>TRIM(Raw_Claims_Data!B332)</f>
        <v>David Peterson</v>
      </c>
      <c r="C333" t="str">
        <f>Raw_Claims_Data!C332</f>
        <v>Health</v>
      </c>
      <c r="D333">
        <f>Raw_Claims_Data!D332</f>
        <v>168.21</v>
      </c>
      <c r="E333">
        <f>Raw_Claims_Data!E332</f>
        <v>16000</v>
      </c>
      <c r="F333" t="str">
        <f>Raw_Claims_Data!F332</f>
        <v>CA</v>
      </c>
      <c r="G333" t="str">
        <f>Raw_Claims_Data!G332</f>
        <v>A</v>
      </c>
      <c r="H333" t="str">
        <f>Raw_Claims_Data!H332</f>
        <v>Major Loss</v>
      </c>
      <c r="I333" t="str">
        <f>IF(Raw_Claims_Data!I332="","None",Raw_Claims_Data!I332)</f>
        <v>Ambulance</v>
      </c>
      <c r="J333" t="str">
        <f>Raw_Claims_Data!J332</f>
        <v>Selma</v>
      </c>
      <c r="K333" t="str">
        <f>Raw_Claims_Data!K332</f>
        <v>CA</v>
      </c>
      <c r="L333">
        <f>Raw_Claims_Data!L332</f>
        <v>10</v>
      </c>
      <c r="M333" t="str">
        <f>IF(Raw_Claims_Data!M332="","N/A",Raw_Claims_Data!M332)</f>
        <v>N/A</v>
      </c>
      <c r="N333" t="str">
        <f>Raw_Claims_Data!N332</f>
        <v>AGENT00095</v>
      </c>
      <c r="O333">
        <f>IF(Raw_Claims_Data!G332="D",1,0)</f>
        <v>0</v>
      </c>
    </row>
    <row r="334" spans="1:15" x14ac:dyDescent="0.35">
      <c r="A334" t="str">
        <f>Raw_Claims_Data!A333</f>
        <v>TXN00000330</v>
      </c>
      <c r="B334" t="str">
        <f>TRIM(Raw_Claims_Data!B333)</f>
        <v>Cindy Sartin</v>
      </c>
      <c r="C334" t="str">
        <f>Raw_Claims_Data!C333</f>
        <v>Property</v>
      </c>
      <c r="D334">
        <f>Raw_Claims_Data!D333</f>
        <v>93.49</v>
      </c>
      <c r="E334">
        <f>Raw_Claims_Data!E333</f>
        <v>23000</v>
      </c>
      <c r="F334" t="str">
        <f>Raw_Claims_Data!F333</f>
        <v>AR</v>
      </c>
      <c r="G334" t="str">
        <f>Raw_Claims_Data!G333</f>
        <v>A</v>
      </c>
      <c r="H334" t="str">
        <f>Raw_Claims_Data!H333</f>
        <v>Major Loss</v>
      </c>
      <c r="I334" t="str">
        <f>IF(Raw_Claims_Data!I333="","None",Raw_Claims_Data!I333)</f>
        <v>Other</v>
      </c>
      <c r="J334" t="str">
        <f>Raw_Claims_Data!J333</f>
        <v>Louisville</v>
      </c>
      <c r="K334" t="str">
        <f>Raw_Claims_Data!K333</f>
        <v>KY</v>
      </c>
      <c r="L334">
        <f>Raw_Claims_Data!L333</f>
        <v>23</v>
      </c>
      <c r="M334" t="str">
        <f>IF(Raw_Claims_Data!M333="","N/A",Raw_Claims_Data!M333)</f>
        <v>VNDR00483</v>
      </c>
      <c r="N334" t="str">
        <f>Raw_Claims_Data!N333</f>
        <v>AGENT00944</v>
      </c>
      <c r="O334">
        <f>IF(Raw_Claims_Data!G333="D",1,0)</f>
        <v>0</v>
      </c>
    </row>
    <row r="335" spans="1:15" x14ac:dyDescent="0.35">
      <c r="A335" t="str">
        <f>Raw_Claims_Data!A334</f>
        <v>TXN00000331</v>
      </c>
      <c r="B335" t="str">
        <f>TRIM(Raw_Claims_Data!B334)</f>
        <v>Marilyn Henry</v>
      </c>
      <c r="C335" t="str">
        <f>Raw_Claims_Data!C334</f>
        <v>Health</v>
      </c>
      <c r="D335">
        <f>Raw_Claims_Data!D334</f>
        <v>117.76</v>
      </c>
      <c r="E335">
        <f>Raw_Claims_Data!E334</f>
        <v>5000</v>
      </c>
      <c r="F335" t="str">
        <f>Raw_Claims_Data!F334</f>
        <v>VT</v>
      </c>
      <c r="G335" t="str">
        <f>Raw_Claims_Data!G334</f>
        <v>A</v>
      </c>
      <c r="H335" t="str">
        <f>Raw_Claims_Data!H334</f>
        <v>Total Loss</v>
      </c>
      <c r="I335" t="str">
        <f>IF(Raw_Claims_Data!I334="","None",Raw_Claims_Data!I334)</f>
        <v>Ambulance</v>
      </c>
      <c r="J335" t="str">
        <f>Raw_Claims_Data!J334</f>
        <v>Edmond</v>
      </c>
      <c r="K335" t="str">
        <f>Raw_Claims_Data!K334</f>
        <v>OK</v>
      </c>
      <c r="L335">
        <f>Raw_Claims_Data!L334</f>
        <v>16</v>
      </c>
      <c r="M335" t="str">
        <f>IF(Raw_Claims_Data!M334="","N/A",Raw_Claims_Data!M334)</f>
        <v>VNDR00005</v>
      </c>
      <c r="N335" t="str">
        <f>Raw_Claims_Data!N334</f>
        <v>AGENT00196</v>
      </c>
      <c r="O335">
        <f>IF(Raw_Claims_Data!G334="D",1,0)</f>
        <v>0</v>
      </c>
    </row>
    <row r="336" spans="1:15" x14ac:dyDescent="0.35">
      <c r="A336" t="str">
        <f>Raw_Claims_Data!A335</f>
        <v>TXN00000332</v>
      </c>
      <c r="B336" t="str">
        <f>TRIM(Raw_Claims_Data!B335)</f>
        <v>Lena Daly</v>
      </c>
      <c r="C336" t="str">
        <f>Raw_Claims_Data!C335</f>
        <v>Mobile</v>
      </c>
      <c r="D336">
        <f>Raw_Claims_Data!D335</f>
        <v>7.05</v>
      </c>
      <c r="E336">
        <f>Raw_Claims_Data!E335</f>
        <v>300</v>
      </c>
      <c r="F336" t="str">
        <f>Raw_Claims_Data!F335</f>
        <v>DC</v>
      </c>
      <c r="G336" t="str">
        <f>Raw_Claims_Data!G335</f>
        <v>A</v>
      </c>
      <c r="H336" t="str">
        <f>Raw_Claims_Data!H335</f>
        <v>Minor Loss</v>
      </c>
      <c r="I336" t="str">
        <f>IF(Raw_Claims_Data!I335="","None",Raw_Claims_Data!I335)</f>
        <v>Ambulance</v>
      </c>
      <c r="J336" t="str">
        <f>Raw_Claims_Data!J335</f>
        <v>Louisville</v>
      </c>
      <c r="K336" t="str">
        <f>Raw_Claims_Data!K335</f>
        <v>KY</v>
      </c>
      <c r="L336">
        <f>Raw_Claims_Data!L335</f>
        <v>17</v>
      </c>
      <c r="M336" t="str">
        <f>IF(Raw_Claims_Data!M335="","N/A",Raw_Claims_Data!M335)</f>
        <v>VNDR00025</v>
      </c>
      <c r="N336" t="str">
        <f>Raw_Claims_Data!N335</f>
        <v>AGENT01025</v>
      </c>
      <c r="O336">
        <f>IF(Raw_Claims_Data!G335="D",1,0)</f>
        <v>0</v>
      </c>
    </row>
    <row r="337" spans="1:15" x14ac:dyDescent="0.35">
      <c r="A337" t="str">
        <f>Raw_Claims_Data!A336</f>
        <v>TXN00000333</v>
      </c>
      <c r="B337" t="str">
        <f>TRIM(Raw_Claims_Data!B336)</f>
        <v>Susan Scontras</v>
      </c>
      <c r="C337" t="str">
        <f>Raw_Claims_Data!C336</f>
        <v>Property</v>
      </c>
      <c r="D337">
        <f>Raw_Claims_Data!D336</f>
        <v>124.09</v>
      </c>
      <c r="E337">
        <f>Raw_Claims_Data!E336</f>
        <v>25000</v>
      </c>
      <c r="F337" t="str">
        <f>Raw_Claims_Data!F336</f>
        <v>GA</v>
      </c>
      <c r="G337" t="str">
        <f>Raw_Claims_Data!G336</f>
        <v>A</v>
      </c>
      <c r="H337" t="str">
        <f>Raw_Claims_Data!H336</f>
        <v>Minor Loss</v>
      </c>
      <c r="I337" t="str">
        <f>IF(Raw_Claims_Data!I336="","None",Raw_Claims_Data!I336)</f>
        <v>Ambulance</v>
      </c>
      <c r="J337" t="str">
        <f>Raw_Claims_Data!J336</f>
        <v>Glendale</v>
      </c>
      <c r="K337" t="str">
        <f>Raw_Claims_Data!K336</f>
        <v>AZ</v>
      </c>
      <c r="L337">
        <f>Raw_Claims_Data!L336</f>
        <v>6</v>
      </c>
      <c r="M337" t="str">
        <f>IF(Raw_Claims_Data!M336="","N/A",Raw_Claims_Data!M336)</f>
        <v>VNDR00540</v>
      </c>
      <c r="N337" t="str">
        <f>Raw_Claims_Data!N336</f>
        <v>AGENT01138</v>
      </c>
      <c r="O337">
        <f>IF(Raw_Claims_Data!G336="D",1,0)</f>
        <v>0</v>
      </c>
    </row>
    <row r="338" spans="1:15" x14ac:dyDescent="0.35">
      <c r="A338" t="str">
        <f>Raw_Claims_Data!A337</f>
        <v>TXN00000334</v>
      </c>
      <c r="B338" t="str">
        <f>TRIM(Raw_Claims_Data!B337)</f>
        <v>Larry Labarge</v>
      </c>
      <c r="C338" t="str">
        <f>Raw_Claims_Data!C337</f>
        <v>Property</v>
      </c>
      <c r="D338">
        <f>Raw_Claims_Data!D337</f>
        <v>158.57</v>
      </c>
      <c r="E338">
        <f>Raw_Claims_Data!E337</f>
        <v>11000</v>
      </c>
      <c r="F338" t="str">
        <f>Raw_Claims_Data!F337</f>
        <v>GA</v>
      </c>
      <c r="G338" t="str">
        <f>Raw_Claims_Data!G337</f>
        <v>A</v>
      </c>
      <c r="H338" t="str">
        <f>Raw_Claims_Data!H337</f>
        <v>Minor Loss</v>
      </c>
      <c r="I338" t="str">
        <f>IF(Raw_Claims_Data!I337="","None",Raw_Claims_Data!I337)</f>
        <v>Ambulance</v>
      </c>
      <c r="J338" t="str">
        <f>Raw_Claims_Data!J337</f>
        <v>Oklahoma City</v>
      </c>
      <c r="K338" t="str">
        <f>Raw_Claims_Data!K337</f>
        <v>OK</v>
      </c>
      <c r="L338">
        <f>Raw_Claims_Data!L337</f>
        <v>23</v>
      </c>
      <c r="M338" t="str">
        <f>IF(Raw_Claims_Data!M337="","N/A",Raw_Claims_Data!M337)</f>
        <v>VNDR00579</v>
      </c>
      <c r="N338" t="str">
        <f>Raw_Claims_Data!N337</f>
        <v>AGENT00841</v>
      </c>
      <c r="O338">
        <f>IF(Raw_Claims_Data!G337="D",1,0)</f>
        <v>0</v>
      </c>
    </row>
    <row r="339" spans="1:15" x14ac:dyDescent="0.35">
      <c r="A339" t="str">
        <f>Raw_Claims_Data!A338</f>
        <v>TXN00000335</v>
      </c>
      <c r="B339" t="str">
        <f>TRIM(Raw_Claims_Data!B338)</f>
        <v>Donna Cain</v>
      </c>
      <c r="C339" t="str">
        <f>Raw_Claims_Data!C338</f>
        <v>Property</v>
      </c>
      <c r="D339">
        <f>Raw_Claims_Data!D338</f>
        <v>142.09</v>
      </c>
      <c r="E339">
        <f>Raw_Claims_Data!E338</f>
        <v>28000</v>
      </c>
      <c r="F339" t="str">
        <f>Raw_Claims_Data!F338</f>
        <v>GA</v>
      </c>
      <c r="G339" t="str">
        <f>Raw_Claims_Data!G338</f>
        <v>A</v>
      </c>
      <c r="H339" t="str">
        <f>Raw_Claims_Data!H338</f>
        <v>Total Loss</v>
      </c>
      <c r="I339" t="str">
        <f>IF(Raw_Claims_Data!I338="","None",Raw_Claims_Data!I338)</f>
        <v>Police</v>
      </c>
      <c r="J339" t="str">
        <f>Raw_Claims_Data!J338</f>
        <v>Panama City</v>
      </c>
      <c r="K339" t="str">
        <f>Raw_Claims_Data!K338</f>
        <v>FL</v>
      </c>
      <c r="L339">
        <f>Raw_Claims_Data!L338</f>
        <v>23</v>
      </c>
      <c r="M339" t="str">
        <f>IF(Raw_Claims_Data!M338="","N/A",Raw_Claims_Data!M338)</f>
        <v>VNDR00565</v>
      </c>
      <c r="N339" t="str">
        <f>Raw_Claims_Data!N338</f>
        <v>AGENT00406</v>
      </c>
      <c r="O339">
        <f>IF(Raw_Claims_Data!G338="D",1,0)</f>
        <v>0</v>
      </c>
    </row>
    <row r="340" spans="1:15" x14ac:dyDescent="0.35">
      <c r="A340" t="str">
        <f>Raw_Claims_Data!A339</f>
        <v>TXN00000336</v>
      </c>
      <c r="B340" t="str">
        <f>TRIM(Raw_Claims_Data!B339)</f>
        <v>Willie Murphy</v>
      </c>
      <c r="C340" t="str">
        <f>Raw_Claims_Data!C339</f>
        <v>Motor</v>
      </c>
      <c r="D340">
        <f>Raw_Claims_Data!D339</f>
        <v>81.75</v>
      </c>
      <c r="E340">
        <f>Raw_Claims_Data!E339</f>
        <v>1000</v>
      </c>
      <c r="F340" t="str">
        <f>Raw_Claims_Data!F339</f>
        <v>OK</v>
      </c>
      <c r="G340" t="str">
        <f>Raw_Claims_Data!G339</f>
        <v>A</v>
      </c>
      <c r="H340" t="str">
        <f>Raw_Claims_Data!H339</f>
        <v>Major Loss</v>
      </c>
      <c r="I340" t="str">
        <f>IF(Raw_Claims_Data!I339="","None",Raw_Claims_Data!I339)</f>
        <v>Police</v>
      </c>
      <c r="J340" t="str">
        <f>Raw_Claims_Data!J339</f>
        <v>Washington</v>
      </c>
      <c r="K340" t="str">
        <f>Raw_Claims_Data!K339</f>
        <v>DC</v>
      </c>
      <c r="L340">
        <f>Raw_Claims_Data!L339</f>
        <v>23</v>
      </c>
      <c r="M340" t="str">
        <f>IF(Raw_Claims_Data!M339="","N/A",Raw_Claims_Data!M339)</f>
        <v>VNDR00319</v>
      </c>
      <c r="N340" t="str">
        <f>Raw_Claims_Data!N339</f>
        <v>AGENT01009</v>
      </c>
      <c r="O340">
        <f>IF(Raw_Claims_Data!G339="D",1,0)</f>
        <v>0</v>
      </c>
    </row>
    <row r="341" spans="1:15" x14ac:dyDescent="0.35">
      <c r="A341" t="str">
        <f>Raw_Claims_Data!A340</f>
        <v>TXN00000337</v>
      </c>
      <c r="B341" t="str">
        <f>TRIM(Raw_Claims_Data!B340)</f>
        <v>Richard Makhija</v>
      </c>
      <c r="C341" t="str">
        <f>Raw_Claims_Data!C340</f>
        <v>Property</v>
      </c>
      <c r="D341">
        <f>Raw_Claims_Data!D340</f>
        <v>95.6</v>
      </c>
      <c r="E341">
        <f>Raw_Claims_Data!E340</f>
        <v>26000</v>
      </c>
      <c r="F341" t="str">
        <f>Raw_Claims_Data!F340</f>
        <v>AK</v>
      </c>
      <c r="G341" t="str">
        <f>Raw_Claims_Data!G340</f>
        <v>A</v>
      </c>
      <c r="H341" t="str">
        <f>Raw_Claims_Data!H340</f>
        <v>Minor Loss</v>
      </c>
      <c r="I341" t="str">
        <f>IF(Raw_Claims_Data!I340="","None",Raw_Claims_Data!I340)</f>
        <v>Police</v>
      </c>
      <c r="J341" t="str">
        <f>Raw_Claims_Data!J340</f>
        <v>Montgomery</v>
      </c>
      <c r="K341" t="str">
        <f>Raw_Claims_Data!K340</f>
        <v>AL</v>
      </c>
      <c r="L341">
        <f>Raw_Claims_Data!L340</f>
        <v>20</v>
      </c>
      <c r="M341" t="str">
        <f>IF(Raw_Claims_Data!M340="","N/A",Raw_Claims_Data!M340)</f>
        <v>VNDR00339</v>
      </c>
      <c r="N341" t="str">
        <f>Raw_Claims_Data!N340</f>
        <v>AGENT01113</v>
      </c>
      <c r="O341">
        <f>IF(Raw_Claims_Data!G340="D",1,0)</f>
        <v>0</v>
      </c>
    </row>
    <row r="342" spans="1:15" x14ac:dyDescent="0.35">
      <c r="A342" t="str">
        <f>Raw_Claims_Data!A341</f>
        <v>TXN00000338</v>
      </c>
      <c r="B342" t="str">
        <f>TRIM(Raw_Claims_Data!B341)</f>
        <v>Timothy Cuff</v>
      </c>
      <c r="C342" t="str">
        <f>Raw_Claims_Data!C341</f>
        <v>Travel</v>
      </c>
      <c r="D342">
        <f>Raw_Claims_Data!D341</f>
        <v>56.41</v>
      </c>
      <c r="E342">
        <f>Raw_Claims_Data!E341</f>
        <v>1000</v>
      </c>
      <c r="F342" t="str">
        <f>Raw_Claims_Data!F341</f>
        <v>CO</v>
      </c>
      <c r="G342" t="str">
        <f>Raw_Claims_Data!G341</f>
        <v>A</v>
      </c>
      <c r="H342" t="str">
        <f>Raw_Claims_Data!H341</f>
        <v>Total Loss</v>
      </c>
      <c r="I342" t="str">
        <f>IF(Raw_Claims_Data!I341="","None",Raw_Claims_Data!I341)</f>
        <v>Ambulance</v>
      </c>
      <c r="J342" t="str">
        <f>Raw_Claims_Data!J341</f>
        <v>Readsboro</v>
      </c>
      <c r="K342" t="str">
        <f>Raw_Claims_Data!K341</f>
        <v>VT</v>
      </c>
      <c r="L342">
        <f>Raw_Claims_Data!L341</f>
        <v>6</v>
      </c>
      <c r="M342" t="str">
        <f>IF(Raw_Claims_Data!M341="","N/A",Raw_Claims_Data!M341)</f>
        <v>N/A</v>
      </c>
      <c r="N342" t="str">
        <f>Raw_Claims_Data!N341</f>
        <v>AGENT00247</v>
      </c>
      <c r="O342">
        <f>IF(Raw_Claims_Data!G341="D",1,0)</f>
        <v>0</v>
      </c>
    </row>
    <row r="343" spans="1:15" x14ac:dyDescent="0.35">
      <c r="A343" t="str">
        <f>Raw_Claims_Data!A342</f>
        <v>TXN00000339</v>
      </c>
      <c r="B343" t="str">
        <f>TRIM(Raw_Claims_Data!B342)</f>
        <v>Kevin Ratliff</v>
      </c>
      <c r="C343" t="str">
        <f>Raw_Claims_Data!C342</f>
        <v>Travel</v>
      </c>
      <c r="D343">
        <f>Raw_Claims_Data!D342</f>
        <v>66</v>
      </c>
      <c r="E343">
        <f>Raw_Claims_Data!E342</f>
        <v>5000</v>
      </c>
      <c r="F343" t="str">
        <f>Raw_Claims_Data!F342</f>
        <v>MA</v>
      </c>
      <c r="G343" t="str">
        <f>Raw_Claims_Data!G342</f>
        <v>A</v>
      </c>
      <c r="H343" t="str">
        <f>Raw_Claims_Data!H342</f>
        <v>Minor Loss</v>
      </c>
      <c r="I343" t="str">
        <f>IF(Raw_Claims_Data!I342="","None",Raw_Claims_Data!I342)</f>
        <v>Other</v>
      </c>
      <c r="J343" t="str">
        <f>Raw_Claims_Data!J342</f>
        <v>Anchorage</v>
      </c>
      <c r="K343" t="str">
        <f>Raw_Claims_Data!K342</f>
        <v>AK</v>
      </c>
      <c r="L343">
        <f>Raw_Claims_Data!L342</f>
        <v>16</v>
      </c>
      <c r="M343" t="str">
        <f>IF(Raw_Claims_Data!M342="","N/A",Raw_Claims_Data!M342)</f>
        <v>VNDR00545</v>
      </c>
      <c r="N343" t="str">
        <f>Raw_Claims_Data!N342</f>
        <v>AGENT00774</v>
      </c>
      <c r="O343">
        <f>IF(Raw_Claims_Data!G342="D",1,0)</f>
        <v>0</v>
      </c>
    </row>
    <row r="344" spans="1:15" x14ac:dyDescent="0.35">
      <c r="A344" t="str">
        <f>Raw_Claims_Data!A343</f>
        <v>TXN00000340</v>
      </c>
      <c r="B344" t="str">
        <f>TRIM(Raw_Claims_Data!B343)</f>
        <v>Bettie Cook</v>
      </c>
      <c r="C344" t="str">
        <f>Raw_Claims_Data!C343</f>
        <v>Health</v>
      </c>
      <c r="D344">
        <f>Raw_Claims_Data!D343</f>
        <v>169.13</v>
      </c>
      <c r="E344">
        <f>Raw_Claims_Data!E343</f>
        <v>6000</v>
      </c>
      <c r="F344" t="str">
        <f>Raw_Claims_Data!F343</f>
        <v>AR</v>
      </c>
      <c r="G344" t="str">
        <f>Raw_Claims_Data!G343</f>
        <v>A</v>
      </c>
      <c r="H344" t="str">
        <f>Raw_Claims_Data!H343</f>
        <v>Total Loss</v>
      </c>
      <c r="I344" t="str">
        <f>IF(Raw_Claims_Data!I343="","None",Raw_Claims_Data!I343)</f>
        <v>Ambulance</v>
      </c>
      <c r="J344" t="str">
        <f>Raw_Claims_Data!J343</f>
        <v>Manchester</v>
      </c>
      <c r="K344" t="str">
        <f>Raw_Claims_Data!K343</f>
        <v>CT</v>
      </c>
      <c r="L344">
        <f>Raw_Claims_Data!L343</f>
        <v>14</v>
      </c>
      <c r="M344" t="str">
        <f>IF(Raw_Claims_Data!M343="","N/A",Raw_Claims_Data!M343)</f>
        <v>VNDR00106</v>
      </c>
      <c r="N344" t="str">
        <f>Raw_Claims_Data!N343</f>
        <v>AGENT01039</v>
      </c>
      <c r="O344">
        <f>IF(Raw_Claims_Data!G343="D",1,0)</f>
        <v>0</v>
      </c>
    </row>
    <row r="345" spans="1:15" x14ac:dyDescent="0.35">
      <c r="A345" t="str">
        <f>Raw_Claims_Data!A344</f>
        <v>TXN00000341</v>
      </c>
      <c r="B345" t="str">
        <f>TRIM(Raw_Claims_Data!B344)</f>
        <v>Teresa Montondo</v>
      </c>
      <c r="C345" t="str">
        <f>Raw_Claims_Data!C344</f>
        <v>Life</v>
      </c>
      <c r="D345">
        <f>Raw_Claims_Data!D344</f>
        <v>98.75</v>
      </c>
      <c r="E345">
        <f>Raw_Claims_Data!E344</f>
        <v>19000</v>
      </c>
      <c r="F345" t="str">
        <f>Raw_Claims_Data!F344</f>
        <v>AZ</v>
      </c>
      <c r="G345" t="str">
        <f>Raw_Claims_Data!G344</f>
        <v>A</v>
      </c>
      <c r="H345" t="str">
        <f>Raw_Claims_Data!H344</f>
        <v>Major Loss</v>
      </c>
      <c r="I345" t="str">
        <f>IF(Raw_Claims_Data!I344="","None",Raw_Claims_Data!I344)</f>
        <v>None</v>
      </c>
      <c r="J345" t="str">
        <f>Raw_Claims_Data!J344</f>
        <v>Glendale</v>
      </c>
      <c r="K345" t="str">
        <f>Raw_Claims_Data!K344</f>
        <v>AZ</v>
      </c>
      <c r="L345">
        <f>Raw_Claims_Data!L344</f>
        <v>19</v>
      </c>
      <c r="M345" t="str">
        <f>IF(Raw_Claims_Data!M344="","N/A",Raw_Claims_Data!M344)</f>
        <v>VNDR00321</v>
      </c>
      <c r="N345" t="str">
        <f>Raw_Claims_Data!N344</f>
        <v>AGENT01056</v>
      </c>
      <c r="O345">
        <f>IF(Raw_Claims_Data!G344="D",1,0)</f>
        <v>0</v>
      </c>
    </row>
    <row r="346" spans="1:15" x14ac:dyDescent="0.35">
      <c r="A346" t="str">
        <f>Raw_Claims_Data!A345</f>
        <v>TXN00000342</v>
      </c>
      <c r="B346" t="str">
        <f>TRIM(Raw_Claims_Data!B345)</f>
        <v>David Bailey</v>
      </c>
      <c r="C346" t="str">
        <f>Raw_Claims_Data!C345</f>
        <v>Motor</v>
      </c>
      <c r="D346">
        <f>Raw_Claims_Data!D345</f>
        <v>90.83</v>
      </c>
      <c r="E346">
        <f>Raw_Claims_Data!E345</f>
        <v>4000</v>
      </c>
      <c r="F346" t="str">
        <f>Raw_Claims_Data!F345</f>
        <v>AL</v>
      </c>
      <c r="G346" t="str">
        <f>Raw_Claims_Data!G345</f>
        <v>A</v>
      </c>
      <c r="H346" t="str">
        <f>Raw_Claims_Data!H345</f>
        <v>Major Loss</v>
      </c>
      <c r="I346" t="str">
        <f>IF(Raw_Claims_Data!I345="","None",Raw_Claims_Data!I345)</f>
        <v>Police</v>
      </c>
      <c r="J346" t="str">
        <f>Raw_Claims_Data!J345</f>
        <v>Savannah</v>
      </c>
      <c r="K346" t="str">
        <f>Raw_Claims_Data!K345</f>
        <v>GA</v>
      </c>
      <c r="L346">
        <f>Raw_Claims_Data!L345</f>
        <v>14</v>
      </c>
      <c r="M346" t="str">
        <f>IF(Raw_Claims_Data!M345="","N/A",Raw_Claims_Data!M345)</f>
        <v>VNDR00153</v>
      </c>
      <c r="N346" t="str">
        <f>Raw_Claims_Data!N345</f>
        <v>AGENT00295</v>
      </c>
      <c r="O346">
        <f>IF(Raw_Claims_Data!G345="D",1,0)</f>
        <v>0</v>
      </c>
    </row>
    <row r="347" spans="1:15" x14ac:dyDescent="0.35">
      <c r="A347" t="str">
        <f>Raw_Claims_Data!A346</f>
        <v>TXN00000343</v>
      </c>
      <c r="B347" t="str">
        <f>TRIM(Raw_Claims_Data!B346)</f>
        <v>Irene Nixon</v>
      </c>
      <c r="C347" t="str">
        <f>Raw_Claims_Data!C346</f>
        <v>Health</v>
      </c>
      <c r="D347">
        <f>Raw_Claims_Data!D346</f>
        <v>181.09</v>
      </c>
      <c r="E347">
        <f>Raw_Claims_Data!E346</f>
        <v>15000</v>
      </c>
      <c r="F347" t="str">
        <f>Raw_Claims_Data!F346</f>
        <v>DC</v>
      </c>
      <c r="G347" t="str">
        <f>Raw_Claims_Data!G346</f>
        <v>A</v>
      </c>
      <c r="H347" t="str">
        <f>Raw_Claims_Data!H346</f>
        <v>Minor Loss</v>
      </c>
      <c r="I347" t="str">
        <f>IF(Raw_Claims_Data!I346="","None",Raw_Claims_Data!I346)</f>
        <v>Police</v>
      </c>
      <c r="J347" t="str">
        <f>Raw_Claims_Data!J346</f>
        <v>Louisville</v>
      </c>
      <c r="K347" t="str">
        <f>Raw_Claims_Data!K346</f>
        <v>KY</v>
      </c>
      <c r="L347">
        <f>Raw_Claims_Data!L346</f>
        <v>4</v>
      </c>
      <c r="M347" t="str">
        <f>IF(Raw_Claims_Data!M346="","N/A",Raw_Claims_Data!M346)</f>
        <v>N/A</v>
      </c>
      <c r="N347" t="str">
        <f>Raw_Claims_Data!N346</f>
        <v>AGENT00763</v>
      </c>
      <c r="O347">
        <f>IF(Raw_Claims_Data!G346="D",1,0)</f>
        <v>0</v>
      </c>
    </row>
    <row r="348" spans="1:15" x14ac:dyDescent="0.35">
      <c r="A348" t="str">
        <f>Raw_Claims_Data!A347</f>
        <v>TXN00000344</v>
      </c>
      <c r="B348" t="str">
        <f>TRIM(Raw_Claims_Data!B347)</f>
        <v>Lisa Prieto</v>
      </c>
      <c r="C348" t="str">
        <f>Raw_Claims_Data!C347</f>
        <v>Motor</v>
      </c>
      <c r="D348">
        <f>Raw_Claims_Data!D347</f>
        <v>137.71</v>
      </c>
      <c r="E348">
        <f>Raw_Claims_Data!E347</f>
        <v>8000</v>
      </c>
      <c r="F348" t="str">
        <f>Raw_Claims_Data!F347</f>
        <v>FL</v>
      </c>
      <c r="G348" t="str">
        <f>Raw_Claims_Data!G347</f>
        <v>A</v>
      </c>
      <c r="H348" t="str">
        <f>Raw_Claims_Data!H347</f>
        <v>Major Loss</v>
      </c>
      <c r="I348" t="str">
        <f>IF(Raw_Claims_Data!I347="","None",Raw_Claims_Data!I347)</f>
        <v>None</v>
      </c>
      <c r="J348" t="str">
        <f>Raw_Claims_Data!J347</f>
        <v>Washington</v>
      </c>
      <c r="K348" t="str">
        <f>Raw_Claims_Data!K347</f>
        <v>DC</v>
      </c>
      <c r="L348">
        <f>Raw_Claims_Data!L347</f>
        <v>11</v>
      </c>
      <c r="M348" t="str">
        <f>IF(Raw_Claims_Data!M347="","N/A",Raw_Claims_Data!M347)</f>
        <v>N/A</v>
      </c>
      <c r="N348" t="str">
        <f>Raw_Claims_Data!N347</f>
        <v>AGENT00237</v>
      </c>
      <c r="O348">
        <f>IF(Raw_Claims_Data!G347="D",1,0)</f>
        <v>0</v>
      </c>
    </row>
    <row r="349" spans="1:15" x14ac:dyDescent="0.35">
      <c r="A349" t="str">
        <f>Raw_Claims_Data!A348</f>
        <v>TXN00000345</v>
      </c>
      <c r="B349" t="str">
        <f>TRIM(Raw_Claims_Data!B348)</f>
        <v>Norbert Crawford</v>
      </c>
      <c r="C349" t="str">
        <f>Raw_Claims_Data!C348</f>
        <v>Motor</v>
      </c>
      <c r="D349">
        <f>Raw_Claims_Data!D348</f>
        <v>87.64</v>
      </c>
      <c r="E349">
        <f>Raw_Claims_Data!E348</f>
        <v>10000</v>
      </c>
      <c r="F349" t="str">
        <f>Raw_Claims_Data!F348</f>
        <v>KY</v>
      </c>
      <c r="G349" t="str">
        <f>Raw_Claims_Data!G348</f>
        <v>A</v>
      </c>
      <c r="H349" t="str">
        <f>Raw_Claims_Data!H348</f>
        <v>Total Loss</v>
      </c>
      <c r="I349" t="str">
        <f>IF(Raw_Claims_Data!I348="","None",Raw_Claims_Data!I348)</f>
        <v>Ambulance</v>
      </c>
      <c r="J349" t="str">
        <f>Raw_Claims_Data!J348</f>
        <v>Savannah</v>
      </c>
      <c r="K349" t="str">
        <f>Raw_Claims_Data!K348</f>
        <v>GA</v>
      </c>
      <c r="L349">
        <f>Raw_Claims_Data!L348</f>
        <v>12</v>
      </c>
      <c r="M349" t="str">
        <f>IF(Raw_Claims_Data!M348="","N/A",Raw_Claims_Data!M348)</f>
        <v>VNDR00365</v>
      </c>
      <c r="N349" t="str">
        <f>Raw_Claims_Data!N348</f>
        <v>AGENT01195</v>
      </c>
      <c r="O349">
        <f>IF(Raw_Claims_Data!G348="D",1,0)</f>
        <v>0</v>
      </c>
    </row>
    <row r="350" spans="1:15" x14ac:dyDescent="0.35">
      <c r="A350" t="str">
        <f>Raw_Claims_Data!A349</f>
        <v>TXN00000346</v>
      </c>
      <c r="B350" t="str">
        <f>TRIM(Raw_Claims_Data!B349)</f>
        <v>Timothy Carter</v>
      </c>
      <c r="C350" t="str">
        <f>Raw_Claims_Data!C349</f>
        <v>Health</v>
      </c>
      <c r="D350">
        <f>Raw_Claims_Data!D349</f>
        <v>120.46</v>
      </c>
      <c r="E350">
        <f>Raw_Claims_Data!E349</f>
        <v>11000</v>
      </c>
      <c r="F350" t="str">
        <f>Raw_Claims_Data!F349</f>
        <v>CT</v>
      </c>
      <c r="G350" t="str">
        <f>Raw_Claims_Data!G349</f>
        <v>A</v>
      </c>
      <c r="H350" t="str">
        <f>Raw_Claims_Data!H349</f>
        <v>Total Loss</v>
      </c>
      <c r="I350" t="str">
        <f>IF(Raw_Claims_Data!I349="","None",Raw_Claims_Data!I349)</f>
        <v>Other</v>
      </c>
      <c r="J350" t="str">
        <f>Raw_Claims_Data!J349</f>
        <v>Pooler</v>
      </c>
      <c r="K350" t="str">
        <f>Raw_Claims_Data!K349</f>
        <v>GA</v>
      </c>
      <c r="L350">
        <f>Raw_Claims_Data!L349</f>
        <v>15</v>
      </c>
      <c r="M350" t="str">
        <f>IF(Raw_Claims_Data!M349="","N/A",Raw_Claims_Data!M349)</f>
        <v>N/A</v>
      </c>
      <c r="N350" t="str">
        <f>Raw_Claims_Data!N349</f>
        <v>AGENT01176</v>
      </c>
      <c r="O350">
        <f>IF(Raw_Claims_Data!G349="D",1,0)</f>
        <v>0</v>
      </c>
    </row>
    <row r="351" spans="1:15" x14ac:dyDescent="0.35">
      <c r="A351" t="str">
        <f>Raw_Claims_Data!A350</f>
        <v>TXN00000347</v>
      </c>
      <c r="B351" t="str">
        <f>TRIM(Raw_Claims_Data!B350)</f>
        <v>David Lewis</v>
      </c>
      <c r="C351" t="str">
        <f>Raw_Claims_Data!C350</f>
        <v>Mobile</v>
      </c>
      <c r="D351">
        <f>Raw_Claims_Data!D350</f>
        <v>10.9</v>
      </c>
      <c r="E351">
        <f>Raw_Claims_Data!E350</f>
        <v>700</v>
      </c>
      <c r="F351" t="str">
        <f>Raw_Claims_Data!F350</f>
        <v>CT</v>
      </c>
      <c r="G351" t="str">
        <f>Raw_Claims_Data!G350</f>
        <v>A</v>
      </c>
      <c r="H351" t="str">
        <f>Raw_Claims_Data!H350</f>
        <v>Major Loss</v>
      </c>
      <c r="I351" t="str">
        <f>IF(Raw_Claims_Data!I350="","None",Raw_Claims_Data!I350)</f>
        <v>Ambulance</v>
      </c>
      <c r="J351" t="str">
        <f>Raw_Claims_Data!J350</f>
        <v>Fayetteville</v>
      </c>
      <c r="K351" t="str">
        <f>Raw_Claims_Data!K350</f>
        <v>AR</v>
      </c>
      <c r="L351">
        <f>Raw_Claims_Data!L350</f>
        <v>17</v>
      </c>
      <c r="M351" t="str">
        <f>IF(Raw_Claims_Data!M350="","N/A",Raw_Claims_Data!M350)</f>
        <v>VNDR00406</v>
      </c>
      <c r="N351" t="str">
        <f>Raw_Claims_Data!N350</f>
        <v>AGENT00786</v>
      </c>
      <c r="O351">
        <f>IF(Raw_Claims_Data!G350="D",1,0)</f>
        <v>0</v>
      </c>
    </row>
    <row r="352" spans="1:15" x14ac:dyDescent="0.35">
      <c r="A352" t="str">
        <f>Raw_Claims_Data!A351</f>
        <v>TXN00000348</v>
      </c>
      <c r="B352" t="str">
        <f>TRIM(Raw_Claims_Data!B351)</f>
        <v>Doris Mercado</v>
      </c>
      <c r="C352" t="str">
        <f>Raw_Claims_Data!C351</f>
        <v>Motor</v>
      </c>
      <c r="D352">
        <f>Raw_Claims_Data!D351</f>
        <v>108.84</v>
      </c>
      <c r="E352">
        <f>Raw_Claims_Data!E351</f>
        <v>4000</v>
      </c>
      <c r="F352" t="str">
        <f>Raw_Claims_Data!F351</f>
        <v>CO</v>
      </c>
      <c r="G352" t="str">
        <f>Raw_Claims_Data!G351</f>
        <v>A</v>
      </c>
      <c r="H352" t="str">
        <f>Raw_Claims_Data!H351</f>
        <v>Minor Loss</v>
      </c>
      <c r="I352" t="str">
        <f>IF(Raw_Claims_Data!I351="","None",Raw_Claims_Data!I351)</f>
        <v>None</v>
      </c>
      <c r="J352" t="str">
        <f>Raw_Claims_Data!J351</f>
        <v>Montgomery</v>
      </c>
      <c r="K352" t="str">
        <f>Raw_Claims_Data!K351</f>
        <v>AL</v>
      </c>
      <c r="L352">
        <f>Raw_Claims_Data!L351</f>
        <v>6</v>
      </c>
      <c r="M352" t="str">
        <f>IF(Raw_Claims_Data!M351="","N/A",Raw_Claims_Data!M351)</f>
        <v>N/A</v>
      </c>
      <c r="N352" t="str">
        <f>Raw_Claims_Data!N351</f>
        <v>AGENT00583</v>
      </c>
      <c r="O352">
        <f>IF(Raw_Claims_Data!G351="D",1,0)</f>
        <v>0</v>
      </c>
    </row>
    <row r="353" spans="1:15" x14ac:dyDescent="0.35">
      <c r="A353" t="str">
        <f>Raw_Claims_Data!A352</f>
        <v>TXN00000349</v>
      </c>
      <c r="B353" t="str">
        <f>TRIM(Raw_Claims_Data!B352)</f>
        <v>Herman Decoteau</v>
      </c>
      <c r="C353" t="str">
        <f>Raw_Claims_Data!C352</f>
        <v>Health</v>
      </c>
      <c r="D353">
        <f>Raw_Claims_Data!D352</f>
        <v>126.27</v>
      </c>
      <c r="E353">
        <f>Raw_Claims_Data!E352</f>
        <v>16000</v>
      </c>
      <c r="F353" t="str">
        <f>Raw_Claims_Data!F352</f>
        <v>GA</v>
      </c>
      <c r="G353" t="str">
        <f>Raw_Claims_Data!G352</f>
        <v>A</v>
      </c>
      <c r="H353" t="str">
        <f>Raw_Claims_Data!H352</f>
        <v>Minor Loss</v>
      </c>
      <c r="I353" t="str">
        <f>IF(Raw_Claims_Data!I352="","None",Raw_Claims_Data!I352)</f>
        <v>Ambulance</v>
      </c>
      <c r="J353" t="str">
        <f>Raw_Claims_Data!J352</f>
        <v>Fayetteville</v>
      </c>
      <c r="K353" t="str">
        <f>Raw_Claims_Data!K352</f>
        <v>AR</v>
      </c>
      <c r="L353">
        <f>Raw_Claims_Data!L352</f>
        <v>6</v>
      </c>
      <c r="M353" t="str">
        <f>IF(Raw_Claims_Data!M352="","N/A",Raw_Claims_Data!M352)</f>
        <v>VNDR00484</v>
      </c>
      <c r="N353" t="str">
        <f>Raw_Claims_Data!N352</f>
        <v>AGENT00543</v>
      </c>
      <c r="O353">
        <f>IF(Raw_Claims_Data!G352="D",1,0)</f>
        <v>0</v>
      </c>
    </row>
    <row r="354" spans="1:15" x14ac:dyDescent="0.35">
      <c r="A354" t="str">
        <f>Raw_Claims_Data!A353</f>
        <v>TXN00000350</v>
      </c>
      <c r="B354" t="str">
        <f>TRIM(Raw_Claims_Data!B353)</f>
        <v>Constance Platter</v>
      </c>
      <c r="C354" t="str">
        <f>Raw_Claims_Data!C353</f>
        <v>Travel</v>
      </c>
      <c r="D354">
        <f>Raw_Claims_Data!D353</f>
        <v>76.45</v>
      </c>
      <c r="E354">
        <f>Raw_Claims_Data!E353</f>
        <v>1000</v>
      </c>
      <c r="F354" t="str">
        <f>Raw_Claims_Data!F353</f>
        <v>CT</v>
      </c>
      <c r="G354" t="str">
        <f>Raw_Claims_Data!G353</f>
        <v>A</v>
      </c>
      <c r="H354" t="str">
        <f>Raw_Claims_Data!H353</f>
        <v>Major Loss</v>
      </c>
      <c r="I354" t="str">
        <f>IF(Raw_Claims_Data!I353="","None",Raw_Claims_Data!I353)</f>
        <v>Ambulance</v>
      </c>
      <c r="J354" t="str">
        <f>Raw_Claims_Data!J353</f>
        <v>Manchester</v>
      </c>
      <c r="K354" t="str">
        <f>Raw_Claims_Data!K353</f>
        <v>CT</v>
      </c>
      <c r="L354">
        <f>Raw_Claims_Data!L353</f>
        <v>2</v>
      </c>
      <c r="M354" t="str">
        <f>IF(Raw_Claims_Data!M353="","N/A",Raw_Claims_Data!M353)</f>
        <v>VNDR00433</v>
      </c>
      <c r="N354" t="str">
        <f>Raw_Claims_Data!N353</f>
        <v>AGENT00975</v>
      </c>
      <c r="O354">
        <f>IF(Raw_Claims_Data!G353="D",1,0)</f>
        <v>0</v>
      </c>
    </row>
    <row r="355" spans="1:15" x14ac:dyDescent="0.35">
      <c r="A355" t="str">
        <f>Raw_Claims_Data!A354</f>
        <v>TXN00000351</v>
      </c>
      <c r="B355" t="str">
        <f>TRIM(Raw_Claims_Data!B354)</f>
        <v>Melissa Gonzalez</v>
      </c>
      <c r="C355" t="str">
        <f>Raw_Claims_Data!C354</f>
        <v>Mobile</v>
      </c>
      <c r="D355">
        <f>Raw_Claims_Data!D354</f>
        <v>9.5</v>
      </c>
      <c r="E355">
        <f>Raw_Claims_Data!E354</f>
        <v>300</v>
      </c>
      <c r="F355" t="str">
        <f>Raw_Claims_Data!F354</f>
        <v>TN</v>
      </c>
      <c r="G355" t="str">
        <f>Raw_Claims_Data!G354</f>
        <v>A</v>
      </c>
      <c r="H355" t="str">
        <f>Raw_Claims_Data!H354</f>
        <v>Major Loss</v>
      </c>
      <c r="I355" t="str">
        <f>IF(Raw_Claims_Data!I354="","None",Raw_Claims_Data!I354)</f>
        <v>Police</v>
      </c>
      <c r="J355" t="str">
        <f>Raw_Claims_Data!J354</f>
        <v>Manchester</v>
      </c>
      <c r="K355" t="str">
        <f>Raw_Claims_Data!K354</f>
        <v>CT</v>
      </c>
      <c r="L355">
        <f>Raw_Claims_Data!L354</f>
        <v>4</v>
      </c>
      <c r="M355" t="str">
        <f>IF(Raw_Claims_Data!M354="","N/A",Raw_Claims_Data!M354)</f>
        <v>N/A</v>
      </c>
      <c r="N355" t="str">
        <f>Raw_Claims_Data!N354</f>
        <v>AGENT00525</v>
      </c>
      <c r="O355">
        <f>IF(Raw_Claims_Data!G354="D",1,0)</f>
        <v>0</v>
      </c>
    </row>
    <row r="356" spans="1:15" x14ac:dyDescent="0.35">
      <c r="A356" t="str">
        <f>Raw_Claims_Data!A355</f>
        <v>TXN00000352</v>
      </c>
      <c r="B356" t="str">
        <f>TRIM(Raw_Claims_Data!B355)</f>
        <v>Erin Willie</v>
      </c>
      <c r="C356" t="str">
        <f>Raw_Claims_Data!C355</f>
        <v>Property</v>
      </c>
      <c r="D356">
        <f>Raw_Claims_Data!D355</f>
        <v>128.02000000000001</v>
      </c>
      <c r="E356">
        <f>Raw_Claims_Data!E355</f>
        <v>15000</v>
      </c>
      <c r="F356" t="str">
        <f>Raw_Claims_Data!F355</f>
        <v>DC</v>
      </c>
      <c r="G356" t="str">
        <f>Raw_Claims_Data!G355</f>
        <v>A</v>
      </c>
      <c r="H356" t="str">
        <f>Raw_Claims_Data!H355</f>
        <v>Minor Loss</v>
      </c>
      <c r="I356" t="str">
        <f>IF(Raw_Claims_Data!I355="","None",Raw_Claims_Data!I355)</f>
        <v>Ambulance</v>
      </c>
      <c r="J356" t="str">
        <f>Raw_Claims_Data!J355</f>
        <v>Arvada</v>
      </c>
      <c r="K356" t="str">
        <f>Raw_Claims_Data!K355</f>
        <v>CO</v>
      </c>
      <c r="L356">
        <f>Raw_Claims_Data!L355</f>
        <v>6</v>
      </c>
      <c r="M356" t="str">
        <f>IF(Raw_Claims_Data!M355="","N/A",Raw_Claims_Data!M355)</f>
        <v>VNDR00164</v>
      </c>
      <c r="N356" t="str">
        <f>Raw_Claims_Data!N355</f>
        <v>AGENT00064</v>
      </c>
      <c r="O356">
        <f>IF(Raw_Claims_Data!G355="D",1,0)</f>
        <v>0</v>
      </c>
    </row>
    <row r="357" spans="1:15" x14ac:dyDescent="0.35">
      <c r="A357" t="str">
        <f>Raw_Claims_Data!A356</f>
        <v>TXN00000353</v>
      </c>
      <c r="B357" t="str">
        <f>TRIM(Raw_Claims_Data!B356)</f>
        <v>Dreama Scurry</v>
      </c>
      <c r="C357" t="str">
        <f>Raw_Claims_Data!C356</f>
        <v>Property</v>
      </c>
      <c r="D357">
        <f>Raw_Claims_Data!D356</f>
        <v>141.30000000000001</v>
      </c>
      <c r="E357">
        <f>Raw_Claims_Data!E356</f>
        <v>28000</v>
      </c>
      <c r="F357" t="str">
        <f>Raw_Claims_Data!F356</f>
        <v>TN</v>
      </c>
      <c r="G357" t="str">
        <f>Raw_Claims_Data!G356</f>
        <v>D</v>
      </c>
      <c r="H357" t="str">
        <f>Raw_Claims_Data!H356</f>
        <v>Total Loss</v>
      </c>
      <c r="I357" t="str">
        <f>IF(Raw_Claims_Data!I356="","None",Raw_Claims_Data!I356)</f>
        <v>Ambulance</v>
      </c>
      <c r="J357" t="str">
        <f>Raw_Claims_Data!J356</f>
        <v>Glendale</v>
      </c>
      <c r="K357" t="str">
        <f>Raw_Claims_Data!K356</f>
        <v>AZ</v>
      </c>
      <c r="L357">
        <f>Raw_Claims_Data!L356</f>
        <v>15</v>
      </c>
      <c r="M357" t="str">
        <f>IF(Raw_Claims_Data!M356="","N/A",Raw_Claims_Data!M356)</f>
        <v>VNDR00463</v>
      </c>
      <c r="N357" t="str">
        <f>Raw_Claims_Data!N356</f>
        <v>AGENT00769</v>
      </c>
      <c r="O357">
        <f>IF(Raw_Claims_Data!G356="D",1,0)</f>
        <v>1</v>
      </c>
    </row>
    <row r="358" spans="1:15" x14ac:dyDescent="0.35">
      <c r="A358" t="str">
        <f>Raw_Claims_Data!A357</f>
        <v>TXN00000354</v>
      </c>
      <c r="B358" t="str">
        <f>TRIM(Raw_Claims_Data!B357)</f>
        <v>Monica Handley</v>
      </c>
      <c r="C358" t="str">
        <f>Raw_Claims_Data!C357</f>
        <v>Property</v>
      </c>
      <c r="D358">
        <f>Raw_Claims_Data!D357</f>
        <v>87.56</v>
      </c>
      <c r="E358">
        <f>Raw_Claims_Data!E357</f>
        <v>11000</v>
      </c>
      <c r="F358" t="str">
        <f>Raw_Claims_Data!F357</f>
        <v>AR</v>
      </c>
      <c r="G358" t="str">
        <f>Raw_Claims_Data!G357</f>
        <v>D</v>
      </c>
      <c r="H358" t="str">
        <f>Raw_Claims_Data!H357</f>
        <v>Total Loss</v>
      </c>
      <c r="I358" t="str">
        <f>IF(Raw_Claims_Data!I357="","None",Raw_Claims_Data!I357)</f>
        <v>None</v>
      </c>
      <c r="J358" t="str">
        <f>Raw_Claims_Data!J357</f>
        <v>Edmond</v>
      </c>
      <c r="K358" t="str">
        <f>Raw_Claims_Data!K357</f>
        <v>OK</v>
      </c>
      <c r="L358">
        <f>Raw_Claims_Data!L357</f>
        <v>18</v>
      </c>
      <c r="M358" t="str">
        <f>IF(Raw_Claims_Data!M357="","N/A",Raw_Claims_Data!M357)</f>
        <v>N/A</v>
      </c>
      <c r="N358" t="str">
        <f>Raw_Claims_Data!N357</f>
        <v>AGENT00907</v>
      </c>
      <c r="O358">
        <f>IF(Raw_Claims_Data!G357="D",1,0)</f>
        <v>1</v>
      </c>
    </row>
    <row r="359" spans="1:15" x14ac:dyDescent="0.35">
      <c r="A359" t="str">
        <f>Raw_Claims_Data!A358</f>
        <v>TXN00000355</v>
      </c>
      <c r="B359" t="str">
        <f>TRIM(Raw_Claims_Data!B358)</f>
        <v>Sharon Rawlings</v>
      </c>
      <c r="C359" t="str">
        <f>Raw_Claims_Data!C358</f>
        <v>Motor</v>
      </c>
      <c r="D359">
        <f>Raw_Claims_Data!D358</f>
        <v>104.97</v>
      </c>
      <c r="E359">
        <f>Raw_Claims_Data!E358</f>
        <v>1000</v>
      </c>
      <c r="F359" t="str">
        <f>Raw_Claims_Data!F358</f>
        <v>CT</v>
      </c>
      <c r="G359" t="str">
        <f>Raw_Claims_Data!G358</f>
        <v>A</v>
      </c>
      <c r="H359" t="str">
        <f>Raw_Claims_Data!H358</f>
        <v>Minor Loss</v>
      </c>
      <c r="I359" t="str">
        <f>IF(Raw_Claims_Data!I358="","None",Raw_Claims_Data!I358)</f>
        <v>Ambulance</v>
      </c>
      <c r="J359" t="str">
        <f>Raw_Claims_Data!J358</f>
        <v>Reading</v>
      </c>
      <c r="K359" t="str">
        <f>Raw_Claims_Data!K358</f>
        <v>VT</v>
      </c>
      <c r="L359">
        <f>Raw_Claims_Data!L358</f>
        <v>21</v>
      </c>
      <c r="M359" t="str">
        <f>IF(Raw_Claims_Data!M358="","N/A",Raw_Claims_Data!M358)</f>
        <v>VNDR00491</v>
      </c>
      <c r="N359" t="str">
        <f>Raw_Claims_Data!N358</f>
        <v>AGENT00122</v>
      </c>
      <c r="O359">
        <f>IF(Raw_Claims_Data!G358="D",1,0)</f>
        <v>0</v>
      </c>
    </row>
    <row r="360" spans="1:15" x14ac:dyDescent="0.35">
      <c r="A360" t="str">
        <f>Raw_Claims_Data!A359</f>
        <v>TXN00000356</v>
      </c>
      <c r="B360" t="str">
        <f>TRIM(Raw_Claims_Data!B359)</f>
        <v>Tonya Nutting</v>
      </c>
      <c r="C360" t="str">
        <f>Raw_Claims_Data!C359</f>
        <v>Travel</v>
      </c>
      <c r="D360">
        <f>Raw_Claims_Data!D359</f>
        <v>75.209999999999994</v>
      </c>
      <c r="E360">
        <f>Raw_Claims_Data!E359</f>
        <v>4000</v>
      </c>
      <c r="F360" t="str">
        <f>Raw_Claims_Data!F359</f>
        <v>CT</v>
      </c>
      <c r="G360" t="str">
        <f>Raw_Claims_Data!G359</f>
        <v>A</v>
      </c>
      <c r="H360" t="str">
        <f>Raw_Claims_Data!H359</f>
        <v>Major Loss</v>
      </c>
      <c r="I360" t="str">
        <f>IF(Raw_Claims_Data!I359="","None",Raw_Claims_Data!I359)</f>
        <v>Other</v>
      </c>
      <c r="J360" t="str">
        <f>Raw_Claims_Data!J359</f>
        <v>Savannah</v>
      </c>
      <c r="K360" t="str">
        <f>Raw_Claims_Data!K359</f>
        <v>GA</v>
      </c>
      <c r="L360">
        <f>Raw_Claims_Data!L359</f>
        <v>10</v>
      </c>
      <c r="M360" t="str">
        <f>IF(Raw_Claims_Data!M359="","N/A",Raw_Claims_Data!M359)</f>
        <v>VNDR00326</v>
      </c>
      <c r="N360" t="str">
        <f>Raw_Claims_Data!N359</f>
        <v>AGENT00432</v>
      </c>
      <c r="O360">
        <f>IF(Raw_Claims_Data!G359="D",1,0)</f>
        <v>0</v>
      </c>
    </row>
    <row r="361" spans="1:15" x14ac:dyDescent="0.35">
      <c r="A361" t="str">
        <f>Raw_Claims_Data!A360</f>
        <v>TXN00000357</v>
      </c>
      <c r="B361" t="str">
        <f>TRIM(Raw_Claims_Data!B360)</f>
        <v>Bradley Green</v>
      </c>
      <c r="C361" t="str">
        <f>Raw_Claims_Data!C360</f>
        <v>Mobile</v>
      </c>
      <c r="D361">
        <f>Raw_Claims_Data!D360</f>
        <v>9.89</v>
      </c>
      <c r="E361">
        <f>Raw_Claims_Data!E360</f>
        <v>400</v>
      </c>
      <c r="F361" t="str">
        <f>Raw_Claims_Data!F360</f>
        <v>FL</v>
      </c>
      <c r="G361" t="str">
        <f>Raw_Claims_Data!G360</f>
        <v>A</v>
      </c>
      <c r="H361" t="str">
        <f>Raw_Claims_Data!H360</f>
        <v>Total Loss</v>
      </c>
      <c r="I361" t="str">
        <f>IF(Raw_Claims_Data!I360="","None",Raw_Claims_Data!I360)</f>
        <v>Police</v>
      </c>
      <c r="J361" t="str">
        <f>Raw_Claims_Data!J360</f>
        <v>Washington</v>
      </c>
      <c r="K361" t="str">
        <f>Raw_Claims_Data!K360</f>
        <v>DC</v>
      </c>
      <c r="L361">
        <f>Raw_Claims_Data!L360</f>
        <v>3</v>
      </c>
      <c r="M361" t="str">
        <f>IF(Raw_Claims_Data!M360="","N/A",Raw_Claims_Data!M360)</f>
        <v>VNDR00319</v>
      </c>
      <c r="N361" t="str">
        <f>Raw_Claims_Data!N360</f>
        <v>AGENT00709</v>
      </c>
      <c r="O361">
        <f>IF(Raw_Claims_Data!G360="D",1,0)</f>
        <v>0</v>
      </c>
    </row>
    <row r="362" spans="1:15" x14ac:dyDescent="0.35">
      <c r="A362" t="str">
        <f>Raw_Claims_Data!A361</f>
        <v>TXN00000358</v>
      </c>
      <c r="B362" t="str">
        <f>TRIM(Raw_Claims_Data!B361)</f>
        <v>Ingrid Bolin</v>
      </c>
      <c r="C362" t="str">
        <f>Raw_Claims_Data!C361</f>
        <v>Travel</v>
      </c>
      <c r="D362">
        <f>Raw_Claims_Data!D361</f>
        <v>62.99</v>
      </c>
      <c r="E362">
        <f>Raw_Claims_Data!E361</f>
        <v>2000</v>
      </c>
      <c r="F362" t="str">
        <f>Raw_Claims_Data!F361</f>
        <v>MD</v>
      </c>
      <c r="G362" t="str">
        <f>Raw_Claims_Data!G361</f>
        <v>A</v>
      </c>
      <c r="H362" t="str">
        <f>Raw_Claims_Data!H361</f>
        <v>Major Loss</v>
      </c>
      <c r="I362" t="str">
        <f>IF(Raw_Claims_Data!I361="","None",Raw_Claims_Data!I361)</f>
        <v>Police</v>
      </c>
      <c r="J362" t="str">
        <f>Raw_Claims_Data!J361</f>
        <v>Berkeley</v>
      </c>
      <c r="K362" t="str">
        <f>Raw_Claims_Data!K361</f>
        <v>CA</v>
      </c>
      <c r="L362">
        <f>Raw_Claims_Data!L361</f>
        <v>2</v>
      </c>
      <c r="M362" t="str">
        <f>IF(Raw_Claims_Data!M361="","N/A",Raw_Claims_Data!M361)</f>
        <v>VNDR00548</v>
      </c>
      <c r="N362" t="str">
        <f>Raw_Claims_Data!N361</f>
        <v>AGENT01060</v>
      </c>
      <c r="O362">
        <f>IF(Raw_Claims_Data!G361="D",1,0)</f>
        <v>0</v>
      </c>
    </row>
    <row r="363" spans="1:15" x14ac:dyDescent="0.35">
      <c r="A363" t="str">
        <f>Raw_Claims_Data!A362</f>
        <v>TXN00000359</v>
      </c>
      <c r="B363" t="str">
        <f>TRIM(Raw_Claims_Data!B362)</f>
        <v>Sarah Cotto</v>
      </c>
      <c r="C363" t="str">
        <f>Raw_Claims_Data!C362</f>
        <v>Motor</v>
      </c>
      <c r="D363">
        <f>Raw_Claims_Data!D362</f>
        <v>101.29</v>
      </c>
      <c r="E363">
        <f>Raw_Claims_Data!E362</f>
        <v>4000</v>
      </c>
      <c r="F363" t="str">
        <f>Raw_Claims_Data!F362</f>
        <v>VT</v>
      </c>
      <c r="G363" t="str">
        <f>Raw_Claims_Data!G362</f>
        <v>A</v>
      </c>
      <c r="H363" t="str">
        <f>Raw_Claims_Data!H362</f>
        <v>Major Loss</v>
      </c>
      <c r="I363" t="str">
        <f>IF(Raw_Claims_Data!I362="","None",Raw_Claims_Data!I362)</f>
        <v>Police</v>
      </c>
      <c r="J363" t="str">
        <f>Raw_Claims_Data!J362</f>
        <v>Arvada</v>
      </c>
      <c r="K363" t="str">
        <f>Raw_Claims_Data!K362</f>
        <v>CO</v>
      </c>
      <c r="L363">
        <f>Raw_Claims_Data!L362</f>
        <v>9</v>
      </c>
      <c r="M363" t="str">
        <f>IF(Raw_Claims_Data!M362="","N/A",Raw_Claims_Data!M362)</f>
        <v>VNDR00175</v>
      </c>
      <c r="N363" t="str">
        <f>Raw_Claims_Data!N362</f>
        <v>AGENT00116</v>
      </c>
      <c r="O363">
        <f>IF(Raw_Claims_Data!G362="D",1,0)</f>
        <v>0</v>
      </c>
    </row>
    <row r="364" spans="1:15" x14ac:dyDescent="0.35">
      <c r="A364" t="str">
        <f>Raw_Claims_Data!A363</f>
        <v>TXN00000360</v>
      </c>
      <c r="B364" t="str">
        <f>TRIM(Raw_Claims_Data!B363)</f>
        <v>Christopher Larry</v>
      </c>
      <c r="C364" t="str">
        <f>Raw_Claims_Data!C363</f>
        <v>Motor</v>
      </c>
      <c r="D364">
        <f>Raw_Claims_Data!D363</f>
        <v>121.21</v>
      </c>
      <c r="E364">
        <f>Raw_Claims_Data!E363</f>
        <v>7000</v>
      </c>
      <c r="F364" t="str">
        <f>Raw_Claims_Data!F363</f>
        <v>CA</v>
      </c>
      <c r="G364" t="str">
        <f>Raw_Claims_Data!G363</f>
        <v>A</v>
      </c>
      <c r="H364" t="str">
        <f>Raw_Claims_Data!H363</f>
        <v>Minor Loss</v>
      </c>
      <c r="I364" t="str">
        <f>IF(Raw_Claims_Data!I363="","None",Raw_Claims_Data!I363)</f>
        <v>None</v>
      </c>
      <c r="J364" t="str">
        <f>Raw_Claims_Data!J363</f>
        <v>Fayetteville</v>
      </c>
      <c r="K364" t="str">
        <f>Raw_Claims_Data!K363</f>
        <v>AR</v>
      </c>
      <c r="L364">
        <f>Raw_Claims_Data!L363</f>
        <v>5</v>
      </c>
      <c r="M364" t="str">
        <f>IF(Raw_Claims_Data!M363="","N/A",Raw_Claims_Data!M363)</f>
        <v>VNDR00499</v>
      </c>
      <c r="N364" t="str">
        <f>Raw_Claims_Data!N363</f>
        <v>AGENT00782</v>
      </c>
      <c r="O364">
        <f>IF(Raw_Claims_Data!G363="D",1,0)</f>
        <v>0</v>
      </c>
    </row>
    <row r="365" spans="1:15" x14ac:dyDescent="0.35">
      <c r="A365" t="str">
        <f>Raw_Claims_Data!A364</f>
        <v>TXN00000361</v>
      </c>
      <c r="B365" t="str">
        <f>TRIM(Raw_Claims_Data!B364)</f>
        <v>Johnnie Collazo</v>
      </c>
      <c r="C365" t="str">
        <f>Raw_Claims_Data!C364</f>
        <v>Health</v>
      </c>
      <c r="D365">
        <f>Raw_Claims_Data!D364</f>
        <v>157.08000000000001</v>
      </c>
      <c r="E365">
        <f>Raw_Claims_Data!E364</f>
        <v>5000</v>
      </c>
      <c r="F365" t="str">
        <f>Raw_Claims_Data!F364</f>
        <v>AZ</v>
      </c>
      <c r="G365" t="str">
        <f>Raw_Claims_Data!G364</f>
        <v>A</v>
      </c>
      <c r="H365" t="str">
        <f>Raw_Claims_Data!H364</f>
        <v>Total Loss</v>
      </c>
      <c r="I365" t="str">
        <f>IF(Raw_Claims_Data!I364="","None",Raw_Claims_Data!I364)</f>
        <v>Ambulance</v>
      </c>
      <c r="J365" t="str">
        <f>Raw_Claims_Data!J364</f>
        <v>Montgomery</v>
      </c>
      <c r="K365" t="str">
        <f>Raw_Claims_Data!K364</f>
        <v>AL</v>
      </c>
      <c r="L365">
        <f>Raw_Claims_Data!L364</f>
        <v>6</v>
      </c>
      <c r="M365" t="str">
        <f>IF(Raw_Claims_Data!M364="","N/A",Raw_Claims_Data!M364)</f>
        <v>VNDR00109</v>
      </c>
      <c r="N365" t="str">
        <f>Raw_Claims_Data!N364</f>
        <v>AGENT00577</v>
      </c>
      <c r="O365">
        <f>IF(Raw_Claims_Data!G364="D",1,0)</f>
        <v>0</v>
      </c>
    </row>
    <row r="366" spans="1:15" x14ac:dyDescent="0.35">
      <c r="A366" t="str">
        <f>Raw_Claims_Data!A365</f>
        <v>TXN00000362</v>
      </c>
      <c r="B366" t="str">
        <f>TRIM(Raw_Claims_Data!B365)</f>
        <v>Angeline Wright</v>
      </c>
      <c r="C366" t="str">
        <f>Raw_Claims_Data!C365</f>
        <v>Mobile</v>
      </c>
      <c r="D366">
        <f>Raw_Claims_Data!D365</f>
        <v>10.28</v>
      </c>
      <c r="E366">
        <f>Raw_Claims_Data!E365</f>
        <v>500</v>
      </c>
      <c r="F366" t="str">
        <f>Raw_Claims_Data!F365</f>
        <v>CO</v>
      </c>
      <c r="G366" t="str">
        <f>Raw_Claims_Data!G365</f>
        <v>A</v>
      </c>
      <c r="H366" t="str">
        <f>Raw_Claims_Data!H365</f>
        <v>Total Loss</v>
      </c>
      <c r="I366" t="str">
        <f>IF(Raw_Claims_Data!I365="","None",Raw_Claims_Data!I365)</f>
        <v>Ambulance</v>
      </c>
      <c r="J366" t="str">
        <f>Raw_Claims_Data!J365</f>
        <v>Rancho Palos Verdes</v>
      </c>
      <c r="K366" t="str">
        <f>Raw_Claims_Data!K365</f>
        <v>CA</v>
      </c>
      <c r="L366">
        <f>Raw_Claims_Data!L365</f>
        <v>0</v>
      </c>
      <c r="M366" t="str">
        <f>IF(Raw_Claims_Data!M365="","N/A",Raw_Claims_Data!M365)</f>
        <v>VNDR00042</v>
      </c>
      <c r="N366" t="str">
        <f>Raw_Claims_Data!N365</f>
        <v>AGENT00650</v>
      </c>
      <c r="O366">
        <f>IF(Raw_Claims_Data!G365="D",1,0)</f>
        <v>0</v>
      </c>
    </row>
    <row r="367" spans="1:15" x14ac:dyDescent="0.35">
      <c r="A367" t="str">
        <f>Raw_Claims_Data!A366</f>
        <v>TXN00000363</v>
      </c>
      <c r="B367" t="str">
        <f>TRIM(Raw_Claims_Data!B366)</f>
        <v>Dawn Rivas</v>
      </c>
      <c r="C367" t="str">
        <f>Raw_Claims_Data!C366</f>
        <v>Motor</v>
      </c>
      <c r="D367">
        <f>Raw_Claims_Data!D366</f>
        <v>126.97</v>
      </c>
      <c r="E367">
        <f>Raw_Claims_Data!E366</f>
        <v>5000</v>
      </c>
      <c r="F367" t="str">
        <f>Raw_Claims_Data!F366</f>
        <v>CO</v>
      </c>
      <c r="G367" t="str">
        <f>Raw_Claims_Data!G366</f>
        <v>A</v>
      </c>
      <c r="H367" t="str">
        <f>Raw_Claims_Data!H366</f>
        <v>Major Loss</v>
      </c>
      <c r="I367" t="str">
        <f>IF(Raw_Claims_Data!I366="","None",Raw_Claims_Data!I366)</f>
        <v>Ambulance</v>
      </c>
      <c r="J367" t="str">
        <f>Raw_Claims_Data!J366</f>
        <v>San Jose</v>
      </c>
      <c r="K367" t="str">
        <f>Raw_Claims_Data!K366</f>
        <v>CA</v>
      </c>
      <c r="L367">
        <f>Raw_Claims_Data!L366</f>
        <v>11</v>
      </c>
      <c r="M367" t="str">
        <f>IF(Raw_Claims_Data!M366="","N/A",Raw_Claims_Data!M366)</f>
        <v>N/A</v>
      </c>
      <c r="N367" t="str">
        <f>Raw_Claims_Data!N366</f>
        <v>AGENT00423</v>
      </c>
      <c r="O367">
        <f>IF(Raw_Claims_Data!G366="D",1,0)</f>
        <v>0</v>
      </c>
    </row>
    <row r="368" spans="1:15" x14ac:dyDescent="0.35">
      <c r="A368" t="str">
        <f>Raw_Claims_Data!A367</f>
        <v>TXN00000364</v>
      </c>
      <c r="B368" t="str">
        <f>TRIM(Raw_Claims_Data!B367)</f>
        <v>James Dubay</v>
      </c>
      <c r="C368" t="str">
        <f>Raw_Claims_Data!C367</f>
        <v>Travel</v>
      </c>
      <c r="D368">
        <f>Raw_Claims_Data!D367</f>
        <v>56.77</v>
      </c>
      <c r="E368">
        <f>Raw_Claims_Data!E367</f>
        <v>5000</v>
      </c>
      <c r="F368" t="str">
        <f>Raw_Claims_Data!F367</f>
        <v>FL</v>
      </c>
      <c r="G368" t="str">
        <f>Raw_Claims_Data!G367</f>
        <v>A</v>
      </c>
      <c r="H368" t="str">
        <f>Raw_Claims_Data!H367</f>
        <v>Minor Loss</v>
      </c>
      <c r="I368" t="str">
        <f>IF(Raw_Claims_Data!I367="","None",Raw_Claims_Data!I367)</f>
        <v>None</v>
      </c>
      <c r="J368" t="str">
        <f>Raw_Claims_Data!J367</f>
        <v>Annapolis</v>
      </c>
      <c r="K368" t="str">
        <f>Raw_Claims_Data!K367</f>
        <v>MD</v>
      </c>
      <c r="L368">
        <f>Raw_Claims_Data!L367</f>
        <v>15</v>
      </c>
      <c r="M368" t="str">
        <f>IF(Raw_Claims_Data!M367="","N/A",Raw_Claims_Data!M367)</f>
        <v>VNDR00389</v>
      </c>
      <c r="N368" t="str">
        <f>Raw_Claims_Data!N367</f>
        <v>AGENT00434</v>
      </c>
      <c r="O368">
        <f>IF(Raw_Claims_Data!G367="D",1,0)</f>
        <v>0</v>
      </c>
    </row>
    <row r="369" spans="1:15" x14ac:dyDescent="0.35">
      <c r="A369" t="str">
        <f>Raw_Claims_Data!A368</f>
        <v>TXN00000365</v>
      </c>
      <c r="B369" t="str">
        <f>TRIM(Raw_Claims_Data!B368)</f>
        <v>Patricia Busby</v>
      </c>
      <c r="C369" t="str">
        <f>Raw_Claims_Data!C368</f>
        <v>Mobile</v>
      </c>
      <c r="D369">
        <f>Raw_Claims_Data!D368</f>
        <v>10.66</v>
      </c>
      <c r="E369">
        <f>Raw_Claims_Data!E368</f>
        <v>100</v>
      </c>
      <c r="F369" t="str">
        <f>Raw_Claims_Data!F368</f>
        <v>KY</v>
      </c>
      <c r="G369" t="str">
        <f>Raw_Claims_Data!G368</f>
        <v>A</v>
      </c>
      <c r="H369" t="str">
        <f>Raw_Claims_Data!H368</f>
        <v>Major Loss</v>
      </c>
      <c r="I369" t="str">
        <f>IF(Raw_Claims_Data!I368="","None",Raw_Claims_Data!I368)</f>
        <v>None</v>
      </c>
      <c r="J369" t="str">
        <f>Raw_Claims_Data!J368</f>
        <v>Savannah</v>
      </c>
      <c r="K369" t="str">
        <f>Raw_Claims_Data!K368</f>
        <v>GA</v>
      </c>
      <c r="L369">
        <f>Raw_Claims_Data!L368</f>
        <v>14</v>
      </c>
      <c r="M369" t="str">
        <f>IF(Raw_Claims_Data!M368="","N/A",Raw_Claims_Data!M368)</f>
        <v>VNDR00066</v>
      </c>
      <c r="N369" t="str">
        <f>Raw_Claims_Data!N368</f>
        <v>AGENT00409</v>
      </c>
      <c r="O369">
        <f>IF(Raw_Claims_Data!G368="D",1,0)</f>
        <v>0</v>
      </c>
    </row>
    <row r="370" spans="1:15" x14ac:dyDescent="0.35">
      <c r="A370" t="str">
        <f>Raw_Claims_Data!A369</f>
        <v>TXN00000366</v>
      </c>
      <c r="B370" t="str">
        <f>TRIM(Raw_Claims_Data!B369)</f>
        <v>Jean Olson</v>
      </c>
      <c r="C370" t="str">
        <f>Raw_Claims_Data!C369</f>
        <v>Property</v>
      </c>
      <c r="D370">
        <f>Raw_Claims_Data!D369</f>
        <v>159.35</v>
      </c>
      <c r="E370">
        <f>Raw_Claims_Data!E369</f>
        <v>25000</v>
      </c>
      <c r="F370" t="str">
        <f>Raw_Claims_Data!F369</f>
        <v>AL</v>
      </c>
      <c r="G370" t="str">
        <f>Raw_Claims_Data!G369</f>
        <v>A</v>
      </c>
      <c r="H370" t="str">
        <f>Raw_Claims_Data!H369</f>
        <v>Total Loss</v>
      </c>
      <c r="I370" t="str">
        <f>IF(Raw_Claims_Data!I369="","None",Raw_Claims_Data!I369)</f>
        <v>None</v>
      </c>
      <c r="J370" t="str">
        <f>Raw_Claims_Data!J369</f>
        <v>Thunderbolt</v>
      </c>
      <c r="K370" t="str">
        <f>Raw_Claims_Data!K369</f>
        <v>GA</v>
      </c>
      <c r="L370">
        <f>Raw_Claims_Data!L369</f>
        <v>13</v>
      </c>
      <c r="M370" t="str">
        <f>IF(Raw_Claims_Data!M369="","N/A",Raw_Claims_Data!M369)</f>
        <v>VNDR00443</v>
      </c>
      <c r="N370" t="str">
        <f>Raw_Claims_Data!N369</f>
        <v>AGENT00159</v>
      </c>
      <c r="O370">
        <f>IF(Raw_Claims_Data!G369="D",1,0)</f>
        <v>0</v>
      </c>
    </row>
    <row r="371" spans="1:15" x14ac:dyDescent="0.35">
      <c r="A371" t="str">
        <f>Raw_Claims_Data!A370</f>
        <v>TXN00000367</v>
      </c>
      <c r="B371" t="str">
        <f>TRIM(Raw_Claims_Data!B370)</f>
        <v>Lynda Carter</v>
      </c>
      <c r="C371" t="str">
        <f>Raw_Claims_Data!C370</f>
        <v>Motor</v>
      </c>
      <c r="D371">
        <f>Raw_Claims_Data!D370</f>
        <v>104.23</v>
      </c>
      <c r="E371">
        <f>Raw_Claims_Data!E370</f>
        <v>1000</v>
      </c>
      <c r="F371" t="str">
        <f>Raw_Claims_Data!F370</f>
        <v>TN</v>
      </c>
      <c r="G371" t="str">
        <f>Raw_Claims_Data!G370</f>
        <v>A</v>
      </c>
      <c r="H371" t="str">
        <f>Raw_Claims_Data!H370</f>
        <v>Total Loss</v>
      </c>
      <c r="I371" t="str">
        <f>IF(Raw_Claims_Data!I370="","None",Raw_Claims_Data!I370)</f>
        <v>None</v>
      </c>
      <c r="J371" t="str">
        <f>Raw_Claims_Data!J370</f>
        <v>Pasadena</v>
      </c>
      <c r="K371" t="str">
        <f>Raw_Claims_Data!K370</f>
        <v>MD</v>
      </c>
      <c r="L371">
        <f>Raw_Claims_Data!L370</f>
        <v>9</v>
      </c>
      <c r="M371" t="str">
        <f>IF(Raw_Claims_Data!M370="","N/A",Raw_Claims_Data!M370)</f>
        <v>VNDR00527</v>
      </c>
      <c r="N371" t="str">
        <f>Raw_Claims_Data!N370</f>
        <v>AGENT00197</v>
      </c>
      <c r="O371">
        <f>IF(Raw_Claims_Data!G370="D",1,0)</f>
        <v>0</v>
      </c>
    </row>
    <row r="372" spans="1:15" x14ac:dyDescent="0.35">
      <c r="A372" t="str">
        <f>Raw_Claims_Data!A371</f>
        <v>TXN00000368</v>
      </c>
      <c r="B372" t="str">
        <f>TRIM(Raw_Claims_Data!B371)</f>
        <v>Keith Minton</v>
      </c>
      <c r="C372" t="str">
        <f>Raw_Claims_Data!C371</f>
        <v>Mobile</v>
      </c>
      <c r="D372">
        <f>Raw_Claims_Data!D371</f>
        <v>7.24</v>
      </c>
      <c r="E372">
        <f>Raw_Claims_Data!E371</f>
        <v>300</v>
      </c>
      <c r="F372" t="str">
        <f>Raw_Claims_Data!F371</f>
        <v>AR</v>
      </c>
      <c r="G372" t="str">
        <f>Raw_Claims_Data!G371</f>
        <v>A</v>
      </c>
      <c r="H372" t="str">
        <f>Raw_Claims_Data!H371</f>
        <v>Total Loss</v>
      </c>
      <c r="I372" t="str">
        <f>IF(Raw_Claims_Data!I371="","None",Raw_Claims_Data!I371)</f>
        <v>None</v>
      </c>
      <c r="J372" t="str">
        <f>Raw_Claims_Data!J371</f>
        <v>Oklahoma City</v>
      </c>
      <c r="K372" t="str">
        <f>Raw_Claims_Data!K371</f>
        <v>OK</v>
      </c>
      <c r="L372">
        <f>Raw_Claims_Data!L371</f>
        <v>5</v>
      </c>
      <c r="M372" t="str">
        <f>IF(Raw_Claims_Data!M371="","N/A",Raw_Claims_Data!M371)</f>
        <v>VNDR00570</v>
      </c>
      <c r="N372" t="str">
        <f>Raw_Claims_Data!N371</f>
        <v>AGENT00696</v>
      </c>
      <c r="O372">
        <f>IF(Raw_Claims_Data!G371="D",1,0)</f>
        <v>0</v>
      </c>
    </row>
    <row r="373" spans="1:15" x14ac:dyDescent="0.35">
      <c r="A373" t="str">
        <f>Raw_Claims_Data!A372</f>
        <v>TXN00000369</v>
      </c>
      <c r="B373" t="str">
        <f>TRIM(Raw_Claims_Data!B372)</f>
        <v>Victor Gorham</v>
      </c>
      <c r="C373" t="str">
        <f>Raw_Claims_Data!C372</f>
        <v>Mobile</v>
      </c>
      <c r="D373">
        <f>Raw_Claims_Data!D372</f>
        <v>9.31</v>
      </c>
      <c r="E373">
        <f>Raw_Claims_Data!E372</f>
        <v>600</v>
      </c>
      <c r="F373" t="str">
        <f>Raw_Claims_Data!F372</f>
        <v>DC</v>
      </c>
      <c r="G373" t="str">
        <f>Raw_Claims_Data!G372</f>
        <v>A</v>
      </c>
      <c r="H373" t="str">
        <f>Raw_Claims_Data!H372</f>
        <v>Minor Loss</v>
      </c>
      <c r="I373" t="str">
        <f>IF(Raw_Claims_Data!I372="","None",Raw_Claims_Data!I372)</f>
        <v>Police</v>
      </c>
      <c r="J373" t="str">
        <f>Raw_Claims_Data!J372</f>
        <v>Savannah</v>
      </c>
      <c r="K373" t="str">
        <f>Raw_Claims_Data!K372</f>
        <v>GA</v>
      </c>
      <c r="L373">
        <f>Raw_Claims_Data!L372</f>
        <v>6</v>
      </c>
      <c r="M373" t="str">
        <f>IF(Raw_Claims_Data!M372="","N/A",Raw_Claims_Data!M372)</f>
        <v>VNDR00373</v>
      </c>
      <c r="N373" t="str">
        <f>Raw_Claims_Data!N372</f>
        <v>AGENT00198</v>
      </c>
      <c r="O373">
        <f>IF(Raw_Claims_Data!G372="D",1,0)</f>
        <v>0</v>
      </c>
    </row>
    <row r="374" spans="1:15" x14ac:dyDescent="0.35">
      <c r="A374" t="str">
        <f>Raw_Claims_Data!A373</f>
        <v>TXN00000370</v>
      </c>
      <c r="B374" t="str">
        <f>TRIM(Raw_Claims_Data!B373)</f>
        <v>Carol Ginsberg</v>
      </c>
      <c r="C374" t="str">
        <f>Raw_Claims_Data!C373</f>
        <v>Motor</v>
      </c>
      <c r="D374">
        <f>Raw_Claims_Data!D373</f>
        <v>104.1</v>
      </c>
      <c r="E374">
        <f>Raw_Claims_Data!E373</f>
        <v>6000</v>
      </c>
      <c r="F374" t="str">
        <f>Raw_Claims_Data!F373</f>
        <v>VT</v>
      </c>
      <c r="G374" t="str">
        <f>Raw_Claims_Data!G373</f>
        <v>A</v>
      </c>
      <c r="H374" t="str">
        <f>Raw_Claims_Data!H373</f>
        <v>Minor Loss</v>
      </c>
      <c r="I374" t="str">
        <f>IF(Raw_Claims_Data!I373="","None",Raw_Claims_Data!I373)</f>
        <v>Police</v>
      </c>
      <c r="J374" t="str">
        <f>Raw_Claims_Data!J373</f>
        <v>Sebastopol</v>
      </c>
      <c r="K374" t="str">
        <f>Raw_Claims_Data!K373</f>
        <v>CA</v>
      </c>
      <c r="L374">
        <f>Raw_Claims_Data!L373</f>
        <v>6</v>
      </c>
      <c r="M374" t="str">
        <f>IF(Raw_Claims_Data!M373="","N/A",Raw_Claims_Data!M373)</f>
        <v>VNDR00583</v>
      </c>
      <c r="N374" t="str">
        <f>Raw_Claims_Data!N373</f>
        <v>AGENT00427</v>
      </c>
      <c r="O374">
        <f>IF(Raw_Claims_Data!G373="D",1,0)</f>
        <v>0</v>
      </c>
    </row>
    <row r="375" spans="1:15" x14ac:dyDescent="0.35">
      <c r="A375" t="str">
        <f>Raw_Claims_Data!A374</f>
        <v>TXN00000371</v>
      </c>
      <c r="B375" t="str">
        <f>TRIM(Raw_Claims_Data!B374)</f>
        <v>Harriet Harbin</v>
      </c>
      <c r="C375" t="str">
        <f>Raw_Claims_Data!C374</f>
        <v>Life</v>
      </c>
      <c r="D375">
        <f>Raw_Claims_Data!D374</f>
        <v>56.91</v>
      </c>
      <c r="E375">
        <f>Raw_Claims_Data!E374</f>
        <v>58000</v>
      </c>
      <c r="F375" t="str">
        <f>Raw_Claims_Data!F374</f>
        <v>KY</v>
      </c>
      <c r="G375" t="str">
        <f>Raw_Claims_Data!G374</f>
        <v>A</v>
      </c>
      <c r="H375" t="str">
        <f>Raw_Claims_Data!H374</f>
        <v>Total Loss</v>
      </c>
      <c r="I375" t="str">
        <f>IF(Raw_Claims_Data!I374="","None",Raw_Claims_Data!I374)</f>
        <v>Ambulance</v>
      </c>
      <c r="J375" t="str">
        <f>Raw_Claims_Data!J374</f>
        <v>Montgomery</v>
      </c>
      <c r="K375" t="str">
        <f>Raw_Claims_Data!K374</f>
        <v>AL</v>
      </c>
      <c r="L375">
        <f>Raw_Claims_Data!L374</f>
        <v>20</v>
      </c>
      <c r="M375" t="str">
        <f>IF(Raw_Claims_Data!M374="","N/A",Raw_Claims_Data!M374)</f>
        <v>VNDR00197</v>
      </c>
      <c r="N375" t="str">
        <f>Raw_Claims_Data!N374</f>
        <v>AGENT00832</v>
      </c>
      <c r="O375">
        <f>IF(Raw_Claims_Data!G374="D",1,0)</f>
        <v>0</v>
      </c>
    </row>
    <row r="376" spans="1:15" x14ac:dyDescent="0.35">
      <c r="A376" t="str">
        <f>Raw_Claims_Data!A375</f>
        <v>TXN00000372</v>
      </c>
      <c r="B376" t="str">
        <f>TRIM(Raw_Claims_Data!B375)</f>
        <v>Randal Klein</v>
      </c>
      <c r="C376" t="str">
        <f>Raw_Claims_Data!C375</f>
        <v>Health</v>
      </c>
      <c r="D376">
        <f>Raw_Claims_Data!D375</f>
        <v>183.36</v>
      </c>
      <c r="E376">
        <f>Raw_Claims_Data!E375</f>
        <v>6000</v>
      </c>
      <c r="F376" t="str">
        <f>Raw_Claims_Data!F375</f>
        <v>GA</v>
      </c>
      <c r="G376" t="str">
        <f>Raw_Claims_Data!G375</f>
        <v>A</v>
      </c>
      <c r="H376" t="str">
        <f>Raw_Claims_Data!H375</f>
        <v>Minor Loss</v>
      </c>
      <c r="I376" t="str">
        <f>IF(Raw_Claims_Data!I375="","None",Raw_Claims_Data!I375)</f>
        <v>Ambulance</v>
      </c>
      <c r="J376" t="str">
        <f>Raw_Claims_Data!J375</f>
        <v>Montgomery</v>
      </c>
      <c r="K376" t="str">
        <f>Raw_Claims_Data!K375</f>
        <v>AL</v>
      </c>
      <c r="L376">
        <f>Raw_Claims_Data!L375</f>
        <v>17</v>
      </c>
      <c r="M376" t="str">
        <f>IF(Raw_Claims_Data!M375="","N/A",Raw_Claims_Data!M375)</f>
        <v>N/A</v>
      </c>
      <c r="N376" t="str">
        <f>Raw_Claims_Data!N375</f>
        <v>AGENT00253</v>
      </c>
      <c r="O376">
        <f>IF(Raw_Claims_Data!G375="D",1,0)</f>
        <v>0</v>
      </c>
    </row>
    <row r="377" spans="1:15" x14ac:dyDescent="0.35">
      <c r="A377" t="str">
        <f>Raw_Claims_Data!A376</f>
        <v>TXN00000373</v>
      </c>
      <c r="B377" t="str">
        <f>TRIM(Raw_Claims_Data!B376)</f>
        <v>Virgie Tucker</v>
      </c>
      <c r="C377" t="str">
        <f>Raw_Claims_Data!C376</f>
        <v>Mobile</v>
      </c>
      <c r="D377">
        <f>Raw_Claims_Data!D376</f>
        <v>9.24</v>
      </c>
      <c r="E377">
        <f>Raw_Claims_Data!E376</f>
        <v>200</v>
      </c>
      <c r="F377" t="str">
        <f>Raw_Claims_Data!F376</f>
        <v>VT</v>
      </c>
      <c r="G377" t="str">
        <f>Raw_Claims_Data!G376</f>
        <v>A</v>
      </c>
      <c r="H377" t="str">
        <f>Raw_Claims_Data!H376</f>
        <v>Major Loss</v>
      </c>
      <c r="I377" t="str">
        <f>IF(Raw_Claims_Data!I376="","None",Raw_Claims_Data!I376)</f>
        <v>Ambulance</v>
      </c>
      <c r="J377" t="str">
        <f>Raw_Claims_Data!J376</f>
        <v>Glen Burnie</v>
      </c>
      <c r="K377" t="str">
        <f>Raw_Claims_Data!K376</f>
        <v>MD</v>
      </c>
      <c r="L377">
        <f>Raw_Claims_Data!L376</f>
        <v>19</v>
      </c>
      <c r="M377" t="str">
        <f>IF(Raw_Claims_Data!M376="","N/A",Raw_Claims_Data!M376)</f>
        <v>VNDR00206</v>
      </c>
      <c r="N377" t="str">
        <f>Raw_Claims_Data!N376</f>
        <v>AGENT00333</v>
      </c>
      <c r="O377">
        <f>IF(Raw_Claims_Data!G376="D",1,0)</f>
        <v>0</v>
      </c>
    </row>
    <row r="378" spans="1:15" x14ac:dyDescent="0.35">
      <c r="A378" t="str">
        <f>Raw_Claims_Data!A377</f>
        <v>TXN00000374</v>
      </c>
      <c r="B378" t="str">
        <f>TRIM(Raw_Claims_Data!B377)</f>
        <v>Robin Crawford</v>
      </c>
      <c r="C378" t="str">
        <f>Raw_Claims_Data!C377</f>
        <v>Mobile</v>
      </c>
      <c r="D378">
        <f>Raw_Claims_Data!D377</f>
        <v>8.43</v>
      </c>
      <c r="E378">
        <f>Raw_Claims_Data!E377</f>
        <v>700</v>
      </c>
      <c r="F378" t="str">
        <f>Raw_Claims_Data!F377</f>
        <v>OK</v>
      </c>
      <c r="G378" t="str">
        <f>Raw_Claims_Data!G377</f>
        <v>A</v>
      </c>
      <c r="H378" t="str">
        <f>Raw_Claims_Data!H377</f>
        <v>Total Loss</v>
      </c>
      <c r="I378" t="str">
        <f>IF(Raw_Claims_Data!I377="","None",Raw_Claims_Data!I377)</f>
        <v>Ambulance</v>
      </c>
      <c r="J378" t="str">
        <f>Raw_Claims_Data!J377</f>
        <v>Savannah</v>
      </c>
      <c r="K378" t="str">
        <f>Raw_Claims_Data!K377</f>
        <v>GA</v>
      </c>
      <c r="L378">
        <f>Raw_Claims_Data!L377</f>
        <v>23</v>
      </c>
      <c r="M378" t="str">
        <f>IF(Raw_Claims_Data!M377="","N/A",Raw_Claims_Data!M377)</f>
        <v>VNDR00482</v>
      </c>
      <c r="N378" t="str">
        <f>Raw_Claims_Data!N377</f>
        <v>AGENT00315</v>
      </c>
      <c r="O378">
        <f>IF(Raw_Claims_Data!G377="D",1,0)</f>
        <v>0</v>
      </c>
    </row>
    <row r="379" spans="1:15" x14ac:dyDescent="0.35">
      <c r="A379" t="str">
        <f>Raw_Claims_Data!A378</f>
        <v>TXN00000375</v>
      </c>
      <c r="B379" t="str">
        <f>TRIM(Raw_Claims_Data!B378)</f>
        <v>Amanda Tusa</v>
      </c>
      <c r="C379" t="str">
        <f>Raw_Claims_Data!C378</f>
        <v>Mobile</v>
      </c>
      <c r="D379">
        <f>Raw_Claims_Data!D378</f>
        <v>8.86</v>
      </c>
      <c r="E379">
        <f>Raw_Claims_Data!E378</f>
        <v>500</v>
      </c>
      <c r="F379" t="str">
        <f>Raw_Claims_Data!F378</f>
        <v>AR</v>
      </c>
      <c r="G379" t="str">
        <f>Raw_Claims_Data!G378</f>
        <v>A</v>
      </c>
      <c r="H379" t="str">
        <f>Raw_Claims_Data!H378</f>
        <v>Minor Loss</v>
      </c>
      <c r="I379" t="str">
        <f>IF(Raw_Claims_Data!I378="","None",Raw_Claims_Data!I378)</f>
        <v>None</v>
      </c>
      <c r="J379" t="str">
        <f>Raw_Claims_Data!J378</f>
        <v>Guildhall</v>
      </c>
      <c r="K379" t="str">
        <f>Raw_Claims_Data!K378</f>
        <v>VT</v>
      </c>
      <c r="L379">
        <f>Raw_Claims_Data!L378</f>
        <v>12</v>
      </c>
      <c r="M379" t="str">
        <f>IF(Raw_Claims_Data!M378="","N/A",Raw_Claims_Data!M378)</f>
        <v>VNDR00010</v>
      </c>
      <c r="N379" t="str">
        <f>Raw_Claims_Data!N378</f>
        <v>AGENT00796</v>
      </c>
      <c r="O379">
        <f>IF(Raw_Claims_Data!G378="D",1,0)</f>
        <v>0</v>
      </c>
    </row>
    <row r="380" spans="1:15" x14ac:dyDescent="0.35">
      <c r="A380" t="str">
        <f>Raw_Claims_Data!A379</f>
        <v>TXN00000376</v>
      </c>
      <c r="B380" t="str">
        <f>TRIM(Raw_Claims_Data!B379)</f>
        <v>Frances Thomas</v>
      </c>
      <c r="C380" t="str">
        <f>Raw_Claims_Data!C379</f>
        <v>Property</v>
      </c>
      <c r="D380">
        <f>Raw_Claims_Data!D379</f>
        <v>84.51</v>
      </c>
      <c r="E380">
        <f>Raw_Claims_Data!E379</f>
        <v>11000</v>
      </c>
      <c r="F380" t="str">
        <f>Raw_Claims_Data!F379</f>
        <v>AL</v>
      </c>
      <c r="G380" t="str">
        <f>Raw_Claims_Data!G379</f>
        <v>A</v>
      </c>
      <c r="H380" t="str">
        <f>Raw_Claims_Data!H379</f>
        <v>Minor Loss</v>
      </c>
      <c r="I380" t="str">
        <f>IF(Raw_Claims_Data!I379="","None",Raw_Claims_Data!I379)</f>
        <v>None</v>
      </c>
      <c r="J380" t="str">
        <f>Raw_Claims_Data!J379</f>
        <v>Redding</v>
      </c>
      <c r="K380" t="str">
        <f>Raw_Claims_Data!K379</f>
        <v>CA</v>
      </c>
      <c r="L380">
        <f>Raw_Claims_Data!L379</f>
        <v>22</v>
      </c>
      <c r="M380" t="str">
        <f>IF(Raw_Claims_Data!M379="","N/A",Raw_Claims_Data!M379)</f>
        <v>VNDR00398</v>
      </c>
      <c r="N380" t="str">
        <f>Raw_Claims_Data!N379</f>
        <v>AGENT00928</v>
      </c>
      <c r="O380">
        <f>IF(Raw_Claims_Data!G379="D",1,0)</f>
        <v>0</v>
      </c>
    </row>
    <row r="381" spans="1:15" x14ac:dyDescent="0.35">
      <c r="A381" t="str">
        <f>Raw_Claims_Data!A380</f>
        <v>TXN00000377</v>
      </c>
      <c r="B381" t="str">
        <f>TRIM(Raw_Claims_Data!B380)</f>
        <v>Christina Foster</v>
      </c>
      <c r="C381" t="str">
        <f>Raw_Claims_Data!C380</f>
        <v>Motor</v>
      </c>
      <c r="D381">
        <f>Raw_Claims_Data!D380</f>
        <v>139.24</v>
      </c>
      <c r="E381">
        <f>Raw_Claims_Data!E380</f>
        <v>4000</v>
      </c>
      <c r="F381" t="str">
        <f>Raw_Claims_Data!F380</f>
        <v>KY</v>
      </c>
      <c r="G381" t="str">
        <f>Raw_Claims_Data!G380</f>
        <v>A</v>
      </c>
      <c r="H381" t="str">
        <f>Raw_Claims_Data!H380</f>
        <v>Minor Loss</v>
      </c>
      <c r="I381" t="str">
        <f>IF(Raw_Claims_Data!I380="","None",Raw_Claims_Data!I380)</f>
        <v>Ambulance</v>
      </c>
      <c r="J381" t="str">
        <f>Raw_Claims_Data!J380</f>
        <v>Montgomery</v>
      </c>
      <c r="K381" t="str">
        <f>Raw_Claims_Data!K380</f>
        <v>AL</v>
      </c>
      <c r="L381">
        <f>Raw_Claims_Data!L380</f>
        <v>1</v>
      </c>
      <c r="M381" t="str">
        <f>IF(Raw_Claims_Data!M380="","N/A",Raw_Claims_Data!M380)</f>
        <v>VNDR00553</v>
      </c>
      <c r="N381" t="str">
        <f>Raw_Claims_Data!N380</f>
        <v>AGENT00308</v>
      </c>
      <c r="O381">
        <f>IF(Raw_Claims_Data!G380="D",1,0)</f>
        <v>0</v>
      </c>
    </row>
    <row r="382" spans="1:15" x14ac:dyDescent="0.35">
      <c r="A382" t="str">
        <f>Raw_Claims_Data!A381</f>
        <v>TXN00000378</v>
      </c>
      <c r="B382" t="str">
        <f>TRIM(Raw_Claims_Data!B381)</f>
        <v>Faye Moore</v>
      </c>
      <c r="C382" t="str">
        <f>Raw_Claims_Data!C381</f>
        <v>Health</v>
      </c>
      <c r="D382">
        <f>Raw_Claims_Data!D381</f>
        <v>195.7</v>
      </c>
      <c r="E382">
        <f>Raw_Claims_Data!E381</f>
        <v>5000</v>
      </c>
      <c r="F382" t="str">
        <f>Raw_Claims_Data!F381</f>
        <v>AR</v>
      </c>
      <c r="G382" t="str">
        <f>Raw_Claims_Data!G381</f>
        <v>A</v>
      </c>
      <c r="H382" t="str">
        <f>Raw_Claims_Data!H381</f>
        <v>Total Loss</v>
      </c>
      <c r="I382" t="str">
        <f>IF(Raw_Claims_Data!I381="","None",Raw_Claims_Data!I381)</f>
        <v>Ambulance</v>
      </c>
      <c r="J382" t="str">
        <f>Raw_Claims_Data!J381</f>
        <v>Glendale</v>
      </c>
      <c r="K382" t="str">
        <f>Raw_Claims_Data!K381</f>
        <v>AZ</v>
      </c>
      <c r="L382">
        <f>Raw_Claims_Data!L381</f>
        <v>15</v>
      </c>
      <c r="M382" t="str">
        <f>IF(Raw_Claims_Data!M381="","N/A",Raw_Claims_Data!M381)</f>
        <v>N/A</v>
      </c>
      <c r="N382" t="str">
        <f>Raw_Claims_Data!N381</f>
        <v>AGENT00420</v>
      </c>
      <c r="O382">
        <f>IF(Raw_Claims_Data!G381="D",1,0)</f>
        <v>0</v>
      </c>
    </row>
    <row r="383" spans="1:15" x14ac:dyDescent="0.35">
      <c r="A383" t="str">
        <f>Raw_Claims_Data!A382</f>
        <v>TXN00000379</v>
      </c>
      <c r="B383" t="str">
        <f>TRIM(Raw_Claims_Data!B382)</f>
        <v>David Williams</v>
      </c>
      <c r="C383" t="str">
        <f>Raw_Claims_Data!C382</f>
        <v>Health</v>
      </c>
      <c r="D383">
        <f>Raw_Claims_Data!D382</f>
        <v>135.65</v>
      </c>
      <c r="E383">
        <f>Raw_Claims_Data!E382</f>
        <v>10000</v>
      </c>
      <c r="F383" t="str">
        <f>Raw_Claims_Data!F382</f>
        <v>AZ</v>
      </c>
      <c r="G383" t="str">
        <f>Raw_Claims_Data!G382</f>
        <v>A</v>
      </c>
      <c r="H383" t="str">
        <f>Raw_Claims_Data!H382</f>
        <v>Total Loss</v>
      </c>
      <c r="I383" t="str">
        <f>IF(Raw_Claims_Data!I382="","None",Raw_Claims_Data!I382)</f>
        <v>None</v>
      </c>
      <c r="J383" t="str">
        <f>Raw_Claims_Data!J382</f>
        <v>Louisville</v>
      </c>
      <c r="K383" t="str">
        <f>Raw_Claims_Data!K382</f>
        <v>KY</v>
      </c>
      <c r="L383">
        <f>Raw_Claims_Data!L382</f>
        <v>23</v>
      </c>
      <c r="M383" t="str">
        <f>IF(Raw_Claims_Data!M382="","N/A",Raw_Claims_Data!M382)</f>
        <v>VNDR00034</v>
      </c>
      <c r="N383" t="str">
        <f>Raw_Claims_Data!N382</f>
        <v>AGENT00214</v>
      </c>
      <c r="O383">
        <f>IF(Raw_Claims_Data!G382="D",1,0)</f>
        <v>0</v>
      </c>
    </row>
    <row r="384" spans="1:15" x14ac:dyDescent="0.35">
      <c r="A384" t="str">
        <f>Raw_Claims_Data!A383</f>
        <v>TXN00000380</v>
      </c>
      <c r="B384" t="str">
        <f>TRIM(Raw_Claims_Data!B383)</f>
        <v>Paul Pao</v>
      </c>
      <c r="C384" t="str">
        <f>Raw_Claims_Data!C383</f>
        <v>Travel</v>
      </c>
      <c r="D384">
        <f>Raw_Claims_Data!D383</f>
        <v>94.8</v>
      </c>
      <c r="E384">
        <f>Raw_Claims_Data!E383</f>
        <v>4000</v>
      </c>
      <c r="F384" t="str">
        <f>Raw_Claims_Data!F383</f>
        <v>GA</v>
      </c>
      <c r="G384" t="str">
        <f>Raw_Claims_Data!G383</f>
        <v>A</v>
      </c>
      <c r="H384" t="str">
        <f>Raw_Claims_Data!H383</f>
        <v>Major Loss</v>
      </c>
      <c r="I384" t="str">
        <f>IF(Raw_Claims_Data!I383="","None",Raw_Claims_Data!I383)</f>
        <v>Police</v>
      </c>
      <c r="J384" t="str">
        <f>Raw_Claims_Data!J383</f>
        <v>Anchorage</v>
      </c>
      <c r="K384" t="str">
        <f>Raw_Claims_Data!K383</f>
        <v>AK</v>
      </c>
      <c r="L384">
        <f>Raw_Claims_Data!L383</f>
        <v>1</v>
      </c>
      <c r="M384" t="str">
        <f>IF(Raw_Claims_Data!M383="","N/A",Raw_Claims_Data!M383)</f>
        <v>VNDR00543</v>
      </c>
      <c r="N384" t="str">
        <f>Raw_Claims_Data!N383</f>
        <v>AGENT01069</v>
      </c>
      <c r="O384">
        <f>IF(Raw_Claims_Data!G383="D",1,0)</f>
        <v>0</v>
      </c>
    </row>
    <row r="385" spans="1:15" x14ac:dyDescent="0.35">
      <c r="A385" t="str">
        <f>Raw_Claims_Data!A384</f>
        <v>TXN00000381</v>
      </c>
      <c r="B385" t="str">
        <f>TRIM(Raw_Claims_Data!B384)</f>
        <v>Evelyn Felix</v>
      </c>
      <c r="C385" t="str">
        <f>Raw_Claims_Data!C384</f>
        <v>Mobile</v>
      </c>
      <c r="D385">
        <f>Raw_Claims_Data!D384</f>
        <v>11.32</v>
      </c>
      <c r="E385">
        <f>Raw_Claims_Data!E384</f>
        <v>600</v>
      </c>
      <c r="F385" t="str">
        <f>Raw_Claims_Data!F384</f>
        <v>CT</v>
      </c>
      <c r="G385" t="str">
        <f>Raw_Claims_Data!G384</f>
        <v>A</v>
      </c>
      <c r="H385" t="str">
        <f>Raw_Claims_Data!H384</f>
        <v>Major Loss</v>
      </c>
      <c r="I385" t="str">
        <f>IF(Raw_Claims_Data!I384="","None",Raw_Claims_Data!I384)</f>
        <v>Police</v>
      </c>
      <c r="J385" t="str">
        <f>Raw_Claims_Data!J384</f>
        <v>Westmore</v>
      </c>
      <c r="K385" t="str">
        <f>Raw_Claims_Data!K384</f>
        <v>VT</v>
      </c>
      <c r="L385">
        <f>Raw_Claims_Data!L384</f>
        <v>19</v>
      </c>
      <c r="M385" t="str">
        <f>IF(Raw_Claims_Data!M384="","N/A",Raw_Claims_Data!M384)</f>
        <v>N/A</v>
      </c>
      <c r="N385" t="str">
        <f>Raw_Claims_Data!N384</f>
        <v>AGENT00176</v>
      </c>
      <c r="O385">
        <f>IF(Raw_Claims_Data!G384="D",1,0)</f>
        <v>0</v>
      </c>
    </row>
    <row r="386" spans="1:15" x14ac:dyDescent="0.35">
      <c r="A386" t="str">
        <f>Raw_Claims_Data!A385</f>
        <v>TXN00000382</v>
      </c>
      <c r="B386" t="str">
        <f>TRIM(Raw_Claims_Data!B385)</f>
        <v>Nichole Hayhurst</v>
      </c>
      <c r="C386" t="str">
        <f>Raw_Claims_Data!C385</f>
        <v>Property</v>
      </c>
      <c r="D386">
        <f>Raw_Claims_Data!D385</f>
        <v>94.03</v>
      </c>
      <c r="E386">
        <f>Raw_Claims_Data!E385</f>
        <v>19000</v>
      </c>
      <c r="F386" t="str">
        <f>Raw_Claims_Data!F385</f>
        <v>AK</v>
      </c>
      <c r="G386" t="str">
        <f>Raw_Claims_Data!G385</f>
        <v>A</v>
      </c>
      <c r="H386" t="str">
        <f>Raw_Claims_Data!H385</f>
        <v>Major Loss</v>
      </c>
      <c r="I386" t="str">
        <f>IF(Raw_Claims_Data!I385="","None",Raw_Claims_Data!I385)</f>
        <v>Ambulance</v>
      </c>
      <c r="J386" t="str">
        <f>Raw_Claims_Data!J385</f>
        <v>Washington</v>
      </c>
      <c r="K386" t="str">
        <f>Raw_Claims_Data!K385</f>
        <v>DC</v>
      </c>
      <c r="L386">
        <f>Raw_Claims_Data!L385</f>
        <v>16</v>
      </c>
      <c r="M386" t="str">
        <f>IF(Raw_Claims_Data!M385="","N/A",Raw_Claims_Data!M385)</f>
        <v>VNDR00565</v>
      </c>
      <c r="N386" t="str">
        <f>Raw_Claims_Data!N385</f>
        <v>AGENT00601</v>
      </c>
      <c r="O386">
        <f>IF(Raw_Claims_Data!G385="D",1,0)</f>
        <v>0</v>
      </c>
    </row>
    <row r="387" spans="1:15" x14ac:dyDescent="0.35">
      <c r="A387" t="str">
        <f>Raw_Claims_Data!A386</f>
        <v>TXN00000383</v>
      </c>
      <c r="B387" t="str">
        <f>TRIM(Raw_Claims_Data!B386)</f>
        <v>John Medina</v>
      </c>
      <c r="C387" t="str">
        <f>Raw_Claims_Data!C386</f>
        <v>Mobile</v>
      </c>
      <c r="D387">
        <f>Raw_Claims_Data!D386</f>
        <v>8.3800000000000008</v>
      </c>
      <c r="E387">
        <f>Raw_Claims_Data!E386</f>
        <v>700</v>
      </c>
      <c r="F387" t="str">
        <f>Raw_Claims_Data!F386</f>
        <v>CT</v>
      </c>
      <c r="G387" t="str">
        <f>Raw_Claims_Data!G386</f>
        <v>A</v>
      </c>
      <c r="H387" t="str">
        <f>Raw_Claims_Data!H386</f>
        <v>Minor Loss</v>
      </c>
      <c r="I387" t="str">
        <f>IF(Raw_Claims_Data!I386="","None",Raw_Claims_Data!I386)</f>
        <v>Police</v>
      </c>
      <c r="J387" t="str">
        <f>Raw_Claims_Data!J386</f>
        <v>Montgomery</v>
      </c>
      <c r="K387" t="str">
        <f>Raw_Claims_Data!K386</f>
        <v>AL</v>
      </c>
      <c r="L387">
        <f>Raw_Claims_Data!L386</f>
        <v>16</v>
      </c>
      <c r="M387" t="str">
        <f>IF(Raw_Claims_Data!M386="","N/A",Raw_Claims_Data!M386)</f>
        <v>VNDR00541</v>
      </c>
      <c r="N387" t="str">
        <f>Raw_Claims_Data!N386</f>
        <v>AGENT00553</v>
      </c>
      <c r="O387">
        <f>IF(Raw_Claims_Data!G386="D",1,0)</f>
        <v>0</v>
      </c>
    </row>
    <row r="388" spans="1:15" x14ac:dyDescent="0.35">
      <c r="A388" t="str">
        <f>Raw_Claims_Data!A387</f>
        <v>TXN00000384</v>
      </c>
      <c r="B388" t="str">
        <f>TRIM(Raw_Claims_Data!B387)</f>
        <v>Mario Caruso</v>
      </c>
      <c r="C388" t="str">
        <f>Raw_Claims_Data!C387</f>
        <v>Health</v>
      </c>
      <c r="D388">
        <f>Raw_Claims_Data!D387</f>
        <v>193.07</v>
      </c>
      <c r="E388">
        <f>Raw_Claims_Data!E387</f>
        <v>15000</v>
      </c>
      <c r="F388" t="str">
        <f>Raw_Claims_Data!F387</f>
        <v>CA</v>
      </c>
      <c r="G388" t="str">
        <f>Raw_Claims_Data!G387</f>
        <v>A</v>
      </c>
      <c r="H388" t="str">
        <f>Raw_Claims_Data!H387</f>
        <v>Major Loss</v>
      </c>
      <c r="I388" t="str">
        <f>IF(Raw_Claims_Data!I387="","None",Raw_Claims_Data!I387)</f>
        <v>Police</v>
      </c>
      <c r="J388" t="str">
        <f>Raw_Claims_Data!J387</f>
        <v>Alameda</v>
      </c>
      <c r="K388" t="str">
        <f>Raw_Claims_Data!K387</f>
        <v>CA</v>
      </c>
      <c r="L388">
        <f>Raw_Claims_Data!L387</f>
        <v>8</v>
      </c>
      <c r="M388" t="str">
        <f>IF(Raw_Claims_Data!M387="","N/A",Raw_Claims_Data!M387)</f>
        <v>VNDR00448</v>
      </c>
      <c r="N388" t="str">
        <f>Raw_Claims_Data!N387</f>
        <v>AGENT01192</v>
      </c>
      <c r="O388">
        <f>IF(Raw_Claims_Data!G387="D",1,0)</f>
        <v>0</v>
      </c>
    </row>
    <row r="389" spans="1:15" x14ac:dyDescent="0.35">
      <c r="A389" t="str">
        <f>Raw_Claims_Data!A388</f>
        <v>TXN00000385</v>
      </c>
      <c r="B389" t="str">
        <f>TRIM(Raw_Claims_Data!B388)</f>
        <v>Scott Phillips</v>
      </c>
      <c r="C389" t="str">
        <f>Raw_Claims_Data!C388</f>
        <v>Health</v>
      </c>
      <c r="D389">
        <f>Raw_Claims_Data!D388</f>
        <v>141.38999999999999</v>
      </c>
      <c r="E389">
        <f>Raw_Claims_Data!E388</f>
        <v>12000</v>
      </c>
      <c r="F389" t="str">
        <f>Raw_Claims_Data!F388</f>
        <v>DC</v>
      </c>
      <c r="G389" t="str">
        <f>Raw_Claims_Data!G388</f>
        <v>A</v>
      </c>
      <c r="H389" t="str">
        <f>Raw_Claims_Data!H388</f>
        <v>Minor Loss</v>
      </c>
      <c r="I389" t="str">
        <f>IF(Raw_Claims_Data!I388="","None",Raw_Claims_Data!I388)</f>
        <v>Other</v>
      </c>
      <c r="J389" t="str">
        <f>Raw_Claims_Data!J388</f>
        <v>Evergreen</v>
      </c>
      <c r="K389" t="str">
        <f>Raw_Claims_Data!K388</f>
        <v>CO</v>
      </c>
      <c r="L389">
        <f>Raw_Claims_Data!L388</f>
        <v>7</v>
      </c>
      <c r="M389" t="str">
        <f>IF(Raw_Claims_Data!M388="","N/A",Raw_Claims_Data!M388)</f>
        <v>N/A</v>
      </c>
      <c r="N389" t="str">
        <f>Raw_Claims_Data!N388</f>
        <v>AGENT00471</v>
      </c>
      <c r="O389">
        <f>IF(Raw_Claims_Data!G388="D",1,0)</f>
        <v>0</v>
      </c>
    </row>
    <row r="390" spans="1:15" x14ac:dyDescent="0.35">
      <c r="A390" t="str">
        <f>Raw_Claims_Data!A389</f>
        <v>TXN00000386</v>
      </c>
      <c r="B390" t="str">
        <f>TRIM(Raw_Claims_Data!B389)</f>
        <v>Helen Brown</v>
      </c>
      <c r="C390" t="str">
        <f>Raw_Claims_Data!C389</f>
        <v>Life</v>
      </c>
      <c r="D390">
        <f>Raw_Claims_Data!D389</f>
        <v>57.19</v>
      </c>
      <c r="E390">
        <f>Raw_Claims_Data!E389</f>
        <v>47000</v>
      </c>
      <c r="F390" t="str">
        <f>Raw_Claims_Data!F389</f>
        <v>DC</v>
      </c>
      <c r="G390" t="str">
        <f>Raw_Claims_Data!G389</f>
        <v>A</v>
      </c>
      <c r="H390" t="str">
        <f>Raw_Claims_Data!H389</f>
        <v>Total Loss</v>
      </c>
      <c r="I390" t="str">
        <f>IF(Raw_Claims_Data!I389="","None",Raw_Claims_Data!I389)</f>
        <v>Police</v>
      </c>
      <c r="J390" t="str">
        <f>Raw_Claims_Data!J389</f>
        <v>Manchester</v>
      </c>
      <c r="K390" t="str">
        <f>Raw_Claims_Data!K389</f>
        <v>CT</v>
      </c>
      <c r="L390">
        <f>Raw_Claims_Data!L389</f>
        <v>17</v>
      </c>
      <c r="M390" t="str">
        <f>IF(Raw_Claims_Data!M389="","N/A",Raw_Claims_Data!M389)</f>
        <v>VNDR00510</v>
      </c>
      <c r="N390" t="str">
        <f>Raw_Claims_Data!N389</f>
        <v>AGENT00208</v>
      </c>
      <c r="O390">
        <f>IF(Raw_Claims_Data!G389="D",1,0)</f>
        <v>0</v>
      </c>
    </row>
    <row r="391" spans="1:15" x14ac:dyDescent="0.35">
      <c r="A391" t="str">
        <f>Raw_Claims_Data!A390</f>
        <v>TXN00000387</v>
      </c>
      <c r="B391" t="str">
        <f>TRIM(Raw_Claims_Data!B390)</f>
        <v>John Hunter</v>
      </c>
      <c r="C391" t="str">
        <f>Raw_Claims_Data!C390</f>
        <v>Property</v>
      </c>
      <c r="D391">
        <f>Raw_Claims_Data!D390</f>
        <v>108.51</v>
      </c>
      <c r="E391">
        <f>Raw_Claims_Data!E390</f>
        <v>32000</v>
      </c>
      <c r="F391" t="str">
        <f>Raw_Claims_Data!F390</f>
        <v>GA</v>
      </c>
      <c r="G391" t="str">
        <f>Raw_Claims_Data!G390</f>
        <v>A</v>
      </c>
      <c r="H391" t="str">
        <f>Raw_Claims_Data!H390</f>
        <v>Major Loss</v>
      </c>
      <c r="I391" t="str">
        <f>IF(Raw_Claims_Data!I390="","None",Raw_Claims_Data!I390)</f>
        <v>Ambulance</v>
      </c>
      <c r="J391" t="str">
        <f>Raw_Claims_Data!J390</f>
        <v>Nashville</v>
      </c>
      <c r="K391" t="str">
        <f>Raw_Claims_Data!K390</f>
        <v>TN</v>
      </c>
      <c r="L391">
        <f>Raw_Claims_Data!L390</f>
        <v>3</v>
      </c>
      <c r="M391" t="str">
        <f>IF(Raw_Claims_Data!M390="","N/A",Raw_Claims_Data!M390)</f>
        <v>VNDR00500</v>
      </c>
      <c r="N391" t="str">
        <f>Raw_Claims_Data!N390</f>
        <v>AGENT00396</v>
      </c>
      <c r="O391">
        <f>IF(Raw_Claims_Data!G390="D",1,0)</f>
        <v>0</v>
      </c>
    </row>
    <row r="392" spans="1:15" x14ac:dyDescent="0.35">
      <c r="A392" t="str">
        <f>Raw_Claims_Data!A391</f>
        <v>TXN00000388</v>
      </c>
      <c r="B392" t="str">
        <f>TRIM(Raw_Claims_Data!B391)</f>
        <v>William Santiago</v>
      </c>
      <c r="C392" t="str">
        <f>Raw_Claims_Data!C391</f>
        <v>Health</v>
      </c>
      <c r="D392">
        <f>Raw_Claims_Data!D391</f>
        <v>102.47</v>
      </c>
      <c r="E392">
        <f>Raw_Claims_Data!E391</f>
        <v>18000</v>
      </c>
      <c r="F392" t="str">
        <f>Raw_Claims_Data!F391</f>
        <v>AK</v>
      </c>
      <c r="G392" t="str">
        <f>Raw_Claims_Data!G391</f>
        <v>A</v>
      </c>
      <c r="H392" t="str">
        <f>Raw_Claims_Data!H391</f>
        <v>Total Loss</v>
      </c>
      <c r="I392" t="str">
        <f>IF(Raw_Claims_Data!I391="","None",Raw_Claims_Data!I391)</f>
        <v>Other</v>
      </c>
      <c r="J392" t="str">
        <f>Raw_Claims_Data!J391</f>
        <v>Severna Park</v>
      </c>
      <c r="K392" t="str">
        <f>Raw_Claims_Data!K391</f>
        <v>MD</v>
      </c>
      <c r="L392">
        <f>Raw_Claims_Data!L391</f>
        <v>12</v>
      </c>
      <c r="M392" t="str">
        <f>IF(Raw_Claims_Data!M391="","N/A",Raw_Claims_Data!M391)</f>
        <v>VNDR00211</v>
      </c>
      <c r="N392" t="str">
        <f>Raw_Claims_Data!N391</f>
        <v>AGENT01041</v>
      </c>
      <c r="O392">
        <f>IF(Raw_Claims_Data!G391="D",1,0)</f>
        <v>0</v>
      </c>
    </row>
    <row r="393" spans="1:15" x14ac:dyDescent="0.35">
      <c r="A393" t="str">
        <f>Raw_Claims_Data!A392</f>
        <v>TXN00000389</v>
      </c>
      <c r="B393" t="str">
        <f>TRIM(Raw_Claims_Data!B392)</f>
        <v>Eric Riveroll</v>
      </c>
      <c r="C393" t="str">
        <f>Raw_Claims_Data!C392</f>
        <v>Travel</v>
      </c>
      <c r="D393">
        <f>Raw_Claims_Data!D392</f>
        <v>55.97</v>
      </c>
      <c r="E393">
        <f>Raw_Claims_Data!E392</f>
        <v>4000</v>
      </c>
      <c r="F393" t="str">
        <f>Raw_Claims_Data!F392</f>
        <v>CA</v>
      </c>
      <c r="G393" t="str">
        <f>Raw_Claims_Data!G392</f>
        <v>A</v>
      </c>
      <c r="H393" t="str">
        <f>Raw_Claims_Data!H392</f>
        <v>Major Loss</v>
      </c>
      <c r="I393" t="str">
        <f>IF(Raw_Claims_Data!I392="","None",Raw_Claims_Data!I392)</f>
        <v>Police</v>
      </c>
      <c r="J393" t="str">
        <f>Raw_Claims_Data!J392</f>
        <v>Barre</v>
      </c>
      <c r="K393" t="str">
        <f>Raw_Claims_Data!K392</f>
        <v>VT</v>
      </c>
      <c r="L393">
        <f>Raw_Claims_Data!L392</f>
        <v>12</v>
      </c>
      <c r="M393" t="str">
        <f>IF(Raw_Claims_Data!M392="","N/A",Raw_Claims_Data!M392)</f>
        <v>VNDR00071</v>
      </c>
      <c r="N393" t="str">
        <f>Raw_Claims_Data!N392</f>
        <v>AGENT01184</v>
      </c>
      <c r="O393">
        <f>IF(Raw_Claims_Data!G392="D",1,0)</f>
        <v>0</v>
      </c>
    </row>
    <row r="394" spans="1:15" x14ac:dyDescent="0.35">
      <c r="A394" t="str">
        <f>Raw_Claims_Data!A393</f>
        <v>TXN00000390</v>
      </c>
      <c r="B394" t="str">
        <f>TRIM(Raw_Claims_Data!B393)</f>
        <v>Brandon Wilson</v>
      </c>
      <c r="C394" t="str">
        <f>Raw_Claims_Data!C393</f>
        <v>Motor</v>
      </c>
      <c r="D394">
        <f>Raw_Claims_Data!D393</f>
        <v>112.53</v>
      </c>
      <c r="E394">
        <f>Raw_Claims_Data!E393</f>
        <v>8000</v>
      </c>
      <c r="F394" t="str">
        <f>Raw_Claims_Data!F393</f>
        <v>AR</v>
      </c>
      <c r="G394" t="str">
        <f>Raw_Claims_Data!G393</f>
        <v>A</v>
      </c>
      <c r="H394" t="str">
        <f>Raw_Claims_Data!H393</f>
        <v>Total Loss</v>
      </c>
      <c r="I394" t="str">
        <f>IF(Raw_Claims_Data!I393="","None",Raw_Claims_Data!I393)</f>
        <v>None</v>
      </c>
      <c r="J394" t="str">
        <f>Raw_Claims_Data!J393</f>
        <v>Brookfield</v>
      </c>
      <c r="K394" t="str">
        <f>Raw_Claims_Data!K393</f>
        <v>VT</v>
      </c>
      <c r="L394">
        <f>Raw_Claims_Data!L393</f>
        <v>9</v>
      </c>
      <c r="M394" t="str">
        <f>IF(Raw_Claims_Data!M393="","N/A",Raw_Claims_Data!M393)</f>
        <v>N/A</v>
      </c>
      <c r="N394" t="str">
        <f>Raw_Claims_Data!N393</f>
        <v>AGENT01057</v>
      </c>
      <c r="O394">
        <f>IF(Raw_Claims_Data!G393="D",1,0)</f>
        <v>0</v>
      </c>
    </row>
    <row r="395" spans="1:15" x14ac:dyDescent="0.35">
      <c r="A395" t="str">
        <f>Raw_Claims_Data!A394</f>
        <v>TXN00000391</v>
      </c>
      <c r="B395" t="str">
        <f>TRIM(Raw_Claims_Data!B394)</f>
        <v>Sara Callis</v>
      </c>
      <c r="C395" t="str">
        <f>Raw_Claims_Data!C394</f>
        <v>Mobile</v>
      </c>
      <c r="D395">
        <f>Raw_Claims_Data!D394</f>
        <v>6.97</v>
      </c>
      <c r="E395">
        <f>Raw_Claims_Data!E394</f>
        <v>700</v>
      </c>
      <c r="F395" t="str">
        <f>Raw_Claims_Data!F394</f>
        <v>DC</v>
      </c>
      <c r="G395" t="str">
        <f>Raw_Claims_Data!G394</f>
        <v>A</v>
      </c>
      <c r="H395" t="str">
        <f>Raw_Claims_Data!H394</f>
        <v>Minor Loss</v>
      </c>
      <c r="I395" t="str">
        <f>IF(Raw_Claims_Data!I394="","None",Raw_Claims_Data!I394)</f>
        <v>Other</v>
      </c>
      <c r="J395" t="str">
        <f>Raw_Claims_Data!J394</f>
        <v>Glendale</v>
      </c>
      <c r="K395" t="str">
        <f>Raw_Claims_Data!K394</f>
        <v>AZ</v>
      </c>
      <c r="L395">
        <f>Raw_Claims_Data!L394</f>
        <v>18</v>
      </c>
      <c r="M395" t="str">
        <f>IF(Raw_Claims_Data!M394="","N/A",Raw_Claims_Data!M394)</f>
        <v>VNDR00306</v>
      </c>
      <c r="N395" t="str">
        <f>Raw_Claims_Data!N394</f>
        <v>AGENT00652</v>
      </c>
      <c r="O395">
        <f>IF(Raw_Claims_Data!G394="D",1,0)</f>
        <v>0</v>
      </c>
    </row>
    <row r="396" spans="1:15" x14ac:dyDescent="0.35">
      <c r="A396" t="str">
        <f>Raw_Claims_Data!A395</f>
        <v>TXN00000392</v>
      </c>
      <c r="B396" t="str">
        <f>TRIM(Raw_Claims_Data!B395)</f>
        <v>Dorothy Williams</v>
      </c>
      <c r="C396" t="str">
        <f>Raw_Claims_Data!C395</f>
        <v>Life</v>
      </c>
      <c r="D396">
        <f>Raw_Claims_Data!D395</f>
        <v>78.38</v>
      </c>
      <c r="E396">
        <f>Raw_Claims_Data!E395</f>
        <v>56000</v>
      </c>
      <c r="F396" t="str">
        <f>Raw_Claims_Data!F395</f>
        <v>CA</v>
      </c>
      <c r="G396" t="str">
        <f>Raw_Claims_Data!G395</f>
        <v>A</v>
      </c>
      <c r="H396" t="str">
        <f>Raw_Claims_Data!H395</f>
        <v>Major Loss</v>
      </c>
      <c r="I396" t="str">
        <f>IF(Raw_Claims_Data!I395="","None",Raw_Claims_Data!I395)</f>
        <v>Ambulance</v>
      </c>
      <c r="J396" t="str">
        <f>Raw_Claims_Data!J395</f>
        <v>Glendale</v>
      </c>
      <c r="K396" t="str">
        <f>Raw_Claims_Data!K395</f>
        <v>AZ</v>
      </c>
      <c r="L396">
        <f>Raw_Claims_Data!L395</f>
        <v>11</v>
      </c>
      <c r="M396" t="str">
        <f>IF(Raw_Claims_Data!M395="","N/A",Raw_Claims_Data!M395)</f>
        <v>VNDR00556</v>
      </c>
      <c r="N396" t="str">
        <f>Raw_Claims_Data!N395</f>
        <v>AGENT01144</v>
      </c>
      <c r="O396">
        <f>IF(Raw_Claims_Data!G395="D",1,0)</f>
        <v>0</v>
      </c>
    </row>
    <row r="397" spans="1:15" x14ac:dyDescent="0.35">
      <c r="A397" t="str">
        <f>Raw_Claims_Data!A396</f>
        <v>TXN00000393</v>
      </c>
      <c r="B397" t="str">
        <f>TRIM(Raw_Claims_Data!B396)</f>
        <v>Rosemary Keller</v>
      </c>
      <c r="C397" t="str">
        <f>Raw_Claims_Data!C396</f>
        <v>Property</v>
      </c>
      <c r="D397">
        <f>Raw_Claims_Data!D396</f>
        <v>105.72</v>
      </c>
      <c r="E397">
        <f>Raw_Claims_Data!E396</f>
        <v>26000</v>
      </c>
      <c r="F397" t="str">
        <f>Raw_Claims_Data!F396</f>
        <v>OK</v>
      </c>
      <c r="G397" t="str">
        <f>Raw_Claims_Data!G396</f>
        <v>A</v>
      </c>
      <c r="H397" t="str">
        <f>Raw_Claims_Data!H396</f>
        <v>Major Loss</v>
      </c>
      <c r="I397" t="str">
        <f>IF(Raw_Claims_Data!I396="","None",Raw_Claims_Data!I396)</f>
        <v>Police</v>
      </c>
      <c r="J397" t="str">
        <f>Raw_Claims_Data!J396</f>
        <v>Fremont</v>
      </c>
      <c r="K397" t="str">
        <f>Raw_Claims_Data!K396</f>
        <v>CA</v>
      </c>
      <c r="L397">
        <f>Raw_Claims_Data!L396</f>
        <v>6</v>
      </c>
      <c r="M397" t="str">
        <f>IF(Raw_Claims_Data!M396="","N/A",Raw_Claims_Data!M396)</f>
        <v>VNDR00373</v>
      </c>
      <c r="N397" t="str">
        <f>Raw_Claims_Data!N396</f>
        <v>AGENT00231</v>
      </c>
      <c r="O397">
        <f>IF(Raw_Claims_Data!G396="D",1,0)</f>
        <v>0</v>
      </c>
    </row>
    <row r="398" spans="1:15" x14ac:dyDescent="0.35">
      <c r="A398" t="str">
        <f>Raw_Claims_Data!A397</f>
        <v>TXN00000394</v>
      </c>
      <c r="B398" t="str">
        <f>TRIM(Raw_Claims_Data!B397)</f>
        <v>Robert Homan</v>
      </c>
      <c r="C398" t="str">
        <f>Raw_Claims_Data!C397</f>
        <v>Motor</v>
      </c>
      <c r="D398">
        <f>Raw_Claims_Data!D397</f>
        <v>113.33</v>
      </c>
      <c r="E398">
        <f>Raw_Claims_Data!E397</f>
        <v>2000</v>
      </c>
      <c r="F398" t="str">
        <f>Raw_Claims_Data!F397</f>
        <v>AK</v>
      </c>
      <c r="G398" t="str">
        <f>Raw_Claims_Data!G397</f>
        <v>A</v>
      </c>
      <c r="H398" t="str">
        <f>Raw_Claims_Data!H397</f>
        <v>Major Loss</v>
      </c>
      <c r="I398" t="str">
        <f>IF(Raw_Claims_Data!I397="","None",Raw_Claims_Data!I397)</f>
        <v>Ambulance</v>
      </c>
      <c r="J398" t="str">
        <f>Raw_Claims_Data!J397</f>
        <v>Oklahoma City</v>
      </c>
      <c r="K398" t="str">
        <f>Raw_Claims_Data!K397</f>
        <v>OK</v>
      </c>
      <c r="L398">
        <f>Raw_Claims_Data!L397</f>
        <v>15</v>
      </c>
      <c r="M398" t="str">
        <f>IF(Raw_Claims_Data!M397="","N/A",Raw_Claims_Data!M397)</f>
        <v>VNDR00335</v>
      </c>
      <c r="N398" t="str">
        <f>Raw_Claims_Data!N397</f>
        <v>AGENT00563</v>
      </c>
      <c r="O398">
        <f>IF(Raw_Claims_Data!G397="D",1,0)</f>
        <v>0</v>
      </c>
    </row>
    <row r="399" spans="1:15" x14ac:dyDescent="0.35">
      <c r="A399" t="str">
        <f>Raw_Claims_Data!A398</f>
        <v>TXN00000395</v>
      </c>
      <c r="B399" t="str">
        <f>TRIM(Raw_Claims_Data!B398)</f>
        <v>Jean Haught</v>
      </c>
      <c r="C399" t="str">
        <f>Raw_Claims_Data!C398</f>
        <v>Travel</v>
      </c>
      <c r="D399">
        <f>Raw_Claims_Data!D398</f>
        <v>97.88</v>
      </c>
      <c r="E399">
        <f>Raw_Claims_Data!E398</f>
        <v>2000</v>
      </c>
      <c r="F399" t="str">
        <f>Raw_Claims_Data!F398</f>
        <v>DC</v>
      </c>
      <c r="G399" t="str">
        <f>Raw_Claims_Data!G398</f>
        <v>A</v>
      </c>
      <c r="H399" t="str">
        <f>Raw_Claims_Data!H398</f>
        <v>Minor Loss</v>
      </c>
      <c r="I399" t="str">
        <f>IF(Raw_Claims_Data!I398="","None",Raw_Claims_Data!I398)</f>
        <v>Ambulance</v>
      </c>
      <c r="J399" t="str">
        <f>Raw_Claims_Data!J398</f>
        <v>Montgomery</v>
      </c>
      <c r="K399" t="str">
        <f>Raw_Claims_Data!K398</f>
        <v>AL</v>
      </c>
      <c r="L399">
        <f>Raw_Claims_Data!L398</f>
        <v>10</v>
      </c>
      <c r="M399" t="str">
        <f>IF(Raw_Claims_Data!M398="","N/A",Raw_Claims_Data!M398)</f>
        <v>VNDR00287</v>
      </c>
      <c r="N399" t="str">
        <f>Raw_Claims_Data!N398</f>
        <v>AGENT01098</v>
      </c>
      <c r="O399">
        <f>IF(Raw_Claims_Data!G398="D",1,0)</f>
        <v>0</v>
      </c>
    </row>
    <row r="400" spans="1:15" x14ac:dyDescent="0.35">
      <c r="A400" t="str">
        <f>Raw_Claims_Data!A399</f>
        <v>TXN00000396</v>
      </c>
      <c r="B400" t="str">
        <f>TRIM(Raw_Claims_Data!B399)</f>
        <v>Christopher Reiber</v>
      </c>
      <c r="C400" t="str">
        <f>Raw_Claims_Data!C399</f>
        <v>Life</v>
      </c>
      <c r="D400">
        <f>Raw_Claims_Data!D399</f>
        <v>87.54</v>
      </c>
      <c r="E400">
        <f>Raw_Claims_Data!E399</f>
        <v>11000</v>
      </c>
      <c r="F400" t="str">
        <f>Raw_Claims_Data!F399</f>
        <v>CT</v>
      </c>
      <c r="G400" t="str">
        <f>Raw_Claims_Data!G399</f>
        <v>A</v>
      </c>
      <c r="H400" t="str">
        <f>Raw_Claims_Data!H399</f>
        <v>Minor Loss</v>
      </c>
      <c r="I400" t="str">
        <f>IF(Raw_Claims_Data!I399="","None",Raw_Claims_Data!I399)</f>
        <v>Police</v>
      </c>
      <c r="J400" t="str">
        <f>Raw_Claims_Data!J399</f>
        <v>Louisville</v>
      </c>
      <c r="K400" t="str">
        <f>Raw_Claims_Data!K399</f>
        <v>KY</v>
      </c>
      <c r="L400">
        <f>Raw_Claims_Data!L399</f>
        <v>4</v>
      </c>
      <c r="M400" t="str">
        <f>IF(Raw_Claims_Data!M399="","N/A",Raw_Claims_Data!M399)</f>
        <v>VNDR00200</v>
      </c>
      <c r="N400" t="str">
        <f>Raw_Claims_Data!N399</f>
        <v>AGENT00099</v>
      </c>
      <c r="O400">
        <f>IF(Raw_Claims_Data!G399="D",1,0)</f>
        <v>0</v>
      </c>
    </row>
    <row r="401" spans="1:15" x14ac:dyDescent="0.35">
      <c r="A401" t="str">
        <f>Raw_Claims_Data!A400</f>
        <v>TXN00000397</v>
      </c>
      <c r="B401" t="str">
        <f>TRIM(Raw_Claims_Data!B400)</f>
        <v>Wanda Chappell</v>
      </c>
      <c r="C401" t="str">
        <f>Raw_Claims_Data!C400</f>
        <v>Motor</v>
      </c>
      <c r="D401">
        <f>Raw_Claims_Data!D400</f>
        <v>78.64</v>
      </c>
      <c r="E401">
        <f>Raw_Claims_Data!E400</f>
        <v>9000</v>
      </c>
      <c r="F401" t="str">
        <f>Raw_Claims_Data!F400</f>
        <v>MA</v>
      </c>
      <c r="G401" t="str">
        <f>Raw_Claims_Data!G400</f>
        <v>A</v>
      </c>
      <c r="H401" t="str">
        <f>Raw_Claims_Data!H400</f>
        <v>Major Loss</v>
      </c>
      <c r="I401" t="str">
        <f>IF(Raw_Claims_Data!I400="","None",Raw_Claims_Data!I400)</f>
        <v>None</v>
      </c>
      <c r="J401" t="str">
        <f>Raw_Claims_Data!J400</f>
        <v>Edmond</v>
      </c>
      <c r="K401" t="str">
        <f>Raw_Claims_Data!K400</f>
        <v>OK</v>
      </c>
      <c r="L401">
        <f>Raw_Claims_Data!L400</f>
        <v>14</v>
      </c>
      <c r="M401" t="str">
        <f>IF(Raw_Claims_Data!M400="","N/A",Raw_Claims_Data!M400)</f>
        <v>VNDR00262</v>
      </c>
      <c r="N401" t="str">
        <f>Raw_Claims_Data!N400</f>
        <v>AGENT00746</v>
      </c>
      <c r="O401">
        <f>IF(Raw_Claims_Data!G400="D",1,0)</f>
        <v>0</v>
      </c>
    </row>
    <row r="402" spans="1:15" x14ac:dyDescent="0.35">
      <c r="A402" t="str">
        <f>Raw_Claims_Data!A401</f>
        <v>TXN00000398</v>
      </c>
      <c r="B402" t="str">
        <f>TRIM(Raw_Claims_Data!B401)</f>
        <v>Carlos Chary</v>
      </c>
      <c r="C402" t="str">
        <f>Raw_Claims_Data!C401</f>
        <v>Health</v>
      </c>
      <c r="D402">
        <f>Raw_Claims_Data!D401</f>
        <v>154.16999999999999</v>
      </c>
      <c r="E402">
        <f>Raw_Claims_Data!E401</f>
        <v>15000</v>
      </c>
      <c r="F402" t="str">
        <f>Raw_Claims_Data!F401</f>
        <v>FL</v>
      </c>
      <c r="G402" t="str">
        <f>Raw_Claims_Data!G401</f>
        <v>A</v>
      </c>
      <c r="H402" t="str">
        <f>Raw_Claims_Data!H401</f>
        <v>Major Loss</v>
      </c>
      <c r="I402" t="str">
        <f>IF(Raw_Claims_Data!I401="","None",Raw_Claims_Data!I401)</f>
        <v>Ambulance</v>
      </c>
      <c r="J402" t="str">
        <f>Raw_Claims_Data!J401</f>
        <v>Gambrills</v>
      </c>
      <c r="K402" t="str">
        <f>Raw_Claims_Data!K401</f>
        <v>MD</v>
      </c>
      <c r="L402">
        <f>Raw_Claims_Data!L401</f>
        <v>9</v>
      </c>
      <c r="M402" t="str">
        <f>IF(Raw_Claims_Data!M401="","N/A",Raw_Claims_Data!M401)</f>
        <v>VNDR00470</v>
      </c>
      <c r="N402" t="str">
        <f>Raw_Claims_Data!N401</f>
        <v>AGENT00938</v>
      </c>
      <c r="O402">
        <f>IF(Raw_Claims_Data!G401="D",1,0)</f>
        <v>0</v>
      </c>
    </row>
    <row r="403" spans="1:15" x14ac:dyDescent="0.35">
      <c r="A403" t="str">
        <f>Raw_Claims_Data!A402</f>
        <v>TXN00000399</v>
      </c>
      <c r="B403" t="str">
        <f>TRIM(Raw_Claims_Data!B402)</f>
        <v>Ingrid Lee</v>
      </c>
      <c r="C403" t="str">
        <f>Raw_Claims_Data!C402</f>
        <v>Life</v>
      </c>
      <c r="D403">
        <f>Raw_Claims_Data!D402</f>
        <v>81.13</v>
      </c>
      <c r="E403">
        <f>Raw_Claims_Data!E402</f>
        <v>67000</v>
      </c>
      <c r="F403" t="str">
        <f>Raw_Claims_Data!F402</f>
        <v>AK</v>
      </c>
      <c r="G403" t="str">
        <f>Raw_Claims_Data!G402</f>
        <v>A</v>
      </c>
      <c r="H403" t="str">
        <f>Raw_Claims_Data!H402</f>
        <v>Minor Loss</v>
      </c>
      <c r="I403" t="str">
        <f>IF(Raw_Claims_Data!I402="","None",Raw_Claims_Data!I402)</f>
        <v>Ambulance</v>
      </c>
      <c r="J403" t="str">
        <f>Raw_Claims_Data!J402</f>
        <v>Manchester</v>
      </c>
      <c r="K403" t="str">
        <f>Raw_Claims_Data!K402</f>
        <v>CT</v>
      </c>
      <c r="L403">
        <f>Raw_Claims_Data!L402</f>
        <v>21</v>
      </c>
      <c r="M403" t="str">
        <f>IF(Raw_Claims_Data!M402="","N/A",Raw_Claims_Data!M402)</f>
        <v>VNDR00453</v>
      </c>
      <c r="N403" t="str">
        <f>Raw_Claims_Data!N402</f>
        <v>AGENT01197</v>
      </c>
      <c r="O403">
        <f>IF(Raw_Claims_Data!G402="D",1,0)</f>
        <v>0</v>
      </c>
    </row>
    <row r="404" spans="1:15" x14ac:dyDescent="0.35">
      <c r="A404" t="str">
        <f>Raw_Claims_Data!A403</f>
        <v>TXN00000400</v>
      </c>
      <c r="B404" t="str">
        <f>TRIM(Raw_Claims_Data!B403)</f>
        <v>Blanche Cleaver</v>
      </c>
      <c r="C404" t="str">
        <f>Raw_Claims_Data!C403</f>
        <v>Life</v>
      </c>
      <c r="D404">
        <f>Raw_Claims_Data!D403</f>
        <v>61.9</v>
      </c>
      <c r="E404">
        <f>Raw_Claims_Data!E403</f>
        <v>86000</v>
      </c>
      <c r="F404" t="str">
        <f>Raw_Claims_Data!F403</f>
        <v>AK</v>
      </c>
      <c r="G404" t="str">
        <f>Raw_Claims_Data!G403</f>
        <v>A</v>
      </c>
      <c r="H404" t="str">
        <f>Raw_Claims_Data!H403</f>
        <v>Minor Loss</v>
      </c>
      <c r="I404" t="str">
        <f>IF(Raw_Claims_Data!I403="","None",Raw_Claims_Data!I403)</f>
        <v>Police</v>
      </c>
      <c r="J404" t="str">
        <f>Raw_Claims_Data!J403</f>
        <v>Fremont</v>
      </c>
      <c r="K404" t="str">
        <f>Raw_Claims_Data!K403</f>
        <v>CA</v>
      </c>
      <c r="L404">
        <f>Raw_Claims_Data!L403</f>
        <v>3</v>
      </c>
      <c r="M404" t="str">
        <f>IF(Raw_Claims_Data!M403="","N/A",Raw_Claims_Data!M403)</f>
        <v>VNDR00350</v>
      </c>
      <c r="N404" t="str">
        <f>Raw_Claims_Data!N403</f>
        <v>AGENT01005</v>
      </c>
      <c r="O404">
        <f>IF(Raw_Claims_Data!G403="D",1,0)</f>
        <v>0</v>
      </c>
    </row>
    <row r="405" spans="1:15" x14ac:dyDescent="0.35">
      <c r="A405" t="str">
        <f>Raw_Claims_Data!A404</f>
        <v>TXN00000401</v>
      </c>
      <c r="B405" t="str">
        <f>TRIM(Raw_Claims_Data!B404)</f>
        <v>Carmen Chavez</v>
      </c>
      <c r="C405" t="str">
        <f>Raw_Claims_Data!C404</f>
        <v>Property</v>
      </c>
      <c r="D405">
        <f>Raw_Claims_Data!D404</f>
        <v>82.78</v>
      </c>
      <c r="E405">
        <f>Raw_Claims_Data!E404</f>
        <v>14000</v>
      </c>
      <c r="F405" t="str">
        <f>Raw_Claims_Data!F404</f>
        <v>FL</v>
      </c>
      <c r="G405" t="str">
        <f>Raw_Claims_Data!G404</f>
        <v>A</v>
      </c>
      <c r="H405" t="str">
        <f>Raw_Claims_Data!H404</f>
        <v>Total Loss</v>
      </c>
      <c r="I405" t="str">
        <f>IF(Raw_Claims_Data!I404="","None",Raw_Claims_Data!I404)</f>
        <v>Other</v>
      </c>
      <c r="J405" t="str">
        <f>Raw_Claims_Data!J404</f>
        <v>Arvada</v>
      </c>
      <c r="K405" t="str">
        <f>Raw_Claims_Data!K404</f>
        <v>CO</v>
      </c>
      <c r="L405">
        <f>Raw_Claims_Data!L404</f>
        <v>15</v>
      </c>
      <c r="M405" t="str">
        <f>IF(Raw_Claims_Data!M404="","N/A",Raw_Claims_Data!M404)</f>
        <v>VNDR00042</v>
      </c>
      <c r="N405" t="str">
        <f>Raw_Claims_Data!N404</f>
        <v>AGENT00866</v>
      </c>
      <c r="O405">
        <f>IF(Raw_Claims_Data!G404="D",1,0)</f>
        <v>0</v>
      </c>
    </row>
    <row r="406" spans="1:15" x14ac:dyDescent="0.35">
      <c r="A406" t="str">
        <f>Raw_Claims_Data!A405</f>
        <v>TXN00000402</v>
      </c>
      <c r="B406" t="str">
        <f>TRIM(Raw_Claims_Data!B405)</f>
        <v>Rex Smith</v>
      </c>
      <c r="C406" t="str">
        <f>Raw_Claims_Data!C405</f>
        <v>Mobile</v>
      </c>
      <c r="D406">
        <f>Raw_Claims_Data!D405</f>
        <v>9.2899999999999991</v>
      </c>
      <c r="E406">
        <f>Raw_Claims_Data!E405</f>
        <v>500</v>
      </c>
      <c r="F406" t="str">
        <f>Raw_Claims_Data!F405</f>
        <v>GA</v>
      </c>
      <c r="G406" t="str">
        <f>Raw_Claims_Data!G405</f>
        <v>A</v>
      </c>
      <c r="H406" t="str">
        <f>Raw_Claims_Data!H405</f>
        <v>Total Loss</v>
      </c>
      <c r="I406" t="str">
        <f>IF(Raw_Claims_Data!I405="","None",Raw_Claims_Data!I405)</f>
        <v>Ambulance</v>
      </c>
      <c r="J406" t="str">
        <f>Raw_Claims_Data!J405</f>
        <v>Savannah</v>
      </c>
      <c r="K406" t="str">
        <f>Raw_Claims_Data!K405</f>
        <v>GA</v>
      </c>
      <c r="L406">
        <f>Raw_Claims_Data!L405</f>
        <v>10</v>
      </c>
      <c r="M406" t="str">
        <f>IF(Raw_Claims_Data!M405="","N/A",Raw_Claims_Data!M405)</f>
        <v>VNDR00242</v>
      </c>
      <c r="N406" t="str">
        <f>Raw_Claims_Data!N405</f>
        <v>AGENT00205</v>
      </c>
      <c r="O406">
        <f>IF(Raw_Claims_Data!G405="D",1,0)</f>
        <v>0</v>
      </c>
    </row>
    <row r="407" spans="1:15" x14ac:dyDescent="0.35">
      <c r="A407" t="str">
        <f>Raw_Claims_Data!A406</f>
        <v>TXN00000403</v>
      </c>
      <c r="B407" t="str">
        <f>TRIM(Raw_Claims_Data!B406)</f>
        <v>Jesse Douglas</v>
      </c>
      <c r="C407" t="str">
        <f>Raw_Claims_Data!C406</f>
        <v>Mobile</v>
      </c>
      <c r="D407">
        <f>Raw_Claims_Data!D406</f>
        <v>6.88</v>
      </c>
      <c r="E407">
        <f>Raw_Claims_Data!E406</f>
        <v>200</v>
      </c>
      <c r="F407" t="str">
        <f>Raw_Claims_Data!F406</f>
        <v>KY</v>
      </c>
      <c r="G407" t="str">
        <f>Raw_Claims_Data!G406</f>
        <v>A</v>
      </c>
      <c r="H407" t="str">
        <f>Raw_Claims_Data!H406</f>
        <v>Major Loss</v>
      </c>
      <c r="I407" t="str">
        <f>IF(Raw_Claims_Data!I406="","None",Raw_Claims_Data!I406)</f>
        <v>Ambulance</v>
      </c>
      <c r="J407" t="str">
        <f>Raw_Claims_Data!J406</f>
        <v>Montgomery</v>
      </c>
      <c r="K407" t="str">
        <f>Raw_Claims_Data!K406</f>
        <v>AL</v>
      </c>
      <c r="L407">
        <f>Raw_Claims_Data!L406</f>
        <v>16</v>
      </c>
      <c r="M407" t="str">
        <f>IF(Raw_Claims_Data!M406="","N/A",Raw_Claims_Data!M406)</f>
        <v>VNDR00109</v>
      </c>
      <c r="N407" t="str">
        <f>Raw_Claims_Data!N406</f>
        <v>AGENT00711</v>
      </c>
      <c r="O407">
        <f>IF(Raw_Claims_Data!G406="D",1,0)</f>
        <v>0</v>
      </c>
    </row>
    <row r="408" spans="1:15" x14ac:dyDescent="0.35">
      <c r="A408" t="str">
        <f>Raw_Claims_Data!A407</f>
        <v>TXN00000404</v>
      </c>
      <c r="B408" t="str">
        <f>TRIM(Raw_Claims_Data!B407)</f>
        <v>Michael Eisele</v>
      </c>
      <c r="C408" t="str">
        <f>Raw_Claims_Data!C407</f>
        <v>Life</v>
      </c>
      <c r="D408">
        <f>Raw_Claims_Data!D407</f>
        <v>60.94</v>
      </c>
      <c r="E408">
        <f>Raw_Claims_Data!E407</f>
        <v>31000</v>
      </c>
      <c r="F408" t="str">
        <f>Raw_Claims_Data!F407</f>
        <v>AR</v>
      </c>
      <c r="G408" t="str">
        <f>Raw_Claims_Data!G407</f>
        <v>D</v>
      </c>
      <c r="H408" t="str">
        <f>Raw_Claims_Data!H407</f>
        <v>Minor Loss</v>
      </c>
      <c r="I408" t="str">
        <f>IF(Raw_Claims_Data!I407="","None",Raw_Claims_Data!I407)</f>
        <v>Ambulance</v>
      </c>
      <c r="J408" t="str">
        <f>Raw_Claims_Data!J407</f>
        <v>Montgomery</v>
      </c>
      <c r="K408" t="str">
        <f>Raw_Claims_Data!K407</f>
        <v>AL</v>
      </c>
      <c r="L408">
        <f>Raw_Claims_Data!L407</f>
        <v>9</v>
      </c>
      <c r="M408" t="str">
        <f>IF(Raw_Claims_Data!M407="","N/A",Raw_Claims_Data!M407)</f>
        <v>N/A</v>
      </c>
      <c r="N408" t="str">
        <f>Raw_Claims_Data!N407</f>
        <v>AGENT00952</v>
      </c>
      <c r="O408">
        <f>IF(Raw_Claims_Data!G407="D",1,0)</f>
        <v>1</v>
      </c>
    </row>
    <row r="409" spans="1:15" x14ac:dyDescent="0.35">
      <c r="A409" t="str">
        <f>Raw_Claims_Data!A408</f>
        <v>TXN00000405</v>
      </c>
      <c r="B409" t="str">
        <f>TRIM(Raw_Claims_Data!B408)</f>
        <v>Richard Giebner</v>
      </c>
      <c r="C409" t="str">
        <f>Raw_Claims_Data!C408</f>
        <v>Mobile</v>
      </c>
      <c r="D409">
        <f>Raw_Claims_Data!D408</f>
        <v>6.74</v>
      </c>
      <c r="E409">
        <f>Raw_Claims_Data!E408</f>
        <v>200</v>
      </c>
      <c r="F409" t="str">
        <f>Raw_Claims_Data!F408</f>
        <v>AL</v>
      </c>
      <c r="G409" t="str">
        <f>Raw_Claims_Data!G408</f>
        <v>A</v>
      </c>
      <c r="H409" t="str">
        <f>Raw_Claims_Data!H408</f>
        <v>Major Loss</v>
      </c>
      <c r="I409" t="str">
        <f>IF(Raw_Claims_Data!I408="","None",Raw_Claims_Data!I408)</f>
        <v>None</v>
      </c>
      <c r="J409" t="str">
        <f>Raw_Claims_Data!J408</f>
        <v>Oklahoma City</v>
      </c>
      <c r="K409" t="str">
        <f>Raw_Claims_Data!K408</f>
        <v>OK</v>
      </c>
      <c r="L409">
        <f>Raw_Claims_Data!L408</f>
        <v>17</v>
      </c>
      <c r="M409" t="str">
        <f>IF(Raw_Claims_Data!M408="","N/A",Raw_Claims_Data!M408)</f>
        <v>N/A</v>
      </c>
      <c r="N409" t="str">
        <f>Raw_Claims_Data!N408</f>
        <v>AGENT00994</v>
      </c>
      <c r="O409">
        <f>IF(Raw_Claims_Data!G408="D",1,0)</f>
        <v>0</v>
      </c>
    </row>
    <row r="410" spans="1:15" x14ac:dyDescent="0.35">
      <c r="A410" t="str">
        <f>Raw_Claims_Data!A409</f>
        <v>TXN00000406</v>
      </c>
      <c r="B410" t="str">
        <f>TRIM(Raw_Claims_Data!B409)</f>
        <v>Ruth Reamy</v>
      </c>
      <c r="C410" t="str">
        <f>Raw_Claims_Data!C409</f>
        <v>Health</v>
      </c>
      <c r="D410">
        <f>Raw_Claims_Data!D409</f>
        <v>172.4</v>
      </c>
      <c r="E410">
        <f>Raw_Claims_Data!E409</f>
        <v>19000</v>
      </c>
      <c r="F410" t="str">
        <f>Raw_Claims_Data!F409</f>
        <v>CT</v>
      </c>
      <c r="G410" t="str">
        <f>Raw_Claims_Data!G409</f>
        <v>A</v>
      </c>
      <c r="H410" t="str">
        <f>Raw_Claims_Data!H409</f>
        <v>Minor Loss</v>
      </c>
      <c r="I410" t="str">
        <f>IF(Raw_Claims_Data!I409="","None",Raw_Claims_Data!I409)</f>
        <v>Police</v>
      </c>
      <c r="J410" t="str">
        <f>Raw_Claims_Data!J409</f>
        <v>San Leandro</v>
      </c>
      <c r="K410" t="str">
        <f>Raw_Claims_Data!K409</f>
        <v>CA</v>
      </c>
      <c r="L410">
        <f>Raw_Claims_Data!L409</f>
        <v>22</v>
      </c>
      <c r="M410" t="str">
        <f>IF(Raw_Claims_Data!M409="","N/A",Raw_Claims_Data!M409)</f>
        <v>VNDR00582</v>
      </c>
      <c r="N410" t="str">
        <f>Raw_Claims_Data!N409</f>
        <v>AGENT01076</v>
      </c>
      <c r="O410">
        <f>IF(Raw_Claims_Data!G409="D",1,0)</f>
        <v>0</v>
      </c>
    </row>
    <row r="411" spans="1:15" x14ac:dyDescent="0.35">
      <c r="A411" t="str">
        <f>Raw_Claims_Data!A410</f>
        <v>TXN00000407</v>
      </c>
      <c r="B411" t="str">
        <f>TRIM(Raw_Claims_Data!B410)</f>
        <v>Donald Caron</v>
      </c>
      <c r="C411" t="str">
        <f>Raw_Claims_Data!C410</f>
        <v>Property</v>
      </c>
      <c r="D411">
        <f>Raw_Claims_Data!D410</f>
        <v>124.37</v>
      </c>
      <c r="E411">
        <f>Raw_Claims_Data!E410</f>
        <v>39000</v>
      </c>
      <c r="F411" t="str">
        <f>Raw_Claims_Data!F410</f>
        <v>CA</v>
      </c>
      <c r="G411" t="str">
        <f>Raw_Claims_Data!G410</f>
        <v>A</v>
      </c>
      <c r="H411" t="str">
        <f>Raw_Claims_Data!H410</f>
        <v>Minor Loss</v>
      </c>
      <c r="I411" t="str">
        <f>IF(Raw_Claims_Data!I410="","None",Raw_Claims_Data!I410)</f>
        <v>Police</v>
      </c>
      <c r="J411" t="str">
        <f>Raw_Claims_Data!J410</f>
        <v>Montgomery</v>
      </c>
      <c r="K411" t="str">
        <f>Raw_Claims_Data!K410</f>
        <v>AL</v>
      </c>
      <c r="L411">
        <f>Raw_Claims_Data!L410</f>
        <v>7</v>
      </c>
      <c r="M411" t="str">
        <f>IF(Raw_Claims_Data!M410="","N/A",Raw_Claims_Data!M410)</f>
        <v>VNDR00229</v>
      </c>
      <c r="N411" t="str">
        <f>Raw_Claims_Data!N410</f>
        <v>AGENT00683</v>
      </c>
      <c r="O411">
        <f>IF(Raw_Claims_Data!G410="D",1,0)</f>
        <v>0</v>
      </c>
    </row>
    <row r="412" spans="1:15" x14ac:dyDescent="0.35">
      <c r="A412" t="str">
        <f>Raw_Claims_Data!A411</f>
        <v>TXN00000408</v>
      </c>
      <c r="B412" t="str">
        <f>TRIM(Raw_Claims_Data!B411)</f>
        <v>Kari Evans</v>
      </c>
      <c r="C412" t="str">
        <f>Raw_Claims_Data!C411</f>
        <v>Property</v>
      </c>
      <c r="D412">
        <f>Raw_Claims_Data!D411</f>
        <v>97.16</v>
      </c>
      <c r="E412">
        <f>Raw_Claims_Data!E411</f>
        <v>18000</v>
      </c>
      <c r="F412" t="str">
        <f>Raw_Claims_Data!F411</f>
        <v>KY</v>
      </c>
      <c r="G412" t="str">
        <f>Raw_Claims_Data!G411</f>
        <v>A</v>
      </c>
      <c r="H412" t="str">
        <f>Raw_Claims_Data!H411</f>
        <v>Total Loss</v>
      </c>
      <c r="I412" t="str">
        <f>IF(Raw_Claims_Data!I411="","None",Raw_Claims_Data!I411)</f>
        <v>Other</v>
      </c>
      <c r="J412" t="str">
        <f>Raw_Claims_Data!J411</f>
        <v>Pueblo</v>
      </c>
      <c r="K412" t="str">
        <f>Raw_Claims_Data!K411</f>
        <v>CO</v>
      </c>
      <c r="L412">
        <f>Raw_Claims_Data!L411</f>
        <v>2</v>
      </c>
      <c r="M412" t="str">
        <f>IF(Raw_Claims_Data!M411="","N/A",Raw_Claims_Data!M411)</f>
        <v>VNDR00417</v>
      </c>
      <c r="N412" t="str">
        <f>Raw_Claims_Data!N411</f>
        <v>AGENT00718</v>
      </c>
      <c r="O412">
        <f>IF(Raw_Claims_Data!G411="D",1,0)</f>
        <v>0</v>
      </c>
    </row>
    <row r="413" spans="1:15" x14ac:dyDescent="0.35">
      <c r="A413" t="str">
        <f>Raw_Claims_Data!A412</f>
        <v>TXN00000409</v>
      </c>
      <c r="B413" t="str">
        <f>TRIM(Raw_Claims_Data!B412)</f>
        <v>Christopher Zuchowski</v>
      </c>
      <c r="C413" t="str">
        <f>Raw_Claims_Data!C412</f>
        <v>Mobile</v>
      </c>
      <c r="D413">
        <f>Raw_Claims_Data!D412</f>
        <v>11.33</v>
      </c>
      <c r="E413">
        <f>Raw_Claims_Data!E412</f>
        <v>400</v>
      </c>
      <c r="F413" t="str">
        <f>Raw_Claims_Data!F412</f>
        <v>MA</v>
      </c>
      <c r="G413" t="str">
        <f>Raw_Claims_Data!G412</f>
        <v>A</v>
      </c>
      <c r="H413" t="str">
        <f>Raw_Claims_Data!H412</f>
        <v>Total Loss</v>
      </c>
      <c r="I413" t="str">
        <f>IF(Raw_Claims_Data!I412="","None",Raw_Claims_Data!I412)</f>
        <v>None</v>
      </c>
      <c r="J413" t="str">
        <f>Raw_Claims_Data!J412</f>
        <v>Hayward</v>
      </c>
      <c r="K413" t="str">
        <f>Raw_Claims_Data!K412</f>
        <v>CA</v>
      </c>
      <c r="L413">
        <f>Raw_Claims_Data!L412</f>
        <v>4</v>
      </c>
      <c r="M413" t="str">
        <f>IF(Raw_Claims_Data!M412="","N/A",Raw_Claims_Data!M412)</f>
        <v>VNDR00570</v>
      </c>
      <c r="N413" t="str">
        <f>Raw_Claims_Data!N412</f>
        <v>AGENT00132</v>
      </c>
      <c r="O413">
        <f>IF(Raw_Claims_Data!G412="D",1,0)</f>
        <v>0</v>
      </c>
    </row>
    <row r="414" spans="1:15" x14ac:dyDescent="0.35">
      <c r="A414" t="str">
        <f>Raw_Claims_Data!A413</f>
        <v>TXN00000410</v>
      </c>
      <c r="B414" t="str">
        <f>TRIM(Raw_Claims_Data!B413)</f>
        <v>Jessica Thurmer</v>
      </c>
      <c r="C414" t="str">
        <f>Raw_Claims_Data!C413</f>
        <v>Mobile</v>
      </c>
      <c r="D414">
        <f>Raw_Claims_Data!D413</f>
        <v>6.14</v>
      </c>
      <c r="E414">
        <f>Raw_Claims_Data!E413</f>
        <v>600</v>
      </c>
      <c r="F414" t="str">
        <f>Raw_Claims_Data!F413</f>
        <v>AZ</v>
      </c>
      <c r="G414" t="str">
        <f>Raw_Claims_Data!G413</f>
        <v>A</v>
      </c>
      <c r="H414" t="str">
        <f>Raw_Claims_Data!H413</f>
        <v>Minor Loss</v>
      </c>
      <c r="I414" t="str">
        <f>IF(Raw_Claims_Data!I413="","None",Raw_Claims_Data!I413)</f>
        <v>None</v>
      </c>
      <c r="J414" t="str">
        <f>Raw_Claims_Data!J413</f>
        <v>Yarmouth</v>
      </c>
      <c r="K414" t="str">
        <f>Raw_Claims_Data!K413</f>
        <v>MA</v>
      </c>
      <c r="L414">
        <f>Raw_Claims_Data!L413</f>
        <v>6</v>
      </c>
      <c r="M414" t="str">
        <f>IF(Raw_Claims_Data!M413="","N/A",Raw_Claims_Data!M413)</f>
        <v>VNDR00265</v>
      </c>
      <c r="N414" t="str">
        <f>Raw_Claims_Data!N413</f>
        <v>AGENT00550</v>
      </c>
      <c r="O414">
        <f>IF(Raw_Claims_Data!G413="D",1,0)</f>
        <v>0</v>
      </c>
    </row>
    <row r="415" spans="1:15" x14ac:dyDescent="0.35">
      <c r="A415" t="str">
        <f>Raw_Claims_Data!A414</f>
        <v>TXN00000411</v>
      </c>
      <c r="B415" t="str">
        <f>TRIM(Raw_Claims_Data!B414)</f>
        <v>Melinda Scerbo</v>
      </c>
      <c r="C415" t="str">
        <f>Raw_Claims_Data!C414</f>
        <v>Motor</v>
      </c>
      <c r="D415">
        <f>Raw_Claims_Data!D414</f>
        <v>91.97</v>
      </c>
      <c r="E415">
        <f>Raw_Claims_Data!E414</f>
        <v>2000</v>
      </c>
      <c r="F415" t="str">
        <f>Raw_Claims_Data!F414</f>
        <v>VT</v>
      </c>
      <c r="G415" t="str">
        <f>Raw_Claims_Data!G414</f>
        <v>A</v>
      </c>
      <c r="H415" t="str">
        <f>Raw_Claims_Data!H414</f>
        <v>Total Loss</v>
      </c>
      <c r="I415" t="str">
        <f>IF(Raw_Claims_Data!I414="","None",Raw_Claims_Data!I414)</f>
        <v>Ambulance</v>
      </c>
      <c r="J415" t="str">
        <f>Raw_Claims_Data!J414</f>
        <v>Montgomery</v>
      </c>
      <c r="K415" t="str">
        <f>Raw_Claims_Data!K414</f>
        <v>AL</v>
      </c>
      <c r="L415">
        <f>Raw_Claims_Data!L414</f>
        <v>11</v>
      </c>
      <c r="M415" t="str">
        <f>IF(Raw_Claims_Data!M414="","N/A",Raw_Claims_Data!M414)</f>
        <v>VNDR00189</v>
      </c>
      <c r="N415" t="str">
        <f>Raw_Claims_Data!N414</f>
        <v>AGENT00833</v>
      </c>
      <c r="O415">
        <f>IF(Raw_Claims_Data!G414="D",1,0)</f>
        <v>0</v>
      </c>
    </row>
    <row r="416" spans="1:15" x14ac:dyDescent="0.35">
      <c r="A416" t="str">
        <f>Raw_Claims_Data!A415</f>
        <v>TXN00000412</v>
      </c>
      <c r="B416" t="str">
        <f>TRIM(Raw_Claims_Data!B415)</f>
        <v>Harry Esquer</v>
      </c>
      <c r="C416" t="str">
        <f>Raw_Claims_Data!C415</f>
        <v>Mobile</v>
      </c>
      <c r="D416">
        <f>Raw_Claims_Data!D415</f>
        <v>9.91</v>
      </c>
      <c r="E416">
        <f>Raw_Claims_Data!E415</f>
        <v>500</v>
      </c>
      <c r="F416" t="str">
        <f>Raw_Claims_Data!F415</f>
        <v>CA</v>
      </c>
      <c r="G416" t="str">
        <f>Raw_Claims_Data!G415</f>
        <v>A</v>
      </c>
      <c r="H416" t="str">
        <f>Raw_Claims_Data!H415</f>
        <v>Total Loss</v>
      </c>
      <c r="I416" t="str">
        <f>IF(Raw_Claims_Data!I415="","None",Raw_Claims_Data!I415)</f>
        <v>Police</v>
      </c>
      <c r="J416" t="str">
        <f>Raw_Claims_Data!J415</f>
        <v>Montgomery</v>
      </c>
      <c r="K416" t="str">
        <f>Raw_Claims_Data!K415</f>
        <v>AL</v>
      </c>
      <c r="L416">
        <f>Raw_Claims_Data!L415</f>
        <v>11</v>
      </c>
      <c r="M416" t="str">
        <f>IF(Raw_Claims_Data!M415="","N/A",Raw_Claims_Data!M415)</f>
        <v>VNDR00254</v>
      </c>
      <c r="N416" t="str">
        <f>Raw_Claims_Data!N415</f>
        <v>AGENT00840</v>
      </c>
      <c r="O416">
        <f>IF(Raw_Claims_Data!G415="D",1,0)</f>
        <v>0</v>
      </c>
    </row>
    <row r="417" spans="1:15" x14ac:dyDescent="0.35">
      <c r="A417" t="str">
        <f>Raw_Claims_Data!A416</f>
        <v>TXN00000413</v>
      </c>
      <c r="B417" t="str">
        <f>TRIM(Raw_Claims_Data!B416)</f>
        <v>Robert Flamand</v>
      </c>
      <c r="C417" t="str">
        <f>Raw_Claims_Data!C416</f>
        <v>Mobile</v>
      </c>
      <c r="D417">
        <f>Raw_Claims_Data!D416</f>
        <v>9.06</v>
      </c>
      <c r="E417">
        <f>Raw_Claims_Data!E416</f>
        <v>600</v>
      </c>
      <c r="F417" t="str">
        <f>Raw_Claims_Data!F416</f>
        <v>AL</v>
      </c>
      <c r="G417" t="str">
        <f>Raw_Claims_Data!G416</f>
        <v>A</v>
      </c>
      <c r="H417" t="str">
        <f>Raw_Claims_Data!H416</f>
        <v>Major Loss</v>
      </c>
      <c r="I417" t="str">
        <f>IF(Raw_Claims_Data!I416="","None",Raw_Claims_Data!I416)</f>
        <v>Ambulance</v>
      </c>
      <c r="J417" t="str">
        <f>Raw_Claims_Data!J416</f>
        <v>Guilford</v>
      </c>
      <c r="K417" t="str">
        <f>Raw_Claims_Data!K416</f>
        <v>VT</v>
      </c>
      <c r="L417">
        <f>Raw_Claims_Data!L416</f>
        <v>10</v>
      </c>
      <c r="M417" t="str">
        <f>IF(Raw_Claims_Data!M416="","N/A",Raw_Claims_Data!M416)</f>
        <v>N/A</v>
      </c>
      <c r="N417" t="str">
        <f>Raw_Claims_Data!N416</f>
        <v>AGENT00762</v>
      </c>
      <c r="O417">
        <f>IF(Raw_Claims_Data!G416="D",1,0)</f>
        <v>0</v>
      </c>
    </row>
    <row r="418" spans="1:15" x14ac:dyDescent="0.35">
      <c r="A418" t="str">
        <f>Raw_Claims_Data!A417</f>
        <v>TXN00000414</v>
      </c>
      <c r="B418" t="str">
        <f>TRIM(Raw_Claims_Data!B417)</f>
        <v>Robert Stoute</v>
      </c>
      <c r="C418" t="str">
        <f>Raw_Claims_Data!C417</f>
        <v>Health</v>
      </c>
      <c r="D418">
        <f>Raw_Claims_Data!D417</f>
        <v>108.02</v>
      </c>
      <c r="E418">
        <f>Raw_Claims_Data!E417</f>
        <v>15000</v>
      </c>
      <c r="F418" t="str">
        <f>Raw_Claims_Data!F417</f>
        <v>AL</v>
      </c>
      <c r="G418" t="str">
        <f>Raw_Claims_Data!G417</f>
        <v>A</v>
      </c>
      <c r="H418" t="str">
        <f>Raw_Claims_Data!H417</f>
        <v>Major Loss</v>
      </c>
      <c r="I418" t="str">
        <f>IF(Raw_Claims_Data!I417="","None",Raw_Claims_Data!I417)</f>
        <v>Other</v>
      </c>
      <c r="J418" t="str">
        <f>Raw_Claims_Data!J417</f>
        <v>Severn</v>
      </c>
      <c r="K418" t="str">
        <f>Raw_Claims_Data!K417</f>
        <v>MD</v>
      </c>
      <c r="L418">
        <f>Raw_Claims_Data!L417</f>
        <v>13</v>
      </c>
      <c r="M418" t="str">
        <f>IF(Raw_Claims_Data!M417="","N/A",Raw_Claims_Data!M417)</f>
        <v>VNDR00537</v>
      </c>
      <c r="N418" t="str">
        <f>Raw_Claims_Data!N417</f>
        <v>AGENT00529</v>
      </c>
      <c r="O418">
        <f>IF(Raw_Claims_Data!G417="D",1,0)</f>
        <v>0</v>
      </c>
    </row>
    <row r="419" spans="1:15" x14ac:dyDescent="0.35">
      <c r="A419" t="str">
        <f>Raw_Claims_Data!A418</f>
        <v>TXN00000415</v>
      </c>
      <c r="B419" t="str">
        <f>TRIM(Raw_Claims_Data!B418)</f>
        <v>Jan Huntley</v>
      </c>
      <c r="C419" t="str">
        <f>Raw_Claims_Data!C418</f>
        <v>Motor</v>
      </c>
      <c r="D419">
        <f>Raw_Claims_Data!D418</f>
        <v>133.72</v>
      </c>
      <c r="E419">
        <f>Raw_Claims_Data!E418</f>
        <v>9000</v>
      </c>
      <c r="F419" t="str">
        <f>Raw_Claims_Data!F418</f>
        <v>CA</v>
      </c>
      <c r="G419" t="str">
        <f>Raw_Claims_Data!G418</f>
        <v>A</v>
      </c>
      <c r="H419" t="str">
        <f>Raw_Claims_Data!H418</f>
        <v>Major Loss</v>
      </c>
      <c r="I419" t="str">
        <f>IF(Raw_Claims_Data!I418="","None",Raw_Claims_Data!I418)</f>
        <v>Ambulance</v>
      </c>
      <c r="J419" t="str">
        <f>Raw_Claims_Data!J418</f>
        <v>Panama City</v>
      </c>
      <c r="K419" t="str">
        <f>Raw_Claims_Data!K418</f>
        <v>FL</v>
      </c>
      <c r="L419">
        <f>Raw_Claims_Data!L418</f>
        <v>17</v>
      </c>
      <c r="M419" t="str">
        <f>IF(Raw_Claims_Data!M418="","N/A",Raw_Claims_Data!M418)</f>
        <v>VNDR00586</v>
      </c>
      <c r="N419" t="str">
        <f>Raw_Claims_Data!N418</f>
        <v>AGENT01086</v>
      </c>
      <c r="O419">
        <f>IF(Raw_Claims_Data!G418="D",1,0)</f>
        <v>0</v>
      </c>
    </row>
    <row r="420" spans="1:15" x14ac:dyDescent="0.35">
      <c r="A420" t="str">
        <f>Raw_Claims_Data!A419</f>
        <v>TXN00000416</v>
      </c>
      <c r="B420" t="str">
        <f>TRIM(Raw_Claims_Data!B419)</f>
        <v>Jeremy Phillips</v>
      </c>
      <c r="C420" t="str">
        <f>Raw_Claims_Data!C419</f>
        <v>Travel</v>
      </c>
      <c r="D420">
        <f>Raw_Claims_Data!D419</f>
        <v>52.67</v>
      </c>
      <c r="E420">
        <f>Raw_Claims_Data!E419</f>
        <v>4000</v>
      </c>
      <c r="F420" t="str">
        <f>Raw_Claims_Data!F419</f>
        <v>OK</v>
      </c>
      <c r="G420" t="str">
        <f>Raw_Claims_Data!G419</f>
        <v>A</v>
      </c>
      <c r="H420" t="str">
        <f>Raw_Claims_Data!H419</f>
        <v>Major Loss</v>
      </c>
      <c r="I420" t="str">
        <f>IF(Raw_Claims_Data!I419="","None",Raw_Claims_Data!I419)</f>
        <v>Ambulance</v>
      </c>
      <c r="J420" t="str">
        <f>Raw_Claims_Data!J419</f>
        <v>Nashville</v>
      </c>
      <c r="K420" t="str">
        <f>Raw_Claims_Data!K419</f>
        <v>TN</v>
      </c>
      <c r="L420">
        <f>Raw_Claims_Data!L419</f>
        <v>22</v>
      </c>
      <c r="M420" t="str">
        <f>IF(Raw_Claims_Data!M419="","N/A",Raw_Claims_Data!M419)</f>
        <v>VNDR00209</v>
      </c>
      <c r="N420" t="str">
        <f>Raw_Claims_Data!N419</f>
        <v>AGENT00907</v>
      </c>
      <c r="O420">
        <f>IF(Raw_Claims_Data!G419="D",1,0)</f>
        <v>0</v>
      </c>
    </row>
    <row r="421" spans="1:15" x14ac:dyDescent="0.35">
      <c r="A421" t="str">
        <f>Raw_Claims_Data!A420</f>
        <v>TXN00000417</v>
      </c>
      <c r="B421" t="str">
        <f>TRIM(Raw_Claims_Data!B420)</f>
        <v>Kathleen Joubert</v>
      </c>
      <c r="C421" t="str">
        <f>Raw_Claims_Data!C420</f>
        <v>Mobile</v>
      </c>
      <c r="D421">
        <f>Raw_Claims_Data!D420</f>
        <v>8.59</v>
      </c>
      <c r="E421">
        <f>Raw_Claims_Data!E420</f>
        <v>100</v>
      </c>
      <c r="F421" t="str">
        <f>Raw_Claims_Data!F420</f>
        <v>VT</v>
      </c>
      <c r="G421" t="str">
        <f>Raw_Claims_Data!G420</f>
        <v>A</v>
      </c>
      <c r="H421" t="str">
        <f>Raw_Claims_Data!H420</f>
        <v>Major Loss</v>
      </c>
      <c r="I421" t="str">
        <f>IF(Raw_Claims_Data!I420="","None",Raw_Claims_Data!I420)</f>
        <v>Police</v>
      </c>
      <c r="J421" t="str">
        <f>Raw_Claims_Data!J420</f>
        <v>Nashville</v>
      </c>
      <c r="K421" t="str">
        <f>Raw_Claims_Data!K420</f>
        <v>TN</v>
      </c>
      <c r="L421">
        <f>Raw_Claims_Data!L420</f>
        <v>3</v>
      </c>
      <c r="M421" t="str">
        <f>IF(Raw_Claims_Data!M420="","N/A",Raw_Claims_Data!M420)</f>
        <v>VNDR00336</v>
      </c>
      <c r="N421" t="str">
        <f>Raw_Claims_Data!N420</f>
        <v>AGENT00262</v>
      </c>
      <c r="O421">
        <f>IF(Raw_Claims_Data!G420="D",1,0)</f>
        <v>0</v>
      </c>
    </row>
    <row r="422" spans="1:15" x14ac:dyDescent="0.35">
      <c r="A422" t="str">
        <f>Raw_Claims_Data!A421</f>
        <v>TXN00000418</v>
      </c>
      <c r="B422" t="str">
        <f>TRIM(Raw_Claims_Data!B421)</f>
        <v>Kathleen Morales</v>
      </c>
      <c r="C422" t="str">
        <f>Raw_Claims_Data!C421</f>
        <v>Travel</v>
      </c>
      <c r="D422">
        <f>Raw_Claims_Data!D421</f>
        <v>60.08</v>
      </c>
      <c r="E422">
        <f>Raw_Claims_Data!E421</f>
        <v>1000</v>
      </c>
      <c r="F422" t="str">
        <f>Raw_Claims_Data!F421</f>
        <v>MD</v>
      </c>
      <c r="G422" t="str">
        <f>Raw_Claims_Data!G421</f>
        <v>A</v>
      </c>
      <c r="H422" t="str">
        <f>Raw_Claims_Data!H421</f>
        <v>Minor Loss</v>
      </c>
      <c r="I422" t="str">
        <f>IF(Raw_Claims_Data!I421="","None",Raw_Claims_Data!I421)</f>
        <v>Police</v>
      </c>
      <c r="J422" t="str">
        <f>Raw_Claims_Data!J421</f>
        <v>Orange</v>
      </c>
      <c r="K422" t="str">
        <f>Raw_Claims_Data!K421</f>
        <v>CA</v>
      </c>
      <c r="L422">
        <f>Raw_Claims_Data!L421</f>
        <v>15</v>
      </c>
      <c r="M422" t="str">
        <f>IF(Raw_Claims_Data!M421="","N/A",Raw_Claims_Data!M421)</f>
        <v>N/A</v>
      </c>
      <c r="N422" t="str">
        <f>Raw_Claims_Data!N421</f>
        <v>AGENT01124</v>
      </c>
      <c r="O422">
        <f>IF(Raw_Claims_Data!G421="D",1,0)</f>
        <v>0</v>
      </c>
    </row>
    <row r="423" spans="1:15" x14ac:dyDescent="0.35">
      <c r="A423" t="str">
        <f>Raw_Claims_Data!A422</f>
        <v>TXN00000419</v>
      </c>
      <c r="B423" t="str">
        <f>TRIM(Raw_Claims_Data!B422)</f>
        <v>Shirley Cobb</v>
      </c>
      <c r="C423" t="str">
        <f>Raw_Claims_Data!C422</f>
        <v>Life</v>
      </c>
      <c r="D423">
        <f>Raw_Claims_Data!D422</f>
        <v>75.45</v>
      </c>
      <c r="E423">
        <f>Raw_Claims_Data!E422</f>
        <v>74000</v>
      </c>
      <c r="F423" t="str">
        <f>Raw_Claims_Data!F422</f>
        <v>MA</v>
      </c>
      <c r="G423" t="str">
        <f>Raw_Claims_Data!G422</f>
        <v>A</v>
      </c>
      <c r="H423" t="str">
        <f>Raw_Claims_Data!H422</f>
        <v>Minor Loss</v>
      </c>
      <c r="I423" t="str">
        <f>IF(Raw_Claims_Data!I422="","None",Raw_Claims_Data!I422)</f>
        <v>None</v>
      </c>
      <c r="J423" t="str">
        <f>Raw_Claims_Data!J422</f>
        <v>Pasadena</v>
      </c>
      <c r="K423" t="str">
        <f>Raw_Claims_Data!K422</f>
        <v>MD</v>
      </c>
      <c r="L423">
        <f>Raw_Claims_Data!L422</f>
        <v>16</v>
      </c>
      <c r="M423" t="str">
        <f>IF(Raw_Claims_Data!M422="","N/A",Raw_Claims_Data!M422)</f>
        <v>VNDR00275</v>
      </c>
      <c r="N423" t="str">
        <f>Raw_Claims_Data!N422</f>
        <v>AGENT00313</v>
      </c>
      <c r="O423">
        <f>IF(Raw_Claims_Data!G422="D",1,0)</f>
        <v>0</v>
      </c>
    </row>
    <row r="424" spans="1:15" x14ac:dyDescent="0.35">
      <c r="A424" t="str">
        <f>Raw_Claims_Data!A423</f>
        <v>TXN00000420</v>
      </c>
      <c r="B424" t="str">
        <f>TRIM(Raw_Claims_Data!B423)</f>
        <v>Jerry Patterson</v>
      </c>
      <c r="C424" t="str">
        <f>Raw_Claims_Data!C423</f>
        <v>Motor</v>
      </c>
      <c r="D424">
        <f>Raw_Claims_Data!D423</f>
        <v>91.89</v>
      </c>
      <c r="E424">
        <f>Raw_Claims_Data!E423</f>
        <v>6000</v>
      </c>
      <c r="F424" t="str">
        <f>Raw_Claims_Data!F423</f>
        <v>DC</v>
      </c>
      <c r="G424" t="str">
        <f>Raw_Claims_Data!G423</f>
        <v>A</v>
      </c>
      <c r="H424" t="str">
        <f>Raw_Claims_Data!H423</f>
        <v>Total Loss</v>
      </c>
      <c r="I424" t="str">
        <f>IF(Raw_Claims_Data!I423="","None",Raw_Claims_Data!I423)</f>
        <v>Ambulance</v>
      </c>
      <c r="J424" t="str">
        <f>Raw_Claims_Data!J423</f>
        <v>Livermore</v>
      </c>
      <c r="K424" t="str">
        <f>Raw_Claims_Data!K423</f>
        <v>CA</v>
      </c>
      <c r="L424">
        <f>Raw_Claims_Data!L423</f>
        <v>20</v>
      </c>
      <c r="M424" t="str">
        <f>IF(Raw_Claims_Data!M423="","N/A",Raw_Claims_Data!M423)</f>
        <v>VNDR00307</v>
      </c>
      <c r="N424" t="str">
        <f>Raw_Claims_Data!N423</f>
        <v>AGENT00707</v>
      </c>
      <c r="O424">
        <f>IF(Raw_Claims_Data!G423="D",1,0)</f>
        <v>0</v>
      </c>
    </row>
    <row r="425" spans="1:15" x14ac:dyDescent="0.35">
      <c r="A425" t="str">
        <f>Raw_Claims_Data!A424</f>
        <v>TXN00000421</v>
      </c>
      <c r="B425" t="str">
        <f>TRIM(Raw_Claims_Data!B424)</f>
        <v>Meridith Hoag</v>
      </c>
      <c r="C425" t="str">
        <f>Raw_Claims_Data!C424</f>
        <v>Health</v>
      </c>
      <c r="D425">
        <f>Raw_Claims_Data!D424</f>
        <v>103.4</v>
      </c>
      <c r="E425">
        <f>Raw_Claims_Data!E424</f>
        <v>2000</v>
      </c>
      <c r="F425" t="str">
        <f>Raw_Claims_Data!F424</f>
        <v>AR</v>
      </c>
      <c r="G425" t="str">
        <f>Raw_Claims_Data!G424</f>
        <v>D</v>
      </c>
      <c r="H425" t="str">
        <f>Raw_Claims_Data!H424</f>
        <v>Major Loss</v>
      </c>
      <c r="I425" t="str">
        <f>IF(Raw_Claims_Data!I424="","None",Raw_Claims_Data!I424)</f>
        <v>Police</v>
      </c>
      <c r="J425" t="str">
        <f>Raw_Claims_Data!J424</f>
        <v>Washington</v>
      </c>
      <c r="K425" t="str">
        <f>Raw_Claims_Data!K424</f>
        <v>DC</v>
      </c>
      <c r="L425">
        <f>Raw_Claims_Data!L424</f>
        <v>16</v>
      </c>
      <c r="M425" t="str">
        <f>IF(Raw_Claims_Data!M424="","N/A",Raw_Claims_Data!M424)</f>
        <v>N/A</v>
      </c>
      <c r="N425" t="str">
        <f>Raw_Claims_Data!N424</f>
        <v>AGENT00799</v>
      </c>
      <c r="O425">
        <f>IF(Raw_Claims_Data!G424="D",1,0)</f>
        <v>1</v>
      </c>
    </row>
    <row r="426" spans="1:15" x14ac:dyDescent="0.35">
      <c r="A426" t="str">
        <f>Raw_Claims_Data!A425</f>
        <v>TXN00000422</v>
      </c>
      <c r="B426" t="str">
        <f>TRIM(Raw_Claims_Data!B425)</f>
        <v>Timothy Kelso</v>
      </c>
      <c r="C426" t="str">
        <f>Raw_Claims_Data!C425</f>
        <v>Mobile</v>
      </c>
      <c r="D426">
        <f>Raw_Claims_Data!D425</f>
        <v>9.01</v>
      </c>
      <c r="E426">
        <f>Raw_Claims_Data!E425</f>
        <v>400</v>
      </c>
      <c r="F426" t="str">
        <f>Raw_Claims_Data!F425</f>
        <v>CT</v>
      </c>
      <c r="G426" t="str">
        <f>Raw_Claims_Data!G425</f>
        <v>A</v>
      </c>
      <c r="H426" t="str">
        <f>Raw_Claims_Data!H425</f>
        <v>Total Loss</v>
      </c>
      <c r="I426" t="str">
        <f>IF(Raw_Claims_Data!I425="","None",Raw_Claims_Data!I425)</f>
        <v>None</v>
      </c>
      <c r="J426" t="str">
        <f>Raw_Claims_Data!J425</f>
        <v>Mount Tabor</v>
      </c>
      <c r="K426" t="str">
        <f>Raw_Claims_Data!K425</f>
        <v>VT</v>
      </c>
      <c r="L426">
        <f>Raw_Claims_Data!L425</f>
        <v>12</v>
      </c>
      <c r="M426" t="str">
        <f>IF(Raw_Claims_Data!M425="","N/A",Raw_Claims_Data!M425)</f>
        <v>N/A</v>
      </c>
      <c r="N426" t="str">
        <f>Raw_Claims_Data!N425</f>
        <v>AGENT00068</v>
      </c>
      <c r="O426">
        <f>IF(Raw_Claims_Data!G425="D",1,0)</f>
        <v>0</v>
      </c>
    </row>
    <row r="427" spans="1:15" x14ac:dyDescent="0.35">
      <c r="A427" t="str">
        <f>Raw_Claims_Data!A426</f>
        <v>TXN00000423</v>
      </c>
      <c r="B427" t="str">
        <f>TRIM(Raw_Claims_Data!B426)</f>
        <v>Joel Green</v>
      </c>
      <c r="C427" t="str">
        <f>Raw_Claims_Data!C426</f>
        <v>Life</v>
      </c>
      <c r="D427">
        <f>Raw_Claims_Data!D426</f>
        <v>75.680000000000007</v>
      </c>
      <c r="E427">
        <f>Raw_Claims_Data!E426</f>
        <v>86000</v>
      </c>
      <c r="F427" t="str">
        <f>Raw_Claims_Data!F426</f>
        <v>KY</v>
      </c>
      <c r="G427" t="str">
        <f>Raw_Claims_Data!G426</f>
        <v>A</v>
      </c>
      <c r="H427" t="str">
        <f>Raw_Claims_Data!H426</f>
        <v>Total Loss</v>
      </c>
      <c r="I427" t="str">
        <f>IF(Raw_Claims_Data!I426="","None",Raw_Claims_Data!I426)</f>
        <v>Police</v>
      </c>
      <c r="J427" t="str">
        <f>Raw_Claims_Data!J426</f>
        <v>Panama City</v>
      </c>
      <c r="K427" t="str">
        <f>Raw_Claims_Data!K426</f>
        <v>FL</v>
      </c>
      <c r="L427">
        <f>Raw_Claims_Data!L426</f>
        <v>5</v>
      </c>
      <c r="M427" t="str">
        <f>IF(Raw_Claims_Data!M426="","N/A",Raw_Claims_Data!M426)</f>
        <v>VNDR00138</v>
      </c>
      <c r="N427" t="str">
        <f>Raw_Claims_Data!N426</f>
        <v>AGENT00123</v>
      </c>
      <c r="O427">
        <f>IF(Raw_Claims_Data!G426="D",1,0)</f>
        <v>0</v>
      </c>
    </row>
    <row r="428" spans="1:15" x14ac:dyDescent="0.35">
      <c r="A428" t="str">
        <f>Raw_Claims_Data!A427</f>
        <v>TXN00000424</v>
      </c>
      <c r="B428" t="str">
        <f>TRIM(Raw_Claims_Data!B427)</f>
        <v>Robert Tatum</v>
      </c>
      <c r="C428" t="str">
        <f>Raw_Claims_Data!C427</f>
        <v>Property</v>
      </c>
      <c r="D428">
        <f>Raw_Claims_Data!D427</f>
        <v>85.89</v>
      </c>
      <c r="E428">
        <f>Raw_Claims_Data!E427</f>
        <v>20000</v>
      </c>
      <c r="F428" t="str">
        <f>Raw_Claims_Data!F427</f>
        <v>AZ</v>
      </c>
      <c r="G428" t="str">
        <f>Raw_Claims_Data!G427</f>
        <v>A</v>
      </c>
      <c r="H428" t="str">
        <f>Raw_Claims_Data!H427</f>
        <v>Major Loss</v>
      </c>
      <c r="I428" t="str">
        <f>IF(Raw_Claims_Data!I427="","None",Raw_Claims_Data!I427)</f>
        <v>Police</v>
      </c>
      <c r="J428" t="str">
        <f>Raw_Claims_Data!J427</f>
        <v>Youngstown</v>
      </c>
      <c r="K428" t="str">
        <f>Raw_Claims_Data!K427</f>
        <v>FL</v>
      </c>
      <c r="L428">
        <f>Raw_Claims_Data!L427</f>
        <v>4</v>
      </c>
      <c r="M428" t="str">
        <f>IF(Raw_Claims_Data!M427="","N/A",Raw_Claims_Data!M427)</f>
        <v>N/A</v>
      </c>
      <c r="N428" t="str">
        <f>Raw_Claims_Data!N427</f>
        <v>AGENT01102</v>
      </c>
      <c r="O428">
        <f>IF(Raw_Claims_Data!G427="D",1,0)</f>
        <v>0</v>
      </c>
    </row>
    <row r="429" spans="1:15" x14ac:dyDescent="0.35">
      <c r="A429" t="str">
        <f>Raw_Claims_Data!A428</f>
        <v>TXN00000425</v>
      </c>
      <c r="B429" t="str">
        <f>TRIM(Raw_Claims_Data!B428)</f>
        <v>Preston Chatman</v>
      </c>
      <c r="C429" t="str">
        <f>Raw_Claims_Data!C428</f>
        <v>Life</v>
      </c>
      <c r="D429">
        <f>Raw_Claims_Data!D428</f>
        <v>65.959999999999994</v>
      </c>
      <c r="E429">
        <f>Raw_Claims_Data!E428</f>
        <v>99000</v>
      </c>
      <c r="F429" t="str">
        <f>Raw_Claims_Data!F428</f>
        <v>AR</v>
      </c>
      <c r="G429" t="str">
        <f>Raw_Claims_Data!G428</f>
        <v>A</v>
      </c>
      <c r="H429" t="str">
        <f>Raw_Claims_Data!H428</f>
        <v>Total Loss</v>
      </c>
      <c r="I429" t="str">
        <f>IF(Raw_Claims_Data!I428="","None",Raw_Claims_Data!I428)</f>
        <v>Police</v>
      </c>
      <c r="J429" t="str">
        <f>Raw_Claims_Data!J428</f>
        <v>Nashville</v>
      </c>
      <c r="K429" t="str">
        <f>Raw_Claims_Data!K428</f>
        <v>TN</v>
      </c>
      <c r="L429">
        <f>Raw_Claims_Data!L428</f>
        <v>8</v>
      </c>
      <c r="M429" t="str">
        <f>IF(Raw_Claims_Data!M428="","N/A",Raw_Claims_Data!M428)</f>
        <v>N/A</v>
      </c>
      <c r="N429" t="str">
        <f>Raw_Claims_Data!N428</f>
        <v>AGENT00875</v>
      </c>
      <c r="O429">
        <f>IF(Raw_Claims_Data!G428="D",1,0)</f>
        <v>0</v>
      </c>
    </row>
    <row r="430" spans="1:15" x14ac:dyDescent="0.35">
      <c r="A430" t="str">
        <f>Raw_Claims_Data!A429</f>
        <v>TXN00000426</v>
      </c>
      <c r="B430" t="str">
        <f>TRIM(Raw_Claims_Data!B429)</f>
        <v>Ian Pew</v>
      </c>
      <c r="C430" t="str">
        <f>Raw_Claims_Data!C429</f>
        <v>Motor</v>
      </c>
      <c r="D430">
        <f>Raw_Claims_Data!D429</f>
        <v>116.49</v>
      </c>
      <c r="E430">
        <f>Raw_Claims_Data!E429</f>
        <v>8000</v>
      </c>
      <c r="F430" t="str">
        <f>Raw_Claims_Data!F429</f>
        <v>CT</v>
      </c>
      <c r="G430" t="str">
        <f>Raw_Claims_Data!G429</f>
        <v>A</v>
      </c>
      <c r="H430" t="str">
        <f>Raw_Claims_Data!H429</f>
        <v>Major Loss</v>
      </c>
      <c r="I430" t="str">
        <f>IF(Raw_Claims_Data!I429="","None",Raw_Claims_Data!I429)</f>
        <v>Ambulance</v>
      </c>
      <c r="J430" t="str">
        <f>Raw_Claims_Data!J429</f>
        <v>Revere</v>
      </c>
      <c r="K430" t="str">
        <f>Raw_Claims_Data!K429</f>
        <v>MA</v>
      </c>
      <c r="L430">
        <f>Raw_Claims_Data!L429</f>
        <v>19</v>
      </c>
      <c r="M430" t="str">
        <f>IF(Raw_Claims_Data!M429="","N/A",Raw_Claims_Data!M429)</f>
        <v>N/A</v>
      </c>
      <c r="N430" t="str">
        <f>Raw_Claims_Data!N429</f>
        <v>AGENT00344</v>
      </c>
      <c r="O430">
        <f>IF(Raw_Claims_Data!G429="D",1,0)</f>
        <v>0</v>
      </c>
    </row>
    <row r="431" spans="1:15" x14ac:dyDescent="0.35">
      <c r="A431" t="str">
        <f>Raw_Claims_Data!A430</f>
        <v>TXN00000427</v>
      </c>
      <c r="B431" t="str">
        <f>TRIM(Raw_Claims_Data!B430)</f>
        <v>Janis Seay</v>
      </c>
      <c r="C431" t="str">
        <f>Raw_Claims_Data!C430</f>
        <v>Travel</v>
      </c>
      <c r="D431">
        <f>Raw_Claims_Data!D430</f>
        <v>50.11</v>
      </c>
      <c r="E431">
        <f>Raw_Claims_Data!E430</f>
        <v>3000</v>
      </c>
      <c r="F431" t="str">
        <f>Raw_Claims_Data!F430</f>
        <v>CT</v>
      </c>
      <c r="G431" t="str">
        <f>Raw_Claims_Data!G430</f>
        <v>A</v>
      </c>
      <c r="H431" t="str">
        <f>Raw_Claims_Data!H430</f>
        <v>Total Loss</v>
      </c>
      <c r="I431" t="str">
        <f>IF(Raw_Claims_Data!I430="","None",Raw_Claims_Data!I430)</f>
        <v>Police</v>
      </c>
      <c r="J431" t="str">
        <f>Raw_Claims_Data!J430</f>
        <v>Nashville</v>
      </c>
      <c r="K431" t="str">
        <f>Raw_Claims_Data!K430</f>
        <v>TN</v>
      </c>
      <c r="L431">
        <f>Raw_Claims_Data!L430</f>
        <v>12</v>
      </c>
      <c r="M431" t="str">
        <f>IF(Raw_Claims_Data!M430="","N/A",Raw_Claims_Data!M430)</f>
        <v>VNDR00593</v>
      </c>
      <c r="N431" t="str">
        <f>Raw_Claims_Data!N430</f>
        <v>AGENT00109</v>
      </c>
      <c r="O431">
        <f>IF(Raw_Claims_Data!G430="D",1,0)</f>
        <v>0</v>
      </c>
    </row>
    <row r="432" spans="1:15" x14ac:dyDescent="0.35">
      <c r="A432" t="str">
        <f>Raw_Claims_Data!A431</f>
        <v>TXN00000428</v>
      </c>
      <c r="B432" t="str">
        <f>TRIM(Raw_Claims_Data!B431)</f>
        <v>Mary Smith</v>
      </c>
      <c r="C432" t="str">
        <f>Raw_Claims_Data!C431</f>
        <v>Property</v>
      </c>
      <c r="D432">
        <f>Raw_Claims_Data!D431</f>
        <v>141.35</v>
      </c>
      <c r="E432">
        <f>Raw_Claims_Data!E431</f>
        <v>30000</v>
      </c>
      <c r="F432" t="str">
        <f>Raw_Claims_Data!F431</f>
        <v>FL</v>
      </c>
      <c r="G432" t="str">
        <f>Raw_Claims_Data!G431</f>
        <v>A</v>
      </c>
      <c r="H432" t="str">
        <f>Raw_Claims_Data!H431</f>
        <v>Minor Loss</v>
      </c>
      <c r="I432" t="str">
        <f>IF(Raw_Claims_Data!I431="","None",Raw_Claims_Data!I431)</f>
        <v>Ambulance</v>
      </c>
      <c r="J432">
        <f>Raw_Claims_Data!J431</f>
        <v>0</v>
      </c>
      <c r="K432" t="str">
        <f>Raw_Claims_Data!K431</f>
        <v>VT</v>
      </c>
      <c r="L432">
        <f>Raw_Claims_Data!L431</f>
        <v>15</v>
      </c>
      <c r="M432" t="str">
        <f>IF(Raw_Claims_Data!M431="","N/A",Raw_Claims_Data!M431)</f>
        <v>VNDR00427</v>
      </c>
      <c r="N432" t="str">
        <f>Raw_Claims_Data!N431</f>
        <v>AGENT00067</v>
      </c>
      <c r="O432">
        <f>IF(Raw_Claims_Data!G431="D",1,0)</f>
        <v>0</v>
      </c>
    </row>
    <row r="433" spans="1:15" x14ac:dyDescent="0.35">
      <c r="A433" t="str">
        <f>Raw_Claims_Data!A432</f>
        <v>TXN00000429</v>
      </c>
      <c r="B433" t="str">
        <f>TRIM(Raw_Claims_Data!B432)</f>
        <v>Margaret Chen</v>
      </c>
      <c r="C433" t="str">
        <f>Raw_Claims_Data!C432</f>
        <v>Travel</v>
      </c>
      <c r="D433">
        <f>Raw_Claims_Data!D432</f>
        <v>83.47</v>
      </c>
      <c r="E433">
        <f>Raw_Claims_Data!E432</f>
        <v>2000</v>
      </c>
      <c r="F433" t="str">
        <f>Raw_Claims_Data!F432</f>
        <v>CA</v>
      </c>
      <c r="G433" t="str">
        <f>Raw_Claims_Data!G432</f>
        <v>A</v>
      </c>
      <c r="H433" t="str">
        <f>Raw_Claims_Data!H432</f>
        <v>Total Loss</v>
      </c>
      <c r="I433" t="str">
        <f>IF(Raw_Claims_Data!I432="","None",Raw_Claims_Data!I432)</f>
        <v>Ambulance</v>
      </c>
      <c r="J433" t="str">
        <f>Raw_Claims_Data!J432</f>
        <v>Oklahoma City</v>
      </c>
      <c r="K433" t="str">
        <f>Raw_Claims_Data!K432</f>
        <v>OK</v>
      </c>
      <c r="L433">
        <f>Raw_Claims_Data!L432</f>
        <v>14</v>
      </c>
      <c r="M433" t="str">
        <f>IF(Raw_Claims_Data!M432="","N/A",Raw_Claims_Data!M432)</f>
        <v>VNDR00404</v>
      </c>
      <c r="N433" t="str">
        <f>Raw_Claims_Data!N432</f>
        <v>AGENT00293</v>
      </c>
      <c r="O433">
        <f>IF(Raw_Claims_Data!G432="D",1,0)</f>
        <v>0</v>
      </c>
    </row>
    <row r="434" spans="1:15" x14ac:dyDescent="0.35">
      <c r="A434" t="str">
        <f>Raw_Claims_Data!A433</f>
        <v>TXN00000430</v>
      </c>
      <c r="B434" t="str">
        <f>TRIM(Raw_Claims_Data!B433)</f>
        <v>Diane Ashford</v>
      </c>
      <c r="C434" t="str">
        <f>Raw_Claims_Data!C433</f>
        <v>Life</v>
      </c>
      <c r="D434">
        <f>Raw_Claims_Data!D433</f>
        <v>66.06</v>
      </c>
      <c r="E434">
        <f>Raw_Claims_Data!E433</f>
        <v>52000</v>
      </c>
      <c r="F434" t="str">
        <f>Raw_Claims_Data!F433</f>
        <v>MA</v>
      </c>
      <c r="G434" t="str">
        <f>Raw_Claims_Data!G433</f>
        <v>A</v>
      </c>
      <c r="H434" t="str">
        <f>Raw_Claims_Data!H433</f>
        <v>Minor Loss</v>
      </c>
      <c r="I434" t="str">
        <f>IF(Raw_Claims_Data!I433="","None",Raw_Claims_Data!I433)</f>
        <v>None</v>
      </c>
      <c r="J434" t="str">
        <f>Raw_Claims_Data!J433</f>
        <v>Savannah</v>
      </c>
      <c r="K434" t="str">
        <f>Raw_Claims_Data!K433</f>
        <v>GA</v>
      </c>
      <c r="L434">
        <f>Raw_Claims_Data!L433</f>
        <v>23</v>
      </c>
      <c r="M434" t="str">
        <f>IF(Raw_Claims_Data!M433="","N/A",Raw_Claims_Data!M433)</f>
        <v>N/A</v>
      </c>
      <c r="N434" t="str">
        <f>Raw_Claims_Data!N433</f>
        <v>AGENT00044</v>
      </c>
      <c r="O434">
        <f>IF(Raw_Claims_Data!G433="D",1,0)</f>
        <v>0</v>
      </c>
    </row>
    <row r="435" spans="1:15" x14ac:dyDescent="0.35">
      <c r="A435" t="str">
        <f>Raw_Claims_Data!A434</f>
        <v>TXN00000431</v>
      </c>
      <c r="B435" t="str">
        <f>TRIM(Raw_Claims_Data!B434)</f>
        <v>Samuel Haynes</v>
      </c>
      <c r="C435" t="str">
        <f>Raw_Claims_Data!C434</f>
        <v>Travel</v>
      </c>
      <c r="D435">
        <f>Raw_Claims_Data!D434</f>
        <v>85.53</v>
      </c>
      <c r="E435">
        <f>Raw_Claims_Data!E434</f>
        <v>1000</v>
      </c>
      <c r="F435" t="str">
        <f>Raw_Claims_Data!F434</f>
        <v>OK</v>
      </c>
      <c r="G435" t="str">
        <f>Raw_Claims_Data!G434</f>
        <v>A</v>
      </c>
      <c r="H435" t="str">
        <f>Raw_Claims_Data!H434</f>
        <v>Minor Loss</v>
      </c>
      <c r="I435" t="str">
        <f>IF(Raw_Claims_Data!I434="","None",Raw_Claims_Data!I434)</f>
        <v>None</v>
      </c>
      <c r="J435" t="str">
        <f>Raw_Claims_Data!J434</f>
        <v>Watertown</v>
      </c>
      <c r="K435" t="str">
        <f>Raw_Claims_Data!K434</f>
        <v>MA</v>
      </c>
      <c r="L435">
        <f>Raw_Claims_Data!L434</f>
        <v>9</v>
      </c>
      <c r="M435" t="str">
        <f>IF(Raw_Claims_Data!M434="","N/A",Raw_Claims_Data!M434)</f>
        <v>N/A</v>
      </c>
      <c r="N435" t="str">
        <f>Raw_Claims_Data!N434</f>
        <v>AGENT01019</v>
      </c>
      <c r="O435">
        <f>IF(Raw_Claims_Data!G434="D",1,0)</f>
        <v>0</v>
      </c>
    </row>
    <row r="436" spans="1:15" x14ac:dyDescent="0.35">
      <c r="A436" t="str">
        <f>Raw_Claims_Data!A435</f>
        <v>TXN00000432</v>
      </c>
      <c r="B436" t="str">
        <f>TRIM(Raw_Claims_Data!B435)</f>
        <v>William Root</v>
      </c>
      <c r="C436" t="str">
        <f>Raw_Claims_Data!C435</f>
        <v>Mobile</v>
      </c>
      <c r="D436">
        <f>Raw_Claims_Data!D435</f>
        <v>8.8000000000000007</v>
      </c>
      <c r="E436">
        <f>Raw_Claims_Data!E435</f>
        <v>400</v>
      </c>
      <c r="F436" t="str">
        <f>Raw_Claims_Data!F435</f>
        <v>DC</v>
      </c>
      <c r="G436" t="str">
        <f>Raw_Claims_Data!G435</f>
        <v>A</v>
      </c>
      <c r="H436" t="str">
        <f>Raw_Claims_Data!H435</f>
        <v>Total Loss</v>
      </c>
      <c r="I436" t="str">
        <f>IF(Raw_Claims_Data!I435="","None",Raw_Claims_Data!I435)</f>
        <v>Other</v>
      </c>
      <c r="J436" t="str">
        <f>Raw_Claims_Data!J435</f>
        <v>Oakland</v>
      </c>
      <c r="K436" t="str">
        <f>Raw_Claims_Data!K435</f>
        <v>CA</v>
      </c>
      <c r="L436">
        <f>Raw_Claims_Data!L435</f>
        <v>5</v>
      </c>
      <c r="M436" t="str">
        <f>IF(Raw_Claims_Data!M435="","N/A",Raw_Claims_Data!M435)</f>
        <v>N/A</v>
      </c>
      <c r="N436" t="str">
        <f>Raw_Claims_Data!N435</f>
        <v>AGENT01055</v>
      </c>
      <c r="O436">
        <f>IF(Raw_Claims_Data!G435="D",1,0)</f>
        <v>0</v>
      </c>
    </row>
    <row r="437" spans="1:15" x14ac:dyDescent="0.35">
      <c r="A437" t="str">
        <f>Raw_Claims_Data!A436</f>
        <v>TXN00000433</v>
      </c>
      <c r="B437" t="str">
        <f>TRIM(Raw_Claims_Data!B436)</f>
        <v>James Clay</v>
      </c>
      <c r="C437" t="str">
        <f>Raw_Claims_Data!C436</f>
        <v>Travel</v>
      </c>
      <c r="D437">
        <f>Raw_Claims_Data!D436</f>
        <v>64.400000000000006</v>
      </c>
      <c r="E437">
        <f>Raw_Claims_Data!E436</f>
        <v>2000</v>
      </c>
      <c r="F437" t="str">
        <f>Raw_Claims_Data!F436</f>
        <v>CT</v>
      </c>
      <c r="G437" t="str">
        <f>Raw_Claims_Data!G436</f>
        <v>A</v>
      </c>
      <c r="H437" t="str">
        <f>Raw_Claims_Data!H436</f>
        <v>Total Loss</v>
      </c>
      <c r="I437" t="str">
        <f>IF(Raw_Claims_Data!I436="","None",Raw_Claims_Data!I436)</f>
        <v>Ambulance</v>
      </c>
      <c r="J437" t="str">
        <f>Raw_Claims_Data!J436</f>
        <v>Savannah</v>
      </c>
      <c r="K437" t="str">
        <f>Raw_Claims_Data!K436</f>
        <v>GA</v>
      </c>
      <c r="L437">
        <f>Raw_Claims_Data!L436</f>
        <v>7</v>
      </c>
      <c r="M437" t="str">
        <f>IF(Raw_Claims_Data!M436="","N/A",Raw_Claims_Data!M436)</f>
        <v>N/A</v>
      </c>
      <c r="N437" t="str">
        <f>Raw_Claims_Data!N436</f>
        <v>AGENT00062</v>
      </c>
      <c r="O437">
        <f>IF(Raw_Claims_Data!G436="D",1,0)</f>
        <v>0</v>
      </c>
    </row>
    <row r="438" spans="1:15" x14ac:dyDescent="0.35">
      <c r="A438" t="str">
        <f>Raw_Claims_Data!A437</f>
        <v>TXN00000434</v>
      </c>
      <c r="B438" t="str">
        <f>TRIM(Raw_Claims_Data!B437)</f>
        <v>Erik Hester</v>
      </c>
      <c r="C438" t="str">
        <f>Raw_Claims_Data!C437</f>
        <v>Health</v>
      </c>
      <c r="D438">
        <f>Raw_Claims_Data!D437</f>
        <v>109.65</v>
      </c>
      <c r="E438">
        <f>Raw_Claims_Data!E437</f>
        <v>18000</v>
      </c>
      <c r="F438" t="str">
        <f>Raw_Claims_Data!F437</f>
        <v>CO</v>
      </c>
      <c r="G438" t="str">
        <f>Raw_Claims_Data!G437</f>
        <v>A</v>
      </c>
      <c r="H438" t="str">
        <f>Raw_Claims_Data!H437</f>
        <v>Major Loss</v>
      </c>
      <c r="I438" t="str">
        <f>IF(Raw_Claims_Data!I437="","None",Raw_Claims_Data!I437)</f>
        <v>Other</v>
      </c>
      <c r="J438" t="str">
        <f>Raw_Claims_Data!J437</f>
        <v>Edmond</v>
      </c>
      <c r="K438" t="str">
        <f>Raw_Claims_Data!K437</f>
        <v>OK</v>
      </c>
      <c r="L438">
        <f>Raw_Claims_Data!L437</f>
        <v>5</v>
      </c>
      <c r="M438" t="str">
        <f>IF(Raw_Claims_Data!M437="","N/A",Raw_Claims_Data!M437)</f>
        <v>VNDR00323</v>
      </c>
      <c r="N438" t="str">
        <f>Raw_Claims_Data!N437</f>
        <v>AGENT00765</v>
      </c>
      <c r="O438">
        <f>IF(Raw_Claims_Data!G437="D",1,0)</f>
        <v>0</v>
      </c>
    </row>
    <row r="439" spans="1:15" x14ac:dyDescent="0.35">
      <c r="A439" t="str">
        <f>Raw_Claims_Data!A438</f>
        <v>TXN00000435</v>
      </c>
      <c r="B439" t="str">
        <f>TRIM(Raw_Claims_Data!B438)</f>
        <v>Greg Davis</v>
      </c>
      <c r="C439" t="str">
        <f>Raw_Claims_Data!C438</f>
        <v>Motor</v>
      </c>
      <c r="D439">
        <f>Raw_Claims_Data!D438</f>
        <v>77.08</v>
      </c>
      <c r="E439">
        <f>Raw_Claims_Data!E438</f>
        <v>7000</v>
      </c>
      <c r="F439" t="str">
        <f>Raw_Claims_Data!F438</f>
        <v>CA</v>
      </c>
      <c r="G439" t="str">
        <f>Raw_Claims_Data!G438</f>
        <v>A</v>
      </c>
      <c r="H439" t="str">
        <f>Raw_Claims_Data!H438</f>
        <v>Minor Loss</v>
      </c>
      <c r="I439" t="str">
        <f>IF(Raw_Claims_Data!I438="","None",Raw_Claims_Data!I438)</f>
        <v>Ambulance</v>
      </c>
      <c r="J439" t="str">
        <f>Raw_Claims_Data!J438</f>
        <v>Anchorage</v>
      </c>
      <c r="K439" t="str">
        <f>Raw_Claims_Data!K438</f>
        <v>AK</v>
      </c>
      <c r="L439">
        <f>Raw_Claims_Data!L438</f>
        <v>17</v>
      </c>
      <c r="M439" t="str">
        <f>IF(Raw_Claims_Data!M438="","N/A",Raw_Claims_Data!M438)</f>
        <v>N/A</v>
      </c>
      <c r="N439" t="str">
        <f>Raw_Claims_Data!N438</f>
        <v>AGENT00079</v>
      </c>
      <c r="O439">
        <f>IF(Raw_Claims_Data!G438="D",1,0)</f>
        <v>0</v>
      </c>
    </row>
    <row r="440" spans="1:15" x14ac:dyDescent="0.35">
      <c r="A440" t="str">
        <f>Raw_Claims_Data!A439</f>
        <v>TXN00000436</v>
      </c>
      <c r="B440" t="str">
        <f>TRIM(Raw_Claims_Data!B439)</f>
        <v>Tabitha Moreno</v>
      </c>
      <c r="C440" t="str">
        <f>Raw_Claims_Data!C439</f>
        <v>Life</v>
      </c>
      <c r="D440">
        <f>Raw_Claims_Data!D439</f>
        <v>63.29</v>
      </c>
      <c r="E440">
        <f>Raw_Claims_Data!E439</f>
        <v>68000</v>
      </c>
      <c r="F440" t="str">
        <f>Raw_Claims_Data!F439</f>
        <v>TN</v>
      </c>
      <c r="G440" t="str">
        <f>Raw_Claims_Data!G439</f>
        <v>A</v>
      </c>
      <c r="H440" t="str">
        <f>Raw_Claims_Data!H439</f>
        <v>Total Loss</v>
      </c>
      <c r="I440" t="str">
        <f>IF(Raw_Claims_Data!I439="","None",Raw_Claims_Data!I439)</f>
        <v>None</v>
      </c>
      <c r="J440" t="str">
        <f>Raw_Claims_Data!J439</f>
        <v>Nashville</v>
      </c>
      <c r="K440" t="str">
        <f>Raw_Claims_Data!K439</f>
        <v>TN</v>
      </c>
      <c r="L440">
        <f>Raw_Claims_Data!L439</f>
        <v>1</v>
      </c>
      <c r="M440" t="str">
        <f>IF(Raw_Claims_Data!M439="","N/A",Raw_Claims_Data!M439)</f>
        <v>VNDR00310</v>
      </c>
      <c r="N440" t="str">
        <f>Raw_Claims_Data!N439</f>
        <v>AGENT00767</v>
      </c>
      <c r="O440">
        <f>IF(Raw_Claims_Data!G439="D",1,0)</f>
        <v>0</v>
      </c>
    </row>
    <row r="441" spans="1:15" x14ac:dyDescent="0.35">
      <c r="A441" t="str">
        <f>Raw_Claims_Data!A440</f>
        <v>TXN00000437</v>
      </c>
      <c r="B441" t="str">
        <f>TRIM(Raw_Claims_Data!B440)</f>
        <v>Isabel Imai</v>
      </c>
      <c r="C441" t="str">
        <f>Raw_Claims_Data!C440</f>
        <v>Property</v>
      </c>
      <c r="D441">
        <f>Raw_Claims_Data!D440</f>
        <v>81.680000000000007</v>
      </c>
      <c r="E441">
        <f>Raw_Claims_Data!E440</f>
        <v>25000</v>
      </c>
      <c r="F441" t="str">
        <f>Raw_Claims_Data!F440</f>
        <v>VT</v>
      </c>
      <c r="G441" t="str">
        <f>Raw_Claims_Data!G440</f>
        <v>A</v>
      </c>
      <c r="H441" t="str">
        <f>Raw_Claims_Data!H440</f>
        <v>Minor Loss</v>
      </c>
      <c r="I441" t="str">
        <f>IF(Raw_Claims_Data!I440="","None",Raw_Claims_Data!I440)</f>
        <v>Ambulance</v>
      </c>
      <c r="J441" t="str">
        <f>Raw_Claims_Data!J440</f>
        <v>Fayetteville</v>
      </c>
      <c r="K441" t="str">
        <f>Raw_Claims_Data!K440</f>
        <v>AR</v>
      </c>
      <c r="L441">
        <f>Raw_Claims_Data!L440</f>
        <v>19</v>
      </c>
      <c r="M441" t="str">
        <f>IF(Raw_Claims_Data!M440="","N/A",Raw_Claims_Data!M440)</f>
        <v>VNDR00432</v>
      </c>
      <c r="N441" t="str">
        <f>Raw_Claims_Data!N440</f>
        <v>AGENT00254</v>
      </c>
      <c r="O441">
        <f>IF(Raw_Claims_Data!G440="D",1,0)</f>
        <v>0</v>
      </c>
    </row>
    <row r="442" spans="1:15" x14ac:dyDescent="0.35">
      <c r="A442" t="str">
        <f>Raw_Claims_Data!A441</f>
        <v>TXN00000438</v>
      </c>
      <c r="B442" t="str">
        <f>TRIM(Raw_Claims_Data!B441)</f>
        <v>Barbara Harness</v>
      </c>
      <c r="C442" t="str">
        <f>Raw_Claims_Data!C441</f>
        <v>Travel</v>
      </c>
      <c r="D442">
        <f>Raw_Claims_Data!D441</f>
        <v>95.12</v>
      </c>
      <c r="E442">
        <f>Raw_Claims_Data!E441</f>
        <v>2000</v>
      </c>
      <c r="F442" t="str">
        <f>Raw_Claims_Data!F441</f>
        <v>MD</v>
      </c>
      <c r="G442" t="str">
        <f>Raw_Claims_Data!G441</f>
        <v>A</v>
      </c>
      <c r="H442" t="str">
        <f>Raw_Claims_Data!H441</f>
        <v>Total Loss</v>
      </c>
      <c r="I442" t="str">
        <f>IF(Raw_Claims_Data!I441="","None",Raw_Claims_Data!I441)</f>
        <v>Ambulance</v>
      </c>
      <c r="J442" t="str">
        <f>Raw_Claims_Data!J441</f>
        <v>Crofton</v>
      </c>
      <c r="K442" t="str">
        <f>Raw_Claims_Data!K441</f>
        <v>MD</v>
      </c>
      <c r="L442">
        <f>Raw_Claims_Data!L441</f>
        <v>4</v>
      </c>
      <c r="M442" t="str">
        <f>IF(Raw_Claims_Data!M441="","N/A",Raw_Claims_Data!M441)</f>
        <v>VNDR00104</v>
      </c>
      <c r="N442" t="str">
        <f>Raw_Claims_Data!N441</f>
        <v>AGENT00148</v>
      </c>
      <c r="O442">
        <f>IF(Raw_Claims_Data!G441="D",1,0)</f>
        <v>0</v>
      </c>
    </row>
    <row r="443" spans="1:15" x14ac:dyDescent="0.35">
      <c r="A443" t="str">
        <f>Raw_Claims_Data!A442</f>
        <v>TXN00000439</v>
      </c>
      <c r="B443" t="str">
        <f>TRIM(Raw_Claims_Data!B442)</f>
        <v>Robert Desatnik</v>
      </c>
      <c r="C443" t="str">
        <f>Raw_Claims_Data!C442</f>
        <v>Health</v>
      </c>
      <c r="D443">
        <f>Raw_Claims_Data!D442</f>
        <v>103.64</v>
      </c>
      <c r="E443">
        <f>Raw_Claims_Data!E442</f>
        <v>7000</v>
      </c>
      <c r="F443" t="str">
        <f>Raw_Claims_Data!F442</f>
        <v>TN</v>
      </c>
      <c r="G443" t="str">
        <f>Raw_Claims_Data!G442</f>
        <v>A</v>
      </c>
      <c r="H443" t="str">
        <f>Raw_Claims_Data!H442</f>
        <v>Total Loss</v>
      </c>
      <c r="I443" t="str">
        <f>IF(Raw_Claims_Data!I442="","None",Raw_Claims_Data!I442)</f>
        <v>Police</v>
      </c>
      <c r="J443" t="str">
        <f>Raw_Claims_Data!J442</f>
        <v>Nashville</v>
      </c>
      <c r="K443" t="str">
        <f>Raw_Claims_Data!K442</f>
        <v>TN</v>
      </c>
      <c r="L443">
        <f>Raw_Claims_Data!L442</f>
        <v>6</v>
      </c>
      <c r="M443" t="str">
        <f>IF(Raw_Claims_Data!M442="","N/A",Raw_Claims_Data!M442)</f>
        <v>VNDR00109</v>
      </c>
      <c r="N443" t="str">
        <f>Raw_Claims_Data!N442</f>
        <v>AGENT00140</v>
      </c>
      <c r="O443">
        <f>IF(Raw_Claims_Data!G442="D",1,0)</f>
        <v>0</v>
      </c>
    </row>
    <row r="444" spans="1:15" x14ac:dyDescent="0.35">
      <c r="A444" t="str">
        <f>Raw_Claims_Data!A443</f>
        <v>TXN00000440</v>
      </c>
      <c r="B444" t="str">
        <f>TRIM(Raw_Claims_Data!B443)</f>
        <v>Rebecca Haney</v>
      </c>
      <c r="C444" t="str">
        <f>Raw_Claims_Data!C443</f>
        <v>Mobile</v>
      </c>
      <c r="D444">
        <f>Raw_Claims_Data!D443</f>
        <v>7.69</v>
      </c>
      <c r="E444">
        <f>Raw_Claims_Data!E443</f>
        <v>400</v>
      </c>
      <c r="F444" t="str">
        <f>Raw_Claims_Data!F443</f>
        <v>AZ</v>
      </c>
      <c r="G444" t="str">
        <f>Raw_Claims_Data!G443</f>
        <v>A</v>
      </c>
      <c r="H444" t="str">
        <f>Raw_Claims_Data!H443</f>
        <v>Minor Loss</v>
      </c>
      <c r="I444" t="str">
        <f>IF(Raw_Claims_Data!I443="","None",Raw_Claims_Data!I443)</f>
        <v>Other</v>
      </c>
      <c r="J444" t="str">
        <f>Raw_Claims_Data!J443</f>
        <v>Annapolis</v>
      </c>
      <c r="K444" t="str">
        <f>Raw_Claims_Data!K443</f>
        <v>MD</v>
      </c>
      <c r="L444">
        <f>Raw_Claims_Data!L443</f>
        <v>9</v>
      </c>
      <c r="M444" t="str">
        <f>IF(Raw_Claims_Data!M443="","N/A",Raw_Claims_Data!M443)</f>
        <v>VNDR00314</v>
      </c>
      <c r="N444" t="str">
        <f>Raw_Claims_Data!N443</f>
        <v>AGENT00741</v>
      </c>
      <c r="O444">
        <f>IF(Raw_Claims_Data!G443="D",1,0)</f>
        <v>0</v>
      </c>
    </row>
    <row r="445" spans="1:15" x14ac:dyDescent="0.35">
      <c r="A445" t="str">
        <f>Raw_Claims_Data!A444</f>
        <v>TXN00000441</v>
      </c>
      <c r="B445" t="str">
        <f>TRIM(Raw_Claims_Data!B444)</f>
        <v>Alexander Dinkens</v>
      </c>
      <c r="C445" t="str">
        <f>Raw_Claims_Data!C444</f>
        <v>Life</v>
      </c>
      <c r="D445">
        <f>Raw_Claims_Data!D444</f>
        <v>94.52</v>
      </c>
      <c r="E445">
        <f>Raw_Claims_Data!E444</f>
        <v>37000</v>
      </c>
      <c r="F445" t="str">
        <f>Raw_Claims_Data!F444</f>
        <v>CO</v>
      </c>
      <c r="G445" t="str">
        <f>Raw_Claims_Data!G444</f>
        <v>A</v>
      </c>
      <c r="H445" t="str">
        <f>Raw_Claims_Data!H444</f>
        <v>Minor Loss</v>
      </c>
      <c r="I445" t="str">
        <f>IF(Raw_Claims_Data!I444="","None",Raw_Claims_Data!I444)</f>
        <v>Police</v>
      </c>
      <c r="J445" t="str">
        <f>Raw_Claims_Data!J444</f>
        <v>Edgewater</v>
      </c>
      <c r="K445" t="str">
        <f>Raw_Claims_Data!K444</f>
        <v>MD</v>
      </c>
      <c r="L445">
        <f>Raw_Claims_Data!L444</f>
        <v>10</v>
      </c>
      <c r="M445" t="str">
        <f>IF(Raw_Claims_Data!M444="","N/A",Raw_Claims_Data!M444)</f>
        <v>VNDR00519</v>
      </c>
      <c r="N445" t="str">
        <f>Raw_Claims_Data!N444</f>
        <v>AGENT00022</v>
      </c>
      <c r="O445">
        <f>IF(Raw_Claims_Data!G444="D",1,0)</f>
        <v>0</v>
      </c>
    </row>
    <row r="446" spans="1:15" x14ac:dyDescent="0.35">
      <c r="A446" t="str">
        <f>Raw_Claims_Data!A445</f>
        <v>TXN00000442</v>
      </c>
      <c r="B446" t="str">
        <f>TRIM(Raw_Claims_Data!B445)</f>
        <v>David Johnson</v>
      </c>
      <c r="C446" t="str">
        <f>Raw_Claims_Data!C445</f>
        <v>Property</v>
      </c>
      <c r="D446">
        <f>Raw_Claims_Data!D445</f>
        <v>85.13</v>
      </c>
      <c r="E446">
        <f>Raw_Claims_Data!E445</f>
        <v>38000</v>
      </c>
      <c r="F446" t="str">
        <f>Raw_Claims_Data!F445</f>
        <v>TN</v>
      </c>
      <c r="G446" t="str">
        <f>Raw_Claims_Data!G445</f>
        <v>A</v>
      </c>
      <c r="H446" t="str">
        <f>Raw_Claims_Data!H445</f>
        <v>Total Loss</v>
      </c>
      <c r="I446" t="str">
        <f>IF(Raw_Claims_Data!I445="","None",Raw_Claims_Data!I445)</f>
        <v>Other</v>
      </c>
      <c r="J446" t="str">
        <f>Raw_Claims_Data!J445</f>
        <v>Nashville</v>
      </c>
      <c r="K446" t="str">
        <f>Raw_Claims_Data!K445</f>
        <v>TN</v>
      </c>
      <c r="L446">
        <f>Raw_Claims_Data!L445</f>
        <v>15</v>
      </c>
      <c r="M446" t="str">
        <f>IF(Raw_Claims_Data!M445="","N/A",Raw_Claims_Data!M445)</f>
        <v>N/A</v>
      </c>
      <c r="N446" t="str">
        <f>Raw_Claims_Data!N445</f>
        <v>AGENT00451</v>
      </c>
      <c r="O446">
        <f>IF(Raw_Claims_Data!G445="D",1,0)</f>
        <v>0</v>
      </c>
    </row>
    <row r="447" spans="1:15" x14ac:dyDescent="0.35">
      <c r="A447" t="str">
        <f>Raw_Claims_Data!A446</f>
        <v>TXN00000443</v>
      </c>
      <c r="B447" t="str">
        <f>TRIM(Raw_Claims_Data!B446)</f>
        <v>Philip Yockey</v>
      </c>
      <c r="C447" t="str">
        <f>Raw_Claims_Data!C446</f>
        <v>Motor</v>
      </c>
      <c r="D447">
        <f>Raw_Claims_Data!D446</f>
        <v>130.07</v>
      </c>
      <c r="E447">
        <f>Raw_Claims_Data!E446</f>
        <v>5000</v>
      </c>
      <c r="F447" t="str">
        <f>Raw_Claims_Data!F446</f>
        <v>CA</v>
      </c>
      <c r="G447" t="str">
        <f>Raw_Claims_Data!G446</f>
        <v>A</v>
      </c>
      <c r="H447" t="str">
        <f>Raw_Claims_Data!H446</f>
        <v>Minor Loss</v>
      </c>
      <c r="I447" t="str">
        <f>IF(Raw_Claims_Data!I446="","None",Raw_Claims_Data!I446)</f>
        <v>None</v>
      </c>
      <c r="J447" t="str">
        <f>Raw_Claims_Data!J446</f>
        <v>Ione</v>
      </c>
      <c r="K447" t="str">
        <f>Raw_Claims_Data!K446</f>
        <v>CA</v>
      </c>
      <c r="L447">
        <f>Raw_Claims_Data!L446</f>
        <v>9</v>
      </c>
      <c r="M447" t="str">
        <f>IF(Raw_Claims_Data!M446="","N/A",Raw_Claims_Data!M446)</f>
        <v>VNDR00461</v>
      </c>
      <c r="N447" t="str">
        <f>Raw_Claims_Data!N446</f>
        <v>AGENT00843</v>
      </c>
      <c r="O447">
        <f>IF(Raw_Claims_Data!G446="D",1,0)</f>
        <v>0</v>
      </c>
    </row>
    <row r="448" spans="1:15" x14ac:dyDescent="0.35">
      <c r="A448" t="str">
        <f>Raw_Claims_Data!A447</f>
        <v>TXN00000444</v>
      </c>
      <c r="B448" t="str">
        <f>TRIM(Raw_Claims_Data!B447)</f>
        <v>Erin Abreu</v>
      </c>
      <c r="C448" t="str">
        <f>Raw_Claims_Data!C447</f>
        <v>Life</v>
      </c>
      <c r="D448">
        <f>Raw_Claims_Data!D447</f>
        <v>92.89</v>
      </c>
      <c r="E448">
        <f>Raw_Claims_Data!E447</f>
        <v>43000</v>
      </c>
      <c r="F448" t="str">
        <f>Raw_Claims_Data!F447</f>
        <v>CA</v>
      </c>
      <c r="G448" t="str">
        <f>Raw_Claims_Data!G447</f>
        <v>A</v>
      </c>
      <c r="H448" t="str">
        <f>Raw_Claims_Data!H447</f>
        <v>Major Loss</v>
      </c>
      <c r="I448" t="str">
        <f>IF(Raw_Claims_Data!I447="","None",Raw_Claims_Data!I447)</f>
        <v>None</v>
      </c>
      <c r="J448" t="str">
        <f>Raw_Claims_Data!J447</f>
        <v>Beverly Hills</v>
      </c>
      <c r="K448" t="str">
        <f>Raw_Claims_Data!K447</f>
        <v>FL</v>
      </c>
      <c r="L448">
        <f>Raw_Claims_Data!L447</f>
        <v>7</v>
      </c>
      <c r="M448" t="str">
        <f>IF(Raw_Claims_Data!M447="","N/A",Raw_Claims_Data!M447)</f>
        <v>VNDR00045</v>
      </c>
      <c r="N448" t="str">
        <f>Raw_Claims_Data!N447</f>
        <v>AGENT00432</v>
      </c>
      <c r="O448">
        <f>IF(Raw_Claims_Data!G447="D",1,0)</f>
        <v>0</v>
      </c>
    </row>
    <row r="449" spans="1:15" x14ac:dyDescent="0.35">
      <c r="A449" t="str">
        <f>Raw_Claims_Data!A448</f>
        <v>TXN00000445</v>
      </c>
      <c r="B449" t="str">
        <f>TRIM(Raw_Claims_Data!B448)</f>
        <v>Ramonita Nunez</v>
      </c>
      <c r="C449" t="str">
        <f>Raw_Claims_Data!C448</f>
        <v>Health</v>
      </c>
      <c r="D449">
        <f>Raw_Claims_Data!D448</f>
        <v>143.83000000000001</v>
      </c>
      <c r="E449">
        <f>Raw_Claims_Data!E448</f>
        <v>20000</v>
      </c>
      <c r="F449" t="str">
        <f>Raw_Claims_Data!F448</f>
        <v>AL</v>
      </c>
      <c r="G449" t="str">
        <f>Raw_Claims_Data!G448</f>
        <v>D</v>
      </c>
      <c r="H449" t="str">
        <f>Raw_Claims_Data!H448</f>
        <v>Major Loss</v>
      </c>
      <c r="I449" t="str">
        <f>IF(Raw_Claims_Data!I448="","None",Raw_Claims_Data!I448)</f>
        <v>Police</v>
      </c>
      <c r="J449" t="str">
        <f>Raw_Claims_Data!J448</f>
        <v>Fayetteville</v>
      </c>
      <c r="K449" t="str">
        <f>Raw_Claims_Data!K448</f>
        <v>AR</v>
      </c>
      <c r="L449">
        <f>Raw_Claims_Data!L448</f>
        <v>22</v>
      </c>
      <c r="M449" t="str">
        <f>IF(Raw_Claims_Data!M448="","N/A",Raw_Claims_Data!M448)</f>
        <v>VNDR00408</v>
      </c>
      <c r="N449" t="str">
        <f>Raw_Claims_Data!N448</f>
        <v>AGENT01117</v>
      </c>
      <c r="O449">
        <f>IF(Raw_Claims_Data!G448="D",1,0)</f>
        <v>1</v>
      </c>
    </row>
    <row r="450" spans="1:15" x14ac:dyDescent="0.35">
      <c r="A450" t="str">
        <f>Raw_Claims_Data!A449</f>
        <v>TXN00000446</v>
      </c>
      <c r="B450" t="str">
        <f>TRIM(Raw_Claims_Data!B449)</f>
        <v>Jeffrey Benner</v>
      </c>
      <c r="C450" t="str">
        <f>Raw_Claims_Data!C449</f>
        <v>Health</v>
      </c>
      <c r="D450">
        <f>Raw_Claims_Data!D449</f>
        <v>189.2</v>
      </c>
      <c r="E450">
        <f>Raw_Claims_Data!E449</f>
        <v>14000</v>
      </c>
      <c r="F450" t="str">
        <f>Raw_Claims_Data!F449</f>
        <v>AR</v>
      </c>
      <c r="G450" t="str">
        <f>Raw_Claims_Data!G449</f>
        <v>A</v>
      </c>
      <c r="H450" t="str">
        <f>Raw_Claims_Data!H449</f>
        <v>Major Loss</v>
      </c>
      <c r="I450" t="str">
        <f>IF(Raw_Claims_Data!I449="","None",Raw_Claims_Data!I449)</f>
        <v>None</v>
      </c>
      <c r="J450" t="str">
        <f>Raw_Claims_Data!J449</f>
        <v>Oklahoma City</v>
      </c>
      <c r="K450" t="str">
        <f>Raw_Claims_Data!K449</f>
        <v>OK</v>
      </c>
      <c r="L450">
        <f>Raw_Claims_Data!L449</f>
        <v>10</v>
      </c>
      <c r="M450" t="str">
        <f>IF(Raw_Claims_Data!M449="","N/A",Raw_Claims_Data!M449)</f>
        <v>VNDR00280</v>
      </c>
      <c r="N450" t="str">
        <f>Raw_Claims_Data!N449</f>
        <v>AGENT00429</v>
      </c>
      <c r="O450">
        <f>IF(Raw_Claims_Data!G449="D",1,0)</f>
        <v>0</v>
      </c>
    </row>
    <row r="451" spans="1:15" x14ac:dyDescent="0.35">
      <c r="A451" t="str">
        <f>Raw_Claims_Data!A450</f>
        <v>TXN00000447</v>
      </c>
      <c r="B451" t="str">
        <f>TRIM(Raw_Claims_Data!B450)</f>
        <v>Donald Rieck</v>
      </c>
      <c r="C451" t="str">
        <f>Raw_Claims_Data!C450</f>
        <v>Health</v>
      </c>
      <c r="D451">
        <f>Raw_Claims_Data!D450</f>
        <v>143.38999999999999</v>
      </c>
      <c r="E451">
        <f>Raw_Claims_Data!E450</f>
        <v>9000</v>
      </c>
      <c r="F451" t="str">
        <f>Raw_Claims_Data!F450</f>
        <v>GA</v>
      </c>
      <c r="G451" t="str">
        <f>Raw_Claims_Data!G450</f>
        <v>A</v>
      </c>
      <c r="H451" t="str">
        <f>Raw_Claims_Data!H450</f>
        <v>Major Loss</v>
      </c>
      <c r="I451" t="str">
        <f>IF(Raw_Claims_Data!I450="","None",Raw_Claims_Data!I450)</f>
        <v>Ambulance</v>
      </c>
      <c r="J451" t="str">
        <f>Raw_Claims_Data!J450</f>
        <v>Washington</v>
      </c>
      <c r="K451" t="str">
        <f>Raw_Claims_Data!K450</f>
        <v>DC</v>
      </c>
      <c r="L451">
        <f>Raw_Claims_Data!L450</f>
        <v>21</v>
      </c>
      <c r="M451" t="str">
        <f>IF(Raw_Claims_Data!M450="","N/A",Raw_Claims_Data!M450)</f>
        <v>N/A</v>
      </c>
      <c r="N451" t="str">
        <f>Raw_Claims_Data!N450</f>
        <v>AGENT00311</v>
      </c>
      <c r="O451">
        <f>IF(Raw_Claims_Data!G450="D",1,0)</f>
        <v>0</v>
      </c>
    </row>
    <row r="452" spans="1:15" x14ac:dyDescent="0.35">
      <c r="A452" t="str">
        <f>Raw_Claims_Data!A451</f>
        <v>TXN00000448</v>
      </c>
      <c r="B452" t="str">
        <f>TRIM(Raw_Claims_Data!B451)</f>
        <v>Robert Canady</v>
      </c>
      <c r="C452" t="str">
        <f>Raw_Claims_Data!C451</f>
        <v>Mobile</v>
      </c>
      <c r="D452">
        <f>Raw_Claims_Data!D451</f>
        <v>9.8699999999999992</v>
      </c>
      <c r="E452">
        <f>Raw_Claims_Data!E451</f>
        <v>300</v>
      </c>
      <c r="F452" t="str">
        <f>Raw_Claims_Data!F451</f>
        <v>MA</v>
      </c>
      <c r="G452" t="str">
        <f>Raw_Claims_Data!G451</f>
        <v>A</v>
      </c>
      <c r="H452" t="str">
        <f>Raw_Claims_Data!H451</f>
        <v>Minor Loss</v>
      </c>
      <c r="I452" t="str">
        <f>IF(Raw_Claims_Data!I451="","None",Raw_Claims_Data!I451)</f>
        <v>None</v>
      </c>
      <c r="J452" t="str">
        <f>Raw_Claims_Data!J451</f>
        <v>Fayetteville</v>
      </c>
      <c r="K452" t="str">
        <f>Raw_Claims_Data!K451</f>
        <v>AR</v>
      </c>
      <c r="L452">
        <f>Raw_Claims_Data!L451</f>
        <v>2</v>
      </c>
      <c r="M452" t="str">
        <f>IF(Raw_Claims_Data!M451="","N/A",Raw_Claims_Data!M451)</f>
        <v>N/A</v>
      </c>
      <c r="N452" t="str">
        <f>Raw_Claims_Data!N451</f>
        <v>AGENT00111</v>
      </c>
      <c r="O452">
        <f>IF(Raw_Claims_Data!G451="D",1,0)</f>
        <v>0</v>
      </c>
    </row>
    <row r="453" spans="1:15" x14ac:dyDescent="0.35">
      <c r="A453" t="str">
        <f>Raw_Claims_Data!A452</f>
        <v>TXN00000449</v>
      </c>
      <c r="B453" t="str">
        <f>TRIM(Raw_Claims_Data!B452)</f>
        <v>Rachel Burnett</v>
      </c>
      <c r="C453" t="str">
        <f>Raw_Claims_Data!C452</f>
        <v>Travel</v>
      </c>
      <c r="D453">
        <f>Raw_Claims_Data!D452</f>
        <v>67.48</v>
      </c>
      <c r="E453">
        <f>Raw_Claims_Data!E452</f>
        <v>3000</v>
      </c>
      <c r="F453" t="str">
        <f>Raw_Claims_Data!F452</f>
        <v>CA</v>
      </c>
      <c r="G453" t="str">
        <f>Raw_Claims_Data!G452</f>
        <v>A</v>
      </c>
      <c r="H453" t="str">
        <f>Raw_Claims_Data!H452</f>
        <v>Minor Loss</v>
      </c>
      <c r="I453" t="str">
        <f>IF(Raw_Claims_Data!I452="","None",Raw_Claims_Data!I452)</f>
        <v>Ambulance</v>
      </c>
      <c r="J453" t="str">
        <f>Raw_Claims_Data!J452</f>
        <v>Fayetteville</v>
      </c>
      <c r="K453" t="str">
        <f>Raw_Claims_Data!K452</f>
        <v>AR</v>
      </c>
      <c r="L453">
        <f>Raw_Claims_Data!L452</f>
        <v>2</v>
      </c>
      <c r="M453" t="str">
        <f>IF(Raw_Claims_Data!M452="","N/A",Raw_Claims_Data!M452)</f>
        <v>VNDR00185</v>
      </c>
      <c r="N453" t="str">
        <f>Raw_Claims_Data!N452</f>
        <v>AGENT00207</v>
      </c>
      <c r="O453">
        <f>IF(Raw_Claims_Data!G452="D",1,0)</f>
        <v>0</v>
      </c>
    </row>
    <row r="454" spans="1:15" x14ac:dyDescent="0.35">
      <c r="A454" t="str">
        <f>Raw_Claims_Data!A453</f>
        <v>TXN00000450</v>
      </c>
      <c r="B454" t="str">
        <f>TRIM(Raw_Claims_Data!B453)</f>
        <v>Margie Welch</v>
      </c>
      <c r="C454" t="str">
        <f>Raw_Claims_Data!C453</f>
        <v>Travel</v>
      </c>
      <c r="D454">
        <f>Raw_Claims_Data!D453</f>
        <v>88.11</v>
      </c>
      <c r="E454">
        <f>Raw_Claims_Data!E453</f>
        <v>3000</v>
      </c>
      <c r="F454" t="str">
        <f>Raw_Claims_Data!F453</f>
        <v>GA</v>
      </c>
      <c r="G454" t="str">
        <f>Raw_Claims_Data!G453</f>
        <v>A</v>
      </c>
      <c r="H454" t="str">
        <f>Raw_Claims_Data!H453</f>
        <v>Minor Loss</v>
      </c>
      <c r="I454" t="str">
        <f>IF(Raw_Claims_Data!I453="","None",Raw_Claims_Data!I453)</f>
        <v>Ambulance</v>
      </c>
      <c r="J454" t="str">
        <f>Raw_Claims_Data!J453</f>
        <v>Annapolis</v>
      </c>
      <c r="K454" t="str">
        <f>Raw_Claims_Data!K453</f>
        <v>MD</v>
      </c>
      <c r="L454">
        <f>Raw_Claims_Data!L453</f>
        <v>5</v>
      </c>
      <c r="M454" t="str">
        <f>IF(Raw_Claims_Data!M453="","N/A",Raw_Claims_Data!M453)</f>
        <v>VNDR00296</v>
      </c>
      <c r="N454" t="str">
        <f>Raw_Claims_Data!N453</f>
        <v>AGENT00823</v>
      </c>
      <c r="O454">
        <f>IF(Raw_Claims_Data!G453="D",1,0)</f>
        <v>0</v>
      </c>
    </row>
    <row r="455" spans="1:15" x14ac:dyDescent="0.35">
      <c r="A455" t="str">
        <f>Raw_Claims_Data!A454</f>
        <v>TXN00000451</v>
      </c>
      <c r="B455" t="str">
        <f>TRIM(Raw_Claims_Data!B454)</f>
        <v>John Stone</v>
      </c>
      <c r="C455" t="str">
        <f>Raw_Claims_Data!C454</f>
        <v>Life</v>
      </c>
      <c r="D455">
        <f>Raw_Claims_Data!D454</f>
        <v>53.24</v>
      </c>
      <c r="E455">
        <f>Raw_Claims_Data!E454</f>
        <v>33000</v>
      </c>
      <c r="F455" t="str">
        <f>Raw_Claims_Data!F454</f>
        <v>OK</v>
      </c>
      <c r="G455" t="str">
        <f>Raw_Claims_Data!G454</f>
        <v>A</v>
      </c>
      <c r="H455" t="str">
        <f>Raw_Claims_Data!H454</f>
        <v>Minor Loss</v>
      </c>
      <c r="I455" t="str">
        <f>IF(Raw_Claims_Data!I454="","None",Raw_Claims_Data!I454)</f>
        <v>None</v>
      </c>
      <c r="J455" t="str">
        <f>Raw_Claims_Data!J454</f>
        <v>Anchorage</v>
      </c>
      <c r="K455" t="str">
        <f>Raw_Claims_Data!K454</f>
        <v>AK</v>
      </c>
      <c r="L455">
        <f>Raw_Claims_Data!L454</f>
        <v>8</v>
      </c>
      <c r="M455" t="str">
        <f>IF(Raw_Claims_Data!M454="","N/A",Raw_Claims_Data!M454)</f>
        <v>VNDR00488</v>
      </c>
      <c r="N455" t="str">
        <f>Raw_Claims_Data!N454</f>
        <v>AGENT00692</v>
      </c>
      <c r="O455">
        <f>IF(Raw_Claims_Data!G454="D",1,0)</f>
        <v>0</v>
      </c>
    </row>
    <row r="456" spans="1:15" x14ac:dyDescent="0.35">
      <c r="A456" t="str">
        <f>Raw_Claims_Data!A455</f>
        <v>TXN00000452</v>
      </c>
      <c r="B456" t="str">
        <f>TRIM(Raw_Claims_Data!B455)</f>
        <v>Judy Greigo</v>
      </c>
      <c r="C456" t="str">
        <f>Raw_Claims_Data!C455</f>
        <v>Motor</v>
      </c>
      <c r="D456">
        <f>Raw_Claims_Data!D455</f>
        <v>99.6</v>
      </c>
      <c r="E456">
        <f>Raw_Claims_Data!E455</f>
        <v>4000</v>
      </c>
      <c r="F456" t="str">
        <f>Raw_Claims_Data!F455</f>
        <v>AR</v>
      </c>
      <c r="G456" t="str">
        <f>Raw_Claims_Data!G455</f>
        <v>D</v>
      </c>
      <c r="H456" t="str">
        <f>Raw_Claims_Data!H455</f>
        <v>Total Loss</v>
      </c>
      <c r="I456" t="str">
        <f>IF(Raw_Claims_Data!I455="","None",Raw_Claims_Data!I455)</f>
        <v>None</v>
      </c>
      <c r="J456" t="str">
        <f>Raw_Claims_Data!J455</f>
        <v>Oklahoma City</v>
      </c>
      <c r="K456" t="str">
        <f>Raw_Claims_Data!K455</f>
        <v>OK</v>
      </c>
      <c r="L456">
        <f>Raw_Claims_Data!L455</f>
        <v>5</v>
      </c>
      <c r="M456" t="str">
        <f>IF(Raw_Claims_Data!M455="","N/A",Raw_Claims_Data!M455)</f>
        <v>VNDR00479</v>
      </c>
      <c r="N456" t="str">
        <f>Raw_Claims_Data!N455</f>
        <v>AGENT01187</v>
      </c>
      <c r="O456">
        <f>IF(Raw_Claims_Data!G455="D",1,0)</f>
        <v>1</v>
      </c>
    </row>
    <row r="457" spans="1:15" x14ac:dyDescent="0.35">
      <c r="A457" t="str">
        <f>Raw_Claims_Data!A456</f>
        <v>TXN00000453</v>
      </c>
      <c r="B457" t="str">
        <f>TRIM(Raw_Claims_Data!B456)</f>
        <v>Kimberly Lesh</v>
      </c>
      <c r="C457" t="str">
        <f>Raw_Claims_Data!C456</f>
        <v>Health</v>
      </c>
      <c r="D457">
        <f>Raw_Claims_Data!D456</f>
        <v>103.05</v>
      </c>
      <c r="E457">
        <f>Raw_Claims_Data!E456</f>
        <v>14000</v>
      </c>
      <c r="F457" t="str">
        <f>Raw_Claims_Data!F456</f>
        <v>GA</v>
      </c>
      <c r="G457" t="str">
        <f>Raw_Claims_Data!G456</f>
        <v>A</v>
      </c>
      <c r="H457" t="str">
        <f>Raw_Claims_Data!H456</f>
        <v>Total Loss</v>
      </c>
      <c r="I457" t="str">
        <f>IF(Raw_Claims_Data!I456="","None",Raw_Claims_Data!I456)</f>
        <v>Police</v>
      </c>
      <c r="J457" t="str">
        <f>Raw_Claims_Data!J456</f>
        <v>Nashville</v>
      </c>
      <c r="K457" t="str">
        <f>Raw_Claims_Data!K456</f>
        <v>TN</v>
      </c>
      <c r="L457">
        <f>Raw_Claims_Data!L456</f>
        <v>2</v>
      </c>
      <c r="M457" t="str">
        <f>IF(Raw_Claims_Data!M456="","N/A",Raw_Claims_Data!M456)</f>
        <v>N/A</v>
      </c>
      <c r="N457" t="str">
        <f>Raw_Claims_Data!N456</f>
        <v>AGENT00890</v>
      </c>
      <c r="O457">
        <f>IF(Raw_Claims_Data!G456="D",1,0)</f>
        <v>0</v>
      </c>
    </row>
    <row r="458" spans="1:15" x14ac:dyDescent="0.35">
      <c r="A458" t="str">
        <f>Raw_Claims_Data!A457</f>
        <v>TXN00000454</v>
      </c>
      <c r="B458" t="str">
        <f>TRIM(Raw_Claims_Data!B457)</f>
        <v>Misty Tagaban</v>
      </c>
      <c r="C458" t="str">
        <f>Raw_Claims_Data!C457</f>
        <v>Mobile</v>
      </c>
      <c r="D458">
        <f>Raw_Claims_Data!D457</f>
        <v>8.4499999999999993</v>
      </c>
      <c r="E458">
        <f>Raw_Claims_Data!E457</f>
        <v>300</v>
      </c>
      <c r="F458" t="str">
        <f>Raw_Claims_Data!F457</f>
        <v>CA</v>
      </c>
      <c r="G458" t="str">
        <f>Raw_Claims_Data!G457</f>
        <v>A</v>
      </c>
      <c r="H458" t="str">
        <f>Raw_Claims_Data!H457</f>
        <v>Major Loss</v>
      </c>
      <c r="I458" t="str">
        <f>IF(Raw_Claims_Data!I457="","None",Raw_Claims_Data!I457)</f>
        <v>Police</v>
      </c>
      <c r="J458" t="str">
        <f>Raw_Claims_Data!J457</f>
        <v>Bethany</v>
      </c>
      <c r="K458" t="str">
        <f>Raw_Claims_Data!K457</f>
        <v>OK</v>
      </c>
      <c r="L458">
        <f>Raw_Claims_Data!L457</f>
        <v>10</v>
      </c>
      <c r="M458" t="str">
        <f>IF(Raw_Claims_Data!M457="","N/A",Raw_Claims_Data!M457)</f>
        <v>VNDR00301</v>
      </c>
      <c r="N458" t="str">
        <f>Raw_Claims_Data!N457</f>
        <v>AGENT00032</v>
      </c>
      <c r="O458">
        <f>IF(Raw_Claims_Data!G457="D",1,0)</f>
        <v>0</v>
      </c>
    </row>
    <row r="459" spans="1:15" x14ac:dyDescent="0.35">
      <c r="A459" t="str">
        <f>Raw_Claims_Data!A458</f>
        <v>TXN00000455</v>
      </c>
      <c r="B459" t="str">
        <f>TRIM(Raw_Claims_Data!B458)</f>
        <v>Jerome Hall</v>
      </c>
      <c r="C459" t="str">
        <f>Raw_Claims_Data!C458</f>
        <v>Travel</v>
      </c>
      <c r="D459">
        <f>Raw_Claims_Data!D458</f>
        <v>81.88</v>
      </c>
      <c r="E459">
        <f>Raw_Claims_Data!E458</f>
        <v>3000</v>
      </c>
      <c r="F459" t="str">
        <f>Raw_Claims_Data!F458</f>
        <v>CT</v>
      </c>
      <c r="G459" t="str">
        <f>Raw_Claims_Data!G458</f>
        <v>A</v>
      </c>
      <c r="H459" t="str">
        <f>Raw_Claims_Data!H458</f>
        <v>Total Loss</v>
      </c>
      <c r="I459" t="str">
        <f>IF(Raw_Claims_Data!I458="","None",Raw_Claims_Data!I458)</f>
        <v>Other</v>
      </c>
      <c r="J459" t="str">
        <f>Raw_Claims_Data!J458</f>
        <v>Nashville</v>
      </c>
      <c r="K459" t="str">
        <f>Raw_Claims_Data!K458</f>
        <v>TN</v>
      </c>
      <c r="L459">
        <f>Raw_Claims_Data!L458</f>
        <v>8</v>
      </c>
      <c r="M459" t="str">
        <f>IF(Raw_Claims_Data!M458="","N/A",Raw_Claims_Data!M458)</f>
        <v>VNDR00123</v>
      </c>
      <c r="N459" t="str">
        <f>Raw_Claims_Data!N458</f>
        <v>AGENT00107</v>
      </c>
      <c r="O459">
        <f>IF(Raw_Claims_Data!G458="D",1,0)</f>
        <v>0</v>
      </c>
    </row>
    <row r="460" spans="1:15" x14ac:dyDescent="0.35">
      <c r="A460" t="str">
        <f>Raw_Claims_Data!A459</f>
        <v>TXN00000456</v>
      </c>
      <c r="B460" t="str">
        <f>TRIM(Raw_Claims_Data!B459)</f>
        <v>Denise Mackenzie</v>
      </c>
      <c r="C460" t="str">
        <f>Raw_Claims_Data!C459</f>
        <v>Motor</v>
      </c>
      <c r="D460">
        <f>Raw_Claims_Data!D459</f>
        <v>120.59</v>
      </c>
      <c r="E460">
        <f>Raw_Claims_Data!E459</f>
        <v>8000</v>
      </c>
      <c r="F460" t="str">
        <f>Raw_Claims_Data!F459</f>
        <v>DC</v>
      </c>
      <c r="G460" t="str">
        <f>Raw_Claims_Data!G459</f>
        <v>A</v>
      </c>
      <c r="H460" t="str">
        <f>Raw_Claims_Data!H459</f>
        <v>Total Loss</v>
      </c>
      <c r="I460" t="str">
        <f>IF(Raw_Claims_Data!I459="","None",Raw_Claims_Data!I459)</f>
        <v>None</v>
      </c>
      <c r="J460" t="str">
        <f>Raw_Claims_Data!J459</f>
        <v>Savannah</v>
      </c>
      <c r="K460" t="str">
        <f>Raw_Claims_Data!K459</f>
        <v>GA</v>
      </c>
      <c r="L460">
        <f>Raw_Claims_Data!L459</f>
        <v>20</v>
      </c>
      <c r="M460" t="str">
        <f>IF(Raw_Claims_Data!M459="","N/A",Raw_Claims_Data!M459)</f>
        <v>VNDR00167</v>
      </c>
      <c r="N460" t="str">
        <f>Raw_Claims_Data!N459</f>
        <v>AGENT00466</v>
      </c>
      <c r="O460">
        <f>IF(Raw_Claims_Data!G459="D",1,0)</f>
        <v>0</v>
      </c>
    </row>
    <row r="461" spans="1:15" x14ac:dyDescent="0.35">
      <c r="A461" t="str">
        <f>Raw_Claims_Data!A460</f>
        <v>TXN00000457</v>
      </c>
      <c r="B461" t="str">
        <f>TRIM(Raw_Claims_Data!B460)</f>
        <v>Gary Green</v>
      </c>
      <c r="C461" t="str">
        <f>Raw_Claims_Data!C460</f>
        <v>Health</v>
      </c>
      <c r="D461">
        <f>Raw_Claims_Data!D460</f>
        <v>167.32</v>
      </c>
      <c r="E461">
        <f>Raw_Claims_Data!E460</f>
        <v>1000</v>
      </c>
      <c r="F461" t="str">
        <f>Raw_Claims_Data!F460</f>
        <v>KY</v>
      </c>
      <c r="G461" t="str">
        <f>Raw_Claims_Data!G460</f>
        <v>A</v>
      </c>
      <c r="H461" t="str">
        <f>Raw_Claims_Data!H460</f>
        <v>Minor Loss</v>
      </c>
      <c r="I461" t="str">
        <f>IF(Raw_Claims_Data!I460="","None",Raw_Claims_Data!I460)</f>
        <v>Police</v>
      </c>
      <c r="J461" t="str">
        <f>Raw_Claims_Data!J460</f>
        <v>Alameda</v>
      </c>
      <c r="K461" t="str">
        <f>Raw_Claims_Data!K460</f>
        <v>CA</v>
      </c>
      <c r="L461">
        <f>Raw_Claims_Data!L460</f>
        <v>5</v>
      </c>
      <c r="M461" t="str">
        <f>IF(Raw_Claims_Data!M460="","N/A",Raw_Claims_Data!M460)</f>
        <v>VNDR00115</v>
      </c>
      <c r="N461" t="str">
        <f>Raw_Claims_Data!N460</f>
        <v>AGENT01199</v>
      </c>
      <c r="O461">
        <f>IF(Raw_Claims_Data!G460="D",1,0)</f>
        <v>0</v>
      </c>
    </row>
    <row r="462" spans="1:15" x14ac:dyDescent="0.35">
      <c r="A462" t="str">
        <f>Raw_Claims_Data!A461</f>
        <v>TXN00000458</v>
      </c>
      <c r="B462" t="str">
        <f>TRIM(Raw_Claims_Data!B461)</f>
        <v>David Schmid</v>
      </c>
      <c r="C462" t="str">
        <f>Raw_Claims_Data!C461</f>
        <v>Health</v>
      </c>
      <c r="D462">
        <f>Raw_Claims_Data!D461</f>
        <v>102.2</v>
      </c>
      <c r="E462">
        <f>Raw_Claims_Data!E461</f>
        <v>14000</v>
      </c>
      <c r="F462" t="str">
        <f>Raw_Claims_Data!F461</f>
        <v>DC</v>
      </c>
      <c r="G462" t="str">
        <f>Raw_Claims_Data!G461</f>
        <v>D</v>
      </c>
      <c r="H462" t="str">
        <f>Raw_Claims_Data!H461</f>
        <v>Total Loss</v>
      </c>
      <c r="I462" t="str">
        <f>IF(Raw_Claims_Data!I461="","None",Raw_Claims_Data!I461)</f>
        <v>Ambulance</v>
      </c>
      <c r="J462" t="str">
        <f>Raw_Claims_Data!J461</f>
        <v>Annapolis</v>
      </c>
      <c r="K462" t="str">
        <f>Raw_Claims_Data!K461</f>
        <v>MD</v>
      </c>
      <c r="L462">
        <f>Raw_Claims_Data!L461</f>
        <v>12</v>
      </c>
      <c r="M462" t="str">
        <f>IF(Raw_Claims_Data!M461="","N/A",Raw_Claims_Data!M461)</f>
        <v>VNDR00523</v>
      </c>
      <c r="N462" t="str">
        <f>Raw_Claims_Data!N461</f>
        <v>AGENT00101</v>
      </c>
      <c r="O462">
        <f>IF(Raw_Claims_Data!G461="D",1,0)</f>
        <v>1</v>
      </c>
    </row>
    <row r="463" spans="1:15" x14ac:dyDescent="0.35">
      <c r="A463" t="str">
        <f>Raw_Claims_Data!A462</f>
        <v>TXN00000459</v>
      </c>
      <c r="B463" t="str">
        <f>TRIM(Raw_Claims_Data!B462)</f>
        <v>Betty Jones</v>
      </c>
      <c r="C463" t="str">
        <f>Raw_Claims_Data!C462</f>
        <v>Property</v>
      </c>
      <c r="D463">
        <f>Raw_Claims_Data!D462</f>
        <v>106.82</v>
      </c>
      <c r="E463">
        <f>Raw_Claims_Data!E462</f>
        <v>37000</v>
      </c>
      <c r="F463" t="str">
        <f>Raw_Claims_Data!F462</f>
        <v>DC</v>
      </c>
      <c r="G463" t="str">
        <f>Raw_Claims_Data!G462</f>
        <v>A</v>
      </c>
      <c r="H463" t="str">
        <f>Raw_Claims_Data!H462</f>
        <v>Total Loss</v>
      </c>
      <c r="I463" t="str">
        <f>IF(Raw_Claims_Data!I462="","None",Raw_Claims_Data!I462)</f>
        <v>Ambulance</v>
      </c>
      <c r="J463" t="str">
        <f>Raw_Claims_Data!J462</f>
        <v>Anchorage</v>
      </c>
      <c r="K463" t="str">
        <f>Raw_Claims_Data!K462</f>
        <v>AK</v>
      </c>
      <c r="L463">
        <f>Raw_Claims_Data!L462</f>
        <v>10</v>
      </c>
      <c r="M463" t="str">
        <f>IF(Raw_Claims_Data!M462="","N/A",Raw_Claims_Data!M462)</f>
        <v>VNDR00018</v>
      </c>
      <c r="N463" t="str">
        <f>Raw_Claims_Data!N462</f>
        <v>AGENT01057</v>
      </c>
      <c r="O463">
        <f>IF(Raw_Claims_Data!G462="D",1,0)</f>
        <v>0</v>
      </c>
    </row>
    <row r="464" spans="1:15" x14ac:dyDescent="0.35">
      <c r="A464" t="str">
        <f>Raw_Claims_Data!A463</f>
        <v>TXN00000460</v>
      </c>
      <c r="B464" t="str">
        <f>TRIM(Raw_Claims_Data!B463)</f>
        <v>Robert Book</v>
      </c>
      <c r="C464" t="str">
        <f>Raw_Claims_Data!C463</f>
        <v>Life</v>
      </c>
      <c r="D464">
        <f>Raw_Claims_Data!D463</f>
        <v>71.72</v>
      </c>
      <c r="E464">
        <f>Raw_Claims_Data!E463</f>
        <v>92000</v>
      </c>
      <c r="F464" t="str">
        <f>Raw_Claims_Data!F463</f>
        <v>AK</v>
      </c>
      <c r="G464" t="str">
        <f>Raw_Claims_Data!G463</f>
        <v>A</v>
      </c>
      <c r="H464" t="str">
        <f>Raw_Claims_Data!H463</f>
        <v>Minor Loss</v>
      </c>
      <c r="I464" t="str">
        <f>IF(Raw_Claims_Data!I463="","None",Raw_Claims_Data!I463)</f>
        <v>Other</v>
      </c>
      <c r="J464" t="str">
        <f>Raw_Claims_Data!J463</f>
        <v>Washington</v>
      </c>
      <c r="K464" t="str">
        <f>Raw_Claims_Data!K463</f>
        <v>DC</v>
      </c>
      <c r="L464">
        <f>Raw_Claims_Data!L463</f>
        <v>15</v>
      </c>
      <c r="M464" t="str">
        <f>IF(Raw_Claims_Data!M463="","N/A",Raw_Claims_Data!M463)</f>
        <v>N/A</v>
      </c>
      <c r="N464" t="str">
        <f>Raw_Claims_Data!N463</f>
        <v>AGENT00516</v>
      </c>
      <c r="O464">
        <f>IF(Raw_Claims_Data!G463="D",1,0)</f>
        <v>0</v>
      </c>
    </row>
    <row r="465" spans="1:15" x14ac:dyDescent="0.35">
      <c r="A465" t="str">
        <f>Raw_Claims_Data!A464</f>
        <v>TXN00000461</v>
      </c>
      <c r="B465" t="str">
        <f>TRIM(Raw_Claims_Data!B464)</f>
        <v>Darryl Ruddy</v>
      </c>
      <c r="C465" t="str">
        <f>Raw_Claims_Data!C464</f>
        <v>Life</v>
      </c>
      <c r="D465">
        <f>Raw_Claims_Data!D464</f>
        <v>59.24</v>
      </c>
      <c r="E465">
        <f>Raw_Claims_Data!E464</f>
        <v>50000</v>
      </c>
      <c r="F465" t="str">
        <f>Raw_Claims_Data!F464</f>
        <v>CO</v>
      </c>
      <c r="G465" t="str">
        <f>Raw_Claims_Data!G464</f>
        <v>A</v>
      </c>
      <c r="H465" t="str">
        <f>Raw_Claims_Data!H464</f>
        <v>Major Loss</v>
      </c>
      <c r="I465" t="str">
        <f>IF(Raw_Claims_Data!I464="","None",Raw_Claims_Data!I464)</f>
        <v>None</v>
      </c>
      <c r="J465" t="str">
        <f>Raw_Claims_Data!J464</f>
        <v>Glendale</v>
      </c>
      <c r="K465" t="str">
        <f>Raw_Claims_Data!K464</f>
        <v>AZ</v>
      </c>
      <c r="L465">
        <f>Raw_Claims_Data!L464</f>
        <v>0</v>
      </c>
      <c r="M465" t="str">
        <f>IF(Raw_Claims_Data!M464="","N/A",Raw_Claims_Data!M464)</f>
        <v>VNDR00591</v>
      </c>
      <c r="N465" t="str">
        <f>Raw_Claims_Data!N464</f>
        <v>AGENT00528</v>
      </c>
      <c r="O465">
        <f>IF(Raw_Claims_Data!G464="D",1,0)</f>
        <v>0</v>
      </c>
    </row>
    <row r="466" spans="1:15" x14ac:dyDescent="0.35">
      <c r="A466" t="str">
        <f>Raw_Claims_Data!A465</f>
        <v>TXN00000462</v>
      </c>
      <c r="B466" t="str">
        <f>TRIM(Raw_Claims_Data!B465)</f>
        <v>Karen Combs</v>
      </c>
      <c r="C466" t="str">
        <f>Raw_Claims_Data!C465</f>
        <v>Travel</v>
      </c>
      <c r="D466">
        <f>Raw_Claims_Data!D465</f>
        <v>65.88</v>
      </c>
      <c r="E466">
        <f>Raw_Claims_Data!E465</f>
        <v>1000</v>
      </c>
      <c r="F466" t="str">
        <f>Raw_Claims_Data!F465</f>
        <v>FL</v>
      </c>
      <c r="G466" t="str">
        <f>Raw_Claims_Data!G465</f>
        <v>A</v>
      </c>
      <c r="H466" t="str">
        <f>Raw_Claims_Data!H465</f>
        <v>Minor Loss</v>
      </c>
      <c r="I466" t="str">
        <f>IF(Raw_Claims_Data!I465="","None",Raw_Claims_Data!I465)</f>
        <v>None</v>
      </c>
      <c r="J466" t="str">
        <f>Raw_Claims_Data!J465</f>
        <v>Calhoun</v>
      </c>
      <c r="K466" t="str">
        <f>Raw_Claims_Data!K465</f>
        <v>GA</v>
      </c>
      <c r="L466">
        <f>Raw_Claims_Data!L465</f>
        <v>16</v>
      </c>
      <c r="M466" t="str">
        <f>IF(Raw_Claims_Data!M465="","N/A",Raw_Claims_Data!M465)</f>
        <v>VNDR00278</v>
      </c>
      <c r="N466" t="str">
        <f>Raw_Claims_Data!N465</f>
        <v>AGENT00665</v>
      </c>
      <c r="O466">
        <f>IF(Raw_Claims_Data!G465="D",1,0)</f>
        <v>0</v>
      </c>
    </row>
    <row r="467" spans="1:15" x14ac:dyDescent="0.35">
      <c r="A467" t="str">
        <f>Raw_Claims_Data!A466</f>
        <v>TXN00000463</v>
      </c>
      <c r="B467" t="str">
        <f>TRIM(Raw_Claims_Data!B466)</f>
        <v>Sol Howard</v>
      </c>
      <c r="C467" t="str">
        <f>Raw_Claims_Data!C466</f>
        <v>Motor</v>
      </c>
      <c r="D467">
        <f>Raw_Claims_Data!D466</f>
        <v>135.75</v>
      </c>
      <c r="E467">
        <f>Raw_Claims_Data!E466</f>
        <v>8000</v>
      </c>
      <c r="F467" t="str">
        <f>Raw_Claims_Data!F466</f>
        <v>AR</v>
      </c>
      <c r="G467" t="str">
        <f>Raw_Claims_Data!G466</f>
        <v>A</v>
      </c>
      <c r="H467" t="str">
        <f>Raw_Claims_Data!H466</f>
        <v>Major Loss</v>
      </c>
      <c r="I467" t="str">
        <f>IF(Raw_Claims_Data!I466="","None",Raw_Claims_Data!I466)</f>
        <v>Ambulance</v>
      </c>
      <c r="J467" t="str">
        <f>Raw_Claims_Data!J466</f>
        <v>Louisville</v>
      </c>
      <c r="K467" t="str">
        <f>Raw_Claims_Data!K466</f>
        <v>KY</v>
      </c>
      <c r="L467">
        <f>Raw_Claims_Data!L466</f>
        <v>9</v>
      </c>
      <c r="M467" t="str">
        <f>IF(Raw_Claims_Data!M466="","N/A",Raw_Claims_Data!M466)</f>
        <v>VNDR00410</v>
      </c>
      <c r="N467" t="str">
        <f>Raw_Claims_Data!N466</f>
        <v>AGENT00822</v>
      </c>
      <c r="O467">
        <f>IF(Raw_Claims_Data!G466="D",1,0)</f>
        <v>0</v>
      </c>
    </row>
    <row r="468" spans="1:15" x14ac:dyDescent="0.35">
      <c r="A468" t="str">
        <f>Raw_Claims_Data!A467</f>
        <v>TXN00000464</v>
      </c>
      <c r="B468" t="str">
        <f>TRIM(Raw_Claims_Data!B467)</f>
        <v>James Witzke</v>
      </c>
      <c r="C468" t="str">
        <f>Raw_Claims_Data!C467</f>
        <v>Mobile</v>
      </c>
      <c r="D468">
        <f>Raw_Claims_Data!D467</f>
        <v>6.65</v>
      </c>
      <c r="E468">
        <f>Raw_Claims_Data!E467</f>
        <v>500</v>
      </c>
      <c r="F468" t="str">
        <f>Raw_Claims_Data!F467</f>
        <v>AZ</v>
      </c>
      <c r="G468" t="str">
        <f>Raw_Claims_Data!G467</f>
        <v>A</v>
      </c>
      <c r="H468" t="str">
        <f>Raw_Claims_Data!H467</f>
        <v>Minor Loss</v>
      </c>
      <c r="I468" t="str">
        <f>IF(Raw_Claims_Data!I467="","None",Raw_Claims_Data!I467)</f>
        <v>Police</v>
      </c>
      <c r="J468" t="str">
        <f>Raw_Claims_Data!J467</f>
        <v>Beverly Hills</v>
      </c>
      <c r="K468" t="str">
        <f>Raw_Claims_Data!K467</f>
        <v>FL</v>
      </c>
      <c r="L468">
        <f>Raw_Claims_Data!L467</f>
        <v>0</v>
      </c>
      <c r="M468" t="str">
        <f>IF(Raw_Claims_Data!M467="","N/A",Raw_Claims_Data!M467)</f>
        <v>N/A</v>
      </c>
      <c r="N468" t="str">
        <f>Raw_Claims_Data!N467</f>
        <v>AGENT00011</v>
      </c>
      <c r="O468">
        <f>IF(Raw_Claims_Data!G467="D",1,0)</f>
        <v>0</v>
      </c>
    </row>
    <row r="469" spans="1:15" x14ac:dyDescent="0.35">
      <c r="A469" t="str">
        <f>Raw_Claims_Data!A468</f>
        <v>TXN00000465</v>
      </c>
      <c r="B469" t="str">
        <f>TRIM(Raw_Claims_Data!B468)</f>
        <v>Roger Dodson</v>
      </c>
      <c r="C469" t="str">
        <f>Raw_Claims_Data!C468</f>
        <v>Health</v>
      </c>
      <c r="D469">
        <f>Raw_Claims_Data!D468</f>
        <v>136.09</v>
      </c>
      <c r="E469">
        <f>Raw_Claims_Data!E468</f>
        <v>3000</v>
      </c>
      <c r="F469" t="str">
        <f>Raw_Claims_Data!F468</f>
        <v>MD</v>
      </c>
      <c r="G469" t="str">
        <f>Raw_Claims_Data!G468</f>
        <v>A</v>
      </c>
      <c r="H469" t="str">
        <f>Raw_Claims_Data!H468</f>
        <v>Major Loss</v>
      </c>
      <c r="I469" t="str">
        <f>IF(Raw_Claims_Data!I468="","None",Raw_Claims_Data!I468)</f>
        <v>Police</v>
      </c>
      <c r="J469" t="str">
        <f>Raw_Claims_Data!J468</f>
        <v>Pooler</v>
      </c>
      <c r="K469" t="str">
        <f>Raw_Claims_Data!K468</f>
        <v>GA</v>
      </c>
      <c r="L469">
        <f>Raw_Claims_Data!L468</f>
        <v>0</v>
      </c>
      <c r="M469" t="str">
        <f>IF(Raw_Claims_Data!M468="","N/A",Raw_Claims_Data!M468)</f>
        <v>VNDR00593</v>
      </c>
      <c r="N469" t="str">
        <f>Raw_Claims_Data!N468</f>
        <v>AGENT00436</v>
      </c>
      <c r="O469">
        <f>IF(Raw_Claims_Data!G468="D",1,0)</f>
        <v>0</v>
      </c>
    </row>
    <row r="470" spans="1:15" x14ac:dyDescent="0.35">
      <c r="A470" t="str">
        <f>Raw_Claims_Data!A469</f>
        <v>TXN00000466</v>
      </c>
      <c r="B470" t="str">
        <f>TRIM(Raw_Claims_Data!B469)</f>
        <v>George Newman</v>
      </c>
      <c r="C470" t="str">
        <f>Raw_Claims_Data!C469</f>
        <v>Travel</v>
      </c>
      <c r="D470">
        <f>Raw_Claims_Data!D469</f>
        <v>87.99</v>
      </c>
      <c r="E470">
        <f>Raw_Claims_Data!E469</f>
        <v>2000</v>
      </c>
      <c r="F470" t="str">
        <f>Raw_Claims_Data!F469</f>
        <v>CA</v>
      </c>
      <c r="G470" t="str">
        <f>Raw_Claims_Data!G469</f>
        <v>A</v>
      </c>
      <c r="H470" t="str">
        <f>Raw_Claims_Data!H469</f>
        <v>Major Loss</v>
      </c>
      <c r="I470" t="str">
        <f>IF(Raw_Claims_Data!I469="","None",Raw_Claims_Data!I469)</f>
        <v>Ambulance</v>
      </c>
      <c r="J470" t="str">
        <f>Raw_Claims_Data!J469</f>
        <v>Washington</v>
      </c>
      <c r="K470" t="str">
        <f>Raw_Claims_Data!K469</f>
        <v>DC</v>
      </c>
      <c r="L470">
        <f>Raw_Claims_Data!L469</f>
        <v>2</v>
      </c>
      <c r="M470" t="str">
        <f>IF(Raw_Claims_Data!M469="","N/A",Raw_Claims_Data!M469)</f>
        <v>VNDR00185</v>
      </c>
      <c r="N470" t="str">
        <f>Raw_Claims_Data!N469</f>
        <v>AGENT01058</v>
      </c>
      <c r="O470">
        <f>IF(Raw_Claims_Data!G469="D",1,0)</f>
        <v>0</v>
      </c>
    </row>
    <row r="471" spans="1:15" x14ac:dyDescent="0.35">
      <c r="A471" t="str">
        <f>Raw_Claims_Data!A470</f>
        <v>TXN00000467</v>
      </c>
      <c r="B471" t="str">
        <f>TRIM(Raw_Claims_Data!B470)</f>
        <v>Marilyn Egan</v>
      </c>
      <c r="C471" t="str">
        <f>Raw_Claims_Data!C470</f>
        <v>Property</v>
      </c>
      <c r="D471">
        <f>Raw_Claims_Data!D470</f>
        <v>123.39</v>
      </c>
      <c r="E471">
        <f>Raw_Claims_Data!E470</f>
        <v>35000</v>
      </c>
      <c r="F471" t="str">
        <f>Raw_Claims_Data!F470</f>
        <v>AR</v>
      </c>
      <c r="G471" t="str">
        <f>Raw_Claims_Data!G470</f>
        <v>A</v>
      </c>
      <c r="H471" t="str">
        <f>Raw_Claims_Data!H470</f>
        <v>Minor Loss</v>
      </c>
      <c r="I471" t="str">
        <f>IF(Raw_Claims_Data!I470="","None",Raw_Claims_Data!I470)</f>
        <v>Police</v>
      </c>
      <c r="J471" t="str">
        <f>Raw_Claims_Data!J470</f>
        <v>Washington</v>
      </c>
      <c r="K471" t="str">
        <f>Raw_Claims_Data!K470</f>
        <v>DC</v>
      </c>
      <c r="L471">
        <f>Raw_Claims_Data!L470</f>
        <v>21</v>
      </c>
      <c r="M471" t="str">
        <f>IF(Raw_Claims_Data!M470="","N/A",Raw_Claims_Data!M470)</f>
        <v>VNDR00524</v>
      </c>
      <c r="N471" t="str">
        <f>Raw_Claims_Data!N470</f>
        <v>AGENT00334</v>
      </c>
      <c r="O471">
        <f>IF(Raw_Claims_Data!G470="D",1,0)</f>
        <v>0</v>
      </c>
    </row>
    <row r="472" spans="1:15" x14ac:dyDescent="0.35">
      <c r="A472" t="str">
        <f>Raw_Claims_Data!A471</f>
        <v>TXN00000468</v>
      </c>
      <c r="B472" t="str">
        <f>TRIM(Raw_Claims_Data!B471)</f>
        <v>Richard Mages</v>
      </c>
      <c r="C472" t="str">
        <f>Raw_Claims_Data!C471</f>
        <v>Motor</v>
      </c>
      <c r="D472">
        <f>Raw_Claims_Data!D471</f>
        <v>132.19</v>
      </c>
      <c r="E472">
        <f>Raw_Claims_Data!E471</f>
        <v>4000</v>
      </c>
      <c r="F472" t="str">
        <f>Raw_Claims_Data!F471</f>
        <v>AZ</v>
      </c>
      <c r="G472" t="str">
        <f>Raw_Claims_Data!G471</f>
        <v>A</v>
      </c>
      <c r="H472" t="str">
        <f>Raw_Claims_Data!H471</f>
        <v>Total Loss</v>
      </c>
      <c r="I472" t="str">
        <f>IF(Raw_Claims_Data!I471="","None",Raw_Claims_Data!I471)</f>
        <v>Ambulance</v>
      </c>
      <c r="J472" t="str">
        <f>Raw_Claims_Data!J471</f>
        <v>Oklahoma City</v>
      </c>
      <c r="K472" t="str">
        <f>Raw_Claims_Data!K471</f>
        <v>OK</v>
      </c>
      <c r="L472">
        <f>Raw_Claims_Data!L471</f>
        <v>22</v>
      </c>
      <c r="M472" t="str">
        <f>IF(Raw_Claims_Data!M471="","N/A",Raw_Claims_Data!M471)</f>
        <v>VNDR00150</v>
      </c>
      <c r="N472" t="str">
        <f>Raw_Claims_Data!N471</f>
        <v>AGENT00768</v>
      </c>
      <c r="O472">
        <f>IF(Raw_Claims_Data!G471="D",1,0)</f>
        <v>0</v>
      </c>
    </row>
    <row r="473" spans="1:15" x14ac:dyDescent="0.35">
      <c r="A473" t="str">
        <f>Raw_Claims_Data!A472</f>
        <v>TXN00000469</v>
      </c>
      <c r="B473" t="str">
        <f>TRIM(Raw_Claims_Data!B472)</f>
        <v>Milton Wisniewski</v>
      </c>
      <c r="C473" t="str">
        <f>Raw_Claims_Data!C472</f>
        <v>Motor</v>
      </c>
      <c r="D473">
        <f>Raw_Claims_Data!D472</f>
        <v>122.41</v>
      </c>
      <c r="E473">
        <f>Raw_Claims_Data!E472</f>
        <v>2000</v>
      </c>
      <c r="F473" t="str">
        <f>Raw_Claims_Data!F472</f>
        <v>TN</v>
      </c>
      <c r="G473" t="str">
        <f>Raw_Claims_Data!G472</f>
        <v>A</v>
      </c>
      <c r="H473" t="str">
        <f>Raw_Claims_Data!H472</f>
        <v>Minor Loss</v>
      </c>
      <c r="I473" t="str">
        <f>IF(Raw_Claims_Data!I472="","None",Raw_Claims_Data!I472)</f>
        <v>Ambulance</v>
      </c>
      <c r="J473" t="str">
        <f>Raw_Claims_Data!J472</f>
        <v>Manchester</v>
      </c>
      <c r="K473" t="str">
        <f>Raw_Claims_Data!K472</f>
        <v>CT</v>
      </c>
      <c r="L473">
        <f>Raw_Claims_Data!L472</f>
        <v>12</v>
      </c>
      <c r="M473" t="str">
        <f>IF(Raw_Claims_Data!M472="","N/A",Raw_Claims_Data!M472)</f>
        <v>VNDR00170</v>
      </c>
      <c r="N473" t="str">
        <f>Raw_Claims_Data!N472</f>
        <v>AGENT00342</v>
      </c>
      <c r="O473">
        <f>IF(Raw_Claims_Data!G472="D",1,0)</f>
        <v>0</v>
      </c>
    </row>
    <row r="474" spans="1:15" x14ac:dyDescent="0.35">
      <c r="A474" t="str">
        <f>Raw_Claims_Data!A473</f>
        <v>TXN00000470</v>
      </c>
      <c r="B474" t="str">
        <f>TRIM(Raw_Claims_Data!B473)</f>
        <v>Charlotte Wilson</v>
      </c>
      <c r="C474" t="str">
        <f>Raw_Claims_Data!C473</f>
        <v>Travel</v>
      </c>
      <c r="D474">
        <f>Raw_Claims_Data!D473</f>
        <v>72.349999999999994</v>
      </c>
      <c r="E474">
        <f>Raw_Claims_Data!E473</f>
        <v>1000</v>
      </c>
      <c r="F474" t="str">
        <f>Raw_Claims_Data!F473</f>
        <v>MA</v>
      </c>
      <c r="G474" t="str">
        <f>Raw_Claims_Data!G473</f>
        <v>A</v>
      </c>
      <c r="H474" t="str">
        <f>Raw_Claims_Data!H473</f>
        <v>Total Loss</v>
      </c>
      <c r="I474" t="str">
        <f>IF(Raw_Claims_Data!I473="","None",Raw_Claims_Data!I473)</f>
        <v>None</v>
      </c>
      <c r="J474">
        <f>Raw_Claims_Data!J473</f>
        <v>0</v>
      </c>
      <c r="K474" t="str">
        <f>Raw_Claims_Data!K473</f>
        <v>VT</v>
      </c>
      <c r="L474">
        <f>Raw_Claims_Data!L473</f>
        <v>23</v>
      </c>
      <c r="M474" t="str">
        <f>IF(Raw_Claims_Data!M473="","N/A",Raw_Claims_Data!M473)</f>
        <v>VNDR00503</v>
      </c>
      <c r="N474" t="str">
        <f>Raw_Claims_Data!N473</f>
        <v>AGENT00429</v>
      </c>
      <c r="O474">
        <f>IF(Raw_Claims_Data!G473="D",1,0)</f>
        <v>0</v>
      </c>
    </row>
    <row r="475" spans="1:15" x14ac:dyDescent="0.35">
      <c r="A475" t="str">
        <f>Raw_Claims_Data!A474</f>
        <v>TXN00000471</v>
      </c>
      <c r="B475" t="str">
        <f>TRIM(Raw_Claims_Data!B474)</f>
        <v>Kimberly Harder</v>
      </c>
      <c r="C475" t="str">
        <f>Raw_Claims_Data!C474</f>
        <v>Property</v>
      </c>
      <c r="D475">
        <f>Raw_Claims_Data!D474</f>
        <v>82.87</v>
      </c>
      <c r="E475">
        <f>Raw_Claims_Data!E474</f>
        <v>26000</v>
      </c>
      <c r="F475" t="str">
        <f>Raw_Claims_Data!F474</f>
        <v>AK</v>
      </c>
      <c r="G475" t="str">
        <f>Raw_Claims_Data!G474</f>
        <v>A</v>
      </c>
      <c r="H475" t="str">
        <f>Raw_Claims_Data!H474</f>
        <v>Minor Loss</v>
      </c>
      <c r="I475" t="str">
        <f>IF(Raw_Claims_Data!I474="","None",Raw_Claims_Data!I474)</f>
        <v>Police</v>
      </c>
      <c r="J475" t="str">
        <f>Raw_Claims_Data!J474</f>
        <v>Hanford</v>
      </c>
      <c r="K475" t="str">
        <f>Raw_Claims_Data!K474</f>
        <v>CA</v>
      </c>
      <c r="L475">
        <f>Raw_Claims_Data!L474</f>
        <v>23</v>
      </c>
      <c r="M475" t="str">
        <f>IF(Raw_Claims_Data!M474="","N/A",Raw_Claims_Data!M474)</f>
        <v>VNDR00383</v>
      </c>
      <c r="N475" t="str">
        <f>Raw_Claims_Data!N474</f>
        <v>AGENT00649</v>
      </c>
      <c r="O475">
        <f>IF(Raw_Claims_Data!G474="D",1,0)</f>
        <v>0</v>
      </c>
    </row>
    <row r="476" spans="1:15" x14ac:dyDescent="0.35">
      <c r="A476" t="str">
        <f>Raw_Claims_Data!A475</f>
        <v>TXN00000472</v>
      </c>
      <c r="B476" t="str">
        <f>TRIM(Raw_Claims_Data!B475)</f>
        <v>Linda Kincaid</v>
      </c>
      <c r="C476" t="str">
        <f>Raw_Claims_Data!C475</f>
        <v>Motor</v>
      </c>
      <c r="D476">
        <f>Raw_Claims_Data!D475</f>
        <v>80.180000000000007</v>
      </c>
      <c r="E476">
        <f>Raw_Claims_Data!E475</f>
        <v>10000</v>
      </c>
      <c r="F476" t="str">
        <f>Raw_Claims_Data!F475</f>
        <v>TN</v>
      </c>
      <c r="G476" t="str">
        <f>Raw_Claims_Data!G475</f>
        <v>A</v>
      </c>
      <c r="H476" t="str">
        <f>Raw_Claims_Data!H475</f>
        <v>Total Loss</v>
      </c>
      <c r="I476" t="str">
        <f>IF(Raw_Claims_Data!I475="","None",Raw_Claims_Data!I475)</f>
        <v>None</v>
      </c>
      <c r="J476" t="str">
        <f>Raw_Claims_Data!J475</f>
        <v>Anchorage</v>
      </c>
      <c r="K476" t="str">
        <f>Raw_Claims_Data!K475</f>
        <v>AK</v>
      </c>
      <c r="L476">
        <f>Raw_Claims_Data!L475</f>
        <v>14</v>
      </c>
      <c r="M476" t="str">
        <f>IF(Raw_Claims_Data!M475="","N/A",Raw_Claims_Data!M475)</f>
        <v>VNDR00090</v>
      </c>
      <c r="N476" t="str">
        <f>Raw_Claims_Data!N475</f>
        <v>AGENT00989</v>
      </c>
      <c r="O476">
        <f>IF(Raw_Claims_Data!G475="D",1,0)</f>
        <v>0</v>
      </c>
    </row>
    <row r="477" spans="1:15" x14ac:dyDescent="0.35">
      <c r="A477" t="str">
        <f>Raw_Claims_Data!A476</f>
        <v>TXN00000473</v>
      </c>
      <c r="B477" t="str">
        <f>TRIM(Raw_Claims_Data!B476)</f>
        <v>Alicia Soares</v>
      </c>
      <c r="C477" t="str">
        <f>Raw_Claims_Data!C476</f>
        <v>Travel</v>
      </c>
      <c r="D477">
        <f>Raw_Claims_Data!D476</f>
        <v>95.51</v>
      </c>
      <c r="E477">
        <f>Raw_Claims_Data!E476</f>
        <v>5000</v>
      </c>
      <c r="F477" t="str">
        <f>Raw_Claims_Data!F476</f>
        <v>AL</v>
      </c>
      <c r="G477" t="str">
        <f>Raw_Claims_Data!G476</f>
        <v>A</v>
      </c>
      <c r="H477" t="str">
        <f>Raw_Claims_Data!H476</f>
        <v>Major Loss</v>
      </c>
      <c r="I477" t="str">
        <f>IF(Raw_Claims_Data!I476="","None",Raw_Claims_Data!I476)</f>
        <v>Ambulance</v>
      </c>
      <c r="J477" t="str">
        <f>Raw_Claims_Data!J476</f>
        <v>Millersville</v>
      </c>
      <c r="K477" t="str">
        <f>Raw_Claims_Data!K476</f>
        <v>MD</v>
      </c>
      <c r="L477">
        <f>Raw_Claims_Data!L476</f>
        <v>6</v>
      </c>
      <c r="M477" t="str">
        <f>IF(Raw_Claims_Data!M476="","N/A",Raw_Claims_Data!M476)</f>
        <v>VNDR00190</v>
      </c>
      <c r="N477" t="str">
        <f>Raw_Claims_Data!N476</f>
        <v>AGENT00453</v>
      </c>
      <c r="O477">
        <f>IF(Raw_Claims_Data!G476="D",1,0)</f>
        <v>0</v>
      </c>
    </row>
    <row r="478" spans="1:15" x14ac:dyDescent="0.35">
      <c r="A478" t="str">
        <f>Raw_Claims_Data!A477</f>
        <v>TXN00000474</v>
      </c>
      <c r="B478" t="str">
        <f>TRIM(Raw_Claims_Data!B477)</f>
        <v>Sonia Holland</v>
      </c>
      <c r="C478" t="str">
        <f>Raw_Claims_Data!C477</f>
        <v>Life</v>
      </c>
      <c r="D478">
        <f>Raw_Claims_Data!D477</f>
        <v>75.95</v>
      </c>
      <c r="E478">
        <f>Raw_Claims_Data!E477</f>
        <v>83000</v>
      </c>
      <c r="F478" t="str">
        <f>Raw_Claims_Data!F477</f>
        <v>VT</v>
      </c>
      <c r="G478" t="str">
        <f>Raw_Claims_Data!G477</f>
        <v>A</v>
      </c>
      <c r="H478" t="str">
        <f>Raw_Claims_Data!H477</f>
        <v>Major Loss</v>
      </c>
      <c r="I478" t="str">
        <f>IF(Raw_Claims_Data!I477="","None",Raw_Claims_Data!I477)</f>
        <v>None</v>
      </c>
      <c r="J478" t="str">
        <f>Raw_Claims_Data!J477</f>
        <v>Montgomery</v>
      </c>
      <c r="K478" t="str">
        <f>Raw_Claims_Data!K477</f>
        <v>AL</v>
      </c>
      <c r="L478">
        <f>Raw_Claims_Data!L477</f>
        <v>5</v>
      </c>
      <c r="M478" t="str">
        <f>IF(Raw_Claims_Data!M477="","N/A",Raw_Claims_Data!M477)</f>
        <v>VNDR00167</v>
      </c>
      <c r="N478" t="str">
        <f>Raw_Claims_Data!N477</f>
        <v>AGENT00433</v>
      </c>
      <c r="O478">
        <f>IF(Raw_Claims_Data!G477="D",1,0)</f>
        <v>0</v>
      </c>
    </row>
    <row r="479" spans="1:15" x14ac:dyDescent="0.35">
      <c r="A479" t="str">
        <f>Raw_Claims_Data!A478</f>
        <v>TXN00000475</v>
      </c>
      <c r="B479" t="str">
        <f>TRIM(Raw_Claims_Data!B478)</f>
        <v>Jackie Maness</v>
      </c>
      <c r="C479" t="str">
        <f>Raw_Claims_Data!C478</f>
        <v>Life</v>
      </c>
      <c r="D479">
        <f>Raw_Claims_Data!D478</f>
        <v>76.88</v>
      </c>
      <c r="E479">
        <f>Raw_Claims_Data!E478</f>
        <v>53000</v>
      </c>
      <c r="F479" t="str">
        <f>Raw_Claims_Data!F478</f>
        <v>KY</v>
      </c>
      <c r="G479" t="str">
        <f>Raw_Claims_Data!G478</f>
        <v>A</v>
      </c>
      <c r="H479" t="str">
        <f>Raw_Claims_Data!H478</f>
        <v>Major Loss</v>
      </c>
      <c r="I479" t="str">
        <f>IF(Raw_Claims_Data!I478="","None",Raw_Claims_Data!I478)</f>
        <v>Ambulance</v>
      </c>
      <c r="J479" t="str">
        <f>Raw_Claims_Data!J478</f>
        <v>Glendale</v>
      </c>
      <c r="K479" t="str">
        <f>Raw_Claims_Data!K478</f>
        <v>AZ</v>
      </c>
      <c r="L479">
        <f>Raw_Claims_Data!L478</f>
        <v>13</v>
      </c>
      <c r="M479" t="str">
        <f>IF(Raw_Claims_Data!M478="","N/A",Raw_Claims_Data!M478)</f>
        <v>VNDR00249</v>
      </c>
      <c r="N479" t="str">
        <f>Raw_Claims_Data!N478</f>
        <v>AGENT00986</v>
      </c>
      <c r="O479">
        <f>IF(Raw_Claims_Data!G478="D",1,0)</f>
        <v>0</v>
      </c>
    </row>
    <row r="480" spans="1:15" x14ac:dyDescent="0.35">
      <c r="A480" t="str">
        <f>Raw_Claims_Data!A479</f>
        <v>TXN00000476</v>
      </c>
      <c r="B480" t="str">
        <f>TRIM(Raw_Claims_Data!B479)</f>
        <v>Jennifer Townsend</v>
      </c>
      <c r="C480" t="str">
        <f>Raw_Claims_Data!C479</f>
        <v>Motor</v>
      </c>
      <c r="D480">
        <f>Raw_Claims_Data!D479</f>
        <v>138.38999999999999</v>
      </c>
      <c r="E480">
        <f>Raw_Claims_Data!E479</f>
        <v>8000</v>
      </c>
      <c r="F480" t="str">
        <f>Raw_Claims_Data!F479</f>
        <v>AK</v>
      </c>
      <c r="G480" t="str">
        <f>Raw_Claims_Data!G479</f>
        <v>A</v>
      </c>
      <c r="H480" t="str">
        <f>Raw_Claims_Data!H479</f>
        <v>Minor Loss</v>
      </c>
      <c r="I480" t="str">
        <f>IF(Raw_Claims_Data!I479="","None",Raw_Claims_Data!I479)</f>
        <v>Other</v>
      </c>
      <c r="J480" t="str">
        <f>Raw_Claims_Data!J479</f>
        <v>Louisville</v>
      </c>
      <c r="K480" t="str">
        <f>Raw_Claims_Data!K479</f>
        <v>KY</v>
      </c>
      <c r="L480">
        <f>Raw_Claims_Data!L479</f>
        <v>2</v>
      </c>
      <c r="M480" t="str">
        <f>IF(Raw_Claims_Data!M479="","N/A",Raw_Claims_Data!M479)</f>
        <v>N/A</v>
      </c>
      <c r="N480" t="str">
        <f>Raw_Claims_Data!N479</f>
        <v>AGENT00472</v>
      </c>
      <c r="O480">
        <f>IF(Raw_Claims_Data!G479="D",1,0)</f>
        <v>0</v>
      </c>
    </row>
    <row r="481" spans="1:15" x14ac:dyDescent="0.35">
      <c r="A481" t="str">
        <f>Raw_Claims_Data!A480</f>
        <v>TXN00000477</v>
      </c>
      <c r="B481" t="str">
        <f>TRIM(Raw_Claims_Data!B480)</f>
        <v>Brent Molter</v>
      </c>
      <c r="C481" t="str">
        <f>Raw_Claims_Data!C480</f>
        <v>Motor</v>
      </c>
      <c r="D481">
        <f>Raw_Claims_Data!D480</f>
        <v>80.2</v>
      </c>
      <c r="E481">
        <f>Raw_Claims_Data!E480</f>
        <v>4000</v>
      </c>
      <c r="F481" t="str">
        <f>Raw_Claims_Data!F480</f>
        <v>CO</v>
      </c>
      <c r="G481" t="str">
        <f>Raw_Claims_Data!G480</f>
        <v>A</v>
      </c>
      <c r="H481" t="str">
        <f>Raw_Claims_Data!H480</f>
        <v>Major Loss</v>
      </c>
      <c r="I481" t="str">
        <f>IF(Raw_Claims_Data!I480="","None",Raw_Claims_Data!I480)</f>
        <v>Police</v>
      </c>
      <c r="J481" t="str">
        <f>Raw_Claims_Data!J480</f>
        <v>Fayetteville</v>
      </c>
      <c r="K481" t="str">
        <f>Raw_Claims_Data!K480</f>
        <v>AR</v>
      </c>
      <c r="L481">
        <f>Raw_Claims_Data!L480</f>
        <v>15</v>
      </c>
      <c r="M481" t="str">
        <f>IF(Raw_Claims_Data!M480="","N/A",Raw_Claims_Data!M480)</f>
        <v>VNDR00447</v>
      </c>
      <c r="N481" t="str">
        <f>Raw_Claims_Data!N480</f>
        <v>AGENT00565</v>
      </c>
      <c r="O481">
        <f>IF(Raw_Claims_Data!G480="D",1,0)</f>
        <v>0</v>
      </c>
    </row>
    <row r="482" spans="1:15" x14ac:dyDescent="0.35">
      <c r="A482" t="str">
        <f>Raw_Claims_Data!A481</f>
        <v>TXN00000478</v>
      </c>
      <c r="B482" t="str">
        <f>TRIM(Raw_Claims_Data!B481)</f>
        <v>Marie Huston</v>
      </c>
      <c r="C482" t="str">
        <f>Raw_Claims_Data!C481</f>
        <v>Motor</v>
      </c>
      <c r="D482">
        <f>Raw_Claims_Data!D481</f>
        <v>76.06</v>
      </c>
      <c r="E482">
        <f>Raw_Claims_Data!E481</f>
        <v>2000</v>
      </c>
      <c r="F482" t="str">
        <f>Raw_Claims_Data!F481</f>
        <v>GA</v>
      </c>
      <c r="G482" t="str">
        <f>Raw_Claims_Data!G481</f>
        <v>A</v>
      </c>
      <c r="H482" t="str">
        <f>Raw_Claims_Data!H481</f>
        <v>Total Loss</v>
      </c>
      <c r="I482" t="str">
        <f>IF(Raw_Claims_Data!I481="","None",Raw_Claims_Data!I481)</f>
        <v>Ambulance</v>
      </c>
      <c r="J482" t="str">
        <f>Raw_Claims_Data!J481</f>
        <v>Montgomery</v>
      </c>
      <c r="K482" t="str">
        <f>Raw_Claims_Data!K481</f>
        <v>AL</v>
      </c>
      <c r="L482">
        <f>Raw_Claims_Data!L481</f>
        <v>13</v>
      </c>
      <c r="M482" t="str">
        <f>IF(Raw_Claims_Data!M481="","N/A",Raw_Claims_Data!M481)</f>
        <v>N/A</v>
      </c>
      <c r="N482" t="str">
        <f>Raw_Claims_Data!N481</f>
        <v>AGENT00250</v>
      </c>
      <c r="O482">
        <f>IF(Raw_Claims_Data!G481="D",1,0)</f>
        <v>0</v>
      </c>
    </row>
    <row r="483" spans="1:15" x14ac:dyDescent="0.35">
      <c r="A483" t="str">
        <f>Raw_Claims_Data!A482</f>
        <v>TXN00000479</v>
      </c>
      <c r="B483" t="str">
        <f>TRIM(Raw_Claims_Data!B482)</f>
        <v>David Reed</v>
      </c>
      <c r="C483" t="str">
        <f>Raw_Claims_Data!C482</f>
        <v>Motor</v>
      </c>
      <c r="D483">
        <f>Raw_Claims_Data!D482</f>
        <v>134.71</v>
      </c>
      <c r="E483">
        <f>Raw_Claims_Data!E482</f>
        <v>6000</v>
      </c>
      <c r="F483" t="str">
        <f>Raw_Claims_Data!F482</f>
        <v>GA</v>
      </c>
      <c r="G483" t="str">
        <f>Raw_Claims_Data!G482</f>
        <v>A</v>
      </c>
      <c r="H483" t="str">
        <f>Raw_Claims_Data!H482</f>
        <v>Total Loss</v>
      </c>
      <c r="I483" t="str">
        <f>IF(Raw_Claims_Data!I482="","None",Raw_Claims_Data!I482)</f>
        <v>Police</v>
      </c>
      <c r="J483" t="str">
        <f>Raw_Claims_Data!J482</f>
        <v>Greeley</v>
      </c>
      <c r="K483" t="str">
        <f>Raw_Claims_Data!K482</f>
        <v>CO</v>
      </c>
      <c r="L483">
        <f>Raw_Claims_Data!L482</f>
        <v>1</v>
      </c>
      <c r="M483" t="str">
        <f>IF(Raw_Claims_Data!M482="","N/A",Raw_Claims_Data!M482)</f>
        <v>VNDR00238</v>
      </c>
      <c r="N483" t="str">
        <f>Raw_Claims_Data!N482</f>
        <v>AGENT00030</v>
      </c>
      <c r="O483">
        <f>IF(Raw_Claims_Data!G482="D",1,0)</f>
        <v>0</v>
      </c>
    </row>
    <row r="484" spans="1:15" x14ac:dyDescent="0.35">
      <c r="A484" t="str">
        <f>Raw_Claims_Data!A483</f>
        <v>TXN00000480</v>
      </c>
      <c r="B484" t="str">
        <f>TRIM(Raw_Claims_Data!B483)</f>
        <v>Jerrod Pundt</v>
      </c>
      <c r="C484" t="str">
        <f>Raw_Claims_Data!C483</f>
        <v>Travel</v>
      </c>
      <c r="D484">
        <f>Raw_Claims_Data!D483</f>
        <v>82.04</v>
      </c>
      <c r="E484">
        <f>Raw_Claims_Data!E483</f>
        <v>2000</v>
      </c>
      <c r="F484" t="str">
        <f>Raw_Claims_Data!F483</f>
        <v>MA</v>
      </c>
      <c r="G484" t="str">
        <f>Raw_Claims_Data!G483</f>
        <v>A</v>
      </c>
      <c r="H484" t="str">
        <f>Raw_Claims_Data!H483</f>
        <v>Minor Loss</v>
      </c>
      <c r="I484" t="str">
        <f>IF(Raw_Claims_Data!I483="","None",Raw_Claims_Data!I483)</f>
        <v>Other</v>
      </c>
      <c r="J484" t="str">
        <f>Raw_Claims_Data!J483</f>
        <v>Glendale</v>
      </c>
      <c r="K484" t="str">
        <f>Raw_Claims_Data!K483</f>
        <v>AZ</v>
      </c>
      <c r="L484">
        <f>Raw_Claims_Data!L483</f>
        <v>8</v>
      </c>
      <c r="M484" t="str">
        <f>IF(Raw_Claims_Data!M483="","N/A",Raw_Claims_Data!M483)</f>
        <v>VNDR00412</v>
      </c>
      <c r="N484" t="str">
        <f>Raw_Claims_Data!N483</f>
        <v>AGENT00773</v>
      </c>
      <c r="O484">
        <f>IF(Raw_Claims_Data!G483="D",1,0)</f>
        <v>0</v>
      </c>
    </row>
    <row r="485" spans="1:15" x14ac:dyDescent="0.35">
      <c r="A485" t="str">
        <f>Raw_Claims_Data!A484</f>
        <v>TXN00000481</v>
      </c>
      <c r="B485" t="str">
        <f>TRIM(Raw_Claims_Data!B484)</f>
        <v>Sylvester Ramirez</v>
      </c>
      <c r="C485" t="str">
        <f>Raw_Claims_Data!C484</f>
        <v>Property</v>
      </c>
      <c r="D485">
        <f>Raw_Claims_Data!D484</f>
        <v>130.93</v>
      </c>
      <c r="E485">
        <f>Raw_Claims_Data!E484</f>
        <v>18000</v>
      </c>
      <c r="F485" t="str">
        <f>Raw_Claims_Data!F484</f>
        <v>FL</v>
      </c>
      <c r="G485" t="str">
        <f>Raw_Claims_Data!G484</f>
        <v>A</v>
      </c>
      <c r="H485" t="str">
        <f>Raw_Claims_Data!H484</f>
        <v>Total Loss</v>
      </c>
      <c r="I485" t="str">
        <f>IF(Raw_Claims_Data!I484="","None",Raw_Claims_Data!I484)</f>
        <v>Ambulance</v>
      </c>
      <c r="J485" t="str">
        <f>Raw_Claims_Data!J484</f>
        <v>Fayetteville</v>
      </c>
      <c r="K485" t="str">
        <f>Raw_Claims_Data!K484</f>
        <v>AR</v>
      </c>
      <c r="L485">
        <f>Raw_Claims_Data!L484</f>
        <v>20</v>
      </c>
      <c r="M485" t="str">
        <f>IF(Raw_Claims_Data!M484="","N/A",Raw_Claims_Data!M484)</f>
        <v>VNDR00151</v>
      </c>
      <c r="N485" t="str">
        <f>Raw_Claims_Data!N484</f>
        <v>AGENT00798</v>
      </c>
      <c r="O485">
        <f>IF(Raw_Claims_Data!G484="D",1,0)</f>
        <v>0</v>
      </c>
    </row>
    <row r="486" spans="1:15" x14ac:dyDescent="0.35">
      <c r="A486" t="str">
        <f>Raw_Claims_Data!A485</f>
        <v>TXN00000482</v>
      </c>
      <c r="B486" t="str">
        <f>TRIM(Raw_Claims_Data!B485)</f>
        <v>Karen Clark</v>
      </c>
      <c r="C486" t="str">
        <f>Raw_Claims_Data!C485</f>
        <v>Life</v>
      </c>
      <c r="D486">
        <f>Raw_Claims_Data!D485</f>
        <v>65.930000000000007</v>
      </c>
      <c r="E486">
        <f>Raw_Claims_Data!E485</f>
        <v>12000</v>
      </c>
      <c r="F486" t="str">
        <f>Raw_Claims_Data!F485</f>
        <v>MA</v>
      </c>
      <c r="G486" t="str">
        <f>Raw_Claims_Data!G485</f>
        <v>A</v>
      </c>
      <c r="H486" t="str">
        <f>Raw_Claims_Data!H485</f>
        <v>Major Loss</v>
      </c>
      <c r="I486" t="str">
        <f>IF(Raw_Claims_Data!I485="","None",Raw_Claims_Data!I485)</f>
        <v>None</v>
      </c>
      <c r="J486" t="str">
        <f>Raw_Claims_Data!J485</f>
        <v>North Reading</v>
      </c>
      <c r="K486" t="str">
        <f>Raw_Claims_Data!K485</f>
        <v>MA</v>
      </c>
      <c r="L486">
        <f>Raw_Claims_Data!L485</f>
        <v>6</v>
      </c>
      <c r="M486" t="str">
        <f>IF(Raw_Claims_Data!M485="","N/A",Raw_Claims_Data!M485)</f>
        <v>VNDR00054</v>
      </c>
      <c r="N486" t="str">
        <f>Raw_Claims_Data!N485</f>
        <v>AGENT01048</v>
      </c>
      <c r="O486">
        <f>IF(Raw_Claims_Data!G485="D",1,0)</f>
        <v>0</v>
      </c>
    </row>
    <row r="487" spans="1:15" x14ac:dyDescent="0.35">
      <c r="A487" t="str">
        <f>Raw_Claims_Data!A486</f>
        <v>TXN00000483</v>
      </c>
      <c r="B487" t="str">
        <f>TRIM(Raw_Claims_Data!B486)</f>
        <v>Christina Petty</v>
      </c>
      <c r="C487" t="str">
        <f>Raw_Claims_Data!C486</f>
        <v>Life</v>
      </c>
      <c r="D487">
        <f>Raw_Claims_Data!D486</f>
        <v>81.59</v>
      </c>
      <c r="E487">
        <f>Raw_Claims_Data!E486</f>
        <v>20000</v>
      </c>
      <c r="F487" t="str">
        <f>Raw_Claims_Data!F486</f>
        <v>CA</v>
      </c>
      <c r="G487" t="str">
        <f>Raw_Claims_Data!G486</f>
        <v>A</v>
      </c>
      <c r="H487" t="str">
        <f>Raw_Claims_Data!H486</f>
        <v>Total Loss</v>
      </c>
      <c r="I487" t="str">
        <f>IF(Raw_Claims_Data!I486="","None",Raw_Claims_Data!I486)</f>
        <v>Other</v>
      </c>
      <c r="J487" t="str">
        <f>Raw_Claims_Data!J486</f>
        <v>Oklahoma City</v>
      </c>
      <c r="K487" t="str">
        <f>Raw_Claims_Data!K486</f>
        <v>OK</v>
      </c>
      <c r="L487">
        <f>Raw_Claims_Data!L486</f>
        <v>8</v>
      </c>
      <c r="M487" t="str">
        <f>IF(Raw_Claims_Data!M486="","N/A",Raw_Claims_Data!M486)</f>
        <v>VNDR00258</v>
      </c>
      <c r="N487" t="str">
        <f>Raw_Claims_Data!N486</f>
        <v>AGENT00521</v>
      </c>
      <c r="O487">
        <f>IF(Raw_Claims_Data!G486="D",1,0)</f>
        <v>0</v>
      </c>
    </row>
    <row r="488" spans="1:15" x14ac:dyDescent="0.35">
      <c r="A488" t="str">
        <f>Raw_Claims_Data!A487</f>
        <v>TXN00000484</v>
      </c>
      <c r="B488" t="str">
        <f>TRIM(Raw_Claims_Data!B487)</f>
        <v>Claire Zamora</v>
      </c>
      <c r="C488" t="str">
        <f>Raw_Claims_Data!C487</f>
        <v>Motor</v>
      </c>
      <c r="D488">
        <f>Raw_Claims_Data!D487</f>
        <v>98.63</v>
      </c>
      <c r="E488">
        <f>Raw_Claims_Data!E487</f>
        <v>8000</v>
      </c>
      <c r="F488" t="str">
        <f>Raw_Claims_Data!F487</f>
        <v>MA</v>
      </c>
      <c r="G488" t="str">
        <f>Raw_Claims_Data!G487</f>
        <v>A</v>
      </c>
      <c r="H488" t="str">
        <f>Raw_Claims_Data!H487</f>
        <v>Total Loss</v>
      </c>
      <c r="I488" t="str">
        <f>IF(Raw_Claims_Data!I487="","None",Raw_Claims_Data!I487)</f>
        <v>Police</v>
      </c>
      <c r="J488" t="str">
        <f>Raw_Claims_Data!J487</f>
        <v>Hayward</v>
      </c>
      <c r="K488" t="str">
        <f>Raw_Claims_Data!K487</f>
        <v>CA</v>
      </c>
      <c r="L488">
        <f>Raw_Claims_Data!L487</f>
        <v>4</v>
      </c>
      <c r="M488" t="str">
        <f>IF(Raw_Claims_Data!M487="","N/A",Raw_Claims_Data!M487)</f>
        <v>N/A</v>
      </c>
      <c r="N488" t="str">
        <f>Raw_Claims_Data!N487</f>
        <v>AGENT00761</v>
      </c>
      <c r="O488">
        <f>IF(Raw_Claims_Data!G487="D",1,0)</f>
        <v>0</v>
      </c>
    </row>
    <row r="489" spans="1:15" x14ac:dyDescent="0.35">
      <c r="A489" t="str">
        <f>Raw_Claims_Data!A488</f>
        <v>TXN00000485</v>
      </c>
      <c r="B489" t="str">
        <f>TRIM(Raw_Claims_Data!B488)</f>
        <v>Douglas Hall</v>
      </c>
      <c r="C489" t="str">
        <f>Raw_Claims_Data!C488</f>
        <v>Mobile</v>
      </c>
      <c r="D489">
        <f>Raw_Claims_Data!D488</f>
        <v>8.4700000000000006</v>
      </c>
      <c r="E489">
        <f>Raw_Claims_Data!E488</f>
        <v>400</v>
      </c>
      <c r="F489" t="str">
        <f>Raw_Claims_Data!F488</f>
        <v>MD</v>
      </c>
      <c r="G489" t="str">
        <f>Raw_Claims_Data!G488</f>
        <v>A</v>
      </c>
      <c r="H489" t="str">
        <f>Raw_Claims_Data!H488</f>
        <v>Total Loss</v>
      </c>
      <c r="I489" t="str">
        <f>IF(Raw_Claims_Data!I488="","None",Raw_Claims_Data!I488)</f>
        <v>Ambulance</v>
      </c>
      <c r="J489" t="str">
        <f>Raw_Claims_Data!J488</f>
        <v>Arvada</v>
      </c>
      <c r="K489" t="str">
        <f>Raw_Claims_Data!K488</f>
        <v>CO</v>
      </c>
      <c r="L489">
        <f>Raw_Claims_Data!L488</f>
        <v>12</v>
      </c>
      <c r="M489" t="str">
        <f>IF(Raw_Claims_Data!M488="","N/A",Raw_Claims_Data!M488)</f>
        <v>VNDR00370</v>
      </c>
      <c r="N489" t="str">
        <f>Raw_Claims_Data!N488</f>
        <v>AGENT00069</v>
      </c>
      <c r="O489">
        <f>IF(Raw_Claims_Data!G488="D",1,0)</f>
        <v>0</v>
      </c>
    </row>
    <row r="490" spans="1:15" x14ac:dyDescent="0.35">
      <c r="A490" t="str">
        <f>Raw_Claims_Data!A489</f>
        <v>TXN00000486</v>
      </c>
      <c r="B490" t="str">
        <f>TRIM(Raw_Claims_Data!B489)</f>
        <v>Virginia Mccann</v>
      </c>
      <c r="C490" t="str">
        <f>Raw_Claims_Data!C489</f>
        <v>Mobile</v>
      </c>
      <c r="D490">
        <f>Raw_Claims_Data!D489</f>
        <v>6.53</v>
      </c>
      <c r="E490">
        <f>Raw_Claims_Data!E489</f>
        <v>600</v>
      </c>
      <c r="F490" t="str">
        <f>Raw_Claims_Data!F489</f>
        <v>MD</v>
      </c>
      <c r="G490" t="str">
        <f>Raw_Claims_Data!G489</f>
        <v>A</v>
      </c>
      <c r="H490" t="str">
        <f>Raw_Claims_Data!H489</f>
        <v>Minor Loss</v>
      </c>
      <c r="I490" t="str">
        <f>IF(Raw_Claims_Data!I489="","None",Raw_Claims_Data!I489)</f>
        <v>None</v>
      </c>
      <c r="J490" t="str">
        <f>Raw_Claims_Data!J489</f>
        <v>Panama City</v>
      </c>
      <c r="K490" t="str">
        <f>Raw_Claims_Data!K489</f>
        <v>FL</v>
      </c>
      <c r="L490">
        <f>Raw_Claims_Data!L489</f>
        <v>10</v>
      </c>
      <c r="M490" t="str">
        <f>IF(Raw_Claims_Data!M489="","N/A",Raw_Claims_Data!M489)</f>
        <v>VNDR00258</v>
      </c>
      <c r="N490" t="str">
        <f>Raw_Claims_Data!N489</f>
        <v>AGENT00509</v>
      </c>
      <c r="O490">
        <f>IF(Raw_Claims_Data!G489="D",1,0)</f>
        <v>0</v>
      </c>
    </row>
    <row r="491" spans="1:15" x14ac:dyDescent="0.35">
      <c r="A491" t="str">
        <f>Raw_Claims_Data!A490</f>
        <v>TXN00000487</v>
      </c>
      <c r="B491" t="str">
        <f>TRIM(Raw_Claims_Data!B490)</f>
        <v>Rachel Flowers</v>
      </c>
      <c r="C491" t="str">
        <f>Raw_Claims_Data!C490</f>
        <v>Mobile</v>
      </c>
      <c r="D491">
        <f>Raw_Claims_Data!D490</f>
        <v>7.98</v>
      </c>
      <c r="E491">
        <f>Raw_Claims_Data!E490</f>
        <v>200</v>
      </c>
      <c r="F491" t="str">
        <f>Raw_Claims_Data!F490</f>
        <v>DC</v>
      </c>
      <c r="G491" t="str">
        <f>Raw_Claims_Data!G490</f>
        <v>A</v>
      </c>
      <c r="H491" t="str">
        <f>Raw_Claims_Data!H490</f>
        <v>Major Loss</v>
      </c>
      <c r="I491" t="str">
        <f>IF(Raw_Claims_Data!I490="","None",Raw_Claims_Data!I490)</f>
        <v>Police</v>
      </c>
      <c r="J491" t="str">
        <f>Raw_Claims_Data!J490</f>
        <v>Midwest City</v>
      </c>
      <c r="K491" t="str">
        <f>Raw_Claims_Data!K490</f>
        <v>OK</v>
      </c>
      <c r="L491">
        <f>Raw_Claims_Data!L490</f>
        <v>14</v>
      </c>
      <c r="M491" t="str">
        <f>IF(Raw_Claims_Data!M490="","N/A",Raw_Claims_Data!M490)</f>
        <v>N/A</v>
      </c>
      <c r="N491" t="str">
        <f>Raw_Claims_Data!N490</f>
        <v>AGENT00761</v>
      </c>
      <c r="O491">
        <f>IF(Raw_Claims_Data!G490="D",1,0)</f>
        <v>0</v>
      </c>
    </row>
    <row r="492" spans="1:15" x14ac:dyDescent="0.35">
      <c r="A492" t="str">
        <f>Raw_Claims_Data!A491</f>
        <v>TXN00000488</v>
      </c>
      <c r="B492" t="str">
        <f>TRIM(Raw_Claims_Data!B491)</f>
        <v>Jeniffer Dyson</v>
      </c>
      <c r="C492" t="str">
        <f>Raw_Claims_Data!C491</f>
        <v>Property</v>
      </c>
      <c r="D492">
        <f>Raw_Claims_Data!D491</f>
        <v>138.02000000000001</v>
      </c>
      <c r="E492">
        <f>Raw_Claims_Data!E491</f>
        <v>22000</v>
      </c>
      <c r="F492" t="str">
        <f>Raw_Claims_Data!F491</f>
        <v>CT</v>
      </c>
      <c r="G492" t="str">
        <f>Raw_Claims_Data!G491</f>
        <v>A</v>
      </c>
      <c r="H492" t="str">
        <f>Raw_Claims_Data!H491</f>
        <v>Minor Loss</v>
      </c>
      <c r="I492" t="str">
        <f>IF(Raw_Claims_Data!I491="","None",Raw_Claims_Data!I491)</f>
        <v>None</v>
      </c>
      <c r="J492" t="str">
        <f>Raw_Claims_Data!J491</f>
        <v>Washington</v>
      </c>
      <c r="K492" t="str">
        <f>Raw_Claims_Data!K491</f>
        <v>DC</v>
      </c>
      <c r="L492">
        <f>Raw_Claims_Data!L491</f>
        <v>4</v>
      </c>
      <c r="M492" t="str">
        <f>IF(Raw_Claims_Data!M491="","N/A",Raw_Claims_Data!M491)</f>
        <v>VNDR00457</v>
      </c>
      <c r="N492" t="str">
        <f>Raw_Claims_Data!N491</f>
        <v>AGENT00668</v>
      </c>
      <c r="O492">
        <f>IF(Raw_Claims_Data!G491="D",1,0)</f>
        <v>0</v>
      </c>
    </row>
    <row r="493" spans="1:15" x14ac:dyDescent="0.35">
      <c r="A493" t="str">
        <f>Raw_Claims_Data!A492</f>
        <v>TXN00000489</v>
      </c>
      <c r="B493" t="str">
        <f>TRIM(Raw_Claims_Data!B492)</f>
        <v>Carrie Burwell</v>
      </c>
      <c r="C493" t="str">
        <f>Raw_Claims_Data!C492</f>
        <v>Motor</v>
      </c>
      <c r="D493">
        <f>Raw_Claims_Data!D492</f>
        <v>123.56</v>
      </c>
      <c r="E493">
        <f>Raw_Claims_Data!E492</f>
        <v>1000</v>
      </c>
      <c r="F493" t="str">
        <f>Raw_Claims_Data!F492</f>
        <v>OK</v>
      </c>
      <c r="G493" t="str">
        <f>Raw_Claims_Data!G492</f>
        <v>D</v>
      </c>
      <c r="H493" t="str">
        <f>Raw_Claims_Data!H492</f>
        <v>Major Loss</v>
      </c>
      <c r="I493" t="str">
        <f>IF(Raw_Claims_Data!I492="","None",Raw_Claims_Data!I492)</f>
        <v>Ambulance</v>
      </c>
      <c r="J493" t="str">
        <f>Raw_Claims_Data!J492</f>
        <v>Manchester</v>
      </c>
      <c r="K493" t="str">
        <f>Raw_Claims_Data!K492</f>
        <v>CT</v>
      </c>
      <c r="L493">
        <f>Raw_Claims_Data!L492</f>
        <v>5</v>
      </c>
      <c r="M493" t="str">
        <f>IF(Raw_Claims_Data!M492="","N/A",Raw_Claims_Data!M492)</f>
        <v>VNDR00200</v>
      </c>
      <c r="N493" t="str">
        <f>Raw_Claims_Data!N492</f>
        <v>AGENT00024</v>
      </c>
      <c r="O493">
        <f>IF(Raw_Claims_Data!G492="D",1,0)</f>
        <v>1</v>
      </c>
    </row>
    <row r="494" spans="1:15" x14ac:dyDescent="0.35">
      <c r="A494" t="str">
        <f>Raw_Claims_Data!A493</f>
        <v>TXN00000490</v>
      </c>
      <c r="B494" t="str">
        <f>TRIM(Raw_Claims_Data!B493)</f>
        <v>George Davis</v>
      </c>
      <c r="C494" t="str">
        <f>Raw_Claims_Data!C493</f>
        <v>Motor</v>
      </c>
      <c r="D494">
        <f>Raw_Claims_Data!D493</f>
        <v>128.58000000000001</v>
      </c>
      <c r="E494">
        <f>Raw_Claims_Data!E493</f>
        <v>9000</v>
      </c>
      <c r="F494" t="str">
        <f>Raw_Claims_Data!F493</f>
        <v>CA</v>
      </c>
      <c r="G494" t="str">
        <f>Raw_Claims_Data!G493</f>
        <v>A</v>
      </c>
      <c r="H494" t="str">
        <f>Raw_Claims_Data!H493</f>
        <v>Major Loss</v>
      </c>
      <c r="I494" t="str">
        <f>IF(Raw_Claims_Data!I493="","None",Raw_Claims_Data!I493)</f>
        <v>Police</v>
      </c>
      <c r="J494" t="str">
        <f>Raw_Claims_Data!J493</f>
        <v>Montgomery</v>
      </c>
      <c r="K494" t="str">
        <f>Raw_Claims_Data!K493</f>
        <v>AL</v>
      </c>
      <c r="L494">
        <f>Raw_Claims_Data!L493</f>
        <v>23</v>
      </c>
      <c r="M494" t="str">
        <f>IF(Raw_Claims_Data!M493="","N/A",Raw_Claims_Data!M493)</f>
        <v>VNDR00486</v>
      </c>
      <c r="N494" t="str">
        <f>Raw_Claims_Data!N493</f>
        <v>AGENT00545</v>
      </c>
      <c r="O494">
        <f>IF(Raw_Claims_Data!G493="D",1,0)</f>
        <v>0</v>
      </c>
    </row>
    <row r="495" spans="1:15" x14ac:dyDescent="0.35">
      <c r="A495" t="str">
        <f>Raw_Claims_Data!A494</f>
        <v>TXN00000491</v>
      </c>
      <c r="B495" t="str">
        <f>TRIM(Raw_Claims_Data!B494)</f>
        <v>Norma Manning</v>
      </c>
      <c r="C495" t="str">
        <f>Raw_Claims_Data!C494</f>
        <v>Health</v>
      </c>
      <c r="D495">
        <f>Raw_Claims_Data!D494</f>
        <v>122.21</v>
      </c>
      <c r="E495">
        <f>Raw_Claims_Data!E494</f>
        <v>12000</v>
      </c>
      <c r="F495" t="str">
        <f>Raw_Claims_Data!F494</f>
        <v>TN</v>
      </c>
      <c r="G495" t="str">
        <f>Raw_Claims_Data!G494</f>
        <v>A</v>
      </c>
      <c r="H495" t="str">
        <f>Raw_Claims_Data!H494</f>
        <v>Major Loss</v>
      </c>
      <c r="I495" t="str">
        <f>IF(Raw_Claims_Data!I494="","None",Raw_Claims_Data!I494)</f>
        <v>Ambulance</v>
      </c>
      <c r="J495" t="str">
        <f>Raw_Claims_Data!J494</f>
        <v>Fremont</v>
      </c>
      <c r="K495" t="str">
        <f>Raw_Claims_Data!K494</f>
        <v>CA</v>
      </c>
      <c r="L495">
        <f>Raw_Claims_Data!L494</f>
        <v>2</v>
      </c>
      <c r="M495" t="str">
        <f>IF(Raw_Claims_Data!M494="","N/A",Raw_Claims_Data!M494)</f>
        <v>VNDR00265</v>
      </c>
      <c r="N495" t="str">
        <f>Raw_Claims_Data!N494</f>
        <v>AGENT00777</v>
      </c>
      <c r="O495">
        <f>IF(Raw_Claims_Data!G494="D",1,0)</f>
        <v>0</v>
      </c>
    </row>
    <row r="496" spans="1:15" x14ac:dyDescent="0.35">
      <c r="A496" t="str">
        <f>Raw_Claims_Data!A495</f>
        <v>TXN00000492</v>
      </c>
      <c r="B496" t="str">
        <f>TRIM(Raw_Claims_Data!B495)</f>
        <v>John Brown</v>
      </c>
      <c r="C496" t="str">
        <f>Raw_Claims_Data!C495</f>
        <v>Mobile</v>
      </c>
      <c r="D496">
        <f>Raw_Claims_Data!D495</f>
        <v>7.85</v>
      </c>
      <c r="E496">
        <f>Raw_Claims_Data!E495</f>
        <v>500</v>
      </c>
      <c r="F496" t="str">
        <f>Raw_Claims_Data!F495</f>
        <v>AK</v>
      </c>
      <c r="G496" t="str">
        <f>Raw_Claims_Data!G495</f>
        <v>A</v>
      </c>
      <c r="H496" t="str">
        <f>Raw_Claims_Data!H495</f>
        <v>Major Loss</v>
      </c>
      <c r="I496" t="str">
        <f>IF(Raw_Claims_Data!I495="","None",Raw_Claims_Data!I495)</f>
        <v>Police</v>
      </c>
      <c r="J496" t="str">
        <f>Raw_Claims_Data!J495</f>
        <v>San Leandro</v>
      </c>
      <c r="K496" t="str">
        <f>Raw_Claims_Data!K495</f>
        <v>CA</v>
      </c>
      <c r="L496">
        <f>Raw_Claims_Data!L495</f>
        <v>21</v>
      </c>
      <c r="M496" t="str">
        <f>IF(Raw_Claims_Data!M495="","N/A",Raw_Claims_Data!M495)</f>
        <v>VNDR00474</v>
      </c>
      <c r="N496" t="str">
        <f>Raw_Claims_Data!N495</f>
        <v>AGENT00168</v>
      </c>
      <c r="O496">
        <f>IF(Raw_Claims_Data!G495="D",1,0)</f>
        <v>0</v>
      </c>
    </row>
    <row r="497" spans="1:15" x14ac:dyDescent="0.35">
      <c r="A497" t="str">
        <f>Raw_Claims_Data!A496</f>
        <v>TXN00000493</v>
      </c>
      <c r="B497" t="str">
        <f>TRIM(Raw_Claims_Data!B496)</f>
        <v>Christie Anderson</v>
      </c>
      <c r="C497" t="str">
        <f>Raw_Claims_Data!C496</f>
        <v>Property</v>
      </c>
      <c r="D497">
        <f>Raw_Claims_Data!D496</f>
        <v>137.09</v>
      </c>
      <c r="E497">
        <f>Raw_Claims_Data!E496</f>
        <v>27000</v>
      </c>
      <c r="F497" t="str">
        <f>Raw_Claims_Data!F496</f>
        <v>DC</v>
      </c>
      <c r="G497" t="str">
        <f>Raw_Claims_Data!G496</f>
        <v>A</v>
      </c>
      <c r="H497" t="str">
        <f>Raw_Claims_Data!H496</f>
        <v>Total Loss</v>
      </c>
      <c r="I497" t="str">
        <f>IF(Raw_Claims_Data!I496="","None",Raw_Claims_Data!I496)</f>
        <v>Police</v>
      </c>
      <c r="J497" t="str">
        <f>Raw_Claims_Data!J496</f>
        <v>Lynn</v>
      </c>
      <c r="K497" t="str">
        <f>Raw_Claims_Data!K496</f>
        <v>MA</v>
      </c>
      <c r="L497">
        <f>Raw_Claims_Data!L496</f>
        <v>17</v>
      </c>
      <c r="M497" t="str">
        <f>IF(Raw_Claims_Data!M496="","N/A",Raw_Claims_Data!M496)</f>
        <v>VNDR00313</v>
      </c>
      <c r="N497" t="str">
        <f>Raw_Claims_Data!N496</f>
        <v>AGENT00769</v>
      </c>
      <c r="O497">
        <f>IF(Raw_Claims_Data!G496="D",1,0)</f>
        <v>0</v>
      </c>
    </row>
    <row r="498" spans="1:15" x14ac:dyDescent="0.35">
      <c r="A498" t="str">
        <f>Raw_Claims_Data!A497</f>
        <v>TXN00000494</v>
      </c>
      <c r="B498" t="str">
        <f>TRIM(Raw_Claims_Data!B497)</f>
        <v>Russell Brogan</v>
      </c>
      <c r="C498" t="str">
        <f>Raw_Claims_Data!C497</f>
        <v>Mobile</v>
      </c>
      <c r="D498">
        <f>Raw_Claims_Data!D497</f>
        <v>11.96</v>
      </c>
      <c r="E498">
        <f>Raw_Claims_Data!E497</f>
        <v>500</v>
      </c>
      <c r="F498" t="str">
        <f>Raw_Claims_Data!F497</f>
        <v>AZ</v>
      </c>
      <c r="G498" t="str">
        <f>Raw_Claims_Data!G497</f>
        <v>A</v>
      </c>
      <c r="H498" t="str">
        <f>Raw_Claims_Data!H497</f>
        <v>Total Loss</v>
      </c>
      <c r="I498" t="str">
        <f>IF(Raw_Claims_Data!I497="","None",Raw_Claims_Data!I497)</f>
        <v>Ambulance</v>
      </c>
      <c r="J498" t="str">
        <f>Raw_Claims_Data!J497</f>
        <v>Arvada</v>
      </c>
      <c r="K498" t="str">
        <f>Raw_Claims_Data!K497</f>
        <v>CO</v>
      </c>
      <c r="L498">
        <f>Raw_Claims_Data!L497</f>
        <v>1</v>
      </c>
      <c r="M498" t="str">
        <f>IF(Raw_Claims_Data!M497="","N/A",Raw_Claims_Data!M497)</f>
        <v>VNDR00076</v>
      </c>
      <c r="N498" t="str">
        <f>Raw_Claims_Data!N497</f>
        <v>AGENT01030</v>
      </c>
      <c r="O498">
        <f>IF(Raw_Claims_Data!G497="D",1,0)</f>
        <v>0</v>
      </c>
    </row>
    <row r="499" spans="1:15" x14ac:dyDescent="0.35">
      <c r="A499" t="str">
        <f>Raw_Claims_Data!A498</f>
        <v>TXN00000495</v>
      </c>
      <c r="B499" t="str">
        <f>TRIM(Raw_Claims_Data!B498)</f>
        <v>Martha Varos</v>
      </c>
      <c r="C499" t="str">
        <f>Raw_Claims_Data!C498</f>
        <v>Life</v>
      </c>
      <c r="D499">
        <f>Raw_Claims_Data!D498</f>
        <v>79.459999999999994</v>
      </c>
      <c r="E499">
        <f>Raw_Claims_Data!E498</f>
        <v>45000</v>
      </c>
      <c r="F499" t="str">
        <f>Raw_Claims_Data!F498</f>
        <v>GA</v>
      </c>
      <c r="G499" t="str">
        <f>Raw_Claims_Data!G498</f>
        <v>A</v>
      </c>
      <c r="H499" t="str">
        <f>Raw_Claims_Data!H498</f>
        <v>Total Loss</v>
      </c>
      <c r="I499" t="str">
        <f>IF(Raw_Claims_Data!I498="","None",Raw_Claims_Data!I498)</f>
        <v>Ambulance</v>
      </c>
      <c r="J499" t="str">
        <f>Raw_Claims_Data!J498</f>
        <v>Montgomery</v>
      </c>
      <c r="K499" t="str">
        <f>Raw_Claims_Data!K498</f>
        <v>AL</v>
      </c>
      <c r="L499">
        <f>Raw_Claims_Data!L498</f>
        <v>16</v>
      </c>
      <c r="M499" t="str">
        <f>IF(Raw_Claims_Data!M498="","N/A",Raw_Claims_Data!M498)</f>
        <v>VNDR00416</v>
      </c>
      <c r="N499" t="str">
        <f>Raw_Claims_Data!N498</f>
        <v>AGENT01009</v>
      </c>
      <c r="O499">
        <f>IF(Raw_Claims_Data!G498="D",1,0)</f>
        <v>0</v>
      </c>
    </row>
    <row r="500" spans="1:15" x14ac:dyDescent="0.35">
      <c r="A500" t="str">
        <f>Raw_Claims_Data!A499</f>
        <v>TXN00000496</v>
      </c>
      <c r="B500" t="str">
        <f>TRIM(Raw_Claims_Data!B499)</f>
        <v>Gregory Taylor</v>
      </c>
      <c r="C500" t="str">
        <f>Raw_Claims_Data!C499</f>
        <v>Property</v>
      </c>
      <c r="D500">
        <f>Raw_Claims_Data!D499</f>
        <v>80.66</v>
      </c>
      <c r="E500">
        <f>Raw_Claims_Data!E499</f>
        <v>13000</v>
      </c>
      <c r="F500" t="str">
        <f>Raw_Claims_Data!F499</f>
        <v>CT</v>
      </c>
      <c r="G500" t="str">
        <f>Raw_Claims_Data!G499</f>
        <v>A</v>
      </c>
      <c r="H500" t="str">
        <f>Raw_Claims_Data!H499</f>
        <v>Major Loss</v>
      </c>
      <c r="I500" t="str">
        <f>IF(Raw_Claims_Data!I499="","None",Raw_Claims_Data!I499)</f>
        <v>None</v>
      </c>
      <c r="J500" t="str">
        <f>Raw_Claims_Data!J499</f>
        <v>Norman</v>
      </c>
      <c r="K500" t="str">
        <f>Raw_Claims_Data!K499</f>
        <v>OK</v>
      </c>
      <c r="L500">
        <f>Raw_Claims_Data!L499</f>
        <v>8</v>
      </c>
      <c r="M500" t="str">
        <f>IF(Raw_Claims_Data!M499="","N/A",Raw_Claims_Data!M499)</f>
        <v>VNDR00383</v>
      </c>
      <c r="N500" t="str">
        <f>Raw_Claims_Data!N499</f>
        <v>AGENT00920</v>
      </c>
      <c r="O500">
        <f>IF(Raw_Claims_Data!G499="D",1,0)</f>
        <v>0</v>
      </c>
    </row>
    <row r="501" spans="1:15" x14ac:dyDescent="0.35">
      <c r="A501" t="str">
        <f>Raw_Claims_Data!A500</f>
        <v>TXN00000497</v>
      </c>
      <c r="B501" t="str">
        <f>TRIM(Raw_Claims_Data!B500)</f>
        <v>Gustavo Krueger</v>
      </c>
      <c r="C501" t="str">
        <f>Raw_Claims_Data!C500</f>
        <v>Mobile</v>
      </c>
      <c r="D501">
        <f>Raw_Claims_Data!D500</f>
        <v>9.9600000000000009</v>
      </c>
      <c r="E501">
        <f>Raw_Claims_Data!E500</f>
        <v>100</v>
      </c>
      <c r="F501" t="str">
        <f>Raw_Claims_Data!F500</f>
        <v>GA</v>
      </c>
      <c r="G501" t="str">
        <f>Raw_Claims_Data!G500</f>
        <v>A</v>
      </c>
      <c r="H501" t="str">
        <f>Raw_Claims_Data!H500</f>
        <v>Major Loss</v>
      </c>
      <c r="I501" t="str">
        <f>IF(Raw_Claims_Data!I500="","None",Raw_Claims_Data!I500)</f>
        <v>Police</v>
      </c>
      <c r="J501" t="str">
        <f>Raw_Claims_Data!J500</f>
        <v>Nashville</v>
      </c>
      <c r="K501" t="str">
        <f>Raw_Claims_Data!K500</f>
        <v>TN</v>
      </c>
      <c r="L501">
        <f>Raw_Claims_Data!L500</f>
        <v>15</v>
      </c>
      <c r="M501" t="str">
        <f>IF(Raw_Claims_Data!M500="","N/A",Raw_Claims_Data!M500)</f>
        <v>N/A</v>
      </c>
      <c r="N501" t="str">
        <f>Raw_Claims_Data!N500</f>
        <v>AGENT00170</v>
      </c>
      <c r="O501">
        <f>IF(Raw_Claims_Data!G500="D",1,0)</f>
        <v>0</v>
      </c>
    </row>
    <row r="502" spans="1:15" x14ac:dyDescent="0.35">
      <c r="A502" t="str">
        <f>Raw_Claims_Data!A501</f>
        <v>TXN00000498</v>
      </c>
      <c r="B502" t="str">
        <f>TRIM(Raw_Claims_Data!B501)</f>
        <v>Maria Sims</v>
      </c>
      <c r="C502" t="str">
        <f>Raw_Claims_Data!C501</f>
        <v>Motor</v>
      </c>
      <c r="D502">
        <f>Raw_Claims_Data!D501</f>
        <v>133.61000000000001</v>
      </c>
      <c r="E502">
        <f>Raw_Claims_Data!E501</f>
        <v>3000</v>
      </c>
      <c r="F502" t="str">
        <f>Raw_Claims_Data!F501</f>
        <v>GA</v>
      </c>
      <c r="G502" t="str">
        <f>Raw_Claims_Data!G501</f>
        <v>D</v>
      </c>
      <c r="H502" t="str">
        <f>Raw_Claims_Data!H501</f>
        <v>Minor Loss</v>
      </c>
      <c r="I502" t="str">
        <f>IF(Raw_Claims_Data!I501="","None",Raw_Claims_Data!I501)</f>
        <v>Other</v>
      </c>
      <c r="J502" t="str">
        <f>Raw_Claims_Data!J501</f>
        <v>Louisville</v>
      </c>
      <c r="K502" t="str">
        <f>Raw_Claims_Data!K501</f>
        <v>KY</v>
      </c>
      <c r="L502">
        <f>Raw_Claims_Data!L501</f>
        <v>14</v>
      </c>
      <c r="M502" t="str">
        <f>IF(Raw_Claims_Data!M501="","N/A",Raw_Claims_Data!M501)</f>
        <v>VNDR00109</v>
      </c>
      <c r="N502" t="str">
        <f>Raw_Claims_Data!N501</f>
        <v>AGENT00170</v>
      </c>
      <c r="O502">
        <f>IF(Raw_Claims_Data!G501="D",1,0)</f>
        <v>1</v>
      </c>
    </row>
    <row r="503" spans="1:15" x14ac:dyDescent="0.35">
      <c r="A503" t="str">
        <f>Raw_Claims_Data!A502</f>
        <v>TXN00000499</v>
      </c>
      <c r="B503" t="str">
        <f>TRIM(Raw_Claims_Data!B502)</f>
        <v>Angelia Nettles</v>
      </c>
      <c r="C503" t="str">
        <f>Raw_Claims_Data!C502</f>
        <v>Property</v>
      </c>
      <c r="D503">
        <f>Raw_Claims_Data!D502</f>
        <v>120.97</v>
      </c>
      <c r="E503">
        <f>Raw_Claims_Data!E502</f>
        <v>26000</v>
      </c>
      <c r="F503" t="str">
        <f>Raw_Claims_Data!F502</f>
        <v>AR</v>
      </c>
      <c r="G503" t="str">
        <f>Raw_Claims_Data!G502</f>
        <v>A</v>
      </c>
      <c r="H503" t="str">
        <f>Raw_Claims_Data!H502</f>
        <v>Minor Loss</v>
      </c>
      <c r="I503" t="str">
        <f>IF(Raw_Claims_Data!I502="","None",Raw_Claims_Data!I502)</f>
        <v>None</v>
      </c>
      <c r="J503" t="str">
        <f>Raw_Claims_Data!J502</f>
        <v>Arvada</v>
      </c>
      <c r="K503" t="str">
        <f>Raw_Claims_Data!K502</f>
        <v>CO</v>
      </c>
      <c r="L503">
        <f>Raw_Claims_Data!L502</f>
        <v>16</v>
      </c>
      <c r="M503" t="str">
        <f>IF(Raw_Claims_Data!M502="","N/A",Raw_Claims_Data!M502)</f>
        <v>N/A</v>
      </c>
      <c r="N503" t="str">
        <f>Raw_Claims_Data!N502</f>
        <v>AGENT00877</v>
      </c>
      <c r="O503">
        <f>IF(Raw_Claims_Data!G502="D",1,0)</f>
        <v>0</v>
      </c>
    </row>
    <row r="504" spans="1:15" x14ac:dyDescent="0.35">
      <c r="A504" t="str">
        <f>Raw_Claims_Data!A503</f>
        <v>TXN00000500</v>
      </c>
      <c r="B504" t="str">
        <f>TRIM(Raw_Claims_Data!B503)</f>
        <v>Julius Morales</v>
      </c>
      <c r="C504" t="str">
        <f>Raw_Claims_Data!C503</f>
        <v>Life</v>
      </c>
      <c r="D504">
        <f>Raw_Claims_Data!D503</f>
        <v>91.63</v>
      </c>
      <c r="E504">
        <f>Raw_Claims_Data!E503</f>
        <v>22000</v>
      </c>
      <c r="F504" t="str">
        <f>Raw_Claims_Data!F503</f>
        <v>CT</v>
      </c>
      <c r="G504" t="str">
        <f>Raw_Claims_Data!G503</f>
        <v>A</v>
      </c>
      <c r="H504" t="str">
        <f>Raw_Claims_Data!H503</f>
        <v>Total Loss</v>
      </c>
      <c r="I504" t="str">
        <f>IF(Raw_Claims_Data!I503="","None",Raw_Claims_Data!I503)</f>
        <v>None</v>
      </c>
      <c r="J504" t="str">
        <f>Raw_Claims_Data!J503</f>
        <v>Union City</v>
      </c>
      <c r="K504" t="str">
        <f>Raw_Claims_Data!K503</f>
        <v>CA</v>
      </c>
      <c r="L504">
        <f>Raw_Claims_Data!L503</f>
        <v>6</v>
      </c>
      <c r="M504" t="str">
        <f>IF(Raw_Claims_Data!M503="","N/A",Raw_Claims_Data!M503)</f>
        <v>VNDR00176</v>
      </c>
      <c r="N504" t="str">
        <f>Raw_Claims_Data!N503</f>
        <v>AGENT00846</v>
      </c>
      <c r="O504">
        <f>IF(Raw_Claims_Data!G503="D",1,0)</f>
        <v>0</v>
      </c>
    </row>
    <row r="505" spans="1:15" x14ac:dyDescent="0.35">
      <c r="A505" t="str">
        <f>Raw_Claims_Data!A504</f>
        <v>TXN00000501</v>
      </c>
      <c r="B505" t="str">
        <f>TRIM(Raw_Claims_Data!B504)</f>
        <v>Ngoc Kotas</v>
      </c>
      <c r="C505" t="str">
        <f>Raw_Claims_Data!C504</f>
        <v>Motor</v>
      </c>
      <c r="D505">
        <f>Raw_Claims_Data!D504</f>
        <v>73.34</v>
      </c>
      <c r="E505">
        <f>Raw_Claims_Data!E504</f>
        <v>1000</v>
      </c>
      <c r="F505" t="str">
        <f>Raw_Claims_Data!F504</f>
        <v>AZ</v>
      </c>
      <c r="G505" t="str">
        <f>Raw_Claims_Data!G504</f>
        <v>A</v>
      </c>
      <c r="H505" t="str">
        <f>Raw_Claims_Data!H504</f>
        <v>Minor Loss</v>
      </c>
      <c r="I505" t="str">
        <f>IF(Raw_Claims_Data!I504="","None",Raw_Claims_Data!I504)</f>
        <v>Police</v>
      </c>
      <c r="J505" t="str">
        <f>Raw_Claims_Data!J504</f>
        <v>Montgomery</v>
      </c>
      <c r="K505" t="str">
        <f>Raw_Claims_Data!K504</f>
        <v>AL</v>
      </c>
      <c r="L505">
        <f>Raw_Claims_Data!L504</f>
        <v>7</v>
      </c>
      <c r="M505" t="str">
        <f>IF(Raw_Claims_Data!M504="","N/A",Raw_Claims_Data!M504)</f>
        <v>VNDR00368</v>
      </c>
      <c r="N505" t="str">
        <f>Raw_Claims_Data!N504</f>
        <v>AGENT00994</v>
      </c>
      <c r="O505">
        <f>IF(Raw_Claims_Data!G504="D",1,0)</f>
        <v>0</v>
      </c>
    </row>
    <row r="506" spans="1:15" x14ac:dyDescent="0.35">
      <c r="A506" t="str">
        <f>Raw_Claims_Data!A505</f>
        <v>TXN00000502</v>
      </c>
      <c r="B506" t="str">
        <f>TRIM(Raw_Claims_Data!B505)</f>
        <v>Carol Miller</v>
      </c>
      <c r="C506" t="str">
        <f>Raw_Claims_Data!C505</f>
        <v>Life</v>
      </c>
      <c r="D506">
        <f>Raw_Claims_Data!D505</f>
        <v>74.709999999999994</v>
      </c>
      <c r="E506">
        <f>Raw_Claims_Data!E505</f>
        <v>12000</v>
      </c>
      <c r="F506" t="str">
        <f>Raw_Claims_Data!F505</f>
        <v>TN</v>
      </c>
      <c r="G506" t="str">
        <f>Raw_Claims_Data!G505</f>
        <v>A</v>
      </c>
      <c r="H506" t="str">
        <f>Raw_Claims_Data!H505</f>
        <v>Major Loss</v>
      </c>
      <c r="I506" t="str">
        <f>IF(Raw_Claims_Data!I505="","None",Raw_Claims_Data!I505)</f>
        <v>Other</v>
      </c>
      <c r="J506" t="str">
        <f>Raw_Claims_Data!J505</f>
        <v>Norman</v>
      </c>
      <c r="K506" t="str">
        <f>Raw_Claims_Data!K505</f>
        <v>OK</v>
      </c>
      <c r="L506">
        <f>Raw_Claims_Data!L505</f>
        <v>19</v>
      </c>
      <c r="M506" t="str">
        <f>IF(Raw_Claims_Data!M505="","N/A",Raw_Claims_Data!M505)</f>
        <v>VNDR00029</v>
      </c>
      <c r="N506" t="str">
        <f>Raw_Claims_Data!N505</f>
        <v>AGENT00685</v>
      </c>
      <c r="O506">
        <f>IF(Raw_Claims_Data!G505="D",1,0)</f>
        <v>0</v>
      </c>
    </row>
    <row r="507" spans="1:15" x14ac:dyDescent="0.35">
      <c r="A507" t="str">
        <f>Raw_Claims_Data!A506</f>
        <v>TXN00000503</v>
      </c>
      <c r="B507" t="str">
        <f>TRIM(Raw_Claims_Data!B506)</f>
        <v>Sabrina Campos</v>
      </c>
      <c r="C507" t="str">
        <f>Raw_Claims_Data!C506</f>
        <v>Property</v>
      </c>
      <c r="D507">
        <f>Raw_Claims_Data!D506</f>
        <v>150.77000000000001</v>
      </c>
      <c r="E507">
        <f>Raw_Claims_Data!E506</f>
        <v>18000</v>
      </c>
      <c r="F507" t="str">
        <f>Raw_Claims_Data!F506</f>
        <v>FL</v>
      </c>
      <c r="G507" t="str">
        <f>Raw_Claims_Data!G506</f>
        <v>A</v>
      </c>
      <c r="H507" t="str">
        <f>Raw_Claims_Data!H506</f>
        <v>Total Loss</v>
      </c>
      <c r="I507" t="str">
        <f>IF(Raw_Claims_Data!I506="","None",Raw_Claims_Data!I506)</f>
        <v>None</v>
      </c>
      <c r="J507" t="str">
        <f>Raw_Claims_Data!J506</f>
        <v>Oakland</v>
      </c>
      <c r="K507" t="str">
        <f>Raw_Claims_Data!K506</f>
        <v>CA</v>
      </c>
      <c r="L507">
        <f>Raw_Claims_Data!L506</f>
        <v>6</v>
      </c>
      <c r="M507" t="str">
        <f>IF(Raw_Claims_Data!M506="","N/A",Raw_Claims_Data!M506)</f>
        <v>VNDR00152</v>
      </c>
      <c r="N507" t="str">
        <f>Raw_Claims_Data!N506</f>
        <v>AGENT00132</v>
      </c>
      <c r="O507">
        <f>IF(Raw_Claims_Data!G506="D",1,0)</f>
        <v>0</v>
      </c>
    </row>
    <row r="508" spans="1:15" x14ac:dyDescent="0.35">
      <c r="A508" t="str">
        <f>Raw_Claims_Data!A507</f>
        <v>TXN00000504</v>
      </c>
      <c r="B508" t="str">
        <f>TRIM(Raw_Claims_Data!B507)</f>
        <v>Frances Moore</v>
      </c>
      <c r="C508" t="str">
        <f>Raw_Claims_Data!C507</f>
        <v>Property</v>
      </c>
      <c r="D508">
        <f>Raw_Claims_Data!D507</f>
        <v>133.6</v>
      </c>
      <c r="E508">
        <f>Raw_Claims_Data!E507</f>
        <v>12000</v>
      </c>
      <c r="F508" t="str">
        <f>Raw_Claims_Data!F507</f>
        <v>AK</v>
      </c>
      <c r="G508" t="str">
        <f>Raw_Claims_Data!G507</f>
        <v>A</v>
      </c>
      <c r="H508" t="str">
        <f>Raw_Claims_Data!H507</f>
        <v>Major Loss</v>
      </c>
      <c r="I508" t="str">
        <f>IF(Raw_Claims_Data!I507="","None",Raw_Claims_Data!I507)</f>
        <v>Ambulance</v>
      </c>
      <c r="J508" t="str">
        <f>Raw_Claims_Data!J507</f>
        <v>Walpole</v>
      </c>
      <c r="K508" t="str">
        <f>Raw_Claims_Data!K507</f>
        <v>MA</v>
      </c>
      <c r="L508">
        <f>Raw_Claims_Data!L507</f>
        <v>5</v>
      </c>
      <c r="M508" t="str">
        <f>IF(Raw_Claims_Data!M507="","N/A",Raw_Claims_Data!M507)</f>
        <v>VNDR00484</v>
      </c>
      <c r="N508" t="str">
        <f>Raw_Claims_Data!N507</f>
        <v>AGENT01068</v>
      </c>
      <c r="O508">
        <f>IF(Raw_Claims_Data!G507="D",1,0)</f>
        <v>0</v>
      </c>
    </row>
    <row r="509" spans="1:15" x14ac:dyDescent="0.35">
      <c r="A509" t="str">
        <f>Raw_Claims_Data!A508</f>
        <v>TXN00000505</v>
      </c>
      <c r="B509" t="str">
        <f>TRIM(Raw_Claims_Data!B508)</f>
        <v>Bruce Weinstein</v>
      </c>
      <c r="C509" t="str">
        <f>Raw_Claims_Data!C508</f>
        <v>Health</v>
      </c>
      <c r="D509">
        <f>Raw_Claims_Data!D508</f>
        <v>130.06</v>
      </c>
      <c r="E509">
        <f>Raw_Claims_Data!E508</f>
        <v>17000</v>
      </c>
      <c r="F509" t="str">
        <f>Raw_Claims_Data!F508</f>
        <v>FL</v>
      </c>
      <c r="G509" t="str">
        <f>Raw_Claims_Data!G508</f>
        <v>A</v>
      </c>
      <c r="H509" t="str">
        <f>Raw_Claims_Data!H508</f>
        <v>Major Loss</v>
      </c>
      <c r="I509" t="str">
        <f>IF(Raw_Claims_Data!I508="","None",Raw_Claims_Data!I508)</f>
        <v>Ambulance</v>
      </c>
      <c r="J509" t="str">
        <f>Raw_Claims_Data!J508</f>
        <v>Fayetteville</v>
      </c>
      <c r="K509" t="str">
        <f>Raw_Claims_Data!K508</f>
        <v>AR</v>
      </c>
      <c r="L509">
        <f>Raw_Claims_Data!L508</f>
        <v>6</v>
      </c>
      <c r="M509" t="str">
        <f>IF(Raw_Claims_Data!M508="","N/A",Raw_Claims_Data!M508)</f>
        <v>N/A</v>
      </c>
      <c r="N509" t="str">
        <f>Raw_Claims_Data!N508</f>
        <v>AGENT01001</v>
      </c>
      <c r="O509">
        <f>IF(Raw_Claims_Data!G508="D",1,0)</f>
        <v>0</v>
      </c>
    </row>
    <row r="510" spans="1:15" x14ac:dyDescent="0.35">
      <c r="A510" t="str">
        <f>Raw_Claims_Data!A509</f>
        <v>TXN00000506</v>
      </c>
      <c r="B510" t="str">
        <f>TRIM(Raw_Claims_Data!B509)</f>
        <v>Arthur West</v>
      </c>
      <c r="C510" t="str">
        <f>Raw_Claims_Data!C509</f>
        <v>Life</v>
      </c>
      <c r="D510">
        <f>Raw_Claims_Data!D509</f>
        <v>68.89</v>
      </c>
      <c r="E510">
        <f>Raw_Claims_Data!E509</f>
        <v>86000</v>
      </c>
      <c r="F510" t="str">
        <f>Raw_Claims_Data!F509</f>
        <v>MA</v>
      </c>
      <c r="G510" t="str">
        <f>Raw_Claims_Data!G509</f>
        <v>A</v>
      </c>
      <c r="H510" t="str">
        <f>Raw_Claims_Data!H509</f>
        <v>Total Loss</v>
      </c>
      <c r="I510" t="str">
        <f>IF(Raw_Claims_Data!I509="","None",Raw_Claims_Data!I509)</f>
        <v>None</v>
      </c>
      <c r="J510" t="str">
        <f>Raw_Claims_Data!J509</f>
        <v>Glendale</v>
      </c>
      <c r="K510" t="str">
        <f>Raw_Claims_Data!K509</f>
        <v>AZ</v>
      </c>
      <c r="L510">
        <f>Raw_Claims_Data!L509</f>
        <v>10</v>
      </c>
      <c r="M510" t="str">
        <f>IF(Raw_Claims_Data!M509="","N/A",Raw_Claims_Data!M509)</f>
        <v>VNDR00445</v>
      </c>
      <c r="N510" t="str">
        <f>Raw_Claims_Data!N509</f>
        <v>AGENT00535</v>
      </c>
      <c r="O510">
        <f>IF(Raw_Claims_Data!G509="D",1,0)</f>
        <v>0</v>
      </c>
    </row>
    <row r="511" spans="1:15" x14ac:dyDescent="0.35">
      <c r="A511" t="str">
        <f>Raw_Claims_Data!A510</f>
        <v>TXN00000507</v>
      </c>
      <c r="B511" t="str">
        <f>TRIM(Raw_Claims_Data!B510)</f>
        <v>Walter Botti</v>
      </c>
      <c r="C511" t="str">
        <f>Raw_Claims_Data!C510</f>
        <v>Mobile</v>
      </c>
      <c r="D511">
        <f>Raw_Claims_Data!D510</f>
        <v>6.85</v>
      </c>
      <c r="E511">
        <f>Raw_Claims_Data!E510</f>
        <v>200</v>
      </c>
      <c r="F511" t="str">
        <f>Raw_Claims_Data!F510</f>
        <v>CA</v>
      </c>
      <c r="G511" t="str">
        <f>Raw_Claims_Data!G510</f>
        <v>A</v>
      </c>
      <c r="H511" t="str">
        <f>Raw_Claims_Data!H510</f>
        <v>Minor Loss</v>
      </c>
      <c r="I511" t="str">
        <f>IF(Raw_Claims_Data!I510="","None",Raw_Claims_Data!I510)</f>
        <v>Ambulance</v>
      </c>
      <c r="J511" t="str">
        <f>Raw_Claims_Data!J510</f>
        <v>Arvada</v>
      </c>
      <c r="K511" t="str">
        <f>Raw_Claims_Data!K510</f>
        <v>CO</v>
      </c>
      <c r="L511">
        <f>Raw_Claims_Data!L510</f>
        <v>8</v>
      </c>
      <c r="M511" t="str">
        <f>IF(Raw_Claims_Data!M510="","N/A",Raw_Claims_Data!M510)</f>
        <v>VNDR00206</v>
      </c>
      <c r="N511" t="str">
        <f>Raw_Claims_Data!N510</f>
        <v>AGENT00490</v>
      </c>
      <c r="O511">
        <f>IF(Raw_Claims_Data!G510="D",1,0)</f>
        <v>0</v>
      </c>
    </row>
    <row r="512" spans="1:15" x14ac:dyDescent="0.35">
      <c r="A512" t="str">
        <f>Raw_Claims_Data!A511</f>
        <v>TXN00000508</v>
      </c>
      <c r="B512" t="str">
        <f>TRIM(Raw_Claims_Data!B511)</f>
        <v>Anna Alba</v>
      </c>
      <c r="C512" t="str">
        <f>Raw_Claims_Data!C511</f>
        <v>Mobile</v>
      </c>
      <c r="D512">
        <f>Raw_Claims_Data!D511</f>
        <v>9.34</v>
      </c>
      <c r="E512">
        <f>Raw_Claims_Data!E511</f>
        <v>200</v>
      </c>
      <c r="F512" t="str">
        <f>Raw_Claims_Data!F511</f>
        <v>AR</v>
      </c>
      <c r="G512" t="str">
        <f>Raw_Claims_Data!G511</f>
        <v>A</v>
      </c>
      <c r="H512" t="str">
        <f>Raw_Claims_Data!H511</f>
        <v>Total Loss</v>
      </c>
      <c r="I512" t="str">
        <f>IF(Raw_Claims_Data!I511="","None",Raw_Claims_Data!I511)</f>
        <v>Police</v>
      </c>
      <c r="J512" t="str">
        <f>Raw_Claims_Data!J511</f>
        <v>Williston</v>
      </c>
      <c r="K512" t="str">
        <f>Raw_Claims_Data!K511</f>
        <v>VT</v>
      </c>
      <c r="L512">
        <f>Raw_Claims_Data!L511</f>
        <v>1</v>
      </c>
      <c r="M512" t="str">
        <f>IF(Raw_Claims_Data!M511="","N/A",Raw_Claims_Data!M511)</f>
        <v>N/A</v>
      </c>
      <c r="N512" t="str">
        <f>Raw_Claims_Data!N511</f>
        <v>AGENT00565</v>
      </c>
      <c r="O512">
        <f>IF(Raw_Claims_Data!G511="D",1,0)</f>
        <v>0</v>
      </c>
    </row>
    <row r="513" spans="1:15" x14ac:dyDescent="0.35">
      <c r="A513" t="str">
        <f>Raw_Claims_Data!A512</f>
        <v>TXN00000509</v>
      </c>
      <c r="B513" t="str">
        <f>TRIM(Raw_Claims_Data!B512)</f>
        <v>Diane Fairley</v>
      </c>
      <c r="C513" t="str">
        <f>Raw_Claims_Data!C512</f>
        <v>Motor</v>
      </c>
      <c r="D513">
        <f>Raw_Claims_Data!D512</f>
        <v>129.38</v>
      </c>
      <c r="E513">
        <f>Raw_Claims_Data!E512</f>
        <v>2000</v>
      </c>
      <c r="F513" t="str">
        <f>Raw_Claims_Data!F512</f>
        <v>VT</v>
      </c>
      <c r="G513" t="str">
        <f>Raw_Claims_Data!G512</f>
        <v>A</v>
      </c>
      <c r="H513" t="str">
        <f>Raw_Claims_Data!H512</f>
        <v>Major Loss</v>
      </c>
      <c r="I513" t="str">
        <f>IF(Raw_Claims_Data!I512="","None",Raw_Claims_Data!I512)</f>
        <v>Ambulance</v>
      </c>
      <c r="J513" t="str">
        <f>Raw_Claims_Data!J512</f>
        <v>Edmond</v>
      </c>
      <c r="K513" t="str">
        <f>Raw_Claims_Data!K512</f>
        <v>OK</v>
      </c>
      <c r="L513">
        <f>Raw_Claims_Data!L512</f>
        <v>19</v>
      </c>
      <c r="M513" t="str">
        <f>IF(Raw_Claims_Data!M512="","N/A",Raw_Claims_Data!M512)</f>
        <v>VNDR00248</v>
      </c>
      <c r="N513" t="str">
        <f>Raw_Claims_Data!N512</f>
        <v>AGENT00021</v>
      </c>
      <c r="O513">
        <f>IF(Raw_Claims_Data!G512="D",1,0)</f>
        <v>0</v>
      </c>
    </row>
    <row r="514" spans="1:15" x14ac:dyDescent="0.35">
      <c r="A514" t="str">
        <f>Raw_Claims_Data!A513</f>
        <v>TXN00000510</v>
      </c>
      <c r="B514" t="str">
        <f>TRIM(Raw_Claims_Data!B513)</f>
        <v>Joseph Smith</v>
      </c>
      <c r="C514" t="str">
        <f>Raw_Claims_Data!C513</f>
        <v>Mobile</v>
      </c>
      <c r="D514">
        <f>Raw_Claims_Data!D513</f>
        <v>9.39</v>
      </c>
      <c r="E514">
        <f>Raw_Claims_Data!E513</f>
        <v>600</v>
      </c>
      <c r="F514" t="str">
        <f>Raw_Claims_Data!F513</f>
        <v>CA</v>
      </c>
      <c r="G514" t="str">
        <f>Raw_Claims_Data!G513</f>
        <v>A</v>
      </c>
      <c r="H514" t="str">
        <f>Raw_Claims_Data!H513</f>
        <v>Major Loss</v>
      </c>
      <c r="I514" t="str">
        <f>IF(Raw_Claims_Data!I513="","None",Raw_Claims_Data!I513)</f>
        <v>Ambulance</v>
      </c>
      <c r="J514" t="str">
        <f>Raw_Claims_Data!J513</f>
        <v>Manchester</v>
      </c>
      <c r="K514" t="str">
        <f>Raw_Claims_Data!K513</f>
        <v>CT</v>
      </c>
      <c r="L514">
        <f>Raw_Claims_Data!L513</f>
        <v>17</v>
      </c>
      <c r="M514" t="str">
        <f>IF(Raw_Claims_Data!M513="","N/A",Raw_Claims_Data!M513)</f>
        <v>N/A</v>
      </c>
      <c r="N514" t="str">
        <f>Raw_Claims_Data!N513</f>
        <v>AGENT00712</v>
      </c>
      <c r="O514">
        <f>IF(Raw_Claims_Data!G513="D",1,0)</f>
        <v>0</v>
      </c>
    </row>
    <row r="515" spans="1:15" x14ac:dyDescent="0.35">
      <c r="A515" t="str">
        <f>Raw_Claims_Data!A514</f>
        <v>TXN00000511</v>
      </c>
      <c r="B515" t="str">
        <f>TRIM(Raw_Claims_Data!B514)</f>
        <v>Mary Stewart</v>
      </c>
      <c r="C515" t="str">
        <f>Raw_Claims_Data!C514</f>
        <v>Travel</v>
      </c>
      <c r="D515">
        <f>Raw_Claims_Data!D514</f>
        <v>69.239999999999995</v>
      </c>
      <c r="E515">
        <f>Raw_Claims_Data!E514</f>
        <v>3000</v>
      </c>
      <c r="F515" t="str">
        <f>Raw_Claims_Data!F514</f>
        <v>VT</v>
      </c>
      <c r="G515" t="str">
        <f>Raw_Claims_Data!G514</f>
        <v>A</v>
      </c>
      <c r="H515" t="str">
        <f>Raw_Claims_Data!H514</f>
        <v>Minor Loss</v>
      </c>
      <c r="I515" t="str">
        <f>IF(Raw_Claims_Data!I514="","None",Raw_Claims_Data!I514)</f>
        <v>None</v>
      </c>
      <c r="J515" t="str">
        <f>Raw_Claims_Data!J514</f>
        <v>Oklahoma City</v>
      </c>
      <c r="K515" t="str">
        <f>Raw_Claims_Data!K514</f>
        <v>OK</v>
      </c>
      <c r="L515">
        <f>Raw_Claims_Data!L514</f>
        <v>10</v>
      </c>
      <c r="M515" t="str">
        <f>IF(Raw_Claims_Data!M514="","N/A",Raw_Claims_Data!M514)</f>
        <v>VNDR00319</v>
      </c>
      <c r="N515" t="str">
        <f>Raw_Claims_Data!N514</f>
        <v>AGENT00333</v>
      </c>
      <c r="O515">
        <f>IF(Raw_Claims_Data!G514="D",1,0)</f>
        <v>0</v>
      </c>
    </row>
    <row r="516" spans="1:15" x14ac:dyDescent="0.35">
      <c r="A516" t="str">
        <f>Raw_Claims_Data!A515</f>
        <v>TXN00000512</v>
      </c>
      <c r="B516" t="str">
        <f>TRIM(Raw_Claims_Data!B515)</f>
        <v>Michael Certain</v>
      </c>
      <c r="C516" t="str">
        <f>Raw_Claims_Data!C515</f>
        <v>Motor</v>
      </c>
      <c r="D516">
        <f>Raw_Claims_Data!D515</f>
        <v>131.11000000000001</v>
      </c>
      <c r="E516">
        <f>Raw_Claims_Data!E515</f>
        <v>5000</v>
      </c>
      <c r="F516" t="str">
        <f>Raw_Claims_Data!F515</f>
        <v>KY</v>
      </c>
      <c r="G516" t="str">
        <f>Raw_Claims_Data!G515</f>
        <v>A</v>
      </c>
      <c r="H516" t="str">
        <f>Raw_Claims_Data!H515</f>
        <v>Total Loss</v>
      </c>
      <c r="I516" t="str">
        <f>IF(Raw_Claims_Data!I515="","None",Raw_Claims_Data!I515)</f>
        <v>Police</v>
      </c>
      <c r="J516" t="str">
        <f>Raw_Claims_Data!J515</f>
        <v>Poultney</v>
      </c>
      <c r="K516" t="str">
        <f>Raw_Claims_Data!K515</f>
        <v>VT</v>
      </c>
      <c r="L516">
        <f>Raw_Claims_Data!L515</f>
        <v>4</v>
      </c>
      <c r="M516" t="str">
        <f>IF(Raw_Claims_Data!M515="","N/A",Raw_Claims_Data!M515)</f>
        <v>N/A</v>
      </c>
      <c r="N516" t="str">
        <f>Raw_Claims_Data!N515</f>
        <v>AGENT00586</v>
      </c>
      <c r="O516">
        <f>IF(Raw_Claims_Data!G515="D",1,0)</f>
        <v>0</v>
      </c>
    </row>
    <row r="517" spans="1:15" x14ac:dyDescent="0.35">
      <c r="A517" t="str">
        <f>Raw_Claims_Data!A516</f>
        <v>TXN00000513</v>
      </c>
      <c r="B517" t="str">
        <f>TRIM(Raw_Claims_Data!B516)</f>
        <v>Jeff Nieto</v>
      </c>
      <c r="C517" t="str">
        <f>Raw_Claims_Data!C516</f>
        <v>Travel</v>
      </c>
      <c r="D517">
        <f>Raw_Claims_Data!D516</f>
        <v>98.58</v>
      </c>
      <c r="E517">
        <f>Raw_Claims_Data!E516</f>
        <v>5000</v>
      </c>
      <c r="F517" t="str">
        <f>Raw_Claims_Data!F516</f>
        <v>GA</v>
      </c>
      <c r="G517" t="str">
        <f>Raw_Claims_Data!G516</f>
        <v>A</v>
      </c>
      <c r="H517" t="str">
        <f>Raw_Claims_Data!H516</f>
        <v>Minor Loss</v>
      </c>
      <c r="I517" t="str">
        <f>IF(Raw_Claims_Data!I516="","None",Raw_Claims_Data!I516)</f>
        <v>Ambulance</v>
      </c>
      <c r="J517" t="str">
        <f>Raw_Claims_Data!J516</f>
        <v>Fayetteville</v>
      </c>
      <c r="K517" t="str">
        <f>Raw_Claims_Data!K516</f>
        <v>AR</v>
      </c>
      <c r="L517">
        <f>Raw_Claims_Data!L516</f>
        <v>22</v>
      </c>
      <c r="M517" t="str">
        <f>IF(Raw_Claims_Data!M516="","N/A",Raw_Claims_Data!M516)</f>
        <v>VNDR00001</v>
      </c>
      <c r="N517" t="str">
        <f>Raw_Claims_Data!N516</f>
        <v>AGENT00689</v>
      </c>
      <c r="O517">
        <f>IF(Raw_Claims_Data!G516="D",1,0)</f>
        <v>0</v>
      </c>
    </row>
    <row r="518" spans="1:15" x14ac:dyDescent="0.35">
      <c r="A518" t="str">
        <f>Raw_Claims_Data!A517</f>
        <v>TXN00000514</v>
      </c>
      <c r="B518" t="str">
        <f>TRIM(Raw_Claims_Data!B517)</f>
        <v>Marge Kelly</v>
      </c>
      <c r="C518" t="str">
        <f>Raw_Claims_Data!C517</f>
        <v>Travel</v>
      </c>
      <c r="D518">
        <f>Raw_Claims_Data!D517</f>
        <v>70.77</v>
      </c>
      <c r="E518">
        <f>Raw_Claims_Data!E517</f>
        <v>1000</v>
      </c>
      <c r="F518" t="str">
        <f>Raw_Claims_Data!F517</f>
        <v>FL</v>
      </c>
      <c r="G518" t="str">
        <f>Raw_Claims_Data!G517</f>
        <v>A</v>
      </c>
      <c r="H518" t="str">
        <f>Raw_Claims_Data!H517</f>
        <v>Major Loss</v>
      </c>
      <c r="I518" t="str">
        <f>IF(Raw_Claims_Data!I517="","None",Raw_Claims_Data!I517)</f>
        <v>Ambulance</v>
      </c>
      <c r="J518" t="str">
        <f>Raw_Claims_Data!J517</f>
        <v>Manchester</v>
      </c>
      <c r="K518" t="str">
        <f>Raw_Claims_Data!K517</f>
        <v>CT</v>
      </c>
      <c r="L518">
        <f>Raw_Claims_Data!L517</f>
        <v>13</v>
      </c>
      <c r="M518" t="str">
        <f>IF(Raw_Claims_Data!M517="","N/A",Raw_Claims_Data!M517)</f>
        <v>N/A</v>
      </c>
      <c r="N518" t="str">
        <f>Raw_Claims_Data!N517</f>
        <v>AGENT00781</v>
      </c>
      <c r="O518">
        <f>IF(Raw_Claims_Data!G517="D",1,0)</f>
        <v>0</v>
      </c>
    </row>
    <row r="519" spans="1:15" x14ac:dyDescent="0.35">
      <c r="A519" t="str">
        <f>Raw_Claims_Data!A518</f>
        <v>TXN00000515</v>
      </c>
      <c r="B519" t="str">
        <f>TRIM(Raw_Claims_Data!B518)</f>
        <v>Katherine Metzler</v>
      </c>
      <c r="C519" t="str">
        <f>Raw_Claims_Data!C518</f>
        <v>Travel</v>
      </c>
      <c r="D519">
        <f>Raw_Claims_Data!D518</f>
        <v>79.59</v>
      </c>
      <c r="E519">
        <f>Raw_Claims_Data!E518</f>
        <v>5000</v>
      </c>
      <c r="F519" t="str">
        <f>Raw_Claims_Data!F518</f>
        <v>AR</v>
      </c>
      <c r="G519" t="str">
        <f>Raw_Claims_Data!G518</f>
        <v>A</v>
      </c>
      <c r="H519" t="str">
        <f>Raw_Claims_Data!H518</f>
        <v>Total Loss</v>
      </c>
      <c r="I519" t="str">
        <f>IF(Raw_Claims_Data!I518="","None",Raw_Claims_Data!I518)</f>
        <v>Ambulance</v>
      </c>
      <c r="J519" t="str">
        <f>Raw_Claims_Data!J518</f>
        <v>Glendale</v>
      </c>
      <c r="K519" t="str">
        <f>Raw_Claims_Data!K518</f>
        <v>AZ</v>
      </c>
      <c r="L519">
        <f>Raw_Claims_Data!L518</f>
        <v>12</v>
      </c>
      <c r="M519" t="str">
        <f>IF(Raw_Claims_Data!M518="","N/A",Raw_Claims_Data!M518)</f>
        <v>VNDR00378</v>
      </c>
      <c r="N519" t="str">
        <f>Raw_Claims_Data!N518</f>
        <v>AGENT00723</v>
      </c>
      <c r="O519">
        <f>IF(Raw_Claims_Data!G518="D",1,0)</f>
        <v>0</v>
      </c>
    </row>
    <row r="520" spans="1:15" x14ac:dyDescent="0.35">
      <c r="A520" t="str">
        <f>Raw_Claims_Data!A519</f>
        <v>TXN00000516</v>
      </c>
      <c r="B520" t="str">
        <f>TRIM(Raw_Claims_Data!B519)</f>
        <v>Margaret Cropper</v>
      </c>
      <c r="C520" t="str">
        <f>Raw_Claims_Data!C519</f>
        <v>Mobile</v>
      </c>
      <c r="D520">
        <f>Raw_Claims_Data!D519</f>
        <v>7.09</v>
      </c>
      <c r="E520">
        <f>Raw_Claims_Data!E519</f>
        <v>400</v>
      </c>
      <c r="F520" t="str">
        <f>Raw_Claims_Data!F519</f>
        <v>CA</v>
      </c>
      <c r="G520" t="str">
        <f>Raw_Claims_Data!G519</f>
        <v>A</v>
      </c>
      <c r="H520" t="str">
        <f>Raw_Claims_Data!H519</f>
        <v>Minor Loss</v>
      </c>
      <c r="I520" t="str">
        <f>IF(Raw_Claims_Data!I519="","None",Raw_Claims_Data!I519)</f>
        <v>Police</v>
      </c>
      <c r="J520" t="str">
        <f>Raw_Claims_Data!J519</f>
        <v>Anchorage</v>
      </c>
      <c r="K520" t="str">
        <f>Raw_Claims_Data!K519</f>
        <v>AK</v>
      </c>
      <c r="L520">
        <f>Raw_Claims_Data!L519</f>
        <v>20</v>
      </c>
      <c r="M520" t="str">
        <f>IF(Raw_Claims_Data!M519="","N/A",Raw_Claims_Data!M519)</f>
        <v>N/A</v>
      </c>
      <c r="N520" t="str">
        <f>Raw_Claims_Data!N519</f>
        <v>AGENT00940</v>
      </c>
      <c r="O520">
        <f>IF(Raw_Claims_Data!G519="D",1,0)</f>
        <v>0</v>
      </c>
    </row>
    <row r="521" spans="1:15" x14ac:dyDescent="0.35">
      <c r="A521" t="str">
        <f>Raw_Claims_Data!A520</f>
        <v>TXN00000517</v>
      </c>
      <c r="B521" t="str">
        <f>TRIM(Raw_Claims_Data!B520)</f>
        <v>Elias Bishop</v>
      </c>
      <c r="C521" t="str">
        <f>Raw_Claims_Data!C520</f>
        <v>Health</v>
      </c>
      <c r="D521">
        <f>Raw_Claims_Data!D520</f>
        <v>187.29</v>
      </c>
      <c r="E521">
        <f>Raw_Claims_Data!E520</f>
        <v>9000</v>
      </c>
      <c r="F521" t="str">
        <f>Raw_Claims_Data!F520</f>
        <v>MA</v>
      </c>
      <c r="G521" t="str">
        <f>Raw_Claims_Data!G520</f>
        <v>A</v>
      </c>
      <c r="H521" t="str">
        <f>Raw_Claims_Data!H520</f>
        <v>Major Loss</v>
      </c>
      <c r="I521" t="str">
        <f>IF(Raw_Claims_Data!I520="","None",Raw_Claims_Data!I520)</f>
        <v>Ambulance</v>
      </c>
      <c r="J521" t="str">
        <f>Raw_Claims_Data!J520</f>
        <v>Arvada</v>
      </c>
      <c r="K521" t="str">
        <f>Raw_Claims_Data!K520</f>
        <v>CO</v>
      </c>
      <c r="L521">
        <f>Raw_Claims_Data!L520</f>
        <v>10</v>
      </c>
      <c r="M521" t="str">
        <f>IF(Raw_Claims_Data!M520="","N/A",Raw_Claims_Data!M520)</f>
        <v>VNDR00163</v>
      </c>
      <c r="N521" t="str">
        <f>Raw_Claims_Data!N520</f>
        <v>AGENT00669</v>
      </c>
      <c r="O521">
        <f>IF(Raw_Claims_Data!G520="D",1,0)</f>
        <v>0</v>
      </c>
    </row>
    <row r="522" spans="1:15" x14ac:dyDescent="0.35">
      <c r="A522" t="str">
        <f>Raw_Claims_Data!A521</f>
        <v>TXN00000518</v>
      </c>
      <c r="B522" t="str">
        <f>TRIM(Raw_Claims_Data!B521)</f>
        <v>Courtney Mills</v>
      </c>
      <c r="C522" t="str">
        <f>Raw_Claims_Data!C521</f>
        <v>Life</v>
      </c>
      <c r="D522">
        <f>Raw_Claims_Data!D521</f>
        <v>69.39</v>
      </c>
      <c r="E522">
        <f>Raw_Claims_Data!E521</f>
        <v>89000</v>
      </c>
      <c r="F522" t="str">
        <f>Raw_Claims_Data!F521</f>
        <v>VT</v>
      </c>
      <c r="G522" t="str">
        <f>Raw_Claims_Data!G521</f>
        <v>D</v>
      </c>
      <c r="H522" t="str">
        <f>Raw_Claims_Data!H521</f>
        <v>Major Loss</v>
      </c>
      <c r="I522" t="str">
        <f>IF(Raw_Claims_Data!I521="","None",Raw_Claims_Data!I521)</f>
        <v>Ambulance</v>
      </c>
      <c r="J522" t="str">
        <f>Raw_Claims_Data!J521</f>
        <v>Anchorage</v>
      </c>
      <c r="K522" t="str">
        <f>Raw_Claims_Data!K521</f>
        <v>AK</v>
      </c>
      <c r="L522">
        <f>Raw_Claims_Data!L521</f>
        <v>5</v>
      </c>
      <c r="M522" t="str">
        <f>IF(Raw_Claims_Data!M521="","N/A",Raw_Claims_Data!M521)</f>
        <v>N/A</v>
      </c>
      <c r="N522" t="str">
        <f>Raw_Claims_Data!N521</f>
        <v>AGENT00124</v>
      </c>
      <c r="O522">
        <f>IF(Raw_Claims_Data!G521="D",1,0)</f>
        <v>1</v>
      </c>
    </row>
    <row r="523" spans="1:15" x14ac:dyDescent="0.35">
      <c r="A523" t="str">
        <f>Raw_Claims_Data!A522</f>
        <v>TXN00000519</v>
      </c>
      <c r="B523" t="str">
        <f>TRIM(Raw_Claims_Data!B522)</f>
        <v>Barbara Arwood</v>
      </c>
      <c r="C523" t="str">
        <f>Raw_Claims_Data!C522</f>
        <v>Health</v>
      </c>
      <c r="D523">
        <f>Raw_Claims_Data!D522</f>
        <v>115.94</v>
      </c>
      <c r="E523">
        <f>Raw_Claims_Data!E522</f>
        <v>10000</v>
      </c>
      <c r="F523" t="str">
        <f>Raw_Claims_Data!F522</f>
        <v>GA</v>
      </c>
      <c r="G523" t="str">
        <f>Raw_Claims_Data!G522</f>
        <v>A</v>
      </c>
      <c r="H523" t="str">
        <f>Raw_Claims_Data!H522</f>
        <v>Total Loss</v>
      </c>
      <c r="I523" t="str">
        <f>IF(Raw_Claims_Data!I522="","None",Raw_Claims_Data!I522)</f>
        <v>Ambulance</v>
      </c>
      <c r="J523" t="str">
        <f>Raw_Claims_Data!J522</f>
        <v>Anchorage</v>
      </c>
      <c r="K523" t="str">
        <f>Raw_Claims_Data!K522</f>
        <v>AK</v>
      </c>
      <c r="L523">
        <f>Raw_Claims_Data!L522</f>
        <v>7</v>
      </c>
      <c r="M523" t="str">
        <f>IF(Raw_Claims_Data!M522="","N/A",Raw_Claims_Data!M522)</f>
        <v>N/A</v>
      </c>
      <c r="N523" t="str">
        <f>Raw_Claims_Data!N522</f>
        <v>AGENT00713</v>
      </c>
      <c r="O523">
        <f>IF(Raw_Claims_Data!G522="D",1,0)</f>
        <v>0</v>
      </c>
    </row>
    <row r="524" spans="1:15" x14ac:dyDescent="0.35">
      <c r="A524" t="str">
        <f>Raw_Claims_Data!A523</f>
        <v>TXN00000520</v>
      </c>
      <c r="B524" t="str">
        <f>TRIM(Raw_Claims_Data!B523)</f>
        <v>Bruce Schecter</v>
      </c>
      <c r="C524" t="str">
        <f>Raw_Claims_Data!C523</f>
        <v>Mobile</v>
      </c>
      <c r="D524">
        <f>Raw_Claims_Data!D523</f>
        <v>7.09</v>
      </c>
      <c r="E524">
        <f>Raw_Claims_Data!E523</f>
        <v>100</v>
      </c>
      <c r="F524" t="str">
        <f>Raw_Claims_Data!F523</f>
        <v>CA</v>
      </c>
      <c r="G524" t="str">
        <f>Raw_Claims_Data!G523</f>
        <v>A</v>
      </c>
      <c r="H524" t="str">
        <f>Raw_Claims_Data!H523</f>
        <v>Minor Loss</v>
      </c>
      <c r="I524" t="str">
        <f>IF(Raw_Claims_Data!I523="","None",Raw_Claims_Data!I523)</f>
        <v>Ambulance</v>
      </c>
      <c r="J524" t="str">
        <f>Raw_Claims_Data!J523</f>
        <v>Fayetteville</v>
      </c>
      <c r="K524" t="str">
        <f>Raw_Claims_Data!K523</f>
        <v>AR</v>
      </c>
      <c r="L524">
        <f>Raw_Claims_Data!L523</f>
        <v>12</v>
      </c>
      <c r="M524" t="str">
        <f>IF(Raw_Claims_Data!M523="","N/A",Raw_Claims_Data!M523)</f>
        <v>VNDR00415</v>
      </c>
      <c r="N524" t="str">
        <f>Raw_Claims_Data!N523</f>
        <v>AGENT00100</v>
      </c>
      <c r="O524">
        <f>IF(Raw_Claims_Data!G523="D",1,0)</f>
        <v>0</v>
      </c>
    </row>
    <row r="525" spans="1:15" x14ac:dyDescent="0.35">
      <c r="A525" t="str">
        <f>Raw_Claims_Data!A524</f>
        <v>TXN00000521</v>
      </c>
      <c r="B525" t="str">
        <f>TRIM(Raw_Claims_Data!B524)</f>
        <v>Alex Kendra</v>
      </c>
      <c r="C525" t="str">
        <f>Raw_Claims_Data!C524</f>
        <v>Mobile</v>
      </c>
      <c r="D525">
        <f>Raw_Claims_Data!D524</f>
        <v>6.89</v>
      </c>
      <c r="E525">
        <f>Raw_Claims_Data!E524</f>
        <v>100</v>
      </c>
      <c r="F525" t="str">
        <f>Raw_Claims_Data!F524</f>
        <v>OK</v>
      </c>
      <c r="G525" t="str">
        <f>Raw_Claims_Data!G524</f>
        <v>A</v>
      </c>
      <c r="H525" t="str">
        <f>Raw_Claims_Data!H524</f>
        <v>Total Loss</v>
      </c>
      <c r="I525" t="str">
        <f>IF(Raw_Claims_Data!I524="","None",Raw_Claims_Data!I524)</f>
        <v>Police</v>
      </c>
      <c r="J525" t="str">
        <f>Raw_Claims_Data!J524</f>
        <v>Washington</v>
      </c>
      <c r="K525" t="str">
        <f>Raw_Claims_Data!K524</f>
        <v>DC</v>
      </c>
      <c r="L525">
        <f>Raw_Claims_Data!L524</f>
        <v>9</v>
      </c>
      <c r="M525" t="str">
        <f>IF(Raw_Claims_Data!M524="","N/A",Raw_Claims_Data!M524)</f>
        <v>N/A</v>
      </c>
      <c r="N525" t="str">
        <f>Raw_Claims_Data!N524</f>
        <v>AGENT00990</v>
      </c>
      <c r="O525">
        <f>IF(Raw_Claims_Data!G524="D",1,0)</f>
        <v>0</v>
      </c>
    </row>
    <row r="526" spans="1:15" x14ac:dyDescent="0.35">
      <c r="A526" t="str">
        <f>Raw_Claims_Data!A525</f>
        <v>TXN00000522</v>
      </c>
      <c r="B526" t="str">
        <f>TRIM(Raw_Claims_Data!B525)</f>
        <v>Willie Robison</v>
      </c>
      <c r="C526" t="str">
        <f>Raw_Claims_Data!C525</f>
        <v>Motor</v>
      </c>
      <c r="D526">
        <f>Raw_Claims_Data!D525</f>
        <v>132.66</v>
      </c>
      <c r="E526">
        <f>Raw_Claims_Data!E525</f>
        <v>9000</v>
      </c>
      <c r="F526" t="str">
        <f>Raw_Claims_Data!F525</f>
        <v>CA</v>
      </c>
      <c r="G526" t="str">
        <f>Raw_Claims_Data!G525</f>
        <v>A</v>
      </c>
      <c r="H526" t="str">
        <f>Raw_Claims_Data!H525</f>
        <v>Total Loss</v>
      </c>
      <c r="I526" t="str">
        <f>IF(Raw_Claims_Data!I525="","None",Raw_Claims_Data!I525)</f>
        <v>None</v>
      </c>
      <c r="J526" t="str">
        <f>Raw_Claims_Data!J525</f>
        <v>Glendale</v>
      </c>
      <c r="K526" t="str">
        <f>Raw_Claims_Data!K525</f>
        <v>AZ</v>
      </c>
      <c r="L526">
        <f>Raw_Claims_Data!L525</f>
        <v>3</v>
      </c>
      <c r="M526" t="str">
        <f>IF(Raw_Claims_Data!M525="","N/A",Raw_Claims_Data!M525)</f>
        <v>VNDR00168</v>
      </c>
      <c r="N526" t="str">
        <f>Raw_Claims_Data!N525</f>
        <v>AGENT00861</v>
      </c>
      <c r="O526">
        <f>IF(Raw_Claims_Data!G525="D",1,0)</f>
        <v>0</v>
      </c>
    </row>
    <row r="527" spans="1:15" x14ac:dyDescent="0.35">
      <c r="A527" t="str">
        <f>Raw_Claims_Data!A526</f>
        <v>TXN00000523</v>
      </c>
      <c r="B527" t="str">
        <f>TRIM(Raw_Claims_Data!B526)</f>
        <v>William Kelley</v>
      </c>
      <c r="C527" t="str">
        <f>Raw_Claims_Data!C526</f>
        <v>Property</v>
      </c>
      <c r="D527">
        <f>Raw_Claims_Data!D526</f>
        <v>129.13</v>
      </c>
      <c r="E527">
        <f>Raw_Claims_Data!E526</f>
        <v>10000</v>
      </c>
      <c r="F527" t="str">
        <f>Raw_Claims_Data!F526</f>
        <v>VT</v>
      </c>
      <c r="G527" t="str">
        <f>Raw_Claims_Data!G526</f>
        <v>A</v>
      </c>
      <c r="H527" t="str">
        <f>Raw_Claims_Data!H526</f>
        <v>Major Loss</v>
      </c>
      <c r="I527" t="str">
        <f>IF(Raw_Claims_Data!I526="","None",Raw_Claims_Data!I526)</f>
        <v>Police</v>
      </c>
      <c r="J527" t="str">
        <f>Raw_Claims_Data!J526</f>
        <v>Arnold</v>
      </c>
      <c r="K527" t="str">
        <f>Raw_Claims_Data!K526</f>
        <v>MD</v>
      </c>
      <c r="L527">
        <f>Raw_Claims_Data!L526</f>
        <v>2</v>
      </c>
      <c r="M527" t="str">
        <f>IF(Raw_Claims_Data!M526="","N/A",Raw_Claims_Data!M526)</f>
        <v>VNDR00448</v>
      </c>
      <c r="N527" t="str">
        <f>Raw_Claims_Data!N526</f>
        <v>AGENT00583</v>
      </c>
      <c r="O527">
        <f>IF(Raw_Claims_Data!G526="D",1,0)</f>
        <v>0</v>
      </c>
    </row>
    <row r="528" spans="1:15" x14ac:dyDescent="0.35">
      <c r="A528" t="str">
        <f>Raw_Claims_Data!A527</f>
        <v>TXN00000524</v>
      </c>
      <c r="B528" t="str">
        <f>TRIM(Raw_Claims_Data!B527)</f>
        <v>Laurie Aikens</v>
      </c>
      <c r="C528" t="str">
        <f>Raw_Claims_Data!C527</f>
        <v>Health</v>
      </c>
      <c r="D528">
        <f>Raw_Claims_Data!D527</f>
        <v>135.76</v>
      </c>
      <c r="E528">
        <f>Raw_Claims_Data!E527</f>
        <v>17000</v>
      </c>
      <c r="F528" t="str">
        <f>Raw_Claims_Data!F527</f>
        <v>TN</v>
      </c>
      <c r="G528" t="str">
        <f>Raw_Claims_Data!G527</f>
        <v>A</v>
      </c>
      <c r="H528" t="str">
        <f>Raw_Claims_Data!H527</f>
        <v>Total Loss</v>
      </c>
      <c r="I528" t="str">
        <f>IF(Raw_Claims_Data!I527="","None",Raw_Claims_Data!I527)</f>
        <v>None</v>
      </c>
      <c r="J528" t="str">
        <f>Raw_Claims_Data!J527</f>
        <v>Oakland</v>
      </c>
      <c r="K528" t="str">
        <f>Raw_Claims_Data!K527</f>
        <v>CA</v>
      </c>
      <c r="L528">
        <f>Raw_Claims_Data!L527</f>
        <v>23</v>
      </c>
      <c r="M528" t="str">
        <f>IF(Raw_Claims_Data!M527="","N/A",Raw_Claims_Data!M527)</f>
        <v>N/A</v>
      </c>
      <c r="N528" t="str">
        <f>Raw_Claims_Data!N527</f>
        <v>AGENT01048</v>
      </c>
      <c r="O528">
        <f>IF(Raw_Claims_Data!G527="D",1,0)</f>
        <v>0</v>
      </c>
    </row>
    <row r="529" spans="1:15" x14ac:dyDescent="0.35">
      <c r="A529" t="str">
        <f>Raw_Claims_Data!A528</f>
        <v>TXN00000525</v>
      </c>
      <c r="B529" t="str">
        <f>TRIM(Raw_Claims_Data!B528)</f>
        <v>William Avery</v>
      </c>
      <c r="C529" t="str">
        <f>Raw_Claims_Data!C528</f>
        <v>Health</v>
      </c>
      <c r="D529">
        <f>Raw_Claims_Data!D528</f>
        <v>193.41</v>
      </c>
      <c r="E529">
        <f>Raw_Claims_Data!E528</f>
        <v>8000</v>
      </c>
      <c r="F529" t="str">
        <f>Raw_Claims_Data!F528</f>
        <v>CA</v>
      </c>
      <c r="G529" t="str">
        <f>Raw_Claims_Data!G528</f>
        <v>A</v>
      </c>
      <c r="H529" t="str">
        <f>Raw_Claims_Data!H528</f>
        <v>Major Loss</v>
      </c>
      <c r="I529" t="str">
        <f>IF(Raw_Claims_Data!I528="","None",Raw_Claims_Data!I528)</f>
        <v>Ambulance</v>
      </c>
      <c r="J529" t="str">
        <f>Raw_Claims_Data!J528</f>
        <v>Savannah</v>
      </c>
      <c r="K529" t="str">
        <f>Raw_Claims_Data!K528</f>
        <v>GA</v>
      </c>
      <c r="L529">
        <f>Raw_Claims_Data!L528</f>
        <v>6</v>
      </c>
      <c r="M529" t="str">
        <f>IF(Raw_Claims_Data!M528="","N/A",Raw_Claims_Data!M528)</f>
        <v>VNDR00564</v>
      </c>
      <c r="N529" t="str">
        <f>Raw_Claims_Data!N528</f>
        <v>AGENT00679</v>
      </c>
      <c r="O529">
        <f>IF(Raw_Claims_Data!G528="D",1,0)</f>
        <v>0</v>
      </c>
    </row>
    <row r="530" spans="1:15" x14ac:dyDescent="0.35">
      <c r="A530" t="str">
        <f>Raw_Claims_Data!A529</f>
        <v>TXN00000526</v>
      </c>
      <c r="B530" t="str">
        <f>TRIM(Raw_Claims_Data!B529)</f>
        <v>Daniel Thacker</v>
      </c>
      <c r="C530" t="str">
        <f>Raw_Claims_Data!C529</f>
        <v>Property</v>
      </c>
      <c r="D530">
        <f>Raw_Claims_Data!D529</f>
        <v>142.44</v>
      </c>
      <c r="E530">
        <f>Raw_Claims_Data!E529</f>
        <v>32000</v>
      </c>
      <c r="F530" t="str">
        <f>Raw_Claims_Data!F529</f>
        <v>OK</v>
      </c>
      <c r="G530" t="str">
        <f>Raw_Claims_Data!G529</f>
        <v>A</v>
      </c>
      <c r="H530" t="str">
        <f>Raw_Claims_Data!H529</f>
        <v>Total Loss</v>
      </c>
      <c r="I530" t="str">
        <f>IF(Raw_Claims_Data!I529="","None",Raw_Claims_Data!I529)</f>
        <v>Ambulance</v>
      </c>
      <c r="J530" t="str">
        <f>Raw_Claims_Data!J529</f>
        <v>Manchester</v>
      </c>
      <c r="K530" t="str">
        <f>Raw_Claims_Data!K529</f>
        <v>CT</v>
      </c>
      <c r="L530">
        <f>Raw_Claims_Data!L529</f>
        <v>1</v>
      </c>
      <c r="M530" t="str">
        <f>IF(Raw_Claims_Data!M529="","N/A",Raw_Claims_Data!M529)</f>
        <v>N/A</v>
      </c>
      <c r="N530" t="str">
        <f>Raw_Claims_Data!N529</f>
        <v>AGENT00430</v>
      </c>
      <c r="O530">
        <f>IF(Raw_Claims_Data!G529="D",1,0)</f>
        <v>0</v>
      </c>
    </row>
    <row r="531" spans="1:15" x14ac:dyDescent="0.35">
      <c r="A531" t="str">
        <f>Raw_Claims_Data!A530</f>
        <v>TXN00000527</v>
      </c>
      <c r="B531" t="str">
        <f>TRIM(Raw_Claims_Data!B530)</f>
        <v>Delmar Arevalo</v>
      </c>
      <c r="C531" t="str">
        <f>Raw_Claims_Data!C530</f>
        <v>Travel</v>
      </c>
      <c r="D531">
        <f>Raw_Claims_Data!D530</f>
        <v>71.58</v>
      </c>
      <c r="E531">
        <f>Raw_Claims_Data!E530</f>
        <v>3000</v>
      </c>
      <c r="F531" t="str">
        <f>Raw_Claims_Data!F530</f>
        <v>CA</v>
      </c>
      <c r="G531" t="str">
        <f>Raw_Claims_Data!G530</f>
        <v>A</v>
      </c>
      <c r="H531" t="str">
        <f>Raw_Claims_Data!H530</f>
        <v>Total Loss</v>
      </c>
      <c r="I531" t="str">
        <f>IF(Raw_Claims_Data!I530="","None",Raw_Claims_Data!I530)</f>
        <v>None</v>
      </c>
      <c r="J531" t="str">
        <f>Raw_Claims_Data!J530</f>
        <v>Glendale</v>
      </c>
      <c r="K531" t="str">
        <f>Raw_Claims_Data!K530</f>
        <v>AZ</v>
      </c>
      <c r="L531">
        <f>Raw_Claims_Data!L530</f>
        <v>20</v>
      </c>
      <c r="M531" t="str">
        <f>IF(Raw_Claims_Data!M530="","N/A",Raw_Claims_Data!M530)</f>
        <v>VNDR00046</v>
      </c>
      <c r="N531" t="str">
        <f>Raw_Claims_Data!N530</f>
        <v>AGENT00420</v>
      </c>
      <c r="O531">
        <f>IF(Raw_Claims_Data!G530="D",1,0)</f>
        <v>0</v>
      </c>
    </row>
    <row r="532" spans="1:15" x14ac:dyDescent="0.35">
      <c r="A532" t="str">
        <f>Raw_Claims_Data!A531</f>
        <v>TXN00000528</v>
      </c>
      <c r="B532" t="str">
        <f>TRIM(Raw_Claims_Data!B531)</f>
        <v>James Schneider</v>
      </c>
      <c r="C532" t="str">
        <f>Raw_Claims_Data!C531</f>
        <v>Motor</v>
      </c>
      <c r="D532">
        <f>Raw_Claims_Data!D531</f>
        <v>81.459999999999994</v>
      </c>
      <c r="E532">
        <f>Raw_Claims_Data!E531</f>
        <v>8000</v>
      </c>
      <c r="F532" t="str">
        <f>Raw_Claims_Data!F531</f>
        <v>MA</v>
      </c>
      <c r="G532" t="str">
        <f>Raw_Claims_Data!G531</f>
        <v>A</v>
      </c>
      <c r="H532" t="str">
        <f>Raw_Claims_Data!H531</f>
        <v>Major Loss</v>
      </c>
      <c r="I532" t="str">
        <f>IF(Raw_Claims_Data!I531="","None",Raw_Claims_Data!I531)</f>
        <v>Ambulance</v>
      </c>
      <c r="J532" t="str">
        <f>Raw_Claims_Data!J531</f>
        <v>Nashville</v>
      </c>
      <c r="K532" t="str">
        <f>Raw_Claims_Data!K531</f>
        <v>TN</v>
      </c>
      <c r="L532">
        <f>Raw_Claims_Data!L531</f>
        <v>18</v>
      </c>
      <c r="M532" t="str">
        <f>IF(Raw_Claims_Data!M531="","N/A",Raw_Claims_Data!M531)</f>
        <v>VNDR00209</v>
      </c>
      <c r="N532" t="str">
        <f>Raw_Claims_Data!N531</f>
        <v>AGENT00471</v>
      </c>
      <c r="O532">
        <f>IF(Raw_Claims_Data!G531="D",1,0)</f>
        <v>0</v>
      </c>
    </row>
    <row r="533" spans="1:15" x14ac:dyDescent="0.35">
      <c r="A533" t="str">
        <f>Raw_Claims_Data!A532</f>
        <v>TXN00000529</v>
      </c>
      <c r="B533" t="str">
        <f>TRIM(Raw_Claims_Data!B532)</f>
        <v>Edwin Martin</v>
      </c>
      <c r="C533" t="str">
        <f>Raw_Claims_Data!C532</f>
        <v>Mobile</v>
      </c>
      <c r="D533">
        <f>Raw_Claims_Data!D532</f>
        <v>10.48</v>
      </c>
      <c r="E533">
        <f>Raw_Claims_Data!E532</f>
        <v>300</v>
      </c>
      <c r="F533" t="str">
        <f>Raw_Claims_Data!F532</f>
        <v>VT</v>
      </c>
      <c r="G533" t="str">
        <f>Raw_Claims_Data!G532</f>
        <v>A</v>
      </c>
      <c r="H533" t="str">
        <f>Raw_Claims_Data!H532</f>
        <v>Total Loss</v>
      </c>
      <c r="I533" t="str">
        <f>IF(Raw_Claims_Data!I532="","None",Raw_Claims_Data!I532)</f>
        <v>Police</v>
      </c>
      <c r="J533" t="str">
        <f>Raw_Claims_Data!J532</f>
        <v>Nashville</v>
      </c>
      <c r="K533" t="str">
        <f>Raw_Claims_Data!K532</f>
        <v>TN</v>
      </c>
      <c r="L533">
        <f>Raw_Claims_Data!L532</f>
        <v>1</v>
      </c>
      <c r="M533" t="str">
        <f>IF(Raw_Claims_Data!M532="","N/A",Raw_Claims_Data!M532)</f>
        <v>VNDR00276</v>
      </c>
      <c r="N533" t="str">
        <f>Raw_Claims_Data!N532</f>
        <v>AGENT01191</v>
      </c>
      <c r="O533">
        <f>IF(Raw_Claims_Data!G532="D",1,0)</f>
        <v>0</v>
      </c>
    </row>
    <row r="534" spans="1:15" x14ac:dyDescent="0.35">
      <c r="A534" t="str">
        <f>Raw_Claims_Data!A533</f>
        <v>TXN00000530</v>
      </c>
      <c r="B534" t="str">
        <f>TRIM(Raw_Claims_Data!B533)</f>
        <v>Sharon Wright</v>
      </c>
      <c r="C534" t="str">
        <f>Raw_Claims_Data!C533</f>
        <v>Health</v>
      </c>
      <c r="D534">
        <f>Raw_Claims_Data!D533</f>
        <v>115.81</v>
      </c>
      <c r="E534">
        <f>Raw_Claims_Data!E533</f>
        <v>1000</v>
      </c>
      <c r="F534" t="str">
        <f>Raw_Claims_Data!F533</f>
        <v>KY</v>
      </c>
      <c r="G534" t="str">
        <f>Raw_Claims_Data!G533</f>
        <v>A</v>
      </c>
      <c r="H534" t="str">
        <f>Raw_Claims_Data!H533</f>
        <v>Major Loss</v>
      </c>
      <c r="I534" t="str">
        <f>IF(Raw_Claims_Data!I533="","None",Raw_Claims_Data!I533)</f>
        <v>Ambulance</v>
      </c>
      <c r="J534" t="str">
        <f>Raw_Claims_Data!J533</f>
        <v>Manchester</v>
      </c>
      <c r="K534" t="str">
        <f>Raw_Claims_Data!K533</f>
        <v>CT</v>
      </c>
      <c r="L534">
        <f>Raw_Claims_Data!L533</f>
        <v>23</v>
      </c>
      <c r="M534" t="str">
        <f>IF(Raw_Claims_Data!M533="","N/A",Raw_Claims_Data!M533)</f>
        <v>N/A</v>
      </c>
      <c r="N534" t="str">
        <f>Raw_Claims_Data!N533</f>
        <v>AGENT01110</v>
      </c>
      <c r="O534">
        <f>IF(Raw_Claims_Data!G533="D",1,0)</f>
        <v>0</v>
      </c>
    </row>
    <row r="535" spans="1:15" x14ac:dyDescent="0.35">
      <c r="A535" t="str">
        <f>Raw_Claims_Data!A534</f>
        <v>TXN00000531</v>
      </c>
      <c r="B535" t="str">
        <f>TRIM(Raw_Claims_Data!B534)</f>
        <v>Carl Irwin</v>
      </c>
      <c r="C535" t="str">
        <f>Raw_Claims_Data!C534</f>
        <v>Travel</v>
      </c>
      <c r="D535">
        <f>Raw_Claims_Data!D534</f>
        <v>68.39</v>
      </c>
      <c r="E535">
        <f>Raw_Claims_Data!E534</f>
        <v>5000</v>
      </c>
      <c r="F535" t="str">
        <f>Raw_Claims_Data!F534</f>
        <v>CT</v>
      </c>
      <c r="G535" t="str">
        <f>Raw_Claims_Data!G534</f>
        <v>A</v>
      </c>
      <c r="H535" t="str">
        <f>Raw_Claims_Data!H534</f>
        <v>Minor Loss</v>
      </c>
      <c r="I535" t="str">
        <f>IF(Raw_Claims_Data!I534="","None",Raw_Claims_Data!I534)</f>
        <v>Police</v>
      </c>
      <c r="J535" t="str">
        <f>Raw_Claims_Data!J534</f>
        <v>Mesa</v>
      </c>
      <c r="K535" t="str">
        <f>Raw_Claims_Data!K534</f>
        <v>AZ</v>
      </c>
      <c r="L535">
        <f>Raw_Claims_Data!L534</f>
        <v>17</v>
      </c>
      <c r="M535" t="str">
        <f>IF(Raw_Claims_Data!M534="","N/A",Raw_Claims_Data!M534)</f>
        <v>VNDR00462</v>
      </c>
      <c r="N535" t="str">
        <f>Raw_Claims_Data!N534</f>
        <v>AGENT00283</v>
      </c>
      <c r="O535">
        <f>IF(Raw_Claims_Data!G534="D",1,0)</f>
        <v>0</v>
      </c>
    </row>
    <row r="536" spans="1:15" x14ac:dyDescent="0.35">
      <c r="A536" t="str">
        <f>Raw_Claims_Data!A535</f>
        <v>TXN00000532</v>
      </c>
      <c r="B536" t="str">
        <f>TRIM(Raw_Claims_Data!B535)</f>
        <v>Nancy Malloy</v>
      </c>
      <c r="C536" t="str">
        <f>Raw_Claims_Data!C535</f>
        <v>Life</v>
      </c>
      <c r="D536">
        <f>Raw_Claims_Data!D535</f>
        <v>58.4</v>
      </c>
      <c r="E536">
        <f>Raw_Claims_Data!E535</f>
        <v>90000</v>
      </c>
      <c r="F536" t="str">
        <f>Raw_Claims_Data!F535</f>
        <v>AK</v>
      </c>
      <c r="G536" t="str">
        <f>Raw_Claims_Data!G535</f>
        <v>A</v>
      </c>
      <c r="H536" t="str">
        <f>Raw_Claims_Data!H535</f>
        <v>Total Loss</v>
      </c>
      <c r="I536" t="str">
        <f>IF(Raw_Claims_Data!I535="","None",Raw_Claims_Data!I535)</f>
        <v>Ambulance</v>
      </c>
      <c r="J536" t="str">
        <f>Raw_Claims_Data!J535</f>
        <v>Fayetteville</v>
      </c>
      <c r="K536" t="str">
        <f>Raw_Claims_Data!K535</f>
        <v>AR</v>
      </c>
      <c r="L536">
        <f>Raw_Claims_Data!L535</f>
        <v>13</v>
      </c>
      <c r="M536" t="str">
        <f>IF(Raw_Claims_Data!M535="","N/A",Raw_Claims_Data!M535)</f>
        <v>VNDR00432</v>
      </c>
      <c r="N536" t="str">
        <f>Raw_Claims_Data!N535</f>
        <v>AGENT00893</v>
      </c>
      <c r="O536">
        <f>IF(Raw_Claims_Data!G535="D",1,0)</f>
        <v>0</v>
      </c>
    </row>
    <row r="537" spans="1:15" x14ac:dyDescent="0.35">
      <c r="A537" t="str">
        <f>Raw_Claims_Data!A536</f>
        <v>TXN00000533</v>
      </c>
      <c r="B537" t="str">
        <f>TRIM(Raw_Claims_Data!B536)</f>
        <v>Linda Austin</v>
      </c>
      <c r="C537" t="str">
        <f>Raw_Claims_Data!C536</f>
        <v>Mobile</v>
      </c>
      <c r="D537">
        <f>Raw_Claims_Data!D536</f>
        <v>11.19</v>
      </c>
      <c r="E537">
        <f>Raw_Claims_Data!E536</f>
        <v>700</v>
      </c>
      <c r="F537" t="str">
        <f>Raw_Claims_Data!F536</f>
        <v>AK</v>
      </c>
      <c r="G537" t="str">
        <f>Raw_Claims_Data!G536</f>
        <v>A</v>
      </c>
      <c r="H537" t="str">
        <f>Raw_Claims_Data!H536</f>
        <v>Minor Loss</v>
      </c>
      <c r="I537" t="str">
        <f>IF(Raw_Claims_Data!I536="","None",Raw_Claims_Data!I536)</f>
        <v>Police</v>
      </c>
      <c r="J537" t="str">
        <f>Raw_Claims_Data!J536</f>
        <v>Arvada</v>
      </c>
      <c r="K537" t="str">
        <f>Raw_Claims_Data!K536</f>
        <v>CO</v>
      </c>
      <c r="L537">
        <f>Raw_Claims_Data!L536</f>
        <v>16</v>
      </c>
      <c r="M537" t="str">
        <f>IF(Raw_Claims_Data!M536="","N/A",Raw_Claims_Data!M536)</f>
        <v>VNDR00200</v>
      </c>
      <c r="N537" t="str">
        <f>Raw_Claims_Data!N536</f>
        <v>AGENT00053</v>
      </c>
      <c r="O537">
        <f>IF(Raw_Claims_Data!G536="D",1,0)</f>
        <v>0</v>
      </c>
    </row>
    <row r="538" spans="1:15" x14ac:dyDescent="0.35">
      <c r="A538" t="str">
        <f>Raw_Claims_Data!A537</f>
        <v>TXN00000534</v>
      </c>
      <c r="B538" t="str">
        <f>TRIM(Raw_Claims_Data!B537)</f>
        <v>Vernon Lowe</v>
      </c>
      <c r="C538" t="str">
        <f>Raw_Claims_Data!C537</f>
        <v>Property</v>
      </c>
      <c r="D538">
        <f>Raw_Claims_Data!D537</f>
        <v>152.83000000000001</v>
      </c>
      <c r="E538">
        <f>Raw_Claims_Data!E537</f>
        <v>15000</v>
      </c>
      <c r="F538" t="str">
        <f>Raw_Claims_Data!F537</f>
        <v>CO</v>
      </c>
      <c r="G538" t="str">
        <f>Raw_Claims_Data!G537</f>
        <v>A</v>
      </c>
      <c r="H538" t="str">
        <f>Raw_Claims_Data!H537</f>
        <v>Minor Loss</v>
      </c>
      <c r="I538" t="str">
        <f>IF(Raw_Claims_Data!I537="","None",Raw_Claims_Data!I537)</f>
        <v>Other</v>
      </c>
      <c r="J538" t="str">
        <f>Raw_Claims_Data!J537</f>
        <v>Panama City</v>
      </c>
      <c r="K538" t="str">
        <f>Raw_Claims_Data!K537</f>
        <v>FL</v>
      </c>
      <c r="L538">
        <f>Raw_Claims_Data!L537</f>
        <v>16</v>
      </c>
      <c r="M538" t="str">
        <f>IF(Raw_Claims_Data!M537="","N/A",Raw_Claims_Data!M537)</f>
        <v>VNDR00450</v>
      </c>
      <c r="N538" t="str">
        <f>Raw_Claims_Data!N537</f>
        <v>AGENT00769</v>
      </c>
      <c r="O538">
        <f>IF(Raw_Claims_Data!G537="D",1,0)</f>
        <v>0</v>
      </c>
    </row>
    <row r="539" spans="1:15" x14ac:dyDescent="0.35">
      <c r="A539" t="str">
        <f>Raw_Claims_Data!A538</f>
        <v>TXN00000535</v>
      </c>
      <c r="B539" t="str">
        <f>TRIM(Raw_Claims_Data!B538)</f>
        <v>Michael Brandes</v>
      </c>
      <c r="C539" t="str">
        <f>Raw_Claims_Data!C538</f>
        <v>Mobile</v>
      </c>
      <c r="D539">
        <f>Raw_Claims_Data!D538</f>
        <v>10.59</v>
      </c>
      <c r="E539">
        <f>Raw_Claims_Data!E538</f>
        <v>700</v>
      </c>
      <c r="F539" t="str">
        <f>Raw_Claims_Data!F538</f>
        <v>CO</v>
      </c>
      <c r="G539" t="str">
        <f>Raw_Claims_Data!G538</f>
        <v>A</v>
      </c>
      <c r="H539" t="str">
        <f>Raw_Claims_Data!H538</f>
        <v>Major Loss</v>
      </c>
      <c r="I539" t="str">
        <f>IF(Raw_Claims_Data!I538="","None",Raw_Claims_Data!I538)</f>
        <v>None</v>
      </c>
      <c r="J539" t="str">
        <f>Raw_Claims_Data!J538</f>
        <v>Fayetteville</v>
      </c>
      <c r="K539" t="str">
        <f>Raw_Claims_Data!K538</f>
        <v>AR</v>
      </c>
      <c r="L539">
        <f>Raw_Claims_Data!L538</f>
        <v>13</v>
      </c>
      <c r="M539" t="str">
        <f>IF(Raw_Claims_Data!M538="","N/A",Raw_Claims_Data!M538)</f>
        <v>VNDR00152</v>
      </c>
      <c r="N539" t="str">
        <f>Raw_Claims_Data!N538</f>
        <v>AGENT00342</v>
      </c>
      <c r="O539">
        <f>IF(Raw_Claims_Data!G538="D",1,0)</f>
        <v>0</v>
      </c>
    </row>
    <row r="540" spans="1:15" x14ac:dyDescent="0.35">
      <c r="A540" t="str">
        <f>Raw_Claims_Data!A539</f>
        <v>TXN00000536</v>
      </c>
      <c r="B540" t="str">
        <f>TRIM(Raw_Claims_Data!B539)</f>
        <v>Robert Mitchelle</v>
      </c>
      <c r="C540" t="str">
        <f>Raw_Claims_Data!C539</f>
        <v>Property</v>
      </c>
      <c r="D540">
        <f>Raw_Claims_Data!D539</f>
        <v>139.37</v>
      </c>
      <c r="E540">
        <f>Raw_Claims_Data!E539</f>
        <v>13000</v>
      </c>
      <c r="F540" t="str">
        <f>Raw_Claims_Data!F539</f>
        <v>CT</v>
      </c>
      <c r="G540" t="str">
        <f>Raw_Claims_Data!G539</f>
        <v>A</v>
      </c>
      <c r="H540" t="str">
        <f>Raw_Claims_Data!H539</f>
        <v>Major Loss</v>
      </c>
      <c r="I540" t="str">
        <f>IF(Raw_Claims_Data!I539="","None",Raw_Claims_Data!I539)</f>
        <v>Ambulance</v>
      </c>
      <c r="J540" t="str">
        <f>Raw_Claims_Data!J539</f>
        <v>Anchorage</v>
      </c>
      <c r="K540" t="str">
        <f>Raw_Claims_Data!K539</f>
        <v>AK</v>
      </c>
      <c r="L540">
        <f>Raw_Claims_Data!L539</f>
        <v>13</v>
      </c>
      <c r="M540" t="str">
        <f>IF(Raw_Claims_Data!M539="","N/A",Raw_Claims_Data!M539)</f>
        <v>VNDR00544</v>
      </c>
      <c r="N540" t="str">
        <f>Raw_Claims_Data!N539</f>
        <v>AGENT01165</v>
      </c>
      <c r="O540">
        <f>IF(Raw_Claims_Data!G539="D",1,0)</f>
        <v>0</v>
      </c>
    </row>
    <row r="541" spans="1:15" x14ac:dyDescent="0.35">
      <c r="A541" t="str">
        <f>Raw_Claims_Data!A540</f>
        <v>TXN00000537</v>
      </c>
      <c r="B541" t="str">
        <f>TRIM(Raw_Claims_Data!B540)</f>
        <v>Nathaniel Carter</v>
      </c>
      <c r="C541" t="str">
        <f>Raw_Claims_Data!C540</f>
        <v>Property</v>
      </c>
      <c r="D541">
        <f>Raw_Claims_Data!D540</f>
        <v>148.58000000000001</v>
      </c>
      <c r="E541">
        <f>Raw_Claims_Data!E540</f>
        <v>38000</v>
      </c>
      <c r="F541" t="str">
        <f>Raw_Claims_Data!F540</f>
        <v>AK</v>
      </c>
      <c r="G541" t="str">
        <f>Raw_Claims_Data!G540</f>
        <v>A</v>
      </c>
      <c r="H541" t="str">
        <f>Raw_Claims_Data!H540</f>
        <v>Total Loss</v>
      </c>
      <c r="I541" t="str">
        <f>IF(Raw_Claims_Data!I540="","None",Raw_Claims_Data!I540)</f>
        <v>Ambulance</v>
      </c>
      <c r="J541" t="str">
        <f>Raw_Claims_Data!J540</f>
        <v>Escondido</v>
      </c>
      <c r="K541" t="str">
        <f>Raw_Claims_Data!K540</f>
        <v>CA</v>
      </c>
      <c r="L541">
        <f>Raw_Claims_Data!L540</f>
        <v>8</v>
      </c>
      <c r="M541" t="str">
        <f>IF(Raw_Claims_Data!M540="","N/A",Raw_Claims_Data!M540)</f>
        <v>VNDR00306</v>
      </c>
      <c r="N541" t="str">
        <f>Raw_Claims_Data!N540</f>
        <v>AGENT00566</v>
      </c>
      <c r="O541">
        <f>IF(Raw_Claims_Data!G540="D",1,0)</f>
        <v>0</v>
      </c>
    </row>
    <row r="542" spans="1:15" x14ac:dyDescent="0.35">
      <c r="A542" t="str">
        <f>Raw_Claims_Data!A541</f>
        <v>TXN00000538</v>
      </c>
      <c r="B542" t="str">
        <f>TRIM(Raw_Claims_Data!B541)</f>
        <v>Tony Morris</v>
      </c>
      <c r="C542" t="str">
        <f>Raw_Claims_Data!C541</f>
        <v>Travel</v>
      </c>
      <c r="D542">
        <f>Raw_Claims_Data!D541</f>
        <v>68.03</v>
      </c>
      <c r="E542">
        <f>Raw_Claims_Data!E541</f>
        <v>2000</v>
      </c>
      <c r="F542" t="str">
        <f>Raw_Claims_Data!F541</f>
        <v>CA</v>
      </c>
      <c r="G542" t="str">
        <f>Raw_Claims_Data!G541</f>
        <v>A</v>
      </c>
      <c r="H542" t="str">
        <f>Raw_Claims_Data!H541</f>
        <v>Total Loss</v>
      </c>
      <c r="I542" t="str">
        <f>IF(Raw_Claims_Data!I541="","None",Raw_Claims_Data!I541)</f>
        <v>None</v>
      </c>
      <c r="J542" t="str">
        <f>Raw_Claims_Data!J541</f>
        <v>Manchester</v>
      </c>
      <c r="K542" t="str">
        <f>Raw_Claims_Data!K541</f>
        <v>CT</v>
      </c>
      <c r="L542">
        <f>Raw_Claims_Data!L541</f>
        <v>14</v>
      </c>
      <c r="M542" t="str">
        <f>IF(Raw_Claims_Data!M541="","N/A",Raw_Claims_Data!M541)</f>
        <v>VNDR00189</v>
      </c>
      <c r="N542" t="str">
        <f>Raw_Claims_Data!N541</f>
        <v>AGENT00551</v>
      </c>
      <c r="O542">
        <f>IF(Raw_Claims_Data!G541="D",1,0)</f>
        <v>0</v>
      </c>
    </row>
    <row r="543" spans="1:15" x14ac:dyDescent="0.35">
      <c r="A543" t="str">
        <f>Raw_Claims_Data!A542</f>
        <v>TXN00000539</v>
      </c>
      <c r="B543" t="str">
        <f>TRIM(Raw_Claims_Data!B542)</f>
        <v>Ralph Hughes</v>
      </c>
      <c r="C543" t="str">
        <f>Raw_Claims_Data!C542</f>
        <v>Life</v>
      </c>
      <c r="D543">
        <f>Raw_Claims_Data!D542</f>
        <v>65.41</v>
      </c>
      <c r="E543">
        <f>Raw_Claims_Data!E542</f>
        <v>86000</v>
      </c>
      <c r="F543" t="str">
        <f>Raw_Claims_Data!F542</f>
        <v>AK</v>
      </c>
      <c r="G543" t="str">
        <f>Raw_Claims_Data!G542</f>
        <v>A</v>
      </c>
      <c r="H543" t="str">
        <f>Raw_Claims_Data!H542</f>
        <v>Major Loss</v>
      </c>
      <c r="I543" t="str">
        <f>IF(Raw_Claims_Data!I542="","None",Raw_Claims_Data!I542)</f>
        <v>Ambulance</v>
      </c>
      <c r="J543" t="str">
        <f>Raw_Claims_Data!J542</f>
        <v>Montgomery</v>
      </c>
      <c r="K543" t="str">
        <f>Raw_Claims_Data!K542</f>
        <v>AL</v>
      </c>
      <c r="L543">
        <f>Raw_Claims_Data!L542</f>
        <v>17</v>
      </c>
      <c r="M543" t="str">
        <f>IF(Raw_Claims_Data!M542="","N/A",Raw_Claims_Data!M542)</f>
        <v>VNDR00488</v>
      </c>
      <c r="N543" t="str">
        <f>Raw_Claims_Data!N542</f>
        <v>AGENT01175</v>
      </c>
      <c r="O543">
        <f>IF(Raw_Claims_Data!G542="D",1,0)</f>
        <v>0</v>
      </c>
    </row>
    <row r="544" spans="1:15" x14ac:dyDescent="0.35">
      <c r="A544" t="str">
        <f>Raw_Claims_Data!A543</f>
        <v>TXN00000540</v>
      </c>
      <c r="B544" t="str">
        <f>TRIM(Raw_Claims_Data!B543)</f>
        <v>Charles Claussen</v>
      </c>
      <c r="C544" t="str">
        <f>Raw_Claims_Data!C543</f>
        <v>Life</v>
      </c>
      <c r="D544">
        <f>Raw_Claims_Data!D543</f>
        <v>60.76</v>
      </c>
      <c r="E544">
        <f>Raw_Claims_Data!E543</f>
        <v>67000</v>
      </c>
      <c r="F544" t="str">
        <f>Raw_Claims_Data!F543</f>
        <v>MA</v>
      </c>
      <c r="G544" t="str">
        <f>Raw_Claims_Data!G543</f>
        <v>A</v>
      </c>
      <c r="H544" t="str">
        <f>Raw_Claims_Data!H543</f>
        <v>Major Loss</v>
      </c>
      <c r="I544" t="str">
        <f>IF(Raw_Claims_Data!I543="","None",Raw_Claims_Data!I543)</f>
        <v>Ambulance</v>
      </c>
      <c r="J544" t="str">
        <f>Raw_Claims_Data!J543</f>
        <v>Hayward</v>
      </c>
      <c r="K544" t="str">
        <f>Raw_Claims_Data!K543</f>
        <v>CA</v>
      </c>
      <c r="L544">
        <f>Raw_Claims_Data!L543</f>
        <v>15</v>
      </c>
      <c r="M544" t="str">
        <f>IF(Raw_Claims_Data!M543="","N/A",Raw_Claims_Data!M543)</f>
        <v>VNDR00305</v>
      </c>
      <c r="N544" t="str">
        <f>Raw_Claims_Data!N543</f>
        <v>AGENT00340</v>
      </c>
      <c r="O544">
        <f>IF(Raw_Claims_Data!G543="D",1,0)</f>
        <v>0</v>
      </c>
    </row>
    <row r="545" spans="1:15" x14ac:dyDescent="0.35">
      <c r="A545" t="str">
        <f>Raw_Claims_Data!A544</f>
        <v>TXN00000541</v>
      </c>
      <c r="B545" t="str">
        <f>TRIM(Raw_Claims_Data!B544)</f>
        <v>Dana Shelly</v>
      </c>
      <c r="C545" t="str">
        <f>Raw_Claims_Data!C544</f>
        <v>Travel</v>
      </c>
      <c r="D545">
        <f>Raw_Claims_Data!D544</f>
        <v>80.040000000000006</v>
      </c>
      <c r="E545">
        <f>Raw_Claims_Data!E544</f>
        <v>1000</v>
      </c>
      <c r="F545" t="str">
        <f>Raw_Claims_Data!F544</f>
        <v>MA</v>
      </c>
      <c r="G545" t="str">
        <f>Raw_Claims_Data!G544</f>
        <v>A</v>
      </c>
      <c r="H545" t="str">
        <f>Raw_Claims_Data!H544</f>
        <v>Minor Loss</v>
      </c>
      <c r="I545" t="str">
        <f>IF(Raw_Claims_Data!I544="","None",Raw_Claims_Data!I544)</f>
        <v>None</v>
      </c>
      <c r="J545" t="str">
        <f>Raw_Claims_Data!J544</f>
        <v>Aurora</v>
      </c>
      <c r="K545" t="str">
        <f>Raw_Claims_Data!K544</f>
        <v>CO</v>
      </c>
      <c r="L545">
        <f>Raw_Claims_Data!L544</f>
        <v>2</v>
      </c>
      <c r="M545" t="str">
        <f>IF(Raw_Claims_Data!M544="","N/A",Raw_Claims_Data!M544)</f>
        <v>VNDR00018</v>
      </c>
      <c r="N545" t="str">
        <f>Raw_Claims_Data!N544</f>
        <v>AGENT00923</v>
      </c>
      <c r="O545">
        <f>IF(Raw_Claims_Data!G544="D",1,0)</f>
        <v>0</v>
      </c>
    </row>
    <row r="546" spans="1:15" x14ac:dyDescent="0.35">
      <c r="A546" t="str">
        <f>Raw_Claims_Data!A545</f>
        <v>TXN00000542</v>
      </c>
      <c r="B546" t="str">
        <f>TRIM(Raw_Claims_Data!B545)</f>
        <v>Daniel Palmer</v>
      </c>
      <c r="C546" t="str">
        <f>Raw_Claims_Data!C545</f>
        <v>Life</v>
      </c>
      <c r="D546">
        <f>Raw_Claims_Data!D545</f>
        <v>51.75</v>
      </c>
      <c r="E546">
        <f>Raw_Claims_Data!E545</f>
        <v>13000</v>
      </c>
      <c r="F546" t="str">
        <f>Raw_Claims_Data!F545</f>
        <v>CT</v>
      </c>
      <c r="G546" t="str">
        <f>Raw_Claims_Data!G545</f>
        <v>A</v>
      </c>
      <c r="H546" t="str">
        <f>Raw_Claims_Data!H545</f>
        <v>Minor Loss</v>
      </c>
      <c r="I546" t="str">
        <f>IF(Raw_Claims_Data!I545="","None",Raw_Claims_Data!I545)</f>
        <v>Other</v>
      </c>
      <c r="J546" t="str">
        <f>Raw_Claims_Data!J545</f>
        <v>Washington</v>
      </c>
      <c r="K546" t="str">
        <f>Raw_Claims_Data!K545</f>
        <v>DC</v>
      </c>
      <c r="L546">
        <f>Raw_Claims_Data!L545</f>
        <v>20</v>
      </c>
      <c r="M546" t="str">
        <f>IF(Raw_Claims_Data!M545="","N/A",Raw_Claims_Data!M545)</f>
        <v>VNDR00171</v>
      </c>
      <c r="N546" t="str">
        <f>Raw_Claims_Data!N545</f>
        <v>AGENT00023</v>
      </c>
      <c r="O546">
        <f>IF(Raw_Claims_Data!G545="D",1,0)</f>
        <v>0</v>
      </c>
    </row>
    <row r="547" spans="1:15" x14ac:dyDescent="0.35">
      <c r="A547" t="str">
        <f>Raw_Claims_Data!A546</f>
        <v>TXN00000543</v>
      </c>
      <c r="B547" t="str">
        <f>TRIM(Raw_Claims_Data!B546)</f>
        <v>David Crown</v>
      </c>
      <c r="C547" t="str">
        <f>Raw_Claims_Data!C546</f>
        <v>Property</v>
      </c>
      <c r="D547">
        <f>Raw_Claims_Data!D546</f>
        <v>151.51</v>
      </c>
      <c r="E547">
        <f>Raw_Claims_Data!E546</f>
        <v>36000</v>
      </c>
      <c r="F547" t="str">
        <f>Raw_Claims_Data!F546</f>
        <v>AZ</v>
      </c>
      <c r="G547" t="str">
        <f>Raw_Claims_Data!G546</f>
        <v>A</v>
      </c>
      <c r="H547" t="str">
        <f>Raw_Claims_Data!H546</f>
        <v>Total Loss</v>
      </c>
      <c r="I547" t="str">
        <f>IF(Raw_Claims_Data!I546="","None",Raw_Claims_Data!I546)</f>
        <v>Ambulance</v>
      </c>
      <c r="J547" t="str">
        <f>Raw_Claims_Data!J546</f>
        <v>Montgomery</v>
      </c>
      <c r="K547" t="str">
        <f>Raw_Claims_Data!K546</f>
        <v>AL</v>
      </c>
      <c r="L547">
        <f>Raw_Claims_Data!L546</f>
        <v>15</v>
      </c>
      <c r="M547" t="str">
        <f>IF(Raw_Claims_Data!M546="","N/A",Raw_Claims_Data!M546)</f>
        <v>VNDR00142</v>
      </c>
      <c r="N547" t="str">
        <f>Raw_Claims_Data!N546</f>
        <v>AGENT00731</v>
      </c>
      <c r="O547">
        <f>IF(Raw_Claims_Data!G546="D",1,0)</f>
        <v>0</v>
      </c>
    </row>
    <row r="548" spans="1:15" x14ac:dyDescent="0.35">
      <c r="A548" t="str">
        <f>Raw_Claims_Data!A547</f>
        <v>TXN00000544</v>
      </c>
      <c r="B548" t="str">
        <f>TRIM(Raw_Claims_Data!B547)</f>
        <v>Connie Libby</v>
      </c>
      <c r="C548" t="str">
        <f>Raw_Claims_Data!C547</f>
        <v>Mobile</v>
      </c>
      <c r="D548">
        <f>Raw_Claims_Data!D547</f>
        <v>10.01</v>
      </c>
      <c r="E548">
        <f>Raw_Claims_Data!E547</f>
        <v>700</v>
      </c>
      <c r="F548" t="str">
        <f>Raw_Claims_Data!F547</f>
        <v>AK</v>
      </c>
      <c r="G548" t="str">
        <f>Raw_Claims_Data!G547</f>
        <v>A</v>
      </c>
      <c r="H548" t="str">
        <f>Raw_Claims_Data!H547</f>
        <v>Major Loss</v>
      </c>
      <c r="I548" t="str">
        <f>IF(Raw_Claims_Data!I547="","None",Raw_Claims_Data!I547)</f>
        <v>Ambulance</v>
      </c>
      <c r="J548" t="str">
        <f>Raw_Claims_Data!J547</f>
        <v>Panama City</v>
      </c>
      <c r="K548" t="str">
        <f>Raw_Claims_Data!K547</f>
        <v>FL</v>
      </c>
      <c r="L548">
        <f>Raw_Claims_Data!L547</f>
        <v>17</v>
      </c>
      <c r="M548" t="str">
        <f>IF(Raw_Claims_Data!M547="","N/A",Raw_Claims_Data!M547)</f>
        <v>N/A</v>
      </c>
      <c r="N548" t="str">
        <f>Raw_Claims_Data!N547</f>
        <v>AGENT01040</v>
      </c>
      <c r="O548">
        <f>IF(Raw_Claims_Data!G547="D",1,0)</f>
        <v>0</v>
      </c>
    </row>
    <row r="549" spans="1:15" x14ac:dyDescent="0.35">
      <c r="A549" t="str">
        <f>Raw_Claims_Data!A548</f>
        <v>TXN00000545</v>
      </c>
      <c r="B549" t="str">
        <f>TRIM(Raw_Claims_Data!B548)</f>
        <v>Robert Huang</v>
      </c>
      <c r="C549" t="str">
        <f>Raw_Claims_Data!C548</f>
        <v>Travel</v>
      </c>
      <c r="D549">
        <f>Raw_Claims_Data!D548</f>
        <v>55.37</v>
      </c>
      <c r="E549">
        <f>Raw_Claims_Data!E548</f>
        <v>3000</v>
      </c>
      <c r="F549" t="str">
        <f>Raw_Claims_Data!F548</f>
        <v>MA</v>
      </c>
      <c r="G549" t="str">
        <f>Raw_Claims_Data!G548</f>
        <v>A</v>
      </c>
      <c r="H549" t="str">
        <f>Raw_Claims_Data!H548</f>
        <v>Minor Loss</v>
      </c>
      <c r="I549" t="str">
        <f>IF(Raw_Claims_Data!I548="","None",Raw_Claims_Data!I548)</f>
        <v>Ambulance</v>
      </c>
      <c r="J549" t="str">
        <f>Raw_Claims_Data!J548</f>
        <v>Anchorage</v>
      </c>
      <c r="K549" t="str">
        <f>Raw_Claims_Data!K548</f>
        <v>AK</v>
      </c>
      <c r="L549">
        <f>Raw_Claims_Data!L548</f>
        <v>18</v>
      </c>
      <c r="M549" t="str">
        <f>IF(Raw_Claims_Data!M548="","N/A",Raw_Claims_Data!M548)</f>
        <v>VNDR00571</v>
      </c>
      <c r="N549" t="str">
        <f>Raw_Claims_Data!N548</f>
        <v>AGENT00767</v>
      </c>
      <c r="O549">
        <f>IF(Raw_Claims_Data!G548="D",1,0)</f>
        <v>0</v>
      </c>
    </row>
    <row r="550" spans="1:15" x14ac:dyDescent="0.35">
      <c r="A550" t="str">
        <f>Raw_Claims_Data!A549</f>
        <v>TXN00000546</v>
      </c>
      <c r="B550" t="str">
        <f>TRIM(Raw_Claims_Data!B549)</f>
        <v>Scott Evans</v>
      </c>
      <c r="C550" t="str">
        <f>Raw_Claims_Data!C549</f>
        <v>Property</v>
      </c>
      <c r="D550">
        <f>Raw_Claims_Data!D549</f>
        <v>84.37</v>
      </c>
      <c r="E550">
        <f>Raw_Claims_Data!E549</f>
        <v>16000</v>
      </c>
      <c r="F550" t="str">
        <f>Raw_Claims_Data!F549</f>
        <v>KY</v>
      </c>
      <c r="G550" t="str">
        <f>Raw_Claims_Data!G549</f>
        <v>A</v>
      </c>
      <c r="H550" t="str">
        <f>Raw_Claims_Data!H549</f>
        <v>Major Loss</v>
      </c>
      <c r="I550" t="str">
        <f>IF(Raw_Claims_Data!I549="","None",Raw_Claims_Data!I549)</f>
        <v>Ambulance</v>
      </c>
      <c r="J550" t="str">
        <f>Raw_Claims_Data!J549</f>
        <v>Washington</v>
      </c>
      <c r="K550" t="str">
        <f>Raw_Claims_Data!K549</f>
        <v>DC</v>
      </c>
      <c r="L550">
        <f>Raw_Claims_Data!L549</f>
        <v>5</v>
      </c>
      <c r="M550" t="str">
        <f>IF(Raw_Claims_Data!M549="","N/A",Raw_Claims_Data!M549)</f>
        <v>VNDR00139</v>
      </c>
      <c r="N550" t="str">
        <f>Raw_Claims_Data!N549</f>
        <v>AGENT00140</v>
      </c>
      <c r="O550">
        <f>IF(Raw_Claims_Data!G549="D",1,0)</f>
        <v>0</v>
      </c>
    </row>
    <row r="551" spans="1:15" x14ac:dyDescent="0.35">
      <c r="A551" t="str">
        <f>Raw_Claims_Data!A550</f>
        <v>TXN00000547</v>
      </c>
      <c r="B551" t="str">
        <f>TRIM(Raw_Claims_Data!B550)</f>
        <v>Latanya Neville</v>
      </c>
      <c r="C551" t="str">
        <f>Raw_Claims_Data!C550</f>
        <v>Life</v>
      </c>
      <c r="D551">
        <f>Raw_Claims_Data!D550</f>
        <v>58.29</v>
      </c>
      <c r="E551">
        <f>Raw_Claims_Data!E550</f>
        <v>97000</v>
      </c>
      <c r="F551" t="str">
        <f>Raw_Claims_Data!F550</f>
        <v>KY</v>
      </c>
      <c r="G551" t="str">
        <f>Raw_Claims_Data!G550</f>
        <v>A</v>
      </c>
      <c r="H551" t="str">
        <f>Raw_Claims_Data!H550</f>
        <v>Minor Loss</v>
      </c>
      <c r="I551" t="str">
        <f>IF(Raw_Claims_Data!I550="","None",Raw_Claims_Data!I550)</f>
        <v>Ambulance</v>
      </c>
      <c r="J551" t="str">
        <f>Raw_Claims_Data!J550</f>
        <v>Berkeley</v>
      </c>
      <c r="K551" t="str">
        <f>Raw_Claims_Data!K550</f>
        <v>CA</v>
      </c>
      <c r="L551">
        <f>Raw_Claims_Data!L550</f>
        <v>7</v>
      </c>
      <c r="M551" t="str">
        <f>IF(Raw_Claims_Data!M550="","N/A",Raw_Claims_Data!M550)</f>
        <v>N/A</v>
      </c>
      <c r="N551" t="str">
        <f>Raw_Claims_Data!N550</f>
        <v>AGENT00608</v>
      </c>
      <c r="O551">
        <f>IF(Raw_Claims_Data!G550="D",1,0)</f>
        <v>0</v>
      </c>
    </row>
    <row r="552" spans="1:15" x14ac:dyDescent="0.35">
      <c r="A552" t="str">
        <f>Raw_Claims_Data!A551</f>
        <v>TXN00000548</v>
      </c>
      <c r="B552" t="str">
        <f>TRIM(Raw_Claims_Data!B551)</f>
        <v>Peter Faulkner</v>
      </c>
      <c r="C552" t="str">
        <f>Raw_Claims_Data!C551</f>
        <v>Life</v>
      </c>
      <c r="D552">
        <f>Raw_Claims_Data!D551</f>
        <v>89.56</v>
      </c>
      <c r="E552">
        <f>Raw_Claims_Data!E551</f>
        <v>18000</v>
      </c>
      <c r="F552" t="str">
        <f>Raw_Claims_Data!F551</f>
        <v>MD</v>
      </c>
      <c r="G552" t="str">
        <f>Raw_Claims_Data!G551</f>
        <v>A</v>
      </c>
      <c r="H552" t="str">
        <f>Raw_Claims_Data!H551</f>
        <v>Major Loss</v>
      </c>
      <c r="I552" t="str">
        <f>IF(Raw_Claims_Data!I551="","None",Raw_Claims_Data!I551)</f>
        <v>Police</v>
      </c>
      <c r="J552" t="str">
        <f>Raw_Claims_Data!J551</f>
        <v>Anchorage</v>
      </c>
      <c r="K552" t="str">
        <f>Raw_Claims_Data!K551</f>
        <v>AK</v>
      </c>
      <c r="L552">
        <f>Raw_Claims_Data!L551</f>
        <v>23</v>
      </c>
      <c r="M552" t="str">
        <f>IF(Raw_Claims_Data!M551="","N/A",Raw_Claims_Data!M551)</f>
        <v>N/A</v>
      </c>
      <c r="N552" t="str">
        <f>Raw_Claims_Data!N551</f>
        <v>AGENT00363</v>
      </c>
      <c r="O552">
        <f>IF(Raw_Claims_Data!G551="D",1,0)</f>
        <v>0</v>
      </c>
    </row>
    <row r="553" spans="1:15" x14ac:dyDescent="0.35">
      <c r="A553" t="str">
        <f>Raw_Claims_Data!A552</f>
        <v>TXN00000549</v>
      </c>
      <c r="B553" t="str">
        <f>TRIM(Raw_Claims_Data!B552)</f>
        <v>Miriam Flynn</v>
      </c>
      <c r="C553" t="str">
        <f>Raw_Claims_Data!C552</f>
        <v>Mobile</v>
      </c>
      <c r="D553">
        <f>Raw_Claims_Data!D552</f>
        <v>8.3800000000000008</v>
      </c>
      <c r="E553">
        <f>Raw_Claims_Data!E552</f>
        <v>600</v>
      </c>
      <c r="F553" t="str">
        <f>Raw_Claims_Data!F552</f>
        <v>VT</v>
      </c>
      <c r="G553" t="str">
        <f>Raw_Claims_Data!G552</f>
        <v>A</v>
      </c>
      <c r="H553" t="str">
        <f>Raw_Claims_Data!H552</f>
        <v>Total Loss</v>
      </c>
      <c r="I553" t="str">
        <f>IF(Raw_Claims_Data!I552="","None",Raw_Claims_Data!I552)</f>
        <v>None</v>
      </c>
      <c r="J553" t="str">
        <f>Raw_Claims_Data!J552</f>
        <v>Montgomery</v>
      </c>
      <c r="K553" t="str">
        <f>Raw_Claims_Data!K552</f>
        <v>AL</v>
      </c>
      <c r="L553">
        <f>Raw_Claims_Data!L552</f>
        <v>10</v>
      </c>
      <c r="M553" t="str">
        <f>IF(Raw_Claims_Data!M552="","N/A",Raw_Claims_Data!M552)</f>
        <v>VNDR00093</v>
      </c>
      <c r="N553" t="str">
        <f>Raw_Claims_Data!N552</f>
        <v>AGENT01154</v>
      </c>
      <c r="O553">
        <f>IF(Raw_Claims_Data!G552="D",1,0)</f>
        <v>0</v>
      </c>
    </row>
    <row r="554" spans="1:15" x14ac:dyDescent="0.35">
      <c r="A554" t="str">
        <f>Raw_Claims_Data!A553</f>
        <v>TXN00000550</v>
      </c>
      <c r="B554" t="str">
        <f>TRIM(Raw_Claims_Data!B553)</f>
        <v>Nancy Mason</v>
      </c>
      <c r="C554" t="str">
        <f>Raw_Claims_Data!C553</f>
        <v>Health</v>
      </c>
      <c r="D554">
        <f>Raw_Claims_Data!D553</f>
        <v>189.95</v>
      </c>
      <c r="E554">
        <f>Raw_Claims_Data!E553</f>
        <v>1000</v>
      </c>
      <c r="F554" t="str">
        <f>Raw_Claims_Data!F553</f>
        <v>CA</v>
      </c>
      <c r="G554" t="str">
        <f>Raw_Claims_Data!G553</f>
        <v>A</v>
      </c>
      <c r="H554" t="str">
        <f>Raw_Claims_Data!H553</f>
        <v>Total Loss</v>
      </c>
      <c r="I554" t="str">
        <f>IF(Raw_Claims_Data!I553="","None",Raw_Claims_Data!I553)</f>
        <v>Police</v>
      </c>
      <c r="J554" t="str">
        <f>Raw_Claims_Data!J553</f>
        <v>Savannah</v>
      </c>
      <c r="K554" t="str">
        <f>Raw_Claims_Data!K553</f>
        <v>GA</v>
      </c>
      <c r="L554">
        <f>Raw_Claims_Data!L553</f>
        <v>13</v>
      </c>
      <c r="M554" t="str">
        <f>IF(Raw_Claims_Data!M553="","N/A",Raw_Claims_Data!M553)</f>
        <v>N/A</v>
      </c>
      <c r="N554" t="str">
        <f>Raw_Claims_Data!N553</f>
        <v>AGENT00539</v>
      </c>
      <c r="O554">
        <f>IF(Raw_Claims_Data!G553="D",1,0)</f>
        <v>0</v>
      </c>
    </row>
    <row r="555" spans="1:15" x14ac:dyDescent="0.35">
      <c r="A555" t="str">
        <f>Raw_Claims_Data!A554</f>
        <v>TXN00000551</v>
      </c>
      <c r="B555" t="str">
        <f>TRIM(Raw_Claims_Data!B554)</f>
        <v>Joan Berry</v>
      </c>
      <c r="C555" t="str">
        <f>Raw_Claims_Data!C554</f>
        <v>Health</v>
      </c>
      <c r="D555">
        <f>Raw_Claims_Data!D554</f>
        <v>145.78</v>
      </c>
      <c r="E555">
        <f>Raw_Claims_Data!E554</f>
        <v>10000</v>
      </c>
      <c r="F555" t="str">
        <f>Raw_Claims_Data!F554</f>
        <v>CT</v>
      </c>
      <c r="G555" t="str">
        <f>Raw_Claims_Data!G554</f>
        <v>A</v>
      </c>
      <c r="H555" t="str">
        <f>Raw_Claims_Data!H554</f>
        <v>Total Loss</v>
      </c>
      <c r="I555" t="str">
        <f>IF(Raw_Claims_Data!I554="","None",Raw_Claims_Data!I554)</f>
        <v>Other</v>
      </c>
      <c r="J555" t="str">
        <f>Raw_Claims_Data!J554</f>
        <v>Glen Burnie</v>
      </c>
      <c r="K555" t="str">
        <f>Raw_Claims_Data!K554</f>
        <v>MD</v>
      </c>
      <c r="L555">
        <f>Raw_Claims_Data!L554</f>
        <v>19</v>
      </c>
      <c r="M555" t="str">
        <f>IF(Raw_Claims_Data!M554="","N/A",Raw_Claims_Data!M554)</f>
        <v>VNDR00460</v>
      </c>
      <c r="N555" t="str">
        <f>Raw_Claims_Data!N554</f>
        <v>AGENT00051</v>
      </c>
      <c r="O555">
        <f>IF(Raw_Claims_Data!G554="D",1,0)</f>
        <v>0</v>
      </c>
    </row>
    <row r="556" spans="1:15" x14ac:dyDescent="0.35">
      <c r="A556" t="str">
        <f>Raw_Claims_Data!A555</f>
        <v>TXN00000552</v>
      </c>
      <c r="B556" t="str">
        <f>TRIM(Raw_Claims_Data!B555)</f>
        <v>David Burns</v>
      </c>
      <c r="C556" t="str">
        <f>Raw_Claims_Data!C555</f>
        <v>Health</v>
      </c>
      <c r="D556">
        <f>Raw_Claims_Data!D555</f>
        <v>167.28</v>
      </c>
      <c r="E556">
        <f>Raw_Claims_Data!E555</f>
        <v>18000</v>
      </c>
      <c r="F556" t="str">
        <f>Raw_Claims_Data!F555</f>
        <v>VT</v>
      </c>
      <c r="G556" t="str">
        <f>Raw_Claims_Data!G555</f>
        <v>A</v>
      </c>
      <c r="H556" t="str">
        <f>Raw_Claims_Data!H555</f>
        <v>Minor Loss</v>
      </c>
      <c r="I556" t="str">
        <f>IF(Raw_Claims_Data!I555="","None",Raw_Claims_Data!I555)</f>
        <v>Other</v>
      </c>
      <c r="J556" t="str">
        <f>Raw_Claims_Data!J555</f>
        <v>Arvada</v>
      </c>
      <c r="K556" t="str">
        <f>Raw_Claims_Data!K555</f>
        <v>CO</v>
      </c>
      <c r="L556">
        <f>Raw_Claims_Data!L555</f>
        <v>10</v>
      </c>
      <c r="M556" t="str">
        <f>IF(Raw_Claims_Data!M555="","N/A",Raw_Claims_Data!M555)</f>
        <v>VNDR00122</v>
      </c>
      <c r="N556" t="str">
        <f>Raw_Claims_Data!N555</f>
        <v>AGENT00414</v>
      </c>
      <c r="O556">
        <f>IF(Raw_Claims_Data!G555="D",1,0)</f>
        <v>0</v>
      </c>
    </row>
    <row r="557" spans="1:15" x14ac:dyDescent="0.35">
      <c r="A557" t="str">
        <f>Raw_Claims_Data!A556</f>
        <v>TXN00000553</v>
      </c>
      <c r="B557" t="str">
        <f>TRIM(Raw_Claims_Data!B556)</f>
        <v>Matthew Lutz</v>
      </c>
      <c r="C557" t="str">
        <f>Raw_Claims_Data!C556</f>
        <v>Property</v>
      </c>
      <c r="D557">
        <f>Raw_Claims_Data!D556</f>
        <v>129.87</v>
      </c>
      <c r="E557">
        <f>Raw_Claims_Data!E556</f>
        <v>13000</v>
      </c>
      <c r="F557" t="str">
        <f>Raw_Claims_Data!F556</f>
        <v>GA</v>
      </c>
      <c r="G557" t="str">
        <f>Raw_Claims_Data!G556</f>
        <v>A</v>
      </c>
      <c r="H557" t="str">
        <f>Raw_Claims_Data!H556</f>
        <v>Total Loss</v>
      </c>
      <c r="I557" t="str">
        <f>IF(Raw_Claims_Data!I556="","None",Raw_Claims_Data!I556)</f>
        <v>Police</v>
      </c>
      <c r="J557" t="str">
        <f>Raw_Claims_Data!J556</f>
        <v>Manchester</v>
      </c>
      <c r="K557" t="str">
        <f>Raw_Claims_Data!K556</f>
        <v>CT</v>
      </c>
      <c r="L557">
        <f>Raw_Claims_Data!L556</f>
        <v>7</v>
      </c>
      <c r="M557" t="str">
        <f>IF(Raw_Claims_Data!M556="","N/A",Raw_Claims_Data!M556)</f>
        <v>N/A</v>
      </c>
      <c r="N557" t="str">
        <f>Raw_Claims_Data!N556</f>
        <v>AGENT00377</v>
      </c>
      <c r="O557">
        <f>IF(Raw_Claims_Data!G556="D",1,0)</f>
        <v>0</v>
      </c>
    </row>
    <row r="558" spans="1:15" x14ac:dyDescent="0.35">
      <c r="A558" t="str">
        <f>Raw_Claims_Data!A557</f>
        <v>TXN00000554</v>
      </c>
      <c r="B558" t="str">
        <f>TRIM(Raw_Claims_Data!B557)</f>
        <v>Pearl Updike</v>
      </c>
      <c r="C558" t="str">
        <f>Raw_Claims_Data!C557</f>
        <v>Travel</v>
      </c>
      <c r="D558">
        <f>Raw_Claims_Data!D557</f>
        <v>83.47</v>
      </c>
      <c r="E558">
        <f>Raw_Claims_Data!E557</f>
        <v>1000</v>
      </c>
      <c r="F558" t="str">
        <f>Raw_Claims_Data!F557</f>
        <v>GA</v>
      </c>
      <c r="G558" t="str">
        <f>Raw_Claims_Data!G557</f>
        <v>A</v>
      </c>
      <c r="H558" t="str">
        <f>Raw_Claims_Data!H557</f>
        <v>Minor Loss</v>
      </c>
      <c r="I558" t="str">
        <f>IF(Raw_Claims_Data!I557="","None",Raw_Claims_Data!I557)</f>
        <v>Ambulance</v>
      </c>
      <c r="J558" t="str">
        <f>Raw_Claims_Data!J557</f>
        <v>Oklahoma City</v>
      </c>
      <c r="K558" t="str">
        <f>Raw_Claims_Data!K557</f>
        <v>OK</v>
      </c>
      <c r="L558">
        <f>Raw_Claims_Data!L557</f>
        <v>23</v>
      </c>
      <c r="M558" t="str">
        <f>IF(Raw_Claims_Data!M557="","N/A",Raw_Claims_Data!M557)</f>
        <v>VNDR00122</v>
      </c>
      <c r="N558" t="str">
        <f>Raw_Claims_Data!N557</f>
        <v>AGENT00760</v>
      </c>
      <c r="O558">
        <f>IF(Raw_Claims_Data!G557="D",1,0)</f>
        <v>0</v>
      </c>
    </row>
    <row r="559" spans="1:15" x14ac:dyDescent="0.35">
      <c r="A559" t="str">
        <f>Raw_Claims_Data!A558</f>
        <v>TXN00000555</v>
      </c>
      <c r="B559" t="str">
        <f>TRIM(Raw_Claims_Data!B558)</f>
        <v>Jose Sinclair</v>
      </c>
      <c r="C559" t="str">
        <f>Raw_Claims_Data!C558</f>
        <v>Life</v>
      </c>
      <c r="D559">
        <f>Raw_Claims_Data!D558</f>
        <v>73.22</v>
      </c>
      <c r="E559">
        <f>Raw_Claims_Data!E558</f>
        <v>70000</v>
      </c>
      <c r="F559" t="str">
        <f>Raw_Claims_Data!F558</f>
        <v>AZ</v>
      </c>
      <c r="G559" t="str">
        <f>Raw_Claims_Data!G558</f>
        <v>A</v>
      </c>
      <c r="H559" t="str">
        <f>Raw_Claims_Data!H558</f>
        <v>Minor Loss</v>
      </c>
      <c r="I559" t="str">
        <f>IF(Raw_Claims_Data!I558="","None",Raw_Claims_Data!I558)</f>
        <v>Ambulance</v>
      </c>
      <c r="J559" t="str">
        <f>Raw_Claims_Data!J558</f>
        <v>Port Wentworth</v>
      </c>
      <c r="K559" t="str">
        <f>Raw_Claims_Data!K558</f>
        <v>GA</v>
      </c>
      <c r="L559">
        <f>Raw_Claims_Data!L558</f>
        <v>0</v>
      </c>
      <c r="M559" t="str">
        <f>IF(Raw_Claims_Data!M558="","N/A",Raw_Claims_Data!M558)</f>
        <v>VNDR00416</v>
      </c>
      <c r="N559" t="str">
        <f>Raw_Claims_Data!N558</f>
        <v>AGENT00102</v>
      </c>
      <c r="O559">
        <f>IF(Raw_Claims_Data!G558="D",1,0)</f>
        <v>0</v>
      </c>
    </row>
    <row r="560" spans="1:15" x14ac:dyDescent="0.35">
      <c r="A560" t="str">
        <f>Raw_Claims_Data!A559</f>
        <v>TXN00000556</v>
      </c>
      <c r="B560" t="str">
        <f>TRIM(Raw_Claims_Data!B559)</f>
        <v>Melinda Ledesma</v>
      </c>
      <c r="C560" t="str">
        <f>Raw_Claims_Data!C559</f>
        <v>Motor</v>
      </c>
      <c r="D560">
        <f>Raw_Claims_Data!D559</f>
        <v>92.87</v>
      </c>
      <c r="E560">
        <f>Raw_Claims_Data!E559</f>
        <v>7000</v>
      </c>
      <c r="F560" t="str">
        <f>Raw_Claims_Data!F559</f>
        <v>CA</v>
      </c>
      <c r="G560" t="str">
        <f>Raw_Claims_Data!G559</f>
        <v>A</v>
      </c>
      <c r="H560" t="str">
        <f>Raw_Claims_Data!H559</f>
        <v>Minor Loss</v>
      </c>
      <c r="I560" t="str">
        <f>IF(Raw_Claims_Data!I559="","None",Raw_Claims_Data!I559)</f>
        <v>Ambulance</v>
      </c>
      <c r="J560" t="str">
        <f>Raw_Claims_Data!J559</f>
        <v>Oklahoma City</v>
      </c>
      <c r="K560" t="str">
        <f>Raw_Claims_Data!K559</f>
        <v>OK</v>
      </c>
      <c r="L560">
        <f>Raw_Claims_Data!L559</f>
        <v>2</v>
      </c>
      <c r="M560" t="str">
        <f>IF(Raw_Claims_Data!M559="","N/A",Raw_Claims_Data!M559)</f>
        <v>VNDR00400</v>
      </c>
      <c r="N560" t="str">
        <f>Raw_Claims_Data!N559</f>
        <v>AGENT00040</v>
      </c>
      <c r="O560">
        <f>IF(Raw_Claims_Data!G559="D",1,0)</f>
        <v>0</v>
      </c>
    </row>
    <row r="561" spans="1:15" x14ac:dyDescent="0.35">
      <c r="A561" t="str">
        <f>Raw_Claims_Data!A560</f>
        <v>TXN00000557</v>
      </c>
      <c r="B561" t="str">
        <f>TRIM(Raw_Claims_Data!B560)</f>
        <v>Donald Dunn</v>
      </c>
      <c r="C561" t="str">
        <f>Raw_Claims_Data!C560</f>
        <v>Travel</v>
      </c>
      <c r="D561">
        <f>Raw_Claims_Data!D560</f>
        <v>63.94</v>
      </c>
      <c r="E561">
        <f>Raw_Claims_Data!E560</f>
        <v>4000</v>
      </c>
      <c r="F561" t="str">
        <f>Raw_Claims_Data!F560</f>
        <v>VT</v>
      </c>
      <c r="G561" t="str">
        <f>Raw_Claims_Data!G560</f>
        <v>A</v>
      </c>
      <c r="H561" t="str">
        <f>Raw_Claims_Data!H560</f>
        <v>Minor Loss</v>
      </c>
      <c r="I561" t="str">
        <f>IF(Raw_Claims_Data!I560="","None",Raw_Claims_Data!I560)</f>
        <v>None</v>
      </c>
      <c r="J561" t="str">
        <f>Raw_Claims_Data!J560</f>
        <v>Panama City</v>
      </c>
      <c r="K561" t="str">
        <f>Raw_Claims_Data!K560</f>
        <v>FL</v>
      </c>
      <c r="L561">
        <f>Raw_Claims_Data!L560</f>
        <v>14</v>
      </c>
      <c r="M561" t="str">
        <f>IF(Raw_Claims_Data!M560="","N/A",Raw_Claims_Data!M560)</f>
        <v>VNDR00292</v>
      </c>
      <c r="N561" t="str">
        <f>Raw_Claims_Data!N560</f>
        <v>AGENT00279</v>
      </c>
      <c r="O561">
        <f>IF(Raw_Claims_Data!G560="D",1,0)</f>
        <v>0</v>
      </c>
    </row>
    <row r="562" spans="1:15" x14ac:dyDescent="0.35">
      <c r="A562" t="str">
        <f>Raw_Claims_Data!A561</f>
        <v>TXN00000558</v>
      </c>
      <c r="B562" t="str">
        <f>TRIM(Raw_Claims_Data!B561)</f>
        <v>Jill Moore</v>
      </c>
      <c r="C562" t="str">
        <f>Raw_Claims_Data!C561</f>
        <v>Travel</v>
      </c>
      <c r="D562">
        <f>Raw_Claims_Data!D561</f>
        <v>90.85</v>
      </c>
      <c r="E562">
        <f>Raw_Claims_Data!E561</f>
        <v>4000</v>
      </c>
      <c r="F562" t="str">
        <f>Raw_Claims_Data!F561</f>
        <v>OK</v>
      </c>
      <c r="G562" t="str">
        <f>Raw_Claims_Data!G561</f>
        <v>A</v>
      </c>
      <c r="H562" t="str">
        <f>Raw_Claims_Data!H561</f>
        <v>Minor Loss</v>
      </c>
      <c r="I562" t="str">
        <f>IF(Raw_Claims_Data!I561="","None",Raw_Claims_Data!I561)</f>
        <v>Ambulance</v>
      </c>
      <c r="J562" t="str">
        <f>Raw_Claims_Data!J561</f>
        <v>Glendale</v>
      </c>
      <c r="K562" t="str">
        <f>Raw_Claims_Data!K561</f>
        <v>AZ</v>
      </c>
      <c r="L562">
        <f>Raw_Claims_Data!L561</f>
        <v>6</v>
      </c>
      <c r="M562" t="str">
        <f>IF(Raw_Claims_Data!M561="","N/A",Raw_Claims_Data!M561)</f>
        <v>VNDR00107</v>
      </c>
      <c r="N562" t="str">
        <f>Raw_Claims_Data!N561</f>
        <v>AGENT00740</v>
      </c>
      <c r="O562">
        <f>IF(Raw_Claims_Data!G561="D",1,0)</f>
        <v>0</v>
      </c>
    </row>
    <row r="563" spans="1:15" x14ac:dyDescent="0.35">
      <c r="A563" t="str">
        <f>Raw_Claims_Data!A562</f>
        <v>TXN00000559</v>
      </c>
      <c r="B563" t="str">
        <f>TRIM(Raw_Claims_Data!B562)</f>
        <v>Jeremy Allie</v>
      </c>
      <c r="C563" t="str">
        <f>Raw_Claims_Data!C562</f>
        <v>Travel</v>
      </c>
      <c r="D563">
        <f>Raw_Claims_Data!D562</f>
        <v>61.04</v>
      </c>
      <c r="E563">
        <f>Raw_Claims_Data!E562</f>
        <v>2000</v>
      </c>
      <c r="F563" t="str">
        <f>Raw_Claims_Data!F562</f>
        <v>AR</v>
      </c>
      <c r="G563" t="str">
        <f>Raw_Claims_Data!G562</f>
        <v>A</v>
      </c>
      <c r="H563" t="str">
        <f>Raw_Claims_Data!H562</f>
        <v>Total Loss</v>
      </c>
      <c r="I563" t="str">
        <f>IF(Raw_Claims_Data!I562="","None",Raw_Claims_Data!I562)</f>
        <v>Ambulance</v>
      </c>
      <c r="J563" t="str">
        <f>Raw_Claims_Data!J562</f>
        <v>Anchorage</v>
      </c>
      <c r="K563" t="str">
        <f>Raw_Claims_Data!K562</f>
        <v>AK</v>
      </c>
      <c r="L563">
        <f>Raw_Claims_Data!L562</f>
        <v>15</v>
      </c>
      <c r="M563" t="str">
        <f>IF(Raw_Claims_Data!M562="","N/A",Raw_Claims_Data!M562)</f>
        <v>N/A</v>
      </c>
      <c r="N563" t="str">
        <f>Raw_Claims_Data!N562</f>
        <v>AGENT00978</v>
      </c>
      <c r="O563">
        <f>IF(Raw_Claims_Data!G562="D",1,0)</f>
        <v>0</v>
      </c>
    </row>
    <row r="564" spans="1:15" x14ac:dyDescent="0.35">
      <c r="A564" t="str">
        <f>Raw_Claims_Data!A563</f>
        <v>TXN00000560</v>
      </c>
      <c r="B564" t="str">
        <f>TRIM(Raw_Claims_Data!B563)</f>
        <v>Nichole Huynh</v>
      </c>
      <c r="C564" t="str">
        <f>Raw_Claims_Data!C563</f>
        <v>Mobile</v>
      </c>
      <c r="D564">
        <f>Raw_Claims_Data!D563</f>
        <v>8.5</v>
      </c>
      <c r="E564">
        <f>Raw_Claims_Data!E563</f>
        <v>300</v>
      </c>
      <c r="F564" t="str">
        <f>Raw_Claims_Data!F563</f>
        <v>GA</v>
      </c>
      <c r="G564" t="str">
        <f>Raw_Claims_Data!G563</f>
        <v>A</v>
      </c>
      <c r="H564" t="str">
        <f>Raw_Claims_Data!H563</f>
        <v>Major Loss</v>
      </c>
      <c r="I564" t="str">
        <f>IF(Raw_Claims_Data!I563="","None",Raw_Claims_Data!I563)</f>
        <v>Ambulance</v>
      </c>
      <c r="J564" t="str">
        <f>Raw_Claims_Data!J563</f>
        <v>Savannah</v>
      </c>
      <c r="K564" t="str">
        <f>Raw_Claims_Data!K563</f>
        <v>GA</v>
      </c>
      <c r="L564">
        <f>Raw_Claims_Data!L563</f>
        <v>0</v>
      </c>
      <c r="M564" t="str">
        <f>IF(Raw_Claims_Data!M563="","N/A",Raw_Claims_Data!M563)</f>
        <v>N/A</v>
      </c>
      <c r="N564" t="str">
        <f>Raw_Claims_Data!N563</f>
        <v>AGENT00068</v>
      </c>
      <c r="O564">
        <f>IF(Raw_Claims_Data!G563="D",1,0)</f>
        <v>0</v>
      </c>
    </row>
    <row r="565" spans="1:15" x14ac:dyDescent="0.35">
      <c r="A565" t="str">
        <f>Raw_Claims_Data!A564</f>
        <v>TXN00000561</v>
      </c>
      <c r="B565" t="str">
        <f>TRIM(Raw_Claims_Data!B564)</f>
        <v>Anna Johnson</v>
      </c>
      <c r="C565" t="str">
        <f>Raw_Claims_Data!C564</f>
        <v>Life</v>
      </c>
      <c r="D565">
        <f>Raw_Claims_Data!D564</f>
        <v>70.099999999999994</v>
      </c>
      <c r="E565">
        <f>Raw_Claims_Data!E564</f>
        <v>80000</v>
      </c>
      <c r="F565" t="str">
        <f>Raw_Claims_Data!F564</f>
        <v>AL</v>
      </c>
      <c r="G565" t="str">
        <f>Raw_Claims_Data!G564</f>
        <v>A</v>
      </c>
      <c r="H565" t="str">
        <f>Raw_Claims_Data!H564</f>
        <v>Major Loss</v>
      </c>
      <c r="I565" t="str">
        <f>IF(Raw_Claims_Data!I564="","None",Raw_Claims_Data!I564)</f>
        <v>Police</v>
      </c>
      <c r="J565" t="str">
        <f>Raw_Claims_Data!J564</f>
        <v>Shaftsbury</v>
      </c>
      <c r="K565" t="str">
        <f>Raw_Claims_Data!K564</f>
        <v>VT</v>
      </c>
      <c r="L565">
        <f>Raw_Claims_Data!L564</f>
        <v>10</v>
      </c>
      <c r="M565" t="str">
        <f>IF(Raw_Claims_Data!M564="","N/A",Raw_Claims_Data!M564)</f>
        <v>VNDR00033</v>
      </c>
      <c r="N565" t="str">
        <f>Raw_Claims_Data!N564</f>
        <v>AGENT00469</v>
      </c>
      <c r="O565">
        <f>IF(Raw_Claims_Data!G564="D",1,0)</f>
        <v>0</v>
      </c>
    </row>
    <row r="566" spans="1:15" x14ac:dyDescent="0.35">
      <c r="A566" t="str">
        <f>Raw_Claims_Data!A565</f>
        <v>TXN00000562</v>
      </c>
      <c r="B566" t="str">
        <f>TRIM(Raw_Claims_Data!B565)</f>
        <v>Joanne Booker</v>
      </c>
      <c r="C566" t="str">
        <f>Raw_Claims_Data!C565</f>
        <v>Motor</v>
      </c>
      <c r="D566">
        <f>Raw_Claims_Data!D565</f>
        <v>130.13</v>
      </c>
      <c r="E566">
        <f>Raw_Claims_Data!E565</f>
        <v>10000</v>
      </c>
      <c r="F566" t="str">
        <f>Raw_Claims_Data!F565</f>
        <v>AK</v>
      </c>
      <c r="G566" t="str">
        <f>Raw_Claims_Data!G565</f>
        <v>A</v>
      </c>
      <c r="H566" t="str">
        <f>Raw_Claims_Data!H565</f>
        <v>Minor Loss</v>
      </c>
      <c r="I566" t="str">
        <f>IF(Raw_Claims_Data!I565="","None",Raw_Claims_Data!I565)</f>
        <v>Other</v>
      </c>
      <c r="J566" t="str">
        <f>Raw_Claims_Data!J565</f>
        <v>Hartford</v>
      </c>
      <c r="K566" t="str">
        <f>Raw_Claims_Data!K565</f>
        <v>VT</v>
      </c>
      <c r="L566">
        <f>Raw_Claims_Data!L565</f>
        <v>17</v>
      </c>
      <c r="M566" t="str">
        <f>IF(Raw_Claims_Data!M565="","N/A",Raw_Claims_Data!M565)</f>
        <v>VNDR00555</v>
      </c>
      <c r="N566" t="str">
        <f>Raw_Claims_Data!N565</f>
        <v>AGENT00707</v>
      </c>
      <c r="O566">
        <f>IF(Raw_Claims_Data!G565="D",1,0)</f>
        <v>0</v>
      </c>
    </row>
    <row r="567" spans="1:15" x14ac:dyDescent="0.35">
      <c r="A567" t="str">
        <f>Raw_Claims_Data!A566</f>
        <v>TXN00000563</v>
      </c>
      <c r="B567" t="str">
        <f>TRIM(Raw_Claims_Data!B566)</f>
        <v>Dominga Butler</v>
      </c>
      <c r="C567" t="str">
        <f>Raw_Claims_Data!C566</f>
        <v>Mobile</v>
      </c>
      <c r="D567">
        <f>Raw_Claims_Data!D566</f>
        <v>6.6</v>
      </c>
      <c r="E567">
        <f>Raw_Claims_Data!E566</f>
        <v>600</v>
      </c>
      <c r="F567" t="str">
        <f>Raw_Claims_Data!F566</f>
        <v>MD</v>
      </c>
      <c r="G567" t="str">
        <f>Raw_Claims_Data!G566</f>
        <v>A</v>
      </c>
      <c r="H567" t="str">
        <f>Raw_Claims_Data!H566</f>
        <v>Major Loss</v>
      </c>
      <c r="I567" t="str">
        <f>IF(Raw_Claims_Data!I566="","None",Raw_Claims_Data!I566)</f>
        <v>Ambulance</v>
      </c>
      <c r="J567" t="str">
        <f>Raw_Claims_Data!J566</f>
        <v>Panama City Beach</v>
      </c>
      <c r="K567" t="str">
        <f>Raw_Claims_Data!K566</f>
        <v>FL</v>
      </c>
      <c r="L567">
        <f>Raw_Claims_Data!L566</f>
        <v>0</v>
      </c>
      <c r="M567" t="str">
        <f>IF(Raw_Claims_Data!M566="","N/A",Raw_Claims_Data!M566)</f>
        <v>VNDR00254</v>
      </c>
      <c r="N567" t="str">
        <f>Raw_Claims_Data!N566</f>
        <v>AGENT00377</v>
      </c>
      <c r="O567">
        <f>IF(Raw_Claims_Data!G566="D",1,0)</f>
        <v>0</v>
      </c>
    </row>
    <row r="568" spans="1:15" x14ac:dyDescent="0.35">
      <c r="A568" t="str">
        <f>Raw_Claims_Data!A567</f>
        <v>TXN00000564</v>
      </c>
      <c r="B568" t="str">
        <f>TRIM(Raw_Claims_Data!B567)</f>
        <v>Tommy Tofil</v>
      </c>
      <c r="C568" t="str">
        <f>Raw_Claims_Data!C567</f>
        <v>Motor</v>
      </c>
      <c r="D568">
        <f>Raw_Claims_Data!D567</f>
        <v>121.35</v>
      </c>
      <c r="E568">
        <f>Raw_Claims_Data!E567</f>
        <v>2000</v>
      </c>
      <c r="F568" t="str">
        <f>Raw_Claims_Data!F567</f>
        <v>CO</v>
      </c>
      <c r="G568" t="str">
        <f>Raw_Claims_Data!G567</f>
        <v>A</v>
      </c>
      <c r="H568" t="str">
        <f>Raw_Claims_Data!H567</f>
        <v>Major Loss</v>
      </c>
      <c r="I568" t="str">
        <f>IF(Raw_Claims_Data!I567="","None",Raw_Claims_Data!I567)</f>
        <v>Other</v>
      </c>
      <c r="J568" t="str">
        <f>Raw_Claims_Data!J567</f>
        <v>Crownsville</v>
      </c>
      <c r="K568" t="str">
        <f>Raw_Claims_Data!K567</f>
        <v>MD</v>
      </c>
      <c r="L568">
        <f>Raw_Claims_Data!L567</f>
        <v>10</v>
      </c>
      <c r="M568" t="str">
        <f>IF(Raw_Claims_Data!M567="","N/A",Raw_Claims_Data!M567)</f>
        <v>VNDR00332</v>
      </c>
      <c r="N568" t="str">
        <f>Raw_Claims_Data!N567</f>
        <v>AGENT00375</v>
      </c>
      <c r="O568">
        <f>IF(Raw_Claims_Data!G567="D",1,0)</f>
        <v>0</v>
      </c>
    </row>
    <row r="569" spans="1:15" x14ac:dyDescent="0.35">
      <c r="A569" t="str">
        <f>Raw_Claims_Data!A568</f>
        <v>TXN00000565</v>
      </c>
      <c r="B569" t="str">
        <f>TRIM(Raw_Claims_Data!B568)</f>
        <v>Adele Newborn</v>
      </c>
      <c r="C569" t="str">
        <f>Raw_Claims_Data!C568</f>
        <v>Mobile</v>
      </c>
      <c r="D569">
        <f>Raw_Claims_Data!D568</f>
        <v>9.2799999999999994</v>
      </c>
      <c r="E569">
        <f>Raw_Claims_Data!E568</f>
        <v>600</v>
      </c>
      <c r="F569" t="str">
        <f>Raw_Claims_Data!F568</f>
        <v>CA</v>
      </c>
      <c r="G569" t="str">
        <f>Raw_Claims_Data!G568</f>
        <v>A</v>
      </c>
      <c r="H569" t="str">
        <f>Raw_Claims_Data!H568</f>
        <v>Total Loss</v>
      </c>
      <c r="I569" t="str">
        <f>IF(Raw_Claims_Data!I568="","None",Raw_Claims_Data!I568)</f>
        <v>Ambulance</v>
      </c>
      <c r="J569" t="str">
        <f>Raw_Claims_Data!J568</f>
        <v>Weathersfield</v>
      </c>
      <c r="K569" t="str">
        <f>Raw_Claims_Data!K568</f>
        <v>VT</v>
      </c>
      <c r="L569">
        <f>Raw_Claims_Data!L568</f>
        <v>22</v>
      </c>
      <c r="M569" t="str">
        <f>IF(Raw_Claims_Data!M568="","N/A",Raw_Claims_Data!M568)</f>
        <v>VNDR00410</v>
      </c>
      <c r="N569" t="str">
        <f>Raw_Claims_Data!N568</f>
        <v>AGENT00283</v>
      </c>
      <c r="O569">
        <f>IF(Raw_Claims_Data!G568="D",1,0)</f>
        <v>0</v>
      </c>
    </row>
    <row r="570" spans="1:15" x14ac:dyDescent="0.35">
      <c r="A570" t="str">
        <f>Raw_Claims_Data!A569</f>
        <v>TXN00000566</v>
      </c>
      <c r="B570" t="str">
        <f>TRIM(Raw_Claims_Data!B569)</f>
        <v>Russell Castro</v>
      </c>
      <c r="C570" t="str">
        <f>Raw_Claims_Data!C569</f>
        <v>Life</v>
      </c>
      <c r="D570">
        <f>Raw_Claims_Data!D569</f>
        <v>56.24</v>
      </c>
      <c r="E570">
        <f>Raw_Claims_Data!E569</f>
        <v>67000</v>
      </c>
      <c r="F570" t="str">
        <f>Raw_Claims_Data!F569</f>
        <v>DC</v>
      </c>
      <c r="G570" t="str">
        <f>Raw_Claims_Data!G569</f>
        <v>A</v>
      </c>
      <c r="H570" t="str">
        <f>Raw_Claims_Data!H569</f>
        <v>Major Loss</v>
      </c>
      <c r="I570" t="str">
        <f>IF(Raw_Claims_Data!I569="","None",Raw_Claims_Data!I569)</f>
        <v>Ambulance</v>
      </c>
      <c r="J570" t="str">
        <f>Raw_Claims_Data!J569</f>
        <v>Ardmore</v>
      </c>
      <c r="K570" t="str">
        <f>Raw_Claims_Data!K569</f>
        <v>OK</v>
      </c>
      <c r="L570">
        <f>Raw_Claims_Data!L569</f>
        <v>19</v>
      </c>
      <c r="M570" t="str">
        <f>IF(Raw_Claims_Data!M569="","N/A",Raw_Claims_Data!M569)</f>
        <v>VNDR00066</v>
      </c>
      <c r="N570" t="str">
        <f>Raw_Claims_Data!N569</f>
        <v>AGENT00613</v>
      </c>
      <c r="O570">
        <f>IF(Raw_Claims_Data!G569="D",1,0)</f>
        <v>0</v>
      </c>
    </row>
    <row r="571" spans="1:15" x14ac:dyDescent="0.35">
      <c r="A571" t="str">
        <f>Raw_Claims_Data!A570</f>
        <v>TXN00000567</v>
      </c>
      <c r="B571" t="str">
        <f>TRIM(Raw_Claims_Data!B570)</f>
        <v>Dorothy Hart</v>
      </c>
      <c r="C571" t="str">
        <f>Raw_Claims_Data!C570</f>
        <v>Travel</v>
      </c>
      <c r="D571">
        <f>Raw_Claims_Data!D570</f>
        <v>76.33</v>
      </c>
      <c r="E571">
        <f>Raw_Claims_Data!E570</f>
        <v>3000</v>
      </c>
      <c r="F571" t="str">
        <f>Raw_Claims_Data!F570</f>
        <v>AR</v>
      </c>
      <c r="G571" t="str">
        <f>Raw_Claims_Data!G570</f>
        <v>A</v>
      </c>
      <c r="H571" t="str">
        <f>Raw_Claims_Data!H570</f>
        <v>Minor Loss</v>
      </c>
      <c r="I571" t="str">
        <f>IF(Raw_Claims_Data!I570="","None",Raw_Claims_Data!I570)</f>
        <v>None</v>
      </c>
      <c r="J571" t="str">
        <f>Raw_Claims_Data!J570</f>
        <v>Louisville</v>
      </c>
      <c r="K571" t="str">
        <f>Raw_Claims_Data!K570</f>
        <v>KY</v>
      </c>
      <c r="L571">
        <f>Raw_Claims_Data!L570</f>
        <v>19</v>
      </c>
      <c r="M571" t="str">
        <f>IF(Raw_Claims_Data!M570="","N/A",Raw_Claims_Data!M570)</f>
        <v>VNDR00593</v>
      </c>
      <c r="N571" t="str">
        <f>Raw_Claims_Data!N570</f>
        <v>AGENT01039</v>
      </c>
      <c r="O571">
        <f>IF(Raw_Claims_Data!G570="D",1,0)</f>
        <v>0</v>
      </c>
    </row>
    <row r="572" spans="1:15" x14ac:dyDescent="0.35">
      <c r="A572" t="str">
        <f>Raw_Claims_Data!A571</f>
        <v>TXN00000568</v>
      </c>
      <c r="B572" t="str">
        <f>TRIM(Raw_Claims_Data!B571)</f>
        <v>Betty Beasley</v>
      </c>
      <c r="C572" t="str">
        <f>Raw_Claims_Data!C571</f>
        <v>Motor</v>
      </c>
      <c r="D572">
        <f>Raw_Claims_Data!D571</f>
        <v>73.930000000000007</v>
      </c>
      <c r="E572">
        <f>Raw_Claims_Data!E571</f>
        <v>5000</v>
      </c>
      <c r="F572" t="str">
        <f>Raw_Claims_Data!F571</f>
        <v>GA</v>
      </c>
      <c r="G572" t="str">
        <f>Raw_Claims_Data!G571</f>
        <v>A</v>
      </c>
      <c r="H572" t="str">
        <f>Raw_Claims_Data!H571</f>
        <v>Minor Loss</v>
      </c>
      <c r="I572" t="str">
        <f>IF(Raw_Claims_Data!I571="","None",Raw_Claims_Data!I571)</f>
        <v>Police</v>
      </c>
      <c r="J572" t="str">
        <f>Raw_Claims_Data!J571</f>
        <v>Washington</v>
      </c>
      <c r="K572" t="str">
        <f>Raw_Claims_Data!K571</f>
        <v>DC</v>
      </c>
      <c r="L572">
        <f>Raw_Claims_Data!L571</f>
        <v>10</v>
      </c>
      <c r="M572" t="str">
        <f>IF(Raw_Claims_Data!M571="","N/A",Raw_Claims_Data!M571)</f>
        <v>N/A</v>
      </c>
      <c r="N572" t="str">
        <f>Raw_Claims_Data!N571</f>
        <v>AGENT00641</v>
      </c>
      <c r="O572">
        <f>IF(Raw_Claims_Data!G571="D",1,0)</f>
        <v>0</v>
      </c>
    </row>
    <row r="573" spans="1:15" x14ac:dyDescent="0.35">
      <c r="A573" t="str">
        <f>Raw_Claims_Data!A572</f>
        <v>TXN00000569</v>
      </c>
      <c r="B573" t="str">
        <f>TRIM(Raw_Claims_Data!B572)</f>
        <v>Marcella Lanehart</v>
      </c>
      <c r="C573" t="str">
        <f>Raw_Claims_Data!C572</f>
        <v>Life</v>
      </c>
      <c r="D573">
        <f>Raw_Claims_Data!D572</f>
        <v>54.47</v>
      </c>
      <c r="E573">
        <f>Raw_Claims_Data!E572</f>
        <v>15000</v>
      </c>
      <c r="F573" t="str">
        <f>Raw_Claims_Data!F572</f>
        <v>AZ</v>
      </c>
      <c r="G573" t="str">
        <f>Raw_Claims_Data!G572</f>
        <v>A</v>
      </c>
      <c r="H573" t="str">
        <f>Raw_Claims_Data!H572</f>
        <v>Total Loss</v>
      </c>
      <c r="I573" t="str">
        <f>IF(Raw_Claims_Data!I572="","None",Raw_Claims_Data!I572)</f>
        <v>Police</v>
      </c>
      <c r="J573" t="str">
        <f>Raw_Claims_Data!J572</f>
        <v>Oakland</v>
      </c>
      <c r="K573" t="str">
        <f>Raw_Claims_Data!K572</f>
        <v>CA</v>
      </c>
      <c r="L573">
        <f>Raw_Claims_Data!L572</f>
        <v>2</v>
      </c>
      <c r="M573" t="str">
        <f>IF(Raw_Claims_Data!M572="","N/A",Raw_Claims_Data!M572)</f>
        <v>VNDR00295</v>
      </c>
      <c r="N573" t="str">
        <f>Raw_Claims_Data!N572</f>
        <v>AGENT00379</v>
      </c>
      <c r="O573">
        <f>IF(Raw_Claims_Data!G572="D",1,0)</f>
        <v>0</v>
      </c>
    </row>
    <row r="574" spans="1:15" x14ac:dyDescent="0.35">
      <c r="A574" t="str">
        <f>Raw_Claims_Data!A573</f>
        <v>TXN00000570</v>
      </c>
      <c r="B574" t="str">
        <f>TRIM(Raw_Claims_Data!B573)</f>
        <v>Claude Harrington</v>
      </c>
      <c r="C574" t="str">
        <f>Raw_Claims_Data!C573</f>
        <v>Motor</v>
      </c>
      <c r="D574">
        <f>Raw_Claims_Data!D573</f>
        <v>102.16</v>
      </c>
      <c r="E574">
        <f>Raw_Claims_Data!E573</f>
        <v>7000</v>
      </c>
      <c r="F574" t="str">
        <f>Raw_Claims_Data!F573</f>
        <v>CT</v>
      </c>
      <c r="G574" t="str">
        <f>Raw_Claims_Data!G573</f>
        <v>A</v>
      </c>
      <c r="H574" t="str">
        <f>Raw_Claims_Data!H573</f>
        <v>Major Loss</v>
      </c>
      <c r="I574" t="str">
        <f>IF(Raw_Claims_Data!I573="","None",Raw_Claims_Data!I573)</f>
        <v>None</v>
      </c>
      <c r="J574" t="str">
        <f>Raw_Claims_Data!J573</f>
        <v>Oklahoma City</v>
      </c>
      <c r="K574" t="str">
        <f>Raw_Claims_Data!K573</f>
        <v>OK</v>
      </c>
      <c r="L574">
        <f>Raw_Claims_Data!L573</f>
        <v>3</v>
      </c>
      <c r="M574" t="str">
        <f>IF(Raw_Claims_Data!M573="","N/A",Raw_Claims_Data!M573)</f>
        <v>VNDR00451</v>
      </c>
      <c r="N574" t="str">
        <f>Raw_Claims_Data!N573</f>
        <v>AGENT00425</v>
      </c>
      <c r="O574">
        <f>IF(Raw_Claims_Data!G573="D",1,0)</f>
        <v>0</v>
      </c>
    </row>
    <row r="575" spans="1:15" x14ac:dyDescent="0.35">
      <c r="A575" t="str">
        <f>Raw_Claims_Data!A574</f>
        <v>TXN00000571</v>
      </c>
      <c r="B575" t="str">
        <f>TRIM(Raw_Claims_Data!B574)</f>
        <v>Margaret Meritt</v>
      </c>
      <c r="C575" t="str">
        <f>Raw_Claims_Data!C574</f>
        <v>Travel</v>
      </c>
      <c r="D575">
        <f>Raw_Claims_Data!D574</f>
        <v>64.319999999999993</v>
      </c>
      <c r="E575">
        <f>Raw_Claims_Data!E574</f>
        <v>2000</v>
      </c>
      <c r="F575" t="str">
        <f>Raw_Claims_Data!F574</f>
        <v>DC</v>
      </c>
      <c r="G575" t="str">
        <f>Raw_Claims_Data!G574</f>
        <v>A</v>
      </c>
      <c r="H575" t="str">
        <f>Raw_Claims_Data!H574</f>
        <v>Major Loss</v>
      </c>
      <c r="I575" t="str">
        <f>IF(Raw_Claims_Data!I574="","None",Raw_Claims_Data!I574)</f>
        <v>Ambulance</v>
      </c>
      <c r="J575" t="str">
        <f>Raw_Claims_Data!J574</f>
        <v>Nashville</v>
      </c>
      <c r="K575" t="str">
        <f>Raw_Claims_Data!K574</f>
        <v>TN</v>
      </c>
      <c r="L575">
        <f>Raw_Claims_Data!L574</f>
        <v>19</v>
      </c>
      <c r="M575" t="str">
        <f>IF(Raw_Claims_Data!M574="","N/A",Raw_Claims_Data!M574)</f>
        <v>VNDR00250</v>
      </c>
      <c r="N575" t="str">
        <f>Raw_Claims_Data!N574</f>
        <v>AGENT00382</v>
      </c>
      <c r="O575">
        <f>IF(Raw_Claims_Data!G574="D",1,0)</f>
        <v>0</v>
      </c>
    </row>
    <row r="576" spans="1:15" x14ac:dyDescent="0.35">
      <c r="A576" t="str">
        <f>Raw_Claims_Data!A575</f>
        <v>TXN00000572</v>
      </c>
      <c r="B576" t="str">
        <f>TRIM(Raw_Claims_Data!B575)</f>
        <v>Roy Green</v>
      </c>
      <c r="C576" t="str">
        <f>Raw_Claims_Data!C575</f>
        <v>Travel</v>
      </c>
      <c r="D576">
        <f>Raw_Claims_Data!D575</f>
        <v>60.58</v>
      </c>
      <c r="E576">
        <f>Raw_Claims_Data!E575</f>
        <v>1000</v>
      </c>
      <c r="F576" t="str">
        <f>Raw_Claims_Data!F575</f>
        <v>MA</v>
      </c>
      <c r="G576" t="str">
        <f>Raw_Claims_Data!G575</f>
        <v>A</v>
      </c>
      <c r="H576" t="str">
        <f>Raw_Claims_Data!H575</f>
        <v>Total Loss</v>
      </c>
      <c r="I576" t="str">
        <f>IF(Raw_Claims_Data!I575="","None",Raw_Claims_Data!I575)</f>
        <v>Police</v>
      </c>
      <c r="J576" t="str">
        <f>Raw_Claims_Data!J575</f>
        <v>Louisville</v>
      </c>
      <c r="K576" t="str">
        <f>Raw_Claims_Data!K575</f>
        <v>KY</v>
      </c>
      <c r="L576">
        <f>Raw_Claims_Data!L575</f>
        <v>2</v>
      </c>
      <c r="M576" t="str">
        <f>IF(Raw_Claims_Data!M575="","N/A",Raw_Claims_Data!M575)</f>
        <v>VNDR00564</v>
      </c>
      <c r="N576" t="str">
        <f>Raw_Claims_Data!N575</f>
        <v>AGENT00724</v>
      </c>
      <c r="O576">
        <f>IF(Raw_Claims_Data!G575="D",1,0)</f>
        <v>0</v>
      </c>
    </row>
    <row r="577" spans="1:15" x14ac:dyDescent="0.35">
      <c r="A577" t="str">
        <f>Raw_Claims_Data!A576</f>
        <v>TXN00000573</v>
      </c>
      <c r="B577" t="str">
        <f>TRIM(Raw_Claims_Data!B576)</f>
        <v>Carolyn Cronk</v>
      </c>
      <c r="C577" t="str">
        <f>Raw_Claims_Data!C576</f>
        <v>Life</v>
      </c>
      <c r="D577">
        <f>Raw_Claims_Data!D576</f>
        <v>81.28</v>
      </c>
      <c r="E577">
        <f>Raw_Claims_Data!E576</f>
        <v>100000</v>
      </c>
      <c r="F577" t="str">
        <f>Raw_Claims_Data!F576</f>
        <v>AR</v>
      </c>
      <c r="G577" t="str">
        <f>Raw_Claims_Data!G576</f>
        <v>A</v>
      </c>
      <c r="H577" t="str">
        <f>Raw_Claims_Data!H576</f>
        <v>Total Loss</v>
      </c>
      <c r="I577" t="str">
        <f>IF(Raw_Claims_Data!I576="","None",Raw_Claims_Data!I576)</f>
        <v>Ambulance</v>
      </c>
      <c r="J577" t="str">
        <f>Raw_Claims_Data!J576</f>
        <v>Severn</v>
      </c>
      <c r="K577" t="str">
        <f>Raw_Claims_Data!K576</f>
        <v>MD</v>
      </c>
      <c r="L577">
        <f>Raw_Claims_Data!L576</f>
        <v>0</v>
      </c>
      <c r="M577" t="str">
        <f>IF(Raw_Claims_Data!M576="","N/A",Raw_Claims_Data!M576)</f>
        <v>VNDR00519</v>
      </c>
      <c r="N577" t="str">
        <f>Raw_Claims_Data!N576</f>
        <v>AGENT00738</v>
      </c>
      <c r="O577">
        <f>IF(Raw_Claims_Data!G576="D",1,0)</f>
        <v>0</v>
      </c>
    </row>
    <row r="578" spans="1:15" x14ac:dyDescent="0.35">
      <c r="A578" t="str">
        <f>Raw_Claims_Data!A577</f>
        <v>TXN00000574</v>
      </c>
      <c r="B578" t="str">
        <f>TRIM(Raw_Claims_Data!B577)</f>
        <v>Robert Meyer</v>
      </c>
      <c r="C578" t="str">
        <f>Raw_Claims_Data!C577</f>
        <v>Travel</v>
      </c>
      <c r="D578">
        <f>Raw_Claims_Data!D577</f>
        <v>79.2</v>
      </c>
      <c r="E578">
        <f>Raw_Claims_Data!E577</f>
        <v>5000</v>
      </c>
      <c r="F578" t="str">
        <f>Raw_Claims_Data!F577</f>
        <v>AZ</v>
      </c>
      <c r="G578" t="str">
        <f>Raw_Claims_Data!G577</f>
        <v>A</v>
      </c>
      <c r="H578" t="str">
        <f>Raw_Claims_Data!H577</f>
        <v>Minor Loss</v>
      </c>
      <c r="I578" t="str">
        <f>IF(Raw_Claims_Data!I577="","None",Raw_Claims_Data!I577)</f>
        <v>Other</v>
      </c>
      <c r="J578" t="str">
        <f>Raw_Claims_Data!J577</f>
        <v>Montgomery</v>
      </c>
      <c r="K578" t="str">
        <f>Raw_Claims_Data!K577</f>
        <v>AL</v>
      </c>
      <c r="L578">
        <f>Raw_Claims_Data!L577</f>
        <v>10</v>
      </c>
      <c r="M578" t="str">
        <f>IF(Raw_Claims_Data!M577="","N/A",Raw_Claims_Data!M577)</f>
        <v>VNDR00594</v>
      </c>
      <c r="N578" t="str">
        <f>Raw_Claims_Data!N577</f>
        <v>AGENT00948</v>
      </c>
      <c r="O578">
        <f>IF(Raw_Claims_Data!G577="D",1,0)</f>
        <v>0</v>
      </c>
    </row>
    <row r="579" spans="1:15" x14ac:dyDescent="0.35">
      <c r="A579" t="str">
        <f>Raw_Claims_Data!A578</f>
        <v>TXN00000575</v>
      </c>
      <c r="B579" t="str">
        <f>TRIM(Raw_Claims_Data!B578)</f>
        <v>Allison Lysiak</v>
      </c>
      <c r="C579" t="str">
        <f>Raw_Claims_Data!C578</f>
        <v>Health</v>
      </c>
      <c r="D579">
        <f>Raw_Claims_Data!D578</f>
        <v>138.47</v>
      </c>
      <c r="E579">
        <f>Raw_Claims_Data!E578</f>
        <v>5000</v>
      </c>
      <c r="F579" t="str">
        <f>Raw_Claims_Data!F578</f>
        <v>MD</v>
      </c>
      <c r="G579" t="str">
        <f>Raw_Claims_Data!G578</f>
        <v>A</v>
      </c>
      <c r="H579" t="str">
        <f>Raw_Claims_Data!H578</f>
        <v>Major Loss</v>
      </c>
      <c r="I579" t="str">
        <f>IF(Raw_Claims_Data!I578="","None",Raw_Claims_Data!I578)</f>
        <v>Ambulance</v>
      </c>
      <c r="J579" t="str">
        <f>Raw_Claims_Data!J578</f>
        <v>Montgomery</v>
      </c>
      <c r="K579" t="str">
        <f>Raw_Claims_Data!K578</f>
        <v>AL</v>
      </c>
      <c r="L579">
        <f>Raw_Claims_Data!L578</f>
        <v>7</v>
      </c>
      <c r="M579" t="str">
        <f>IF(Raw_Claims_Data!M578="","N/A",Raw_Claims_Data!M578)</f>
        <v>VNDR00344</v>
      </c>
      <c r="N579" t="str">
        <f>Raw_Claims_Data!N578</f>
        <v>AGENT00286</v>
      </c>
      <c r="O579">
        <f>IF(Raw_Claims_Data!G578="D",1,0)</f>
        <v>0</v>
      </c>
    </row>
    <row r="580" spans="1:15" x14ac:dyDescent="0.35">
      <c r="A580" t="str">
        <f>Raw_Claims_Data!A579</f>
        <v>TXN00000576</v>
      </c>
      <c r="B580" t="str">
        <f>TRIM(Raw_Claims_Data!B579)</f>
        <v>William Sena</v>
      </c>
      <c r="C580" t="str">
        <f>Raw_Claims_Data!C579</f>
        <v>Property</v>
      </c>
      <c r="D580">
        <f>Raw_Claims_Data!D579</f>
        <v>133.31</v>
      </c>
      <c r="E580">
        <f>Raw_Claims_Data!E579</f>
        <v>32000</v>
      </c>
      <c r="F580" t="str">
        <f>Raw_Claims_Data!F579</f>
        <v>FL</v>
      </c>
      <c r="G580" t="str">
        <f>Raw_Claims_Data!G579</f>
        <v>A</v>
      </c>
      <c r="H580" t="str">
        <f>Raw_Claims_Data!H579</f>
        <v>Total Loss</v>
      </c>
      <c r="I580" t="str">
        <f>IF(Raw_Claims_Data!I579="","None",Raw_Claims_Data!I579)</f>
        <v>Police</v>
      </c>
      <c r="J580" t="str">
        <f>Raw_Claims_Data!J579</f>
        <v>Port Charlotte</v>
      </c>
      <c r="K580" t="str">
        <f>Raw_Claims_Data!K579</f>
        <v>FL</v>
      </c>
      <c r="L580">
        <f>Raw_Claims_Data!L579</f>
        <v>13</v>
      </c>
      <c r="M580" t="str">
        <f>IF(Raw_Claims_Data!M579="","N/A",Raw_Claims_Data!M579)</f>
        <v>N/A</v>
      </c>
      <c r="N580" t="str">
        <f>Raw_Claims_Data!N579</f>
        <v>AGENT00968</v>
      </c>
      <c r="O580">
        <f>IF(Raw_Claims_Data!G579="D",1,0)</f>
        <v>0</v>
      </c>
    </row>
    <row r="581" spans="1:15" x14ac:dyDescent="0.35">
      <c r="A581" t="str">
        <f>Raw_Claims_Data!A580</f>
        <v>TXN00000577</v>
      </c>
      <c r="B581" t="str">
        <f>TRIM(Raw_Claims_Data!B580)</f>
        <v>Amanda Ramirez</v>
      </c>
      <c r="C581" t="str">
        <f>Raw_Claims_Data!C580</f>
        <v>Property</v>
      </c>
      <c r="D581">
        <f>Raw_Claims_Data!D580</f>
        <v>143.83000000000001</v>
      </c>
      <c r="E581">
        <f>Raw_Claims_Data!E580</f>
        <v>17000</v>
      </c>
      <c r="F581" t="str">
        <f>Raw_Claims_Data!F580</f>
        <v>CA</v>
      </c>
      <c r="G581" t="str">
        <f>Raw_Claims_Data!G580</f>
        <v>A</v>
      </c>
      <c r="H581" t="str">
        <f>Raw_Claims_Data!H580</f>
        <v>Major Loss</v>
      </c>
      <c r="I581" t="str">
        <f>IF(Raw_Claims_Data!I580="","None",Raw_Claims_Data!I580)</f>
        <v>Police</v>
      </c>
      <c r="J581" t="str">
        <f>Raw_Claims_Data!J580</f>
        <v>Washington</v>
      </c>
      <c r="K581" t="str">
        <f>Raw_Claims_Data!K580</f>
        <v>DC</v>
      </c>
      <c r="L581">
        <f>Raw_Claims_Data!L580</f>
        <v>8</v>
      </c>
      <c r="M581" t="str">
        <f>IF(Raw_Claims_Data!M580="","N/A",Raw_Claims_Data!M580)</f>
        <v>N/A</v>
      </c>
      <c r="N581" t="str">
        <f>Raw_Claims_Data!N580</f>
        <v>AGENT00210</v>
      </c>
      <c r="O581">
        <f>IF(Raw_Claims_Data!G580="D",1,0)</f>
        <v>0</v>
      </c>
    </row>
    <row r="582" spans="1:15" x14ac:dyDescent="0.35">
      <c r="A582" t="str">
        <f>Raw_Claims_Data!A581</f>
        <v>TXN00000578</v>
      </c>
      <c r="B582" t="str">
        <f>TRIM(Raw_Claims_Data!B581)</f>
        <v>David Lam</v>
      </c>
      <c r="C582" t="str">
        <f>Raw_Claims_Data!C581</f>
        <v>Motor</v>
      </c>
      <c r="D582">
        <f>Raw_Claims_Data!D581</f>
        <v>80.5</v>
      </c>
      <c r="E582">
        <f>Raw_Claims_Data!E581</f>
        <v>3000</v>
      </c>
      <c r="F582" t="str">
        <f>Raw_Claims_Data!F581</f>
        <v>KY</v>
      </c>
      <c r="G582" t="str">
        <f>Raw_Claims_Data!G581</f>
        <v>A</v>
      </c>
      <c r="H582" t="str">
        <f>Raw_Claims_Data!H581</f>
        <v>Minor Loss</v>
      </c>
      <c r="I582" t="str">
        <f>IF(Raw_Claims_Data!I581="","None",Raw_Claims_Data!I581)</f>
        <v>None</v>
      </c>
      <c r="J582" t="str">
        <f>Raw_Claims_Data!J581</f>
        <v>Norman</v>
      </c>
      <c r="K582" t="str">
        <f>Raw_Claims_Data!K581</f>
        <v>OK</v>
      </c>
      <c r="L582">
        <f>Raw_Claims_Data!L581</f>
        <v>1</v>
      </c>
      <c r="M582" t="str">
        <f>IF(Raw_Claims_Data!M581="","N/A",Raw_Claims_Data!M581)</f>
        <v>VNDR00504</v>
      </c>
      <c r="N582" t="str">
        <f>Raw_Claims_Data!N581</f>
        <v>AGENT00972</v>
      </c>
      <c r="O582">
        <f>IF(Raw_Claims_Data!G581="D",1,0)</f>
        <v>0</v>
      </c>
    </row>
    <row r="583" spans="1:15" x14ac:dyDescent="0.35">
      <c r="A583" t="str">
        <f>Raw_Claims_Data!A582</f>
        <v>TXN00000579</v>
      </c>
      <c r="B583" t="str">
        <f>TRIM(Raw_Claims_Data!B582)</f>
        <v>Kathy Curry</v>
      </c>
      <c r="C583" t="str">
        <f>Raw_Claims_Data!C582</f>
        <v>Mobile</v>
      </c>
      <c r="D583">
        <f>Raw_Claims_Data!D582</f>
        <v>9.9600000000000009</v>
      </c>
      <c r="E583">
        <f>Raw_Claims_Data!E582</f>
        <v>200</v>
      </c>
      <c r="F583" t="str">
        <f>Raw_Claims_Data!F582</f>
        <v>AZ</v>
      </c>
      <c r="G583" t="str">
        <f>Raw_Claims_Data!G582</f>
        <v>A</v>
      </c>
      <c r="H583" t="str">
        <f>Raw_Claims_Data!H582</f>
        <v>Minor Loss</v>
      </c>
      <c r="I583" t="str">
        <f>IF(Raw_Claims_Data!I582="","None",Raw_Claims_Data!I582)</f>
        <v>Ambulance</v>
      </c>
      <c r="J583" t="str">
        <f>Raw_Claims_Data!J582</f>
        <v>Louisville</v>
      </c>
      <c r="K583" t="str">
        <f>Raw_Claims_Data!K582</f>
        <v>KY</v>
      </c>
      <c r="L583">
        <f>Raw_Claims_Data!L582</f>
        <v>14</v>
      </c>
      <c r="M583" t="str">
        <f>IF(Raw_Claims_Data!M582="","N/A",Raw_Claims_Data!M582)</f>
        <v>VNDR00177</v>
      </c>
      <c r="N583" t="str">
        <f>Raw_Claims_Data!N582</f>
        <v>AGENT00412</v>
      </c>
      <c r="O583">
        <f>IF(Raw_Claims_Data!G582="D",1,0)</f>
        <v>0</v>
      </c>
    </row>
    <row r="584" spans="1:15" x14ac:dyDescent="0.35">
      <c r="A584" t="str">
        <f>Raw_Claims_Data!A583</f>
        <v>TXN00000580</v>
      </c>
      <c r="B584" t="str">
        <f>TRIM(Raw_Claims_Data!B583)</f>
        <v>Jonathan Henderson</v>
      </c>
      <c r="C584" t="str">
        <f>Raw_Claims_Data!C583</f>
        <v>Property</v>
      </c>
      <c r="D584">
        <f>Raw_Claims_Data!D583</f>
        <v>123.95</v>
      </c>
      <c r="E584">
        <f>Raw_Claims_Data!E583</f>
        <v>39000</v>
      </c>
      <c r="F584" t="str">
        <f>Raw_Claims_Data!F583</f>
        <v>CO</v>
      </c>
      <c r="G584" t="str">
        <f>Raw_Claims_Data!G583</f>
        <v>A</v>
      </c>
      <c r="H584" t="str">
        <f>Raw_Claims_Data!H583</f>
        <v>Total Loss</v>
      </c>
      <c r="I584" t="str">
        <f>IF(Raw_Claims_Data!I583="","None",Raw_Claims_Data!I583)</f>
        <v>Police</v>
      </c>
      <c r="J584" t="str">
        <f>Raw_Claims_Data!J583</f>
        <v>Louisville</v>
      </c>
      <c r="K584" t="str">
        <f>Raw_Claims_Data!K583</f>
        <v>KY</v>
      </c>
      <c r="L584">
        <f>Raw_Claims_Data!L583</f>
        <v>16</v>
      </c>
      <c r="M584" t="str">
        <f>IF(Raw_Claims_Data!M583="","N/A",Raw_Claims_Data!M583)</f>
        <v>VNDR00138</v>
      </c>
      <c r="N584" t="str">
        <f>Raw_Claims_Data!N583</f>
        <v>AGENT00174</v>
      </c>
      <c r="O584">
        <f>IF(Raw_Claims_Data!G583="D",1,0)</f>
        <v>0</v>
      </c>
    </row>
    <row r="585" spans="1:15" x14ac:dyDescent="0.35">
      <c r="A585" t="str">
        <f>Raw_Claims_Data!A584</f>
        <v>TXN00000581</v>
      </c>
      <c r="B585" t="str">
        <f>TRIM(Raw_Claims_Data!B584)</f>
        <v>James Allen</v>
      </c>
      <c r="C585" t="str">
        <f>Raw_Claims_Data!C584</f>
        <v>Mobile</v>
      </c>
      <c r="D585">
        <f>Raw_Claims_Data!D584</f>
        <v>9.76</v>
      </c>
      <c r="E585">
        <f>Raw_Claims_Data!E584</f>
        <v>100</v>
      </c>
      <c r="F585" t="str">
        <f>Raw_Claims_Data!F584</f>
        <v>VT</v>
      </c>
      <c r="G585" t="str">
        <f>Raw_Claims_Data!G584</f>
        <v>A</v>
      </c>
      <c r="H585" t="str">
        <f>Raw_Claims_Data!H584</f>
        <v>Total Loss</v>
      </c>
      <c r="I585" t="str">
        <f>IF(Raw_Claims_Data!I584="","None",Raw_Claims_Data!I584)</f>
        <v>None</v>
      </c>
      <c r="J585" t="str">
        <f>Raw_Claims_Data!J584</f>
        <v>Manchester</v>
      </c>
      <c r="K585" t="str">
        <f>Raw_Claims_Data!K584</f>
        <v>CT</v>
      </c>
      <c r="L585">
        <f>Raw_Claims_Data!L584</f>
        <v>14</v>
      </c>
      <c r="M585" t="str">
        <f>IF(Raw_Claims_Data!M584="","N/A",Raw_Claims_Data!M584)</f>
        <v>VNDR00074</v>
      </c>
      <c r="N585" t="str">
        <f>Raw_Claims_Data!N584</f>
        <v>AGENT01124</v>
      </c>
      <c r="O585">
        <f>IF(Raw_Claims_Data!G584="D",1,0)</f>
        <v>0</v>
      </c>
    </row>
    <row r="586" spans="1:15" x14ac:dyDescent="0.35">
      <c r="A586" t="str">
        <f>Raw_Claims_Data!A585</f>
        <v>TXN00000582</v>
      </c>
      <c r="B586" t="str">
        <f>TRIM(Raw_Claims_Data!B585)</f>
        <v>Patricia Woods</v>
      </c>
      <c r="C586" t="str">
        <f>Raw_Claims_Data!C585</f>
        <v>Travel</v>
      </c>
      <c r="D586">
        <f>Raw_Claims_Data!D585</f>
        <v>79.44</v>
      </c>
      <c r="E586">
        <f>Raw_Claims_Data!E585</f>
        <v>3000</v>
      </c>
      <c r="F586" t="str">
        <f>Raw_Claims_Data!F585</f>
        <v>GA</v>
      </c>
      <c r="G586" t="str">
        <f>Raw_Claims_Data!G585</f>
        <v>A</v>
      </c>
      <c r="H586" t="str">
        <f>Raw_Claims_Data!H585</f>
        <v>Major Loss</v>
      </c>
      <c r="I586" t="str">
        <f>IF(Raw_Claims_Data!I585="","None",Raw_Claims_Data!I585)</f>
        <v>Ambulance</v>
      </c>
      <c r="J586" t="str">
        <f>Raw_Claims_Data!J585</f>
        <v>Manchester</v>
      </c>
      <c r="K586" t="str">
        <f>Raw_Claims_Data!K585</f>
        <v>CT</v>
      </c>
      <c r="L586">
        <f>Raw_Claims_Data!L585</f>
        <v>14</v>
      </c>
      <c r="M586" t="str">
        <f>IF(Raw_Claims_Data!M585="","N/A",Raw_Claims_Data!M585)</f>
        <v>VNDR00546</v>
      </c>
      <c r="N586" t="str">
        <f>Raw_Claims_Data!N585</f>
        <v>AGENT00746</v>
      </c>
      <c r="O586">
        <f>IF(Raw_Claims_Data!G585="D",1,0)</f>
        <v>0</v>
      </c>
    </row>
    <row r="587" spans="1:15" x14ac:dyDescent="0.35">
      <c r="A587" t="str">
        <f>Raw_Claims_Data!A586</f>
        <v>TXN00000583</v>
      </c>
      <c r="B587" t="str">
        <f>TRIM(Raw_Claims_Data!B586)</f>
        <v>Juan Ray</v>
      </c>
      <c r="C587" t="str">
        <f>Raw_Claims_Data!C586</f>
        <v>Travel</v>
      </c>
      <c r="D587">
        <f>Raw_Claims_Data!D586</f>
        <v>79.959999999999994</v>
      </c>
      <c r="E587">
        <f>Raw_Claims_Data!E586</f>
        <v>5000</v>
      </c>
      <c r="F587" t="str">
        <f>Raw_Claims_Data!F586</f>
        <v>CA</v>
      </c>
      <c r="G587" t="str">
        <f>Raw_Claims_Data!G586</f>
        <v>A</v>
      </c>
      <c r="H587" t="str">
        <f>Raw_Claims_Data!H586</f>
        <v>Minor Loss</v>
      </c>
      <c r="I587" t="str">
        <f>IF(Raw_Claims_Data!I586="","None",Raw_Claims_Data!I586)</f>
        <v>Police</v>
      </c>
      <c r="J587" t="str">
        <f>Raw_Claims_Data!J586</f>
        <v>Louisville</v>
      </c>
      <c r="K587" t="str">
        <f>Raw_Claims_Data!K586</f>
        <v>KY</v>
      </c>
      <c r="L587">
        <f>Raw_Claims_Data!L586</f>
        <v>12</v>
      </c>
      <c r="M587" t="str">
        <f>IF(Raw_Claims_Data!M586="","N/A",Raw_Claims_Data!M586)</f>
        <v>N/A</v>
      </c>
      <c r="N587" t="str">
        <f>Raw_Claims_Data!N586</f>
        <v>AGENT01067</v>
      </c>
      <c r="O587">
        <f>IF(Raw_Claims_Data!G586="D",1,0)</f>
        <v>0</v>
      </c>
    </row>
    <row r="588" spans="1:15" x14ac:dyDescent="0.35">
      <c r="A588" t="str">
        <f>Raw_Claims_Data!A587</f>
        <v>TXN00000584</v>
      </c>
      <c r="B588" t="str">
        <f>TRIM(Raw_Claims_Data!B587)</f>
        <v>Lacey Ross</v>
      </c>
      <c r="C588" t="str">
        <f>Raw_Claims_Data!C587</f>
        <v>Life</v>
      </c>
      <c r="D588">
        <f>Raw_Claims_Data!D587</f>
        <v>75.11</v>
      </c>
      <c r="E588">
        <f>Raw_Claims_Data!E587</f>
        <v>66000</v>
      </c>
      <c r="F588" t="str">
        <f>Raw_Claims_Data!F587</f>
        <v>AR</v>
      </c>
      <c r="G588" t="str">
        <f>Raw_Claims_Data!G587</f>
        <v>A</v>
      </c>
      <c r="H588" t="str">
        <f>Raw_Claims_Data!H587</f>
        <v>Total Loss</v>
      </c>
      <c r="I588" t="str">
        <f>IF(Raw_Claims_Data!I587="","None",Raw_Claims_Data!I587)</f>
        <v>Police</v>
      </c>
      <c r="J588" t="str">
        <f>Raw_Claims_Data!J587</f>
        <v>Davidsonville</v>
      </c>
      <c r="K588" t="str">
        <f>Raw_Claims_Data!K587</f>
        <v>MD</v>
      </c>
      <c r="L588">
        <f>Raw_Claims_Data!L587</f>
        <v>22</v>
      </c>
      <c r="M588" t="str">
        <f>IF(Raw_Claims_Data!M587="","N/A",Raw_Claims_Data!M587)</f>
        <v>VNDR00102</v>
      </c>
      <c r="N588" t="str">
        <f>Raw_Claims_Data!N587</f>
        <v>AGENT00555</v>
      </c>
      <c r="O588">
        <f>IF(Raw_Claims_Data!G587="D",1,0)</f>
        <v>0</v>
      </c>
    </row>
    <row r="589" spans="1:15" x14ac:dyDescent="0.35">
      <c r="A589" t="str">
        <f>Raw_Claims_Data!A588</f>
        <v>TXN00000585</v>
      </c>
      <c r="B589" t="str">
        <f>TRIM(Raw_Claims_Data!B588)</f>
        <v>George Cothran</v>
      </c>
      <c r="C589" t="str">
        <f>Raw_Claims_Data!C588</f>
        <v>Life</v>
      </c>
      <c r="D589">
        <f>Raw_Claims_Data!D588</f>
        <v>52.78</v>
      </c>
      <c r="E589">
        <f>Raw_Claims_Data!E588</f>
        <v>48000</v>
      </c>
      <c r="F589" t="str">
        <f>Raw_Claims_Data!F588</f>
        <v>AR</v>
      </c>
      <c r="G589" t="str">
        <f>Raw_Claims_Data!G588</f>
        <v>A</v>
      </c>
      <c r="H589" t="str">
        <f>Raw_Claims_Data!H588</f>
        <v>Total Loss</v>
      </c>
      <c r="I589" t="str">
        <f>IF(Raw_Claims_Data!I588="","None",Raw_Claims_Data!I588)</f>
        <v>Police</v>
      </c>
      <c r="J589" t="str">
        <f>Raw_Claims_Data!J588</f>
        <v>Fayetteville</v>
      </c>
      <c r="K589" t="str">
        <f>Raw_Claims_Data!K588</f>
        <v>AR</v>
      </c>
      <c r="L589">
        <f>Raw_Claims_Data!L588</f>
        <v>2</v>
      </c>
      <c r="M589" t="str">
        <f>IF(Raw_Claims_Data!M588="","N/A",Raw_Claims_Data!M588)</f>
        <v>VNDR00466</v>
      </c>
      <c r="N589" t="str">
        <f>Raw_Claims_Data!N588</f>
        <v>AGENT00772</v>
      </c>
      <c r="O589">
        <f>IF(Raw_Claims_Data!G588="D",1,0)</f>
        <v>0</v>
      </c>
    </row>
    <row r="590" spans="1:15" x14ac:dyDescent="0.35">
      <c r="A590" t="str">
        <f>Raw_Claims_Data!A589</f>
        <v>TXN00000586</v>
      </c>
      <c r="B590" t="str">
        <f>TRIM(Raw_Claims_Data!B589)</f>
        <v>William Oconnor</v>
      </c>
      <c r="C590" t="str">
        <f>Raw_Claims_Data!C589</f>
        <v>Travel</v>
      </c>
      <c r="D590">
        <f>Raw_Claims_Data!D589</f>
        <v>60.06</v>
      </c>
      <c r="E590">
        <f>Raw_Claims_Data!E589</f>
        <v>5000</v>
      </c>
      <c r="F590" t="str">
        <f>Raw_Claims_Data!F589</f>
        <v>DC</v>
      </c>
      <c r="G590" t="str">
        <f>Raw_Claims_Data!G589</f>
        <v>A</v>
      </c>
      <c r="H590" t="str">
        <f>Raw_Claims_Data!H589</f>
        <v>Major Loss</v>
      </c>
      <c r="I590" t="str">
        <f>IF(Raw_Claims_Data!I589="","None",Raw_Claims_Data!I589)</f>
        <v>Police</v>
      </c>
      <c r="J590" t="str">
        <f>Raw_Claims_Data!J589</f>
        <v>Fayetteville</v>
      </c>
      <c r="K590" t="str">
        <f>Raw_Claims_Data!K589</f>
        <v>AR</v>
      </c>
      <c r="L590">
        <f>Raw_Claims_Data!L589</f>
        <v>23</v>
      </c>
      <c r="M590" t="str">
        <f>IF(Raw_Claims_Data!M589="","N/A",Raw_Claims_Data!M589)</f>
        <v>VNDR00058</v>
      </c>
      <c r="N590" t="str">
        <f>Raw_Claims_Data!N589</f>
        <v>AGENT00209</v>
      </c>
      <c r="O590">
        <f>IF(Raw_Claims_Data!G589="D",1,0)</f>
        <v>0</v>
      </c>
    </row>
    <row r="591" spans="1:15" x14ac:dyDescent="0.35">
      <c r="A591" t="str">
        <f>Raw_Claims_Data!A590</f>
        <v>TXN00000587</v>
      </c>
      <c r="B591" t="str">
        <f>TRIM(Raw_Claims_Data!B590)</f>
        <v>Martin White</v>
      </c>
      <c r="C591" t="str">
        <f>Raw_Claims_Data!C590</f>
        <v>Motor</v>
      </c>
      <c r="D591">
        <f>Raw_Claims_Data!D590</f>
        <v>110.63</v>
      </c>
      <c r="E591">
        <f>Raw_Claims_Data!E590</f>
        <v>2000</v>
      </c>
      <c r="F591" t="str">
        <f>Raw_Claims_Data!F590</f>
        <v>AL</v>
      </c>
      <c r="G591" t="str">
        <f>Raw_Claims_Data!G590</f>
        <v>A</v>
      </c>
      <c r="H591" t="str">
        <f>Raw_Claims_Data!H590</f>
        <v>Minor Loss</v>
      </c>
      <c r="I591" t="str">
        <f>IF(Raw_Claims_Data!I590="","None",Raw_Claims_Data!I590)</f>
        <v>Ambulance</v>
      </c>
      <c r="J591" t="str">
        <f>Raw_Claims_Data!J590</f>
        <v>Washington</v>
      </c>
      <c r="K591" t="str">
        <f>Raw_Claims_Data!K590</f>
        <v>DC</v>
      </c>
      <c r="L591">
        <f>Raw_Claims_Data!L590</f>
        <v>20</v>
      </c>
      <c r="M591" t="str">
        <f>IF(Raw_Claims_Data!M590="","N/A",Raw_Claims_Data!M590)</f>
        <v>VNDR00087</v>
      </c>
      <c r="N591" t="str">
        <f>Raw_Claims_Data!N590</f>
        <v>AGENT00441</v>
      </c>
      <c r="O591">
        <f>IF(Raw_Claims_Data!G590="D",1,0)</f>
        <v>0</v>
      </c>
    </row>
    <row r="592" spans="1:15" x14ac:dyDescent="0.35">
      <c r="A592" t="str">
        <f>Raw_Claims_Data!A591</f>
        <v>TXN00000588</v>
      </c>
      <c r="B592" t="str">
        <f>TRIM(Raw_Claims_Data!B591)</f>
        <v>James Marriot</v>
      </c>
      <c r="C592" t="str">
        <f>Raw_Claims_Data!C591</f>
        <v>Mobile</v>
      </c>
      <c r="D592">
        <f>Raw_Claims_Data!D591</f>
        <v>6.26</v>
      </c>
      <c r="E592">
        <f>Raw_Claims_Data!E591</f>
        <v>500</v>
      </c>
      <c r="F592" t="str">
        <f>Raw_Claims_Data!F591</f>
        <v>CA</v>
      </c>
      <c r="G592" t="str">
        <f>Raw_Claims_Data!G591</f>
        <v>D</v>
      </c>
      <c r="H592" t="str">
        <f>Raw_Claims_Data!H591</f>
        <v>Total Loss</v>
      </c>
      <c r="I592" t="str">
        <f>IF(Raw_Claims_Data!I591="","None",Raw_Claims_Data!I591)</f>
        <v>Police</v>
      </c>
      <c r="J592" t="str">
        <f>Raw_Claims_Data!J591</f>
        <v>Westminster</v>
      </c>
      <c r="K592" t="str">
        <f>Raw_Claims_Data!K591</f>
        <v>CO</v>
      </c>
      <c r="L592">
        <f>Raw_Claims_Data!L591</f>
        <v>21</v>
      </c>
      <c r="M592" t="str">
        <f>IF(Raw_Claims_Data!M591="","N/A",Raw_Claims_Data!M591)</f>
        <v>VNDR00383</v>
      </c>
      <c r="N592" t="str">
        <f>Raw_Claims_Data!N591</f>
        <v>AGENT00899</v>
      </c>
      <c r="O592">
        <f>IF(Raw_Claims_Data!G591="D",1,0)</f>
        <v>1</v>
      </c>
    </row>
    <row r="593" spans="1:15" x14ac:dyDescent="0.35">
      <c r="A593" t="str">
        <f>Raw_Claims_Data!A592</f>
        <v>TXN00000589</v>
      </c>
      <c r="B593" t="str">
        <f>TRIM(Raw_Claims_Data!B592)</f>
        <v>Cora Marrara</v>
      </c>
      <c r="C593" t="str">
        <f>Raw_Claims_Data!C592</f>
        <v>Health</v>
      </c>
      <c r="D593">
        <f>Raw_Claims_Data!D592</f>
        <v>165.75</v>
      </c>
      <c r="E593">
        <f>Raw_Claims_Data!E592</f>
        <v>3000</v>
      </c>
      <c r="F593" t="str">
        <f>Raw_Claims_Data!F592</f>
        <v>AZ</v>
      </c>
      <c r="G593" t="str">
        <f>Raw_Claims_Data!G592</f>
        <v>A</v>
      </c>
      <c r="H593" t="str">
        <f>Raw_Claims_Data!H592</f>
        <v>Total Loss</v>
      </c>
      <c r="I593" t="str">
        <f>IF(Raw_Claims_Data!I592="","None",Raw_Claims_Data!I592)</f>
        <v>Police</v>
      </c>
      <c r="J593" t="str">
        <f>Raw_Claims_Data!J592</f>
        <v>Annapolis</v>
      </c>
      <c r="K593" t="str">
        <f>Raw_Claims_Data!K592</f>
        <v>MD</v>
      </c>
      <c r="L593">
        <f>Raw_Claims_Data!L592</f>
        <v>2</v>
      </c>
      <c r="M593" t="str">
        <f>IF(Raw_Claims_Data!M592="","N/A",Raw_Claims_Data!M592)</f>
        <v>N/A</v>
      </c>
      <c r="N593" t="str">
        <f>Raw_Claims_Data!N592</f>
        <v>AGENT00847</v>
      </c>
      <c r="O593">
        <f>IF(Raw_Claims_Data!G592="D",1,0)</f>
        <v>0</v>
      </c>
    </row>
    <row r="594" spans="1:15" x14ac:dyDescent="0.35">
      <c r="A594" t="str">
        <f>Raw_Claims_Data!A593</f>
        <v>TXN00000590</v>
      </c>
      <c r="B594" t="str">
        <f>TRIM(Raw_Claims_Data!B593)</f>
        <v>Dewey Forbes</v>
      </c>
      <c r="C594" t="str">
        <f>Raw_Claims_Data!C593</f>
        <v>Health</v>
      </c>
      <c r="D594">
        <f>Raw_Claims_Data!D593</f>
        <v>170.21</v>
      </c>
      <c r="E594">
        <f>Raw_Claims_Data!E593</f>
        <v>16000</v>
      </c>
      <c r="F594" t="str">
        <f>Raw_Claims_Data!F593</f>
        <v>CO</v>
      </c>
      <c r="G594" t="str">
        <f>Raw_Claims_Data!G593</f>
        <v>A</v>
      </c>
      <c r="H594" t="str">
        <f>Raw_Claims_Data!H593</f>
        <v>Total Loss</v>
      </c>
      <c r="I594" t="str">
        <f>IF(Raw_Claims_Data!I593="","None",Raw_Claims_Data!I593)</f>
        <v>Ambulance</v>
      </c>
      <c r="J594" t="str">
        <f>Raw_Claims_Data!J593</f>
        <v>Savannah</v>
      </c>
      <c r="K594" t="str">
        <f>Raw_Claims_Data!K593</f>
        <v>GA</v>
      </c>
      <c r="L594">
        <f>Raw_Claims_Data!L593</f>
        <v>19</v>
      </c>
      <c r="M594" t="str">
        <f>IF(Raw_Claims_Data!M593="","N/A",Raw_Claims_Data!M593)</f>
        <v>VNDR00327</v>
      </c>
      <c r="N594" t="str">
        <f>Raw_Claims_Data!N593</f>
        <v>AGENT00228</v>
      </c>
      <c r="O594">
        <f>IF(Raw_Claims_Data!G593="D",1,0)</f>
        <v>0</v>
      </c>
    </row>
    <row r="595" spans="1:15" x14ac:dyDescent="0.35">
      <c r="A595" t="str">
        <f>Raw_Claims_Data!A594</f>
        <v>TXN00000591</v>
      </c>
      <c r="B595" t="str">
        <f>TRIM(Raw_Claims_Data!B594)</f>
        <v>Evelyn Montgomery</v>
      </c>
      <c r="C595" t="str">
        <f>Raw_Claims_Data!C594</f>
        <v>Property</v>
      </c>
      <c r="D595">
        <f>Raw_Claims_Data!D594</f>
        <v>114.76</v>
      </c>
      <c r="E595">
        <f>Raw_Claims_Data!E594</f>
        <v>38000</v>
      </c>
      <c r="F595" t="str">
        <f>Raw_Claims_Data!F594</f>
        <v>AZ</v>
      </c>
      <c r="G595" t="str">
        <f>Raw_Claims_Data!G594</f>
        <v>A</v>
      </c>
      <c r="H595" t="str">
        <f>Raw_Claims_Data!H594</f>
        <v>Major Loss</v>
      </c>
      <c r="I595" t="str">
        <f>IF(Raw_Claims_Data!I594="","None",Raw_Claims_Data!I594)</f>
        <v>None</v>
      </c>
      <c r="J595" t="str">
        <f>Raw_Claims_Data!J594</f>
        <v>Fayetteville</v>
      </c>
      <c r="K595" t="str">
        <f>Raw_Claims_Data!K594</f>
        <v>AR</v>
      </c>
      <c r="L595">
        <f>Raw_Claims_Data!L594</f>
        <v>6</v>
      </c>
      <c r="M595" t="str">
        <f>IF(Raw_Claims_Data!M594="","N/A",Raw_Claims_Data!M594)</f>
        <v>VNDR00488</v>
      </c>
      <c r="N595" t="str">
        <f>Raw_Claims_Data!N594</f>
        <v>AGENT00567</v>
      </c>
      <c r="O595">
        <f>IF(Raw_Claims_Data!G594="D",1,0)</f>
        <v>0</v>
      </c>
    </row>
    <row r="596" spans="1:15" x14ac:dyDescent="0.35">
      <c r="A596" t="str">
        <f>Raw_Claims_Data!A595</f>
        <v>TXN00000592</v>
      </c>
      <c r="B596" t="str">
        <f>TRIM(Raw_Claims_Data!B595)</f>
        <v>Gilbert Foley</v>
      </c>
      <c r="C596" t="str">
        <f>Raw_Claims_Data!C595</f>
        <v>Life</v>
      </c>
      <c r="D596">
        <f>Raw_Claims_Data!D595</f>
        <v>52.04</v>
      </c>
      <c r="E596">
        <f>Raw_Claims_Data!E595</f>
        <v>29000</v>
      </c>
      <c r="F596" t="str">
        <f>Raw_Claims_Data!F595</f>
        <v>CT</v>
      </c>
      <c r="G596" t="str">
        <f>Raw_Claims_Data!G595</f>
        <v>A</v>
      </c>
      <c r="H596" t="str">
        <f>Raw_Claims_Data!H595</f>
        <v>Minor Loss</v>
      </c>
      <c r="I596" t="str">
        <f>IF(Raw_Claims_Data!I595="","None",Raw_Claims_Data!I595)</f>
        <v>Ambulance</v>
      </c>
      <c r="J596" t="str">
        <f>Raw_Claims_Data!J595</f>
        <v>Panama City</v>
      </c>
      <c r="K596" t="str">
        <f>Raw_Claims_Data!K595</f>
        <v>FL</v>
      </c>
      <c r="L596">
        <f>Raw_Claims_Data!L595</f>
        <v>4</v>
      </c>
      <c r="M596" t="str">
        <f>IF(Raw_Claims_Data!M595="","N/A",Raw_Claims_Data!M595)</f>
        <v>N/A</v>
      </c>
      <c r="N596" t="str">
        <f>Raw_Claims_Data!N595</f>
        <v>AGENT00306</v>
      </c>
      <c r="O596">
        <f>IF(Raw_Claims_Data!G595="D",1,0)</f>
        <v>0</v>
      </c>
    </row>
    <row r="597" spans="1:15" x14ac:dyDescent="0.35">
      <c r="A597" t="str">
        <f>Raw_Claims_Data!A596</f>
        <v>TXN00000593</v>
      </c>
      <c r="B597" t="str">
        <f>TRIM(Raw_Claims_Data!B596)</f>
        <v>Tami Anderson</v>
      </c>
      <c r="C597" t="str">
        <f>Raw_Claims_Data!C596</f>
        <v>Travel</v>
      </c>
      <c r="D597">
        <f>Raw_Claims_Data!D596</f>
        <v>91.6</v>
      </c>
      <c r="E597">
        <f>Raw_Claims_Data!E596</f>
        <v>5000</v>
      </c>
      <c r="F597" t="str">
        <f>Raw_Claims_Data!F596</f>
        <v>CT</v>
      </c>
      <c r="G597" t="str">
        <f>Raw_Claims_Data!G596</f>
        <v>A</v>
      </c>
      <c r="H597" t="str">
        <f>Raw_Claims_Data!H596</f>
        <v>Total Loss</v>
      </c>
      <c r="I597" t="str">
        <f>IF(Raw_Claims_Data!I596="","None",Raw_Claims_Data!I596)</f>
        <v>None</v>
      </c>
      <c r="J597" t="str">
        <f>Raw_Claims_Data!J596</f>
        <v>Weathersfield</v>
      </c>
      <c r="K597" t="str">
        <f>Raw_Claims_Data!K596</f>
        <v>VT</v>
      </c>
      <c r="L597">
        <f>Raw_Claims_Data!L596</f>
        <v>18</v>
      </c>
      <c r="M597" t="str">
        <f>IF(Raw_Claims_Data!M596="","N/A",Raw_Claims_Data!M596)</f>
        <v>VNDR00161</v>
      </c>
      <c r="N597" t="str">
        <f>Raw_Claims_Data!N596</f>
        <v>AGENT01092</v>
      </c>
      <c r="O597">
        <f>IF(Raw_Claims_Data!G596="D",1,0)</f>
        <v>0</v>
      </c>
    </row>
    <row r="598" spans="1:15" x14ac:dyDescent="0.35">
      <c r="A598" t="str">
        <f>Raw_Claims_Data!A597</f>
        <v>TXN00000594</v>
      </c>
      <c r="B598" t="str">
        <f>TRIM(Raw_Claims_Data!B597)</f>
        <v>Raymond Morris</v>
      </c>
      <c r="C598" t="str">
        <f>Raw_Claims_Data!C597</f>
        <v>Life</v>
      </c>
      <c r="D598">
        <f>Raw_Claims_Data!D597</f>
        <v>68.14</v>
      </c>
      <c r="E598">
        <f>Raw_Claims_Data!E597</f>
        <v>17000</v>
      </c>
      <c r="F598" t="str">
        <f>Raw_Claims_Data!F597</f>
        <v>AR</v>
      </c>
      <c r="G598" t="str">
        <f>Raw_Claims_Data!G597</f>
        <v>A</v>
      </c>
      <c r="H598" t="str">
        <f>Raw_Claims_Data!H597</f>
        <v>Major Loss</v>
      </c>
      <c r="I598" t="str">
        <f>IF(Raw_Claims_Data!I597="","None",Raw_Claims_Data!I597)</f>
        <v>Police</v>
      </c>
      <c r="J598" t="str">
        <f>Raw_Claims_Data!J597</f>
        <v>Washington</v>
      </c>
      <c r="K598" t="str">
        <f>Raw_Claims_Data!K597</f>
        <v>DC</v>
      </c>
      <c r="L598">
        <f>Raw_Claims_Data!L597</f>
        <v>6</v>
      </c>
      <c r="M598" t="str">
        <f>IF(Raw_Claims_Data!M597="","N/A",Raw_Claims_Data!M597)</f>
        <v>N/A</v>
      </c>
      <c r="N598" t="str">
        <f>Raw_Claims_Data!N597</f>
        <v>AGENT00625</v>
      </c>
      <c r="O598">
        <f>IF(Raw_Claims_Data!G597="D",1,0)</f>
        <v>0</v>
      </c>
    </row>
    <row r="599" spans="1:15" x14ac:dyDescent="0.35">
      <c r="A599" t="str">
        <f>Raw_Claims_Data!A598</f>
        <v>TXN00000595</v>
      </c>
      <c r="B599" t="str">
        <f>TRIM(Raw_Claims_Data!B598)</f>
        <v>Todd Watson</v>
      </c>
      <c r="C599" t="str">
        <f>Raw_Claims_Data!C598</f>
        <v>Property</v>
      </c>
      <c r="D599">
        <f>Raw_Claims_Data!D598</f>
        <v>150.81</v>
      </c>
      <c r="E599">
        <f>Raw_Claims_Data!E598</f>
        <v>13000</v>
      </c>
      <c r="F599" t="str">
        <f>Raw_Claims_Data!F598</f>
        <v>MD</v>
      </c>
      <c r="G599" t="str">
        <f>Raw_Claims_Data!G598</f>
        <v>A</v>
      </c>
      <c r="H599" t="str">
        <f>Raw_Claims_Data!H598</f>
        <v>Major Loss</v>
      </c>
      <c r="I599" t="str">
        <f>IF(Raw_Claims_Data!I598="","None",Raw_Claims_Data!I598)</f>
        <v>Ambulance</v>
      </c>
      <c r="J599" t="str">
        <f>Raw_Claims_Data!J598</f>
        <v>Arvada</v>
      </c>
      <c r="K599" t="str">
        <f>Raw_Claims_Data!K598</f>
        <v>CO</v>
      </c>
      <c r="L599">
        <f>Raw_Claims_Data!L598</f>
        <v>18</v>
      </c>
      <c r="M599" t="str">
        <f>IF(Raw_Claims_Data!M598="","N/A",Raw_Claims_Data!M598)</f>
        <v>VNDR00329</v>
      </c>
      <c r="N599" t="str">
        <f>Raw_Claims_Data!N598</f>
        <v>AGENT00291</v>
      </c>
      <c r="O599">
        <f>IF(Raw_Claims_Data!G598="D",1,0)</f>
        <v>0</v>
      </c>
    </row>
    <row r="600" spans="1:15" x14ac:dyDescent="0.35">
      <c r="A600" t="str">
        <f>Raw_Claims_Data!A599</f>
        <v>TXN00000596</v>
      </c>
      <c r="B600" t="str">
        <f>TRIM(Raw_Claims_Data!B599)</f>
        <v>Shirley Porter</v>
      </c>
      <c r="C600" t="str">
        <f>Raw_Claims_Data!C599</f>
        <v>Travel</v>
      </c>
      <c r="D600">
        <f>Raw_Claims_Data!D599</f>
        <v>55.72</v>
      </c>
      <c r="E600">
        <f>Raw_Claims_Data!E599</f>
        <v>3000</v>
      </c>
      <c r="F600" t="str">
        <f>Raw_Claims_Data!F599</f>
        <v>CT</v>
      </c>
      <c r="G600" t="str">
        <f>Raw_Claims_Data!G599</f>
        <v>A</v>
      </c>
      <c r="H600" t="str">
        <f>Raw_Claims_Data!H599</f>
        <v>Minor Loss</v>
      </c>
      <c r="I600" t="str">
        <f>IF(Raw_Claims_Data!I599="","None",Raw_Claims_Data!I599)</f>
        <v>Police</v>
      </c>
      <c r="J600" t="str">
        <f>Raw_Claims_Data!J599</f>
        <v>Deale</v>
      </c>
      <c r="K600" t="str">
        <f>Raw_Claims_Data!K599</f>
        <v>MD</v>
      </c>
      <c r="L600">
        <f>Raw_Claims_Data!L599</f>
        <v>21</v>
      </c>
      <c r="M600" t="str">
        <f>IF(Raw_Claims_Data!M599="","N/A",Raw_Claims_Data!M599)</f>
        <v>VNDR00519</v>
      </c>
      <c r="N600" t="str">
        <f>Raw_Claims_Data!N599</f>
        <v>AGENT00503</v>
      </c>
      <c r="O600">
        <f>IF(Raw_Claims_Data!G599="D",1,0)</f>
        <v>0</v>
      </c>
    </row>
    <row r="601" spans="1:15" x14ac:dyDescent="0.35">
      <c r="A601" t="str">
        <f>Raw_Claims_Data!A600</f>
        <v>TXN00000597</v>
      </c>
      <c r="B601" t="str">
        <f>TRIM(Raw_Claims_Data!B600)</f>
        <v>Dixie Ramlall</v>
      </c>
      <c r="C601" t="str">
        <f>Raw_Claims_Data!C600</f>
        <v>Motor</v>
      </c>
      <c r="D601">
        <f>Raw_Claims_Data!D600</f>
        <v>73.78</v>
      </c>
      <c r="E601">
        <f>Raw_Claims_Data!E600</f>
        <v>1000</v>
      </c>
      <c r="F601" t="str">
        <f>Raw_Claims_Data!F600</f>
        <v>MD</v>
      </c>
      <c r="G601" t="str">
        <f>Raw_Claims_Data!G600</f>
        <v>A</v>
      </c>
      <c r="H601" t="str">
        <f>Raw_Claims_Data!H600</f>
        <v>Minor Loss</v>
      </c>
      <c r="I601" t="str">
        <f>IF(Raw_Claims_Data!I600="","None",Raw_Claims_Data!I600)</f>
        <v>Police</v>
      </c>
      <c r="J601" t="str">
        <f>Raw_Claims_Data!J600</f>
        <v>Oakland</v>
      </c>
      <c r="K601" t="str">
        <f>Raw_Claims_Data!K600</f>
        <v>CA</v>
      </c>
      <c r="L601">
        <f>Raw_Claims_Data!L600</f>
        <v>23</v>
      </c>
      <c r="M601" t="str">
        <f>IF(Raw_Claims_Data!M600="","N/A",Raw_Claims_Data!M600)</f>
        <v>N/A</v>
      </c>
      <c r="N601" t="str">
        <f>Raw_Claims_Data!N600</f>
        <v>AGENT00710</v>
      </c>
      <c r="O601">
        <f>IF(Raw_Claims_Data!G600="D",1,0)</f>
        <v>0</v>
      </c>
    </row>
    <row r="602" spans="1:15" x14ac:dyDescent="0.35">
      <c r="A602" t="str">
        <f>Raw_Claims_Data!A601</f>
        <v>TXN00000598</v>
      </c>
      <c r="B602" t="str">
        <f>TRIM(Raw_Claims_Data!B601)</f>
        <v>Cynthia Hollingshead</v>
      </c>
      <c r="C602" t="str">
        <f>Raw_Claims_Data!C601</f>
        <v>Property</v>
      </c>
      <c r="D602">
        <f>Raw_Claims_Data!D601</f>
        <v>111.5</v>
      </c>
      <c r="E602">
        <f>Raw_Claims_Data!E601</f>
        <v>31000</v>
      </c>
      <c r="F602" t="str">
        <f>Raw_Claims_Data!F601</f>
        <v>VT</v>
      </c>
      <c r="G602" t="str">
        <f>Raw_Claims_Data!G601</f>
        <v>A</v>
      </c>
      <c r="H602" t="str">
        <f>Raw_Claims_Data!H601</f>
        <v>Minor Loss</v>
      </c>
      <c r="I602" t="str">
        <f>IF(Raw_Claims_Data!I601="","None",Raw_Claims_Data!I601)</f>
        <v>Ambulance</v>
      </c>
      <c r="J602" t="str">
        <f>Raw_Claims_Data!J601</f>
        <v>Oklahoma City</v>
      </c>
      <c r="K602" t="str">
        <f>Raw_Claims_Data!K601</f>
        <v>OK</v>
      </c>
      <c r="L602">
        <f>Raw_Claims_Data!L601</f>
        <v>19</v>
      </c>
      <c r="M602" t="str">
        <f>IF(Raw_Claims_Data!M601="","N/A",Raw_Claims_Data!M601)</f>
        <v>N/A</v>
      </c>
      <c r="N602" t="str">
        <f>Raw_Claims_Data!N601</f>
        <v>AGENT01158</v>
      </c>
      <c r="O602">
        <f>IF(Raw_Claims_Data!G601="D",1,0)</f>
        <v>0</v>
      </c>
    </row>
    <row r="603" spans="1:15" x14ac:dyDescent="0.35">
      <c r="A603" t="str">
        <f>Raw_Claims_Data!A602</f>
        <v>TXN00000599</v>
      </c>
      <c r="B603" t="str">
        <f>TRIM(Raw_Claims_Data!B602)</f>
        <v>Holli Fisher</v>
      </c>
      <c r="C603" t="str">
        <f>Raw_Claims_Data!C602</f>
        <v>Property</v>
      </c>
      <c r="D603">
        <f>Raw_Claims_Data!D602</f>
        <v>133.30000000000001</v>
      </c>
      <c r="E603">
        <f>Raw_Claims_Data!E602</f>
        <v>13000</v>
      </c>
      <c r="F603" t="str">
        <f>Raw_Claims_Data!F602</f>
        <v>MD</v>
      </c>
      <c r="G603" t="str">
        <f>Raw_Claims_Data!G602</f>
        <v>A</v>
      </c>
      <c r="H603" t="str">
        <f>Raw_Claims_Data!H602</f>
        <v>Minor Loss</v>
      </c>
      <c r="I603" t="str">
        <f>IF(Raw_Claims_Data!I602="","None",Raw_Claims_Data!I602)</f>
        <v>None</v>
      </c>
      <c r="J603" t="str">
        <f>Raw_Claims_Data!J602</f>
        <v>Odenton</v>
      </c>
      <c r="K603" t="str">
        <f>Raw_Claims_Data!K602</f>
        <v>MD</v>
      </c>
      <c r="L603">
        <f>Raw_Claims_Data!L602</f>
        <v>17</v>
      </c>
      <c r="M603" t="str">
        <f>IF(Raw_Claims_Data!M602="","N/A",Raw_Claims_Data!M602)</f>
        <v>VNDR00466</v>
      </c>
      <c r="N603" t="str">
        <f>Raw_Claims_Data!N602</f>
        <v>AGENT00438</v>
      </c>
      <c r="O603">
        <f>IF(Raw_Claims_Data!G602="D",1,0)</f>
        <v>0</v>
      </c>
    </row>
    <row r="604" spans="1:15" x14ac:dyDescent="0.35">
      <c r="A604" t="str">
        <f>Raw_Claims_Data!A603</f>
        <v>TXN00000600</v>
      </c>
      <c r="B604" t="str">
        <f>TRIM(Raw_Claims_Data!B603)</f>
        <v>Melvin Bengtson</v>
      </c>
      <c r="C604" t="str">
        <f>Raw_Claims_Data!C603</f>
        <v>Motor</v>
      </c>
      <c r="D604">
        <f>Raw_Claims_Data!D603</f>
        <v>85.44</v>
      </c>
      <c r="E604">
        <f>Raw_Claims_Data!E603</f>
        <v>6000</v>
      </c>
      <c r="F604" t="str">
        <f>Raw_Claims_Data!F603</f>
        <v>MA</v>
      </c>
      <c r="G604" t="str">
        <f>Raw_Claims_Data!G603</f>
        <v>A</v>
      </c>
      <c r="H604" t="str">
        <f>Raw_Claims_Data!H603</f>
        <v>Minor Loss</v>
      </c>
      <c r="I604" t="str">
        <f>IF(Raw_Claims_Data!I603="","None",Raw_Claims_Data!I603)</f>
        <v>Police</v>
      </c>
      <c r="J604" t="str">
        <f>Raw_Claims_Data!J603</f>
        <v>Glendale</v>
      </c>
      <c r="K604" t="str">
        <f>Raw_Claims_Data!K603</f>
        <v>AZ</v>
      </c>
      <c r="L604">
        <f>Raw_Claims_Data!L603</f>
        <v>17</v>
      </c>
      <c r="M604" t="str">
        <f>IF(Raw_Claims_Data!M603="","N/A",Raw_Claims_Data!M603)</f>
        <v>N/A</v>
      </c>
      <c r="N604" t="str">
        <f>Raw_Claims_Data!N603</f>
        <v>AGENT00299</v>
      </c>
      <c r="O604">
        <f>IF(Raw_Claims_Data!G603="D",1,0)</f>
        <v>0</v>
      </c>
    </row>
    <row r="605" spans="1:15" x14ac:dyDescent="0.35">
      <c r="A605" t="str">
        <f>Raw_Claims_Data!A604</f>
        <v>TXN00000601</v>
      </c>
      <c r="B605" t="str">
        <f>TRIM(Raw_Claims_Data!B604)</f>
        <v>James Ceraos</v>
      </c>
      <c r="C605" t="str">
        <f>Raw_Claims_Data!C604</f>
        <v>Health</v>
      </c>
      <c r="D605">
        <f>Raw_Claims_Data!D604</f>
        <v>162.61000000000001</v>
      </c>
      <c r="E605">
        <f>Raw_Claims_Data!E604</f>
        <v>7000</v>
      </c>
      <c r="F605" t="str">
        <f>Raw_Claims_Data!F604</f>
        <v>CO</v>
      </c>
      <c r="G605" t="str">
        <f>Raw_Claims_Data!G604</f>
        <v>A</v>
      </c>
      <c r="H605" t="str">
        <f>Raw_Claims_Data!H604</f>
        <v>Major Loss</v>
      </c>
      <c r="I605" t="str">
        <f>IF(Raw_Claims_Data!I604="","None",Raw_Claims_Data!I604)</f>
        <v>None</v>
      </c>
      <c r="J605" t="str">
        <f>Raw_Claims_Data!J604</f>
        <v>Montgomery</v>
      </c>
      <c r="K605" t="str">
        <f>Raw_Claims_Data!K604</f>
        <v>AL</v>
      </c>
      <c r="L605">
        <f>Raw_Claims_Data!L604</f>
        <v>12</v>
      </c>
      <c r="M605" t="str">
        <f>IF(Raw_Claims_Data!M604="","N/A",Raw_Claims_Data!M604)</f>
        <v>N/A</v>
      </c>
      <c r="N605" t="str">
        <f>Raw_Claims_Data!N604</f>
        <v>AGENT00839</v>
      </c>
      <c r="O605">
        <f>IF(Raw_Claims_Data!G604="D",1,0)</f>
        <v>0</v>
      </c>
    </row>
    <row r="606" spans="1:15" x14ac:dyDescent="0.35">
      <c r="A606" t="str">
        <f>Raw_Claims_Data!A605</f>
        <v>TXN00000602</v>
      </c>
      <c r="B606" t="str">
        <f>TRIM(Raw_Claims_Data!B605)</f>
        <v>Vanessa Bellamy</v>
      </c>
      <c r="C606" t="str">
        <f>Raw_Claims_Data!C605</f>
        <v>Health</v>
      </c>
      <c r="D606">
        <f>Raw_Claims_Data!D605</f>
        <v>108.44</v>
      </c>
      <c r="E606">
        <f>Raw_Claims_Data!E605</f>
        <v>7000</v>
      </c>
      <c r="F606" t="str">
        <f>Raw_Claims_Data!F605</f>
        <v>GA</v>
      </c>
      <c r="G606" t="str">
        <f>Raw_Claims_Data!G605</f>
        <v>A</v>
      </c>
      <c r="H606" t="str">
        <f>Raw_Claims_Data!H605</f>
        <v>Major Loss</v>
      </c>
      <c r="I606" t="str">
        <f>IF(Raw_Claims_Data!I605="","None",Raw_Claims_Data!I605)</f>
        <v>Other</v>
      </c>
      <c r="J606" t="str">
        <f>Raw_Claims_Data!J605</f>
        <v>Glendale</v>
      </c>
      <c r="K606" t="str">
        <f>Raw_Claims_Data!K605</f>
        <v>AZ</v>
      </c>
      <c r="L606">
        <f>Raw_Claims_Data!L605</f>
        <v>22</v>
      </c>
      <c r="M606" t="str">
        <f>IF(Raw_Claims_Data!M605="","N/A",Raw_Claims_Data!M605)</f>
        <v>VNDR00339</v>
      </c>
      <c r="N606" t="str">
        <f>Raw_Claims_Data!N605</f>
        <v>AGENT00478</v>
      </c>
      <c r="O606">
        <f>IF(Raw_Claims_Data!G605="D",1,0)</f>
        <v>0</v>
      </c>
    </row>
    <row r="607" spans="1:15" x14ac:dyDescent="0.35">
      <c r="A607" t="str">
        <f>Raw_Claims_Data!A606</f>
        <v>TXN00000603</v>
      </c>
      <c r="B607" t="str">
        <f>TRIM(Raw_Claims_Data!B606)</f>
        <v>Clint Dobey</v>
      </c>
      <c r="C607" t="str">
        <f>Raw_Claims_Data!C606</f>
        <v>Travel</v>
      </c>
      <c r="D607">
        <f>Raw_Claims_Data!D606</f>
        <v>68.709999999999994</v>
      </c>
      <c r="E607">
        <f>Raw_Claims_Data!E606</f>
        <v>4000</v>
      </c>
      <c r="F607" t="str">
        <f>Raw_Claims_Data!F606</f>
        <v>CT</v>
      </c>
      <c r="G607" t="str">
        <f>Raw_Claims_Data!G606</f>
        <v>A</v>
      </c>
      <c r="H607" t="str">
        <f>Raw_Claims_Data!H606</f>
        <v>Total Loss</v>
      </c>
      <c r="I607" t="str">
        <f>IF(Raw_Claims_Data!I606="","None",Raw_Claims_Data!I606)</f>
        <v>None</v>
      </c>
      <c r="J607" t="str">
        <f>Raw_Claims_Data!J606</f>
        <v>Annapolis</v>
      </c>
      <c r="K607" t="str">
        <f>Raw_Claims_Data!K606</f>
        <v>MD</v>
      </c>
      <c r="L607">
        <f>Raw_Claims_Data!L606</f>
        <v>22</v>
      </c>
      <c r="M607" t="str">
        <f>IF(Raw_Claims_Data!M606="","N/A",Raw_Claims_Data!M606)</f>
        <v>VNDR00348</v>
      </c>
      <c r="N607" t="str">
        <f>Raw_Claims_Data!N606</f>
        <v>AGENT00274</v>
      </c>
      <c r="O607">
        <f>IF(Raw_Claims_Data!G606="D",1,0)</f>
        <v>0</v>
      </c>
    </row>
    <row r="608" spans="1:15" x14ac:dyDescent="0.35">
      <c r="A608" t="str">
        <f>Raw_Claims_Data!A607</f>
        <v>TXN00000604</v>
      </c>
      <c r="B608" t="str">
        <f>TRIM(Raw_Claims_Data!B607)</f>
        <v>Wanda Carrara</v>
      </c>
      <c r="C608" t="str">
        <f>Raw_Claims_Data!C607</f>
        <v>Motor</v>
      </c>
      <c r="D608">
        <f>Raw_Claims_Data!D607</f>
        <v>129.99</v>
      </c>
      <c r="E608">
        <f>Raw_Claims_Data!E607</f>
        <v>2000</v>
      </c>
      <c r="F608" t="str">
        <f>Raw_Claims_Data!F607</f>
        <v>GA</v>
      </c>
      <c r="G608" t="str">
        <f>Raw_Claims_Data!G607</f>
        <v>A</v>
      </c>
      <c r="H608" t="str">
        <f>Raw_Claims_Data!H607</f>
        <v>Total Loss</v>
      </c>
      <c r="I608" t="str">
        <f>IF(Raw_Claims_Data!I607="","None",Raw_Claims_Data!I607)</f>
        <v>Police</v>
      </c>
      <c r="J608" t="str">
        <f>Raw_Claims_Data!J607</f>
        <v>Fayetteville</v>
      </c>
      <c r="K608" t="str">
        <f>Raw_Claims_Data!K607</f>
        <v>AR</v>
      </c>
      <c r="L608">
        <f>Raw_Claims_Data!L607</f>
        <v>6</v>
      </c>
      <c r="M608" t="str">
        <f>IF(Raw_Claims_Data!M607="","N/A",Raw_Claims_Data!M607)</f>
        <v>VNDR00437</v>
      </c>
      <c r="N608" t="str">
        <f>Raw_Claims_Data!N607</f>
        <v>AGENT00740</v>
      </c>
      <c r="O608">
        <f>IF(Raw_Claims_Data!G607="D",1,0)</f>
        <v>0</v>
      </c>
    </row>
    <row r="609" spans="1:15" x14ac:dyDescent="0.35">
      <c r="A609" t="str">
        <f>Raw_Claims_Data!A608</f>
        <v>TXN00000605</v>
      </c>
      <c r="B609" t="str">
        <f>TRIM(Raw_Claims_Data!B608)</f>
        <v>Robert Beals</v>
      </c>
      <c r="C609" t="str">
        <f>Raw_Claims_Data!C608</f>
        <v>Health</v>
      </c>
      <c r="D609">
        <f>Raw_Claims_Data!D608</f>
        <v>153.74</v>
      </c>
      <c r="E609">
        <f>Raw_Claims_Data!E608</f>
        <v>14000</v>
      </c>
      <c r="F609" t="str">
        <f>Raw_Claims_Data!F608</f>
        <v>AK</v>
      </c>
      <c r="G609" t="str">
        <f>Raw_Claims_Data!G608</f>
        <v>A</v>
      </c>
      <c r="H609" t="str">
        <f>Raw_Claims_Data!H608</f>
        <v>Minor Loss</v>
      </c>
      <c r="I609" t="str">
        <f>IF(Raw_Claims_Data!I608="","None",Raw_Claims_Data!I608)</f>
        <v>Ambulance</v>
      </c>
      <c r="J609" t="str">
        <f>Raw_Claims_Data!J608</f>
        <v>Nashville</v>
      </c>
      <c r="K609" t="str">
        <f>Raw_Claims_Data!K608</f>
        <v>TN</v>
      </c>
      <c r="L609">
        <f>Raw_Claims_Data!L608</f>
        <v>8</v>
      </c>
      <c r="M609" t="str">
        <f>IF(Raw_Claims_Data!M608="","N/A",Raw_Claims_Data!M608)</f>
        <v>VNDR00583</v>
      </c>
      <c r="N609" t="str">
        <f>Raw_Claims_Data!N608</f>
        <v>AGENT01113</v>
      </c>
      <c r="O609">
        <f>IF(Raw_Claims_Data!G608="D",1,0)</f>
        <v>0</v>
      </c>
    </row>
    <row r="610" spans="1:15" x14ac:dyDescent="0.35">
      <c r="A610" t="str">
        <f>Raw_Claims_Data!A609</f>
        <v>TXN00000606</v>
      </c>
      <c r="B610" t="str">
        <f>TRIM(Raw_Claims_Data!B609)</f>
        <v>Kathy Barkhimer</v>
      </c>
      <c r="C610" t="str">
        <f>Raw_Claims_Data!C609</f>
        <v>Life</v>
      </c>
      <c r="D610">
        <f>Raw_Claims_Data!D609</f>
        <v>84.57</v>
      </c>
      <c r="E610">
        <f>Raw_Claims_Data!E609</f>
        <v>95000</v>
      </c>
      <c r="F610" t="str">
        <f>Raw_Claims_Data!F609</f>
        <v>CA</v>
      </c>
      <c r="G610" t="str">
        <f>Raw_Claims_Data!G609</f>
        <v>A</v>
      </c>
      <c r="H610" t="str">
        <f>Raw_Claims_Data!H609</f>
        <v>Minor Loss</v>
      </c>
      <c r="I610" t="str">
        <f>IF(Raw_Claims_Data!I609="","None",Raw_Claims_Data!I609)</f>
        <v>Police</v>
      </c>
      <c r="J610" t="str">
        <f>Raw_Claims_Data!J609</f>
        <v>Conway</v>
      </c>
      <c r="K610" t="str">
        <f>Raw_Claims_Data!K609</f>
        <v>AR</v>
      </c>
      <c r="L610">
        <f>Raw_Claims_Data!L609</f>
        <v>17</v>
      </c>
      <c r="M610" t="str">
        <f>IF(Raw_Claims_Data!M609="","N/A",Raw_Claims_Data!M609)</f>
        <v>N/A</v>
      </c>
      <c r="N610" t="str">
        <f>Raw_Claims_Data!N609</f>
        <v>AGENT00004</v>
      </c>
      <c r="O610">
        <f>IF(Raw_Claims_Data!G609="D",1,0)</f>
        <v>0</v>
      </c>
    </row>
    <row r="611" spans="1:15" x14ac:dyDescent="0.35">
      <c r="A611" t="str">
        <f>Raw_Claims_Data!A610</f>
        <v>TXN00000607</v>
      </c>
      <c r="B611" t="str">
        <f>TRIM(Raw_Claims_Data!B610)</f>
        <v>Laura Campbell</v>
      </c>
      <c r="C611" t="str">
        <f>Raw_Claims_Data!C610</f>
        <v>Health</v>
      </c>
      <c r="D611">
        <f>Raw_Claims_Data!D610</f>
        <v>183.6</v>
      </c>
      <c r="E611">
        <f>Raw_Claims_Data!E610</f>
        <v>6000</v>
      </c>
      <c r="F611" t="str">
        <f>Raw_Claims_Data!F610</f>
        <v>GA</v>
      </c>
      <c r="G611" t="str">
        <f>Raw_Claims_Data!G610</f>
        <v>D</v>
      </c>
      <c r="H611" t="str">
        <f>Raw_Claims_Data!H610</f>
        <v>Minor Loss</v>
      </c>
      <c r="I611" t="str">
        <f>IF(Raw_Claims_Data!I610="","None",Raw_Claims_Data!I610)</f>
        <v>Police</v>
      </c>
      <c r="J611" t="str">
        <f>Raw_Claims_Data!J610</f>
        <v>Savannah</v>
      </c>
      <c r="K611" t="str">
        <f>Raw_Claims_Data!K610</f>
        <v>GA</v>
      </c>
      <c r="L611">
        <f>Raw_Claims_Data!L610</f>
        <v>23</v>
      </c>
      <c r="M611" t="str">
        <f>IF(Raw_Claims_Data!M610="","N/A",Raw_Claims_Data!M610)</f>
        <v>N/A</v>
      </c>
      <c r="N611" t="str">
        <f>Raw_Claims_Data!N610</f>
        <v>AGENT01188</v>
      </c>
      <c r="O611">
        <f>IF(Raw_Claims_Data!G610="D",1,0)</f>
        <v>1</v>
      </c>
    </row>
    <row r="612" spans="1:15" x14ac:dyDescent="0.35">
      <c r="A612" t="str">
        <f>Raw_Claims_Data!A611</f>
        <v>TXN00000608</v>
      </c>
      <c r="B612" t="str">
        <f>TRIM(Raw_Claims_Data!B611)</f>
        <v>William Fortin</v>
      </c>
      <c r="C612" t="str">
        <f>Raw_Claims_Data!C611</f>
        <v>Motor</v>
      </c>
      <c r="D612">
        <f>Raw_Claims_Data!D611</f>
        <v>105.45</v>
      </c>
      <c r="E612">
        <f>Raw_Claims_Data!E611</f>
        <v>4000</v>
      </c>
      <c r="F612" t="str">
        <f>Raw_Claims_Data!F611</f>
        <v>CO</v>
      </c>
      <c r="G612" t="str">
        <f>Raw_Claims_Data!G611</f>
        <v>D</v>
      </c>
      <c r="H612" t="str">
        <f>Raw_Claims_Data!H611</f>
        <v>Minor Loss</v>
      </c>
      <c r="I612" t="str">
        <f>IF(Raw_Claims_Data!I611="","None",Raw_Claims_Data!I611)</f>
        <v>Police</v>
      </c>
      <c r="J612" t="str">
        <f>Raw_Claims_Data!J611</f>
        <v>Nashville</v>
      </c>
      <c r="K612" t="str">
        <f>Raw_Claims_Data!K611</f>
        <v>TN</v>
      </c>
      <c r="L612">
        <f>Raw_Claims_Data!L611</f>
        <v>11</v>
      </c>
      <c r="M612" t="str">
        <f>IF(Raw_Claims_Data!M611="","N/A",Raw_Claims_Data!M611)</f>
        <v>N/A</v>
      </c>
      <c r="N612" t="str">
        <f>Raw_Claims_Data!N611</f>
        <v>AGENT00232</v>
      </c>
      <c r="O612">
        <f>IF(Raw_Claims_Data!G611="D",1,0)</f>
        <v>1</v>
      </c>
    </row>
    <row r="613" spans="1:15" x14ac:dyDescent="0.35">
      <c r="A613" t="str">
        <f>Raw_Claims_Data!A612</f>
        <v>TXN00000609</v>
      </c>
      <c r="B613" t="str">
        <f>TRIM(Raw_Claims_Data!B612)</f>
        <v>Dorothy Balch</v>
      </c>
      <c r="C613" t="str">
        <f>Raw_Claims_Data!C612</f>
        <v>Motor</v>
      </c>
      <c r="D613">
        <f>Raw_Claims_Data!D612</f>
        <v>132.84</v>
      </c>
      <c r="E613">
        <f>Raw_Claims_Data!E612</f>
        <v>6000</v>
      </c>
      <c r="F613" t="str">
        <f>Raw_Claims_Data!F612</f>
        <v>VT</v>
      </c>
      <c r="G613" t="str">
        <f>Raw_Claims_Data!G612</f>
        <v>A</v>
      </c>
      <c r="H613" t="str">
        <f>Raw_Claims_Data!H612</f>
        <v>Minor Loss</v>
      </c>
      <c r="I613" t="str">
        <f>IF(Raw_Claims_Data!I612="","None",Raw_Claims_Data!I612)</f>
        <v>Ambulance</v>
      </c>
      <c r="J613" t="str">
        <f>Raw_Claims_Data!J612</f>
        <v>Oklahoma City</v>
      </c>
      <c r="K613" t="str">
        <f>Raw_Claims_Data!K612</f>
        <v>OK</v>
      </c>
      <c r="L613">
        <f>Raw_Claims_Data!L612</f>
        <v>1</v>
      </c>
      <c r="M613" t="str">
        <f>IF(Raw_Claims_Data!M612="","N/A",Raw_Claims_Data!M612)</f>
        <v>VNDR00468</v>
      </c>
      <c r="N613" t="str">
        <f>Raw_Claims_Data!N612</f>
        <v>AGENT00992</v>
      </c>
      <c r="O613">
        <f>IF(Raw_Claims_Data!G612="D",1,0)</f>
        <v>0</v>
      </c>
    </row>
    <row r="614" spans="1:15" x14ac:dyDescent="0.35">
      <c r="A614" t="str">
        <f>Raw_Claims_Data!A613</f>
        <v>TXN00000610</v>
      </c>
      <c r="B614" t="str">
        <f>TRIM(Raw_Claims_Data!B613)</f>
        <v>Damien Holtzman</v>
      </c>
      <c r="C614" t="str">
        <f>Raw_Claims_Data!C613</f>
        <v>Travel</v>
      </c>
      <c r="D614">
        <f>Raw_Claims_Data!D613</f>
        <v>63.55</v>
      </c>
      <c r="E614">
        <f>Raw_Claims_Data!E613</f>
        <v>2000</v>
      </c>
      <c r="F614" t="str">
        <f>Raw_Claims_Data!F613</f>
        <v>KY</v>
      </c>
      <c r="G614" t="str">
        <f>Raw_Claims_Data!G613</f>
        <v>A</v>
      </c>
      <c r="H614" t="str">
        <f>Raw_Claims_Data!H613</f>
        <v>Major Loss</v>
      </c>
      <c r="I614" t="str">
        <f>IF(Raw_Claims_Data!I613="","None",Raw_Claims_Data!I613)</f>
        <v>Ambulance</v>
      </c>
      <c r="J614" t="str">
        <f>Raw_Claims_Data!J613</f>
        <v>Oklahoma City</v>
      </c>
      <c r="K614" t="str">
        <f>Raw_Claims_Data!K613</f>
        <v>OK</v>
      </c>
      <c r="L614">
        <f>Raw_Claims_Data!L613</f>
        <v>5</v>
      </c>
      <c r="M614" t="str">
        <f>IF(Raw_Claims_Data!M613="","N/A",Raw_Claims_Data!M613)</f>
        <v>VNDR00535</v>
      </c>
      <c r="N614" t="str">
        <f>Raw_Claims_Data!N613</f>
        <v>AGENT00714</v>
      </c>
      <c r="O614">
        <f>IF(Raw_Claims_Data!G613="D",1,0)</f>
        <v>0</v>
      </c>
    </row>
    <row r="615" spans="1:15" x14ac:dyDescent="0.35">
      <c r="A615" t="str">
        <f>Raw_Claims_Data!A614</f>
        <v>TXN00000611</v>
      </c>
      <c r="B615" t="str">
        <f>TRIM(Raw_Claims_Data!B614)</f>
        <v>Michael Pautz</v>
      </c>
      <c r="C615" t="str">
        <f>Raw_Claims_Data!C614</f>
        <v>Motor</v>
      </c>
      <c r="D615">
        <f>Raw_Claims_Data!D614</f>
        <v>133.58000000000001</v>
      </c>
      <c r="E615">
        <f>Raw_Claims_Data!E614</f>
        <v>5000</v>
      </c>
      <c r="F615" t="str">
        <f>Raw_Claims_Data!F614</f>
        <v>TN</v>
      </c>
      <c r="G615" t="str">
        <f>Raw_Claims_Data!G614</f>
        <v>A</v>
      </c>
      <c r="H615" t="str">
        <f>Raw_Claims_Data!H614</f>
        <v>Minor Loss</v>
      </c>
      <c r="I615" t="str">
        <f>IF(Raw_Claims_Data!I614="","None",Raw_Claims_Data!I614)</f>
        <v>Ambulance</v>
      </c>
      <c r="J615" t="str">
        <f>Raw_Claims_Data!J614</f>
        <v>Louisville</v>
      </c>
      <c r="K615" t="str">
        <f>Raw_Claims_Data!K614</f>
        <v>KY</v>
      </c>
      <c r="L615">
        <f>Raw_Claims_Data!L614</f>
        <v>19</v>
      </c>
      <c r="M615" t="str">
        <f>IF(Raw_Claims_Data!M614="","N/A",Raw_Claims_Data!M614)</f>
        <v>VNDR00412</v>
      </c>
      <c r="N615" t="str">
        <f>Raw_Claims_Data!N614</f>
        <v>AGENT00871</v>
      </c>
      <c r="O615">
        <f>IF(Raw_Claims_Data!G614="D",1,0)</f>
        <v>0</v>
      </c>
    </row>
    <row r="616" spans="1:15" x14ac:dyDescent="0.35">
      <c r="A616" t="str">
        <f>Raw_Claims_Data!A615</f>
        <v>TXN00000612</v>
      </c>
      <c r="B616" t="str">
        <f>TRIM(Raw_Claims_Data!B615)</f>
        <v>Keith Stephens</v>
      </c>
      <c r="C616" t="str">
        <f>Raw_Claims_Data!C615</f>
        <v>Mobile</v>
      </c>
      <c r="D616">
        <f>Raw_Claims_Data!D615</f>
        <v>10.63</v>
      </c>
      <c r="E616">
        <f>Raw_Claims_Data!E615</f>
        <v>700</v>
      </c>
      <c r="F616" t="str">
        <f>Raw_Claims_Data!F615</f>
        <v>VT</v>
      </c>
      <c r="G616" t="str">
        <f>Raw_Claims_Data!G615</f>
        <v>A</v>
      </c>
      <c r="H616" t="str">
        <f>Raw_Claims_Data!H615</f>
        <v>Major Loss</v>
      </c>
      <c r="I616" t="str">
        <f>IF(Raw_Claims_Data!I615="","None",Raw_Claims_Data!I615)</f>
        <v>Ambulance</v>
      </c>
      <c r="J616" t="str">
        <f>Raw_Claims_Data!J615</f>
        <v>Savannah</v>
      </c>
      <c r="K616" t="str">
        <f>Raw_Claims_Data!K615</f>
        <v>GA</v>
      </c>
      <c r="L616">
        <f>Raw_Claims_Data!L615</f>
        <v>21</v>
      </c>
      <c r="M616" t="str">
        <f>IF(Raw_Claims_Data!M615="","N/A",Raw_Claims_Data!M615)</f>
        <v>VNDR00510</v>
      </c>
      <c r="N616" t="str">
        <f>Raw_Claims_Data!N615</f>
        <v>AGENT00524</v>
      </c>
      <c r="O616">
        <f>IF(Raw_Claims_Data!G615="D",1,0)</f>
        <v>0</v>
      </c>
    </row>
    <row r="617" spans="1:15" x14ac:dyDescent="0.35">
      <c r="A617" t="str">
        <f>Raw_Claims_Data!A616</f>
        <v>TXN00000613</v>
      </c>
      <c r="B617" t="str">
        <f>TRIM(Raw_Claims_Data!B616)</f>
        <v>Marion Blaine</v>
      </c>
      <c r="C617" t="str">
        <f>Raw_Claims_Data!C616</f>
        <v>Life</v>
      </c>
      <c r="D617">
        <f>Raw_Claims_Data!D616</f>
        <v>76.08</v>
      </c>
      <c r="E617">
        <f>Raw_Claims_Data!E616</f>
        <v>42000</v>
      </c>
      <c r="F617" t="str">
        <f>Raw_Claims_Data!F616</f>
        <v>VT</v>
      </c>
      <c r="G617" t="str">
        <f>Raw_Claims_Data!G616</f>
        <v>A</v>
      </c>
      <c r="H617" t="str">
        <f>Raw_Claims_Data!H616</f>
        <v>Minor Loss</v>
      </c>
      <c r="I617" t="str">
        <f>IF(Raw_Claims_Data!I616="","None",Raw_Claims_Data!I616)</f>
        <v>None</v>
      </c>
      <c r="J617" t="str">
        <f>Raw_Claims_Data!J616</f>
        <v>Manchester</v>
      </c>
      <c r="K617" t="str">
        <f>Raw_Claims_Data!K616</f>
        <v>CT</v>
      </c>
      <c r="L617">
        <f>Raw_Claims_Data!L616</f>
        <v>4</v>
      </c>
      <c r="M617" t="str">
        <f>IF(Raw_Claims_Data!M616="","N/A",Raw_Claims_Data!M616)</f>
        <v>VNDR00545</v>
      </c>
      <c r="N617" t="str">
        <f>Raw_Claims_Data!N616</f>
        <v>AGENT00403</v>
      </c>
      <c r="O617">
        <f>IF(Raw_Claims_Data!G616="D",1,0)</f>
        <v>0</v>
      </c>
    </row>
    <row r="618" spans="1:15" x14ac:dyDescent="0.35">
      <c r="A618" t="str">
        <f>Raw_Claims_Data!A617</f>
        <v>TXN00000614</v>
      </c>
      <c r="B618" t="str">
        <f>TRIM(Raw_Claims_Data!B617)</f>
        <v>Laura Marcus</v>
      </c>
      <c r="C618" t="str">
        <f>Raw_Claims_Data!C617</f>
        <v>Property</v>
      </c>
      <c r="D618">
        <f>Raw_Claims_Data!D617</f>
        <v>142.80000000000001</v>
      </c>
      <c r="E618">
        <f>Raw_Claims_Data!E617</f>
        <v>36000</v>
      </c>
      <c r="F618" t="str">
        <f>Raw_Claims_Data!F617</f>
        <v>OK</v>
      </c>
      <c r="G618" t="str">
        <f>Raw_Claims_Data!G617</f>
        <v>A</v>
      </c>
      <c r="H618" t="str">
        <f>Raw_Claims_Data!H617</f>
        <v>Minor Loss</v>
      </c>
      <c r="I618" t="str">
        <f>IF(Raw_Claims_Data!I617="","None",Raw_Claims_Data!I617)</f>
        <v>Police</v>
      </c>
      <c r="J618" t="str">
        <f>Raw_Claims_Data!J617</f>
        <v>Plymouth</v>
      </c>
      <c r="K618" t="str">
        <f>Raw_Claims_Data!K617</f>
        <v>MA</v>
      </c>
      <c r="L618">
        <f>Raw_Claims_Data!L617</f>
        <v>9</v>
      </c>
      <c r="M618" t="str">
        <f>IF(Raw_Claims_Data!M617="","N/A",Raw_Claims_Data!M617)</f>
        <v>VNDR00418</v>
      </c>
      <c r="N618" t="str">
        <f>Raw_Claims_Data!N617</f>
        <v>AGENT00218</v>
      </c>
      <c r="O618">
        <f>IF(Raw_Claims_Data!G617="D",1,0)</f>
        <v>0</v>
      </c>
    </row>
    <row r="619" spans="1:15" x14ac:dyDescent="0.35">
      <c r="A619" t="str">
        <f>Raw_Claims_Data!A618</f>
        <v>TXN00000615</v>
      </c>
      <c r="B619" t="str">
        <f>TRIM(Raw_Claims_Data!B618)</f>
        <v>Charlotte Cordoba</v>
      </c>
      <c r="C619" t="str">
        <f>Raw_Claims_Data!C618</f>
        <v>Mobile</v>
      </c>
      <c r="D619">
        <f>Raw_Claims_Data!D618</f>
        <v>8.5500000000000007</v>
      </c>
      <c r="E619">
        <f>Raw_Claims_Data!E618</f>
        <v>400</v>
      </c>
      <c r="F619" t="str">
        <f>Raw_Claims_Data!F618</f>
        <v>AR</v>
      </c>
      <c r="G619" t="str">
        <f>Raw_Claims_Data!G618</f>
        <v>A</v>
      </c>
      <c r="H619" t="str">
        <f>Raw_Claims_Data!H618</f>
        <v>Major Loss</v>
      </c>
      <c r="I619" t="str">
        <f>IF(Raw_Claims_Data!I618="","None",Raw_Claims_Data!I618)</f>
        <v>Police</v>
      </c>
      <c r="J619" t="str">
        <f>Raw_Claims_Data!J618</f>
        <v>Berkeley</v>
      </c>
      <c r="K619" t="str">
        <f>Raw_Claims_Data!K618</f>
        <v>CA</v>
      </c>
      <c r="L619">
        <f>Raw_Claims_Data!L618</f>
        <v>4</v>
      </c>
      <c r="M619" t="str">
        <f>IF(Raw_Claims_Data!M618="","N/A",Raw_Claims_Data!M618)</f>
        <v>VNDR00523</v>
      </c>
      <c r="N619" t="str">
        <f>Raw_Claims_Data!N618</f>
        <v>AGENT00026</v>
      </c>
      <c r="O619">
        <f>IF(Raw_Claims_Data!G618="D",1,0)</f>
        <v>0</v>
      </c>
    </row>
    <row r="620" spans="1:15" x14ac:dyDescent="0.35">
      <c r="A620" t="str">
        <f>Raw_Claims_Data!A619</f>
        <v>TXN00000616</v>
      </c>
      <c r="B620" t="str">
        <f>TRIM(Raw_Claims_Data!B619)</f>
        <v>Francisca Santos</v>
      </c>
      <c r="C620" t="str">
        <f>Raw_Claims_Data!C619</f>
        <v>Travel</v>
      </c>
      <c r="D620">
        <f>Raw_Claims_Data!D619</f>
        <v>71.63</v>
      </c>
      <c r="E620">
        <f>Raw_Claims_Data!E619</f>
        <v>3000</v>
      </c>
      <c r="F620" t="str">
        <f>Raw_Claims_Data!F619</f>
        <v>CT</v>
      </c>
      <c r="G620" t="str">
        <f>Raw_Claims_Data!G619</f>
        <v>A</v>
      </c>
      <c r="H620" t="str">
        <f>Raw_Claims_Data!H619</f>
        <v>Major Loss</v>
      </c>
      <c r="I620" t="str">
        <f>IF(Raw_Claims_Data!I619="","None",Raw_Claims_Data!I619)</f>
        <v>Ambulance</v>
      </c>
      <c r="J620" t="str">
        <f>Raw_Claims_Data!J619</f>
        <v>Anchorage</v>
      </c>
      <c r="K620" t="str">
        <f>Raw_Claims_Data!K619</f>
        <v>AK</v>
      </c>
      <c r="L620">
        <f>Raw_Claims_Data!L619</f>
        <v>15</v>
      </c>
      <c r="M620" t="str">
        <f>IF(Raw_Claims_Data!M619="","N/A",Raw_Claims_Data!M619)</f>
        <v>VNDR00107</v>
      </c>
      <c r="N620" t="str">
        <f>Raw_Claims_Data!N619</f>
        <v>AGENT00743</v>
      </c>
      <c r="O620">
        <f>IF(Raw_Claims_Data!G619="D",1,0)</f>
        <v>0</v>
      </c>
    </row>
    <row r="621" spans="1:15" x14ac:dyDescent="0.35">
      <c r="A621" t="str">
        <f>Raw_Claims_Data!A620</f>
        <v>TXN00000617</v>
      </c>
      <c r="B621" t="str">
        <f>TRIM(Raw_Claims_Data!B620)</f>
        <v>Dustin Cabrera</v>
      </c>
      <c r="C621" t="str">
        <f>Raw_Claims_Data!C620</f>
        <v>Property</v>
      </c>
      <c r="D621">
        <f>Raw_Claims_Data!D620</f>
        <v>134.66</v>
      </c>
      <c r="E621">
        <f>Raw_Claims_Data!E620</f>
        <v>33000</v>
      </c>
      <c r="F621" t="str">
        <f>Raw_Claims_Data!F620</f>
        <v>GA</v>
      </c>
      <c r="G621" t="str">
        <f>Raw_Claims_Data!G620</f>
        <v>A</v>
      </c>
      <c r="H621" t="str">
        <f>Raw_Claims_Data!H620</f>
        <v>Total Loss</v>
      </c>
      <c r="I621" t="str">
        <f>IF(Raw_Claims_Data!I620="","None",Raw_Claims_Data!I620)</f>
        <v>None</v>
      </c>
      <c r="J621" t="str">
        <f>Raw_Claims_Data!J620</f>
        <v>Fayetteville</v>
      </c>
      <c r="K621" t="str">
        <f>Raw_Claims_Data!K620</f>
        <v>AR</v>
      </c>
      <c r="L621">
        <f>Raw_Claims_Data!L620</f>
        <v>14</v>
      </c>
      <c r="M621" t="str">
        <f>IF(Raw_Claims_Data!M620="","N/A",Raw_Claims_Data!M620)</f>
        <v>N/A</v>
      </c>
      <c r="N621" t="str">
        <f>Raw_Claims_Data!N620</f>
        <v>AGENT00515</v>
      </c>
      <c r="O621">
        <f>IF(Raw_Claims_Data!G620="D",1,0)</f>
        <v>0</v>
      </c>
    </row>
    <row r="622" spans="1:15" x14ac:dyDescent="0.35">
      <c r="A622" t="str">
        <f>Raw_Claims_Data!A621</f>
        <v>TXN00000618</v>
      </c>
      <c r="B622" t="str">
        <f>TRIM(Raw_Claims_Data!B621)</f>
        <v>Jennifer Wardwell</v>
      </c>
      <c r="C622" t="str">
        <f>Raw_Claims_Data!C621</f>
        <v>Travel</v>
      </c>
      <c r="D622">
        <f>Raw_Claims_Data!D621</f>
        <v>52.57</v>
      </c>
      <c r="E622">
        <f>Raw_Claims_Data!E621</f>
        <v>4000</v>
      </c>
      <c r="F622" t="str">
        <f>Raw_Claims_Data!F621</f>
        <v>KY</v>
      </c>
      <c r="G622" t="str">
        <f>Raw_Claims_Data!G621</f>
        <v>A</v>
      </c>
      <c r="H622" t="str">
        <f>Raw_Claims_Data!H621</f>
        <v>Minor Loss</v>
      </c>
      <c r="I622" t="str">
        <f>IF(Raw_Claims_Data!I621="","None",Raw_Claims_Data!I621)</f>
        <v>Ambulance</v>
      </c>
      <c r="J622" t="str">
        <f>Raw_Claims_Data!J621</f>
        <v>Anchorage</v>
      </c>
      <c r="K622" t="str">
        <f>Raw_Claims_Data!K621</f>
        <v>AK</v>
      </c>
      <c r="L622">
        <f>Raw_Claims_Data!L621</f>
        <v>16</v>
      </c>
      <c r="M622" t="str">
        <f>IF(Raw_Claims_Data!M621="","N/A",Raw_Claims_Data!M621)</f>
        <v>VNDR00469</v>
      </c>
      <c r="N622" t="str">
        <f>Raw_Claims_Data!N621</f>
        <v>AGENT00509</v>
      </c>
      <c r="O622">
        <f>IF(Raw_Claims_Data!G621="D",1,0)</f>
        <v>0</v>
      </c>
    </row>
    <row r="623" spans="1:15" x14ac:dyDescent="0.35">
      <c r="A623" t="str">
        <f>Raw_Claims_Data!A622</f>
        <v>TXN00000619</v>
      </c>
      <c r="B623" t="str">
        <f>TRIM(Raw_Claims_Data!B622)</f>
        <v>Gwendolyn Bojorquez</v>
      </c>
      <c r="C623" t="str">
        <f>Raw_Claims_Data!C622</f>
        <v>Property</v>
      </c>
      <c r="D623">
        <f>Raw_Claims_Data!D622</f>
        <v>140.38</v>
      </c>
      <c r="E623">
        <f>Raw_Claims_Data!E622</f>
        <v>13000</v>
      </c>
      <c r="F623" t="str">
        <f>Raw_Claims_Data!F622</f>
        <v>CT</v>
      </c>
      <c r="G623" t="str">
        <f>Raw_Claims_Data!G622</f>
        <v>A</v>
      </c>
      <c r="H623" t="str">
        <f>Raw_Claims_Data!H622</f>
        <v>Total Loss</v>
      </c>
      <c r="I623" t="str">
        <f>IF(Raw_Claims_Data!I622="","None",Raw_Claims_Data!I622)</f>
        <v>Police</v>
      </c>
      <c r="J623" t="str">
        <f>Raw_Claims_Data!J622</f>
        <v>Manchester</v>
      </c>
      <c r="K623" t="str">
        <f>Raw_Claims_Data!K622</f>
        <v>CT</v>
      </c>
      <c r="L623">
        <f>Raw_Claims_Data!L622</f>
        <v>22</v>
      </c>
      <c r="M623" t="str">
        <f>IF(Raw_Claims_Data!M622="","N/A",Raw_Claims_Data!M622)</f>
        <v>VNDR00466</v>
      </c>
      <c r="N623" t="str">
        <f>Raw_Claims_Data!N622</f>
        <v>AGENT00805</v>
      </c>
      <c r="O623">
        <f>IF(Raw_Claims_Data!G622="D",1,0)</f>
        <v>0</v>
      </c>
    </row>
    <row r="624" spans="1:15" x14ac:dyDescent="0.35">
      <c r="A624" t="str">
        <f>Raw_Claims_Data!A623</f>
        <v>TXN00000620</v>
      </c>
      <c r="B624" t="str">
        <f>TRIM(Raw_Claims_Data!B623)</f>
        <v>William Goff</v>
      </c>
      <c r="C624" t="str">
        <f>Raw_Claims_Data!C623</f>
        <v>Travel</v>
      </c>
      <c r="D624">
        <f>Raw_Claims_Data!D623</f>
        <v>52.55</v>
      </c>
      <c r="E624">
        <f>Raw_Claims_Data!E623</f>
        <v>3000</v>
      </c>
      <c r="F624" t="str">
        <f>Raw_Claims_Data!F623</f>
        <v>VT</v>
      </c>
      <c r="G624" t="str">
        <f>Raw_Claims_Data!G623</f>
        <v>A</v>
      </c>
      <c r="H624" t="str">
        <f>Raw_Claims_Data!H623</f>
        <v>Major Loss</v>
      </c>
      <c r="I624" t="str">
        <f>IF(Raw_Claims_Data!I623="","None",Raw_Claims_Data!I623)</f>
        <v>Police</v>
      </c>
      <c r="J624" t="str">
        <f>Raw_Claims_Data!J623</f>
        <v>Rutland</v>
      </c>
      <c r="K624" t="str">
        <f>Raw_Claims_Data!K623</f>
        <v>VT</v>
      </c>
      <c r="L624">
        <f>Raw_Claims_Data!L623</f>
        <v>20</v>
      </c>
      <c r="M624" t="str">
        <f>IF(Raw_Claims_Data!M623="","N/A",Raw_Claims_Data!M623)</f>
        <v>VNDR00141</v>
      </c>
      <c r="N624" t="str">
        <f>Raw_Claims_Data!N623</f>
        <v>AGENT00036</v>
      </c>
      <c r="O624">
        <f>IF(Raw_Claims_Data!G623="D",1,0)</f>
        <v>0</v>
      </c>
    </row>
    <row r="625" spans="1:15" x14ac:dyDescent="0.35">
      <c r="A625" t="str">
        <f>Raw_Claims_Data!A624</f>
        <v>TXN00000621</v>
      </c>
      <c r="B625" t="str">
        <f>TRIM(Raw_Claims_Data!B624)</f>
        <v>Randall Johnson</v>
      </c>
      <c r="C625" t="str">
        <f>Raw_Claims_Data!C624</f>
        <v>Property</v>
      </c>
      <c r="D625">
        <f>Raw_Claims_Data!D624</f>
        <v>114.21</v>
      </c>
      <c r="E625">
        <f>Raw_Claims_Data!E624</f>
        <v>40000</v>
      </c>
      <c r="F625" t="str">
        <f>Raw_Claims_Data!F624</f>
        <v>AZ</v>
      </c>
      <c r="G625" t="str">
        <f>Raw_Claims_Data!G624</f>
        <v>D</v>
      </c>
      <c r="H625" t="str">
        <f>Raw_Claims_Data!H624</f>
        <v>Minor Loss</v>
      </c>
      <c r="I625" t="str">
        <f>IF(Raw_Claims_Data!I624="","None",Raw_Claims_Data!I624)</f>
        <v>Police</v>
      </c>
      <c r="J625" t="str">
        <f>Raw_Claims_Data!J624</f>
        <v>Manchester</v>
      </c>
      <c r="K625" t="str">
        <f>Raw_Claims_Data!K624</f>
        <v>CT</v>
      </c>
      <c r="L625">
        <f>Raw_Claims_Data!L624</f>
        <v>17</v>
      </c>
      <c r="M625" t="str">
        <f>IF(Raw_Claims_Data!M624="","N/A",Raw_Claims_Data!M624)</f>
        <v>VNDR00445</v>
      </c>
      <c r="N625" t="str">
        <f>Raw_Claims_Data!N624</f>
        <v>AGENT00807</v>
      </c>
      <c r="O625">
        <f>IF(Raw_Claims_Data!G624="D",1,0)</f>
        <v>1</v>
      </c>
    </row>
    <row r="626" spans="1:15" x14ac:dyDescent="0.35">
      <c r="A626" t="str">
        <f>Raw_Claims_Data!A625</f>
        <v>TXN00000622</v>
      </c>
      <c r="B626" t="str">
        <f>TRIM(Raw_Claims_Data!B625)</f>
        <v>Charlie Garman</v>
      </c>
      <c r="C626" t="str">
        <f>Raw_Claims_Data!C625</f>
        <v>Motor</v>
      </c>
      <c r="D626">
        <f>Raw_Claims_Data!D625</f>
        <v>84.79</v>
      </c>
      <c r="E626">
        <f>Raw_Claims_Data!E625</f>
        <v>2000</v>
      </c>
      <c r="F626" t="str">
        <f>Raw_Claims_Data!F625</f>
        <v>TN</v>
      </c>
      <c r="G626" t="str">
        <f>Raw_Claims_Data!G625</f>
        <v>A</v>
      </c>
      <c r="H626" t="str">
        <f>Raw_Claims_Data!H625</f>
        <v>Total Loss</v>
      </c>
      <c r="I626" t="str">
        <f>IF(Raw_Claims_Data!I625="","None",Raw_Claims_Data!I625)</f>
        <v>Other</v>
      </c>
      <c r="J626" t="str">
        <f>Raw_Claims_Data!J625</f>
        <v>Fayetteville</v>
      </c>
      <c r="K626" t="str">
        <f>Raw_Claims_Data!K625</f>
        <v>AR</v>
      </c>
      <c r="L626">
        <f>Raw_Claims_Data!L625</f>
        <v>17</v>
      </c>
      <c r="M626" t="str">
        <f>IF(Raw_Claims_Data!M625="","N/A",Raw_Claims_Data!M625)</f>
        <v>VNDR00280</v>
      </c>
      <c r="N626" t="str">
        <f>Raw_Claims_Data!N625</f>
        <v>AGENT00263</v>
      </c>
      <c r="O626">
        <f>IF(Raw_Claims_Data!G625="D",1,0)</f>
        <v>0</v>
      </c>
    </row>
    <row r="627" spans="1:15" x14ac:dyDescent="0.35">
      <c r="A627" t="str">
        <f>Raw_Claims_Data!A626</f>
        <v>TXN00000623</v>
      </c>
      <c r="B627" t="str">
        <f>TRIM(Raw_Claims_Data!B626)</f>
        <v>Carol Mcleod</v>
      </c>
      <c r="C627" t="str">
        <f>Raw_Claims_Data!C626</f>
        <v>Life</v>
      </c>
      <c r="D627">
        <f>Raw_Claims_Data!D626</f>
        <v>50.73</v>
      </c>
      <c r="E627">
        <f>Raw_Claims_Data!E626</f>
        <v>59000</v>
      </c>
      <c r="F627" t="str">
        <f>Raw_Claims_Data!F626</f>
        <v>CO</v>
      </c>
      <c r="G627" t="str">
        <f>Raw_Claims_Data!G626</f>
        <v>A</v>
      </c>
      <c r="H627" t="str">
        <f>Raw_Claims_Data!H626</f>
        <v>Minor Loss</v>
      </c>
      <c r="I627" t="str">
        <f>IF(Raw_Claims_Data!I626="","None",Raw_Claims_Data!I626)</f>
        <v>Ambulance</v>
      </c>
      <c r="J627" t="str">
        <f>Raw_Claims_Data!J626</f>
        <v>Oakland</v>
      </c>
      <c r="K627" t="str">
        <f>Raw_Claims_Data!K626</f>
        <v>CA</v>
      </c>
      <c r="L627">
        <f>Raw_Claims_Data!L626</f>
        <v>10</v>
      </c>
      <c r="M627" t="str">
        <f>IF(Raw_Claims_Data!M626="","N/A",Raw_Claims_Data!M626)</f>
        <v>VNDR00538</v>
      </c>
      <c r="N627" t="str">
        <f>Raw_Claims_Data!N626</f>
        <v>AGENT00009</v>
      </c>
      <c r="O627">
        <f>IF(Raw_Claims_Data!G626="D",1,0)</f>
        <v>0</v>
      </c>
    </row>
    <row r="628" spans="1:15" x14ac:dyDescent="0.35">
      <c r="A628" t="str">
        <f>Raw_Claims_Data!A627</f>
        <v>TXN00000624</v>
      </c>
      <c r="B628" t="str">
        <f>TRIM(Raw_Claims_Data!B627)</f>
        <v>Brenda Carrozza</v>
      </c>
      <c r="C628" t="str">
        <f>Raw_Claims_Data!C627</f>
        <v>Property</v>
      </c>
      <c r="D628">
        <f>Raw_Claims_Data!D627</f>
        <v>122.48</v>
      </c>
      <c r="E628">
        <f>Raw_Claims_Data!E627</f>
        <v>40000</v>
      </c>
      <c r="F628" t="str">
        <f>Raw_Claims_Data!F627</f>
        <v>MA</v>
      </c>
      <c r="G628" t="str">
        <f>Raw_Claims_Data!G627</f>
        <v>A</v>
      </c>
      <c r="H628" t="str">
        <f>Raw_Claims_Data!H627</f>
        <v>Minor Loss</v>
      </c>
      <c r="I628" t="str">
        <f>IF(Raw_Claims_Data!I627="","None",Raw_Claims_Data!I627)</f>
        <v>None</v>
      </c>
      <c r="J628" t="str">
        <f>Raw_Claims_Data!J627</f>
        <v>Glen Burnie</v>
      </c>
      <c r="K628" t="str">
        <f>Raw_Claims_Data!K627</f>
        <v>MD</v>
      </c>
      <c r="L628">
        <f>Raw_Claims_Data!L627</f>
        <v>19</v>
      </c>
      <c r="M628" t="str">
        <f>IF(Raw_Claims_Data!M627="","N/A",Raw_Claims_Data!M627)</f>
        <v>VNDR00107</v>
      </c>
      <c r="N628" t="str">
        <f>Raw_Claims_Data!N627</f>
        <v>AGENT00920</v>
      </c>
      <c r="O628">
        <f>IF(Raw_Claims_Data!G627="D",1,0)</f>
        <v>0</v>
      </c>
    </row>
    <row r="629" spans="1:15" x14ac:dyDescent="0.35">
      <c r="A629" t="str">
        <f>Raw_Claims_Data!A628</f>
        <v>TXN00000625</v>
      </c>
      <c r="B629" t="str">
        <f>TRIM(Raw_Claims_Data!B628)</f>
        <v>Robert Langone</v>
      </c>
      <c r="C629" t="str">
        <f>Raw_Claims_Data!C628</f>
        <v>Property</v>
      </c>
      <c r="D629">
        <f>Raw_Claims_Data!D628</f>
        <v>118.61</v>
      </c>
      <c r="E629">
        <f>Raw_Claims_Data!E628</f>
        <v>12000</v>
      </c>
      <c r="F629" t="str">
        <f>Raw_Claims_Data!F628</f>
        <v>DC</v>
      </c>
      <c r="G629" t="str">
        <f>Raw_Claims_Data!G628</f>
        <v>A</v>
      </c>
      <c r="H629" t="str">
        <f>Raw_Claims_Data!H628</f>
        <v>Minor Loss</v>
      </c>
      <c r="I629" t="str">
        <f>IF(Raw_Claims_Data!I628="","None",Raw_Claims_Data!I628)</f>
        <v>Police</v>
      </c>
      <c r="J629" t="str">
        <f>Raw_Claims_Data!J628</f>
        <v>Berkeley</v>
      </c>
      <c r="K629" t="str">
        <f>Raw_Claims_Data!K628</f>
        <v>CA</v>
      </c>
      <c r="L629">
        <f>Raw_Claims_Data!L628</f>
        <v>0</v>
      </c>
      <c r="M629" t="str">
        <f>IF(Raw_Claims_Data!M628="","N/A",Raw_Claims_Data!M628)</f>
        <v>N/A</v>
      </c>
      <c r="N629" t="str">
        <f>Raw_Claims_Data!N628</f>
        <v>AGENT00319</v>
      </c>
      <c r="O629">
        <f>IF(Raw_Claims_Data!G628="D",1,0)</f>
        <v>0</v>
      </c>
    </row>
    <row r="630" spans="1:15" x14ac:dyDescent="0.35">
      <c r="A630" t="str">
        <f>Raw_Claims_Data!A629</f>
        <v>TXN00000626</v>
      </c>
      <c r="B630" t="str">
        <f>TRIM(Raw_Claims_Data!B629)</f>
        <v>Julie Reyes</v>
      </c>
      <c r="C630" t="str">
        <f>Raw_Claims_Data!C629</f>
        <v>Property</v>
      </c>
      <c r="D630">
        <f>Raw_Claims_Data!D629</f>
        <v>138.12</v>
      </c>
      <c r="E630">
        <f>Raw_Claims_Data!E629</f>
        <v>10000</v>
      </c>
      <c r="F630" t="str">
        <f>Raw_Claims_Data!F629</f>
        <v>CO</v>
      </c>
      <c r="G630" t="str">
        <f>Raw_Claims_Data!G629</f>
        <v>A</v>
      </c>
      <c r="H630" t="str">
        <f>Raw_Claims_Data!H629</f>
        <v>Major Loss</v>
      </c>
      <c r="I630" t="str">
        <f>IF(Raw_Claims_Data!I629="","None",Raw_Claims_Data!I629)</f>
        <v>Police</v>
      </c>
      <c r="J630" t="str">
        <f>Raw_Claims_Data!J629</f>
        <v>Washington</v>
      </c>
      <c r="K630" t="str">
        <f>Raw_Claims_Data!K629</f>
        <v>DC</v>
      </c>
      <c r="L630">
        <f>Raw_Claims_Data!L629</f>
        <v>22</v>
      </c>
      <c r="M630" t="str">
        <f>IF(Raw_Claims_Data!M629="","N/A",Raw_Claims_Data!M629)</f>
        <v>VNDR00375</v>
      </c>
      <c r="N630" t="str">
        <f>Raw_Claims_Data!N629</f>
        <v>AGENT00947</v>
      </c>
      <c r="O630">
        <f>IF(Raw_Claims_Data!G629="D",1,0)</f>
        <v>0</v>
      </c>
    </row>
    <row r="631" spans="1:15" x14ac:dyDescent="0.35">
      <c r="A631" t="str">
        <f>Raw_Claims_Data!A630</f>
        <v>TXN00000627</v>
      </c>
      <c r="B631" t="str">
        <f>TRIM(Raw_Claims_Data!B630)</f>
        <v>Marvin Mewborn</v>
      </c>
      <c r="C631" t="str">
        <f>Raw_Claims_Data!C630</f>
        <v>Life</v>
      </c>
      <c r="D631">
        <f>Raw_Claims_Data!D630</f>
        <v>86.78</v>
      </c>
      <c r="E631">
        <f>Raw_Claims_Data!E630</f>
        <v>27000</v>
      </c>
      <c r="F631" t="str">
        <f>Raw_Claims_Data!F630</f>
        <v>CT</v>
      </c>
      <c r="G631" t="str">
        <f>Raw_Claims_Data!G630</f>
        <v>A</v>
      </c>
      <c r="H631" t="str">
        <f>Raw_Claims_Data!H630</f>
        <v>Major Loss</v>
      </c>
      <c r="I631" t="str">
        <f>IF(Raw_Claims_Data!I630="","None",Raw_Claims_Data!I630)</f>
        <v>None</v>
      </c>
      <c r="J631" t="str">
        <f>Raw_Claims_Data!J630</f>
        <v>Pasadena</v>
      </c>
      <c r="K631" t="str">
        <f>Raw_Claims_Data!K630</f>
        <v>MD</v>
      </c>
      <c r="L631">
        <f>Raw_Claims_Data!L630</f>
        <v>8</v>
      </c>
      <c r="M631" t="str">
        <f>IF(Raw_Claims_Data!M630="","N/A",Raw_Claims_Data!M630)</f>
        <v>VNDR00258</v>
      </c>
      <c r="N631" t="str">
        <f>Raw_Claims_Data!N630</f>
        <v>AGENT01152</v>
      </c>
      <c r="O631">
        <f>IF(Raw_Claims_Data!G630="D",1,0)</f>
        <v>0</v>
      </c>
    </row>
    <row r="632" spans="1:15" x14ac:dyDescent="0.35">
      <c r="A632" t="str">
        <f>Raw_Claims_Data!A631</f>
        <v>TXN00000628</v>
      </c>
      <c r="B632" t="str">
        <f>TRIM(Raw_Claims_Data!B631)</f>
        <v>Jeremy Ingram</v>
      </c>
      <c r="C632" t="str">
        <f>Raw_Claims_Data!C631</f>
        <v>Property</v>
      </c>
      <c r="D632">
        <f>Raw_Claims_Data!D631</f>
        <v>109.07</v>
      </c>
      <c r="E632">
        <f>Raw_Claims_Data!E631</f>
        <v>21000</v>
      </c>
      <c r="F632" t="str">
        <f>Raw_Claims_Data!F631</f>
        <v>CA</v>
      </c>
      <c r="G632" t="str">
        <f>Raw_Claims_Data!G631</f>
        <v>A</v>
      </c>
      <c r="H632" t="str">
        <f>Raw_Claims_Data!H631</f>
        <v>Total Loss</v>
      </c>
      <c r="I632" t="str">
        <f>IF(Raw_Claims_Data!I631="","None",Raw_Claims_Data!I631)</f>
        <v>Police</v>
      </c>
      <c r="J632" t="str">
        <f>Raw_Claims_Data!J631</f>
        <v>Glendale</v>
      </c>
      <c r="K632" t="str">
        <f>Raw_Claims_Data!K631</f>
        <v>AZ</v>
      </c>
      <c r="L632">
        <f>Raw_Claims_Data!L631</f>
        <v>22</v>
      </c>
      <c r="M632" t="str">
        <f>IF(Raw_Claims_Data!M631="","N/A",Raw_Claims_Data!M631)</f>
        <v>VNDR00407</v>
      </c>
      <c r="N632" t="str">
        <f>Raw_Claims_Data!N631</f>
        <v>AGENT00141</v>
      </c>
      <c r="O632">
        <f>IF(Raw_Claims_Data!G631="D",1,0)</f>
        <v>0</v>
      </c>
    </row>
    <row r="633" spans="1:15" x14ac:dyDescent="0.35">
      <c r="A633" t="str">
        <f>Raw_Claims_Data!A632</f>
        <v>TXN00000629</v>
      </c>
      <c r="B633" t="str">
        <f>TRIM(Raw_Claims_Data!B632)</f>
        <v>Deborah Boudreaux</v>
      </c>
      <c r="C633" t="str">
        <f>Raw_Claims_Data!C632</f>
        <v>Mobile</v>
      </c>
      <c r="D633">
        <f>Raw_Claims_Data!D632</f>
        <v>8.7100000000000009</v>
      </c>
      <c r="E633">
        <f>Raw_Claims_Data!E632</f>
        <v>600</v>
      </c>
      <c r="F633" t="str">
        <f>Raw_Claims_Data!F632</f>
        <v>DC</v>
      </c>
      <c r="G633" t="str">
        <f>Raw_Claims_Data!G632</f>
        <v>A</v>
      </c>
      <c r="H633" t="str">
        <f>Raw_Claims_Data!H632</f>
        <v>Total Loss</v>
      </c>
      <c r="I633" t="str">
        <f>IF(Raw_Claims_Data!I632="","None",Raw_Claims_Data!I632)</f>
        <v>Ambulance</v>
      </c>
      <c r="J633" t="str">
        <f>Raw_Claims_Data!J632</f>
        <v>Nashville</v>
      </c>
      <c r="K633" t="str">
        <f>Raw_Claims_Data!K632</f>
        <v>TN</v>
      </c>
      <c r="L633">
        <f>Raw_Claims_Data!L632</f>
        <v>10</v>
      </c>
      <c r="M633" t="str">
        <f>IF(Raw_Claims_Data!M632="","N/A",Raw_Claims_Data!M632)</f>
        <v>N/A</v>
      </c>
      <c r="N633" t="str">
        <f>Raw_Claims_Data!N632</f>
        <v>AGENT00090</v>
      </c>
      <c r="O633">
        <f>IF(Raw_Claims_Data!G632="D",1,0)</f>
        <v>0</v>
      </c>
    </row>
    <row r="634" spans="1:15" x14ac:dyDescent="0.35">
      <c r="A634" t="str">
        <f>Raw_Claims_Data!A633</f>
        <v>TXN00000630</v>
      </c>
      <c r="B634" t="str">
        <f>TRIM(Raw_Claims_Data!B633)</f>
        <v>Anna Sanders</v>
      </c>
      <c r="C634" t="str">
        <f>Raw_Claims_Data!C633</f>
        <v>Life</v>
      </c>
      <c r="D634">
        <f>Raw_Claims_Data!D633</f>
        <v>90.51</v>
      </c>
      <c r="E634">
        <f>Raw_Claims_Data!E633</f>
        <v>74000</v>
      </c>
      <c r="F634" t="str">
        <f>Raw_Claims_Data!F633</f>
        <v>CT</v>
      </c>
      <c r="G634" t="str">
        <f>Raw_Claims_Data!G633</f>
        <v>A</v>
      </c>
      <c r="H634" t="str">
        <f>Raw_Claims_Data!H633</f>
        <v>Minor Loss</v>
      </c>
      <c r="I634" t="str">
        <f>IF(Raw_Claims_Data!I633="","None",Raw_Claims_Data!I633)</f>
        <v>Police</v>
      </c>
      <c r="J634" t="str">
        <f>Raw_Claims_Data!J633</f>
        <v>Louisville</v>
      </c>
      <c r="K634" t="str">
        <f>Raw_Claims_Data!K633</f>
        <v>KY</v>
      </c>
      <c r="L634">
        <f>Raw_Claims_Data!L633</f>
        <v>21</v>
      </c>
      <c r="M634" t="str">
        <f>IF(Raw_Claims_Data!M633="","N/A",Raw_Claims_Data!M633)</f>
        <v>VNDR00177</v>
      </c>
      <c r="N634" t="str">
        <f>Raw_Claims_Data!N633</f>
        <v>AGENT00270</v>
      </c>
      <c r="O634">
        <f>IF(Raw_Claims_Data!G633="D",1,0)</f>
        <v>0</v>
      </c>
    </row>
    <row r="635" spans="1:15" x14ac:dyDescent="0.35">
      <c r="A635" t="str">
        <f>Raw_Claims_Data!A634</f>
        <v>TXN00000631</v>
      </c>
      <c r="B635" t="str">
        <f>TRIM(Raw_Claims_Data!B634)</f>
        <v>Beth Joseph</v>
      </c>
      <c r="C635" t="str">
        <f>Raw_Claims_Data!C634</f>
        <v>Life</v>
      </c>
      <c r="D635">
        <f>Raw_Claims_Data!D634</f>
        <v>63.14</v>
      </c>
      <c r="E635">
        <f>Raw_Claims_Data!E634</f>
        <v>48000</v>
      </c>
      <c r="F635" t="str">
        <f>Raw_Claims_Data!F634</f>
        <v>FL</v>
      </c>
      <c r="G635" t="str">
        <f>Raw_Claims_Data!G634</f>
        <v>A</v>
      </c>
      <c r="H635" t="str">
        <f>Raw_Claims_Data!H634</f>
        <v>Minor Loss</v>
      </c>
      <c r="I635" t="str">
        <f>IF(Raw_Claims_Data!I634="","None",Raw_Claims_Data!I634)</f>
        <v>Ambulance</v>
      </c>
      <c r="J635" t="str">
        <f>Raw_Claims_Data!J634</f>
        <v>Odenton</v>
      </c>
      <c r="K635" t="str">
        <f>Raw_Claims_Data!K634</f>
        <v>MD</v>
      </c>
      <c r="L635">
        <f>Raw_Claims_Data!L634</f>
        <v>8</v>
      </c>
      <c r="M635" t="str">
        <f>IF(Raw_Claims_Data!M634="","N/A",Raw_Claims_Data!M634)</f>
        <v>VNDR00274</v>
      </c>
      <c r="N635" t="str">
        <f>Raw_Claims_Data!N634</f>
        <v>AGENT00393</v>
      </c>
      <c r="O635">
        <f>IF(Raw_Claims_Data!G634="D",1,0)</f>
        <v>0</v>
      </c>
    </row>
    <row r="636" spans="1:15" x14ac:dyDescent="0.35">
      <c r="A636" t="str">
        <f>Raw_Claims_Data!A635</f>
        <v>TXN00000632</v>
      </c>
      <c r="B636" t="str">
        <f>TRIM(Raw_Claims_Data!B635)</f>
        <v>Kirsten Sarnicola</v>
      </c>
      <c r="C636" t="str">
        <f>Raw_Claims_Data!C635</f>
        <v>Property</v>
      </c>
      <c r="D636">
        <f>Raw_Claims_Data!D635</f>
        <v>121.55</v>
      </c>
      <c r="E636">
        <f>Raw_Claims_Data!E635</f>
        <v>24000</v>
      </c>
      <c r="F636" t="str">
        <f>Raw_Claims_Data!F635</f>
        <v>AL</v>
      </c>
      <c r="G636" t="str">
        <f>Raw_Claims_Data!G635</f>
        <v>A</v>
      </c>
      <c r="H636" t="str">
        <f>Raw_Claims_Data!H635</f>
        <v>Total Loss</v>
      </c>
      <c r="I636" t="str">
        <f>IF(Raw_Claims_Data!I635="","None",Raw_Claims_Data!I635)</f>
        <v>Police</v>
      </c>
      <c r="J636" t="str">
        <f>Raw_Claims_Data!J635</f>
        <v>Louisville</v>
      </c>
      <c r="K636" t="str">
        <f>Raw_Claims_Data!K635</f>
        <v>KY</v>
      </c>
      <c r="L636">
        <f>Raw_Claims_Data!L635</f>
        <v>17</v>
      </c>
      <c r="M636" t="str">
        <f>IF(Raw_Claims_Data!M635="","N/A",Raw_Claims_Data!M635)</f>
        <v>VNDR00104</v>
      </c>
      <c r="N636" t="str">
        <f>Raw_Claims_Data!N635</f>
        <v>AGENT01164</v>
      </c>
      <c r="O636">
        <f>IF(Raw_Claims_Data!G635="D",1,0)</f>
        <v>0</v>
      </c>
    </row>
    <row r="637" spans="1:15" x14ac:dyDescent="0.35">
      <c r="A637" t="str">
        <f>Raw_Claims_Data!A636</f>
        <v>TXN00000633</v>
      </c>
      <c r="B637" t="str">
        <f>TRIM(Raw_Claims_Data!B636)</f>
        <v>John Wright</v>
      </c>
      <c r="C637" t="str">
        <f>Raw_Claims_Data!C636</f>
        <v>Travel</v>
      </c>
      <c r="D637">
        <f>Raw_Claims_Data!D636</f>
        <v>64.599999999999994</v>
      </c>
      <c r="E637">
        <f>Raw_Claims_Data!E636</f>
        <v>2000</v>
      </c>
      <c r="F637" t="str">
        <f>Raw_Claims_Data!F636</f>
        <v>FL</v>
      </c>
      <c r="G637" t="str">
        <f>Raw_Claims_Data!G636</f>
        <v>A</v>
      </c>
      <c r="H637" t="str">
        <f>Raw_Claims_Data!H636</f>
        <v>Total Loss</v>
      </c>
      <c r="I637" t="str">
        <f>IF(Raw_Claims_Data!I636="","None",Raw_Claims_Data!I636)</f>
        <v>None</v>
      </c>
      <c r="J637" t="str">
        <f>Raw_Claims_Data!J636</f>
        <v>Nashville</v>
      </c>
      <c r="K637" t="str">
        <f>Raw_Claims_Data!K636</f>
        <v>TN</v>
      </c>
      <c r="L637">
        <f>Raw_Claims_Data!L636</f>
        <v>6</v>
      </c>
      <c r="M637" t="str">
        <f>IF(Raw_Claims_Data!M636="","N/A",Raw_Claims_Data!M636)</f>
        <v>VNDR00115</v>
      </c>
      <c r="N637" t="str">
        <f>Raw_Claims_Data!N636</f>
        <v>AGENT00716</v>
      </c>
      <c r="O637">
        <f>IF(Raw_Claims_Data!G636="D",1,0)</f>
        <v>0</v>
      </c>
    </row>
    <row r="638" spans="1:15" x14ac:dyDescent="0.35">
      <c r="A638" t="str">
        <f>Raw_Claims_Data!A637</f>
        <v>TXN00000634</v>
      </c>
      <c r="B638" t="str">
        <f>TRIM(Raw_Claims_Data!B637)</f>
        <v>Marjorie Bane</v>
      </c>
      <c r="C638" t="str">
        <f>Raw_Claims_Data!C637</f>
        <v>Property</v>
      </c>
      <c r="D638">
        <f>Raw_Claims_Data!D637</f>
        <v>103.09</v>
      </c>
      <c r="E638">
        <f>Raw_Claims_Data!E637</f>
        <v>12000</v>
      </c>
      <c r="F638" t="str">
        <f>Raw_Claims_Data!F637</f>
        <v>AK</v>
      </c>
      <c r="G638" t="str">
        <f>Raw_Claims_Data!G637</f>
        <v>A</v>
      </c>
      <c r="H638" t="str">
        <f>Raw_Claims_Data!H637</f>
        <v>Minor Loss</v>
      </c>
      <c r="I638" t="str">
        <f>IF(Raw_Claims_Data!I637="","None",Raw_Claims_Data!I637)</f>
        <v>Police</v>
      </c>
      <c r="J638" t="str">
        <f>Raw_Claims_Data!J637</f>
        <v>Manchester</v>
      </c>
      <c r="K638" t="str">
        <f>Raw_Claims_Data!K637</f>
        <v>CT</v>
      </c>
      <c r="L638">
        <f>Raw_Claims_Data!L637</f>
        <v>18</v>
      </c>
      <c r="M638" t="str">
        <f>IF(Raw_Claims_Data!M637="","N/A",Raw_Claims_Data!M637)</f>
        <v>VNDR00404</v>
      </c>
      <c r="N638" t="str">
        <f>Raw_Claims_Data!N637</f>
        <v>AGENT00137</v>
      </c>
      <c r="O638">
        <f>IF(Raw_Claims_Data!G637="D",1,0)</f>
        <v>0</v>
      </c>
    </row>
    <row r="639" spans="1:15" x14ac:dyDescent="0.35">
      <c r="A639" t="str">
        <f>Raw_Claims_Data!A638</f>
        <v>TXN00000635</v>
      </c>
      <c r="B639" t="str">
        <f>TRIM(Raw_Claims_Data!B638)</f>
        <v>Gloria Viray</v>
      </c>
      <c r="C639" t="str">
        <f>Raw_Claims_Data!C638</f>
        <v>Property</v>
      </c>
      <c r="D639">
        <f>Raw_Claims_Data!D638</f>
        <v>101.64</v>
      </c>
      <c r="E639">
        <f>Raw_Claims_Data!E638</f>
        <v>15000</v>
      </c>
      <c r="F639" t="str">
        <f>Raw_Claims_Data!F638</f>
        <v>CT</v>
      </c>
      <c r="G639" t="str">
        <f>Raw_Claims_Data!G638</f>
        <v>A</v>
      </c>
      <c r="H639" t="str">
        <f>Raw_Claims_Data!H638</f>
        <v>Minor Loss</v>
      </c>
      <c r="I639" t="str">
        <f>IF(Raw_Claims_Data!I638="","None",Raw_Claims_Data!I638)</f>
        <v>Ambulance</v>
      </c>
      <c r="J639" t="str">
        <f>Raw_Claims_Data!J638</f>
        <v>Panama City Beach</v>
      </c>
      <c r="K639" t="str">
        <f>Raw_Claims_Data!K638</f>
        <v>FL</v>
      </c>
      <c r="L639">
        <f>Raw_Claims_Data!L638</f>
        <v>4</v>
      </c>
      <c r="M639" t="str">
        <f>IF(Raw_Claims_Data!M638="","N/A",Raw_Claims_Data!M638)</f>
        <v>VNDR00326</v>
      </c>
      <c r="N639" t="str">
        <f>Raw_Claims_Data!N638</f>
        <v>AGENT00973</v>
      </c>
      <c r="O639">
        <f>IF(Raw_Claims_Data!G638="D",1,0)</f>
        <v>0</v>
      </c>
    </row>
    <row r="640" spans="1:15" x14ac:dyDescent="0.35">
      <c r="A640" t="str">
        <f>Raw_Claims_Data!A639</f>
        <v>TXN00000636</v>
      </c>
      <c r="B640" t="str">
        <f>TRIM(Raw_Claims_Data!B639)</f>
        <v>Kay Schaefer</v>
      </c>
      <c r="C640" t="str">
        <f>Raw_Claims_Data!C639</f>
        <v>Life</v>
      </c>
      <c r="D640">
        <f>Raw_Claims_Data!D639</f>
        <v>75.400000000000006</v>
      </c>
      <c r="E640">
        <f>Raw_Claims_Data!E639</f>
        <v>63000</v>
      </c>
      <c r="F640" t="str">
        <f>Raw_Claims_Data!F639</f>
        <v>CA</v>
      </c>
      <c r="G640" t="str">
        <f>Raw_Claims_Data!G639</f>
        <v>A</v>
      </c>
      <c r="H640" t="str">
        <f>Raw_Claims_Data!H639</f>
        <v>Minor Loss</v>
      </c>
      <c r="I640" t="str">
        <f>IF(Raw_Claims_Data!I639="","None",Raw_Claims_Data!I639)</f>
        <v>Police</v>
      </c>
      <c r="J640" t="str">
        <f>Raw_Claims_Data!J639</f>
        <v>Washington</v>
      </c>
      <c r="K640" t="str">
        <f>Raw_Claims_Data!K639</f>
        <v>DC</v>
      </c>
      <c r="L640">
        <f>Raw_Claims_Data!L639</f>
        <v>2</v>
      </c>
      <c r="M640" t="str">
        <f>IF(Raw_Claims_Data!M639="","N/A",Raw_Claims_Data!M639)</f>
        <v>VNDR00326</v>
      </c>
      <c r="N640" t="str">
        <f>Raw_Claims_Data!N639</f>
        <v>AGENT00668</v>
      </c>
      <c r="O640">
        <f>IF(Raw_Claims_Data!G639="D",1,0)</f>
        <v>0</v>
      </c>
    </row>
    <row r="641" spans="1:15" x14ac:dyDescent="0.35">
      <c r="A641" t="str">
        <f>Raw_Claims_Data!A640</f>
        <v>TXN00000637</v>
      </c>
      <c r="B641" t="str">
        <f>TRIM(Raw_Claims_Data!B640)</f>
        <v>Katie Perez</v>
      </c>
      <c r="C641" t="str">
        <f>Raw_Claims_Data!C640</f>
        <v>Motor</v>
      </c>
      <c r="D641">
        <f>Raw_Claims_Data!D640</f>
        <v>98.44</v>
      </c>
      <c r="E641">
        <f>Raw_Claims_Data!E640</f>
        <v>10000</v>
      </c>
      <c r="F641" t="str">
        <f>Raw_Claims_Data!F640</f>
        <v>CT</v>
      </c>
      <c r="G641" t="str">
        <f>Raw_Claims_Data!G640</f>
        <v>A</v>
      </c>
      <c r="H641" t="str">
        <f>Raw_Claims_Data!H640</f>
        <v>Major Loss</v>
      </c>
      <c r="I641" t="str">
        <f>IF(Raw_Claims_Data!I640="","None",Raw_Claims_Data!I640)</f>
        <v>Other</v>
      </c>
      <c r="J641" t="str">
        <f>Raw_Claims_Data!J640</f>
        <v>Savannah</v>
      </c>
      <c r="K641" t="str">
        <f>Raw_Claims_Data!K640</f>
        <v>GA</v>
      </c>
      <c r="L641">
        <f>Raw_Claims_Data!L640</f>
        <v>9</v>
      </c>
      <c r="M641" t="str">
        <f>IF(Raw_Claims_Data!M640="","N/A",Raw_Claims_Data!M640)</f>
        <v>N/A</v>
      </c>
      <c r="N641" t="str">
        <f>Raw_Claims_Data!N640</f>
        <v>AGENT00026</v>
      </c>
      <c r="O641">
        <f>IF(Raw_Claims_Data!G640="D",1,0)</f>
        <v>0</v>
      </c>
    </row>
    <row r="642" spans="1:15" x14ac:dyDescent="0.35">
      <c r="A642" t="str">
        <f>Raw_Claims_Data!A641</f>
        <v>TXN00000638</v>
      </c>
      <c r="B642" t="str">
        <f>TRIM(Raw_Claims_Data!B641)</f>
        <v>Carlos Oden</v>
      </c>
      <c r="C642" t="str">
        <f>Raw_Claims_Data!C641</f>
        <v>Health</v>
      </c>
      <c r="D642">
        <f>Raw_Claims_Data!D641</f>
        <v>100.35</v>
      </c>
      <c r="E642">
        <f>Raw_Claims_Data!E641</f>
        <v>10000</v>
      </c>
      <c r="F642" t="str">
        <f>Raw_Claims_Data!F641</f>
        <v>MD</v>
      </c>
      <c r="G642" t="str">
        <f>Raw_Claims_Data!G641</f>
        <v>A</v>
      </c>
      <c r="H642" t="str">
        <f>Raw_Claims_Data!H641</f>
        <v>Minor Loss</v>
      </c>
      <c r="I642" t="str">
        <f>IF(Raw_Claims_Data!I641="","None",Raw_Claims_Data!I641)</f>
        <v>Ambulance</v>
      </c>
      <c r="J642" t="str">
        <f>Raw_Claims_Data!J641</f>
        <v>Nashville</v>
      </c>
      <c r="K642" t="str">
        <f>Raw_Claims_Data!K641</f>
        <v>TN</v>
      </c>
      <c r="L642">
        <f>Raw_Claims_Data!L641</f>
        <v>2</v>
      </c>
      <c r="M642" t="str">
        <f>IF(Raw_Claims_Data!M641="","N/A",Raw_Claims_Data!M641)</f>
        <v>VNDR00247</v>
      </c>
      <c r="N642" t="str">
        <f>Raw_Claims_Data!N641</f>
        <v>AGENT00837</v>
      </c>
      <c r="O642">
        <f>IF(Raw_Claims_Data!G641="D",1,0)</f>
        <v>0</v>
      </c>
    </row>
    <row r="643" spans="1:15" x14ac:dyDescent="0.35">
      <c r="A643" t="str">
        <f>Raw_Claims_Data!A642</f>
        <v>TXN00000639</v>
      </c>
      <c r="B643" t="str">
        <f>TRIM(Raw_Claims_Data!B642)</f>
        <v>Sharon Bremer</v>
      </c>
      <c r="C643" t="str">
        <f>Raw_Claims_Data!C642</f>
        <v>Life</v>
      </c>
      <c r="D643">
        <f>Raw_Claims_Data!D642</f>
        <v>97.75</v>
      </c>
      <c r="E643">
        <f>Raw_Claims_Data!E642</f>
        <v>49000</v>
      </c>
      <c r="F643" t="str">
        <f>Raw_Claims_Data!F642</f>
        <v>AZ</v>
      </c>
      <c r="G643" t="str">
        <f>Raw_Claims_Data!G642</f>
        <v>A</v>
      </c>
      <c r="H643" t="str">
        <f>Raw_Claims_Data!H642</f>
        <v>Major Loss</v>
      </c>
      <c r="I643" t="str">
        <f>IF(Raw_Claims_Data!I642="","None",Raw_Claims_Data!I642)</f>
        <v>None</v>
      </c>
      <c r="J643" t="str">
        <f>Raw_Claims_Data!J642</f>
        <v>Tyndall Air Force Base</v>
      </c>
      <c r="K643" t="str">
        <f>Raw_Claims_Data!K642</f>
        <v>FL</v>
      </c>
      <c r="L643">
        <f>Raw_Claims_Data!L642</f>
        <v>14</v>
      </c>
      <c r="M643" t="str">
        <f>IF(Raw_Claims_Data!M642="","N/A",Raw_Claims_Data!M642)</f>
        <v>VNDR00589</v>
      </c>
      <c r="N643" t="str">
        <f>Raw_Claims_Data!N642</f>
        <v>AGENT00828</v>
      </c>
      <c r="O643">
        <f>IF(Raw_Claims_Data!G642="D",1,0)</f>
        <v>0</v>
      </c>
    </row>
    <row r="644" spans="1:15" x14ac:dyDescent="0.35">
      <c r="A644" t="str">
        <f>Raw_Claims_Data!A643</f>
        <v>TXN00000640</v>
      </c>
      <c r="B644" t="str">
        <f>TRIM(Raw_Claims_Data!B643)</f>
        <v>Millard Garza</v>
      </c>
      <c r="C644" t="str">
        <f>Raw_Claims_Data!C643</f>
        <v>Health</v>
      </c>
      <c r="D644">
        <f>Raw_Claims_Data!D643</f>
        <v>142.29</v>
      </c>
      <c r="E644">
        <f>Raw_Claims_Data!E643</f>
        <v>3000</v>
      </c>
      <c r="F644" t="str">
        <f>Raw_Claims_Data!F643</f>
        <v>MA</v>
      </c>
      <c r="G644" t="str">
        <f>Raw_Claims_Data!G643</f>
        <v>A</v>
      </c>
      <c r="H644" t="str">
        <f>Raw_Claims_Data!H643</f>
        <v>Major Loss</v>
      </c>
      <c r="I644" t="str">
        <f>IF(Raw_Claims_Data!I643="","None",Raw_Claims_Data!I643)</f>
        <v>Police</v>
      </c>
      <c r="J644" t="str">
        <f>Raw_Claims_Data!J643</f>
        <v>Savannah</v>
      </c>
      <c r="K644" t="str">
        <f>Raw_Claims_Data!K643</f>
        <v>GA</v>
      </c>
      <c r="L644">
        <f>Raw_Claims_Data!L643</f>
        <v>17</v>
      </c>
      <c r="M644" t="str">
        <f>IF(Raw_Claims_Data!M643="","N/A",Raw_Claims_Data!M643)</f>
        <v>VNDR00060</v>
      </c>
      <c r="N644" t="str">
        <f>Raw_Claims_Data!N643</f>
        <v>AGENT00276</v>
      </c>
      <c r="O644">
        <f>IF(Raw_Claims_Data!G643="D",1,0)</f>
        <v>0</v>
      </c>
    </row>
    <row r="645" spans="1:15" x14ac:dyDescent="0.35">
      <c r="A645" t="str">
        <f>Raw_Claims_Data!A644</f>
        <v>TXN00000641</v>
      </c>
      <c r="B645" t="str">
        <f>TRIM(Raw_Claims_Data!B644)</f>
        <v>Paul Richardson</v>
      </c>
      <c r="C645" t="str">
        <f>Raw_Claims_Data!C644</f>
        <v>Health</v>
      </c>
      <c r="D645">
        <f>Raw_Claims_Data!D644</f>
        <v>172.36</v>
      </c>
      <c r="E645">
        <f>Raw_Claims_Data!E644</f>
        <v>2000</v>
      </c>
      <c r="F645" t="str">
        <f>Raw_Claims_Data!F644</f>
        <v>GA</v>
      </c>
      <c r="G645" t="str">
        <f>Raw_Claims_Data!G644</f>
        <v>A</v>
      </c>
      <c r="H645" t="str">
        <f>Raw_Claims_Data!H644</f>
        <v>Total Loss</v>
      </c>
      <c r="I645" t="str">
        <f>IF(Raw_Claims_Data!I644="","None",Raw_Claims_Data!I644)</f>
        <v>Police</v>
      </c>
      <c r="J645" t="str">
        <f>Raw_Claims_Data!J644</f>
        <v>Orange</v>
      </c>
      <c r="K645" t="str">
        <f>Raw_Claims_Data!K644</f>
        <v>CA</v>
      </c>
      <c r="L645">
        <f>Raw_Claims_Data!L644</f>
        <v>15</v>
      </c>
      <c r="M645" t="str">
        <f>IF(Raw_Claims_Data!M644="","N/A",Raw_Claims_Data!M644)</f>
        <v>VNDR00310</v>
      </c>
      <c r="N645" t="str">
        <f>Raw_Claims_Data!N644</f>
        <v>AGENT00247</v>
      </c>
      <c r="O645">
        <f>IF(Raw_Claims_Data!G644="D",1,0)</f>
        <v>0</v>
      </c>
    </row>
    <row r="646" spans="1:15" x14ac:dyDescent="0.35">
      <c r="A646" t="str">
        <f>Raw_Claims_Data!A645</f>
        <v>TXN00000642</v>
      </c>
      <c r="B646" t="str">
        <f>TRIM(Raw_Claims_Data!B645)</f>
        <v>Doug Jones</v>
      </c>
      <c r="C646" t="str">
        <f>Raw_Claims_Data!C645</f>
        <v>Travel</v>
      </c>
      <c r="D646">
        <f>Raw_Claims_Data!D645</f>
        <v>52.14</v>
      </c>
      <c r="E646">
        <f>Raw_Claims_Data!E645</f>
        <v>4000</v>
      </c>
      <c r="F646" t="str">
        <f>Raw_Claims_Data!F645</f>
        <v>DC</v>
      </c>
      <c r="G646" t="str">
        <f>Raw_Claims_Data!G645</f>
        <v>A</v>
      </c>
      <c r="H646" t="str">
        <f>Raw_Claims_Data!H645</f>
        <v>Total Loss</v>
      </c>
      <c r="I646" t="str">
        <f>IF(Raw_Claims_Data!I645="","None",Raw_Claims_Data!I645)</f>
        <v>Police</v>
      </c>
      <c r="J646" t="str">
        <f>Raw_Claims_Data!J645</f>
        <v>Montgomery</v>
      </c>
      <c r="K646" t="str">
        <f>Raw_Claims_Data!K645</f>
        <v>AL</v>
      </c>
      <c r="L646">
        <f>Raw_Claims_Data!L645</f>
        <v>11</v>
      </c>
      <c r="M646" t="str">
        <f>IF(Raw_Claims_Data!M645="","N/A",Raw_Claims_Data!M645)</f>
        <v>N/A</v>
      </c>
      <c r="N646" t="str">
        <f>Raw_Claims_Data!N645</f>
        <v>AGENT00130</v>
      </c>
      <c r="O646">
        <f>IF(Raw_Claims_Data!G645="D",1,0)</f>
        <v>0</v>
      </c>
    </row>
    <row r="647" spans="1:15" x14ac:dyDescent="0.35">
      <c r="A647" t="str">
        <f>Raw_Claims_Data!A646</f>
        <v>TXN00000643</v>
      </c>
      <c r="B647" t="str">
        <f>TRIM(Raw_Claims_Data!B646)</f>
        <v>Thomas Fountain</v>
      </c>
      <c r="C647" t="str">
        <f>Raw_Claims_Data!C646</f>
        <v>Life</v>
      </c>
      <c r="D647">
        <f>Raw_Claims_Data!D646</f>
        <v>73.400000000000006</v>
      </c>
      <c r="E647">
        <f>Raw_Claims_Data!E646</f>
        <v>14000</v>
      </c>
      <c r="F647" t="str">
        <f>Raw_Claims_Data!F646</f>
        <v>AZ</v>
      </c>
      <c r="G647" t="str">
        <f>Raw_Claims_Data!G646</f>
        <v>A</v>
      </c>
      <c r="H647" t="str">
        <f>Raw_Claims_Data!H646</f>
        <v>Major Loss</v>
      </c>
      <c r="I647" t="str">
        <f>IF(Raw_Claims_Data!I646="","None",Raw_Claims_Data!I646)</f>
        <v>Police</v>
      </c>
      <c r="J647" t="str">
        <f>Raw_Claims_Data!J646</f>
        <v>Arvada</v>
      </c>
      <c r="K647" t="str">
        <f>Raw_Claims_Data!K646</f>
        <v>CO</v>
      </c>
      <c r="L647">
        <f>Raw_Claims_Data!L646</f>
        <v>0</v>
      </c>
      <c r="M647" t="str">
        <f>IF(Raw_Claims_Data!M646="","N/A",Raw_Claims_Data!M646)</f>
        <v>VNDR00389</v>
      </c>
      <c r="N647" t="str">
        <f>Raw_Claims_Data!N646</f>
        <v>AGENT00051</v>
      </c>
      <c r="O647">
        <f>IF(Raw_Claims_Data!G646="D",1,0)</f>
        <v>0</v>
      </c>
    </row>
    <row r="648" spans="1:15" x14ac:dyDescent="0.35">
      <c r="A648" t="str">
        <f>Raw_Claims_Data!A647</f>
        <v>TXN00000644</v>
      </c>
      <c r="B648" t="str">
        <f>TRIM(Raw_Claims_Data!B647)</f>
        <v>Ruth Calhoun</v>
      </c>
      <c r="C648" t="str">
        <f>Raw_Claims_Data!C647</f>
        <v>Travel</v>
      </c>
      <c r="D648">
        <f>Raw_Claims_Data!D647</f>
        <v>79.62</v>
      </c>
      <c r="E648">
        <f>Raw_Claims_Data!E647</f>
        <v>3000</v>
      </c>
      <c r="F648" t="str">
        <f>Raw_Claims_Data!F647</f>
        <v>DC</v>
      </c>
      <c r="G648" t="str">
        <f>Raw_Claims_Data!G647</f>
        <v>A</v>
      </c>
      <c r="H648" t="str">
        <f>Raw_Claims_Data!H647</f>
        <v>Major Loss</v>
      </c>
      <c r="I648" t="str">
        <f>IF(Raw_Claims_Data!I647="","None",Raw_Claims_Data!I647)</f>
        <v>Ambulance</v>
      </c>
      <c r="J648" t="str">
        <f>Raw_Claims_Data!J647</f>
        <v>Anchorage</v>
      </c>
      <c r="K648" t="str">
        <f>Raw_Claims_Data!K647</f>
        <v>AK</v>
      </c>
      <c r="L648">
        <f>Raw_Claims_Data!L647</f>
        <v>10</v>
      </c>
      <c r="M648" t="str">
        <f>IF(Raw_Claims_Data!M647="","N/A",Raw_Claims_Data!M647)</f>
        <v>VNDR00134</v>
      </c>
      <c r="N648" t="str">
        <f>Raw_Claims_Data!N647</f>
        <v>AGENT00429</v>
      </c>
      <c r="O648">
        <f>IF(Raw_Claims_Data!G647="D",1,0)</f>
        <v>0</v>
      </c>
    </row>
    <row r="649" spans="1:15" x14ac:dyDescent="0.35">
      <c r="A649" t="str">
        <f>Raw_Claims_Data!A648</f>
        <v>TXN00000645</v>
      </c>
      <c r="B649" t="str">
        <f>TRIM(Raw_Claims_Data!B648)</f>
        <v>Maria Womble</v>
      </c>
      <c r="C649" t="str">
        <f>Raw_Claims_Data!C648</f>
        <v>Mobile</v>
      </c>
      <c r="D649">
        <f>Raw_Claims_Data!D648</f>
        <v>6.62</v>
      </c>
      <c r="E649">
        <f>Raw_Claims_Data!E648</f>
        <v>100</v>
      </c>
      <c r="F649" t="str">
        <f>Raw_Claims_Data!F648</f>
        <v>AL</v>
      </c>
      <c r="G649" t="str">
        <f>Raw_Claims_Data!G648</f>
        <v>A</v>
      </c>
      <c r="H649" t="str">
        <f>Raw_Claims_Data!H648</f>
        <v>Major Loss</v>
      </c>
      <c r="I649" t="str">
        <f>IF(Raw_Claims_Data!I648="","None",Raw_Claims_Data!I648)</f>
        <v>Police</v>
      </c>
      <c r="J649" t="str">
        <f>Raw_Claims_Data!J648</f>
        <v>Manchester</v>
      </c>
      <c r="K649" t="str">
        <f>Raw_Claims_Data!K648</f>
        <v>CT</v>
      </c>
      <c r="L649">
        <f>Raw_Claims_Data!L648</f>
        <v>4</v>
      </c>
      <c r="M649" t="str">
        <f>IF(Raw_Claims_Data!M648="","N/A",Raw_Claims_Data!M648)</f>
        <v>N/A</v>
      </c>
      <c r="N649" t="str">
        <f>Raw_Claims_Data!N648</f>
        <v>AGENT00490</v>
      </c>
      <c r="O649">
        <f>IF(Raw_Claims_Data!G648="D",1,0)</f>
        <v>0</v>
      </c>
    </row>
    <row r="650" spans="1:15" x14ac:dyDescent="0.35">
      <c r="A650" t="str">
        <f>Raw_Claims_Data!A649</f>
        <v>TXN00000646</v>
      </c>
      <c r="B650" t="str">
        <f>TRIM(Raw_Claims_Data!B649)</f>
        <v>Kristie Garcia</v>
      </c>
      <c r="C650" t="str">
        <f>Raw_Claims_Data!C649</f>
        <v>Health</v>
      </c>
      <c r="D650">
        <f>Raw_Claims_Data!D649</f>
        <v>157.27000000000001</v>
      </c>
      <c r="E650">
        <f>Raw_Claims_Data!E649</f>
        <v>13000</v>
      </c>
      <c r="F650" t="str">
        <f>Raw_Claims_Data!F649</f>
        <v>CT</v>
      </c>
      <c r="G650" t="str">
        <f>Raw_Claims_Data!G649</f>
        <v>A</v>
      </c>
      <c r="H650" t="str">
        <f>Raw_Claims_Data!H649</f>
        <v>Total Loss</v>
      </c>
      <c r="I650" t="str">
        <f>IF(Raw_Claims_Data!I649="","None",Raw_Claims_Data!I649)</f>
        <v>Ambulance</v>
      </c>
      <c r="J650" t="str">
        <f>Raw_Claims_Data!J649</f>
        <v>Manchester</v>
      </c>
      <c r="K650" t="str">
        <f>Raw_Claims_Data!K649</f>
        <v>CT</v>
      </c>
      <c r="L650">
        <f>Raw_Claims_Data!L649</f>
        <v>21</v>
      </c>
      <c r="M650" t="str">
        <f>IF(Raw_Claims_Data!M649="","N/A",Raw_Claims_Data!M649)</f>
        <v>N/A</v>
      </c>
      <c r="N650" t="str">
        <f>Raw_Claims_Data!N649</f>
        <v>AGENT01160</v>
      </c>
      <c r="O650">
        <f>IF(Raw_Claims_Data!G649="D",1,0)</f>
        <v>0</v>
      </c>
    </row>
    <row r="651" spans="1:15" x14ac:dyDescent="0.35">
      <c r="A651" t="str">
        <f>Raw_Claims_Data!A650</f>
        <v>TXN00000647</v>
      </c>
      <c r="B651" t="str">
        <f>TRIM(Raw_Claims_Data!B650)</f>
        <v>Jesse Smith</v>
      </c>
      <c r="C651" t="str">
        <f>Raw_Claims_Data!C650</f>
        <v>Health</v>
      </c>
      <c r="D651">
        <f>Raw_Claims_Data!D650</f>
        <v>107.21</v>
      </c>
      <c r="E651">
        <f>Raw_Claims_Data!E650</f>
        <v>3000</v>
      </c>
      <c r="F651" t="str">
        <f>Raw_Claims_Data!F650</f>
        <v>AL</v>
      </c>
      <c r="G651" t="str">
        <f>Raw_Claims_Data!G650</f>
        <v>A</v>
      </c>
      <c r="H651" t="str">
        <f>Raw_Claims_Data!H650</f>
        <v>Total Loss</v>
      </c>
      <c r="I651" t="str">
        <f>IF(Raw_Claims_Data!I650="","None",Raw_Claims_Data!I650)</f>
        <v>Ambulance</v>
      </c>
      <c r="J651" t="str">
        <f>Raw_Claims_Data!J650</f>
        <v>Glendale</v>
      </c>
      <c r="K651" t="str">
        <f>Raw_Claims_Data!K650</f>
        <v>AZ</v>
      </c>
      <c r="L651">
        <f>Raw_Claims_Data!L650</f>
        <v>13</v>
      </c>
      <c r="M651" t="str">
        <f>IF(Raw_Claims_Data!M650="","N/A",Raw_Claims_Data!M650)</f>
        <v>VNDR00590</v>
      </c>
      <c r="N651" t="str">
        <f>Raw_Claims_Data!N650</f>
        <v>AGENT00910</v>
      </c>
      <c r="O651">
        <f>IF(Raw_Claims_Data!G650="D",1,0)</f>
        <v>0</v>
      </c>
    </row>
    <row r="652" spans="1:15" x14ac:dyDescent="0.35">
      <c r="A652" t="str">
        <f>Raw_Claims_Data!A651</f>
        <v>TXN00000648</v>
      </c>
      <c r="B652" t="str">
        <f>TRIM(Raw_Claims_Data!B651)</f>
        <v>Charles Ruelas</v>
      </c>
      <c r="C652" t="str">
        <f>Raw_Claims_Data!C651</f>
        <v>Property</v>
      </c>
      <c r="D652">
        <f>Raw_Claims_Data!D651</f>
        <v>82.11</v>
      </c>
      <c r="E652">
        <f>Raw_Claims_Data!E651</f>
        <v>33000</v>
      </c>
      <c r="F652" t="str">
        <f>Raw_Claims_Data!F651</f>
        <v>VT</v>
      </c>
      <c r="G652" t="str">
        <f>Raw_Claims_Data!G651</f>
        <v>A</v>
      </c>
      <c r="H652" t="str">
        <f>Raw_Claims_Data!H651</f>
        <v>Total Loss</v>
      </c>
      <c r="I652" t="str">
        <f>IF(Raw_Claims_Data!I651="","None",Raw_Claims_Data!I651)</f>
        <v>Ambulance</v>
      </c>
      <c r="J652" t="str">
        <f>Raw_Claims_Data!J651</f>
        <v>Anchorage</v>
      </c>
      <c r="K652" t="str">
        <f>Raw_Claims_Data!K651</f>
        <v>AK</v>
      </c>
      <c r="L652">
        <f>Raw_Claims_Data!L651</f>
        <v>16</v>
      </c>
      <c r="M652" t="str">
        <f>IF(Raw_Claims_Data!M651="","N/A",Raw_Claims_Data!M651)</f>
        <v>VNDR00112</v>
      </c>
      <c r="N652" t="str">
        <f>Raw_Claims_Data!N651</f>
        <v>AGENT00151</v>
      </c>
      <c r="O652">
        <f>IF(Raw_Claims_Data!G651="D",1,0)</f>
        <v>0</v>
      </c>
    </row>
    <row r="653" spans="1:15" x14ac:dyDescent="0.35">
      <c r="A653" t="str">
        <f>Raw_Claims_Data!A652</f>
        <v>TXN00000649</v>
      </c>
      <c r="B653" t="str">
        <f>TRIM(Raw_Claims_Data!B652)</f>
        <v>Karen Campos</v>
      </c>
      <c r="C653" t="str">
        <f>Raw_Claims_Data!C652</f>
        <v>Travel</v>
      </c>
      <c r="D653">
        <f>Raw_Claims_Data!D652</f>
        <v>81.86</v>
      </c>
      <c r="E653">
        <f>Raw_Claims_Data!E652</f>
        <v>2000</v>
      </c>
      <c r="F653" t="str">
        <f>Raw_Claims_Data!F652</f>
        <v>AL</v>
      </c>
      <c r="G653" t="str">
        <f>Raw_Claims_Data!G652</f>
        <v>A</v>
      </c>
      <c r="H653" t="str">
        <f>Raw_Claims_Data!H652</f>
        <v>Minor Loss</v>
      </c>
      <c r="I653" t="str">
        <f>IF(Raw_Claims_Data!I652="","None",Raw_Claims_Data!I652)</f>
        <v>Ambulance</v>
      </c>
      <c r="J653" t="str">
        <f>Raw_Claims_Data!J652</f>
        <v>Savannah</v>
      </c>
      <c r="K653" t="str">
        <f>Raw_Claims_Data!K652</f>
        <v>GA</v>
      </c>
      <c r="L653">
        <f>Raw_Claims_Data!L652</f>
        <v>14</v>
      </c>
      <c r="M653" t="str">
        <f>IF(Raw_Claims_Data!M652="","N/A",Raw_Claims_Data!M652)</f>
        <v>N/A</v>
      </c>
      <c r="N653" t="str">
        <f>Raw_Claims_Data!N652</f>
        <v>AGENT01063</v>
      </c>
      <c r="O653">
        <f>IF(Raw_Claims_Data!G652="D",1,0)</f>
        <v>0</v>
      </c>
    </row>
    <row r="654" spans="1:15" x14ac:dyDescent="0.35">
      <c r="A654" t="str">
        <f>Raw_Claims_Data!A653</f>
        <v>TXN00000650</v>
      </c>
      <c r="B654" t="str">
        <f>TRIM(Raw_Claims_Data!B653)</f>
        <v>Kelli Stanton</v>
      </c>
      <c r="C654" t="str">
        <f>Raw_Claims_Data!C653</f>
        <v>Motor</v>
      </c>
      <c r="D654">
        <f>Raw_Claims_Data!D653</f>
        <v>132.57</v>
      </c>
      <c r="E654">
        <f>Raw_Claims_Data!E653</f>
        <v>10000</v>
      </c>
      <c r="F654" t="str">
        <f>Raw_Claims_Data!F653</f>
        <v>CO</v>
      </c>
      <c r="G654" t="str">
        <f>Raw_Claims_Data!G653</f>
        <v>A</v>
      </c>
      <c r="H654" t="str">
        <f>Raw_Claims_Data!H653</f>
        <v>Total Loss</v>
      </c>
      <c r="I654" t="str">
        <f>IF(Raw_Claims_Data!I653="","None",Raw_Claims_Data!I653)</f>
        <v>Police</v>
      </c>
      <c r="J654" t="str">
        <f>Raw_Claims_Data!J653</f>
        <v>Chelmsford</v>
      </c>
      <c r="K654" t="str">
        <f>Raw_Claims_Data!K653</f>
        <v>MA</v>
      </c>
      <c r="L654">
        <f>Raw_Claims_Data!L653</f>
        <v>9</v>
      </c>
      <c r="M654" t="str">
        <f>IF(Raw_Claims_Data!M653="","N/A",Raw_Claims_Data!M653)</f>
        <v>N/A</v>
      </c>
      <c r="N654" t="str">
        <f>Raw_Claims_Data!N653</f>
        <v>AGENT01131</v>
      </c>
      <c r="O654">
        <f>IF(Raw_Claims_Data!G653="D",1,0)</f>
        <v>0</v>
      </c>
    </row>
    <row r="655" spans="1:15" x14ac:dyDescent="0.35">
      <c r="A655" t="str">
        <f>Raw_Claims_Data!A654</f>
        <v>TXN00000651</v>
      </c>
      <c r="B655" t="str">
        <f>TRIM(Raw_Claims_Data!B654)</f>
        <v>Lesia Smith</v>
      </c>
      <c r="C655" t="str">
        <f>Raw_Claims_Data!C654</f>
        <v>Mobile</v>
      </c>
      <c r="D655">
        <f>Raw_Claims_Data!D654</f>
        <v>8.27</v>
      </c>
      <c r="E655">
        <f>Raw_Claims_Data!E654</f>
        <v>300</v>
      </c>
      <c r="F655" t="str">
        <f>Raw_Claims_Data!F654</f>
        <v>CA</v>
      </c>
      <c r="G655" t="str">
        <f>Raw_Claims_Data!G654</f>
        <v>A</v>
      </c>
      <c r="H655" t="str">
        <f>Raw_Claims_Data!H654</f>
        <v>Minor Loss</v>
      </c>
      <c r="I655" t="str">
        <f>IF(Raw_Claims_Data!I654="","None",Raw_Claims_Data!I654)</f>
        <v>Ambulance</v>
      </c>
      <c r="J655" t="str">
        <f>Raw_Claims_Data!J654</f>
        <v>Anchorage</v>
      </c>
      <c r="K655" t="str">
        <f>Raw_Claims_Data!K654</f>
        <v>AK</v>
      </c>
      <c r="L655">
        <f>Raw_Claims_Data!L654</f>
        <v>0</v>
      </c>
      <c r="M655" t="str">
        <f>IF(Raw_Claims_Data!M654="","N/A",Raw_Claims_Data!M654)</f>
        <v>VNDR00008</v>
      </c>
      <c r="N655" t="str">
        <f>Raw_Claims_Data!N654</f>
        <v>AGENT00090</v>
      </c>
      <c r="O655">
        <f>IF(Raw_Claims_Data!G654="D",1,0)</f>
        <v>0</v>
      </c>
    </row>
    <row r="656" spans="1:15" x14ac:dyDescent="0.35">
      <c r="A656" t="str">
        <f>Raw_Claims_Data!A655</f>
        <v>TXN00000652</v>
      </c>
      <c r="B656" t="str">
        <f>TRIM(Raw_Claims_Data!B655)</f>
        <v>Shirley Smith</v>
      </c>
      <c r="C656" t="str">
        <f>Raw_Claims_Data!C655</f>
        <v>Health</v>
      </c>
      <c r="D656">
        <f>Raw_Claims_Data!D655</f>
        <v>116.19</v>
      </c>
      <c r="E656">
        <f>Raw_Claims_Data!E655</f>
        <v>6000</v>
      </c>
      <c r="F656" t="str">
        <f>Raw_Claims_Data!F655</f>
        <v>OK</v>
      </c>
      <c r="G656" t="str">
        <f>Raw_Claims_Data!G655</f>
        <v>A</v>
      </c>
      <c r="H656" t="str">
        <f>Raw_Claims_Data!H655</f>
        <v>Major Loss</v>
      </c>
      <c r="I656" t="str">
        <f>IF(Raw_Claims_Data!I655="","None",Raw_Claims_Data!I655)</f>
        <v>Ambulance</v>
      </c>
      <c r="J656" t="str">
        <f>Raw_Claims_Data!J655</f>
        <v>Mexico Beach</v>
      </c>
      <c r="K656" t="str">
        <f>Raw_Claims_Data!K655</f>
        <v>FL</v>
      </c>
      <c r="L656">
        <f>Raw_Claims_Data!L655</f>
        <v>2</v>
      </c>
      <c r="M656" t="str">
        <f>IF(Raw_Claims_Data!M655="","N/A",Raw_Claims_Data!M655)</f>
        <v>N/A</v>
      </c>
      <c r="N656" t="str">
        <f>Raw_Claims_Data!N655</f>
        <v>AGENT00727</v>
      </c>
      <c r="O656">
        <f>IF(Raw_Claims_Data!G655="D",1,0)</f>
        <v>0</v>
      </c>
    </row>
    <row r="657" spans="1:15" x14ac:dyDescent="0.35">
      <c r="A657" t="str">
        <f>Raw_Claims_Data!A656</f>
        <v>TXN00000653</v>
      </c>
      <c r="B657" t="str">
        <f>TRIM(Raw_Claims_Data!B656)</f>
        <v>Bryan Worsham</v>
      </c>
      <c r="C657" t="str">
        <f>Raw_Claims_Data!C656</f>
        <v>Motor</v>
      </c>
      <c r="D657">
        <f>Raw_Claims_Data!D656</f>
        <v>90.73</v>
      </c>
      <c r="E657">
        <f>Raw_Claims_Data!E656</f>
        <v>10000</v>
      </c>
      <c r="F657" t="str">
        <f>Raw_Claims_Data!F656</f>
        <v>DC</v>
      </c>
      <c r="G657" t="str">
        <f>Raw_Claims_Data!G656</f>
        <v>A</v>
      </c>
      <c r="H657" t="str">
        <f>Raw_Claims_Data!H656</f>
        <v>Total Loss</v>
      </c>
      <c r="I657" t="str">
        <f>IF(Raw_Claims_Data!I656="","None",Raw_Claims_Data!I656)</f>
        <v>Other</v>
      </c>
      <c r="J657" t="str">
        <f>Raw_Claims_Data!J656</f>
        <v>Oklahoma City</v>
      </c>
      <c r="K657" t="str">
        <f>Raw_Claims_Data!K656</f>
        <v>OK</v>
      </c>
      <c r="L657">
        <f>Raw_Claims_Data!L656</f>
        <v>17</v>
      </c>
      <c r="M657" t="str">
        <f>IF(Raw_Claims_Data!M656="","N/A",Raw_Claims_Data!M656)</f>
        <v>VNDR00202</v>
      </c>
      <c r="N657" t="str">
        <f>Raw_Claims_Data!N656</f>
        <v>AGENT00546</v>
      </c>
      <c r="O657">
        <f>IF(Raw_Claims_Data!G656="D",1,0)</f>
        <v>0</v>
      </c>
    </row>
    <row r="658" spans="1:15" x14ac:dyDescent="0.35">
      <c r="A658" t="str">
        <f>Raw_Claims_Data!A657</f>
        <v>TXN00000654</v>
      </c>
      <c r="B658" t="str">
        <f>TRIM(Raw_Claims_Data!B657)</f>
        <v>Paul Fredeen</v>
      </c>
      <c r="C658" t="str">
        <f>Raw_Claims_Data!C657</f>
        <v>Property</v>
      </c>
      <c r="D658">
        <f>Raw_Claims_Data!D657</f>
        <v>103.71</v>
      </c>
      <c r="E658">
        <f>Raw_Claims_Data!E657</f>
        <v>19000</v>
      </c>
      <c r="F658" t="str">
        <f>Raw_Claims_Data!F657</f>
        <v>DC</v>
      </c>
      <c r="G658" t="str">
        <f>Raw_Claims_Data!G657</f>
        <v>A</v>
      </c>
      <c r="H658" t="str">
        <f>Raw_Claims_Data!H657</f>
        <v>Major Loss</v>
      </c>
      <c r="I658" t="str">
        <f>IF(Raw_Claims_Data!I657="","None",Raw_Claims_Data!I657)</f>
        <v>Police</v>
      </c>
      <c r="J658" t="str">
        <f>Raw_Claims_Data!J657</f>
        <v>Litchfield Park</v>
      </c>
      <c r="K658" t="str">
        <f>Raw_Claims_Data!K657</f>
        <v>AZ</v>
      </c>
      <c r="L658">
        <f>Raw_Claims_Data!L657</f>
        <v>2</v>
      </c>
      <c r="M658" t="str">
        <f>IF(Raw_Claims_Data!M657="","N/A",Raw_Claims_Data!M657)</f>
        <v>VNDR00321</v>
      </c>
      <c r="N658" t="str">
        <f>Raw_Claims_Data!N657</f>
        <v>AGENT00153</v>
      </c>
      <c r="O658">
        <f>IF(Raw_Claims_Data!G657="D",1,0)</f>
        <v>0</v>
      </c>
    </row>
    <row r="659" spans="1:15" x14ac:dyDescent="0.35">
      <c r="A659" t="str">
        <f>Raw_Claims_Data!A658</f>
        <v>TXN00000655</v>
      </c>
      <c r="B659" t="str">
        <f>TRIM(Raw_Claims_Data!B658)</f>
        <v>Jeffrey Snipes</v>
      </c>
      <c r="C659" t="str">
        <f>Raw_Claims_Data!C658</f>
        <v>Property</v>
      </c>
      <c r="D659">
        <f>Raw_Claims_Data!D658</f>
        <v>119.7</v>
      </c>
      <c r="E659">
        <f>Raw_Claims_Data!E658</f>
        <v>12000</v>
      </c>
      <c r="F659" t="str">
        <f>Raw_Claims_Data!F658</f>
        <v>MA</v>
      </c>
      <c r="G659" t="str">
        <f>Raw_Claims_Data!G658</f>
        <v>A</v>
      </c>
      <c r="H659" t="str">
        <f>Raw_Claims_Data!H658</f>
        <v>Major Loss</v>
      </c>
      <c r="I659" t="str">
        <f>IF(Raw_Claims_Data!I658="","None",Raw_Claims_Data!I658)</f>
        <v>Ambulance</v>
      </c>
      <c r="J659" t="str">
        <f>Raw_Claims_Data!J658</f>
        <v>Mountain View</v>
      </c>
      <c r="K659" t="str">
        <f>Raw_Claims_Data!K658</f>
        <v>CA</v>
      </c>
      <c r="L659">
        <f>Raw_Claims_Data!L658</f>
        <v>16</v>
      </c>
      <c r="M659" t="str">
        <f>IF(Raw_Claims_Data!M658="","N/A",Raw_Claims_Data!M658)</f>
        <v>N/A</v>
      </c>
      <c r="N659" t="str">
        <f>Raw_Claims_Data!N658</f>
        <v>AGENT00551</v>
      </c>
      <c r="O659">
        <f>IF(Raw_Claims_Data!G658="D",1,0)</f>
        <v>0</v>
      </c>
    </row>
    <row r="660" spans="1:15" x14ac:dyDescent="0.35">
      <c r="A660" t="str">
        <f>Raw_Claims_Data!A659</f>
        <v>TXN00000656</v>
      </c>
      <c r="B660" t="str">
        <f>TRIM(Raw_Claims_Data!B659)</f>
        <v>Lloyd Rowley</v>
      </c>
      <c r="C660" t="str">
        <f>Raw_Claims_Data!C659</f>
        <v>Health</v>
      </c>
      <c r="D660">
        <f>Raw_Claims_Data!D659</f>
        <v>141.65</v>
      </c>
      <c r="E660">
        <f>Raw_Claims_Data!E659</f>
        <v>2000</v>
      </c>
      <c r="F660" t="str">
        <f>Raw_Claims_Data!F659</f>
        <v>MA</v>
      </c>
      <c r="G660" t="str">
        <f>Raw_Claims_Data!G659</f>
        <v>A</v>
      </c>
      <c r="H660" t="str">
        <f>Raw_Claims_Data!H659</f>
        <v>Total Loss</v>
      </c>
      <c r="I660" t="str">
        <f>IF(Raw_Claims_Data!I659="","None",Raw_Claims_Data!I659)</f>
        <v>Police</v>
      </c>
      <c r="J660" t="str">
        <f>Raw_Claims_Data!J659</f>
        <v>Manchester</v>
      </c>
      <c r="K660" t="str">
        <f>Raw_Claims_Data!K659</f>
        <v>CT</v>
      </c>
      <c r="L660">
        <f>Raw_Claims_Data!L659</f>
        <v>10</v>
      </c>
      <c r="M660" t="str">
        <f>IF(Raw_Claims_Data!M659="","N/A",Raw_Claims_Data!M659)</f>
        <v>N/A</v>
      </c>
      <c r="N660" t="str">
        <f>Raw_Claims_Data!N659</f>
        <v>AGENT00364</v>
      </c>
      <c r="O660">
        <f>IF(Raw_Claims_Data!G659="D",1,0)</f>
        <v>0</v>
      </c>
    </row>
    <row r="661" spans="1:15" x14ac:dyDescent="0.35">
      <c r="A661" t="str">
        <f>Raw_Claims_Data!A660</f>
        <v>TXN00000657</v>
      </c>
      <c r="B661" t="str">
        <f>TRIM(Raw_Claims_Data!B660)</f>
        <v>Nannie Oates</v>
      </c>
      <c r="C661" t="str">
        <f>Raw_Claims_Data!C660</f>
        <v>Life</v>
      </c>
      <c r="D661">
        <f>Raw_Claims_Data!D660</f>
        <v>64.349999999999994</v>
      </c>
      <c r="E661">
        <f>Raw_Claims_Data!E660</f>
        <v>55000</v>
      </c>
      <c r="F661" t="str">
        <f>Raw_Claims_Data!F660</f>
        <v>AZ</v>
      </c>
      <c r="G661" t="str">
        <f>Raw_Claims_Data!G660</f>
        <v>A</v>
      </c>
      <c r="H661" t="str">
        <f>Raw_Claims_Data!H660</f>
        <v>Total Loss</v>
      </c>
      <c r="I661" t="str">
        <f>IF(Raw_Claims_Data!I660="","None",Raw_Claims_Data!I660)</f>
        <v>Police</v>
      </c>
      <c r="J661" t="str">
        <f>Raw_Claims_Data!J660</f>
        <v>Glendale</v>
      </c>
      <c r="K661" t="str">
        <f>Raw_Claims_Data!K660</f>
        <v>AZ</v>
      </c>
      <c r="L661">
        <f>Raw_Claims_Data!L660</f>
        <v>1</v>
      </c>
      <c r="M661" t="str">
        <f>IF(Raw_Claims_Data!M660="","N/A",Raw_Claims_Data!M660)</f>
        <v>N/A</v>
      </c>
      <c r="N661" t="str">
        <f>Raw_Claims_Data!N660</f>
        <v>AGENT00759</v>
      </c>
      <c r="O661">
        <f>IF(Raw_Claims_Data!G660="D",1,0)</f>
        <v>0</v>
      </c>
    </row>
    <row r="662" spans="1:15" x14ac:dyDescent="0.35">
      <c r="A662" t="str">
        <f>Raw_Claims_Data!A661</f>
        <v>TXN00000658</v>
      </c>
      <c r="B662" t="str">
        <f>TRIM(Raw_Claims_Data!B661)</f>
        <v>Lena Dupuis</v>
      </c>
      <c r="C662" t="str">
        <f>Raw_Claims_Data!C661</f>
        <v>Mobile</v>
      </c>
      <c r="D662">
        <f>Raw_Claims_Data!D661</f>
        <v>10.67</v>
      </c>
      <c r="E662">
        <f>Raw_Claims_Data!E661</f>
        <v>700</v>
      </c>
      <c r="F662" t="str">
        <f>Raw_Claims_Data!F661</f>
        <v>KY</v>
      </c>
      <c r="G662" t="str">
        <f>Raw_Claims_Data!G661</f>
        <v>A</v>
      </c>
      <c r="H662" t="str">
        <f>Raw_Claims_Data!H661</f>
        <v>Major Loss</v>
      </c>
      <c r="I662" t="str">
        <f>IF(Raw_Claims_Data!I661="","None",Raw_Claims_Data!I661)</f>
        <v>Other</v>
      </c>
      <c r="J662" t="str">
        <f>Raw_Claims_Data!J661</f>
        <v>Montgomery</v>
      </c>
      <c r="K662" t="str">
        <f>Raw_Claims_Data!K661</f>
        <v>AL</v>
      </c>
      <c r="L662">
        <f>Raw_Claims_Data!L661</f>
        <v>23</v>
      </c>
      <c r="M662" t="str">
        <f>IF(Raw_Claims_Data!M661="","N/A",Raw_Claims_Data!M661)</f>
        <v>VNDR00499</v>
      </c>
      <c r="N662" t="str">
        <f>Raw_Claims_Data!N661</f>
        <v>AGENT00451</v>
      </c>
      <c r="O662">
        <f>IF(Raw_Claims_Data!G661="D",1,0)</f>
        <v>0</v>
      </c>
    </row>
    <row r="663" spans="1:15" x14ac:dyDescent="0.35">
      <c r="A663" t="str">
        <f>Raw_Claims_Data!A662</f>
        <v>TXN00000659</v>
      </c>
      <c r="B663" t="str">
        <f>TRIM(Raw_Claims_Data!B662)</f>
        <v>Howard Lawrence</v>
      </c>
      <c r="C663" t="str">
        <f>Raw_Claims_Data!C662</f>
        <v>Life</v>
      </c>
      <c r="D663">
        <f>Raw_Claims_Data!D662</f>
        <v>62.35</v>
      </c>
      <c r="E663">
        <f>Raw_Claims_Data!E662</f>
        <v>45000</v>
      </c>
      <c r="F663" t="str">
        <f>Raw_Claims_Data!F662</f>
        <v>CA</v>
      </c>
      <c r="G663" t="str">
        <f>Raw_Claims_Data!G662</f>
        <v>A</v>
      </c>
      <c r="H663" t="str">
        <f>Raw_Claims_Data!H662</f>
        <v>Minor Loss</v>
      </c>
      <c r="I663" t="str">
        <f>IF(Raw_Claims_Data!I662="","None",Raw_Claims_Data!I662)</f>
        <v>Police</v>
      </c>
      <c r="J663" t="str">
        <f>Raw_Claims_Data!J662</f>
        <v>Washington</v>
      </c>
      <c r="K663" t="str">
        <f>Raw_Claims_Data!K662</f>
        <v>DC</v>
      </c>
      <c r="L663">
        <f>Raw_Claims_Data!L662</f>
        <v>1</v>
      </c>
      <c r="M663" t="str">
        <f>IF(Raw_Claims_Data!M662="","N/A",Raw_Claims_Data!M662)</f>
        <v>N/A</v>
      </c>
      <c r="N663" t="str">
        <f>Raw_Claims_Data!N662</f>
        <v>AGENT00264</v>
      </c>
      <c r="O663">
        <f>IF(Raw_Claims_Data!G662="D",1,0)</f>
        <v>0</v>
      </c>
    </row>
    <row r="664" spans="1:15" x14ac:dyDescent="0.35">
      <c r="A664" t="str">
        <f>Raw_Claims_Data!A663</f>
        <v>TXN00000660</v>
      </c>
      <c r="B664" t="str">
        <f>TRIM(Raw_Claims_Data!B663)</f>
        <v>Pablo Mccarthy</v>
      </c>
      <c r="C664" t="str">
        <f>Raw_Claims_Data!C663</f>
        <v>Property</v>
      </c>
      <c r="D664">
        <f>Raw_Claims_Data!D663</f>
        <v>85.69</v>
      </c>
      <c r="E664">
        <f>Raw_Claims_Data!E663</f>
        <v>18000</v>
      </c>
      <c r="F664" t="str">
        <f>Raw_Claims_Data!F663</f>
        <v>MD</v>
      </c>
      <c r="G664" t="str">
        <f>Raw_Claims_Data!G663</f>
        <v>A</v>
      </c>
      <c r="H664" t="str">
        <f>Raw_Claims_Data!H663</f>
        <v>Major Loss</v>
      </c>
      <c r="I664" t="str">
        <f>IF(Raw_Claims_Data!I663="","None",Raw_Claims_Data!I663)</f>
        <v>Police</v>
      </c>
      <c r="J664" t="str">
        <f>Raw_Claims_Data!J663</f>
        <v>Glendale</v>
      </c>
      <c r="K664" t="str">
        <f>Raw_Claims_Data!K663</f>
        <v>AZ</v>
      </c>
      <c r="L664">
        <f>Raw_Claims_Data!L663</f>
        <v>22</v>
      </c>
      <c r="M664" t="str">
        <f>IF(Raw_Claims_Data!M663="","N/A",Raw_Claims_Data!M663)</f>
        <v>VNDR00292</v>
      </c>
      <c r="N664" t="str">
        <f>Raw_Claims_Data!N663</f>
        <v>AGENT01172</v>
      </c>
      <c r="O664">
        <f>IF(Raw_Claims_Data!G663="D",1,0)</f>
        <v>0</v>
      </c>
    </row>
    <row r="665" spans="1:15" x14ac:dyDescent="0.35">
      <c r="A665" t="str">
        <f>Raw_Claims_Data!A664</f>
        <v>TXN00000661</v>
      </c>
      <c r="B665" t="str">
        <f>TRIM(Raw_Claims_Data!B664)</f>
        <v>Eddie Walker</v>
      </c>
      <c r="C665" t="str">
        <f>Raw_Claims_Data!C664</f>
        <v>Travel</v>
      </c>
      <c r="D665">
        <f>Raw_Claims_Data!D664</f>
        <v>76.08</v>
      </c>
      <c r="E665">
        <f>Raw_Claims_Data!E664</f>
        <v>1000</v>
      </c>
      <c r="F665" t="str">
        <f>Raw_Claims_Data!F664</f>
        <v>KY</v>
      </c>
      <c r="G665" t="str">
        <f>Raw_Claims_Data!G664</f>
        <v>A</v>
      </c>
      <c r="H665" t="str">
        <f>Raw_Claims_Data!H664</f>
        <v>Total Loss</v>
      </c>
      <c r="I665" t="str">
        <f>IF(Raw_Claims_Data!I664="","None",Raw_Claims_Data!I664)</f>
        <v>None</v>
      </c>
      <c r="J665" t="str">
        <f>Raw_Claims_Data!J664</f>
        <v>Montgomery</v>
      </c>
      <c r="K665" t="str">
        <f>Raw_Claims_Data!K664</f>
        <v>AL</v>
      </c>
      <c r="L665">
        <f>Raw_Claims_Data!L664</f>
        <v>13</v>
      </c>
      <c r="M665" t="str">
        <f>IF(Raw_Claims_Data!M664="","N/A",Raw_Claims_Data!M664)</f>
        <v>VNDR00275</v>
      </c>
      <c r="N665" t="str">
        <f>Raw_Claims_Data!N664</f>
        <v>AGENT00564</v>
      </c>
      <c r="O665">
        <f>IF(Raw_Claims_Data!G664="D",1,0)</f>
        <v>0</v>
      </c>
    </row>
    <row r="666" spans="1:15" x14ac:dyDescent="0.35">
      <c r="A666" t="str">
        <f>Raw_Claims_Data!A665</f>
        <v>TXN00000662</v>
      </c>
      <c r="B666" t="str">
        <f>TRIM(Raw_Claims_Data!B665)</f>
        <v>Ray Holcomb</v>
      </c>
      <c r="C666" t="str">
        <f>Raw_Claims_Data!C665</f>
        <v>Motor</v>
      </c>
      <c r="D666">
        <f>Raw_Claims_Data!D665</f>
        <v>78.099999999999994</v>
      </c>
      <c r="E666">
        <f>Raw_Claims_Data!E665</f>
        <v>2000</v>
      </c>
      <c r="F666" t="str">
        <f>Raw_Claims_Data!F665</f>
        <v>MD</v>
      </c>
      <c r="G666" t="str">
        <f>Raw_Claims_Data!G665</f>
        <v>A</v>
      </c>
      <c r="H666" t="str">
        <f>Raw_Claims_Data!H665</f>
        <v>Major Loss</v>
      </c>
      <c r="I666" t="str">
        <f>IF(Raw_Claims_Data!I665="","None",Raw_Claims_Data!I665)</f>
        <v>Police</v>
      </c>
      <c r="J666" t="str">
        <f>Raw_Claims_Data!J665</f>
        <v>Everett</v>
      </c>
      <c r="K666" t="str">
        <f>Raw_Claims_Data!K665</f>
        <v>MA</v>
      </c>
      <c r="L666">
        <f>Raw_Claims_Data!L665</f>
        <v>11</v>
      </c>
      <c r="M666" t="str">
        <f>IF(Raw_Claims_Data!M665="","N/A",Raw_Claims_Data!M665)</f>
        <v>VNDR00395</v>
      </c>
      <c r="N666" t="str">
        <f>Raw_Claims_Data!N665</f>
        <v>AGENT00408</v>
      </c>
      <c r="O666">
        <f>IF(Raw_Claims_Data!G665="D",1,0)</f>
        <v>0</v>
      </c>
    </row>
    <row r="667" spans="1:15" x14ac:dyDescent="0.35">
      <c r="A667" t="str">
        <f>Raw_Claims_Data!A666</f>
        <v>TXN00000663</v>
      </c>
      <c r="B667" t="str">
        <f>TRIM(Raw_Claims_Data!B666)</f>
        <v>Genevieve Vann</v>
      </c>
      <c r="C667" t="str">
        <f>Raw_Claims_Data!C666</f>
        <v>Mobile</v>
      </c>
      <c r="D667">
        <f>Raw_Claims_Data!D666</f>
        <v>9.01</v>
      </c>
      <c r="E667">
        <f>Raw_Claims_Data!E666</f>
        <v>200</v>
      </c>
      <c r="F667" t="str">
        <f>Raw_Claims_Data!F666</f>
        <v>OK</v>
      </c>
      <c r="G667" t="str">
        <f>Raw_Claims_Data!G666</f>
        <v>A</v>
      </c>
      <c r="H667" t="str">
        <f>Raw_Claims_Data!H666</f>
        <v>Total Loss</v>
      </c>
      <c r="I667" t="str">
        <f>IF(Raw_Claims_Data!I666="","None",Raw_Claims_Data!I666)</f>
        <v>Ambulance</v>
      </c>
      <c r="J667" t="str">
        <f>Raw_Claims_Data!J666</f>
        <v>Louisville</v>
      </c>
      <c r="K667" t="str">
        <f>Raw_Claims_Data!K666</f>
        <v>KY</v>
      </c>
      <c r="L667">
        <f>Raw_Claims_Data!L666</f>
        <v>16</v>
      </c>
      <c r="M667" t="str">
        <f>IF(Raw_Claims_Data!M666="","N/A",Raw_Claims_Data!M666)</f>
        <v>N/A</v>
      </c>
      <c r="N667" t="str">
        <f>Raw_Claims_Data!N666</f>
        <v>AGENT00181</v>
      </c>
      <c r="O667">
        <f>IF(Raw_Claims_Data!G666="D",1,0)</f>
        <v>0</v>
      </c>
    </row>
    <row r="668" spans="1:15" x14ac:dyDescent="0.35">
      <c r="A668" t="str">
        <f>Raw_Claims_Data!A667</f>
        <v>TXN00000664</v>
      </c>
      <c r="B668" t="str">
        <f>TRIM(Raw_Claims_Data!B667)</f>
        <v>Barbara Powles</v>
      </c>
      <c r="C668" t="str">
        <f>Raw_Claims_Data!C667</f>
        <v>Travel</v>
      </c>
      <c r="D668">
        <f>Raw_Claims_Data!D667</f>
        <v>78.510000000000005</v>
      </c>
      <c r="E668">
        <f>Raw_Claims_Data!E667</f>
        <v>3000</v>
      </c>
      <c r="F668" t="str">
        <f>Raw_Claims_Data!F667</f>
        <v>AR</v>
      </c>
      <c r="G668" t="str">
        <f>Raw_Claims_Data!G667</f>
        <v>A</v>
      </c>
      <c r="H668" t="str">
        <f>Raw_Claims_Data!H667</f>
        <v>Total Loss</v>
      </c>
      <c r="I668" t="str">
        <f>IF(Raw_Claims_Data!I667="","None",Raw_Claims_Data!I667)</f>
        <v>Ambulance</v>
      </c>
      <c r="J668" t="str">
        <f>Raw_Claims_Data!J667</f>
        <v>Glendale</v>
      </c>
      <c r="K668" t="str">
        <f>Raw_Claims_Data!K667</f>
        <v>AZ</v>
      </c>
      <c r="L668">
        <f>Raw_Claims_Data!L667</f>
        <v>3</v>
      </c>
      <c r="M668" t="str">
        <f>IF(Raw_Claims_Data!M667="","N/A",Raw_Claims_Data!M667)</f>
        <v>N/A</v>
      </c>
      <c r="N668" t="str">
        <f>Raw_Claims_Data!N667</f>
        <v>AGENT00163</v>
      </c>
      <c r="O668">
        <f>IF(Raw_Claims_Data!G667="D",1,0)</f>
        <v>0</v>
      </c>
    </row>
    <row r="669" spans="1:15" x14ac:dyDescent="0.35">
      <c r="A669" t="str">
        <f>Raw_Claims_Data!A668</f>
        <v>TXN00000665</v>
      </c>
      <c r="B669" t="str">
        <f>TRIM(Raw_Claims_Data!B668)</f>
        <v>Aaron Klingensmith</v>
      </c>
      <c r="C669" t="str">
        <f>Raw_Claims_Data!C668</f>
        <v>Travel</v>
      </c>
      <c r="D669">
        <f>Raw_Claims_Data!D668</f>
        <v>69.239999999999995</v>
      </c>
      <c r="E669">
        <f>Raw_Claims_Data!E668</f>
        <v>5000</v>
      </c>
      <c r="F669" t="str">
        <f>Raw_Claims_Data!F668</f>
        <v>DC</v>
      </c>
      <c r="G669" t="str">
        <f>Raw_Claims_Data!G668</f>
        <v>A</v>
      </c>
      <c r="H669" t="str">
        <f>Raw_Claims_Data!H668</f>
        <v>Total Loss</v>
      </c>
      <c r="I669" t="str">
        <f>IF(Raw_Claims_Data!I668="","None",Raw_Claims_Data!I668)</f>
        <v>Police</v>
      </c>
      <c r="J669" t="str">
        <f>Raw_Claims_Data!J668</f>
        <v>Berkeley</v>
      </c>
      <c r="K669" t="str">
        <f>Raw_Claims_Data!K668</f>
        <v>CA</v>
      </c>
      <c r="L669">
        <f>Raw_Claims_Data!L668</f>
        <v>12</v>
      </c>
      <c r="M669" t="str">
        <f>IF(Raw_Claims_Data!M668="","N/A",Raw_Claims_Data!M668)</f>
        <v>N/A</v>
      </c>
      <c r="N669" t="str">
        <f>Raw_Claims_Data!N668</f>
        <v>AGENT01061</v>
      </c>
      <c r="O669">
        <f>IF(Raw_Claims_Data!G668="D",1,0)</f>
        <v>0</v>
      </c>
    </row>
    <row r="670" spans="1:15" x14ac:dyDescent="0.35">
      <c r="A670" t="str">
        <f>Raw_Claims_Data!A669</f>
        <v>TXN00000666</v>
      </c>
      <c r="B670" t="str">
        <f>TRIM(Raw_Claims_Data!B669)</f>
        <v>James Sharpe</v>
      </c>
      <c r="C670" t="str">
        <f>Raw_Claims_Data!C669</f>
        <v>Motor</v>
      </c>
      <c r="D670">
        <f>Raw_Claims_Data!D669</f>
        <v>134.59</v>
      </c>
      <c r="E670">
        <f>Raw_Claims_Data!E669</f>
        <v>1000</v>
      </c>
      <c r="F670" t="str">
        <f>Raw_Claims_Data!F669</f>
        <v>CT</v>
      </c>
      <c r="G670" t="str">
        <f>Raw_Claims_Data!G669</f>
        <v>D</v>
      </c>
      <c r="H670" t="str">
        <f>Raw_Claims_Data!H669</f>
        <v>Major Loss</v>
      </c>
      <c r="I670" t="str">
        <f>IF(Raw_Claims_Data!I669="","None",Raw_Claims_Data!I669)</f>
        <v>Ambulance</v>
      </c>
      <c r="J670" t="str">
        <f>Raw_Claims_Data!J669</f>
        <v>Farmington</v>
      </c>
      <c r="K670" t="str">
        <f>Raw_Claims_Data!K669</f>
        <v>AR</v>
      </c>
      <c r="L670">
        <f>Raw_Claims_Data!L669</f>
        <v>18</v>
      </c>
      <c r="M670" t="str">
        <f>IF(Raw_Claims_Data!M669="","N/A",Raw_Claims_Data!M669)</f>
        <v>N/A</v>
      </c>
      <c r="N670" t="str">
        <f>Raw_Claims_Data!N669</f>
        <v>AGENT00108</v>
      </c>
      <c r="O670">
        <f>IF(Raw_Claims_Data!G669="D",1,0)</f>
        <v>1</v>
      </c>
    </row>
    <row r="671" spans="1:15" x14ac:dyDescent="0.35">
      <c r="A671" t="str">
        <f>Raw_Claims_Data!A670</f>
        <v>TXN00000667</v>
      </c>
      <c r="B671" t="str">
        <f>TRIM(Raw_Claims_Data!B670)</f>
        <v>Edward Magers</v>
      </c>
      <c r="C671" t="str">
        <f>Raw_Claims_Data!C670</f>
        <v>Life</v>
      </c>
      <c r="D671">
        <f>Raw_Claims_Data!D670</f>
        <v>73.459999999999994</v>
      </c>
      <c r="E671">
        <f>Raw_Claims_Data!E670</f>
        <v>91000</v>
      </c>
      <c r="F671" t="str">
        <f>Raw_Claims_Data!F670</f>
        <v>GA</v>
      </c>
      <c r="G671" t="str">
        <f>Raw_Claims_Data!G670</f>
        <v>A</v>
      </c>
      <c r="H671" t="str">
        <f>Raw_Claims_Data!H670</f>
        <v>Total Loss</v>
      </c>
      <c r="I671" t="str">
        <f>IF(Raw_Claims_Data!I670="","None",Raw_Claims_Data!I670)</f>
        <v>Police</v>
      </c>
      <c r="J671" t="str">
        <f>Raw_Claims_Data!J670</f>
        <v>Fresno</v>
      </c>
      <c r="K671" t="str">
        <f>Raw_Claims_Data!K670</f>
        <v>CA</v>
      </c>
      <c r="L671">
        <f>Raw_Claims_Data!L670</f>
        <v>14</v>
      </c>
      <c r="M671" t="str">
        <f>IF(Raw_Claims_Data!M670="","N/A",Raw_Claims_Data!M670)</f>
        <v>VNDR00094</v>
      </c>
      <c r="N671" t="str">
        <f>Raw_Claims_Data!N670</f>
        <v>AGENT01127</v>
      </c>
      <c r="O671">
        <f>IF(Raw_Claims_Data!G670="D",1,0)</f>
        <v>0</v>
      </c>
    </row>
    <row r="672" spans="1:15" x14ac:dyDescent="0.35">
      <c r="A672" t="str">
        <f>Raw_Claims_Data!A671</f>
        <v>TXN00000668</v>
      </c>
      <c r="B672" t="str">
        <f>TRIM(Raw_Claims_Data!B671)</f>
        <v>Thomas Breitbart</v>
      </c>
      <c r="C672" t="str">
        <f>Raw_Claims_Data!C671</f>
        <v>Health</v>
      </c>
      <c r="D672">
        <f>Raw_Claims_Data!D671</f>
        <v>146.06</v>
      </c>
      <c r="E672">
        <f>Raw_Claims_Data!E671</f>
        <v>20000</v>
      </c>
      <c r="F672" t="str">
        <f>Raw_Claims_Data!F671</f>
        <v>VT</v>
      </c>
      <c r="G672" t="str">
        <f>Raw_Claims_Data!G671</f>
        <v>A</v>
      </c>
      <c r="H672" t="str">
        <f>Raw_Claims_Data!H671</f>
        <v>Minor Loss</v>
      </c>
      <c r="I672" t="str">
        <f>IF(Raw_Claims_Data!I671="","None",Raw_Claims_Data!I671)</f>
        <v>Police</v>
      </c>
      <c r="J672" t="str">
        <f>Raw_Claims_Data!J671</f>
        <v>Savannah</v>
      </c>
      <c r="K672" t="str">
        <f>Raw_Claims_Data!K671</f>
        <v>GA</v>
      </c>
      <c r="L672">
        <f>Raw_Claims_Data!L671</f>
        <v>23</v>
      </c>
      <c r="M672" t="str">
        <f>IF(Raw_Claims_Data!M671="","N/A",Raw_Claims_Data!M671)</f>
        <v>N/A</v>
      </c>
      <c r="N672" t="str">
        <f>Raw_Claims_Data!N671</f>
        <v>AGENT00970</v>
      </c>
      <c r="O672">
        <f>IF(Raw_Claims_Data!G671="D",1,0)</f>
        <v>0</v>
      </c>
    </row>
    <row r="673" spans="1:15" x14ac:dyDescent="0.35">
      <c r="A673" t="str">
        <f>Raw_Claims_Data!A672</f>
        <v>TXN00000669</v>
      </c>
      <c r="B673" t="str">
        <f>TRIM(Raw_Claims_Data!B672)</f>
        <v>Regina Baldwin</v>
      </c>
      <c r="C673" t="str">
        <f>Raw_Claims_Data!C672</f>
        <v>Life</v>
      </c>
      <c r="D673">
        <f>Raw_Claims_Data!D672</f>
        <v>97.8</v>
      </c>
      <c r="E673">
        <f>Raw_Claims_Data!E672</f>
        <v>100000</v>
      </c>
      <c r="F673" t="str">
        <f>Raw_Claims_Data!F672</f>
        <v>AZ</v>
      </c>
      <c r="G673" t="str">
        <f>Raw_Claims_Data!G672</f>
        <v>A</v>
      </c>
      <c r="H673" t="str">
        <f>Raw_Claims_Data!H672</f>
        <v>Minor Loss</v>
      </c>
      <c r="I673" t="str">
        <f>IF(Raw_Claims_Data!I672="","None",Raw_Claims_Data!I672)</f>
        <v>Police</v>
      </c>
      <c r="J673" t="str">
        <f>Raw_Claims_Data!J672</f>
        <v>Manchester</v>
      </c>
      <c r="K673" t="str">
        <f>Raw_Claims_Data!K672</f>
        <v>CT</v>
      </c>
      <c r="L673">
        <f>Raw_Claims_Data!L672</f>
        <v>4</v>
      </c>
      <c r="M673" t="str">
        <f>IF(Raw_Claims_Data!M672="","N/A",Raw_Claims_Data!M672)</f>
        <v>N/A</v>
      </c>
      <c r="N673" t="str">
        <f>Raw_Claims_Data!N672</f>
        <v>AGENT00797</v>
      </c>
      <c r="O673">
        <f>IF(Raw_Claims_Data!G672="D",1,0)</f>
        <v>0</v>
      </c>
    </row>
    <row r="674" spans="1:15" x14ac:dyDescent="0.35">
      <c r="A674" t="str">
        <f>Raw_Claims_Data!A673</f>
        <v>TXN00000670</v>
      </c>
      <c r="B674" t="str">
        <f>TRIM(Raw_Claims_Data!B673)</f>
        <v>John Bergeron</v>
      </c>
      <c r="C674" t="str">
        <f>Raw_Claims_Data!C673</f>
        <v>Property</v>
      </c>
      <c r="D674">
        <f>Raw_Claims_Data!D673</f>
        <v>88.69</v>
      </c>
      <c r="E674">
        <f>Raw_Claims_Data!E673</f>
        <v>25000</v>
      </c>
      <c r="F674" t="str">
        <f>Raw_Claims_Data!F673</f>
        <v>CA</v>
      </c>
      <c r="G674" t="str">
        <f>Raw_Claims_Data!G673</f>
        <v>A</v>
      </c>
      <c r="H674" t="str">
        <f>Raw_Claims_Data!H673</f>
        <v>Total Loss</v>
      </c>
      <c r="I674" t="str">
        <f>IF(Raw_Claims_Data!I673="","None",Raw_Claims_Data!I673)</f>
        <v>Police</v>
      </c>
      <c r="J674" t="str">
        <f>Raw_Claims_Data!J673</f>
        <v>Litchfield Park</v>
      </c>
      <c r="K674" t="str">
        <f>Raw_Claims_Data!K673</f>
        <v>AZ</v>
      </c>
      <c r="L674">
        <f>Raw_Claims_Data!L673</f>
        <v>23</v>
      </c>
      <c r="M674" t="str">
        <f>IF(Raw_Claims_Data!M673="","N/A",Raw_Claims_Data!M673)</f>
        <v>VNDR00484</v>
      </c>
      <c r="N674" t="str">
        <f>Raw_Claims_Data!N673</f>
        <v>AGENT00179</v>
      </c>
      <c r="O674">
        <f>IF(Raw_Claims_Data!G673="D",1,0)</f>
        <v>0</v>
      </c>
    </row>
    <row r="675" spans="1:15" x14ac:dyDescent="0.35">
      <c r="A675" t="str">
        <f>Raw_Claims_Data!A674</f>
        <v>TXN00000671</v>
      </c>
      <c r="B675" t="str">
        <f>TRIM(Raw_Claims_Data!B674)</f>
        <v>Robert Jennings</v>
      </c>
      <c r="C675" t="str">
        <f>Raw_Claims_Data!C674</f>
        <v>Life</v>
      </c>
      <c r="D675">
        <f>Raw_Claims_Data!D674</f>
        <v>70.67</v>
      </c>
      <c r="E675">
        <f>Raw_Claims_Data!E674</f>
        <v>96000</v>
      </c>
      <c r="F675" t="str">
        <f>Raw_Claims_Data!F674</f>
        <v>CT</v>
      </c>
      <c r="G675" t="str">
        <f>Raw_Claims_Data!G674</f>
        <v>D</v>
      </c>
      <c r="H675" t="str">
        <f>Raw_Claims_Data!H674</f>
        <v>Minor Loss</v>
      </c>
      <c r="I675" t="str">
        <f>IF(Raw_Claims_Data!I674="","None",Raw_Claims_Data!I674)</f>
        <v>Police</v>
      </c>
      <c r="J675" t="str">
        <f>Raw_Claims_Data!J674</f>
        <v>Fresno</v>
      </c>
      <c r="K675" t="str">
        <f>Raw_Claims_Data!K674</f>
        <v>CA</v>
      </c>
      <c r="L675">
        <f>Raw_Claims_Data!L674</f>
        <v>5</v>
      </c>
      <c r="M675" t="str">
        <f>IF(Raw_Claims_Data!M674="","N/A",Raw_Claims_Data!M674)</f>
        <v>VNDR00453</v>
      </c>
      <c r="N675" t="str">
        <f>Raw_Claims_Data!N674</f>
        <v>AGENT00981</v>
      </c>
      <c r="O675">
        <f>IF(Raw_Claims_Data!G674="D",1,0)</f>
        <v>1</v>
      </c>
    </row>
    <row r="676" spans="1:15" x14ac:dyDescent="0.35">
      <c r="A676" t="str">
        <f>Raw_Claims_Data!A675</f>
        <v>TXN00000672</v>
      </c>
      <c r="B676" t="str">
        <f>TRIM(Raw_Claims_Data!B675)</f>
        <v>Jacob Charron</v>
      </c>
      <c r="C676" t="str">
        <f>Raw_Claims_Data!C675</f>
        <v>Property</v>
      </c>
      <c r="D676">
        <f>Raw_Claims_Data!D675</f>
        <v>84.19</v>
      </c>
      <c r="E676">
        <f>Raw_Claims_Data!E675</f>
        <v>13000</v>
      </c>
      <c r="F676" t="str">
        <f>Raw_Claims_Data!F675</f>
        <v>CT</v>
      </c>
      <c r="G676" t="str">
        <f>Raw_Claims_Data!G675</f>
        <v>A</v>
      </c>
      <c r="H676" t="str">
        <f>Raw_Claims_Data!H675</f>
        <v>Minor Loss</v>
      </c>
      <c r="I676" t="str">
        <f>IF(Raw_Claims_Data!I675="","None",Raw_Claims_Data!I675)</f>
        <v>Other</v>
      </c>
      <c r="J676" t="str">
        <f>Raw_Claims_Data!J675</f>
        <v>Panama City Beach</v>
      </c>
      <c r="K676" t="str">
        <f>Raw_Claims_Data!K675</f>
        <v>FL</v>
      </c>
      <c r="L676">
        <f>Raw_Claims_Data!L675</f>
        <v>9</v>
      </c>
      <c r="M676" t="str">
        <f>IF(Raw_Claims_Data!M675="","N/A",Raw_Claims_Data!M675)</f>
        <v>VNDR00474</v>
      </c>
      <c r="N676" t="str">
        <f>Raw_Claims_Data!N675</f>
        <v>AGENT00003</v>
      </c>
      <c r="O676">
        <f>IF(Raw_Claims_Data!G675="D",1,0)</f>
        <v>0</v>
      </c>
    </row>
    <row r="677" spans="1:15" x14ac:dyDescent="0.35">
      <c r="A677" t="str">
        <f>Raw_Claims_Data!A676</f>
        <v>TXN00000673</v>
      </c>
      <c r="B677" t="str">
        <f>TRIM(Raw_Claims_Data!B676)</f>
        <v>Jessie Oliver</v>
      </c>
      <c r="C677" t="str">
        <f>Raw_Claims_Data!C676</f>
        <v>Life</v>
      </c>
      <c r="D677">
        <f>Raw_Claims_Data!D676</f>
        <v>74.650000000000006</v>
      </c>
      <c r="E677">
        <f>Raw_Claims_Data!E676</f>
        <v>62000</v>
      </c>
      <c r="F677" t="str">
        <f>Raw_Claims_Data!F676</f>
        <v>AL</v>
      </c>
      <c r="G677" t="str">
        <f>Raw_Claims_Data!G676</f>
        <v>A</v>
      </c>
      <c r="H677" t="str">
        <f>Raw_Claims_Data!H676</f>
        <v>Total Loss</v>
      </c>
      <c r="I677" t="str">
        <f>IF(Raw_Claims_Data!I676="","None",Raw_Claims_Data!I676)</f>
        <v>None</v>
      </c>
      <c r="J677" t="str">
        <f>Raw_Claims_Data!J676</f>
        <v>Nashville</v>
      </c>
      <c r="K677" t="str">
        <f>Raw_Claims_Data!K676</f>
        <v>TN</v>
      </c>
      <c r="L677">
        <f>Raw_Claims_Data!L676</f>
        <v>21</v>
      </c>
      <c r="M677" t="str">
        <f>IF(Raw_Claims_Data!M676="","N/A",Raw_Claims_Data!M676)</f>
        <v>N/A</v>
      </c>
      <c r="N677" t="str">
        <f>Raw_Claims_Data!N676</f>
        <v>AGENT00286</v>
      </c>
      <c r="O677">
        <f>IF(Raw_Claims_Data!G676="D",1,0)</f>
        <v>0</v>
      </c>
    </row>
    <row r="678" spans="1:15" x14ac:dyDescent="0.35">
      <c r="A678" t="str">
        <f>Raw_Claims_Data!A677</f>
        <v>TXN00000674</v>
      </c>
      <c r="B678" t="str">
        <f>TRIM(Raw_Claims_Data!B677)</f>
        <v>Lawrence Fetterhoff</v>
      </c>
      <c r="C678" t="str">
        <f>Raw_Claims_Data!C677</f>
        <v>Property</v>
      </c>
      <c r="D678">
        <f>Raw_Claims_Data!D677</f>
        <v>110.39</v>
      </c>
      <c r="E678">
        <f>Raw_Claims_Data!E677</f>
        <v>21000</v>
      </c>
      <c r="F678" t="str">
        <f>Raw_Claims_Data!F677</f>
        <v>AL</v>
      </c>
      <c r="G678" t="str">
        <f>Raw_Claims_Data!G677</f>
        <v>A</v>
      </c>
      <c r="H678" t="str">
        <f>Raw_Claims_Data!H677</f>
        <v>Minor Loss</v>
      </c>
      <c r="I678" t="str">
        <f>IF(Raw_Claims_Data!I677="","None",Raw_Claims_Data!I677)</f>
        <v>Police</v>
      </c>
      <c r="J678" t="str">
        <f>Raw_Claims_Data!J677</f>
        <v>Manchester</v>
      </c>
      <c r="K678" t="str">
        <f>Raw_Claims_Data!K677</f>
        <v>CT</v>
      </c>
      <c r="L678">
        <f>Raw_Claims_Data!L677</f>
        <v>4</v>
      </c>
      <c r="M678" t="str">
        <f>IF(Raw_Claims_Data!M677="","N/A",Raw_Claims_Data!M677)</f>
        <v>VNDR00159</v>
      </c>
      <c r="N678" t="str">
        <f>Raw_Claims_Data!N677</f>
        <v>AGENT01089</v>
      </c>
      <c r="O678">
        <f>IF(Raw_Claims_Data!G677="D",1,0)</f>
        <v>0</v>
      </c>
    </row>
    <row r="679" spans="1:15" x14ac:dyDescent="0.35">
      <c r="A679" t="str">
        <f>Raw_Claims_Data!A678</f>
        <v>TXN00000675</v>
      </c>
      <c r="B679" t="str">
        <f>TRIM(Raw_Claims_Data!B678)</f>
        <v>Terry Richard</v>
      </c>
      <c r="C679" t="str">
        <f>Raw_Claims_Data!C678</f>
        <v>Mobile</v>
      </c>
      <c r="D679">
        <f>Raw_Claims_Data!D678</f>
        <v>7.27</v>
      </c>
      <c r="E679">
        <f>Raw_Claims_Data!E678</f>
        <v>200</v>
      </c>
      <c r="F679" t="str">
        <f>Raw_Claims_Data!F678</f>
        <v>AZ</v>
      </c>
      <c r="G679" t="str">
        <f>Raw_Claims_Data!G678</f>
        <v>A</v>
      </c>
      <c r="H679" t="str">
        <f>Raw_Claims_Data!H678</f>
        <v>Major Loss</v>
      </c>
      <c r="I679" t="str">
        <f>IF(Raw_Claims_Data!I678="","None",Raw_Claims_Data!I678)</f>
        <v>Police</v>
      </c>
      <c r="J679" t="str">
        <f>Raw_Claims_Data!J678</f>
        <v>Anchorage</v>
      </c>
      <c r="K679" t="str">
        <f>Raw_Claims_Data!K678</f>
        <v>AK</v>
      </c>
      <c r="L679">
        <f>Raw_Claims_Data!L678</f>
        <v>13</v>
      </c>
      <c r="M679" t="str">
        <f>IF(Raw_Claims_Data!M678="","N/A",Raw_Claims_Data!M678)</f>
        <v>VNDR00399</v>
      </c>
      <c r="N679" t="str">
        <f>Raw_Claims_Data!N678</f>
        <v>AGENT00223</v>
      </c>
      <c r="O679">
        <f>IF(Raw_Claims_Data!G678="D",1,0)</f>
        <v>0</v>
      </c>
    </row>
    <row r="680" spans="1:15" x14ac:dyDescent="0.35">
      <c r="A680" t="str">
        <f>Raw_Claims_Data!A679</f>
        <v>TXN00000676</v>
      </c>
      <c r="B680" t="str">
        <f>TRIM(Raw_Claims_Data!B679)</f>
        <v>Randall Grenier</v>
      </c>
      <c r="C680" t="str">
        <f>Raw_Claims_Data!C679</f>
        <v>Life</v>
      </c>
      <c r="D680">
        <f>Raw_Claims_Data!D679</f>
        <v>82.41</v>
      </c>
      <c r="E680">
        <f>Raw_Claims_Data!E679</f>
        <v>86000</v>
      </c>
      <c r="F680" t="str">
        <f>Raw_Claims_Data!F679</f>
        <v>FL</v>
      </c>
      <c r="G680" t="str">
        <f>Raw_Claims_Data!G679</f>
        <v>A</v>
      </c>
      <c r="H680" t="str">
        <f>Raw_Claims_Data!H679</f>
        <v>Major Loss</v>
      </c>
      <c r="I680" t="str">
        <f>IF(Raw_Claims_Data!I679="","None",Raw_Claims_Data!I679)</f>
        <v>Ambulance</v>
      </c>
      <c r="J680" t="str">
        <f>Raw_Claims_Data!J679</f>
        <v>Chicopee</v>
      </c>
      <c r="K680" t="str">
        <f>Raw_Claims_Data!K679</f>
        <v>MA</v>
      </c>
      <c r="L680">
        <f>Raw_Claims_Data!L679</f>
        <v>18</v>
      </c>
      <c r="M680" t="str">
        <f>IF(Raw_Claims_Data!M679="","N/A",Raw_Claims_Data!M679)</f>
        <v>VNDR00416</v>
      </c>
      <c r="N680" t="str">
        <f>Raw_Claims_Data!N679</f>
        <v>AGENT00488</v>
      </c>
      <c r="O680">
        <f>IF(Raw_Claims_Data!G679="D",1,0)</f>
        <v>0</v>
      </c>
    </row>
    <row r="681" spans="1:15" x14ac:dyDescent="0.35">
      <c r="A681" t="str">
        <f>Raw_Claims_Data!A680</f>
        <v>TXN00000677</v>
      </c>
      <c r="B681" t="str">
        <f>TRIM(Raw_Claims_Data!B680)</f>
        <v>Rodolfo Moore</v>
      </c>
      <c r="C681" t="str">
        <f>Raw_Claims_Data!C680</f>
        <v>Mobile</v>
      </c>
      <c r="D681">
        <f>Raw_Claims_Data!D680</f>
        <v>9.8000000000000007</v>
      </c>
      <c r="E681">
        <f>Raw_Claims_Data!E680</f>
        <v>200</v>
      </c>
      <c r="F681" t="str">
        <f>Raw_Claims_Data!F680</f>
        <v>GA</v>
      </c>
      <c r="G681" t="str">
        <f>Raw_Claims_Data!G680</f>
        <v>A</v>
      </c>
      <c r="H681" t="str">
        <f>Raw_Claims_Data!H680</f>
        <v>Major Loss</v>
      </c>
      <c r="I681" t="str">
        <f>IF(Raw_Claims_Data!I680="","None",Raw_Claims_Data!I680)</f>
        <v>Police</v>
      </c>
      <c r="J681" t="str">
        <f>Raw_Claims_Data!J680</f>
        <v>Fayetteville</v>
      </c>
      <c r="K681" t="str">
        <f>Raw_Claims_Data!K680</f>
        <v>AR</v>
      </c>
      <c r="L681">
        <f>Raw_Claims_Data!L680</f>
        <v>16</v>
      </c>
      <c r="M681" t="str">
        <f>IF(Raw_Claims_Data!M680="","N/A",Raw_Claims_Data!M680)</f>
        <v>N/A</v>
      </c>
      <c r="N681" t="str">
        <f>Raw_Claims_Data!N680</f>
        <v>AGENT00856</v>
      </c>
      <c r="O681">
        <f>IF(Raw_Claims_Data!G680="D",1,0)</f>
        <v>0</v>
      </c>
    </row>
    <row r="682" spans="1:15" x14ac:dyDescent="0.35">
      <c r="A682" t="str">
        <f>Raw_Claims_Data!A681</f>
        <v>TXN00000678</v>
      </c>
      <c r="B682" t="str">
        <f>TRIM(Raw_Claims_Data!B681)</f>
        <v>Robert Lee</v>
      </c>
      <c r="C682" t="str">
        <f>Raw_Claims_Data!C681</f>
        <v>Motor</v>
      </c>
      <c r="D682">
        <f>Raw_Claims_Data!D681</f>
        <v>71.989999999999995</v>
      </c>
      <c r="E682">
        <f>Raw_Claims_Data!E681</f>
        <v>3000</v>
      </c>
      <c r="F682" t="str">
        <f>Raw_Claims_Data!F681</f>
        <v>TN</v>
      </c>
      <c r="G682" t="str">
        <f>Raw_Claims_Data!G681</f>
        <v>D</v>
      </c>
      <c r="H682" t="str">
        <f>Raw_Claims_Data!H681</f>
        <v>Minor Loss</v>
      </c>
      <c r="I682" t="str">
        <f>IF(Raw_Claims_Data!I681="","None",Raw_Claims_Data!I681)</f>
        <v>Ambulance</v>
      </c>
      <c r="J682" t="str">
        <f>Raw_Claims_Data!J681</f>
        <v>Nashville</v>
      </c>
      <c r="K682" t="str">
        <f>Raw_Claims_Data!K681</f>
        <v>TN</v>
      </c>
      <c r="L682">
        <f>Raw_Claims_Data!L681</f>
        <v>6</v>
      </c>
      <c r="M682" t="str">
        <f>IF(Raw_Claims_Data!M681="","N/A",Raw_Claims_Data!M681)</f>
        <v>VNDR00461</v>
      </c>
      <c r="N682" t="str">
        <f>Raw_Claims_Data!N681</f>
        <v>AGENT00501</v>
      </c>
      <c r="O682">
        <f>IF(Raw_Claims_Data!G681="D",1,0)</f>
        <v>1</v>
      </c>
    </row>
    <row r="683" spans="1:15" x14ac:dyDescent="0.35">
      <c r="A683" t="str">
        <f>Raw_Claims_Data!A682</f>
        <v>TXN00000679</v>
      </c>
      <c r="B683" t="str">
        <f>TRIM(Raw_Claims_Data!B682)</f>
        <v>Diane Freeman</v>
      </c>
      <c r="C683" t="str">
        <f>Raw_Claims_Data!C682</f>
        <v>Health</v>
      </c>
      <c r="D683">
        <f>Raw_Claims_Data!D682</f>
        <v>185.58</v>
      </c>
      <c r="E683">
        <f>Raw_Claims_Data!E682</f>
        <v>15000</v>
      </c>
      <c r="F683" t="str">
        <f>Raw_Claims_Data!F682</f>
        <v>VT</v>
      </c>
      <c r="G683" t="str">
        <f>Raw_Claims_Data!G682</f>
        <v>A</v>
      </c>
      <c r="H683" t="str">
        <f>Raw_Claims_Data!H682</f>
        <v>Total Loss</v>
      </c>
      <c r="I683" t="str">
        <f>IF(Raw_Claims_Data!I682="","None",Raw_Claims_Data!I682)</f>
        <v>Police</v>
      </c>
      <c r="J683" t="str">
        <f>Raw_Claims_Data!J682</f>
        <v>Bristol</v>
      </c>
      <c r="K683" t="str">
        <f>Raw_Claims_Data!K682</f>
        <v>VT</v>
      </c>
      <c r="L683">
        <f>Raw_Claims_Data!L682</f>
        <v>18</v>
      </c>
      <c r="M683" t="str">
        <f>IF(Raw_Claims_Data!M682="","N/A",Raw_Claims_Data!M682)</f>
        <v>VNDR00189</v>
      </c>
      <c r="N683" t="str">
        <f>Raw_Claims_Data!N682</f>
        <v>AGENT00424</v>
      </c>
      <c r="O683">
        <f>IF(Raw_Claims_Data!G682="D",1,0)</f>
        <v>0</v>
      </c>
    </row>
    <row r="684" spans="1:15" x14ac:dyDescent="0.35">
      <c r="A684" t="str">
        <f>Raw_Claims_Data!A683</f>
        <v>TXN00000680</v>
      </c>
      <c r="B684" t="str">
        <f>TRIM(Raw_Claims_Data!B683)</f>
        <v>Sandra Mintz</v>
      </c>
      <c r="C684" t="str">
        <f>Raw_Claims_Data!C683</f>
        <v>Property</v>
      </c>
      <c r="D684">
        <f>Raw_Claims_Data!D683</f>
        <v>123.55</v>
      </c>
      <c r="E684">
        <f>Raw_Claims_Data!E683</f>
        <v>18000</v>
      </c>
      <c r="F684" t="str">
        <f>Raw_Claims_Data!F683</f>
        <v>AR</v>
      </c>
      <c r="G684" t="str">
        <f>Raw_Claims_Data!G683</f>
        <v>A</v>
      </c>
      <c r="H684" t="str">
        <f>Raw_Claims_Data!H683</f>
        <v>Major Loss</v>
      </c>
      <c r="I684" t="str">
        <f>IF(Raw_Claims_Data!I683="","None",Raw_Claims_Data!I683)</f>
        <v>Other</v>
      </c>
      <c r="J684" t="str">
        <f>Raw_Claims_Data!J683</f>
        <v>Washington</v>
      </c>
      <c r="K684" t="str">
        <f>Raw_Claims_Data!K683</f>
        <v>DC</v>
      </c>
      <c r="L684">
        <f>Raw_Claims_Data!L683</f>
        <v>0</v>
      </c>
      <c r="M684" t="str">
        <f>IF(Raw_Claims_Data!M683="","N/A",Raw_Claims_Data!M683)</f>
        <v>N/A</v>
      </c>
      <c r="N684" t="str">
        <f>Raw_Claims_Data!N683</f>
        <v>AGENT00399</v>
      </c>
      <c r="O684">
        <f>IF(Raw_Claims_Data!G683="D",1,0)</f>
        <v>0</v>
      </c>
    </row>
    <row r="685" spans="1:15" x14ac:dyDescent="0.35">
      <c r="A685" t="str">
        <f>Raw_Claims_Data!A684</f>
        <v>TXN00000681</v>
      </c>
      <c r="B685" t="str">
        <f>TRIM(Raw_Claims_Data!B684)</f>
        <v>Olga Eldridge</v>
      </c>
      <c r="C685" t="str">
        <f>Raw_Claims_Data!C684</f>
        <v>Mobile</v>
      </c>
      <c r="D685">
        <f>Raw_Claims_Data!D684</f>
        <v>11.17</v>
      </c>
      <c r="E685">
        <f>Raw_Claims_Data!E684</f>
        <v>600</v>
      </c>
      <c r="F685" t="str">
        <f>Raw_Claims_Data!F684</f>
        <v>GA</v>
      </c>
      <c r="G685" t="str">
        <f>Raw_Claims_Data!G684</f>
        <v>A</v>
      </c>
      <c r="H685" t="str">
        <f>Raw_Claims_Data!H684</f>
        <v>Total Loss</v>
      </c>
      <c r="I685" t="str">
        <f>IF(Raw_Claims_Data!I684="","None",Raw_Claims_Data!I684)</f>
        <v>None</v>
      </c>
      <c r="J685" t="str">
        <f>Raw_Claims_Data!J684</f>
        <v>Washington</v>
      </c>
      <c r="K685" t="str">
        <f>Raw_Claims_Data!K684</f>
        <v>DC</v>
      </c>
      <c r="L685">
        <f>Raw_Claims_Data!L684</f>
        <v>21</v>
      </c>
      <c r="M685" t="str">
        <f>IF(Raw_Claims_Data!M684="","N/A",Raw_Claims_Data!M684)</f>
        <v>N/A</v>
      </c>
      <c r="N685" t="str">
        <f>Raw_Claims_Data!N684</f>
        <v>AGENT00358</v>
      </c>
      <c r="O685">
        <f>IF(Raw_Claims_Data!G684="D",1,0)</f>
        <v>0</v>
      </c>
    </row>
    <row r="686" spans="1:15" x14ac:dyDescent="0.35">
      <c r="A686" t="str">
        <f>Raw_Claims_Data!A685</f>
        <v>TXN00000682</v>
      </c>
      <c r="B686" t="str">
        <f>TRIM(Raw_Claims_Data!B685)</f>
        <v>Ivory Pearson</v>
      </c>
      <c r="C686" t="str">
        <f>Raw_Claims_Data!C685</f>
        <v>Motor</v>
      </c>
      <c r="D686">
        <f>Raw_Claims_Data!D685</f>
        <v>76.06</v>
      </c>
      <c r="E686">
        <f>Raw_Claims_Data!E685</f>
        <v>3000</v>
      </c>
      <c r="F686" t="str">
        <f>Raw_Claims_Data!F685</f>
        <v>KY</v>
      </c>
      <c r="G686" t="str">
        <f>Raw_Claims_Data!G685</f>
        <v>A</v>
      </c>
      <c r="H686" t="str">
        <f>Raw_Claims_Data!H685</f>
        <v>Total Loss</v>
      </c>
      <c r="I686" t="str">
        <f>IF(Raw_Claims_Data!I685="","None",Raw_Claims_Data!I685)</f>
        <v>None</v>
      </c>
      <c r="J686" t="str">
        <f>Raw_Claims_Data!J685</f>
        <v>Washington</v>
      </c>
      <c r="K686" t="str">
        <f>Raw_Claims_Data!K685</f>
        <v>DC</v>
      </c>
      <c r="L686">
        <f>Raw_Claims_Data!L685</f>
        <v>23</v>
      </c>
      <c r="M686" t="str">
        <f>IF(Raw_Claims_Data!M685="","N/A",Raw_Claims_Data!M685)</f>
        <v>N/A</v>
      </c>
      <c r="N686" t="str">
        <f>Raw_Claims_Data!N685</f>
        <v>AGENT00510</v>
      </c>
      <c r="O686">
        <f>IF(Raw_Claims_Data!G685="D",1,0)</f>
        <v>0</v>
      </c>
    </row>
    <row r="687" spans="1:15" x14ac:dyDescent="0.35">
      <c r="A687" t="str">
        <f>Raw_Claims_Data!A686</f>
        <v>TXN00000683</v>
      </c>
      <c r="B687" t="str">
        <f>TRIM(Raw_Claims_Data!B686)</f>
        <v>Michael Hayes</v>
      </c>
      <c r="C687" t="str">
        <f>Raw_Claims_Data!C686</f>
        <v>Life</v>
      </c>
      <c r="D687">
        <f>Raw_Claims_Data!D686</f>
        <v>84.68</v>
      </c>
      <c r="E687">
        <f>Raw_Claims_Data!E686</f>
        <v>61000</v>
      </c>
      <c r="F687" t="str">
        <f>Raw_Claims_Data!F686</f>
        <v>DC</v>
      </c>
      <c r="G687" t="str">
        <f>Raw_Claims_Data!G686</f>
        <v>A</v>
      </c>
      <c r="H687" t="str">
        <f>Raw_Claims_Data!H686</f>
        <v>Total Loss</v>
      </c>
      <c r="I687" t="str">
        <f>IF(Raw_Claims_Data!I686="","None",Raw_Claims_Data!I686)</f>
        <v>Other</v>
      </c>
      <c r="J687" t="str">
        <f>Raw_Claims_Data!J686</f>
        <v>Moore</v>
      </c>
      <c r="K687" t="str">
        <f>Raw_Claims_Data!K686</f>
        <v>OK</v>
      </c>
      <c r="L687">
        <f>Raw_Claims_Data!L686</f>
        <v>7</v>
      </c>
      <c r="M687" t="str">
        <f>IF(Raw_Claims_Data!M686="","N/A",Raw_Claims_Data!M686)</f>
        <v>N/A</v>
      </c>
      <c r="N687" t="str">
        <f>Raw_Claims_Data!N686</f>
        <v>AGENT00177</v>
      </c>
      <c r="O687">
        <f>IF(Raw_Claims_Data!G686="D",1,0)</f>
        <v>0</v>
      </c>
    </row>
    <row r="688" spans="1:15" x14ac:dyDescent="0.35">
      <c r="A688" t="str">
        <f>Raw_Claims_Data!A687</f>
        <v>TXN00000684</v>
      </c>
      <c r="B688" t="str">
        <f>TRIM(Raw_Claims_Data!B687)</f>
        <v>Elaine Esqueda</v>
      </c>
      <c r="C688" t="str">
        <f>Raw_Claims_Data!C687</f>
        <v>Mobile</v>
      </c>
      <c r="D688">
        <f>Raw_Claims_Data!D687</f>
        <v>10.050000000000001</v>
      </c>
      <c r="E688">
        <f>Raw_Claims_Data!E687</f>
        <v>100</v>
      </c>
      <c r="F688" t="str">
        <f>Raw_Claims_Data!F687</f>
        <v>DC</v>
      </c>
      <c r="G688" t="str">
        <f>Raw_Claims_Data!G687</f>
        <v>A</v>
      </c>
      <c r="H688" t="str">
        <f>Raw_Claims_Data!H687</f>
        <v>Minor Loss</v>
      </c>
      <c r="I688" t="str">
        <f>IF(Raw_Claims_Data!I687="","None",Raw_Claims_Data!I687)</f>
        <v>None</v>
      </c>
      <c r="J688" t="str">
        <f>Raw_Claims_Data!J687</f>
        <v>Linthicum Heights</v>
      </c>
      <c r="K688" t="str">
        <f>Raw_Claims_Data!K687</f>
        <v>MD</v>
      </c>
      <c r="L688">
        <f>Raw_Claims_Data!L687</f>
        <v>11</v>
      </c>
      <c r="M688" t="str">
        <f>IF(Raw_Claims_Data!M687="","N/A",Raw_Claims_Data!M687)</f>
        <v>VNDR00051</v>
      </c>
      <c r="N688" t="str">
        <f>Raw_Claims_Data!N687</f>
        <v>AGENT00861</v>
      </c>
      <c r="O688">
        <f>IF(Raw_Claims_Data!G687="D",1,0)</f>
        <v>0</v>
      </c>
    </row>
    <row r="689" spans="1:15" x14ac:dyDescent="0.35">
      <c r="A689" t="str">
        <f>Raw_Claims_Data!A688</f>
        <v>TXN00000685</v>
      </c>
      <c r="B689" t="str">
        <f>TRIM(Raw_Claims_Data!B688)</f>
        <v>Bernice Hall</v>
      </c>
      <c r="C689" t="str">
        <f>Raw_Claims_Data!C688</f>
        <v>Property</v>
      </c>
      <c r="D689">
        <f>Raw_Claims_Data!D688</f>
        <v>117.36</v>
      </c>
      <c r="E689">
        <f>Raw_Claims_Data!E688</f>
        <v>40000</v>
      </c>
      <c r="F689" t="str">
        <f>Raw_Claims_Data!F688</f>
        <v>CA</v>
      </c>
      <c r="G689" t="str">
        <f>Raw_Claims_Data!G688</f>
        <v>A</v>
      </c>
      <c r="H689" t="str">
        <f>Raw_Claims_Data!H688</f>
        <v>Major Loss</v>
      </c>
      <c r="I689" t="str">
        <f>IF(Raw_Claims_Data!I688="","None",Raw_Claims_Data!I688)</f>
        <v>Ambulance</v>
      </c>
      <c r="J689" t="str">
        <f>Raw_Claims_Data!J688</f>
        <v>Aurora</v>
      </c>
      <c r="K689" t="str">
        <f>Raw_Claims_Data!K688</f>
        <v>CO</v>
      </c>
      <c r="L689">
        <f>Raw_Claims_Data!L688</f>
        <v>12</v>
      </c>
      <c r="M689" t="str">
        <f>IF(Raw_Claims_Data!M688="","N/A",Raw_Claims_Data!M688)</f>
        <v>VNDR00350</v>
      </c>
      <c r="N689" t="str">
        <f>Raw_Claims_Data!N688</f>
        <v>AGENT01068</v>
      </c>
      <c r="O689">
        <f>IF(Raw_Claims_Data!G688="D",1,0)</f>
        <v>0</v>
      </c>
    </row>
    <row r="690" spans="1:15" x14ac:dyDescent="0.35">
      <c r="A690" t="str">
        <f>Raw_Claims_Data!A689</f>
        <v>TXN00000686</v>
      </c>
      <c r="B690" t="str">
        <f>TRIM(Raw_Claims_Data!B689)</f>
        <v>Donald Guida</v>
      </c>
      <c r="C690" t="str">
        <f>Raw_Claims_Data!C689</f>
        <v>Property</v>
      </c>
      <c r="D690">
        <f>Raw_Claims_Data!D689</f>
        <v>135.94</v>
      </c>
      <c r="E690">
        <f>Raw_Claims_Data!E689</f>
        <v>18000</v>
      </c>
      <c r="F690" t="str">
        <f>Raw_Claims_Data!F689</f>
        <v>TN</v>
      </c>
      <c r="G690" t="str">
        <f>Raw_Claims_Data!G689</f>
        <v>A</v>
      </c>
      <c r="H690" t="str">
        <f>Raw_Claims_Data!H689</f>
        <v>Major Loss</v>
      </c>
      <c r="I690" t="str">
        <f>IF(Raw_Claims_Data!I689="","None",Raw_Claims_Data!I689)</f>
        <v>Police</v>
      </c>
      <c r="J690" t="str">
        <f>Raw_Claims_Data!J689</f>
        <v>Louisville</v>
      </c>
      <c r="K690" t="str">
        <f>Raw_Claims_Data!K689</f>
        <v>KY</v>
      </c>
      <c r="L690">
        <f>Raw_Claims_Data!L689</f>
        <v>23</v>
      </c>
      <c r="M690" t="str">
        <f>IF(Raw_Claims_Data!M689="","N/A",Raw_Claims_Data!M689)</f>
        <v>VNDR00273</v>
      </c>
      <c r="N690" t="str">
        <f>Raw_Claims_Data!N689</f>
        <v>AGENT00533</v>
      </c>
      <c r="O690">
        <f>IF(Raw_Claims_Data!G689="D",1,0)</f>
        <v>0</v>
      </c>
    </row>
    <row r="691" spans="1:15" x14ac:dyDescent="0.35">
      <c r="A691" t="str">
        <f>Raw_Claims_Data!A690</f>
        <v>TXN00000687</v>
      </c>
      <c r="B691" t="str">
        <f>TRIM(Raw_Claims_Data!B690)</f>
        <v>Sadie Andrews</v>
      </c>
      <c r="C691" t="str">
        <f>Raw_Claims_Data!C690</f>
        <v>Life</v>
      </c>
      <c r="D691">
        <f>Raw_Claims_Data!D690</f>
        <v>83.45</v>
      </c>
      <c r="E691">
        <f>Raw_Claims_Data!E690</f>
        <v>25000</v>
      </c>
      <c r="F691" t="str">
        <f>Raw_Claims_Data!F690</f>
        <v>AZ</v>
      </c>
      <c r="G691" t="str">
        <f>Raw_Claims_Data!G690</f>
        <v>A</v>
      </c>
      <c r="H691" t="str">
        <f>Raw_Claims_Data!H690</f>
        <v>Major Loss</v>
      </c>
      <c r="I691" t="str">
        <f>IF(Raw_Claims_Data!I690="","None",Raw_Claims_Data!I690)</f>
        <v>Other</v>
      </c>
      <c r="J691" t="str">
        <f>Raw_Claims_Data!J690</f>
        <v>Louisville</v>
      </c>
      <c r="K691" t="str">
        <f>Raw_Claims_Data!K690</f>
        <v>KY</v>
      </c>
      <c r="L691">
        <f>Raw_Claims_Data!L690</f>
        <v>20</v>
      </c>
      <c r="M691" t="str">
        <f>IF(Raw_Claims_Data!M690="","N/A",Raw_Claims_Data!M690)</f>
        <v>VNDR00377</v>
      </c>
      <c r="N691" t="str">
        <f>Raw_Claims_Data!N690</f>
        <v>AGENT00075</v>
      </c>
      <c r="O691">
        <f>IF(Raw_Claims_Data!G690="D",1,0)</f>
        <v>0</v>
      </c>
    </row>
    <row r="692" spans="1:15" x14ac:dyDescent="0.35">
      <c r="A692" t="str">
        <f>Raw_Claims_Data!A691</f>
        <v>TXN00000688</v>
      </c>
      <c r="B692" t="str">
        <f>TRIM(Raw_Claims_Data!B691)</f>
        <v>Dewey Newell</v>
      </c>
      <c r="C692" t="str">
        <f>Raw_Claims_Data!C691</f>
        <v>Motor</v>
      </c>
      <c r="D692">
        <f>Raw_Claims_Data!D691</f>
        <v>91.03</v>
      </c>
      <c r="E692">
        <f>Raw_Claims_Data!E691</f>
        <v>10000</v>
      </c>
      <c r="F692" t="str">
        <f>Raw_Claims_Data!F691</f>
        <v>FL</v>
      </c>
      <c r="G692" t="str">
        <f>Raw_Claims_Data!G691</f>
        <v>A</v>
      </c>
      <c r="H692" t="str">
        <f>Raw_Claims_Data!H691</f>
        <v>Major Loss</v>
      </c>
      <c r="I692" t="str">
        <f>IF(Raw_Claims_Data!I691="","None",Raw_Claims_Data!I691)</f>
        <v>Ambulance</v>
      </c>
      <c r="J692" t="str">
        <f>Raw_Claims_Data!J691</f>
        <v>Washington</v>
      </c>
      <c r="K692" t="str">
        <f>Raw_Claims_Data!K691</f>
        <v>DC</v>
      </c>
      <c r="L692">
        <f>Raw_Claims_Data!L691</f>
        <v>20</v>
      </c>
      <c r="M692" t="str">
        <f>IF(Raw_Claims_Data!M691="","N/A",Raw_Claims_Data!M691)</f>
        <v>VNDR00243</v>
      </c>
      <c r="N692" t="str">
        <f>Raw_Claims_Data!N691</f>
        <v>AGENT00201</v>
      </c>
      <c r="O692">
        <f>IF(Raw_Claims_Data!G691="D",1,0)</f>
        <v>0</v>
      </c>
    </row>
    <row r="693" spans="1:15" x14ac:dyDescent="0.35">
      <c r="A693" t="str">
        <f>Raw_Claims_Data!A692</f>
        <v>TXN00000689</v>
      </c>
      <c r="B693" t="str">
        <f>TRIM(Raw_Claims_Data!B692)</f>
        <v>Alfred Ferguson</v>
      </c>
      <c r="C693" t="str">
        <f>Raw_Claims_Data!C692</f>
        <v>Travel</v>
      </c>
      <c r="D693">
        <f>Raw_Claims_Data!D692</f>
        <v>96.52</v>
      </c>
      <c r="E693">
        <f>Raw_Claims_Data!E692</f>
        <v>4000</v>
      </c>
      <c r="F693" t="str">
        <f>Raw_Claims_Data!F692</f>
        <v>KY</v>
      </c>
      <c r="G693" t="str">
        <f>Raw_Claims_Data!G692</f>
        <v>A</v>
      </c>
      <c r="H693" t="str">
        <f>Raw_Claims_Data!H692</f>
        <v>Major Loss</v>
      </c>
      <c r="I693" t="str">
        <f>IF(Raw_Claims_Data!I692="","None",Raw_Claims_Data!I692)</f>
        <v>Police</v>
      </c>
      <c r="J693" t="str">
        <f>Raw_Claims_Data!J692</f>
        <v>Whitmore</v>
      </c>
      <c r="K693" t="str">
        <f>Raw_Claims_Data!K692</f>
        <v>CA</v>
      </c>
      <c r="L693">
        <f>Raw_Claims_Data!L692</f>
        <v>3</v>
      </c>
      <c r="M693" t="str">
        <f>IF(Raw_Claims_Data!M692="","N/A",Raw_Claims_Data!M692)</f>
        <v>VNDR00425</v>
      </c>
      <c r="N693" t="str">
        <f>Raw_Claims_Data!N692</f>
        <v>AGENT00982</v>
      </c>
      <c r="O693">
        <f>IF(Raw_Claims_Data!G692="D",1,0)</f>
        <v>0</v>
      </c>
    </row>
    <row r="694" spans="1:15" x14ac:dyDescent="0.35">
      <c r="A694" t="str">
        <f>Raw_Claims_Data!A693</f>
        <v>TXN00000690</v>
      </c>
      <c r="B694" t="str">
        <f>TRIM(Raw_Claims_Data!B693)</f>
        <v>Kyle Herbert</v>
      </c>
      <c r="C694" t="str">
        <f>Raw_Claims_Data!C693</f>
        <v>Property</v>
      </c>
      <c r="D694">
        <f>Raw_Claims_Data!D693</f>
        <v>152.56</v>
      </c>
      <c r="E694">
        <f>Raw_Claims_Data!E693</f>
        <v>21000</v>
      </c>
      <c r="F694" t="str">
        <f>Raw_Claims_Data!F693</f>
        <v>GA</v>
      </c>
      <c r="G694" t="str">
        <f>Raw_Claims_Data!G693</f>
        <v>A</v>
      </c>
      <c r="H694" t="str">
        <f>Raw_Claims_Data!H693</f>
        <v>Total Loss</v>
      </c>
      <c r="I694" t="str">
        <f>IF(Raw_Claims_Data!I693="","None",Raw_Claims_Data!I693)</f>
        <v>Ambulance</v>
      </c>
      <c r="J694" t="str">
        <f>Raw_Claims_Data!J693</f>
        <v>Alameda</v>
      </c>
      <c r="K694" t="str">
        <f>Raw_Claims_Data!K693</f>
        <v>CA</v>
      </c>
      <c r="L694">
        <f>Raw_Claims_Data!L693</f>
        <v>7</v>
      </c>
      <c r="M694" t="str">
        <f>IF(Raw_Claims_Data!M693="","N/A",Raw_Claims_Data!M693)</f>
        <v>VNDR00072</v>
      </c>
      <c r="N694" t="str">
        <f>Raw_Claims_Data!N693</f>
        <v>AGENT00690</v>
      </c>
      <c r="O694">
        <f>IF(Raw_Claims_Data!G693="D",1,0)</f>
        <v>0</v>
      </c>
    </row>
    <row r="695" spans="1:15" x14ac:dyDescent="0.35">
      <c r="A695" t="str">
        <f>Raw_Claims_Data!A694</f>
        <v>TXN00000691</v>
      </c>
      <c r="B695" t="str">
        <f>TRIM(Raw_Claims_Data!B694)</f>
        <v>Chase Madden</v>
      </c>
      <c r="C695" t="str">
        <f>Raw_Claims_Data!C694</f>
        <v>Travel</v>
      </c>
      <c r="D695">
        <f>Raw_Claims_Data!D694</f>
        <v>74.13</v>
      </c>
      <c r="E695">
        <f>Raw_Claims_Data!E694</f>
        <v>1000</v>
      </c>
      <c r="F695" t="str">
        <f>Raw_Claims_Data!F694</f>
        <v>GA</v>
      </c>
      <c r="G695" t="str">
        <f>Raw_Claims_Data!G694</f>
        <v>A</v>
      </c>
      <c r="H695" t="str">
        <f>Raw_Claims_Data!H694</f>
        <v>Major Loss</v>
      </c>
      <c r="I695" t="str">
        <f>IF(Raw_Claims_Data!I694="","None",Raw_Claims_Data!I694)</f>
        <v>Police</v>
      </c>
      <c r="J695" t="str">
        <f>Raw_Claims_Data!J694</f>
        <v>Montgomery</v>
      </c>
      <c r="K695" t="str">
        <f>Raw_Claims_Data!K694</f>
        <v>AL</v>
      </c>
      <c r="L695">
        <f>Raw_Claims_Data!L694</f>
        <v>8</v>
      </c>
      <c r="M695" t="str">
        <f>IF(Raw_Claims_Data!M694="","N/A",Raw_Claims_Data!M694)</f>
        <v>N/A</v>
      </c>
      <c r="N695" t="str">
        <f>Raw_Claims_Data!N694</f>
        <v>AGENT00984</v>
      </c>
      <c r="O695">
        <f>IF(Raw_Claims_Data!G694="D",1,0)</f>
        <v>0</v>
      </c>
    </row>
    <row r="696" spans="1:15" x14ac:dyDescent="0.35">
      <c r="A696" t="str">
        <f>Raw_Claims_Data!A695</f>
        <v>TXN00000692</v>
      </c>
      <c r="B696" t="str">
        <f>TRIM(Raw_Claims_Data!B695)</f>
        <v>Jesus Clifton</v>
      </c>
      <c r="C696" t="str">
        <f>Raw_Claims_Data!C695</f>
        <v>Travel</v>
      </c>
      <c r="D696">
        <f>Raw_Claims_Data!D695</f>
        <v>74.739999999999995</v>
      </c>
      <c r="E696">
        <f>Raw_Claims_Data!E695</f>
        <v>1000</v>
      </c>
      <c r="F696" t="str">
        <f>Raw_Claims_Data!F695</f>
        <v>AZ</v>
      </c>
      <c r="G696" t="str">
        <f>Raw_Claims_Data!G695</f>
        <v>A</v>
      </c>
      <c r="H696" t="str">
        <f>Raw_Claims_Data!H695</f>
        <v>Major Loss</v>
      </c>
      <c r="I696" t="str">
        <f>IF(Raw_Claims_Data!I695="","None",Raw_Claims_Data!I695)</f>
        <v>Police</v>
      </c>
      <c r="J696" t="str">
        <f>Raw_Claims_Data!J695</f>
        <v>Montgomery</v>
      </c>
      <c r="K696" t="str">
        <f>Raw_Claims_Data!K695</f>
        <v>AL</v>
      </c>
      <c r="L696">
        <f>Raw_Claims_Data!L695</f>
        <v>5</v>
      </c>
      <c r="M696" t="str">
        <f>IF(Raw_Claims_Data!M695="","N/A",Raw_Claims_Data!M695)</f>
        <v>VNDR00402</v>
      </c>
      <c r="N696" t="str">
        <f>Raw_Claims_Data!N695</f>
        <v>AGENT00037</v>
      </c>
      <c r="O696">
        <f>IF(Raw_Claims_Data!G695="D",1,0)</f>
        <v>0</v>
      </c>
    </row>
    <row r="697" spans="1:15" x14ac:dyDescent="0.35">
      <c r="A697" t="str">
        <f>Raw_Claims_Data!A696</f>
        <v>TXN00000693</v>
      </c>
      <c r="B697" t="str">
        <f>TRIM(Raw_Claims_Data!B696)</f>
        <v>Robbin Williams</v>
      </c>
      <c r="C697" t="str">
        <f>Raw_Claims_Data!C696</f>
        <v>Life</v>
      </c>
      <c r="D697">
        <f>Raw_Claims_Data!D696</f>
        <v>98.18</v>
      </c>
      <c r="E697">
        <f>Raw_Claims_Data!E696</f>
        <v>77000</v>
      </c>
      <c r="F697" t="str">
        <f>Raw_Claims_Data!F696</f>
        <v>AZ</v>
      </c>
      <c r="G697" t="str">
        <f>Raw_Claims_Data!G696</f>
        <v>A</v>
      </c>
      <c r="H697" t="str">
        <f>Raw_Claims_Data!H696</f>
        <v>Major Loss</v>
      </c>
      <c r="I697" t="str">
        <f>IF(Raw_Claims_Data!I696="","None",Raw_Claims_Data!I696)</f>
        <v>Police</v>
      </c>
      <c r="J697" t="str">
        <f>Raw_Claims_Data!J696</f>
        <v>Glendale</v>
      </c>
      <c r="K697" t="str">
        <f>Raw_Claims_Data!K696</f>
        <v>AZ</v>
      </c>
      <c r="L697">
        <f>Raw_Claims_Data!L696</f>
        <v>16</v>
      </c>
      <c r="M697" t="str">
        <f>IF(Raw_Claims_Data!M696="","N/A",Raw_Claims_Data!M696)</f>
        <v>N/A</v>
      </c>
      <c r="N697" t="str">
        <f>Raw_Claims_Data!N696</f>
        <v>AGENT00548</v>
      </c>
      <c r="O697">
        <f>IF(Raw_Claims_Data!G696="D",1,0)</f>
        <v>0</v>
      </c>
    </row>
    <row r="698" spans="1:15" x14ac:dyDescent="0.35">
      <c r="A698" t="str">
        <f>Raw_Claims_Data!A697</f>
        <v>TXN00000694</v>
      </c>
      <c r="B698" t="str">
        <f>TRIM(Raw_Claims_Data!B697)</f>
        <v>Robert Wickes</v>
      </c>
      <c r="C698" t="str">
        <f>Raw_Claims_Data!C697</f>
        <v>Travel</v>
      </c>
      <c r="D698">
        <f>Raw_Claims_Data!D697</f>
        <v>99.39</v>
      </c>
      <c r="E698">
        <f>Raw_Claims_Data!E697</f>
        <v>3000</v>
      </c>
      <c r="F698" t="str">
        <f>Raw_Claims_Data!F697</f>
        <v>AL</v>
      </c>
      <c r="G698" t="str">
        <f>Raw_Claims_Data!G697</f>
        <v>D</v>
      </c>
      <c r="H698" t="str">
        <f>Raw_Claims_Data!H697</f>
        <v>Major Loss</v>
      </c>
      <c r="I698" t="str">
        <f>IF(Raw_Claims_Data!I697="","None",Raw_Claims_Data!I697)</f>
        <v>Police</v>
      </c>
      <c r="J698" t="str">
        <f>Raw_Claims_Data!J697</f>
        <v>Montgomery</v>
      </c>
      <c r="K698" t="str">
        <f>Raw_Claims_Data!K697</f>
        <v>AL</v>
      </c>
      <c r="L698">
        <f>Raw_Claims_Data!L697</f>
        <v>22</v>
      </c>
      <c r="M698" t="str">
        <f>IF(Raw_Claims_Data!M697="","N/A",Raw_Claims_Data!M697)</f>
        <v>N/A</v>
      </c>
      <c r="N698" t="str">
        <f>Raw_Claims_Data!N697</f>
        <v>AGENT00009</v>
      </c>
      <c r="O698">
        <f>IF(Raw_Claims_Data!G697="D",1,0)</f>
        <v>1</v>
      </c>
    </row>
    <row r="699" spans="1:15" x14ac:dyDescent="0.35">
      <c r="A699" t="str">
        <f>Raw_Claims_Data!A698</f>
        <v>TXN00000695</v>
      </c>
      <c r="B699" t="str">
        <f>TRIM(Raw_Claims_Data!B698)</f>
        <v>Anna Pepin</v>
      </c>
      <c r="C699" t="str">
        <f>Raw_Claims_Data!C698</f>
        <v>Mobile</v>
      </c>
      <c r="D699">
        <f>Raw_Claims_Data!D698</f>
        <v>6.26</v>
      </c>
      <c r="E699">
        <f>Raw_Claims_Data!E698</f>
        <v>200</v>
      </c>
      <c r="F699" t="str">
        <f>Raw_Claims_Data!F698</f>
        <v>OK</v>
      </c>
      <c r="G699" t="str">
        <f>Raw_Claims_Data!G698</f>
        <v>A</v>
      </c>
      <c r="H699" t="str">
        <f>Raw_Claims_Data!H698</f>
        <v>Minor Loss</v>
      </c>
      <c r="I699" t="str">
        <f>IF(Raw_Claims_Data!I698="","None",Raw_Claims_Data!I698)</f>
        <v>None</v>
      </c>
      <c r="J699" t="str">
        <f>Raw_Claims_Data!J698</f>
        <v>Manchester</v>
      </c>
      <c r="K699" t="str">
        <f>Raw_Claims_Data!K698</f>
        <v>CT</v>
      </c>
      <c r="L699">
        <f>Raw_Claims_Data!L698</f>
        <v>10</v>
      </c>
      <c r="M699" t="str">
        <f>IF(Raw_Claims_Data!M698="","N/A",Raw_Claims_Data!M698)</f>
        <v>VNDR00571</v>
      </c>
      <c r="N699" t="str">
        <f>Raw_Claims_Data!N698</f>
        <v>AGENT00204</v>
      </c>
      <c r="O699">
        <f>IF(Raw_Claims_Data!G698="D",1,0)</f>
        <v>0</v>
      </c>
    </row>
    <row r="700" spans="1:15" x14ac:dyDescent="0.35">
      <c r="A700" t="str">
        <f>Raw_Claims_Data!A699</f>
        <v>TXN00000696</v>
      </c>
      <c r="B700" t="str">
        <f>TRIM(Raw_Claims_Data!B699)</f>
        <v>Charles Washington</v>
      </c>
      <c r="C700" t="str">
        <f>Raw_Claims_Data!C699</f>
        <v>Life</v>
      </c>
      <c r="D700">
        <f>Raw_Claims_Data!D699</f>
        <v>62.82</v>
      </c>
      <c r="E700">
        <f>Raw_Claims_Data!E699</f>
        <v>32000</v>
      </c>
      <c r="F700" t="str">
        <f>Raw_Claims_Data!F699</f>
        <v>CO</v>
      </c>
      <c r="G700" t="str">
        <f>Raw_Claims_Data!G699</f>
        <v>A</v>
      </c>
      <c r="H700" t="str">
        <f>Raw_Claims_Data!H699</f>
        <v>Total Loss</v>
      </c>
      <c r="I700" t="str">
        <f>IF(Raw_Claims_Data!I699="","None",Raw_Claims_Data!I699)</f>
        <v>Ambulance</v>
      </c>
      <c r="J700" t="str">
        <f>Raw_Claims_Data!J699</f>
        <v>Savannah</v>
      </c>
      <c r="K700" t="str">
        <f>Raw_Claims_Data!K699</f>
        <v>GA</v>
      </c>
      <c r="L700">
        <f>Raw_Claims_Data!L699</f>
        <v>11</v>
      </c>
      <c r="M700" t="str">
        <f>IF(Raw_Claims_Data!M699="","N/A",Raw_Claims_Data!M699)</f>
        <v>VNDR00523</v>
      </c>
      <c r="N700" t="str">
        <f>Raw_Claims_Data!N699</f>
        <v>AGENT01015</v>
      </c>
      <c r="O700">
        <f>IF(Raw_Claims_Data!G699="D",1,0)</f>
        <v>0</v>
      </c>
    </row>
    <row r="701" spans="1:15" x14ac:dyDescent="0.35">
      <c r="A701" t="str">
        <f>Raw_Claims_Data!A700</f>
        <v>TXN00000697</v>
      </c>
      <c r="B701" t="str">
        <f>TRIM(Raw_Claims_Data!B700)</f>
        <v>Christopher Quezada</v>
      </c>
      <c r="C701" t="str">
        <f>Raw_Claims_Data!C700</f>
        <v>Property</v>
      </c>
      <c r="D701">
        <f>Raw_Claims_Data!D700</f>
        <v>93.07</v>
      </c>
      <c r="E701">
        <f>Raw_Claims_Data!E700</f>
        <v>36000</v>
      </c>
      <c r="F701" t="str">
        <f>Raw_Claims_Data!F700</f>
        <v>OK</v>
      </c>
      <c r="G701" t="str">
        <f>Raw_Claims_Data!G700</f>
        <v>A</v>
      </c>
      <c r="H701" t="str">
        <f>Raw_Claims_Data!H700</f>
        <v>Total Loss</v>
      </c>
      <c r="I701" t="str">
        <f>IF(Raw_Claims_Data!I700="","None",Raw_Claims_Data!I700)</f>
        <v>Police</v>
      </c>
      <c r="J701" t="str">
        <f>Raw_Claims_Data!J700</f>
        <v>Anchorage</v>
      </c>
      <c r="K701" t="str">
        <f>Raw_Claims_Data!K700</f>
        <v>AK</v>
      </c>
      <c r="L701">
        <f>Raw_Claims_Data!L700</f>
        <v>14</v>
      </c>
      <c r="M701" t="str">
        <f>IF(Raw_Claims_Data!M700="","N/A",Raw_Claims_Data!M700)</f>
        <v>VNDR00524</v>
      </c>
      <c r="N701" t="str">
        <f>Raw_Claims_Data!N700</f>
        <v>AGENT00837</v>
      </c>
      <c r="O701">
        <f>IF(Raw_Claims_Data!G700="D",1,0)</f>
        <v>0</v>
      </c>
    </row>
    <row r="702" spans="1:15" x14ac:dyDescent="0.35">
      <c r="A702" t="str">
        <f>Raw_Claims_Data!A701</f>
        <v>TXN00000698</v>
      </c>
      <c r="B702" t="str">
        <f>TRIM(Raw_Claims_Data!B701)</f>
        <v>Jacqueline Lockett</v>
      </c>
      <c r="C702" t="str">
        <f>Raw_Claims_Data!C701</f>
        <v>Motor</v>
      </c>
      <c r="D702">
        <f>Raw_Claims_Data!D701</f>
        <v>127.92</v>
      </c>
      <c r="E702">
        <f>Raw_Claims_Data!E701</f>
        <v>10000</v>
      </c>
      <c r="F702" t="str">
        <f>Raw_Claims_Data!F701</f>
        <v>CA</v>
      </c>
      <c r="G702" t="str">
        <f>Raw_Claims_Data!G701</f>
        <v>A</v>
      </c>
      <c r="H702" t="str">
        <f>Raw_Claims_Data!H701</f>
        <v>Total Loss</v>
      </c>
      <c r="I702" t="str">
        <f>IF(Raw_Claims_Data!I701="","None",Raw_Claims_Data!I701)</f>
        <v>Ambulance</v>
      </c>
      <c r="J702" t="str">
        <f>Raw_Claims_Data!J701</f>
        <v>Bakersfield</v>
      </c>
      <c r="K702" t="str">
        <f>Raw_Claims_Data!K701</f>
        <v>CA</v>
      </c>
      <c r="L702">
        <f>Raw_Claims_Data!L701</f>
        <v>8</v>
      </c>
      <c r="M702" t="str">
        <f>IF(Raw_Claims_Data!M701="","N/A",Raw_Claims_Data!M701)</f>
        <v>N/A</v>
      </c>
      <c r="N702" t="str">
        <f>Raw_Claims_Data!N701</f>
        <v>AGENT00638</v>
      </c>
      <c r="O702">
        <f>IF(Raw_Claims_Data!G701="D",1,0)</f>
        <v>0</v>
      </c>
    </row>
    <row r="703" spans="1:15" x14ac:dyDescent="0.35">
      <c r="A703" t="str">
        <f>Raw_Claims_Data!A702</f>
        <v>TXN00000699</v>
      </c>
      <c r="B703" t="str">
        <f>TRIM(Raw_Claims_Data!B702)</f>
        <v>William Maes</v>
      </c>
      <c r="C703" t="str">
        <f>Raw_Claims_Data!C702</f>
        <v>Health</v>
      </c>
      <c r="D703">
        <f>Raw_Claims_Data!D702</f>
        <v>150.43</v>
      </c>
      <c r="E703">
        <f>Raw_Claims_Data!E702</f>
        <v>16000</v>
      </c>
      <c r="F703" t="str">
        <f>Raw_Claims_Data!F702</f>
        <v>MD</v>
      </c>
      <c r="G703" t="str">
        <f>Raw_Claims_Data!G702</f>
        <v>A</v>
      </c>
      <c r="H703" t="str">
        <f>Raw_Claims_Data!H702</f>
        <v>Minor Loss</v>
      </c>
      <c r="I703" t="str">
        <f>IF(Raw_Claims_Data!I702="","None",Raw_Claims_Data!I702)</f>
        <v>Police</v>
      </c>
      <c r="J703" t="str">
        <f>Raw_Claims_Data!J702</f>
        <v>Manchester</v>
      </c>
      <c r="K703" t="str">
        <f>Raw_Claims_Data!K702</f>
        <v>CT</v>
      </c>
      <c r="L703">
        <f>Raw_Claims_Data!L702</f>
        <v>15</v>
      </c>
      <c r="M703" t="str">
        <f>IF(Raw_Claims_Data!M702="","N/A",Raw_Claims_Data!M702)</f>
        <v>N/A</v>
      </c>
      <c r="N703" t="str">
        <f>Raw_Claims_Data!N702</f>
        <v>AGENT01063</v>
      </c>
      <c r="O703">
        <f>IF(Raw_Claims_Data!G702="D",1,0)</f>
        <v>0</v>
      </c>
    </row>
    <row r="704" spans="1:15" x14ac:dyDescent="0.35">
      <c r="A704" t="str">
        <f>Raw_Claims_Data!A703</f>
        <v>TXN00000700</v>
      </c>
      <c r="B704" t="str">
        <f>TRIM(Raw_Claims_Data!B703)</f>
        <v>Dena Saylor</v>
      </c>
      <c r="C704" t="str">
        <f>Raw_Claims_Data!C703</f>
        <v>Mobile</v>
      </c>
      <c r="D704">
        <f>Raw_Claims_Data!D703</f>
        <v>7.62</v>
      </c>
      <c r="E704">
        <f>Raw_Claims_Data!E703</f>
        <v>500</v>
      </c>
      <c r="F704" t="str">
        <f>Raw_Claims_Data!F703</f>
        <v>OK</v>
      </c>
      <c r="G704" t="str">
        <f>Raw_Claims_Data!G703</f>
        <v>A</v>
      </c>
      <c r="H704" t="str">
        <f>Raw_Claims_Data!H703</f>
        <v>Total Loss</v>
      </c>
      <c r="I704" t="str">
        <f>IF(Raw_Claims_Data!I703="","None",Raw_Claims_Data!I703)</f>
        <v>Ambulance</v>
      </c>
      <c r="J704" t="str">
        <f>Raw_Claims_Data!J703</f>
        <v>Washington</v>
      </c>
      <c r="K704" t="str">
        <f>Raw_Claims_Data!K703</f>
        <v>DC</v>
      </c>
      <c r="L704">
        <f>Raw_Claims_Data!L703</f>
        <v>9</v>
      </c>
      <c r="M704" t="str">
        <f>IF(Raw_Claims_Data!M703="","N/A",Raw_Claims_Data!M703)</f>
        <v>VNDR00474</v>
      </c>
      <c r="N704" t="str">
        <f>Raw_Claims_Data!N703</f>
        <v>AGENT00721</v>
      </c>
      <c r="O704">
        <f>IF(Raw_Claims_Data!G703="D",1,0)</f>
        <v>0</v>
      </c>
    </row>
    <row r="705" spans="1:15" x14ac:dyDescent="0.35">
      <c r="A705" t="str">
        <f>Raw_Claims_Data!A704</f>
        <v>TXN00000701</v>
      </c>
      <c r="B705" t="str">
        <f>TRIM(Raw_Claims_Data!B704)</f>
        <v>Alice Gruber</v>
      </c>
      <c r="C705" t="str">
        <f>Raw_Claims_Data!C704</f>
        <v>Mobile</v>
      </c>
      <c r="D705">
        <f>Raw_Claims_Data!D704</f>
        <v>9</v>
      </c>
      <c r="E705">
        <f>Raw_Claims_Data!E704</f>
        <v>200</v>
      </c>
      <c r="F705" t="str">
        <f>Raw_Claims_Data!F704</f>
        <v>DC</v>
      </c>
      <c r="G705" t="str">
        <f>Raw_Claims_Data!G704</f>
        <v>A</v>
      </c>
      <c r="H705" t="str">
        <f>Raw_Claims_Data!H704</f>
        <v>Total Loss</v>
      </c>
      <c r="I705" t="str">
        <f>IF(Raw_Claims_Data!I704="","None",Raw_Claims_Data!I704)</f>
        <v>Ambulance</v>
      </c>
      <c r="J705" t="str">
        <f>Raw_Claims_Data!J704</f>
        <v>Anchorage</v>
      </c>
      <c r="K705" t="str">
        <f>Raw_Claims_Data!K704</f>
        <v>AK</v>
      </c>
      <c r="L705">
        <f>Raw_Claims_Data!L704</f>
        <v>15</v>
      </c>
      <c r="M705" t="str">
        <f>IF(Raw_Claims_Data!M704="","N/A",Raw_Claims_Data!M704)</f>
        <v>VNDR00164</v>
      </c>
      <c r="N705" t="str">
        <f>Raw_Claims_Data!N704</f>
        <v>AGENT00388</v>
      </c>
      <c r="O705">
        <f>IF(Raw_Claims_Data!G704="D",1,0)</f>
        <v>0</v>
      </c>
    </row>
    <row r="706" spans="1:15" x14ac:dyDescent="0.35">
      <c r="A706" t="str">
        <f>Raw_Claims_Data!A705</f>
        <v>TXN00000702</v>
      </c>
      <c r="B706" t="str">
        <f>TRIM(Raw_Claims_Data!B705)</f>
        <v>Henry Russell</v>
      </c>
      <c r="C706" t="str">
        <f>Raw_Claims_Data!C705</f>
        <v>Health</v>
      </c>
      <c r="D706">
        <f>Raw_Claims_Data!D705</f>
        <v>138.78</v>
      </c>
      <c r="E706">
        <f>Raw_Claims_Data!E705</f>
        <v>9000</v>
      </c>
      <c r="F706" t="str">
        <f>Raw_Claims_Data!F705</f>
        <v>VT</v>
      </c>
      <c r="G706" t="str">
        <f>Raw_Claims_Data!G705</f>
        <v>A</v>
      </c>
      <c r="H706" t="str">
        <f>Raw_Claims_Data!H705</f>
        <v>Minor Loss</v>
      </c>
      <c r="I706" t="str">
        <f>IF(Raw_Claims_Data!I705="","None",Raw_Claims_Data!I705)</f>
        <v>Ambulance</v>
      </c>
      <c r="J706" t="str">
        <f>Raw_Claims_Data!J705</f>
        <v>Berkeley</v>
      </c>
      <c r="K706" t="str">
        <f>Raw_Claims_Data!K705</f>
        <v>CA</v>
      </c>
      <c r="L706">
        <f>Raw_Claims_Data!L705</f>
        <v>15</v>
      </c>
      <c r="M706" t="str">
        <f>IF(Raw_Claims_Data!M705="","N/A",Raw_Claims_Data!M705)</f>
        <v>VNDR00557</v>
      </c>
      <c r="N706" t="str">
        <f>Raw_Claims_Data!N705</f>
        <v>AGENT00458</v>
      </c>
      <c r="O706">
        <f>IF(Raw_Claims_Data!G705="D",1,0)</f>
        <v>0</v>
      </c>
    </row>
    <row r="707" spans="1:15" x14ac:dyDescent="0.35">
      <c r="A707" t="str">
        <f>Raw_Claims_Data!A706</f>
        <v>TXN00000703</v>
      </c>
      <c r="B707" t="str">
        <f>TRIM(Raw_Claims_Data!B706)</f>
        <v>Jessie Stamm</v>
      </c>
      <c r="C707" t="str">
        <f>Raw_Claims_Data!C706</f>
        <v>Motor</v>
      </c>
      <c r="D707">
        <f>Raw_Claims_Data!D706</f>
        <v>133.83000000000001</v>
      </c>
      <c r="E707">
        <f>Raw_Claims_Data!E706</f>
        <v>3000</v>
      </c>
      <c r="F707" t="str">
        <f>Raw_Claims_Data!F706</f>
        <v>VT</v>
      </c>
      <c r="G707" t="str">
        <f>Raw_Claims_Data!G706</f>
        <v>A</v>
      </c>
      <c r="H707" t="str">
        <f>Raw_Claims_Data!H706</f>
        <v>Minor Loss</v>
      </c>
      <c r="I707" t="str">
        <f>IF(Raw_Claims_Data!I706="","None",Raw_Claims_Data!I706)</f>
        <v>Ambulance</v>
      </c>
      <c r="J707" t="str">
        <f>Raw_Claims_Data!J706</f>
        <v>Panama City</v>
      </c>
      <c r="K707" t="str">
        <f>Raw_Claims_Data!K706</f>
        <v>FL</v>
      </c>
      <c r="L707">
        <f>Raw_Claims_Data!L706</f>
        <v>1</v>
      </c>
      <c r="M707" t="str">
        <f>IF(Raw_Claims_Data!M706="","N/A",Raw_Claims_Data!M706)</f>
        <v>VNDR00023</v>
      </c>
      <c r="N707" t="str">
        <f>Raw_Claims_Data!N706</f>
        <v>AGENT00682</v>
      </c>
      <c r="O707">
        <f>IF(Raw_Claims_Data!G706="D",1,0)</f>
        <v>0</v>
      </c>
    </row>
    <row r="708" spans="1:15" x14ac:dyDescent="0.35">
      <c r="A708" t="str">
        <f>Raw_Claims_Data!A707</f>
        <v>TXN00000704</v>
      </c>
      <c r="B708" t="str">
        <f>TRIM(Raw_Claims_Data!B707)</f>
        <v>Carol Elliott</v>
      </c>
      <c r="C708" t="str">
        <f>Raw_Claims_Data!C707</f>
        <v>Travel</v>
      </c>
      <c r="D708">
        <f>Raw_Claims_Data!D707</f>
        <v>99.05</v>
      </c>
      <c r="E708">
        <f>Raw_Claims_Data!E707</f>
        <v>1000</v>
      </c>
      <c r="F708" t="str">
        <f>Raw_Claims_Data!F707</f>
        <v>GA</v>
      </c>
      <c r="G708" t="str">
        <f>Raw_Claims_Data!G707</f>
        <v>A</v>
      </c>
      <c r="H708" t="str">
        <f>Raw_Claims_Data!H707</f>
        <v>Major Loss</v>
      </c>
      <c r="I708" t="str">
        <f>IF(Raw_Claims_Data!I707="","None",Raw_Claims_Data!I707)</f>
        <v>None</v>
      </c>
      <c r="J708" t="str">
        <f>Raw_Claims_Data!J707</f>
        <v>Manchester</v>
      </c>
      <c r="K708" t="str">
        <f>Raw_Claims_Data!K707</f>
        <v>CT</v>
      </c>
      <c r="L708">
        <f>Raw_Claims_Data!L707</f>
        <v>2</v>
      </c>
      <c r="M708" t="str">
        <f>IF(Raw_Claims_Data!M707="","N/A",Raw_Claims_Data!M707)</f>
        <v>N/A</v>
      </c>
      <c r="N708" t="str">
        <f>Raw_Claims_Data!N707</f>
        <v>AGENT01165</v>
      </c>
      <c r="O708">
        <f>IF(Raw_Claims_Data!G707="D",1,0)</f>
        <v>0</v>
      </c>
    </row>
    <row r="709" spans="1:15" x14ac:dyDescent="0.35">
      <c r="A709" t="str">
        <f>Raw_Claims_Data!A708</f>
        <v>TXN00000705</v>
      </c>
      <c r="B709" t="str">
        <f>TRIM(Raw_Claims_Data!B708)</f>
        <v>Andria Michalski</v>
      </c>
      <c r="C709" t="str">
        <f>Raw_Claims_Data!C708</f>
        <v>Life</v>
      </c>
      <c r="D709">
        <f>Raw_Claims_Data!D708</f>
        <v>74.19</v>
      </c>
      <c r="E709">
        <f>Raw_Claims_Data!E708</f>
        <v>24000</v>
      </c>
      <c r="F709" t="str">
        <f>Raw_Claims_Data!F708</f>
        <v>AL</v>
      </c>
      <c r="G709" t="str">
        <f>Raw_Claims_Data!G708</f>
        <v>A</v>
      </c>
      <c r="H709" t="str">
        <f>Raw_Claims_Data!H708</f>
        <v>Minor Loss</v>
      </c>
      <c r="I709" t="str">
        <f>IF(Raw_Claims_Data!I708="","None",Raw_Claims_Data!I708)</f>
        <v>Police</v>
      </c>
      <c r="J709" t="str">
        <f>Raw_Claims_Data!J708</f>
        <v>Mountain Village</v>
      </c>
      <c r="K709" t="str">
        <f>Raw_Claims_Data!K708</f>
        <v>CO</v>
      </c>
      <c r="L709">
        <f>Raw_Claims_Data!L708</f>
        <v>0</v>
      </c>
      <c r="M709" t="str">
        <f>IF(Raw_Claims_Data!M708="","N/A",Raw_Claims_Data!M708)</f>
        <v>VNDR00247</v>
      </c>
      <c r="N709" t="str">
        <f>Raw_Claims_Data!N708</f>
        <v>AGENT01048</v>
      </c>
      <c r="O709">
        <f>IF(Raw_Claims_Data!G708="D",1,0)</f>
        <v>0</v>
      </c>
    </row>
    <row r="710" spans="1:15" x14ac:dyDescent="0.35">
      <c r="A710" t="str">
        <f>Raw_Claims_Data!A709</f>
        <v>TXN00000706</v>
      </c>
      <c r="B710" t="str">
        <f>TRIM(Raw_Claims_Data!B709)</f>
        <v>James Leonhardt</v>
      </c>
      <c r="C710" t="str">
        <f>Raw_Claims_Data!C709</f>
        <v>Life</v>
      </c>
      <c r="D710">
        <f>Raw_Claims_Data!D709</f>
        <v>85.33</v>
      </c>
      <c r="E710">
        <f>Raw_Claims_Data!E709</f>
        <v>54000</v>
      </c>
      <c r="F710" t="str">
        <f>Raw_Claims_Data!F709</f>
        <v>MA</v>
      </c>
      <c r="G710" t="str">
        <f>Raw_Claims_Data!G709</f>
        <v>A</v>
      </c>
      <c r="H710" t="str">
        <f>Raw_Claims_Data!H709</f>
        <v>Total Loss</v>
      </c>
      <c r="I710" t="str">
        <f>IF(Raw_Claims_Data!I709="","None",Raw_Claims_Data!I709)</f>
        <v>Police</v>
      </c>
      <c r="J710" t="str">
        <f>Raw_Claims_Data!J709</f>
        <v>Glendale</v>
      </c>
      <c r="K710" t="str">
        <f>Raw_Claims_Data!K709</f>
        <v>AZ</v>
      </c>
      <c r="L710">
        <f>Raw_Claims_Data!L709</f>
        <v>19</v>
      </c>
      <c r="M710" t="str">
        <f>IF(Raw_Claims_Data!M709="","N/A",Raw_Claims_Data!M709)</f>
        <v>VNDR00418</v>
      </c>
      <c r="N710" t="str">
        <f>Raw_Claims_Data!N709</f>
        <v>AGENT00499</v>
      </c>
      <c r="O710">
        <f>IF(Raw_Claims_Data!G709="D",1,0)</f>
        <v>0</v>
      </c>
    </row>
    <row r="711" spans="1:15" x14ac:dyDescent="0.35">
      <c r="A711" t="str">
        <f>Raw_Claims_Data!A710</f>
        <v>TXN00000707</v>
      </c>
      <c r="B711" t="str">
        <f>TRIM(Raw_Claims_Data!B710)</f>
        <v>Bradley Young</v>
      </c>
      <c r="C711" t="str">
        <f>Raw_Claims_Data!C710</f>
        <v>Travel</v>
      </c>
      <c r="D711">
        <f>Raw_Claims_Data!D710</f>
        <v>91.62</v>
      </c>
      <c r="E711">
        <f>Raw_Claims_Data!E710</f>
        <v>4000</v>
      </c>
      <c r="F711" t="str">
        <f>Raw_Claims_Data!F710</f>
        <v>GA</v>
      </c>
      <c r="G711" t="str">
        <f>Raw_Claims_Data!G710</f>
        <v>A</v>
      </c>
      <c r="H711" t="str">
        <f>Raw_Claims_Data!H710</f>
        <v>Major Loss</v>
      </c>
      <c r="I711" t="str">
        <f>IF(Raw_Claims_Data!I710="","None",Raw_Claims_Data!I710)</f>
        <v>Ambulance</v>
      </c>
      <c r="J711" t="str">
        <f>Raw_Claims_Data!J710</f>
        <v>Washington</v>
      </c>
      <c r="K711" t="str">
        <f>Raw_Claims_Data!K710</f>
        <v>DC</v>
      </c>
      <c r="L711">
        <f>Raw_Claims_Data!L710</f>
        <v>10</v>
      </c>
      <c r="M711" t="str">
        <f>IF(Raw_Claims_Data!M710="","N/A",Raw_Claims_Data!M710)</f>
        <v>VNDR00564</v>
      </c>
      <c r="N711" t="str">
        <f>Raw_Claims_Data!N710</f>
        <v>AGENT00666</v>
      </c>
      <c r="O711">
        <f>IF(Raw_Claims_Data!G710="D",1,0)</f>
        <v>0</v>
      </c>
    </row>
    <row r="712" spans="1:15" x14ac:dyDescent="0.35">
      <c r="A712" t="str">
        <f>Raw_Claims_Data!A711</f>
        <v>TXN00000708</v>
      </c>
      <c r="B712" t="str">
        <f>TRIM(Raw_Claims_Data!B711)</f>
        <v>Joseph Riddle</v>
      </c>
      <c r="C712" t="str">
        <f>Raw_Claims_Data!C711</f>
        <v>Property</v>
      </c>
      <c r="D712">
        <f>Raw_Claims_Data!D711</f>
        <v>94.46</v>
      </c>
      <c r="E712">
        <f>Raw_Claims_Data!E711</f>
        <v>24000</v>
      </c>
      <c r="F712" t="str">
        <f>Raw_Claims_Data!F711</f>
        <v>CT</v>
      </c>
      <c r="G712" t="str">
        <f>Raw_Claims_Data!G711</f>
        <v>A</v>
      </c>
      <c r="H712" t="str">
        <f>Raw_Claims_Data!H711</f>
        <v>Total Loss</v>
      </c>
      <c r="I712" t="str">
        <f>IF(Raw_Claims_Data!I711="","None",Raw_Claims_Data!I711)</f>
        <v>Police</v>
      </c>
      <c r="J712" t="str">
        <f>Raw_Claims_Data!J711</f>
        <v>Montgomery</v>
      </c>
      <c r="K712" t="str">
        <f>Raw_Claims_Data!K711</f>
        <v>AL</v>
      </c>
      <c r="L712">
        <f>Raw_Claims_Data!L711</f>
        <v>2</v>
      </c>
      <c r="M712" t="str">
        <f>IF(Raw_Claims_Data!M711="","N/A",Raw_Claims_Data!M711)</f>
        <v>N/A</v>
      </c>
      <c r="N712" t="str">
        <f>Raw_Claims_Data!N711</f>
        <v>AGENT01096</v>
      </c>
      <c r="O712">
        <f>IF(Raw_Claims_Data!G711="D",1,0)</f>
        <v>0</v>
      </c>
    </row>
    <row r="713" spans="1:15" x14ac:dyDescent="0.35">
      <c r="A713" t="str">
        <f>Raw_Claims_Data!A712</f>
        <v>TXN00000709</v>
      </c>
      <c r="B713" t="str">
        <f>TRIM(Raw_Claims_Data!B712)</f>
        <v>Alexander Mullins</v>
      </c>
      <c r="C713" t="str">
        <f>Raw_Claims_Data!C712</f>
        <v>Property</v>
      </c>
      <c r="D713">
        <f>Raw_Claims_Data!D712</f>
        <v>114.08</v>
      </c>
      <c r="E713">
        <f>Raw_Claims_Data!E712</f>
        <v>32000</v>
      </c>
      <c r="F713" t="str">
        <f>Raw_Claims_Data!F712</f>
        <v>CA</v>
      </c>
      <c r="G713" t="str">
        <f>Raw_Claims_Data!G712</f>
        <v>A</v>
      </c>
      <c r="H713" t="str">
        <f>Raw_Claims_Data!H712</f>
        <v>Minor Loss</v>
      </c>
      <c r="I713" t="str">
        <f>IF(Raw_Claims_Data!I712="","None",Raw_Claims_Data!I712)</f>
        <v>Other</v>
      </c>
      <c r="J713" t="str">
        <f>Raw_Claims_Data!J712</f>
        <v>Hayward</v>
      </c>
      <c r="K713" t="str">
        <f>Raw_Claims_Data!K712</f>
        <v>CA</v>
      </c>
      <c r="L713">
        <f>Raw_Claims_Data!L712</f>
        <v>5</v>
      </c>
      <c r="M713" t="str">
        <f>IF(Raw_Claims_Data!M712="","N/A",Raw_Claims_Data!M712)</f>
        <v>VNDR00008</v>
      </c>
      <c r="N713" t="str">
        <f>Raw_Claims_Data!N712</f>
        <v>AGENT01042</v>
      </c>
      <c r="O713">
        <f>IF(Raw_Claims_Data!G712="D",1,0)</f>
        <v>0</v>
      </c>
    </row>
    <row r="714" spans="1:15" x14ac:dyDescent="0.35">
      <c r="A714" t="str">
        <f>Raw_Claims_Data!A713</f>
        <v>TXN00000710</v>
      </c>
      <c r="B714" t="str">
        <f>TRIM(Raw_Claims_Data!B713)</f>
        <v>Joel Leister</v>
      </c>
      <c r="C714" t="str">
        <f>Raw_Claims_Data!C713</f>
        <v>Mobile</v>
      </c>
      <c r="D714">
        <f>Raw_Claims_Data!D713</f>
        <v>8.9499999999999993</v>
      </c>
      <c r="E714">
        <f>Raw_Claims_Data!E713</f>
        <v>400</v>
      </c>
      <c r="F714" t="str">
        <f>Raw_Claims_Data!F713</f>
        <v>AZ</v>
      </c>
      <c r="G714" t="str">
        <f>Raw_Claims_Data!G713</f>
        <v>A</v>
      </c>
      <c r="H714" t="str">
        <f>Raw_Claims_Data!H713</f>
        <v>Total Loss</v>
      </c>
      <c r="I714" t="str">
        <f>IF(Raw_Claims_Data!I713="","None",Raw_Claims_Data!I713)</f>
        <v>None</v>
      </c>
      <c r="J714" t="str">
        <f>Raw_Claims_Data!J713</f>
        <v>Sebastopol</v>
      </c>
      <c r="K714" t="str">
        <f>Raw_Claims_Data!K713</f>
        <v>CA</v>
      </c>
      <c r="L714">
        <f>Raw_Claims_Data!L713</f>
        <v>10</v>
      </c>
      <c r="M714" t="str">
        <f>IF(Raw_Claims_Data!M713="","N/A",Raw_Claims_Data!M713)</f>
        <v>VNDR00187</v>
      </c>
      <c r="N714" t="str">
        <f>Raw_Claims_Data!N713</f>
        <v>AGENT00224</v>
      </c>
      <c r="O714">
        <f>IF(Raw_Claims_Data!G713="D",1,0)</f>
        <v>0</v>
      </c>
    </row>
    <row r="715" spans="1:15" x14ac:dyDescent="0.35">
      <c r="A715" t="str">
        <f>Raw_Claims_Data!A714</f>
        <v>TXN00000711</v>
      </c>
      <c r="B715" t="str">
        <f>TRIM(Raw_Claims_Data!B714)</f>
        <v>Terry Lohman</v>
      </c>
      <c r="C715" t="str">
        <f>Raw_Claims_Data!C714</f>
        <v>Health</v>
      </c>
      <c r="D715">
        <f>Raw_Claims_Data!D714</f>
        <v>118.46</v>
      </c>
      <c r="E715">
        <f>Raw_Claims_Data!E714</f>
        <v>12000</v>
      </c>
      <c r="F715" t="str">
        <f>Raw_Claims_Data!F714</f>
        <v>CA</v>
      </c>
      <c r="G715" t="str">
        <f>Raw_Claims_Data!G714</f>
        <v>A</v>
      </c>
      <c r="H715" t="str">
        <f>Raw_Claims_Data!H714</f>
        <v>Minor Loss</v>
      </c>
      <c r="I715" t="str">
        <f>IF(Raw_Claims_Data!I714="","None",Raw_Claims_Data!I714)</f>
        <v>Ambulance</v>
      </c>
      <c r="J715" t="str">
        <f>Raw_Claims_Data!J714</f>
        <v>Berkeley</v>
      </c>
      <c r="K715" t="str">
        <f>Raw_Claims_Data!K714</f>
        <v>CA</v>
      </c>
      <c r="L715">
        <f>Raw_Claims_Data!L714</f>
        <v>23</v>
      </c>
      <c r="M715" t="str">
        <f>IF(Raw_Claims_Data!M714="","N/A",Raw_Claims_Data!M714)</f>
        <v>N/A</v>
      </c>
      <c r="N715" t="str">
        <f>Raw_Claims_Data!N714</f>
        <v>AGENT01107</v>
      </c>
      <c r="O715">
        <f>IF(Raw_Claims_Data!G714="D",1,0)</f>
        <v>0</v>
      </c>
    </row>
    <row r="716" spans="1:15" x14ac:dyDescent="0.35">
      <c r="A716" t="str">
        <f>Raw_Claims_Data!A715</f>
        <v>TXN00000712</v>
      </c>
      <c r="B716" t="str">
        <f>TRIM(Raw_Claims_Data!B715)</f>
        <v>Omar Keithly</v>
      </c>
      <c r="C716" t="str">
        <f>Raw_Claims_Data!C715</f>
        <v>Life</v>
      </c>
      <c r="D716">
        <f>Raw_Claims_Data!D715</f>
        <v>99.13</v>
      </c>
      <c r="E716">
        <f>Raw_Claims_Data!E715</f>
        <v>87000</v>
      </c>
      <c r="F716" t="str">
        <f>Raw_Claims_Data!F715</f>
        <v>CT</v>
      </c>
      <c r="G716" t="str">
        <f>Raw_Claims_Data!G715</f>
        <v>D</v>
      </c>
      <c r="H716" t="str">
        <f>Raw_Claims_Data!H715</f>
        <v>Total Loss</v>
      </c>
      <c r="I716" t="str">
        <f>IF(Raw_Claims_Data!I715="","None",Raw_Claims_Data!I715)</f>
        <v>Ambulance</v>
      </c>
      <c r="J716" t="str">
        <f>Raw_Claims_Data!J715</f>
        <v>Panama City</v>
      </c>
      <c r="K716" t="str">
        <f>Raw_Claims_Data!K715</f>
        <v>FL</v>
      </c>
      <c r="L716">
        <f>Raw_Claims_Data!L715</f>
        <v>14</v>
      </c>
      <c r="M716" t="str">
        <f>IF(Raw_Claims_Data!M715="","N/A",Raw_Claims_Data!M715)</f>
        <v>VNDR00248</v>
      </c>
      <c r="N716" t="str">
        <f>Raw_Claims_Data!N715</f>
        <v>AGENT01075</v>
      </c>
      <c r="O716">
        <f>IF(Raw_Claims_Data!G715="D",1,0)</f>
        <v>1</v>
      </c>
    </row>
    <row r="717" spans="1:15" x14ac:dyDescent="0.35">
      <c r="A717" t="str">
        <f>Raw_Claims_Data!A716</f>
        <v>TXN00000713</v>
      </c>
      <c r="B717" t="str">
        <f>TRIM(Raw_Claims_Data!B716)</f>
        <v>Mary Jones</v>
      </c>
      <c r="C717" t="str">
        <f>Raw_Claims_Data!C716</f>
        <v>Property</v>
      </c>
      <c r="D717">
        <f>Raw_Claims_Data!D716</f>
        <v>149.05000000000001</v>
      </c>
      <c r="E717">
        <f>Raw_Claims_Data!E716</f>
        <v>20000</v>
      </c>
      <c r="F717" t="str">
        <f>Raw_Claims_Data!F716</f>
        <v>MA</v>
      </c>
      <c r="G717" t="str">
        <f>Raw_Claims_Data!G716</f>
        <v>A</v>
      </c>
      <c r="H717" t="str">
        <f>Raw_Claims_Data!H716</f>
        <v>Minor Loss</v>
      </c>
      <c r="I717" t="str">
        <f>IF(Raw_Claims_Data!I716="","None",Raw_Claims_Data!I716)</f>
        <v>Ambulance</v>
      </c>
      <c r="J717" t="str">
        <f>Raw_Claims_Data!J716</f>
        <v>Washington</v>
      </c>
      <c r="K717" t="str">
        <f>Raw_Claims_Data!K716</f>
        <v>DC</v>
      </c>
      <c r="L717">
        <f>Raw_Claims_Data!L716</f>
        <v>13</v>
      </c>
      <c r="M717" t="str">
        <f>IF(Raw_Claims_Data!M716="","N/A",Raw_Claims_Data!M716)</f>
        <v>VNDR00523</v>
      </c>
      <c r="N717" t="str">
        <f>Raw_Claims_Data!N716</f>
        <v>AGENT00918</v>
      </c>
      <c r="O717">
        <f>IF(Raw_Claims_Data!G716="D",1,0)</f>
        <v>0</v>
      </c>
    </row>
    <row r="718" spans="1:15" x14ac:dyDescent="0.35">
      <c r="A718" t="str">
        <f>Raw_Claims_Data!A717</f>
        <v>TXN00000714</v>
      </c>
      <c r="B718" t="str">
        <f>TRIM(Raw_Claims_Data!B717)</f>
        <v>Gladys Mellott</v>
      </c>
      <c r="C718" t="str">
        <f>Raw_Claims_Data!C717</f>
        <v>Mobile</v>
      </c>
      <c r="D718">
        <f>Raw_Claims_Data!D717</f>
        <v>9.82</v>
      </c>
      <c r="E718">
        <f>Raw_Claims_Data!E717</f>
        <v>200</v>
      </c>
      <c r="F718" t="str">
        <f>Raw_Claims_Data!F717</f>
        <v>CA</v>
      </c>
      <c r="G718" t="str">
        <f>Raw_Claims_Data!G717</f>
        <v>A</v>
      </c>
      <c r="H718" t="str">
        <f>Raw_Claims_Data!H717</f>
        <v>Minor Loss</v>
      </c>
      <c r="I718" t="str">
        <f>IF(Raw_Claims_Data!I717="","None",Raw_Claims_Data!I717)</f>
        <v>Ambulance</v>
      </c>
      <c r="J718" t="str">
        <f>Raw_Claims_Data!J717</f>
        <v>Anchorage</v>
      </c>
      <c r="K718" t="str">
        <f>Raw_Claims_Data!K717</f>
        <v>AK</v>
      </c>
      <c r="L718">
        <f>Raw_Claims_Data!L717</f>
        <v>11</v>
      </c>
      <c r="M718" t="str">
        <f>IF(Raw_Claims_Data!M717="","N/A",Raw_Claims_Data!M717)</f>
        <v>N/A</v>
      </c>
      <c r="N718" t="str">
        <f>Raw_Claims_Data!N717</f>
        <v>AGENT01148</v>
      </c>
      <c r="O718">
        <f>IF(Raw_Claims_Data!G717="D",1,0)</f>
        <v>0</v>
      </c>
    </row>
    <row r="719" spans="1:15" x14ac:dyDescent="0.35">
      <c r="A719" t="str">
        <f>Raw_Claims_Data!A718</f>
        <v>TXN00000715</v>
      </c>
      <c r="B719" t="str">
        <f>TRIM(Raw_Claims_Data!B718)</f>
        <v>Justin Mula</v>
      </c>
      <c r="C719" t="str">
        <f>Raw_Claims_Data!C718</f>
        <v>Motor</v>
      </c>
      <c r="D719">
        <f>Raw_Claims_Data!D718</f>
        <v>72.260000000000005</v>
      </c>
      <c r="E719">
        <f>Raw_Claims_Data!E718</f>
        <v>9000</v>
      </c>
      <c r="F719" t="str">
        <f>Raw_Claims_Data!F718</f>
        <v>CT</v>
      </c>
      <c r="G719" t="str">
        <f>Raw_Claims_Data!G718</f>
        <v>A</v>
      </c>
      <c r="H719" t="str">
        <f>Raw_Claims_Data!H718</f>
        <v>Major Loss</v>
      </c>
      <c r="I719" t="str">
        <f>IF(Raw_Claims_Data!I718="","None",Raw_Claims_Data!I718)</f>
        <v>Ambulance</v>
      </c>
      <c r="J719" t="str">
        <f>Raw_Claims_Data!J718</f>
        <v>Glen Burnie</v>
      </c>
      <c r="K719" t="str">
        <f>Raw_Claims_Data!K718</f>
        <v>MD</v>
      </c>
      <c r="L719">
        <f>Raw_Claims_Data!L718</f>
        <v>10</v>
      </c>
      <c r="M719" t="str">
        <f>IF(Raw_Claims_Data!M718="","N/A",Raw_Claims_Data!M718)</f>
        <v>VNDR00255</v>
      </c>
      <c r="N719" t="str">
        <f>Raw_Claims_Data!N718</f>
        <v>AGENT00753</v>
      </c>
      <c r="O719">
        <f>IF(Raw_Claims_Data!G718="D",1,0)</f>
        <v>0</v>
      </c>
    </row>
    <row r="720" spans="1:15" x14ac:dyDescent="0.35">
      <c r="A720" t="str">
        <f>Raw_Claims_Data!A719</f>
        <v>TXN00000716</v>
      </c>
      <c r="B720" t="str">
        <f>TRIM(Raw_Claims_Data!B719)</f>
        <v>Bobby Ward</v>
      </c>
      <c r="C720" t="str">
        <f>Raw_Claims_Data!C719</f>
        <v>Property</v>
      </c>
      <c r="D720">
        <f>Raw_Claims_Data!D719</f>
        <v>109.53</v>
      </c>
      <c r="E720">
        <f>Raw_Claims_Data!E719</f>
        <v>24000</v>
      </c>
      <c r="F720" t="str">
        <f>Raw_Claims_Data!F719</f>
        <v>AL</v>
      </c>
      <c r="G720" t="str">
        <f>Raw_Claims_Data!G719</f>
        <v>A</v>
      </c>
      <c r="H720" t="str">
        <f>Raw_Claims_Data!H719</f>
        <v>Major Loss</v>
      </c>
      <c r="I720" t="str">
        <f>IF(Raw_Claims_Data!I719="","None",Raw_Claims_Data!I719)</f>
        <v>Ambulance</v>
      </c>
      <c r="J720" t="str">
        <f>Raw_Claims_Data!J719</f>
        <v>Port Charlotte</v>
      </c>
      <c r="K720" t="str">
        <f>Raw_Claims_Data!K719</f>
        <v>FL</v>
      </c>
      <c r="L720">
        <f>Raw_Claims_Data!L719</f>
        <v>9</v>
      </c>
      <c r="M720" t="str">
        <f>IF(Raw_Claims_Data!M719="","N/A",Raw_Claims_Data!M719)</f>
        <v>VNDR00316</v>
      </c>
      <c r="N720" t="str">
        <f>Raw_Claims_Data!N719</f>
        <v>AGENT00740</v>
      </c>
      <c r="O720">
        <f>IF(Raw_Claims_Data!G719="D",1,0)</f>
        <v>0</v>
      </c>
    </row>
    <row r="721" spans="1:15" x14ac:dyDescent="0.35">
      <c r="A721" t="str">
        <f>Raw_Claims_Data!A720</f>
        <v>TXN00000717</v>
      </c>
      <c r="B721" t="str">
        <f>TRIM(Raw_Claims_Data!B720)</f>
        <v>Jaime Cramer</v>
      </c>
      <c r="C721" t="str">
        <f>Raw_Claims_Data!C720</f>
        <v>Health</v>
      </c>
      <c r="D721">
        <f>Raw_Claims_Data!D720</f>
        <v>121.54</v>
      </c>
      <c r="E721">
        <f>Raw_Claims_Data!E720</f>
        <v>20000</v>
      </c>
      <c r="F721" t="str">
        <f>Raw_Claims_Data!F720</f>
        <v>GA</v>
      </c>
      <c r="G721" t="str">
        <f>Raw_Claims_Data!G720</f>
        <v>A</v>
      </c>
      <c r="H721" t="str">
        <f>Raw_Claims_Data!H720</f>
        <v>Total Loss</v>
      </c>
      <c r="I721" t="str">
        <f>IF(Raw_Claims_Data!I720="","None",Raw_Claims_Data!I720)</f>
        <v>Police</v>
      </c>
      <c r="J721" t="str">
        <f>Raw_Claims_Data!J720</f>
        <v>Panama City</v>
      </c>
      <c r="K721" t="str">
        <f>Raw_Claims_Data!K720</f>
        <v>FL</v>
      </c>
      <c r="L721">
        <f>Raw_Claims_Data!L720</f>
        <v>1</v>
      </c>
      <c r="M721" t="str">
        <f>IF(Raw_Claims_Data!M720="","N/A",Raw_Claims_Data!M720)</f>
        <v>N/A</v>
      </c>
      <c r="N721" t="str">
        <f>Raw_Claims_Data!N720</f>
        <v>AGENT00348</v>
      </c>
      <c r="O721">
        <f>IF(Raw_Claims_Data!G720="D",1,0)</f>
        <v>0</v>
      </c>
    </row>
    <row r="722" spans="1:15" x14ac:dyDescent="0.35">
      <c r="A722" t="str">
        <f>Raw_Claims_Data!A721</f>
        <v>TXN00000718</v>
      </c>
      <c r="B722" t="str">
        <f>TRIM(Raw_Claims_Data!B721)</f>
        <v>Walter Ruiz</v>
      </c>
      <c r="C722" t="str">
        <f>Raw_Claims_Data!C721</f>
        <v>Life</v>
      </c>
      <c r="D722">
        <f>Raw_Claims_Data!D721</f>
        <v>75.88</v>
      </c>
      <c r="E722">
        <f>Raw_Claims_Data!E721</f>
        <v>95000</v>
      </c>
      <c r="F722" t="str">
        <f>Raw_Claims_Data!F721</f>
        <v>VT</v>
      </c>
      <c r="G722" t="str">
        <f>Raw_Claims_Data!G721</f>
        <v>A</v>
      </c>
      <c r="H722" t="str">
        <f>Raw_Claims_Data!H721</f>
        <v>Minor Loss</v>
      </c>
      <c r="I722" t="str">
        <f>IF(Raw_Claims_Data!I721="","None",Raw_Claims_Data!I721)</f>
        <v>Ambulance</v>
      </c>
      <c r="J722" t="str">
        <f>Raw_Claims_Data!J721</f>
        <v>Arnold</v>
      </c>
      <c r="K722" t="str">
        <f>Raw_Claims_Data!K721</f>
        <v>MD</v>
      </c>
      <c r="L722">
        <f>Raw_Claims_Data!L721</f>
        <v>19</v>
      </c>
      <c r="M722" t="str">
        <f>IF(Raw_Claims_Data!M721="","N/A",Raw_Claims_Data!M721)</f>
        <v>VNDR00123</v>
      </c>
      <c r="N722" t="str">
        <f>Raw_Claims_Data!N721</f>
        <v>AGENT00598</v>
      </c>
      <c r="O722">
        <f>IF(Raw_Claims_Data!G721="D",1,0)</f>
        <v>0</v>
      </c>
    </row>
    <row r="723" spans="1:15" x14ac:dyDescent="0.35">
      <c r="A723" t="str">
        <f>Raw_Claims_Data!A722</f>
        <v>TXN00000719</v>
      </c>
      <c r="B723" t="str">
        <f>TRIM(Raw_Claims_Data!B722)</f>
        <v>Dennis Spurlock</v>
      </c>
      <c r="C723" t="str">
        <f>Raw_Claims_Data!C722</f>
        <v>Motor</v>
      </c>
      <c r="D723">
        <f>Raw_Claims_Data!D722</f>
        <v>80.48</v>
      </c>
      <c r="E723">
        <f>Raw_Claims_Data!E722</f>
        <v>2000</v>
      </c>
      <c r="F723" t="str">
        <f>Raw_Claims_Data!F722</f>
        <v>MD</v>
      </c>
      <c r="G723" t="str">
        <f>Raw_Claims_Data!G722</f>
        <v>A</v>
      </c>
      <c r="H723" t="str">
        <f>Raw_Claims_Data!H722</f>
        <v>Major Loss</v>
      </c>
      <c r="I723" t="str">
        <f>IF(Raw_Claims_Data!I722="","None",Raw_Claims_Data!I722)</f>
        <v>None</v>
      </c>
      <c r="J723" t="str">
        <f>Raw_Claims_Data!J722</f>
        <v>Woodford</v>
      </c>
      <c r="K723" t="str">
        <f>Raw_Claims_Data!K722</f>
        <v>VT</v>
      </c>
      <c r="L723">
        <f>Raw_Claims_Data!L722</f>
        <v>11</v>
      </c>
      <c r="M723" t="str">
        <f>IF(Raw_Claims_Data!M722="","N/A",Raw_Claims_Data!M722)</f>
        <v>VNDR00545</v>
      </c>
      <c r="N723" t="str">
        <f>Raw_Claims_Data!N722</f>
        <v>AGENT01052</v>
      </c>
      <c r="O723">
        <f>IF(Raw_Claims_Data!G722="D",1,0)</f>
        <v>0</v>
      </c>
    </row>
    <row r="724" spans="1:15" x14ac:dyDescent="0.35">
      <c r="A724" t="str">
        <f>Raw_Claims_Data!A723</f>
        <v>TXN00000720</v>
      </c>
      <c r="B724" t="str">
        <f>TRIM(Raw_Claims_Data!B723)</f>
        <v>Neal Whitson</v>
      </c>
      <c r="C724" t="str">
        <f>Raw_Claims_Data!C723</f>
        <v>Health</v>
      </c>
      <c r="D724">
        <f>Raw_Claims_Data!D723</f>
        <v>183.15</v>
      </c>
      <c r="E724">
        <f>Raw_Claims_Data!E723</f>
        <v>18000</v>
      </c>
      <c r="F724" t="str">
        <f>Raw_Claims_Data!F723</f>
        <v>KY</v>
      </c>
      <c r="G724" t="str">
        <f>Raw_Claims_Data!G723</f>
        <v>D</v>
      </c>
      <c r="H724" t="str">
        <f>Raw_Claims_Data!H723</f>
        <v>Major Loss</v>
      </c>
      <c r="I724" t="str">
        <f>IF(Raw_Claims_Data!I723="","None",Raw_Claims_Data!I723)</f>
        <v>None</v>
      </c>
      <c r="J724" t="str">
        <f>Raw_Claims_Data!J723</f>
        <v>Barre</v>
      </c>
      <c r="K724" t="str">
        <f>Raw_Claims_Data!K723</f>
        <v>VT</v>
      </c>
      <c r="L724">
        <f>Raw_Claims_Data!L723</f>
        <v>19</v>
      </c>
      <c r="M724" t="str">
        <f>IF(Raw_Claims_Data!M723="","N/A",Raw_Claims_Data!M723)</f>
        <v>N/A</v>
      </c>
      <c r="N724" t="str">
        <f>Raw_Claims_Data!N723</f>
        <v>AGENT00131</v>
      </c>
      <c r="O724">
        <f>IF(Raw_Claims_Data!G723="D",1,0)</f>
        <v>1</v>
      </c>
    </row>
    <row r="725" spans="1:15" x14ac:dyDescent="0.35">
      <c r="A725" t="str">
        <f>Raw_Claims_Data!A724</f>
        <v>TXN00000721</v>
      </c>
      <c r="B725" t="str">
        <f>TRIM(Raw_Claims_Data!B724)</f>
        <v>Vanessa Schultz</v>
      </c>
      <c r="C725" t="str">
        <f>Raw_Claims_Data!C724</f>
        <v>Travel</v>
      </c>
      <c r="D725">
        <f>Raw_Claims_Data!D724</f>
        <v>70.989999999999995</v>
      </c>
      <c r="E725">
        <f>Raw_Claims_Data!E724</f>
        <v>3000</v>
      </c>
      <c r="F725" t="str">
        <f>Raw_Claims_Data!F724</f>
        <v>TN</v>
      </c>
      <c r="G725" t="str">
        <f>Raw_Claims_Data!G724</f>
        <v>A</v>
      </c>
      <c r="H725" t="str">
        <f>Raw_Claims_Data!H724</f>
        <v>Minor Loss</v>
      </c>
      <c r="I725" t="str">
        <f>IF(Raw_Claims_Data!I724="","None",Raw_Claims_Data!I724)</f>
        <v>Police</v>
      </c>
      <c r="J725" t="str">
        <f>Raw_Claims_Data!J724</f>
        <v>Alameda</v>
      </c>
      <c r="K725" t="str">
        <f>Raw_Claims_Data!K724</f>
        <v>CA</v>
      </c>
      <c r="L725">
        <f>Raw_Claims_Data!L724</f>
        <v>6</v>
      </c>
      <c r="M725" t="str">
        <f>IF(Raw_Claims_Data!M724="","N/A",Raw_Claims_Data!M724)</f>
        <v>VNDR00187</v>
      </c>
      <c r="N725" t="str">
        <f>Raw_Claims_Data!N724</f>
        <v>AGENT00920</v>
      </c>
      <c r="O725">
        <f>IF(Raw_Claims_Data!G724="D",1,0)</f>
        <v>0</v>
      </c>
    </row>
    <row r="726" spans="1:15" x14ac:dyDescent="0.35">
      <c r="A726" t="str">
        <f>Raw_Claims_Data!A725</f>
        <v>TXN00000722</v>
      </c>
      <c r="B726" t="str">
        <f>TRIM(Raw_Claims_Data!B725)</f>
        <v>Justin Taveras</v>
      </c>
      <c r="C726" t="str">
        <f>Raw_Claims_Data!C725</f>
        <v>Travel</v>
      </c>
      <c r="D726">
        <f>Raw_Claims_Data!D725</f>
        <v>59.45</v>
      </c>
      <c r="E726">
        <f>Raw_Claims_Data!E725</f>
        <v>4000</v>
      </c>
      <c r="F726" t="str">
        <f>Raw_Claims_Data!F725</f>
        <v>GA</v>
      </c>
      <c r="G726" t="str">
        <f>Raw_Claims_Data!G725</f>
        <v>A</v>
      </c>
      <c r="H726" t="str">
        <f>Raw_Claims_Data!H725</f>
        <v>Minor Loss</v>
      </c>
      <c r="I726" t="str">
        <f>IF(Raw_Claims_Data!I725="","None",Raw_Claims_Data!I725)</f>
        <v>Police</v>
      </c>
      <c r="J726" t="str">
        <f>Raw_Claims_Data!J725</f>
        <v>Hayward</v>
      </c>
      <c r="K726" t="str">
        <f>Raw_Claims_Data!K725</f>
        <v>CA</v>
      </c>
      <c r="L726">
        <f>Raw_Claims_Data!L725</f>
        <v>22</v>
      </c>
      <c r="M726" t="str">
        <f>IF(Raw_Claims_Data!M725="","N/A",Raw_Claims_Data!M725)</f>
        <v>VNDR00324</v>
      </c>
      <c r="N726" t="str">
        <f>Raw_Claims_Data!N725</f>
        <v>AGENT00506</v>
      </c>
      <c r="O726">
        <f>IF(Raw_Claims_Data!G725="D",1,0)</f>
        <v>0</v>
      </c>
    </row>
    <row r="727" spans="1:15" x14ac:dyDescent="0.35">
      <c r="A727" t="str">
        <f>Raw_Claims_Data!A726</f>
        <v>TXN00000723</v>
      </c>
      <c r="B727" t="str">
        <f>TRIM(Raw_Claims_Data!B726)</f>
        <v>Eddie Santana</v>
      </c>
      <c r="C727" t="str">
        <f>Raw_Claims_Data!C726</f>
        <v>Property</v>
      </c>
      <c r="D727">
        <f>Raw_Claims_Data!D726</f>
        <v>101.07</v>
      </c>
      <c r="E727">
        <f>Raw_Claims_Data!E726</f>
        <v>28000</v>
      </c>
      <c r="F727" t="str">
        <f>Raw_Claims_Data!F726</f>
        <v>FL</v>
      </c>
      <c r="G727" t="str">
        <f>Raw_Claims_Data!G726</f>
        <v>A</v>
      </c>
      <c r="H727" t="str">
        <f>Raw_Claims_Data!H726</f>
        <v>Total Loss</v>
      </c>
      <c r="I727" t="str">
        <f>IF(Raw_Claims_Data!I726="","None",Raw_Claims_Data!I726)</f>
        <v>Other</v>
      </c>
      <c r="J727" t="str">
        <f>Raw_Claims_Data!J726</f>
        <v>Nashville</v>
      </c>
      <c r="K727" t="str">
        <f>Raw_Claims_Data!K726</f>
        <v>TN</v>
      </c>
      <c r="L727">
        <f>Raw_Claims_Data!L726</f>
        <v>16</v>
      </c>
      <c r="M727" t="str">
        <f>IF(Raw_Claims_Data!M726="","N/A",Raw_Claims_Data!M726)</f>
        <v>VNDR00193</v>
      </c>
      <c r="N727" t="str">
        <f>Raw_Claims_Data!N726</f>
        <v>AGENT00528</v>
      </c>
      <c r="O727">
        <f>IF(Raw_Claims_Data!G726="D",1,0)</f>
        <v>0</v>
      </c>
    </row>
    <row r="728" spans="1:15" x14ac:dyDescent="0.35">
      <c r="A728" t="str">
        <f>Raw_Claims_Data!A727</f>
        <v>TXN00000724</v>
      </c>
      <c r="B728" t="str">
        <f>TRIM(Raw_Claims_Data!B727)</f>
        <v>Gerald Conway</v>
      </c>
      <c r="C728" t="str">
        <f>Raw_Claims_Data!C727</f>
        <v>Motor</v>
      </c>
      <c r="D728">
        <f>Raw_Claims_Data!D727</f>
        <v>94.8</v>
      </c>
      <c r="E728">
        <f>Raw_Claims_Data!E727</f>
        <v>6000</v>
      </c>
      <c r="F728" t="str">
        <f>Raw_Claims_Data!F727</f>
        <v>CO</v>
      </c>
      <c r="G728" t="str">
        <f>Raw_Claims_Data!G727</f>
        <v>A</v>
      </c>
      <c r="H728" t="str">
        <f>Raw_Claims_Data!H727</f>
        <v>Total Loss</v>
      </c>
      <c r="I728" t="str">
        <f>IF(Raw_Claims_Data!I727="","None",Raw_Claims_Data!I727)</f>
        <v>None</v>
      </c>
      <c r="J728" t="str">
        <f>Raw_Claims_Data!J727</f>
        <v>Nashville</v>
      </c>
      <c r="K728" t="str">
        <f>Raw_Claims_Data!K727</f>
        <v>TN</v>
      </c>
      <c r="L728">
        <f>Raw_Claims_Data!L727</f>
        <v>22</v>
      </c>
      <c r="M728" t="str">
        <f>IF(Raw_Claims_Data!M727="","N/A",Raw_Claims_Data!M727)</f>
        <v>VNDR00039</v>
      </c>
      <c r="N728" t="str">
        <f>Raw_Claims_Data!N727</f>
        <v>AGENT00247</v>
      </c>
      <c r="O728">
        <f>IF(Raw_Claims_Data!G727="D",1,0)</f>
        <v>0</v>
      </c>
    </row>
    <row r="729" spans="1:15" x14ac:dyDescent="0.35">
      <c r="A729" t="str">
        <f>Raw_Claims_Data!A728</f>
        <v>TXN00000725</v>
      </c>
      <c r="B729" t="str">
        <f>TRIM(Raw_Claims_Data!B728)</f>
        <v>Gertrude Chew</v>
      </c>
      <c r="C729" t="str">
        <f>Raw_Claims_Data!C728</f>
        <v>Motor</v>
      </c>
      <c r="D729">
        <f>Raw_Claims_Data!D728</f>
        <v>82.03</v>
      </c>
      <c r="E729">
        <f>Raw_Claims_Data!E728</f>
        <v>6000</v>
      </c>
      <c r="F729" t="str">
        <f>Raw_Claims_Data!F728</f>
        <v>FL</v>
      </c>
      <c r="G729" t="str">
        <f>Raw_Claims_Data!G728</f>
        <v>A</v>
      </c>
      <c r="H729" t="str">
        <f>Raw_Claims_Data!H728</f>
        <v>Major Loss</v>
      </c>
      <c r="I729" t="str">
        <f>IF(Raw_Claims_Data!I728="","None",Raw_Claims_Data!I728)</f>
        <v>Police</v>
      </c>
      <c r="J729" t="str">
        <f>Raw_Claims_Data!J728</f>
        <v>Panama City</v>
      </c>
      <c r="K729" t="str">
        <f>Raw_Claims_Data!K728</f>
        <v>FL</v>
      </c>
      <c r="L729">
        <f>Raw_Claims_Data!L728</f>
        <v>9</v>
      </c>
      <c r="M729" t="str">
        <f>IF(Raw_Claims_Data!M728="","N/A",Raw_Claims_Data!M728)</f>
        <v>VNDR00462</v>
      </c>
      <c r="N729" t="str">
        <f>Raw_Claims_Data!N728</f>
        <v>AGENT00427</v>
      </c>
      <c r="O729">
        <f>IF(Raw_Claims_Data!G728="D",1,0)</f>
        <v>0</v>
      </c>
    </row>
    <row r="730" spans="1:15" x14ac:dyDescent="0.35">
      <c r="A730" t="str">
        <f>Raw_Claims_Data!A729</f>
        <v>TXN00000726</v>
      </c>
      <c r="B730" t="str">
        <f>TRIM(Raw_Claims_Data!B729)</f>
        <v>Marvin Scherrer</v>
      </c>
      <c r="C730" t="str">
        <f>Raw_Claims_Data!C729</f>
        <v>Travel</v>
      </c>
      <c r="D730">
        <f>Raw_Claims_Data!D729</f>
        <v>58.51</v>
      </c>
      <c r="E730">
        <f>Raw_Claims_Data!E729</f>
        <v>4000</v>
      </c>
      <c r="F730" t="str">
        <f>Raw_Claims_Data!F729</f>
        <v>AR</v>
      </c>
      <c r="G730" t="str">
        <f>Raw_Claims_Data!G729</f>
        <v>A</v>
      </c>
      <c r="H730" t="str">
        <f>Raw_Claims_Data!H729</f>
        <v>Total Loss</v>
      </c>
      <c r="I730" t="str">
        <f>IF(Raw_Claims_Data!I729="","None",Raw_Claims_Data!I729)</f>
        <v>Ambulance</v>
      </c>
      <c r="J730" t="str">
        <f>Raw_Claims_Data!J729</f>
        <v>Panama City</v>
      </c>
      <c r="K730" t="str">
        <f>Raw_Claims_Data!K729</f>
        <v>FL</v>
      </c>
      <c r="L730">
        <f>Raw_Claims_Data!L729</f>
        <v>1</v>
      </c>
      <c r="M730" t="str">
        <f>IF(Raw_Claims_Data!M729="","N/A",Raw_Claims_Data!M729)</f>
        <v>N/A</v>
      </c>
      <c r="N730" t="str">
        <f>Raw_Claims_Data!N729</f>
        <v>AGENT00353</v>
      </c>
      <c r="O730">
        <f>IF(Raw_Claims_Data!G729="D",1,0)</f>
        <v>0</v>
      </c>
    </row>
    <row r="731" spans="1:15" x14ac:dyDescent="0.35">
      <c r="A731" t="str">
        <f>Raw_Claims_Data!A730</f>
        <v>TXN00000727</v>
      </c>
      <c r="B731" t="str">
        <f>TRIM(Raw_Claims_Data!B730)</f>
        <v>Donald Davis</v>
      </c>
      <c r="C731" t="str">
        <f>Raw_Claims_Data!C730</f>
        <v>Life</v>
      </c>
      <c r="D731">
        <f>Raw_Claims_Data!D730</f>
        <v>54.56</v>
      </c>
      <c r="E731">
        <f>Raw_Claims_Data!E730</f>
        <v>54000</v>
      </c>
      <c r="F731" t="str">
        <f>Raw_Claims_Data!F730</f>
        <v>OK</v>
      </c>
      <c r="G731" t="str">
        <f>Raw_Claims_Data!G730</f>
        <v>A</v>
      </c>
      <c r="H731" t="str">
        <f>Raw_Claims_Data!H730</f>
        <v>Major Loss</v>
      </c>
      <c r="I731" t="str">
        <f>IF(Raw_Claims_Data!I730="","None",Raw_Claims_Data!I730)</f>
        <v>Police</v>
      </c>
      <c r="J731" t="str">
        <f>Raw_Claims_Data!J730</f>
        <v>Pleasanton</v>
      </c>
      <c r="K731" t="str">
        <f>Raw_Claims_Data!K730</f>
        <v>CA</v>
      </c>
      <c r="L731">
        <f>Raw_Claims_Data!L730</f>
        <v>8</v>
      </c>
      <c r="M731" t="str">
        <f>IF(Raw_Claims_Data!M730="","N/A",Raw_Claims_Data!M730)</f>
        <v>VNDR00305</v>
      </c>
      <c r="N731" t="str">
        <f>Raw_Claims_Data!N730</f>
        <v>AGENT00061</v>
      </c>
      <c r="O731">
        <f>IF(Raw_Claims_Data!G730="D",1,0)</f>
        <v>0</v>
      </c>
    </row>
    <row r="732" spans="1:15" x14ac:dyDescent="0.35">
      <c r="A732" t="str">
        <f>Raw_Claims_Data!A731</f>
        <v>TXN00000728</v>
      </c>
      <c r="B732" t="str">
        <f>TRIM(Raw_Claims_Data!B731)</f>
        <v>Cathy Hadley</v>
      </c>
      <c r="C732" t="str">
        <f>Raw_Claims_Data!C731</f>
        <v>Health</v>
      </c>
      <c r="D732">
        <f>Raw_Claims_Data!D731</f>
        <v>165.49</v>
      </c>
      <c r="E732">
        <f>Raw_Claims_Data!E731</f>
        <v>18000</v>
      </c>
      <c r="F732" t="str">
        <f>Raw_Claims_Data!F731</f>
        <v>TN</v>
      </c>
      <c r="G732" t="str">
        <f>Raw_Claims_Data!G731</f>
        <v>A</v>
      </c>
      <c r="H732" t="str">
        <f>Raw_Claims_Data!H731</f>
        <v>Minor Loss</v>
      </c>
      <c r="I732" t="str">
        <f>IF(Raw_Claims_Data!I731="","None",Raw_Claims_Data!I731)</f>
        <v>Police</v>
      </c>
      <c r="J732" t="str">
        <f>Raw_Claims_Data!J731</f>
        <v>Glendale</v>
      </c>
      <c r="K732" t="str">
        <f>Raw_Claims_Data!K731</f>
        <v>AZ</v>
      </c>
      <c r="L732">
        <f>Raw_Claims_Data!L731</f>
        <v>2</v>
      </c>
      <c r="M732" t="str">
        <f>IF(Raw_Claims_Data!M731="","N/A",Raw_Claims_Data!M731)</f>
        <v>VNDR00265</v>
      </c>
      <c r="N732" t="str">
        <f>Raw_Claims_Data!N731</f>
        <v>AGENT00578</v>
      </c>
      <c r="O732">
        <f>IF(Raw_Claims_Data!G731="D",1,0)</f>
        <v>0</v>
      </c>
    </row>
    <row r="733" spans="1:15" x14ac:dyDescent="0.35">
      <c r="A733" t="str">
        <f>Raw_Claims_Data!A732</f>
        <v>TXN00000729</v>
      </c>
      <c r="B733" t="str">
        <f>TRIM(Raw_Claims_Data!B732)</f>
        <v>Duane Defosses</v>
      </c>
      <c r="C733" t="str">
        <f>Raw_Claims_Data!C732</f>
        <v>Health</v>
      </c>
      <c r="D733">
        <f>Raw_Claims_Data!D732</f>
        <v>158.47</v>
      </c>
      <c r="E733">
        <f>Raw_Claims_Data!E732</f>
        <v>7000</v>
      </c>
      <c r="F733" t="str">
        <f>Raw_Claims_Data!F732</f>
        <v>AZ</v>
      </c>
      <c r="G733" t="str">
        <f>Raw_Claims_Data!G732</f>
        <v>A</v>
      </c>
      <c r="H733" t="str">
        <f>Raw_Claims_Data!H732</f>
        <v>Major Loss</v>
      </c>
      <c r="I733" t="str">
        <f>IF(Raw_Claims_Data!I732="","None",Raw_Claims_Data!I732)</f>
        <v>Ambulance</v>
      </c>
      <c r="J733" t="str">
        <f>Raw_Claims_Data!J732</f>
        <v>Savannah</v>
      </c>
      <c r="K733" t="str">
        <f>Raw_Claims_Data!K732</f>
        <v>GA</v>
      </c>
      <c r="L733">
        <f>Raw_Claims_Data!L732</f>
        <v>15</v>
      </c>
      <c r="M733" t="str">
        <f>IF(Raw_Claims_Data!M732="","N/A",Raw_Claims_Data!M732)</f>
        <v>N/A</v>
      </c>
      <c r="N733" t="str">
        <f>Raw_Claims_Data!N732</f>
        <v>AGENT00265</v>
      </c>
      <c r="O733">
        <f>IF(Raw_Claims_Data!G732="D",1,0)</f>
        <v>0</v>
      </c>
    </row>
    <row r="734" spans="1:15" x14ac:dyDescent="0.35">
      <c r="A734" t="str">
        <f>Raw_Claims_Data!A733</f>
        <v>TXN00000730</v>
      </c>
      <c r="B734" t="str">
        <f>TRIM(Raw_Claims_Data!B733)</f>
        <v>Denis Wendler</v>
      </c>
      <c r="C734" t="str">
        <f>Raw_Claims_Data!C733</f>
        <v>Health</v>
      </c>
      <c r="D734">
        <f>Raw_Claims_Data!D733</f>
        <v>193.99</v>
      </c>
      <c r="E734">
        <f>Raw_Claims_Data!E733</f>
        <v>11000</v>
      </c>
      <c r="F734" t="str">
        <f>Raw_Claims_Data!F733</f>
        <v>AR</v>
      </c>
      <c r="G734" t="str">
        <f>Raw_Claims_Data!G733</f>
        <v>A</v>
      </c>
      <c r="H734" t="str">
        <f>Raw_Claims_Data!H733</f>
        <v>Total Loss</v>
      </c>
      <c r="I734" t="str">
        <f>IF(Raw_Claims_Data!I733="","None",Raw_Claims_Data!I733)</f>
        <v>None</v>
      </c>
      <c r="J734" t="str">
        <f>Raw_Claims_Data!J733</f>
        <v>Oklahoma City</v>
      </c>
      <c r="K734" t="str">
        <f>Raw_Claims_Data!K733</f>
        <v>OK</v>
      </c>
      <c r="L734">
        <f>Raw_Claims_Data!L733</f>
        <v>23</v>
      </c>
      <c r="M734" t="str">
        <f>IF(Raw_Claims_Data!M733="","N/A",Raw_Claims_Data!M733)</f>
        <v>VNDR00260</v>
      </c>
      <c r="N734" t="str">
        <f>Raw_Claims_Data!N733</f>
        <v>AGENT00199</v>
      </c>
      <c r="O734">
        <f>IF(Raw_Claims_Data!G733="D",1,0)</f>
        <v>0</v>
      </c>
    </row>
    <row r="735" spans="1:15" x14ac:dyDescent="0.35">
      <c r="A735" t="str">
        <f>Raw_Claims_Data!A734</f>
        <v>TXN00000731</v>
      </c>
      <c r="B735" t="str">
        <f>TRIM(Raw_Claims_Data!B734)</f>
        <v>Josephine Kranz</v>
      </c>
      <c r="C735" t="str">
        <f>Raw_Claims_Data!C734</f>
        <v>Health</v>
      </c>
      <c r="D735">
        <f>Raw_Claims_Data!D734</f>
        <v>122.83</v>
      </c>
      <c r="E735">
        <f>Raw_Claims_Data!E734</f>
        <v>6000</v>
      </c>
      <c r="F735" t="str">
        <f>Raw_Claims_Data!F734</f>
        <v>CA</v>
      </c>
      <c r="G735" t="str">
        <f>Raw_Claims_Data!G734</f>
        <v>A</v>
      </c>
      <c r="H735" t="str">
        <f>Raw_Claims_Data!H734</f>
        <v>Major Loss</v>
      </c>
      <c r="I735" t="str">
        <f>IF(Raw_Claims_Data!I734="","None",Raw_Claims_Data!I734)</f>
        <v>Other</v>
      </c>
      <c r="J735" t="str">
        <f>Raw_Claims_Data!J734</f>
        <v>Arvada</v>
      </c>
      <c r="K735" t="str">
        <f>Raw_Claims_Data!K734</f>
        <v>CO</v>
      </c>
      <c r="L735">
        <f>Raw_Claims_Data!L734</f>
        <v>23</v>
      </c>
      <c r="M735" t="str">
        <f>IF(Raw_Claims_Data!M734="","N/A",Raw_Claims_Data!M734)</f>
        <v>VNDR00460</v>
      </c>
      <c r="N735" t="str">
        <f>Raw_Claims_Data!N734</f>
        <v>AGENT00260</v>
      </c>
      <c r="O735">
        <f>IF(Raw_Claims_Data!G734="D",1,0)</f>
        <v>0</v>
      </c>
    </row>
    <row r="736" spans="1:15" x14ac:dyDescent="0.35">
      <c r="A736" t="str">
        <f>Raw_Claims_Data!A735</f>
        <v>TXN00000732</v>
      </c>
      <c r="B736" t="str">
        <f>TRIM(Raw_Claims_Data!B735)</f>
        <v>Lloyd Turner</v>
      </c>
      <c r="C736" t="str">
        <f>Raw_Claims_Data!C735</f>
        <v>Property</v>
      </c>
      <c r="D736">
        <f>Raw_Claims_Data!D735</f>
        <v>89.59</v>
      </c>
      <c r="E736">
        <f>Raw_Claims_Data!E735</f>
        <v>12000</v>
      </c>
      <c r="F736" t="str">
        <f>Raw_Claims_Data!F735</f>
        <v>CA</v>
      </c>
      <c r="G736" t="str">
        <f>Raw_Claims_Data!G735</f>
        <v>A</v>
      </c>
      <c r="H736" t="str">
        <f>Raw_Claims_Data!H735</f>
        <v>Major Loss</v>
      </c>
      <c r="I736" t="str">
        <f>IF(Raw_Claims_Data!I735="","None",Raw_Claims_Data!I735)</f>
        <v>Ambulance</v>
      </c>
      <c r="J736" t="str">
        <f>Raw_Claims_Data!J735</f>
        <v>Glen Burnie</v>
      </c>
      <c r="K736" t="str">
        <f>Raw_Claims_Data!K735</f>
        <v>MD</v>
      </c>
      <c r="L736">
        <f>Raw_Claims_Data!L735</f>
        <v>18</v>
      </c>
      <c r="M736" t="str">
        <f>IF(Raw_Claims_Data!M735="","N/A",Raw_Claims_Data!M735)</f>
        <v>VNDR00354</v>
      </c>
      <c r="N736" t="str">
        <f>Raw_Claims_Data!N735</f>
        <v>AGENT00680</v>
      </c>
      <c r="O736">
        <f>IF(Raw_Claims_Data!G735="D",1,0)</f>
        <v>0</v>
      </c>
    </row>
    <row r="737" spans="1:15" x14ac:dyDescent="0.35">
      <c r="A737" t="str">
        <f>Raw_Claims_Data!A736</f>
        <v>TXN00000733</v>
      </c>
      <c r="B737" t="str">
        <f>TRIM(Raw_Claims_Data!B736)</f>
        <v>Mary Travis</v>
      </c>
      <c r="C737" t="str">
        <f>Raw_Claims_Data!C736</f>
        <v>Property</v>
      </c>
      <c r="D737">
        <f>Raw_Claims_Data!D736</f>
        <v>128.63</v>
      </c>
      <c r="E737">
        <f>Raw_Claims_Data!E736</f>
        <v>39000</v>
      </c>
      <c r="F737" t="str">
        <f>Raw_Claims_Data!F736</f>
        <v>DC</v>
      </c>
      <c r="G737" t="str">
        <f>Raw_Claims_Data!G736</f>
        <v>A</v>
      </c>
      <c r="H737" t="str">
        <f>Raw_Claims_Data!H736</f>
        <v>Minor Loss</v>
      </c>
      <c r="I737" t="str">
        <f>IF(Raw_Claims_Data!I736="","None",Raw_Claims_Data!I736)</f>
        <v>Ambulance</v>
      </c>
      <c r="J737" t="str">
        <f>Raw_Claims_Data!J736</f>
        <v>Fayetteville</v>
      </c>
      <c r="K737" t="str">
        <f>Raw_Claims_Data!K736</f>
        <v>AR</v>
      </c>
      <c r="L737">
        <f>Raw_Claims_Data!L736</f>
        <v>19</v>
      </c>
      <c r="M737" t="str">
        <f>IF(Raw_Claims_Data!M736="","N/A",Raw_Claims_Data!M736)</f>
        <v>VNDR00301</v>
      </c>
      <c r="N737" t="str">
        <f>Raw_Claims_Data!N736</f>
        <v>AGENT00258</v>
      </c>
      <c r="O737">
        <f>IF(Raw_Claims_Data!G736="D",1,0)</f>
        <v>0</v>
      </c>
    </row>
    <row r="738" spans="1:15" x14ac:dyDescent="0.35">
      <c r="A738" t="str">
        <f>Raw_Claims_Data!A737</f>
        <v>TXN00000734</v>
      </c>
      <c r="B738" t="str">
        <f>TRIM(Raw_Claims_Data!B737)</f>
        <v>Fay Delosh</v>
      </c>
      <c r="C738" t="str">
        <f>Raw_Claims_Data!C737</f>
        <v>Health</v>
      </c>
      <c r="D738">
        <f>Raw_Claims_Data!D737</f>
        <v>172.74</v>
      </c>
      <c r="E738">
        <f>Raw_Claims_Data!E737</f>
        <v>17000</v>
      </c>
      <c r="F738" t="str">
        <f>Raw_Claims_Data!F737</f>
        <v>FL</v>
      </c>
      <c r="G738" t="str">
        <f>Raw_Claims_Data!G737</f>
        <v>A</v>
      </c>
      <c r="H738" t="str">
        <f>Raw_Claims_Data!H737</f>
        <v>Minor Loss</v>
      </c>
      <c r="I738" t="str">
        <f>IF(Raw_Claims_Data!I737="","None",Raw_Claims_Data!I737)</f>
        <v>Ambulance</v>
      </c>
      <c r="J738" t="str">
        <f>Raw_Claims_Data!J737</f>
        <v>Olivehurst</v>
      </c>
      <c r="K738" t="str">
        <f>Raw_Claims_Data!K737</f>
        <v>CA</v>
      </c>
      <c r="L738">
        <f>Raw_Claims_Data!L737</f>
        <v>10</v>
      </c>
      <c r="M738" t="str">
        <f>IF(Raw_Claims_Data!M737="","N/A",Raw_Claims_Data!M737)</f>
        <v>VNDR00104</v>
      </c>
      <c r="N738" t="str">
        <f>Raw_Claims_Data!N737</f>
        <v>AGENT01006</v>
      </c>
      <c r="O738">
        <f>IF(Raw_Claims_Data!G737="D",1,0)</f>
        <v>0</v>
      </c>
    </row>
    <row r="739" spans="1:15" x14ac:dyDescent="0.35">
      <c r="A739" t="str">
        <f>Raw_Claims_Data!A738</f>
        <v>TXN00000735</v>
      </c>
      <c r="B739" t="str">
        <f>TRIM(Raw_Claims_Data!B738)</f>
        <v>Dawn Roses</v>
      </c>
      <c r="C739" t="str">
        <f>Raw_Claims_Data!C738</f>
        <v>Motor</v>
      </c>
      <c r="D739">
        <f>Raw_Claims_Data!D738</f>
        <v>110.87</v>
      </c>
      <c r="E739">
        <f>Raw_Claims_Data!E738</f>
        <v>5000</v>
      </c>
      <c r="F739" t="str">
        <f>Raw_Claims_Data!F738</f>
        <v>VT</v>
      </c>
      <c r="G739" t="str">
        <f>Raw_Claims_Data!G738</f>
        <v>A</v>
      </c>
      <c r="H739" t="str">
        <f>Raw_Claims_Data!H738</f>
        <v>Major Loss</v>
      </c>
      <c r="I739" t="str">
        <f>IF(Raw_Claims_Data!I738="","None",Raw_Claims_Data!I738)</f>
        <v>None</v>
      </c>
      <c r="J739" t="str">
        <f>Raw_Claims_Data!J738</f>
        <v>Panama City</v>
      </c>
      <c r="K739" t="str">
        <f>Raw_Claims_Data!K738</f>
        <v>FL</v>
      </c>
      <c r="L739">
        <f>Raw_Claims_Data!L738</f>
        <v>20</v>
      </c>
      <c r="M739" t="str">
        <f>IF(Raw_Claims_Data!M738="","N/A",Raw_Claims_Data!M738)</f>
        <v>VNDR00177</v>
      </c>
      <c r="N739" t="str">
        <f>Raw_Claims_Data!N738</f>
        <v>AGENT01102</v>
      </c>
      <c r="O739">
        <f>IF(Raw_Claims_Data!G738="D",1,0)</f>
        <v>0</v>
      </c>
    </row>
    <row r="740" spans="1:15" x14ac:dyDescent="0.35">
      <c r="A740" t="str">
        <f>Raw_Claims_Data!A739</f>
        <v>TXN00000736</v>
      </c>
      <c r="B740" t="str">
        <f>TRIM(Raw_Claims_Data!B739)</f>
        <v>Lawrence Grizzle</v>
      </c>
      <c r="C740" t="str">
        <f>Raw_Claims_Data!C739</f>
        <v>Life</v>
      </c>
      <c r="D740">
        <f>Raw_Claims_Data!D739</f>
        <v>64.16</v>
      </c>
      <c r="E740">
        <f>Raw_Claims_Data!E739</f>
        <v>20000</v>
      </c>
      <c r="F740" t="str">
        <f>Raw_Claims_Data!F739</f>
        <v>GA</v>
      </c>
      <c r="G740" t="str">
        <f>Raw_Claims_Data!G739</f>
        <v>A</v>
      </c>
      <c r="H740" t="str">
        <f>Raw_Claims_Data!H739</f>
        <v>Total Loss</v>
      </c>
      <c r="I740" t="str">
        <f>IF(Raw_Claims_Data!I739="","None",Raw_Claims_Data!I739)</f>
        <v>Ambulance</v>
      </c>
      <c r="J740" t="str">
        <f>Raw_Claims_Data!J739</f>
        <v>San Leandro</v>
      </c>
      <c r="K740" t="str">
        <f>Raw_Claims_Data!K739</f>
        <v>CA</v>
      </c>
      <c r="L740">
        <f>Raw_Claims_Data!L739</f>
        <v>9</v>
      </c>
      <c r="M740" t="str">
        <f>IF(Raw_Claims_Data!M739="","N/A",Raw_Claims_Data!M739)</f>
        <v>N/A</v>
      </c>
      <c r="N740" t="str">
        <f>Raw_Claims_Data!N739</f>
        <v>AGENT00486</v>
      </c>
      <c r="O740">
        <f>IF(Raw_Claims_Data!G739="D",1,0)</f>
        <v>0</v>
      </c>
    </row>
    <row r="741" spans="1:15" x14ac:dyDescent="0.35">
      <c r="A741" t="str">
        <f>Raw_Claims_Data!A740</f>
        <v>TXN00000737</v>
      </c>
      <c r="B741" t="str">
        <f>TRIM(Raw_Claims_Data!B740)</f>
        <v>Timothy Adams</v>
      </c>
      <c r="C741" t="str">
        <f>Raw_Claims_Data!C740</f>
        <v>Mobile</v>
      </c>
      <c r="D741">
        <f>Raw_Claims_Data!D740</f>
        <v>10.130000000000001</v>
      </c>
      <c r="E741">
        <f>Raw_Claims_Data!E740</f>
        <v>600</v>
      </c>
      <c r="F741" t="str">
        <f>Raw_Claims_Data!F740</f>
        <v>DC</v>
      </c>
      <c r="G741" t="str">
        <f>Raw_Claims_Data!G740</f>
        <v>A</v>
      </c>
      <c r="H741" t="str">
        <f>Raw_Claims_Data!H740</f>
        <v>Major Loss</v>
      </c>
      <c r="I741" t="str">
        <f>IF(Raw_Claims_Data!I740="","None",Raw_Claims_Data!I740)</f>
        <v>Other</v>
      </c>
      <c r="J741" t="str">
        <f>Raw_Claims_Data!J740</f>
        <v>Manchester</v>
      </c>
      <c r="K741" t="str">
        <f>Raw_Claims_Data!K740</f>
        <v>CT</v>
      </c>
      <c r="L741">
        <f>Raw_Claims_Data!L740</f>
        <v>6</v>
      </c>
      <c r="M741" t="str">
        <f>IF(Raw_Claims_Data!M740="","N/A",Raw_Claims_Data!M740)</f>
        <v>VNDR00210</v>
      </c>
      <c r="N741" t="str">
        <f>Raw_Claims_Data!N740</f>
        <v>AGENT01042</v>
      </c>
      <c r="O741">
        <f>IF(Raw_Claims_Data!G740="D",1,0)</f>
        <v>0</v>
      </c>
    </row>
    <row r="742" spans="1:15" x14ac:dyDescent="0.35">
      <c r="A742" t="str">
        <f>Raw_Claims_Data!A741</f>
        <v>TXN00000738</v>
      </c>
      <c r="B742" t="str">
        <f>TRIM(Raw_Claims_Data!B741)</f>
        <v>John Davenport</v>
      </c>
      <c r="C742" t="str">
        <f>Raw_Claims_Data!C741</f>
        <v>Travel</v>
      </c>
      <c r="D742">
        <f>Raw_Claims_Data!D741</f>
        <v>85.65</v>
      </c>
      <c r="E742">
        <f>Raw_Claims_Data!E741</f>
        <v>1000</v>
      </c>
      <c r="F742" t="str">
        <f>Raw_Claims_Data!F741</f>
        <v>TN</v>
      </c>
      <c r="G742" t="str">
        <f>Raw_Claims_Data!G741</f>
        <v>A</v>
      </c>
      <c r="H742" t="str">
        <f>Raw_Claims_Data!H741</f>
        <v>Major Loss</v>
      </c>
      <c r="I742" t="str">
        <f>IF(Raw_Claims_Data!I741="","None",Raw_Claims_Data!I741)</f>
        <v>Police</v>
      </c>
      <c r="J742" t="str">
        <f>Raw_Claims_Data!J741</f>
        <v>Bakersfield</v>
      </c>
      <c r="K742" t="str">
        <f>Raw_Claims_Data!K741</f>
        <v>CA</v>
      </c>
      <c r="L742">
        <f>Raw_Claims_Data!L741</f>
        <v>9</v>
      </c>
      <c r="M742" t="str">
        <f>IF(Raw_Claims_Data!M741="","N/A",Raw_Claims_Data!M741)</f>
        <v>N/A</v>
      </c>
      <c r="N742" t="str">
        <f>Raw_Claims_Data!N741</f>
        <v>AGENT00890</v>
      </c>
      <c r="O742">
        <f>IF(Raw_Claims_Data!G741="D",1,0)</f>
        <v>0</v>
      </c>
    </row>
    <row r="743" spans="1:15" x14ac:dyDescent="0.35">
      <c r="A743" t="str">
        <f>Raw_Claims_Data!A742</f>
        <v>TXN00000739</v>
      </c>
      <c r="B743" t="str">
        <f>TRIM(Raw_Claims_Data!B742)</f>
        <v>Louis White</v>
      </c>
      <c r="C743" t="str">
        <f>Raw_Claims_Data!C742</f>
        <v>Travel</v>
      </c>
      <c r="D743">
        <f>Raw_Claims_Data!D742</f>
        <v>50.63</v>
      </c>
      <c r="E743">
        <f>Raw_Claims_Data!E742</f>
        <v>5000</v>
      </c>
      <c r="F743" t="str">
        <f>Raw_Claims_Data!F742</f>
        <v>MD</v>
      </c>
      <c r="G743" t="str">
        <f>Raw_Claims_Data!G742</f>
        <v>A</v>
      </c>
      <c r="H743" t="str">
        <f>Raw_Claims_Data!H742</f>
        <v>Minor Loss</v>
      </c>
      <c r="I743" t="str">
        <f>IF(Raw_Claims_Data!I742="","None",Raw_Claims_Data!I742)</f>
        <v>Ambulance</v>
      </c>
      <c r="J743" t="str">
        <f>Raw_Claims_Data!J742</f>
        <v>Burlington</v>
      </c>
      <c r="K743" t="str">
        <f>Raw_Claims_Data!K742</f>
        <v>VT</v>
      </c>
      <c r="L743">
        <f>Raw_Claims_Data!L742</f>
        <v>15</v>
      </c>
      <c r="M743" t="str">
        <f>IF(Raw_Claims_Data!M742="","N/A",Raw_Claims_Data!M742)</f>
        <v>VNDR00443</v>
      </c>
      <c r="N743" t="str">
        <f>Raw_Claims_Data!N742</f>
        <v>AGENT00307</v>
      </c>
      <c r="O743">
        <f>IF(Raw_Claims_Data!G742="D",1,0)</f>
        <v>0</v>
      </c>
    </row>
    <row r="744" spans="1:15" x14ac:dyDescent="0.35">
      <c r="A744" t="str">
        <f>Raw_Claims_Data!A743</f>
        <v>TXN00000740</v>
      </c>
      <c r="B744" t="str">
        <f>TRIM(Raw_Claims_Data!B743)</f>
        <v>Felix Simas</v>
      </c>
      <c r="C744" t="str">
        <f>Raw_Claims_Data!C743</f>
        <v>Health</v>
      </c>
      <c r="D744">
        <f>Raw_Claims_Data!D743</f>
        <v>133.82</v>
      </c>
      <c r="E744">
        <f>Raw_Claims_Data!E743</f>
        <v>2000</v>
      </c>
      <c r="F744" t="str">
        <f>Raw_Claims_Data!F743</f>
        <v>OK</v>
      </c>
      <c r="G744" t="str">
        <f>Raw_Claims_Data!G743</f>
        <v>A</v>
      </c>
      <c r="H744" t="str">
        <f>Raw_Claims_Data!H743</f>
        <v>Total Loss</v>
      </c>
      <c r="I744" t="str">
        <f>IF(Raw_Claims_Data!I743="","None",Raw_Claims_Data!I743)</f>
        <v>Other</v>
      </c>
      <c r="J744" t="str">
        <f>Raw_Claims_Data!J743</f>
        <v>Glendale</v>
      </c>
      <c r="K744" t="str">
        <f>Raw_Claims_Data!K743</f>
        <v>AZ</v>
      </c>
      <c r="L744">
        <f>Raw_Claims_Data!L743</f>
        <v>8</v>
      </c>
      <c r="M744" t="str">
        <f>IF(Raw_Claims_Data!M743="","N/A",Raw_Claims_Data!M743)</f>
        <v>VNDR00598</v>
      </c>
      <c r="N744" t="str">
        <f>Raw_Claims_Data!N743</f>
        <v>AGENT00632</v>
      </c>
      <c r="O744">
        <f>IF(Raw_Claims_Data!G743="D",1,0)</f>
        <v>0</v>
      </c>
    </row>
    <row r="745" spans="1:15" x14ac:dyDescent="0.35">
      <c r="A745" t="str">
        <f>Raw_Claims_Data!A744</f>
        <v>TXN00000741</v>
      </c>
      <c r="B745" t="str">
        <f>TRIM(Raw_Claims_Data!B744)</f>
        <v>Francis Schultz</v>
      </c>
      <c r="C745" t="str">
        <f>Raw_Claims_Data!C744</f>
        <v>Motor</v>
      </c>
      <c r="D745">
        <f>Raw_Claims_Data!D744</f>
        <v>112.49</v>
      </c>
      <c r="E745">
        <f>Raw_Claims_Data!E744</f>
        <v>1000</v>
      </c>
      <c r="F745" t="str">
        <f>Raw_Claims_Data!F744</f>
        <v>AL</v>
      </c>
      <c r="G745" t="str">
        <f>Raw_Claims_Data!G744</f>
        <v>A</v>
      </c>
      <c r="H745" t="str">
        <f>Raw_Claims_Data!H744</f>
        <v>Total Loss</v>
      </c>
      <c r="I745" t="str">
        <f>IF(Raw_Claims_Data!I744="","None",Raw_Claims_Data!I744)</f>
        <v>Ambulance</v>
      </c>
      <c r="J745" t="str">
        <f>Raw_Claims_Data!J744</f>
        <v>Montgomery</v>
      </c>
      <c r="K745" t="str">
        <f>Raw_Claims_Data!K744</f>
        <v>AL</v>
      </c>
      <c r="L745">
        <f>Raw_Claims_Data!L744</f>
        <v>18</v>
      </c>
      <c r="M745" t="str">
        <f>IF(Raw_Claims_Data!M744="","N/A",Raw_Claims_Data!M744)</f>
        <v>VNDR00486</v>
      </c>
      <c r="N745" t="str">
        <f>Raw_Claims_Data!N744</f>
        <v>AGENT00027</v>
      </c>
      <c r="O745">
        <f>IF(Raw_Claims_Data!G744="D",1,0)</f>
        <v>0</v>
      </c>
    </row>
    <row r="746" spans="1:15" x14ac:dyDescent="0.35">
      <c r="A746" t="str">
        <f>Raw_Claims_Data!A745</f>
        <v>TXN00000742</v>
      </c>
      <c r="B746" t="str">
        <f>TRIM(Raw_Claims_Data!B745)</f>
        <v>Dana Athayde</v>
      </c>
      <c r="C746" t="str">
        <f>Raw_Claims_Data!C745</f>
        <v>Health</v>
      </c>
      <c r="D746">
        <f>Raw_Claims_Data!D745</f>
        <v>130.72</v>
      </c>
      <c r="E746">
        <f>Raw_Claims_Data!E745</f>
        <v>10000</v>
      </c>
      <c r="F746" t="str">
        <f>Raw_Claims_Data!F745</f>
        <v>MD</v>
      </c>
      <c r="G746" t="str">
        <f>Raw_Claims_Data!G745</f>
        <v>A</v>
      </c>
      <c r="H746" t="str">
        <f>Raw_Claims_Data!H745</f>
        <v>Major Loss</v>
      </c>
      <c r="I746" t="str">
        <f>IF(Raw_Claims_Data!I745="","None",Raw_Claims_Data!I745)</f>
        <v>Other</v>
      </c>
      <c r="J746" t="str">
        <f>Raw_Claims_Data!J745</f>
        <v>Nashville</v>
      </c>
      <c r="K746" t="str">
        <f>Raw_Claims_Data!K745</f>
        <v>TN</v>
      </c>
      <c r="L746">
        <f>Raw_Claims_Data!L745</f>
        <v>17</v>
      </c>
      <c r="M746" t="str">
        <f>IF(Raw_Claims_Data!M745="","N/A",Raw_Claims_Data!M745)</f>
        <v>VNDR00169</v>
      </c>
      <c r="N746" t="str">
        <f>Raw_Claims_Data!N745</f>
        <v>AGENT00482</v>
      </c>
      <c r="O746">
        <f>IF(Raw_Claims_Data!G745="D",1,0)</f>
        <v>0</v>
      </c>
    </row>
    <row r="747" spans="1:15" x14ac:dyDescent="0.35">
      <c r="A747" t="str">
        <f>Raw_Claims_Data!A746</f>
        <v>TXN00000743</v>
      </c>
      <c r="B747" t="str">
        <f>TRIM(Raw_Claims_Data!B746)</f>
        <v>Elizabeth Turner</v>
      </c>
      <c r="C747" t="str">
        <f>Raw_Claims_Data!C746</f>
        <v>Mobile</v>
      </c>
      <c r="D747">
        <f>Raw_Claims_Data!D746</f>
        <v>10.53</v>
      </c>
      <c r="E747">
        <f>Raw_Claims_Data!E746</f>
        <v>200</v>
      </c>
      <c r="F747" t="str">
        <f>Raw_Claims_Data!F746</f>
        <v>AL</v>
      </c>
      <c r="G747" t="str">
        <f>Raw_Claims_Data!G746</f>
        <v>A</v>
      </c>
      <c r="H747" t="str">
        <f>Raw_Claims_Data!H746</f>
        <v>Major Loss</v>
      </c>
      <c r="I747" t="str">
        <f>IF(Raw_Claims_Data!I746="","None",Raw_Claims_Data!I746)</f>
        <v>Police</v>
      </c>
      <c r="J747" t="str">
        <f>Raw_Claims_Data!J746</f>
        <v>Alburgh</v>
      </c>
      <c r="K747" t="str">
        <f>Raw_Claims_Data!K746</f>
        <v>VT</v>
      </c>
      <c r="L747">
        <f>Raw_Claims_Data!L746</f>
        <v>4</v>
      </c>
      <c r="M747" t="str">
        <f>IF(Raw_Claims_Data!M746="","N/A",Raw_Claims_Data!M746)</f>
        <v>VNDR00076</v>
      </c>
      <c r="N747" t="str">
        <f>Raw_Claims_Data!N746</f>
        <v>AGENT00567</v>
      </c>
      <c r="O747">
        <f>IF(Raw_Claims_Data!G746="D",1,0)</f>
        <v>0</v>
      </c>
    </row>
    <row r="748" spans="1:15" x14ac:dyDescent="0.35">
      <c r="A748" t="str">
        <f>Raw_Claims_Data!A747</f>
        <v>TXN00000744</v>
      </c>
      <c r="B748" t="str">
        <f>TRIM(Raw_Claims_Data!B747)</f>
        <v>Geraldine Carroll</v>
      </c>
      <c r="C748" t="str">
        <f>Raw_Claims_Data!C747</f>
        <v>Health</v>
      </c>
      <c r="D748">
        <f>Raw_Claims_Data!D747</f>
        <v>114.62</v>
      </c>
      <c r="E748">
        <f>Raw_Claims_Data!E747</f>
        <v>5000</v>
      </c>
      <c r="F748" t="str">
        <f>Raw_Claims_Data!F747</f>
        <v>CO</v>
      </c>
      <c r="G748" t="str">
        <f>Raw_Claims_Data!G747</f>
        <v>A</v>
      </c>
      <c r="H748" t="str">
        <f>Raw_Claims_Data!H747</f>
        <v>Minor Loss</v>
      </c>
      <c r="I748" t="str">
        <f>IF(Raw_Claims_Data!I747="","None",Raw_Claims_Data!I747)</f>
        <v>Ambulance</v>
      </c>
      <c r="J748" t="str">
        <f>Raw_Claims_Data!J747</f>
        <v>Pueblo</v>
      </c>
      <c r="K748" t="str">
        <f>Raw_Claims_Data!K747</f>
        <v>CO</v>
      </c>
      <c r="L748">
        <f>Raw_Claims_Data!L747</f>
        <v>22</v>
      </c>
      <c r="M748" t="str">
        <f>IF(Raw_Claims_Data!M747="","N/A",Raw_Claims_Data!M747)</f>
        <v>VNDR00532</v>
      </c>
      <c r="N748" t="str">
        <f>Raw_Claims_Data!N747</f>
        <v>AGENT01098</v>
      </c>
      <c r="O748">
        <f>IF(Raw_Claims_Data!G747="D",1,0)</f>
        <v>0</v>
      </c>
    </row>
    <row r="749" spans="1:15" x14ac:dyDescent="0.35">
      <c r="A749" t="str">
        <f>Raw_Claims_Data!A748</f>
        <v>TXN00000745</v>
      </c>
      <c r="B749" t="str">
        <f>TRIM(Raw_Claims_Data!B748)</f>
        <v>Elizabeth Wegner</v>
      </c>
      <c r="C749" t="str">
        <f>Raw_Claims_Data!C748</f>
        <v>Property</v>
      </c>
      <c r="D749">
        <f>Raw_Claims_Data!D748</f>
        <v>82.5</v>
      </c>
      <c r="E749">
        <f>Raw_Claims_Data!E748</f>
        <v>20000</v>
      </c>
      <c r="F749" t="str">
        <f>Raw_Claims_Data!F748</f>
        <v>AL</v>
      </c>
      <c r="G749" t="str">
        <f>Raw_Claims_Data!G748</f>
        <v>A</v>
      </c>
      <c r="H749" t="str">
        <f>Raw_Claims_Data!H748</f>
        <v>Major Loss</v>
      </c>
      <c r="I749" t="str">
        <f>IF(Raw_Claims_Data!I748="","None",Raw_Claims_Data!I748)</f>
        <v>Ambulance</v>
      </c>
      <c r="J749" t="str">
        <f>Raw_Claims_Data!J748</f>
        <v>Hanford</v>
      </c>
      <c r="K749" t="str">
        <f>Raw_Claims_Data!K748</f>
        <v>CA</v>
      </c>
      <c r="L749">
        <f>Raw_Claims_Data!L748</f>
        <v>5</v>
      </c>
      <c r="M749" t="str">
        <f>IF(Raw_Claims_Data!M748="","N/A",Raw_Claims_Data!M748)</f>
        <v>VNDR00539</v>
      </c>
      <c r="N749" t="str">
        <f>Raw_Claims_Data!N748</f>
        <v>AGENT00176</v>
      </c>
      <c r="O749">
        <f>IF(Raw_Claims_Data!G748="D",1,0)</f>
        <v>0</v>
      </c>
    </row>
    <row r="750" spans="1:15" x14ac:dyDescent="0.35">
      <c r="A750" t="str">
        <f>Raw_Claims_Data!A749</f>
        <v>TXN00000746</v>
      </c>
      <c r="B750" t="str">
        <f>TRIM(Raw_Claims_Data!B749)</f>
        <v>Mary Cooper</v>
      </c>
      <c r="C750" t="str">
        <f>Raw_Claims_Data!C749</f>
        <v>Mobile</v>
      </c>
      <c r="D750">
        <f>Raw_Claims_Data!D749</f>
        <v>10.210000000000001</v>
      </c>
      <c r="E750">
        <f>Raw_Claims_Data!E749</f>
        <v>200</v>
      </c>
      <c r="F750" t="str">
        <f>Raw_Claims_Data!F749</f>
        <v>OK</v>
      </c>
      <c r="G750" t="str">
        <f>Raw_Claims_Data!G749</f>
        <v>A</v>
      </c>
      <c r="H750" t="str">
        <f>Raw_Claims_Data!H749</f>
        <v>Minor Loss</v>
      </c>
      <c r="I750" t="str">
        <f>IF(Raw_Claims_Data!I749="","None",Raw_Claims_Data!I749)</f>
        <v>None</v>
      </c>
      <c r="J750" t="str">
        <f>Raw_Claims_Data!J749</f>
        <v>Mexico Beach</v>
      </c>
      <c r="K750" t="str">
        <f>Raw_Claims_Data!K749</f>
        <v>FL</v>
      </c>
      <c r="L750">
        <f>Raw_Claims_Data!L749</f>
        <v>1</v>
      </c>
      <c r="M750" t="str">
        <f>IF(Raw_Claims_Data!M749="","N/A",Raw_Claims_Data!M749)</f>
        <v>VNDR00043</v>
      </c>
      <c r="N750" t="str">
        <f>Raw_Claims_Data!N749</f>
        <v>AGENT01155</v>
      </c>
      <c r="O750">
        <f>IF(Raw_Claims_Data!G749="D",1,0)</f>
        <v>0</v>
      </c>
    </row>
    <row r="751" spans="1:15" x14ac:dyDescent="0.35">
      <c r="A751" t="str">
        <f>Raw_Claims_Data!A750</f>
        <v>TXN00000747</v>
      </c>
      <c r="B751" t="str">
        <f>TRIM(Raw_Claims_Data!B750)</f>
        <v>Linda Duttry</v>
      </c>
      <c r="C751" t="str">
        <f>Raw_Claims_Data!C750</f>
        <v>Property</v>
      </c>
      <c r="D751">
        <f>Raw_Claims_Data!D750</f>
        <v>119.12</v>
      </c>
      <c r="E751">
        <f>Raw_Claims_Data!E750</f>
        <v>23000</v>
      </c>
      <c r="F751" t="str">
        <f>Raw_Claims_Data!F750</f>
        <v>GA</v>
      </c>
      <c r="G751" t="str">
        <f>Raw_Claims_Data!G750</f>
        <v>A</v>
      </c>
      <c r="H751" t="str">
        <f>Raw_Claims_Data!H750</f>
        <v>Minor Loss</v>
      </c>
      <c r="I751" t="str">
        <f>IF(Raw_Claims_Data!I750="","None",Raw_Claims_Data!I750)</f>
        <v>Ambulance</v>
      </c>
      <c r="J751" t="str">
        <f>Raw_Claims_Data!J750</f>
        <v>Fayetteville</v>
      </c>
      <c r="K751" t="str">
        <f>Raw_Claims_Data!K750</f>
        <v>AR</v>
      </c>
      <c r="L751">
        <f>Raw_Claims_Data!L750</f>
        <v>23</v>
      </c>
      <c r="M751" t="str">
        <f>IF(Raw_Claims_Data!M750="","N/A",Raw_Claims_Data!M750)</f>
        <v>VNDR00505</v>
      </c>
      <c r="N751" t="str">
        <f>Raw_Claims_Data!N750</f>
        <v>AGENT00521</v>
      </c>
      <c r="O751">
        <f>IF(Raw_Claims_Data!G750="D",1,0)</f>
        <v>0</v>
      </c>
    </row>
    <row r="752" spans="1:15" x14ac:dyDescent="0.35">
      <c r="A752" t="str">
        <f>Raw_Claims_Data!A751</f>
        <v>TXN00000748</v>
      </c>
      <c r="B752" t="str">
        <f>TRIM(Raw_Claims_Data!B751)</f>
        <v>Dean Barton</v>
      </c>
      <c r="C752" t="str">
        <f>Raw_Claims_Data!C751</f>
        <v>Motor</v>
      </c>
      <c r="D752">
        <f>Raw_Claims_Data!D751</f>
        <v>82.4</v>
      </c>
      <c r="E752">
        <f>Raw_Claims_Data!E751</f>
        <v>10000</v>
      </c>
      <c r="F752" t="str">
        <f>Raw_Claims_Data!F751</f>
        <v>FL</v>
      </c>
      <c r="G752" t="str">
        <f>Raw_Claims_Data!G751</f>
        <v>A</v>
      </c>
      <c r="H752" t="str">
        <f>Raw_Claims_Data!H751</f>
        <v>Minor Loss</v>
      </c>
      <c r="I752" t="str">
        <f>IF(Raw_Claims_Data!I751="","None",Raw_Claims_Data!I751)</f>
        <v>Police</v>
      </c>
      <c r="J752" t="str">
        <f>Raw_Claims_Data!J751</f>
        <v>Manchester</v>
      </c>
      <c r="K752" t="str">
        <f>Raw_Claims_Data!K751</f>
        <v>CT</v>
      </c>
      <c r="L752">
        <f>Raw_Claims_Data!L751</f>
        <v>17</v>
      </c>
      <c r="M752" t="str">
        <f>IF(Raw_Claims_Data!M751="","N/A",Raw_Claims_Data!M751)</f>
        <v>VNDR00051</v>
      </c>
      <c r="N752" t="str">
        <f>Raw_Claims_Data!N751</f>
        <v>AGENT00642</v>
      </c>
      <c r="O752">
        <f>IF(Raw_Claims_Data!G751="D",1,0)</f>
        <v>0</v>
      </c>
    </row>
    <row r="753" spans="1:15" x14ac:dyDescent="0.35">
      <c r="A753" t="str">
        <f>Raw_Claims_Data!A752</f>
        <v>TXN00000749</v>
      </c>
      <c r="B753" t="str">
        <f>TRIM(Raw_Claims_Data!B752)</f>
        <v>Phillip Johnson</v>
      </c>
      <c r="C753" t="str">
        <f>Raw_Claims_Data!C752</f>
        <v>Motor</v>
      </c>
      <c r="D753">
        <f>Raw_Claims_Data!D752</f>
        <v>84.81</v>
      </c>
      <c r="E753">
        <f>Raw_Claims_Data!E752</f>
        <v>8000</v>
      </c>
      <c r="F753" t="str">
        <f>Raw_Claims_Data!F752</f>
        <v>DC</v>
      </c>
      <c r="G753" t="str">
        <f>Raw_Claims_Data!G752</f>
        <v>A</v>
      </c>
      <c r="H753" t="str">
        <f>Raw_Claims_Data!H752</f>
        <v>Minor Loss</v>
      </c>
      <c r="I753" t="str">
        <f>IF(Raw_Claims_Data!I752="","None",Raw_Claims_Data!I752)</f>
        <v>None</v>
      </c>
      <c r="J753" t="str">
        <f>Raw_Claims_Data!J752</f>
        <v>Panama City</v>
      </c>
      <c r="K753" t="str">
        <f>Raw_Claims_Data!K752</f>
        <v>FL</v>
      </c>
      <c r="L753">
        <f>Raw_Claims_Data!L752</f>
        <v>23</v>
      </c>
      <c r="M753" t="str">
        <f>IF(Raw_Claims_Data!M752="","N/A",Raw_Claims_Data!M752)</f>
        <v>VNDR00277</v>
      </c>
      <c r="N753" t="str">
        <f>Raw_Claims_Data!N752</f>
        <v>AGENT00606</v>
      </c>
      <c r="O753">
        <f>IF(Raw_Claims_Data!G752="D",1,0)</f>
        <v>0</v>
      </c>
    </row>
    <row r="754" spans="1:15" x14ac:dyDescent="0.35">
      <c r="A754" t="str">
        <f>Raw_Claims_Data!A753</f>
        <v>TXN00000750</v>
      </c>
      <c r="B754" t="str">
        <f>TRIM(Raw_Claims_Data!B753)</f>
        <v>Thomas Burket</v>
      </c>
      <c r="C754" t="str">
        <f>Raw_Claims_Data!C753</f>
        <v>Property</v>
      </c>
      <c r="D754">
        <f>Raw_Claims_Data!D753</f>
        <v>104.56</v>
      </c>
      <c r="E754">
        <f>Raw_Claims_Data!E753</f>
        <v>20000</v>
      </c>
      <c r="F754" t="str">
        <f>Raw_Claims_Data!F753</f>
        <v>MA</v>
      </c>
      <c r="G754" t="str">
        <f>Raw_Claims_Data!G753</f>
        <v>A</v>
      </c>
      <c r="H754" t="str">
        <f>Raw_Claims_Data!H753</f>
        <v>Minor Loss</v>
      </c>
      <c r="I754" t="str">
        <f>IF(Raw_Claims_Data!I753="","None",Raw_Claims_Data!I753)</f>
        <v>None</v>
      </c>
      <c r="J754" t="str">
        <f>Raw_Claims_Data!J753</f>
        <v>Worcester</v>
      </c>
      <c r="K754" t="str">
        <f>Raw_Claims_Data!K753</f>
        <v>MA</v>
      </c>
      <c r="L754">
        <f>Raw_Claims_Data!L753</f>
        <v>2</v>
      </c>
      <c r="M754" t="str">
        <f>IF(Raw_Claims_Data!M753="","N/A",Raw_Claims_Data!M753)</f>
        <v>VNDR00330</v>
      </c>
      <c r="N754" t="str">
        <f>Raw_Claims_Data!N753</f>
        <v>AGENT00315</v>
      </c>
      <c r="O754">
        <f>IF(Raw_Claims_Data!G753="D",1,0)</f>
        <v>0</v>
      </c>
    </row>
    <row r="755" spans="1:15" x14ac:dyDescent="0.35">
      <c r="A755" t="str">
        <f>Raw_Claims_Data!A754</f>
        <v>TXN00000751</v>
      </c>
      <c r="B755" t="str">
        <f>TRIM(Raw_Claims_Data!B754)</f>
        <v>Gregg Humphreys</v>
      </c>
      <c r="C755" t="str">
        <f>Raw_Claims_Data!C754</f>
        <v>Mobile</v>
      </c>
      <c r="D755">
        <f>Raw_Claims_Data!D754</f>
        <v>7.69</v>
      </c>
      <c r="E755">
        <f>Raw_Claims_Data!E754</f>
        <v>100</v>
      </c>
      <c r="F755" t="str">
        <f>Raw_Claims_Data!F754</f>
        <v>CA</v>
      </c>
      <c r="G755" t="str">
        <f>Raw_Claims_Data!G754</f>
        <v>A</v>
      </c>
      <c r="H755" t="str">
        <f>Raw_Claims_Data!H754</f>
        <v>Total Loss</v>
      </c>
      <c r="I755" t="str">
        <f>IF(Raw_Claims_Data!I754="","None",Raw_Claims_Data!I754)</f>
        <v>None</v>
      </c>
      <c r="J755" t="str">
        <f>Raw_Claims_Data!J754</f>
        <v>Arvada</v>
      </c>
      <c r="K755" t="str">
        <f>Raw_Claims_Data!K754</f>
        <v>CO</v>
      </c>
      <c r="L755">
        <f>Raw_Claims_Data!L754</f>
        <v>4</v>
      </c>
      <c r="M755" t="str">
        <f>IF(Raw_Claims_Data!M754="","N/A",Raw_Claims_Data!M754)</f>
        <v>VNDR00005</v>
      </c>
      <c r="N755" t="str">
        <f>Raw_Claims_Data!N754</f>
        <v>AGENT00214</v>
      </c>
      <c r="O755">
        <f>IF(Raw_Claims_Data!G754="D",1,0)</f>
        <v>0</v>
      </c>
    </row>
    <row r="756" spans="1:15" x14ac:dyDescent="0.35">
      <c r="A756" t="str">
        <f>Raw_Claims_Data!A755</f>
        <v>TXN00000752</v>
      </c>
      <c r="B756" t="str">
        <f>TRIM(Raw_Claims_Data!B755)</f>
        <v>Linda Moua</v>
      </c>
      <c r="C756" t="str">
        <f>Raw_Claims_Data!C755</f>
        <v>Mobile</v>
      </c>
      <c r="D756">
        <f>Raw_Claims_Data!D755</f>
        <v>7.21</v>
      </c>
      <c r="E756">
        <f>Raw_Claims_Data!E755</f>
        <v>400</v>
      </c>
      <c r="F756" t="str">
        <f>Raw_Claims_Data!F755</f>
        <v>CO</v>
      </c>
      <c r="G756" t="str">
        <f>Raw_Claims_Data!G755</f>
        <v>A</v>
      </c>
      <c r="H756" t="str">
        <f>Raw_Claims_Data!H755</f>
        <v>Total Loss</v>
      </c>
      <c r="I756" t="str">
        <f>IF(Raw_Claims_Data!I755="","None",Raw_Claims_Data!I755)</f>
        <v>None</v>
      </c>
      <c r="J756" t="str">
        <f>Raw_Claims_Data!J755</f>
        <v>Arvada</v>
      </c>
      <c r="K756" t="str">
        <f>Raw_Claims_Data!K755</f>
        <v>CO</v>
      </c>
      <c r="L756">
        <f>Raw_Claims_Data!L755</f>
        <v>2</v>
      </c>
      <c r="M756" t="str">
        <f>IF(Raw_Claims_Data!M755="","N/A",Raw_Claims_Data!M755)</f>
        <v>N/A</v>
      </c>
      <c r="N756" t="str">
        <f>Raw_Claims_Data!N755</f>
        <v>AGENT01109</v>
      </c>
      <c r="O756">
        <f>IF(Raw_Claims_Data!G755="D",1,0)</f>
        <v>0</v>
      </c>
    </row>
    <row r="757" spans="1:15" x14ac:dyDescent="0.35">
      <c r="A757" t="str">
        <f>Raw_Claims_Data!A756</f>
        <v>TXN00000753</v>
      </c>
      <c r="B757" t="str">
        <f>TRIM(Raw_Claims_Data!B756)</f>
        <v>Avis Koski</v>
      </c>
      <c r="C757" t="str">
        <f>Raw_Claims_Data!C756</f>
        <v>Property</v>
      </c>
      <c r="D757">
        <f>Raw_Claims_Data!D756</f>
        <v>83.3</v>
      </c>
      <c r="E757">
        <f>Raw_Claims_Data!E756</f>
        <v>20000</v>
      </c>
      <c r="F757" t="str">
        <f>Raw_Claims_Data!F756</f>
        <v>KY</v>
      </c>
      <c r="G757" t="str">
        <f>Raw_Claims_Data!G756</f>
        <v>A</v>
      </c>
      <c r="H757" t="str">
        <f>Raw_Claims_Data!H756</f>
        <v>Minor Loss</v>
      </c>
      <c r="I757" t="str">
        <f>IF(Raw_Claims_Data!I756="","None",Raw_Claims_Data!I756)</f>
        <v>Police</v>
      </c>
      <c r="J757" t="str">
        <f>Raw_Claims_Data!J756</f>
        <v>Glendale</v>
      </c>
      <c r="K757" t="str">
        <f>Raw_Claims_Data!K756</f>
        <v>AZ</v>
      </c>
      <c r="L757">
        <f>Raw_Claims_Data!L756</f>
        <v>19</v>
      </c>
      <c r="M757" t="str">
        <f>IF(Raw_Claims_Data!M756="","N/A",Raw_Claims_Data!M756)</f>
        <v>N/A</v>
      </c>
      <c r="N757" t="str">
        <f>Raw_Claims_Data!N756</f>
        <v>AGENT00937</v>
      </c>
      <c r="O757">
        <f>IF(Raw_Claims_Data!G756="D",1,0)</f>
        <v>0</v>
      </c>
    </row>
    <row r="758" spans="1:15" x14ac:dyDescent="0.35">
      <c r="A758" t="str">
        <f>Raw_Claims_Data!A757</f>
        <v>TXN00000754</v>
      </c>
      <c r="B758" t="str">
        <f>TRIM(Raw_Claims_Data!B757)</f>
        <v>Laura Neel</v>
      </c>
      <c r="C758" t="str">
        <f>Raw_Claims_Data!C757</f>
        <v>Health</v>
      </c>
      <c r="D758">
        <f>Raw_Claims_Data!D757</f>
        <v>131.4</v>
      </c>
      <c r="E758">
        <f>Raw_Claims_Data!E757</f>
        <v>14000</v>
      </c>
      <c r="F758" t="str">
        <f>Raw_Claims_Data!F757</f>
        <v>VT</v>
      </c>
      <c r="G758" t="str">
        <f>Raw_Claims_Data!G757</f>
        <v>D</v>
      </c>
      <c r="H758" t="str">
        <f>Raw_Claims_Data!H757</f>
        <v>Major Loss</v>
      </c>
      <c r="I758" t="str">
        <f>IF(Raw_Claims_Data!I757="","None",Raw_Claims_Data!I757)</f>
        <v>Other</v>
      </c>
      <c r="J758" t="str">
        <f>Raw_Claims_Data!J757</f>
        <v>Anchorage</v>
      </c>
      <c r="K758" t="str">
        <f>Raw_Claims_Data!K757</f>
        <v>AK</v>
      </c>
      <c r="L758">
        <f>Raw_Claims_Data!L757</f>
        <v>17</v>
      </c>
      <c r="M758" t="str">
        <f>IF(Raw_Claims_Data!M757="","N/A",Raw_Claims_Data!M757)</f>
        <v>N/A</v>
      </c>
      <c r="N758" t="str">
        <f>Raw_Claims_Data!N757</f>
        <v>AGENT00785</v>
      </c>
      <c r="O758">
        <f>IF(Raw_Claims_Data!G757="D",1,0)</f>
        <v>1</v>
      </c>
    </row>
    <row r="759" spans="1:15" x14ac:dyDescent="0.35">
      <c r="A759" t="str">
        <f>Raw_Claims_Data!A758</f>
        <v>TXN00000755</v>
      </c>
      <c r="B759" t="str">
        <f>TRIM(Raw_Claims_Data!B758)</f>
        <v>Walter Chambers</v>
      </c>
      <c r="C759" t="str">
        <f>Raw_Claims_Data!C758</f>
        <v>Health</v>
      </c>
      <c r="D759">
        <f>Raw_Claims_Data!D758</f>
        <v>150.66</v>
      </c>
      <c r="E759">
        <f>Raw_Claims_Data!E758</f>
        <v>8000</v>
      </c>
      <c r="F759" t="str">
        <f>Raw_Claims_Data!F758</f>
        <v>GA</v>
      </c>
      <c r="G759" t="str">
        <f>Raw_Claims_Data!G758</f>
        <v>A</v>
      </c>
      <c r="H759" t="str">
        <f>Raw_Claims_Data!H758</f>
        <v>Minor Loss</v>
      </c>
      <c r="I759" t="str">
        <f>IF(Raw_Claims_Data!I758="","None",Raw_Claims_Data!I758)</f>
        <v>Ambulance</v>
      </c>
      <c r="J759" t="str">
        <f>Raw_Claims_Data!J758</f>
        <v>Anchorage</v>
      </c>
      <c r="K759" t="str">
        <f>Raw_Claims_Data!K758</f>
        <v>AK</v>
      </c>
      <c r="L759">
        <f>Raw_Claims_Data!L758</f>
        <v>22</v>
      </c>
      <c r="M759" t="str">
        <f>IF(Raw_Claims_Data!M758="","N/A",Raw_Claims_Data!M758)</f>
        <v>VNDR00267</v>
      </c>
      <c r="N759" t="str">
        <f>Raw_Claims_Data!N758</f>
        <v>AGENT00160</v>
      </c>
      <c r="O759">
        <f>IF(Raw_Claims_Data!G758="D",1,0)</f>
        <v>0</v>
      </c>
    </row>
    <row r="760" spans="1:15" x14ac:dyDescent="0.35">
      <c r="A760" t="str">
        <f>Raw_Claims_Data!A759</f>
        <v>TXN00000756</v>
      </c>
      <c r="B760" t="str">
        <f>TRIM(Raw_Claims_Data!B759)</f>
        <v>Fred Zinn</v>
      </c>
      <c r="C760" t="str">
        <f>Raw_Claims_Data!C759</f>
        <v>Motor</v>
      </c>
      <c r="D760">
        <f>Raw_Claims_Data!D759</f>
        <v>92.74</v>
      </c>
      <c r="E760">
        <f>Raw_Claims_Data!E759</f>
        <v>10000</v>
      </c>
      <c r="F760" t="str">
        <f>Raw_Claims_Data!F759</f>
        <v>AZ</v>
      </c>
      <c r="G760" t="str">
        <f>Raw_Claims_Data!G759</f>
        <v>A</v>
      </c>
      <c r="H760" t="str">
        <f>Raw_Claims_Data!H759</f>
        <v>Major Loss</v>
      </c>
      <c r="I760" t="str">
        <f>IF(Raw_Claims_Data!I759="","None",Raw_Claims_Data!I759)</f>
        <v>Other</v>
      </c>
      <c r="J760" t="str">
        <f>Raw_Claims_Data!J759</f>
        <v>Panama City</v>
      </c>
      <c r="K760" t="str">
        <f>Raw_Claims_Data!K759</f>
        <v>FL</v>
      </c>
      <c r="L760">
        <f>Raw_Claims_Data!L759</f>
        <v>4</v>
      </c>
      <c r="M760" t="str">
        <f>IF(Raw_Claims_Data!M759="","N/A",Raw_Claims_Data!M759)</f>
        <v>VNDR00326</v>
      </c>
      <c r="N760" t="str">
        <f>Raw_Claims_Data!N759</f>
        <v>AGENT00017</v>
      </c>
      <c r="O760">
        <f>IF(Raw_Claims_Data!G759="D",1,0)</f>
        <v>0</v>
      </c>
    </row>
    <row r="761" spans="1:15" x14ac:dyDescent="0.35">
      <c r="A761" t="str">
        <f>Raw_Claims_Data!A760</f>
        <v>TXN00000757</v>
      </c>
      <c r="B761" t="str">
        <f>TRIM(Raw_Claims_Data!B760)</f>
        <v>Frank Nolte</v>
      </c>
      <c r="C761" t="str">
        <f>Raw_Claims_Data!C760</f>
        <v>Life</v>
      </c>
      <c r="D761">
        <f>Raw_Claims_Data!D760</f>
        <v>97.9</v>
      </c>
      <c r="E761">
        <f>Raw_Claims_Data!E760</f>
        <v>45000</v>
      </c>
      <c r="F761" t="str">
        <f>Raw_Claims_Data!F760</f>
        <v>KY</v>
      </c>
      <c r="G761" t="str">
        <f>Raw_Claims_Data!G760</f>
        <v>A</v>
      </c>
      <c r="H761" t="str">
        <f>Raw_Claims_Data!H760</f>
        <v>Total Loss</v>
      </c>
      <c r="I761" t="str">
        <f>IF(Raw_Claims_Data!I760="","None",Raw_Claims_Data!I760)</f>
        <v>Police</v>
      </c>
      <c r="J761" t="str">
        <f>Raw_Claims_Data!J760</f>
        <v>Pooler</v>
      </c>
      <c r="K761" t="str">
        <f>Raw_Claims_Data!K760</f>
        <v>GA</v>
      </c>
      <c r="L761">
        <f>Raw_Claims_Data!L760</f>
        <v>5</v>
      </c>
      <c r="M761" t="str">
        <f>IF(Raw_Claims_Data!M760="","N/A",Raw_Claims_Data!M760)</f>
        <v>VNDR00185</v>
      </c>
      <c r="N761" t="str">
        <f>Raw_Claims_Data!N760</f>
        <v>AGENT00081</v>
      </c>
      <c r="O761">
        <f>IF(Raw_Claims_Data!G760="D",1,0)</f>
        <v>0</v>
      </c>
    </row>
    <row r="762" spans="1:15" x14ac:dyDescent="0.35">
      <c r="A762" t="str">
        <f>Raw_Claims_Data!A761</f>
        <v>TXN00000758</v>
      </c>
      <c r="B762" t="str">
        <f>TRIM(Raw_Claims_Data!B761)</f>
        <v>Leona Boocks</v>
      </c>
      <c r="C762" t="str">
        <f>Raw_Claims_Data!C761</f>
        <v>Travel</v>
      </c>
      <c r="D762">
        <f>Raw_Claims_Data!D761</f>
        <v>84.58</v>
      </c>
      <c r="E762">
        <f>Raw_Claims_Data!E761</f>
        <v>2000</v>
      </c>
      <c r="F762" t="str">
        <f>Raw_Claims_Data!F761</f>
        <v>AK</v>
      </c>
      <c r="G762" t="str">
        <f>Raw_Claims_Data!G761</f>
        <v>A</v>
      </c>
      <c r="H762" t="str">
        <f>Raw_Claims_Data!H761</f>
        <v>Total Loss</v>
      </c>
      <c r="I762" t="str">
        <f>IF(Raw_Claims_Data!I761="","None",Raw_Claims_Data!I761)</f>
        <v>Police</v>
      </c>
      <c r="J762" t="str">
        <f>Raw_Claims_Data!J761</f>
        <v>Burlington</v>
      </c>
      <c r="K762" t="str">
        <f>Raw_Claims_Data!K761</f>
        <v>VT</v>
      </c>
      <c r="L762">
        <f>Raw_Claims_Data!L761</f>
        <v>22</v>
      </c>
      <c r="M762" t="str">
        <f>IF(Raw_Claims_Data!M761="","N/A",Raw_Claims_Data!M761)</f>
        <v>VNDR00564</v>
      </c>
      <c r="N762" t="str">
        <f>Raw_Claims_Data!N761</f>
        <v>AGENT00084</v>
      </c>
      <c r="O762">
        <f>IF(Raw_Claims_Data!G761="D",1,0)</f>
        <v>0</v>
      </c>
    </row>
    <row r="763" spans="1:15" x14ac:dyDescent="0.35">
      <c r="A763" t="str">
        <f>Raw_Claims_Data!A762</f>
        <v>TXN00000759</v>
      </c>
      <c r="B763" t="str">
        <f>TRIM(Raw_Claims_Data!B762)</f>
        <v>William Valdez</v>
      </c>
      <c r="C763" t="str">
        <f>Raw_Claims_Data!C762</f>
        <v>Travel</v>
      </c>
      <c r="D763">
        <f>Raw_Claims_Data!D762</f>
        <v>88.74</v>
      </c>
      <c r="E763">
        <f>Raw_Claims_Data!E762</f>
        <v>4000</v>
      </c>
      <c r="F763" t="str">
        <f>Raw_Claims_Data!F762</f>
        <v>KY</v>
      </c>
      <c r="G763" t="str">
        <f>Raw_Claims_Data!G762</f>
        <v>D</v>
      </c>
      <c r="H763" t="str">
        <f>Raw_Claims_Data!H762</f>
        <v>Total Loss</v>
      </c>
      <c r="I763" t="str">
        <f>IF(Raw_Claims_Data!I762="","None",Raw_Claims_Data!I762)</f>
        <v>Police</v>
      </c>
      <c r="J763" t="str">
        <f>Raw_Claims_Data!J762</f>
        <v>Anchorage</v>
      </c>
      <c r="K763" t="str">
        <f>Raw_Claims_Data!K762</f>
        <v>AK</v>
      </c>
      <c r="L763">
        <f>Raw_Claims_Data!L762</f>
        <v>17</v>
      </c>
      <c r="M763" t="str">
        <f>IF(Raw_Claims_Data!M762="","N/A",Raw_Claims_Data!M762)</f>
        <v>VNDR00530</v>
      </c>
      <c r="N763" t="str">
        <f>Raw_Claims_Data!N762</f>
        <v>AGENT00485</v>
      </c>
      <c r="O763">
        <f>IF(Raw_Claims_Data!G762="D",1,0)</f>
        <v>1</v>
      </c>
    </row>
    <row r="764" spans="1:15" x14ac:dyDescent="0.35">
      <c r="A764" t="str">
        <f>Raw_Claims_Data!A763</f>
        <v>TXN00000760</v>
      </c>
      <c r="B764" t="str">
        <f>TRIM(Raw_Claims_Data!B763)</f>
        <v>Linda Carter</v>
      </c>
      <c r="C764" t="str">
        <f>Raw_Claims_Data!C763</f>
        <v>Mobile</v>
      </c>
      <c r="D764">
        <f>Raw_Claims_Data!D763</f>
        <v>7.55</v>
      </c>
      <c r="E764">
        <f>Raw_Claims_Data!E763</f>
        <v>300</v>
      </c>
      <c r="F764" t="str">
        <f>Raw_Claims_Data!F763</f>
        <v>AK</v>
      </c>
      <c r="G764" t="str">
        <f>Raw_Claims_Data!G763</f>
        <v>A</v>
      </c>
      <c r="H764" t="str">
        <f>Raw_Claims_Data!H763</f>
        <v>Minor Loss</v>
      </c>
      <c r="I764" t="str">
        <f>IF(Raw_Claims_Data!I763="","None",Raw_Claims_Data!I763)</f>
        <v>Ambulance</v>
      </c>
      <c r="J764" t="str">
        <f>Raw_Claims_Data!J763</f>
        <v>Louisville</v>
      </c>
      <c r="K764" t="str">
        <f>Raw_Claims_Data!K763</f>
        <v>KY</v>
      </c>
      <c r="L764">
        <f>Raw_Claims_Data!L763</f>
        <v>16</v>
      </c>
      <c r="M764" t="str">
        <f>IF(Raw_Claims_Data!M763="","N/A",Raw_Claims_Data!M763)</f>
        <v>VNDR00200</v>
      </c>
      <c r="N764" t="str">
        <f>Raw_Claims_Data!N763</f>
        <v>AGENT00312</v>
      </c>
      <c r="O764">
        <f>IF(Raw_Claims_Data!G763="D",1,0)</f>
        <v>0</v>
      </c>
    </row>
    <row r="765" spans="1:15" x14ac:dyDescent="0.35">
      <c r="A765" t="str">
        <f>Raw_Claims_Data!A764</f>
        <v>TXN00000761</v>
      </c>
      <c r="B765" t="str">
        <f>TRIM(Raw_Claims_Data!B764)</f>
        <v>Lorie Bryant</v>
      </c>
      <c r="C765" t="str">
        <f>Raw_Claims_Data!C764</f>
        <v>Mobile</v>
      </c>
      <c r="D765">
        <f>Raw_Claims_Data!D764</f>
        <v>11.99</v>
      </c>
      <c r="E765">
        <f>Raw_Claims_Data!E764</f>
        <v>300</v>
      </c>
      <c r="F765" t="str">
        <f>Raw_Claims_Data!F764</f>
        <v>GA</v>
      </c>
      <c r="G765" t="str">
        <f>Raw_Claims_Data!G764</f>
        <v>A</v>
      </c>
      <c r="H765" t="str">
        <f>Raw_Claims_Data!H764</f>
        <v>Total Loss</v>
      </c>
      <c r="I765" t="str">
        <f>IF(Raw_Claims_Data!I764="","None",Raw_Claims_Data!I764)</f>
        <v>Ambulance</v>
      </c>
      <c r="J765" t="str">
        <f>Raw_Claims_Data!J764</f>
        <v>Manchester</v>
      </c>
      <c r="K765" t="str">
        <f>Raw_Claims_Data!K764</f>
        <v>CT</v>
      </c>
      <c r="L765">
        <f>Raw_Claims_Data!L764</f>
        <v>8</v>
      </c>
      <c r="M765" t="str">
        <f>IF(Raw_Claims_Data!M764="","N/A",Raw_Claims_Data!M764)</f>
        <v>VNDR00350</v>
      </c>
      <c r="N765" t="str">
        <f>Raw_Claims_Data!N764</f>
        <v>AGENT00292</v>
      </c>
      <c r="O765">
        <f>IF(Raw_Claims_Data!G764="D",1,0)</f>
        <v>0</v>
      </c>
    </row>
    <row r="766" spans="1:15" x14ac:dyDescent="0.35">
      <c r="A766" t="str">
        <f>Raw_Claims_Data!A765</f>
        <v>TXN00000762</v>
      </c>
      <c r="B766" t="str">
        <f>TRIM(Raw_Claims_Data!B765)</f>
        <v>Lora Hodges</v>
      </c>
      <c r="C766" t="str">
        <f>Raw_Claims_Data!C765</f>
        <v>Life</v>
      </c>
      <c r="D766">
        <f>Raw_Claims_Data!D765</f>
        <v>67.010000000000005</v>
      </c>
      <c r="E766">
        <f>Raw_Claims_Data!E765</f>
        <v>79000</v>
      </c>
      <c r="F766" t="str">
        <f>Raw_Claims_Data!F765</f>
        <v>AL</v>
      </c>
      <c r="G766" t="str">
        <f>Raw_Claims_Data!G765</f>
        <v>A</v>
      </c>
      <c r="H766" t="str">
        <f>Raw_Claims_Data!H765</f>
        <v>Major Loss</v>
      </c>
      <c r="I766" t="str">
        <f>IF(Raw_Claims_Data!I765="","None",Raw_Claims_Data!I765)</f>
        <v>None</v>
      </c>
      <c r="J766" t="str">
        <f>Raw_Claims_Data!J765</f>
        <v>Hayward</v>
      </c>
      <c r="K766" t="str">
        <f>Raw_Claims_Data!K765</f>
        <v>CA</v>
      </c>
      <c r="L766">
        <f>Raw_Claims_Data!L765</f>
        <v>15</v>
      </c>
      <c r="M766" t="str">
        <f>IF(Raw_Claims_Data!M765="","N/A",Raw_Claims_Data!M765)</f>
        <v>VNDR00277</v>
      </c>
      <c r="N766" t="str">
        <f>Raw_Claims_Data!N765</f>
        <v>AGENT01074</v>
      </c>
      <c r="O766">
        <f>IF(Raw_Claims_Data!G765="D",1,0)</f>
        <v>0</v>
      </c>
    </row>
    <row r="767" spans="1:15" x14ac:dyDescent="0.35">
      <c r="A767" t="str">
        <f>Raw_Claims_Data!A766</f>
        <v>TXN00000763</v>
      </c>
      <c r="B767" t="str">
        <f>TRIM(Raw_Claims_Data!B766)</f>
        <v>Jack James</v>
      </c>
      <c r="C767" t="str">
        <f>Raw_Claims_Data!C766</f>
        <v>Motor</v>
      </c>
      <c r="D767">
        <f>Raw_Claims_Data!D766</f>
        <v>134.61000000000001</v>
      </c>
      <c r="E767">
        <f>Raw_Claims_Data!E766</f>
        <v>2000</v>
      </c>
      <c r="F767" t="str">
        <f>Raw_Claims_Data!F766</f>
        <v>AR</v>
      </c>
      <c r="G767" t="str">
        <f>Raw_Claims_Data!G766</f>
        <v>A</v>
      </c>
      <c r="H767" t="str">
        <f>Raw_Claims_Data!H766</f>
        <v>Major Loss</v>
      </c>
      <c r="I767" t="str">
        <f>IF(Raw_Claims_Data!I766="","None",Raw_Claims_Data!I766)</f>
        <v>Police</v>
      </c>
      <c r="J767" t="str">
        <f>Raw_Claims_Data!J766</f>
        <v>Fremont</v>
      </c>
      <c r="K767" t="str">
        <f>Raw_Claims_Data!K766</f>
        <v>CA</v>
      </c>
      <c r="L767">
        <f>Raw_Claims_Data!L766</f>
        <v>3</v>
      </c>
      <c r="M767" t="str">
        <f>IF(Raw_Claims_Data!M766="","N/A",Raw_Claims_Data!M766)</f>
        <v>VNDR00315</v>
      </c>
      <c r="N767" t="str">
        <f>Raw_Claims_Data!N766</f>
        <v>AGENT00239</v>
      </c>
      <c r="O767">
        <f>IF(Raw_Claims_Data!G766="D",1,0)</f>
        <v>0</v>
      </c>
    </row>
    <row r="768" spans="1:15" x14ac:dyDescent="0.35">
      <c r="A768" t="str">
        <f>Raw_Claims_Data!A767</f>
        <v>TXN00000764</v>
      </c>
      <c r="B768" t="str">
        <f>TRIM(Raw_Claims_Data!B767)</f>
        <v>Bobbie Hite</v>
      </c>
      <c r="C768" t="str">
        <f>Raw_Claims_Data!C767</f>
        <v>Mobile</v>
      </c>
      <c r="D768">
        <f>Raw_Claims_Data!D767</f>
        <v>11.2</v>
      </c>
      <c r="E768">
        <f>Raw_Claims_Data!E767</f>
        <v>100</v>
      </c>
      <c r="F768" t="str">
        <f>Raw_Claims_Data!F767</f>
        <v>MD</v>
      </c>
      <c r="G768" t="str">
        <f>Raw_Claims_Data!G767</f>
        <v>A</v>
      </c>
      <c r="H768" t="str">
        <f>Raw_Claims_Data!H767</f>
        <v>Major Loss</v>
      </c>
      <c r="I768" t="str">
        <f>IF(Raw_Claims_Data!I767="","None",Raw_Claims_Data!I767)</f>
        <v>Ambulance</v>
      </c>
      <c r="J768" t="str">
        <f>Raw_Claims_Data!J767</f>
        <v>Laurel</v>
      </c>
      <c r="K768" t="str">
        <f>Raw_Claims_Data!K767</f>
        <v>MD</v>
      </c>
      <c r="L768">
        <f>Raw_Claims_Data!L767</f>
        <v>9</v>
      </c>
      <c r="M768" t="str">
        <f>IF(Raw_Claims_Data!M767="","N/A",Raw_Claims_Data!M767)</f>
        <v>N/A</v>
      </c>
      <c r="N768" t="str">
        <f>Raw_Claims_Data!N767</f>
        <v>AGENT00268</v>
      </c>
      <c r="O768">
        <f>IF(Raw_Claims_Data!G767="D",1,0)</f>
        <v>0</v>
      </c>
    </row>
    <row r="769" spans="1:15" x14ac:dyDescent="0.35">
      <c r="A769" t="str">
        <f>Raw_Claims_Data!A768</f>
        <v>TXN00000765</v>
      </c>
      <c r="B769" t="str">
        <f>TRIM(Raw_Claims_Data!B768)</f>
        <v>Patrick Goad</v>
      </c>
      <c r="C769" t="str">
        <f>Raw_Claims_Data!C768</f>
        <v>Travel</v>
      </c>
      <c r="D769">
        <f>Raw_Claims_Data!D768</f>
        <v>84.54</v>
      </c>
      <c r="E769">
        <f>Raw_Claims_Data!E768</f>
        <v>5000</v>
      </c>
      <c r="F769" t="str">
        <f>Raw_Claims_Data!F768</f>
        <v>AL</v>
      </c>
      <c r="G769" t="str">
        <f>Raw_Claims_Data!G768</f>
        <v>A</v>
      </c>
      <c r="H769" t="str">
        <f>Raw_Claims_Data!H768</f>
        <v>Major Loss</v>
      </c>
      <c r="I769" t="str">
        <f>IF(Raw_Claims_Data!I768="","None",Raw_Claims_Data!I768)</f>
        <v>Ambulance</v>
      </c>
      <c r="J769" t="str">
        <f>Raw_Claims_Data!J768</f>
        <v>Washington</v>
      </c>
      <c r="K769" t="str">
        <f>Raw_Claims_Data!K768</f>
        <v>DC</v>
      </c>
      <c r="L769">
        <f>Raw_Claims_Data!L768</f>
        <v>4</v>
      </c>
      <c r="M769" t="str">
        <f>IF(Raw_Claims_Data!M768="","N/A",Raw_Claims_Data!M768)</f>
        <v>VNDR00077</v>
      </c>
      <c r="N769" t="str">
        <f>Raw_Claims_Data!N768</f>
        <v>AGENT00794</v>
      </c>
      <c r="O769">
        <f>IF(Raw_Claims_Data!G768="D",1,0)</f>
        <v>0</v>
      </c>
    </row>
    <row r="770" spans="1:15" x14ac:dyDescent="0.35">
      <c r="A770" t="str">
        <f>Raw_Claims_Data!A769</f>
        <v>TXN00000766</v>
      </c>
      <c r="B770" t="str">
        <f>TRIM(Raw_Claims_Data!B769)</f>
        <v>James Mckenzie</v>
      </c>
      <c r="C770" t="str">
        <f>Raw_Claims_Data!C769</f>
        <v>Health</v>
      </c>
      <c r="D770">
        <f>Raw_Claims_Data!D769</f>
        <v>109.54</v>
      </c>
      <c r="E770">
        <f>Raw_Claims_Data!E769</f>
        <v>5000</v>
      </c>
      <c r="F770" t="str">
        <f>Raw_Claims_Data!F769</f>
        <v>CO</v>
      </c>
      <c r="G770" t="str">
        <f>Raw_Claims_Data!G769</f>
        <v>A</v>
      </c>
      <c r="H770" t="str">
        <f>Raw_Claims_Data!H769</f>
        <v>Total Loss</v>
      </c>
      <c r="I770" t="str">
        <f>IF(Raw_Claims_Data!I769="","None",Raw_Claims_Data!I769)</f>
        <v>Ambulance</v>
      </c>
      <c r="J770" t="str">
        <f>Raw_Claims_Data!J769</f>
        <v>Louisville</v>
      </c>
      <c r="K770" t="str">
        <f>Raw_Claims_Data!K769</f>
        <v>KY</v>
      </c>
      <c r="L770">
        <f>Raw_Claims_Data!L769</f>
        <v>11</v>
      </c>
      <c r="M770" t="str">
        <f>IF(Raw_Claims_Data!M769="","N/A",Raw_Claims_Data!M769)</f>
        <v>VNDR00287</v>
      </c>
      <c r="N770" t="str">
        <f>Raw_Claims_Data!N769</f>
        <v>AGENT00276</v>
      </c>
      <c r="O770">
        <f>IF(Raw_Claims_Data!G769="D",1,0)</f>
        <v>0</v>
      </c>
    </row>
    <row r="771" spans="1:15" x14ac:dyDescent="0.35">
      <c r="A771" t="str">
        <f>Raw_Claims_Data!A770</f>
        <v>TXN00000767</v>
      </c>
      <c r="B771" t="str">
        <f>TRIM(Raw_Claims_Data!B770)</f>
        <v>Emelina Spoor</v>
      </c>
      <c r="C771" t="str">
        <f>Raw_Claims_Data!C770</f>
        <v>Motor</v>
      </c>
      <c r="D771">
        <f>Raw_Claims_Data!D770</f>
        <v>127.69</v>
      </c>
      <c r="E771">
        <f>Raw_Claims_Data!E770</f>
        <v>1000</v>
      </c>
      <c r="F771" t="str">
        <f>Raw_Claims_Data!F770</f>
        <v>MD</v>
      </c>
      <c r="G771" t="str">
        <f>Raw_Claims_Data!G770</f>
        <v>A</v>
      </c>
      <c r="H771" t="str">
        <f>Raw_Claims_Data!H770</f>
        <v>Total Loss</v>
      </c>
      <c r="I771" t="str">
        <f>IF(Raw_Claims_Data!I770="","None",Raw_Claims_Data!I770)</f>
        <v>Ambulance</v>
      </c>
      <c r="J771" t="str">
        <f>Raw_Claims_Data!J770</f>
        <v>San Jose</v>
      </c>
      <c r="K771" t="str">
        <f>Raw_Claims_Data!K770</f>
        <v>CA</v>
      </c>
      <c r="L771">
        <f>Raw_Claims_Data!L770</f>
        <v>15</v>
      </c>
      <c r="M771" t="str">
        <f>IF(Raw_Claims_Data!M770="","N/A",Raw_Claims_Data!M770)</f>
        <v>VNDR00034</v>
      </c>
      <c r="N771" t="str">
        <f>Raw_Claims_Data!N770</f>
        <v>AGENT00993</v>
      </c>
      <c r="O771">
        <f>IF(Raw_Claims_Data!G770="D",1,0)</f>
        <v>0</v>
      </c>
    </row>
    <row r="772" spans="1:15" x14ac:dyDescent="0.35">
      <c r="A772" t="str">
        <f>Raw_Claims_Data!A771</f>
        <v>TXN00000768</v>
      </c>
      <c r="B772" t="str">
        <f>TRIM(Raw_Claims_Data!B771)</f>
        <v>Jeffrey Roberts</v>
      </c>
      <c r="C772" t="str">
        <f>Raw_Claims_Data!C771</f>
        <v>Motor</v>
      </c>
      <c r="D772">
        <f>Raw_Claims_Data!D771</f>
        <v>80.540000000000006</v>
      </c>
      <c r="E772">
        <f>Raw_Claims_Data!E771</f>
        <v>8000</v>
      </c>
      <c r="F772" t="str">
        <f>Raw_Claims_Data!F771</f>
        <v>AZ</v>
      </c>
      <c r="G772" t="str">
        <f>Raw_Claims_Data!G771</f>
        <v>A</v>
      </c>
      <c r="H772" t="str">
        <f>Raw_Claims_Data!H771</f>
        <v>Major Loss</v>
      </c>
      <c r="I772" t="str">
        <f>IF(Raw_Claims_Data!I771="","None",Raw_Claims_Data!I771)</f>
        <v>Ambulance</v>
      </c>
      <c r="J772" t="str">
        <f>Raw_Claims_Data!J771</f>
        <v>Thetford</v>
      </c>
      <c r="K772" t="str">
        <f>Raw_Claims_Data!K771</f>
        <v>VT</v>
      </c>
      <c r="L772">
        <f>Raw_Claims_Data!L771</f>
        <v>20</v>
      </c>
      <c r="M772" t="str">
        <f>IF(Raw_Claims_Data!M771="","N/A",Raw_Claims_Data!M771)</f>
        <v>VNDR00167</v>
      </c>
      <c r="N772" t="str">
        <f>Raw_Claims_Data!N771</f>
        <v>AGENT00534</v>
      </c>
      <c r="O772">
        <f>IF(Raw_Claims_Data!G771="D",1,0)</f>
        <v>0</v>
      </c>
    </row>
    <row r="773" spans="1:15" x14ac:dyDescent="0.35">
      <c r="A773" t="str">
        <f>Raw_Claims_Data!A772</f>
        <v>TXN00000769</v>
      </c>
      <c r="B773" t="str">
        <f>TRIM(Raw_Claims_Data!B772)</f>
        <v>Clifford Sinclair</v>
      </c>
      <c r="C773" t="str">
        <f>Raw_Claims_Data!C772</f>
        <v>Travel</v>
      </c>
      <c r="D773">
        <f>Raw_Claims_Data!D772</f>
        <v>78.95</v>
      </c>
      <c r="E773">
        <f>Raw_Claims_Data!E772</f>
        <v>5000</v>
      </c>
      <c r="F773" t="str">
        <f>Raw_Claims_Data!F772</f>
        <v>MA</v>
      </c>
      <c r="G773" t="str">
        <f>Raw_Claims_Data!G772</f>
        <v>D</v>
      </c>
      <c r="H773" t="str">
        <f>Raw_Claims_Data!H772</f>
        <v>Minor Loss</v>
      </c>
      <c r="I773" t="str">
        <f>IF(Raw_Claims_Data!I772="","None",Raw_Claims_Data!I772)</f>
        <v>Police</v>
      </c>
      <c r="J773" t="str">
        <f>Raw_Claims_Data!J772</f>
        <v>Fayetteville</v>
      </c>
      <c r="K773" t="str">
        <f>Raw_Claims_Data!K772</f>
        <v>AR</v>
      </c>
      <c r="L773">
        <f>Raw_Claims_Data!L772</f>
        <v>21</v>
      </c>
      <c r="M773" t="str">
        <f>IF(Raw_Claims_Data!M772="","N/A",Raw_Claims_Data!M772)</f>
        <v>VNDR00386</v>
      </c>
      <c r="N773" t="str">
        <f>Raw_Claims_Data!N772</f>
        <v>AGENT00222</v>
      </c>
      <c r="O773">
        <f>IF(Raw_Claims_Data!G772="D",1,0)</f>
        <v>1</v>
      </c>
    </row>
    <row r="774" spans="1:15" x14ac:dyDescent="0.35">
      <c r="A774" t="str">
        <f>Raw_Claims_Data!A773</f>
        <v>TXN00000770</v>
      </c>
      <c r="B774" t="str">
        <f>TRIM(Raw_Claims_Data!B773)</f>
        <v>Jonathan Salvietti</v>
      </c>
      <c r="C774" t="str">
        <f>Raw_Claims_Data!C773</f>
        <v>Health</v>
      </c>
      <c r="D774">
        <f>Raw_Claims_Data!D773</f>
        <v>189.99</v>
      </c>
      <c r="E774">
        <f>Raw_Claims_Data!E773</f>
        <v>16000</v>
      </c>
      <c r="F774" t="str">
        <f>Raw_Claims_Data!F773</f>
        <v>DC</v>
      </c>
      <c r="G774" t="str">
        <f>Raw_Claims_Data!G773</f>
        <v>A</v>
      </c>
      <c r="H774" t="str">
        <f>Raw_Claims_Data!H773</f>
        <v>Total Loss</v>
      </c>
      <c r="I774" t="str">
        <f>IF(Raw_Claims_Data!I773="","None",Raw_Claims_Data!I773)</f>
        <v>Ambulance</v>
      </c>
      <c r="J774" t="str">
        <f>Raw_Claims_Data!J773</f>
        <v>Manchester</v>
      </c>
      <c r="K774" t="str">
        <f>Raw_Claims_Data!K773</f>
        <v>CT</v>
      </c>
      <c r="L774">
        <f>Raw_Claims_Data!L773</f>
        <v>21</v>
      </c>
      <c r="M774" t="str">
        <f>IF(Raw_Claims_Data!M773="","N/A",Raw_Claims_Data!M773)</f>
        <v>N/A</v>
      </c>
      <c r="N774" t="str">
        <f>Raw_Claims_Data!N773</f>
        <v>AGENT01168</v>
      </c>
      <c r="O774">
        <f>IF(Raw_Claims_Data!G773="D",1,0)</f>
        <v>0</v>
      </c>
    </row>
    <row r="775" spans="1:15" x14ac:dyDescent="0.35">
      <c r="A775" t="str">
        <f>Raw_Claims_Data!A774</f>
        <v>TXN00000771</v>
      </c>
      <c r="B775" t="str">
        <f>TRIM(Raw_Claims_Data!B774)</f>
        <v>Evelyn Montenegro</v>
      </c>
      <c r="C775" t="str">
        <f>Raw_Claims_Data!C774</f>
        <v>Health</v>
      </c>
      <c r="D775">
        <f>Raw_Claims_Data!D774</f>
        <v>171.31</v>
      </c>
      <c r="E775">
        <f>Raw_Claims_Data!E774</f>
        <v>2000</v>
      </c>
      <c r="F775" t="str">
        <f>Raw_Claims_Data!F774</f>
        <v>AZ</v>
      </c>
      <c r="G775" t="str">
        <f>Raw_Claims_Data!G774</f>
        <v>A</v>
      </c>
      <c r="H775" t="str">
        <f>Raw_Claims_Data!H774</f>
        <v>Minor Loss</v>
      </c>
      <c r="I775" t="str">
        <f>IF(Raw_Claims_Data!I774="","None",Raw_Claims_Data!I774)</f>
        <v>Police</v>
      </c>
      <c r="J775" t="str">
        <f>Raw_Claims_Data!J774</f>
        <v>Anchorage</v>
      </c>
      <c r="K775" t="str">
        <f>Raw_Claims_Data!K774</f>
        <v>AK</v>
      </c>
      <c r="L775">
        <f>Raw_Claims_Data!L774</f>
        <v>7</v>
      </c>
      <c r="M775" t="str">
        <f>IF(Raw_Claims_Data!M774="","N/A",Raw_Claims_Data!M774)</f>
        <v>VNDR00123</v>
      </c>
      <c r="N775" t="str">
        <f>Raw_Claims_Data!N774</f>
        <v>AGENT00598</v>
      </c>
      <c r="O775">
        <f>IF(Raw_Claims_Data!G774="D",1,0)</f>
        <v>0</v>
      </c>
    </row>
    <row r="776" spans="1:15" x14ac:dyDescent="0.35">
      <c r="A776" t="str">
        <f>Raw_Claims_Data!A775</f>
        <v>TXN00000772</v>
      </c>
      <c r="B776" t="str">
        <f>TRIM(Raw_Claims_Data!B775)</f>
        <v>Robert Allen</v>
      </c>
      <c r="C776" t="str">
        <f>Raw_Claims_Data!C775</f>
        <v>Life</v>
      </c>
      <c r="D776">
        <f>Raw_Claims_Data!D775</f>
        <v>52.87</v>
      </c>
      <c r="E776">
        <f>Raw_Claims_Data!E775</f>
        <v>72000</v>
      </c>
      <c r="F776" t="str">
        <f>Raw_Claims_Data!F775</f>
        <v>GA</v>
      </c>
      <c r="G776" t="str">
        <f>Raw_Claims_Data!G775</f>
        <v>A</v>
      </c>
      <c r="H776" t="str">
        <f>Raw_Claims_Data!H775</f>
        <v>Minor Loss</v>
      </c>
      <c r="I776" t="str">
        <f>IF(Raw_Claims_Data!I775="","None",Raw_Claims_Data!I775)</f>
        <v>Ambulance</v>
      </c>
      <c r="J776" t="str">
        <f>Raw_Claims_Data!J775</f>
        <v>Savannah</v>
      </c>
      <c r="K776" t="str">
        <f>Raw_Claims_Data!K775</f>
        <v>GA</v>
      </c>
      <c r="L776">
        <f>Raw_Claims_Data!L775</f>
        <v>15</v>
      </c>
      <c r="M776" t="str">
        <f>IF(Raw_Claims_Data!M775="","N/A",Raw_Claims_Data!M775)</f>
        <v>N/A</v>
      </c>
      <c r="N776" t="str">
        <f>Raw_Claims_Data!N775</f>
        <v>AGENT00632</v>
      </c>
      <c r="O776">
        <f>IF(Raw_Claims_Data!G775="D",1,0)</f>
        <v>0</v>
      </c>
    </row>
    <row r="777" spans="1:15" x14ac:dyDescent="0.35">
      <c r="A777" t="str">
        <f>Raw_Claims_Data!A776</f>
        <v>TXN00000773</v>
      </c>
      <c r="B777" t="str">
        <f>TRIM(Raw_Claims_Data!B776)</f>
        <v>Beatrice Thomas</v>
      </c>
      <c r="C777" t="str">
        <f>Raw_Claims_Data!C776</f>
        <v>Property</v>
      </c>
      <c r="D777">
        <f>Raw_Claims_Data!D776</f>
        <v>142.93</v>
      </c>
      <c r="E777">
        <f>Raw_Claims_Data!E776</f>
        <v>20000</v>
      </c>
      <c r="F777" t="str">
        <f>Raw_Claims_Data!F776</f>
        <v>DC</v>
      </c>
      <c r="G777" t="str">
        <f>Raw_Claims_Data!G776</f>
        <v>A</v>
      </c>
      <c r="H777" t="str">
        <f>Raw_Claims_Data!H776</f>
        <v>Major Loss</v>
      </c>
      <c r="I777" t="str">
        <f>IF(Raw_Claims_Data!I776="","None",Raw_Claims_Data!I776)</f>
        <v>Other</v>
      </c>
      <c r="J777" t="str">
        <f>Raw_Claims_Data!J776</f>
        <v>Pittsford</v>
      </c>
      <c r="K777" t="str">
        <f>Raw_Claims_Data!K776</f>
        <v>VT</v>
      </c>
      <c r="L777">
        <f>Raw_Claims_Data!L776</f>
        <v>1</v>
      </c>
      <c r="M777" t="str">
        <f>IF(Raw_Claims_Data!M776="","N/A",Raw_Claims_Data!M776)</f>
        <v>VNDR00431</v>
      </c>
      <c r="N777" t="str">
        <f>Raw_Claims_Data!N776</f>
        <v>AGENT01104</v>
      </c>
      <c r="O777">
        <f>IF(Raw_Claims_Data!G776="D",1,0)</f>
        <v>0</v>
      </c>
    </row>
    <row r="778" spans="1:15" x14ac:dyDescent="0.35">
      <c r="A778" t="str">
        <f>Raw_Claims_Data!A777</f>
        <v>TXN00000774</v>
      </c>
      <c r="B778" t="str">
        <f>TRIM(Raw_Claims_Data!B777)</f>
        <v>Christine Gongalves</v>
      </c>
      <c r="C778" t="str">
        <f>Raw_Claims_Data!C777</f>
        <v>Health</v>
      </c>
      <c r="D778">
        <f>Raw_Claims_Data!D777</f>
        <v>152.03</v>
      </c>
      <c r="E778">
        <f>Raw_Claims_Data!E777</f>
        <v>3000</v>
      </c>
      <c r="F778" t="str">
        <f>Raw_Claims_Data!F777</f>
        <v>GA</v>
      </c>
      <c r="G778" t="str">
        <f>Raw_Claims_Data!G777</f>
        <v>A</v>
      </c>
      <c r="H778" t="str">
        <f>Raw_Claims_Data!H777</f>
        <v>Total Loss</v>
      </c>
      <c r="I778" t="str">
        <f>IF(Raw_Claims_Data!I777="","None",Raw_Claims_Data!I777)</f>
        <v>None</v>
      </c>
      <c r="J778" t="str">
        <f>Raw_Claims_Data!J777</f>
        <v>Grass Valley</v>
      </c>
      <c r="K778" t="str">
        <f>Raw_Claims_Data!K777</f>
        <v>CA</v>
      </c>
      <c r="L778">
        <f>Raw_Claims_Data!L777</f>
        <v>4</v>
      </c>
      <c r="M778" t="str">
        <f>IF(Raw_Claims_Data!M777="","N/A",Raw_Claims_Data!M777)</f>
        <v>VNDR00228</v>
      </c>
      <c r="N778" t="str">
        <f>Raw_Claims_Data!N777</f>
        <v>AGENT00815</v>
      </c>
      <c r="O778">
        <f>IF(Raw_Claims_Data!G777="D",1,0)</f>
        <v>0</v>
      </c>
    </row>
    <row r="779" spans="1:15" x14ac:dyDescent="0.35">
      <c r="A779" t="str">
        <f>Raw_Claims_Data!A778</f>
        <v>TXN00000775</v>
      </c>
      <c r="B779" t="str">
        <f>TRIM(Raw_Claims_Data!B778)</f>
        <v>Carlos York</v>
      </c>
      <c r="C779" t="str">
        <f>Raw_Claims_Data!C778</f>
        <v>Travel</v>
      </c>
      <c r="D779">
        <f>Raw_Claims_Data!D778</f>
        <v>77.23</v>
      </c>
      <c r="E779">
        <f>Raw_Claims_Data!E778</f>
        <v>2000</v>
      </c>
      <c r="F779" t="str">
        <f>Raw_Claims_Data!F778</f>
        <v>AL</v>
      </c>
      <c r="G779" t="str">
        <f>Raw_Claims_Data!G778</f>
        <v>A</v>
      </c>
      <c r="H779" t="str">
        <f>Raw_Claims_Data!H778</f>
        <v>Total Loss</v>
      </c>
      <c r="I779" t="str">
        <f>IF(Raw_Claims_Data!I778="","None",Raw_Claims_Data!I778)</f>
        <v>Police</v>
      </c>
      <c r="J779" t="str">
        <f>Raw_Claims_Data!J778</f>
        <v>Louisville</v>
      </c>
      <c r="K779" t="str">
        <f>Raw_Claims_Data!K778</f>
        <v>KY</v>
      </c>
      <c r="L779">
        <f>Raw_Claims_Data!L778</f>
        <v>18</v>
      </c>
      <c r="M779" t="str">
        <f>IF(Raw_Claims_Data!M778="","N/A",Raw_Claims_Data!M778)</f>
        <v>VNDR00521</v>
      </c>
      <c r="N779" t="str">
        <f>Raw_Claims_Data!N778</f>
        <v>AGENT01186</v>
      </c>
      <c r="O779">
        <f>IF(Raw_Claims_Data!G778="D",1,0)</f>
        <v>0</v>
      </c>
    </row>
    <row r="780" spans="1:15" x14ac:dyDescent="0.35">
      <c r="A780" t="str">
        <f>Raw_Claims_Data!A779</f>
        <v>TXN00000776</v>
      </c>
      <c r="B780" t="str">
        <f>TRIM(Raw_Claims_Data!B779)</f>
        <v>Robert Ha</v>
      </c>
      <c r="C780" t="str">
        <f>Raw_Claims_Data!C779</f>
        <v>Health</v>
      </c>
      <c r="D780">
        <f>Raw_Claims_Data!D779</f>
        <v>122.47</v>
      </c>
      <c r="E780">
        <f>Raw_Claims_Data!E779</f>
        <v>17000</v>
      </c>
      <c r="F780" t="str">
        <f>Raw_Claims_Data!F779</f>
        <v>MA</v>
      </c>
      <c r="G780" t="str">
        <f>Raw_Claims_Data!G779</f>
        <v>A</v>
      </c>
      <c r="H780" t="str">
        <f>Raw_Claims_Data!H779</f>
        <v>Total Loss</v>
      </c>
      <c r="I780" t="str">
        <f>IF(Raw_Claims_Data!I779="","None",Raw_Claims_Data!I779)</f>
        <v>Ambulance</v>
      </c>
      <c r="J780" t="str">
        <f>Raw_Claims_Data!J779</f>
        <v>Nashville</v>
      </c>
      <c r="K780" t="str">
        <f>Raw_Claims_Data!K779</f>
        <v>TN</v>
      </c>
      <c r="L780">
        <f>Raw_Claims_Data!L779</f>
        <v>19</v>
      </c>
      <c r="M780" t="str">
        <f>IF(Raw_Claims_Data!M779="","N/A",Raw_Claims_Data!M779)</f>
        <v>VNDR00330</v>
      </c>
      <c r="N780" t="str">
        <f>Raw_Claims_Data!N779</f>
        <v>AGENT00777</v>
      </c>
      <c r="O780">
        <f>IF(Raw_Claims_Data!G779="D",1,0)</f>
        <v>0</v>
      </c>
    </row>
    <row r="781" spans="1:15" x14ac:dyDescent="0.35">
      <c r="A781" t="str">
        <f>Raw_Claims_Data!A780</f>
        <v>TXN00000777</v>
      </c>
      <c r="B781" t="str">
        <f>TRIM(Raw_Claims_Data!B780)</f>
        <v>Marvin Ulrich</v>
      </c>
      <c r="C781" t="str">
        <f>Raw_Claims_Data!C780</f>
        <v>Life</v>
      </c>
      <c r="D781">
        <f>Raw_Claims_Data!D780</f>
        <v>90.83</v>
      </c>
      <c r="E781">
        <f>Raw_Claims_Data!E780</f>
        <v>52000</v>
      </c>
      <c r="F781" t="str">
        <f>Raw_Claims_Data!F780</f>
        <v>GA</v>
      </c>
      <c r="G781" t="str">
        <f>Raw_Claims_Data!G780</f>
        <v>A</v>
      </c>
      <c r="H781" t="str">
        <f>Raw_Claims_Data!H780</f>
        <v>Total Loss</v>
      </c>
      <c r="I781" t="str">
        <f>IF(Raw_Claims_Data!I780="","None",Raw_Claims_Data!I780)</f>
        <v>None</v>
      </c>
      <c r="J781" t="str">
        <f>Raw_Claims_Data!J780</f>
        <v>Hanover</v>
      </c>
      <c r="K781" t="str">
        <f>Raw_Claims_Data!K780</f>
        <v>MD</v>
      </c>
      <c r="L781">
        <f>Raw_Claims_Data!L780</f>
        <v>4</v>
      </c>
      <c r="M781" t="str">
        <f>IF(Raw_Claims_Data!M780="","N/A",Raw_Claims_Data!M780)</f>
        <v>VNDR00324</v>
      </c>
      <c r="N781" t="str">
        <f>Raw_Claims_Data!N780</f>
        <v>AGENT00847</v>
      </c>
      <c r="O781">
        <f>IF(Raw_Claims_Data!G780="D",1,0)</f>
        <v>0</v>
      </c>
    </row>
    <row r="782" spans="1:15" x14ac:dyDescent="0.35">
      <c r="A782" t="str">
        <f>Raw_Claims_Data!A781</f>
        <v>TXN00000778</v>
      </c>
      <c r="B782" t="str">
        <f>TRIM(Raw_Claims_Data!B781)</f>
        <v>Jane Schmitt</v>
      </c>
      <c r="C782" t="str">
        <f>Raw_Claims_Data!C781</f>
        <v>Mobile</v>
      </c>
      <c r="D782">
        <f>Raw_Claims_Data!D781</f>
        <v>10.93</v>
      </c>
      <c r="E782">
        <f>Raw_Claims_Data!E781</f>
        <v>400</v>
      </c>
      <c r="F782" t="str">
        <f>Raw_Claims_Data!F781</f>
        <v>CO</v>
      </c>
      <c r="G782" t="str">
        <f>Raw_Claims_Data!G781</f>
        <v>A</v>
      </c>
      <c r="H782" t="str">
        <f>Raw_Claims_Data!H781</f>
        <v>Total Loss</v>
      </c>
      <c r="I782" t="str">
        <f>IF(Raw_Claims_Data!I781="","None",Raw_Claims_Data!I781)</f>
        <v>Ambulance</v>
      </c>
      <c r="J782" t="str">
        <f>Raw_Claims_Data!J781</f>
        <v>Montgomery</v>
      </c>
      <c r="K782" t="str">
        <f>Raw_Claims_Data!K781</f>
        <v>AL</v>
      </c>
      <c r="L782">
        <f>Raw_Claims_Data!L781</f>
        <v>2</v>
      </c>
      <c r="M782" t="str">
        <f>IF(Raw_Claims_Data!M781="","N/A",Raw_Claims_Data!M781)</f>
        <v>VNDR00472</v>
      </c>
      <c r="N782" t="str">
        <f>Raw_Claims_Data!N781</f>
        <v>AGENT00491</v>
      </c>
      <c r="O782">
        <f>IF(Raw_Claims_Data!G781="D",1,0)</f>
        <v>0</v>
      </c>
    </row>
    <row r="783" spans="1:15" x14ac:dyDescent="0.35">
      <c r="A783" t="str">
        <f>Raw_Claims_Data!A782</f>
        <v>TXN00000779</v>
      </c>
      <c r="B783" t="str">
        <f>TRIM(Raw_Claims_Data!B782)</f>
        <v>Ruby Ziglar</v>
      </c>
      <c r="C783" t="str">
        <f>Raw_Claims_Data!C782</f>
        <v>Health</v>
      </c>
      <c r="D783">
        <f>Raw_Claims_Data!D782</f>
        <v>128.83000000000001</v>
      </c>
      <c r="E783">
        <f>Raw_Claims_Data!E782</f>
        <v>14000</v>
      </c>
      <c r="F783" t="str">
        <f>Raw_Claims_Data!F782</f>
        <v>CA</v>
      </c>
      <c r="G783" t="str">
        <f>Raw_Claims_Data!G782</f>
        <v>A</v>
      </c>
      <c r="H783" t="str">
        <f>Raw_Claims_Data!H782</f>
        <v>Minor Loss</v>
      </c>
      <c r="I783" t="str">
        <f>IF(Raw_Claims_Data!I782="","None",Raw_Claims_Data!I782)</f>
        <v>Ambulance</v>
      </c>
      <c r="J783" t="str">
        <f>Raw_Claims_Data!J782</f>
        <v>San Leandro</v>
      </c>
      <c r="K783" t="str">
        <f>Raw_Claims_Data!K782</f>
        <v>CA</v>
      </c>
      <c r="L783">
        <f>Raw_Claims_Data!L782</f>
        <v>10</v>
      </c>
      <c r="M783" t="str">
        <f>IF(Raw_Claims_Data!M782="","N/A",Raw_Claims_Data!M782)</f>
        <v>N/A</v>
      </c>
      <c r="N783" t="str">
        <f>Raw_Claims_Data!N782</f>
        <v>AGENT00146</v>
      </c>
      <c r="O783">
        <f>IF(Raw_Claims_Data!G782="D",1,0)</f>
        <v>0</v>
      </c>
    </row>
    <row r="784" spans="1:15" x14ac:dyDescent="0.35">
      <c r="A784" t="str">
        <f>Raw_Claims_Data!A783</f>
        <v>TXN00000780</v>
      </c>
      <c r="B784" t="str">
        <f>TRIM(Raw_Claims_Data!B783)</f>
        <v>Anna Harwood</v>
      </c>
      <c r="C784" t="str">
        <f>Raw_Claims_Data!C783</f>
        <v>Travel</v>
      </c>
      <c r="D784">
        <f>Raw_Claims_Data!D783</f>
        <v>94.65</v>
      </c>
      <c r="E784">
        <f>Raw_Claims_Data!E783</f>
        <v>5000</v>
      </c>
      <c r="F784" t="str">
        <f>Raw_Claims_Data!F783</f>
        <v>GA</v>
      </c>
      <c r="G784" t="str">
        <f>Raw_Claims_Data!G783</f>
        <v>A</v>
      </c>
      <c r="H784" t="str">
        <f>Raw_Claims_Data!H783</f>
        <v>Total Loss</v>
      </c>
      <c r="I784" t="str">
        <f>IF(Raw_Claims_Data!I783="","None",Raw_Claims_Data!I783)</f>
        <v>Police</v>
      </c>
      <c r="J784" t="str">
        <f>Raw_Claims_Data!J783</f>
        <v>Madera</v>
      </c>
      <c r="K784" t="str">
        <f>Raw_Claims_Data!K783</f>
        <v>CA</v>
      </c>
      <c r="L784">
        <f>Raw_Claims_Data!L783</f>
        <v>1</v>
      </c>
      <c r="M784" t="str">
        <f>IF(Raw_Claims_Data!M783="","N/A",Raw_Claims_Data!M783)</f>
        <v>VNDR00486</v>
      </c>
      <c r="N784" t="str">
        <f>Raw_Claims_Data!N783</f>
        <v>AGENT00452</v>
      </c>
      <c r="O784">
        <f>IF(Raw_Claims_Data!G783="D",1,0)</f>
        <v>0</v>
      </c>
    </row>
    <row r="785" spans="1:15" x14ac:dyDescent="0.35">
      <c r="A785" t="str">
        <f>Raw_Claims_Data!A784</f>
        <v>TXN00000781</v>
      </c>
      <c r="B785" t="str">
        <f>TRIM(Raw_Claims_Data!B784)</f>
        <v>Angela Hale</v>
      </c>
      <c r="C785" t="str">
        <f>Raw_Claims_Data!C784</f>
        <v>Motor</v>
      </c>
      <c r="D785">
        <f>Raw_Claims_Data!D784</f>
        <v>123.91</v>
      </c>
      <c r="E785">
        <f>Raw_Claims_Data!E784</f>
        <v>5000</v>
      </c>
      <c r="F785" t="str">
        <f>Raw_Claims_Data!F784</f>
        <v>AK</v>
      </c>
      <c r="G785" t="str">
        <f>Raw_Claims_Data!G784</f>
        <v>A</v>
      </c>
      <c r="H785" t="str">
        <f>Raw_Claims_Data!H784</f>
        <v>Total Loss</v>
      </c>
      <c r="I785" t="str">
        <f>IF(Raw_Claims_Data!I784="","None",Raw_Claims_Data!I784)</f>
        <v>Police</v>
      </c>
      <c r="J785" t="str">
        <f>Raw_Claims_Data!J784</f>
        <v>Washington</v>
      </c>
      <c r="K785" t="str">
        <f>Raw_Claims_Data!K784</f>
        <v>DC</v>
      </c>
      <c r="L785">
        <f>Raw_Claims_Data!L784</f>
        <v>8</v>
      </c>
      <c r="M785" t="str">
        <f>IF(Raw_Claims_Data!M784="","N/A",Raw_Claims_Data!M784)</f>
        <v>VNDR00373</v>
      </c>
      <c r="N785" t="str">
        <f>Raw_Claims_Data!N784</f>
        <v>AGENT00045</v>
      </c>
      <c r="O785">
        <f>IF(Raw_Claims_Data!G784="D",1,0)</f>
        <v>0</v>
      </c>
    </row>
    <row r="786" spans="1:15" x14ac:dyDescent="0.35">
      <c r="A786" t="str">
        <f>Raw_Claims_Data!A785</f>
        <v>TXN00000782</v>
      </c>
      <c r="B786" t="str">
        <f>TRIM(Raw_Claims_Data!B785)</f>
        <v>Michele Wood</v>
      </c>
      <c r="C786" t="str">
        <f>Raw_Claims_Data!C785</f>
        <v>Mobile</v>
      </c>
      <c r="D786">
        <f>Raw_Claims_Data!D785</f>
        <v>10.75</v>
      </c>
      <c r="E786">
        <f>Raw_Claims_Data!E785</f>
        <v>200</v>
      </c>
      <c r="F786" t="str">
        <f>Raw_Claims_Data!F785</f>
        <v>CO</v>
      </c>
      <c r="G786" t="str">
        <f>Raw_Claims_Data!G785</f>
        <v>A</v>
      </c>
      <c r="H786" t="str">
        <f>Raw_Claims_Data!H785</f>
        <v>Total Loss</v>
      </c>
      <c r="I786" t="str">
        <f>IF(Raw_Claims_Data!I785="","None",Raw_Claims_Data!I785)</f>
        <v>Police</v>
      </c>
      <c r="J786" t="str">
        <f>Raw_Claims_Data!J785</f>
        <v>Montgomery</v>
      </c>
      <c r="K786" t="str">
        <f>Raw_Claims_Data!K785</f>
        <v>AL</v>
      </c>
      <c r="L786">
        <f>Raw_Claims_Data!L785</f>
        <v>5</v>
      </c>
      <c r="M786" t="str">
        <f>IF(Raw_Claims_Data!M785="","N/A",Raw_Claims_Data!M785)</f>
        <v>VNDR00493</v>
      </c>
      <c r="N786" t="str">
        <f>Raw_Claims_Data!N785</f>
        <v>AGENT01160</v>
      </c>
      <c r="O786">
        <f>IF(Raw_Claims_Data!G785="D",1,0)</f>
        <v>0</v>
      </c>
    </row>
    <row r="787" spans="1:15" x14ac:dyDescent="0.35">
      <c r="A787" t="str">
        <f>Raw_Claims_Data!A786</f>
        <v>TXN00000783</v>
      </c>
      <c r="B787" t="str">
        <f>TRIM(Raw_Claims_Data!B786)</f>
        <v>Philip Wier</v>
      </c>
      <c r="C787" t="str">
        <f>Raw_Claims_Data!C786</f>
        <v>Property</v>
      </c>
      <c r="D787">
        <f>Raw_Claims_Data!D786</f>
        <v>115.29</v>
      </c>
      <c r="E787">
        <f>Raw_Claims_Data!E786</f>
        <v>15000</v>
      </c>
      <c r="F787" t="str">
        <f>Raw_Claims_Data!F786</f>
        <v>AL</v>
      </c>
      <c r="G787" t="str">
        <f>Raw_Claims_Data!G786</f>
        <v>A</v>
      </c>
      <c r="H787" t="str">
        <f>Raw_Claims_Data!H786</f>
        <v>Total Loss</v>
      </c>
      <c r="I787" t="str">
        <f>IF(Raw_Claims_Data!I786="","None",Raw_Claims_Data!I786)</f>
        <v>Ambulance</v>
      </c>
      <c r="J787" t="str">
        <f>Raw_Claims_Data!J786</f>
        <v>Anchorage</v>
      </c>
      <c r="K787" t="str">
        <f>Raw_Claims_Data!K786</f>
        <v>AK</v>
      </c>
      <c r="L787">
        <f>Raw_Claims_Data!L786</f>
        <v>15</v>
      </c>
      <c r="M787" t="str">
        <f>IF(Raw_Claims_Data!M786="","N/A",Raw_Claims_Data!M786)</f>
        <v>N/A</v>
      </c>
      <c r="N787" t="str">
        <f>Raw_Claims_Data!N786</f>
        <v>AGENT00947</v>
      </c>
      <c r="O787">
        <f>IF(Raw_Claims_Data!G786="D",1,0)</f>
        <v>0</v>
      </c>
    </row>
    <row r="788" spans="1:15" x14ac:dyDescent="0.35">
      <c r="A788" t="str">
        <f>Raw_Claims_Data!A787</f>
        <v>TXN00000784</v>
      </c>
      <c r="B788" t="str">
        <f>TRIM(Raw_Claims_Data!B787)</f>
        <v>Ronald Shipman</v>
      </c>
      <c r="C788" t="str">
        <f>Raw_Claims_Data!C787</f>
        <v>Travel</v>
      </c>
      <c r="D788">
        <f>Raw_Claims_Data!D787</f>
        <v>80.63</v>
      </c>
      <c r="E788">
        <f>Raw_Claims_Data!E787</f>
        <v>4000</v>
      </c>
      <c r="F788" t="str">
        <f>Raw_Claims_Data!F787</f>
        <v>CO</v>
      </c>
      <c r="G788" t="str">
        <f>Raw_Claims_Data!G787</f>
        <v>A</v>
      </c>
      <c r="H788" t="str">
        <f>Raw_Claims_Data!H787</f>
        <v>Minor Loss</v>
      </c>
      <c r="I788" t="str">
        <f>IF(Raw_Claims_Data!I787="","None",Raw_Claims_Data!I787)</f>
        <v>Police</v>
      </c>
      <c r="J788" t="str">
        <f>Raw_Claims_Data!J787</f>
        <v>Montgomery</v>
      </c>
      <c r="K788" t="str">
        <f>Raw_Claims_Data!K787</f>
        <v>AL</v>
      </c>
      <c r="L788">
        <f>Raw_Claims_Data!L787</f>
        <v>20</v>
      </c>
      <c r="M788" t="str">
        <f>IF(Raw_Claims_Data!M787="","N/A",Raw_Claims_Data!M787)</f>
        <v>VNDR00185</v>
      </c>
      <c r="N788" t="str">
        <f>Raw_Claims_Data!N787</f>
        <v>AGENT00885</v>
      </c>
      <c r="O788">
        <f>IF(Raw_Claims_Data!G787="D",1,0)</f>
        <v>0</v>
      </c>
    </row>
    <row r="789" spans="1:15" x14ac:dyDescent="0.35">
      <c r="A789" t="str">
        <f>Raw_Claims_Data!A788</f>
        <v>TXN00000785</v>
      </c>
      <c r="B789" t="str">
        <f>TRIM(Raw_Claims_Data!B788)</f>
        <v>Mary Sparks</v>
      </c>
      <c r="C789" t="str">
        <f>Raw_Claims_Data!C788</f>
        <v>Life</v>
      </c>
      <c r="D789">
        <f>Raw_Claims_Data!D788</f>
        <v>70.11</v>
      </c>
      <c r="E789">
        <f>Raw_Claims_Data!E788</f>
        <v>67000</v>
      </c>
      <c r="F789" t="str">
        <f>Raw_Claims_Data!F788</f>
        <v>CT</v>
      </c>
      <c r="G789" t="str">
        <f>Raw_Claims_Data!G788</f>
        <v>A</v>
      </c>
      <c r="H789" t="str">
        <f>Raw_Claims_Data!H788</f>
        <v>Total Loss</v>
      </c>
      <c r="I789" t="str">
        <f>IF(Raw_Claims_Data!I788="","None",Raw_Claims_Data!I788)</f>
        <v>None</v>
      </c>
      <c r="J789" t="str">
        <f>Raw_Claims_Data!J788</f>
        <v>Louisville</v>
      </c>
      <c r="K789" t="str">
        <f>Raw_Claims_Data!K788</f>
        <v>KY</v>
      </c>
      <c r="L789">
        <f>Raw_Claims_Data!L788</f>
        <v>12</v>
      </c>
      <c r="M789" t="str">
        <f>IF(Raw_Claims_Data!M788="","N/A",Raw_Claims_Data!M788)</f>
        <v>N/A</v>
      </c>
      <c r="N789" t="str">
        <f>Raw_Claims_Data!N788</f>
        <v>AGENT00679</v>
      </c>
      <c r="O789">
        <f>IF(Raw_Claims_Data!G788="D",1,0)</f>
        <v>0</v>
      </c>
    </row>
    <row r="790" spans="1:15" x14ac:dyDescent="0.35">
      <c r="A790" t="str">
        <f>Raw_Claims_Data!A789</f>
        <v>TXN00000786</v>
      </c>
      <c r="B790" t="str">
        <f>TRIM(Raw_Claims_Data!B789)</f>
        <v>Arthur Leathers</v>
      </c>
      <c r="C790" t="str">
        <f>Raw_Claims_Data!C789</f>
        <v>Travel</v>
      </c>
      <c r="D790">
        <f>Raw_Claims_Data!D789</f>
        <v>89.33</v>
      </c>
      <c r="E790">
        <f>Raw_Claims_Data!E789</f>
        <v>3000</v>
      </c>
      <c r="F790" t="str">
        <f>Raw_Claims_Data!F789</f>
        <v>AK</v>
      </c>
      <c r="G790" t="str">
        <f>Raw_Claims_Data!G789</f>
        <v>A</v>
      </c>
      <c r="H790" t="str">
        <f>Raw_Claims_Data!H789</f>
        <v>Total Loss</v>
      </c>
      <c r="I790" t="str">
        <f>IF(Raw_Claims_Data!I789="","None",Raw_Claims_Data!I789)</f>
        <v>Other</v>
      </c>
      <c r="J790" t="str">
        <f>Raw_Claims_Data!J789</f>
        <v>Louisville</v>
      </c>
      <c r="K790" t="str">
        <f>Raw_Claims_Data!K789</f>
        <v>KY</v>
      </c>
      <c r="L790">
        <f>Raw_Claims_Data!L789</f>
        <v>13</v>
      </c>
      <c r="M790" t="str">
        <f>IF(Raw_Claims_Data!M789="","N/A",Raw_Claims_Data!M789)</f>
        <v>VNDR00115</v>
      </c>
      <c r="N790" t="str">
        <f>Raw_Claims_Data!N789</f>
        <v>AGENT00299</v>
      </c>
      <c r="O790">
        <f>IF(Raw_Claims_Data!G789="D",1,0)</f>
        <v>0</v>
      </c>
    </row>
    <row r="791" spans="1:15" x14ac:dyDescent="0.35">
      <c r="A791" t="str">
        <f>Raw_Claims_Data!A790</f>
        <v>TXN00000787</v>
      </c>
      <c r="B791" t="str">
        <f>TRIM(Raw_Claims_Data!B790)</f>
        <v>Ola Benack</v>
      </c>
      <c r="C791" t="str">
        <f>Raw_Claims_Data!C790</f>
        <v>Travel</v>
      </c>
      <c r="D791">
        <f>Raw_Claims_Data!D790</f>
        <v>93.27</v>
      </c>
      <c r="E791">
        <f>Raw_Claims_Data!E790</f>
        <v>3000</v>
      </c>
      <c r="F791" t="str">
        <f>Raw_Claims_Data!F790</f>
        <v>DC</v>
      </c>
      <c r="G791" t="str">
        <f>Raw_Claims_Data!G790</f>
        <v>A</v>
      </c>
      <c r="H791" t="str">
        <f>Raw_Claims_Data!H790</f>
        <v>Total Loss</v>
      </c>
      <c r="I791" t="str">
        <f>IF(Raw_Claims_Data!I790="","None",Raw_Claims_Data!I790)</f>
        <v>Ambulance</v>
      </c>
      <c r="J791" t="str">
        <f>Raw_Claims_Data!J790</f>
        <v>Louisville</v>
      </c>
      <c r="K791" t="str">
        <f>Raw_Claims_Data!K790</f>
        <v>KY</v>
      </c>
      <c r="L791">
        <f>Raw_Claims_Data!L790</f>
        <v>7</v>
      </c>
      <c r="M791" t="str">
        <f>IF(Raw_Claims_Data!M790="","N/A",Raw_Claims_Data!M790)</f>
        <v>N/A</v>
      </c>
      <c r="N791" t="str">
        <f>Raw_Claims_Data!N790</f>
        <v>AGENT00385</v>
      </c>
      <c r="O791">
        <f>IF(Raw_Claims_Data!G790="D",1,0)</f>
        <v>0</v>
      </c>
    </row>
    <row r="792" spans="1:15" x14ac:dyDescent="0.35">
      <c r="A792" t="str">
        <f>Raw_Claims_Data!A791</f>
        <v>TXN00000788</v>
      </c>
      <c r="B792" t="str">
        <f>TRIM(Raw_Claims_Data!B791)</f>
        <v>Enrique Payne</v>
      </c>
      <c r="C792" t="str">
        <f>Raw_Claims_Data!C791</f>
        <v>Motor</v>
      </c>
      <c r="D792">
        <f>Raw_Claims_Data!D791</f>
        <v>124.35</v>
      </c>
      <c r="E792">
        <f>Raw_Claims_Data!E791</f>
        <v>1000</v>
      </c>
      <c r="F792" t="str">
        <f>Raw_Claims_Data!F791</f>
        <v>KY</v>
      </c>
      <c r="G792" t="str">
        <f>Raw_Claims_Data!G791</f>
        <v>A</v>
      </c>
      <c r="H792" t="str">
        <f>Raw_Claims_Data!H791</f>
        <v>Total Loss</v>
      </c>
      <c r="I792" t="str">
        <f>IF(Raw_Claims_Data!I791="","None",Raw_Claims_Data!I791)</f>
        <v>Ambulance</v>
      </c>
      <c r="J792" t="str">
        <f>Raw_Claims_Data!J791</f>
        <v>Arvada</v>
      </c>
      <c r="K792" t="str">
        <f>Raw_Claims_Data!K791</f>
        <v>CO</v>
      </c>
      <c r="L792">
        <f>Raw_Claims_Data!L791</f>
        <v>14</v>
      </c>
      <c r="M792" t="str">
        <f>IF(Raw_Claims_Data!M791="","N/A",Raw_Claims_Data!M791)</f>
        <v>N/A</v>
      </c>
      <c r="N792" t="str">
        <f>Raw_Claims_Data!N791</f>
        <v>AGENT00600</v>
      </c>
      <c r="O792">
        <f>IF(Raw_Claims_Data!G791="D",1,0)</f>
        <v>0</v>
      </c>
    </row>
    <row r="793" spans="1:15" x14ac:dyDescent="0.35">
      <c r="A793" t="str">
        <f>Raw_Claims_Data!A792</f>
        <v>TXN00000789</v>
      </c>
      <c r="B793" t="str">
        <f>TRIM(Raw_Claims_Data!B792)</f>
        <v>Lidia Hernandez</v>
      </c>
      <c r="C793" t="str">
        <f>Raw_Claims_Data!C792</f>
        <v>Travel</v>
      </c>
      <c r="D793">
        <f>Raw_Claims_Data!D792</f>
        <v>52.47</v>
      </c>
      <c r="E793">
        <f>Raw_Claims_Data!E792</f>
        <v>3000</v>
      </c>
      <c r="F793" t="str">
        <f>Raw_Claims_Data!F792</f>
        <v>FL</v>
      </c>
      <c r="G793" t="str">
        <f>Raw_Claims_Data!G792</f>
        <v>A</v>
      </c>
      <c r="H793" t="str">
        <f>Raw_Claims_Data!H792</f>
        <v>Total Loss</v>
      </c>
      <c r="I793" t="str">
        <f>IF(Raw_Claims_Data!I792="","None",Raw_Claims_Data!I792)</f>
        <v>None</v>
      </c>
      <c r="J793" t="str">
        <f>Raw_Claims_Data!J792</f>
        <v>Van Buren</v>
      </c>
      <c r="K793" t="str">
        <f>Raw_Claims_Data!K792</f>
        <v>AR</v>
      </c>
      <c r="L793">
        <f>Raw_Claims_Data!L792</f>
        <v>22</v>
      </c>
      <c r="M793" t="str">
        <f>IF(Raw_Claims_Data!M792="","N/A",Raw_Claims_Data!M792)</f>
        <v>VNDR00283</v>
      </c>
      <c r="N793" t="str">
        <f>Raw_Claims_Data!N792</f>
        <v>AGENT00232</v>
      </c>
      <c r="O793">
        <f>IF(Raw_Claims_Data!G792="D",1,0)</f>
        <v>0</v>
      </c>
    </row>
    <row r="794" spans="1:15" x14ac:dyDescent="0.35">
      <c r="A794" t="str">
        <f>Raw_Claims_Data!A793</f>
        <v>TXN00000790</v>
      </c>
      <c r="B794" t="str">
        <f>TRIM(Raw_Claims_Data!B793)</f>
        <v>Christie Cann</v>
      </c>
      <c r="C794" t="str">
        <f>Raw_Claims_Data!C793</f>
        <v>Mobile</v>
      </c>
      <c r="D794">
        <f>Raw_Claims_Data!D793</f>
        <v>9.34</v>
      </c>
      <c r="E794">
        <f>Raw_Claims_Data!E793</f>
        <v>200</v>
      </c>
      <c r="F794" t="str">
        <f>Raw_Claims_Data!F793</f>
        <v>GA</v>
      </c>
      <c r="G794" t="str">
        <f>Raw_Claims_Data!G793</f>
        <v>A</v>
      </c>
      <c r="H794" t="str">
        <f>Raw_Claims_Data!H793</f>
        <v>Minor Loss</v>
      </c>
      <c r="I794" t="str">
        <f>IF(Raw_Claims_Data!I793="","None",Raw_Claims_Data!I793)</f>
        <v>Police</v>
      </c>
      <c r="J794" t="str">
        <f>Raw_Claims_Data!J793</f>
        <v>Nashville</v>
      </c>
      <c r="K794" t="str">
        <f>Raw_Claims_Data!K793</f>
        <v>TN</v>
      </c>
      <c r="L794">
        <f>Raw_Claims_Data!L793</f>
        <v>12</v>
      </c>
      <c r="M794" t="str">
        <f>IF(Raw_Claims_Data!M793="","N/A",Raw_Claims_Data!M793)</f>
        <v>N/A</v>
      </c>
      <c r="N794" t="str">
        <f>Raw_Claims_Data!N793</f>
        <v>AGENT00425</v>
      </c>
      <c r="O794">
        <f>IF(Raw_Claims_Data!G793="D",1,0)</f>
        <v>0</v>
      </c>
    </row>
    <row r="795" spans="1:15" x14ac:dyDescent="0.35">
      <c r="A795" t="str">
        <f>Raw_Claims_Data!A794</f>
        <v>TXN00000791</v>
      </c>
      <c r="B795" t="str">
        <f>TRIM(Raw_Claims_Data!B794)</f>
        <v>Robert Hogue</v>
      </c>
      <c r="C795" t="str">
        <f>Raw_Claims_Data!C794</f>
        <v>Motor</v>
      </c>
      <c r="D795">
        <f>Raw_Claims_Data!D794</f>
        <v>78.08</v>
      </c>
      <c r="E795">
        <f>Raw_Claims_Data!E794</f>
        <v>9000</v>
      </c>
      <c r="F795" t="str">
        <f>Raw_Claims_Data!F794</f>
        <v>TN</v>
      </c>
      <c r="G795" t="str">
        <f>Raw_Claims_Data!G794</f>
        <v>A</v>
      </c>
      <c r="H795" t="str">
        <f>Raw_Claims_Data!H794</f>
        <v>Minor Loss</v>
      </c>
      <c r="I795" t="str">
        <f>IF(Raw_Claims_Data!I794="","None",Raw_Claims_Data!I794)</f>
        <v>None</v>
      </c>
      <c r="J795" t="str">
        <f>Raw_Claims_Data!J794</f>
        <v>Anchorage</v>
      </c>
      <c r="K795" t="str">
        <f>Raw_Claims_Data!K794</f>
        <v>AK</v>
      </c>
      <c r="L795">
        <f>Raw_Claims_Data!L794</f>
        <v>3</v>
      </c>
      <c r="M795" t="str">
        <f>IF(Raw_Claims_Data!M794="","N/A",Raw_Claims_Data!M794)</f>
        <v>N/A</v>
      </c>
      <c r="N795" t="str">
        <f>Raw_Claims_Data!N794</f>
        <v>AGENT00764</v>
      </c>
      <c r="O795">
        <f>IF(Raw_Claims_Data!G794="D",1,0)</f>
        <v>0</v>
      </c>
    </row>
    <row r="796" spans="1:15" x14ac:dyDescent="0.35">
      <c r="A796" t="str">
        <f>Raw_Claims_Data!A795</f>
        <v>TXN00000792</v>
      </c>
      <c r="B796" t="str">
        <f>TRIM(Raw_Claims_Data!B795)</f>
        <v>Rene Thompson</v>
      </c>
      <c r="C796" t="str">
        <f>Raw_Claims_Data!C795</f>
        <v>Health</v>
      </c>
      <c r="D796">
        <f>Raw_Claims_Data!D795</f>
        <v>128.32</v>
      </c>
      <c r="E796">
        <f>Raw_Claims_Data!E795</f>
        <v>8000</v>
      </c>
      <c r="F796" t="str">
        <f>Raw_Claims_Data!F795</f>
        <v>DC</v>
      </c>
      <c r="G796" t="str">
        <f>Raw_Claims_Data!G795</f>
        <v>A</v>
      </c>
      <c r="H796" t="str">
        <f>Raw_Claims_Data!H795</f>
        <v>Minor Loss</v>
      </c>
      <c r="I796" t="str">
        <f>IF(Raw_Claims_Data!I795="","None",Raw_Claims_Data!I795)</f>
        <v>Ambulance</v>
      </c>
      <c r="J796" t="str">
        <f>Raw_Claims_Data!J795</f>
        <v>Saint Matthews</v>
      </c>
      <c r="K796" t="str">
        <f>Raw_Claims_Data!K795</f>
        <v>KY</v>
      </c>
      <c r="L796">
        <f>Raw_Claims_Data!L795</f>
        <v>19</v>
      </c>
      <c r="M796" t="str">
        <f>IF(Raw_Claims_Data!M795="","N/A",Raw_Claims_Data!M795)</f>
        <v>VNDR00265</v>
      </c>
      <c r="N796" t="str">
        <f>Raw_Claims_Data!N795</f>
        <v>AGENT00692</v>
      </c>
      <c r="O796">
        <f>IF(Raw_Claims_Data!G795="D",1,0)</f>
        <v>0</v>
      </c>
    </row>
    <row r="797" spans="1:15" x14ac:dyDescent="0.35">
      <c r="A797" t="str">
        <f>Raw_Claims_Data!A796</f>
        <v>TXN00000793</v>
      </c>
      <c r="B797" t="str">
        <f>TRIM(Raw_Claims_Data!B796)</f>
        <v>Hazel Powell</v>
      </c>
      <c r="C797" t="str">
        <f>Raw_Claims_Data!C796</f>
        <v>Mobile</v>
      </c>
      <c r="D797">
        <f>Raw_Claims_Data!D796</f>
        <v>7.71</v>
      </c>
      <c r="E797">
        <f>Raw_Claims_Data!E796</f>
        <v>200</v>
      </c>
      <c r="F797" t="str">
        <f>Raw_Claims_Data!F796</f>
        <v>TN</v>
      </c>
      <c r="G797" t="str">
        <f>Raw_Claims_Data!G796</f>
        <v>A</v>
      </c>
      <c r="H797" t="str">
        <f>Raw_Claims_Data!H796</f>
        <v>Major Loss</v>
      </c>
      <c r="I797" t="str">
        <f>IF(Raw_Claims_Data!I796="","None",Raw_Claims_Data!I796)</f>
        <v>Police</v>
      </c>
      <c r="J797" t="str">
        <f>Raw_Claims_Data!J796</f>
        <v>Manchester</v>
      </c>
      <c r="K797" t="str">
        <f>Raw_Claims_Data!K796</f>
        <v>CT</v>
      </c>
      <c r="L797">
        <f>Raw_Claims_Data!L796</f>
        <v>15</v>
      </c>
      <c r="M797" t="str">
        <f>IF(Raw_Claims_Data!M796="","N/A",Raw_Claims_Data!M796)</f>
        <v>VNDR00119</v>
      </c>
      <c r="N797" t="str">
        <f>Raw_Claims_Data!N796</f>
        <v>AGENT01022</v>
      </c>
      <c r="O797">
        <f>IF(Raw_Claims_Data!G796="D",1,0)</f>
        <v>0</v>
      </c>
    </row>
    <row r="798" spans="1:15" x14ac:dyDescent="0.35">
      <c r="A798" t="str">
        <f>Raw_Claims_Data!A797</f>
        <v>TXN00000794</v>
      </c>
      <c r="B798" t="str">
        <f>TRIM(Raw_Claims_Data!B797)</f>
        <v>Gary Queen</v>
      </c>
      <c r="C798" t="str">
        <f>Raw_Claims_Data!C797</f>
        <v>Mobile</v>
      </c>
      <c r="D798">
        <f>Raw_Claims_Data!D797</f>
        <v>8.42</v>
      </c>
      <c r="E798">
        <f>Raw_Claims_Data!E797</f>
        <v>100</v>
      </c>
      <c r="F798" t="str">
        <f>Raw_Claims_Data!F797</f>
        <v>AK</v>
      </c>
      <c r="G798" t="str">
        <f>Raw_Claims_Data!G797</f>
        <v>A</v>
      </c>
      <c r="H798" t="str">
        <f>Raw_Claims_Data!H797</f>
        <v>Total Loss</v>
      </c>
      <c r="I798" t="str">
        <f>IF(Raw_Claims_Data!I797="","None",Raw_Claims_Data!I797)</f>
        <v>Police</v>
      </c>
      <c r="J798" t="str">
        <f>Raw_Claims_Data!J797</f>
        <v>Mesa</v>
      </c>
      <c r="K798" t="str">
        <f>Raw_Claims_Data!K797</f>
        <v>AZ</v>
      </c>
      <c r="L798">
        <f>Raw_Claims_Data!L797</f>
        <v>21</v>
      </c>
      <c r="M798" t="str">
        <f>IF(Raw_Claims_Data!M797="","N/A",Raw_Claims_Data!M797)</f>
        <v>VNDR00081</v>
      </c>
      <c r="N798" t="str">
        <f>Raw_Claims_Data!N797</f>
        <v>AGENT00429</v>
      </c>
      <c r="O798">
        <f>IF(Raw_Claims_Data!G797="D",1,0)</f>
        <v>0</v>
      </c>
    </row>
    <row r="799" spans="1:15" x14ac:dyDescent="0.35">
      <c r="A799" t="str">
        <f>Raw_Claims_Data!A798</f>
        <v>TXN00000795</v>
      </c>
      <c r="B799" t="str">
        <f>TRIM(Raw_Claims_Data!B798)</f>
        <v>Larry Vix</v>
      </c>
      <c r="C799" t="str">
        <f>Raw_Claims_Data!C798</f>
        <v>Motor</v>
      </c>
      <c r="D799">
        <f>Raw_Claims_Data!D798</f>
        <v>110.77</v>
      </c>
      <c r="E799">
        <f>Raw_Claims_Data!E798</f>
        <v>10000</v>
      </c>
      <c r="F799" t="str">
        <f>Raw_Claims_Data!F798</f>
        <v>MD</v>
      </c>
      <c r="G799" t="str">
        <f>Raw_Claims_Data!G798</f>
        <v>A</v>
      </c>
      <c r="H799" t="str">
        <f>Raw_Claims_Data!H798</f>
        <v>Minor Loss</v>
      </c>
      <c r="I799" t="str">
        <f>IF(Raw_Claims_Data!I798="","None",Raw_Claims_Data!I798)</f>
        <v>Police</v>
      </c>
      <c r="J799" t="str">
        <f>Raw_Claims_Data!J798</f>
        <v>Farmington</v>
      </c>
      <c r="K799" t="str">
        <f>Raw_Claims_Data!K798</f>
        <v>AR</v>
      </c>
      <c r="L799">
        <f>Raw_Claims_Data!L798</f>
        <v>12</v>
      </c>
      <c r="M799" t="str">
        <f>IF(Raw_Claims_Data!M798="","N/A",Raw_Claims_Data!M798)</f>
        <v>VNDR00450</v>
      </c>
      <c r="N799" t="str">
        <f>Raw_Claims_Data!N798</f>
        <v>AGENT00005</v>
      </c>
      <c r="O799">
        <f>IF(Raw_Claims_Data!G798="D",1,0)</f>
        <v>0</v>
      </c>
    </row>
    <row r="800" spans="1:15" x14ac:dyDescent="0.35">
      <c r="A800" t="str">
        <f>Raw_Claims_Data!A799</f>
        <v>TXN00000796</v>
      </c>
      <c r="B800" t="str">
        <f>TRIM(Raw_Claims_Data!B799)</f>
        <v>Melina Stuck</v>
      </c>
      <c r="C800" t="str">
        <f>Raw_Claims_Data!C799</f>
        <v>Travel</v>
      </c>
      <c r="D800">
        <f>Raw_Claims_Data!D799</f>
        <v>53.42</v>
      </c>
      <c r="E800">
        <f>Raw_Claims_Data!E799</f>
        <v>4000</v>
      </c>
      <c r="F800" t="str">
        <f>Raw_Claims_Data!F799</f>
        <v>AR</v>
      </c>
      <c r="G800" t="str">
        <f>Raw_Claims_Data!G799</f>
        <v>A</v>
      </c>
      <c r="H800" t="str">
        <f>Raw_Claims_Data!H799</f>
        <v>Total Loss</v>
      </c>
      <c r="I800" t="str">
        <f>IF(Raw_Claims_Data!I799="","None",Raw_Claims_Data!I799)</f>
        <v>Ambulance</v>
      </c>
      <c r="J800" t="str">
        <f>Raw_Claims_Data!J799</f>
        <v>Washington</v>
      </c>
      <c r="K800" t="str">
        <f>Raw_Claims_Data!K799</f>
        <v>DC</v>
      </c>
      <c r="L800">
        <f>Raw_Claims_Data!L799</f>
        <v>3</v>
      </c>
      <c r="M800" t="str">
        <f>IF(Raw_Claims_Data!M799="","N/A",Raw_Claims_Data!M799)</f>
        <v>VNDR00430</v>
      </c>
      <c r="N800" t="str">
        <f>Raw_Claims_Data!N799</f>
        <v>AGENT01141</v>
      </c>
      <c r="O800">
        <f>IF(Raw_Claims_Data!G799="D",1,0)</f>
        <v>0</v>
      </c>
    </row>
    <row r="801" spans="1:15" x14ac:dyDescent="0.35">
      <c r="A801" t="str">
        <f>Raw_Claims_Data!A800</f>
        <v>TXN00000797</v>
      </c>
      <c r="B801" t="str">
        <f>TRIM(Raw_Claims_Data!B800)</f>
        <v>Peter Marrufo</v>
      </c>
      <c r="C801" t="str">
        <f>Raw_Claims_Data!C800</f>
        <v>Travel</v>
      </c>
      <c r="D801">
        <f>Raw_Claims_Data!D800</f>
        <v>94.69</v>
      </c>
      <c r="E801">
        <f>Raw_Claims_Data!E800</f>
        <v>4000</v>
      </c>
      <c r="F801" t="str">
        <f>Raw_Claims_Data!F800</f>
        <v>AR</v>
      </c>
      <c r="G801" t="str">
        <f>Raw_Claims_Data!G800</f>
        <v>A</v>
      </c>
      <c r="H801" t="str">
        <f>Raw_Claims_Data!H800</f>
        <v>Total Loss</v>
      </c>
      <c r="I801" t="str">
        <f>IF(Raw_Claims_Data!I800="","None",Raw_Claims_Data!I800)</f>
        <v>Police</v>
      </c>
      <c r="J801" t="str">
        <f>Raw_Claims_Data!J800</f>
        <v>Alameda</v>
      </c>
      <c r="K801" t="str">
        <f>Raw_Claims_Data!K800</f>
        <v>CA</v>
      </c>
      <c r="L801">
        <f>Raw_Claims_Data!L800</f>
        <v>23</v>
      </c>
      <c r="M801" t="str">
        <f>IF(Raw_Claims_Data!M800="","N/A",Raw_Claims_Data!M800)</f>
        <v>N/A</v>
      </c>
      <c r="N801" t="str">
        <f>Raw_Claims_Data!N800</f>
        <v>AGENT00647</v>
      </c>
      <c r="O801">
        <f>IF(Raw_Claims_Data!G800="D",1,0)</f>
        <v>0</v>
      </c>
    </row>
    <row r="802" spans="1:15" x14ac:dyDescent="0.35">
      <c r="A802" t="str">
        <f>Raw_Claims_Data!A801</f>
        <v>TXN00000798</v>
      </c>
      <c r="B802" t="str">
        <f>TRIM(Raw_Claims_Data!B801)</f>
        <v>Sandra Cogswell</v>
      </c>
      <c r="C802" t="str">
        <f>Raw_Claims_Data!C801</f>
        <v>Property</v>
      </c>
      <c r="D802">
        <f>Raw_Claims_Data!D801</f>
        <v>95.87</v>
      </c>
      <c r="E802">
        <f>Raw_Claims_Data!E801</f>
        <v>35000</v>
      </c>
      <c r="F802" t="str">
        <f>Raw_Claims_Data!F801</f>
        <v>TN</v>
      </c>
      <c r="G802" t="str">
        <f>Raw_Claims_Data!G801</f>
        <v>A</v>
      </c>
      <c r="H802" t="str">
        <f>Raw_Claims_Data!H801</f>
        <v>Minor Loss</v>
      </c>
      <c r="I802" t="str">
        <f>IF(Raw_Claims_Data!I801="","None",Raw_Claims_Data!I801)</f>
        <v>Ambulance</v>
      </c>
      <c r="J802" t="str">
        <f>Raw_Claims_Data!J801</f>
        <v>Montgomery</v>
      </c>
      <c r="K802" t="str">
        <f>Raw_Claims_Data!K801</f>
        <v>AL</v>
      </c>
      <c r="L802">
        <f>Raw_Claims_Data!L801</f>
        <v>3</v>
      </c>
      <c r="M802" t="str">
        <f>IF(Raw_Claims_Data!M801="","N/A",Raw_Claims_Data!M801)</f>
        <v>VNDR00200</v>
      </c>
      <c r="N802" t="str">
        <f>Raw_Claims_Data!N801</f>
        <v>AGENT00679</v>
      </c>
      <c r="O802">
        <f>IF(Raw_Claims_Data!G801="D",1,0)</f>
        <v>0</v>
      </c>
    </row>
    <row r="803" spans="1:15" x14ac:dyDescent="0.35">
      <c r="A803" t="str">
        <f>Raw_Claims_Data!A802</f>
        <v>TXN00000799</v>
      </c>
      <c r="B803" t="str">
        <f>TRIM(Raw_Claims_Data!B802)</f>
        <v>Corine Phillis</v>
      </c>
      <c r="C803" t="str">
        <f>Raw_Claims_Data!C802</f>
        <v>Motor</v>
      </c>
      <c r="D803">
        <f>Raw_Claims_Data!D802</f>
        <v>114.85</v>
      </c>
      <c r="E803">
        <f>Raw_Claims_Data!E802</f>
        <v>10000</v>
      </c>
      <c r="F803" t="str">
        <f>Raw_Claims_Data!F802</f>
        <v>KY</v>
      </c>
      <c r="G803" t="str">
        <f>Raw_Claims_Data!G802</f>
        <v>A</v>
      </c>
      <c r="H803" t="str">
        <f>Raw_Claims_Data!H802</f>
        <v>Minor Loss</v>
      </c>
      <c r="I803" t="str">
        <f>IF(Raw_Claims_Data!I802="","None",Raw_Claims_Data!I802)</f>
        <v>Police</v>
      </c>
      <c r="J803" t="str">
        <f>Raw_Claims_Data!J802</f>
        <v>Newfane</v>
      </c>
      <c r="K803" t="str">
        <f>Raw_Claims_Data!K802</f>
        <v>VT</v>
      </c>
      <c r="L803">
        <f>Raw_Claims_Data!L802</f>
        <v>5</v>
      </c>
      <c r="M803" t="str">
        <f>IF(Raw_Claims_Data!M802="","N/A",Raw_Claims_Data!M802)</f>
        <v>VNDR00096</v>
      </c>
      <c r="N803" t="str">
        <f>Raw_Claims_Data!N802</f>
        <v>AGENT01167</v>
      </c>
      <c r="O803">
        <f>IF(Raw_Claims_Data!G802="D",1,0)</f>
        <v>0</v>
      </c>
    </row>
    <row r="804" spans="1:15" x14ac:dyDescent="0.35">
      <c r="A804" t="str">
        <f>Raw_Claims_Data!A803</f>
        <v>TXN00000800</v>
      </c>
      <c r="B804" t="str">
        <f>TRIM(Raw_Claims_Data!B803)</f>
        <v>Eric Eastlick</v>
      </c>
      <c r="C804" t="str">
        <f>Raw_Claims_Data!C803</f>
        <v>Travel</v>
      </c>
      <c r="D804">
        <f>Raw_Claims_Data!D803</f>
        <v>69.09</v>
      </c>
      <c r="E804">
        <f>Raw_Claims_Data!E803</f>
        <v>3000</v>
      </c>
      <c r="F804" t="str">
        <f>Raw_Claims_Data!F803</f>
        <v>AL</v>
      </c>
      <c r="G804" t="str">
        <f>Raw_Claims_Data!G803</f>
        <v>A</v>
      </c>
      <c r="H804" t="str">
        <f>Raw_Claims_Data!H803</f>
        <v>Major Loss</v>
      </c>
      <c r="I804" t="str">
        <f>IF(Raw_Claims_Data!I803="","None",Raw_Claims_Data!I803)</f>
        <v>Ambulance</v>
      </c>
      <c r="J804" t="str">
        <f>Raw_Claims_Data!J803</f>
        <v>Glen Burnie</v>
      </c>
      <c r="K804" t="str">
        <f>Raw_Claims_Data!K803</f>
        <v>MD</v>
      </c>
      <c r="L804">
        <f>Raw_Claims_Data!L803</f>
        <v>6</v>
      </c>
      <c r="M804" t="str">
        <f>IF(Raw_Claims_Data!M803="","N/A",Raw_Claims_Data!M803)</f>
        <v>VNDR00056</v>
      </c>
      <c r="N804" t="str">
        <f>Raw_Claims_Data!N803</f>
        <v>AGENT00458</v>
      </c>
      <c r="O804">
        <f>IF(Raw_Claims_Data!G803="D",1,0)</f>
        <v>0</v>
      </c>
    </row>
    <row r="805" spans="1:15" x14ac:dyDescent="0.35">
      <c r="A805" t="str">
        <f>Raw_Claims_Data!A804</f>
        <v>TXN00000801</v>
      </c>
      <c r="B805" t="str">
        <f>TRIM(Raw_Claims_Data!B804)</f>
        <v>Paulette Bebout</v>
      </c>
      <c r="C805" t="str">
        <f>Raw_Claims_Data!C804</f>
        <v>Life</v>
      </c>
      <c r="D805">
        <f>Raw_Claims_Data!D804</f>
        <v>55.83</v>
      </c>
      <c r="E805">
        <f>Raw_Claims_Data!E804</f>
        <v>43000</v>
      </c>
      <c r="F805" t="str">
        <f>Raw_Claims_Data!F804</f>
        <v>MA</v>
      </c>
      <c r="G805" t="str">
        <f>Raw_Claims_Data!G804</f>
        <v>A</v>
      </c>
      <c r="H805" t="str">
        <f>Raw_Claims_Data!H804</f>
        <v>Major Loss</v>
      </c>
      <c r="I805" t="str">
        <f>IF(Raw_Claims_Data!I804="","None",Raw_Claims_Data!I804)</f>
        <v>Other</v>
      </c>
      <c r="J805" t="str">
        <f>Raw_Claims_Data!J804</f>
        <v>Piedmont</v>
      </c>
      <c r="K805" t="str">
        <f>Raw_Claims_Data!K804</f>
        <v>CA</v>
      </c>
      <c r="L805">
        <f>Raw_Claims_Data!L804</f>
        <v>13</v>
      </c>
      <c r="M805" t="str">
        <f>IF(Raw_Claims_Data!M804="","N/A",Raw_Claims_Data!M804)</f>
        <v>N/A</v>
      </c>
      <c r="N805" t="str">
        <f>Raw_Claims_Data!N804</f>
        <v>AGENT00396</v>
      </c>
      <c r="O805">
        <f>IF(Raw_Claims_Data!G804="D",1,0)</f>
        <v>0</v>
      </c>
    </row>
    <row r="806" spans="1:15" x14ac:dyDescent="0.35">
      <c r="A806" t="str">
        <f>Raw_Claims_Data!A805</f>
        <v>TXN00000802</v>
      </c>
      <c r="B806" t="str">
        <f>TRIM(Raw_Claims_Data!B805)</f>
        <v>Morgan Bautista</v>
      </c>
      <c r="C806" t="str">
        <f>Raw_Claims_Data!C805</f>
        <v>Life</v>
      </c>
      <c r="D806">
        <f>Raw_Claims_Data!D805</f>
        <v>83.2</v>
      </c>
      <c r="E806">
        <f>Raw_Claims_Data!E805</f>
        <v>11000</v>
      </c>
      <c r="F806" t="str">
        <f>Raw_Claims_Data!F805</f>
        <v>KY</v>
      </c>
      <c r="G806" t="str">
        <f>Raw_Claims_Data!G805</f>
        <v>A</v>
      </c>
      <c r="H806" t="str">
        <f>Raw_Claims_Data!H805</f>
        <v>Major Loss</v>
      </c>
      <c r="I806" t="str">
        <f>IF(Raw_Claims_Data!I805="","None",Raw_Claims_Data!I805)</f>
        <v>Police</v>
      </c>
      <c r="J806" t="str">
        <f>Raw_Claims_Data!J805</f>
        <v>Nashville</v>
      </c>
      <c r="K806" t="str">
        <f>Raw_Claims_Data!K805</f>
        <v>TN</v>
      </c>
      <c r="L806">
        <f>Raw_Claims_Data!L805</f>
        <v>4</v>
      </c>
      <c r="M806" t="str">
        <f>IF(Raw_Claims_Data!M805="","N/A",Raw_Claims_Data!M805)</f>
        <v>VNDR00046</v>
      </c>
      <c r="N806" t="str">
        <f>Raw_Claims_Data!N805</f>
        <v>AGENT00611</v>
      </c>
      <c r="O806">
        <f>IF(Raw_Claims_Data!G805="D",1,0)</f>
        <v>0</v>
      </c>
    </row>
    <row r="807" spans="1:15" x14ac:dyDescent="0.35">
      <c r="A807" t="str">
        <f>Raw_Claims_Data!A806</f>
        <v>TXN00000803</v>
      </c>
      <c r="B807" t="str">
        <f>TRIM(Raw_Claims_Data!B806)</f>
        <v>Kathy Marquez</v>
      </c>
      <c r="C807" t="str">
        <f>Raw_Claims_Data!C806</f>
        <v>Mobile</v>
      </c>
      <c r="D807">
        <f>Raw_Claims_Data!D806</f>
        <v>10.96</v>
      </c>
      <c r="E807">
        <f>Raw_Claims_Data!E806</f>
        <v>100</v>
      </c>
      <c r="F807" t="str">
        <f>Raw_Claims_Data!F806</f>
        <v>KY</v>
      </c>
      <c r="G807" t="str">
        <f>Raw_Claims_Data!G806</f>
        <v>A</v>
      </c>
      <c r="H807" t="str">
        <f>Raw_Claims_Data!H806</f>
        <v>Total Loss</v>
      </c>
      <c r="I807" t="str">
        <f>IF(Raw_Claims_Data!I806="","None",Raw_Claims_Data!I806)</f>
        <v>Police</v>
      </c>
      <c r="J807" t="str">
        <f>Raw_Claims_Data!J806</f>
        <v>Manchester</v>
      </c>
      <c r="K807" t="str">
        <f>Raw_Claims_Data!K806</f>
        <v>CT</v>
      </c>
      <c r="L807">
        <f>Raw_Claims_Data!L806</f>
        <v>22</v>
      </c>
      <c r="M807" t="str">
        <f>IF(Raw_Claims_Data!M806="","N/A",Raw_Claims_Data!M806)</f>
        <v>VNDR00519</v>
      </c>
      <c r="N807" t="str">
        <f>Raw_Claims_Data!N806</f>
        <v>AGENT00319</v>
      </c>
      <c r="O807">
        <f>IF(Raw_Claims_Data!G806="D",1,0)</f>
        <v>0</v>
      </c>
    </row>
    <row r="808" spans="1:15" x14ac:dyDescent="0.35">
      <c r="A808" t="str">
        <f>Raw_Claims_Data!A807</f>
        <v>TXN00000804</v>
      </c>
      <c r="B808" t="str">
        <f>TRIM(Raw_Claims_Data!B807)</f>
        <v>Victor Applegate</v>
      </c>
      <c r="C808" t="str">
        <f>Raw_Claims_Data!C807</f>
        <v>Travel</v>
      </c>
      <c r="D808">
        <f>Raw_Claims_Data!D807</f>
        <v>80.06</v>
      </c>
      <c r="E808">
        <f>Raw_Claims_Data!E807</f>
        <v>4000</v>
      </c>
      <c r="F808" t="str">
        <f>Raw_Claims_Data!F807</f>
        <v>AL</v>
      </c>
      <c r="G808" t="str">
        <f>Raw_Claims_Data!G807</f>
        <v>A</v>
      </c>
      <c r="H808" t="str">
        <f>Raw_Claims_Data!H807</f>
        <v>Major Loss</v>
      </c>
      <c r="I808" t="str">
        <f>IF(Raw_Claims_Data!I807="","None",Raw_Claims_Data!I807)</f>
        <v>Ambulance</v>
      </c>
      <c r="J808" t="str">
        <f>Raw_Claims_Data!J807</f>
        <v>Glendale</v>
      </c>
      <c r="K808" t="str">
        <f>Raw_Claims_Data!K807</f>
        <v>AZ</v>
      </c>
      <c r="L808">
        <f>Raw_Claims_Data!L807</f>
        <v>15</v>
      </c>
      <c r="M808" t="str">
        <f>IF(Raw_Claims_Data!M807="","N/A",Raw_Claims_Data!M807)</f>
        <v>VNDR00284</v>
      </c>
      <c r="N808" t="str">
        <f>Raw_Claims_Data!N807</f>
        <v>AGENT01112</v>
      </c>
      <c r="O808">
        <f>IF(Raw_Claims_Data!G807="D",1,0)</f>
        <v>0</v>
      </c>
    </row>
    <row r="809" spans="1:15" x14ac:dyDescent="0.35">
      <c r="A809" t="str">
        <f>Raw_Claims_Data!A808</f>
        <v>TXN00000805</v>
      </c>
      <c r="B809" t="str">
        <f>TRIM(Raw_Claims_Data!B808)</f>
        <v>Ann Vasquez</v>
      </c>
      <c r="C809" t="str">
        <f>Raw_Claims_Data!C808</f>
        <v>Property</v>
      </c>
      <c r="D809">
        <f>Raw_Claims_Data!D808</f>
        <v>154.53</v>
      </c>
      <c r="E809">
        <f>Raw_Claims_Data!E808</f>
        <v>15000</v>
      </c>
      <c r="F809" t="str">
        <f>Raw_Claims_Data!F808</f>
        <v>GA</v>
      </c>
      <c r="G809" t="str">
        <f>Raw_Claims_Data!G808</f>
        <v>D</v>
      </c>
      <c r="H809" t="str">
        <f>Raw_Claims_Data!H808</f>
        <v>Minor Loss</v>
      </c>
      <c r="I809" t="str">
        <f>IF(Raw_Claims_Data!I808="","None",Raw_Claims_Data!I808)</f>
        <v>Police</v>
      </c>
      <c r="J809" t="str">
        <f>Raw_Claims_Data!J808</f>
        <v>Piedmont</v>
      </c>
      <c r="K809" t="str">
        <f>Raw_Claims_Data!K808</f>
        <v>CA</v>
      </c>
      <c r="L809">
        <f>Raw_Claims_Data!L808</f>
        <v>11</v>
      </c>
      <c r="M809" t="str">
        <f>IF(Raw_Claims_Data!M808="","N/A",Raw_Claims_Data!M808)</f>
        <v>VNDR00034</v>
      </c>
      <c r="N809" t="str">
        <f>Raw_Claims_Data!N808</f>
        <v>AGENT00831</v>
      </c>
      <c r="O809">
        <f>IF(Raw_Claims_Data!G808="D",1,0)</f>
        <v>1</v>
      </c>
    </row>
    <row r="810" spans="1:15" x14ac:dyDescent="0.35">
      <c r="A810" t="str">
        <f>Raw_Claims_Data!A809</f>
        <v>TXN00000806</v>
      </c>
      <c r="B810" t="str">
        <f>TRIM(Raw_Claims_Data!B809)</f>
        <v>Daniel Haas</v>
      </c>
      <c r="C810" t="str">
        <f>Raw_Claims_Data!C809</f>
        <v>Motor</v>
      </c>
      <c r="D810">
        <f>Raw_Claims_Data!D809</f>
        <v>79.81</v>
      </c>
      <c r="E810">
        <f>Raw_Claims_Data!E809</f>
        <v>7000</v>
      </c>
      <c r="F810" t="str">
        <f>Raw_Claims_Data!F809</f>
        <v>VT</v>
      </c>
      <c r="G810" t="str">
        <f>Raw_Claims_Data!G809</f>
        <v>A</v>
      </c>
      <c r="H810" t="str">
        <f>Raw_Claims_Data!H809</f>
        <v>Major Loss</v>
      </c>
      <c r="I810" t="str">
        <f>IF(Raw_Claims_Data!I809="","None",Raw_Claims_Data!I809)</f>
        <v>Ambulance</v>
      </c>
      <c r="J810" t="str">
        <f>Raw_Claims_Data!J809</f>
        <v>Montgomery</v>
      </c>
      <c r="K810" t="str">
        <f>Raw_Claims_Data!K809</f>
        <v>AL</v>
      </c>
      <c r="L810">
        <f>Raw_Claims_Data!L809</f>
        <v>12</v>
      </c>
      <c r="M810" t="str">
        <f>IF(Raw_Claims_Data!M809="","N/A",Raw_Claims_Data!M809)</f>
        <v>VNDR00186</v>
      </c>
      <c r="N810" t="str">
        <f>Raw_Claims_Data!N809</f>
        <v>AGENT00855</v>
      </c>
      <c r="O810">
        <f>IF(Raw_Claims_Data!G809="D",1,0)</f>
        <v>0</v>
      </c>
    </row>
    <row r="811" spans="1:15" x14ac:dyDescent="0.35">
      <c r="A811" t="str">
        <f>Raw_Claims_Data!A810</f>
        <v>TXN00000807</v>
      </c>
      <c r="B811" t="str">
        <f>TRIM(Raw_Claims_Data!B810)</f>
        <v>Joseph Jones</v>
      </c>
      <c r="C811" t="str">
        <f>Raw_Claims_Data!C810</f>
        <v>Motor</v>
      </c>
      <c r="D811">
        <f>Raw_Claims_Data!D810</f>
        <v>118.59</v>
      </c>
      <c r="E811">
        <f>Raw_Claims_Data!E810</f>
        <v>4000</v>
      </c>
      <c r="F811" t="str">
        <f>Raw_Claims_Data!F810</f>
        <v>KY</v>
      </c>
      <c r="G811" t="str">
        <f>Raw_Claims_Data!G810</f>
        <v>A</v>
      </c>
      <c r="H811" t="str">
        <f>Raw_Claims_Data!H810</f>
        <v>Total Loss</v>
      </c>
      <c r="I811" t="str">
        <f>IF(Raw_Claims_Data!I810="","None",Raw_Claims_Data!I810)</f>
        <v>None</v>
      </c>
      <c r="J811" t="str">
        <f>Raw_Claims_Data!J810</f>
        <v>Moore</v>
      </c>
      <c r="K811" t="str">
        <f>Raw_Claims_Data!K810</f>
        <v>OK</v>
      </c>
      <c r="L811">
        <f>Raw_Claims_Data!L810</f>
        <v>7</v>
      </c>
      <c r="M811" t="str">
        <f>IF(Raw_Claims_Data!M810="","N/A",Raw_Claims_Data!M810)</f>
        <v>VNDR00591</v>
      </c>
      <c r="N811" t="str">
        <f>Raw_Claims_Data!N810</f>
        <v>AGENT00573</v>
      </c>
      <c r="O811">
        <f>IF(Raw_Claims_Data!G810="D",1,0)</f>
        <v>0</v>
      </c>
    </row>
    <row r="812" spans="1:15" x14ac:dyDescent="0.35">
      <c r="A812" t="str">
        <f>Raw_Claims_Data!A811</f>
        <v>TXN00000808</v>
      </c>
      <c r="B812" t="str">
        <f>TRIM(Raw_Claims_Data!B811)</f>
        <v>Dan Barnes</v>
      </c>
      <c r="C812" t="str">
        <f>Raw_Claims_Data!C811</f>
        <v>Travel</v>
      </c>
      <c r="D812">
        <f>Raw_Claims_Data!D811</f>
        <v>81.010000000000005</v>
      </c>
      <c r="E812">
        <f>Raw_Claims_Data!E811</f>
        <v>1000</v>
      </c>
      <c r="F812" t="str">
        <f>Raw_Claims_Data!F811</f>
        <v>MD</v>
      </c>
      <c r="G812" t="str">
        <f>Raw_Claims_Data!G811</f>
        <v>A</v>
      </c>
      <c r="H812" t="str">
        <f>Raw_Claims_Data!H811</f>
        <v>Major Loss</v>
      </c>
      <c r="I812" t="str">
        <f>IF(Raw_Claims_Data!I811="","None",Raw_Claims_Data!I811)</f>
        <v>None</v>
      </c>
      <c r="J812" t="str">
        <f>Raw_Claims_Data!J811</f>
        <v>Manchester</v>
      </c>
      <c r="K812" t="str">
        <f>Raw_Claims_Data!K811</f>
        <v>CT</v>
      </c>
      <c r="L812">
        <f>Raw_Claims_Data!L811</f>
        <v>15</v>
      </c>
      <c r="M812" t="str">
        <f>IF(Raw_Claims_Data!M811="","N/A",Raw_Claims_Data!M811)</f>
        <v>VNDR00154</v>
      </c>
      <c r="N812" t="str">
        <f>Raw_Claims_Data!N811</f>
        <v>AGENT00167</v>
      </c>
      <c r="O812">
        <f>IF(Raw_Claims_Data!G811="D",1,0)</f>
        <v>0</v>
      </c>
    </row>
    <row r="813" spans="1:15" x14ac:dyDescent="0.35">
      <c r="A813" t="str">
        <f>Raw_Claims_Data!A812</f>
        <v>TXN00000809</v>
      </c>
      <c r="B813" t="str">
        <f>TRIM(Raw_Claims_Data!B812)</f>
        <v>Rebecca Taylor</v>
      </c>
      <c r="C813" t="str">
        <f>Raw_Claims_Data!C812</f>
        <v>Travel</v>
      </c>
      <c r="D813">
        <f>Raw_Claims_Data!D812</f>
        <v>78.790000000000006</v>
      </c>
      <c r="E813">
        <f>Raw_Claims_Data!E812</f>
        <v>4000</v>
      </c>
      <c r="F813" t="str">
        <f>Raw_Claims_Data!F812</f>
        <v>CA</v>
      </c>
      <c r="G813" t="str">
        <f>Raw_Claims_Data!G812</f>
        <v>A</v>
      </c>
      <c r="H813" t="str">
        <f>Raw_Claims_Data!H812</f>
        <v>Total Loss</v>
      </c>
      <c r="I813" t="str">
        <f>IF(Raw_Claims_Data!I812="","None",Raw_Claims_Data!I812)</f>
        <v>Police</v>
      </c>
      <c r="J813" t="str">
        <f>Raw_Claims_Data!J812</f>
        <v>Louisville</v>
      </c>
      <c r="K813" t="str">
        <f>Raw_Claims_Data!K812</f>
        <v>KY</v>
      </c>
      <c r="L813">
        <f>Raw_Claims_Data!L812</f>
        <v>9</v>
      </c>
      <c r="M813" t="str">
        <f>IF(Raw_Claims_Data!M812="","N/A",Raw_Claims_Data!M812)</f>
        <v>VNDR00083</v>
      </c>
      <c r="N813" t="str">
        <f>Raw_Claims_Data!N812</f>
        <v>AGENT00555</v>
      </c>
      <c r="O813">
        <f>IF(Raw_Claims_Data!G812="D",1,0)</f>
        <v>0</v>
      </c>
    </row>
    <row r="814" spans="1:15" x14ac:dyDescent="0.35">
      <c r="A814" t="str">
        <f>Raw_Claims_Data!A813</f>
        <v>TXN00000810</v>
      </c>
      <c r="B814" t="str">
        <f>TRIM(Raw_Claims_Data!B813)</f>
        <v>In Mendez</v>
      </c>
      <c r="C814" t="str">
        <f>Raw_Claims_Data!C813</f>
        <v>Property</v>
      </c>
      <c r="D814">
        <f>Raw_Claims_Data!D813</f>
        <v>129.84</v>
      </c>
      <c r="E814">
        <f>Raw_Claims_Data!E813</f>
        <v>35000</v>
      </c>
      <c r="F814" t="str">
        <f>Raw_Claims_Data!F813</f>
        <v>AZ</v>
      </c>
      <c r="G814" t="str">
        <f>Raw_Claims_Data!G813</f>
        <v>A</v>
      </c>
      <c r="H814" t="str">
        <f>Raw_Claims_Data!H813</f>
        <v>Minor Loss</v>
      </c>
      <c r="I814" t="str">
        <f>IF(Raw_Claims_Data!I813="","None",Raw_Claims_Data!I813)</f>
        <v>Police</v>
      </c>
      <c r="J814" t="str">
        <f>Raw_Claims_Data!J813</f>
        <v>Nashville</v>
      </c>
      <c r="K814" t="str">
        <f>Raw_Claims_Data!K813</f>
        <v>TN</v>
      </c>
      <c r="L814">
        <f>Raw_Claims_Data!L813</f>
        <v>10</v>
      </c>
      <c r="M814" t="str">
        <f>IF(Raw_Claims_Data!M813="","N/A",Raw_Claims_Data!M813)</f>
        <v>VNDR00269</v>
      </c>
      <c r="N814" t="str">
        <f>Raw_Claims_Data!N813</f>
        <v>AGENT00580</v>
      </c>
      <c r="O814">
        <f>IF(Raw_Claims_Data!G813="D",1,0)</f>
        <v>0</v>
      </c>
    </row>
    <row r="815" spans="1:15" x14ac:dyDescent="0.35">
      <c r="A815" t="str">
        <f>Raw_Claims_Data!A814</f>
        <v>TXN00000811</v>
      </c>
      <c r="B815" t="str">
        <f>TRIM(Raw_Claims_Data!B814)</f>
        <v>Derek Petermann</v>
      </c>
      <c r="C815" t="str">
        <f>Raw_Claims_Data!C814</f>
        <v>Mobile</v>
      </c>
      <c r="D815">
        <f>Raw_Claims_Data!D814</f>
        <v>6.94</v>
      </c>
      <c r="E815">
        <f>Raw_Claims_Data!E814</f>
        <v>300</v>
      </c>
      <c r="F815" t="str">
        <f>Raw_Claims_Data!F814</f>
        <v>MD</v>
      </c>
      <c r="G815" t="str">
        <f>Raw_Claims_Data!G814</f>
        <v>A</v>
      </c>
      <c r="H815" t="str">
        <f>Raw_Claims_Data!H814</f>
        <v>Major Loss</v>
      </c>
      <c r="I815" t="str">
        <f>IF(Raw_Claims_Data!I814="","None",Raw_Claims_Data!I814)</f>
        <v>None</v>
      </c>
      <c r="J815" t="str">
        <f>Raw_Claims_Data!J814</f>
        <v>Arvada</v>
      </c>
      <c r="K815" t="str">
        <f>Raw_Claims_Data!K814</f>
        <v>CO</v>
      </c>
      <c r="L815">
        <f>Raw_Claims_Data!L814</f>
        <v>9</v>
      </c>
      <c r="M815" t="str">
        <f>IF(Raw_Claims_Data!M814="","N/A",Raw_Claims_Data!M814)</f>
        <v>N/A</v>
      </c>
      <c r="N815" t="str">
        <f>Raw_Claims_Data!N814</f>
        <v>AGENT00529</v>
      </c>
      <c r="O815">
        <f>IF(Raw_Claims_Data!G814="D",1,0)</f>
        <v>0</v>
      </c>
    </row>
    <row r="816" spans="1:15" x14ac:dyDescent="0.35">
      <c r="A816" t="str">
        <f>Raw_Claims_Data!A815</f>
        <v>TXN00000812</v>
      </c>
      <c r="B816" t="str">
        <f>TRIM(Raw_Claims_Data!B815)</f>
        <v>Malcolm Fulton</v>
      </c>
      <c r="C816" t="str">
        <f>Raw_Claims_Data!C815</f>
        <v>Mobile</v>
      </c>
      <c r="D816">
        <f>Raw_Claims_Data!D815</f>
        <v>10.98</v>
      </c>
      <c r="E816">
        <f>Raw_Claims_Data!E815</f>
        <v>100</v>
      </c>
      <c r="F816" t="str">
        <f>Raw_Claims_Data!F815</f>
        <v>CT</v>
      </c>
      <c r="G816" t="str">
        <f>Raw_Claims_Data!G815</f>
        <v>A</v>
      </c>
      <c r="H816" t="str">
        <f>Raw_Claims_Data!H815</f>
        <v>Minor Loss</v>
      </c>
      <c r="I816" t="str">
        <f>IF(Raw_Claims_Data!I815="","None",Raw_Claims_Data!I815)</f>
        <v>None</v>
      </c>
      <c r="J816" t="str">
        <f>Raw_Claims_Data!J815</f>
        <v>Oakland</v>
      </c>
      <c r="K816" t="str">
        <f>Raw_Claims_Data!K815</f>
        <v>CA</v>
      </c>
      <c r="L816">
        <f>Raw_Claims_Data!L815</f>
        <v>4</v>
      </c>
      <c r="M816" t="str">
        <f>IF(Raw_Claims_Data!M815="","N/A",Raw_Claims_Data!M815)</f>
        <v>VNDR00430</v>
      </c>
      <c r="N816" t="str">
        <f>Raw_Claims_Data!N815</f>
        <v>AGENT00697</v>
      </c>
      <c r="O816">
        <f>IF(Raw_Claims_Data!G815="D",1,0)</f>
        <v>0</v>
      </c>
    </row>
    <row r="817" spans="1:15" x14ac:dyDescent="0.35">
      <c r="A817" t="str">
        <f>Raw_Claims_Data!A816</f>
        <v>TXN00000813</v>
      </c>
      <c r="B817" t="str">
        <f>TRIM(Raw_Claims_Data!B816)</f>
        <v>Ethel Leggett</v>
      </c>
      <c r="C817" t="str">
        <f>Raw_Claims_Data!C816</f>
        <v>Travel</v>
      </c>
      <c r="D817">
        <f>Raw_Claims_Data!D816</f>
        <v>69.569999999999993</v>
      </c>
      <c r="E817">
        <f>Raw_Claims_Data!E816</f>
        <v>1000</v>
      </c>
      <c r="F817" t="str">
        <f>Raw_Claims_Data!F816</f>
        <v>OK</v>
      </c>
      <c r="G817" t="str">
        <f>Raw_Claims_Data!G816</f>
        <v>A</v>
      </c>
      <c r="H817" t="str">
        <f>Raw_Claims_Data!H816</f>
        <v>Major Loss</v>
      </c>
      <c r="I817" t="str">
        <f>IF(Raw_Claims_Data!I816="","None",Raw_Claims_Data!I816)</f>
        <v>None</v>
      </c>
      <c r="J817" t="str">
        <f>Raw_Claims_Data!J816</f>
        <v>Fayetteville</v>
      </c>
      <c r="K817" t="str">
        <f>Raw_Claims_Data!K816</f>
        <v>AR</v>
      </c>
      <c r="L817">
        <f>Raw_Claims_Data!L816</f>
        <v>4</v>
      </c>
      <c r="M817" t="str">
        <f>IF(Raw_Claims_Data!M816="","N/A",Raw_Claims_Data!M816)</f>
        <v>VNDR00284</v>
      </c>
      <c r="N817" t="str">
        <f>Raw_Claims_Data!N816</f>
        <v>AGENT01107</v>
      </c>
      <c r="O817">
        <f>IF(Raw_Claims_Data!G816="D",1,0)</f>
        <v>0</v>
      </c>
    </row>
    <row r="818" spans="1:15" x14ac:dyDescent="0.35">
      <c r="A818" t="str">
        <f>Raw_Claims_Data!A817</f>
        <v>TXN00000814</v>
      </c>
      <c r="B818" t="str">
        <f>TRIM(Raw_Claims_Data!B817)</f>
        <v>Isela Sreaves</v>
      </c>
      <c r="C818" t="str">
        <f>Raw_Claims_Data!C817</f>
        <v>Motor</v>
      </c>
      <c r="D818">
        <f>Raw_Claims_Data!D817</f>
        <v>111.52</v>
      </c>
      <c r="E818">
        <f>Raw_Claims_Data!E817</f>
        <v>2000</v>
      </c>
      <c r="F818" t="str">
        <f>Raw_Claims_Data!F817</f>
        <v>MA</v>
      </c>
      <c r="G818" t="str">
        <f>Raw_Claims_Data!G817</f>
        <v>A</v>
      </c>
      <c r="H818" t="str">
        <f>Raw_Claims_Data!H817</f>
        <v>Total Loss</v>
      </c>
      <c r="I818" t="str">
        <f>IF(Raw_Claims_Data!I817="","None",Raw_Claims_Data!I817)</f>
        <v>None</v>
      </c>
      <c r="J818" t="str">
        <f>Raw_Claims_Data!J817</f>
        <v>Manchester</v>
      </c>
      <c r="K818" t="str">
        <f>Raw_Claims_Data!K817</f>
        <v>CT</v>
      </c>
      <c r="L818">
        <f>Raw_Claims_Data!L817</f>
        <v>14</v>
      </c>
      <c r="M818" t="str">
        <f>IF(Raw_Claims_Data!M817="","N/A",Raw_Claims_Data!M817)</f>
        <v>VNDR00054</v>
      </c>
      <c r="N818" t="str">
        <f>Raw_Claims_Data!N817</f>
        <v>AGENT00753</v>
      </c>
      <c r="O818">
        <f>IF(Raw_Claims_Data!G817="D",1,0)</f>
        <v>0</v>
      </c>
    </row>
    <row r="819" spans="1:15" x14ac:dyDescent="0.35">
      <c r="A819" t="str">
        <f>Raw_Claims_Data!A818</f>
        <v>TXN00000815</v>
      </c>
      <c r="B819" t="str">
        <f>TRIM(Raw_Claims_Data!B818)</f>
        <v>James Broughton</v>
      </c>
      <c r="C819" t="str">
        <f>Raw_Claims_Data!C818</f>
        <v>Property</v>
      </c>
      <c r="D819">
        <f>Raw_Claims_Data!D818</f>
        <v>121.52</v>
      </c>
      <c r="E819">
        <f>Raw_Claims_Data!E818</f>
        <v>23000</v>
      </c>
      <c r="F819" t="str">
        <f>Raw_Claims_Data!F818</f>
        <v>DC</v>
      </c>
      <c r="G819" t="str">
        <f>Raw_Claims_Data!G818</f>
        <v>A</v>
      </c>
      <c r="H819" t="str">
        <f>Raw_Claims_Data!H818</f>
        <v>Minor Loss</v>
      </c>
      <c r="I819" t="str">
        <f>IF(Raw_Claims_Data!I818="","None",Raw_Claims_Data!I818)</f>
        <v>Police</v>
      </c>
      <c r="J819" t="str">
        <f>Raw_Claims_Data!J818</f>
        <v>Anchorage</v>
      </c>
      <c r="K819" t="str">
        <f>Raw_Claims_Data!K818</f>
        <v>AK</v>
      </c>
      <c r="L819">
        <f>Raw_Claims_Data!L818</f>
        <v>15</v>
      </c>
      <c r="M819" t="str">
        <f>IF(Raw_Claims_Data!M818="","N/A",Raw_Claims_Data!M818)</f>
        <v>VNDR00050</v>
      </c>
      <c r="N819" t="str">
        <f>Raw_Claims_Data!N818</f>
        <v>AGENT01135</v>
      </c>
      <c r="O819">
        <f>IF(Raw_Claims_Data!G818="D",1,0)</f>
        <v>0</v>
      </c>
    </row>
    <row r="820" spans="1:15" x14ac:dyDescent="0.35">
      <c r="A820" t="str">
        <f>Raw_Claims_Data!A819</f>
        <v>TXN00000816</v>
      </c>
      <c r="B820" t="str">
        <f>TRIM(Raw_Claims_Data!B819)</f>
        <v>Robert Belcher</v>
      </c>
      <c r="C820" t="str">
        <f>Raw_Claims_Data!C819</f>
        <v>Property</v>
      </c>
      <c r="D820">
        <f>Raw_Claims_Data!D819</f>
        <v>94.71</v>
      </c>
      <c r="E820">
        <f>Raw_Claims_Data!E819</f>
        <v>34000</v>
      </c>
      <c r="F820" t="str">
        <f>Raw_Claims_Data!F819</f>
        <v>AZ</v>
      </c>
      <c r="G820" t="str">
        <f>Raw_Claims_Data!G819</f>
        <v>A</v>
      </c>
      <c r="H820" t="str">
        <f>Raw_Claims_Data!H819</f>
        <v>Minor Loss</v>
      </c>
      <c r="I820" t="str">
        <f>IF(Raw_Claims_Data!I819="","None",Raw_Claims_Data!I819)</f>
        <v>None</v>
      </c>
      <c r="J820" t="str">
        <f>Raw_Claims_Data!J819</f>
        <v>Manchester</v>
      </c>
      <c r="K820" t="str">
        <f>Raw_Claims_Data!K819</f>
        <v>CT</v>
      </c>
      <c r="L820">
        <f>Raw_Claims_Data!L819</f>
        <v>19</v>
      </c>
      <c r="M820" t="str">
        <f>IF(Raw_Claims_Data!M819="","N/A",Raw_Claims_Data!M819)</f>
        <v>VNDR00120</v>
      </c>
      <c r="N820" t="str">
        <f>Raw_Claims_Data!N819</f>
        <v>AGENT00992</v>
      </c>
      <c r="O820">
        <f>IF(Raw_Claims_Data!G819="D",1,0)</f>
        <v>0</v>
      </c>
    </row>
    <row r="821" spans="1:15" x14ac:dyDescent="0.35">
      <c r="A821" t="str">
        <f>Raw_Claims_Data!A820</f>
        <v>TXN00000817</v>
      </c>
      <c r="B821" t="str">
        <f>TRIM(Raw_Claims_Data!B820)</f>
        <v>Mildred Gallegos</v>
      </c>
      <c r="C821" t="str">
        <f>Raw_Claims_Data!C820</f>
        <v>Motor</v>
      </c>
      <c r="D821">
        <f>Raw_Claims_Data!D820</f>
        <v>90.26</v>
      </c>
      <c r="E821">
        <f>Raw_Claims_Data!E820</f>
        <v>2000</v>
      </c>
      <c r="F821" t="str">
        <f>Raw_Claims_Data!F820</f>
        <v>CO</v>
      </c>
      <c r="G821" t="str">
        <f>Raw_Claims_Data!G820</f>
        <v>A</v>
      </c>
      <c r="H821" t="str">
        <f>Raw_Claims_Data!H820</f>
        <v>Major Loss</v>
      </c>
      <c r="I821" t="str">
        <f>IF(Raw_Claims_Data!I820="","None",Raw_Claims_Data!I820)</f>
        <v>Ambulance</v>
      </c>
      <c r="J821" t="str">
        <f>Raw_Claims_Data!J820</f>
        <v>Annapolis</v>
      </c>
      <c r="K821" t="str">
        <f>Raw_Claims_Data!K820</f>
        <v>MD</v>
      </c>
      <c r="L821">
        <f>Raw_Claims_Data!L820</f>
        <v>0</v>
      </c>
      <c r="M821" t="str">
        <f>IF(Raw_Claims_Data!M820="","N/A",Raw_Claims_Data!M820)</f>
        <v>VNDR00382</v>
      </c>
      <c r="N821" t="str">
        <f>Raw_Claims_Data!N820</f>
        <v>AGENT01044</v>
      </c>
      <c r="O821">
        <f>IF(Raw_Claims_Data!G820="D",1,0)</f>
        <v>0</v>
      </c>
    </row>
    <row r="822" spans="1:15" x14ac:dyDescent="0.35">
      <c r="A822" t="str">
        <f>Raw_Claims_Data!A821</f>
        <v>TXN00000818</v>
      </c>
      <c r="B822" t="str">
        <f>TRIM(Raw_Claims_Data!B821)</f>
        <v>Kenneth Swindell</v>
      </c>
      <c r="C822" t="str">
        <f>Raw_Claims_Data!C821</f>
        <v>Mobile</v>
      </c>
      <c r="D822">
        <f>Raw_Claims_Data!D821</f>
        <v>8.67</v>
      </c>
      <c r="E822">
        <f>Raw_Claims_Data!E821</f>
        <v>200</v>
      </c>
      <c r="F822" t="str">
        <f>Raw_Claims_Data!F821</f>
        <v>TN</v>
      </c>
      <c r="G822" t="str">
        <f>Raw_Claims_Data!G821</f>
        <v>A</v>
      </c>
      <c r="H822" t="str">
        <f>Raw_Claims_Data!H821</f>
        <v>Minor Loss</v>
      </c>
      <c r="I822" t="str">
        <f>IF(Raw_Claims_Data!I821="","None",Raw_Claims_Data!I821)</f>
        <v>Police</v>
      </c>
      <c r="J822" t="str">
        <f>Raw_Claims_Data!J821</f>
        <v>Montgomery</v>
      </c>
      <c r="K822" t="str">
        <f>Raw_Claims_Data!K821</f>
        <v>AL</v>
      </c>
      <c r="L822">
        <f>Raw_Claims_Data!L821</f>
        <v>1</v>
      </c>
      <c r="M822" t="str">
        <f>IF(Raw_Claims_Data!M821="","N/A",Raw_Claims_Data!M821)</f>
        <v>VNDR00401</v>
      </c>
      <c r="N822" t="str">
        <f>Raw_Claims_Data!N821</f>
        <v>AGENT00287</v>
      </c>
      <c r="O822">
        <f>IF(Raw_Claims_Data!G821="D",1,0)</f>
        <v>0</v>
      </c>
    </row>
    <row r="823" spans="1:15" x14ac:dyDescent="0.35">
      <c r="A823" t="str">
        <f>Raw_Claims_Data!A822</f>
        <v>TXN00000819</v>
      </c>
      <c r="B823" t="str">
        <f>TRIM(Raw_Claims_Data!B822)</f>
        <v>George Fletcher</v>
      </c>
      <c r="C823" t="str">
        <f>Raw_Claims_Data!C822</f>
        <v>Property</v>
      </c>
      <c r="D823">
        <f>Raw_Claims_Data!D822</f>
        <v>138.49</v>
      </c>
      <c r="E823">
        <f>Raw_Claims_Data!E822</f>
        <v>14000</v>
      </c>
      <c r="F823" t="str">
        <f>Raw_Claims_Data!F822</f>
        <v>TN</v>
      </c>
      <c r="G823" t="str">
        <f>Raw_Claims_Data!G822</f>
        <v>A</v>
      </c>
      <c r="H823" t="str">
        <f>Raw_Claims_Data!H822</f>
        <v>Total Loss</v>
      </c>
      <c r="I823" t="str">
        <f>IF(Raw_Claims_Data!I822="","None",Raw_Claims_Data!I822)</f>
        <v>Police</v>
      </c>
      <c r="J823" t="str">
        <f>Raw_Claims_Data!J822</f>
        <v>Lunenburg</v>
      </c>
      <c r="K823" t="str">
        <f>Raw_Claims_Data!K822</f>
        <v>VT</v>
      </c>
      <c r="L823">
        <f>Raw_Claims_Data!L822</f>
        <v>4</v>
      </c>
      <c r="M823" t="str">
        <f>IF(Raw_Claims_Data!M822="","N/A",Raw_Claims_Data!M822)</f>
        <v>VNDR00418</v>
      </c>
      <c r="N823" t="str">
        <f>Raw_Claims_Data!N822</f>
        <v>AGENT00389</v>
      </c>
      <c r="O823">
        <f>IF(Raw_Claims_Data!G822="D",1,0)</f>
        <v>0</v>
      </c>
    </row>
    <row r="824" spans="1:15" x14ac:dyDescent="0.35">
      <c r="A824" t="str">
        <f>Raw_Claims_Data!A823</f>
        <v>TXN00000820</v>
      </c>
      <c r="B824" t="str">
        <f>TRIM(Raw_Claims_Data!B823)</f>
        <v>Reginald Block</v>
      </c>
      <c r="C824" t="str">
        <f>Raw_Claims_Data!C823</f>
        <v>Mobile</v>
      </c>
      <c r="D824">
        <f>Raw_Claims_Data!D823</f>
        <v>10.199999999999999</v>
      </c>
      <c r="E824">
        <f>Raw_Claims_Data!E823</f>
        <v>200</v>
      </c>
      <c r="F824" t="str">
        <f>Raw_Claims_Data!F823</f>
        <v>AR</v>
      </c>
      <c r="G824" t="str">
        <f>Raw_Claims_Data!G823</f>
        <v>A</v>
      </c>
      <c r="H824" t="str">
        <f>Raw_Claims_Data!H823</f>
        <v>Major Loss</v>
      </c>
      <c r="I824" t="str">
        <f>IF(Raw_Claims_Data!I823="","None",Raw_Claims_Data!I823)</f>
        <v>Ambulance</v>
      </c>
      <c r="J824" t="str">
        <f>Raw_Claims_Data!J823</f>
        <v>Westminster</v>
      </c>
      <c r="K824" t="str">
        <f>Raw_Claims_Data!K823</f>
        <v>CO</v>
      </c>
      <c r="L824">
        <f>Raw_Claims_Data!L823</f>
        <v>6</v>
      </c>
      <c r="M824" t="str">
        <f>IF(Raw_Claims_Data!M823="","N/A",Raw_Claims_Data!M823)</f>
        <v>N/A</v>
      </c>
      <c r="N824" t="str">
        <f>Raw_Claims_Data!N823</f>
        <v>AGENT00927</v>
      </c>
      <c r="O824">
        <f>IF(Raw_Claims_Data!G823="D",1,0)</f>
        <v>0</v>
      </c>
    </row>
    <row r="825" spans="1:15" x14ac:dyDescent="0.35">
      <c r="A825" t="str">
        <f>Raw_Claims_Data!A824</f>
        <v>TXN00000821</v>
      </c>
      <c r="B825" t="str">
        <f>TRIM(Raw_Claims_Data!B824)</f>
        <v>Vicente Warren</v>
      </c>
      <c r="C825" t="str">
        <f>Raw_Claims_Data!C824</f>
        <v>Health</v>
      </c>
      <c r="D825">
        <f>Raw_Claims_Data!D824</f>
        <v>130.62</v>
      </c>
      <c r="E825">
        <f>Raw_Claims_Data!E824</f>
        <v>10000</v>
      </c>
      <c r="F825" t="str">
        <f>Raw_Claims_Data!F824</f>
        <v>TN</v>
      </c>
      <c r="G825" t="str">
        <f>Raw_Claims_Data!G824</f>
        <v>A</v>
      </c>
      <c r="H825" t="str">
        <f>Raw_Claims_Data!H824</f>
        <v>Major Loss</v>
      </c>
      <c r="I825" t="str">
        <f>IF(Raw_Claims_Data!I824="","None",Raw_Claims_Data!I824)</f>
        <v>Ambulance</v>
      </c>
      <c r="J825" t="str">
        <f>Raw_Claims_Data!J824</f>
        <v>Savannah</v>
      </c>
      <c r="K825" t="str">
        <f>Raw_Claims_Data!K824</f>
        <v>GA</v>
      </c>
      <c r="L825">
        <f>Raw_Claims_Data!L824</f>
        <v>15</v>
      </c>
      <c r="M825" t="str">
        <f>IF(Raw_Claims_Data!M824="","N/A",Raw_Claims_Data!M824)</f>
        <v>N/A</v>
      </c>
      <c r="N825" t="str">
        <f>Raw_Claims_Data!N824</f>
        <v>AGENT00705</v>
      </c>
      <c r="O825">
        <f>IF(Raw_Claims_Data!G824="D",1,0)</f>
        <v>0</v>
      </c>
    </row>
    <row r="826" spans="1:15" x14ac:dyDescent="0.35">
      <c r="A826" t="str">
        <f>Raw_Claims_Data!A825</f>
        <v>TXN00000822</v>
      </c>
      <c r="B826" t="str">
        <f>TRIM(Raw_Claims_Data!B825)</f>
        <v>Simon Crissler</v>
      </c>
      <c r="C826" t="str">
        <f>Raw_Claims_Data!C825</f>
        <v>Motor</v>
      </c>
      <c r="D826">
        <f>Raw_Claims_Data!D825</f>
        <v>101.39</v>
      </c>
      <c r="E826">
        <f>Raw_Claims_Data!E825</f>
        <v>6000</v>
      </c>
      <c r="F826" t="str">
        <f>Raw_Claims_Data!F825</f>
        <v>KY</v>
      </c>
      <c r="G826" t="str">
        <f>Raw_Claims_Data!G825</f>
        <v>A</v>
      </c>
      <c r="H826" t="str">
        <f>Raw_Claims_Data!H825</f>
        <v>Total Loss</v>
      </c>
      <c r="I826" t="str">
        <f>IF(Raw_Claims_Data!I825="","None",Raw_Claims_Data!I825)</f>
        <v>Police</v>
      </c>
      <c r="J826" t="str">
        <f>Raw_Claims_Data!J825</f>
        <v>Manchester</v>
      </c>
      <c r="K826" t="str">
        <f>Raw_Claims_Data!K825</f>
        <v>CT</v>
      </c>
      <c r="L826">
        <f>Raw_Claims_Data!L825</f>
        <v>21</v>
      </c>
      <c r="M826" t="str">
        <f>IF(Raw_Claims_Data!M825="","N/A",Raw_Claims_Data!M825)</f>
        <v>N/A</v>
      </c>
      <c r="N826" t="str">
        <f>Raw_Claims_Data!N825</f>
        <v>AGENT01192</v>
      </c>
      <c r="O826">
        <f>IF(Raw_Claims_Data!G825="D",1,0)</f>
        <v>0</v>
      </c>
    </row>
    <row r="827" spans="1:15" x14ac:dyDescent="0.35">
      <c r="A827" t="str">
        <f>Raw_Claims_Data!A826</f>
        <v>TXN00000823</v>
      </c>
      <c r="B827" t="str">
        <f>TRIM(Raw_Claims_Data!B826)</f>
        <v>Graham Gammon</v>
      </c>
      <c r="C827" t="str">
        <f>Raw_Claims_Data!C826</f>
        <v>Mobile</v>
      </c>
      <c r="D827">
        <f>Raw_Claims_Data!D826</f>
        <v>11.99</v>
      </c>
      <c r="E827">
        <f>Raw_Claims_Data!E826</f>
        <v>300</v>
      </c>
      <c r="F827" t="str">
        <f>Raw_Claims_Data!F826</f>
        <v>CA</v>
      </c>
      <c r="G827" t="str">
        <f>Raw_Claims_Data!G826</f>
        <v>A</v>
      </c>
      <c r="H827" t="str">
        <f>Raw_Claims_Data!H826</f>
        <v>Total Loss</v>
      </c>
      <c r="I827" t="str">
        <f>IF(Raw_Claims_Data!I826="","None",Raw_Claims_Data!I826)</f>
        <v>Ambulance</v>
      </c>
      <c r="J827" t="str">
        <f>Raw_Claims_Data!J826</f>
        <v>Brentwood</v>
      </c>
      <c r="K827" t="str">
        <f>Raw_Claims_Data!K826</f>
        <v>TN</v>
      </c>
      <c r="L827">
        <f>Raw_Claims_Data!L826</f>
        <v>17</v>
      </c>
      <c r="M827" t="str">
        <f>IF(Raw_Claims_Data!M826="","N/A",Raw_Claims_Data!M826)</f>
        <v>VNDR00598</v>
      </c>
      <c r="N827" t="str">
        <f>Raw_Claims_Data!N826</f>
        <v>AGENT00854</v>
      </c>
      <c r="O827">
        <f>IF(Raw_Claims_Data!G826="D",1,0)</f>
        <v>0</v>
      </c>
    </row>
    <row r="828" spans="1:15" x14ac:dyDescent="0.35">
      <c r="A828" t="str">
        <f>Raw_Claims_Data!A827</f>
        <v>TXN00000824</v>
      </c>
      <c r="B828" t="str">
        <f>TRIM(Raw_Claims_Data!B827)</f>
        <v>Julia Marcano</v>
      </c>
      <c r="C828" t="str">
        <f>Raw_Claims_Data!C827</f>
        <v>Property</v>
      </c>
      <c r="D828">
        <f>Raw_Claims_Data!D827</f>
        <v>145.21</v>
      </c>
      <c r="E828">
        <f>Raw_Claims_Data!E827</f>
        <v>24000</v>
      </c>
      <c r="F828" t="str">
        <f>Raw_Claims_Data!F827</f>
        <v>CO</v>
      </c>
      <c r="G828" t="str">
        <f>Raw_Claims_Data!G827</f>
        <v>A</v>
      </c>
      <c r="H828" t="str">
        <f>Raw_Claims_Data!H827</f>
        <v>Major Loss</v>
      </c>
      <c r="I828" t="str">
        <f>IF(Raw_Claims_Data!I827="","None",Raw_Claims_Data!I827)</f>
        <v>Ambulance</v>
      </c>
      <c r="J828" t="str">
        <f>Raw_Claims_Data!J827</f>
        <v>Arvada</v>
      </c>
      <c r="K828" t="str">
        <f>Raw_Claims_Data!K827</f>
        <v>CO</v>
      </c>
      <c r="L828">
        <f>Raw_Claims_Data!L827</f>
        <v>0</v>
      </c>
      <c r="M828" t="str">
        <f>IF(Raw_Claims_Data!M827="","N/A",Raw_Claims_Data!M827)</f>
        <v>VNDR00277</v>
      </c>
      <c r="N828" t="str">
        <f>Raw_Claims_Data!N827</f>
        <v>AGENT00274</v>
      </c>
      <c r="O828">
        <f>IF(Raw_Claims_Data!G827="D",1,0)</f>
        <v>0</v>
      </c>
    </row>
    <row r="829" spans="1:15" x14ac:dyDescent="0.35">
      <c r="A829" t="str">
        <f>Raw_Claims_Data!A828</f>
        <v>TXN00000825</v>
      </c>
      <c r="B829" t="str">
        <f>TRIM(Raw_Claims_Data!B828)</f>
        <v>Jeannine Mcconnell</v>
      </c>
      <c r="C829" t="str">
        <f>Raw_Claims_Data!C828</f>
        <v>Health</v>
      </c>
      <c r="D829">
        <f>Raw_Claims_Data!D828</f>
        <v>113.42</v>
      </c>
      <c r="E829">
        <f>Raw_Claims_Data!E828</f>
        <v>3000</v>
      </c>
      <c r="F829" t="str">
        <f>Raw_Claims_Data!F828</f>
        <v>CT</v>
      </c>
      <c r="G829" t="str">
        <f>Raw_Claims_Data!G828</f>
        <v>A</v>
      </c>
      <c r="H829" t="str">
        <f>Raw_Claims_Data!H828</f>
        <v>Total Loss</v>
      </c>
      <c r="I829" t="str">
        <f>IF(Raw_Claims_Data!I828="","None",Raw_Claims_Data!I828)</f>
        <v>Ambulance</v>
      </c>
      <c r="J829" t="str">
        <f>Raw_Claims_Data!J828</f>
        <v>Washington</v>
      </c>
      <c r="K829" t="str">
        <f>Raw_Claims_Data!K828</f>
        <v>DC</v>
      </c>
      <c r="L829">
        <f>Raw_Claims_Data!L828</f>
        <v>8</v>
      </c>
      <c r="M829" t="str">
        <f>IF(Raw_Claims_Data!M828="","N/A",Raw_Claims_Data!M828)</f>
        <v>VNDR00398</v>
      </c>
      <c r="N829" t="str">
        <f>Raw_Claims_Data!N828</f>
        <v>AGENT00394</v>
      </c>
      <c r="O829">
        <f>IF(Raw_Claims_Data!G828="D",1,0)</f>
        <v>0</v>
      </c>
    </row>
    <row r="830" spans="1:15" x14ac:dyDescent="0.35">
      <c r="A830" t="str">
        <f>Raw_Claims_Data!A829</f>
        <v>TXN00000826</v>
      </c>
      <c r="B830" t="str">
        <f>TRIM(Raw_Claims_Data!B829)</f>
        <v>Joan Brasfield</v>
      </c>
      <c r="C830" t="str">
        <f>Raw_Claims_Data!C829</f>
        <v>Travel</v>
      </c>
      <c r="D830">
        <f>Raw_Claims_Data!D829</f>
        <v>74.05</v>
      </c>
      <c r="E830">
        <f>Raw_Claims_Data!E829</f>
        <v>5000</v>
      </c>
      <c r="F830" t="str">
        <f>Raw_Claims_Data!F829</f>
        <v>TN</v>
      </c>
      <c r="G830" t="str">
        <f>Raw_Claims_Data!G829</f>
        <v>A</v>
      </c>
      <c r="H830" t="str">
        <f>Raw_Claims_Data!H829</f>
        <v>Major Loss</v>
      </c>
      <c r="I830" t="str">
        <f>IF(Raw_Claims_Data!I829="","None",Raw_Claims_Data!I829)</f>
        <v>Ambulance</v>
      </c>
      <c r="J830" t="str">
        <f>Raw_Claims_Data!J829</f>
        <v>Panama City</v>
      </c>
      <c r="K830" t="str">
        <f>Raw_Claims_Data!K829</f>
        <v>FL</v>
      </c>
      <c r="L830">
        <f>Raw_Claims_Data!L829</f>
        <v>14</v>
      </c>
      <c r="M830" t="str">
        <f>IF(Raw_Claims_Data!M829="","N/A",Raw_Claims_Data!M829)</f>
        <v>N/A</v>
      </c>
      <c r="N830" t="str">
        <f>Raw_Claims_Data!N829</f>
        <v>AGENT00227</v>
      </c>
      <c r="O830">
        <f>IF(Raw_Claims_Data!G829="D",1,0)</f>
        <v>0</v>
      </c>
    </row>
    <row r="831" spans="1:15" x14ac:dyDescent="0.35">
      <c r="A831" t="str">
        <f>Raw_Claims_Data!A830</f>
        <v>TXN00000827</v>
      </c>
      <c r="B831" t="str">
        <f>TRIM(Raw_Claims_Data!B830)</f>
        <v>Carolyn Perry</v>
      </c>
      <c r="C831" t="str">
        <f>Raw_Claims_Data!C830</f>
        <v>Mobile</v>
      </c>
      <c r="D831">
        <f>Raw_Claims_Data!D830</f>
        <v>11.31</v>
      </c>
      <c r="E831">
        <f>Raw_Claims_Data!E830</f>
        <v>300</v>
      </c>
      <c r="F831" t="str">
        <f>Raw_Claims_Data!F830</f>
        <v>FL</v>
      </c>
      <c r="G831" t="str">
        <f>Raw_Claims_Data!G830</f>
        <v>A</v>
      </c>
      <c r="H831" t="str">
        <f>Raw_Claims_Data!H830</f>
        <v>Minor Loss</v>
      </c>
      <c r="I831" t="str">
        <f>IF(Raw_Claims_Data!I830="","None",Raw_Claims_Data!I830)</f>
        <v>Police</v>
      </c>
      <c r="J831" t="str">
        <f>Raw_Claims_Data!J830</f>
        <v>Oklahoma City</v>
      </c>
      <c r="K831" t="str">
        <f>Raw_Claims_Data!K830</f>
        <v>OK</v>
      </c>
      <c r="L831">
        <f>Raw_Claims_Data!L830</f>
        <v>16</v>
      </c>
      <c r="M831" t="str">
        <f>IF(Raw_Claims_Data!M830="","N/A",Raw_Claims_Data!M830)</f>
        <v>VNDR00002</v>
      </c>
      <c r="N831" t="str">
        <f>Raw_Claims_Data!N830</f>
        <v>AGENT00726</v>
      </c>
      <c r="O831">
        <f>IF(Raw_Claims_Data!G830="D",1,0)</f>
        <v>0</v>
      </c>
    </row>
    <row r="832" spans="1:15" x14ac:dyDescent="0.35">
      <c r="A832" t="str">
        <f>Raw_Claims_Data!A831</f>
        <v>TXN00000828</v>
      </c>
      <c r="B832" t="str">
        <f>TRIM(Raw_Claims_Data!B831)</f>
        <v>Elizabeth Johnson</v>
      </c>
      <c r="C832" t="str">
        <f>Raw_Claims_Data!C831</f>
        <v>Health</v>
      </c>
      <c r="D832">
        <f>Raw_Claims_Data!D831</f>
        <v>166.15</v>
      </c>
      <c r="E832">
        <f>Raw_Claims_Data!E831</f>
        <v>14000</v>
      </c>
      <c r="F832" t="str">
        <f>Raw_Claims_Data!F831</f>
        <v>CT</v>
      </c>
      <c r="G832" t="str">
        <f>Raw_Claims_Data!G831</f>
        <v>A</v>
      </c>
      <c r="H832" t="str">
        <f>Raw_Claims_Data!H831</f>
        <v>Major Loss</v>
      </c>
      <c r="I832" t="str">
        <f>IF(Raw_Claims_Data!I831="","None",Raw_Claims_Data!I831)</f>
        <v>Ambulance</v>
      </c>
      <c r="J832" t="str">
        <f>Raw_Claims_Data!J831</f>
        <v>Edmond</v>
      </c>
      <c r="K832" t="str">
        <f>Raw_Claims_Data!K831</f>
        <v>OK</v>
      </c>
      <c r="L832">
        <f>Raw_Claims_Data!L831</f>
        <v>11</v>
      </c>
      <c r="M832" t="str">
        <f>IF(Raw_Claims_Data!M831="","N/A",Raw_Claims_Data!M831)</f>
        <v>VNDR00134</v>
      </c>
      <c r="N832" t="str">
        <f>Raw_Claims_Data!N831</f>
        <v>AGENT01028</v>
      </c>
      <c r="O832">
        <f>IF(Raw_Claims_Data!G831="D",1,0)</f>
        <v>0</v>
      </c>
    </row>
    <row r="833" spans="1:15" x14ac:dyDescent="0.35">
      <c r="A833" t="str">
        <f>Raw_Claims_Data!A832</f>
        <v>TXN00000829</v>
      </c>
      <c r="B833" t="str">
        <f>TRIM(Raw_Claims_Data!B832)</f>
        <v>Nancy Levitz</v>
      </c>
      <c r="C833" t="str">
        <f>Raw_Claims_Data!C832</f>
        <v>Travel</v>
      </c>
      <c r="D833">
        <f>Raw_Claims_Data!D832</f>
        <v>88.27</v>
      </c>
      <c r="E833">
        <f>Raw_Claims_Data!E832</f>
        <v>5000</v>
      </c>
      <c r="F833" t="str">
        <f>Raw_Claims_Data!F832</f>
        <v>AR</v>
      </c>
      <c r="G833" t="str">
        <f>Raw_Claims_Data!G832</f>
        <v>A</v>
      </c>
      <c r="H833" t="str">
        <f>Raw_Claims_Data!H832</f>
        <v>Total Loss</v>
      </c>
      <c r="I833" t="str">
        <f>IF(Raw_Claims_Data!I832="","None",Raw_Claims_Data!I832)</f>
        <v>Ambulance</v>
      </c>
      <c r="J833" t="str">
        <f>Raw_Claims_Data!J832</f>
        <v>Nashville</v>
      </c>
      <c r="K833" t="str">
        <f>Raw_Claims_Data!K832</f>
        <v>TN</v>
      </c>
      <c r="L833">
        <f>Raw_Claims_Data!L832</f>
        <v>21</v>
      </c>
      <c r="M833" t="str">
        <f>IF(Raw_Claims_Data!M832="","N/A",Raw_Claims_Data!M832)</f>
        <v>N/A</v>
      </c>
      <c r="N833" t="str">
        <f>Raw_Claims_Data!N832</f>
        <v>AGENT00016</v>
      </c>
      <c r="O833">
        <f>IF(Raw_Claims_Data!G832="D",1,0)</f>
        <v>0</v>
      </c>
    </row>
    <row r="834" spans="1:15" x14ac:dyDescent="0.35">
      <c r="A834" t="str">
        <f>Raw_Claims_Data!A833</f>
        <v>TXN00000830</v>
      </c>
      <c r="B834" t="str">
        <f>TRIM(Raw_Claims_Data!B833)</f>
        <v>Joshua Goodwin</v>
      </c>
      <c r="C834" t="str">
        <f>Raw_Claims_Data!C833</f>
        <v>Life</v>
      </c>
      <c r="D834">
        <f>Raw_Claims_Data!D833</f>
        <v>91.84</v>
      </c>
      <c r="E834">
        <f>Raw_Claims_Data!E833</f>
        <v>29000</v>
      </c>
      <c r="F834" t="str">
        <f>Raw_Claims_Data!F833</f>
        <v>AL</v>
      </c>
      <c r="G834" t="str">
        <f>Raw_Claims_Data!G833</f>
        <v>A</v>
      </c>
      <c r="H834" t="str">
        <f>Raw_Claims_Data!H833</f>
        <v>Major Loss</v>
      </c>
      <c r="I834" t="str">
        <f>IF(Raw_Claims_Data!I833="","None",Raw_Claims_Data!I833)</f>
        <v>None</v>
      </c>
      <c r="J834" t="str">
        <f>Raw_Claims_Data!J833</f>
        <v>Nashville</v>
      </c>
      <c r="K834" t="str">
        <f>Raw_Claims_Data!K833</f>
        <v>TN</v>
      </c>
      <c r="L834">
        <f>Raw_Claims_Data!L833</f>
        <v>9</v>
      </c>
      <c r="M834" t="str">
        <f>IF(Raw_Claims_Data!M833="","N/A",Raw_Claims_Data!M833)</f>
        <v>VNDR00210</v>
      </c>
      <c r="N834" t="str">
        <f>Raw_Claims_Data!N833</f>
        <v>AGENT00758</v>
      </c>
      <c r="O834">
        <f>IF(Raw_Claims_Data!G833="D",1,0)</f>
        <v>0</v>
      </c>
    </row>
    <row r="835" spans="1:15" x14ac:dyDescent="0.35">
      <c r="A835" t="str">
        <f>Raw_Claims_Data!A834</f>
        <v>TXN00000831</v>
      </c>
      <c r="B835" t="str">
        <f>TRIM(Raw_Claims_Data!B834)</f>
        <v>Maria Hom</v>
      </c>
      <c r="C835" t="str">
        <f>Raw_Claims_Data!C834</f>
        <v>Mobile</v>
      </c>
      <c r="D835">
        <f>Raw_Claims_Data!D834</f>
        <v>9.8000000000000007</v>
      </c>
      <c r="E835">
        <f>Raw_Claims_Data!E834</f>
        <v>400</v>
      </c>
      <c r="F835" t="str">
        <f>Raw_Claims_Data!F834</f>
        <v>OK</v>
      </c>
      <c r="G835" t="str">
        <f>Raw_Claims_Data!G834</f>
        <v>A</v>
      </c>
      <c r="H835" t="str">
        <f>Raw_Claims_Data!H834</f>
        <v>Total Loss</v>
      </c>
      <c r="I835" t="str">
        <f>IF(Raw_Claims_Data!I834="","None",Raw_Claims_Data!I834)</f>
        <v>Ambulance</v>
      </c>
      <c r="J835" t="str">
        <f>Raw_Claims_Data!J834</f>
        <v>Choctaw</v>
      </c>
      <c r="K835" t="str">
        <f>Raw_Claims_Data!K834</f>
        <v>OK</v>
      </c>
      <c r="L835">
        <f>Raw_Claims_Data!L834</f>
        <v>21</v>
      </c>
      <c r="M835" t="str">
        <f>IF(Raw_Claims_Data!M834="","N/A",Raw_Claims_Data!M834)</f>
        <v>N/A</v>
      </c>
      <c r="N835" t="str">
        <f>Raw_Claims_Data!N834</f>
        <v>AGENT00929</v>
      </c>
      <c r="O835">
        <f>IF(Raw_Claims_Data!G834="D",1,0)</f>
        <v>0</v>
      </c>
    </row>
    <row r="836" spans="1:15" x14ac:dyDescent="0.35">
      <c r="A836" t="str">
        <f>Raw_Claims_Data!A835</f>
        <v>TXN00000832</v>
      </c>
      <c r="B836" t="str">
        <f>TRIM(Raw_Claims_Data!B835)</f>
        <v>Claire Childress</v>
      </c>
      <c r="C836" t="str">
        <f>Raw_Claims_Data!C835</f>
        <v>Health</v>
      </c>
      <c r="D836">
        <f>Raw_Claims_Data!D835</f>
        <v>194.08</v>
      </c>
      <c r="E836">
        <f>Raw_Claims_Data!E835</f>
        <v>10000</v>
      </c>
      <c r="F836" t="str">
        <f>Raw_Claims_Data!F835</f>
        <v>FL</v>
      </c>
      <c r="G836" t="str">
        <f>Raw_Claims_Data!G835</f>
        <v>A</v>
      </c>
      <c r="H836" t="str">
        <f>Raw_Claims_Data!H835</f>
        <v>Minor Loss</v>
      </c>
      <c r="I836" t="str">
        <f>IF(Raw_Claims_Data!I835="","None",Raw_Claims_Data!I835)</f>
        <v>Police</v>
      </c>
      <c r="J836" t="str">
        <f>Raw_Claims_Data!J835</f>
        <v>Louisville</v>
      </c>
      <c r="K836" t="str">
        <f>Raw_Claims_Data!K835</f>
        <v>KY</v>
      </c>
      <c r="L836">
        <f>Raw_Claims_Data!L835</f>
        <v>21</v>
      </c>
      <c r="M836" t="str">
        <f>IF(Raw_Claims_Data!M835="","N/A",Raw_Claims_Data!M835)</f>
        <v>N/A</v>
      </c>
      <c r="N836" t="str">
        <f>Raw_Claims_Data!N835</f>
        <v>AGENT00373</v>
      </c>
      <c r="O836">
        <f>IF(Raw_Claims_Data!G835="D",1,0)</f>
        <v>0</v>
      </c>
    </row>
    <row r="837" spans="1:15" x14ac:dyDescent="0.35">
      <c r="A837" t="str">
        <f>Raw_Claims_Data!A836</f>
        <v>TXN00000833</v>
      </c>
      <c r="B837" t="str">
        <f>TRIM(Raw_Claims_Data!B836)</f>
        <v>Blanche Roberson</v>
      </c>
      <c r="C837" t="str">
        <f>Raw_Claims_Data!C836</f>
        <v>Life</v>
      </c>
      <c r="D837">
        <f>Raw_Claims_Data!D836</f>
        <v>95.43</v>
      </c>
      <c r="E837">
        <f>Raw_Claims_Data!E836</f>
        <v>87000</v>
      </c>
      <c r="F837" t="str">
        <f>Raw_Claims_Data!F836</f>
        <v>MD</v>
      </c>
      <c r="G837" t="str">
        <f>Raw_Claims_Data!G836</f>
        <v>A</v>
      </c>
      <c r="H837" t="str">
        <f>Raw_Claims_Data!H836</f>
        <v>Minor Loss</v>
      </c>
      <c r="I837" t="str">
        <f>IF(Raw_Claims_Data!I836="","None",Raw_Claims_Data!I836)</f>
        <v>Other</v>
      </c>
      <c r="J837" t="str">
        <f>Raw_Claims_Data!J836</f>
        <v>Westford</v>
      </c>
      <c r="K837" t="str">
        <f>Raw_Claims_Data!K836</f>
        <v>VT</v>
      </c>
      <c r="L837">
        <f>Raw_Claims_Data!L836</f>
        <v>16</v>
      </c>
      <c r="M837" t="str">
        <f>IF(Raw_Claims_Data!M836="","N/A",Raw_Claims_Data!M836)</f>
        <v>VNDR00076</v>
      </c>
      <c r="N837" t="str">
        <f>Raw_Claims_Data!N836</f>
        <v>AGENT00857</v>
      </c>
      <c r="O837">
        <f>IF(Raw_Claims_Data!G836="D",1,0)</f>
        <v>0</v>
      </c>
    </row>
    <row r="838" spans="1:15" x14ac:dyDescent="0.35">
      <c r="A838" t="str">
        <f>Raw_Claims_Data!A837</f>
        <v>TXN00000834</v>
      </c>
      <c r="B838" t="str">
        <f>TRIM(Raw_Claims_Data!B837)</f>
        <v>Ernest Marvin</v>
      </c>
      <c r="C838" t="str">
        <f>Raw_Claims_Data!C837</f>
        <v>Health</v>
      </c>
      <c r="D838">
        <f>Raw_Claims_Data!D837</f>
        <v>161.02000000000001</v>
      </c>
      <c r="E838">
        <f>Raw_Claims_Data!E837</f>
        <v>9000</v>
      </c>
      <c r="F838" t="str">
        <f>Raw_Claims_Data!F837</f>
        <v>AK</v>
      </c>
      <c r="G838" t="str">
        <f>Raw_Claims_Data!G837</f>
        <v>A</v>
      </c>
      <c r="H838" t="str">
        <f>Raw_Claims_Data!H837</f>
        <v>Minor Loss</v>
      </c>
      <c r="I838" t="str">
        <f>IF(Raw_Claims_Data!I837="","None",Raw_Claims_Data!I837)</f>
        <v>None</v>
      </c>
      <c r="J838" t="str">
        <f>Raw_Claims_Data!J837</f>
        <v>Washington</v>
      </c>
      <c r="K838" t="str">
        <f>Raw_Claims_Data!K837</f>
        <v>DC</v>
      </c>
      <c r="L838">
        <f>Raw_Claims_Data!L837</f>
        <v>4</v>
      </c>
      <c r="M838" t="str">
        <f>IF(Raw_Claims_Data!M837="","N/A",Raw_Claims_Data!M837)</f>
        <v>VNDR00366</v>
      </c>
      <c r="N838" t="str">
        <f>Raw_Claims_Data!N837</f>
        <v>AGENT00553</v>
      </c>
      <c r="O838">
        <f>IF(Raw_Claims_Data!G837="D",1,0)</f>
        <v>0</v>
      </c>
    </row>
    <row r="839" spans="1:15" x14ac:dyDescent="0.35">
      <c r="A839" t="str">
        <f>Raw_Claims_Data!A838</f>
        <v>TXN00000835</v>
      </c>
      <c r="B839" t="str">
        <f>TRIM(Raw_Claims_Data!B838)</f>
        <v>Elias Leon</v>
      </c>
      <c r="C839" t="str">
        <f>Raw_Claims_Data!C838</f>
        <v>Health</v>
      </c>
      <c r="D839">
        <f>Raw_Claims_Data!D838</f>
        <v>181.27</v>
      </c>
      <c r="E839">
        <f>Raw_Claims_Data!E838</f>
        <v>12000</v>
      </c>
      <c r="F839" t="str">
        <f>Raw_Claims_Data!F838</f>
        <v>CA</v>
      </c>
      <c r="G839" t="str">
        <f>Raw_Claims_Data!G838</f>
        <v>A</v>
      </c>
      <c r="H839" t="str">
        <f>Raw_Claims_Data!H838</f>
        <v>Minor Loss</v>
      </c>
      <c r="I839" t="str">
        <f>IF(Raw_Claims_Data!I838="","None",Raw_Claims_Data!I838)</f>
        <v>Ambulance</v>
      </c>
      <c r="J839" t="str">
        <f>Raw_Claims_Data!J838</f>
        <v>Manchester</v>
      </c>
      <c r="K839" t="str">
        <f>Raw_Claims_Data!K838</f>
        <v>CT</v>
      </c>
      <c r="L839">
        <f>Raw_Claims_Data!L838</f>
        <v>13</v>
      </c>
      <c r="M839" t="str">
        <f>IF(Raw_Claims_Data!M838="","N/A",Raw_Claims_Data!M838)</f>
        <v>VNDR00113</v>
      </c>
      <c r="N839" t="str">
        <f>Raw_Claims_Data!N838</f>
        <v>AGENT00964</v>
      </c>
      <c r="O839">
        <f>IF(Raw_Claims_Data!G838="D",1,0)</f>
        <v>0</v>
      </c>
    </row>
    <row r="840" spans="1:15" x14ac:dyDescent="0.35">
      <c r="A840" t="str">
        <f>Raw_Claims_Data!A839</f>
        <v>TXN00000836</v>
      </c>
      <c r="B840" t="str">
        <f>TRIM(Raw_Claims_Data!B839)</f>
        <v>Edward White</v>
      </c>
      <c r="C840" t="str">
        <f>Raw_Claims_Data!C839</f>
        <v>Travel</v>
      </c>
      <c r="D840">
        <f>Raw_Claims_Data!D839</f>
        <v>79.400000000000006</v>
      </c>
      <c r="E840">
        <f>Raw_Claims_Data!E839</f>
        <v>4000</v>
      </c>
      <c r="F840" t="str">
        <f>Raw_Claims_Data!F839</f>
        <v>DC</v>
      </c>
      <c r="G840" t="str">
        <f>Raw_Claims_Data!G839</f>
        <v>D</v>
      </c>
      <c r="H840" t="str">
        <f>Raw_Claims_Data!H839</f>
        <v>Total Loss</v>
      </c>
      <c r="I840" t="str">
        <f>IF(Raw_Claims_Data!I839="","None",Raw_Claims_Data!I839)</f>
        <v>Police</v>
      </c>
      <c r="J840" t="str">
        <f>Raw_Claims_Data!J839</f>
        <v>Savannah</v>
      </c>
      <c r="K840" t="str">
        <f>Raw_Claims_Data!K839</f>
        <v>GA</v>
      </c>
      <c r="L840">
        <f>Raw_Claims_Data!L839</f>
        <v>16</v>
      </c>
      <c r="M840" t="str">
        <f>IF(Raw_Claims_Data!M839="","N/A",Raw_Claims_Data!M839)</f>
        <v>N/A</v>
      </c>
      <c r="N840" t="str">
        <f>Raw_Claims_Data!N839</f>
        <v>AGENT00373</v>
      </c>
      <c r="O840">
        <f>IF(Raw_Claims_Data!G839="D",1,0)</f>
        <v>1</v>
      </c>
    </row>
    <row r="841" spans="1:15" x14ac:dyDescent="0.35">
      <c r="A841" t="str">
        <f>Raw_Claims_Data!A840</f>
        <v>TXN00000837</v>
      </c>
      <c r="B841" t="str">
        <f>TRIM(Raw_Claims_Data!B840)</f>
        <v>Liza Thompson</v>
      </c>
      <c r="C841" t="str">
        <f>Raw_Claims_Data!C840</f>
        <v>Motor</v>
      </c>
      <c r="D841">
        <f>Raw_Claims_Data!D840</f>
        <v>110.79</v>
      </c>
      <c r="E841">
        <f>Raw_Claims_Data!E840</f>
        <v>8000</v>
      </c>
      <c r="F841" t="str">
        <f>Raw_Claims_Data!F840</f>
        <v>CO</v>
      </c>
      <c r="G841" t="str">
        <f>Raw_Claims_Data!G840</f>
        <v>A</v>
      </c>
      <c r="H841" t="str">
        <f>Raw_Claims_Data!H840</f>
        <v>Total Loss</v>
      </c>
      <c r="I841" t="str">
        <f>IF(Raw_Claims_Data!I840="","None",Raw_Claims_Data!I840)</f>
        <v>Ambulance</v>
      </c>
      <c r="J841" t="str">
        <f>Raw_Claims_Data!J840</f>
        <v>Moretown</v>
      </c>
      <c r="K841" t="str">
        <f>Raw_Claims_Data!K840</f>
        <v>VT</v>
      </c>
      <c r="L841">
        <f>Raw_Claims_Data!L840</f>
        <v>22</v>
      </c>
      <c r="M841" t="str">
        <f>IF(Raw_Claims_Data!M840="","N/A",Raw_Claims_Data!M840)</f>
        <v>VNDR00473</v>
      </c>
      <c r="N841" t="str">
        <f>Raw_Claims_Data!N840</f>
        <v>AGENT00420</v>
      </c>
      <c r="O841">
        <f>IF(Raw_Claims_Data!G840="D",1,0)</f>
        <v>0</v>
      </c>
    </row>
    <row r="842" spans="1:15" x14ac:dyDescent="0.35">
      <c r="A842" t="str">
        <f>Raw_Claims_Data!A841</f>
        <v>TXN00000838</v>
      </c>
      <c r="B842" t="str">
        <f>TRIM(Raw_Claims_Data!B841)</f>
        <v>Drew Harrison</v>
      </c>
      <c r="C842" t="str">
        <f>Raw_Claims_Data!C841</f>
        <v>Motor</v>
      </c>
      <c r="D842">
        <f>Raw_Claims_Data!D841</f>
        <v>123.86</v>
      </c>
      <c r="E842">
        <f>Raw_Claims_Data!E841</f>
        <v>2000</v>
      </c>
      <c r="F842" t="str">
        <f>Raw_Claims_Data!F841</f>
        <v>MD</v>
      </c>
      <c r="G842" t="str">
        <f>Raw_Claims_Data!G841</f>
        <v>A</v>
      </c>
      <c r="H842" t="str">
        <f>Raw_Claims_Data!H841</f>
        <v>Minor Loss</v>
      </c>
      <c r="I842" t="str">
        <f>IF(Raw_Claims_Data!I841="","None",Raw_Claims_Data!I841)</f>
        <v>Other</v>
      </c>
      <c r="J842" t="str">
        <f>Raw_Claims_Data!J841</f>
        <v>Fresno</v>
      </c>
      <c r="K842" t="str">
        <f>Raw_Claims_Data!K841</f>
        <v>CA</v>
      </c>
      <c r="L842">
        <f>Raw_Claims_Data!L841</f>
        <v>20</v>
      </c>
      <c r="M842" t="str">
        <f>IF(Raw_Claims_Data!M841="","N/A",Raw_Claims_Data!M841)</f>
        <v>VNDR00076</v>
      </c>
      <c r="N842" t="str">
        <f>Raw_Claims_Data!N841</f>
        <v>AGENT00609</v>
      </c>
      <c r="O842">
        <f>IF(Raw_Claims_Data!G841="D",1,0)</f>
        <v>0</v>
      </c>
    </row>
    <row r="843" spans="1:15" x14ac:dyDescent="0.35">
      <c r="A843" t="str">
        <f>Raw_Claims_Data!A842</f>
        <v>TXN00000839</v>
      </c>
      <c r="B843" t="str">
        <f>TRIM(Raw_Claims_Data!B842)</f>
        <v>Byron Piercy</v>
      </c>
      <c r="C843" t="str">
        <f>Raw_Claims_Data!C842</f>
        <v>Health</v>
      </c>
      <c r="D843">
        <f>Raw_Claims_Data!D842</f>
        <v>199.39</v>
      </c>
      <c r="E843">
        <f>Raw_Claims_Data!E842</f>
        <v>3000</v>
      </c>
      <c r="F843" t="str">
        <f>Raw_Claims_Data!F842</f>
        <v>TN</v>
      </c>
      <c r="G843" t="str">
        <f>Raw_Claims_Data!G842</f>
        <v>A</v>
      </c>
      <c r="H843" t="str">
        <f>Raw_Claims_Data!H842</f>
        <v>Major Loss</v>
      </c>
      <c r="I843" t="str">
        <f>IF(Raw_Claims_Data!I842="","None",Raw_Claims_Data!I842)</f>
        <v>Ambulance</v>
      </c>
      <c r="J843" t="str">
        <f>Raw_Claims_Data!J842</f>
        <v>Norman</v>
      </c>
      <c r="K843" t="str">
        <f>Raw_Claims_Data!K842</f>
        <v>OK</v>
      </c>
      <c r="L843">
        <f>Raw_Claims_Data!L842</f>
        <v>8</v>
      </c>
      <c r="M843" t="str">
        <f>IF(Raw_Claims_Data!M842="","N/A",Raw_Claims_Data!M842)</f>
        <v>VNDR00579</v>
      </c>
      <c r="N843" t="str">
        <f>Raw_Claims_Data!N842</f>
        <v>AGENT00034</v>
      </c>
      <c r="O843">
        <f>IF(Raw_Claims_Data!G842="D",1,0)</f>
        <v>0</v>
      </c>
    </row>
    <row r="844" spans="1:15" x14ac:dyDescent="0.35">
      <c r="A844" t="str">
        <f>Raw_Claims_Data!A843</f>
        <v>TXN00000840</v>
      </c>
      <c r="B844" t="str">
        <f>TRIM(Raw_Claims_Data!B843)</f>
        <v>Greg Arispe</v>
      </c>
      <c r="C844" t="str">
        <f>Raw_Claims_Data!C843</f>
        <v>Property</v>
      </c>
      <c r="D844">
        <f>Raw_Claims_Data!D843</f>
        <v>106.48</v>
      </c>
      <c r="E844">
        <f>Raw_Claims_Data!E843</f>
        <v>19000</v>
      </c>
      <c r="F844" t="str">
        <f>Raw_Claims_Data!F843</f>
        <v>CT</v>
      </c>
      <c r="G844" t="str">
        <f>Raw_Claims_Data!G843</f>
        <v>A</v>
      </c>
      <c r="H844" t="str">
        <f>Raw_Claims_Data!H843</f>
        <v>Minor Loss</v>
      </c>
      <c r="I844" t="str">
        <f>IF(Raw_Claims_Data!I843="","None",Raw_Claims_Data!I843)</f>
        <v>Police</v>
      </c>
      <c r="J844" t="str">
        <f>Raw_Claims_Data!J843</f>
        <v>Fayetteville</v>
      </c>
      <c r="K844" t="str">
        <f>Raw_Claims_Data!K843</f>
        <v>AR</v>
      </c>
      <c r="L844">
        <f>Raw_Claims_Data!L843</f>
        <v>1</v>
      </c>
      <c r="M844" t="str">
        <f>IF(Raw_Claims_Data!M843="","N/A",Raw_Claims_Data!M843)</f>
        <v>N/A</v>
      </c>
      <c r="N844" t="str">
        <f>Raw_Claims_Data!N843</f>
        <v>AGENT00723</v>
      </c>
      <c r="O844">
        <f>IF(Raw_Claims_Data!G843="D",1,0)</f>
        <v>0</v>
      </c>
    </row>
    <row r="845" spans="1:15" x14ac:dyDescent="0.35">
      <c r="A845" t="str">
        <f>Raw_Claims_Data!A844</f>
        <v>TXN00000841</v>
      </c>
      <c r="B845" t="str">
        <f>TRIM(Raw_Claims_Data!B844)</f>
        <v>Cathrine Fuller</v>
      </c>
      <c r="C845" t="str">
        <f>Raw_Claims_Data!C844</f>
        <v>Mobile</v>
      </c>
      <c r="D845">
        <f>Raw_Claims_Data!D844</f>
        <v>10.98</v>
      </c>
      <c r="E845">
        <f>Raw_Claims_Data!E844</f>
        <v>400</v>
      </c>
      <c r="F845" t="str">
        <f>Raw_Claims_Data!F844</f>
        <v>CA</v>
      </c>
      <c r="G845" t="str">
        <f>Raw_Claims_Data!G844</f>
        <v>A</v>
      </c>
      <c r="H845" t="str">
        <f>Raw_Claims_Data!H844</f>
        <v>Major Loss</v>
      </c>
      <c r="I845" t="str">
        <f>IF(Raw_Claims_Data!I844="","None",Raw_Claims_Data!I844)</f>
        <v>None</v>
      </c>
      <c r="J845" t="str">
        <f>Raw_Claims_Data!J844</f>
        <v>Glendale</v>
      </c>
      <c r="K845" t="str">
        <f>Raw_Claims_Data!K844</f>
        <v>AZ</v>
      </c>
      <c r="L845">
        <f>Raw_Claims_Data!L844</f>
        <v>22</v>
      </c>
      <c r="M845" t="str">
        <f>IF(Raw_Claims_Data!M844="","N/A",Raw_Claims_Data!M844)</f>
        <v>VNDR00484</v>
      </c>
      <c r="N845" t="str">
        <f>Raw_Claims_Data!N844</f>
        <v>AGENT00346</v>
      </c>
      <c r="O845">
        <f>IF(Raw_Claims_Data!G844="D",1,0)</f>
        <v>0</v>
      </c>
    </row>
    <row r="846" spans="1:15" x14ac:dyDescent="0.35">
      <c r="A846" t="str">
        <f>Raw_Claims_Data!A845</f>
        <v>TXN00000842</v>
      </c>
      <c r="B846" t="str">
        <f>TRIM(Raw_Claims_Data!B845)</f>
        <v>Evan Elliott</v>
      </c>
      <c r="C846" t="str">
        <f>Raw_Claims_Data!C845</f>
        <v>Health</v>
      </c>
      <c r="D846">
        <f>Raw_Claims_Data!D845</f>
        <v>193.31</v>
      </c>
      <c r="E846">
        <f>Raw_Claims_Data!E845</f>
        <v>16000</v>
      </c>
      <c r="F846" t="str">
        <f>Raw_Claims_Data!F845</f>
        <v>MD</v>
      </c>
      <c r="G846" t="str">
        <f>Raw_Claims_Data!G845</f>
        <v>A</v>
      </c>
      <c r="H846" t="str">
        <f>Raw_Claims_Data!H845</f>
        <v>Minor Loss</v>
      </c>
      <c r="I846" t="str">
        <f>IF(Raw_Claims_Data!I845="","None",Raw_Claims_Data!I845)</f>
        <v>None</v>
      </c>
      <c r="J846" t="str">
        <f>Raw_Claims_Data!J845</f>
        <v>Washington</v>
      </c>
      <c r="K846" t="str">
        <f>Raw_Claims_Data!K845</f>
        <v>DC</v>
      </c>
      <c r="L846">
        <f>Raw_Claims_Data!L845</f>
        <v>14</v>
      </c>
      <c r="M846" t="str">
        <f>IF(Raw_Claims_Data!M845="","N/A",Raw_Claims_Data!M845)</f>
        <v>VNDR00077</v>
      </c>
      <c r="N846" t="str">
        <f>Raw_Claims_Data!N845</f>
        <v>AGENT01016</v>
      </c>
      <c r="O846">
        <f>IF(Raw_Claims_Data!G845="D",1,0)</f>
        <v>0</v>
      </c>
    </row>
    <row r="847" spans="1:15" x14ac:dyDescent="0.35">
      <c r="A847" t="str">
        <f>Raw_Claims_Data!A846</f>
        <v>TXN00000843</v>
      </c>
      <c r="B847" t="str">
        <f>TRIM(Raw_Claims_Data!B846)</f>
        <v>James Cameron</v>
      </c>
      <c r="C847" t="str">
        <f>Raw_Claims_Data!C846</f>
        <v>Property</v>
      </c>
      <c r="D847">
        <f>Raw_Claims_Data!D846</f>
        <v>85.49</v>
      </c>
      <c r="E847">
        <f>Raw_Claims_Data!E846</f>
        <v>15000</v>
      </c>
      <c r="F847" t="str">
        <f>Raw_Claims_Data!F846</f>
        <v>KY</v>
      </c>
      <c r="G847" t="str">
        <f>Raw_Claims_Data!G846</f>
        <v>A</v>
      </c>
      <c r="H847" t="str">
        <f>Raw_Claims_Data!H846</f>
        <v>Minor Loss</v>
      </c>
      <c r="I847" t="str">
        <f>IF(Raw_Claims_Data!I846="","None",Raw_Claims_Data!I846)</f>
        <v>Ambulance</v>
      </c>
      <c r="J847" t="str">
        <f>Raw_Claims_Data!J846</f>
        <v>Washington</v>
      </c>
      <c r="K847" t="str">
        <f>Raw_Claims_Data!K846</f>
        <v>DC</v>
      </c>
      <c r="L847">
        <f>Raw_Claims_Data!L846</f>
        <v>3</v>
      </c>
      <c r="M847" t="str">
        <f>IF(Raw_Claims_Data!M846="","N/A",Raw_Claims_Data!M846)</f>
        <v>VNDR00034</v>
      </c>
      <c r="N847" t="str">
        <f>Raw_Claims_Data!N846</f>
        <v>AGENT00944</v>
      </c>
      <c r="O847">
        <f>IF(Raw_Claims_Data!G846="D",1,0)</f>
        <v>0</v>
      </c>
    </row>
    <row r="848" spans="1:15" x14ac:dyDescent="0.35">
      <c r="A848" t="str">
        <f>Raw_Claims_Data!A847</f>
        <v>TXN00000844</v>
      </c>
      <c r="B848" t="str">
        <f>TRIM(Raw_Claims_Data!B847)</f>
        <v>John Cook</v>
      </c>
      <c r="C848" t="str">
        <f>Raw_Claims_Data!C847</f>
        <v>Property</v>
      </c>
      <c r="D848">
        <f>Raw_Claims_Data!D847</f>
        <v>129.71</v>
      </c>
      <c r="E848">
        <f>Raw_Claims_Data!E847</f>
        <v>36000</v>
      </c>
      <c r="F848" t="str">
        <f>Raw_Claims_Data!F847</f>
        <v>CO</v>
      </c>
      <c r="G848" t="str">
        <f>Raw_Claims_Data!G847</f>
        <v>A</v>
      </c>
      <c r="H848" t="str">
        <f>Raw_Claims_Data!H847</f>
        <v>Minor Loss</v>
      </c>
      <c r="I848" t="str">
        <f>IF(Raw_Claims_Data!I847="","None",Raw_Claims_Data!I847)</f>
        <v>Ambulance</v>
      </c>
      <c r="J848" t="str">
        <f>Raw_Claims_Data!J847</f>
        <v>Oklahoma City</v>
      </c>
      <c r="K848" t="str">
        <f>Raw_Claims_Data!K847</f>
        <v>OK</v>
      </c>
      <c r="L848">
        <f>Raw_Claims_Data!L847</f>
        <v>19</v>
      </c>
      <c r="M848" t="str">
        <f>IF(Raw_Claims_Data!M847="","N/A",Raw_Claims_Data!M847)</f>
        <v>VNDR00593</v>
      </c>
      <c r="N848" t="str">
        <f>Raw_Claims_Data!N847</f>
        <v>AGENT00937</v>
      </c>
      <c r="O848">
        <f>IF(Raw_Claims_Data!G847="D",1,0)</f>
        <v>0</v>
      </c>
    </row>
    <row r="849" spans="1:15" x14ac:dyDescent="0.35">
      <c r="A849" t="str">
        <f>Raw_Claims_Data!A848</f>
        <v>TXN00000845</v>
      </c>
      <c r="B849" t="str">
        <f>TRIM(Raw_Claims_Data!B848)</f>
        <v>Arthur Echols</v>
      </c>
      <c r="C849" t="str">
        <f>Raw_Claims_Data!C848</f>
        <v>Travel</v>
      </c>
      <c r="D849">
        <f>Raw_Claims_Data!D848</f>
        <v>98.45</v>
      </c>
      <c r="E849">
        <f>Raw_Claims_Data!E848</f>
        <v>4000</v>
      </c>
      <c r="F849" t="str">
        <f>Raw_Claims_Data!F848</f>
        <v>MA</v>
      </c>
      <c r="G849" t="str">
        <f>Raw_Claims_Data!G848</f>
        <v>A</v>
      </c>
      <c r="H849" t="str">
        <f>Raw_Claims_Data!H848</f>
        <v>Total Loss</v>
      </c>
      <c r="I849" t="str">
        <f>IF(Raw_Claims_Data!I848="","None",Raw_Claims_Data!I848)</f>
        <v>Police</v>
      </c>
      <c r="J849" t="str">
        <f>Raw_Claims_Data!J848</f>
        <v>Fayetteville</v>
      </c>
      <c r="K849" t="str">
        <f>Raw_Claims_Data!K848</f>
        <v>AR</v>
      </c>
      <c r="L849">
        <f>Raw_Claims_Data!L848</f>
        <v>14</v>
      </c>
      <c r="M849" t="str">
        <f>IF(Raw_Claims_Data!M848="","N/A",Raw_Claims_Data!M848)</f>
        <v>N/A</v>
      </c>
      <c r="N849" t="str">
        <f>Raw_Claims_Data!N848</f>
        <v>AGENT00491</v>
      </c>
      <c r="O849">
        <f>IF(Raw_Claims_Data!G848="D",1,0)</f>
        <v>0</v>
      </c>
    </row>
    <row r="850" spans="1:15" x14ac:dyDescent="0.35">
      <c r="A850" t="str">
        <f>Raw_Claims_Data!A849</f>
        <v>TXN00000846</v>
      </c>
      <c r="B850" t="str">
        <f>TRIM(Raw_Claims_Data!B849)</f>
        <v>Margaret Gahagan</v>
      </c>
      <c r="C850" t="str">
        <f>Raw_Claims_Data!C849</f>
        <v>Mobile</v>
      </c>
      <c r="D850">
        <f>Raw_Claims_Data!D849</f>
        <v>6.8</v>
      </c>
      <c r="E850">
        <f>Raw_Claims_Data!E849</f>
        <v>300</v>
      </c>
      <c r="F850" t="str">
        <f>Raw_Claims_Data!F849</f>
        <v>CT</v>
      </c>
      <c r="G850" t="str">
        <f>Raw_Claims_Data!G849</f>
        <v>A</v>
      </c>
      <c r="H850" t="str">
        <f>Raw_Claims_Data!H849</f>
        <v>Total Loss</v>
      </c>
      <c r="I850" t="str">
        <f>IF(Raw_Claims_Data!I849="","None",Raw_Claims_Data!I849)</f>
        <v>None</v>
      </c>
      <c r="J850" t="str">
        <f>Raw_Claims_Data!J849</f>
        <v>Holden</v>
      </c>
      <c r="K850" t="str">
        <f>Raw_Claims_Data!K849</f>
        <v>MA</v>
      </c>
      <c r="L850">
        <f>Raw_Claims_Data!L849</f>
        <v>11</v>
      </c>
      <c r="M850" t="str">
        <f>IF(Raw_Claims_Data!M849="","N/A",Raw_Claims_Data!M849)</f>
        <v>N/A</v>
      </c>
      <c r="N850" t="str">
        <f>Raw_Claims_Data!N849</f>
        <v>AGENT00924</v>
      </c>
      <c r="O850">
        <f>IF(Raw_Claims_Data!G849="D",1,0)</f>
        <v>0</v>
      </c>
    </row>
    <row r="851" spans="1:15" x14ac:dyDescent="0.35">
      <c r="A851" t="str">
        <f>Raw_Claims_Data!A850</f>
        <v>TXN00000847</v>
      </c>
      <c r="B851" t="str">
        <f>TRIM(Raw_Claims_Data!B850)</f>
        <v>Shirley Villanueva</v>
      </c>
      <c r="C851" t="str">
        <f>Raw_Claims_Data!C850</f>
        <v>Life</v>
      </c>
      <c r="D851">
        <f>Raw_Claims_Data!D850</f>
        <v>77.56</v>
      </c>
      <c r="E851">
        <f>Raw_Claims_Data!E850</f>
        <v>24000</v>
      </c>
      <c r="F851" t="str">
        <f>Raw_Claims_Data!F850</f>
        <v>CT</v>
      </c>
      <c r="G851" t="str">
        <f>Raw_Claims_Data!G850</f>
        <v>A</v>
      </c>
      <c r="H851" t="str">
        <f>Raw_Claims_Data!H850</f>
        <v>Major Loss</v>
      </c>
      <c r="I851" t="str">
        <f>IF(Raw_Claims_Data!I850="","None",Raw_Claims_Data!I850)</f>
        <v>Ambulance</v>
      </c>
      <c r="J851" t="str">
        <f>Raw_Claims_Data!J850</f>
        <v>Panama City</v>
      </c>
      <c r="K851" t="str">
        <f>Raw_Claims_Data!K850</f>
        <v>FL</v>
      </c>
      <c r="L851">
        <f>Raw_Claims_Data!L850</f>
        <v>22</v>
      </c>
      <c r="M851" t="str">
        <f>IF(Raw_Claims_Data!M850="","N/A",Raw_Claims_Data!M850)</f>
        <v>VNDR00520</v>
      </c>
      <c r="N851" t="str">
        <f>Raw_Claims_Data!N850</f>
        <v>AGENT00261</v>
      </c>
      <c r="O851">
        <f>IF(Raw_Claims_Data!G850="D",1,0)</f>
        <v>0</v>
      </c>
    </row>
    <row r="852" spans="1:15" x14ac:dyDescent="0.35">
      <c r="A852" t="str">
        <f>Raw_Claims_Data!A851</f>
        <v>TXN00000848</v>
      </c>
      <c r="B852" t="str">
        <f>TRIM(Raw_Claims_Data!B851)</f>
        <v>John Langston</v>
      </c>
      <c r="C852" t="str">
        <f>Raw_Claims_Data!C851</f>
        <v>Travel</v>
      </c>
      <c r="D852">
        <f>Raw_Claims_Data!D851</f>
        <v>93.59</v>
      </c>
      <c r="E852">
        <f>Raw_Claims_Data!E851</f>
        <v>1000</v>
      </c>
      <c r="F852" t="str">
        <f>Raw_Claims_Data!F851</f>
        <v>AK</v>
      </c>
      <c r="G852" t="str">
        <f>Raw_Claims_Data!G851</f>
        <v>A</v>
      </c>
      <c r="H852" t="str">
        <f>Raw_Claims_Data!H851</f>
        <v>Total Loss</v>
      </c>
      <c r="I852" t="str">
        <f>IF(Raw_Claims_Data!I851="","None",Raw_Claims_Data!I851)</f>
        <v>Police</v>
      </c>
      <c r="J852" t="str">
        <f>Raw_Claims_Data!J851</f>
        <v>Louisville</v>
      </c>
      <c r="K852" t="str">
        <f>Raw_Claims_Data!K851</f>
        <v>KY</v>
      </c>
      <c r="L852">
        <f>Raw_Claims_Data!L851</f>
        <v>20</v>
      </c>
      <c r="M852" t="str">
        <f>IF(Raw_Claims_Data!M851="","N/A",Raw_Claims_Data!M851)</f>
        <v>N/A</v>
      </c>
      <c r="N852" t="str">
        <f>Raw_Claims_Data!N851</f>
        <v>AGENT00215</v>
      </c>
      <c r="O852">
        <f>IF(Raw_Claims_Data!G851="D",1,0)</f>
        <v>0</v>
      </c>
    </row>
    <row r="853" spans="1:15" x14ac:dyDescent="0.35">
      <c r="A853" t="str">
        <f>Raw_Claims_Data!A852</f>
        <v>TXN00000849</v>
      </c>
      <c r="B853" t="str">
        <f>TRIM(Raw_Claims_Data!B852)</f>
        <v>Shawn Lancaster</v>
      </c>
      <c r="C853" t="str">
        <f>Raw_Claims_Data!C852</f>
        <v>Mobile</v>
      </c>
      <c r="D853">
        <f>Raw_Claims_Data!D852</f>
        <v>8</v>
      </c>
      <c r="E853">
        <f>Raw_Claims_Data!E852</f>
        <v>600</v>
      </c>
      <c r="F853" t="str">
        <f>Raw_Claims_Data!F852</f>
        <v>GA</v>
      </c>
      <c r="G853" t="str">
        <f>Raw_Claims_Data!G852</f>
        <v>A</v>
      </c>
      <c r="H853" t="str">
        <f>Raw_Claims_Data!H852</f>
        <v>Major Loss</v>
      </c>
      <c r="I853" t="str">
        <f>IF(Raw_Claims_Data!I852="","None",Raw_Claims_Data!I852)</f>
        <v>Ambulance</v>
      </c>
      <c r="J853" t="str">
        <f>Raw_Claims_Data!J852</f>
        <v>Washington</v>
      </c>
      <c r="K853" t="str">
        <f>Raw_Claims_Data!K852</f>
        <v>DC</v>
      </c>
      <c r="L853">
        <f>Raw_Claims_Data!L852</f>
        <v>22</v>
      </c>
      <c r="M853" t="str">
        <f>IF(Raw_Claims_Data!M852="","N/A",Raw_Claims_Data!M852)</f>
        <v>VNDR00360</v>
      </c>
      <c r="N853" t="str">
        <f>Raw_Claims_Data!N852</f>
        <v>AGENT01045</v>
      </c>
      <c r="O853">
        <f>IF(Raw_Claims_Data!G852="D",1,0)</f>
        <v>0</v>
      </c>
    </row>
    <row r="854" spans="1:15" x14ac:dyDescent="0.35">
      <c r="A854" t="str">
        <f>Raw_Claims_Data!A853</f>
        <v>TXN00000850</v>
      </c>
      <c r="B854" t="str">
        <f>TRIM(Raw_Claims_Data!B853)</f>
        <v>Donny Weinstein</v>
      </c>
      <c r="C854" t="str">
        <f>Raw_Claims_Data!C853</f>
        <v>Mobile</v>
      </c>
      <c r="D854">
        <f>Raw_Claims_Data!D853</f>
        <v>7.18</v>
      </c>
      <c r="E854">
        <f>Raw_Claims_Data!E853</f>
        <v>300</v>
      </c>
      <c r="F854" t="str">
        <f>Raw_Claims_Data!F853</f>
        <v>MA</v>
      </c>
      <c r="G854" t="str">
        <f>Raw_Claims_Data!G853</f>
        <v>A</v>
      </c>
      <c r="H854" t="str">
        <f>Raw_Claims_Data!H853</f>
        <v>Total Loss</v>
      </c>
      <c r="I854" t="str">
        <f>IF(Raw_Claims_Data!I853="","None",Raw_Claims_Data!I853)</f>
        <v>Police</v>
      </c>
      <c r="J854" t="str">
        <f>Raw_Claims_Data!J853</f>
        <v>San Leandro</v>
      </c>
      <c r="K854" t="str">
        <f>Raw_Claims_Data!K853</f>
        <v>CA</v>
      </c>
      <c r="L854">
        <f>Raw_Claims_Data!L853</f>
        <v>14</v>
      </c>
      <c r="M854" t="str">
        <f>IF(Raw_Claims_Data!M853="","N/A",Raw_Claims_Data!M853)</f>
        <v>VNDR00437</v>
      </c>
      <c r="N854" t="str">
        <f>Raw_Claims_Data!N853</f>
        <v>AGENT00828</v>
      </c>
      <c r="O854">
        <f>IF(Raw_Claims_Data!G853="D",1,0)</f>
        <v>0</v>
      </c>
    </row>
    <row r="855" spans="1:15" x14ac:dyDescent="0.35">
      <c r="A855" t="str">
        <f>Raw_Claims_Data!A854</f>
        <v>TXN00000851</v>
      </c>
      <c r="B855" t="str">
        <f>TRIM(Raw_Claims_Data!B854)</f>
        <v>John Lynch</v>
      </c>
      <c r="C855" t="str">
        <f>Raw_Claims_Data!C854</f>
        <v>Travel</v>
      </c>
      <c r="D855">
        <f>Raw_Claims_Data!D854</f>
        <v>74.55</v>
      </c>
      <c r="E855">
        <f>Raw_Claims_Data!E854</f>
        <v>3000</v>
      </c>
      <c r="F855" t="str">
        <f>Raw_Claims_Data!F854</f>
        <v>DC</v>
      </c>
      <c r="G855" t="str">
        <f>Raw_Claims_Data!G854</f>
        <v>A</v>
      </c>
      <c r="H855" t="str">
        <f>Raw_Claims_Data!H854</f>
        <v>Major Loss</v>
      </c>
      <c r="I855" t="str">
        <f>IF(Raw_Claims_Data!I854="","None",Raw_Claims_Data!I854)</f>
        <v>None</v>
      </c>
      <c r="J855" t="str">
        <f>Raw_Claims_Data!J854</f>
        <v>Tewksbury</v>
      </c>
      <c r="K855" t="str">
        <f>Raw_Claims_Data!K854</f>
        <v>MA</v>
      </c>
      <c r="L855">
        <f>Raw_Claims_Data!L854</f>
        <v>8</v>
      </c>
      <c r="M855" t="str">
        <f>IF(Raw_Claims_Data!M854="","N/A",Raw_Claims_Data!M854)</f>
        <v>N/A</v>
      </c>
      <c r="N855" t="str">
        <f>Raw_Claims_Data!N854</f>
        <v>AGENT00561</v>
      </c>
      <c r="O855">
        <f>IF(Raw_Claims_Data!G854="D",1,0)</f>
        <v>0</v>
      </c>
    </row>
    <row r="856" spans="1:15" x14ac:dyDescent="0.35">
      <c r="A856" t="str">
        <f>Raw_Claims_Data!A855</f>
        <v>TXN00000852</v>
      </c>
      <c r="B856" t="str">
        <f>TRIM(Raw_Claims_Data!B855)</f>
        <v>Christina Childress</v>
      </c>
      <c r="C856" t="str">
        <f>Raw_Claims_Data!C855</f>
        <v>Motor</v>
      </c>
      <c r="D856">
        <f>Raw_Claims_Data!D855</f>
        <v>105.28</v>
      </c>
      <c r="E856">
        <f>Raw_Claims_Data!E855</f>
        <v>7000</v>
      </c>
      <c r="F856" t="str">
        <f>Raw_Claims_Data!F855</f>
        <v>KY</v>
      </c>
      <c r="G856" t="str">
        <f>Raw_Claims_Data!G855</f>
        <v>A</v>
      </c>
      <c r="H856" t="str">
        <f>Raw_Claims_Data!H855</f>
        <v>Minor Loss</v>
      </c>
      <c r="I856" t="str">
        <f>IF(Raw_Claims_Data!I855="","None",Raw_Claims_Data!I855)</f>
        <v>Ambulance</v>
      </c>
      <c r="J856" t="str">
        <f>Raw_Claims_Data!J855</f>
        <v>Manchester</v>
      </c>
      <c r="K856" t="str">
        <f>Raw_Claims_Data!K855</f>
        <v>CT</v>
      </c>
      <c r="L856">
        <f>Raw_Claims_Data!L855</f>
        <v>5</v>
      </c>
      <c r="M856" t="str">
        <f>IF(Raw_Claims_Data!M855="","N/A",Raw_Claims_Data!M855)</f>
        <v>VNDR00049</v>
      </c>
      <c r="N856" t="str">
        <f>Raw_Claims_Data!N855</f>
        <v>AGENT00229</v>
      </c>
      <c r="O856">
        <f>IF(Raw_Claims_Data!G855="D",1,0)</f>
        <v>0</v>
      </c>
    </row>
    <row r="857" spans="1:15" x14ac:dyDescent="0.35">
      <c r="A857" t="str">
        <f>Raw_Claims_Data!A856</f>
        <v>TXN00000853</v>
      </c>
      <c r="B857" t="str">
        <f>TRIM(Raw_Claims_Data!B856)</f>
        <v>Roxanne Chiarini</v>
      </c>
      <c r="C857" t="str">
        <f>Raw_Claims_Data!C856</f>
        <v>Motor</v>
      </c>
      <c r="D857">
        <f>Raw_Claims_Data!D856</f>
        <v>87.21</v>
      </c>
      <c r="E857">
        <f>Raw_Claims_Data!E856</f>
        <v>2000</v>
      </c>
      <c r="F857" t="str">
        <f>Raw_Claims_Data!F856</f>
        <v>CA</v>
      </c>
      <c r="G857" t="str">
        <f>Raw_Claims_Data!G856</f>
        <v>A</v>
      </c>
      <c r="H857" t="str">
        <f>Raw_Claims_Data!H856</f>
        <v>Minor Loss</v>
      </c>
      <c r="I857" t="str">
        <f>IF(Raw_Claims_Data!I856="","None",Raw_Claims_Data!I856)</f>
        <v>Ambulance</v>
      </c>
      <c r="J857" t="str">
        <f>Raw_Claims_Data!J856</f>
        <v>Louisville</v>
      </c>
      <c r="K857" t="str">
        <f>Raw_Claims_Data!K856</f>
        <v>KY</v>
      </c>
      <c r="L857">
        <f>Raw_Claims_Data!L856</f>
        <v>21</v>
      </c>
      <c r="M857" t="str">
        <f>IF(Raw_Claims_Data!M856="","N/A",Raw_Claims_Data!M856)</f>
        <v>VNDR00221</v>
      </c>
      <c r="N857" t="str">
        <f>Raw_Claims_Data!N856</f>
        <v>AGENT00096</v>
      </c>
      <c r="O857">
        <f>IF(Raw_Claims_Data!G856="D",1,0)</f>
        <v>0</v>
      </c>
    </row>
    <row r="858" spans="1:15" x14ac:dyDescent="0.35">
      <c r="A858" t="str">
        <f>Raw_Claims_Data!A857</f>
        <v>TXN00000854</v>
      </c>
      <c r="B858" t="str">
        <f>TRIM(Raw_Claims_Data!B857)</f>
        <v>Dante Wesley</v>
      </c>
      <c r="C858" t="str">
        <f>Raw_Claims_Data!C857</f>
        <v>Life</v>
      </c>
      <c r="D858">
        <f>Raw_Claims_Data!D857</f>
        <v>58.61</v>
      </c>
      <c r="E858">
        <f>Raw_Claims_Data!E857</f>
        <v>80000</v>
      </c>
      <c r="F858" t="str">
        <f>Raw_Claims_Data!F857</f>
        <v>AL</v>
      </c>
      <c r="G858" t="str">
        <f>Raw_Claims_Data!G857</f>
        <v>A</v>
      </c>
      <c r="H858" t="str">
        <f>Raw_Claims_Data!H857</f>
        <v>Minor Loss</v>
      </c>
      <c r="I858" t="str">
        <f>IF(Raw_Claims_Data!I857="","None",Raw_Claims_Data!I857)</f>
        <v>Ambulance</v>
      </c>
      <c r="J858" t="str">
        <f>Raw_Claims_Data!J857</f>
        <v>Manchester</v>
      </c>
      <c r="K858" t="str">
        <f>Raw_Claims_Data!K857</f>
        <v>CT</v>
      </c>
      <c r="L858">
        <f>Raw_Claims_Data!L857</f>
        <v>9</v>
      </c>
      <c r="M858" t="str">
        <f>IF(Raw_Claims_Data!M857="","N/A",Raw_Claims_Data!M857)</f>
        <v>N/A</v>
      </c>
      <c r="N858" t="str">
        <f>Raw_Claims_Data!N857</f>
        <v>AGENT00821</v>
      </c>
      <c r="O858">
        <f>IF(Raw_Claims_Data!G857="D",1,0)</f>
        <v>0</v>
      </c>
    </row>
    <row r="859" spans="1:15" x14ac:dyDescent="0.35">
      <c r="A859" t="str">
        <f>Raw_Claims_Data!A858</f>
        <v>TXN00000855</v>
      </c>
      <c r="B859" t="str">
        <f>TRIM(Raw_Claims_Data!B858)</f>
        <v>Edward Ford</v>
      </c>
      <c r="C859" t="str">
        <f>Raw_Claims_Data!C858</f>
        <v>Property</v>
      </c>
      <c r="D859">
        <f>Raw_Claims_Data!D858</f>
        <v>89.8</v>
      </c>
      <c r="E859">
        <f>Raw_Claims_Data!E858</f>
        <v>27000</v>
      </c>
      <c r="F859" t="str">
        <f>Raw_Claims_Data!F858</f>
        <v>VT</v>
      </c>
      <c r="G859" t="str">
        <f>Raw_Claims_Data!G858</f>
        <v>A</v>
      </c>
      <c r="H859" t="str">
        <f>Raw_Claims_Data!H858</f>
        <v>Major Loss</v>
      </c>
      <c r="I859" t="str">
        <f>IF(Raw_Claims_Data!I858="","None",Raw_Claims_Data!I858)</f>
        <v>Ambulance</v>
      </c>
      <c r="J859" t="str">
        <f>Raw_Claims_Data!J858</f>
        <v>Savannah</v>
      </c>
      <c r="K859" t="str">
        <f>Raw_Claims_Data!K858</f>
        <v>GA</v>
      </c>
      <c r="L859">
        <f>Raw_Claims_Data!L858</f>
        <v>20</v>
      </c>
      <c r="M859" t="str">
        <f>IF(Raw_Claims_Data!M858="","N/A",Raw_Claims_Data!M858)</f>
        <v>VNDR00427</v>
      </c>
      <c r="N859" t="str">
        <f>Raw_Claims_Data!N858</f>
        <v>AGENT00595</v>
      </c>
      <c r="O859">
        <f>IF(Raw_Claims_Data!G858="D",1,0)</f>
        <v>0</v>
      </c>
    </row>
    <row r="860" spans="1:15" x14ac:dyDescent="0.35">
      <c r="A860" t="str">
        <f>Raw_Claims_Data!A859</f>
        <v>TXN00000856</v>
      </c>
      <c r="B860" t="str">
        <f>TRIM(Raw_Claims_Data!B859)</f>
        <v>Nell Henry</v>
      </c>
      <c r="C860" t="str">
        <f>Raw_Claims_Data!C859</f>
        <v>Property</v>
      </c>
      <c r="D860">
        <f>Raw_Claims_Data!D859</f>
        <v>125.14</v>
      </c>
      <c r="E860">
        <f>Raw_Claims_Data!E859</f>
        <v>31000</v>
      </c>
      <c r="F860" t="str">
        <f>Raw_Claims_Data!F859</f>
        <v>GA</v>
      </c>
      <c r="G860" t="str">
        <f>Raw_Claims_Data!G859</f>
        <v>A</v>
      </c>
      <c r="H860" t="str">
        <f>Raw_Claims_Data!H859</f>
        <v>Minor Loss</v>
      </c>
      <c r="I860" t="str">
        <f>IF(Raw_Claims_Data!I859="","None",Raw_Claims_Data!I859)</f>
        <v>Police</v>
      </c>
      <c r="J860" t="str">
        <f>Raw_Claims_Data!J859</f>
        <v>Oakland</v>
      </c>
      <c r="K860" t="str">
        <f>Raw_Claims_Data!K859</f>
        <v>CA</v>
      </c>
      <c r="L860">
        <f>Raw_Claims_Data!L859</f>
        <v>8</v>
      </c>
      <c r="M860" t="str">
        <f>IF(Raw_Claims_Data!M859="","N/A",Raw_Claims_Data!M859)</f>
        <v>N/A</v>
      </c>
      <c r="N860" t="str">
        <f>Raw_Claims_Data!N859</f>
        <v>AGENT00544</v>
      </c>
      <c r="O860">
        <f>IF(Raw_Claims_Data!G859="D",1,0)</f>
        <v>0</v>
      </c>
    </row>
    <row r="861" spans="1:15" x14ac:dyDescent="0.35">
      <c r="A861" t="str">
        <f>Raw_Claims_Data!A860</f>
        <v>TXN00000857</v>
      </c>
      <c r="B861" t="str">
        <f>TRIM(Raw_Claims_Data!B860)</f>
        <v>Eric Owens</v>
      </c>
      <c r="C861" t="str">
        <f>Raw_Claims_Data!C860</f>
        <v>Health</v>
      </c>
      <c r="D861">
        <f>Raw_Claims_Data!D860</f>
        <v>183.95</v>
      </c>
      <c r="E861">
        <f>Raw_Claims_Data!E860</f>
        <v>17000</v>
      </c>
      <c r="F861" t="str">
        <f>Raw_Claims_Data!F860</f>
        <v>GA</v>
      </c>
      <c r="G861" t="str">
        <f>Raw_Claims_Data!G860</f>
        <v>A</v>
      </c>
      <c r="H861" t="str">
        <f>Raw_Claims_Data!H860</f>
        <v>Major Loss</v>
      </c>
      <c r="I861" t="str">
        <f>IF(Raw_Claims_Data!I860="","None",Raw_Claims_Data!I860)</f>
        <v>Police</v>
      </c>
      <c r="J861" t="str">
        <f>Raw_Claims_Data!J860</f>
        <v>Manchester</v>
      </c>
      <c r="K861" t="str">
        <f>Raw_Claims_Data!K860</f>
        <v>CT</v>
      </c>
      <c r="L861">
        <f>Raw_Claims_Data!L860</f>
        <v>0</v>
      </c>
      <c r="M861" t="str">
        <f>IF(Raw_Claims_Data!M860="","N/A",Raw_Claims_Data!M860)</f>
        <v>N/A</v>
      </c>
      <c r="N861" t="str">
        <f>Raw_Claims_Data!N860</f>
        <v>AGENT00126</v>
      </c>
      <c r="O861">
        <f>IF(Raw_Claims_Data!G860="D",1,0)</f>
        <v>0</v>
      </c>
    </row>
    <row r="862" spans="1:15" x14ac:dyDescent="0.35">
      <c r="A862" t="str">
        <f>Raw_Claims_Data!A861</f>
        <v>TXN00000858</v>
      </c>
      <c r="B862" t="str">
        <f>TRIM(Raw_Claims_Data!B861)</f>
        <v>Timothy Ayala</v>
      </c>
      <c r="C862" t="str">
        <f>Raw_Claims_Data!C861</f>
        <v>Mobile</v>
      </c>
      <c r="D862">
        <f>Raw_Claims_Data!D861</f>
        <v>6.09</v>
      </c>
      <c r="E862">
        <f>Raw_Claims_Data!E861</f>
        <v>300</v>
      </c>
      <c r="F862" t="str">
        <f>Raw_Claims_Data!F861</f>
        <v>AZ</v>
      </c>
      <c r="G862" t="str">
        <f>Raw_Claims_Data!G861</f>
        <v>A</v>
      </c>
      <c r="H862" t="str">
        <f>Raw_Claims_Data!H861</f>
        <v>Minor Loss</v>
      </c>
      <c r="I862" t="str">
        <f>IF(Raw_Claims_Data!I861="","None",Raw_Claims_Data!I861)</f>
        <v>Ambulance</v>
      </c>
      <c r="J862" t="str">
        <f>Raw_Claims_Data!J861</f>
        <v>Panama City Beach</v>
      </c>
      <c r="K862" t="str">
        <f>Raw_Claims_Data!K861</f>
        <v>FL</v>
      </c>
      <c r="L862">
        <f>Raw_Claims_Data!L861</f>
        <v>17</v>
      </c>
      <c r="M862" t="str">
        <f>IF(Raw_Claims_Data!M861="","N/A",Raw_Claims_Data!M861)</f>
        <v>N/A</v>
      </c>
      <c r="N862" t="str">
        <f>Raw_Claims_Data!N861</f>
        <v>AGENT00319</v>
      </c>
      <c r="O862">
        <f>IF(Raw_Claims_Data!G861="D",1,0)</f>
        <v>0</v>
      </c>
    </row>
    <row r="863" spans="1:15" x14ac:dyDescent="0.35">
      <c r="A863" t="str">
        <f>Raw_Claims_Data!A862</f>
        <v>TXN00000859</v>
      </c>
      <c r="B863" t="str">
        <f>TRIM(Raw_Claims_Data!B862)</f>
        <v>Laura Larrabee</v>
      </c>
      <c r="C863" t="str">
        <f>Raw_Claims_Data!C862</f>
        <v>Property</v>
      </c>
      <c r="D863">
        <f>Raw_Claims_Data!D862</f>
        <v>138.63999999999999</v>
      </c>
      <c r="E863">
        <f>Raw_Claims_Data!E862</f>
        <v>36000</v>
      </c>
      <c r="F863" t="str">
        <f>Raw_Claims_Data!F862</f>
        <v>CO</v>
      </c>
      <c r="G863" t="str">
        <f>Raw_Claims_Data!G862</f>
        <v>A</v>
      </c>
      <c r="H863" t="str">
        <f>Raw_Claims_Data!H862</f>
        <v>Major Loss</v>
      </c>
      <c r="I863" t="str">
        <f>IF(Raw_Claims_Data!I862="","None",Raw_Claims_Data!I862)</f>
        <v>None</v>
      </c>
      <c r="J863" t="str">
        <f>Raw_Claims_Data!J862</f>
        <v>Linthicum Heights</v>
      </c>
      <c r="K863" t="str">
        <f>Raw_Claims_Data!K862</f>
        <v>MD</v>
      </c>
      <c r="L863">
        <f>Raw_Claims_Data!L862</f>
        <v>18</v>
      </c>
      <c r="M863" t="str">
        <f>IF(Raw_Claims_Data!M862="","N/A",Raw_Claims_Data!M862)</f>
        <v>N/A</v>
      </c>
      <c r="N863" t="str">
        <f>Raw_Claims_Data!N862</f>
        <v>AGENT00216</v>
      </c>
      <c r="O863">
        <f>IF(Raw_Claims_Data!G862="D",1,0)</f>
        <v>0</v>
      </c>
    </row>
    <row r="864" spans="1:15" x14ac:dyDescent="0.35">
      <c r="A864" t="str">
        <f>Raw_Claims_Data!A863</f>
        <v>TXN00000860</v>
      </c>
      <c r="B864" t="str">
        <f>TRIM(Raw_Claims_Data!B863)</f>
        <v>Kristen Deblauw</v>
      </c>
      <c r="C864" t="str">
        <f>Raw_Claims_Data!C863</f>
        <v>Health</v>
      </c>
      <c r="D864">
        <f>Raw_Claims_Data!D863</f>
        <v>161.16</v>
      </c>
      <c r="E864">
        <f>Raw_Claims_Data!E863</f>
        <v>7000</v>
      </c>
      <c r="F864" t="str">
        <f>Raw_Claims_Data!F863</f>
        <v>AL</v>
      </c>
      <c r="G864" t="str">
        <f>Raw_Claims_Data!G863</f>
        <v>A</v>
      </c>
      <c r="H864" t="str">
        <f>Raw_Claims_Data!H863</f>
        <v>Major Loss</v>
      </c>
      <c r="I864" t="str">
        <f>IF(Raw_Claims_Data!I863="","None",Raw_Claims_Data!I863)</f>
        <v>Police</v>
      </c>
      <c r="J864" t="str">
        <f>Raw_Claims_Data!J863</f>
        <v>Montgomery</v>
      </c>
      <c r="K864" t="str">
        <f>Raw_Claims_Data!K863</f>
        <v>AL</v>
      </c>
      <c r="L864">
        <f>Raw_Claims_Data!L863</f>
        <v>6</v>
      </c>
      <c r="M864" t="str">
        <f>IF(Raw_Claims_Data!M863="","N/A",Raw_Claims_Data!M863)</f>
        <v>VNDR00369</v>
      </c>
      <c r="N864" t="str">
        <f>Raw_Claims_Data!N863</f>
        <v>AGENT01098</v>
      </c>
      <c r="O864">
        <f>IF(Raw_Claims_Data!G863="D",1,0)</f>
        <v>0</v>
      </c>
    </row>
    <row r="865" spans="1:15" x14ac:dyDescent="0.35">
      <c r="A865" t="str">
        <f>Raw_Claims_Data!A864</f>
        <v>TXN00000861</v>
      </c>
      <c r="B865" t="str">
        <f>TRIM(Raw_Claims_Data!B864)</f>
        <v>Lauren Gearhart</v>
      </c>
      <c r="C865" t="str">
        <f>Raw_Claims_Data!C864</f>
        <v>Life</v>
      </c>
      <c r="D865">
        <f>Raw_Claims_Data!D864</f>
        <v>93.48</v>
      </c>
      <c r="E865">
        <f>Raw_Claims_Data!E864</f>
        <v>12000</v>
      </c>
      <c r="F865" t="str">
        <f>Raw_Claims_Data!F864</f>
        <v>AL</v>
      </c>
      <c r="G865" t="str">
        <f>Raw_Claims_Data!G864</f>
        <v>A</v>
      </c>
      <c r="H865" t="str">
        <f>Raw_Claims_Data!H864</f>
        <v>Major Loss</v>
      </c>
      <c r="I865" t="str">
        <f>IF(Raw_Claims_Data!I864="","None",Raw_Claims_Data!I864)</f>
        <v>None</v>
      </c>
      <c r="J865" t="str">
        <f>Raw_Claims_Data!J864</f>
        <v>Savannah</v>
      </c>
      <c r="K865" t="str">
        <f>Raw_Claims_Data!K864</f>
        <v>GA</v>
      </c>
      <c r="L865">
        <f>Raw_Claims_Data!L864</f>
        <v>20</v>
      </c>
      <c r="M865" t="str">
        <f>IF(Raw_Claims_Data!M864="","N/A",Raw_Claims_Data!M864)</f>
        <v>VNDR00019</v>
      </c>
      <c r="N865" t="str">
        <f>Raw_Claims_Data!N864</f>
        <v>AGENT00678</v>
      </c>
      <c r="O865">
        <f>IF(Raw_Claims_Data!G864="D",1,0)</f>
        <v>0</v>
      </c>
    </row>
    <row r="866" spans="1:15" x14ac:dyDescent="0.35">
      <c r="A866" t="str">
        <f>Raw_Claims_Data!A865</f>
        <v>TXN00000862</v>
      </c>
      <c r="B866" t="str">
        <f>TRIM(Raw_Claims_Data!B865)</f>
        <v>Becky Meza</v>
      </c>
      <c r="C866" t="str">
        <f>Raw_Claims_Data!C865</f>
        <v>Property</v>
      </c>
      <c r="D866">
        <f>Raw_Claims_Data!D865</f>
        <v>116.66</v>
      </c>
      <c r="E866">
        <f>Raw_Claims_Data!E865</f>
        <v>10000</v>
      </c>
      <c r="F866" t="str">
        <f>Raw_Claims_Data!F865</f>
        <v>VT</v>
      </c>
      <c r="G866" t="str">
        <f>Raw_Claims_Data!G865</f>
        <v>A</v>
      </c>
      <c r="H866" t="str">
        <f>Raw_Claims_Data!H865</f>
        <v>Major Loss</v>
      </c>
      <c r="I866" t="str">
        <f>IF(Raw_Claims_Data!I865="","None",Raw_Claims_Data!I865)</f>
        <v>Ambulance</v>
      </c>
      <c r="J866" t="str">
        <f>Raw_Claims_Data!J865</f>
        <v>Glendale</v>
      </c>
      <c r="K866" t="str">
        <f>Raw_Claims_Data!K865</f>
        <v>AZ</v>
      </c>
      <c r="L866">
        <f>Raw_Claims_Data!L865</f>
        <v>18</v>
      </c>
      <c r="M866" t="str">
        <f>IF(Raw_Claims_Data!M865="","N/A",Raw_Claims_Data!M865)</f>
        <v>VNDR00583</v>
      </c>
      <c r="N866" t="str">
        <f>Raw_Claims_Data!N865</f>
        <v>AGENT00547</v>
      </c>
      <c r="O866">
        <f>IF(Raw_Claims_Data!G865="D",1,0)</f>
        <v>0</v>
      </c>
    </row>
    <row r="867" spans="1:15" x14ac:dyDescent="0.35">
      <c r="A867" t="str">
        <f>Raw_Claims_Data!A866</f>
        <v>TXN00000863</v>
      </c>
      <c r="B867" t="str">
        <f>TRIM(Raw_Claims_Data!B866)</f>
        <v>Olga Sheehan</v>
      </c>
      <c r="C867" t="str">
        <f>Raw_Claims_Data!C866</f>
        <v>Mobile</v>
      </c>
      <c r="D867">
        <f>Raw_Claims_Data!D866</f>
        <v>7.05</v>
      </c>
      <c r="E867">
        <f>Raw_Claims_Data!E866</f>
        <v>300</v>
      </c>
      <c r="F867" t="str">
        <f>Raw_Claims_Data!F866</f>
        <v>VT</v>
      </c>
      <c r="G867" t="str">
        <f>Raw_Claims_Data!G866</f>
        <v>A</v>
      </c>
      <c r="H867" t="str">
        <f>Raw_Claims_Data!H866</f>
        <v>Minor Loss</v>
      </c>
      <c r="I867" t="str">
        <f>IF(Raw_Claims_Data!I866="","None",Raw_Claims_Data!I866)</f>
        <v>Police</v>
      </c>
      <c r="J867" t="str">
        <f>Raw_Claims_Data!J866</f>
        <v>Montgomery</v>
      </c>
      <c r="K867" t="str">
        <f>Raw_Claims_Data!K866</f>
        <v>AL</v>
      </c>
      <c r="L867">
        <f>Raw_Claims_Data!L866</f>
        <v>3</v>
      </c>
      <c r="M867" t="str">
        <f>IF(Raw_Claims_Data!M866="","N/A",Raw_Claims_Data!M866)</f>
        <v>VNDR00109</v>
      </c>
      <c r="N867" t="str">
        <f>Raw_Claims_Data!N866</f>
        <v>AGENT00133</v>
      </c>
      <c r="O867">
        <f>IF(Raw_Claims_Data!G866="D",1,0)</f>
        <v>0</v>
      </c>
    </row>
    <row r="868" spans="1:15" x14ac:dyDescent="0.35">
      <c r="A868" t="str">
        <f>Raw_Claims_Data!A867</f>
        <v>TXN00000864</v>
      </c>
      <c r="B868" t="str">
        <f>TRIM(Raw_Claims_Data!B867)</f>
        <v>Helen Robinson</v>
      </c>
      <c r="C868" t="str">
        <f>Raw_Claims_Data!C867</f>
        <v>Travel</v>
      </c>
      <c r="D868">
        <f>Raw_Claims_Data!D867</f>
        <v>55.71</v>
      </c>
      <c r="E868">
        <f>Raw_Claims_Data!E867</f>
        <v>3000</v>
      </c>
      <c r="F868" t="str">
        <f>Raw_Claims_Data!F867</f>
        <v>AL</v>
      </c>
      <c r="G868" t="str">
        <f>Raw_Claims_Data!G867</f>
        <v>A</v>
      </c>
      <c r="H868" t="str">
        <f>Raw_Claims_Data!H867</f>
        <v>Total Loss</v>
      </c>
      <c r="I868" t="str">
        <f>IF(Raw_Claims_Data!I867="","None",Raw_Claims_Data!I867)</f>
        <v>Police</v>
      </c>
      <c r="J868" t="str">
        <f>Raw_Claims_Data!J867</f>
        <v>Maidstone</v>
      </c>
      <c r="K868" t="str">
        <f>Raw_Claims_Data!K867</f>
        <v>VT</v>
      </c>
      <c r="L868">
        <f>Raw_Claims_Data!L867</f>
        <v>2</v>
      </c>
      <c r="M868" t="str">
        <f>IF(Raw_Claims_Data!M867="","N/A",Raw_Claims_Data!M867)</f>
        <v>N/A</v>
      </c>
      <c r="N868" t="str">
        <f>Raw_Claims_Data!N867</f>
        <v>AGENT00453</v>
      </c>
      <c r="O868">
        <f>IF(Raw_Claims_Data!G867="D",1,0)</f>
        <v>0</v>
      </c>
    </row>
    <row r="869" spans="1:15" x14ac:dyDescent="0.35">
      <c r="A869" t="str">
        <f>Raw_Claims_Data!A868</f>
        <v>TXN00000865</v>
      </c>
      <c r="B869" t="str">
        <f>TRIM(Raw_Claims_Data!B868)</f>
        <v>Anthony Gallo</v>
      </c>
      <c r="C869" t="str">
        <f>Raw_Claims_Data!C868</f>
        <v>Travel</v>
      </c>
      <c r="D869">
        <f>Raw_Claims_Data!D868</f>
        <v>62.68</v>
      </c>
      <c r="E869">
        <f>Raw_Claims_Data!E868</f>
        <v>5000</v>
      </c>
      <c r="F869" t="str">
        <f>Raw_Claims_Data!F868</f>
        <v>AL</v>
      </c>
      <c r="G869" t="str">
        <f>Raw_Claims_Data!G868</f>
        <v>A</v>
      </c>
      <c r="H869" t="str">
        <f>Raw_Claims_Data!H868</f>
        <v>Minor Loss</v>
      </c>
      <c r="I869" t="str">
        <f>IF(Raw_Claims_Data!I868="","None",Raw_Claims_Data!I868)</f>
        <v>Police</v>
      </c>
      <c r="J869" t="str">
        <f>Raw_Claims_Data!J868</f>
        <v>Montgomery</v>
      </c>
      <c r="K869" t="str">
        <f>Raw_Claims_Data!K868</f>
        <v>AL</v>
      </c>
      <c r="L869">
        <f>Raw_Claims_Data!L868</f>
        <v>19</v>
      </c>
      <c r="M869" t="str">
        <f>IF(Raw_Claims_Data!M868="","N/A",Raw_Claims_Data!M868)</f>
        <v>VNDR00295</v>
      </c>
      <c r="N869" t="str">
        <f>Raw_Claims_Data!N868</f>
        <v>AGENT00217</v>
      </c>
      <c r="O869">
        <f>IF(Raw_Claims_Data!G868="D",1,0)</f>
        <v>0</v>
      </c>
    </row>
    <row r="870" spans="1:15" x14ac:dyDescent="0.35">
      <c r="A870" t="str">
        <f>Raw_Claims_Data!A869</f>
        <v>TXN00000866</v>
      </c>
      <c r="B870" t="str">
        <f>TRIM(Raw_Claims_Data!B869)</f>
        <v>Calvin Smith</v>
      </c>
      <c r="C870" t="str">
        <f>Raw_Claims_Data!C869</f>
        <v>Health</v>
      </c>
      <c r="D870">
        <f>Raw_Claims_Data!D869</f>
        <v>182.54</v>
      </c>
      <c r="E870">
        <f>Raw_Claims_Data!E869</f>
        <v>2000</v>
      </c>
      <c r="F870" t="str">
        <f>Raw_Claims_Data!F869</f>
        <v>AL</v>
      </c>
      <c r="G870" t="str">
        <f>Raw_Claims_Data!G869</f>
        <v>A</v>
      </c>
      <c r="H870" t="str">
        <f>Raw_Claims_Data!H869</f>
        <v>Total Loss</v>
      </c>
      <c r="I870" t="str">
        <f>IF(Raw_Claims_Data!I869="","None",Raw_Claims_Data!I869)</f>
        <v>Other</v>
      </c>
      <c r="J870" t="str">
        <f>Raw_Claims_Data!J869</f>
        <v>Medford</v>
      </c>
      <c r="K870" t="str">
        <f>Raw_Claims_Data!K869</f>
        <v>MA</v>
      </c>
      <c r="L870">
        <f>Raw_Claims_Data!L869</f>
        <v>13</v>
      </c>
      <c r="M870" t="str">
        <f>IF(Raw_Claims_Data!M869="","N/A",Raw_Claims_Data!M869)</f>
        <v>N/A</v>
      </c>
      <c r="N870" t="str">
        <f>Raw_Claims_Data!N869</f>
        <v>AGENT00294</v>
      </c>
      <c r="O870">
        <f>IF(Raw_Claims_Data!G869="D",1,0)</f>
        <v>0</v>
      </c>
    </row>
    <row r="871" spans="1:15" x14ac:dyDescent="0.35">
      <c r="A871" t="str">
        <f>Raw_Claims_Data!A870</f>
        <v>TXN00000867</v>
      </c>
      <c r="B871" t="str">
        <f>TRIM(Raw_Claims_Data!B870)</f>
        <v>Jan Mcentire</v>
      </c>
      <c r="C871" t="str">
        <f>Raw_Claims_Data!C870</f>
        <v>Life</v>
      </c>
      <c r="D871">
        <f>Raw_Claims_Data!D870</f>
        <v>99.07</v>
      </c>
      <c r="E871">
        <f>Raw_Claims_Data!E870</f>
        <v>38000</v>
      </c>
      <c r="F871" t="str">
        <f>Raw_Claims_Data!F870</f>
        <v>AZ</v>
      </c>
      <c r="G871" t="str">
        <f>Raw_Claims_Data!G870</f>
        <v>A</v>
      </c>
      <c r="H871" t="str">
        <f>Raw_Claims_Data!H870</f>
        <v>Minor Loss</v>
      </c>
      <c r="I871" t="str">
        <f>IF(Raw_Claims_Data!I870="","None",Raw_Claims_Data!I870)</f>
        <v>Police</v>
      </c>
      <c r="J871" t="str">
        <f>Raw_Claims_Data!J870</f>
        <v>Washington</v>
      </c>
      <c r="K871" t="str">
        <f>Raw_Claims_Data!K870</f>
        <v>DC</v>
      </c>
      <c r="L871">
        <f>Raw_Claims_Data!L870</f>
        <v>9</v>
      </c>
      <c r="M871" t="str">
        <f>IF(Raw_Claims_Data!M870="","N/A",Raw_Claims_Data!M870)</f>
        <v>VNDR00277</v>
      </c>
      <c r="N871" t="str">
        <f>Raw_Claims_Data!N870</f>
        <v>AGENT00722</v>
      </c>
      <c r="O871">
        <f>IF(Raw_Claims_Data!G870="D",1,0)</f>
        <v>0</v>
      </c>
    </row>
    <row r="872" spans="1:15" x14ac:dyDescent="0.35">
      <c r="A872" t="str">
        <f>Raw_Claims_Data!A871</f>
        <v>TXN00000868</v>
      </c>
      <c r="B872" t="str">
        <f>TRIM(Raw_Claims_Data!B871)</f>
        <v>Tyler Mccormick</v>
      </c>
      <c r="C872" t="str">
        <f>Raw_Claims_Data!C871</f>
        <v>Mobile</v>
      </c>
      <c r="D872">
        <f>Raw_Claims_Data!D871</f>
        <v>11.74</v>
      </c>
      <c r="E872">
        <f>Raw_Claims_Data!E871</f>
        <v>100</v>
      </c>
      <c r="F872" t="str">
        <f>Raw_Claims_Data!F871</f>
        <v>MD</v>
      </c>
      <c r="G872" t="str">
        <f>Raw_Claims_Data!G871</f>
        <v>A</v>
      </c>
      <c r="H872" t="str">
        <f>Raw_Claims_Data!H871</f>
        <v>Minor Loss</v>
      </c>
      <c r="I872" t="str">
        <f>IF(Raw_Claims_Data!I871="","None",Raw_Claims_Data!I871)</f>
        <v>Ambulance</v>
      </c>
      <c r="J872" t="str">
        <f>Raw_Claims_Data!J871</f>
        <v>Montgomery</v>
      </c>
      <c r="K872" t="str">
        <f>Raw_Claims_Data!K871</f>
        <v>AL</v>
      </c>
      <c r="L872">
        <f>Raw_Claims_Data!L871</f>
        <v>12</v>
      </c>
      <c r="M872" t="str">
        <f>IF(Raw_Claims_Data!M871="","N/A",Raw_Claims_Data!M871)</f>
        <v>VNDR00001</v>
      </c>
      <c r="N872" t="str">
        <f>Raw_Claims_Data!N871</f>
        <v>AGENT00052</v>
      </c>
      <c r="O872">
        <f>IF(Raw_Claims_Data!G871="D",1,0)</f>
        <v>0</v>
      </c>
    </row>
    <row r="873" spans="1:15" x14ac:dyDescent="0.35">
      <c r="A873" t="str">
        <f>Raw_Claims_Data!A872</f>
        <v>TXN00000869</v>
      </c>
      <c r="B873" t="str">
        <f>TRIM(Raw_Claims_Data!B872)</f>
        <v>Patty Romero</v>
      </c>
      <c r="C873" t="str">
        <f>Raw_Claims_Data!C872</f>
        <v>Motor</v>
      </c>
      <c r="D873">
        <f>Raw_Claims_Data!D872</f>
        <v>86.55</v>
      </c>
      <c r="E873">
        <f>Raw_Claims_Data!E872</f>
        <v>8000</v>
      </c>
      <c r="F873" t="str">
        <f>Raw_Claims_Data!F872</f>
        <v>CT</v>
      </c>
      <c r="G873" t="str">
        <f>Raw_Claims_Data!G872</f>
        <v>A</v>
      </c>
      <c r="H873" t="str">
        <f>Raw_Claims_Data!H872</f>
        <v>Minor Loss</v>
      </c>
      <c r="I873" t="str">
        <f>IF(Raw_Claims_Data!I872="","None",Raw_Claims_Data!I872)</f>
        <v>Other</v>
      </c>
      <c r="J873" t="str">
        <f>Raw_Claims_Data!J872</f>
        <v>Montgomery</v>
      </c>
      <c r="K873" t="str">
        <f>Raw_Claims_Data!K872</f>
        <v>AL</v>
      </c>
      <c r="L873">
        <f>Raw_Claims_Data!L872</f>
        <v>23</v>
      </c>
      <c r="M873" t="str">
        <f>IF(Raw_Claims_Data!M872="","N/A",Raw_Claims_Data!M872)</f>
        <v>VNDR00123</v>
      </c>
      <c r="N873" t="str">
        <f>Raw_Claims_Data!N872</f>
        <v>AGENT00976</v>
      </c>
      <c r="O873">
        <f>IF(Raw_Claims_Data!G872="D",1,0)</f>
        <v>0</v>
      </c>
    </row>
    <row r="874" spans="1:15" x14ac:dyDescent="0.35">
      <c r="A874" t="str">
        <f>Raw_Claims_Data!A873</f>
        <v>TXN00000870</v>
      </c>
      <c r="B874" t="str">
        <f>TRIM(Raw_Claims_Data!B873)</f>
        <v>Brandon Voss</v>
      </c>
      <c r="C874" t="str">
        <f>Raw_Claims_Data!C873</f>
        <v>Life</v>
      </c>
      <c r="D874">
        <f>Raw_Claims_Data!D873</f>
        <v>88.54</v>
      </c>
      <c r="E874">
        <f>Raw_Claims_Data!E873</f>
        <v>99000</v>
      </c>
      <c r="F874" t="str">
        <f>Raw_Claims_Data!F873</f>
        <v>AK</v>
      </c>
      <c r="G874" t="str">
        <f>Raw_Claims_Data!G873</f>
        <v>A</v>
      </c>
      <c r="H874" t="str">
        <f>Raw_Claims_Data!H873</f>
        <v>Total Loss</v>
      </c>
      <c r="I874" t="str">
        <f>IF(Raw_Claims_Data!I873="","None",Raw_Claims_Data!I873)</f>
        <v>Police</v>
      </c>
      <c r="J874" t="str">
        <f>Raw_Claims_Data!J873</f>
        <v>Arvada</v>
      </c>
      <c r="K874" t="str">
        <f>Raw_Claims_Data!K873</f>
        <v>CO</v>
      </c>
      <c r="L874">
        <f>Raw_Claims_Data!L873</f>
        <v>18</v>
      </c>
      <c r="M874" t="str">
        <f>IF(Raw_Claims_Data!M873="","N/A",Raw_Claims_Data!M873)</f>
        <v>N/A</v>
      </c>
      <c r="N874" t="str">
        <f>Raw_Claims_Data!N873</f>
        <v>AGENT00406</v>
      </c>
      <c r="O874">
        <f>IF(Raw_Claims_Data!G873="D",1,0)</f>
        <v>0</v>
      </c>
    </row>
    <row r="875" spans="1:15" x14ac:dyDescent="0.35">
      <c r="A875" t="str">
        <f>Raw_Claims_Data!A874</f>
        <v>TXN00000871</v>
      </c>
      <c r="B875" t="str">
        <f>TRIM(Raw_Claims_Data!B874)</f>
        <v>Jennifer Watson</v>
      </c>
      <c r="C875" t="str">
        <f>Raw_Claims_Data!C874</f>
        <v>Motor</v>
      </c>
      <c r="D875">
        <f>Raw_Claims_Data!D874</f>
        <v>95.24</v>
      </c>
      <c r="E875">
        <f>Raw_Claims_Data!E874</f>
        <v>9000</v>
      </c>
      <c r="F875" t="str">
        <f>Raw_Claims_Data!F874</f>
        <v>CT</v>
      </c>
      <c r="G875" t="str">
        <f>Raw_Claims_Data!G874</f>
        <v>A</v>
      </c>
      <c r="H875" t="str">
        <f>Raw_Claims_Data!H874</f>
        <v>Major Loss</v>
      </c>
      <c r="I875" t="str">
        <f>IF(Raw_Claims_Data!I874="","None",Raw_Claims_Data!I874)</f>
        <v>Ambulance</v>
      </c>
      <c r="J875" t="str">
        <f>Raw_Claims_Data!J874</f>
        <v>Arvada</v>
      </c>
      <c r="K875" t="str">
        <f>Raw_Claims_Data!K874</f>
        <v>CO</v>
      </c>
      <c r="L875">
        <f>Raw_Claims_Data!L874</f>
        <v>19</v>
      </c>
      <c r="M875" t="str">
        <f>IF(Raw_Claims_Data!M874="","N/A",Raw_Claims_Data!M874)</f>
        <v>N/A</v>
      </c>
      <c r="N875" t="str">
        <f>Raw_Claims_Data!N874</f>
        <v>AGENT00873</v>
      </c>
      <c r="O875">
        <f>IF(Raw_Claims_Data!G874="D",1,0)</f>
        <v>0</v>
      </c>
    </row>
    <row r="876" spans="1:15" x14ac:dyDescent="0.35">
      <c r="A876" t="str">
        <f>Raw_Claims_Data!A875</f>
        <v>TXN00000872</v>
      </c>
      <c r="B876" t="str">
        <f>TRIM(Raw_Claims_Data!B875)</f>
        <v>Jane Littlefield</v>
      </c>
      <c r="C876" t="str">
        <f>Raw_Claims_Data!C875</f>
        <v>Property</v>
      </c>
      <c r="D876">
        <f>Raw_Claims_Data!D875</f>
        <v>134.68</v>
      </c>
      <c r="E876">
        <f>Raw_Claims_Data!E875</f>
        <v>13000</v>
      </c>
      <c r="F876" t="str">
        <f>Raw_Claims_Data!F875</f>
        <v>CA</v>
      </c>
      <c r="G876" t="str">
        <f>Raw_Claims_Data!G875</f>
        <v>A</v>
      </c>
      <c r="H876" t="str">
        <f>Raw_Claims_Data!H875</f>
        <v>Minor Loss</v>
      </c>
      <c r="I876" t="str">
        <f>IF(Raw_Claims_Data!I875="","None",Raw_Claims_Data!I875)</f>
        <v>Ambulance</v>
      </c>
      <c r="J876" t="str">
        <f>Raw_Claims_Data!J875</f>
        <v>Montgomery</v>
      </c>
      <c r="K876" t="str">
        <f>Raw_Claims_Data!K875</f>
        <v>AL</v>
      </c>
      <c r="L876">
        <f>Raw_Claims_Data!L875</f>
        <v>2</v>
      </c>
      <c r="M876" t="str">
        <f>IF(Raw_Claims_Data!M875="","N/A",Raw_Claims_Data!M875)</f>
        <v>VNDR00176</v>
      </c>
      <c r="N876" t="str">
        <f>Raw_Claims_Data!N875</f>
        <v>AGENT00787</v>
      </c>
      <c r="O876">
        <f>IF(Raw_Claims_Data!G875="D",1,0)</f>
        <v>0</v>
      </c>
    </row>
    <row r="877" spans="1:15" x14ac:dyDescent="0.35">
      <c r="A877" t="str">
        <f>Raw_Claims_Data!A876</f>
        <v>TXN00000873</v>
      </c>
      <c r="B877" t="str">
        <f>TRIM(Raw_Claims_Data!B876)</f>
        <v>Pamela Luby</v>
      </c>
      <c r="C877" t="str">
        <f>Raw_Claims_Data!C876</f>
        <v>Travel</v>
      </c>
      <c r="D877">
        <f>Raw_Claims_Data!D876</f>
        <v>69.39</v>
      </c>
      <c r="E877">
        <f>Raw_Claims_Data!E876</f>
        <v>2000</v>
      </c>
      <c r="F877" t="str">
        <f>Raw_Claims_Data!F876</f>
        <v>AR</v>
      </c>
      <c r="G877" t="str">
        <f>Raw_Claims_Data!G876</f>
        <v>A</v>
      </c>
      <c r="H877" t="str">
        <f>Raw_Claims_Data!H876</f>
        <v>Major Loss</v>
      </c>
      <c r="I877" t="str">
        <f>IF(Raw_Claims_Data!I876="","None",Raw_Claims_Data!I876)</f>
        <v>Other</v>
      </c>
      <c r="J877" t="str">
        <f>Raw_Claims_Data!J876</f>
        <v>Jeffersontown</v>
      </c>
      <c r="K877" t="str">
        <f>Raw_Claims_Data!K876</f>
        <v>KY</v>
      </c>
      <c r="L877">
        <f>Raw_Claims_Data!L876</f>
        <v>8</v>
      </c>
      <c r="M877" t="str">
        <f>IF(Raw_Claims_Data!M876="","N/A",Raw_Claims_Data!M876)</f>
        <v>VNDR00594</v>
      </c>
      <c r="N877" t="str">
        <f>Raw_Claims_Data!N876</f>
        <v>AGENT00157</v>
      </c>
      <c r="O877">
        <f>IF(Raw_Claims_Data!G876="D",1,0)</f>
        <v>0</v>
      </c>
    </row>
    <row r="878" spans="1:15" x14ac:dyDescent="0.35">
      <c r="A878" t="str">
        <f>Raw_Claims_Data!A877</f>
        <v>TXN00000874</v>
      </c>
      <c r="B878" t="str">
        <f>TRIM(Raw_Claims_Data!B877)</f>
        <v>Scott Alvarez</v>
      </c>
      <c r="C878" t="str">
        <f>Raw_Claims_Data!C877</f>
        <v>Life</v>
      </c>
      <c r="D878">
        <f>Raw_Claims_Data!D877</f>
        <v>61.22</v>
      </c>
      <c r="E878">
        <f>Raw_Claims_Data!E877</f>
        <v>12000</v>
      </c>
      <c r="F878" t="str">
        <f>Raw_Claims_Data!F877</f>
        <v>TN</v>
      </c>
      <c r="G878" t="str">
        <f>Raw_Claims_Data!G877</f>
        <v>A</v>
      </c>
      <c r="H878" t="str">
        <f>Raw_Claims_Data!H877</f>
        <v>Minor Loss</v>
      </c>
      <c r="I878" t="str">
        <f>IF(Raw_Claims_Data!I877="","None",Raw_Claims_Data!I877)</f>
        <v>None</v>
      </c>
      <c r="J878" t="str">
        <f>Raw_Claims_Data!J877</f>
        <v>Livermore</v>
      </c>
      <c r="K878" t="str">
        <f>Raw_Claims_Data!K877</f>
        <v>CA</v>
      </c>
      <c r="L878">
        <f>Raw_Claims_Data!L877</f>
        <v>4</v>
      </c>
      <c r="M878" t="str">
        <f>IF(Raw_Claims_Data!M877="","N/A",Raw_Claims_Data!M877)</f>
        <v>N/A</v>
      </c>
      <c r="N878" t="str">
        <f>Raw_Claims_Data!N877</f>
        <v>AGENT01140</v>
      </c>
      <c r="O878">
        <f>IF(Raw_Claims_Data!G877="D",1,0)</f>
        <v>0</v>
      </c>
    </row>
    <row r="879" spans="1:15" x14ac:dyDescent="0.35">
      <c r="A879" t="str">
        <f>Raw_Claims_Data!A878</f>
        <v>TXN00000875</v>
      </c>
      <c r="B879" t="str">
        <f>TRIM(Raw_Claims_Data!B878)</f>
        <v>James Dixon</v>
      </c>
      <c r="C879" t="str">
        <f>Raw_Claims_Data!C878</f>
        <v>Health</v>
      </c>
      <c r="D879">
        <f>Raw_Claims_Data!D878</f>
        <v>173.18</v>
      </c>
      <c r="E879">
        <f>Raw_Claims_Data!E878</f>
        <v>3000</v>
      </c>
      <c r="F879" t="str">
        <f>Raw_Claims_Data!F878</f>
        <v>GA</v>
      </c>
      <c r="G879" t="str">
        <f>Raw_Claims_Data!G878</f>
        <v>A</v>
      </c>
      <c r="H879" t="str">
        <f>Raw_Claims_Data!H878</f>
        <v>Minor Loss</v>
      </c>
      <c r="I879" t="str">
        <f>IF(Raw_Claims_Data!I878="","None",Raw_Claims_Data!I878)</f>
        <v>None</v>
      </c>
      <c r="J879" t="str">
        <f>Raw_Claims_Data!J878</f>
        <v>Dublin</v>
      </c>
      <c r="K879" t="str">
        <f>Raw_Claims_Data!K878</f>
        <v>CA</v>
      </c>
      <c r="L879">
        <f>Raw_Claims_Data!L878</f>
        <v>13</v>
      </c>
      <c r="M879" t="str">
        <f>IF(Raw_Claims_Data!M878="","N/A",Raw_Claims_Data!M878)</f>
        <v>VNDR00592</v>
      </c>
      <c r="N879" t="str">
        <f>Raw_Claims_Data!N878</f>
        <v>AGENT00828</v>
      </c>
      <c r="O879">
        <f>IF(Raw_Claims_Data!G878="D",1,0)</f>
        <v>0</v>
      </c>
    </row>
    <row r="880" spans="1:15" x14ac:dyDescent="0.35">
      <c r="A880" t="str">
        <f>Raw_Claims_Data!A879</f>
        <v>TXN00000876</v>
      </c>
      <c r="B880" t="str">
        <f>TRIM(Raw_Claims_Data!B879)</f>
        <v>David Peterson</v>
      </c>
      <c r="C880" t="str">
        <f>Raw_Claims_Data!C879</f>
        <v>Life</v>
      </c>
      <c r="D880">
        <f>Raw_Claims_Data!D879</f>
        <v>67.95</v>
      </c>
      <c r="E880">
        <f>Raw_Claims_Data!E879</f>
        <v>14000</v>
      </c>
      <c r="F880" t="str">
        <f>Raw_Claims_Data!F879</f>
        <v>DC</v>
      </c>
      <c r="G880" t="str">
        <f>Raw_Claims_Data!G879</f>
        <v>A</v>
      </c>
      <c r="H880" t="str">
        <f>Raw_Claims_Data!H879</f>
        <v>Major Loss</v>
      </c>
      <c r="I880" t="str">
        <f>IF(Raw_Claims_Data!I879="","None",Raw_Claims_Data!I879)</f>
        <v>Ambulance</v>
      </c>
      <c r="J880" t="str">
        <f>Raw_Claims_Data!J879</f>
        <v>Arvada</v>
      </c>
      <c r="K880" t="str">
        <f>Raw_Claims_Data!K879</f>
        <v>CO</v>
      </c>
      <c r="L880">
        <f>Raw_Claims_Data!L879</f>
        <v>19</v>
      </c>
      <c r="M880" t="str">
        <f>IF(Raw_Claims_Data!M879="","N/A",Raw_Claims_Data!M879)</f>
        <v>VNDR00305</v>
      </c>
      <c r="N880" t="str">
        <f>Raw_Claims_Data!N879</f>
        <v>AGENT00123</v>
      </c>
      <c r="O880">
        <f>IF(Raw_Claims_Data!G879="D",1,0)</f>
        <v>0</v>
      </c>
    </row>
    <row r="881" spans="1:15" x14ac:dyDescent="0.35">
      <c r="A881" t="str">
        <f>Raw_Claims_Data!A880</f>
        <v>TXN00000877</v>
      </c>
      <c r="B881" t="str">
        <f>TRIM(Raw_Claims_Data!B880)</f>
        <v>Ann Amos</v>
      </c>
      <c r="C881" t="str">
        <f>Raw_Claims_Data!C880</f>
        <v>Motor</v>
      </c>
      <c r="D881">
        <f>Raw_Claims_Data!D880</f>
        <v>71.489999999999995</v>
      </c>
      <c r="E881">
        <f>Raw_Claims_Data!E880</f>
        <v>10000</v>
      </c>
      <c r="F881" t="str">
        <f>Raw_Claims_Data!F880</f>
        <v>CA</v>
      </c>
      <c r="G881" t="str">
        <f>Raw_Claims_Data!G880</f>
        <v>A</v>
      </c>
      <c r="H881" t="str">
        <f>Raw_Claims_Data!H880</f>
        <v>Major Loss</v>
      </c>
      <c r="I881" t="str">
        <f>IF(Raw_Claims_Data!I880="","None",Raw_Claims_Data!I880)</f>
        <v>None</v>
      </c>
      <c r="J881" t="str">
        <f>Raw_Claims_Data!J880</f>
        <v>Panama City</v>
      </c>
      <c r="K881" t="str">
        <f>Raw_Claims_Data!K880</f>
        <v>FL</v>
      </c>
      <c r="L881">
        <f>Raw_Claims_Data!L880</f>
        <v>14</v>
      </c>
      <c r="M881" t="str">
        <f>IF(Raw_Claims_Data!M880="","N/A",Raw_Claims_Data!M880)</f>
        <v>VNDR00247</v>
      </c>
      <c r="N881" t="str">
        <f>Raw_Claims_Data!N880</f>
        <v>AGENT00929</v>
      </c>
      <c r="O881">
        <f>IF(Raw_Claims_Data!G880="D",1,0)</f>
        <v>0</v>
      </c>
    </row>
    <row r="882" spans="1:15" x14ac:dyDescent="0.35">
      <c r="A882" t="str">
        <f>Raw_Claims_Data!A881</f>
        <v>TXN00000878</v>
      </c>
      <c r="B882" t="str">
        <f>TRIM(Raw_Claims_Data!B881)</f>
        <v>Arnold Rivera</v>
      </c>
      <c r="C882" t="str">
        <f>Raw_Claims_Data!C881</f>
        <v>Life</v>
      </c>
      <c r="D882">
        <f>Raw_Claims_Data!D881</f>
        <v>94.63</v>
      </c>
      <c r="E882">
        <f>Raw_Claims_Data!E881</f>
        <v>55000</v>
      </c>
      <c r="F882" t="str">
        <f>Raw_Claims_Data!F881</f>
        <v>CO</v>
      </c>
      <c r="G882" t="str">
        <f>Raw_Claims_Data!G881</f>
        <v>A</v>
      </c>
      <c r="H882" t="str">
        <f>Raw_Claims_Data!H881</f>
        <v>Minor Loss</v>
      </c>
      <c r="I882" t="str">
        <f>IF(Raw_Claims_Data!I881="","None",Raw_Claims_Data!I881)</f>
        <v>None</v>
      </c>
      <c r="J882">
        <f>Raw_Claims_Data!J881</f>
        <v>0</v>
      </c>
      <c r="K882" t="str">
        <f>Raw_Claims_Data!K881</f>
        <v>VT</v>
      </c>
      <c r="L882">
        <f>Raw_Claims_Data!L881</f>
        <v>20</v>
      </c>
      <c r="M882" t="str">
        <f>IF(Raw_Claims_Data!M881="","N/A",Raw_Claims_Data!M881)</f>
        <v>VNDR00591</v>
      </c>
      <c r="N882" t="str">
        <f>Raw_Claims_Data!N881</f>
        <v>AGENT00485</v>
      </c>
      <c r="O882">
        <f>IF(Raw_Claims_Data!G881="D",1,0)</f>
        <v>0</v>
      </c>
    </row>
    <row r="883" spans="1:15" x14ac:dyDescent="0.35">
      <c r="A883" t="str">
        <f>Raw_Claims_Data!A882</f>
        <v>TXN00000879</v>
      </c>
      <c r="B883" t="str">
        <f>TRIM(Raw_Claims_Data!B882)</f>
        <v>Brenda Norman</v>
      </c>
      <c r="C883" t="str">
        <f>Raw_Claims_Data!C882</f>
        <v>Mobile</v>
      </c>
      <c r="D883">
        <f>Raw_Claims_Data!D882</f>
        <v>11.73</v>
      </c>
      <c r="E883">
        <f>Raw_Claims_Data!E882</f>
        <v>200</v>
      </c>
      <c r="F883" t="str">
        <f>Raw_Claims_Data!F882</f>
        <v>MA</v>
      </c>
      <c r="G883" t="str">
        <f>Raw_Claims_Data!G882</f>
        <v>A</v>
      </c>
      <c r="H883" t="str">
        <f>Raw_Claims_Data!H882</f>
        <v>Total Loss</v>
      </c>
      <c r="I883" t="str">
        <f>IF(Raw_Claims_Data!I882="","None",Raw_Claims_Data!I882)</f>
        <v>Ambulance</v>
      </c>
      <c r="J883" t="str">
        <f>Raw_Claims_Data!J882</f>
        <v>Montgomery</v>
      </c>
      <c r="K883" t="str">
        <f>Raw_Claims_Data!K882</f>
        <v>AL</v>
      </c>
      <c r="L883">
        <f>Raw_Claims_Data!L882</f>
        <v>14</v>
      </c>
      <c r="M883" t="str">
        <f>IF(Raw_Claims_Data!M882="","N/A",Raw_Claims_Data!M882)</f>
        <v>VNDR00292</v>
      </c>
      <c r="N883" t="str">
        <f>Raw_Claims_Data!N882</f>
        <v>AGENT00852</v>
      </c>
      <c r="O883">
        <f>IF(Raw_Claims_Data!G882="D",1,0)</f>
        <v>0</v>
      </c>
    </row>
    <row r="884" spans="1:15" x14ac:dyDescent="0.35">
      <c r="A884" t="str">
        <f>Raw_Claims_Data!A883</f>
        <v>TXN00000880</v>
      </c>
      <c r="B884" t="str">
        <f>TRIM(Raw_Claims_Data!B883)</f>
        <v>Shannon Bledsoe</v>
      </c>
      <c r="C884" t="str">
        <f>Raw_Claims_Data!C883</f>
        <v>Property</v>
      </c>
      <c r="D884">
        <f>Raw_Claims_Data!D883</f>
        <v>148.5</v>
      </c>
      <c r="E884">
        <f>Raw_Claims_Data!E883</f>
        <v>18000</v>
      </c>
      <c r="F884" t="str">
        <f>Raw_Claims_Data!F883</f>
        <v>TN</v>
      </c>
      <c r="G884" t="str">
        <f>Raw_Claims_Data!G883</f>
        <v>A</v>
      </c>
      <c r="H884" t="str">
        <f>Raw_Claims_Data!H883</f>
        <v>Minor Loss</v>
      </c>
      <c r="I884" t="str">
        <f>IF(Raw_Claims_Data!I883="","None",Raw_Claims_Data!I883)</f>
        <v>Ambulance</v>
      </c>
      <c r="J884" t="str">
        <f>Raw_Claims_Data!J883</f>
        <v>Fayetteville</v>
      </c>
      <c r="K884" t="str">
        <f>Raw_Claims_Data!K883</f>
        <v>AR</v>
      </c>
      <c r="L884">
        <f>Raw_Claims_Data!L883</f>
        <v>6</v>
      </c>
      <c r="M884" t="str">
        <f>IF(Raw_Claims_Data!M883="","N/A",Raw_Claims_Data!M883)</f>
        <v>VNDR00400</v>
      </c>
      <c r="N884" t="str">
        <f>Raw_Claims_Data!N883</f>
        <v>AGENT00737</v>
      </c>
      <c r="O884">
        <f>IF(Raw_Claims_Data!G883="D",1,0)</f>
        <v>0</v>
      </c>
    </row>
    <row r="885" spans="1:15" x14ac:dyDescent="0.35">
      <c r="A885" t="str">
        <f>Raw_Claims_Data!A884</f>
        <v>TXN00000881</v>
      </c>
      <c r="B885" t="str">
        <f>TRIM(Raw_Claims_Data!B884)</f>
        <v>Jeffery Chernosky</v>
      </c>
      <c r="C885" t="str">
        <f>Raw_Claims_Data!C884</f>
        <v>Health</v>
      </c>
      <c r="D885">
        <f>Raw_Claims_Data!D884</f>
        <v>199.67</v>
      </c>
      <c r="E885">
        <f>Raw_Claims_Data!E884</f>
        <v>9000</v>
      </c>
      <c r="F885" t="str">
        <f>Raw_Claims_Data!F884</f>
        <v>MD</v>
      </c>
      <c r="G885" t="str">
        <f>Raw_Claims_Data!G884</f>
        <v>A</v>
      </c>
      <c r="H885" t="str">
        <f>Raw_Claims_Data!H884</f>
        <v>Minor Loss</v>
      </c>
      <c r="I885" t="str">
        <f>IF(Raw_Claims_Data!I884="","None",Raw_Claims_Data!I884)</f>
        <v>None</v>
      </c>
      <c r="J885" t="str">
        <f>Raw_Claims_Data!J884</f>
        <v>Pasadena</v>
      </c>
      <c r="K885" t="str">
        <f>Raw_Claims_Data!K884</f>
        <v>MD</v>
      </c>
      <c r="L885">
        <f>Raw_Claims_Data!L884</f>
        <v>2</v>
      </c>
      <c r="M885" t="str">
        <f>IF(Raw_Claims_Data!M884="","N/A",Raw_Claims_Data!M884)</f>
        <v>VNDR00431</v>
      </c>
      <c r="N885" t="str">
        <f>Raw_Claims_Data!N884</f>
        <v>AGENT00402</v>
      </c>
      <c r="O885">
        <f>IF(Raw_Claims_Data!G884="D",1,0)</f>
        <v>0</v>
      </c>
    </row>
    <row r="886" spans="1:15" x14ac:dyDescent="0.35">
      <c r="A886" t="str">
        <f>Raw_Claims_Data!A885</f>
        <v>TXN00000882</v>
      </c>
      <c r="B886" t="str">
        <f>TRIM(Raw_Claims_Data!B885)</f>
        <v>Thomas Smith</v>
      </c>
      <c r="C886" t="str">
        <f>Raw_Claims_Data!C885</f>
        <v>Travel</v>
      </c>
      <c r="D886">
        <f>Raw_Claims_Data!D885</f>
        <v>89.5</v>
      </c>
      <c r="E886">
        <f>Raw_Claims_Data!E885</f>
        <v>4000</v>
      </c>
      <c r="F886" t="str">
        <f>Raw_Claims_Data!F885</f>
        <v>FL</v>
      </c>
      <c r="G886" t="str">
        <f>Raw_Claims_Data!G885</f>
        <v>A</v>
      </c>
      <c r="H886" t="str">
        <f>Raw_Claims_Data!H885</f>
        <v>Total Loss</v>
      </c>
      <c r="I886" t="str">
        <f>IF(Raw_Claims_Data!I885="","None",Raw_Claims_Data!I885)</f>
        <v>Other</v>
      </c>
      <c r="J886" t="str">
        <f>Raw_Claims_Data!J885</f>
        <v>Nashville</v>
      </c>
      <c r="K886" t="str">
        <f>Raw_Claims_Data!K885</f>
        <v>TN</v>
      </c>
      <c r="L886">
        <f>Raw_Claims_Data!L885</f>
        <v>11</v>
      </c>
      <c r="M886" t="str">
        <f>IF(Raw_Claims_Data!M885="","N/A",Raw_Claims_Data!M885)</f>
        <v>N/A</v>
      </c>
      <c r="N886" t="str">
        <f>Raw_Claims_Data!N885</f>
        <v>AGENT00042</v>
      </c>
      <c r="O886">
        <f>IF(Raw_Claims_Data!G885="D",1,0)</f>
        <v>0</v>
      </c>
    </row>
    <row r="887" spans="1:15" x14ac:dyDescent="0.35">
      <c r="A887" t="str">
        <f>Raw_Claims_Data!A886</f>
        <v>TXN00000883</v>
      </c>
      <c r="B887" t="str">
        <f>TRIM(Raw_Claims_Data!B886)</f>
        <v>Catherine Thomas</v>
      </c>
      <c r="C887" t="str">
        <f>Raw_Claims_Data!C886</f>
        <v>Health</v>
      </c>
      <c r="D887">
        <f>Raw_Claims_Data!D886</f>
        <v>115.54</v>
      </c>
      <c r="E887">
        <f>Raw_Claims_Data!E886</f>
        <v>11000</v>
      </c>
      <c r="F887" t="str">
        <f>Raw_Claims_Data!F886</f>
        <v>CO</v>
      </c>
      <c r="G887" t="str">
        <f>Raw_Claims_Data!G886</f>
        <v>A</v>
      </c>
      <c r="H887" t="str">
        <f>Raw_Claims_Data!H886</f>
        <v>Total Loss</v>
      </c>
      <c r="I887" t="str">
        <f>IF(Raw_Claims_Data!I886="","None",Raw_Claims_Data!I886)</f>
        <v>Ambulance</v>
      </c>
      <c r="J887" t="str">
        <f>Raw_Claims_Data!J886</f>
        <v>Fountain</v>
      </c>
      <c r="K887" t="str">
        <f>Raw_Claims_Data!K886</f>
        <v>FL</v>
      </c>
      <c r="L887">
        <f>Raw_Claims_Data!L886</f>
        <v>10</v>
      </c>
      <c r="M887" t="str">
        <f>IF(Raw_Claims_Data!M886="","N/A",Raw_Claims_Data!M886)</f>
        <v>VNDR00529</v>
      </c>
      <c r="N887" t="str">
        <f>Raw_Claims_Data!N886</f>
        <v>AGENT00363</v>
      </c>
      <c r="O887">
        <f>IF(Raw_Claims_Data!G886="D",1,0)</f>
        <v>0</v>
      </c>
    </row>
    <row r="888" spans="1:15" x14ac:dyDescent="0.35">
      <c r="A888" t="str">
        <f>Raw_Claims_Data!A887</f>
        <v>TXN00000884</v>
      </c>
      <c r="B888" t="str">
        <f>TRIM(Raw_Claims_Data!B887)</f>
        <v>Jason Smith</v>
      </c>
      <c r="C888" t="str">
        <f>Raw_Claims_Data!C887</f>
        <v>Travel</v>
      </c>
      <c r="D888">
        <f>Raw_Claims_Data!D887</f>
        <v>56.35</v>
      </c>
      <c r="E888">
        <f>Raw_Claims_Data!E887</f>
        <v>4000</v>
      </c>
      <c r="F888" t="str">
        <f>Raw_Claims_Data!F887</f>
        <v>GA</v>
      </c>
      <c r="G888" t="str">
        <f>Raw_Claims_Data!G887</f>
        <v>A</v>
      </c>
      <c r="H888" t="str">
        <f>Raw_Claims_Data!H887</f>
        <v>Minor Loss</v>
      </c>
      <c r="I888" t="str">
        <f>IF(Raw_Claims_Data!I887="","None",Raw_Claims_Data!I887)</f>
        <v>None</v>
      </c>
      <c r="J888" t="str">
        <f>Raw_Claims_Data!J887</f>
        <v>Glendale</v>
      </c>
      <c r="K888" t="str">
        <f>Raw_Claims_Data!K887</f>
        <v>AZ</v>
      </c>
      <c r="L888">
        <f>Raw_Claims_Data!L887</f>
        <v>10</v>
      </c>
      <c r="M888" t="str">
        <f>IF(Raw_Claims_Data!M887="","N/A",Raw_Claims_Data!M887)</f>
        <v>VNDR00209</v>
      </c>
      <c r="N888" t="str">
        <f>Raw_Claims_Data!N887</f>
        <v>AGENT00629</v>
      </c>
      <c r="O888">
        <f>IF(Raw_Claims_Data!G887="D",1,0)</f>
        <v>0</v>
      </c>
    </row>
    <row r="889" spans="1:15" x14ac:dyDescent="0.35">
      <c r="A889" t="str">
        <f>Raw_Claims_Data!A888</f>
        <v>TXN00000885</v>
      </c>
      <c r="B889" t="str">
        <f>TRIM(Raw_Claims_Data!B888)</f>
        <v>Connie Gary</v>
      </c>
      <c r="C889" t="str">
        <f>Raw_Claims_Data!C888</f>
        <v>Life</v>
      </c>
      <c r="D889">
        <f>Raw_Claims_Data!D888</f>
        <v>87.21</v>
      </c>
      <c r="E889">
        <f>Raw_Claims_Data!E888</f>
        <v>47000</v>
      </c>
      <c r="F889" t="str">
        <f>Raw_Claims_Data!F888</f>
        <v>CT</v>
      </c>
      <c r="G889" t="str">
        <f>Raw_Claims_Data!G888</f>
        <v>A</v>
      </c>
      <c r="H889" t="str">
        <f>Raw_Claims_Data!H888</f>
        <v>Minor Loss</v>
      </c>
      <c r="I889" t="str">
        <f>IF(Raw_Claims_Data!I888="","None",Raw_Claims_Data!I888)</f>
        <v>None</v>
      </c>
      <c r="J889" t="str">
        <f>Raw_Claims_Data!J888</f>
        <v>Montgomery</v>
      </c>
      <c r="K889" t="str">
        <f>Raw_Claims_Data!K888</f>
        <v>AL</v>
      </c>
      <c r="L889">
        <f>Raw_Claims_Data!L888</f>
        <v>5</v>
      </c>
      <c r="M889" t="str">
        <f>IF(Raw_Claims_Data!M888="","N/A",Raw_Claims_Data!M888)</f>
        <v>VNDR00206</v>
      </c>
      <c r="N889" t="str">
        <f>Raw_Claims_Data!N888</f>
        <v>AGENT00618</v>
      </c>
      <c r="O889">
        <f>IF(Raw_Claims_Data!G888="D",1,0)</f>
        <v>0</v>
      </c>
    </row>
    <row r="890" spans="1:15" x14ac:dyDescent="0.35">
      <c r="A890" t="str">
        <f>Raw_Claims_Data!A889</f>
        <v>TXN00000886</v>
      </c>
      <c r="B890" t="str">
        <f>TRIM(Raw_Claims_Data!B889)</f>
        <v>Paul Crim</v>
      </c>
      <c r="C890" t="str">
        <f>Raw_Claims_Data!C889</f>
        <v>Health</v>
      </c>
      <c r="D890">
        <f>Raw_Claims_Data!D889</f>
        <v>168.93</v>
      </c>
      <c r="E890">
        <f>Raw_Claims_Data!E889</f>
        <v>18000</v>
      </c>
      <c r="F890" t="str">
        <f>Raw_Claims_Data!F889</f>
        <v>OK</v>
      </c>
      <c r="G890" t="str">
        <f>Raw_Claims_Data!G889</f>
        <v>A</v>
      </c>
      <c r="H890" t="str">
        <f>Raw_Claims_Data!H889</f>
        <v>Major Loss</v>
      </c>
      <c r="I890" t="str">
        <f>IF(Raw_Claims_Data!I889="","None",Raw_Claims_Data!I889)</f>
        <v>Ambulance</v>
      </c>
      <c r="J890" t="str">
        <f>Raw_Claims_Data!J889</f>
        <v>Oakland</v>
      </c>
      <c r="K890" t="str">
        <f>Raw_Claims_Data!K889</f>
        <v>CA</v>
      </c>
      <c r="L890">
        <f>Raw_Claims_Data!L889</f>
        <v>19</v>
      </c>
      <c r="M890" t="str">
        <f>IF(Raw_Claims_Data!M889="","N/A",Raw_Claims_Data!M889)</f>
        <v>N/A</v>
      </c>
      <c r="N890" t="str">
        <f>Raw_Claims_Data!N889</f>
        <v>AGENT01078</v>
      </c>
      <c r="O890">
        <f>IF(Raw_Claims_Data!G889="D",1,0)</f>
        <v>0</v>
      </c>
    </row>
    <row r="891" spans="1:15" x14ac:dyDescent="0.35">
      <c r="A891" t="str">
        <f>Raw_Claims_Data!A890</f>
        <v>TXN00000887</v>
      </c>
      <c r="B891" t="str">
        <f>TRIM(Raw_Claims_Data!B890)</f>
        <v>Gene Elem</v>
      </c>
      <c r="C891" t="str">
        <f>Raw_Claims_Data!C890</f>
        <v>Travel</v>
      </c>
      <c r="D891">
        <f>Raw_Claims_Data!D890</f>
        <v>79.61</v>
      </c>
      <c r="E891">
        <f>Raw_Claims_Data!E890</f>
        <v>3000</v>
      </c>
      <c r="F891" t="str">
        <f>Raw_Claims_Data!F890</f>
        <v>GA</v>
      </c>
      <c r="G891" t="str">
        <f>Raw_Claims_Data!G890</f>
        <v>A</v>
      </c>
      <c r="H891" t="str">
        <f>Raw_Claims_Data!H890</f>
        <v>Major Loss</v>
      </c>
      <c r="I891" t="str">
        <f>IF(Raw_Claims_Data!I890="","None",Raw_Claims_Data!I890)</f>
        <v>Police</v>
      </c>
      <c r="J891" t="str">
        <f>Raw_Claims_Data!J890</f>
        <v>Nashville</v>
      </c>
      <c r="K891" t="str">
        <f>Raw_Claims_Data!K890</f>
        <v>TN</v>
      </c>
      <c r="L891">
        <f>Raw_Claims_Data!L890</f>
        <v>7</v>
      </c>
      <c r="M891" t="str">
        <f>IF(Raw_Claims_Data!M890="","N/A",Raw_Claims_Data!M890)</f>
        <v>VNDR00598</v>
      </c>
      <c r="N891" t="str">
        <f>Raw_Claims_Data!N890</f>
        <v>AGENT00383</v>
      </c>
      <c r="O891">
        <f>IF(Raw_Claims_Data!G890="D",1,0)</f>
        <v>0</v>
      </c>
    </row>
    <row r="892" spans="1:15" x14ac:dyDescent="0.35">
      <c r="A892" t="str">
        <f>Raw_Claims_Data!A891</f>
        <v>TXN00000888</v>
      </c>
      <c r="B892" t="str">
        <f>TRIM(Raw_Claims_Data!B891)</f>
        <v>Robert Kunzel</v>
      </c>
      <c r="C892" t="str">
        <f>Raw_Claims_Data!C891</f>
        <v>Mobile</v>
      </c>
      <c r="D892">
        <f>Raw_Claims_Data!D891</f>
        <v>10.45</v>
      </c>
      <c r="E892">
        <f>Raw_Claims_Data!E891</f>
        <v>600</v>
      </c>
      <c r="F892" t="str">
        <f>Raw_Claims_Data!F891</f>
        <v>CO</v>
      </c>
      <c r="G892" t="str">
        <f>Raw_Claims_Data!G891</f>
        <v>A</v>
      </c>
      <c r="H892" t="str">
        <f>Raw_Claims_Data!H891</f>
        <v>Minor Loss</v>
      </c>
      <c r="I892" t="str">
        <f>IF(Raw_Claims_Data!I891="","None",Raw_Claims_Data!I891)</f>
        <v>Ambulance</v>
      </c>
      <c r="J892" t="str">
        <f>Raw_Claims_Data!J891</f>
        <v>Lynn Haven</v>
      </c>
      <c r="K892" t="str">
        <f>Raw_Claims_Data!K891</f>
        <v>FL</v>
      </c>
      <c r="L892">
        <f>Raw_Claims_Data!L891</f>
        <v>7</v>
      </c>
      <c r="M892" t="str">
        <f>IF(Raw_Claims_Data!M891="","N/A",Raw_Claims_Data!M891)</f>
        <v>N/A</v>
      </c>
      <c r="N892" t="str">
        <f>Raw_Claims_Data!N891</f>
        <v>AGENT00296</v>
      </c>
      <c r="O892">
        <f>IF(Raw_Claims_Data!G891="D",1,0)</f>
        <v>0</v>
      </c>
    </row>
    <row r="893" spans="1:15" x14ac:dyDescent="0.35">
      <c r="A893" t="str">
        <f>Raw_Claims_Data!A892</f>
        <v>TXN00000889</v>
      </c>
      <c r="B893" t="str">
        <f>TRIM(Raw_Claims_Data!B892)</f>
        <v>Jenifer Chick</v>
      </c>
      <c r="C893" t="str">
        <f>Raw_Claims_Data!C892</f>
        <v>Motor</v>
      </c>
      <c r="D893">
        <f>Raw_Claims_Data!D892</f>
        <v>116.98</v>
      </c>
      <c r="E893">
        <f>Raw_Claims_Data!E892</f>
        <v>9000</v>
      </c>
      <c r="F893" t="str">
        <f>Raw_Claims_Data!F892</f>
        <v>DC</v>
      </c>
      <c r="G893" t="str">
        <f>Raw_Claims_Data!G892</f>
        <v>A</v>
      </c>
      <c r="H893" t="str">
        <f>Raw_Claims_Data!H892</f>
        <v>Major Loss</v>
      </c>
      <c r="I893" t="str">
        <f>IF(Raw_Claims_Data!I892="","None",Raw_Claims_Data!I892)</f>
        <v>None</v>
      </c>
      <c r="J893" t="str">
        <f>Raw_Claims_Data!J892</f>
        <v>Nashville</v>
      </c>
      <c r="K893" t="str">
        <f>Raw_Claims_Data!K892</f>
        <v>TN</v>
      </c>
      <c r="L893">
        <f>Raw_Claims_Data!L892</f>
        <v>15</v>
      </c>
      <c r="M893" t="str">
        <f>IF(Raw_Claims_Data!M892="","N/A",Raw_Claims_Data!M892)</f>
        <v>VNDR00279</v>
      </c>
      <c r="N893" t="str">
        <f>Raw_Claims_Data!N892</f>
        <v>AGENT01193</v>
      </c>
      <c r="O893">
        <f>IF(Raw_Claims_Data!G892="D",1,0)</f>
        <v>0</v>
      </c>
    </row>
    <row r="894" spans="1:15" x14ac:dyDescent="0.35">
      <c r="A894" t="str">
        <f>Raw_Claims_Data!A893</f>
        <v>TXN00000890</v>
      </c>
      <c r="B894" t="str">
        <f>TRIM(Raw_Claims_Data!B893)</f>
        <v>Nathan Brown</v>
      </c>
      <c r="C894" t="str">
        <f>Raw_Claims_Data!C893</f>
        <v>Life</v>
      </c>
      <c r="D894">
        <f>Raw_Claims_Data!D893</f>
        <v>55.5</v>
      </c>
      <c r="E894">
        <f>Raw_Claims_Data!E893</f>
        <v>42000</v>
      </c>
      <c r="F894" t="str">
        <f>Raw_Claims_Data!F893</f>
        <v>GA</v>
      </c>
      <c r="G894" t="str">
        <f>Raw_Claims_Data!G893</f>
        <v>A</v>
      </c>
      <c r="H894" t="str">
        <f>Raw_Claims_Data!H893</f>
        <v>Minor Loss</v>
      </c>
      <c r="I894" t="str">
        <f>IF(Raw_Claims_Data!I893="","None",Raw_Claims_Data!I893)</f>
        <v>Other</v>
      </c>
      <c r="J894" t="str">
        <f>Raw_Claims_Data!J893</f>
        <v>Montgomery</v>
      </c>
      <c r="K894" t="str">
        <f>Raw_Claims_Data!K893</f>
        <v>AL</v>
      </c>
      <c r="L894">
        <f>Raw_Claims_Data!L893</f>
        <v>22</v>
      </c>
      <c r="M894" t="str">
        <f>IF(Raw_Claims_Data!M893="","N/A",Raw_Claims_Data!M893)</f>
        <v>VNDR00454</v>
      </c>
      <c r="N894" t="str">
        <f>Raw_Claims_Data!N893</f>
        <v>AGENT00798</v>
      </c>
      <c r="O894">
        <f>IF(Raw_Claims_Data!G893="D",1,0)</f>
        <v>0</v>
      </c>
    </row>
    <row r="895" spans="1:15" x14ac:dyDescent="0.35">
      <c r="A895" t="str">
        <f>Raw_Claims_Data!A894</f>
        <v>TXN00000891</v>
      </c>
      <c r="B895" t="str">
        <f>TRIM(Raw_Claims_Data!B894)</f>
        <v>Paul Jones</v>
      </c>
      <c r="C895" t="str">
        <f>Raw_Claims_Data!C894</f>
        <v>Health</v>
      </c>
      <c r="D895">
        <f>Raw_Claims_Data!D894</f>
        <v>179.08</v>
      </c>
      <c r="E895">
        <f>Raw_Claims_Data!E894</f>
        <v>19000</v>
      </c>
      <c r="F895" t="str">
        <f>Raw_Claims_Data!F894</f>
        <v>MA</v>
      </c>
      <c r="G895" t="str">
        <f>Raw_Claims_Data!G894</f>
        <v>A</v>
      </c>
      <c r="H895" t="str">
        <f>Raw_Claims_Data!H894</f>
        <v>Total Loss</v>
      </c>
      <c r="I895" t="str">
        <f>IF(Raw_Claims_Data!I894="","None",Raw_Claims_Data!I894)</f>
        <v>Ambulance</v>
      </c>
      <c r="J895" t="str">
        <f>Raw_Claims_Data!J894</f>
        <v>South Burlington</v>
      </c>
      <c r="K895" t="str">
        <f>Raw_Claims_Data!K894</f>
        <v>VT</v>
      </c>
      <c r="L895">
        <f>Raw_Claims_Data!L894</f>
        <v>13</v>
      </c>
      <c r="M895" t="str">
        <f>IF(Raw_Claims_Data!M894="","N/A",Raw_Claims_Data!M894)</f>
        <v>VNDR00493</v>
      </c>
      <c r="N895" t="str">
        <f>Raw_Claims_Data!N894</f>
        <v>AGENT00381</v>
      </c>
      <c r="O895">
        <f>IF(Raw_Claims_Data!G894="D",1,0)</f>
        <v>0</v>
      </c>
    </row>
    <row r="896" spans="1:15" x14ac:dyDescent="0.35">
      <c r="A896" t="str">
        <f>Raw_Claims_Data!A895</f>
        <v>TXN00000892</v>
      </c>
      <c r="B896" t="str">
        <f>TRIM(Raw_Claims_Data!B895)</f>
        <v>Billy Lilly</v>
      </c>
      <c r="C896" t="str">
        <f>Raw_Claims_Data!C895</f>
        <v>Mobile</v>
      </c>
      <c r="D896">
        <f>Raw_Claims_Data!D895</f>
        <v>8.69</v>
      </c>
      <c r="E896">
        <f>Raw_Claims_Data!E895</f>
        <v>500</v>
      </c>
      <c r="F896" t="str">
        <f>Raw_Claims_Data!F895</f>
        <v>MD</v>
      </c>
      <c r="G896" t="str">
        <f>Raw_Claims_Data!G895</f>
        <v>A</v>
      </c>
      <c r="H896" t="str">
        <f>Raw_Claims_Data!H895</f>
        <v>Major Loss</v>
      </c>
      <c r="I896" t="str">
        <f>IF(Raw_Claims_Data!I895="","None",Raw_Claims_Data!I895)</f>
        <v>Other</v>
      </c>
      <c r="J896" t="str">
        <f>Raw_Claims_Data!J895</f>
        <v>Panama City Beach</v>
      </c>
      <c r="K896" t="str">
        <f>Raw_Claims_Data!K895</f>
        <v>FL</v>
      </c>
      <c r="L896">
        <f>Raw_Claims_Data!L895</f>
        <v>6</v>
      </c>
      <c r="M896" t="str">
        <f>IF(Raw_Claims_Data!M895="","N/A",Raw_Claims_Data!M895)</f>
        <v>VNDR00355</v>
      </c>
      <c r="N896" t="str">
        <f>Raw_Claims_Data!N895</f>
        <v>AGENT00502</v>
      </c>
      <c r="O896">
        <f>IF(Raw_Claims_Data!G895="D",1,0)</f>
        <v>0</v>
      </c>
    </row>
    <row r="897" spans="1:15" x14ac:dyDescent="0.35">
      <c r="A897" t="str">
        <f>Raw_Claims_Data!A896</f>
        <v>TXN00000893</v>
      </c>
      <c r="B897" t="str">
        <f>TRIM(Raw_Claims_Data!B896)</f>
        <v>Jean Murray</v>
      </c>
      <c r="C897" t="str">
        <f>Raw_Claims_Data!C896</f>
        <v>Health</v>
      </c>
      <c r="D897">
        <f>Raw_Claims_Data!D896</f>
        <v>179.86</v>
      </c>
      <c r="E897">
        <f>Raw_Claims_Data!E896</f>
        <v>14000</v>
      </c>
      <c r="F897" t="str">
        <f>Raw_Claims_Data!F896</f>
        <v>AR</v>
      </c>
      <c r="G897" t="str">
        <f>Raw_Claims_Data!G896</f>
        <v>A</v>
      </c>
      <c r="H897" t="str">
        <f>Raw_Claims_Data!H896</f>
        <v>Major Loss</v>
      </c>
      <c r="I897" t="str">
        <f>IF(Raw_Claims_Data!I896="","None",Raw_Claims_Data!I896)</f>
        <v>Ambulance</v>
      </c>
      <c r="J897" t="str">
        <f>Raw_Claims_Data!J896</f>
        <v>Santa Cruz</v>
      </c>
      <c r="K897" t="str">
        <f>Raw_Claims_Data!K896</f>
        <v>CA</v>
      </c>
      <c r="L897">
        <f>Raw_Claims_Data!L896</f>
        <v>16</v>
      </c>
      <c r="M897" t="str">
        <f>IF(Raw_Claims_Data!M896="","N/A",Raw_Claims_Data!M896)</f>
        <v>VNDR00293</v>
      </c>
      <c r="N897" t="str">
        <f>Raw_Claims_Data!N896</f>
        <v>AGENT00295</v>
      </c>
      <c r="O897">
        <f>IF(Raw_Claims_Data!G896="D",1,0)</f>
        <v>0</v>
      </c>
    </row>
    <row r="898" spans="1:15" x14ac:dyDescent="0.35">
      <c r="A898" t="str">
        <f>Raw_Claims_Data!A897</f>
        <v>TXN00000894</v>
      </c>
      <c r="B898" t="str">
        <f>TRIM(Raw_Claims_Data!B897)</f>
        <v>Kenneth Carrillo</v>
      </c>
      <c r="C898" t="str">
        <f>Raw_Claims_Data!C897</f>
        <v>Mobile</v>
      </c>
      <c r="D898">
        <f>Raw_Claims_Data!D897</f>
        <v>8.27</v>
      </c>
      <c r="E898">
        <f>Raw_Claims_Data!E897</f>
        <v>400</v>
      </c>
      <c r="F898" t="str">
        <f>Raw_Claims_Data!F897</f>
        <v>GA</v>
      </c>
      <c r="G898" t="str">
        <f>Raw_Claims_Data!G897</f>
        <v>A</v>
      </c>
      <c r="H898" t="str">
        <f>Raw_Claims_Data!H897</f>
        <v>Minor Loss</v>
      </c>
      <c r="I898" t="str">
        <f>IF(Raw_Claims_Data!I897="","None",Raw_Claims_Data!I897)</f>
        <v>Ambulance</v>
      </c>
      <c r="J898" t="str">
        <f>Raw_Claims_Data!J897</f>
        <v>Louisville</v>
      </c>
      <c r="K898" t="str">
        <f>Raw_Claims_Data!K897</f>
        <v>KY</v>
      </c>
      <c r="L898">
        <f>Raw_Claims_Data!L897</f>
        <v>1</v>
      </c>
      <c r="M898" t="str">
        <f>IF(Raw_Claims_Data!M897="","N/A",Raw_Claims_Data!M897)</f>
        <v>VNDR00599</v>
      </c>
      <c r="N898" t="str">
        <f>Raw_Claims_Data!N897</f>
        <v>AGENT00044</v>
      </c>
      <c r="O898">
        <f>IF(Raw_Claims_Data!G897="D",1,0)</f>
        <v>0</v>
      </c>
    </row>
    <row r="899" spans="1:15" x14ac:dyDescent="0.35">
      <c r="A899" t="str">
        <f>Raw_Claims_Data!A898</f>
        <v>TXN00000895</v>
      </c>
      <c r="B899" t="str">
        <f>TRIM(Raw_Claims_Data!B898)</f>
        <v>Tanisha Hazel</v>
      </c>
      <c r="C899" t="str">
        <f>Raw_Claims_Data!C898</f>
        <v>Life</v>
      </c>
      <c r="D899">
        <f>Raw_Claims_Data!D898</f>
        <v>53.62</v>
      </c>
      <c r="E899">
        <f>Raw_Claims_Data!E898</f>
        <v>32000</v>
      </c>
      <c r="F899" t="str">
        <f>Raw_Claims_Data!F898</f>
        <v>TN</v>
      </c>
      <c r="G899" t="str">
        <f>Raw_Claims_Data!G898</f>
        <v>A</v>
      </c>
      <c r="H899" t="str">
        <f>Raw_Claims_Data!H898</f>
        <v>Total Loss</v>
      </c>
      <c r="I899" t="str">
        <f>IF(Raw_Claims_Data!I898="","None",Raw_Claims_Data!I898)</f>
        <v>Police</v>
      </c>
      <c r="J899" t="str">
        <f>Raw_Claims_Data!J898</f>
        <v>Manchester</v>
      </c>
      <c r="K899" t="str">
        <f>Raw_Claims_Data!K898</f>
        <v>CT</v>
      </c>
      <c r="L899">
        <f>Raw_Claims_Data!L898</f>
        <v>12</v>
      </c>
      <c r="M899" t="str">
        <f>IF(Raw_Claims_Data!M898="","N/A",Raw_Claims_Data!M898)</f>
        <v>N/A</v>
      </c>
      <c r="N899" t="str">
        <f>Raw_Claims_Data!N898</f>
        <v>AGENT01127</v>
      </c>
      <c r="O899">
        <f>IF(Raw_Claims_Data!G898="D",1,0)</f>
        <v>0</v>
      </c>
    </row>
    <row r="900" spans="1:15" x14ac:dyDescent="0.35">
      <c r="A900" t="str">
        <f>Raw_Claims_Data!A899</f>
        <v>TXN00000896</v>
      </c>
      <c r="B900" t="str">
        <f>TRIM(Raw_Claims_Data!B899)</f>
        <v>Steve Sain</v>
      </c>
      <c r="C900" t="str">
        <f>Raw_Claims_Data!C899</f>
        <v>Travel</v>
      </c>
      <c r="D900">
        <f>Raw_Claims_Data!D899</f>
        <v>78.53</v>
      </c>
      <c r="E900">
        <f>Raw_Claims_Data!E899</f>
        <v>5000</v>
      </c>
      <c r="F900" t="str">
        <f>Raw_Claims_Data!F899</f>
        <v>CA</v>
      </c>
      <c r="G900" t="str">
        <f>Raw_Claims_Data!G899</f>
        <v>A</v>
      </c>
      <c r="H900" t="str">
        <f>Raw_Claims_Data!H899</f>
        <v>Major Loss</v>
      </c>
      <c r="I900" t="str">
        <f>IF(Raw_Claims_Data!I899="","None",Raw_Claims_Data!I899)</f>
        <v>Police</v>
      </c>
      <c r="J900" t="str">
        <f>Raw_Claims_Data!J899</f>
        <v>Union City</v>
      </c>
      <c r="K900" t="str">
        <f>Raw_Claims_Data!K899</f>
        <v>CA</v>
      </c>
      <c r="L900">
        <f>Raw_Claims_Data!L899</f>
        <v>21</v>
      </c>
      <c r="M900" t="str">
        <f>IF(Raw_Claims_Data!M899="","N/A",Raw_Claims_Data!M899)</f>
        <v>N/A</v>
      </c>
      <c r="N900" t="str">
        <f>Raw_Claims_Data!N899</f>
        <v>AGENT00148</v>
      </c>
      <c r="O900">
        <f>IF(Raw_Claims_Data!G899="D",1,0)</f>
        <v>0</v>
      </c>
    </row>
    <row r="901" spans="1:15" x14ac:dyDescent="0.35">
      <c r="A901" t="str">
        <f>Raw_Claims_Data!A900</f>
        <v>TXN00000897</v>
      </c>
      <c r="B901" t="str">
        <f>TRIM(Raw_Claims_Data!B900)</f>
        <v>Allen Turney</v>
      </c>
      <c r="C901" t="str">
        <f>Raw_Claims_Data!C900</f>
        <v>Life</v>
      </c>
      <c r="D901">
        <f>Raw_Claims_Data!D900</f>
        <v>92.7</v>
      </c>
      <c r="E901">
        <f>Raw_Claims_Data!E900</f>
        <v>73000</v>
      </c>
      <c r="F901" t="str">
        <f>Raw_Claims_Data!F900</f>
        <v>OK</v>
      </c>
      <c r="G901" t="str">
        <f>Raw_Claims_Data!G900</f>
        <v>A</v>
      </c>
      <c r="H901" t="str">
        <f>Raw_Claims_Data!H900</f>
        <v>Major Loss</v>
      </c>
      <c r="I901" t="str">
        <f>IF(Raw_Claims_Data!I900="","None",Raw_Claims_Data!I900)</f>
        <v>Police</v>
      </c>
      <c r="J901" t="str">
        <f>Raw_Claims_Data!J900</f>
        <v>Anchorage</v>
      </c>
      <c r="K901" t="str">
        <f>Raw_Claims_Data!K900</f>
        <v>AK</v>
      </c>
      <c r="L901">
        <f>Raw_Claims_Data!L900</f>
        <v>6</v>
      </c>
      <c r="M901" t="str">
        <f>IF(Raw_Claims_Data!M900="","N/A",Raw_Claims_Data!M900)</f>
        <v>VNDR00200</v>
      </c>
      <c r="N901" t="str">
        <f>Raw_Claims_Data!N900</f>
        <v>AGENT00736</v>
      </c>
      <c r="O901">
        <f>IF(Raw_Claims_Data!G900="D",1,0)</f>
        <v>0</v>
      </c>
    </row>
    <row r="902" spans="1:15" x14ac:dyDescent="0.35">
      <c r="A902" t="str">
        <f>Raw_Claims_Data!A901</f>
        <v>TXN00000898</v>
      </c>
      <c r="B902" t="str">
        <f>TRIM(Raw_Claims_Data!B901)</f>
        <v>Don Cooper</v>
      </c>
      <c r="C902" t="str">
        <f>Raw_Claims_Data!C901</f>
        <v>Health</v>
      </c>
      <c r="D902">
        <f>Raw_Claims_Data!D901</f>
        <v>116.07</v>
      </c>
      <c r="E902">
        <f>Raw_Claims_Data!E901</f>
        <v>11000</v>
      </c>
      <c r="F902" t="str">
        <f>Raw_Claims_Data!F901</f>
        <v>AL</v>
      </c>
      <c r="G902" t="str">
        <f>Raw_Claims_Data!G901</f>
        <v>A</v>
      </c>
      <c r="H902" t="str">
        <f>Raw_Claims_Data!H901</f>
        <v>Minor Loss</v>
      </c>
      <c r="I902" t="str">
        <f>IF(Raw_Claims_Data!I901="","None",Raw_Claims_Data!I901)</f>
        <v>Other</v>
      </c>
      <c r="J902" t="str">
        <f>Raw_Claims_Data!J901</f>
        <v>Annapolis</v>
      </c>
      <c r="K902" t="str">
        <f>Raw_Claims_Data!K901</f>
        <v>MD</v>
      </c>
      <c r="L902">
        <f>Raw_Claims_Data!L901</f>
        <v>11</v>
      </c>
      <c r="M902" t="str">
        <f>IF(Raw_Claims_Data!M901="","N/A",Raw_Claims_Data!M901)</f>
        <v>VNDR00071</v>
      </c>
      <c r="N902" t="str">
        <f>Raw_Claims_Data!N901</f>
        <v>AGENT00837</v>
      </c>
      <c r="O902">
        <f>IF(Raw_Claims_Data!G901="D",1,0)</f>
        <v>0</v>
      </c>
    </row>
    <row r="903" spans="1:15" x14ac:dyDescent="0.35">
      <c r="A903" t="str">
        <f>Raw_Claims_Data!A902</f>
        <v>TXN00000899</v>
      </c>
      <c r="B903" t="str">
        <f>TRIM(Raw_Claims_Data!B902)</f>
        <v>Lonnie Carrier</v>
      </c>
      <c r="C903" t="str">
        <f>Raw_Claims_Data!C902</f>
        <v>Mobile</v>
      </c>
      <c r="D903">
        <f>Raw_Claims_Data!D902</f>
        <v>6.87</v>
      </c>
      <c r="E903">
        <f>Raw_Claims_Data!E902</f>
        <v>200</v>
      </c>
      <c r="F903" t="str">
        <f>Raw_Claims_Data!F902</f>
        <v>AK</v>
      </c>
      <c r="G903" t="str">
        <f>Raw_Claims_Data!G902</f>
        <v>A</v>
      </c>
      <c r="H903" t="str">
        <f>Raw_Claims_Data!H902</f>
        <v>Major Loss</v>
      </c>
      <c r="I903" t="str">
        <f>IF(Raw_Claims_Data!I902="","None",Raw_Claims_Data!I902)</f>
        <v>None</v>
      </c>
      <c r="J903" t="str">
        <f>Raw_Claims_Data!J902</f>
        <v>Pittsfield</v>
      </c>
      <c r="K903" t="str">
        <f>Raw_Claims_Data!K902</f>
        <v>MA</v>
      </c>
      <c r="L903">
        <f>Raw_Claims_Data!L902</f>
        <v>23</v>
      </c>
      <c r="M903" t="str">
        <f>IF(Raw_Claims_Data!M902="","N/A",Raw_Claims_Data!M902)</f>
        <v>N/A</v>
      </c>
      <c r="N903" t="str">
        <f>Raw_Claims_Data!N902</f>
        <v>AGENT01004</v>
      </c>
      <c r="O903">
        <f>IF(Raw_Claims_Data!G902="D",1,0)</f>
        <v>0</v>
      </c>
    </row>
    <row r="904" spans="1:15" x14ac:dyDescent="0.35">
      <c r="A904" t="str">
        <f>Raw_Claims_Data!A903</f>
        <v>TXN00000900</v>
      </c>
      <c r="B904" t="str">
        <f>TRIM(Raw_Claims_Data!B903)</f>
        <v>Pamela Riggs</v>
      </c>
      <c r="C904" t="str">
        <f>Raw_Claims_Data!C903</f>
        <v>Mobile</v>
      </c>
      <c r="D904">
        <f>Raw_Claims_Data!D903</f>
        <v>9.33</v>
      </c>
      <c r="E904">
        <f>Raw_Claims_Data!E903</f>
        <v>300</v>
      </c>
      <c r="F904" t="str">
        <f>Raw_Claims_Data!F903</f>
        <v>AR</v>
      </c>
      <c r="G904" t="str">
        <f>Raw_Claims_Data!G903</f>
        <v>A</v>
      </c>
      <c r="H904" t="str">
        <f>Raw_Claims_Data!H903</f>
        <v>Minor Loss</v>
      </c>
      <c r="I904" t="str">
        <f>IF(Raw_Claims_Data!I903="","None",Raw_Claims_Data!I903)</f>
        <v>Police</v>
      </c>
      <c r="J904" t="str">
        <f>Raw_Claims_Data!J903</f>
        <v>Panama City Beach</v>
      </c>
      <c r="K904" t="str">
        <f>Raw_Claims_Data!K903</f>
        <v>FL</v>
      </c>
      <c r="L904">
        <f>Raw_Claims_Data!L903</f>
        <v>19</v>
      </c>
      <c r="M904" t="str">
        <f>IF(Raw_Claims_Data!M903="","N/A",Raw_Claims_Data!M903)</f>
        <v>N/A</v>
      </c>
      <c r="N904" t="str">
        <f>Raw_Claims_Data!N903</f>
        <v>AGENT00703</v>
      </c>
      <c r="O904">
        <f>IF(Raw_Claims_Data!G903="D",1,0)</f>
        <v>0</v>
      </c>
    </row>
    <row r="905" spans="1:15" x14ac:dyDescent="0.35">
      <c r="A905" t="str">
        <f>Raw_Claims_Data!A904</f>
        <v>TXN00000901</v>
      </c>
      <c r="B905" t="str">
        <f>TRIM(Raw_Claims_Data!B904)</f>
        <v>John Cox</v>
      </c>
      <c r="C905" t="str">
        <f>Raw_Claims_Data!C904</f>
        <v>Life</v>
      </c>
      <c r="D905">
        <f>Raw_Claims_Data!D904</f>
        <v>81.98</v>
      </c>
      <c r="E905">
        <f>Raw_Claims_Data!E904</f>
        <v>44000</v>
      </c>
      <c r="F905" t="str">
        <f>Raw_Claims_Data!F904</f>
        <v>FL</v>
      </c>
      <c r="G905" t="str">
        <f>Raw_Claims_Data!G904</f>
        <v>A</v>
      </c>
      <c r="H905" t="str">
        <f>Raw_Claims_Data!H904</f>
        <v>Major Loss</v>
      </c>
      <c r="I905" t="str">
        <f>IF(Raw_Claims_Data!I904="","None",Raw_Claims_Data!I904)</f>
        <v>None</v>
      </c>
      <c r="J905" t="str">
        <f>Raw_Claims_Data!J904</f>
        <v>Washington</v>
      </c>
      <c r="K905" t="str">
        <f>Raw_Claims_Data!K904</f>
        <v>DC</v>
      </c>
      <c r="L905">
        <f>Raw_Claims_Data!L904</f>
        <v>12</v>
      </c>
      <c r="M905" t="str">
        <f>IF(Raw_Claims_Data!M904="","N/A",Raw_Claims_Data!M904)</f>
        <v>VNDR00397</v>
      </c>
      <c r="N905" t="str">
        <f>Raw_Claims_Data!N904</f>
        <v>AGENT00037</v>
      </c>
      <c r="O905">
        <f>IF(Raw_Claims_Data!G904="D",1,0)</f>
        <v>0</v>
      </c>
    </row>
    <row r="906" spans="1:15" x14ac:dyDescent="0.35">
      <c r="A906" t="str">
        <f>Raw_Claims_Data!A905</f>
        <v>TXN00000902</v>
      </c>
      <c r="B906" t="str">
        <f>TRIM(Raw_Claims_Data!B905)</f>
        <v>Kenneth Martin</v>
      </c>
      <c r="C906" t="str">
        <f>Raw_Claims_Data!C905</f>
        <v>Life</v>
      </c>
      <c r="D906">
        <f>Raw_Claims_Data!D905</f>
        <v>68.05</v>
      </c>
      <c r="E906">
        <f>Raw_Claims_Data!E905</f>
        <v>26000</v>
      </c>
      <c r="F906" t="str">
        <f>Raw_Claims_Data!F905</f>
        <v>TN</v>
      </c>
      <c r="G906" t="str">
        <f>Raw_Claims_Data!G905</f>
        <v>A</v>
      </c>
      <c r="H906" t="str">
        <f>Raw_Claims_Data!H905</f>
        <v>Minor Loss</v>
      </c>
      <c r="I906" t="str">
        <f>IF(Raw_Claims_Data!I905="","None",Raw_Claims_Data!I905)</f>
        <v>Police</v>
      </c>
      <c r="J906" t="str">
        <f>Raw_Claims_Data!J905</f>
        <v>Crofton</v>
      </c>
      <c r="K906" t="str">
        <f>Raw_Claims_Data!K905</f>
        <v>MD</v>
      </c>
      <c r="L906">
        <f>Raw_Claims_Data!L905</f>
        <v>18</v>
      </c>
      <c r="M906" t="str">
        <f>IF(Raw_Claims_Data!M905="","N/A",Raw_Claims_Data!M905)</f>
        <v>N/A</v>
      </c>
      <c r="N906" t="str">
        <f>Raw_Claims_Data!N905</f>
        <v>AGENT00833</v>
      </c>
      <c r="O906">
        <f>IF(Raw_Claims_Data!G905="D",1,0)</f>
        <v>0</v>
      </c>
    </row>
    <row r="907" spans="1:15" x14ac:dyDescent="0.35">
      <c r="A907" t="str">
        <f>Raw_Claims_Data!A906</f>
        <v>TXN00000903</v>
      </c>
      <c r="B907" t="str">
        <f>TRIM(Raw_Claims_Data!B906)</f>
        <v>Imogene Salinas</v>
      </c>
      <c r="C907" t="str">
        <f>Raw_Claims_Data!C906</f>
        <v>Property</v>
      </c>
      <c r="D907">
        <f>Raw_Claims_Data!D906</f>
        <v>121.69</v>
      </c>
      <c r="E907">
        <f>Raw_Claims_Data!E906</f>
        <v>35000</v>
      </c>
      <c r="F907" t="str">
        <f>Raw_Claims_Data!F906</f>
        <v>AK</v>
      </c>
      <c r="G907" t="str">
        <f>Raw_Claims_Data!G906</f>
        <v>A</v>
      </c>
      <c r="H907" t="str">
        <f>Raw_Claims_Data!H906</f>
        <v>Total Loss</v>
      </c>
      <c r="I907" t="str">
        <f>IF(Raw_Claims_Data!I906="","None",Raw_Claims_Data!I906)</f>
        <v>Ambulance</v>
      </c>
      <c r="J907" t="str">
        <f>Raw_Claims_Data!J906</f>
        <v>Fayetteville</v>
      </c>
      <c r="K907" t="str">
        <f>Raw_Claims_Data!K906</f>
        <v>AR</v>
      </c>
      <c r="L907">
        <f>Raw_Claims_Data!L906</f>
        <v>0</v>
      </c>
      <c r="M907" t="str">
        <f>IF(Raw_Claims_Data!M906="","N/A",Raw_Claims_Data!M906)</f>
        <v>VNDR00387</v>
      </c>
      <c r="N907" t="str">
        <f>Raw_Claims_Data!N906</f>
        <v>AGENT00810</v>
      </c>
      <c r="O907">
        <f>IF(Raw_Claims_Data!G906="D",1,0)</f>
        <v>0</v>
      </c>
    </row>
    <row r="908" spans="1:15" x14ac:dyDescent="0.35">
      <c r="A908" t="str">
        <f>Raw_Claims_Data!A907</f>
        <v>TXN00000904</v>
      </c>
      <c r="B908" t="str">
        <f>TRIM(Raw_Claims_Data!B907)</f>
        <v>Martha Patwell</v>
      </c>
      <c r="C908" t="str">
        <f>Raw_Claims_Data!C907</f>
        <v>Motor</v>
      </c>
      <c r="D908">
        <f>Raw_Claims_Data!D907</f>
        <v>116.63</v>
      </c>
      <c r="E908">
        <f>Raw_Claims_Data!E907</f>
        <v>6000</v>
      </c>
      <c r="F908" t="str">
        <f>Raw_Claims_Data!F907</f>
        <v>MD</v>
      </c>
      <c r="G908" t="str">
        <f>Raw_Claims_Data!G907</f>
        <v>A</v>
      </c>
      <c r="H908" t="str">
        <f>Raw_Claims_Data!H907</f>
        <v>Minor Loss</v>
      </c>
      <c r="I908" t="str">
        <f>IF(Raw_Claims_Data!I907="","None",Raw_Claims_Data!I907)</f>
        <v>Police</v>
      </c>
      <c r="J908" t="str">
        <f>Raw_Claims_Data!J907</f>
        <v>Savannah</v>
      </c>
      <c r="K908" t="str">
        <f>Raw_Claims_Data!K907</f>
        <v>GA</v>
      </c>
      <c r="L908">
        <f>Raw_Claims_Data!L907</f>
        <v>12</v>
      </c>
      <c r="M908" t="str">
        <f>IF(Raw_Claims_Data!M907="","N/A",Raw_Claims_Data!M907)</f>
        <v>N/A</v>
      </c>
      <c r="N908" t="str">
        <f>Raw_Claims_Data!N907</f>
        <v>AGENT00851</v>
      </c>
      <c r="O908">
        <f>IF(Raw_Claims_Data!G907="D",1,0)</f>
        <v>0</v>
      </c>
    </row>
    <row r="909" spans="1:15" x14ac:dyDescent="0.35">
      <c r="A909" t="str">
        <f>Raw_Claims_Data!A908</f>
        <v>TXN00000905</v>
      </c>
      <c r="B909" t="str">
        <f>TRIM(Raw_Claims_Data!B908)</f>
        <v>Nicole Sherman</v>
      </c>
      <c r="C909" t="str">
        <f>Raw_Claims_Data!C908</f>
        <v>Property</v>
      </c>
      <c r="D909">
        <f>Raw_Claims_Data!D908</f>
        <v>130.33000000000001</v>
      </c>
      <c r="E909">
        <f>Raw_Claims_Data!E908</f>
        <v>29000</v>
      </c>
      <c r="F909" t="str">
        <f>Raw_Claims_Data!F908</f>
        <v>FL</v>
      </c>
      <c r="G909" t="str">
        <f>Raw_Claims_Data!G908</f>
        <v>A</v>
      </c>
      <c r="H909" t="str">
        <f>Raw_Claims_Data!H908</f>
        <v>Minor Loss</v>
      </c>
      <c r="I909" t="str">
        <f>IF(Raw_Claims_Data!I908="","None",Raw_Claims_Data!I908)</f>
        <v>Ambulance</v>
      </c>
      <c r="J909" t="str">
        <f>Raw_Claims_Data!J908</f>
        <v>Glen Burnie</v>
      </c>
      <c r="K909" t="str">
        <f>Raw_Claims_Data!K908</f>
        <v>MD</v>
      </c>
      <c r="L909">
        <f>Raw_Claims_Data!L908</f>
        <v>2</v>
      </c>
      <c r="M909" t="str">
        <f>IF(Raw_Claims_Data!M908="","N/A",Raw_Claims_Data!M908)</f>
        <v>N/A</v>
      </c>
      <c r="N909" t="str">
        <f>Raw_Claims_Data!N908</f>
        <v>AGENT00681</v>
      </c>
      <c r="O909">
        <f>IF(Raw_Claims_Data!G908="D",1,0)</f>
        <v>0</v>
      </c>
    </row>
    <row r="910" spans="1:15" x14ac:dyDescent="0.35">
      <c r="A910" t="str">
        <f>Raw_Claims_Data!A909</f>
        <v>TXN00000906</v>
      </c>
      <c r="B910" t="str">
        <f>TRIM(Raw_Claims_Data!B909)</f>
        <v>Jonathan Barrera</v>
      </c>
      <c r="C910" t="str">
        <f>Raw_Claims_Data!C909</f>
        <v>Motor</v>
      </c>
      <c r="D910">
        <f>Raw_Claims_Data!D909</f>
        <v>105.82</v>
      </c>
      <c r="E910">
        <f>Raw_Claims_Data!E909</f>
        <v>2000</v>
      </c>
      <c r="F910" t="str">
        <f>Raw_Claims_Data!F909</f>
        <v>GA</v>
      </c>
      <c r="G910" t="str">
        <f>Raw_Claims_Data!G909</f>
        <v>D</v>
      </c>
      <c r="H910" t="str">
        <f>Raw_Claims_Data!H909</f>
        <v>Minor Loss</v>
      </c>
      <c r="I910" t="str">
        <f>IF(Raw_Claims_Data!I909="","None",Raw_Claims_Data!I909)</f>
        <v>Ambulance</v>
      </c>
      <c r="J910" t="str">
        <f>Raw_Claims_Data!J909</f>
        <v>Nashville</v>
      </c>
      <c r="K910" t="str">
        <f>Raw_Claims_Data!K909</f>
        <v>TN</v>
      </c>
      <c r="L910">
        <f>Raw_Claims_Data!L909</f>
        <v>16</v>
      </c>
      <c r="M910" t="str">
        <f>IF(Raw_Claims_Data!M909="","N/A",Raw_Claims_Data!M909)</f>
        <v>VNDR00068</v>
      </c>
      <c r="N910" t="str">
        <f>Raw_Claims_Data!N909</f>
        <v>AGENT00876</v>
      </c>
      <c r="O910">
        <f>IF(Raw_Claims_Data!G909="D",1,0)</f>
        <v>1</v>
      </c>
    </row>
    <row r="911" spans="1:15" x14ac:dyDescent="0.35">
      <c r="A911" t="str">
        <f>Raw_Claims_Data!A910</f>
        <v>TXN00000907</v>
      </c>
      <c r="B911" t="str">
        <f>TRIM(Raw_Claims_Data!B910)</f>
        <v>Marissa Parker</v>
      </c>
      <c r="C911" t="str">
        <f>Raw_Claims_Data!C910</f>
        <v>Mobile</v>
      </c>
      <c r="D911">
        <f>Raw_Claims_Data!D910</f>
        <v>8.5500000000000007</v>
      </c>
      <c r="E911">
        <f>Raw_Claims_Data!E910</f>
        <v>700</v>
      </c>
      <c r="F911" t="str">
        <f>Raw_Claims_Data!F910</f>
        <v>OK</v>
      </c>
      <c r="G911" t="str">
        <f>Raw_Claims_Data!G910</f>
        <v>A</v>
      </c>
      <c r="H911" t="str">
        <f>Raw_Claims_Data!H910</f>
        <v>Minor Loss</v>
      </c>
      <c r="I911" t="str">
        <f>IF(Raw_Claims_Data!I910="","None",Raw_Claims_Data!I910)</f>
        <v>None</v>
      </c>
      <c r="J911" t="str">
        <f>Raw_Claims_Data!J910</f>
        <v>Washington</v>
      </c>
      <c r="K911" t="str">
        <f>Raw_Claims_Data!K910</f>
        <v>DC</v>
      </c>
      <c r="L911">
        <f>Raw_Claims_Data!L910</f>
        <v>15</v>
      </c>
      <c r="M911" t="str">
        <f>IF(Raw_Claims_Data!M910="","N/A",Raw_Claims_Data!M910)</f>
        <v>N/A</v>
      </c>
      <c r="N911" t="str">
        <f>Raw_Claims_Data!N910</f>
        <v>AGENT00445</v>
      </c>
      <c r="O911">
        <f>IF(Raw_Claims_Data!G910="D",1,0)</f>
        <v>0</v>
      </c>
    </row>
    <row r="912" spans="1:15" x14ac:dyDescent="0.35">
      <c r="A912" t="str">
        <f>Raw_Claims_Data!A911</f>
        <v>TXN00000908</v>
      </c>
      <c r="B912" t="str">
        <f>TRIM(Raw_Claims_Data!B911)</f>
        <v>Connie Milligan</v>
      </c>
      <c r="C912" t="str">
        <f>Raw_Claims_Data!C911</f>
        <v>Mobile</v>
      </c>
      <c r="D912">
        <f>Raw_Claims_Data!D911</f>
        <v>6.39</v>
      </c>
      <c r="E912">
        <f>Raw_Claims_Data!E911</f>
        <v>700</v>
      </c>
      <c r="F912" t="str">
        <f>Raw_Claims_Data!F911</f>
        <v>AZ</v>
      </c>
      <c r="G912" t="str">
        <f>Raw_Claims_Data!G911</f>
        <v>A</v>
      </c>
      <c r="H912" t="str">
        <f>Raw_Claims_Data!H911</f>
        <v>Total Loss</v>
      </c>
      <c r="I912" t="str">
        <f>IF(Raw_Claims_Data!I911="","None",Raw_Claims_Data!I911)</f>
        <v>Ambulance</v>
      </c>
      <c r="J912" t="str">
        <f>Raw_Claims_Data!J911</f>
        <v>Fremont</v>
      </c>
      <c r="K912" t="str">
        <f>Raw_Claims_Data!K911</f>
        <v>CA</v>
      </c>
      <c r="L912">
        <f>Raw_Claims_Data!L911</f>
        <v>21</v>
      </c>
      <c r="M912" t="str">
        <f>IF(Raw_Claims_Data!M911="","N/A",Raw_Claims_Data!M911)</f>
        <v>N/A</v>
      </c>
      <c r="N912" t="str">
        <f>Raw_Claims_Data!N911</f>
        <v>AGENT00417</v>
      </c>
      <c r="O912">
        <f>IF(Raw_Claims_Data!G911="D",1,0)</f>
        <v>0</v>
      </c>
    </row>
    <row r="913" spans="1:15" x14ac:dyDescent="0.35">
      <c r="A913" t="str">
        <f>Raw_Claims_Data!A912</f>
        <v>TXN00000909</v>
      </c>
      <c r="B913" t="str">
        <f>TRIM(Raw_Claims_Data!B912)</f>
        <v>Bob Sarracino</v>
      </c>
      <c r="C913" t="str">
        <f>Raw_Claims_Data!C912</f>
        <v>Motor</v>
      </c>
      <c r="D913">
        <f>Raw_Claims_Data!D912</f>
        <v>99.57</v>
      </c>
      <c r="E913">
        <f>Raw_Claims_Data!E912</f>
        <v>2000</v>
      </c>
      <c r="F913" t="str">
        <f>Raw_Claims_Data!F912</f>
        <v>OK</v>
      </c>
      <c r="G913" t="str">
        <f>Raw_Claims_Data!G912</f>
        <v>A</v>
      </c>
      <c r="H913" t="str">
        <f>Raw_Claims_Data!H912</f>
        <v>Major Loss</v>
      </c>
      <c r="I913" t="str">
        <f>IF(Raw_Claims_Data!I912="","None",Raw_Claims_Data!I912)</f>
        <v>Ambulance</v>
      </c>
      <c r="J913" t="str">
        <f>Raw_Claims_Data!J912</f>
        <v>Panama City Beach</v>
      </c>
      <c r="K913" t="str">
        <f>Raw_Claims_Data!K912</f>
        <v>FL</v>
      </c>
      <c r="L913">
        <f>Raw_Claims_Data!L912</f>
        <v>17</v>
      </c>
      <c r="M913" t="str">
        <f>IF(Raw_Claims_Data!M912="","N/A",Raw_Claims_Data!M912)</f>
        <v>N/A</v>
      </c>
      <c r="N913" t="str">
        <f>Raw_Claims_Data!N912</f>
        <v>AGENT01018</v>
      </c>
      <c r="O913">
        <f>IF(Raw_Claims_Data!G912="D",1,0)</f>
        <v>0</v>
      </c>
    </row>
    <row r="914" spans="1:15" x14ac:dyDescent="0.35">
      <c r="A914" t="str">
        <f>Raw_Claims_Data!A913</f>
        <v>TXN00000910</v>
      </c>
      <c r="B914" t="str">
        <f>TRIM(Raw_Claims_Data!B913)</f>
        <v>Erica Revels</v>
      </c>
      <c r="C914" t="str">
        <f>Raw_Claims_Data!C913</f>
        <v>Mobile</v>
      </c>
      <c r="D914">
        <f>Raw_Claims_Data!D913</f>
        <v>8.23</v>
      </c>
      <c r="E914">
        <f>Raw_Claims_Data!E913</f>
        <v>300</v>
      </c>
      <c r="F914" t="str">
        <f>Raw_Claims_Data!F913</f>
        <v>OK</v>
      </c>
      <c r="G914" t="str">
        <f>Raw_Claims_Data!G913</f>
        <v>A</v>
      </c>
      <c r="H914" t="str">
        <f>Raw_Claims_Data!H913</f>
        <v>Minor Loss</v>
      </c>
      <c r="I914" t="str">
        <f>IF(Raw_Claims_Data!I913="","None",Raw_Claims_Data!I913)</f>
        <v>None</v>
      </c>
      <c r="J914" t="str">
        <f>Raw_Claims_Data!J913</f>
        <v>King City</v>
      </c>
      <c r="K914" t="str">
        <f>Raw_Claims_Data!K913</f>
        <v>CA</v>
      </c>
      <c r="L914">
        <f>Raw_Claims_Data!L913</f>
        <v>18</v>
      </c>
      <c r="M914" t="str">
        <f>IF(Raw_Claims_Data!M913="","N/A",Raw_Claims_Data!M913)</f>
        <v>VNDR00319</v>
      </c>
      <c r="N914" t="str">
        <f>Raw_Claims_Data!N913</f>
        <v>AGENT00880</v>
      </c>
      <c r="O914">
        <f>IF(Raw_Claims_Data!G913="D",1,0)</f>
        <v>0</v>
      </c>
    </row>
    <row r="915" spans="1:15" x14ac:dyDescent="0.35">
      <c r="A915" t="str">
        <f>Raw_Claims_Data!A914</f>
        <v>TXN00000911</v>
      </c>
      <c r="B915" t="str">
        <f>TRIM(Raw_Claims_Data!B914)</f>
        <v>Adrienne Mccarty</v>
      </c>
      <c r="C915" t="str">
        <f>Raw_Claims_Data!C914</f>
        <v>Property</v>
      </c>
      <c r="D915">
        <f>Raw_Claims_Data!D914</f>
        <v>92.96</v>
      </c>
      <c r="E915">
        <f>Raw_Claims_Data!E914</f>
        <v>25000</v>
      </c>
      <c r="F915" t="str">
        <f>Raw_Claims_Data!F914</f>
        <v>CT</v>
      </c>
      <c r="G915" t="str">
        <f>Raw_Claims_Data!G914</f>
        <v>A</v>
      </c>
      <c r="H915" t="str">
        <f>Raw_Claims_Data!H914</f>
        <v>Major Loss</v>
      </c>
      <c r="I915" t="str">
        <f>IF(Raw_Claims_Data!I914="","None",Raw_Claims_Data!I914)</f>
        <v>Police</v>
      </c>
      <c r="J915" t="str">
        <f>Raw_Claims_Data!J914</f>
        <v>Hayward</v>
      </c>
      <c r="K915" t="str">
        <f>Raw_Claims_Data!K914</f>
        <v>CA</v>
      </c>
      <c r="L915">
        <f>Raw_Claims_Data!L914</f>
        <v>16</v>
      </c>
      <c r="M915" t="str">
        <f>IF(Raw_Claims_Data!M914="","N/A",Raw_Claims_Data!M914)</f>
        <v>N/A</v>
      </c>
      <c r="N915" t="str">
        <f>Raw_Claims_Data!N914</f>
        <v>AGENT00494</v>
      </c>
      <c r="O915">
        <f>IF(Raw_Claims_Data!G914="D",1,0)</f>
        <v>0</v>
      </c>
    </row>
    <row r="916" spans="1:15" x14ac:dyDescent="0.35">
      <c r="A916" t="str">
        <f>Raw_Claims_Data!A915</f>
        <v>TXN00000912</v>
      </c>
      <c r="B916" t="str">
        <f>TRIM(Raw_Claims_Data!B915)</f>
        <v>Moises Stewart</v>
      </c>
      <c r="C916" t="str">
        <f>Raw_Claims_Data!C915</f>
        <v>Property</v>
      </c>
      <c r="D916">
        <f>Raw_Claims_Data!D915</f>
        <v>146.33000000000001</v>
      </c>
      <c r="E916">
        <f>Raw_Claims_Data!E915</f>
        <v>16000</v>
      </c>
      <c r="F916" t="str">
        <f>Raw_Claims_Data!F915</f>
        <v>CA</v>
      </c>
      <c r="G916" t="str">
        <f>Raw_Claims_Data!G915</f>
        <v>A</v>
      </c>
      <c r="H916" t="str">
        <f>Raw_Claims_Data!H915</f>
        <v>Minor Loss</v>
      </c>
      <c r="I916" t="str">
        <f>IF(Raw_Claims_Data!I915="","None",Raw_Claims_Data!I915)</f>
        <v>Ambulance</v>
      </c>
      <c r="J916" t="str">
        <f>Raw_Claims_Data!J915</f>
        <v>Savannah</v>
      </c>
      <c r="K916" t="str">
        <f>Raw_Claims_Data!K915</f>
        <v>GA</v>
      </c>
      <c r="L916">
        <f>Raw_Claims_Data!L915</f>
        <v>18</v>
      </c>
      <c r="M916" t="str">
        <f>IF(Raw_Claims_Data!M915="","N/A",Raw_Claims_Data!M915)</f>
        <v>N/A</v>
      </c>
      <c r="N916" t="str">
        <f>Raw_Claims_Data!N915</f>
        <v>AGENT00864</v>
      </c>
      <c r="O916">
        <f>IF(Raw_Claims_Data!G915="D",1,0)</f>
        <v>0</v>
      </c>
    </row>
    <row r="917" spans="1:15" x14ac:dyDescent="0.35">
      <c r="A917" t="str">
        <f>Raw_Claims_Data!A916</f>
        <v>TXN00000913</v>
      </c>
      <c r="B917" t="str">
        <f>TRIM(Raw_Claims_Data!B916)</f>
        <v>Marcia Billings</v>
      </c>
      <c r="C917" t="str">
        <f>Raw_Claims_Data!C916</f>
        <v>Life</v>
      </c>
      <c r="D917">
        <f>Raw_Claims_Data!D916</f>
        <v>67.599999999999994</v>
      </c>
      <c r="E917">
        <f>Raw_Claims_Data!E916</f>
        <v>25000</v>
      </c>
      <c r="F917" t="str">
        <f>Raw_Claims_Data!F916</f>
        <v>VT</v>
      </c>
      <c r="G917" t="str">
        <f>Raw_Claims_Data!G916</f>
        <v>A</v>
      </c>
      <c r="H917" t="str">
        <f>Raw_Claims_Data!H916</f>
        <v>Minor Loss</v>
      </c>
      <c r="I917" t="str">
        <f>IF(Raw_Claims_Data!I916="","None",Raw_Claims_Data!I916)</f>
        <v>Ambulance</v>
      </c>
      <c r="J917" t="str">
        <f>Raw_Claims_Data!J916</f>
        <v>Panama City</v>
      </c>
      <c r="K917" t="str">
        <f>Raw_Claims_Data!K916</f>
        <v>FL</v>
      </c>
      <c r="L917">
        <f>Raw_Claims_Data!L916</f>
        <v>14</v>
      </c>
      <c r="M917" t="str">
        <f>IF(Raw_Claims_Data!M916="","N/A",Raw_Claims_Data!M916)</f>
        <v>VNDR00183</v>
      </c>
      <c r="N917" t="str">
        <f>Raw_Claims_Data!N916</f>
        <v>AGENT00282</v>
      </c>
      <c r="O917">
        <f>IF(Raw_Claims_Data!G916="D",1,0)</f>
        <v>0</v>
      </c>
    </row>
    <row r="918" spans="1:15" x14ac:dyDescent="0.35">
      <c r="A918" t="str">
        <f>Raw_Claims_Data!A917</f>
        <v>TXN00000914</v>
      </c>
      <c r="B918" t="str">
        <f>TRIM(Raw_Claims_Data!B917)</f>
        <v>Patrica Ellinwood</v>
      </c>
      <c r="C918" t="str">
        <f>Raw_Claims_Data!C917</f>
        <v>Mobile</v>
      </c>
      <c r="D918">
        <f>Raw_Claims_Data!D917</f>
        <v>7.03</v>
      </c>
      <c r="E918">
        <f>Raw_Claims_Data!E917</f>
        <v>100</v>
      </c>
      <c r="F918" t="str">
        <f>Raw_Claims_Data!F917</f>
        <v>MD</v>
      </c>
      <c r="G918" t="str">
        <f>Raw_Claims_Data!G917</f>
        <v>A</v>
      </c>
      <c r="H918" t="str">
        <f>Raw_Claims_Data!H917</f>
        <v>Major Loss</v>
      </c>
      <c r="I918" t="str">
        <f>IF(Raw_Claims_Data!I917="","None",Raw_Claims_Data!I917)</f>
        <v>Police</v>
      </c>
      <c r="J918" t="str">
        <f>Raw_Claims_Data!J917</f>
        <v>Vallejo</v>
      </c>
      <c r="K918" t="str">
        <f>Raw_Claims_Data!K917</f>
        <v>CA</v>
      </c>
      <c r="L918">
        <f>Raw_Claims_Data!L917</f>
        <v>22</v>
      </c>
      <c r="M918" t="str">
        <f>IF(Raw_Claims_Data!M917="","N/A",Raw_Claims_Data!M917)</f>
        <v>VNDR00086</v>
      </c>
      <c r="N918" t="str">
        <f>Raw_Claims_Data!N917</f>
        <v>AGENT01068</v>
      </c>
      <c r="O918">
        <f>IF(Raw_Claims_Data!G917="D",1,0)</f>
        <v>0</v>
      </c>
    </row>
    <row r="919" spans="1:15" x14ac:dyDescent="0.35">
      <c r="A919" t="str">
        <f>Raw_Claims_Data!A918</f>
        <v>TXN00000915</v>
      </c>
      <c r="B919" t="str">
        <f>TRIM(Raw_Claims_Data!B918)</f>
        <v>Joy Bueno</v>
      </c>
      <c r="C919" t="str">
        <f>Raw_Claims_Data!C918</f>
        <v>Life</v>
      </c>
      <c r="D919">
        <f>Raw_Claims_Data!D918</f>
        <v>83.38</v>
      </c>
      <c r="E919">
        <f>Raw_Claims_Data!E918</f>
        <v>59000</v>
      </c>
      <c r="F919" t="str">
        <f>Raw_Claims_Data!F918</f>
        <v>FL</v>
      </c>
      <c r="G919" t="str">
        <f>Raw_Claims_Data!G918</f>
        <v>A</v>
      </c>
      <c r="H919" t="str">
        <f>Raw_Claims_Data!H918</f>
        <v>Minor Loss</v>
      </c>
      <c r="I919" t="str">
        <f>IF(Raw_Claims_Data!I918="","None",Raw_Claims_Data!I918)</f>
        <v>Ambulance</v>
      </c>
      <c r="J919" t="str">
        <f>Raw_Claims_Data!J918</f>
        <v>North Reading</v>
      </c>
      <c r="K919" t="str">
        <f>Raw_Claims_Data!K918</f>
        <v>MA</v>
      </c>
      <c r="L919">
        <f>Raw_Claims_Data!L918</f>
        <v>19</v>
      </c>
      <c r="M919" t="str">
        <f>IF(Raw_Claims_Data!M918="","N/A",Raw_Claims_Data!M918)</f>
        <v>N/A</v>
      </c>
      <c r="N919" t="str">
        <f>Raw_Claims_Data!N918</f>
        <v>AGENT01188</v>
      </c>
      <c r="O919">
        <f>IF(Raw_Claims_Data!G918="D",1,0)</f>
        <v>0</v>
      </c>
    </row>
    <row r="920" spans="1:15" x14ac:dyDescent="0.35">
      <c r="A920" t="str">
        <f>Raw_Claims_Data!A919</f>
        <v>TXN00000916</v>
      </c>
      <c r="B920" t="str">
        <f>TRIM(Raw_Claims_Data!B919)</f>
        <v>Jack Bren</v>
      </c>
      <c r="C920" t="str">
        <f>Raw_Claims_Data!C919</f>
        <v>Travel</v>
      </c>
      <c r="D920">
        <f>Raw_Claims_Data!D919</f>
        <v>80.8</v>
      </c>
      <c r="E920">
        <f>Raw_Claims_Data!E919</f>
        <v>1000</v>
      </c>
      <c r="F920" t="str">
        <f>Raw_Claims_Data!F919</f>
        <v>KY</v>
      </c>
      <c r="G920" t="str">
        <f>Raw_Claims_Data!G919</f>
        <v>A</v>
      </c>
      <c r="H920" t="str">
        <f>Raw_Claims_Data!H919</f>
        <v>Minor Loss</v>
      </c>
      <c r="I920" t="str">
        <f>IF(Raw_Claims_Data!I919="","None",Raw_Claims_Data!I919)</f>
        <v>Ambulance</v>
      </c>
      <c r="J920" t="str">
        <f>Raw_Claims_Data!J919</f>
        <v>Savannah</v>
      </c>
      <c r="K920" t="str">
        <f>Raw_Claims_Data!K919</f>
        <v>GA</v>
      </c>
      <c r="L920">
        <f>Raw_Claims_Data!L919</f>
        <v>3</v>
      </c>
      <c r="M920" t="str">
        <f>IF(Raw_Claims_Data!M919="","N/A",Raw_Claims_Data!M919)</f>
        <v>VNDR00249</v>
      </c>
      <c r="N920" t="str">
        <f>Raw_Claims_Data!N919</f>
        <v>AGENT00792</v>
      </c>
      <c r="O920">
        <f>IF(Raw_Claims_Data!G919="D",1,0)</f>
        <v>0</v>
      </c>
    </row>
    <row r="921" spans="1:15" x14ac:dyDescent="0.35">
      <c r="A921" t="str">
        <f>Raw_Claims_Data!A920</f>
        <v>TXN00000917</v>
      </c>
      <c r="B921" t="str">
        <f>TRIM(Raw_Claims_Data!B920)</f>
        <v>Pearlie Galvez</v>
      </c>
      <c r="C921" t="str">
        <f>Raw_Claims_Data!C920</f>
        <v>Travel</v>
      </c>
      <c r="D921">
        <f>Raw_Claims_Data!D920</f>
        <v>61.89</v>
      </c>
      <c r="E921">
        <f>Raw_Claims_Data!E920</f>
        <v>4000</v>
      </c>
      <c r="F921" t="str">
        <f>Raw_Claims_Data!F920</f>
        <v>DC</v>
      </c>
      <c r="G921" t="str">
        <f>Raw_Claims_Data!G920</f>
        <v>A</v>
      </c>
      <c r="H921" t="str">
        <f>Raw_Claims_Data!H920</f>
        <v>Major Loss</v>
      </c>
      <c r="I921" t="str">
        <f>IF(Raw_Claims_Data!I920="","None",Raw_Claims_Data!I920)</f>
        <v>Ambulance</v>
      </c>
      <c r="J921" t="str">
        <f>Raw_Claims_Data!J920</f>
        <v>Savannah</v>
      </c>
      <c r="K921" t="str">
        <f>Raw_Claims_Data!K920</f>
        <v>GA</v>
      </c>
      <c r="L921">
        <f>Raw_Claims_Data!L920</f>
        <v>23</v>
      </c>
      <c r="M921" t="str">
        <f>IF(Raw_Claims_Data!M920="","N/A",Raw_Claims_Data!M920)</f>
        <v>VNDR00541</v>
      </c>
      <c r="N921" t="str">
        <f>Raw_Claims_Data!N920</f>
        <v>AGENT00282</v>
      </c>
      <c r="O921">
        <f>IF(Raw_Claims_Data!G920="D",1,0)</f>
        <v>0</v>
      </c>
    </row>
    <row r="922" spans="1:15" x14ac:dyDescent="0.35">
      <c r="A922" t="str">
        <f>Raw_Claims_Data!A921</f>
        <v>TXN00000918</v>
      </c>
      <c r="B922" t="str">
        <f>TRIM(Raw_Claims_Data!B921)</f>
        <v>Norman Nguyen</v>
      </c>
      <c r="C922" t="str">
        <f>Raw_Claims_Data!C921</f>
        <v>Health</v>
      </c>
      <c r="D922">
        <f>Raw_Claims_Data!D921</f>
        <v>147.31</v>
      </c>
      <c r="E922">
        <f>Raw_Claims_Data!E921</f>
        <v>14000</v>
      </c>
      <c r="F922" t="str">
        <f>Raw_Claims_Data!F921</f>
        <v>AK</v>
      </c>
      <c r="G922" t="str">
        <f>Raw_Claims_Data!G921</f>
        <v>A</v>
      </c>
      <c r="H922" t="str">
        <f>Raw_Claims_Data!H921</f>
        <v>Major Loss</v>
      </c>
      <c r="I922" t="str">
        <f>IF(Raw_Claims_Data!I921="","None",Raw_Claims_Data!I921)</f>
        <v>Ambulance</v>
      </c>
      <c r="J922" t="str">
        <f>Raw_Claims_Data!J921</f>
        <v>Nashville</v>
      </c>
      <c r="K922" t="str">
        <f>Raw_Claims_Data!K921</f>
        <v>TN</v>
      </c>
      <c r="L922">
        <f>Raw_Claims_Data!L921</f>
        <v>19</v>
      </c>
      <c r="M922" t="str">
        <f>IF(Raw_Claims_Data!M921="","N/A",Raw_Claims_Data!M921)</f>
        <v>VNDR00186</v>
      </c>
      <c r="N922" t="str">
        <f>Raw_Claims_Data!N921</f>
        <v>AGENT00580</v>
      </c>
      <c r="O922">
        <f>IF(Raw_Claims_Data!G921="D",1,0)</f>
        <v>0</v>
      </c>
    </row>
    <row r="923" spans="1:15" x14ac:dyDescent="0.35">
      <c r="A923" t="str">
        <f>Raw_Claims_Data!A922</f>
        <v>TXN00000919</v>
      </c>
      <c r="B923" t="str">
        <f>TRIM(Raw_Claims_Data!B922)</f>
        <v>James Sutton</v>
      </c>
      <c r="C923" t="str">
        <f>Raw_Claims_Data!C922</f>
        <v>Motor</v>
      </c>
      <c r="D923">
        <f>Raw_Claims_Data!D922</f>
        <v>117.6</v>
      </c>
      <c r="E923">
        <f>Raw_Claims_Data!E922</f>
        <v>4000</v>
      </c>
      <c r="F923" t="str">
        <f>Raw_Claims_Data!F922</f>
        <v>TN</v>
      </c>
      <c r="G923" t="str">
        <f>Raw_Claims_Data!G922</f>
        <v>A</v>
      </c>
      <c r="H923" t="str">
        <f>Raw_Claims_Data!H922</f>
        <v>Total Loss</v>
      </c>
      <c r="I923" t="str">
        <f>IF(Raw_Claims_Data!I922="","None",Raw_Claims_Data!I922)</f>
        <v>Police</v>
      </c>
      <c r="J923" t="str">
        <f>Raw_Claims_Data!J922</f>
        <v>Fayetteville</v>
      </c>
      <c r="K923" t="str">
        <f>Raw_Claims_Data!K922</f>
        <v>AR</v>
      </c>
      <c r="L923">
        <f>Raw_Claims_Data!L922</f>
        <v>14</v>
      </c>
      <c r="M923" t="str">
        <f>IF(Raw_Claims_Data!M922="","N/A",Raw_Claims_Data!M922)</f>
        <v>N/A</v>
      </c>
      <c r="N923" t="str">
        <f>Raw_Claims_Data!N922</f>
        <v>AGENT00388</v>
      </c>
      <c r="O923">
        <f>IF(Raw_Claims_Data!G922="D",1,0)</f>
        <v>0</v>
      </c>
    </row>
    <row r="924" spans="1:15" x14ac:dyDescent="0.35">
      <c r="A924" t="str">
        <f>Raw_Claims_Data!A923</f>
        <v>TXN00000920</v>
      </c>
      <c r="B924" t="str">
        <f>TRIM(Raw_Claims_Data!B923)</f>
        <v>Don Solorio</v>
      </c>
      <c r="C924" t="str">
        <f>Raw_Claims_Data!C923</f>
        <v>Motor</v>
      </c>
      <c r="D924">
        <f>Raw_Claims_Data!D923</f>
        <v>108.7</v>
      </c>
      <c r="E924">
        <f>Raw_Claims_Data!E923</f>
        <v>8000</v>
      </c>
      <c r="F924" t="str">
        <f>Raw_Claims_Data!F923</f>
        <v>DC</v>
      </c>
      <c r="G924" t="str">
        <f>Raw_Claims_Data!G923</f>
        <v>A</v>
      </c>
      <c r="H924" t="str">
        <f>Raw_Claims_Data!H923</f>
        <v>Minor Loss</v>
      </c>
      <c r="I924" t="str">
        <f>IF(Raw_Claims_Data!I923="","None",Raw_Claims_Data!I923)</f>
        <v>Police</v>
      </c>
      <c r="J924" t="str">
        <f>Raw_Claims_Data!J923</f>
        <v>Washington</v>
      </c>
      <c r="K924" t="str">
        <f>Raw_Claims_Data!K923</f>
        <v>DC</v>
      </c>
      <c r="L924">
        <f>Raw_Claims_Data!L923</f>
        <v>5</v>
      </c>
      <c r="M924" t="str">
        <f>IF(Raw_Claims_Data!M923="","N/A",Raw_Claims_Data!M923)</f>
        <v>N/A</v>
      </c>
      <c r="N924" t="str">
        <f>Raw_Claims_Data!N923</f>
        <v>AGENT00159</v>
      </c>
      <c r="O924">
        <f>IF(Raw_Claims_Data!G923="D",1,0)</f>
        <v>0</v>
      </c>
    </row>
    <row r="925" spans="1:15" x14ac:dyDescent="0.35">
      <c r="A925" t="str">
        <f>Raw_Claims_Data!A924</f>
        <v>TXN00000921</v>
      </c>
      <c r="B925" t="str">
        <f>TRIM(Raw_Claims_Data!B924)</f>
        <v>Les Ikard</v>
      </c>
      <c r="C925" t="str">
        <f>Raw_Claims_Data!C924</f>
        <v>Life</v>
      </c>
      <c r="D925">
        <f>Raw_Claims_Data!D924</f>
        <v>92.07</v>
      </c>
      <c r="E925">
        <f>Raw_Claims_Data!E924</f>
        <v>10000</v>
      </c>
      <c r="F925" t="str">
        <f>Raw_Claims_Data!F924</f>
        <v>KY</v>
      </c>
      <c r="G925" t="str">
        <f>Raw_Claims_Data!G924</f>
        <v>A</v>
      </c>
      <c r="H925" t="str">
        <f>Raw_Claims_Data!H924</f>
        <v>Minor Loss</v>
      </c>
      <c r="I925" t="str">
        <f>IF(Raw_Claims_Data!I924="","None",Raw_Claims_Data!I924)</f>
        <v>Ambulance</v>
      </c>
      <c r="J925" t="str">
        <f>Raw_Claims_Data!J924</f>
        <v>Randolph</v>
      </c>
      <c r="K925" t="str">
        <f>Raw_Claims_Data!K924</f>
        <v>MA</v>
      </c>
      <c r="L925">
        <f>Raw_Claims_Data!L924</f>
        <v>15</v>
      </c>
      <c r="M925" t="str">
        <f>IF(Raw_Claims_Data!M924="","N/A",Raw_Claims_Data!M924)</f>
        <v>VNDR00492</v>
      </c>
      <c r="N925" t="str">
        <f>Raw_Claims_Data!N924</f>
        <v>AGENT00221</v>
      </c>
      <c r="O925">
        <f>IF(Raw_Claims_Data!G924="D",1,0)</f>
        <v>0</v>
      </c>
    </row>
    <row r="926" spans="1:15" x14ac:dyDescent="0.35">
      <c r="A926" t="str">
        <f>Raw_Claims_Data!A925</f>
        <v>TXN00000922</v>
      </c>
      <c r="B926" t="str">
        <f>TRIM(Raw_Claims_Data!B925)</f>
        <v>Philip Patton</v>
      </c>
      <c r="C926" t="str">
        <f>Raw_Claims_Data!C925</f>
        <v>Travel</v>
      </c>
      <c r="D926">
        <f>Raw_Claims_Data!D925</f>
        <v>54.62</v>
      </c>
      <c r="E926">
        <f>Raw_Claims_Data!E925</f>
        <v>1000</v>
      </c>
      <c r="F926" t="str">
        <f>Raw_Claims_Data!F925</f>
        <v>DC</v>
      </c>
      <c r="G926" t="str">
        <f>Raw_Claims_Data!G925</f>
        <v>A</v>
      </c>
      <c r="H926" t="str">
        <f>Raw_Claims_Data!H925</f>
        <v>Minor Loss</v>
      </c>
      <c r="I926" t="str">
        <f>IF(Raw_Claims_Data!I925="","None",Raw_Claims_Data!I925)</f>
        <v>Ambulance</v>
      </c>
      <c r="J926" t="str">
        <f>Raw_Claims_Data!J925</f>
        <v>Telluride</v>
      </c>
      <c r="K926" t="str">
        <f>Raw_Claims_Data!K925</f>
        <v>CO</v>
      </c>
      <c r="L926">
        <f>Raw_Claims_Data!L925</f>
        <v>7</v>
      </c>
      <c r="M926" t="str">
        <f>IF(Raw_Claims_Data!M925="","N/A",Raw_Claims_Data!M925)</f>
        <v>VNDR00541</v>
      </c>
      <c r="N926" t="str">
        <f>Raw_Claims_Data!N925</f>
        <v>AGENT01015</v>
      </c>
      <c r="O926">
        <f>IF(Raw_Claims_Data!G925="D",1,0)</f>
        <v>0</v>
      </c>
    </row>
    <row r="927" spans="1:15" x14ac:dyDescent="0.35">
      <c r="A927" t="str">
        <f>Raw_Claims_Data!A926</f>
        <v>TXN00000923</v>
      </c>
      <c r="B927" t="str">
        <f>TRIM(Raw_Claims_Data!B926)</f>
        <v>Herbert Teel</v>
      </c>
      <c r="C927" t="str">
        <f>Raw_Claims_Data!C926</f>
        <v>Travel</v>
      </c>
      <c r="D927">
        <f>Raw_Claims_Data!D926</f>
        <v>81.180000000000007</v>
      </c>
      <c r="E927">
        <f>Raw_Claims_Data!E926</f>
        <v>2000</v>
      </c>
      <c r="F927" t="str">
        <f>Raw_Claims_Data!F926</f>
        <v>CA</v>
      </c>
      <c r="G927" t="str">
        <f>Raw_Claims_Data!G926</f>
        <v>A</v>
      </c>
      <c r="H927" t="str">
        <f>Raw_Claims_Data!H926</f>
        <v>Total Loss</v>
      </c>
      <c r="I927" t="str">
        <f>IF(Raw_Claims_Data!I926="","None",Raw_Claims_Data!I926)</f>
        <v>Ambulance</v>
      </c>
      <c r="J927" t="str">
        <f>Raw_Claims_Data!J926</f>
        <v>Edmond</v>
      </c>
      <c r="K927" t="str">
        <f>Raw_Claims_Data!K926</f>
        <v>OK</v>
      </c>
      <c r="L927">
        <f>Raw_Claims_Data!L926</f>
        <v>12</v>
      </c>
      <c r="M927" t="str">
        <f>IF(Raw_Claims_Data!M926="","N/A",Raw_Claims_Data!M926)</f>
        <v>VNDR00164</v>
      </c>
      <c r="N927" t="str">
        <f>Raw_Claims_Data!N926</f>
        <v>AGENT01026</v>
      </c>
      <c r="O927">
        <f>IF(Raw_Claims_Data!G926="D",1,0)</f>
        <v>0</v>
      </c>
    </row>
    <row r="928" spans="1:15" x14ac:dyDescent="0.35">
      <c r="A928" t="str">
        <f>Raw_Claims_Data!A927</f>
        <v>TXN00000924</v>
      </c>
      <c r="B928" t="str">
        <f>TRIM(Raw_Claims_Data!B927)</f>
        <v>Marsha Heaton</v>
      </c>
      <c r="C928" t="str">
        <f>Raw_Claims_Data!C927</f>
        <v>Travel</v>
      </c>
      <c r="D928">
        <f>Raw_Claims_Data!D927</f>
        <v>59.5</v>
      </c>
      <c r="E928">
        <f>Raw_Claims_Data!E927</f>
        <v>4000</v>
      </c>
      <c r="F928" t="str">
        <f>Raw_Claims_Data!F927</f>
        <v>TN</v>
      </c>
      <c r="G928" t="str">
        <f>Raw_Claims_Data!G927</f>
        <v>A</v>
      </c>
      <c r="H928" t="str">
        <f>Raw_Claims_Data!H927</f>
        <v>Total Loss</v>
      </c>
      <c r="I928" t="str">
        <f>IF(Raw_Claims_Data!I927="","None",Raw_Claims_Data!I927)</f>
        <v>Police</v>
      </c>
      <c r="J928" t="str">
        <f>Raw_Claims_Data!J927</f>
        <v>Washington</v>
      </c>
      <c r="K928" t="str">
        <f>Raw_Claims_Data!K927</f>
        <v>DC</v>
      </c>
      <c r="L928">
        <f>Raw_Claims_Data!L927</f>
        <v>13</v>
      </c>
      <c r="M928" t="str">
        <f>IF(Raw_Claims_Data!M927="","N/A",Raw_Claims_Data!M927)</f>
        <v>VNDR00583</v>
      </c>
      <c r="N928" t="str">
        <f>Raw_Claims_Data!N927</f>
        <v>AGENT00994</v>
      </c>
      <c r="O928">
        <f>IF(Raw_Claims_Data!G927="D",1,0)</f>
        <v>0</v>
      </c>
    </row>
    <row r="929" spans="1:15" x14ac:dyDescent="0.35">
      <c r="A929" t="str">
        <f>Raw_Claims_Data!A928</f>
        <v>TXN00000925</v>
      </c>
      <c r="B929" t="str">
        <f>TRIM(Raw_Claims_Data!B928)</f>
        <v>Nancy Crawford</v>
      </c>
      <c r="C929" t="str">
        <f>Raw_Claims_Data!C928</f>
        <v>Life</v>
      </c>
      <c r="D929">
        <f>Raw_Claims_Data!D928</f>
        <v>51.88</v>
      </c>
      <c r="E929">
        <f>Raw_Claims_Data!E928</f>
        <v>20000</v>
      </c>
      <c r="F929" t="str">
        <f>Raw_Claims_Data!F928</f>
        <v>AK</v>
      </c>
      <c r="G929" t="str">
        <f>Raw_Claims_Data!G928</f>
        <v>A</v>
      </c>
      <c r="H929" t="str">
        <f>Raw_Claims_Data!H928</f>
        <v>Total Loss</v>
      </c>
      <c r="I929" t="str">
        <f>IF(Raw_Claims_Data!I928="","None",Raw_Claims_Data!I928)</f>
        <v>None</v>
      </c>
      <c r="J929" t="str">
        <f>Raw_Claims_Data!J928</f>
        <v>Mount Juliet</v>
      </c>
      <c r="K929" t="str">
        <f>Raw_Claims_Data!K928</f>
        <v>TN</v>
      </c>
      <c r="L929">
        <f>Raw_Claims_Data!L928</f>
        <v>21</v>
      </c>
      <c r="M929" t="str">
        <f>IF(Raw_Claims_Data!M928="","N/A",Raw_Claims_Data!M928)</f>
        <v>N/A</v>
      </c>
      <c r="N929" t="str">
        <f>Raw_Claims_Data!N928</f>
        <v>AGENT00757</v>
      </c>
      <c r="O929">
        <f>IF(Raw_Claims_Data!G928="D",1,0)</f>
        <v>0</v>
      </c>
    </row>
    <row r="930" spans="1:15" x14ac:dyDescent="0.35">
      <c r="A930" t="str">
        <f>Raw_Claims_Data!A929</f>
        <v>TXN00000926</v>
      </c>
      <c r="B930" t="str">
        <f>TRIM(Raw_Claims_Data!B929)</f>
        <v>Lowell Contreras</v>
      </c>
      <c r="C930" t="str">
        <f>Raw_Claims_Data!C929</f>
        <v>Mobile</v>
      </c>
      <c r="D930">
        <f>Raw_Claims_Data!D929</f>
        <v>11.35</v>
      </c>
      <c r="E930">
        <f>Raw_Claims_Data!E929</f>
        <v>100</v>
      </c>
      <c r="F930" t="str">
        <f>Raw_Claims_Data!F929</f>
        <v>KY</v>
      </c>
      <c r="G930" t="str">
        <f>Raw_Claims_Data!G929</f>
        <v>A</v>
      </c>
      <c r="H930" t="str">
        <f>Raw_Claims_Data!H929</f>
        <v>Major Loss</v>
      </c>
      <c r="I930" t="str">
        <f>IF(Raw_Claims_Data!I929="","None",Raw_Claims_Data!I929)</f>
        <v>Ambulance</v>
      </c>
      <c r="J930" t="str">
        <f>Raw_Claims_Data!J929</f>
        <v>Pasadena</v>
      </c>
      <c r="K930" t="str">
        <f>Raw_Claims_Data!K929</f>
        <v>MD</v>
      </c>
      <c r="L930">
        <f>Raw_Claims_Data!L929</f>
        <v>0</v>
      </c>
      <c r="M930" t="str">
        <f>IF(Raw_Claims_Data!M929="","N/A",Raw_Claims_Data!M929)</f>
        <v>N/A</v>
      </c>
      <c r="N930" t="str">
        <f>Raw_Claims_Data!N929</f>
        <v>AGENT01113</v>
      </c>
      <c r="O930">
        <f>IF(Raw_Claims_Data!G929="D",1,0)</f>
        <v>0</v>
      </c>
    </row>
    <row r="931" spans="1:15" x14ac:dyDescent="0.35">
      <c r="A931" t="str">
        <f>Raw_Claims_Data!A930</f>
        <v>TXN00000927</v>
      </c>
      <c r="B931" t="str">
        <f>TRIM(Raw_Claims_Data!B930)</f>
        <v>Kenneth White</v>
      </c>
      <c r="C931" t="str">
        <f>Raw_Claims_Data!C930</f>
        <v>Property</v>
      </c>
      <c r="D931">
        <f>Raw_Claims_Data!D930</f>
        <v>84.41</v>
      </c>
      <c r="E931">
        <f>Raw_Claims_Data!E930</f>
        <v>26000</v>
      </c>
      <c r="F931" t="str">
        <f>Raw_Claims_Data!F930</f>
        <v>CA</v>
      </c>
      <c r="G931" t="str">
        <f>Raw_Claims_Data!G930</f>
        <v>A</v>
      </c>
      <c r="H931" t="str">
        <f>Raw_Claims_Data!H930</f>
        <v>Total Loss</v>
      </c>
      <c r="I931" t="str">
        <f>IF(Raw_Claims_Data!I930="","None",Raw_Claims_Data!I930)</f>
        <v>None</v>
      </c>
      <c r="J931" t="str">
        <f>Raw_Claims_Data!J930</f>
        <v>Nashville</v>
      </c>
      <c r="K931" t="str">
        <f>Raw_Claims_Data!K930</f>
        <v>TN</v>
      </c>
      <c r="L931">
        <f>Raw_Claims_Data!L930</f>
        <v>1</v>
      </c>
      <c r="M931" t="str">
        <f>IF(Raw_Claims_Data!M930="","N/A",Raw_Claims_Data!M930)</f>
        <v>VNDR00394</v>
      </c>
      <c r="N931" t="str">
        <f>Raw_Claims_Data!N930</f>
        <v>AGENT00130</v>
      </c>
      <c r="O931">
        <f>IF(Raw_Claims_Data!G930="D",1,0)</f>
        <v>0</v>
      </c>
    </row>
    <row r="932" spans="1:15" x14ac:dyDescent="0.35">
      <c r="A932" t="str">
        <f>Raw_Claims_Data!A931</f>
        <v>TXN00000928</v>
      </c>
      <c r="B932" t="str">
        <f>TRIM(Raw_Claims_Data!B931)</f>
        <v>Timothy Oneill</v>
      </c>
      <c r="C932" t="str">
        <f>Raw_Claims_Data!C931</f>
        <v>Motor</v>
      </c>
      <c r="D932">
        <f>Raw_Claims_Data!D931</f>
        <v>131.94</v>
      </c>
      <c r="E932">
        <f>Raw_Claims_Data!E931</f>
        <v>7000</v>
      </c>
      <c r="F932" t="str">
        <f>Raw_Claims_Data!F931</f>
        <v>VT</v>
      </c>
      <c r="G932" t="str">
        <f>Raw_Claims_Data!G931</f>
        <v>A</v>
      </c>
      <c r="H932" t="str">
        <f>Raw_Claims_Data!H931</f>
        <v>Minor Loss</v>
      </c>
      <c r="I932" t="str">
        <f>IF(Raw_Claims_Data!I931="","None",Raw_Claims_Data!I931)</f>
        <v>Other</v>
      </c>
      <c r="J932" t="str">
        <f>Raw_Claims_Data!J931</f>
        <v>Gardner</v>
      </c>
      <c r="K932" t="str">
        <f>Raw_Claims_Data!K931</f>
        <v>MA</v>
      </c>
      <c r="L932">
        <f>Raw_Claims_Data!L931</f>
        <v>9</v>
      </c>
      <c r="M932" t="str">
        <f>IF(Raw_Claims_Data!M931="","N/A",Raw_Claims_Data!M931)</f>
        <v>VNDR00580</v>
      </c>
      <c r="N932" t="str">
        <f>Raw_Claims_Data!N931</f>
        <v>AGENT00388</v>
      </c>
      <c r="O932">
        <f>IF(Raw_Claims_Data!G931="D",1,0)</f>
        <v>0</v>
      </c>
    </row>
    <row r="933" spans="1:15" x14ac:dyDescent="0.35">
      <c r="A933" t="str">
        <f>Raw_Claims_Data!A932</f>
        <v>TXN00000929</v>
      </c>
      <c r="B933" t="str">
        <f>TRIM(Raw_Claims_Data!B932)</f>
        <v>Edgardo Schmidt</v>
      </c>
      <c r="C933" t="str">
        <f>Raw_Claims_Data!C932</f>
        <v>Life</v>
      </c>
      <c r="D933">
        <f>Raw_Claims_Data!D932</f>
        <v>82.02</v>
      </c>
      <c r="E933">
        <f>Raw_Claims_Data!E932</f>
        <v>49000</v>
      </c>
      <c r="F933" t="str">
        <f>Raw_Claims_Data!F932</f>
        <v>CA</v>
      </c>
      <c r="G933" t="str">
        <f>Raw_Claims_Data!G932</f>
        <v>A</v>
      </c>
      <c r="H933" t="str">
        <f>Raw_Claims_Data!H932</f>
        <v>Minor Loss</v>
      </c>
      <c r="I933" t="str">
        <f>IF(Raw_Claims_Data!I932="","None",Raw_Claims_Data!I932)</f>
        <v>Police</v>
      </c>
      <c r="J933" t="str">
        <f>Raw_Claims_Data!J932</f>
        <v>Anchorage</v>
      </c>
      <c r="K933" t="str">
        <f>Raw_Claims_Data!K932</f>
        <v>AK</v>
      </c>
      <c r="L933">
        <f>Raw_Claims_Data!L932</f>
        <v>22</v>
      </c>
      <c r="M933" t="str">
        <f>IF(Raw_Claims_Data!M932="","N/A",Raw_Claims_Data!M932)</f>
        <v>VNDR00129</v>
      </c>
      <c r="N933" t="str">
        <f>Raw_Claims_Data!N932</f>
        <v>AGENT00729</v>
      </c>
      <c r="O933">
        <f>IF(Raw_Claims_Data!G932="D",1,0)</f>
        <v>0</v>
      </c>
    </row>
    <row r="934" spans="1:15" x14ac:dyDescent="0.35">
      <c r="A934" t="str">
        <f>Raw_Claims_Data!A933</f>
        <v>TXN00000930</v>
      </c>
      <c r="B934" t="str">
        <f>TRIM(Raw_Claims_Data!B933)</f>
        <v>Jo Shepard</v>
      </c>
      <c r="C934" t="str">
        <f>Raw_Claims_Data!C933</f>
        <v>Mobile</v>
      </c>
      <c r="D934">
        <f>Raw_Claims_Data!D933</f>
        <v>11.88</v>
      </c>
      <c r="E934">
        <f>Raw_Claims_Data!E933</f>
        <v>300</v>
      </c>
      <c r="F934" t="str">
        <f>Raw_Claims_Data!F933</f>
        <v>CA</v>
      </c>
      <c r="G934" t="str">
        <f>Raw_Claims_Data!G933</f>
        <v>A</v>
      </c>
      <c r="H934" t="str">
        <f>Raw_Claims_Data!H933</f>
        <v>Minor Loss</v>
      </c>
      <c r="I934" t="str">
        <f>IF(Raw_Claims_Data!I933="","None",Raw_Claims_Data!I933)</f>
        <v>None</v>
      </c>
      <c r="J934" t="str">
        <f>Raw_Claims_Data!J933</f>
        <v>Livermore</v>
      </c>
      <c r="K934" t="str">
        <f>Raw_Claims_Data!K933</f>
        <v>CA</v>
      </c>
      <c r="L934">
        <f>Raw_Claims_Data!L933</f>
        <v>10</v>
      </c>
      <c r="M934" t="str">
        <f>IF(Raw_Claims_Data!M933="","N/A",Raw_Claims_Data!M933)</f>
        <v>N/A</v>
      </c>
      <c r="N934" t="str">
        <f>Raw_Claims_Data!N933</f>
        <v>AGENT00010</v>
      </c>
      <c r="O934">
        <f>IF(Raw_Claims_Data!G933="D",1,0)</f>
        <v>0</v>
      </c>
    </row>
    <row r="935" spans="1:15" x14ac:dyDescent="0.35">
      <c r="A935" t="str">
        <f>Raw_Claims_Data!A934</f>
        <v>TXN00000931</v>
      </c>
      <c r="B935" t="str">
        <f>TRIM(Raw_Claims_Data!B934)</f>
        <v>Tuyet King</v>
      </c>
      <c r="C935" t="str">
        <f>Raw_Claims_Data!C934</f>
        <v>Motor</v>
      </c>
      <c r="D935">
        <f>Raw_Claims_Data!D934</f>
        <v>127.6</v>
      </c>
      <c r="E935">
        <f>Raw_Claims_Data!E934</f>
        <v>3000</v>
      </c>
      <c r="F935" t="str">
        <f>Raw_Claims_Data!F934</f>
        <v>KY</v>
      </c>
      <c r="G935" t="str">
        <f>Raw_Claims_Data!G934</f>
        <v>A</v>
      </c>
      <c r="H935" t="str">
        <f>Raw_Claims_Data!H934</f>
        <v>Minor Loss</v>
      </c>
      <c r="I935" t="str">
        <f>IF(Raw_Claims_Data!I934="","None",Raw_Claims_Data!I934)</f>
        <v>Ambulance</v>
      </c>
      <c r="J935" t="str">
        <f>Raw_Claims_Data!J934</f>
        <v>Montgomery</v>
      </c>
      <c r="K935" t="str">
        <f>Raw_Claims_Data!K934</f>
        <v>AL</v>
      </c>
      <c r="L935">
        <f>Raw_Claims_Data!L934</f>
        <v>1</v>
      </c>
      <c r="M935" t="str">
        <f>IF(Raw_Claims_Data!M934="","N/A",Raw_Claims_Data!M934)</f>
        <v>VNDR00187</v>
      </c>
      <c r="N935" t="str">
        <f>Raw_Claims_Data!N934</f>
        <v>AGENT00439</v>
      </c>
      <c r="O935">
        <f>IF(Raw_Claims_Data!G934="D",1,0)</f>
        <v>0</v>
      </c>
    </row>
    <row r="936" spans="1:15" x14ac:dyDescent="0.35">
      <c r="A936" t="str">
        <f>Raw_Claims_Data!A935</f>
        <v>TXN00000932</v>
      </c>
      <c r="B936" t="str">
        <f>TRIM(Raw_Claims_Data!B935)</f>
        <v>Tommy Metz</v>
      </c>
      <c r="C936" t="str">
        <f>Raw_Claims_Data!C935</f>
        <v>Life</v>
      </c>
      <c r="D936">
        <f>Raw_Claims_Data!D935</f>
        <v>94.87</v>
      </c>
      <c r="E936">
        <f>Raw_Claims_Data!E935</f>
        <v>31000</v>
      </c>
      <c r="F936" t="str">
        <f>Raw_Claims_Data!F935</f>
        <v>AL</v>
      </c>
      <c r="G936" t="str">
        <f>Raw_Claims_Data!G935</f>
        <v>A</v>
      </c>
      <c r="H936" t="str">
        <f>Raw_Claims_Data!H935</f>
        <v>Minor Loss</v>
      </c>
      <c r="I936" t="str">
        <f>IF(Raw_Claims_Data!I935="","None",Raw_Claims_Data!I935)</f>
        <v>Other</v>
      </c>
      <c r="J936" t="str">
        <f>Raw_Claims_Data!J935</f>
        <v>Livermore</v>
      </c>
      <c r="K936" t="str">
        <f>Raw_Claims_Data!K935</f>
        <v>CA</v>
      </c>
      <c r="L936">
        <f>Raw_Claims_Data!L935</f>
        <v>4</v>
      </c>
      <c r="M936" t="str">
        <f>IF(Raw_Claims_Data!M935="","N/A",Raw_Claims_Data!M935)</f>
        <v>VNDR00266</v>
      </c>
      <c r="N936" t="str">
        <f>Raw_Claims_Data!N935</f>
        <v>AGENT00175</v>
      </c>
      <c r="O936">
        <f>IF(Raw_Claims_Data!G935="D",1,0)</f>
        <v>0</v>
      </c>
    </row>
    <row r="937" spans="1:15" x14ac:dyDescent="0.35">
      <c r="A937" t="str">
        <f>Raw_Claims_Data!A936</f>
        <v>TXN00000933</v>
      </c>
      <c r="B937" t="str">
        <f>TRIM(Raw_Claims_Data!B936)</f>
        <v>Bernard Maples</v>
      </c>
      <c r="C937" t="str">
        <f>Raw_Claims_Data!C936</f>
        <v>Travel</v>
      </c>
      <c r="D937">
        <f>Raw_Claims_Data!D936</f>
        <v>81.22</v>
      </c>
      <c r="E937">
        <f>Raw_Claims_Data!E936</f>
        <v>1000</v>
      </c>
      <c r="F937" t="str">
        <f>Raw_Claims_Data!F936</f>
        <v>FL</v>
      </c>
      <c r="G937" t="str">
        <f>Raw_Claims_Data!G936</f>
        <v>A</v>
      </c>
      <c r="H937" t="str">
        <f>Raw_Claims_Data!H936</f>
        <v>Major Loss</v>
      </c>
      <c r="I937" t="str">
        <f>IF(Raw_Claims_Data!I936="","None",Raw_Claims_Data!I936)</f>
        <v>Police</v>
      </c>
      <c r="J937" t="str">
        <f>Raw_Claims_Data!J936</f>
        <v>Brockton</v>
      </c>
      <c r="K937" t="str">
        <f>Raw_Claims_Data!K936</f>
        <v>MA</v>
      </c>
      <c r="L937">
        <f>Raw_Claims_Data!L936</f>
        <v>16</v>
      </c>
      <c r="M937" t="str">
        <f>IF(Raw_Claims_Data!M936="","N/A",Raw_Claims_Data!M936)</f>
        <v>VNDR00244</v>
      </c>
      <c r="N937" t="str">
        <f>Raw_Claims_Data!N936</f>
        <v>AGENT00725</v>
      </c>
      <c r="O937">
        <f>IF(Raw_Claims_Data!G936="D",1,0)</f>
        <v>0</v>
      </c>
    </row>
    <row r="938" spans="1:15" x14ac:dyDescent="0.35">
      <c r="A938" t="str">
        <f>Raw_Claims_Data!A937</f>
        <v>TXN00000934</v>
      </c>
      <c r="B938" t="str">
        <f>TRIM(Raw_Claims_Data!B937)</f>
        <v>James Hook</v>
      </c>
      <c r="C938" t="str">
        <f>Raw_Claims_Data!C937</f>
        <v>Property</v>
      </c>
      <c r="D938">
        <f>Raw_Claims_Data!D937</f>
        <v>152.51</v>
      </c>
      <c r="E938">
        <f>Raw_Claims_Data!E937</f>
        <v>32000</v>
      </c>
      <c r="F938" t="str">
        <f>Raw_Claims_Data!F937</f>
        <v>CO</v>
      </c>
      <c r="G938" t="str">
        <f>Raw_Claims_Data!G937</f>
        <v>A</v>
      </c>
      <c r="H938" t="str">
        <f>Raw_Claims_Data!H937</f>
        <v>Minor Loss</v>
      </c>
      <c r="I938" t="str">
        <f>IF(Raw_Claims_Data!I937="","None",Raw_Claims_Data!I937)</f>
        <v>Police</v>
      </c>
      <c r="J938" t="str">
        <f>Raw_Claims_Data!J937</f>
        <v>Quincy</v>
      </c>
      <c r="K938" t="str">
        <f>Raw_Claims_Data!K937</f>
        <v>MA</v>
      </c>
      <c r="L938">
        <f>Raw_Claims_Data!L937</f>
        <v>20</v>
      </c>
      <c r="M938" t="str">
        <f>IF(Raw_Claims_Data!M937="","N/A",Raw_Claims_Data!M937)</f>
        <v>VNDR00403</v>
      </c>
      <c r="N938" t="str">
        <f>Raw_Claims_Data!N937</f>
        <v>AGENT00771</v>
      </c>
      <c r="O938">
        <f>IF(Raw_Claims_Data!G937="D",1,0)</f>
        <v>0</v>
      </c>
    </row>
    <row r="939" spans="1:15" x14ac:dyDescent="0.35">
      <c r="A939" t="str">
        <f>Raw_Claims_Data!A938</f>
        <v>TXN00000935</v>
      </c>
      <c r="B939" t="str">
        <f>TRIM(Raw_Claims_Data!B938)</f>
        <v>Patsy Richmond</v>
      </c>
      <c r="C939" t="str">
        <f>Raw_Claims_Data!C938</f>
        <v>Mobile</v>
      </c>
      <c r="D939">
        <f>Raw_Claims_Data!D938</f>
        <v>9.27</v>
      </c>
      <c r="E939">
        <f>Raw_Claims_Data!E938</f>
        <v>300</v>
      </c>
      <c r="F939" t="str">
        <f>Raw_Claims_Data!F938</f>
        <v>VT</v>
      </c>
      <c r="G939" t="str">
        <f>Raw_Claims_Data!G938</f>
        <v>A</v>
      </c>
      <c r="H939" t="str">
        <f>Raw_Claims_Data!H938</f>
        <v>Total Loss</v>
      </c>
      <c r="I939" t="str">
        <f>IF(Raw_Claims_Data!I938="","None",Raw_Claims_Data!I938)</f>
        <v>Police</v>
      </c>
      <c r="J939" t="str">
        <f>Raw_Claims_Data!J938</f>
        <v>Norman</v>
      </c>
      <c r="K939" t="str">
        <f>Raw_Claims_Data!K938</f>
        <v>OK</v>
      </c>
      <c r="L939">
        <f>Raw_Claims_Data!L938</f>
        <v>23</v>
      </c>
      <c r="M939" t="str">
        <f>IF(Raw_Claims_Data!M938="","N/A",Raw_Claims_Data!M938)</f>
        <v>VNDR00166</v>
      </c>
      <c r="N939" t="str">
        <f>Raw_Claims_Data!N938</f>
        <v>AGENT00504</v>
      </c>
      <c r="O939">
        <f>IF(Raw_Claims_Data!G938="D",1,0)</f>
        <v>0</v>
      </c>
    </row>
    <row r="940" spans="1:15" x14ac:dyDescent="0.35">
      <c r="A940" t="str">
        <f>Raw_Claims_Data!A939</f>
        <v>TXN00000936</v>
      </c>
      <c r="B940" t="str">
        <f>TRIM(Raw_Claims_Data!B939)</f>
        <v>Efren Coker</v>
      </c>
      <c r="C940" t="str">
        <f>Raw_Claims_Data!C939</f>
        <v>Life</v>
      </c>
      <c r="D940">
        <f>Raw_Claims_Data!D939</f>
        <v>57.23</v>
      </c>
      <c r="E940">
        <f>Raw_Claims_Data!E939</f>
        <v>37000</v>
      </c>
      <c r="F940" t="str">
        <f>Raw_Claims_Data!F939</f>
        <v>DC</v>
      </c>
      <c r="G940" t="str">
        <f>Raw_Claims_Data!G939</f>
        <v>A</v>
      </c>
      <c r="H940" t="str">
        <f>Raw_Claims_Data!H939</f>
        <v>Total Loss</v>
      </c>
      <c r="I940" t="str">
        <f>IF(Raw_Claims_Data!I939="","None",Raw_Claims_Data!I939)</f>
        <v>Ambulance</v>
      </c>
      <c r="J940" t="str">
        <f>Raw_Claims_Data!J939</f>
        <v>Washington</v>
      </c>
      <c r="K940" t="str">
        <f>Raw_Claims_Data!K939</f>
        <v>DC</v>
      </c>
      <c r="L940">
        <f>Raw_Claims_Data!L939</f>
        <v>13</v>
      </c>
      <c r="M940" t="str">
        <f>IF(Raw_Claims_Data!M939="","N/A",Raw_Claims_Data!M939)</f>
        <v>VNDR00332</v>
      </c>
      <c r="N940" t="str">
        <f>Raw_Claims_Data!N939</f>
        <v>AGENT00707</v>
      </c>
      <c r="O940">
        <f>IF(Raw_Claims_Data!G939="D",1,0)</f>
        <v>0</v>
      </c>
    </row>
    <row r="941" spans="1:15" x14ac:dyDescent="0.35">
      <c r="A941" t="str">
        <f>Raw_Claims_Data!A940</f>
        <v>TXN00000937</v>
      </c>
      <c r="B941" t="str">
        <f>TRIM(Raw_Claims_Data!B940)</f>
        <v>Luz Vance</v>
      </c>
      <c r="C941" t="str">
        <f>Raw_Claims_Data!C940</f>
        <v>Travel</v>
      </c>
      <c r="D941">
        <f>Raw_Claims_Data!D940</f>
        <v>88.97</v>
      </c>
      <c r="E941">
        <f>Raw_Claims_Data!E940</f>
        <v>3000</v>
      </c>
      <c r="F941" t="str">
        <f>Raw_Claims_Data!F940</f>
        <v>FL</v>
      </c>
      <c r="G941" t="str">
        <f>Raw_Claims_Data!G940</f>
        <v>A</v>
      </c>
      <c r="H941" t="str">
        <f>Raw_Claims_Data!H940</f>
        <v>Minor Loss</v>
      </c>
      <c r="I941" t="str">
        <f>IF(Raw_Claims_Data!I940="","None",Raw_Claims_Data!I940)</f>
        <v>Ambulance</v>
      </c>
      <c r="J941" t="str">
        <f>Raw_Claims_Data!J940</f>
        <v>Oakland</v>
      </c>
      <c r="K941" t="str">
        <f>Raw_Claims_Data!K940</f>
        <v>CA</v>
      </c>
      <c r="L941">
        <f>Raw_Claims_Data!L940</f>
        <v>13</v>
      </c>
      <c r="M941" t="str">
        <f>IF(Raw_Claims_Data!M940="","N/A",Raw_Claims_Data!M940)</f>
        <v>VNDR00222</v>
      </c>
      <c r="N941" t="str">
        <f>Raw_Claims_Data!N940</f>
        <v>AGENT00230</v>
      </c>
      <c r="O941">
        <f>IF(Raw_Claims_Data!G940="D",1,0)</f>
        <v>0</v>
      </c>
    </row>
    <row r="942" spans="1:15" x14ac:dyDescent="0.35">
      <c r="A942" t="str">
        <f>Raw_Claims_Data!A941</f>
        <v>TXN00000938</v>
      </c>
      <c r="B942" t="str">
        <f>TRIM(Raw_Claims_Data!B941)</f>
        <v>Shirley Peterson</v>
      </c>
      <c r="C942" t="str">
        <f>Raw_Claims_Data!C941</f>
        <v>Mobile</v>
      </c>
      <c r="D942">
        <f>Raw_Claims_Data!D941</f>
        <v>6.22</v>
      </c>
      <c r="E942">
        <f>Raw_Claims_Data!E941</f>
        <v>200</v>
      </c>
      <c r="F942" t="str">
        <f>Raw_Claims_Data!F941</f>
        <v>CO</v>
      </c>
      <c r="G942" t="str">
        <f>Raw_Claims_Data!G941</f>
        <v>A</v>
      </c>
      <c r="H942" t="str">
        <f>Raw_Claims_Data!H941</f>
        <v>Major Loss</v>
      </c>
      <c r="I942" t="str">
        <f>IF(Raw_Claims_Data!I941="","None",Raw_Claims_Data!I941)</f>
        <v>None</v>
      </c>
      <c r="J942" t="str">
        <f>Raw_Claims_Data!J941</f>
        <v>San Gabriel</v>
      </c>
      <c r="K942" t="str">
        <f>Raw_Claims_Data!K941</f>
        <v>CA</v>
      </c>
      <c r="L942">
        <f>Raw_Claims_Data!L941</f>
        <v>20</v>
      </c>
      <c r="M942" t="str">
        <f>IF(Raw_Claims_Data!M941="","N/A",Raw_Claims_Data!M941)</f>
        <v>N/A</v>
      </c>
      <c r="N942" t="str">
        <f>Raw_Claims_Data!N941</f>
        <v>AGENT01186</v>
      </c>
      <c r="O942">
        <f>IF(Raw_Claims_Data!G941="D",1,0)</f>
        <v>0</v>
      </c>
    </row>
    <row r="943" spans="1:15" x14ac:dyDescent="0.35">
      <c r="A943" t="str">
        <f>Raw_Claims_Data!A942</f>
        <v>TXN00000939</v>
      </c>
      <c r="B943" t="str">
        <f>TRIM(Raw_Claims_Data!B942)</f>
        <v>Allen Garcia</v>
      </c>
      <c r="C943" t="str">
        <f>Raw_Claims_Data!C942</f>
        <v>Property</v>
      </c>
      <c r="D943">
        <f>Raw_Claims_Data!D942</f>
        <v>100.5</v>
      </c>
      <c r="E943">
        <f>Raw_Claims_Data!E942</f>
        <v>37000</v>
      </c>
      <c r="F943" t="str">
        <f>Raw_Claims_Data!F942</f>
        <v>CA</v>
      </c>
      <c r="G943" t="str">
        <f>Raw_Claims_Data!G942</f>
        <v>A</v>
      </c>
      <c r="H943" t="str">
        <f>Raw_Claims_Data!H942</f>
        <v>Total Loss</v>
      </c>
      <c r="I943" t="str">
        <f>IF(Raw_Claims_Data!I942="","None",Raw_Claims_Data!I942)</f>
        <v>Ambulance</v>
      </c>
      <c r="J943" t="str">
        <f>Raw_Claims_Data!J942</f>
        <v>Deale</v>
      </c>
      <c r="K943" t="str">
        <f>Raw_Claims_Data!K942</f>
        <v>MD</v>
      </c>
      <c r="L943">
        <f>Raw_Claims_Data!L942</f>
        <v>3</v>
      </c>
      <c r="M943" t="str">
        <f>IF(Raw_Claims_Data!M942="","N/A",Raw_Claims_Data!M942)</f>
        <v>VNDR00382</v>
      </c>
      <c r="N943" t="str">
        <f>Raw_Claims_Data!N942</f>
        <v>AGENT00326</v>
      </c>
      <c r="O943">
        <f>IF(Raw_Claims_Data!G942="D",1,0)</f>
        <v>0</v>
      </c>
    </row>
    <row r="944" spans="1:15" x14ac:dyDescent="0.35">
      <c r="A944" t="str">
        <f>Raw_Claims_Data!A943</f>
        <v>TXN00000940</v>
      </c>
      <c r="B944" t="str">
        <f>TRIM(Raw_Claims_Data!B943)</f>
        <v>Bobby Rice</v>
      </c>
      <c r="C944" t="str">
        <f>Raw_Claims_Data!C943</f>
        <v>Life</v>
      </c>
      <c r="D944">
        <f>Raw_Claims_Data!D943</f>
        <v>56.84</v>
      </c>
      <c r="E944">
        <f>Raw_Claims_Data!E943</f>
        <v>47000</v>
      </c>
      <c r="F944" t="str">
        <f>Raw_Claims_Data!F943</f>
        <v>AL</v>
      </c>
      <c r="G944" t="str">
        <f>Raw_Claims_Data!G943</f>
        <v>A</v>
      </c>
      <c r="H944" t="str">
        <f>Raw_Claims_Data!H943</f>
        <v>Major Loss</v>
      </c>
      <c r="I944" t="str">
        <f>IF(Raw_Claims_Data!I943="","None",Raw_Claims_Data!I943)</f>
        <v>Ambulance</v>
      </c>
      <c r="J944" t="str">
        <f>Raw_Claims_Data!J943</f>
        <v>Tollhouse</v>
      </c>
      <c r="K944" t="str">
        <f>Raw_Claims_Data!K943</f>
        <v>CA</v>
      </c>
      <c r="L944">
        <f>Raw_Claims_Data!L943</f>
        <v>15</v>
      </c>
      <c r="M944" t="str">
        <f>IF(Raw_Claims_Data!M943="","N/A",Raw_Claims_Data!M943)</f>
        <v>VNDR00100</v>
      </c>
      <c r="N944" t="str">
        <f>Raw_Claims_Data!N943</f>
        <v>AGENT00653</v>
      </c>
      <c r="O944">
        <f>IF(Raw_Claims_Data!G943="D",1,0)</f>
        <v>0</v>
      </c>
    </row>
    <row r="945" spans="1:15" x14ac:dyDescent="0.35">
      <c r="A945" t="str">
        <f>Raw_Claims_Data!A944</f>
        <v>TXN00000941</v>
      </c>
      <c r="B945" t="str">
        <f>TRIM(Raw_Claims_Data!B944)</f>
        <v>Margaret Applewhite</v>
      </c>
      <c r="C945" t="str">
        <f>Raw_Claims_Data!C944</f>
        <v>Travel</v>
      </c>
      <c r="D945">
        <f>Raw_Claims_Data!D944</f>
        <v>66.650000000000006</v>
      </c>
      <c r="E945">
        <f>Raw_Claims_Data!E944</f>
        <v>5000</v>
      </c>
      <c r="F945" t="str">
        <f>Raw_Claims_Data!F944</f>
        <v>CT</v>
      </c>
      <c r="G945" t="str">
        <f>Raw_Claims_Data!G944</f>
        <v>A</v>
      </c>
      <c r="H945" t="str">
        <f>Raw_Claims_Data!H944</f>
        <v>Total Loss</v>
      </c>
      <c r="I945" t="str">
        <f>IF(Raw_Claims_Data!I944="","None",Raw_Claims_Data!I944)</f>
        <v>None</v>
      </c>
      <c r="J945" t="str">
        <f>Raw_Claims_Data!J944</f>
        <v>Mountain View</v>
      </c>
      <c r="K945" t="str">
        <f>Raw_Claims_Data!K944</f>
        <v>CA</v>
      </c>
      <c r="L945">
        <f>Raw_Claims_Data!L944</f>
        <v>23</v>
      </c>
      <c r="M945" t="str">
        <f>IF(Raw_Claims_Data!M944="","N/A",Raw_Claims_Data!M944)</f>
        <v>VNDR00385</v>
      </c>
      <c r="N945" t="str">
        <f>Raw_Claims_Data!N944</f>
        <v>AGENT00592</v>
      </c>
      <c r="O945">
        <f>IF(Raw_Claims_Data!G944="D",1,0)</f>
        <v>0</v>
      </c>
    </row>
    <row r="946" spans="1:15" x14ac:dyDescent="0.35">
      <c r="A946" t="str">
        <f>Raw_Claims_Data!A945</f>
        <v>TXN00000942</v>
      </c>
      <c r="B946" t="str">
        <f>TRIM(Raw_Claims_Data!B945)</f>
        <v>Michele Aycock</v>
      </c>
      <c r="C946" t="str">
        <f>Raw_Claims_Data!C945</f>
        <v>Motor</v>
      </c>
      <c r="D946">
        <f>Raw_Claims_Data!D945</f>
        <v>111.68</v>
      </c>
      <c r="E946">
        <f>Raw_Claims_Data!E945</f>
        <v>6000</v>
      </c>
      <c r="F946" t="str">
        <f>Raw_Claims_Data!F945</f>
        <v>TN</v>
      </c>
      <c r="G946" t="str">
        <f>Raw_Claims_Data!G945</f>
        <v>A</v>
      </c>
      <c r="H946" t="str">
        <f>Raw_Claims_Data!H945</f>
        <v>Minor Loss</v>
      </c>
      <c r="I946" t="str">
        <f>IF(Raw_Claims_Data!I945="","None",Raw_Claims_Data!I945)</f>
        <v>Police</v>
      </c>
      <c r="J946" t="str">
        <f>Raw_Claims_Data!J945</f>
        <v>Arnold</v>
      </c>
      <c r="K946" t="str">
        <f>Raw_Claims_Data!K945</f>
        <v>MD</v>
      </c>
      <c r="L946">
        <f>Raw_Claims_Data!L945</f>
        <v>22</v>
      </c>
      <c r="M946" t="str">
        <f>IF(Raw_Claims_Data!M945="","N/A",Raw_Claims_Data!M945)</f>
        <v>VNDR00108</v>
      </c>
      <c r="N946" t="str">
        <f>Raw_Claims_Data!N945</f>
        <v>AGENT01045</v>
      </c>
      <c r="O946">
        <f>IF(Raw_Claims_Data!G945="D",1,0)</f>
        <v>0</v>
      </c>
    </row>
    <row r="947" spans="1:15" x14ac:dyDescent="0.35">
      <c r="A947" t="str">
        <f>Raw_Claims_Data!A946</f>
        <v>TXN00000943</v>
      </c>
      <c r="B947" t="str">
        <f>TRIM(Raw_Claims_Data!B946)</f>
        <v>Lorene Hampton</v>
      </c>
      <c r="C947" t="str">
        <f>Raw_Claims_Data!C946</f>
        <v>Travel</v>
      </c>
      <c r="D947">
        <f>Raw_Claims_Data!D946</f>
        <v>51.64</v>
      </c>
      <c r="E947">
        <f>Raw_Claims_Data!E946</f>
        <v>5000</v>
      </c>
      <c r="F947" t="str">
        <f>Raw_Claims_Data!F946</f>
        <v>AZ</v>
      </c>
      <c r="G947" t="str">
        <f>Raw_Claims_Data!G946</f>
        <v>A</v>
      </c>
      <c r="H947" t="str">
        <f>Raw_Claims_Data!H946</f>
        <v>Total Loss</v>
      </c>
      <c r="I947" t="str">
        <f>IF(Raw_Claims_Data!I946="","None",Raw_Claims_Data!I946)</f>
        <v>Ambulance</v>
      </c>
      <c r="J947" t="str">
        <f>Raw_Claims_Data!J946</f>
        <v>Panama City Beach</v>
      </c>
      <c r="K947" t="str">
        <f>Raw_Claims_Data!K946</f>
        <v>FL</v>
      </c>
      <c r="L947">
        <f>Raw_Claims_Data!L946</f>
        <v>9</v>
      </c>
      <c r="M947" t="str">
        <f>IF(Raw_Claims_Data!M946="","N/A",Raw_Claims_Data!M946)</f>
        <v>VNDR00598</v>
      </c>
      <c r="N947" t="str">
        <f>Raw_Claims_Data!N946</f>
        <v>AGENT00227</v>
      </c>
      <c r="O947">
        <f>IF(Raw_Claims_Data!G946="D",1,0)</f>
        <v>0</v>
      </c>
    </row>
    <row r="948" spans="1:15" x14ac:dyDescent="0.35">
      <c r="A948" t="str">
        <f>Raw_Claims_Data!A947</f>
        <v>TXN00000944</v>
      </c>
      <c r="B948" t="str">
        <f>TRIM(Raw_Claims_Data!B947)</f>
        <v>Teresa Ines</v>
      </c>
      <c r="C948" t="str">
        <f>Raw_Claims_Data!C947</f>
        <v>Motor</v>
      </c>
      <c r="D948">
        <f>Raw_Claims_Data!D947</f>
        <v>139.05000000000001</v>
      </c>
      <c r="E948">
        <f>Raw_Claims_Data!E947</f>
        <v>9000</v>
      </c>
      <c r="F948" t="str">
        <f>Raw_Claims_Data!F947</f>
        <v>AR</v>
      </c>
      <c r="G948" t="str">
        <f>Raw_Claims_Data!G947</f>
        <v>A</v>
      </c>
      <c r="H948" t="str">
        <f>Raw_Claims_Data!H947</f>
        <v>Major Loss</v>
      </c>
      <c r="I948" t="str">
        <f>IF(Raw_Claims_Data!I947="","None",Raw_Claims_Data!I947)</f>
        <v>None</v>
      </c>
      <c r="J948" t="str">
        <f>Raw_Claims_Data!J947</f>
        <v>Nashville</v>
      </c>
      <c r="K948" t="str">
        <f>Raw_Claims_Data!K947</f>
        <v>TN</v>
      </c>
      <c r="L948">
        <f>Raw_Claims_Data!L947</f>
        <v>23</v>
      </c>
      <c r="M948" t="str">
        <f>IF(Raw_Claims_Data!M947="","N/A",Raw_Claims_Data!M947)</f>
        <v>VNDR00580</v>
      </c>
      <c r="N948" t="str">
        <f>Raw_Claims_Data!N947</f>
        <v>AGENT00682</v>
      </c>
      <c r="O948">
        <f>IF(Raw_Claims_Data!G947="D",1,0)</f>
        <v>0</v>
      </c>
    </row>
    <row r="949" spans="1:15" x14ac:dyDescent="0.35">
      <c r="A949" t="str">
        <f>Raw_Claims_Data!A948</f>
        <v>TXN00000945</v>
      </c>
      <c r="B949" t="str">
        <f>TRIM(Raw_Claims_Data!B948)</f>
        <v>Rita Dejesus</v>
      </c>
      <c r="C949" t="str">
        <f>Raw_Claims_Data!C948</f>
        <v>Life</v>
      </c>
      <c r="D949">
        <f>Raw_Claims_Data!D948</f>
        <v>76.98</v>
      </c>
      <c r="E949">
        <f>Raw_Claims_Data!E948</f>
        <v>62000</v>
      </c>
      <c r="F949" t="str">
        <f>Raw_Claims_Data!F948</f>
        <v>TN</v>
      </c>
      <c r="G949" t="str">
        <f>Raw_Claims_Data!G948</f>
        <v>A</v>
      </c>
      <c r="H949" t="str">
        <f>Raw_Claims_Data!H948</f>
        <v>Minor Loss</v>
      </c>
      <c r="I949" t="str">
        <f>IF(Raw_Claims_Data!I948="","None",Raw_Claims_Data!I948)</f>
        <v>Police</v>
      </c>
      <c r="J949" t="str">
        <f>Raw_Claims_Data!J948</f>
        <v>Telluride</v>
      </c>
      <c r="K949" t="str">
        <f>Raw_Claims_Data!K948</f>
        <v>CO</v>
      </c>
      <c r="L949">
        <f>Raw_Claims_Data!L948</f>
        <v>7</v>
      </c>
      <c r="M949" t="str">
        <f>IF(Raw_Claims_Data!M948="","N/A",Raw_Claims_Data!M948)</f>
        <v>VNDR00185</v>
      </c>
      <c r="N949" t="str">
        <f>Raw_Claims_Data!N948</f>
        <v>AGENT00708</v>
      </c>
      <c r="O949">
        <f>IF(Raw_Claims_Data!G948="D",1,0)</f>
        <v>0</v>
      </c>
    </row>
    <row r="950" spans="1:15" x14ac:dyDescent="0.35">
      <c r="A950" t="str">
        <f>Raw_Claims_Data!A949</f>
        <v>TXN00000946</v>
      </c>
      <c r="B950" t="str">
        <f>TRIM(Raw_Claims_Data!B949)</f>
        <v>Chung Odell</v>
      </c>
      <c r="C950" t="str">
        <f>Raw_Claims_Data!C949</f>
        <v>Property</v>
      </c>
      <c r="D950">
        <f>Raw_Claims_Data!D949</f>
        <v>85.23</v>
      </c>
      <c r="E950">
        <f>Raw_Claims_Data!E949</f>
        <v>16000</v>
      </c>
      <c r="F950" t="str">
        <f>Raw_Claims_Data!F949</f>
        <v>AL</v>
      </c>
      <c r="G950" t="str">
        <f>Raw_Claims_Data!G949</f>
        <v>A</v>
      </c>
      <c r="H950" t="str">
        <f>Raw_Claims_Data!H949</f>
        <v>Total Loss</v>
      </c>
      <c r="I950" t="str">
        <f>IF(Raw_Claims_Data!I949="","None",Raw_Claims_Data!I949)</f>
        <v>Ambulance</v>
      </c>
      <c r="J950" t="str">
        <f>Raw_Claims_Data!J949</f>
        <v>Moore</v>
      </c>
      <c r="K950" t="str">
        <f>Raw_Claims_Data!K949</f>
        <v>OK</v>
      </c>
      <c r="L950">
        <f>Raw_Claims_Data!L949</f>
        <v>8</v>
      </c>
      <c r="M950" t="str">
        <f>IF(Raw_Claims_Data!M949="","N/A",Raw_Claims_Data!M949)</f>
        <v>VNDR00216</v>
      </c>
      <c r="N950" t="str">
        <f>Raw_Claims_Data!N949</f>
        <v>AGENT00795</v>
      </c>
      <c r="O950">
        <f>IF(Raw_Claims_Data!G949="D",1,0)</f>
        <v>0</v>
      </c>
    </row>
    <row r="951" spans="1:15" x14ac:dyDescent="0.35">
      <c r="A951" t="str">
        <f>Raw_Claims_Data!A950</f>
        <v>TXN00000947</v>
      </c>
      <c r="B951" t="str">
        <f>TRIM(Raw_Claims_Data!B950)</f>
        <v>Peter Palmer</v>
      </c>
      <c r="C951" t="str">
        <f>Raw_Claims_Data!C950</f>
        <v>Life</v>
      </c>
      <c r="D951">
        <f>Raw_Claims_Data!D950</f>
        <v>81.97</v>
      </c>
      <c r="E951">
        <f>Raw_Claims_Data!E950</f>
        <v>69000</v>
      </c>
      <c r="F951" t="str">
        <f>Raw_Claims_Data!F950</f>
        <v>AR</v>
      </c>
      <c r="G951" t="str">
        <f>Raw_Claims_Data!G950</f>
        <v>A</v>
      </c>
      <c r="H951" t="str">
        <f>Raw_Claims_Data!H950</f>
        <v>Total Loss</v>
      </c>
      <c r="I951" t="str">
        <f>IF(Raw_Claims_Data!I950="","None",Raw_Claims_Data!I950)</f>
        <v>Ambulance</v>
      </c>
      <c r="J951" t="str">
        <f>Raw_Claims_Data!J950</f>
        <v>Goodlettsville</v>
      </c>
      <c r="K951" t="str">
        <f>Raw_Claims_Data!K950</f>
        <v>TN</v>
      </c>
      <c r="L951">
        <f>Raw_Claims_Data!L950</f>
        <v>13</v>
      </c>
      <c r="M951" t="str">
        <f>IF(Raw_Claims_Data!M950="","N/A",Raw_Claims_Data!M950)</f>
        <v>VNDR00126</v>
      </c>
      <c r="N951" t="str">
        <f>Raw_Claims_Data!N950</f>
        <v>AGENT00605</v>
      </c>
      <c r="O951">
        <f>IF(Raw_Claims_Data!G950="D",1,0)</f>
        <v>0</v>
      </c>
    </row>
    <row r="952" spans="1:15" x14ac:dyDescent="0.35">
      <c r="A952" t="str">
        <f>Raw_Claims_Data!A951</f>
        <v>TXN00000948</v>
      </c>
      <c r="B952" t="str">
        <f>TRIM(Raw_Claims_Data!B951)</f>
        <v>Elda Brundidge</v>
      </c>
      <c r="C952" t="str">
        <f>Raw_Claims_Data!C951</f>
        <v>Travel</v>
      </c>
      <c r="D952">
        <f>Raw_Claims_Data!D951</f>
        <v>51.84</v>
      </c>
      <c r="E952">
        <f>Raw_Claims_Data!E951</f>
        <v>1000</v>
      </c>
      <c r="F952" t="str">
        <f>Raw_Claims_Data!F951</f>
        <v>DC</v>
      </c>
      <c r="G952" t="str">
        <f>Raw_Claims_Data!G951</f>
        <v>A</v>
      </c>
      <c r="H952" t="str">
        <f>Raw_Claims_Data!H951</f>
        <v>Minor Loss</v>
      </c>
      <c r="I952" t="str">
        <f>IF(Raw_Claims_Data!I951="","None",Raw_Claims_Data!I951)</f>
        <v>None</v>
      </c>
      <c r="J952" t="str">
        <f>Raw_Claims_Data!J951</f>
        <v>Tyngsborough</v>
      </c>
      <c r="K952" t="str">
        <f>Raw_Claims_Data!K951</f>
        <v>MA</v>
      </c>
      <c r="L952">
        <f>Raw_Claims_Data!L951</f>
        <v>18</v>
      </c>
      <c r="M952" t="str">
        <f>IF(Raw_Claims_Data!M951="","N/A",Raw_Claims_Data!M951)</f>
        <v>VNDR00312</v>
      </c>
      <c r="N952" t="str">
        <f>Raw_Claims_Data!N951</f>
        <v>AGENT00847</v>
      </c>
      <c r="O952">
        <f>IF(Raw_Claims_Data!G951="D",1,0)</f>
        <v>0</v>
      </c>
    </row>
    <row r="953" spans="1:15" x14ac:dyDescent="0.35">
      <c r="A953" t="str">
        <f>Raw_Claims_Data!A952</f>
        <v>TXN00000949</v>
      </c>
      <c r="B953" t="str">
        <f>TRIM(Raw_Claims_Data!B952)</f>
        <v>Gina Moorehouse</v>
      </c>
      <c r="C953" t="str">
        <f>Raw_Claims_Data!C952</f>
        <v>Travel</v>
      </c>
      <c r="D953">
        <f>Raw_Claims_Data!D952</f>
        <v>87.24</v>
      </c>
      <c r="E953">
        <f>Raw_Claims_Data!E952</f>
        <v>4000</v>
      </c>
      <c r="F953" t="str">
        <f>Raw_Claims_Data!F952</f>
        <v>CA</v>
      </c>
      <c r="G953" t="str">
        <f>Raw_Claims_Data!G952</f>
        <v>A</v>
      </c>
      <c r="H953" t="str">
        <f>Raw_Claims_Data!H952</f>
        <v>Major Loss</v>
      </c>
      <c r="I953" t="str">
        <f>IF(Raw_Claims_Data!I952="","None",Raw_Claims_Data!I952)</f>
        <v>Police</v>
      </c>
      <c r="J953" t="str">
        <f>Raw_Claims_Data!J952</f>
        <v>Severn</v>
      </c>
      <c r="K953" t="str">
        <f>Raw_Claims_Data!K952</f>
        <v>MD</v>
      </c>
      <c r="L953">
        <f>Raw_Claims_Data!L952</f>
        <v>17</v>
      </c>
      <c r="M953" t="str">
        <f>IF(Raw_Claims_Data!M952="","N/A",Raw_Claims_Data!M952)</f>
        <v>VNDR00332</v>
      </c>
      <c r="N953" t="str">
        <f>Raw_Claims_Data!N952</f>
        <v>AGENT00698</v>
      </c>
      <c r="O953">
        <f>IF(Raw_Claims_Data!G952="D",1,0)</f>
        <v>0</v>
      </c>
    </row>
    <row r="954" spans="1:15" x14ac:dyDescent="0.35">
      <c r="A954" t="str">
        <f>Raw_Claims_Data!A953</f>
        <v>TXN00000950</v>
      </c>
      <c r="B954" t="str">
        <f>TRIM(Raw_Claims_Data!B953)</f>
        <v>Lillian Dewitt</v>
      </c>
      <c r="C954" t="str">
        <f>Raw_Claims_Data!C953</f>
        <v>Motor</v>
      </c>
      <c r="D954">
        <f>Raw_Claims_Data!D953</f>
        <v>82.24</v>
      </c>
      <c r="E954">
        <f>Raw_Claims_Data!E953</f>
        <v>10000</v>
      </c>
      <c r="F954" t="str">
        <f>Raw_Claims_Data!F953</f>
        <v>CA</v>
      </c>
      <c r="G954" t="str">
        <f>Raw_Claims_Data!G953</f>
        <v>A</v>
      </c>
      <c r="H954" t="str">
        <f>Raw_Claims_Data!H953</f>
        <v>Minor Loss</v>
      </c>
      <c r="I954" t="str">
        <f>IF(Raw_Claims_Data!I953="","None",Raw_Claims_Data!I953)</f>
        <v>Ambulance</v>
      </c>
      <c r="J954" t="str">
        <f>Raw_Claims_Data!J953</f>
        <v>Louisville</v>
      </c>
      <c r="K954" t="str">
        <f>Raw_Claims_Data!K953</f>
        <v>KY</v>
      </c>
      <c r="L954">
        <f>Raw_Claims_Data!L953</f>
        <v>9</v>
      </c>
      <c r="M954" t="str">
        <f>IF(Raw_Claims_Data!M953="","N/A",Raw_Claims_Data!M953)</f>
        <v>VNDR00549</v>
      </c>
      <c r="N954" t="str">
        <f>Raw_Claims_Data!N953</f>
        <v>AGENT00905</v>
      </c>
      <c r="O954">
        <f>IF(Raw_Claims_Data!G953="D",1,0)</f>
        <v>0</v>
      </c>
    </row>
    <row r="955" spans="1:15" x14ac:dyDescent="0.35">
      <c r="A955" t="str">
        <f>Raw_Claims_Data!A954</f>
        <v>TXN00000951</v>
      </c>
      <c r="B955" t="str">
        <f>TRIM(Raw_Claims_Data!B954)</f>
        <v>Yolanda Pipes</v>
      </c>
      <c r="C955" t="str">
        <f>Raw_Claims_Data!C954</f>
        <v>Property</v>
      </c>
      <c r="D955">
        <f>Raw_Claims_Data!D954</f>
        <v>105.7</v>
      </c>
      <c r="E955">
        <f>Raw_Claims_Data!E954</f>
        <v>21000</v>
      </c>
      <c r="F955" t="str">
        <f>Raw_Claims_Data!F954</f>
        <v>AR</v>
      </c>
      <c r="G955" t="str">
        <f>Raw_Claims_Data!G954</f>
        <v>A</v>
      </c>
      <c r="H955" t="str">
        <f>Raw_Claims_Data!H954</f>
        <v>Minor Loss</v>
      </c>
      <c r="I955" t="str">
        <f>IF(Raw_Claims_Data!I954="","None",Raw_Claims_Data!I954)</f>
        <v>Ambulance</v>
      </c>
      <c r="J955" t="str">
        <f>Raw_Claims_Data!J954</f>
        <v>Louisville</v>
      </c>
      <c r="K955" t="str">
        <f>Raw_Claims_Data!K954</f>
        <v>KY</v>
      </c>
      <c r="L955">
        <f>Raw_Claims_Data!L954</f>
        <v>22</v>
      </c>
      <c r="M955" t="str">
        <f>IF(Raw_Claims_Data!M954="","N/A",Raw_Claims_Data!M954)</f>
        <v>VNDR00541</v>
      </c>
      <c r="N955" t="str">
        <f>Raw_Claims_Data!N954</f>
        <v>AGENT00688</v>
      </c>
      <c r="O955">
        <f>IF(Raw_Claims_Data!G954="D",1,0)</f>
        <v>0</v>
      </c>
    </row>
    <row r="956" spans="1:15" x14ac:dyDescent="0.35">
      <c r="A956" t="str">
        <f>Raw_Claims_Data!A955</f>
        <v>TXN00000952</v>
      </c>
      <c r="B956" t="str">
        <f>TRIM(Raw_Claims_Data!B955)</f>
        <v>Leona Wallen</v>
      </c>
      <c r="C956" t="str">
        <f>Raw_Claims_Data!C955</f>
        <v>Property</v>
      </c>
      <c r="D956">
        <f>Raw_Claims_Data!D955</f>
        <v>135.84</v>
      </c>
      <c r="E956">
        <f>Raw_Claims_Data!E955</f>
        <v>37000</v>
      </c>
      <c r="F956" t="str">
        <f>Raw_Claims_Data!F955</f>
        <v>GA</v>
      </c>
      <c r="G956" t="str">
        <f>Raw_Claims_Data!G955</f>
        <v>D</v>
      </c>
      <c r="H956" t="str">
        <f>Raw_Claims_Data!H955</f>
        <v>Total Loss</v>
      </c>
      <c r="I956" t="str">
        <f>IF(Raw_Claims_Data!I955="","None",Raw_Claims_Data!I955)</f>
        <v>Police</v>
      </c>
      <c r="J956" t="str">
        <f>Raw_Claims_Data!J955</f>
        <v>Savannah</v>
      </c>
      <c r="K956" t="str">
        <f>Raw_Claims_Data!K955</f>
        <v>GA</v>
      </c>
      <c r="L956">
        <f>Raw_Claims_Data!L955</f>
        <v>13</v>
      </c>
      <c r="M956" t="str">
        <f>IF(Raw_Claims_Data!M955="","N/A",Raw_Claims_Data!M955)</f>
        <v>VNDR00408</v>
      </c>
      <c r="N956" t="str">
        <f>Raw_Claims_Data!N955</f>
        <v>AGENT01183</v>
      </c>
      <c r="O956">
        <f>IF(Raw_Claims_Data!G955="D",1,0)</f>
        <v>1</v>
      </c>
    </row>
    <row r="957" spans="1:15" x14ac:dyDescent="0.35">
      <c r="A957" t="str">
        <f>Raw_Claims_Data!A956</f>
        <v>TXN00000953</v>
      </c>
      <c r="B957" t="str">
        <f>TRIM(Raw_Claims_Data!B956)</f>
        <v>Janet Hess</v>
      </c>
      <c r="C957" t="str">
        <f>Raw_Claims_Data!C956</f>
        <v>Life</v>
      </c>
      <c r="D957">
        <f>Raw_Claims_Data!D956</f>
        <v>84.65</v>
      </c>
      <c r="E957">
        <f>Raw_Claims_Data!E956</f>
        <v>86000</v>
      </c>
      <c r="F957" t="str">
        <f>Raw_Claims_Data!F956</f>
        <v>CA</v>
      </c>
      <c r="G957" t="str">
        <f>Raw_Claims_Data!G956</f>
        <v>A</v>
      </c>
      <c r="H957" t="str">
        <f>Raw_Claims_Data!H956</f>
        <v>Total Loss</v>
      </c>
      <c r="I957" t="str">
        <f>IF(Raw_Claims_Data!I956="","None",Raw_Claims_Data!I956)</f>
        <v>None</v>
      </c>
      <c r="J957" t="str">
        <f>Raw_Claims_Data!J956</f>
        <v>Savannah</v>
      </c>
      <c r="K957" t="str">
        <f>Raw_Claims_Data!K956</f>
        <v>GA</v>
      </c>
      <c r="L957">
        <f>Raw_Claims_Data!L956</f>
        <v>3</v>
      </c>
      <c r="M957" t="str">
        <f>IF(Raw_Claims_Data!M956="","N/A",Raw_Claims_Data!M956)</f>
        <v>N/A</v>
      </c>
      <c r="N957" t="str">
        <f>Raw_Claims_Data!N956</f>
        <v>AGENT00046</v>
      </c>
      <c r="O957">
        <f>IF(Raw_Claims_Data!G956="D",1,0)</f>
        <v>0</v>
      </c>
    </row>
    <row r="958" spans="1:15" x14ac:dyDescent="0.35">
      <c r="A958" t="str">
        <f>Raw_Claims_Data!A957</f>
        <v>TXN00000954</v>
      </c>
      <c r="B958" t="str">
        <f>TRIM(Raw_Claims_Data!B957)</f>
        <v>Ryan Hansen</v>
      </c>
      <c r="C958" t="str">
        <f>Raw_Claims_Data!C957</f>
        <v>Mobile</v>
      </c>
      <c r="D958">
        <f>Raw_Claims_Data!D957</f>
        <v>10.89</v>
      </c>
      <c r="E958">
        <f>Raw_Claims_Data!E957</f>
        <v>600</v>
      </c>
      <c r="F958" t="str">
        <f>Raw_Claims_Data!F957</f>
        <v>KY</v>
      </c>
      <c r="G958" t="str">
        <f>Raw_Claims_Data!G957</f>
        <v>A</v>
      </c>
      <c r="H958" t="str">
        <f>Raw_Claims_Data!H957</f>
        <v>Major Loss</v>
      </c>
      <c r="I958" t="str">
        <f>IF(Raw_Claims_Data!I957="","None",Raw_Claims_Data!I957)</f>
        <v>Police</v>
      </c>
      <c r="J958" t="str">
        <f>Raw_Claims_Data!J957</f>
        <v>Anchorage</v>
      </c>
      <c r="K958" t="str">
        <f>Raw_Claims_Data!K957</f>
        <v>AK</v>
      </c>
      <c r="L958">
        <f>Raw_Claims_Data!L957</f>
        <v>11</v>
      </c>
      <c r="M958" t="str">
        <f>IF(Raw_Claims_Data!M957="","N/A",Raw_Claims_Data!M957)</f>
        <v>VNDR00058</v>
      </c>
      <c r="N958" t="str">
        <f>Raw_Claims_Data!N957</f>
        <v>AGENT00207</v>
      </c>
      <c r="O958">
        <f>IF(Raw_Claims_Data!G957="D",1,0)</f>
        <v>0</v>
      </c>
    </row>
    <row r="959" spans="1:15" x14ac:dyDescent="0.35">
      <c r="A959" t="str">
        <f>Raw_Claims_Data!A958</f>
        <v>TXN00000955</v>
      </c>
      <c r="B959" t="str">
        <f>TRIM(Raw_Claims_Data!B958)</f>
        <v>Clyde Ferris</v>
      </c>
      <c r="C959" t="str">
        <f>Raw_Claims_Data!C958</f>
        <v>Property</v>
      </c>
      <c r="D959">
        <f>Raw_Claims_Data!D958</f>
        <v>116.27</v>
      </c>
      <c r="E959">
        <f>Raw_Claims_Data!E958</f>
        <v>19000</v>
      </c>
      <c r="F959" t="str">
        <f>Raw_Claims_Data!F958</f>
        <v>KY</v>
      </c>
      <c r="G959" t="str">
        <f>Raw_Claims_Data!G958</f>
        <v>D</v>
      </c>
      <c r="H959" t="str">
        <f>Raw_Claims_Data!H958</f>
        <v>Total Loss</v>
      </c>
      <c r="I959" t="str">
        <f>IF(Raw_Claims_Data!I958="","None",Raw_Claims_Data!I958)</f>
        <v>Ambulance</v>
      </c>
      <c r="J959" t="str">
        <f>Raw_Claims_Data!J958</f>
        <v>Edmond</v>
      </c>
      <c r="K959" t="str">
        <f>Raw_Claims_Data!K958</f>
        <v>OK</v>
      </c>
      <c r="L959">
        <f>Raw_Claims_Data!L958</f>
        <v>4</v>
      </c>
      <c r="M959" t="str">
        <f>IF(Raw_Claims_Data!M958="","N/A",Raw_Claims_Data!M958)</f>
        <v>VNDR00429</v>
      </c>
      <c r="N959" t="str">
        <f>Raw_Claims_Data!N958</f>
        <v>AGENT00752</v>
      </c>
      <c r="O959">
        <f>IF(Raw_Claims_Data!G958="D",1,0)</f>
        <v>1</v>
      </c>
    </row>
    <row r="960" spans="1:15" x14ac:dyDescent="0.35">
      <c r="A960" t="str">
        <f>Raw_Claims_Data!A959</f>
        <v>TXN00000956</v>
      </c>
      <c r="B960" t="str">
        <f>TRIM(Raw_Claims_Data!B959)</f>
        <v>Shirley Wood</v>
      </c>
      <c r="C960" t="str">
        <f>Raw_Claims_Data!C959</f>
        <v>Motor</v>
      </c>
      <c r="D960">
        <f>Raw_Claims_Data!D959</f>
        <v>91.32</v>
      </c>
      <c r="E960">
        <f>Raw_Claims_Data!E959</f>
        <v>8000</v>
      </c>
      <c r="F960" t="str">
        <f>Raw_Claims_Data!F959</f>
        <v>VT</v>
      </c>
      <c r="G960" t="str">
        <f>Raw_Claims_Data!G959</f>
        <v>A</v>
      </c>
      <c r="H960" t="str">
        <f>Raw_Claims_Data!H959</f>
        <v>Total Loss</v>
      </c>
      <c r="I960" t="str">
        <f>IF(Raw_Claims_Data!I959="","None",Raw_Claims_Data!I959)</f>
        <v>Ambulance</v>
      </c>
      <c r="J960" t="str">
        <f>Raw_Claims_Data!J959</f>
        <v>Milford</v>
      </c>
      <c r="K960" t="str">
        <f>Raw_Claims_Data!K959</f>
        <v>MA</v>
      </c>
      <c r="L960">
        <f>Raw_Claims_Data!L959</f>
        <v>23</v>
      </c>
      <c r="M960" t="str">
        <f>IF(Raw_Claims_Data!M959="","N/A",Raw_Claims_Data!M959)</f>
        <v>VNDR00508</v>
      </c>
      <c r="N960" t="str">
        <f>Raw_Claims_Data!N959</f>
        <v>AGENT00470</v>
      </c>
      <c r="O960">
        <f>IF(Raw_Claims_Data!G959="D",1,0)</f>
        <v>0</v>
      </c>
    </row>
    <row r="961" spans="1:15" x14ac:dyDescent="0.35">
      <c r="A961" t="str">
        <f>Raw_Claims_Data!A960</f>
        <v>TXN00000957</v>
      </c>
      <c r="B961" t="str">
        <f>TRIM(Raw_Claims_Data!B960)</f>
        <v>Frank Valerius</v>
      </c>
      <c r="C961" t="str">
        <f>Raw_Claims_Data!C960</f>
        <v>Motor</v>
      </c>
      <c r="D961">
        <f>Raw_Claims_Data!D960</f>
        <v>81.83</v>
      </c>
      <c r="E961">
        <f>Raw_Claims_Data!E960</f>
        <v>2000</v>
      </c>
      <c r="F961" t="str">
        <f>Raw_Claims_Data!F960</f>
        <v>OK</v>
      </c>
      <c r="G961" t="str">
        <f>Raw_Claims_Data!G960</f>
        <v>A</v>
      </c>
      <c r="H961" t="str">
        <f>Raw_Claims_Data!H960</f>
        <v>Minor Loss</v>
      </c>
      <c r="I961" t="str">
        <f>IF(Raw_Claims_Data!I960="","None",Raw_Claims_Data!I960)</f>
        <v>Other</v>
      </c>
      <c r="J961" t="str">
        <f>Raw_Claims_Data!J960</f>
        <v>O'Neals</v>
      </c>
      <c r="K961" t="str">
        <f>Raw_Claims_Data!K960</f>
        <v>CA</v>
      </c>
      <c r="L961">
        <f>Raw_Claims_Data!L960</f>
        <v>1</v>
      </c>
      <c r="M961" t="str">
        <f>IF(Raw_Claims_Data!M960="","N/A",Raw_Claims_Data!M960)</f>
        <v>N/A</v>
      </c>
      <c r="N961" t="str">
        <f>Raw_Claims_Data!N960</f>
        <v>AGENT00150</v>
      </c>
      <c r="O961">
        <f>IF(Raw_Claims_Data!G960="D",1,0)</f>
        <v>0</v>
      </c>
    </row>
    <row r="962" spans="1:15" x14ac:dyDescent="0.35">
      <c r="A962" t="str">
        <f>Raw_Claims_Data!A961</f>
        <v>TXN00000958</v>
      </c>
      <c r="B962" t="str">
        <f>TRIM(Raw_Claims_Data!B961)</f>
        <v>Wanda Melton</v>
      </c>
      <c r="C962" t="str">
        <f>Raw_Claims_Data!C961</f>
        <v>Health</v>
      </c>
      <c r="D962">
        <f>Raw_Claims_Data!D961</f>
        <v>134.51</v>
      </c>
      <c r="E962">
        <f>Raw_Claims_Data!E961</f>
        <v>19000</v>
      </c>
      <c r="F962" t="str">
        <f>Raw_Claims_Data!F961</f>
        <v>CA</v>
      </c>
      <c r="G962" t="str">
        <f>Raw_Claims_Data!G961</f>
        <v>A</v>
      </c>
      <c r="H962" t="str">
        <f>Raw_Claims_Data!H961</f>
        <v>Minor Loss</v>
      </c>
      <c r="I962" t="str">
        <f>IF(Raw_Claims_Data!I961="","None",Raw_Claims_Data!I961)</f>
        <v>Ambulance</v>
      </c>
      <c r="J962" t="str">
        <f>Raw_Claims_Data!J961</f>
        <v>Nashville</v>
      </c>
      <c r="K962" t="str">
        <f>Raw_Claims_Data!K961</f>
        <v>TN</v>
      </c>
      <c r="L962">
        <f>Raw_Claims_Data!L961</f>
        <v>2</v>
      </c>
      <c r="M962" t="str">
        <f>IF(Raw_Claims_Data!M961="","N/A",Raw_Claims_Data!M961)</f>
        <v>VNDR00161</v>
      </c>
      <c r="N962" t="str">
        <f>Raw_Claims_Data!N961</f>
        <v>AGENT00951</v>
      </c>
      <c r="O962">
        <f>IF(Raw_Claims_Data!G961="D",1,0)</f>
        <v>0</v>
      </c>
    </row>
    <row r="963" spans="1:15" x14ac:dyDescent="0.35">
      <c r="A963" t="str">
        <f>Raw_Claims_Data!A962</f>
        <v>TXN00000959</v>
      </c>
      <c r="B963" t="str">
        <f>TRIM(Raw_Claims_Data!B962)</f>
        <v>Jasmine Quarnstrom</v>
      </c>
      <c r="C963" t="str">
        <f>Raw_Claims_Data!C962</f>
        <v>Health</v>
      </c>
      <c r="D963">
        <f>Raw_Claims_Data!D962</f>
        <v>117.27</v>
      </c>
      <c r="E963">
        <f>Raw_Claims_Data!E962</f>
        <v>18000</v>
      </c>
      <c r="F963" t="str">
        <f>Raw_Claims_Data!F962</f>
        <v>AR</v>
      </c>
      <c r="G963" t="str">
        <f>Raw_Claims_Data!G962</f>
        <v>A</v>
      </c>
      <c r="H963" t="str">
        <f>Raw_Claims_Data!H962</f>
        <v>Total Loss</v>
      </c>
      <c r="I963" t="str">
        <f>IF(Raw_Claims_Data!I962="","None",Raw_Claims_Data!I962)</f>
        <v>Ambulance</v>
      </c>
      <c r="J963" t="str">
        <f>Raw_Claims_Data!J962</f>
        <v>Nashville</v>
      </c>
      <c r="K963" t="str">
        <f>Raw_Claims_Data!K962</f>
        <v>TN</v>
      </c>
      <c r="L963">
        <f>Raw_Claims_Data!L962</f>
        <v>17</v>
      </c>
      <c r="M963" t="str">
        <f>IF(Raw_Claims_Data!M962="","N/A",Raw_Claims_Data!M962)</f>
        <v>VNDR00244</v>
      </c>
      <c r="N963" t="str">
        <f>Raw_Claims_Data!N962</f>
        <v>AGENT00520</v>
      </c>
      <c r="O963">
        <f>IF(Raw_Claims_Data!G962="D",1,0)</f>
        <v>0</v>
      </c>
    </row>
    <row r="964" spans="1:15" x14ac:dyDescent="0.35">
      <c r="A964" t="str">
        <f>Raw_Claims_Data!A963</f>
        <v>TXN00000960</v>
      </c>
      <c r="B964" t="str">
        <f>TRIM(Raw_Claims_Data!B963)</f>
        <v>Barbara Levin</v>
      </c>
      <c r="C964" t="str">
        <f>Raw_Claims_Data!C963</f>
        <v>Health</v>
      </c>
      <c r="D964">
        <f>Raw_Claims_Data!D963</f>
        <v>120.29</v>
      </c>
      <c r="E964">
        <f>Raw_Claims_Data!E963</f>
        <v>16000</v>
      </c>
      <c r="F964" t="str">
        <f>Raw_Claims_Data!F963</f>
        <v>MA</v>
      </c>
      <c r="G964" t="str">
        <f>Raw_Claims_Data!G963</f>
        <v>A</v>
      </c>
      <c r="H964" t="str">
        <f>Raw_Claims_Data!H963</f>
        <v>Minor Loss</v>
      </c>
      <c r="I964" t="str">
        <f>IF(Raw_Claims_Data!I963="","None",Raw_Claims_Data!I963)</f>
        <v>None</v>
      </c>
      <c r="J964" t="str">
        <f>Raw_Claims_Data!J963</f>
        <v>Truckee</v>
      </c>
      <c r="K964" t="str">
        <f>Raw_Claims_Data!K963</f>
        <v>CA</v>
      </c>
      <c r="L964">
        <f>Raw_Claims_Data!L963</f>
        <v>16</v>
      </c>
      <c r="M964" t="str">
        <f>IF(Raw_Claims_Data!M963="","N/A",Raw_Claims_Data!M963)</f>
        <v>VNDR00012</v>
      </c>
      <c r="N964" t="str">
        <f>Raw_Claims_Data!N963</f>
        <v>AGENT01198</v>
      </c>
      <c r="O964">
        <f>IF(Raw_Claims_Data!G963="D",1,0)</f>
        <v>0</v>
      </c>
    </row>
    <row r="965" spans="1:15" x14ac:dyDescent="0.35">
      <c r="A965" t="str">
        <f>Raw_Claims_Data!A964</f>
        <v>TXN00000961</v>
      </c>
      <c r="B965" t="str">
        <f>TRIM(Raw_Claims_Data!B964)</f>
        <v>Charles Day</v>
      </c>
      <c r="C965" t="str">
        <f>Raw_Claims_Data!C964</f>
        <v>Motor</v>
      </c>
      <c r="D965">
        <f>Raw_Claims_Data!D964</f>
        <v>100.93</v>
      </c>
      <c r="E965">
        <f>Raw_Claims_Data!E964</f>
        <v>3000</v>
      </c>
      <c r="F965" t="str">
        <f>Raw_Claims_Data!F964</f>
        <v>VT</v>
      </c>
      <c r="G965" t="str">
        <f>Raw_Claims_Data!G964</f>
        <v>A</v>
      </c>
      <c r="H965" t="str">
        <f>Raw_Claims_Data!H964</f>
        <v>Major Loss</v>
      </c>
      <c r="I965" t="str">
        <f>IF(Raw_Claims_Data!I964="","None",Raw_Claims_Data!I964)</f>
        <v>Police</v>
      </c>
      <c r="J965" t="str">
        <f>Raw_Claims_Data!J964</f>
        <v>Manchester</v>
      </c>
      <c r="K965" t="str">
        <f>Raw_Claims_Data!K964</f>
        <v>CT</v>
      </c>
      <c r="L965">
        <f>Raw_Claims_Data!L964</f>
        <v>18</v>
      </c>
      <c r="M965" t="str">
        <f>IF(Raw_Claims_Data!M964="","N/A",Raw_Claims_Data!M964)</f>
        <v>N/A</v>
      </c>
      <c r="N965" t="str">
        <f>Raw_Claims_Data!N964</f>
        <v>AGENT01080</v>
      </c>
      <c r="O965">
        <f>IF(Raw_Claims_Data!G964="D",1,0)</f>
        <v>0</v>
      </c>
    </row>
    <row r="966" spans="1:15" x14ac:dyDescent="0.35">
      <c r="A966" t="str">
        <f>Raw_Claims_Data!A965</f>
        <v>TXN00000962</v>
      </c>
      <c r="B966" t="str">
        <f>TRIM(Raw_Claims_Data!B965)</f>
        <v>Donald Jasso</v>
      </c>
      <c r="C966" t="str">
        <f>Raw_Claims_Data!C965</f>
        <v>Health</v>
      </c>
      <c r="D966">
        <f>Raw_Claims_Data!D965</f>
        <v>140.83000000000001</v>
      </c>
      <c r="E966">
        <f>Raw_Claims_Data!E965</f>
        <v>5000</v>
      </c>
      <c r="F966" t="str">
        <f>Raw_Claims_Data!F965</f>
        <v>TN</v>
      </c>
      <c r="G966" t="str">
        <f>Raw_Claims_Data!G965</f>
        <v>A</v>
      </c>
      <c r="H966" t="str">
        <f>Raw_Claims_Data!H965</f>
        <v>Total Loss</v>
      </c>
      <c r="I966" t="str">
        <f>IF(Raw_Claims_Data!I965="","None",Raw_Claims_Data!I965)</f>
        <v>Other</v>
      </c>
      <c r="J966" t="str">
        <f>Raw_Claims_Data!J965</f>
        <v>Fitchburg</v>
      </c>
      <c r="K966" t="str">
        <f>Raw_Claims_Data!K965</f>
        <v>MA</v>
      </c>
      <c r="L966">
        <f>Raw_Claims_Data!L965</f>
        <v>6</v>
      </c>
      <c r="M966" t="str">
        <f>IF(Raw_Claims_Data!M965="","N/A",Raw_Claims_Data!M965)</f>
        <v>N/A</v>
      </c>
      <c r="N966" t="str">
        <f>Raw_Claims_Data!N965</f>
        <v>AGENT00703</v>
      </c>
      <c r="O966">
        <f>IF(Raw_Claims_Data!G965="D",1,0)</f>
        <v>0</v>
      </c>
    </row>
    <row r="967" spans="1:15" x14ac:dyDescent="0.35">
      <c r="A967" t="str">
        <f>Raw_Claims_Data!A966</f>
        <v>TXN00000963</v>
      </c>
      <c r="B967" t="str">
        <f>TRIM(Raw_Claims_Data!B966)</f>
        <v>Hortense Parker</v>
      </c>
      <c r="C967" t="str">
        <f>Raw_Claims_Data!C966</f>
        <v>Property</v>
      </c>
      <c r="D967">
        <f>Raw_Claims_Data!D966</f>
        <v>83.28</v>
      </c>
      <c r="E967">
        <f>Raw_Claims_Data!E966</f>
        <v>37000</v>
      </c>
      <c r="F967" t="str">
        <f>Raw_Claims_Data!F966</f>
        <v>MD</v>
      </c>
      <c r="G967" t="str">
        <f>Raw_Claims_Data!G966</f>
        <v>A</v>
      </c>
      <c r="H967" t="str">
        <f>Raw_Claims_Data!H966</f>
        <v>Major Loss</v>
      </c>
      <c r="I967" t="str">
        <f>IF(Raw_Claims_Data!I966="","None",Raw_Claims_Data!I966)</f>
        <v>None</v>
      </c>
      <c r="J967" t="str">
        <f>Raw_Claims_Data!J966</f>
        <v>Colchester</v>
      </c>
      <c r="K967" t="str">
        <f>Raw_Claims_Data!K966</f>
        <v>VT</v>
      </c>
      <c r="L967">
        <f>Raw_Claims_Data!L966</f>
        <v>8</v>
      </c>
      <c r="M967" t="str">
        <f>IF(Raw_Claims_Data!M966="","N/A",Raw_Claims_Data!M966)</f>
        <v>N/A</v>
      </c>
      <c r="N967" t="str">
        <f>Raw_Claims_Data!N966</f>
        <v>AGENT01122</v>
      </c>
      <c r="O967">
        <f>IF(Raw_Claims_Data!G966="D",1,0)</f>
        <v>0</v>
      </c>
    </row>
    <row r="968" spans="1:15" x14ac:dyDescent="0.35">
      <c r="A968" t="str">
        <f>Raw_Claims_Data!A967</f>
        <v>TXN00000964</v>
      </c>
      <c r="B968" t="str">
        <f>TRIM(Raw_Claims_Data!B967)</f>
        <v>Rachel Olson</v>
      </c>
      <c r="C968" t="str">
        <f>Raw_Claims_Data!C967</f>
        <v>Mobile</v>
      </c>
      <c r="D968">
        <f>Raw_Claims_Data!D967</f>
        <v>6.24</v>
      </c>
      <c r="E968">
        <f>Raw_Claims_Data!E967</f>
        <v>700</v>
      </c>
      <c r="F968" t="str">
        <f>Raw_Claims_Data!F967</f>
        <v>VT</v>
      </c>
      <c r="G968" t="str">
        <f>Raw_Claims_Data!G967</f>
        <v>A</v>
      </c>
      <c r="H968" t="str">
        <f>Raw_Claims_Data!H967</f>
        <v>Total Loss</v>
      </c>
      <c r="I968" t="str">
        <f>IF(Raw_Claims_Data!I967="","None",Raw_Claims_Data!I967)</f>
        <v>Police</v>
      </c>
      <c r="J968" t="str">
        <f>Raw_Claims_Data!J967</f>
        <v>Montgomery</v>
      </c>
      <c r="K968" t="str">
        <f>Raw_Claims_Data!K967</f>
        <v>AL</v>
      </c>
      <c r="L968">
        <f>Raw_Claims_Data!L967</f>
        <v>17</v>
      </c>
      <c r="M968" t="str">
        <f>IF(Raw_Claims_Data!M967="","N/A",Raw_Claims_Data!M967)</f>
        <v>VNDR00477</v>
      </c>
      <c r="N968" t="str">
        <f>Raw_Claims_Data!N967</f>
        <v>AGENT00386</v>
      </c>
      <c r="O968">
        <f>IF(Raw_Claims_Data!G967="D",1,0)</f>
        <v>0</v>
      </c>
    </row>
    <row r="969" spans="1:15" x14ac:dyDescent="0.35">
      <c r="A969" t="str">
        <f>Raw_Claims_Data!A968</f>
        <v>TXN00000965</v>
      </c>
      <c r="B969" t="str">
        <f>TRIM(Raw_Claims_Data!B968)</f>
        <v>Charlene Steppig</v>
      </c>
      <c r="C969" t="str">
        <f>Raw_Claims_Data!C968</f>
        <v>Property</v>
      </c>
      <c r="D969">
        <f>Raw_Claims_Data!D968</f>
        <v>134.13</v>
      </c>
      <c r="E969">
        <f>Raw_Claims_Data!E968</f>
        <v>11000</v>
      </c>
      <c r="F969" t="str">
        <f>Raw_Claims_Data!F968</f>
        <v>CO</v>
      </c>
      <c r="G969" t="str">
        <f>Raw_Claims_Data!G968</f>
        <v>A</v>
      </c>
      <c r="H969" t="str">
        <f>Raw_Claims_Data!H968</f>
        <v>Total Loss</v>
      </c>
      <c r="I969" t="str">
        <f>IF(Raw_Claims_Data!I968="","None",Raw_Claims_Data!I968)</f>
        <v>Police</v>
      </c>
      <c r="J969" t="str">
        <f>Raw_Claims_Data!J968</f>
        <v>Glendale</v>
      </c>
      <c r="K969" t="str">
        <f>Raw_Claims_Data!K968</f>
        <v>AZ</v>
      </c>
      <c r="L969">
        <f>Raw_Claims_Data!L968</f>
        <v>5</v>
      </c>
      <c r="M969" t="str">
        <f>IF(Raw_Claims_Data!M968="","N/A",Raw_Claims_Data!M968)</f>
        <v>VNDR00107</v>
      </c>
      <c r="N969" t="str">
        <f>Raw_Claims_Data!N968</f>
        <v>AGENT00753</v>
      </c>
      <c r="O969">
        <f>IF(Raw_Claims_Data!G968="D",1,0)</f>
        <v>0</v>
      </c>
    </row>
    <row r="970" spans="1:15" x14ac:dyDescent="0.35">
      <c r="A970" t="str">
        <f>Raw_Claims_Data!A969</f>
        <v>TXN00000966</v>
      </c>
      <c r="B970" t="str">
        <f>TRIM(Raw_Claims_Data!B969)</f>
        <v>Clarence Kohn</v>
      </c>
      <c r="C970" t="str">
        <f>Raw_Claims_Data!C969</f>
        <v>Motor</v>
      </c>
      <c r="D970">
        <f>Raw_Claims_Data!D969</f>
        <v>105.1</v>
      </c>
      <c r="E970">
        <f>Raw_Claims_Data!E969</f>
        <v>6000</v>
      </c>
      <c r="F970" t="str">
        <f>Raw_Claims_Data!F969</f>
        <v>CA</v>
      </c>
      <c r="G970" t="str">
        <f>Raw_Claims_Data!G969</f>
        <v>A</v>
      </c>
      <c r="H970" t="str">
        <f>Raw_Claims_Data!H969</f>
        <v>Major Loss</v>
      </c>
      <c r="I970" t="str">
        <f>IF(Raw_Claims_Data!I969="","None",Raw_Claims_Data!I969)</f>
        <v>Ambulance</v>
      </c>
      <c r="J970" t="str">
        <f>Raw_Claims_Data!J969</f>
        <v>Louisville</v>
      </c>
      <c r="K970" t="str">
        <f>Raw_Claims_Data!K969</f>
        <v>KY</v>
      </c>
      <c r="L970">
        <f>Raw_Claims_Data!L969</f>
        <v>0</v>
      </c>
      <c r="M970" t="str">
        <f>IF(Raw_Claims_Data!M969="","N/A",Raw_Claims_Data!M969)</f>
        <v>N/A</v>
      </c>
      <c r="N970" t="str">
        <f>Raw_Claims_Data!N969</f>
        <v>AGENT00610</v>
      </c>
      <c r="O970">
        <f>IF(Raw_Claims_Data!G969="D",1,0)</f>
        <v>0</v>
      </c>
    </row>
    <row r="971" spans="1:15" x14ac:dyDescent="0.35">
      <c r="A971" t="str">
        <f>Raw_Claims_Data!A970</f>
        <v>TXN00000967</v>
      </c>
      <c r="B971" t="str">
        <f>TRIM(Raw_Claims_Data!B970)</f>
        <v>Erma Martin</v>
      </c>
      <c r="C971" t="str">
        <f>Raw_Claims_Data!C970</f>
        <v>Mobile</v>
      </c>
      <c r="D971">
        <f>Raw_Claims_Data!D970</f>
        <v>10.130000000000001</v>
      </c>
      <c r="E971">
        <f>Raw_Claims_Data!E970</f>
        <v>300</v>
      </c>
      <c r="F971" t="str">
        <f>Raw_Claims_Data!F970</f>
        <v>CA</v>
      </c>
      <c r="G971" t="str">
        <f>Raw_Claims_Data!G970</f>
        <v>A</v>
      </c>
      <c r="H971" t="str">
        <f>Raw_Claims_Data!H970</f>
        <v>Major Loss</v>
      </c>
      <c r="I971" t="str">
        <f>IF(Raw_Claims_Data!I970="","None",Raw_Claims_Data!I970)</f>
        <v>Ambulance</v>
      </c>
      <c r="J971" t="str">
        <f>Raw_Claims_Data!J970</f>
        <v>Louisville</v>
      </c>
      <c r="K971" t="str">
        <f>Raw_Claims_Data!K970</f>
        <v>KY</v>
      </c>
      <c r="L971">
        <f>Raw_Claims_Data!L970</f>
        <v>8</v>
      </c>
      <c r="M971" t="str">
        <f>IF(Raw_Claims_Data!M970="","N/A",Raw_Claims_Data!M970)</f>
        <v>VNDR00318</v>
      </c>
      <c r="N971" t="str">
        <f>Raw_Claims_Data!N970</f>
        <v>AGENT00539</v>
      </c>
      <c r="O971">
        <f>IF(Raw_Claims_Data!G970="D",1,0)</f>
        <v>0</v>
      </c>
    </row>
    <row r="972" spans="1:15" x14ac:dyDescent="0.35">
      <c r="A972" t="str">
        <f>Raw_Claims_Data!A971</f>
        <v>TXN00000968</v>
      </c>
      <c r="B972" t="str">
        <f>TRIM(Raw_Claims_Data!B971)</f>
        <v>Lawrence Sherry</v>
      </c>
      <c r="C972" t="str">
        <f>Raw_Claims_Data!C971</f>
        <v>Mobile</v>
      </c>
      <c r="D972">
        <f>Raw_Claims_Data!D971</f>
        <v>8.24</v>
      </c>
      <c r="E972">
        <f>Raw_Claims_Data!E971</f>
        <v>100</v>
      </c>
      <c r="F972" t="str">
        <f>Raw_Claims_Data!F971</f>
        <v>MD</v>
      </c>
      <c r="G972" t="str">
        <f>Raw_Claims_Data!G971</f>
        <v>A</v>
      </c>
      <c r="H972" t="str">
        <f>Raw_Claims_Data!H971</f>
        <v>Major Loss</v>
      </c>
      <c r="I972" t="str">
        <f>IF(Raw_Claims_Data!I971="","None",Raw_Claims_Data!I971)</f>
        <v>Ambulance</v>
      </c>
      <c r="J972" t="str">
        <f>Raw_Claims_Data!J971</f>
        <v>Hayward</v>
      </c>
      <c r="K972" t="str">
        <f>Raw_Claims_Data!K971</f>
        <v>CA</v>
      </c>
      <c r="L972">
        <f>Raw_Claims_Data!L971</f>
        <v>4</v>
      </c>
      <c r="M972" t="str">
        <f>IF(Raw_Claims_Data!M971="","N/A",Raw_Claims_Data!M971)</f>
        <v>VNDR00002</v>
      </c>
      <c r="N972" t="str">
        <f>Raw_Claims_Data!N971</f>
        <v>AGENT00409</v>
      </c>
      <c r="O972">
        <f>IF(Raw_Claims_Data!G971="D",1,0)</f>
        <v>0</v>
      </c>
    </row>
    <row r="973" spans="1:15" x14ac:dyDescent="0.35">
      <c r="A973" t="str">
        <f>Raw_Claims_Data!A972</f>
        <v>TXN00000969</v>
      </c>
      <c r="B973" t="str">
        <f>TRIM(Raw_Claims_Data!B972)</f>
        <v>Dennis Sanchez</v>
      </c>
      <c r="C973" t="str">
        <f>Raw_Claims_Data!C972</f>
        <v>Mobile</v>
      </c>
      <c r="D973">
        <f>Raw_Claims_Data!D972</f>
        <v>10.18</v>
      </c>
      <c r="E973">
        <f>Raw_Claims_Data!E972</f>
        <v>300</v>
      </c>
      <c r="F973" t="str">
        <f>Raw_Claims_Data!F972</f>
        <v>CO</v>
      </c>
      <c r="G973" t="str">
        <f>Raw_Claims_Data!G972</f>
        <v>A</v>
      </c>
      <c r="H973" t="str">
        <f>Raw_Claims_Data!H972</f>
        <v>Major Loss</v>
      </c>
      <c r="I973" t="str">
        <f>IF(Raw_Claims_Data!I972="","None",Raw_Claims_Data!I972)</f>
        <v>Ambulance</v>
      </c>
      <c r="J973" t="str">
        <f>Raw_Claims_Data!J972</f>
        <v>Anchorage</v>
      </c>
      <c r="K973" t="str">
        <f>Raw_Claims_Data!K972</f>
        <v>AK</v>
      </c>
      <c r="L973">
        <f>Raw_Claims_Data!L972</f>
        <v>0</v>
      </c>
      <c r="M973" t="str">
        <f>IF(Raw_Claims_Data!M972="","N/A",Raw_Claims_Data!M972)</f>
        <v>VNDR00113</v>
      </c>
      <c r="N973" t="str">
        <f>Raw_Claims_Data!N972</f>
        <v>AGENT00733</v>
      </c>
      <c r="O973">
        <f>IF(Raw_Claims_Data!G972="D",1,0)</f>
        <v>0</v>
      </c>
    </row>
    <row r="974" spans="1:15" x14ac:dyDescent="0.35">
      <c r="A974" t="str">
        <f>Raw_Claims_Data!A973</f>
        <v>TXN00000970</v>
      </c>
      <c r="B974" t="str">
        <f>TRIM(Raw_Claims_Data!B973)</f>
        <v>Kerry Spicer</v>
      </c>
      <c r="C974" t="str">
        <f>Raw_Claims_Data!C973</f>
        <v>Health</v>
      </c>
      <c r="D974">
        <f>Raw_Claims_Data!D973</f>
        <v>134.49</v>
      </c>
      <c r="E974">
        <f>Raw_Claims_Data!E973</f>
        <v>5000</v>
      </c>
      <c r="F974" t="str">
        <f>Raw_Claims_Data!F973</f>
        <v>OK</v>
      </c>
      <c r="G974" t="str">
        <f>Raw_Claims_Data!G973</f>
        <v>A</v>
      </c>
      <c r="H974" t="str">
        <f>Raw_Claims_Data!H973</f>
        <v>Major Loss</v>
      </c>
      <c r="I974" t="str">
        <f>IF(Raw_Claims_Data!I973="","None",Raw_Claims_Data!I973)</f>
        <v>Ambulance</v>
      </c>
      <c r="J974" t="str">
        <f>Raw_Claims_Data!J973</f>
        <v>Fayetteville</v>
      </c>
      <c r="K974" t="str">
        <f>Raw_Claims_Data!K973</f>
        <v>AR</v>
      </c>
      <c r="L974">
        <f>Raw_Claims_Data!L973</f>
        <v>7</v>
      </c>
      <c r="M974" t="str">
        <f>IF(Raw_Claims_Data!M973="","N/A",Raw_Claims_Data!M973)</f>
        <v>N/A</v>
      </c>
      <c r="N974" t="str">
        <f>Raw_Claims_Data!N973</f>
        <v>AGENT00165</v>
      </c>
      <c r="O974">
        <f>IF(Raw_Claims_Data!G973="D",1,0)</f>
        <v>0</v>
      </c>
    </row>
    <row r="975" spans="1:15" x14ac:dyDescent="0.35">
      <c r="A975" t="str">
        <f>Raw_Claims_Data!A974</f>
        <v>TXN00000971</v>
      </c>
      <c r="B975" t="str">
        <f>TRIM(Raw_Claims_Data!B974)</f>
        <v>Dorothy King</v>
      </c>
      <c r="C975" t="str">
        <f>Raw_Claims_Data!C974</f>
        <v>Health</v>
      </c>
      <c r="D975">
        <f>Raw_Claims_Data!D974</f>
        <v>110.98</v>
      </c>
      <c r="E975">
        <f>Raw_Claims_Data!E974</f>
        <v>13000</v>
      </c>
      <c r="F975" t="str">
        <f>Raw_Claims_Data!F974</f>
        <v>AR</v>
      </c>
      <c r="G975" t="str">
        <f>Raw_Claims_Data!G974</f>
        <v>A</v>
      </c>
      <c r="H975" t="str">
        <f>Raw_Claims_Data!H974</f>
        <v>Major Loss</v>
      </c>
      <c r="I975" t="str">
        <f>IF(Raw_Claims_Data!I974="","None",Raw_Claims_Data!I974)</f>
        <v>Ambulance</v>
      </c>
      <c r="J975" t="str">
        <f>Raw_Claims_Data!J974</f>
        <v>Nashville</v>
      </c>
      <c r="K975" t="str">
        <f>Raw_Claims_Data!K974</f>
        <v>TN</v>
      </c>
      <c r="L975">
        <f>Raw_Claims_Data!L974</f>
        <v>13</v>
      </c>
      <c r="M975" t="str">
        <f>IF(Raw_Claims_Data!M974="","N/A",Raw_Claims_Data!M974)</f>
        <v>N/A</v>
      </c>
      <c r="N975" t="str">
        <f>Raw_Claims_Data!N974</f>
        <v>AGENT00743</v>
      </c>
      <c r="O975">
        <f>IF(Raw_Claims_Data!G974="D",1,0)</f>
        <v>0</v>
      </c>
    </row>
    <row r="976" spans="1:15" x14ac:dyDescent="0.35">
      <c r="A976" t="str">
        <f>Raw_Claims_Data!A975</f>
        <v>TXN00000972</v>
      </c>
      <c r="B976" t="str">
        <f>TRIM(Raw_Claims_Data!B975)</f>
        <v>Candy Kym</v>
      </c>
      <c r="C976" t="str">
        <f>Raw_Claims_Data!C975</f>
        <v>Property</v>
      </c>
      <c r="D976">
        <f>Raw_Claims_Data!D975</f>
        <v>82.25</v>
      </c>
      <c r="E976">
        <f>Raw_Claims_Data!E975</f>
        <v>23000</v>
      </c>
      <c r="F976" t="str">
        <f>Raw_Claims_Data!F975</f>
        <v>MD</v>
      </c>
      <c r="G976" t="str">
        <f>Raw_Claims_Data!G975</f>
        <v>A</v>
      </c>
      <c r="H976" t="str">
        <f>Raw_Claims_Data!H975</f>
        <v>Total Loss</v>
      </c>
      <c r="I976" t="str">
        <f>IF(Raw_Claims_Data!I975="","None",Raw_Claims_Data!I975)</f>
        <v>Ambulance</v>
      </c>
      <c r="J976" t="str">
        <f>Raw_Claims_Data!J975</f>
        <v>Oklahoma City</v>
      </c>
      <c r="K976" t="str">
        <f>Raw_Claims_Data!K975</f>
        <v>OK</v>
      </c>
      <c r="L976">
        <f>Raw_Claims_Data!L975</f>
        <v>22</v>
      </c>
      <c r="M976" t="str">
        <f>IF(Raw_Claims_Data!M975="","N/A",Raw_Claims_Data!M975)</f>
        <v>N/A</v>
      </c>
      <c r="N976" t="str">
        <f>Raw_Claims_Data!N975</f>
        <v>AGENT01089</v>
      </c>
      <c r="O976">
        <f>IF(Raw_Claims_Data!G975="D",1,0)</f>
        <v>0</v>
      </c>
    </row>
    <row r="977" spans="1:15" x14ac:dyDescent="0.35">
      <c r="A977" t="str">
        <f>Raw_Claims_Data!A976</f>
        <v>TXN00000973</v>
      </c>
      <c r="B977" t="str">
        <f>TRIM(Raw_Claims_Data!B976)</f>
        <v>Obdulia Hart</v>
      </c>
      <c r="C977" t="str">
        <f>Raw_Claims_Data!C976</f>
        <v>Mobile</v>
      </c>
      <c r="D977">
        <f>Raw_Claims_Data!D976</f>
        <v>10.14</v>
      </c>
      <c r="E977">
        <f>Raw_Claims_Data!E976</f>
        <v>300</v>
      </c>
      <c r="F977" t="str">
        <f>Raw_Claims_Data!F976</f>
        <v>AK</v>
      </c>
      <c r="G977" t="str">
        <f>Raw_Claims_Data!G976</f>
        <v>D</v>
      </c>
      <c r="H977" t="str">
        <f>Raw_Claims_Data!H976</f>
        <v>Major Loss</v>
      </c>
      <c r="I977" t="str">
        <f>IF(Raw_Claims_Data!I976="","None",Raw_Claims_Data!I976)</f>
        <v>Police</v>
      </c>
      <c r="J977" t="str">
        <f>Raw_Claims_Data!J976</f>
        <v>Washington</v>
      </c>
      <c r="K977" t="str">
        <f>Raw_Claims_Data!K976</f>
        <v>DC</v>
      </c>
      <c r="L977">
        <f>Raw_Claims_Data!L976</f>
        <v>3</v>
      </c>
      <c r="M977" t="str">
        <f>IF(Raw_Claims_Data!M976="","N/A",Raw_Claims_Data!M976)</f>
        <v>VNDR00221</v>
      </c>
      <c r="N977" t="str">
        <f>Raw_Claims_Data!N976</f>
        <v>AGENT00666</v>
      </c>
      <c r="O977">
        <f>IF(Raw_Claims_Data!G976="D",1,0)</f>
        <v>1</v>
      </c>
    </row>
    <row r="978" spans="1:15" x14ac:dyDescent="0.35">
      <c r="A978" t="str">
        <f>Raw_Claims_Data!A977</f>
        <v>TXN00000974</v>
      </c>
      <c r="B978" t="str">
        <f>TRIM(Raw_Claims_Data!B977)</f>
        <v>Kathleen Ogle</v>
      </c>
      <c r="C978" t="str">
        <f>Raw_Claims_Data!C977</f>
        <v>Mobile</v>
      </c>
      <c r="D978">
        <f>Raw_Claims_Data!D977</f>
        <v>9.08</v>
      </c>
      <c r="E978">
        <f>Raw_Claims_Data!E977</f>
        <v>400</v>
      </c>
      <c r="F978" t="str">
        <f>Raw_Claims_Data!F977</f>
        <v>GA</v>
      </c>
      <c r="G978" t="str">
        <f>Raw_Claims_Data!G977</f>
        <v>A</v>
      </c>
      <c r="H978" t="str">
        <f>Raw_Claims_Data!H977</f>
        <v>Major Loss</v>
      </c>
      <c r="I978" t="str">
        <f>IF(Raw_Claims_Data!I977="","None",Raw_Claims_Data!I977)</f>
        <v>Police</v>
      </c>
      <c r="J978" t="str">
        <f>Raw_Claims_Data!J977</f>
        <v>Oklahoma City</v>
      </c>
      <c r="K978" t="str">
        <f>Raw_Claims_Data!K977</f>
        <v>OK</v>
      </c>
      <c r="L978">
        <f>Raw_Claims_Data!L977</f>
        <v>21</v>
      </c>
      <c r="M978" t="str">
        <f>IF(Raw_Claims_Data!M977="","N/A",Raw_Claims_Data!M977)</f>
        <v>N/A</v>
      </c>
      <c r="N978" t="str">
        <f>Raw_Claims_Data!N977</f>
        <v>AGENT00238</v>
      </c>
      <c r="O978">
        <f>IF(Raw_Claims_Data!G977="D",1,0)</f>
        <v>0</v>
      </c>
    </row>
    <row r="979" spans="1:15" x14ac:dyDescent="0.35">
      <c r="A979" t="str">
        <f>Raw_Claims_Data!A978</f>
        <v>TXN00000975</v>
      </c>
      <c r="B979" t="str">
        <f>TRIM(Raw_Claims_Data!B978)</f>
        <v>Celestine Travis</v>
      </c>
      <c r="C979" t="str">
        <f>Raw_Claims_Data!C978</f>
        <v>Health</v>
      </c>
      <c r="D979">
        <f>Raw_Claims_Data!D978</f>
        <v>169.11</v>
      </c>
      <c r="E979">
        <f>Raw_Claims_Data!E978</f>
        <v>5000</v>
      </c>
      <c r="F979" t="str">
        <f>Raw_Claims_Data!F978</f>
        <v>CT</v>
      </c>
      <c r="G979" t="str">
        <f>Raw_Claims_Data!G978</f>
        <v>A</v>
      </c>
      <c r="H979" t="str">
        <f>Raw_Claims_Data!H978</f>
        <v>Total Loss</v>
      </c>
      <c r="I979" t="str">
        <f>IF(Raw_Claims_Data!I978="","None",Raw_Claims_Data!I978)</f>
        <v>Ambulance</v>
      </c>
      <c r="J979" t="str">
        <f>Raw_Claims_Data!J978</f>
        <v>Montgomery</v>
      </c>
      <c r="K979" t="str">
        <f>Raw_Claims_Data!K978</f>
        <v>AL</v>
      </c>
      <c r="L979">
        <f>Raw_Claims_Data!L978</f>
        <v>2</v>
      </c>
      <c r="M979" t="str">
        <f>IF(Raw_Claims_Data!M978="","N/A",Raw_Claims_Data!M978)</f>
        <v>VNDR00023</v>
      </c>
      <c r="N979" t="str">
        <f>Raw_Claims_Data!N978</f>
        <v>AGENT01189</v>
      </c>
      <c r="O979">
        <f>IF(Raw_Claims_Data!G978="D",1,0)</f>
        <v>0</v>
      </c>
    </row>
    <row r="980" spans="1:15" x14ac:dyDescent="0.35">
      <c r="A980" t="str">
        <f>Raw_Claims_Data!A979</f>
        <v>TXN00000976</v>
      </c>
      <c r="B980" t="str">
        <f>TRIM(Raw_Claims_Data!B979)</f>
        <v>Guy Black</v>
      </c>
      <c r="C980" t="str">
        <f>Raw_Claims_Data!C979</f>
        <v>Mobile</v>
      </c>
      <c r="D980">
        <f>Raw_Claims_Data!D979</f>
        <v>10.33</v>
      </c>
      <c r="E980">
        <f>Raw_Claims_Data!E979</f>
        <v>600</v>
      </c>
      <c r="F980" t="str">
        <f>Raw_Claims_Data!F979</f>
        <v>VT</v>
      </c>
      <c r="G980" t="str">
        <f>Raw_Claims_Data!G979</f>
        <v>A</v>
      </c>
      <c r="H980" t="str">
        <f>Raw_Claims_Data!H979</f>
        <v>Total Loss</v>
      </c>
      <c r="I980" t="str">
        <f>IF(Raw_Claims_Data!I979="","None",Raw_Claims_Data!I979)</f>
        <v>Police</v>
      </c>
      <c r="J980" t="str">
        <f>Raw_Claims_Data!J979</f>
        <v>San Leandro</v>
      </c>
      <c r="K980" t="str">
        <f>Raw_Claims_Data!K979</f>
        <v>CA</v>
      </c>
      <c r="L980">
        <f>Raw_Claims_Data!L979</f>
        <v>3</v>
      </c>
      <c r="M980" t="str">
        <f>IF(Raw_Claims_Data!M979="","N/A",Raw_Claims_Data!M979)</f>
        <v>VNDR00448</v>
      </c>
      <c r="N980" t="str">
        <f>Raw_Claims_Data!N979</f>
        <v>AGENT00982</v>
      </c>
      <c r="O980">
        <f>IF(Raw_Claims_Data!G979="D",1,0)</f>
        <v>0</v>
      </c>
    </row>
    <row r="981" spans="1:15" x14ac:dyDescent="0.35">
      <c r="A981" t="str">
        <f>Raw_Claims_Data!A980</f>
        <v>TXN00000977</v>
      </c>
      <c r="B981" t="str">
        <f>TRIM(Raw_Claims_Data!B980)</f>
        <v>Marie Hughes</v>
      </c>
      <c r="C981" t="str">
        <f>Raw_Claims_Data!C980</f>
        <v>Property</v>
      </c>
      <c r="D981">
        <f>Raw_Claims_Data!D980</f>
        <v>129.05000000000001</v>
      </c>
      <c r="E981">
        <f>Raw_Claims_Data!E980</f>
        <v>20000</v>
      </c>
      <c r="F981" t="str">
        <f>Raw_Claims_Data!F980</f>
        <v>OK</v>
      </c>
      <c r="G981" t="str">
        <f>Raw_Claims_Data!G980</f>
        <v>A</v>
      </c>
      <c r="H981" t="str">
        <f>Raw_Claims_Data!H980</f>
        <v>Total Loss</v>
      </c>
      <c r="I981" t="str">
        <f>IF(Raw_Claims_Data!I980="","None",Raw_Claims_Data!I980)</f>
        <v>None</v>
      </c>
      <c r="J981" t="str">
        <f>Raw_Claims_Data!J980</f>
        <v>Montgomery</v>
      </c>
      <c r="K981" t="str">
        <f>Raw_Claims_Data!K980</f>
        <v>AL</v>
      </c>
      <c r="L981">
        <f>Raw_Claims_Data!L980</f>
        <v>6</v>
      </c>
      <c r="M981" t="str">
        <f>IF(Raw_Claims_Data!M980="","N/A",Raw_Claims_Data!M980)</f>
        <v>N/A</v>
      </c>
      <c r="N981" t="str">
        <f>Raw_Claims_Data!N980</f>
        <v>AGENT01071</v>
      </c>
      <c r="O981">
        <f>IF(Raw_Claims_Data!G980="D",1,0)</f>
        <v>0</v>
      </c>
    </row>
    <row r="982" spans="1:15" x14ac:dyDescent="0.35">
      <c r="A982" t="str">
        <f>Raw_Claims_Data!A981</f>
        <v>TXN00000978</v>
      </c>
      <c r="B982" t="str">
        <f>TRIM(Raw_Claims_Data!B981)</f>
        <v>Sandra Snell</v>
      </c>
      <c r="C982" t="str">
        <f>Raw_Claims_Data!C981</f>
        <v>Health</v>
      </c>
      <c r="D982">
        <f>Raw_Claims_Data!D981</f>
        <v>114.61</v>
      </c>
      <c r="E982">
        <f>Raw_Claims_Data!E981</f>
        <v>13000</v>
      </c>
      <c r="F982" t="str">
        <f>Raw_Claims_Data!F981</f>
        <v>VT</v>
      </c>
      <c r="G982" t="str">
        <f>Raw_Claims_Data!G981</f>
        <v>A</v>
      </c>
      <c r="H982" t="str">
        <f>Raw_Claims_Data!H981</f>
        <v>Major Loss</v>
      </c>
      <c r="I982" t="str">
        <f>IF(Raw_Claims_Data!I981="","None",Raw_Claims_Data!I981)</f>
        <v>Other</v>
      </c>
      <c r="J982" t="str">
        <f>Raw_Claims_Data!J981</f>
        <v>Pittsford</v>
      </c>
      <c r="K982" t="str">
        <f>Raw_Claims_Data!K981</f>
        <v>VT</v>
      </c>
      <c r="L982">
        <f>Raw_Claims_Data!L981</f>
        <v>16</v>
      </c>
      <c r="M982" t="str">
        <f>IF(Raw_Claims_Data!M981="","N/A",Raw_Claims_Data!M981)</f>
        <v>N/A</v>
      </c>
      <c r="N982" t="str">
        <f>Raw_Claims_Data!N981</f>
        <v>AGENT01050</v>
      </c>
      <c r="O982">
        <f>IF(Raw_Claims_Data!G981="D",1,0)</f>
        <v>0</v>
      </c>
    </row>
    <row r="983" spans="1:15" x14ac:dyDescent="0.35">
      <c r="A983" t="str">
        <f>Raw_Claims_Data!A982</f>
        <v>TXN00000979</v>
      </c>
      <c r="B983" t="str">
        <f>TRIM(Raw_Claims_Data!B982)</f>
        <v>Marshall Davis</v>
      </c>
      <c r="C983" t="str">
        <f>Raw_Claims_Data!C982</f>
        <v>Mobile</v>
      </c>
      <c r="D983">
        <f>Raw_Claims_Data!D982</f>
        <v>11.48</v>
      </c>
      <c r="E983">
        <f>Raw_Claims_Data!E982</f>
        <v>600</v>
      </c>
      <c r="F983" t="str">
        <f>Raw_Claims_Data!F982</f>
        <v>MD</v>
      </c>
      <c r="G983" t="str">
        <f>Raw_Claims_Data!G982</f>
        <v>A</v>
      </c>
      <c r="H983" t="str">
        <f>Raw_Claims_Data!H982</f>
        <v>Major Loss</v>
      </c>
      <c r="I983" t="str">
        <f>IF(Raw_Claims_Data!I982="","None",Raw_Claims_Data!I982)</f>
        <v>Ambulance</v>
      </c>
      <c r="J983" t="str">
        <f>Raw_Claims_Data!J982</f>
        <v>Louisville</v>
      </c>
      <c r="K983" t="str">
        <f>Raw_Claims_Data!K982</f>
        <v>KY</v>
      </c>
      <c r="L983">
        <f>Raw_Claims_Data!L982</f>
        <v>19</v>
      </c>
      <c r="M983" t="str">
        <f>IF(Raw_Claims_Data!M982="","N/A",Raw_Claims_Data!M982)</f>
        <v>VNDR00283</v>
      </c>
      <c r="N983" t="str">
        <f>Raw_Claims_Data!N982</f>
        <v>AGENT00128</v>
      </c>
      <c r="O983">
        <f>IF(Raw_Claims_Data!G982="D",1,0)</f>
        <v>0</v>
      </c>
    </row>
    <row r="984" spans="1:15" x14ac:dyDescent="0.35">
      <c r="A984" t="str">
        <f>Raw_Claims_Data!A983</f>
        <v>TXN00000980</v>
      </c>
      <c r="B984" t="str">
        <f>TRIM(Raw_Claims_Data!B983)</f>
        <v>William Nystrom</v>
      </c>
      <c r="C984" t="str">
        <f>Raw_Claims_Data!C983</f>
        <v>Health</v>
      </c>
      <c r="D984">
        <f>Raw_Claims_Data!D983</f>
        <v>147.47999999999999</v>
      </c>
      <c r="E984">
        <f>Raw_Claims_Data!E983</f>
        <v>12000</v>
      </c>
      <c r="F984" t="str">
        <f>Raw_Claims_Data!F983</f>
        <v>MD</v>
      </c>
      <c r="G984" t="str">
        <f>Raw_Claims_Data!G983</f>
        <v>A</v>
      </c>
      <c r="H984" t="str">
        <f>Raw_Claims_Data!H983</f>
        <v>Total Loss</v>
      </c>
      <c r="I984" t="str">
        <f>IF(Raw_Claims_Data!I983="","None",Raw_Claims_Data!I983)</f>
        <v>Ambulance</v>
      </c>
      <c r="J984" t="str">
        <f>Raw_Claims_Data!J983</f>
        <v>Townshend</v>
      </c>
      <c r="K984" t="str">
        <f>Raw_Claims_Data!K983</f>
        <v>VT</v>
      </c>
      <c r="L984">
        <f>Raw_Claims_Data!L983</f>
        <v>1</v>
      </c>
      <c r="M984" t="str">
        <f>IF(Raw_Claims_Data!M983="","N/A",Raw_Claims_Data!M983)</f>
        <v>VNDR00466</v>
      </c>
      <c r="N984" t="str">
        <f>Raw_Claims_Data!N983</f>
        <v>AGENT01045</v>
      </c>
      <c r="O984">
        <f>IF(Raw_Claims_Data!G983="D",1,0)</f>
        <v>0</v>
      </c>
    </row>
    <row r="985" spans="1:15" x14ac:dyDescent="0.35">
      <c r="A985" t="str">
        <f>Raw_Claims_Data!A984</f>
        <v>TXN00000981</v>
      </c>
      <c r="B985" t="str">
        <f>TRIM(Raw_Claims_Data!B984)</f>
        <v>Peter Helm</v>
      </c>
      <c r="C985" t="str">
        <f>Raw_Claims_Data!C984</f>
        <v>Life</v>
      </c>
      <c r="D985">
        <f>Raw_Claims_Data!D984</f>
        <v>84.34</v>
      </c>
      <c r="E985">
        <f>Raw_Claims_Data!E984</f>
        <v>42000</v>
      </c>
      <c r="F985" t="str">
        <f>Raw_Claims_Data!F984</f>
        <v>DC</v>
      </c>
      <c r="G985" t="str">
        <f>Raw_Claims_Data!G984</f>
        <v>A</v>
      </c>
      <c r="H985" t="str">
        <f>Raw_Claims_Data!H984</f>
        <v>Minor Loss</v>
      </c>
      <c r="I985" t="str">
        <f>IF(Raw_Claims_Data!I984="","None",Raw_Claims_Data!I984)</f>
        <v>Ambulance</v>
      </c>
      <c r="J985" t="str">
        <f>Raw_Claims_Data!J984</f>
        <v>Castro Valley</v>
      </c>
      <c r="K985" t="str">
        <f>Raw_Claims_Data!K984</f>
        <v>CA</v>
      </c>
      <c r="L985">
        <f>Raw_Claims_Data!L984</f>
        <v>23</v>
      </c>
      <c r="M985" t="str">
        <f>IF(Raw_Claims_Data!M984="","N/A",Raw_Claims_Data!M984)</f>
        <v>VNDR00450</v>
      </c>
      <c r="N985" t="str">
        <f>Raw_Claims_Data!N984</f>
        <v>AGENT00940</v>
      </c>
      <c r="O985">
        <f>IF(Raw_Claims_Data!G984="D",1,0)</f>
        <v>0</v>
      </c>
    </row>
    <row r="986" spans="1:15" x14ac:dyDescent="0.35">
      <c r="A986" t="str">
        <f>Raw_Claims_Data!A985</f>
        <v>TXN00000982</v>
      </c>
      <c r="B986" t="str">
        <f>TRIM(Raw_Claims_Data!B985)</f>
        <v>Gregory Brown</v>
      </c>
      <c r="C986" t="str">
        <f>Raw_Claims_Data!C985</f>
        <v>Mobile</v>
      </c>
      <c r="D986">
        <f>Raw_Claims_Data!D985</f>
        <v>6.34</v>
      </c>
      <c r="E986">
        <f>Raw_Claims_Data!E985</f>
        <v>100</v>
      </c>
      <c r="F986" t="str">
        <f>Raw_Claims_Data!F985</f>
        <v>AL</v>
      </c>
      <c r="G986" t="str">
        <f>Raw_Claims_Data!G985</f>
        <v>A</v>
      </c>
      <c r="H986" t="str">
        <f>Raw_Claims_Data!H985</f>
        <v>Minor Loss</v>
      </c>
      <c r="I986" t="str">
        <f>IF(Raw_Claims_Data!I985="","None",Raw_Claims_Data!I985)</f>
        <v>None</v>
      </c>
      <c r="J986" t="str">
        <f>Raw_Claims_Data!J985</f>
        <v>Glendale</v>
      </c>
      <c r="K986" t="str">
        <f>Raw_Claims_Data!K985</f>
        <v>AZ</v>
      </c>
      <c r="L986">
        <f>Raw_Claims_Data!L985</f>
        <v>11</v>
      </c>
      <c r="M986" t="str">
        <f>IF(Raw_Claims_Data!M985="","N/A",Raw_Claims_Data!M985)</f>
        <v>N/A</v>
      </c>
      <c r="N986" t="str">
        <f>Raw_Claims_Data!N985</f>
        <v>AGENT00784</v>
      </c>
      <c r="O986">
        <f>IF(Raw_Claims_Data!G985="D",1,0)</f>
        <v>0</v>
      </c>
    </row>
    <row r="987" spans="1:15" x14ac:dyDescent="0.35">
      <c r="A987" t="str">
        <f>Raw_Claims_Data!A986</f>
        <v>TXN00000983</v>
      </c>
      <c r="B987" t="str">
        <f>TRIM(Raw_Claims_Data!B986)</f>
        <v>Martha Arroliga</v>
      </c>
      <c r="C987" t="str">
        <f>Raw_Claims_Data!C986</f>
        <v>Mobile</v>
      </c>
      <c r="D987">
        <f>Raw_Claims_Data!D986</f>
        <v>9.36</v>
      </c>
      <c r="E987">
        <f>Raw_Claims_Data!E986</f>
        <v>200</v>
      </c>
      <c r="F987" t="str">
        <f>Raw_Claims_Data!F986</f>
        <v>GA</v>
      </c>
      <c r="G987" t="str">
        <f>Raw_Claims_Data!G986</f>
        <v>A</v>
      </c>
      <c r="H987" t="str">
        <f>Raw_Claims_Data!H986</f>
        <v>Major Loss</v>
      </c>
      <c r="I987" t="str">
        <f>IF(Raw_Claims_Data!I986="","None",Raw_Claims_Data!I986)</f>
        <v>Ambulance</v>
      </c>
      <c r="J987" t="str">
        <f>Raw_Claims_Data!J986</f>
        <v>Nashville</v>
      </c>
      <c r="K987" t="str">
        <f>Raw_Claims_Data!K986</f>
        <v>TN</v>
      </c>
      <c r="L987">
        <f>Raw_Claims_Data!L986</f>
        <v>17</v>
      </c>
      <c r="M987" t="str">
        <f>IF(Raw_Claims_Data!M986="","N/A",Raw_Claims_Data!M986)</f>
        <v>N/A</v>
      </c>
      <c r="N987" t="str">
        <f>Raw_Claims_Data!N986</f>
        <v>AGENT00845</v>
      </c>
      <c r="O987">
        <f>IF(Raw_Claims_Data!G986="D",1,0)</f>
        <v>0</v>
      </c>
    </row>
    <row r="988" spans="1:15" x14ac:dyDescent="0.35">
      <c r="A988" t="str">
        <f>Raw_Claims_Data!A987</f>
        <v>TXN00000984</v>
      </c>
      <c r="B988" t="str">
        <f>TRIM(Raw_Claims_Data!B987)</f>
        <v>Edyth Hogan</v>
      </c>
      <c r="C988" t="str">
        <f>Raw_Claims_Data!C987</f>
        <v>Property</v>
      </c>
      <c r="D988">
        <f>Raw_Claims_Data!D987</f>
        <v>109.24</v>
      </c>
      <c r="E988">
        <f>Raw_Claims_Data!E987</f>
        <v>37000</v>
      </c>
      <c r="F988" t="str">
        <f>Raw_Claims_Data!F987</f>
        <v>CA</v>
      </c>
      <c r="G988" t="str">
        <f>Raw_Claims_Data!G987</f>
        <v>A</v>
      </c>
      <c r="H988" t="str">
        <f>Raw_Claims_Data!H987</f>
        <v>Minor Loss</v>
      </c>
      <c r="I988" t="str">
        <f>IF(Raw_Claims_Data!I987="","None",Raw_Claims_Data!I987)</f>
        <v>Ambulance</v>
      </c>
      <c r="J988" t="str">
        <f>Raw_Claims_Data!J987</f>
        <v>Edmond</v>
      </c>
      <c r="K988" t="str">
        <f>Raw_Claims_Data!K987</f>
        <v>OK</v>
      </c>
      <c r="L988">
        <f>Raw_Claims_Data!L987</f>
        <v>3</v>
      </c>
      <c r="M988" t="str">
        <f>IF(Raw_Claims_Data!M987="","N/A",Raw_Claims_Data!M987)</f>
        <v>N/A</v>
      </c>
      <c r="N988" t="str">
        <f>Raw_Claims_Data!N987</f>
        <v>AGENT01097</v>
      </c>
      <c r="O988">
        <f>IF(Raw_Claims_Data!G987="D",1,0)</f>
        <v>0</v>
      </c>
    </row>
    <row r="989" spans="1:15" x14ac:dyDescent="0.35">
      <c r="A989" t="str">
        <f>Raw_Claims_Data!A988</f>
        <v>TXN00000985</v>
      </c>
      <c r="B989" t="str">
        <f>TRIM(Raw_Claims_Data!B988)</f>
        <v>Bette Teague</v>
      </c>
      <c r="C989" t="str">
        <f>Raw_Claims_Data!C988</f>
        <v>Mobile</v>
      </c>
      <c r="D989">
        <f>Raw_Claims_Data!D988</f>
        <v>7.57</v>
      </c>
      <c r="E989">
        <f>Raw_Claims_Data!E988</f>
        <v>600</v>
      </c>
      <c r="F989" t="str">
        <f>Raw_Claims_Data!F988</f>
        <v>CT</v>
      </c>
      <c r="G989" t="str">
        <f>Raw_Claims_Data!G988</f>
        <v>A</v>
      </c>
      <c r="H989" t="str">
        <f>Raw_Claims_Data!H988</f>
        <v>Major Loss</v>
      </c>
      <c r="I989" t="str">
        <f>IF(Raw_Claims_Data!I988="","None",Raw_Claims_Data!I988)</f>
        <v>Ambulance</v>
      </c>
      <c r="J989" t="str">
        <f>Raw_Claims_Data!J988</f>
        <v>Louisville</v>
      </c>
      <c r="K989" t="str">
        <f>Raw_Claims_Data!K988</f>
        <v>KY</v>
      </c>
      <c r="L989">
        <f>Raw_Claims_Data!L988</f>
        <v>6</v>
      </c>
      <c r="M989" t="str">
        <f>IF(Raw_Claims_Data!M988="","N/A",Raw_Claims_Data!M988)</f>
        <v>N/A</v>
      </c>
      <c r="N989" t="str">
        <f>Raw_Claims_Data!N988</f>
        <v>AGENT00392</v>
      </c>
      <c r="O989">
        <f>IF(Raw_Claims_Data!G988="D",1,0)</f>
        <v>0</v>
      </c>
    </row>
    <row r="990" spans="1:15" x14ac:dyDescent="0.35">
      <c r="A990" t="str">
        <f>Raw_Claims_Data!A989</f>
        <v>TXN00000986</v>
      </c>
      <c r="B990" t="str">
        <f>TRIM(Raw_Claims_Data!B989)</f>
        <v>Trevor Rowell</v>
      </c>
      <c r="C990" t="str">
        <f>Raw_Claims_Data!C989</f>
        <v>Motor</v>
      </c>
      <c r="D990">
        <f>Raw_Claims_Data!D989</f>
        <v>110.57</v>
      </c>
      <c r="E990">
        <f>Raw_Claims_Data!E989</f>
        <v>8000</v>
      </c>
      <c r="F990" t="str">
        <f>Raw_Claims_Data!F989</f>
        <v>CO</v>
      </c>
      <c r="G990" t="str">
        <f>Raw_Claims_Data!G989</f>
        <v>A</v>
      </c>
      <c r="H990" t="str">
        <f>Raw_Claims_Data!H989</f>
        <v>Major Loss</v>
      </c>
      <c r="I990" t="str">
        <f>IF(Raw_Claims_Data!I989="","None",Raw_Claims_Data!I989)</f>
        <v>Ambulance</v>
      </c>
      <c r="J990" t="str">
        <f>Raw_Claims_Data!J989</f>
        <v>San Leandro</v>
      </c>
      <c r="K990" t="str">
        <f>Raw_Claims_Data!K989</f>
        <v>CA</v>
      </c>
      <c r="L990">
        <f>Raw_Claims_Data!L989</f>
        <v>20</v>
      </c>
      <c r="M990" t="str">
        <f>IF(Raw_Claims_Data!M989="","N/A",Raw_Claims_Data!M989)</f>
        <v>VNDR00113</v>
      </c>
      <c r="N990" t="str">
        <f>Raw_Claims_Data!N989</f>
        <v>AGENT00464</v>
      </c>
      <c r="O990">
        <f>IF(Raw_Claims_Data!G989="D",1,0)</f>
        <v>0</v>
      </c>
    </row>
    <row r="991" spans="1:15" x14ac:dyDescent="0.35">
      <c r="A991" t="str">
        <f>Raw_Claims_Data!A990</f>
        <v>TXN00000987</v>
      </c>
      <c r="B991" t="str">
        <f>TRIM(Raw_Claims_Data!B990)</f>
        <v>Linda Ortega</v>
      </c>
      <c r="C991" t="str">
        <f>Raw_Claims_Data!C990</f>
        <v>Property</v>
      </c>
      <c r="D991">
        <f>Raw_Claims_Data!D990</f>
        <v>94.17</v>
      </c>
      <c r="E991">
        <f>Raw_Claims_Data!E990</f>
        <v>18000</v>
      </c>
      <c r="F991" t="str">
        <f>Raw_Claims_Data!F990</f>
        <v>TN</v>
      </c>
      <c r="G991" t="str">
        <f>Raw_Claims_Data!G990</f>
        <v>A</v>
      </c>
      <c r="H991" t="str">
        <f>Raw_Claims_Data!H990</f>
        <v>Total Loss</v>
      </c>
      <c r="I991" t="str">
        <f>IF(Raw_Claims_Data!I990="","None",Raw_Claims_Data!I990)</f>
        <v>None</v>
      </c>
      <c r="J991" t="str">
        <f>Raw_Claims_Data!J990</f>
        <v>Norman</v>
      </c>
      <c r="K991" t="str">
        <f>Raw_Claims_Data!K990</f>
        <v>OK</v>
      </c>
      <c r="L991">
        <f>Raw_Claims_Data!L990</f>
        <v>22</v>
      </c>
      <c r="M991" t="str">
        <f>IF(Raw_Claims_Data!M990="","N/A",Raw_Claims_Data!M990)</f>
        <v>VNDR00389</v>
      </c>
      <c r="N991" t="str">
        <f>Raw_Claims_Data!N990</f>
        <v>AGENT00756</v>
      </c>
      <c r="O991">
        <f>IF(Raw_Claims_Data!G990="D",1,0)</f>
        <v>0</v>
      </c>
    </row>
    <row r="992" spans="1:15" x14ac:dyDescent="0.35">
      <c r="A992" t="str">
        <f>Raw_Claims_Data!A991</f>
        <v>TXN00000988</v>
      </c>
      <c r="B992" t="str">
        <f>TRIM(Raw_Claims_Data!B991)</f>
        <v>Michael Field</v>
      </c>
      <c r="C992" t="str">
        <f>Raw_Claims_Data!C991</f>
        <v>Life</v>
      </c>
      <c r="D992">
        <f>Raw_Claims_Data!D991</f>
        <v>99.97</v>
      </c>
      <c r="E992">
        <f>Raw_Claims_Data!E991</f>
        <v>25000</v>
      </c>
      <c r="F992" t="str">
        <f>Raw_Claims_Data!F991</f>
        <v>OK</v>
      </c>
      <c r="G992" t="str">
        <f>Raw_Claims_Data!G991</f>
        <v>A</v>
      </c>
      <c r="H992" t="str">
        <f>Raw_Claims_Data!H991</f>
        <v>Minor Loss</v>
      </c>
      <c r="I992" t="str">
        <f>IF(Raw_Claims_Data!I991="","None",Raw_Claims_Data!I991)</f>
        <v>Ambulance</v>
      </c>
      <c r="J992" t="str">
        <f>Raw_Claims_Data!J991</f>
        <v>Washington</v>
      </c>
      <c r="K992" t="str">
        <f>Raw_Claims_Data!K991</f>
        <v>DC</v>
      </c>
      <c r="L992">
        <f>Raw_Claims_Data!L991</f>
        <v>2</v>
      </c>
      <c r="M992" t="str">
        <f>IF(Raw_Claims_Data!M991="","N/A",Raw_Claims_Data!M991)</f>
        <v>VNDR00584</v>
      </c>
      <c r="N992" t="str">
        <f>Raw_Claims_Data!N991</f>
        <v>AGENT00660</v>
      </c>
      <c r="O992">
        <f>IF(Raw_Claims_Data!G991="D",1,0)</f>
        <v>0</v>
      </c>
    </row>
    <row r="993" spans="1:15" x14ac:dyDescent="0.35">
      <c r="A993" t="str">
        <f>Raw_Claims_Data!A992</f>
        <v>TXN00000989</v>
      </c>
      <c r="B993" t="str">
        <f>TRIM(Raw_Claims_Data!B992)</f>
        <v>Patricia Blach</v>
      </c>
      <c r="C993" t="str">
        <f>Raw_Claims_Data!C992</f>
        <v>Travel</v>
      </c>
      <c r="D993">
        <f>Raw_Claims_Data!D992</f>
        <v>54.04</v>
      </c>
      <c r="E993">
        <f>Raw_Claims_Data!E992</f>
        <v>2000</v>
      </c>
      <c r="F993" t="str">
        <f>Raw_Claims_Data!F992</f>
        <v>FL</v>
      </c>
      <c r="G993" t="str">
        <f>Raw_Claims_Data!G992</f>
        <v>A</v>
      </c>
      <c r="H993" t="str">
        <f>Raw_Claims_Data!H992</f>
        <v>Major Loss</v>
      </c>
      <c r="I993" t="str">
        <f>IF(Raw_Claims_Data!I992="","None",Raw_Claims_Data!I992)</f>
        <v>Ambulance</v>
      </c>
      <c r="J993">
        <f>Raw_Claims_Data!J992</f>
        <v>0</v>
      </c>
      <c r="K993" t="str">
        <f>Raw_Claims_Data!K992</f>
        <v>VT</v>
      </c>
      <c r="L993">
        <f>Raw_Claims_Data!L992</f>
        <v>12</v>
      </c>
      <c r="M993" t="str">
        <f>IF(Raw_Claims_Data!M992="","N/A",Raw_Claims_Data!M992)</f>
        <v>VNDR00087</v>
      </c>
      <c r="N993" t="str">
        <f>Raw_Claims_Data!N992</f>
        <v>AGENT00377</v>
      </c>
      <c r="O993">
        <f>IF(Raw_Claims_Data!G992="D",1,0)</f>
        <v>0</v>
      </c>
    </row>
    <row r="994" spans="1:15" x14ac:dyDescent="0.35">
      <c r="A994" t="str">
        <f>Raw_Claims_Data!A993</f>
        <v>TXN00000990</v>
      </c>
      <c r="B994" t="str">
        <f>TRIM(Raw_Claims_Data!B993)</f>
        <v>Rosalie Roberts</v>
      </c>
      <c r="C994" t="str">
        <f>Raw_Claims_Data!C993</f>
        <v>Motor</v>
      </c>
      <c r="D994">
        <f>Raw_Claims_Data!D993</f>
        <v>80.13</v>
      </c>
      <c r="E994">
        <f>Raw_Claims_Data!E993</f>
        <v>7000</v>
      </c>
      <c r="F994" t="str">
        <f>Raw_Claims_Data!F993</f>
        <v>CO</v>
      </c>
      <c r="G994" t="str">
        <f>Raw_Claims_Data!G993</f>
        <v>A</v>
      </c>
      <c r="H994" t="str">
        <f>Raw_Claims_Data!H993</f>
        <v>Total Loss</v>
      </c>
      <c r="I994" t="str">
        <f>IF(Raw_Claims_Data!I993="","None",Raw_Claims_Data!I993)</f>
        <v>None</v>
      </c>
      <c r="J994" t="str">
        <f>Raw_Claims_Data!J993</f>
        <v>Montgomery</v>
      </c>
      <c r="K994" t="str">
        <f>Raw_Claims_Data!K993</f>
        <v>AL</v>
      </c>
      <c r="L994">
        <f>Raw_Claims_Data!L993</f>
        <v>12</v>
      </c>
      <c r="M994" t="str">
        <f>IF(Raw_Claims_Data!M993="","N/A",Raw_Claims_Data!M993)</f>
        <v>VNDR00492</v>
      </c>
      <c r="N994" t="str">
        <f>Raw_Claims_Data!N993</f>
        <v>AGENT01110</v>
      </c>
      <c r="O994">
        <f>IF(Raw_Claims_Data!G993="D",1,0)</f>
        <v>0</v>
      </c>
    </row>
    <row r="995" spans="1:15" x14ac:dyDescent="0.35">
      <c r="A995" t="str">
        <f>Raw_Claims_Data!A994</f>
        <v>TXN00000991</v>
      </c>
      <c r="B995" t="str">
        <f>TRIM(Raw_Claims_Data!B994)</f>
        <v>Julie Cullum</v>
      </c>
      <c r="C995" t="str">
        <f>Raw_Claims_Data!C994</f>
        <v>Health</v>
      </c>
      <c r="D995">
        <f>Raw_Claims_Data!D994</f>
        <v>152.41</v>
      </c>
      <c r="E995">
        <f>Raw_Claims_Data!E994</f>
        <v>1000</v>
      </c>
      <c r="F995" t="str">
        <f>Raw_Claims_Data!F994</f>
        <v>MA</v>
      </c>
      <c r="G995" t="str">
        <f>Raw_Claims_Data!G994</f>
        <v>A</v>
      </c>
      <c r="H995" t="str">
        <f>Raw_Claims_Data!H994</f>
        <v>Total Loss</v>
      </c>
      <c r="I995" t="str">
        <f>IF(Raw_Claims_Data!I994="","None",Raw_Claims_Data!I994)</f>
        <v>None</v>
      </c>
      <c r="J995" t="str">
        <f>Raw_Claims_Data!J994</f>
        <v>Litchfield Park</v>
      </c>
      <c r="K995" t="str">
        <f>Raw_Claims_Data!K994</f>
        <v>AZ</v>
      </c>
      <c r="L995">
        <f>Raw_Claims_Data!L994</f>
        <v>1</v>
      </c>
      <c r="M995" t="str">
        <f>IF(Raw_Claims_Data!M994="","N/A",Raw_Claims_Data!M994)</f>
        <v>VNDR00461</v>
      </c>
      <c r="N995" t="str">
        <f>Raw_Claims_Data!N994</f>
        <v>AGENT00140</v>
      </c>
      <c r="O995">
        <f>IF(Raw_Claims_Data!G994="D",1,0)</f>
        <v>0</v>
      </c>
    </row>
    <row r="996" spans="1:15" x14ac:dyDescent="0.35">
      <c r="A996" t="str">
        <f>Raw_Claims_Data!A995</f>
        <v>TXN00000992</v>
      </c>
      <c r="B996" t="str">
        <f>TRIM(Raw_Claims_Data!B995)</f>
        <v>Phillip Carl</v>
      </c>
      <c r="C996" t="str">
        <f>Raw_Claims_Data!C995</f>
        <v>Travel</v>
      </c>
      <c r="D996">
        <f>Raw_Claims_Data!D995</f>
        <v>72.75</v>
      </c>
      <c r="E996">
        <f>Raw_Claims_Data!E995</f>
        <v>4000</v>
      </c>
      <c r="F996" t="str">
        <f>Raw_Claims_Data!F995</f>
        <v>AZ</v>
      </c>
      <c r="G996" t="str">
        <f>Raw_Claims_Data!G995</f>
        <v>A</v>
      </c>
      <c r="H996" t="str">
        <f>Raw_Claims_Data!H995</f>
        <v>Minor Loss</v>
      </c>
      <c r="I996" t="str">
        <f>IF(Raw_Claims_Data!I995="","None",Raw_Claims_Data!I995)</f>
        <v>None</v>
      </c>
      <c r="J996" t="str">
        <f>Raw_Claims_Data!J995</f>
        <v>Manchester</v>
      </c>
      <c r="K996" t="str">
        <f>Raw_Claims_Data!K995</f>
        <v>CT</v>
      </c>
      <c r="L996">
        <f>Raw_Claims_Data!L995</f>
        <v>19</v>
      </c>
      <c r="M996" t="str">
        <f>IF(Raw_Claims_Data!M995="","N/A",Raw_Claims_Data!M995)</f>
        <v>VNDR00590</v>
      </c>
      <c r="N996" t="str">
        <f>Raw_Claims_Data!N995</f>
        <v>AGENT00280</v>
      </c>
      <c r="O996">
        <f>IF(Raw_Claims_Data!G995="D",1,0)</f>
        <v>0</v>
      </c>
    </row>
    <row r="997" spans="1:15" x14ac:dyDescent="0.35">
      <c r="A997" t="str">
        <f>Raw_Claims_Data!A996</f>
        <v>TXN00000993</v>
      </c>
      <c r="B997" t="str">
        <f>TRIM(Raw_Claims_Data!B996)</f>
        <v>Melvin Lee</v>
      </c>
      <c r="C997" t="str">
        <f>Raw_Claims_Data!C996</f>
        <v>Health</v>
      </c>
      <c r="D997">
        <f>Raw_Claims_Data!D996</f>
        <v>164.22</v>
      </c>
      <c r="E997">
        <f>Raw_Claims_Data!E996</f>
        <v>9000</v>
      </c>
      <c r="F997" t="str">
        <f>Raw_Claims_Data!F996</f>
        <v>KY</v>
      </c>
      <c r="G997" t="str">
        <f>Raw_Claims_Data!G996</f>
        <v>D</v>
      </c>
      <c r="H997" t="str">
        <f>Raw_Claims_Data!H996</f>
        <v>Total Loss</v>
      </c>
      <c r="I997" t="str">
        <f>IF(Raw_Claims_Data!I996="","None",Raw_Claims_Data!I996)</f>
        <v>Ambulance</v>
      </c>
      <c r="J997" t="str">
        <f>Raw_Claims_Data!J996</f>
        <v>Berkeley</v>
      </c>
      <c r="K997" t="str">
        <f>Raw_Claims_Data!K996</f>
        <v>CA</v>
      </c>
      <c r="L997">
        <f>Raw_Claims_Data!L996</f>
        <v>4</v>
      </c>
      <c r="M997" t="str">
        <f>IF(Raw_Claims_Data!M996="","N/A",Raw_Claims_Data!M996)</f>
        <v>VNDR00517</v>
      </c>
      <c r="N997" t="str">
        <f>Raw_Claims_Data!N996</f>
        <v>AGENT00576</v>
      </c>
      <c r="O997">
        <f>IF(Raw_Claims_Data!G996="D",1,0)</f>
        <v>1</v>
      </c>
    </row>
    <row r="998" spans="1:15" x14ac:dyDescent="0.35">
      <c r="A998" t="str">
        <f>Raw_Claims_Data!A997</f>
        <v>TXN00000994</v>
      </c>
      <c r="B998" t="str">
        <f>TRIM(Raw_Claims_Data!B997)</f>
        <v>Cristal Coppedge</v>
      </c>
      <c r="C998" t="str">
        <f>Raw_Claims_Data!C997</f>
        <v>Motor</v>
      </c>
      <c r="D998">
        <f>Raw_Claims_Data!D997</f>
        <v>125.61</v>
      </c>
      <c r="E998">
        <f>Raw_Claims_Data!E997</f>
        <v>7000</v>
      </c>
      <c r="F998" t="str">
        <f>Raw_Claims_Data!F997</f>
        <v>CT</v>
      </c>
      <c r="G998" t="str">
        <f>Raw_Claims_Data!G997</f>
        <v>A</v>
      </c>
      <c r="H998" t="str">
        <f>Raw_Claims_Data!H997</f>
        <v>Total Loss</v>
      </c>
      <c r="I998" t="str">
        <f>IF(Raw_Claims_Data!I997="","None",Raw_Claims_Data!I997)</f>
        <v>Police</v>
      </c>
      <c r="J998" t="str">
        <f>Raw_Claims_Data!J997</f>
        <v>Paso Robles</v>
      </c>
      <c r="K998" t="str">
        <f>Raw_Claims_Data!K997</f>
        <v>CA</v>
      </c>
      <c r="L998">
        <f>Raw_Claims_Data!L997</f>
        <v>5</v>
      </c>
      <c r="M998" t="str">
        <f>IF(Raw_Claims_Data!M997="","N/A",Raw_Claims_Data!M997)</f>
        <v>VNDR00425</v>
      </c>
      <c r="N998" t="str">
        <f>Raw_Claims_Data!N997</f>
        <v>AGENT00589</v>
      </c>
      <c r="O998">
        <f>IF(Raw_Claims_Data!G997="D",1,0)</f>
        <v>0</v>
      </c>
    </row>
    <row r="999" spans="1:15" x14ac:dyDescent="0.35">
      <c r="A999" t="str">
        <f>Raw_Claims_Data!A998</f>
        <v>TXN00000995</v>
      </c>
      <c r="B999" t="str">
        <f>TRIM(Raw_Claims_Data!B998)</f>
        <v>Erica Neidich</v>
      </c>
      <c r="C999" t="str">
        <f>Raw_Claims_Data!C998</f>
        <v>Mobile</v>
      </c>
      <c r="D999">
        <f>Raw_Claims_Data!D998</f>
        <v>8.7899999999999991</v>
      </c>
      <c r="E999">
        <f>Raw_Claims_Data!E998</f>
        <v>500</v>
      </c>
      <c r="F999" t="str">
        <f>Raw_Claims_Data!F998</f>
        <v>FL</v>
      </c>
      <c r="G999" t="str">
        <f>Raw_Claims_Data!G998</f>
        <v>A</v>
      </c>
      <c r="H999" t="str">
        <f>Raw_Claims_Data!H998</f>
        <v>Total Loss</v>
      </c>
      <c r="I999" t="str">
        <f>IF(Raw_Claims_Data!I998="","None",Raw_Claims_Data!I998)</f>
        <v>Police</v>
      </c>
      <c r="J999" t="str">
        <f>Raw_Claims_Data!J998</f>
        <v>Washington</v>
      </c>
      <c r="K999" t="str">
        <f>Raw_Claims_Data!K998</f>
        <v>DC</v>
      </c>
      <c r="L999">
        <f>Raw_Claims_Data!L998</f>
        <v>18</v>
      </c>
      <c r="M999" t="str">
        <f>IF(Raw_Claims_Data!M998="","N/A",Raw_Claims_Data!M998)</f>
        <v>N/A</v>
      </c>
      <c r="N999" t="str">
        <f>Raw_Claims_Data!N998</f>
        <v>AGENT01084</v>
      </c>
      <c r="O999">
        <f>IF(Raw_Claims_Data!G998="D",1,0)</f>
        <v>0</v>
      </c>
    </row>
    <row r="1000" spans="1:15" x14ac:dyDescent="0.35">
      <c r="A1000" t="str">
        <f>Raw_Claims_Data!A999</f>
        <v>TXN00000996</v>
      </c>
      <c r="B1000" t="str">
        <f>TRIM(Raw_Claims_Data!B999)</f>
        <v>Scott Cole</v>
      </c>
      <c r="C1000" t="str">
        <f>Raw_Claims_Data!C999</f>
        <v>Property</v>
      </c>
      <c r="D1000">
        <f>Raw_Claims_Data!D999</f>
        <v>90.54</v>
      </c>
      <c r="E1000">
        <f>Raw_Claims_Data!E999</f>
        <v>37000</v>
      </c>
      <c r="F1000" t="str">
        <f>Raw_Claims_Data!F999</f>
        <v>CA</v>
      </c>
      <c r="G1000" t="str">
        <f>Raw_Claims_Data!G999</f>
        <v>A</v>
      </c>
      <c r="H1000" t="str">
        <f>Raw_Claims_Data!H999</f>
        <v>Minor Loss</v>
      </c>
      <c r="I1000" t="str">
        <f>IF(Raw_Claims_Data!I999="","None",Raw_Claims_Data!I999)</f>
        <v>None</v>
      </c>
      <c r="J1000" t="str">
        <f>Raw_Claims_Data!J999</f>
        <v>Montpelier</v>
      </c>
      <c r="K1000" t="str">
        <f>Raw_Claims_Data!K999</f>
        <v>VT</v>
      </c>
      <c r="L1000">
        <f>Raw_Claims_Data!L999</f>
        <v>4</v>
      </c>
      <c r="M1000" t="str">
        <f>IF(Raw_Claims_Data!M999="","N/A",Raw_Claims_Data!M999)</f>
        <v>VNDR00114</v>
      </c>
      <c r="N1000" t="str">
        <f>Raw_Claims_Data!N999</f>
        <v>AGENT01085</v>
      </c>
      <c r="O1000">
        <f>IF(Raw_Claims_Data!G999="D",1,0)</f>
        <v>0</v>
      </c>
    </row>
    <row r="1001" spans="1:15" x14ac:dyDescent="0.35">
      <c r="A1001" t="str">
        <f>Raw_Claims_Data!A1000</f>
        <v>TXN00000997</v>
      </c>
      <c r="B1001" t="str">
        <f>TRIM(Raw_Claims_Data!B1000)</f>
        <v>Brenda Castleman</v>
      </c>
      <c r="C1001" t="str">
        <f>Raw_Claims_Data!C1000</f>
        <v>Health</v>
      </c>
      <c r="D1001">
        <f>Raw_Claims_Data!D1000</f>
        <v>140.02000000000001</v>
      </c>
      <c r="E1001">
        <f>Raw_Claims_Data!E1000</f>
        <v>20000</v>
      </c>
      <c r="F1001" t="str">
        <f>Raw_Claims_Data!F1000</f>
        <v>AZ</v>
      </c>
      <c r="G1001" t="str">
        <f>Raw_Claims_Data!G1000</f>
        <v>A</v>
      </c>
      <c r="H1001" t="str">
        <f>Raw_Claims_Data!H1000</f>
        <v>Total Loss</v>
      </c>
      <c r="I1001" t="str">
        <f>IF(Raw_Claims_Data!I1000="","None",Raw_Claims_Data!I1000)</f>
        <v>Ambulance</v>
      </c>
      <c r="J1001" t="str">
        <f>Raw_Claims_Data!J1000</f>
        <v>Oklahoma City</v>
      </c>
      <c r="K1001" t="str">
        <f>Raw_Claims_Data!K1000</f>
        <v>OK</v>
      </c>
      <c r="L1001">
        <f>Raw_Claims_Data!L1000</f>
        <v>18</v>
      </c>
      <c r="M1001" t="str">
        <f>IF(Raw_Claims_Data!M1000="","N/A",Raw_Claims_Data!M1000)</f>
        <v>VNDR00440</v>
      </c>
      <c r="N1001" t="str">
        <f>Raw_Claims_Data!N1000</f>
        <v>AGENT00009</v>
      </c>
      <c r="O1001">
        <f>IF(Raw_Claims_Data!G1000="D",1,0)</f>
        <v>0</v>
      </c>
    </row>
    <row r="1002" spans="1:15" x14ac:dyDescent="0.35">
      <c r="A1002" t="str">
        <f>Raw_Claims_Data!A1001</f>
        <v>TXN00000998</v>
      </c>
      <c r="B1002" t="str">
        <f>TRIM(Raw_Claims_Data!B1001)</f>
        <v>Joseph Lynch</v>
      </c>
      <c r="C1002" t="str">
        <f>Raw_Claims_Data!C1001</f>
        <v>Property</v>
      </c>
      <c r="D1002">
        <f>Raw_Claims_Data!D1001</f>
        <v>118.71</v>
      </c>
      <c r="E1002">
        <f>Raw_Claims_Data!E1001</f>
        <v>34000</v>
      </c>
      <c r="F1002" t="str">
        <f>Raw_Claims_Data!F1001</f>
        <v>CO</v>
      </c>
      <c r="G1002" t="str">
        <f>Raw_Claims_Data!G1001</f>
        <v>A</v>
      </c>
      <c r="H1002" t="str">
        <f>Raw_Claims_Data!H1001</f>
        <v>Total Loss</v>
      </c>
      <c r="I1002" t="str">
        <f>IF(Raw_Claims_Data!I1001="","None",Raw_Claims_Data!I1001)</f>
        <v>Ambulance</v>
      </c>
      <c r="J1002" t="str">
        <f>Raw_Claims_Data!J1001</f>
        <v>Worcester</v>
      </c>
      <c r="K1002" t="str">
        <f>Raw_Claims_Data!K1001</f>
        <v>MA</v>
      </c>
      <c r="L1002">
        <f>Raw_Claims_Data!L1001</f>
        <v>10</v>
      </c>
      <c r="M1002" t="str">
        <f>IF(Raw_Claims_Data!M1001="","N/A",Raw_Claims_Data!M1001)</f>
        <v>VNDR00560</v>
      </c>
      <c r="N1002" t="str">
        <f>Raw_Claims_Data!N1001</f>
        <v>AGENT00810</v>
      </c>
      <c r="O1002">
        <f>IF(Raw_Claims_Data!G1001="D",1,0)</f>
        <v>0</v>
      </c>
    </row>
    <row r="1003" spans="1:15" x14ac:dyDescent="0.35">
      <c r="A1003" t="str">
        <f>Raw_Claims_Data!A1002</f>
        <v>TXN00000999</v>
      </c>
      <c r="B1003" t="str">
        <f>TRIM(Raw_Claims_Data!B1002)</f>
        <v>Robert Goodman</v>
      </c>
      <c r="C1003" t="str">
        <f>Raw_Claims_Data!C1002</f>
        <v>Health</v>
      </c>
      <c r="D1003">
        <f>Raw_Claims_Data!D1002</f>
        <v>106.51</v>
      </c>
      <c r="E1003">
        <f>Raw_Claims_Data!E1002</f>
        <v>20000</v>
      </c>
      <c r="F1003" t="str">
        <f>Raw_Claims_Data!F1002</f>
        <v>GA</v>
      </c>
      <c r="G1003" t="str">
        <f>Raw_Claims_Data!G1002</f>
        <v>A</v>
      </c>
      <c r="H1003" t="str">
        <f>Raw_Claims_Data!H1002</f>
        <v>Major Loss</v>
      </c>
      <c r="I1003" t="str">
        <f>IF(Raw_Claims_Data!I1002="","None",Raw_Claims_Data!I1002)</f>
        <v>Ambulance</v>
      </c>
      <c r="J1003" t="str">
        <f>Raw_Claims_Data!J1002</f>
        <v>Thunderbolt</v>
      </c>
      <c r="K1003" t="str">
        <f>Raw_Claims_Data!K1002</f>
        <v>GA</v>
      </c>
      <c r="L1003">
        <f>Raw_Claims_Data!L1002</f>
        <v>16</v>
      </c>
      <c r="M1003" t="str">
        <f>IF(Raw_Claims_Data!M1002="","N/A",Raw_Claims_Data!M1002)</f>
        <v>VNDR00289</v>
      </c>
      <c r="N1003" t="str">
        <f>Raw_Claims_Data!N1002</f>
        <v>AGENT01038</v>
      </c>
      <c r="O1003">
        <f>IF(Raw_Claims_Data!G1002="D",1,0)</f>
        <v>0</v>
      </c>
    </row>
    <row r="1004" spans="1:15" x14ac:dyDescent="0.35">
      <c r="A1004" t="str">
        <f>Raw_Claims_Data!A1003</f>
        <v>TXN00001000</v>
      </c>
      <c r="B1004" t="str">
        <f>TRIM(Raw_Claims_Data!B1003)</f>
        <v>Wilmer Robertson</v>
      </c>
      <c r="C1004" t="str">
        <f>Raw_Claims_Data!C1003</f>
        <v>Life</v>
      </c>
      <c r="D1004">
        <f>Raw_Claims_Data!D1003</f>
        <v>68.73</v>
      </c>
      <c r="E1004">
        <f>Raw_Claims_Data!E1003</f>
        <v>79000</v>
      </c>
      <c r="F1004" t="str">
        <f>Raw_Claims_Data!F1003</f>
        <v>OK</v>
      </c>
      <c r="G1004" t="str">
        <f>Raw_Claims_Data!G1003</f>
        <v>A</v>
      </c>
      <c r="H1004" t="str">
        <f>Raw_Claims_Data!H1003</f>
        <v>Major Loss</v>
      </c>
      <c r="I1004" t="str">
        <f>IF(Raw_Claims_Data!I1003="","None",Raw_Claims_Data!I1003)</f>
        <v>Ambulance</v>
      </c>
      <c r="J1004" t="str">
        <f>Raw_Claims_Data!J1003</f>
        <v>Oklahoma City</v>
      </c>
      <c r="K1004" t="str">
        <f>Raw_Claims_Data!K1003</f>
        <v>OK</v>
      </c>
      <c r="L1004">
        <f>Raw_Claims_Data!L1003</f>
        <v>9</v>
      </c>
      <c r="M1004" t="str">
        <f>IF(Raw_Claims_Data!M1003="","N/A",Raw_Claims_Data!M1003)</f>
        <v>VNDR00425</v>
      </c>
      <c r="N1004" t="str">
        <f>Raw_Claims_Data!N1003</f>
        <v>AGENT00089</v>
      </c>
      <c r="O1004">
        <f>IF(Raw_Claims_Data!G1003="D",1,0)</f>
        <v>0</v>
      </c>
    </row>
    <row r="1005" spans="1:15" x14ac:dyDescent="0.35">
      <c r="A1005" t="str">
        <f>Raw_Claims_Data!A1004</f>
        <v>TXN00001001</v>
      </c>
      <c r="B1005" t="str">
        <f>TRIM(Raw_Claims_Data!B1004)</f>
        <v>Mark Braswell</v>
      </c>
      <c r="C1005" t="str">
        <f>Raw_Claims_Data!C1004</f>
        <v>Life</v>
      </c>
      <c r="D1005">
        <f>Raw_Claims_Data!D1004</f>
        <v>58</v>
      </c>
      <c r="E1005">
        <f>Raw_Claims_Data!E1004</f>
        <v>13000</v>
      </c>
      <c r="F1005" t="str">
        <f>Raw_Claims_Data!F1004</f>
        <v>AZ</v>
      </c>
      <c r="G1005" t="str">
        <f>Raw_Claims_Data!G1004</f>
        <v>A</v>
      </c>
      <c r="H1005" t="str">
        <f>Raw_Claims_Data!H1004</f>
        <v>Major Loss</v>
      </c>
      <c r="I1005" t="str">
        <f>IF(Raw_Claims_Data!I1004="","None",Raw_Claims_Data!I1004)</f>
        <v>None</v>
      </c>
      <c r="J1005" t="str">
        <f>Raw_Claims_Data!J1004</f>
        <v>Glen Burnie</v>
      </c>
      <c r="K1005" t="str">
        <f>Raw_Claims_Data!K1004</f>
        <v>MD</v>
      </c>
      <c r="L1005">
        <f>Raw_Claims_Data!L1004</f>
        <v>6</v>
      </c>
      <c r="M1005" t="str">
        <f>IF(Raw_Claims_Data!M1004="","N/A",Raw_Claims_Data!M1004)</f>
        <v>N/A</v>
      </c>
      <c r="N1005" t="str">
        <f>Raw_Claims_Data!N1004</f>
        <v>AGENT00630</v>
      </c>
      <c r="O1005">
        <f>IF(Raw_Claims_Data!G1004="D",1,0)</f>
        <v>0</v>
      </c>
    </row>
    <row r="1006" spans="1:15" x14ac:dyDescent="0.35">
      <c r="A1006" t="str">
        <f>Raw_Claims_Data!A1005</f>
        <v>TXN00001002</v>
      </c>
      <c r="B1006" t="str">
        <f>TRIM(Raw_Claims_Data!B1005)</f>
        <v>Hazel Barone</v>
      </c>
      <c r="C1006" t="str">
        <f>Raw_Claims_Data!C1005</f>
        <v>Travel</v>
      </c>
      <c r="D1006">
        <f>Raw_Claims_Data!D1005</f>
        <v>58.6</v>
      </c>
      <c r="E1006">
        <f>Raw_Claims_Data!E1005</f>
        <v>1000</v>
      </c>
      <c r="F1006" t="str">
        <f>Raw_Claims_Data!F1005</f>
        <v>AR</v>
      </c>
      <c r="G1006" t="str">
        <f>Raw_Claims_Data!G1005</f>
        <v>A</v>
      </c>
      <c r="H1006" t="str">
        <f>Raw_Claims_Data!H1005</f>
        <v>Total Loss</v>
      </c>
      <c r="I1006" t="str">
        <f>IF(Raw_Claims_Data!I1005="","None",Raw_Claims_Data!I1005)</f>
        <v>Ambulance</v>
      </c>
      <c r="J1006" t="str">
        <f>Raw_Claims_Data!J1005</f>
        <v>Louisville</v>
      </c>
      <c r="K1006" t="str">
        <f>Raw_Claims_Data!K1005</f>
        <v>KY</v>
      </c>
      <c r="L1006">
        <f>Raw_Claims_Data!L1005</f>
        <v>18</v>
      </c>
      <c r="M1006" t="str">
        <f>IF(Raw_Claims_Data!M1005="","N/A",Raw_Claims_Data!M1005)</f>
        <v>N/A</v>
      </c>
      <c r="N1006" t="str">
        <f>Raw_Claims_Data!N1005</f>
        <v>AGENT00402</v>
      </c>
      <c r="O1006">
        <f>IF(Raw_Claims_Data!G1005="D",1,0)</f>
        <v>0</v>
      </c>
    </row>
    <row r="1007" spans="1:15" x14ac:dyDescent="0.35">
      <c r="A1007" t="str">
        <f>Raw_Claims_Data!A1006</f>
        <v>TXN00001003</v>
      </c>
      <c r="B1007" t="str">
        <f>TRIM(Raw_Claims_Data!B1006)</f>
        <v>Patty Deloatch</v>
      </c>
      <c r="C1007" t="str">
        <f>Raw_Claims_Data!C1006</f>
        <v>Travel</v>
      </c>
      <c r="D1007">
        <f>Raw_Claims_Data!D1006</f>
        <v>59.92</v>
      </c>
      <c r="E1007">
        <f>Raw_Claims_Data!E1006</f>
        <v>1000</v>
      </c>
      <c r="F1007" t="str">
        <f>Raw_Claims_Data!F1006</f>
        <v>MA</v>
      </c>
      <c r="G1007" t="str">
        <f>Raw_Claims_Data!G1006</f>
        <v>A</v>
      </c>
      <c r="H1007" t="str">
        <f>Raw_Claims_Data!H1006</f>
        <v>Minor Loss</v>
      </c>
      <c r="I1007" t="str">
        <f>IF(Raw_Claims_Data!I1006="","None",Raw_Claims_Data!I1006)</f>
        <v>Ambulance</v>
      </c>
      <c r="J1007" t="str">
        <f>Raw_Claims_Data!J1006</f>
        <v>Plymouth</v>
      </c>
      <c r="K1007" t="str">
        <f>Raw_Claims_Data!K1006</f>
        <v>MA</v>
      </c>
      <c r="L1007">
        <f>Raw_Claims_Data!L1006</f>
        <v>8</v>
      </c>
      <c r="M1007" t="str">
        <f>IF(Raw_Claims_Data!M1006="","N/A",Raw_Claims_Data!M1006)</f>
        <v>VNDR00244</v>
      </c>
      <c r="N1007" t="str">
        <f>Raw_Claims_Data!N1006</f>
        <v>AGENT00530</v>
      </c>
      <c r="O1007">
        <f>IF(Raw_Claims_Data!G1006="D",1,0)</f>
        <v>0</v>
      </c>
    </row>
    <row r="1008" spans="1:15" x14ac:dyDescent="0.35">
      <c r="A1008" t="str">
        <f>Raw_Claims_Data!A1007</f>
        <v>TXN00001004</v>
      </c>
      <c r="B1008" t="str">
        <f>TRIM(Raw_Claims_Data!B1007)</f>
        <v>William Marcus</v>
      </c>
      <c r="C1008" t="str">
        <f>Raw_Claims_Data!C1007</f>
        <v>Property</v>
      </c>
      <c r="D1008">
        <f>Raw_Claims_Data!D1007</f>
        <v>81.56</v>
      </c>
      <c r="E1008">
        <f>Raw_Claims_Data!E1007</f>
        <v>34000</v>
      </c>
      <c r="F1008" t="str">
        <f>Raw_Claims_Data!F1007</f>
        <v>MA</v>
      </c>
      <c r="G1008" t="str">
        <f>Raw_Claims_Data!G1007</f>
        <v>A</v>
      </c>
      <c r="H1008" t="str">
        <f>Raw_Claims_Data!H1007</f>
        <v>Total Loss</v>
      </c>
      <c r="I1008" t="str">
        <f>IF(Raw_Claims_Data!I1007="","None",Raw_Claims_Data!I1007)</f>
        <v>Police</v>
      </c>
      <c r="J1008" t="str">
        <f>Raw_Claims_Data!J1007</f>
        <v>Moore</v>
      </c>
      <c r="K1008" t="str">
        <f>Raw_Claims_Data!K1007</f>
        <v>OK</v>
      </c>
      <c r="L1008">
        <f>Raw_Claims_Data!L1007</f>
        <v>13</v>
      </c>
      <c r="M1008" t="str">
        <f>IF(Raw_Claims_Data!M1007="","N/A",Raw_Claims_Data!M1007)</f>
        <v>VNDR00267</v>
      </c>
      <c r="N1008" t="str">
        <f>Raw_Claims_Data!N1007</f>
        <v>AGENT00388</v>
      </c>
      <c r="O1008">
        <f>IF(Raw_Claims_Data!G1007="D",1,0)</f>
        <v>0</v>
      </c>
    </row>
    <row r="1009" spans="1:15" x14ac:dyDescent="0.35">
      <c r="A1009" t="str">
        <f>Raw_Claims_Data!A1008</f>
        <v>TXN00001005</v>
      </c>
      <c r="B1009" t="str">
        <f>TRIM(Raw_Claims_Data!B1008)</f>
        <v>Marjorie Madewell</v>
      </c>
      <c r="C1009" t="str">
        <f>Raw_Claims_Data!C1008</f>
        <v>Property</v>
      </c>
      <c r="D1009">
        <f>Raw_Claims_Data!D1008</f>
        <v>121.77</v>
      </c>
      <c r="E1009">
        <f>Raw_Claims_Data!E1008</f>
        <v>18000</v>
      </c>
      <c r="F1009" t="str">
        <f>Raw_Claims_Data!F1008</f>
        <v>OK</v>
      </c>
      <c r="G1009" t="str">
        <f>Raw_Claims_Data!G1008</f>
        <v>A</v>
      </c>
      <c r="H1009" t="str">
        <f>Raw_Claims_Data!H1008</f>
        <v>Total Loss</v>
      </c>
      <c r="I1009" t="str">
        <f>IF(Raw_Claims_Data!I1008="","None",Raw_Claims_Data!I1008)</f>
        <v>None</v>
      </c>
      <c r="J1009" t="str">
        <f>Raw_Claims_Data!J1008</f>
        <v>Soldotna</v>
      </c>
      <c r="K1009" t="str">
        <f>Raw_Claims_Data!K1008</f>
        <v>AK</v>
      </c>
      <c r="L1009">
        <f>Raw_Claims_Data!L1008</f>
        <v>18</v>
      </c>
      <c r="M1009" t="str">
        <f>IF(Raw_Claims_Data!M1008="","N/A",Raw_Claims_Data!M1008)</f>
        <v>N/A</v>
      </c>
      <c r="N1009" t="str">
        <f>Raw_Claims_Data!N1008</f>
        <v>AGENT00932</v>
      </c>
      <c r="O1009">
        <f>IF(Raw_Claims_Data!G1008="D",1,0)</f>
        <v>0</v>
      </c>
    </row>
    <row r="1010" spans="1:15" x14ac:dyDescent="0.35">
      <c r="A1010" t="str">
        <f>Raw_Claims_Data!A1009</f>
        <v>TXN00001006</v>
      </c>
      <c r="B1010" t="str">
        <f>TRIM(Raw_Claims_Data!B1009)</f>
        <v>Charlene Sharpe</v>
      </c>
      <c r="C1010" t="str">
        <f>Raw_Claims_Data!C1009</f>
        <v>Property</v>
      </c>
      <c r="D1010">
        <f>Raw_Claims_Data!D1009</f>
        <v>115.14</v>
      </c>
      <c r="E1010">
        <f>Raw_Claims_Data!E1009</f>
        <v>38000</v>
      </c>
      <c r="F1010" t="str">
        <f>Raw_Claims_Data!F1009</f>
        <v>VT</v>
      </c>
      <c r="G1010" t="str">
        <f>Raw_Claims_Data!G1009</f>
        <v>D</v>
      </c>
      <c r="H1010" t="str">
        <f>Raw_Claims_Data!H1009</f>
        <v>Minor Loss</v>
      </c>
      <c r="I1010" t="str">
        <f>IF(Raw_Claims_Data!I1009="","None",Raw_Claims_Data!I1009)</f>
        <v>Ambulance</v>
      </c>
      <c r="J1010" t="str">
        <f>Raw_Claims_Data!J1009</f>
        <v>Arvada</v>
      </c>
      <c r="K1010" t="str">
        <f>Raw_Claims_Data!K1009</f>
        <v>CO</v>
      </c>
      <c r="L1010">
        <f>Raw_Claims_Data!L1009</f>
        <v>21</v>
      </c>
      <c r="M1010" t="str">
        <f>IF(Raw_Claims_Data!M1009="","N/A",Raw_Claims_Data!M1009)</f>
        <v>N/A</v>
      </c>
      <c r="N1010" t="str">
        <f>Raw_Claims_Data!N1009</f>
        <v>AGENT00755</v>
      </c>
      <c r="O1010">
        <f>IF(Raw_Claims_Data!G1009="D",1,0)</f>
        <v>1</v>
      </c>
    </row>
    <row r="1011" spans="1:15" x14ac:dyDescent="0.35">
      <c r="A1011" t="str">
        <f>Raw_Claims_Data!A1010</f>
        <v>TXN00001007</v>
      </c>
      <c r="B1011" t="str">
        <f>TRIM(Raw_Claims_Data!B1010)</f>
        <v>Roger Sato</v>
      </c>
      <c r="C1011" t="str">
        <f>Raw_Claims_Data!C1010</f>
        <v>Health</v>
      </c>
      <c r="D1011">
        <f>Raw_Claims_Data!D1010</f>
        <v>164.76</v>
      </c>
      <c r="E1011">
        <f>Raw_Claims_Data!E1010</f>
        <v>20000</v>
      </c>
      <c r="F1011" t="str">
        <f>Raw_Claims_Data!F1010</f>
        <v>MA</v>
      </c>
      <c r="G1011" t="str">
        <f>Raw_Claims_Data!G1010</f>
        <v>A</v>
      </c>
      <c r="H1011" t="str">
        <f>Raw_Claims_Data!H1010</f>
        <v>Minor Loss</v>
      </c>
      <c r="I1011" t="str">
        <f>IF(Raw_Claims_Data!I1010="","None",Raw_Claims_Data!I1010)</f>
        <v>Ambulance</v>
      </c>
      <c r="J1011" t="str">
        <f>Raw_Claims_Data!J1010</f>
        <v>Medway</v>
      </c>
      <c r="K1011" t="str">
        <f>Raw_Claims_Data!K1010</f>
        <v>MA</v>
      </c>
      <c r="L1011">
        <f>Raw_Claims_Data!L1010</f>
        <v>9</v>
      </c>
      <c r="M1011" t="str">
        <f>IF(Raw_Claims_Data!M1010="","N/A",Raw_Claims_Data!M1010)</f>
        <v>VNDR00539</v>
      </c>
      <c r="N1011" t="str">
        <f>Raw_Claims_Data!N1010</f>
        <v>AGENT00560</v>
      </c>
      <c r="O1011">
        <f>IF(Raw_Claims_Data!G1010="D",1,0)</f>
        <v>0</v>
      </c>
    </row>
    <row r="1012" spans="1:15" x14ac:dyDescent="0.35">
      <c r="A1012" t="str">
        <f>Raw_Claims_Data!A1011</f>
        <v>TXN00001008</v>
      </c>
      <c r="B1012" t="str">
        <f>TRIM(Raw_Claims_Data!B1011)</f>
        <v>Grace Wong</v>
      </c>
      <c r="C1012" t="str">
        <f>Raw_Claims_Data!C1011</f>
        <v>Property</v>
      </c>
      <c r="D1012">
        <f>Raw_Claims_Data!D1011</f>
        <v>133.4</v>
      </c>
      <c r="E1012">
        <f>Raw_Claims_Data!E1011</f>
        <v>28000</v>
      </c>
      <c r="F1012" t="str">
        <f>Raw_Claims_Data!F1011</f>
        <v>CO</v>
      </c>
      <c r="G1012" t="str">
        <f>Raw_Claims_Data!G1011</f>
        <v>A</v>
      </c>
      <c r="H1012" t="str">
        <f>Raw_Claims_Data!H1011</f>
        <v>Total Loss</v>
      </c>
      <c r="I1012" t="str">
        <f>IF(Raw_Claims_Data!I1011="","None",Raw_Claims_Data!I1011)</f>
        <v>Ambulance</v>
      </c>
      <c r="J1012" t="str">
        <f>Raw_Claims_Data!J1011</f>
        <v>Litchfield Park</v>
      </c>
      <c r="K1012" t="str">
        <f>Raw_Claims_Data!K1011</f>
        <v>AZ</v>
      </c>
      <c r="L1012">
        <f>Raw_Claims_Data!L1011</f>
        <v>14</v>
      </c>
      <c r="M1012" t="str">
        <f>IF(Raw_Claims_Data!M1011="","N/A",Raw_Claims_Data!M1011)</f>
        <v>N/A</v>
      </c>
      <c r="N1012" t="str">
        <f>Raw_Claims_Data!N1011</f>
        <v>AGENT00370</v>
      </c>
      <c r="O1012">
        <f>IF(Raw_Claims_Data!G1011="D",1,0)</f>
        <v>0</v>
      </c>
    </row>
    <row r="1013" spans="1:15" x14ac:dyDescent="0.35">
      <c r="A1013" t="str">
        <f>Raw_Claims_Data!A1012</f>
        <v>TXN00001009</v>
      </c>
      <c r="B1013" t="str">
        <f>TRIM(Raw_Claims_Data!B1012)</f>
        <v>Ami Wells</v>
      </c>
      <c r="C1013" t="str">
        <f>Raw_Claims_Data!C1012</f>
        <v>Mobile</v>
      </c>
      <c r="D1013">
        <f>Raw_Claims_Data!D1012</f>
        <v>10.36</v>
      </c>
      <c r="E1013">
        <f>Raw_Claims_Data!E1012</f>
        <v>600</v>
      </c>
      <c r="F1013" t="str">
        <f>Raw_Claims_Data!F1012</f>
        <v>AL</v>
      </c>
      <c r="G1013" t="str">
        <f>Raw_Claims_Data!G1012</f>
        <v>A</v>
      </c>
      <c r="H1013" t="str">
        <f>Raw_Claims_Data!H1012</f>
        <v>Minor Loss</v>
      </c>
      <c r="I1013" t="str">
        <f>IF(Raw_Claims_Data!I1012="","None",Raw_Claims_Data!I1012)</f>
        <v>None</v>
      </c>
      <c r="J1013" t="str">
        <f>Raw_Claims_Data!J1012</f>
        <v>Nashville</v>
      </c>
      <c r="K1013" t="str">
        <f>Raw_Claims_Data!K1012</f>
        <v>TN</v>
      </c>
      <c r="L1013">
        <f>Raw_Claims_Data!L1012</f>
        <v>21</v>
      </c>
      <c r="M1013" t="str">
        <f>IF(Raw_Claims_Data!M1012="","N/A",Raw_Claims_Data!M1012)</f>
        <v>VNDR00187</v>
      </c>
      <c r="N1013" t="str">
        <f>Raw_Claims_Data!N1012</f>
        <v>AGENT00078</v>
      </c>
      <c r="O1013">
        <f>IF(Raw_Claims_Data!G1012="D",1,0)</f>
        <v>0</v>
      </c>
    </row>
    <row r="1014" spans="1:15" x14ac:dyDescent="0.35">
      <c r="A1014" t="str">
        <f>Raw_Claims_Data!A1013</f>
        <v>TXN00001010</v>
      </c>
      <c r="B1014" t="str">
        <f>TRIM(Raw_Claims_Data!B1013)</f>
        <v>David Blake</v>
      </c>
      <c r="C1014" t="str">
        <f>Raw_Claims_Data!C1013</f>
        <v>Travel</v>
      </c>
      <c r="D1014">
        <f>Raw_Claims_Data!D1013</f>
        <v>55.84</v>
      </c>
      <c r="E1014">
        <f>Raw_Claims_Data!E1013</f>
        <v>3000</v>
      </c>
      <c r="F1014" t="str">
        <f>Raw_Claims_Data!F1013</f>
        <v>CA</v>
      </c>
      <c r="G1014" t="str">
        <f>Raw_Claims_Data!G1013</f>
        <v>A</v>
      </c>
      <c r="H1014" t="str">
        <f>Raw_Claims_Data!H1013</f>
        <v>Minor Loss</v>
      </c>
      <c r="I1014" t="str">
        <f>IF(Raw_Claims_Data!I1013="","None",Raw_Claims_Data!I1013)</f>
        <v>Ambulance</v>
      </c>
      <c r="J1014" t="str">
        <f>Raw_Claims_Data!J1013</f>
        <v>Louisville</v>
      </c>
      <c r="K1014" t="str">
        <f>Raw_Claims_Data!K1013</f>
        <v>KY</v>
      </c>
      <c r="L1014">
        <f>Raw_Claims_Data!L1013</f>
        <v>17</v>
      </c>
      <c r="M1014" t="str">
        <f>IF(Raw_Claims_Data!M1013="","N/A",Raw_Claims_Data!M1013)</f>
        <v>VNDR00226</v>
      </c>
      <c r="N1014" t="str">
        <f>Raw_Claims_Data!N1013</f>
        <v>AGENT01122</v>
      </c>
      <c r="O1014">
        <f>IF(Raw_Claims_Data!G1013="D",1,0)</f>
        <v>0</v>
      </c>
    </row>
    <row r="1015" spans="1:15" x14ac:dyDescent="0.35">
      <c r="A1015" t="str">
        <f>Raw_Claims_Data!A1014</f>
        <v>TXN00001011</v>
      </c>
      <c r="B1015" t="str">
        <f>TRIM(Raw_Claims_Data!B1014)</f>
        <v>Felicita Mayes</v>
      </c>
      <c r="C1015" t="str">
        <f>Raw_Claims_Data!C1014</f>
        <v>Property</v>
      </c>
      <c r="D1015">
        <f>Raw_Claims_Data!D1014</f>
        <v>141.46</v>
      </c>
      <c r="E1015">
        <f>Raw_Claims_Data!E1014</f>
        <v>20000</v>
      </c>
      <c r="F1015" t="str">
        <f>Raw_Claims_Data!F1014</f>
        <v>AR</v>
      </c>
      <c r="G1015" t="str">
        <f>Raw_Claims_Data!G1014</f>
        <v>A</v>
      </c>
      <c r="H1015" t="str">
        <f>Raw_Claims_Data!H1014</f>
        <v>Major Loss</v>
      </c>
      <c r="I1015" t="str">
        <f>IF(Raw_Claims_Data!I1014="","None",Raw_Claims_Data!I1014)</f>
        <v>Police</v>
      </c>
      <c r="J1015" t="str">
        <f>Raw_Claims_Data!J1014</f>
        <v>Washington</v>
      </c>
      <c r="K1015" t="str">
        <f>Raw_Claims_Data!K1014</f>
        <v>DC</v>
      </c>
      <c r="L1015">
        <f>Raw_Claims_Data!L1014</f>
        <v>2</v>
      </c>
      <c r="M1015" t="str">
        <f>IF(Raw_Claims_Data!M1014="","N/A",Raw_Claims_Data!M1014)</f>
        <v>VNDR00008</v>
      </c>
      <c r="N1015" t="str">
        <f>Raw_Claims_Data!N1014</f>
        <v>AGENT00419</v>
      </c>
      <c r="O1015">
        <f>IF(Raw_Claims_Data!G1014="D",1,0)</f>
        <v>0</v>
      </c>
    </row>
    <row r="1016" spans="1:15" x14ac:dyDescent="0.35">
      <c r="A1016" t="str">
        <f>Raw_Claims_Data!A1015</f>
        <v>TXN00001012</v>
      </c>
      <c r="B1016" t="str">
        <f>TRIM(Raw_Claims_Data!B1015)</f>
        <v>Mildred Johnson</v>
      </c>
      <c r="C1016" t="str">
        <f>Raw_Claims_Data!C1015</f>
        <v>Health</v>
      </c>
      <c r="D1016">
        <f>Raw_Claims_Data!D1015</f>
        <v>159.21</v>
      </c>
      <c r="E1016">
        <f>Raw_Claims_Data!E1015</f>
        <v>11000</v>
      </c>
      <c r="F1016" t="str">
        <f>Raw_Claims_Data!F1015</f>
        <v>CO</v>
      </c>
      <c r="G1016" t="str">
        <f>Raw_Claims_Data!G1015</f>
        <v>A</v>
      </c>
      <c r="H1016" t="str">
        <f>Raw_Claims_Data!H1015</f>
        <v>Minor Loss</v>
      </c>
      <c r="I1016" t="str">
        <f>IF(Raw_Claims_Data!I1015="","None",Raw_Claims_Data!I1015)</f>
        <v>Ambulance</v>
      </c>
      <c r="J1016" t="str">
        <f>Raw_Claims_Data!J1015</f>
        <v>Oakland</v>
      </c>
      <c r="K1016" t="str">
        <f>Raw_Claims_Data!K1015</f>
        <v>CA</v>
      </c>
      <c r="L1016">
        <f>Raw_Claims_Data!L1015</f>
        <v>15</v>
      </c>
      <c r="M1016" t="str">
        <f>IF(Raw_Claims_Data!M1015="","N/A",Raw_Claims_Data!M1015)</f>
        <v>VNDR00544</v>
      </c>
      <c r="N1016" t="str">
        <f>Raw_Claims_Data!N1015</f>
        <v>AGENT00955</v>
      </c>
      <c r="O1016">
        <f>IF(Raw_Claims_Data!G1015="D",1,0)</f>
        <v>0</v>
      </c>
    </row>
    <row r="1017" spans="1:15" x14ac:dyDescent="0.35">
      <c r="A1017" t="str">
        <f>Raw_Claims_Data!A1016</f>
        <v>TXN00001013</v>
      </c>
      <c r="B1017" t="str">
        <f>TRIM(Raw_Claims_Data!B1016)</f>
        <v>Robert Koch</v>
      </c>
      <c r="C1017" t="str">
        <f>Raw_Claims_Data!C1016</f>
        <v>Motor</v>
      </c>
      <c r="D1017">
        <f>Raw_Claims_Data!D1016</f>
        <v>98.48</v>
      </c>
      <c r="E1017">
        <f>Raw_Claims_Data!E1016</f>
        <v>5000</v>
      </c>
      <c r="F1017" t="str">
        <f>Raw_Claims_Data!F1016</f>
        <v>AK</v>
      </c>
      <c r="G1017" t="str">
        <f>Raw_Claims_Data!G1016</f>
        <v>A</v>
      </c>
      <c r="H1017" t="str">
        <f>Raw_Claims_Data!H1016</f>
        <v>Minor Loss</v>
      </c>
      <c r="I1017" t="str">
        <f>IF(Raw_Claims_Data!I1016="","None",Raw_Claims_Data!I1016)</f>
        <v>Police</v>
      </c>
      <c r="J1017" t="str">
        <f>Raw_Claims_Data!J1016</f>
        <v>Nashville</v>
      </c>
      <c r="K1017" t="str">
        <f>Raw_Claims_Data!K1016</f>
        <v>TN</v>
      </c>
      <c r="L1017">
        <f>Raw_Claims_Data!L1016</f>
        <v>16</v>
      </c>
      <c r="M1017" t="str">
        <f>IF(Raw_Claims_Data!M1016="","N/A",Raw_Claims_Data!M1016)</f>
        <v>VNDR00530</v>
      </c>
      <c r="N1017" t="str">
        <f>Raw_Claims_Data!N1016</f>
        <v>AGENT00484</v>
      </c>
      <c r="O1017">
        <f>IF(Raw_Claims_Data!G1016="D",1,0)</f>
        <v>0</v>
      </c>
    </row>
    <row r="1018" spans="1:15" x14ac:dyDescent="0.35">
      <c r="A1018" t="str">
        <f>Raw_Claims_Data!A1017</f>
        <v>TXN00001014</v>
      </c>
      <c r="B1018" t="str">
        <f>TRIM(Raw_Claims_Data!B1017)</f>
        <v>Therese Leon</v>
      </c>
      <c r="C1018" t="str">
        <f>Raw_Claims_Data!C1017</f>
        <v>Property</v>
      </c>
      <c r="D1018">
        <f>Raw_Claims_Data!D1017</f>
        <v>110.04</v>
      </c>
      <c r="E1018">
        <f>Raw_Claims_Data!E1017</f>
        <v>25000</v>
      </c>
      <c r="F1018" t="str">
        <f>Raw_Claims_Data!F1017</f>
        <v>GA</v>
      </c>
      <c r="G1018" t="str">
        <f>Raw_Claims_Data!G1017</f>
        <v>A</v>
      </c>
      <c r="H1018" t="str">
        <f>Raw_Claims_Data!H1017</f>
        <v>Minor Loss</v>
      </c>
      <c r="I1018" t="str">
        <f>IF(Raw_Claims_Data!I1017="","None",Raw_Claims_Data!I1017)</f>
        <v>None</v>
      </c>
      <c r="J1018" t="str">
        <f>Raw_Claims_Data!J1017</f>
        <v>Oklahoma City</v>
      </c>
      <c r="K1018" t="str">
        <f>Raw_Claims_Data!K1017</f>
        <v>OK</v>
      </c>
      <c r="L1018">
        <f>Raw_Claims_Data!L1017</f>
        <v>11</v>
      </c>
      <c r="M1018" t="str">
        <f>IF(Raw_Claims_Data!M1017="","N/A",Raw_Claims_Data!M1017)</f>
        <v>VNDR00510</v>
      </c>
      <c r="N1018" t="str">
        <f>Raw_Claims_Data!N1017</f>
        <v>AGENT00909</v>
      </c>
      <c r="O1018">
        <f>IF(Raw_Claims_Data!G1017="D",1,0)</f>
        <v>0</v>
      </c>
    </row>
    <row r="1019" spans="1:15" x14ac:dyDescent="0.35">
      <c r="A1019" t="str">
        <f>Raw_Claims_Data!A1018</f>
        <v>TXN00001015</v>
      </c>
      <c r="B1019" t="str">
        <f>TRIM(Raw_Claims_Data!B1018)</f>
        <v>James Rodgers</v>
      </c>
      <c r="C1019" t="str">
        <f>Raw_Claims_Data!C1018</f>
        <v>Life</v>
      </c>
      <c r="D1019">
        <f>Raw_Claims_Data!D1018</f>
        <v>90.69</v>
      </c>
      <c r="E1019">
        <f>Raw_Claims_Data!E1018</f>
        <v>84000</v>
      </c>
      <c r="F1019" t="str">
        <f>Raw_Claims_Data!F1018</f>
        <v>AR</v>
      </c>
      <c r="G1019" t="str">
        <f>Raw_Claims_Data!G1018</f>
        <v>A</v>
      </c>
      <c r="H1019" t="str">
        <f>Raw_Claims_Data!H1018</f>
        <v>Major Loss</v>
      </c>
      <c r="I1019" t="str">
        <f>IF(Raw_Claims_Data!I1018="","None",Raw_Claims_Data!I1018)</f>
        <v>Ambulance</v>
      </c>
      <c r="J1019" t="str">
        <f>Raw_Claims_Data!J1018</f>
        <v>Nashville</v>
      </c>
      <c r="K1019" t="str">
        <f>Raw_Claims_Data!K1018</f>
        <v>TN</v>
      </c>
      <c r="L1019">
        <f>Raw_Claims_Data!L1018</f>
        <v>5</v>
      </c>
      <c r="M1019" t="str">
        <f>IF(Raw_Claims_Data!M1018="","N/A",Raw_Claims_Data!M1018)</f>
        <v>VNDR00323</v>
      </c>
      <c r="N1019" t="str">
        <f>Raw_Claims_Data!N1018</f>
        <v>AGENT00344</v>
      </c>
      <c r="O1019">
        <f>IF(Raw_Claims_Data!G1018="D",1,0)</f>
        <v>0</v>
      </c>
    </row>
    <row r="1020" spans="1:15" x14ac:dyDescent="0.35">
      <c r="A1020" t="str">
        <f>Raw_Claims_Data!A1019</f>
        <v>TXN00001016</v>
      </c>
      <c r="B1020" t="str">
        <f>TRIM(Raw_Claims_Data!B1019)</f>
        <v>Rebecca Hightower</v>
      </c>
      <c r="C1020" t="str">
        <f>Raw_Claims_Data!C1019</f>
        <v>Mobile</v>
      </c>
      <c r="D1020">
        <f>Raw_Claims_Data!D1019</f>
        <v>6.94</v>
      </c>
      <c r="E1020">
        <f>Raw_Claims_Data!E1019</f>
        <v>500</v>
      </c>
      <c r="F1020" t="str">
        <f>Raw_Claims_Data!F1019</f>
        <v>DC</v>
      </c>
      <c r="G1020" t="str">
        <f>Raw_Claims_Data!G1019</f>
        <v>A</v>
      </c>
      <c r="H1020" t="str">
        <f>Raw_Claims_Data!H1019</f>
        <v>Minor Loss</v>
      </c>
      <c r="I1020" t="str">
        <f>IF(Raw_Claims_Data!I1019="","None",Raw_Claims_Data!I1019)</f>
        <v>Police</v>
      </c>
      <c r="J1020" t="str">
        <f>Raw_Claims_Data!J1019</f>
        <v>Washington</v>
      </c>
      <c r="K1020" t="str">
        <f>Raw_Claims_Data!K1019</f>
        <v>DC</v>
      </c>
      <c r="L1020">
        <f>Raw_Claims_Data!L1019</f>
        <v>11</v>
      </c>
      <c r="M1020" t="str">
        <f>IF(Raw_Claims_Data!M1019="","N/A",Raw_Claims_Data!M1019)</f>
        <v>N/A</v>
      </c>
      <c r="N1020" t="str">
        <f>Raw_Claims_Data!N1019</f>
        <v>AGENT00069</v>
      </c>
      <c r="O1020">
        <f>IF(Raw_Claims_Data!G1019="D",1,0)</f>
        <v>0</v>
      </c>
    </row>
    <row r="1021" spans="1:15" x14ac:dyDescent="0.35">
      <c r="A1021" t="str">
        <f>Raw_Claims_Data!A1020</f>
        <v>TXN00001017</v>
      </c>
      <c r="B1021" t="str">
        <f>TRIM(Raw_Claims_Data!B1020)</f>
        <v>Michell Cummings</v>
      </c>
      <c r="C1021" t="str">
        <f>Raw_Claims_Data!C1020</f>
        <v>Travel</v>
      </c>
      <c r="D1021">
        <f>Raw_Claims_Data!D1020</f>
        <v>86.6</v>
      </c>
      <c r="E1021">
        <f>Raw_Claims_Data!E1020</f>
        <v>2000</v>
      </c>
      <c r="F1021" t="str">
        <f>Raw_Claims_Data!F1020</f>
        <v>OK</v>
      </c>
      <c r="G1021" t="str">
        <f>Raw_Claims_Data!G1020</f>
        <v>A</v>
      </c>
      <c r="H1021" t="str">
        <f>Raw_Claims_Data!H1020</f>
        <v>Major Loss</v>
      </c>
      <c r="I1021" t="str">
        <f>IF(Raw_Claims_Data!I1020="","None",Raw_Claims_Data!I1020)</f>
        <v>Other</v>
      </c>
      <c r="J1021" t="str">
        <f>Raw_Claims_Data!J1020</f>
        <v>Louisville</v>
      </c>
      <c r="K1021" t="str">
        <f>Raw_Claims_Data!K1020</f>
        <v>KY</v>
      </c>
      <c r="L1021">
        <f>Raw_Claims_Data!L1020</f>
        <v>12</v>
      </c>
      <c r="M1021" t="str">
        <f>IF(Raw_Claims_Data!M1020="","N/A",Raw_Claims_Data!M1020)</f>
        <v>N/A</v>
      </c>
      <c r="N1021" t="str">
        <f>Raw_Claims_Data!N1020</f>
        <v>AGENT00397</v>
      </c>
      <c r="O1021">
        <f>IF(Raw_Claims_Data!G1020="D",1,0)</f>
        <v>0</v>
      </c>
    </row>
    <row r="1022" spans="1:15" x14ac:dyDescent="0.35">
      <c r="A1022" t="str">
        <f>Raw_Claims_Data!A1021</f>
        <v>TXN00001018</v>
      </c>
      <c r="B1022" t="str">
        <f>TRIM(Raw_Claims_Data!B1021)</f>
        <v>David Love</v>
      </c>
      <c r="C1022" t="str">
        <f>Raw_Claims_Data!C1021</f>
        <v>Mobile</v>
      </c>
      <c r="D1022">
        <f>Raw_Claims_Data!D1021</f>
        <v>10.74</v>
      </c>
      <c r="E1022">
        <f>Raw_Claims_Data!E1021</f>
        <v>600</v>
      </c>
      <c r="F1022" t="str">
        <f>Raw_Claims_Data!F1021</f>
        <v>FL</v>
      </c>
      <c r="G1022" t="str">
        <f>Raw_Claims_Data!G1021</f>
        <v>A</v>
      </c>
      <c r="H1022" t="str">
        <f>Raw_Claims_Data!H1021</f>
        <v>Minor Loss</v>
      </c>
      <c r="I1022" t="str">
        <f>IF(Raw_Claims_Data!I1021="","None",Raw_Claims_Data!I1021)</f>
        <v>Ambulance</v>
      </c>
      <c r="J1022" t="str">
        <f>Raw_Claims_Data!J1021</f>
        <v>Saint Albans City</v>
      </c>
      <c r="K1022" t="str">
        <f>Raw_Claims_Data!K1021</f>
        <v>VT</v>
      </c>
      <c r="L1022">
        <f>Raw_Claims_Data!L1021</f>
        <v>21</v>
      </c>
      <c r="M1022" t="str">
        <f>IF(Raw_Claims_Data!M1021="","N/A",Raw_Claims_Data!M1021)</f>
        <v>VNDR00448</v>
      </c>
      <c r="N1022" t="str">
        <f>Raw_Claims_Data!N1021</f>
        <v>AGENT00569</v>
      </c>
      <c r="O1022">
        <f>IF(Raw_Claims_Data!G1021="D",1,0)</f>
        <v>0</v>
      </c>
    </row>
    <row r="1023" spans="1:15" x14ac:dyDescent="0.35">
      <c r="A1023" t="str">
        <f>Raw_Claims_Data!A1022</f>
        <v>TXN00001019</v>
      </c>
      <c r="B1023" t="str">
        <f>TRIM(Raw_Claims_Data!B1022)</f>
        <v>Alta Hawkins</v>
      </c>
      <c r="C1023" t="str">
        <f>Raw_Claims_Data!C1022</f>
        <v>Property</v>
      </c>
      <c r="D1023">
        <f>Raw_Claims_Data!D1022</f>
        <v>102.65</v>
      </c>
      <c r="E1023">
        <f>Raw_Claims_Data!E1022</f>
        <v>40000</v>
      </c>
      <c r="F1023" t="str">
        <f>Raw_Claims_Data!F1022</f>
        <v>CO</v>
      </c>
      <c r="G1023" t="str">
        <f>Raw_Claims_Data!G1022</f>
        <v>A</v>
      </c>
      <c r="H1023" t="str">
        <f>Raw_Claims_Data!H1022</f>
        <v>Minor Loss</v>
      </c>
      <c r="I1023" t="str">
        <f>IF(Raw_Claims_Data!I1022="","None",Raw_Claims_Data!I1022)</f>
        <v>Ambulance</v>
      </c>
      <c r="J1023" t="str">
        <f>Raw_Claims_Data!J1022</f>
        <v>Fremont</v>
      </c>
      <c r="K1023" t="str">
        <f>Raw_Claims_Data!K1022</f>
        <v>CA</v>
      </c>
      <c r="L1023">
        <f>Raw_Claims_Data!L1022</f>
        <v>20</v>
      </c>
      <c r="M1023" t="str">
        <f>IF(Raw_Claims_Data!M1022="","N/A",Raw_Claims_Data!M1022)</f>
        <v>VNDR00464</v>
      </c>
      <c r="N1023" t="str">
        <f>Raw_Claims_Data!N1022</f>
        <v>AGENT00836</v>
      </c>
      <c r="O1023">
        <f>IF(Raw_Claims_Data!G1022="D",1,0)</f>
        <v>0</v>
      </c>
    </row>
    <row r="1024" spans="1:15" x14ac:dyDescent="0.35">
      <c r="A1024" t="str">
        <f>Raw_Claims_Data!A1023</f>
        <v>TXN00001020</v>
      </c>
      <c r="B1024" t="str">
        <f>TRIM(Raw_Claims_Data!B1023)</f>
        <v>Anthony Larkin</v>
      </c>
      <c r="C1024" t="str">
        <f>Raw_Claims_Data!C1023</f>
        <v>Health</v>
      </c>
      <c r="D1024">
        <f>Raw_Claims_Data!D1023</f>
        <v>130.59</v>
      </c>
      <c r="E1024">
        <f>Raw_Claims_Data!E1023</f>
        <v>7000</v>
      </c>
      <c r="F1024" t="str">
        <f>Raw_Claims_Data!F1023</f>
        <v>KY</v>
      </c>
      <c r="G1024" t="str">
        <f>Raw_Claims_Data!G1023</f>
        <v>D</v>
      </c>
      <c r="H1024" t="str">
        <f>Raw_Claims_Data!H1023</f>
        <v>Minor Loss</v>
      </c>
      <c r="I1024" t="str">
        <f>IF(Raw_Claims_Data!I1023="","None",Raw_Claims_Data!I1023)</f>
        <v>Police</v>
      </c>
      <c r="J1024" t="str">
        <f>Raw_Claims_Data!J1023</f>
        <v>Montgomery</v>
      </c>
      <c r="K1024" t="str">
        <f>Raw_Claims_Data!K1023</f>
        <v>AL</v>
      </c>
      <c r="L1024">
        <f>Raw_Claims_Data!L1023</f>
        <v>7</v>
      </c>
      <c r="M1024" t="str">
        <f>IF(Raw_Claims_Data!M1023="","N/A",Raw_Claims_Data!M1023)</f>
        <v>VNDR00403</v>
      </c>
      <c r="N1024" t="str">
        <f>Raw_Claims_Data!N1023</f>
        <v>AGENT00505</v>
      </c>
      <c r="O1024">
        <f>IF(Raw_Claims_Data!G1023="D",1,0)</f>
        <v>1</v>
      </c>
    </row>
    <row r="1025" spans="1:15" x14ac:dyDescent="0.35">
      <c r="A1025" t="str">
        <f>Raw_Claims_Data!A1024</f>
        <v>TXN00001021</v>
      </c>
      <c r="B1025" t="str">
        <f>TRIM(Raw_Claims_Data!B1024)</f>
        <v>Paulette Bryan</v>
      </c>
      <c r="C1025" t="str">
        <f>Raw_Claims_Data!C1024</f>
        <v>Life</v>
      </c>
      <c r="D1025">
        <f>Raw_Claims_Data!D1024</f>
        <v>89.32</v>
      </c>
      <c r="E1025">
        <f>Raw_Claims_Data!E1024</f>
        <v>28000</v>
      </c>
      <c r="F1025" t="str">
        <f>Raw_Claims_Data!F1024</f>
        <v>MA</v>
      </c>
      <c r="G1025" t="str">
        <f>Raw_Claims_Data!G1024</f>
        <v>A</v>
      </c>
      <c r="H1025" t="str">
        <f>Raw_Claims_Data!H1024</f>
        <v>Major Loss</v>
      </c>
      <c r="I1025" t="str">
        <f>IF(Raw_Claims_Data!I1024="","None",Raw_Claims_Data!I1024)</f>
        <v>Police</v>
      </c>
      <c r="J1025" t="str">
        <f>Raw_Claims_Data!J1024</f>
        <v>Oakland</v>
      </c>
      <c r="K1025" t="str">
        <f>Raw_Claims_Data!K1024</f>
        <v>CA</v>
      </c>
      <c r="L1025">
        <f>Raw_Claims_Data!L1024</f>
        <v>19</v>
      </c>
      <c r="M1025" t="str">
        <f>IF(Raw_Claims_Data!M1024="","N/A",Raw_Claims_Data!M1024)</f>
        <v>N/A</v>
      </c>
      <c r="N1025" t="str">
        <f>Raw_Claims_Data!N1024</f>
        <v>AGENT00915</v>
      </c>
      <c r="O1025">
        <f>IF(Raw_Claims_Data!G1024="D",1,0)</f>
        <v>0</v>
      </c>
    </row>
    <row r="1026" spans="1:15" x14ac:dyDescent="0.35">
      <c r="A1026" t="str">
        <f>Raw_Claims_Data!A1025</f>
        <v>TXN00001022</v>
      </c>
      <c r="B1026" t="str">
        <f>TRIM(Raw_Claims_Data!B1025)</f>
        <v>Alma Justice</v>
      </c>
      <c r="C1026" t="str">
        <f>Raw_Claims_Data!C1025</f>
        <v>Mobile</v>
      </c>
      <c r="D1026">
        <f>Raw_Claims_Data!D1025</f>
        <v>8</v>
      </c>
      <c r="E1026">
        <f>Raw_Claims_Data!E1025</f>
        <v>100</v>
      </c>
      <c r="F1026" t="str">
        <f>Raw_Claims_Data!F1025</f>
        <v>CO</v>
      </c>
      <c r="G1026" t="str">
        <f>Raw_Claims_Data!G1025</f>
        <v>D</v>
      </c>
      <c r="H1026" t="str">
        <f>Raw_Claims_Data!H1025</f>
        <v>Total Loss</v>
      </c>
      <c r="I1026" t="str">
        <f>IF(Raw_Claims_Data!I1025="","None",Raw_Claims_Data!I1025)</f>
        <v>None</v>
      </c>
      <c r="J1026" t="str">
        <f>Raw_Claims_Data!J1025</f>
        <v>Pleasanton</v>
      </c>
      <c r="K1026" t="str">
        <f>Raw_Claims_Data!K1025</f>
        <v>CA</v>
      </c>
      <c r="L1026">
        <f>Raw_Claims_Data!L1025</f>
        <v>17</v>
      </c>
      <c r="M1026" t="str">
        <f>IF(Raw_Claims_Data!M1025="","N/A",Raw_Claims_Data!M1025)</f>
        <v>VNDR00493</v>
      </c>
      <c r="N1026" t="str">
        <f>Raw_Claims_Data!N1025</f>
        <v>AGENT01160</v>
      </c>
      <c r="O1026">
        <f>IF(Raw_Claims_Data!G1025="D",1,0)</f>
        <v>1</v>
      </c>
    </row>
    <row r="1027" spans="1:15" x14ac:dyDescent="0.35">
      <c r="A1027" t="str">
        <f>Raw_Claims_Data!A1026</f>
        <v>TXN00001023</v>
      </c>
      <c r="B1027" t="str">
        <f>TRIM(Raw_Claims_Data!B1026)</f>
        <v>Nathan Nelson</v>
      </c>
      <c r="C1027" t="str">
        <f>Raw_Claims_Data!C1026</f>
        <v>Property</v>
      </c>
      <c r="D1027">
        <f>Raw_Claims_Data!D1026</f>
        <v>84.54</v>
      </c>
      <c r="E1027">
        <f>Raw_Claims_Data!E1026</f>
        <v>32000</v>
      </c>
      <c r="F1027" t="str">
        <f>Raw_Claims_Data!F1026</f>
        <v>AR</v>
      </c>
      <c r="G1027" t="str">
        <f>Raw_Claims_Data!G1026</f>
        <v>A</v>
      </c>
      <c r="H1027" t="str">
        <f>Raw_Claims_Data!H1026</f>
        <v>Total Loss</v>
      </c>
      <c r="I1027" t="str">
        <f>IF(Raw_Claims_Data!I1026="","None",Raw_Claims_Data!I1026)</f>
        <v>Ambulance</v>
      </c>
      <c r="J1027" t="str">
        <f>Raw_Claims_Data!J1026</f>
        <v>Carlsbad</v>
      </c>
      <c r="K1027" t="str">
        <f>Raw_Claims_Data!K1026</f>
        <v>CA</v>
      </c>
      <c r="L1027">
        <f>Raw_Claims_Data!L1026</f>
        <v>1</v>
      </c>
      <c r="M1027" t="str">
        <f>IF(Raw_Claims_Data!M1026="","N/A",Raw_Claims_Data!M1026)</f>
        <v>VNDR00399</v>
      </c>
      <c r="N1027" t="str">
        <f>Raw_Claims_Data!N1026</f>
        <v>AGENT00487</v>
      </c>
      <c r="O1027">
        <f>IF(Raw_Claims_Data!G1026="D",1,0)</f>
        <v>0</v>
      </c>
    </row>
    <row r="1028" spans="1:15" x14ac:dyDescent="0.35">
      <c r="A1028" t="str">
        <f>Raw_Claims_Data!A1027</f>
        <v>TXN00001024</v>
      </c>
      <c r="B1028" t="str">
        <f>TRIM(Raw_Claims_Data!B1027)</f>
        <v>Dorothy Mckenzie</v>
      </c>
      <c r="C1028" t="str">
        <f>Raw_Claims_Data!C1027</f>
        <v>Health</v>
      </c>
      <c r="D1028">
        <f>Raw_Claims_Data!D1027</f>
        <v>110.45</v>
      </c>
      <c r="E1028">
        <f>Raw_Claims_Data!E1027</f>
        <v>1000</v>
      </c>
      <c r="F1028" t="str">
        <f>Raw_Claims_Data!F1027</f>
        <v>CO</v>
      </c>
      <c r="G1028" t="str">
        <f>Raw_Claims_Data!G1027</f>
        <v>A</v>
      </c>
      <c r="H1028" t="str">
        <f>Raw_Claims_Data!H1027</f>
        <v>Total Loss</v>
      </c>
      <c r="I1028" t="str">
        <f>IF(Raw_Claims_Data!I1027="","None",Raw_Claims_Data!I1027)</f>
        <v>Other</v>
      </c>
      <c r="J1028" t="str">
        <f>Raw_Claims_Data!J1027</f>
        <v>Savannah</v>
      </c>
      <c r="K1028" t="str">
        <f>Raw_Claims_Data!K1027</f>
        <v>GA</v>
      </c>
      <c r="L1028">
        <f>Raw_Claims_Data!L1027</f>
        <v>13</v>
      </c>
      <c r="M1028" t="str">
        <f>IF(Raw_Claims_Data!M1027="","N/A",Raw_Claims_Data!M1027)</f>
        <v>N/A</v>
      </c>
      <c r="N1028" t="str">
        <f>Raw_Claims_Data!N1027</f>
        <v>AGENT00414</v>
      </c>
      <c r="O1028">
        <f>IF(Raw_Claims_Data!G1027="D",1,0)</f>
        <v>0</v>
      </c>
    </row>
    <row r="1029" spans="1:15" x14ac:dyDescent="0.35">
      <c r="A1029" t="str">
        <f>Raw_Claims_Data!A1028</f>
        <v>TXN00001025</v>
      </c>
      <c r="B1029" t="str">
        <f>TRIM(Raw_Claims_Data!B1028)</f>
        <v>James Phillips</v>
      </c>
      <c r="C1029" t="str">
        <f>Raw_Claims_Data!C1028</f>
        <v>Life</v>
      </c>
      <c r="D1029">
        <f>Raw_Claims_Data!D1028</f>
        <v>52.99</v>
      </c>
      <c r="E1029">
        <f>Raw_Claims_Data!E1028</f>
        <v>79000</v>
      </c>
      <c r="F1029" t="str">
        <f>Raw_Claims_Data!F1028</f>
        <v>DC</v>
      </c>
      <c r="G1029" t="str">
        <f>Raw_Claims_Data!G1028</f>
        <v>A</v>
      </c>
      <c r="H1029" t="str">
        <f>Raw_Claims_Data!H1028</f>
        <v>Total Loss</v>
      </c>
      <c r="I1029" t="str">
        <f>IF(Raw_Claims_Data!I1028="","None",Raw_Claims_Data!I1028)</f>
        <v>Ambulance</v>
      </c>
      <c r="J1029" t="str">
        <f>Raw_Claims_Data!J1028</f>
        <v>Louisville</v>
      </c>
      <c r="K1029" t="str">
        <f>Raw_Claims_Data!K1028</f>
        <v>KY</v>
      </c>
      <c r="L1029">
        <f>Raw_Claims_Data!L1028</f>
        <v>8</v>
      </c>
      <c r="M1029" t="str">
        <f>IF(Raw_Claims_Data!M1028="","N/A",Raw_Claims_Data!M1028)</f>
        <v>VNDR00549</v>
      </c>
      <c r="N1029" t="str">
        <f>Raw_Claims_Data!N1028</f>
        <v>AGENT00995</v>
      </c>
      <c r="O1029">
        <f>IF(Raw_Claims_Data!G1028="D",1,0)</f>
        <v>0</v>
      </c>
    </row>
    <row r="1030" spans="1:15" x14ac:dyDescent="0.35">
      <c r="A1030" t="str">
        <f>Raw_Claims_Data!A1029</f>
        <v>TXN00001026</v>
      </c>
      <c r="B1030" t="str">
        <f>TRIM(Raw_Claims_Data!B1029)</f>
        <v>John Mayhugh</v>
      </c>
      <c r="C1030" t="str">
        <f>Raw_Claims_Data!C1029</f>
        <v>Health</v>
      </c>
      <c r="D1030">
        <f>Raw_Claims_Data!D1029</f>
        <v>143.37</v>
      </c>
      <c r="E1030">
        <f>Raw_Claims_Data!E1029</f>
        <v>9000</v>
      </c>
      <c r="F1030" t="str">
        <f>Raw_Claims_Data!F1029</f>
        <v>CO</v>
      </c>
      <c r="G1030" t="str">
        <f>Raw_Claims_Data!G1029</f>
        <v>D</v>
      </c>
      <c r="H1030" t="str">
        <f>Raw_Claims_Data!H1029</f>
        <v>Total Loss</v>
      </c>
      <c r="I1030" t="str">
        <f>IF(Raw_Claims_Data!I1029="","None",Raw_Claims_Data!I1029)</f>
        <v>Police</v>
      </c>
      <c r="J1030" t="str">
        <f>Raw_Claims_Data!J1029</f>
        <v>Edmond</v>
      </c>
      <c r="K1030" t="str">
        <f>Raw_Claims_Data!K1029</f>
        <v>OK</v>
      </c>
      <c r="L1030">
        <f>Raw_Claims_Data!L1029</f>
        <v>5</v>
      </c>
      <c r="M1030" t="str">
        <f>IF(Raw_Claims_Data!M1029="","N/A",Raw_Claims_Data!M1029)</f>
        <v>N/A</v>
      </c>
      <c r="N1030" t="str">
        <f>Raw_Claims_Data!N1029</f>
        <v>AGENT01085</v>
      </c>
      <c r="O1030">
        <f>IF(Raw_Claims_Data!G1029="D",1,0)</f>
        <v>1</v>
      </c>
    </row>
    <row r="1031" spans="1:15" x14ac:dyDescent="0.35">
      <c r="A1031" t="str">
        <f>Raw_Claims_Data!A1030</f>
        <v>TXN00001027</v>
      </c>
      <c r="B1031" t="str">
        <f>TRIM(Raw_Claims_Data!B1030)</f>
        <v>Lauren Loftis</v>
      </c>
      <c r="C1031" t="str">
        <f>Raw_Claims_Data!C1030</f>
        <v>Travel</v>
      </c>
      <c r="D1031">
        <f>Raw_Claims_Data!D1030</f>
        <v>87.28</v>
      </c>
      <c r="E1031">
        <f>Raw_Claims_Data!E1030</f>
        <v>2000</v>
      </c>
      <c r="F1031" t="str">
        <f>Raw_Claims_Data!F1030</f>
        <v>MD</v>
      </c>
      <c r="G1031" t="str">
        <f>Raw_Claims_Data!G1030</f>
        <v>A</v>
      </c>
      <c r="H1031" t="str">
        <f>Raw_Claims_Data!H1030</f>
        <v>Total Loss</v>
      </c>
      <c r="I1031" t="str">
        <f>IF(Raw_Claims_Data!I1030="","None",Raw_Claims_Data!I1030)</f>
        <v>Ambulance</v>
      </c>
      <c r="J1031" t="str">
        <f>Raw_Claims_Data!J1030</f>
        <v>Aurora</v>
      </c>
      <c r="K1031" t="str">
        <f>Raw_Claims_Data!K1030</f>
        <v>CO</v>
      </c>
      <c r="L1031">
        <f>Raw_Claims_Data!L1030</f>
        <v>21</v>
      </c>
      <c r="M1031" t="str">
        <f>IF(Raw_Claims_Data!M1030="","N/A",Raw_Claims_Data!M1030)</f>
        <v>VNDR00162</v>
      </c>
      <c r="N1031" t="str">
        <f>Raw_Claims_Data!N1030</f>
        <v>AGENT00748</v>
      </c>
      <c r="O1031">
        <f>IF(Raw_Claims_Data!G1030="D",1,0)</f>
        <v>0</v>
      </c>
    </row>
    <row r="1032" spans="1:15" x14ac:dyDescent="0.35">
      <c r="A1032" t="str">
        <f>Raw_Claims_Data!A1031</f>
        <v>TXN00001028</v>
      </c>
      <c r="B1032" t="str">
        <f>TRIM(Raw_Claims_Data!B1031)</f>
        <v>Nathan Anderson</v>
      </c>
      <c r="C1032" t="str">
        <f>Raw_Claims_Data!C1031</f>
        <v>Property</v>
      </c>
      <c r="D1032">
        <f>Raw_Claims_Data!D1031</f>
        <v>81.77</v>
      </c>
      <c r="E1032">
        <f>Raw_Claims_Data!E1031</f>
        <v>21000</v>
      </c>
      <c r="F1032" t="str">
        <f>Raw_Claims_Data!F1031</f>
        <v>MD</v>
      </c>
      <c r="G1032" t="str">
        <f>Raw_Claims_Data!G1031</f>
        <v>A</v>
      </c>
      <c r="H1032" t="str">
        <f>Raw_Claims_Data!H1031</f>
        <v>Total Loss</v>
      </c>
      <c r="I1032" t="str">
        <f>IF(Raw_Claims_Data!I1031="","None",Raw_Claims_Data!I1031)</f>
        <v>Ambulance</v>
      </c>
      <c r="J1032" t="str">
        <f>Raw_Claims_Data!J1031</f>
        <v>Louisville</v>
      </c>
      <c r="K1032" t="str">
        <f>Raw_Claims_Data!K1031</f>
        <v>KY</v>
      </c>
      <c r="L1032">
        <f>Raw_Claims_Data!L1031</f>
        <v>23</v>
      </c>
      <c r="M1032" t="str">
        <f>IF(Raw_Claims_Data!M1031="","N/A",Raw_Claims_Data!M1031)</f>
        <v>VNDR00076</v>
      </c>
      <c r="N1032" t="str">
        <f>Raw_Claims_Data!N1031</f>
        <v>AGENT00433</v>
      </c>
      <c r="O1032">
        <f>IF(Raw_Claims_Data!G1031="D",1,0)</f>
        <v>0</v>
      </c>
    </row>
    <row r="1033" spans="1:15" x14ac:dyDescent="0.35">
      <c r="A1033" t="str">
        <f>Raw_Claims_Data!A1032</f>
        <v>TXN00001029</v>
      </c>
      <c r="B1033" t="str">
        <f>TRIM(Raw_Claims_Data!B1032)</f>
        <v>Robert Duron</v>
      </c>
      <c r="C1033" t="str">
        <f>Raw_Claims_Data!C1032</f>
        <v>Mobile</v>
      </c>
      <c r="D1033">
        <f>Raw_Claims_Data!D1032</f>
        <v>10.24</v>
      </c>
      <c r="E1033">
        <f>Raw_Claims_Data!E1032</f>
        <v>600</v>
      </c>
      <c r="F1033" t="str">
        <f>Raw_Claims_Data!F1032</f>
        <v>FL</v>
      </c>
      <c r="G1033" t="str">
        <f>Raw_Claims_Data!G1032</f>
        <v>A</v>
      </c>
      <c r="H1033" t="str">
        <f>Raw_Claims_Data!H1032</f>
        <v>Total Loss</v>
      </c>
      <c r="I1033" t="str">
        <f>IF(Raw_Claims_Data!I1032="","None",Raw_Claims_Data!I1032)</f>
        <v>None</v>
      </c>
      <c r="J1033" t="str">
        <f>Raw_Claims_Data!J1032</f>
        <v>Gambrills</v>
      </c>
      <c r="K1033" t="str">
        <f>Raw_Claims_Data!K1032</f>
        <v>MD</v>
      </c>
      <c r="L1033">
        <f>Raw_Claims_Data!L1032</f>
        <v>19</v>
      </c>
      <c r="M1033" t="str">
        <f>IF(Raw_Claims_Data!M1032="","N/A",Raw_Claims_Data!M1032)</f>
        <v>N/A</v>
      </c>
      <c r="N1033" t="str">
        <f>Raw_Claims_Data!N1032</f>
        <v>AGENT00054</v>
      </c>
      <c r="O1033">
        <f>IF(Raw_Claims_Data!G1032="D",1,0)</f>
        <v>0</v>
      </c>
    </row>
    <row r="1034" spans="1:15" x14ac:dyDescent="0.35">
      <c r="A1034" t="str">
        <f>Raw_Claims_Data!A1033</f>
        <v>TXN00001030</v>
      </c>
      <c r="B1034" t="str">
        <f>TRIM(Raw_Claims_Data!B1033)</f>
        <v>Donald Chiquito</v>
      </c>
      <c r="C1034" t="str">
        <f>Raw_Claims_Data!C1033</f>
        <v>Life</v>
      </c>
      <c r="D1034">
        <f>Raw_Claims_Data!D1033</f>
        <v>50.76</v>
      </c>
      <c r="E1034">
        <f>Raw_Claims_Data!E1033</f>
        <v>18000</v>
      </c>
      <c r="F1034" t="str">
        <f>Raw_Claims_Data!F1033</f>
        <v>DC</v>
      </c>
      <c r="G1034" t="str">
        <f>Raw_Claims_Data!G1033</f>
        <v>A</v>
      </c>
      <c r="H1034" t="str">
        <f>Raw_Claims_Data!H1033</f>
        <v>Minor Loss</v>
      </c>
      <c r="I1034" t="str">
        <f>IF(Raw_Claims_Data!I1033="","None",Raw_Claims_Data!I1033)</f>
        <v>Ambulance</v>
      </c>
      <c r="J1034" t="str">
        <f>Raw_Claims_Data!J1033</f>
        <v>Glendale</v>
      </c>
      <c r="K1034" t="str">
        <f>Raw_Claims_Data!K1033</f>
        <v>AZ</v>
      </c>
      <c r="L1034">
        <f>Raw_Claims_Data!L1033</f>
        <v>23</v>
      </c>
      <c r="M1034" t="str">
        <f>IF(Raw_Claims_Data!M1033="","N/A",Raw_Claims_Data!M1033)</f>
        <v>N/A</v>
      </c>
      <c r="N1034" t="str">
        <f>Raw_Claims_Data!N1033</f>
        <v>AGENT00363</v>
      </c>
      <c r="O1034">
        <f>IF(Raw_Claims_Data!G1033="D",1,0)</f>
        <v>0</v>
      </c>
    </row>
    <row r="1035" spans="1:15" x14ac:dyDescent="0.35">
      <c r="A1035" t="str">
        <f>Raw_Claims_Data!A1034</f>
        <v>TXN00001031</v>
      </c>
      <c r="B1035" t="str">
        <f>TRIM(Raw_Claims_Data!B1034)</f>
        <v>Marian Oneal</v>
      </c>
      <c r="C1035" t="str">
        <f>Raw_Claims_Data!C1034</f>
        <v>Property</v>
      </c>
      <c r="D1035">
        <f>Raw_Claims_Data!D1034</f>
        <v>81.72</v>
      </c>
      <c r="E1035">
        <f>Raw_Claims_Data!E1034</f>
        <v>27000</v>
      </c>
      <c r="F1035" t="str">
        <f>Raw_Claims_Data!F1034</f>
        <v>TN</v>
      </c>
      <c r="G1035" t="str">
        <f>Raw_Claims_Data!G1034</f>
        <v>A</v>
      </c>
      <c r="H1035" t="str">
        <f>Raw_Claims_Data!H1034</f>
        <v>Total Loss</v>
      </c>
      <c r="I1035" t="str">
        <f>IF(Raw_Claims_Data!I1034="","None",Raw_Claims_Data!I1034)</f>
        <v>Other</v>
      </c>
      <c r="J1035" t="str">
        <f>Raw_Claims_Data!J1034</f>
        <v>Tampa</v>
      </c>
      <c r="K1035" t="str">
        <f>Raw_Claims_Data!K1034</f>
        <v>FL</v>
      </c>
      <c r="L1035">
        <f>Raw_Claims_Data!L1034</f>
        <v>20</v>
      </c>
      <c r="M1035" t="str">
        <f>IF(Raw_Claims_Data!M1034="","N/A",Raw_Claims_Data!M1034)</f>
        <v>VNDR00495</v>
      </c>
      <c r="N1035" t="str">
        <f>Raw_Claims_Data!N1034</f>
        <v>AGENT00967</v>
      </c>
      <c r="O1035">
        <f>IF(Raw_Claims_Data!G1034="D",1,0)</f>
        <v>0</v>
      </c>
    </row>
    <row r="1036" spans="1:15" x14ac:dyDescent="0.35">
      <c r="A1036" t="str">
        <f>Raw_Claims_Data!A1035</f>
        <v>TXN00001032</v>
      </c>
      <c r="B1036" t="str">
        <f>TRIM(Raw_Claims_Data!B1035)</f>
        <v>Norma Abramson</v>
      </c>
      <c r="C1036" t="str">
        <f>Raw_Claims_Data!C1035</f>
        <v>Life</v>
      </c>
      <c r="D1036">
        <f>Raw_Claims_Data!D1035</f>
        <v>62.69</v>
      </c>
      <c r="E1036">
        <f>Raw_Claims_Data!E1035</f>
        <v>23000</v>
      </c>
      <c r="F1036" t="str">
        <f>Raw_Claims_Data!F1035</f>
        <v>CA</v>
      </c>
      <c r="G1036" t="str">
        <f>Raw_Claims_Data!G1035</f>
        <v>A</v>
      </c>
      <c r="H1036" t="str">
        <f>Raw_Claims_Data!H1035</f>
        <v>Total Loss</v>
      </c>
      <c r="I1036" t="str">
        <f>IF(Raw_Claims_Data!I1035="","None",Raw_Claims_Data!I1035)</f>
        <v>Police</v>
      </c>
      <c r="J1036" t="str">
        <f>Raw_Claims_Data!J1035</f>
        <v>Arvada</v>
      </c>
      <c r="K1036" t="str">
        <f>Raw_Claims_Data!K1035</f>
        <v>CO</v>
      </c>
      <c r="L1036">
        <f>Raw_Claims_Data!L1035</f>
        <v>17</v>
      </c>
      <c r="M1036" t="str">
        <f>IF(Raw_Claims_Data!M1035="","N/A",Raw_Claims_Data!M1035)</f>
        <v>N/A</v>
      </c>
      <c r="N1036" t="str">
        <f>Raw_Claims_Data!N1035</f>
        <v>AGENT00976</v>
      </c>
      <c r="O1036">
        <f>IF(Raw_Claims_Data!G1035="D",1,0)</f>
        <v>0</v>
      </c>
    </row>
    <row r="1037" spans="1:15" x14ac:dyDescent="0.35">
      <c r="A1037" t="str">
        <f>Raw_Claims_Data!A1036</f>
        <v>TXN00001033</v>
      </c>
      <c r="B1037" t="str">
        <f>TRIM(Raw_Claims_Data!B1036)</f>
        <v>Robert Robinson</v>
      </c>
      <c r="C1037" t="str">
        <f>Raw_Claims_Data!C1036</f>
        <v>Life</v>
      </c>
      <c r="D1037">
        <f>Raw_Claims_Data!D1036</f>
        <v>62.48</v>
      </c>
      <c r="E1037">
        <f>Raw_Claims_Data!E1036</f>
        <v>62000</v>
      </c>
      <c r="F1037" t="str">
        <f>Raw_Claims_Data!F1036</f>
        <v>AZ</v>
      </c>
      <c r="G1037" t="str">
        <f>Raw_Claims_Data!G1036</f>
        <v>A</v>
      </c>
      <c r="H1037" t="str">
        <f>Raw_Claims_Data!H1036</f>
        <v>Minor Loss</v>
      </c>
      <c r="I1037" t="str">
        <f>IF(Raw_Claims_Data!I1036="","None",Raw_Claims_Data!I1036)</f>
        <v>Ambulance</v>
      </c>
      <c r="J1037" t="str">
        <f>Raw_Claims_Data!J1036</f>
        <v>Washington</v>
      </c>
      <c r="K1037" t="str">
        <f>Raw_Claims_Data!K1036</f>
        <v>DC</v>
      </c>
      <c r="L1037">
        <f>Raw_Claims_Data!L1036</f>
        <v>4</v>
      </c>
      <c r="M1037" t="str">
        <f>IF(Raw_Claims_Data!M1036="","N/A",Raw_Claims_Data!M1036)</f>
        <v>N/A</v>
      </c>
      <c r="N1037" t="str">
        <f>Raw_Claims_Data!N1036</f>
        <v>AGENT00392</v>
      </c>
      <c r="O1037">
        <f>IF(Raw_Claims_Data!G1036="D",1,0)</f>
        <v>0</v>
      </c>
    </row>
    <row r="1038" spans="1:15" x14ac:dyDescent="0.35">
      <c r="A1038" t="str">
        <f>Raw_Claims_Data!A1037</f>
        <v>TXN00001034</v>
      </c>
      <c r="B1038" t="str">
        <f>TRIM(Raw_Claims_Data!B1037)</f>
        <v>Evelyn Champagne</v>
      </c>
      <c r="C1038" t="str">
        <f>Raw_Claims_Data!C1037</f>
        <v>Motor</v>
      </c>
      <c r="D1038">
        <f>Raw_Claims_Data!D1037</f>
        <v>119.42</v>
      </c>
      <c r="E1038">
        <f>Raw_Claims_Data!E1037</f>
        <v>10000</v>
      </c>
      <c r="F1038" t="str">
        <f>Raw_Claims_Data!F1037</f>
        <v>FL</v>
      </c>
      <c r="G1038" t="str">
        <f>Raw_Claims_Data!G1037</f>
        <v>A</v>
      </c>
      <c r="H1038" t="str">
        <f>Raw_Claims_Data!H1037</f>
        <v>Total Loss</v>
      </c>
      <c r="I1038" t="str">
        <f>IF(Raw_Claims_Data!I1037="","None",Raw_Claims_Data!I1037)</f>
        <v>None</v>
      </c>
      <c r="J1038" t="str">
        <f>Raw_Claims_Data!J1037</f>
        <v>Pooler</v>
      </c>
      <c r="K1038" t="str">
        <f>Raw_Claims_Data!K1037</f>
        <v>GA</v>
      </c>
      <c r="L1038">
        <f>Raw_Claims_Data!L1037</f>
        <v>15</v>
      </c>
      <c r="M1038" t="str">
        <f>IF(Raw_Claims_Data!M1037="","N/A",Raw_Claims_Data!M1037)</f>
        <v>N/A</v>
      </c>
      <c r="N1038" t="str">
        <f>Raw_Claims_Data!N1037</f>
        <v>AGENT00103</v>
      </c>
      <c r="O1038">
        <f>IF(Raw_Claims_Data!G1037="D",1,0)</f>
        <v>0</v>
      </c>
    </row>
    <row r="1039" spans="1:15" x14ac:dyDescent="0.35">
      <c r="A1039" t="str">
        <f>Raw_Claims_Data!A1038</f>
        <v>TXN00001035</v>
      </c>
      <c r="B1039" t="str">
        <f>TRIM(Raw_Claims_Data!B1038)</f>
        <v>Leslie Ramirez</v>
      </c>
      <c r="C1039" t="str">
        <f>Raw_Claims_Data!C1038</f>
        <v>Motor</v>
      </c>
      <c r="D1039">
        <f>Raw_Claims_Data!D1038</f>
        <v>70.39</v>
      </c>
      <c r="E1039">
        <f>Raw_Claims_Data!E1038</f>
        <v>6000</v>
      </c>
      <c r="F1039" t="str">
        <f>Raw_Claims_Data!F1038</f>
        <v>VT</v>
      </c>
      <c r="G1039" t="str">
        <f>Raw_Claims_Data!G1038</f>
        <v>A</v>
      </c>
      <c r="H1039" t="str">
        <f>Raw_Claims_Data!H1038</f>
        <v>Total Loss</v>
      </c>
      <c r="I1039" t="str">
        <f>IF(Raw_Claims_Data!I1038="","None",Raw_Claims_Data!I1038)</f>
        <v>Ambulance</v>
      </c>
      <c r="J1039" t="str">
        <f>Raw_Claims_Data!J1038</f>
        <v>Washington</v>
      </c>
      <c r="K1039" t="str">
        <f>Raw_Claims_Data!K1038</f>
        <v>DC</v>
      </c>
      <c r="L1039">
        <f>Raw_Claims_Data!L1038</f>
        <v>23</v>
      </c>
      <c r="M1039" t="str">
        <f>IF(Raw_Claims_Data!M1038="","N/A",Raw_Claims_Data!M1038)</f>
        <v>N/A</v>
      </c>
      <c r="N1039" t="str">
        <f>Raw_Claims_Data!N1038</f>
        <v>AGENT00459</v>
      </c>
      <c r="O1039">
        <f>IF(Raw_Claims_Data!G1038="D",1,0)</f>
        <v>0</v>
      </c>
    </row>
    <row r="1040" spans="1:15" x14ac:dyDescent="0.35">
      <c r="A1040" t="str">
        <f>Raw_Claims_Data!A1039</f>
        <v>TXN00001036</v>
      </c>
      <c r="B1040" t="str">
        <f>TRIM(Raw_Claims_Data!B1039)</f>
        <v>William Hurley</v>
      </c>
      <c r="C1040" t="str">
        <f>Raw_Claims_Data!C1039</f>
        <v>Mobile</v>
      </c>
      <c r="D1040">
        <f>Raw_Claims_Data!D1039</f>
        <v>8.3800000000000008</v>
      </c>
      <c r="E1040">
        <f>Raw_Claims_Data!E1039</f>
        <v>200</v>
      </c>
      <c r="F1040" t="str">
        <f>Raw_Claims_Data!F1039</f>
        <v>CO</v>
      </c>
      <c r="G1040" t="str">
        <f>Raw_Claims_Data!G1039</f>
        <v>D</v>
      </c>
      <c r="H1040" t="str">
        <f>Raw_Claims_Data!H1039</f>
        <v>Major Loss</v>
      </c>
      <c r="I1040" t="str">
        <f>IF(Raw_Claims_Data!I1039="","None",Raw_Claims_Data!I1039)</f>
        <v>Ambulance</v>
      </c>
      <c r="J1040" t="str">
        <f>Raw_Claims_Data!J1039</f>
        <v>Panama City</v>
      </c>
      <c r="K1040" t="str">
        <f>Raw_Claims_Data!K1039</f>
        <v>FL</v>
      </c>
      <c r="L1040">
        <f>Raw_Claims_Data!L1039</f>
        <v>22</v>
      </c>
      <c r="M1040" t="str">
        <f>IF(Raw_Claims_Data!M1039="","N/A",Raw_Claims_Data!M1039)</f>
        <v>VNDR00312</v>
      </c>
      <c r="N1040" t="str">
        <f>Raw_Claims_Data!N1039</f>
        <v>AGENT00554</v>
      </c>
      <c r="O1040">
        <f>IF(Raw_Claims_Data!G1039="D",1,0)</f>
        <v>1</v>
      </c>
    </row>
    <row r="1041" spans="1:15" x14ac:dyDescent="0.35">
      <c r="A1041" t="str">
        <f>Raw_Claims_Data!A1040</f>
        <v>TXN00001037</v>
      </c>
      <c r="B1041" t="str">
        <f>TRIM(Raw_Claims_Data!B1040)</f>
        <v>Raymond Shellenberger</v>
      </c>
      <c r="C1041" t="str">
        <f>Raw_Claims_Data!C1040</f>
        <v>Property</v>
      </c>
      <c r="D1041">
        <f>Raw_Claims_Data!D1040</f>
        <v>103.58</v>
      </c>
      <c r="E1041">
        <f>Raw_Claims_Data!E1040</f>
        <v>18000</v>
      </c>
      <c r="F1041" t="str">
        <f>Raw_Claims_Data!F1040</f>
        <v>CA</v>
      </c>
      <c r="G1041" t="str">
        <f>Raw_Claims_Data!G1040</f>
        <v>A</v>
      </c>
      <c r="H1041" t="str">
        <f>Raw_Claims_Data!H1040</f>
        <v>Major Loss</v>
      </c>
      <c r="I1041" t="str">
        <f>IF(Raw_Claims_Data!I1040="","None",Raw_Claims_Data!I1040)</f>
        <v>Ambulance</v>
      </c>
      <c r="J1041">
        <f>Raw_Claims_Data!J1040</f>
        <v>0</v>
      </c>
      <c r="K1041" t="str">
        <f>Raw_Claims_Data!K1040</f>
        <v>VT</v>
      </c>
      <c r="L1041">
        <f>Raw_Claims_Data!L1040</f>
        <v>17</v>
      </c>
      <c r="M1041" t="str">
        <f>IF(Raw_Claims_Data!M1040="","N/A",Raw_Claims_Data!M1040)</f>
        <v>VNDR00538</v>
      </c>
      <c r="N1041" t="str">
        <f>Raw_Claims_Data!N1040</f>
        <v>AGENT00507</v>
      </c>
      <c r="O1041">
        <f>IF(Raw_Claims_Data!G1040="D",1,0)</f>
        <v>0</v>
      </c>
    </row>
    <row r="1042" spans="1:15" x14ac:dyDescent="0.35">
      <c r="A1042" t="str">
        <f>Raw_Claims_Data!A1041</f>
        <v>TXN00001038</v>
      </c>
      <c r="B1042" t="str">
        <f>TRIM(Raw_Claims_Data!B1041)</f>
        <v>Ella Laseter</v>
      </c>
      <c r="C1042" t="str">
        <f>Raw_Claims_Data!C1041</f>
        <v>Mobile</v>
      </c>
      <c r="D1042">
        <f>Raw_Claims_Data!D1041</f>
        <v>7.35</v>
      </c>
      <c r="E1042">
        <f>Raw_Claims_Data!E1041</f>
        <v>200</v>
      </c>
      <c r="F1042" t="str">
        <f>Raw_Claims_Data!F1041</f>
        <v>AR</v>
      </c>
      <c r="G1042" t="str">
        <f>Raw_Claims_Data!G1041</f>
        <v>A</v>
      </c>
      <c r="H1042" t="str">
        <f>Raw_Claims_Data!H1041</f>
        <v>Total Loss</v>
      </c>
      <c r="I1042" t="str">
        <f>IF(Raw_Claims_Data!I1041="","None",Raw_Claims_Data!I1041)</f>
        <v>Ambulance</v>
      </c>
      <c r="J1042" t="str">
        <f>Raw_Claims_Data!J1041</f>
        <v>Washington</v>
      </c>
      <c r="K1042" t="str">
        <f>Raw_Claims_Data!K1041</f>
        <v>DC</v>
      </c>
      <c r="L1042">
        <f>Raw_Claims_Data!L1041</f>
        <v>4</v>
      </c>
      <c r="M1042" t="str">
        <f>IF(Raw_Claims_Data!M1041="","N/A",Raw_Claims_Data!M1041)</f>
        <v>VNDR00404</v>
      </c>
      <c r="N1042" t="str">
        <f>Raw_Claims_Data!N1041</f>
        <v>AGENT00414</v>
      </c>
      <c r="O1042">
        <f>IF(Raw_Claims_Data!G1041="D",1,0)</f>
        <v>0</v>
      </c>
    </row>
    <row r="1043" spans="1:15" x14ac:dyDescent="0.35">
      <c r="A1043" t="str">
        <f>Raw_Claims_Data!A1042</f>
        <v>TXN00001039</v>
      </c>
      <c r="B1043" t="str">
        <f>TRIM(Raw_Claims_Data!B1042)</f>
        <v>David Hall</v>
      </c>
      <c r="C1043" t="str">
        <f>Raw_Claims_Data!C1042</f>
        <v>Property</v>
      </c>
      <c r="D1043">
        <f>Raw_Claims_Data!D1042</f>
        <v>153.72</v>
      </c>
      <c r="E1043">
        <f>Raw_Claims_Data!E1042</f>
        <v>32000</v>
      </c>
      <c r="F1043" t="str">
        <f>Raw_Claims_Data!F1042</f>
        <v>CT</v>
      </c>
      <c r="G1043" t="str">
        <f>Raw_Claims_Data!G1042</f>
        <v>A</v>
      </c>
      <c r="H1043" t="str">
        <f>Raw_Claims_Data!H1042</f>
        <v>Minor Loss</v>
      </c>
      <c r="I1043" t="str">
        <f>IF(Raw_Claims_Data!I1042="","None",Raw_Claims_Data!I1042)</f>
        <v>Police</v>
      </c>
      <c r="J1043">
        <f>Raw_Claims_Data!J1042</f>
        <v>0</v>
      </c>
      <c r="K1043" t="str">
        <f>Raw_Claims_Data!K1042</f>
        <v>VT</v>
      </c>
      <c r="L1043">
        <f>Raw_Claims_Data!L1042</f>
        <v>5</v>
      </c>
      <c r="M1043" t="str">
        <f>IF(Raw_Claims_Data!M1042="","N/A",Raw_Claims_Data!M1042)</f>
        <v>VNDR00451</v>
      </c>
      <c r="N1043" t="str">
        <f>Raw_Claims_Data!N1042</f>
        <v>AGENT00549</v>
      </c>
      <c r="O1043">
        <f>IF(Raw_Claims_Data!G1042="D",1,0)</f>
        <v>0</v>
      </c>
    </row>
    <row r="1044" spans="1:15" x14ac:dyDescent="0.35">
      <c r="A1044" t="str">
        <f>Raw_Claims_Data!A1043</f>
        <v>TXN00001040</v>
      </c>
      <c r="B1044" t="str">
        <f>TRIM(Raw_Claims_Data!B1043)</f>
        <v>Debra Marczak</v>
      </c>
      <c r="C1044" t="str">
        <f>Raw_Claims_Data!C1043</f>
        <v>Mobile</v>
      </c>
      <c r="D1044">
        <f>Raw_Claims_Data!D1043</f>
        <v>6.91</v>
      </c>
      <c r="E1044">
        <f>Raw_Claims_Data!E1043</f>
        <v>300</v>
      </c>
      <c r="F1044" t="str">
        <f>Raw_Claims_Data!F1043</f>
        <v>VT</v>
      </c>
      <c r="G1044" t="str">
        <f>Raw_Claims_Data!G1043</f>
        <v>A</v>
      </c>
      <c r="H1044" t="str">
        <f>Raw_Claims_Data!H1043</f>
        <v>Major Loss</v>
      </c>
      <c r="I1044" t="str">
        <f>IF(Raw_Claims_Data!I1043="","None",Raw_Claims_Data!I1043)</f>
        <v>Ambulance</v>
      </c>
      <c r="J1044" t="str">
        <f>Raw_Claims_Data!J1043</f>
        <v>Nashville</v>
      </c>
      <c r="K1044" t="str">
        <f>Raw_Claims_Data!K1043</f>
        <v>TN</v>
      </c>
      <c r="L1044">
        <f>Raw_Claims_Data!L1043</f>
        <v>5</v>
      </c>
      <c r="M1044" t="str">
        <f>IF(Raw_Claims_Data!M1043="","N/A",Raw_Claims_Data!M1043)</f>
        <v>VNDR00275</v>
      </c>
      <c r="N1044" t="str">
        <f>Raw_Claims_Data!N1043</f>
        <v>AGENT00984</v>
      </c>
      <c r="O1044">
        <f>IF(Raw_Claims_Data!G1043="D",1,0)</f>
        <v>0</v>
      </c>
    </row>
    <row r="1045" spans="1:15" x14ac:dyDescent="0.35">
      <c r="A1045" t="str">
        <f>Raw_Claims_Data!A1044</f>
        <v>TXN00001041</v>
      </c>
      <c r="B1045" t="str">
        <f>TRIM(Raw_Claims_Data!B1044)</f>
        <v>Suzanne Orozco</v>
      </c>
      <c r="C1045" t="str">
        <f>Raw_Claims_Data!C1044</f>
        <v>Mobile</v>
      </c>
      <c r="D1045">
        <f>Raw_Claims_Data!D1044</f>
        <v>6.66</v>
      </c>
      <c r="E1045">
        <f>Raw_Claims_Data!E1044</f>
        <v>400</v>
      </c>
      <c r="F1045" t="str">
        <f>Raw_Claims_Data!F1044</f>
        <v>KY</v>
      </c>
      <c r="G1045" t="str">
        <f>Raw_Claims_Data!G1044</f>
        <v>A</v>
      </c>
      <c r="H1045" t="str">
        <f>Raw_Claims_Data!H1044</f>
        <v>Minor Loss</v>
      </c>
      <c r="I1045" t="str">
        <f>IF(Raw_Claims_Data!I1044="","None",Raw_Claims_Data!I1044)</f>
        <v>Ambulance</v>
      </c>
      <c r="J1045" t="str">
        <f>Raw_Claims_Data!J1044</f>
        <v>Lunenburg</v>
      </c>
      <c r="K1045" t="str">
        <f>Raw_Claims_Data!K1044</f>
        <v>MA</v>
      </c>
      <c r="L1045">
        <f>Raw_Claims_Data!L1044</f>
        <v>22</v>
      </c>
      <c r="M1045" t="str">
        <f>IF(Raw_Claims_Data!M1044="","N/A",Raw_Claims_Data!M1044)</f>
        <v>VNDR00239</v>
      </c>
      <c r="N1045" t="str">
        <f>Raw_Claims_Data!N1044</f>
        <v>AGENT00207</v>
      </c>
      <c r="O1045">
        <f>IF(Raw_Claims_Data!G1044="D",1,0)</f>
        <v>0</v>
      </c>
    </row>
    <row r="1046" spans="1:15" x14ac:dyDescent="0.35">
      <c r="A1046" t="str">
        <f>Raw_Claims_Data!A1045</f>
        <v>TXN00001042</v>
      </c>
      <c r="B1046" t="str">
        <f>TRIM(Raw_Claims_Data!B1045)</f>
        <v>John Boyer</v>
      </c>
      <c r="C1046" t="str">
        <f>Raw_Claims_Data!C1045</f>
        <v>Motor</v>
      </c>
      <c r="D1046">
        <f>Raw_Claims_Data!D1045</f>
        <v>90.48</v>
      </c>
      <c r="E1046">
        <f>Raw_Claims_Data!E1045</f>
        <v>2000</v>
      </c>
      <c r="F1046" t="str">
        <f>Raw_Claims_Data!F1045</f>
        <v>CT</v>
      </c>
      <c r="G1046" t="str">
        <f>Raw_Claims_Data!G1045</f>
        <v>A</v>
      </c>
      <c r="H1046" t="str">
        <f>Raw_Claims_Data!H1045</f>
        <v>Total Loss</v>
      </c>
      <c r="I1046" t="str">
        <f>IF(Raw_Claims_Data!I1045="","None",Raw_Claims_Data!I1045)</f>
        <v>Police</v>
      </c>
      <c r="J1046" t="str">
        <f>Raw_Claims_Data!J1045</f>
        <v>Yucaipa</v>
      </c>
      <c r="K1046" t="str">
        <f>Raw_Claims_Data!K1045</f>
        <v>CA</v>
      </c>
      <c r="L1046">
        <f>Raw_Claims_Data!L1045</f>
        <v>10</v>
      </c>
      <c r="M1046" t="str">
        <f>IF(Raw_Claims_Data!M1045="","N/A",Raw_Claims_Data!M1045)</f>
        <v>N/A</v>
      </c>
      <c r="N1046" t="str">
        <f>Raw_Claims_Data!N1045</f>
        <v>AGENT00532</v>
      </c>
      <c r="O1046">
        <f>IF(Raw_Claims_Data!G1045="D",1,0)</f>
        <v>0</v>
      </c>
    </row>
    <row r="1047" spans="1:15" x14ac:dyDescent="0.35">
      <c r="A1047" t="str">
        <f>Raw_Claims_Data!A1046</f>
        <v>TXN00001043</v>
      </c>
      <c r="B1047" t="str">
        <f>TRIM(Raw_Claims_Data!B1046)</f>
        <v>Maria Luciani</v>
      </c>
      <c r="C1047" t="str">
        <f>Raw_Claims_Data!C1046</f>
        <v>Property</v>
      </c>
      <c r="D1047">
        <f>Raw_Claims_Data!D1046</f>
        <v>117.74</v>
      </c>
      <c r="E1047">
        <f>Raw_Claims_Data!E1046</f>
        <v>36000</v>
      </c>
      <c r="F1047" t="str">
        <f>Raw_Claims_Data!F1046</f>
        <v>DC</v>
      </c>
      <c r="G1047" t="str">
        <f>Raw_Claims_Data!G1046</f>
        <v>D</v>
      </c>
      <c r="H1047" t="str">
        <f>Raw_Claims_Data!H1046</f>
        <v>Major Loss</v>
      </c>
      <c r="I1047" t="str">
        <f>IF(Raw_Claims_Data!I1046="","None",Raw_Claims_Data!I1046)</f>
        <v>Police</v>
      </c>
      <c r="J1047" t="str">
        <f>Raw_Claims_Data!J1046</f>
        <v>Montgomery</v>
      </c>
      <c r="K1047" t="str">
        <f>Raw_Claims_Data!K1046</f>
        <v>AL</v>
      </c>
      <c r="L1047">
        <f>Raw_Claims_Data!L1046</f>
        <v>5</v>
      </c>
      <c r="M1047" t="str">
        <f>IF(Raw_Claims_Data!M1046="","N/A",Raw_Claims_Data!M1046)</f>
        <v>VNDR00242</v>
      </c>
      <c r="N1047" t="str">
        <f>Raw_Claims_Data!N1046</f>
        <v>AGENT00446</v>
      </c>
      <c r="O1047">
        <f>IF(Raw_Claims_Data!G1046="D",1,0)</f>
        <v>1</v>
      </c>
    </row>
    <row r="1048" spans="1:15" x14ac:dyDescent="0.35">
      <c r="A1048" t="str">
        <f>Raw_Claims_Data!A1047</f>
        <v>TXN00001044</v>
      </c>
      <c r="B1048" t="str">
        <f>TRIM(Raw_Claims_Data!B1047)</f>
        <v>Jimmie Rodriguez</v>
      </c>
      <c r="C1048" t="str">
        <f>Raw_Claims_Data!C1047</f>
        <v>Travel</v>
      </c>
      <c r="D1048">
        <f>Raw_Claims_Data!D1047</f>
        <v>71.53</v>
      </c>
      <c r="E1048">
        <f>Raw_Claims_Data!E1047</f>
        <v>4000</v>
      </c>
      <c r="F1048" t="str">
        <f>Raw_Claims_Data!F1047</f>
        <v>AK</v>
      </c>
      <c r="G1048" t="str">
        <f>Raw_Claims_Data!G1047</f>
        <v>A</v>
      </c>
      <c r="H1048" t="str">
        <f>Raw_Claims_Data!H1047</f>
        <v>Total Loss</v>
      </c>
      <c r="I1048" t="str">
        <f>IF(Raw_Claims_Data!I1047="","None",Raw_Claims_Data!I1047)</f>
        <v>Ambulance</v>
      </c>
      <c r="J1048" t="str">
        <f>Raw_Claims_Data!J1047</f>
        <v>Plymouth</v>
      </c>
      <c r="K1048" t="str">
        <f>Raw_Claims_Data!K1047</f>
        <v>MA</v>
      </c>
      <c r="L1048">
        <f>Raw_Claims_Data!L1047</f>
        <v>4</v>
      </c>
      <c r="M1048" t="str">
        <f>IF(Raw_Claims_Data!M1047="","N/A",Raw_Claims_Data!M1047)</f>
        <v>VNDR00387</v>
      </c>
      <c r="N1048" t="str">
        <f>Raw_Claims_Data!N1047</f>
        <v>AGENT00956</v>
      </c>
      <c r="O1048">
        <f>IF(Raw_Claims_Data!G1047="D",1,0)</f>
        <v>0</v>
      </c>
    </row>
    <row r="1049" spans="1:15" x14ac:dyDescent="0.35">
      <c r="A1049" t="str">
        <f>Raw_Claims_Data!A1048</f>
        <v>TXN00001045</v>
      </c>
      <c r="B1049" t="str">
        <f>TRIM(Raw_Claims_Data!B1048)</f>
        <v>Ruben Wright</v>
      </c>
      <c r="C1049" t="str">
        <f>Raw_Claims_Data!C1048</f>
        <v>Mobile</v>
      </c>
      <c r="D1049">
        <f>Raw_Claims_Data!D1048</f>
        <v>11.95</v>
      </c>
      <c r="E1049">
        <f>Raw_Claims_Data!E1048</f>
        <v>300</v>
      </c>
      <c r="F1049" t="str">
        <f>Raw_Claims_Data!F1048</f>
        <v>CA</v>
      </c>
      <c r="G1049" t="str">
        <f>Raw_Claims_Data!G1048</f>
        <v>A</v>
      </c>
      <c r="H1049" t="str">
        <f>Raw_Claims_Data!H1048</f>
        <v>Total Loss</v>
      </c>
      <c r="I1049" t="str">
        <f>IF(Raw_Claims_Data!I1048="","None",Raw_Claims_Data!I1048)</f>
        <v>Ambulance</v>
      </c>
      <c r="J1049" t="str">
        <f>Raw_Claims_Data!J1048</f>
        <v>Lithia</v>
      </c>
      <c r="K1049" t="str">
        <f>Raw_Claims_Data!K1048</f>
        <v>FL</v>
      </c>
      <c r="L1049">
        <f>Raw_Claims_Data!L1048</f>
        <v>17</v>
      </c>
      <c r="M1049" t="str">
        <f>IF(Raw_Claims_Data!M1048="","N/A",Raw_Claims_Data!M1048)</f>
        <v>VNDR00306</v>
      </c>
      <c r="N1049" t="str">
        <f>Raw_Claims_Data!N1048</f>
        <v>AGENT00738</v>
      </c>
      <c r="O1049">
        <f>IF(Raw_Claims_Data!G1048="D",1,0)</f>
        <v>0</v>
      </c>
    </row>
    <row r="1050" spans="1:15" x14ac:dyDescent="0.35">
      <c r="A1050" t="str">
        <f>Raw_Claims_Data!A1049</f>
        <v>TXN00001046</v>
      </c>
      <c r="B1050" t="str">
        <f>TRIM(Raw_Claims_Data!B1049)</f>
        <v>Joyce Garcia</v>
      </c>
      <c r="C1050" t="str">
        <f>Raw_Claims_Data!C1049</f>
        <v>Motor</v>
      </c>
      <c r="D1050">
        <f>Raw_Claims_Data!D1049</f>
        <v>75.06</v>
      </c>
      <c r="E1050">
        <f>Raw_Claims_Data!E1049</f>
        <v>4000</v>
      </c>
      <c r="F1050" t="str">
        <f>Raw_Claims_Data!F1049</f>
        <v>CT</v>
      </c>
      <c r="G1050" t="str">
        <f>Raw_Claims_Data!G1049</f>
        <v>A</v>
      </c>
      <c r="H1050" t="str">
        <f>Raw_Claims_Data!H1049</f>
        <v>Total Loss</v>
      </c>
      <c r="I1050" t="str">
        <f>IF(Raw_Claims_Data!I1049="","None",Raw_Claims_Data!I1049)</f>
        <v>None</v>
      </c>
      <c r="J1050" t="str">
        <f>Raw_Claims_Data!J1049</f>
        <v>Washington</v>
      </c>
      <c r="K1050" t="str">
        <f>Raw_Claims_Data!K1049</f>
        <v>DC</v>
      </c>
      <c r="L1050">
        <f>Raw_Claims_Data!L1049</f>
        <v>18</v>
      </c>
      <c r="M1050" t="str">
        <f>IF(Raw_Claims_Data!M1049="","N/A",Raw_Claims_Data!M1049)</f>
        <v>VNDR00387</v>
      </c>
      <c r="N1050" t="str">
        <f>Raw_Claims_Data!N1049</f>
        <v>AGENT01159</v>
      </c>
      <c r="O1050">
        <f>IF(Raw_Claims_Data!G1049="D",1,0)</f>
        <v>0</v>
      </c>
    </row>
    <row r="1051" spans="1:15" x14ac:dyDescent="0.35">
      <c r="A1051" t="str">
        <f>Raw_Claims_Data!A1050</f>
        <v>TXN00001047</v>
      </c>
      <c r="B1051" t="str">
        <f>TRIM(Raw_Claims_Data!B1050)</f>
        <v>Shari Gransberry</v>
      </c>
      <c r="C1051" t="str">
        <f>Raw_Claims_Data!C1050</f>
        <v>Motor</v>
      </c>
      <c r="D1051">
        <f>Raw_Claims_Data!D1050</f>
        <v>105.16</v>
      </c>
      <c r="E1051">
        <f>Raw_Claims_Data!E1050</f>
        <v>1000</v>
      </c>
      <c r="F1051" t="str">
        <f>Raw_Claims_Data!F1050</f>
        <v>MA</v>
      </c>
      <c r="G1051" t="str">
        <f>Raw_Claims_Data!G1050</f>
        <v>A</v>
      </c>
      <c r="H1051" t="str">
        <f>Raw_Claims_Data!H1050</f>
        <v>Major Loss</v>
      </c>
      <c r="I1051" t="str">
        <f>IF(Raw_Claims_Data!I1050="","None",Raw_Claims_Data!I1050)</f>
        <v>Police</v>
      </c>
      <c r="J1051" t="str">
        <f>Raw_Claims_Data!J1050</f>
        <v>Savannah</v>
      </c>
      <c r="K1051" t="str">
        <f>Raw_Claims_Data!K1050</f>
        <v>GA</v>
      </c>
      <c r="L1051">
        <f>Raw_Claims_Data!L1050</f>
        <v>3</v>
      </c>
      <c r="M1051" t="str">
        <f>IF(Raw_Claims_Data!M1050="","N/A",Raw_Claims_Data!M1050)</f>
        <v>VNDR00527</v>
      </c>
      <c r="N1051" t="str">
        <f>Raw_Claims_Data!N1050</f>
        <v>AGENT00179</v>
      </c>
      <c r="O1051">
        <f>IF(Raw_Claims_Data!G1050="D",1,0)</f>
        <v>0</v>
      </c>
    </row>
    <row r="1052" spans="1:15" x14ac:dyDescent="0.35">
      <c r="A1052" t="str">
        <f>Raw_Claims_Data!A1051</f>
        <v>TXN00001048</v>
      </c>
      <c r="B1052" t="str">
        <f>TRIM(Raw_Claims_Data!B1051)</f>
        <v>Felicia Love</v>
      </c>
      <c r="C1052" t="str">
        <f>Raw_Claims_Data!C1051</f>
        <v>Life</v>
      </c>
      <c r="D1052">
        <f>Raw_Claims_Data!D1051</f>
        <v>54.11</v>
      </c>
      <c r="E1052">
        <f>Raw_Claims_Data!E1051</f>
        <v>37000</v>
      </c>
      <c r="F1052" t="str">
        <f>Raw_Claims_Data!F1051</f>
        <v>CA</v>
      </c>
      <c r="G1052" t="str">
        <f>Raw_Claims_Data!G1051</f>
        <v>A</v>
      </c>
      <c r="H1052" t="str">
        <f>Raw_Claims_Data!H1051</f>
        <v>Minor Loss</v>
      </c>
      <c r="I1052" t="str">
        <f>IF(Raw_Claims_Data!I1051="","None",Raw_Claims_Data!I1051)</f>
        <v>Police</v>
      </c>
      <c r="J1052" t="str">
        <f>Raw_Claims_Data!J1051</f>
        <v>Arvada</v>
      </c>
      <c r="K1052" t="str">
        <f>Raw_Claims_Data!K1051</f>
        <v>CO</v>
      </c>
      <c r="L1052">
        <f>Raw_Claims_Data!L1051</f>
        <v>22</v>
      </c>
      <c r="M1052" t="str">
        <f>IF(Raw_Claims_Data!M1051="","N/A",Raw_Claims_Data!M1051)</f>
        <v>VNDR00564</v>
      </c>
      <c r="N1052" t="str">
        <f>Raw_Claims_Data!N1051</f>
        <v>AGENT00408</v>
      </c>
      <c r="O1052">
        <f>IF(Raw_Claims_Data!G1051="D",1,0)</f>
        <v>0</v>
      </c>
    </row>
    <row r="1053" spans="1:15" x14ac:dyDescent="0.35">
      <c r="A1053" t="str">
        <f>Raw_Claims_Data!A1052</f>
        <v>TXN00001049</v>
      </c>
      <c r="B1053" t="str">
        <f>TRIM(Raw_Claims_Data!B1052)</f>
        <v>Carol Magana</v>
      </c>
      <c r="C1053" t="str">
        <f>Raw_Claims_Data!C1052</f>
        <v>Travel</v>
      </c>
      <c r="D1053">
        <f>Raw_Claims_Data!D1052</f>
        <v>96.99</v>
      </c>
      <c r="E1053">
        <f>Raw_Claims_Data!E1052</f>
        <v>3000</v>
      </c>
      <c r="F1053" t="str">
        <f>Raw_Claims_Data!F1052</f>
        <v>AZ</v>
      </c>
      <c r="G1053" t="str">
        <f>Raw_Claims_Data!G1052</f>
        <v>A</v>
      </c>
      <c r="H1053" t="str">
        <f>Raw_Claims_Data!H1052</f>
        <v>Minor Loss</v>
      </c>
      <c r="I1053" t="str">
        <f>IF(Raw_Claims_Data!I1052="","None",Raw_Claims_Data!I1052)</f>
        <v>Ambulance</v>
      </c>
      <c r="J1053" t="str">
        <f>Raw_Claims_Data!J1052</f>
        <v>Nashville</v>
      </c>
      <c r="K1053" t="str">
        <f>Raw_Claims_Data!K1052</f>
        <v>TN</v>
      </c>
      <c r="L1053">
        <f>Raw_Claims_Data!L1052</f>
        <v>23</v>
      </c>
      <c r="M1053" t="str">
        <f>IF(Raw_Claims_Data!M1052="","N/A",Raw_Claims_Data!M1052)</f>
        <v>VNDR00209</v>
      </c>
      <c r="N1053" t="str">
        <f>Raw_Claims_Data!N1052</f>
        <v>AGENT00441</v>
      </c>
      <c r="O1053">
        <f>IF(Raw_Claims_Data!G1052="D",1,0)</f>
        <v>0</v>
      </c>
    </row>
    <row r="1054" spans="1:15" x14ac:dyDescent="0.35">
      <c r="A1054" t="str">
        <f>Raw_Claims_Data!A1053</f>
        <v>TXN00001050</v>
      </c>
      <c r="B1054" t="str">
        <f>TRIM(Raw_Claims_Data!B1053)</f>
        <v>Brigitte Milan</v>
      </c>
      <c r="C1054" t="str">
        <f>Raw_Claims_Data!C1053</f>
        <v>Travel</v>
      </c>
      <c r="D1054">
        <f>Raw_Claims_Data!D1053</f>
        <v>69.53</v>
      </c>
      <c r="E1054">
        <f>Raw_Claims_Data!E1053</f>
        <v>2000</v>
      </c>
      <c r="F1054" t="str">
        <f>Raw_Claims_Data!F1053</f>
        <v>DC</v>
      </c>
      <c r="G1054" t="str">
        <f>Raw_Claims_Data!G1053</f>
        <v>A</v>
      </c>
      <c r="H1054" t="str">
        <f>Raw_Claims_Data!H1053</f>
        <v>Major Loss</v>
      </c>
      <c r="I1054" t="str">
        <f>IF(Raw_Claims_Data!I1053="","None",Raw_Claims_Data!I1053)</f>
        <v>Ambulance</v>
      </c>
      <c r="J1054" t="str">
        <f>Raw_Claims_Data!J1053</f>
        <v>Annapolis</v>
      </c>
      <c r="K1054" t="str">
        <f>Raw_Claims_Data!K1053</f>
        <v>MD</v>
      </c>
      <c r="L1054">
        <f>Raw_Claims_Data!L1053</f>
        <v>23</v>
      </c>
      <c r="M1054" t="str">
        <f>IF(Raw_Claims_Data!M1053="","N/A",Raw_Claims_Data!M1053)</f>
        <v>N/A</v>
      </c>
      <c r="N1054" t="str">
        <f>Raw_Claims_Data!N1053</f>
        <v>AGENT00351</v>
      </c>
      <c r="O1054">
        <f>IF(Raw_Claims_Data!G1053="D",1,0)</f>
        <v>0</v>
      </c>
    </row>
    <row r="1055" spans="1:15" x14ac:dyDescent="0.35">
      <c r="A1055" t="str">
        <f>Raw_Claims_Data!A1054</f>
        <v>TXN00001051</v>
      </c>
      <c r="B1055" t="str">
        <f>TRIM(Raw_Claims_Data!B1054)</f>
        <v>Eddy Hamilton</v>
      </c>
      <c r="C1055" t="str">
        <f>Raw_Claims_Data!C1054</f>
        <v>Mobile</v>
      </c>
      <c r="D1055">
        <f>Raw_Claims_Data!D1054</f>
        <v>8.2899999999999991</v>
      </c>
      <c r="E1055">
        <f>Raw_Claims_Data!E1054</f>
        <v>600</v>
      </c>
      <c r="F1055" t="str">
        <f>Raw_Claims_Data!F1054</f>
        <v>AZ</v>
      </c>
      <c r="G1055" t="str">
        <f>Raw_Claims_Data!G1054</f>
        <v>A</v>
      </c>
      <c r="H1055" t="str">
        <f>Raw_Claims_Data!H1054</f>
        <v>Total Loss</v>
      </c>
      <c r="I1055" t="str">
        <f>IF(Raw_Claims_Data!I1054="","None",Raw_Claims_Data!I1054)</f>
        <v>Police</v>
      </c>
      <c r="J1055" t="str">
        <f>Raw_Claims_Data!J1054</f>
        <v>Arvada</v>
      </c>
      <c r="K1055" t="str">
        <f>Raw_Claims_Data!K1054</f>
        <v>CO</v>
      </c>
      <c r="L1055">
        <f>Raw_Claims_Data!L1054</f>
        <v>6</v>
      </c>
      <c r="M1055" t="str">
        <f>IF(Raw_Claims_Data!M1054="","N/A",Raw_Claims_Data!M1054)</f>
        <v>VNDR00327</v>
      </c>
      <c r="N1055" t="str">
        <f>Raw_Claims_Data!N1054</f>
        <v>AGENT00250</v>
      </c>
      <c r="O1055">
        <f>IF(Raw_Claims_Data!G1054="D",1,0)</f>
        <v>0</v>
      </c>
    </row>
    <row r="1056" spans="1:15" x14ac:dyDescent="0.35">
      <c r="A1056" t="str">
        <f>Raw_Claims_Data!A1055</f>
        <v>TXN00001052</v>
      </c>
      <c r="B1056" t="str">
        <f>TRIM(Raw_Claims_Data!B1055)</f>
        <v>Arthur Sullivan</v>
      </c>
      <c r="C1056" t="str">
        <f>Raw_Claims_Data!C1055</f>
        <v>Mobile</v>
      </c>
      <c r="D1056">
        <f>Raw_Claims_Data!D1055</f>
        <v>10.36</v>
      </c>
      <c r="E1056">
        <f>Raw_Claims_Data!E1055</f>
        <v>400</v>
      </c>
      <c r="F1056" t="str">
        <f>Raw_Claims_Data!F1055</f>
        <v>AZ</v>
      </c>
      <c r="G1056" t="str">
        <f>Raw_Claims_Data!G1055</f>
        <v>A</v>
      </c>
      <c r="H1056" t="str">
        <f>Raw_Claims_Data!H1055</f>
        <v>Total Loss</v>
      </c>
      <c r="I1056" t="str">
        <f>IF(Raw_Claims_Data!I1055="","None",Raw_Claims_Data!I1055)</f>
        <v>Ambulance</v>
      </c>
      <c r="J1056" t="str">
        <f>Raw_Claims_Data!J1055</f>
        <v>Nashville</v>
      </c>
      <c r="K1056" t="str">
        <f>Raw_Claims_Data!K1055</f>
        <v>TN</v>
      </c>
      <c r="L1056">
        <f>Raw_Claims_Data!L1055</f>
        <v>23</v>
      </c>
      <c r="M1056" t="str">
        <f>IF(Raw_Claims_Data!M1055="","N/A",Raw_Claims_Data!M1055)</f>
        <v>VNDR00429</v>
      </c>
      <c r="N1056" t="str">
        <f>Raw_Claims_Data!N1055</f>
        <v>AGENT00991</v>
      </c>
      <c r="O1056">
        <f>IF(Raw_Claims_Data!G1055="D",1,0)</f>
        <v>0</v>
      </c>
    </row>
    <row r="1057" spans="1:15" x14ac:dyDescent="0.35">
      <c r="A1057" t="str">
        <f>Raw_Claims_Data!A1056</f>
        <v>TXN00001053</v>
      </c>
      <c r="B1057" t="str">
        <f>TRIM(Raw_Claims_Data!B1056)</f>
        <v>David Medley</v>
      </c>
      <c r="C1057" t="str">
        <f>Raw_Claims_Data!C1056</f>
        <v>Health</v>
      </c>
      <c r="D1057">
        <f>Raw_Claims_Data!D1056</f>
        <v>103.34</v>
      </c>
      <c r="E1057">
        <f>Raw_Claims_Data!E1056</f>
        <v>12000</v>
      </c>
      <c r="F1057" t="str">
        <f>Raw_Claims_Data!F1056</f>
        <v>CO</v>
      </c>
      <c r="G1057" t="str">
        <f>Raw_Claims_Data!G1056</f>
        <v>A</v>
      </c>
      <c r="H1057" t="str">
        <f>Raw_Claims_Data!H1056</f>
        <v>Minor Loss</v>
      </c>
      <c r="I1057" t="str">
        <f>IF(Raw_Claims_Data!I1056="","None",Raw_Claims_Data!I1056)</f>
        <v>Ambulance</v>
      </c>
      <c r="J1057" t="str">
        <f>Raw_Claims_Data!J1056</f>
        <v>Anchorage</v>
      </c>
      <c r="K1057" t="str">
        <f>Raw_Claims_Data!K1056</f>
        <v>AK</v>
      </c>
      <c r="L1057">
        <f>Raw_Claims_Data!L1056</f>
        <v>14</v>
      </c>
      <c r="M1057" t="str">
        <f>IF(Raw_Claims_Data!M1056="","N/A",Raw_Claims_Data!M1056)</f>
        <v>VNDR00268</v>
      </c>
      <c r="N1057" t="str">
        <f>Raw_Claims_Data!N1056</f>
        <v>AGENT00190</v>
      </c>
      <c r="O1057">
        <f>IF(Raw_Claims_Data!G1056="D",1,0)</f>
        <v>0</v>
      </c>
    </row>
    <row r="1058" spans="1:15" x14ac:dyDescent="0.35">
      <c r="A1058" t="str">
        <f>Raw_Claims_Data!A1057</f>
        <v>TXN00001054</v>
      </c>
      <c r="B1058" t="str">
        <f>TRIM(Raw_Claims_Data!B1057)</f>
        <v>Martin Cavazos</v>
      </c>
      <c r="C1058" t="str">
        <f>Raw_Claims_Data!C1057</f>
        <v>Property</v>
      </c>
      <c r="D1058">
        <f>Raw_Claims_Data!D1057</f>
        <v>154.36000000000001</v>
      </c>
      <c r="E1058">
        <f>Raw_Claims_Data!E1057</f>
        <v>30000</v>
      </c>
      <c r="F1058" t="str">
        <f>Raw_Claims_Data!F1057</f>
        <v>CA</v>
      </c>
      <c r="G1058" t="str">
        <f>Raw_Claims_Data!G1057</f>
        <v>D</v>
      </c>
      <c r="H1058" t="str">
        <f>Raw_Claims_Data!H1057</f>
        <v>Minor Loss</v>
      </c>
      <c r="I1058" t="str">
        <f>IF(Raw_Claims_Data!I1057="","None",Raw_Claims_Data!I1057)</f>
        <v>Police</v>
      </c>
      <c r="J1058" t="str">
        <f>Raw_Claims_Data!J1057</f>
        <v>Panama City</v>
      </c>
      <c r="K1058" t="str">
        <f>Raw_Claims_Data!K1057</f>
        <v>FL</v>
      </c>
      <c r="L1058">
        <f>Raw_Claims_Data!L1057</f>
        <v>5</v>
      </c>
      <c r="M1058" t="str">
        <f>IF(Raw_Claims_Data!M1057="","N/A",Raw_Claims_Data!M1057)</f>
        <v>VNDR00541</v>
      </c>
      <c r="N1058" t="str">
        <f>Raw_Claims_Data!N1057</f>
        <v>AGENT00466</v>
      </c>
      <c r="O1058">
        <f>IF(Raw_Claims_Data!G1057="D",1,0)</f>
        <v>1</v>
      </c>
    </row>
    <row r="1059" spans="1:15" x14ac:dyDescent="0.35">
      <c r="A1059" t="str">
        <f>Raw_Claims_Data!A1058</f>
        <v>TXN00001055</v>
      </c>
      <c r="B1059" t="str">
        <f>TRIM(Raw_Claims_Data!B1058)</f>
        <v>Daniel Jones</v>
      </c>
      <c r="C1059" t="str">
        <f>Raw_Claims_Data!C1058</f>
        <v>Health</v>
      </c>
      <c r="D1059">
        <f>Raw_Claims_Data!D1058</f>
        <v>111.1</v>
      </c>
      <c r="E1059">
        <f>Raw_Claims_Data!E1058</f>
        <v>2000</v>
      </c>
      <c r="F1059" t="str">
        <f>Raw_Claims_Data!F1058</f>
        <v>AL</v>
      </c>
      <c r="G1059" t="str">
        <f>Raw_Claims_Data!G1058</f>
        <v>D</v>
      </c>
      <c r="H1059" t="str">
        <f>Raw_Claims_Data!H1058</f>
        <v>Major Loss</v>
      </c>
      <c r="I1059" t="str">
        <f>IF(Raw_Claims_Data!I1058="","None",Raw_Claims_Data!I1058)</f>
        <v>Police</v>
      </c>
      <c r="J1059" t="str">
        <f>Raw_Claims_Data!J1058</f>
        <v>Lynn Haven</v>
      </c>
      <c r="K1059" t="str">
        <f>Raw_Claims_Data!K1058</f>
        <v>FL</v>
      </c>
      <c r="L1059">
        <f>Raw_Claims_Data!L1058</f>
        <v>6</v>
      </c>
      <c r="M1059" t="str">
        <f>IF(Raw_Claims_Data!M1058="","N/A",Raw_Claims_Data!M1058)</f>
        <v>VNDR00186</v>
      </c>
      <c r="N1059" t="str">
        <f>Raw_Claims_Data!N1058</f>
        <v>AGENT00059</v>
      </c>
      <c r="O1059">
        <f>IF(Raw_Claims_Data!G1058="D",1,0)</f>
        <v>1</v>
      </c>
    </row>
    <row r="1060" spans="1:15" x14ac:dyDescent="0.35">
      <c r="A1060" t="str">
        <f>Raw_Claims_Data!A1059</f>
        <v>TXN00001056</v>
      </c>
      <c r="B1060" t="str">
        <f>TRIM(Raw_Claims_Data!B1059)</f>
        <v>William Murray</v>
      </c>
      <c r="C1060" t="str">
        <f>Raw_Claims_Data!C1059</f>
        <v>Travel</v>
      </c>
      <c r="D1060">
        <f>Raw_Claims_Data!D1059</f>
        <v>71.760000000000005</v>
      </c>
      <c r="E1060">
        <f>Raw_Claims_Data!E1059</f>
        <v>4000</v>
      </c>
      <c r="F1060" t="str">
        <f>Raw_Claims_Data!F1059</f>
        <v>AZ</v>
      </c>
      <c r="G1060" t="str">
        <f>Raw_Claims_Data!G1059</f>
        <v>A</v>
      </c>
      <c r="H1060" t="str">
        <f>Raw_Claims_Data!H1059</f>
        <v>Total Loss</v>
      </c>
      <c r="I1060" t="str">
        <f>IF(Raw_Claims_Data!I1059="","None",Raw_Claims_Data!I1059)</f>
        <v>None</v>
      </c>
      <c r="J1060" t="str">
        <f>Raw_Claims_Data!J1059</f>
        <v>Castro Valley</v>
      </c>
      <c r="K1060" t="str">
        <f>Raw_Claims_Data!K1059</f>
        <v>CA</v>
      </c>
      <c r="L1060">
        <f>Raw_Claims_Data!L1059</f>
        <v>15</v>
      </c>
      <c r="M1060" t="str">
        <f>IF(Raw_Claims_Data!M1059="","N/A",Raw_Claims_Data!M1059)</f>
        <v>VNDR00579</v>
      </c>
      <c r="N1060" t="str">
        <f>Raw_Claims_Data!N1059</f>
        <v>AGENT00479</v>
      </c>
      <c r="O1060">
        <f>IF(Raw_Claims_Data!G1059="D",1,0)</f>
        <v>0</v>
      </c>
    </row>
    <row r="1061" spans="1:15" x14ac:dyDescent="0.35">
      <c r="A1061" t="str">
        <f>Raw_Claims_Data!A1060</f>
        <v>TXN00001057</v>
      </c>
      <c r="B1061" t="str">
        <f>TRIM(Raw_Claims_Data!B1060)</f>
        <v>Orville Carbone</v>
      </c>
      <c r="C1061" t="str">
        <f>Raw_Claims_Data!C1060</f>
        <v>Travel</v>
      </c>
      <c r="D1061">
        <f>Raw_Claims_Data!D1060</f>
        <v>76.650000000000006</v>
      </c>
      <c r="E1061">
        <f>Raw_Claims_Data!E1060</f>
        <v>1000</v>
      </c>
      <c r="F1061" t="str">
        <f>Raw_Claims_Data!F1060</f>
        <v>MD</v>
      </c>
      <c r="G1061" t="str">
        <f>Raw_Claims_Data!G1060</f>
        <v>A</v>
      </c>
      <c r="H1061" t="str">
        <f>Raw_Claims_Data!H1060</f>
        <v>Minor Loss</v>
      </c>
      <c r="I1061" t="str">
        <f>IF(Raw_Claims_Data!I1060="","None",Raw_Claims_Data!I1060)</f>
        <v>Police</v>
      </c>
      <c r="J1061" t="str">
        <f>Raw_Claims_Data!J1060</f>
        <v>Oklahoma City</v>
      </c>
      <c r="K1061" t="str">
        <f>Raw_Claims_Data!K1060</f>
        <v>OK</v>
      </c>
      <c r="L1061">
        <f>Raw_Claims_Data!L1060</f>
        <v>19</v>
      </c>
      <c r="M1061" t="str">
        <f>IF(Raw_Claims_Data!M1060="","N/A",Raw_Claims_Data!M1060)</f>
        <v>VNDR00087</v>
      </c>
      <c r="N1061" t="str">
        <f>Raw_Claims_Data!N1060</f>
        <v>AGENT00897</v>
      </c>
      <c r="O1061">
        <f>IF(Raw_Claims_Data!G1060="D",1,0)</f>
        <v>0</v>
      </c>
    </row>
    <row r="1062" spans="1:15" x14ac:dyDescent="0.35">
      <c r="A1062" t="str">
        <f>Raw_Claims_Data!A1061</f>
        <v>TXN00001058</v>
      </c>
      <c r="B1062" t="str">
        <f>TRIM(Raw_Claims_Data!B1061)</f>
        <v>Tammy Li</v>
      </c>
      <c r="C1062" t="str">
        <f>Raw_Claims_Data!C1061</f>
        <v>Mobile</v>
      </c>
      <c r="D1062">
        <f>Raw_Claims_Data!D1061</f>
        <v>7.61</v>
      </c>
      <c r="E1062">
        <f>Raw_Claims_Data!E1061</f>
        <v>400</v>
      </c>
      <c r="F1062" t="str">
        <f>Raw_Claims_Data!F1061</f>
        <v>CT</v>
      </c>
      <c r="G1062" t="str">
        <f>Raw_Claims_Data!G1061</f>
        <v>A</v>
      </c>
      <c r="H1062" t="str">
        <f>Raw_Claims_Data!H1061</f>
        <v>Total Loss</v>
      </c>
      <c r="I1062" t="str">
        <f>IF(Raw_Claims_Data!I1061="","None",Raw_Claims_Data!I1061)</f>
        <v>Ambulance</v>
      </c>
      <c r="J1062" t="str">
        <f>Raw_Claims_Data!J1061</f>
        <v>Montgomery</v>
      </c>
      <c r="K1062" t="str">
        <f>Raw_Claims_Data!K1061</f>
        <v>AL</v>
      </c>
      <c r="L1062">
        <f>Raw_Claims_Data!L1061</f>
        <v>8</v>
      </c>
      <c r="M1062" t="str">
        <f>IF(Raw_Claims_Data!M1061="","N/A",Raw_Claims_Data!M1061)</f>
        <v>N/A</v>
      </c>
      <c r="N1062" t="str">
        <f>Raw_Claims_Data!N1061</f>
        <v>AGENT00063</v>
      </c>
      <c r="O1062">
        <f>IF(Raw_Claims_Data!G1061="D",1,0)</f>
        <v>0</v>
      </c>
    </row>
    <row r="1063" spans="1:15" x14ac:dyDescent="0.35">
      <c r="A1063" t="str">
        <f>Raw_Claims_Data!A1062</f>
        <v>TXN00001059</v>
      </c>
      <c r="B1063" t="str">
        <f>TRIM(Raw_Claims_Data!B1062)</f>
        <v>John Leberte</v>
      </c>
      <c r="C1063" t="str">
        <f>Raw_Claims_Data!C1062</f>
        <v>Travel</v>
      </c>
      <c r="D1063">
        <f>Raw_Claims_Data!D1062</f>
        <v>65.94</v>
      </c>
      <c r="E1063">
        <f>Raw_Claims_Data!E1062</f>
        <v>2000</v>
      </c>
      <c r="F1063" t="str">
        <f>Raw_Claims_Data!F1062</f>
        <v>CO</v>
      </c>
      <c r="G1063" t="str">
        <f>Raw_Claims_Data!G1062</f>
        <v>A</v>
      </c>
      <c r="H1063" t="str">
        <f>Raw_Claims_Data!H1062</f>
        <v>Total Loss</v>
      </c>
      <c r="I1063" t="str">
        <f>IF(Raw_Claims_Data!I1062="","None",Raw_Claims_Data!I1062)</f>
        <v>None</v>
      </c>
      <c r="J1063" t="str">
        <f>Raw_Claims_Data!J1062</f>
        <v>Louisville</v>
      </c>
      <c r="K1063" t="str">
        <f>Raw_Claims_Data!K1062</f>
        <v>KY</v>
      </c>
      <c r="L1063">
        <f>Raw_Claims_Data!L1062</f>
        <v>16</v>
      </c>
      <c r="M1063" t="str">
        <f>IF(Raw_Claims_Data!M1062="","N/A",Raw_Claims_Data!M1062)</f>
        <v>N/A</v>
      </c>
      <c r="N1063" t="str">
        <f>Raw_Claims_Data!N1062</f>
        <v>AGENT00007</v>
      </c>
      <c r="O1063">
        <f>IF(Raw_Claims_Data!G1062="D",1,0)</f>
        <v>0</v>
      </c>
    </row>
    <row r="1064" spans="1:15" x14ac:dyDescent="0.35">
      <c r="A1064" t="str">
        <f>Raw_Claims_Data!A1063</f>
        <v>TXN00001060</v>
      </c>
      <c r="B1064" t="str">
        <f>TRIM(Raw_Claims_Data!B1063)</f>
        <v>Nicholas Denes</v>
      </c>
      <c r="C1064" t="str">
        <f>Raw_Claims_Data!C1063</f>
        <v>Health</v>
      </c>
      <c r="D1064">
        <f>Raw_Claims_Data!D1063</f>
        <v>139.81</v>
      </c>
      <c r="E1064">
        <f>Raw_Claims_Data!E1063</f>
        <v>15000</v>
      </c>
      <c r="F1064" t="str">
        <f>Raw_Claims_Data!F1063</f>
        <v>AR</v>
      </c>
      <c r="G1064" t="str">
        <f>Raw_Claims_Data!G1063</f>
        <v>A</v>
      </c>
      <c r="H1064" t="str">
        <f>Raw_Claims_Data!H1063</f>
        <v>Total Loss</v>
      </c>
      <c r="I1064" t="str">
        <f>IF(Raw_Claims_Data!I1063="","None",Raw_Claims_Data!I1063)</f>
        <v>Police</v>
      </c>
      <c r="J1064" t="str">
        <f>Raw_Claims_Data!J1063</f>
        <v>Glendale</v>
      </c>
      <c r="K1064" t="str">
        <f>Raw_Claims_Data!K1063</f>
        <v>AZ</v>
      </c>
      <c r="L1064">
        <f>Raw_Claims_Data!L1063</f>
        <v>5</v>
      </c>
      <c r="M1064" t="str">
        <f>IF(Raw_Claims_Data!M1063="","N/A",Raw_Claims_Data!M1063)</f>
        <v>VNDR00108</v>
      </c>
      <c r="N1064" t="str">
        <f>Raw_Claims_Data!N1063</f>
        <v>AGENT00971</v>
      </c>
      <c r="O1064">
        <f>IF(Raw_Claims_Data!G1063="D",1,0)</f>
        <v>0</v>
      </c>
    </row>
    <row r="1065" spans="1:15" x14ac:dyDescent="0.35">
      <c r="A1065" t="str">
        <f>Raw_Claims_Data!A1064</f>
        <v>TXN00001061</v>
      </c>
      <c r="B1065" t="str">
        <f>TRIM(Raw_Claims_Data!B1064)</f>
        <v>Dorothy Shafer</v>
      </c>
      <c r="C1065" t="str">
        <f>Raw_Claims_Data!C1064</f>
        <v>Travel</v>
      </c>
      <c r="D1065">
        <f>Raw_Claims_Data!D1064</f>
        <v>56.41</v>
      </c>
      <c r="E1065">
        <f>Raw_Claims_Data!E1064</f>
        <v>3000</v>
      </c>
      <c r="F1065" t="str">
        <f>Raw_Claims_Data!F1064</f>
        <v>VT</v>
      </c>
      <c r="G1065" t="str">
        <f>Raw_Claims_Data!G1064</f>
        <v>A</v>
      </c>
      <c r="H1065" t="str">
        <f>Raw_Claims_Data!H1064</f>
        <v>Minor Loss</v>
      </c>
      <c r="I1065" t="str">
        <f>IF(Raw_Claims_Data!I1064="","None",Raw_Claims_Data!I1064)</f>
        <v>Ambulance</v>
      </c>
      <c r="J1065" t="str">
        <f>Raw_Claims_Data!J1064</f>
        <v>Savannah</v>
      </c>
      <c r="K1065" t="str">
        <f>Raw_Claims_Data!K1064</f>
        <v>GA</v>
      </c>
      <c r="L1065">
        <f>Raw_Claims_Data!L1064</f>
        <v>3</v>
      </c>
      <c r="M1065" t="str">
        <f>IF(Raw_Claims_Data!M1064="","N/A",Raw_Claims_Data!M1064)</f>
        <v>VNDR00034</v>
      </c>
      <c r="N1065" t="str">
        <f>Raw_Claims_Data!N1064</f>
        <v>AGENT01143</v>
      </c>
      <c r="O1065">
        <f>IF(Raw_Claims_Data!G1064="D",1,0)</f>
        <v>0</v>
      </c>
    </row>
    <row r="1066" spans="1:15" x14ac:dyDescent="0.35">
      <c r="A1066" t="str">
        <f>Raw_Claims_Data!A1065</f>
        <v>TXN00001062</v>
      </c>
      <c r="B1066" t="str">
        <f>TRIM(Raw_Claims_Data!B1065)</f>
        <v>James Poormon</v>
      </c>
      <c r="C1066" t="str">
        <f>Raw_Claims_Data!C1065</f>
        <v>Motor</v>
      </c>
      <c r="D1066">
        <f>Raw_Claims_Data!D1065</f>
        <v>137.91</v>
      </c>
      <c r="E1066">
        <f>Raw_Claims_Data!E1065</f>
        <v>1000</v>
      </c>
      <c r="F1066" t="str">
        <f>Raw_Claims_Data!F1065</f>
        <v>CA</v>
      </c>
      <c r="G1066" t="str">
        <f>Raw_Claims_Data!G1065</f>
        <v>A</v>
      </c>
      <c r="H1066" t="str">
        <f>Raw_Claims_Data!H1065</f>
        <v>Minor Loss</v>
      </c>
      <c r="I1066" t="str">
        <f>IF(Raw_Claims_Data!I1065="","None",Raw_Claims_Data!I1065)</f>
        <v>Other</v>
      </c>
      <c r="J1066" t="str">
        <f>Raw_Claims_Data!J1065</f>
        <v>Manchester</v>
      </c>
      <c r="K1066" t="str">
        <f>Raw_Claims_Data!K1065</f>
        <v>CT</v>
      </c>
      <c r="L1066">
        <f>Raw_Claims_Data!L1065</f>
        <v>18</v>
      </c>
      <c r="M1066" t="str">
        <f>IF(Raw_Claims_Data!M1065="","N/A",Raw_Claims_Data!M1065)</f>
        <v>VNDR00229</v>
      </c>
      <c r="N1066" t="str">
        <f>Raw_Claims_Data!N1065</f>
        <v>AGENT01062</v>
      </c>
      <c r="O1066">
        <f>IF(Raw_Claims_Data!G1065="D",1,0)</f>
        <v>0</v>
      </c>
    </row>
    <row r="1067" spans="1:15" x14ac:dyDescent="0.35">
      <c r="A1067" t="str">
        <f>Raw_Claims_Data!A1066</f>
        <v>TXN00001063</v>
      </c>
      <c r="B1067" t="str">
        <f>TRIM(Raw_Claims_Data!B1066)</f>
        <v>James Lyvers</v>
      </c>
      <c r="C1067" t="str">
        <f>Raw_Claims_Data!C1066</f>
        <v>Mobile</v>
      </c>
      <c r="D1067">
        <f>Raw_Claims_Data!D1066</f>
        <v>10.32</v>
      </c>
      <c r="E1067">
        <f>Raw_Claims_Data!E1066</f>
        <v>700</v>
      </c>
      <c r="F1067" t="str">
        <f>Raw_Claims_Data!F1066</f>
        <v>DC</v>
      </c>
      <c r="G1067" t="str">
        <f>Raw_Claims_Data!G1066</f>
        <v>A</v>
      </c>
      <c r="H1067" t="str">
        <f>Raw_Claims_Data!H1066</f>
        <v>Minor Loss</v>
      </c>
      <c r="I1067" t="str">
        <f>IF(Raw_Claims_Data!I1066="","None",Raw_Claims_Data!I1066)</f>
        <v>Other</v>
      </c>
      <c r="J1067" t="str">
        <f>Raw_Claims_Data!J1066</f>
        <v>Anchorage</v>
      </c>
      <c r="K1067" t="str">
        <f>Raw_Claims_Data!K1066</f>
        <v>AK</v>
      </c>
      <c r="L1067">
        <f>Raw_Claims_Data!L1066</f>
        <v>2</v>
      </c>
      <c r="M1067" t="str">
        <f>IF(Raw_Claims_Data!M1066="","N/A",Raw_Claims_Data!M1066)</f>
        <v>VNDR00277</v>
      </c>
      <c r="N1067" t="str">
        <f>Raw_Claims_Data!N1066</f>
        <v>AGENT00529</v>
      </c>
      <c r="O1067">
        <f>IF(Raw_Claims_Data!G1066="D",1,0)</f>
        <v>0</v>
      </c>
    </row>
    <row r="1068" spans="1:15" x14ac:dyDescent="0.35">
      <c r="A1068" t="str">
        <f>Raw_Claims_Data!A1067</f>
        <v>TXN00001064</v>
      </c>
      <c r="B1068" t="str">
        <f>TRIM(Raw_Claims_Data!B1067)</f>
        <v>Amanda Turnbull</v>
      </c>
      <c r="C1068" t="str">
        <f>Raw_Claims_Data!C1067</f>
        <v>Travel</v>
      </c>
      <c r="D1068">
        <f>Raw_Claims_Data!D1067</f>
        <v>57.13</v>
      </c>
      <c r="E1068">
        <f>Raw_Claims_Data!E1067</f>
        <v>5000</v>
      </c>
      <c r="F1068" t="str">
        <f>Raw_Claims_Data!F1067</f>
        <v>CO</v>
      </c>
      <c r="G1068" t="str">
        <f>Raw_Claims_Data!G1067</f>
        <v>A</v>
      </c>
      <c r="H1068" t="str">
        <f>Raw_Claims_Data!H1067</f>
        <v>Total Loss</v>
      </c>
      <c r="I1068" t="str">
        <f>IF(Raw_Claims_Data!I1067="","None",Raw_Claims_Data!I1067)</f>
        <v>Police</v>
      </c>
      <c r="J1068" t="str">
        <f>Raw_Claims_Data!J1067</f>
        <v>Glendale</v>
      </c>
      <c r="K1068" t="str">
        <f>Raw_Claims_Data!K1067</f>
        <v>AZ</v>
      </c>
      <c r="L1068">
        <f>Raw_Claims_Data!L1067</f>
        <v>13</v>
      </c>
      <c r="M1068" t="str">
        <f>IF(Raw_Claims_Data!M1067="","N/A",Raw_Claims_Data!M1067)</f>
        <v>VNDR00126</v>
      </c>
      <c r="N1068" t="str">
        <f>Raw_Claims_Data!N1067</f>
        <v>AGENT00584</v>
      </c>
      <c r="O1068">
        <f>IF(Raw_Claims_Data!G1067="D",1,0)</f>
        <v>0</v>
      </c>
    </row>
    <row r="1069" spans="1:15" x14ac:dyDescent="0.35">
      <c r="A1069" t="str">
        <f>Raw_Claims_Data!A1068</f>
        <v>TXN00001065</v>
      </c>
      <c r="B1069" t="str">
        <f>TRIM(Raw_Claims_Data!B1068)</f>
        <v>Hal Perdue</v>
      </c>
      <c r="C1069" t="str">
        <f>Raw_Claims_Data!C1068</f>
        <v>Health</v>
      </c>
      <c r="D1069">
        <f>Raw_Claims_Data!D1068</f>
        <v>177.98</v>
      </c>
      <c r="E1069">
        <f>Raw_Claims_Data!E1068</f>
        <v>15000</v>
      </c>
      <c r="F1069" t="str">
        <f>Raw_Claims_Data!F1068</f>
        <v>MD</v>
      </c>
      <c r="G1069" t="str">
        <f>Raw_Claims_Data!G1068</f>
        <v>A</v>
      </c>
      <c r="H1069" t="str">
        <f>Raw_Claims_Data!H1068</f>
        <v>Major Loss</v>
      </c>
      <c r="I1069" t="str">
        <f>IF(Raw_Claims_Data!I1068="","None",Raw_Claims_Data!I1068)</f>
        <v>Police</v>
      </c>
      <c r="J1069" t="str">
        <f>Raw_Claims_Data!J1068</f>
        <v>Fayetteville</v>
      </c>
      <c r="K1069" t="str">
        <f>Raw_Claims_Data!K1068</f>
        <v>AR</v>
      </c>
      <c r="L1069">
        <f>Raw_Claims_Data!L1068</f>
        <v>17</v>
      </c>
      <c r="M1069" t="str">
        <f>IF(Raw_Claims_Data!M1068="","N/A",Raw_Claims_Data!M1068)</f>
        <v>VNDR00498</v>
      </c>
      <c r="N1069" t="str">
        <f>Raw_Claims_Data!N1068</f>
        <v>AGENT00309</v>
      </c>
      <c r="O1069">
        <f>IF(Raw_Claims_Data!G1068="D",1,0)</f>
        <v>0</v>
      </c>
    </row>
    <row r="1070" spans="1:15" x14ac:dyDescent="0.35">
      <c r="A1070" t="str">
        <f>Raw_Claims_Data!A1069</f>
        <v>TXN00001066</v>
      </c>
      <c r="B1070" t="str">
        <f>TRIM(Raw_Claims_Data!B1069)</f>
        <v>Susan Collins</v>
      </c>
      <c r="C1070" t="str">
        <f>Raw_Claims_Data!C1069</f>
        <v>Travel</v>
      </c>
      <c r="D1070">
        <f>Raw_Claims_Data!D1069</f>
        <v>63.25</v>
      </c>
      <c r="E1070">
        <f>Raw_Claims_Data!E1069</f>
        <v>5000</v>
      </c>
      <c r="F1070" t="str">
        <f>Raw_Claims_Data!F1069</f>
        <v>OK</v>
      </c>
      <c r="G1070" t="str">
        <f>Raw_Claims_Data!G1069</f>
        <v>A</v>
      </c>
      <c r="H1070" t="str">
        <f>Raw_Claims_Data!H1069</f>
        <v>Total Loss</v>
      </c>
      <c r="I1070" t="str">
        <f>IF(Raw_Claims_Data!I1069="","None",Raw_Claims_Data!I1069)</f>
        <v>Police</v>
      </c>
      <c r="J1070" t="str">
        <f>Raw_Claims_Data!J1069</f>
        <v>Golden</v>
      </c>
      <c r="K1070" t="str">
        <f>Raw_Claims_Data!K1069</f>
        <v>CO</v>
      </c>
      <c r="L1070">
        <f>Raw_Claims_Data!L1069</f>
        <v>13</v>
      </c>
      <c r="M1070" t="str">
        <f>IF(Raw_Claims_Data!M1069="","N/A",Raw_Claims_Data!M1069)</f>
        <v>VNDR00317</v>
      </c>
      <c r="N1070" t="str">
        <f>Raw_Claims_Data!N1069</f>
        <v>AGENT01050</v>
      </c>
      <c r="O1070">
        <f>IF(Raw_Claims_Data!G1069="D",1,0)</f>
        <v>0</v>
      </c>
    </row>
    <row r="1071" spans="1:15" x14ac:dyDescent="0.35">
      <c r="A1071" t="str">
        <f>Raw_Claims_Data!A1070</f>
        <v>TXN00001067</v>
      </c>
      <c r="B1071" t="str">
        <f>TRIM(Raw_Claims_Data!B1070)</f>
        <v>Steve Loya</v>
      </c>
      <c r="C1071" t="str">
        <f>Raw_Claims_Data!C1070</f>
        <v>Life</v>
      </c>
      <c r="D1071">
        <f>Raw_Claims_Data!D1070</f>
        <v>55.52</v>
      </c>
      <c r="E1071">
        <f>Raw_Claims_Data!E1070</f>
        <v>85000</v>
      </c>
      <c r="F1071" t="str">
        <f>Raw_Claims_Data!F1070</f>
        <v>CO</v>
      </c>
      <c r="G1071" t="str">
        <f>Raw_Claims_Data!G1070</f>
        <v>A</v>
      </c>
      <c r="H1071" t="str">
        <f>Raw_Claims_Data!H1070</f>
        <v>Major Loss</v>
      </c>
      <c r="I1071" t="str">
        <f>IF(Raw_Claims_Data!I1070="","None",Raw_Claims_Data!I1070)</f>
        <v>Ambulance</v>
      </c>
      <c r="J1071" t="str">
        <f>Raw_Claims_Data!J1070</f>
        <v>Arvada</v>
      </c>
      <c r="K1071" t="str">
        <f>Raw_Claims_Data!K1070</f>
        <v>CO</v>
      </c>
      <c r="L1071">
        <f>Raw_Claims_Data!L1070</f>
        <v>18</v>
      </c>
      <c r="M1071" t="str">
        <f>IF(Raw_Claims_Data!M1070="","N/A",Raw_Claims_Data!M1070)</f>
        <v>VNDR00486</v>
      </c>
      <c r="N1071" t="str">
        <f>Raw_Claims_Data!N1070</f>
        <v>AGENT00025</v>
      </c>
      <c r="O1071">
        <f>IF(Raw_Claims_Data!G1070="D",1,0)</f>
        <v>0</v>
      </c>
    </row>
    <row r="1072" spans="1:15" x14ac:dyDescent="0.35">
      <c r="A1072" t="str">
        <f>Raw_Claims_Data!A1071</f>
        <v>TXN00001068</v>
      </c>
      <c r="B1072" t="str">
        <f>TRIM(Raw_Claims_Data!B1071)</f>
        <v>Ricky Petrie</v>
      </c>
      <c r="C1072" t="str">
        <f>Raw_Claims_Data!C1071</f>
        <v>Travel</v>
      </c>
      <c r="D1072">
        <f>Raw_Claims_Data!D1071</f>
        <v>86.4</v>
      </c>
      <c r="E1072">
        <f>Raw_Claims_Data!E1071</f>
        <v>2000</v>
      </c>
      <c r="F1072" t="str">
        <f>Raw_Claims_Data!F1071</f>
        <v>AL</v>
      </c>
      <c r="G1072" t="str">
        <f>Raw_Claims_Data!G1071</f>
        <v>A</v>
      </c>
      <c r="H1072" t="str">
        <f>Raw_Claims_Data!H1071</f>
        <v>Minor Loss</v>
      </c>
      <c r="I1072" t="str">
        <f>IF(Raw_Claims_Data!I1071="","None",Raw_Claims_Data!I1071)</f>
        <v>Police</v>
      </c>
      <c r="J1072" t="str">
        <f>Raw_Claims_Data!J1071</f>
        <v>Manchester</v>
      </c>
      <c r="K1072" t="str">
        <f>Raw_Claims_Data!K1071</f>
        <v>CT</v>
      </c>
      <c r="L1072">
        <f>Raw_Claims_Data!L1071</f>
        <v>3</v>
      </c>
      <c r="M1072" t="str">
        <f>IF(Raw_Claims_Data!M1071="","N/A",Raw_Claims_Data!M1071)</f>
        <v>VNDR00019</v>
      </c>
      <c r="N1072" t="str">
        <f>Raw_Claims_Data!N1071</f>
        <v>AGENT00439</v>
      </c>
      <c r="O1072">
        <f>IF(Raw_Claims_Data!G1071="D",1,0)</f>
        <v>0</v>
      </c>
    </row>
    <row r="1073" spans="1:15" x14ac:dyDescent="0.35">
      <c r="A1073" t="str">
        <f>Raw_Claims_Data!A1072</f>
        <v>TXN00001069</v>
      </c>
      <c r="B1073" t="str">
        <f>TRIM(Raw_Claims_Data!B1072)</f>
        <v>Molly Marcus</v>
      </c>
      <c r="C1073" t="str">
        <f>Raw_Claims_Data!C1072</f>
        <v>Health</v>
      </c>
      <c r="D1073">
        <f>Raw_Claims_Data!D1072</f>
        <v>173.98</v>
      </c>
      <c r="E1073">
        <f>Raw_Claims_Data!E1072</f>
        <v>8000</v>
      </c>
      <c r="F1073" t="str">
        <f>Raw_Claims_Data!F1072</f>
        <v>KY</v>
      </c>
      <c r="G1073" t="str">
        <f>Raw_Claims_Data!G1072</f>
        <v>A</v>
      </c>
      <c r="H1073" t="str">
        <f>Raw_Claims_Data!H1072</f>
        <v>Major Loss</v>
      </c>
      <c r="I1073" t="str">
        <f>IF(Raw_Claims_Data!I1072="","None",Raw_Claims_Data!I1072)</f>
        <v>Other</v>
      </c>
      <c r="J1073" t="str">
        <f>Raw_Claims_Data!J1072</f>
        <v>Anchorage</v>
      </c>
      <c r="K1073" t="str">
        <f>Raw_Claims_Data!K1072</f>
        <v>AK</v>
      </c>
      <c r="L1073">
        <f>Raw_Claims_Data!L1072</f>
        <v>0</v>
      </c>
      <c r="M1073" t="str">
        <f>IF(Raw_Claims_Data!M1072="","N/A",Raw_Claims_Data!M1072)</f>
        <v>VNDR00252</v>
      </c>
      <c r="N1073" t="str">
        <f>Raw_Claims_Data!N1072</f>
        <v>AGENT00301</v>
      </c>
      <c r="O1073">
        <f>IF(Raw_Claims_Data!G1072="D",1,0)</f>
        <v>0</v>
      </c>
    </row>
    <row r="1074" spans="1:15" x14ac:dyDescent="0.35">
      <c r="A1074" t="str">
        <f>Raw_Claims_Data!A1073</f>
        <v>TXN00001070</v>
      </c>
      <c r="B1074" t="str">
        <f>TRIM(Raw_Claims_Data!B1073)</f>
        <v>Phyllis Marco</v>
      </c>
      <c r="C1074" t="str">
        <f>Raw_Claims_Data!C1073</f>
        <v>Life</v>
      </c>
      <c r="D1074">
        <f>Raw_Claims_Data!D1073</f>
        <v>66.83</v>
      </c>
      <c r="E1074">
        <f>Raw_Claims_Data!E1073</f>
        <v>64000</v>
      </c>
      <c r="F1074" t="str">
        <f>Raw_Claims_Data!F1073</f>
        <v>GA</v>
      </c>
      <c r="G1074" t="str">
        <f>Raw_Claims_Data!G1073</f>
        <v>A</v>
      </c>
      <c r="H1074" t="str">
        <f>Raw_Claims_Data!H1073</f>
        <v>Major Loss</v>
      </c>
      <c r="I1074" t="str">
        <f>IF(Raw_Claims_Data!I1073="","None",Raw_Claims_Data!I1073)</f>
        <v>Police</v>
      </c>
      <c r="J1074" t="str">
        <f>Raw_Claims_Data!J1073</f>
        <v>Washington</v>
      </c>
      <c r="K1074" t="str">
        <f>Raw_Claims_Data!K1073</f>
        <v>DC</v>
      </c>
      <c r="L1074">
        <f>Raw_Claims_Data!L1073</f>
        <v>20</v>
      </c>
      <c r="M1074" t="str">
        <f>IF(Raw_Claims_Data!M1073="","N/A",Raw_Claims_Data!M1073)</f>
        <v>VNDR00037</v>
      </c>
      <c r="N1074" t="str">
        <f>Raw_Claims_Data!N1073</f>
        <v>AGENT00375</v>
      </c>
      <c r="O1074">
        <f>IF(Raw_Claims_Data!G1073="D",1,0)</f>
        <v>0</v>
      </c>
    </row>
    <row r="1075" spans="1:15" x14ac:dyDescent="0.35">
      <c r="A1075" t="str">
        <f>Raw_Claims_Data!A1074</f>
        <v>TXN00001071</v>
      </c>
      <c r="B1075" t="str">
        <f>TRIM(Raw_Claims_Data!B1074)</f>
        <v>Juan Uribe</v>
      </c>
      <c r="C1075" t="str">
        <f>Raw_Claims_Data!C1074</f>
        <v>Motor</v>
      </c>
      <c r="D1075">
        <f>Raw_Claims_Data!D1074</f>
        <v>93.27</v>
      </c>
      <c r="E1075">
        <f>Raw_Claims_Data!E1074</f>
        <v>2000</v>
      </c>
      <c r="F1075" t="str">
        <f>Raw_Claims_Data!F1074</f>
        <v>VT</v>
      </c>
      <c r="G1075" t="str">
        <f>Raw_Claims_Data!G1074</f>
        <v>A</v>
      </c>
      <c r="H1075" t="str">
        <f>Raw_Claims_Data!H1074</f>
        <v>Major Loss</v>
      </c>
      <c r="I1075" t="str">
        <f>IF(Raw_Claims_Data!I1074="","None",Raw_Claims_Data!I1074)</f>
        <v>Ambulance</v>
      </c>
      <c r="J1075" t="str">
        <f>Raw_Claims_Data!J1074</f>
        <v>Oklahoma City</v>
      </c>
      <c r="K1075" t="str">
        <f>Raw_Claims_Data!K1074</f>
        <v>OK</v>
      </c>
      <c r="L1075">
        <f>Raw_Claims_Data!L1074</f>
        <v>13</v>
      </c>
      <c r="M1075" t="str">
        <f>IF(Raw_Claims_Data!M1074="","N/A",Raw_Claims_Data!M1074)</f>
        <v>VNDR00037</v>
      </c>
      <c r="N1075" t="str">
        <f>Raw_Claims_Data!N1074</f>
        <v>AGENT01197</v>
      </c>
      <c r="O1075">
        <f>IF(Raw_Claims_Data!G1074="D",1,0)</f>
        <v>0</v>
      </c>
    </row>
    <row r="1076" spans="1:15" x14ac:dyDescent="0.35">
      <c r="A1076" t="str">
        <f>Raw_Claims_Data!A1075</f>
        <v>TXN00001072</v>
      </c>
      <c r="B1076" t="str">
        <f>TRIM(Raw_Claims_Data!B1075)</f>
        <v>Michael Hill</v>
      </c>
      <c r="C1076" t="str">
        <f>Raw_Claims_Data!C1075</f>
        <v>Travel</v>
      </c>
      <c r="D1076">
        <f>Raw_Claims_Data!D1075</f>
        <v>56.96</v>
      </c>
      <c r="E1076">
        <f>Raw_Claims_Data!E1075</f>
        <v>2000</v>
      </c>
      <c r="F1076" t="str">
        <f>Raw_Claims_Data!F1075</f>
        <v>AR</v>
      </c>
      <c r="G1076" t="str">
        <f>Raw_Claims_Data!G1075</f>
        <v>A</v>
      </c>
      <c r="H1076" t="str">
        <f>Raw_Claims_Data!H1075</f>
        <v>Major Loss</v>
      </c>
      <c r="I1076" t="str">
        <f>IF(Raw_Claims_Data!I1075="","None",Raw_Claims_Data!I1075)</f>
        <v>Police</v>
      </c>
      <c r="J1076" t="str">
        <f>Raw_Claims_Data!J1075</f>
        <v>Montgomery</v>
      </c>
      <c r="K1076" t="str">
        <f>Raw_Claims_Data!K1075</f>
        <v>AL</v>
      </c>
      <c r="L1076">
        <f>Raw_Claims_Data!L1075</f>
        <v>20</v>
      </c>
      <c r="M1076" t="str">
        <f>IF(Raw_Claims_Data!M1075="","N/A",Raw_Claims_Data!M1075)</f>
        <v>N/A</v>
      </c>
      <c r="N1076" t="str">
        <f>Raw_Claims_Data!N1075</f>
        <v>AGENT00062</v>
      </c>
      <c r="O1076">
        <f>IF(Raw_Claims_Data!G1075="D",1,0)</f>
        <v>0</v>
      </c>
    </row>
    <row r="1077" spans="1:15" x14ac:dyDescent="0.35">
      <c r="A1077" t="str">
        <f>Raw_Claims_Data!A1076</f>
        <v>TXN00001073</v>
      </c>
      <c r="B1077" t="str">
        <f>TRIM(Raw_Claims_Data!B1076)</f>
        <v>James Dill</v>
      </c>
      <c r="C1077" t="str">
        <f>Raw_Claims_Data!C1076</f>
        <v>Property</v>
      </c>
      <c r="D1077">
        <f>Raw_Claims_Data!D1076</f>
        <v>156.88</v>
      </c>
      <c r="E1077">
        <f>Raw_Claims_Data!E1076</f>
        <v>17000</v>
      </c>
      <c r="F1077" t="str">
        <f>Raw_Claims_Data!F1076</f>
        <v>MA</v>
      </c>
      <c r="G1077" t="str">
        <f>Raw_Claims_Data!G1076</f>
        <v>A</v>
      </c>
      <c r="H1077" t="str">
        <f>Raw_Claims_Data!H1076</f>
        <v>Major Loss</v>
      </c>
      <c r="I1077" t="str">
        <f>IF(Raw_Claims_Data!I1076="","None",Raw_Claims_Data!I1076)</f>
        <v>None</v>
      </c>
      <c r="J1077" t="str">
        <f>Raw_Claims_Data!J1076</f>
        <v>Panama City</v>
      </c>
      <c r="K1077" t="str">
        <f>Raw_Claims_Data!K1076</f>
        <v>FL</v>
      </c>
      <c r="L1077">
        <f>Raw_Claims_Data!L1076</f>
        <v>17</v>
      </c>
      <c r="M1077" t="str">
        <f>IF(Raw_Claims_Data!M1076="","N/A",Raw_Claims_Data!M1076)</f>
        <v>N/A</v>
      </c>
      <c r="N1077" t="str">
        <f>Raw_Claims_Data!N1076</f>
        <v>AGENT00740</v>
      </c>
      <c r="O1077">
        <f>IF(Raw_Claims_Data!G1076="D",1,0)</f>
        <v>0</v>
      </c>
    </row>
    <row r="1078" spans="1:15" x14ac:dyDescent="0.35">
      <c r="A1078" t="str">
        <f>Raw_Claims_Data!A1077</f>
        <v>TXN00001074</v>
      </c>
      <c r="B1078" t="str">
        <f>TRIM(Raw_Claims_Data!B1077)</f>
        <v>Esther Griffith</v>
      </c>
      <c r="C1078" t="str">
        <f>Raw_Claims_Data!C1077</f>
        <v>Health</v>
      </c>
      <c r="D1078">
        <f>Raw_Claims_Data!D1077</f>
        <v>117.76</v>
      </c>
      <c r="E1078">
        <f>Raw_Claims_Data!E1077</f>
        <v>19000</v>
      </c>
      <c r="F1078" t="str">
        <f>Raw_Claims_Data!F1077</f>
        <v>CO</v>
      </c>
      <c r="G1078" t="str">
        <f>Raw_Claims_Data!G1077</f>
        <v>A</v>
      </c>
      <c r="H1078" t="str">
        <f>Raw_Claims_Data!H1077</f>
        <v>Total Loss</v>
      </c>
      <c r="I1078" t="str">
        <f>IF(Raw_Claims_Data!I1077="","None",Raw_Claims_Data!I1077)</f>
        <v>Ambulance</v>
      </c>
      <c r="J1078" t="str">
        <f>Raw_Claims_Data!J1077</f>
        <v>Glen Burnie</v>
      </c>
      <c r="K1078" t="str">
        <f>Raw_Claims_Data!K1077</f>
        <v>MD</v>
      </c>
      <c r="L1078">
        <f>Raw_Claims_Data!L1077</f>
        <v>21</v>
      </c>
      <c r="M1078" t="str">
        <f>IF(Raw_Claims_Data!M1077="","N/A",Raw_Claims_Data!M1077)</f>
        <v>VNDR00504</v>
      </c>
      <c r="N1078" t="str">
        <f>Raw_Claims_Data!N1077</f>
        <v>AGENT00845</v>
      </c>
      <c r="O1078">
        <f>IF(Raw_Claims_Data!G1077="D",1,0)</f>
        <v>0</v>
      </c>
    </row>
    <row r="1079" spans="1:15" x14ac:dyDescent="0.35">
      <c r="A1079" t="str">
        <f>Raw_Claims_Data!A1078</f>
        <v>TXN00001075</v>
      </c>
      <c r="B1079" t="str">
        <f>TRIM(Raw_Claims_Data!B1078)</f>
        <v>Tammy Pedraza</v>
      </c>
      <c r="C1079" t="str">
        <f>Raw_Claims_Data!C1078</f>
        <v>Property</v>
      </c>
      <c r="D1079">
        <f>Raw_Claims_Data!D1078</f>
        <v>116.46</v>
      </c>
      <c r="E1079">
        <f>Raw_Claims_Data!E1078</f>
        <v>28000</v>
      </c>
      <c r="F1079" t="str">
        <f>Raw_Claims_Data!F1078</f>
        <v>VT</v>
      </c>
      <c r="G1079" t="str">
        <f>Raw_Claims_Data!G1078</f>
        <v>A</v>
      </c>
      <c r="H1079" t="str">
        <f>Raw_Claims_Data!H1078</f>
        <v>Total Loss</v>
      </c>
      <c r="I1079" t="str">
        <f>IF(Raw_Claims_Data!I1078="","None",Raw_Claims_Data!I1078)</f>
        <v>Other</v>
      </c>
      <c r="J1079" t="str">
        <f>Raw_Claims_Data!J1078</f>
        <v>Nashville</v>
      </c>
      <c r="K1079" t="str">
        <f>Raw_Claims_Data!K1078</f>
        <v>TN</v>
      </c>
      <c r="L1079">
        <f>Raw_Claims_Data!L1078</f>
        <v>13</v>
      </c>
      <c r="M1079" t="str">
        <f>IF(Raw_Claims_Data!M1078="","N/A",Raw_Claims_Data!M1078)</f>
        <v>VNDR00254</v>
      </c>
      <c r="N1079" t="str">
        <f>Raw_Claims_Data!N1078</f>
        <v>AGENT00283</v>
      </c>
      <c r="O1079">
        <f>IF(Raw_Claims_Data!G1078="D",1,0)</f>
        <v>0</v>
      </c>
    </row>
    <row r="1080" spans="1:15" x14ac:dyDescent="0.35">
      <c r="A1080" t="str">
        <f>Raw_Claims_Data!A1079</f>
        <v>TXN00001076</v>
      </c>
      <c r="B1080" t="str">
        <f>TRIM(Raw_Claims_Data!B1079)</f>
        <v>Karen James</v>
      </c>
      <c r="C1080" t="str">
        <f>Raw_Claims_Data!C1079</f>
        <v>Motor</v>
      </c>
      <c r="D1080">
        <f>Raw_Claims_Data!D1079</f>
        <v>74.2</v>
      </c>
      <c r="E1080">
        <f>Raw_Claims_Data!E1079</f>
        <v>1000</v>
      </c>
      <c r="F1080" t="str">
        <f>Raw_Claims_Data!F1079</f>
        <v>DC</v>
      </c>
      <c r="G1080" t="str">
        <f>Raw_Claims_Data!G1079</f>
        <v>A</v>
      </c>
      <c r="H1080" t="str">
        <f>Raw_Claims_Data!H1079</f>
        <v>Major Loss</v>
      </c>
      <c r="I1080" t="str">
        <f>IF(Raw_Claims_Data!I1079="","None",Raw_Claims_Data!I1079)</f>
        <v>Police</v>
      </c>
      <c r="J1080" t="str">
        <f>Raw_Claims_Data!J1079</f>
        <v>Arvada</v>
      </c>
      <c r="K1080" t="str">
        <f>Raw_Claims_Data!K1079</f>
        <v>CO</v>
      </c>
      <c r="L1080">
        <f>Raw_Claims_Data!L1079</f>
        <v>5</v>
      </c>
      <c r="M1080" t="str">
        <f>IF(Raw_Claims_Data!M1079="","N/A",Raw_Claims_Data!M1079)</f>
        <v>N/A</v>
      </c>
      <c r="N1080" t="str">
        <f>Raw_Claims_Data!N1079</f>
        <v>AGENT01033</v>
      </c>
      <c r="O1080">
        <f>IF(Raw_Claims_Data!G1079="D",1,0)</f>
        <v>0</v>
      </c>
    </row>
    <row r="1081" spans="1:15" x14ac:dyDescent="0.35">
      <c r="A1081" t="str">
        <f>Raw_Claims_Data!A1080</f>
        <v>TXN00001077</v>
      </c>
      <c r="B1081" t="str">
        <f>TRIM(Raw_Claims_Data!B1080)</f>
        <v>Robert Palazzi</v>
      </c>
      <c r="C1081" t="str">
        <f>Raw_Claims_Data!C1080</f>
        <v>Mobile</v>
      </c>
      <c r="D1081">
        <f>Raw_Claims_Data!D1080</f>
        <v>6.8</v>
      </c>
      <c r="E1081">
        <f>Raw_Claims_Data!E1080</f>
        <v>200</v>
      </c>
      <c r="F1081" t="str">
        <f>Raw_Claims_Data!F1080</f>
        <v>CO</v>
      </c>
      <c r="G1081" t="str">
        <f>Raw_Claims_Data!G1080</f>
        <v>A</v>
      </c>
      <c r="H1081" t="str">
        <f>Raw_Claims_Data!H1080</f>
        <v>Minor Loss</v>
      </c>
      <c r="I1081" t="str">
        <f>IF(Raw_Claims_Data!I1080="","None",Raw_Claims_Data!I1080)</f>
        <v>Police</v>
      </c>
      <c r="J1081" t="str">
        <f>Raw_Claims_Data!J1080</f>
        <v>Fayetteville</v>
      </c>
      <c r="K1081" t="str">
        <f>Raw_Claims_Data!K1080</f>
        <v>AR</v>
      </c>
      <c r="L1081">
        <f>Raw_Claims_Data!L1080</f>
        <v>21</v>
      </c>
      <c r="M1081" t="str">
        <f>IF(Raw_Claims_Data!M1080="","N/A",Raw_Claims_Data!M1080)</f>
        <v>N/A</v>
      </c>
      <c r="N1081" t="str">
        <f>Raw_Claims_Data!N1080</f>
        <v>AGENT00054</v>
      </c>
      <c r="O1081">
        <f>IF(Raw_Claims_Data!G1080="D",1,0)</f>
        <v>0</v>
      </c>
    </row>
    <row r="1082" spans="1:15" x14ac:dyDescent="0.35">
      <c r="A1082" t="str">
        <f>Raw_Claims_Data!A1081</f>
        <v>TXN00001078</v>
      </c>
      <c r="B1082" t="str">
        <f>TRIM(Raw_Claims_Data!B1081)</f>
        <v>Daniel Gonzales</v>
      </c>
      <c r="C1082" t="str">
        <f>Raw_Claims_Data!C1081</f>
        <v>Property</v>
      </c>
      <c r="D1082">
        <f>Raw_Claims_Data!D1081</f>
        <v>137.63999999999999</v>
      </c>
      <c r="E1082">
        <f>Raw_Claims_Data!E1081</f>
        <v>13000</v>
      </c>
      <c r="F1082" t="str">
        <f>Raw_Claims_Data!F1081</f>
        <v>TN</v>
      </c>
      <c r="G1082" t="str">
        <f>Raw_Claims_Data!G1081</f>
        <v>A</v>
      </c>
      <c r="H1082" t="str">
        <f>Raw_Claims_Data!H1081</f>
        <v>Total Loss</v>
      </c>
      <c r="I1082" t="str">
        <f>IF(Raw_Claims_Data!I1081="","None",Raw_Claims_Data!I1081)</f>
        <v>Ambulance</v>
      </c>
      <c r="J1082" t="str">
        <f>Raw_Claims_Data!J1081</f>
        <v>Anchorage</v>
      </c>
      <c r="K1082" t="str">
        <f>Raw_Claims_Data!K1081</f>
        <v>AK</v>
      </c>
      <c r="L1082">
        <f>Raw_Claims_Data!L1081</f>
        <v>19</v>
      </c>
      <c r="M1082" t="str">
        <f>IF(Raw_Claims_Data!M1081="","N/A",Raw_Claims_Data!M1081)</f>
        <v>N/A</v>
      </c>
      <c r="N1082" t="str">
        <f>Raw_Claims_Data!N1081</f>
        <v>AGENT01108</v>
      </c>
      <c r="O1082">
        <f>IF(Raw_Claims_Data!G1081="D",1,0)</f>
        <v>0</v>
      </c>
    </row>
    <row r="1083" spans="1:15" x14ac:dyDescent="0.35">
      <c r="A1083" t="str">
        <f>Raw_Claims_Data!A1082</f>
        <v>TXN00001079</v>
      </c>
      <c r="B1083" t="str">
        <f>TRIM(Raw_Claims_Data!B1082)</f>
        <v>Michael Knaff</v>
      </c>
      <c r="C1083" t="str">
        <f>Raw_Claims_Data!C1082</f>
        <v>Health</v>
      </c>
      <c r="D1083">
        <f>Raw_Claims_Data!D1082</f>
        <v>104.99</v>
      </c>
      <c r="E1083">
        <f>Raw_Claims_Data!E1082</f>
        <v>3000</v>
      </c>
      <c r="F1083" t="str">
        <f>Raw_Claims_Data!F1082</f>
        <v>TN</v>
      </c>
      <c r="G1083" t="str">
        <f>Raw_Claims_Data!G1082</f>
        <v>A</v>
      </c>
      <c r="H1083" t="str">
        <f>Raw_Claims_Data!H1082</f>
        <v>Minor Loss</v>
      </c>
      <c r="I1083" t="str">
        <f>IF(Raw_Claims_Data!I1082="","None",Raw_Claims_Data!I1082)</f>
        <v>Ambulance</v>
      </c>
      <c r="J1083" t="str">
        <f>Raw_Claims_Data!J1082</f>
        <v>Everett</v>
      </c>
      <c r="K1083" t="str">
        <f>Raw_Claims_Data!K1082</f>
        <v>MA</v>
      </c>
      <c r="L1083">
        <f>Raw_Claims_Data!L1082</f>
        <v>12</v>
      </c>
      <c r="M1083" t="str">
        <f>IF(Raw_Claims_Data!M1082="","N/A",Raw_Claims_Data!M1082)</f>
        <v>VNDR00206</v>
      </c>
      <c r="N1083" t="str">
        <f>Raw_Claims_Data!N1082</f>
        <v>AGENT00175</v>
      </c>
      <c r="O1083">
        <f>IF(Raw_Claims_Data!G1082="D",1,0)</f>
        <v>0</v>
      </c>
    </row>
    <row r="1084" spans="1:15" x14ac:dyDescent="0.35">
      <c r="A1084" t="str">
        <f>Raw_Claims_Data!A1083</f>
        <v>TXN00001080</v>
      </c>
      <c r="B1084" t="str">
        <f>TRIM(Raw_Claims_Data!B1083)</f>
        <v>Marty Beam</v>
      </c>
      <c r="C1084" t="str">
        <f>Raw_Claims_Data!C1083</f>
        <v>Motor</v>
      </c>
      <c r="D1084">
        <f>Raw_Claims_Data!D1083</f>
        <v>137.32</v>
      </c>
      <c r="E1084">
        <f>Raw_Claims_Data!E1083</f>
        <v>8000</v>
      </c>
      <c r="F1084" t="str">
        <f>Raw_Claims_Data!F1083</f>
        <v>CO</v>
      </c>
      <c r="G1084" t="str">
        <f>Raw_Claims_Data!G1083</f>
        <v>A</v>
      </c>
      <c r="H1084" t="str">
        <f>Raw_Claims_Data!H1083</f>
        <v>Major Loss</v>
      </c>
      <c r="I1084" t="str">
        <f>IF(Raw_Claims_Data!I1083="","None",Raw_Claims_Data!I1083)</f>
        <v>Ambulance</v>
      </c>
      <c r="J1084" t="str">
        <f>Raw_Claims_Data!J1083</f>
        <v>Oklahoma City</v>
      </c>
      <c r="K1084" t="str">
        <f>Raw_Claims_Data!K1083</f>
        <v>OK</v>
      </c>
      <c r="L1084">
        <f>Raw_Claims_Data!L1083</f>
        <v>17</v>
      </c>
      <c r="M1084" t="str">
        <f>IF(Raw_Claims_Data!M1083="","N/A",Raw_Claims_Data!M1083)</f>
        <v>VNDR00274</v>
      </c>
      <c r="N1084" t="str">
        <f>Raw_Claims_Data!N1083</f>
        <v>AGENT00436</v>
      </c>
      <c r="O1084">
        <f>IF(Raw_Claims_Data!G1083="D",1,0)</f>
        <v>0</v>
      </c>
    </row>
    <row r="1085" spans="1:15" x14ac:dyDescent="0.35">
      <c r="A1085" t="str">
        <f>Raw_Claims_Data!A1084</f>
        <v>TXN00001081</v>
      </c>
      <c r="B1085" t="str">
        <f>TRIM(Raw_Claims_Data!B1084)</f>
        <v>David Pleasant</v>
      </c>
      <c r="C1085" t="str">
        <f>Raw_Claims_Data!C1084</f>
        <v>Property</v>
      </c>
      <c r="D1085">
        <f>Raw_Claims_Data!D1084</f>
        <v>83.37</v>
      </c>
      <c r="E1085">
        <f>Raw_Claims_Data!E1084</f>
        <v>10000</v>
      </c>
      <c r="F1085" t="str">
        <f>Raw_Claims_Data!F1084</f>
        <v>MA</v>
      </c>
      <c r="G1085" t="str">
        <f>Raw_Claims_Data!G1084</f>
        <v>A</v>
      </c>
      <c r="H1085" t="str">
        <f>Raw_Claims_Data!H1084</f>
        <v>Major Loss</v>
      </c>
      <c r="I1085" t="str">
        <f>IF(Raw_Claims_Data!I1084="","None",Raw_Claims_Data!I1084)</f>
        <v>Police</v>
      </c>
      <c r="J1085" t="str">
        <f>Raw_Claims_Data!J1084</f>
        <v>Panama City Beach</v>
      </c>
      <c r="K1085" t="str">
        <f>Raw_Claims_Data!K1084</f>
        <v>FL</v>
      </c>
      <c r="L1085">
        <f>Raw_Claims_Data!L1084</f>
        <v>13</v>
      </c>
      <c r="M1085" t="str">
        <f>IF(Raw_Claims_Data!M1084="","N/A",Raw_Claims_Data!M1084)</f>
        <v>N/A</v>
      </c>
      <c r="N1085" t="str">
        <f>Raw_Claims_Data!N1084</f>
        <v>AGENT00491</v>
      </c>
      <c r="O1085">
        <f>IF(Raw_Claims_Data!G1084="D",1,0)</f>
        <v>0</v>
      </c>
    </row>
    <row r="1086" spans="1:15" x14ac:dyDescent="0.35">
      <c r="A1086" t="str">
        <f>Raw_Claims_Data!A1085</f>
        <v>TXN00001082</v>
      </c>
      <c r="B1086" t="str">
        <f>TRIM(Raw_Claims_Data!B1085)</f>
        <v>Anna Moya</v>
      </c>
      <c r="C1086" t="str">
        <f>Raw_Claims_Data!C1085</f>
        <v>Motor</v>
      </c>
      <c r="D1086">
        <f>Raw_Claims_Data!D1085</f>
        <v>93.67</v>
      </c>
      <c r="E1086">
        <f>Raw_Claims_Data!E1085</f>
        <v>3000</v>
      </c>
      <c r="F1086" t="str">
        <f>Raw_Claims_Data!F1085</f>
        <v>AR</v>
      </c>
      <c r="G1086" t="str">
        <f>Raw_Claims_Data!G1085</f>
        <v>A</v>
      </c>
      <c r="H1086" t="str">
        <f>Raw_Claims_Data!H1085</f>
        <v>Minor Loss</v>
      </c>
      <c r="I1086" t="str">
        <f>IF(Raw_Claims_Data!I1085="","None",Raw_Claims_Data!I1085)</f>
        <v>Other</v>
      </c>
      <c r="J1086" t="str">
        <f>Raw_Claims_Data!J1085</f>
        <v>Fayetteville</v>
      </c>
      <c r="K1086" t="str">
        <f>Raw_Claims_Data!K1085</f>
        <v>AR</v>
      </c>
      <c r="L1086">
        <f>Raw_Claims_Data!L1085</f>
        <v>6</v>
      </c>
      <c r="M1086" t="str">
        <f>IF(Raw_Claims_Data!M1085="","N/A",Raw_Claims_Data!M1085)</f>
        <v>VNDR00043</v>
      </c>
      <c r="N1086" t="str">
        <f>Raw_Claims_Data!N1085</f>
        <v>AGENT00033</v>
      </c>
      <c r="O1086">
        <f>IF(Raw_Claims_Data!G1085="D",1,0)</f>
        <v>0</v>
      </c>
    </row>
    <row r="1087" spans="1:15" x14ac:dyDescent="0.35">
      <c r="A1087" t="str">
        <f>Raw_Claims_Data!A1086</f>
        <v>TXN00001083</v>
      </c>
      <c r="B1087" t="str">
        <f>TRIM(Raw_Claims_Data!B1086)</f>
        <v>Jacqueline Wilkinson</v>
      </c>
      <c r="C1087" t="str">
        <f>Raw_Claims_Data!C1086</f>
        <v>Health</v>
      </c>
      <c r="D1087">
        <f>Raw_Claims_Data!D1086</f>
        <v>158.52000000000001</v>
      </c>
      <c r="E1087">
        <f>Raw_Claims_Data!E1086</f>
        <v>17000</v>
      </c>
      <c r="F1087" t="str">
        <f>Raw_Claims_Data!F1086</f>
        <v>KY</v>
      </c>
      <c r="G1087" t="str">
        <f>Raw_Claims_Data!G1086</f>
        <v>A</v>
      </c>
      <c r="H1087" t="str">
        <f>Raw_Claims_Data!H1086</f>
        <v>Minor Loss</v>
      </c>
      <c r="I1087" t="str">
        <f>IF(Raw_Claims_Data!I1086="","None",Raw_Claims_Data!I1086)</f>
        <v>Ambulance</v>
      </c>
      <c r="J1087" t="str">
        <f>Raw_Claims_Data!J1086</f>
        <v>Nashville</v>
      </c>
      <c r="K1087" t="str">
        <f>Raw_Claims_Data!K1086</f>
        <v>TN</v>
      </c>
      <c r="L1087">
        <f>Raw_Claims_Data!L1086</f>
        <v>5</v>
      </c>
      <c r="M1087" t="str">
        <f>IF(Raw_Claims_Data!M1086="","N/A",Raw_Claims_Data!M1086)</f>
        <v>N/A</v>
      </c>
      <c r="N1087" t="str">
        <f>Raw_Claims_Data!N1086</f>
        <v>AGENT00793</v>
      </c>
      <c r="O1087">
        <f>IF(Raw_Claims_Data!G1086="D",1,0)</f>
        <v>0</v>
      </c>
    </row>
    <row r="1088" spans="1:15" x14ac:dyDescent="0.35">
      <c r="A1088" t="str">
        <f>Raw_Claims_Data!A1087</f>
        <v>TXN00001084</v>
      </c>
      <c r="B1088" t="str">
        <f>TRIM(Raw_Claims_Data!B1087)</f>
        <v>Jerrold Brown</v>
      </c>
      <c r="C1088" t="str">
        <f>Raw_Claims_Data!C1087</f>
        <v>Mobile</v>
      </c>
      <c r="D1088">
        <f>Raw_Claims_Data!D1087</f>
        <v>11.62</v>
      </c>
      <c r="E1088">
        <f>Raw_Claims_Data!E1087</f>
        <v>500</v>
      </c>
      <c r="F1088" t="str">
        <f>Raw_Claims_Data!F1087</f>
        <v>FL</v>
      </c>
      <c r="G1088" t="str">
        <f>Raw_Claims_Data!G1087</f>
        <v>D</v>
      </c>
      <c r="H1088" t="str">
        <f>Raw_Claims_Data!H1087</f>
        <v>Minor Loss</v>
      </c>
      <c r="I1088" t="str">
        <f>IF(Raw_Claims_Data!I1087="","None",Raw_Claims_Data!I1087)</f>
        <v>Police</v>
      </c>
      <c r="J1088" t="str">
        <f>Raw_Claims_Data!J1087</f>
        <v>Aquinnah</v>
      </c>
      <c r="K1088" t="str">
        <f>Raw_Claims_Data!K1087</f>
        <v>MA</v>
      </c>
      <c r="L1088">
        <f>Raw_Claims_Data!L1087</f>
        <v>12</v>
      </c>
      <c r="M1088" t="str">
        <f>IF(Raw_Claims_Data!M1087="","N/A",Raw_Claims_Data!M1087)</f>
        <v>VNDR00098</v>
      </c>
      <c r="N1088" t="str">
        <f>Raw_Claims_Data!N1087</f>
        <v>AGENT01055</v>
      </c>
      <c r="O1088">
        <f>IF(Raw_Claims_Data!G1087="D",1,0)</f>
        <v>1</v>
      </c>
    </row>
    <row r="1089" spans="1:15" x14ac:dyDescent="0.35">
      <c r="A1089" t="str">
        <f>Raw_Claims_Data!A1088</f>
        <v>TXN00001085</v>
      </c>
      <c r="B1089" t="str">
        <f>TRIM(Raw_Claims_Data!B1088)</f>
        <v>Daniel Pettiford</v>
      </c>
      <c r="C1089" t="str">
        <f>Raw_Claims_Data!C1088</f>
        <v>Life</v>
      </c>
      <c r="D1089">
        <f>Raw_Claims_Data!D1088</f>
        <v>79.459999999999994</v>
      </c>
      <c r="E1089">
        <f>Raw_Claims_Data!E1088</f>
        <v>79000</v>
      </c>
      <c r="F1089" t="str">
        <f>Raw_Claims_Data!F1088</f>
        <v>OK</v>
      </c>
      <c r="G1089" t="str">
        <f>Raw_Claims_Data!G1088</f>
        <v>A</v>
      </c>
      <c r="H1089" t="str">
        <f>Raw_Claims_Data!H1088</f>
        <v>Major Loss</v>
      </c>
      <c r="I1089" t="str">
        <f>IF(Raw_Claims_Data!I1088="","None",Raw_Claims_Data!I1088)</f>
        <v>Ambulance</v>
      </c>
      <c r="J1089" t="str">
        <f>Raw_Claims_Data!J1088</f>
        <v>Carson</v>
      </c>
      <c r="K1089" t="str">
        <f>Raw_Claims_Data!K1088</f>
        <v>CA</v>
      </c>
      <c r="L1089">
        <f>Raw_Claims_Data!L1088</f>
        <v>17</v>
      </c>
      <c r="M1089" t="str">
        <f>IF(Raw_Claims_Data!M1088="","N/A",Raw_Claims_Data!M1088)</f>
        <v>VNDR00500</v>
      </c>
      <c r="N1089" t="str">
        <f>Raw_Claims_Data!N1088</f>
        <v>AGENT00525</v>
      </c>
      <c r="O1089">
        <f>IF(Raw_Claims_Data!G1088="D",1,0)</f>
        <v>0</v>
      </c>
    </row>
    <row r="1090" spans="1:15" x14ac:dyDescent="0.35">
      <c r="A1090" t="str">
        <f>Raw_Claims_Data!A1089</f>
        <v>TXN00001086</v>
      </c>
      <c r="B1090" t="str">
        <f>TRIM(Raw_Claims_Data!B1089)</f>
        <v>Sharon Garland</v>
      </c>
      <c r="C1090" t="str">
        <f>Raw_Claims_Data!C1089</f>
        <v>Health</v>
      </c>
      <c r="D1090">
        <f>Raw_Claims_Data!D1089</f>
        <v>117.19</v>
      </c>
      <c r="E1090">
        <f>Raw_Claims_Data!E1089</f>
        <v>10000</v>
      </c>
      <c r="F1090" t="str">
        <f>Raw_Claims_Data!F1089</f>
        <v>AL</v>
      </c>
      <c r="G1090" t="str">
        <f>Raw_Claims_Data!G1089</f>
        <v>A</v>
      </c>
      <c r="H1090" t="str">
        <f>Raw_Claims_Data!H1089</f>
        <v>Major Loss</v>
      </c>
      <c r="I1090" t="str">
        <f>IF(Raw_Claims_Data!I1089="","None",Raw_Claims_Data!I1089)</f>
        <v>Ambulance</v>
      </c>
      <c r="J1090" t="str">
        <f>Raw_Claims_Data!J1089</f>
        <v>Anchorage</v>
      </c>
      <c r="K1090" t="str">
        <f>Raw_Claims_Data!K1089</f>
        <v>AK</v>
      </c>
      <c r="L1090">
        <f>Raw_Claims_Data!L1089</f>
        <v>23</v>
      </c>
      <c r="M1090" t="str">
        <f>IF(Raw_Claims_Data!M1089="","N/A",Raw_Claims_Data!M1089)</f>
        <v>N/A</v>
      </c>
      <c r="N1090" t="str">
        <f>Raw_Claims_Data!N1089</f>
        <v>AGENT00390</v>
      </c>
      <c r="O1090">
        <f>IF(Raw_Claims_Data!G1089="D",1,0)</f>
        <v>0</v>
      </c>
    </row>
    <row r="1091" spans="1:15" x14ac:dyDescent="0.35">
      <c r="A1091" t="str">
        <f>Raw_Claims_Data!A1090</f>
        <v>TXN00001087</v>
      </c>
      <c r="B1091" t="str">
        <f>TRIM(Raw_Claims_Data!B1090)</f>
        <v>Victor Schroeder</v>
      </c>
      <c r="C1091" t="str">
        <f>Raw_Claims_Data!C1090</f>
        <v>Travel</v>
      </c>
      <c r="D1091">
        <f>Raw_Claims_Data!D1090</f>
        <v>66.44</v>
      </c>
      <c r="E1091">
        <f>Raw_Claims_Data!E1090</f>
        <v>1000</v>
      </c>
      <c r="F1091" t="str">
        <f>Raw_Claims_Data!F1090</f>
        <v>TN</v>
      </c>
      <c r="G1091" t="str">
        <f>Raw_Claims_Data!G1090</f>
        <v>A</v>
      </c>
      <c r="H1091" t="str">
        <f>Raw_Claims_Data!H1090</f>
        <v>Minor Loss</v>
      </c>
      <c r="I1091" t="str">
        <f>IF(Raw_Claims_Data!I1090="","None",Raw_Claims_Data!I1090)</f>
        <v>Ambulance</v>
      </c>
      <c r="J1091" t="str">
        <f>Raw_Claims_Data!J1090</f>
        <v>Anchorage</v>
      </c>
      <c r="K1091" t="str">
        <f>Raw_Claims_Data!K1090</f>
        <v>AK</v>
      </c>
      <c r="L1091">
        <f>Raw_Claims_Data!L1090</f>
        <v>9</v>
      </c>
      <c r="M1091" t="str">
        <f>IF(Raw_Claims_Data!M1090="","N/A",Raw_Claims_Data!M1090)</f>
        <v>N/A</v>
      </c>
      <c r="N1091" t="str">
        <f>Raw_Claims_Data!N1090</f>
        <v>AGENT00496</v>
      </c>
      <c r="O1091">
        <f>IF(Raw_Claims_Data!G1090="D",1,0)</f>
        <v>0</v>
      </c>
    </row>
    <row r="1092" spans="1:15" x14ac:dyDescent="0.35">
      <c r="A1092" t="str">
        <f>Raw_Claims_Data!A1091</f>
        <v>TXN00001088</v>
      </c>
      <c r="B1092" t="str">
        <f>TRIM(Raw_Claims_Data!B1091)</f>
        <v>Eileen Frazier</v>
      </c>
      <c r="C1092" t="str">
        <f>Raw_Claims_Data!C1091</f>
        <v>Life</v>
      </c>
      <c r="D1092">
        <f>Raw_Claims_Data!D1091</f>
        <v>65.58</v>
      </c>
      <c r="E1092">
        <f>Raw_Claims_Data!E1091</f>
        <v>24000</v>
      </c>
      <c r="F1092" t="str">
        <f>Raw_Claims_Data!F1091</f>
        <v>GA</v>
      </c>
      <c r="G1092" t="str">
        <f>Raw_Claims_Data!G1091</f>
        <v>A</v>
      </c>
      <c r="H1092" t="str">
        <f>Raw_Claims_Data!H1091</f>
        <v>Major Loss</v>
      </c>
      <c r="I1092" t="str">
        <f>IF(Raw_Claims_Data!I1091="","None",Raw_Claims_Data!I1091)</f>
        <v>Other</v>
      </c>
      <c r="J1092" t="str">
        <f>Raw_Claims_Data!J1091</f>
        <v>Panama City Beach</v>
      </c>
      <c r="K1092" t="str">
        <f>Raw_Claims_Data!K1091</f>
        <v>FL</v>
      </c>
      <c r="L1092">
        <f>Raw_Claims_Data!L1091</f>
        <v>10</v>
      </c>
      <c r="M1092" t="str">
        <f>IF(Raw_Claims_Data!M1091="","N/A",Raw_Claims_Data!M1091)</f>
        <v>N/A</v>
      </c>
      <c r="N1092" t="str">
        <f>Raw_Claims_Data!N1091</f>
        <v>AGENT00236</v>
      </c>
      <c r="O1092">
        <f>IF(Raw_Claims_Data!G1091="D",1,0)</f>
        <v>0</v>
      </c>
    </row>
    <row r="1093" spans="1:15" x14ac:dyDescent="0.35">
      <c r="A1093" t="str">
        <f>Raw_Claims_Data!A1092</f>
        <v>TXN00001089</v>
      </c>
      <c r="B1093" t="str">
        <f>TRIM(Raw_Claims_Data!B1092)</f>
        <v>Susie Reynolds</v>
      </c>
      <c r="C1093" t="str">
        <f>Raw_Claims_Data!C1092</f>
        <v>Mobile</v>
      </c>
      <c r="D1093">
        <f>Raw_Claims_Data!D1092</f>
        <v>11.47</v>
      </c>
      <c r="E1093">
        <f>Raw_Claims_Data!E1092</f>
        <v>400</v>
      </c>
      <c r="F1093" t="str">
        <f>Raw_Claims_Data!F1092</f>
        <v>CA</v>
      </c>
      <c r="G1093" t="str">
        <f>Raw_Claims_Data!G1092</f>
        <v>A</v>
      </c>
      <c r="H1093" t="str">
        <f>Raw_Claims_Data!H1092</f>
        <v>Total Loss</v>
      </c>
      <c r="I1093" t="str">
        <f>IF(Raw_Claims_Data!I1092="","None",Raw_Claims_Data!I1092)</f>
        <v>None</v>
      </c>
      <c r="J1093" t="str">
        <f>Raw_Claims_Data!J1092</f>
        <v>Pasadena</v>
      </c>
      <c r="K1093" t="str">
        <f>Raw_Claims_Data!K1092</f>
        <v>MD</v>
      </c>
      <c r="L1093">
        <f>Raw_Claims_Data!L1092</f>
        <v>18</v>
      </c>
      <c r="M1093" t="str">
        <f>IF(Raw_Claims_Data!M1092="","N/A",Raw_Claims_Data!M1092)</f>
        <v>VNDR00582</v>
      </c>
      <c r="N1093" t="str">
        <f>Raw_Claims_Data!N1092</f>
        <v>AGENT00383</v>
      </c>
      <c r="O1093">
        <f>IF(Raw_Claims_Data!G1092="D",1,0)</f>
        <v>0</v>
      </c>
    </row>
    <row r="1094" spans="1:15" x14ac:dyDescent="0.35">
      <c r="A1094" t="str">
        <f>Raw_Claims_Data!A1093</f>
        <v>TXN00001090</v>
      </c>
      <c r="B1094" t="str">
        <f>TRIM(Raw_Claims_Data!B1093)</f>
        <v>David Huard</v>
      </c>
      <c r="C1094" t="str">
        <f>Raw_Claims_Data!C1093</f>
        <v>Travel</v>
      </c>
      <c r="D1094">
        <f>Raw_Claims_Data!D1093</f>
        <v>58.22</v>
      </c>
      <c r="E1094">
        <f>Raw_Claims_Data!E1093</f>
        <v>2000</v>
      </c>
      <c r="F1094" t="str">
        <f>Raw_Claims_Data!F1093</f>
        <v>OK</v>
      </c>
      <c r="G1094" t="str">
        <f>Raw_Claims_Data!G1093</f>
        <v>A</v>
      </c>
      <c r="H1094" t="str">
        <f>Raw_Claims_Data!H1093</f>
        <v>Total Loss</v>
      </c>
      <c r="I1094" t="str">
        <f>IF(Raw_Claims_Data!I1093="","None",Raw_Claims_Data!I1093)</f>
        <v>Police</v>
      </c>
      <c r="J1094" t="str">
        <f>Raw_Claims_Data!J1093</f>
        <v>Nashville</v>
      </c>
      <c r="K1094" t="str">
        <f>Raw_Claims_Data!K1093</f>
        <v>TN</v>
      </c>
      <c r="L1094">
        <f>Raw_Claims_Data!L1093</f>
        <v>10</v>
      </c>
      <c r="M1094" t="str">
        <f>IF(Raw_Claims_Data!M1093="","N/A",Raw_Claims_Data!M1093)</f>
        <v>N/A</v>
      </c>
      <c r="N1094" t="str">
        <f>Raw_Claims_Data!N1093</f>
        <v>AGENT00128</v>
      </c>
      <c r="O1094">
        <f>IF(Raw_Claims_Data!G1093="D",1,0)</f>
        <v>0</v>
      </c>
    </row>
    <row r="1095" spans="1:15" x14ac:dyDescent="0.35">
      <c r="A1095" t="str">
        <f>Raw_Claims_Data!A1094</f>
        <v>TXN00001091</v>
      </c>
      <c r="B1095" t="str">
        <f>TRIM(Raw_Claims_Data!B1094)</f>
        <v>Victor Carbone</v>
      </c>
      <c r="C1095" t="str">
        <f>Raw_Claims_Data!C1094</f>
        <v>Travel</v>
      </c>
      <c r="D1095">
        <f>Raw_Claims_Data!D1094</f>
        <v>66.08</v>
      </c>
      <c r="E1095">
        <f>Raw_Claims_Data!E1094</f>
        <v>5000</v>
      </c>
      <c r="F1095" t="str">
        <f>Raw_Claims_Data!F1094</f>
        <v>MD</v>
      </c>
      <c r="G1095" t="str">
        <f>Raw_Claims_Data!G1094</f>
        <v>A</v>
      </c>
      <c r="H1095" t="str">
        <f>Raw_Claims_Data!H1094</f>
        <v>Total Loss</v>
      </c>
      <c r="I1095" t="str">
        <f>IF(Raw_Claims_Data!I1094="","None",Raw_Claims_Data!I1094)</f>
        <v>Police</v>
      </c>
      <c r="J1095" t="str">
        <f>Raw_Claims_Data!J1094</f>
        <v>Millersville</v>
      </c>
      <c r="K1095" t="str">
        <f>Raw_Claims_Data!K1094</f>
        <v>MD</v>
      </c>
      <c r="L1095">
        <f>Raw_Claims_Data!L1094</f>
        <v>5</v>
      </c>
      <c r="M1095" t="str">
        <f>IF(Raw_Claims_Data!M1094="","N/A",Raw_Claims_Data!M1094)</f>
        <v>VNDR00126</v>
      </c>
      <c r="N1095" t="str">
        <f>Raw_Claims_Data!N1094</f>
        <v>AGENT01121</v>
      </c>
      <c r="O1095">
        <f>IF(Raw_Claims_Data!G1094="D",1,0)</f>
        <v>0</v>
      </c>
    </row>
    <row r="1096" spans="1:15" x14ac:dyDescent="0.35">
      <c r="A1096" t="str">
        <f>Raw_Claims_Data!A1095</f>
        <v>TXN00001092</v>
      </c>
      <c r="B1096" t="str">
        <f>TRIM(Raw_Claims_Data!B1095)</f>
        <v>Christina Mondell</v>
      </c>
      <c r="C1096" t="str">
        <f>Raw_Claims_Data!C1095</f>
        <v>Life</v>
      </c>
      <c r="D1096">
        <f>Raw_Claims_Data!D1095</f>
        <v>85.51</v>
      </c>
      <c r="E1096">
        <f>Raw_Claims_Data!E1095</f>
        <v>76000</v>
      </c>
      <c r="F1096" t="str">
        <f>Raw_Claims_Data!F1095</f>
        <v>MA</v>
      </c>
      <c r="G1096" t="str">
        <f>Raw_Claims_Data!G1095</f>
        <v>A</v>
      </c>
      <c r="H1096" t="str">
        <f>Raw_Claims_Data!H1095</f>
        <v>Minor Loss</v>
      </c>
      <c r="I1096" t="str">
        <f>IF(Raw_Claims_Data!I1095="","None",Raw_Claims_Data!I1095)</f>
        <v>None</v>
      </c>
      <c r="J1096" t="str">
        <f>Raw_Claims_Data!J1095</f>
        <v>Panama City</v>
      </c>
      <c r="K1096" t="str">
        <f>Raw_Claims_Data!K1095</f>
        <v>FL</v>
      </c>
      <c r="L1096">
        <f>Raw_Claims_Data!L1095</f>
        <v>15</v>
      </c>
      <c r="M1096" t="str">
        <f>IF(Raw_Claims_Data!M1095="","N/A",Raw_Claims_Data!M1095)</f>
        <v>N/A</v>
      </c>
      <c r="N1096" t="str">
        <f>Raw_Claims_Data!N1095</f>
        <v>AGENT00258</v>
      </c>
      <c r="O1096">
        <f>IF(Raw_Claims_Data!G1095="D",1,0)</f>
        <v>0</v>
      </c>
    </row>
    <row r="1097" spans="1:15" x14ac:dyDescent="0.35">
      <c r="A1097" t="str">
        <f>Raw_Claims_Data!A1096</f>
        <v>TXN00001093</v>
      </c>
      <c r="B1097" t="str">
        <f>TRIM(Raw_Claims_Data!B1096)</f>
        <v>Ernest Vela</v>
      </c>
      <c r="C1097" t="str">
        <f>Raw_Claims_Data!C1096</f>
        <v>Property</v>
      </c>
      <c r="D1097">
        <f>Raw_Claims_Data!D1096</f>
        <v>86.48</v>
      </c>
      <c r="E1097">
        <f>Raw_Claims_Data!E1096</f>
        <v>19000</v>
      </c>
      <c r="F1097" t="str">
        <f>Raw_Claims_Data!F1096</f>
        <v>FL</v>
      </c>
      <c r="G1097" t="str">
        <f>Raw_Claims_Data!G1096</f>
        <v>A</v>
      </c>
      <c r="H1097" t="str">
        <f>Raw_Claims_Data!H1096</f>
        <v>Major Loss</v>
      </c>
      <c r="I1097" t="str">
        <f>IF(Raw_Claims_Data!I1096="","None",Raw_Claims_Data!I1096)</f>
        <v>None</v>
      </c>
      <c r="J1097" t="str">
        <f>Raw_Claims_Data!J1096</f>
        <v>Everett</v>
      </c>
      <c r="K1097" t="str">
        <f>Raw_Claims_Data!K1096</f>
        <v>MA</v>
      </c>
      <c r="L1097">
        <f>Raw_Claims_Data!L1096</f>
        <v>9</v>
      </c>
      <c r="M1097" t="str">
        <f>IF(Raw_Claims_Data!M1096="","N/A",Raw_Claims_Data!M1096)</f>
        <v>VNDR00483</v>
      </c>
      <c r="N1097" t="str">
        <f>Raw_Claims_Data!N1096</f>
        <v>AGENT00434</v>
      </c>
      <c r="O1097">
        <f>IF(Raw_Claims_Data!G1096="D",1,0)</f>
        <v>0</v>
      </c>
    </row>
    <row r="1098" spans="1:15" x14ac:dyDescent="0.35">
      <c r="A1098" t="str">
        <f>Raw_Claims_Data!A1097</f>
        <v>TXN00001094</v>
      </c>
      <c r="B1098" t="str">
        <f>TRIM(Raw_Claims_Data!B1097)</f>
        <v>Frank Calderon</v>
      </c>
      <c r="C1098" t="str">
        <f>Raw_Claims_Data!C1097</f>
        <v>Property</v>
      </c>
      <c r="D1098">
        <f>Raw_Claims_Data!D1097</f>
        <v>152.94</v>
      </c>
      <c r="E1098">
        <f>Raw_Claims_Data!E1097</f>
        <v>31000</v>
      </c>
      <c r="F1098" t="str">
        <f>Raw_Claims_Data!F1097</f>
        <v>TN</v>
      </c>
      <c r="G1098" t="str">
        <f>Raw_Claims_Data!G1097</f>
        <v>A</v>
      </c>
      <c r="H1098" t="str">
        <f>Raw_Claims_Data!H1097</f>
        <v>Total Loss</v>
      </c>
      <c r="I1098" t="str">
        <f>IF(Raw_Claims_Data!I1097="","None",Raw_Claims_Data!I1097)</f>
        <v>Ambulance</v>
      </c>
      <c r="J1098" t="str">
        <f>Raw_Claims_Data!J1097</f>
        <v>Louisville</v>
      </c>
      <c r="K1098" t="str">
        <f>Raw_Claims_Data!K1097</f>
        <v>KY</v>
      </c>
      <c r="L1098">
        <f>Raw_Claims_Data!L1097</f>
        <v>20</v>
      </c>
      <c r="M1098" t="str">
        <f>IF(Raw_Claims_Data!M1097="","N/A",Raw_Claims_Data!M1097)</f>
        <v>VNDR00056</v>
      </c>
      <c r="N1098" t="str">
        <f>Raw_Claims_Data!N1097</f>
        <v>AGENT00093</v>
      </c>
      <c r="O1098">
        <f>IF(Raw_Claims_Data!G1097="D",1,0)</f>
        <v>0</v>
      </c>
    </row>
    <row r="1099" spans="1:15" x14ac:dyDescent="0.35">
      <c r="A1099" t="str">
        <f>Raw_Claims_Data!A1098</f>
        <v>TXN00001095</v>
      </c>
      <c r="B1099" t="str">
        <f>TRIM(Raw_Claims_Data!B1098)</f>
        <v>Judith Karr</v>
      </c>
      <c r="C1099" t="str">
        <f>Raw_Claims_Data!C1098</f>
        <v>Mobile</v>
      </c>
      <c r="D1099">
        <f>Raw_Claims_Data!D1098</f>
        <v>9.93</v>
      </c>
      <c r="E1099">
        <f>Raw_Claims_Data!E1098</f>
        <v>500</v>
      </c>
      <c r="F1099" t="str">
        <f>Raw_Claims_Data!F1098</f>
        <v>AZ</v>
      </c>
      <c r="G1099" t="str">
        <f>Raw_Claims_Data!G1098</f>
        <v>A</v>
      </c>
      <c r="H1099" t="str">
        <f>Raw_Claims_Data!H1098</f>
        <v>Major Loss</v>
      </c>
      <c r="I1099" t="str">
        <f>IF(Raw_Claims_Data!I1098="","None",Raw_Claims_Data!I1098)</f>
        <v>None</v>
      </c>
      <c r="J1099" t="str">
        <f>Raw_Claims_Data!J1098</f>
        <v>Edgewater</v>
      </c>
      <c r="K1099" t="str">
        <f>Raw_Claims_Data!K1098</f>
        <v>MD</v>
      </c>
      <c r="L1099">
        <f>Raw_Claims_Data!L1098</f>
        <v>7</v>
      </c>
      <c r="M1099" t="str">
        <f>IF(Raw_Claims_Data!M1098="","N/A",Raw_Claims_Data!M1098)</f>
        <v>VNDR00521</v>
      </c>
      <c r="N1099" t="str">
        <f>Raw_Claims_Data!N1098</f>
        <v>AGENT00819</v>
      </c>
      <c r="O1099">
        <f>IF(Raw_Claims_Data!G1098="D",1,0)</f>
        <v>0</v>
      </c>
    </row>
    <row r="1100" spans="1:15" x14ac:dyDescent="0.35">
      <c r="A1100" t="str">
        <f>Raw_Claims_Data!A1099</f>
        <v>TXN00001096</v>
      </c>
      <c r="B1100" t="str">
        <f>TRIM(Raw_Claims_Data!B1099)</f>
        <v>Latoya Mcninch</v>
      </c>
      <c r="C1100" t="str">
        <f>Raw_Claims_Data!C1099</f>
        <v>Life</v>
      </c>
      <c r="D1100">
        <f>Raw_Claims_Data!D1099</f>
        <v>80.819999999999993</v>
      </c>
      <c r="E1100">
        <f>Raw_Claims_Data!E1099</f>
        <v>75000</v>
      </c>
      <c r="F1100" t="str">
        <f>Raw_Claims_Data!F1099</f>
        <v>OK</v>
      </c>
      <c r="G1100" t="str">
        <f>Raw_Claims_Data!G1099</f>
        <v>A</v>
      </c>
      <c r="H1100" t="str">
        <f>Raw_Claims_Data!H1099</f>
        <v>Minor Loss</v>
      </c>
      <c r="I1100" t="str">
        <f>IF(Raw_Claims_Data!I1099="","None",Raw_Claims_Data!I1099)</f>
        <v>Police</v>
      </c>
      <c r="J1100" t="str">
        <f>Raw_Claims_Data!J1099</f>
        <v>Manchester</v>
      </c>
      <c r="K1100" t="str">
        <f>Raw_Claims_Data!K1099</f>
        <v>CT</v>
      </c>
      <c r="L1100">
        <f>Raw_Claims_Data!L1099</f>
        <v>5</v>
      </c>
      <c r="M1100" t="str">
        <f>IF(Raw_Claims_Data!M1099="","N/A",Raw_Claims_Data!M1099)</f>
        <v>VNDR00418</v>
      </c>
      <c r="N1100" t="str">
        <f>Raw_Claims_Data!N1099</f>
        <v>AGENT00054</v>
      </c>
      <c r="O1100">
        <f>IF(Raw_Claims_Data!G1099="D",1,0)</f>
        <v>0</v>
      </c>
    </row>
    <row r="1101" spans="1:15" x14ac:dyDescent="0.35">
      <c r="A1101" t="str">
        <f>Raw_Claims_Data!A1100</f>
        <v>TXN00001097</v>
      </c>
      <c r="B1101" t="str">
        <f>TRIM(Raw_Claims_Data!B1100)</f>
        <v>Jennefer Shields</v>
      </c>
      <c r="C1101" t="str">
        <f>Raw_Claims_Data!C1100</f>
        <v>Mobile</v>
      </c>
      <c r="D1101">
        <f>Raw_Claims_Data!D1100</f>
        <v>6.18</v>
      </c>
      <c r="E1101">
        <f>Raw_Claims_Data!E1100</f>
        <v>700</v>
      </c>
      <c r="F1101" t="str">
        <f>Raw_Claims_Data!F1100</f>
        <v>MA</v>
      </c>
      <c r="G1101" t="str">
        <f>Raw_Claims_Data!G1100</f>
        <v>A</v>
      </c>
      <c r="H1101" t="str">
        <f>Raw_Claims_Data!H1100</f>
        <v>Minor Loss</v>
      </c>
      <c r="I1101" t="str">
        <f>IF(Raw_Claims_Data!I1100="","None",Raw_Claims_Data!I1100)</f>
        <v>None</v>
      </c>
      <c r="J1101" t="str">
        <f>Raw_Claims_Data!J1100</f>
        <v>Bakersfield</v>
      </c>
      <c r="K1101" t="str">
        <f>Raw_Claims_Data!K1100</f>
        <v>CA</v>
      </c>
      <c r="L1101">
        <f>Raw_Claims_Data!L1100</f>
        <v>18</v>
      </c>
      <c r="M1101" t="str">
        <f>IF(Raw_Claims_Data!M1100="","N/A",Raw_Claims_Data!M1100)</f>
        <v>VNDR00238</v>
      </c>
      <c r="N1101" t="str">
        <f>Raw_Claims_Data!N1100</f>
        <v>AGENT00600</v>
      </c>
      <c r="O1101">
        <f>IF(Raw_Claims_Data!G1100="D",1,0)</f>
        <v>0</v>
      </c>
    </row>
    <row r="1102" spans="1:15" x14ac:dyDescent="0.35">
      <c r="A1102" t="str">
        <f>Raw_Claims_Data!A1101</f>
        <v>TXN00001098</v>
      </c>
      <c r="B1102" t="str">
        <f>TRIM(Raw_Claims_Data!B1101)</f>
        <v>Tom Sandoval</v>
      </c>
      <c r="C1102" t="str">
        <f>Raw_Claims_Data!C1101</f>
        <v>Property</v>
      </c>
      <c r="D1102">
        <f>Raw_Claims_Data!D1101</f>
        <v>82.88</v>
      </c>
      <c r="E1102">
        <f>Raw_Claims_Data!E1101</f>
        <v>22000</v>
      </c>
      <c r="F1102" t="str">
        <f>Raw_Claims_Data!F1101</f>
        <v>MD</v>
      </c>
      <c r="G1102" t="str">
        <f>Raw_Claims_Data!G1101</f>
        <v>A</v>
      </c>
      <c r="H1102" t="str">
        <f>Raw_Claims_Data!H1101</f>
        <v>Minor Loss</v>
      </c>
      <c r="I1102" t="str">
        <f>IF(Raw_Claims_Data!I1101="","None",Raw_Claims_Data!I1101)</f>
        <v>Police</v>
      </c>
      <c r="J1102" t="str">
        <f>Raw_Claims_Data!J1101</f>
        <v>Fayetteville</v>
      </c>
      <c r="K1102" t="str">
        <f>Raw_Claims_Data!K1101</f>
        <v>AR</v>
      </c>
      <c r="L1102">
        <f>Raw_Claims_Data!L1101</f>
        <v>22</v>
      </c>
      <c r="M1102" t="str">
        <f>IF(Raw_Claims_Data!M1101="","N/A",Raw_Claims_Data!M1101)</f>
        <v>VNDR00293</v>
      </c>
      <c r="N1102" t="str">
        <f>Raw_Claims_Data!N1101</f>
        <v>AGENT00402</v>
      </c>
      <c r="O1102">
        <f>IF(Raw_Claims_Data!G1101="D",1,0)</f>
        <v>0</v>
      </c>
    </row>
    <row r="1103" spans="1:15" x14ac:dyDescent="0.35">
      <c r="A1103" t="str">
        <f>Raw_Claims_Data!A1102</f>
        <v>TXN00001099</v>
      </c>
      <c r="B1103" t="str">
        <f>TRIM(Raw_Claims_Data!B1102)</f>
        <v>John Mcpherson</v>
      </c>
      <c r="C1103" t="str">
        <f>Raw_Claims_Data!C1102</f>
        <v>Travel</v>
      </c>
      <c r="D1103">
        <f>Raw_Claims_Data!D1102</f>
        <v>54.94</v>
      </c>
      <c r="E1103">
        <f>Raw_Claims_Data!E1102</f>
        <v>1000</v>
      </c>
      <c r="F1103" t="str">
        <f>Raw_Claims_Data!F1102</f>
        <v>KY</v>
      </c>
      <c r="G1103" t="str">
        <f>Raw_Claims_Data!G1102</f>
        <v>A</v>
      </c>
      <c r="H1103" t="str">
        <f>Raw_Claims_Data!H1102</f>
        <v>Total Loss</v>
      </c>
      <c r="I1103" t="str">
        <f>IF(Raw_Claims_Data!I1102="","None",Raw_Claims_Data!I1102)</f>
        <v>Ambulance</v>
      </c>
      <c r="J1103" t="str">
        <f>Raw_Claims_Data!J1102</f>
        <v>Fayetteville</v>
      </c>
      <c r="K1103" t="str">
        <f>Raw_Claims_Data!K1102</f>
        <v>AR</v>
      </c>
      <c r="L1103">
        <f>Raw_Claims_Data!L1102</f>
        <v>3</v>
      </c>
      <c r="M1103" t="str">
        <f>IF(Raw_Claims_Data!M1102="","N/A",Raw_Claims_Data!M1102)</f>
        <v>VNDR00366</v>
      </c>
      <c r="N1103" t="str">
        <f>Raw_Claims_Data!N1102</f>
        <v>AGENT00484</v>
      </c>
      <c r="O1103">
        <f>IF(Raw_Claims_Data!G1102="D",1,0)</f>
        <v>0</v>
      </c>
    </row>
    <row r="1104" spans="1:15" x14ac:dyDescent="0.35">
      <c r="A1104" t="str">
        <f>Raw_Claims_Data!A1103</f>
        <v>TXN00001100</v>
      </c>
      <c r="B1104" t="str">
        <f>TRIM(Raw_Claims_Data!B1103)</f>
        <v>Lawrence Andrews</v>
      </c>
      <c r="C1104" t="str">
        <f>Raw_Claims_Data!C1103</f>
        <v>Mobile</v>
      </c>
      <c r="D1104">
        <f>Raw_Claims_Data!D1103</f>
        <v>8.7899999999999991</v>
      </c>
      <c r="E1104">
        <f>Raw_Claims_Data!E1103</f>
        <v>500</v>
      </c>
      <c r="F1104" t="str">
        <f>Raw_Claims_Data!F1103</f>
        <v>CA</v>
      </c>
      <c r="G1104" t="str">
        <f>Raw_Claims_Data!G1103</f>
        <v>A</v>
      </c>
      <c r="H1104" t="str">
        <f>Raw_Claims_Data!H1103</f>
        <v>Total Loss</v>
      </c>
      <c r="I1104" t="str">
        <f>IF(Raw_Claims_Data!I1103="","None",Raw_Claims_Data!I1103)</f>
        <v>Ambulance</v>
      </c>
      <c r="J1104" t="str">
        <f>Raw_Claims_Data!J1103</f>
        <v>Arvada</v>
      </c>
      <c r="K1104" t="str">
        <f>Raw_Claims_Data!K1103</f>
        <v>CO</v>
      </c>
      <c r="L1104">
        <f>Raw_Claims_Data!L1103</f>
        <v>20</v>
      </c>
      <c r="M1104" t="str">
        <f>IF(Raw_Claims_Data!M1103="","N/A",Raw_Claims_Data!M1103)</f>
        <v>N/A</v>
      </c>
      <c r="N1104" t="str">
        <f>Raw_Claims_Data!N1103</f>
        <v>AGENT00949</v>
      </c>
      <c r="O1104">
        <f>IF(Raw_Claims_Data!G1103="D",1,0)</f>
        <v>0</v>
      </c>
    </row>
    <row r="1105" spans="1:15" x14ac:dyDescent="0.35">
      <c r="A1105" t="str">
        <f>Raw_Claims_Data!A1104</f>
        <v>TXN00001101</v>
      </c>
      <c r="B1105" t="str">
        <f>TRIM(Raw_Claims_Data!B1104)</f>
        <v>Colby Johnson</v>
      </c>
      <c r="C1105" t="str">
        <f>Raw_Claims_Data!C1104</f>
        <v>Mobile</v>
      </c>
      <c r="D1105">
        <f>Raw_Claims_Data!D1104</f>
        <v>8.14</v>
      </c>
      <c r="E1105">
        <f>Raw_Claims_Data!E1104</f>
        <v>600</v>
      </c>
      <c r="F1105" t="str">
        <f>Raw_Claims_Data!F1104</f>
        <v>MD</v>
      </c>
      <c r="G1105" t="str">
        <f>Raw_Claims_Data!G1104</f>
        <v>A</v>
      </c>
      <c r="H1105" t="str">
        <f>Raw_Claims_Data!H1104</f>
        <v>Major Loss</v>
      </c>
      <c r="I1105" t="str">
        <f>IF(Raw_Claims_Data!I1104="","None",Raw_Claims_Data!I1104)</f>
        <v>Police</v>
      </c>
      <c r="J1105" t="str">
        <f>Raw_Claims_Data!J1104</f>
        <v>Hinesburg</v>
      </c>
      <c r="K1105" t="str">
        <f>Raw_Claims_Data!K1104</f>
        <v>VT</v>
      </c>
      <c r="L1105">
        <f>Raw_Claims_Data!L1104</f>
        <v>15</v>
      </c>
      <c r="M1105" t="str">
        <f>IF(Raw_Claims_Data!M1104="","N/A",Raw_Claims_Data!M1104)</f>
        <v>VNDR00008</v>
      </c>
      <c r="N1105" t="str">
        <f>Raw_Claims_Data!N1104</f>
        <v>AGENT01033</v>
      </c>
      <c r="O1105">
        <f>IF(Raw_Claims_Data!G1104="D",1,0)</f>
        <v>0</v>
      </c>
    </row>
    <row r="1106" spans="1:15" x14ac:dyDescent="0.35">
      <c r="A1106" t="str">
        <f>Raw_Claims_Data!A1105</f>
        <v>TXN00001102</v>
      </c>
      <c r="B1106" t="str">
        <f>TRIM(Raw_Claims_Data!B1105)</f>
        <v>Kenneth Hunt</v>
      </c>
      <c r="C1106" t="str">
        <f>Raw_Claims_Data!C1105</f>
        <v>Property</v>
      </c>
      <c r="D1106">
        <f>Raw_Claims_Data!D1105</f>
        <v>158.99</v>
      </c>
      <c r="E1106">
        <f>Raw_Claims_Data!E1105</f>
        <v>23000</v>
      </c>
      <c r="F1106" t="str">
        <f>Raw_Claims_Data!F1105</f>
        <v>AL</v>
      </c>
      <c r="G1106" t="str">
        <f>Raw_Claims_Data!G1105</f>
        <v>A</v>
      </c>
      <c r="H1106" t="str">
        <f>Raw_Claims_Data!H1105</f>
        <v>Major Loss</v>
      </c>
      <c r="I1106" t="str">
        <f>IF(Raw_Claims_Data!I1105="","None",Raw_Claims_Data!I1105)</f>
        <v>Police</v>
      </c>
      <c r="J1106" t="str">
        <f>Raw_Claims_Data!J1105</f>
        <v>Washington</v>
      </c>
      <c r="K1106" t="str">
        <f>Raw_Claims_Data!K1105</f>
        <v>DC</v>
      </c>
      <c r="L1106">
        <f>Raw_Claims_Data!L1105</f>
        <v>0</v>
      </c>
      <c r="M1106" t="str">
        <f>IF(Raw_Claims_Data!M1105="","N/A",Raw_Claims_Data!M1105)</f>
        <v>N/A</v>
      </c>
      <c r="N1106" t="str">
        <f>Raw_Claims_Data!N1105</f>
        <v>AGENT00820</v>
      </c>
      <c r="O1106">
        <f>IF(Raw_Claims_Data!G1105="D",1,0)</f>
        <v>0</v>
      </c>
    </row>
    <row r="1107" spans="1:15" x14ac:dyDescent="0.35">
      <c r="A1107" t="str">
        <f>Raw_Claims_Data!A1106</f>
        <v>TXN00001103</v>
      </c>
      <c r="B1107" t="str">
        <f>TRIM(Raw_Claims_Data!B1106)</f>
        <v>Esther Bigham</v>
      </c>
      <c r="C1107" t="str">
        <f>Raw_Claims_Data!C1106</f>
        <v>Motor</v>
      </c>
      <c r="D1107">
        <f>Raw_Claims_Data!D1106</f>
        <v>138.36000000000001</v>
      </c>
      <c r="E1107">
        <f>Raw_Claims_Data!E1106</f>
        <v>9000</v>
      </c>
      <c r="F1107" t="str">
        <f>Raw_Claims_Data!F1106</f>
        <v>MD</v>
      </c>
      <c r="G1107" t="str">
        <f>Raw_Claims_Data!G1106</f>
        <v>A</v>
      </c>
      <c r="H1107" t="str">
        <f>Raw_Claims_Data!H1106</f>
        <v>Major Loss</v>
      </c>
      <c r="I1107" t="str">
        <f>IF(Raw_Claims_Data!I1106="","None",Raw_Claims_Data!I1106)</f>
        <v>Police</v>
      </c>
      <c r="J1107" t="str">
        <f>Raw_Claims_Data!J1106</f>
        <v>Prospect</v>
      </c>
      <c r="K1107" t="str">
        <f>Raw_Claims_Data!K1106</f>
        <v>KY</v>
      </c>
      <c r="L1107">
        <f>Raw_Claims_Data!L1106</f>
        <v>20</v>
      </c>
      <c r="M1107" t="str">
        <f>IF(Raw_Claims_Data!M1106="","N/A",Raw_Claims_Data!M1106)</f>
        <v>VNDR00222</v>
      </c>
      <c r="N1107" t="str">
        <f>Raw_Claims_Data!N1106</f>
        <v>AGENT00813</v>
      </c>
      <c r="O1107">
        <f>IF(Raw_Claims_Data!G1106="D",1,0)</f>
        <v>0</v>
      </c>
    </row>
    <row r="1108" spans="1:15" x14ac:dyDescent="0.35">
      <c r="A1108" t="str">
        <f>Raw_Claims_Data!A1107</f>
        <v>TXN00001104</v>
      </c>
      <c r="B1108" t="str">
        <f>TRIM(Raw_Claims_Data!B1107)</f>
        <v>Elizabeth Mcknight</v>
      </c>
      <c r="C1108" t="str">
        <f>Raw_Claims_Data!C1107</f>
        <v>Motor</v>
      </c>
      <c r="D1108">
        <f>Raw_Claims_Data!D1107</f>
        <v>103.56</v>
      </c>
      <c r="E1108">
        <f>Raw_Claims_Data!E1107</f>
        <v>7000</v>
      </c>
      <c r="F1108" t="str">
        <f>Raw_Claims_Data!F1107</f>
        <v>AZ</v>
      </c>
      <c r="G1108" t="str">
        <f>Raw_Claims_Data!G1107</f>
        <v>A</v>
      </c>
      <c r="H1108" t="str">
        <f>Raw_Claims_Data!H1107</f>
        <v>Total Loss</v>
      </c>
      <c r="I1108" t="str">
        <f>IF(Raw_Claims_Data!I1107="","None",Raw_Claims_Data!I1107)</f>
        <v>None</v>
      </c>
      <c r="J1108" t="str">
        <f>Raw_Claims_Data!J1107</f>
        <v>Garden City</v>
      </c>
      <c r="K1108" t="str">
        <f>Raw_Claims_Data!K1107</f>
        <v>GA</v>
      </c>
      <c r="L1108">
        <f>Raw_Claims_Data!L1107</f>
        <v>23</v>
      </c>
      <c r="M1108" t="str">
        <f>IF(Raw_Claims_Data!M1107="","N/A",Raw_Claims_Data!M1107)</f>
        <v>N/A</v>
      </c>
      <c r="N1108" t="str">
        <f>Raw_Claims_Data!N1107</f>
        <v>AGENT00860</v>
      </c>
      <c r="O1108">
        <f>IF(Raw_Claims_Data!G1107="D",1,0)</f>
        <v>0</v>
      </c>
    </row>
    <row r="1109" spans="1:15" x14ac:dyDescent="0.35">
      <c r="A1109" t="str">
        <f>Raw_Claims_Data!A1108</f>
        <v>TXN00001105</v>
      </c>
      <c r="B1109" t="str">
        <f>TRIM(Raw_Claims_Data!B1108)</f>
        <v>Lula Woodruff</v>
      </c>
      <c r="C1109" t="str">
        <f>Raw_Claims_Data!C1108</f>
        <v>Mobile</v>
      </c>
      <c r="D1109">
        <f>Raw_Claims_Data!D1108</f>
        <v>8.3800000000000008</v>
      </c>
      <c r="E1109">
        <f>Raw_Claims_Data!E1108</f>
        <v>700</v>
      </c>
      <c r="F1109" t="str">
        <f>Raw_Claims_Data!F1108</f>
        <v>MD</v>
      </c>
      <c r="G1109" t="str">
        <f>Raw_Claims_Data!G1108</f>
        <v>A</v>
      </c>
      <c r="H1109" t="str">
        <f>Raw_Claims_Data!H1108</f>
        <v>Total Loss</v>
      </c>
      <c r="I1109" t="str">
        <f>IF(Raw_Claims_Data!I1108="","None",Raw_Claims_Data!I1108)</f>
        <v>Other</v>
      </c>
      <c r="J1109" t="str">
        <f>Raw_Claims_Data!J1108</f>
        <v>Arvada</v>
      </c>
      <c r="K1109" t="str">
        <f>Raw_Claims_Data!K1108</f>
        <v>CO</v>
      </c>
      <c r="L1109">
        <f>Raw_Claims_Data!L1108</f>
        <v>18</v>
      </c>
      <c r="M1109" t="str">
        <f>IF(Raw_Claims_Data!M1108="","N/A",Raw_Claims_Data!M1108)</f>
        <v>VNDR00349</v>
      </c>
      <c r="N1109" t="str">
        <f>Raw_Claims_Data!N1108</f>
        <v>AGENT00084</v>
      </c>
      <c r="O1109">
        <f>IF(Raw_Claims_Data!G1108="D",1,0)</f>
        <v>0</v>
      </c>
    </row>
    <row r="1110" spans="1:15" x14ac:dyDescent="0.35">
      <c r="A1110" t="str">
        <f>Raw_Claims_Data!A1109</f>
        <v>TXN00001106</v>
      </c>
      <c r="B1110" t="str">
        <f>TRIM(Raw_Claims_Data!B1109)</f>
        <v>Adam Perez</v>
      </c>
      <c r="C1110" t="str">
        <f>Raw_Claims_Data!C1109</f>
        <v>Travel</v>
      </c>
      <c r="D1110">
        <f>Raw_Claims_Data!D1109</f>
        <v>84.24</v>
      </c>
      <c r="E1110">
        <f>Raw_Claims_Data!E1109</f>
        <v>5000</v>
      </c>
      <c r="F1110" t="str">
        <f>Raw_Claims_Data!F1109</f>
        <v>AL</v>
      </c>
      <c r="G1110" t="str">
        <f>Raw_Claims_Data!G1109</f>
        <v>A</v>
      </c>
      <c r="H1110" t="str">
        <f>Raw_Claims_Data!H1109</f>
        <v>Total Loss</v>
      </c>
      <c r="I1110" t="str">
        <f>IF(Raw_Claims_Data!I1109="","None",Raw_Claims_Data!I1109)</f>
        <v>Other</v>
      </c>
      <c r="J1110" t="str">
        <f>Raw_Claims_Data!J1109</f>
        <v>Edgewater</v>
      </c>
      <c r="K1110" t="str">
        <f>Raw_Claims_Data!K1109</f>
        <v>MD</v>
      </c>
      <c r="L1110">
        <f>Raw_Claims_Data!L1109</f>
        <v>14</v>
      </c>
      <c r="M1110" t="str">
        <f>IF(Raw_Claims_Data!M1109="","N/A",Raw_Claims_Data!M1109)</f>
        <v>N/A</v>
      </c>
      <c r="N1110" t="str">
        <f>Raw_Claims_Data!N1109</f>
        <v>AGENT00247</v>
      </c>
      <c r="O1110">
        <f>IF(Raw_Claims_Data!G1109="D",1,0)</f>
        <v>0</v>
      </c>
    </row>
    <row r="1111" spans="1:15" x14ac:dyDescent="0.35">
      <c r="A1111" t="str">
        <f>Raw_Claims_Data!A1110</f>
        <v>TXN00001107</v>
      </c>
      <c r="B1111" t="str">
        <f>TRIM(Raw_Claims_Data!B1110)</f>
        <v>Willie Mcintosh</v>
      </c>
      <c r="C1111" t="str">
        <f>Raw_Claims_Data!C1110</f>
        <v>Property</v>
      </c>
      <c r="D1111">
        <f>Raw_Claims_Data!D1110</f>
        <v>96.7</v>
      </c>
      <c r="E1111">
        <f>Raw_Claims_Data!E1110</f>
        <v>23000</v>
      </c>
      <c r="F1111" t="str">
        <f>Raw_Claims_Data!F1110</f>
        <v>DC</v>
      </c>
      <c r="G1111" t="str">
        <f>Raw_Claims_Data!G1110</f>
        <v>A</v>
      </c>
      <c r="H1111" t="str">
        <f>Raw_Claims_Data!H1110</f>
        <v>Total Loss</v>
      </c>
      <c r="I1111" t="str">
        <f>IF(Raw_Claims_Data!I1110="","None",Raw_Claims_Data!I1110)</f>
        <v>Other</v>
      </c>
      <c r="J1111" t="str">
        <f>Raw_Claims_Data!J1110</f>
        <v>Brentwood</v>
      </c>
      <c r="K1111" t="str">
        <f>Raw_Claims_Data!K1110</f>
        <v>TN</v>
      </c>
      <c r="L1111">
        <f>Raw_Claims_Data!L1110</f>
        <v>17</v>
      </c>
      <c r="M1111" t="str">
        <f>IF(Raw_Claims_Data!M1110="","N/A",Raw_Claims_Data!M1110)</f>
        <v>N/A</v>
      </c>
      <c r="N1111" t="str">
        <f>Raw_Claims_Data!N1110</f>
        <v>AGENT00489</v>
      </c>
      <c r="O1111">
        <f>IF(Raw_Claims_Data!G1110="D",1,0)</f>
        <v>0</v>
      </c>
    </row>
    <row r="1112" spans="1:15" x14ac:dyDescent="0.35">
      <c r="A1112" t="str">
        <f>Raw_Claims_Data!A1111</f>
        <v>TXN00001108</v>
      </c>
      <c r="B1112" t="str">
        <f>TRIM(Raw_Claims_Data!B1111)</f>
        <v>Randy Yates</v>
      </c>
      <c r="C1112" t="str">
        <f>Raw_Claims_Data!C1111</f>
        <v>Property</v>
      </c>
      <c r="D1112">
        <f>Raw_Claims_Data!D1111</f>
        <v>151.81</v>
      </c>
      <c r="E1112">
        <f>Raw_Claims_Data!E1111</f>
        <v>24000</v>
      </c>
      <c r="F1112" t="str">
        <f>Raw_Claims_Data!F1111</f>
        <v>CT</v>
      </c>
      <c r="G1112" t="str">
        <f>Raw_Claims_Data!G1111</f>
        <v>A</v>
      </c>
      <c r="H1112" t="str">
        <f>Raw_Claims_Data!H1111</f>
        <v>Total Loss</v>
      </c>
      <c r="I1112" t="str">
        <f>IF(Raw_Claims_Data!I1111="","None",Raw_Claims_Data!I1111)</f>
        <v>Police</v>
      </c>
      <c r="J1112" t="str">
        <f>Raw_Claims_Data!J1111</f>
        <v>Severn</v>
      </c>
      <c r="K1112" t="str">
        <f>Raw_Claims_Data!K1111</f>
        <v>MD</v>
      </c>
      <c r="L1112">
        <f>Raw_Claims_Data!L1111</f>
        <v>20</v>
      </c>
      <c r="M1112" t="str">
        <f>IF(Raw_Claims_Data!M1111="","N/A",Raw_Claims_Data!M1111)</f>
        <v>VNDR00204</v>
      </c>
      <c r="N1112" t="str">
        <f>Raw_Claims_Data!N1111</f>
        <v>AGENT00376</v>
      </c>
      <c r="O1112">
        <f>IF(Raw_Claims_Data!G1111="D",1,0)</f>
        <v>0</v>
      </c>
    </row>
    <row r="1113" spans="1:15" x14ac:dyDescent="0.35">
      <c r="A1113" t="str">
        <f>Raw_Claims_Data!A1112</f>
        <v>TXN00001109</v>
      </c>
      <c r="B1113" t="str">
        <f>TRIM(Raw_Claims_Data!B1112)</f>
        <v>Lynne Good</v>
      </c>
      <c r="C1113" t="str">
        <f>Raw_Claims_Data!C1112</f>
        <v>Health</v>
      </c>
      <c r="D1113">
        <f>Raw_Claims_Data!D1112</f>
        <v>119.12</v>
      </c>
      <c r="E1113">
        <f>Raw_Claims_Data!E1112</f>
        <v>3000</v>
      </c>
      <c r="F1113" t="str">
        <f>Raw_Claims_Data!F1112</f>
        <v>AZ</v>
      </c>
      <c r="G1113" t="str">
        <f>Raw_Claims_Data!G1112</f>
        <v>A</v>
      </c>
      <c r="H1113" t="str">
        <f>Raw_Claims_Data!H1112</f>
        <v>Minor Loss</v>
      </c>
      <c r="I1113" t="str">
        <f>IF(Raw_Claims_Data!I1112="","None",Raw_Claims_Data!I1112)</f>
        <v>Police</v>
      </c>
      <c r="J1113" t="str">
        <f>Raw_Claims_Data!J1112</f>
        <v>Del City</v>
      </c>
      <c r="K1113" t="str">
        <f>Raw_Claims_Data!K1112</f>
        <v>OK</v>
      </c>
      <c r="L1113">
        <f>Raw_Claims_Data!L1112</f>
        <v>13</v>
      </c>
      <c r="M1113" t="str">
        <f>IF(Raw_Claims_Data!M1112="","N/A",Raw_Claims_Data!M1112)</f>
        <v>N/A</v>
      </c>
      <c r="N1113" t="str">
        <f>Raw_Claims_Data!N1112</f>
        <v>AGENT00757</v>
      </c>
      <c r="O1113">
        <f>IF(Raw_Claims_Data!G1112="D",1,0)</f>
        <v>0</v>
      </c>
    </row>
    <row r="1114" spans="1:15" x14ac:dyDescent="0.35">
      <c r="A1114" t="str">
        <f>Raw_Claims_Data!A1113</f>
        <v>TXN00001110</v>
      </c>
      <c r="B1114" t="str">
        <f>TRIM(Raw_Claims_Data!B1113)</f>
        <v>Irvin Hooker</v>
      </c>
      <c r="C1114" t="str">
        <f>Raw_Claims_Data!C1113</f>
        <v>Health</v>
      </c>
      <c r="D1114">
        <f>Raw_Claims_Data!D1113</f>
        <v>196.3</v>
      </c>
      <c r="E1114">
        <f>Raw_Claims_Data!E1113</f>
        <v>1000</v>
      </c>
      <c r="F1114" t="str">
        <f>Raw_Claims_Data!F1113</f>
        <v>FL</v>
      </c>
      <c r="G1114" t="str">
        <f>Raw_Claims_Data!G1113</f>
        <v>A</v>
      </c>
      <c r="H1114" t="str">
        <f>Raw_Claims_Data!H1113</f>
        <v>Total Loss</v>
      </c>
      <c r="I1114" t="str">
        <f>IF(Raw_Claims_Data!I1113="","None",Raw_Claims_Data!I1113)</f>
        <v>Ambulance</v>
      </c>
      <c r="J1114" t="str">
        <f>Raw_Claims_Data!J1113</f>
        <v>Anchorage</v>
      </c>
      <c r="K1114" t="str">
        <f>Raw_Claims_Data!K1113</f>
        <v>AK</v>
      </c>
      <c r="L1114">
        <f>Raw_Claims_Data!L1113</f>
        <v>21</v>
      </c>
      <c r="M1114" t="str">
        <f>IF(Raw_Claims_Data!M1113="","N/A",Raw_Claims_Data!M1113)</f>
        <v>N/A</v>
      </c>
      <c r="N1114" t="str">
        <f>Raw_Claims_Data!N1113</f>
        <v>AGENT00169</v>
      </c>
      <c r="O1114">
        <f>IF(Raw_Claims_Data!G1113="D",1,0)</f>
        <v>0</v>
      </c>
    </row>
    <row r="1115" spans="1:15" x14ac:dyDescent="0.35">
      <c r="A1115" t="str">
        <f>Raw_Claims_Data!A1114</f>
        <v>TXN00001111</v>
      </c>
      <c r="B1115" t="str">
        <f>TRIM(Raw_Claims_Data!B1114)</f>
        <v>Raymond Pound</v>
      </c>
      <c r="C1115" t="str">
        <f>Raw_Claims_Data!C1114</f>
        <v>Mobile</v>
      </c>
      <c r="D1115">
        <f>Raw_Claims_Data!D1114</f>
        <v>8.15</v>
      </c>
      <c r="E1115">
        <f>Raw_Claims_Data!E1114</f>
        <v>300</v>
      </c>
      <c r="F1115" t="str">
        <f>Raw_Claims_Data!F1114</f>
        <v>KY</v>
      </c>
      <c r="G1115" t="str">
        <f>Raw_Claims_Data!G1114</f>
        <v>A</v>
      </c>
      <c r="H1115" t="str">
        <f>Raw_Claims_Data!H1114</f>
        <v>Total Loss</v>
      </c>
      <c r="I1115" t="str">
        <f>IF(Raw_Claims_Data!I1114="","None",Raw_Claims_Data!I1114)</f>
        <v>Ambulance</v>
      </c>
      <c r="J1115" t="str">
        <f>Raw_Claims_Data!J1114</f>
        <v>Castleton</v>
      </c>
      <c r="K1115" t="str">
        <f>Raw_Claims_Data!K1114</f>
        <v>VT</v>
      </c>
      <c r="L1115">
        <f>Raw_Claims_Data!L1114</f>
        <v>7</v>
      </c>
      <c r="M1115" t="str">
        <f>IF(Raw_Claims_Data!M1114="","N/A",Raw_Claims_Data!M1114)</f>
        <v>N/A</v>
      </c>
      <c r="N1115" t="str">
        <f>Raw_Claims_Data!N1114</f>
        <v>AGENT01042</v>
      </c>
      <c r="O1115">
        <f>IF(Raw_Claims_Data!G1114="D",1,0)</f>
        <v>0</v>
      </c>
    </row>
    <row r="1116" spans="1:15" x14ac:dyDescent="0.35">
      <c r="A1116" t="str">
        <f>Raw_Claims_Data!A1115</f>
        <v>TXN00001112</v>
      </c>
      <c r="B1116" t="str">
        <f>TRIM(Raw_Claims_Data!B1115)</f>
        <v>Ralph Bolden</v>
      </c>
      <c r="C1116" t="str">
        <f>Raw_Claims_Data!C1115</f>
        <v>Travel</v>
      </c>
      <c r="D1116">
        <f>Raw_Claims_Data!D1115</f>
        <v>98.72</v>
      </c>
      <c r="E1116">
        <f>Raw_Claims_Data!E1115</f>
        <v>1000</v>
      </c>
      <c r="F1116" t="str">
        <f>Raw_Claims_Data!F1115</f>
        <v>VT</v>
      </c>
      <c r="G1116" t="str">
        <f>Raw_Claims_Data!G1115</f>
        <v>A</v>
      </c>
      <c r="H1116" t="str">
        <f>Raw_Claims_Data!H1115</f>
        <v>Major Loss</v>
      </c>
      <c r="I1116" t="str">
        <f>IF(Raw_Claims_Data!I1115="","None",Raw_Claims_Data!I1115)</f>
        <v>Ambulance</v>
      </c>
      <c r="J1116" t="str">
        <f>Raw_Claims_Data!J1115</f>
        <v>Louisville</v>
      </c>
      <c r="K1116" t="str">
        <f>Raw_Claims_Data!K1115</f>
        <v>KY</v>
      </c>
      <c r="L1116">
        <f>Raw_Claims_Data!L1115</f>
        <v>15</v>
      </c>
      <c r="M1116" t="str">
        <f>IF(Raw_Claims_Data!M1115="","N/A",Raw_Claims_Data!M1115)</f>
        <v>VNDR00170</v>
      </c>
      <c r="N1116" t="str">
        <f>Raw_Claims_Data!N1115</f>
        <v>AGENT00237</v>
      </c>
      <c r="O1116">
        <f>IF(Raw_Claims_Data!G1115="D",1,0)</f>
        <v>0</v>
      </c>
    </row>
    <row r="1117" spans="1:15" x14ac:dyDescent="0.35">
      <c r="A1117" t="str">
        <f>Raw_Claims_Data!A1116</f>
        <v>TXN00001113</v>
      </c>
      <c r="B1117" t="str">
        <f>TRIM(Raw_Claims_Data!B1116)</f>
        <v>Robert Green</v>
      </c>
      <c r="C1117" t="str">
        <f>Raw_Claims_Data!C1116</f>
        <v>Life</v>
      </c>
      <c r="D1117">
        <f>Raw_Claims_Data!D1116</f>
        <v>90.34</v>
      </c>
      <c r="E1117">
        <f>Raw_Claims_Data!E1116</f>
        <v>41000</v>
      </c>
      <c r="F1117" t="str">
        <f>Raw_Claims_Data!F1116</f>
        <v>MD</v>
      </c>
      <c r="G1117" t="str">
        <f>Raw_Claims_Data!G1116</f>
        <v>A</v>
      </c>
      <c r="H1117" t="str">
        <f>Raw_Claims_Data!H1116</f>
        <v>Minor Loss</v>
      </c>
      <c r="I1117" t="str">
        <f>IF(Raw_Claims_Data!I1116="","None",Raw_Claims_Data!I1116)</f>
        <v>Police</v>
      </c>
      <c r="J1117" t="str">
        <f>Raw_Claims_Data!J1116</f>
        <v>Washington</v>
      </c>
      <c r="K1117" t="str">
        <f>Raw_Claims_Data!K1116</f>
        <v>DC</v>
      </c>
      <c r="L1117">
        <f>Raw_Claims_Data!L1116</f>
        <v>14</v>
      </c>
      <c r="M1117" t="str">
        <f>IF(Raw_Claims_Data!M1116="","N/A",Raw_Claims_Data!M1116)</f>
        <v>N/A</v>
      </c>
      <c r="N1117" t="str">
        <f>Raw_Claims_Data!N1116</f>
        <v>AGENT00077</v>
      </c>
      <c r="O1117">
        <f>IF(Raw_Claims_Data!G1116="D",1,0)</f>
        <v>0</v>
      </c>
    </row>
    <row r="1118" spans="1:15" x14ac:dyDescent="0.35">
      <c r="A1118" t="str">
        <f>Raw_Claims_Data!A1117</f>
        <v>TXN00001114</v>
      </c>
      <c r="B1118" t="str">
        <f>TRIM(Raw_Claims_Data!B1117)</f>
        <v>Stephen Shaw</v>
      </c>
      <c r="C1118" t="str">
        <f>Raw_Claims_Data!C1117</f>
        <v>Motor</v>
      </c>
      <c r="D1118">
        <f>Raw_Claims_Data!D1117</f>
        <v>71.2</v>
      </c>
      <c r="E1118">
        <f>Raw_Claims_Data!E1117</f>
        <v>2000</v>
      </c>
      <c r="F1118" t="str">
        <f>Raw_Claims_Data!F1117</f>
        <v>AR</v>
      </c>
      <c r="G1118" t="str">
        <f>Raw_Claims_Data!G1117</f>
        <v>A</v>
      </c>
      <c r="H1118" t="str">
        <f>Raw_Claims_Data!H1117</f>
        <v>Major Loss</v>
      </c>
      <c r="I1118" t="str">
        <f>IF(Raw_Claims_Data!I1117="","None",Raw_Claims_Data!I1117)</f>
        <v>None</v>
      </c>
      <c r="J1118" t="str">
        <f>Raw_Claims_Data!J1117</f>
        <v>Manchester</v>
      </c>
      <c r="K1118" t="str">
        <f>Raw_Claims_Data!K1117</f>
        <v>CT</v>
      </c>
      <c r="L1118">
        <f>Raw_Claims_Data!L1117</f>
        <v>15</v>
      </c>
      <c r="M1118" t="str">
        <f>IF(Raw_Claims_Data!M1117="","N/A",Raw_Claims_Data!M1117)</f>
        <v>N/A</v>
      </c>
      <c r="N1118" t="str">
        <f>Raw_Claims_Data!N1117</f>
        <v>AGENT00154</v>
      </c>
      <c r="O1118">
        <f>IF(Raw_Claims_Data!G1117="D",1,0)</f>
        <v>0</v>
      </c>
    </row>
    <row r="1119" spans="1:15" x14ac:dyDescent="0.35">
      <c r="A1119" t="str">
        <f>Raw_Claims_Data!A1118</f>
        <v>TXN00001115</v>
      </c>
      <c r="B1119" t="str">
        <f>TRIM(Raw_Claims_Data!B1118)</f>
        <v>Christopher Hatfield</v>
      </c>
      <c r="C1119" t="str">
        <f>Raw_Claims_Data!C1118</f>
        <v>Life</v>
      </c>
      <c r="D1119">
        <f>Raw_Claims_Data!D1118</f>
        <v>59.69</v>
      </c>
      <c r="E1119">
        <f>Raw_Claims_Data!E1118</f>
        <v>18000</v>
      </c>
      <c r="F1119" t="str">
        <f>Raw_Claims_Data!F1118</f>
        <v>FL</v>
      </c>
      <c r="G1119" t="str">
        <f>Raw_Claims_Data!G1118</f>
        <v>A</v>
      </c>
      <c r="H1119" t="str">
        <f>Raw_Claims_Data!H1118</f>
        <v>Major Loss</v>
      </c>
      <c r="I1119" t="str">
        <f>IF(Raw_Claims_Data!I1118="","None",Raw_Claims_Data!I1118)</f>
        <v>Ambulance</v>
      </c>
      <c r="J1119" t="str">
        <f>Raw_Claims_Data!J1118</f>
        <v>Washington</v>
      </c>
      <c r="K1119" t="str">
        <f>Raw_Claims_Data!K1118</f>
        <v>DC</v>
      </c>
      <c r="L1119">
        <f>Raw_Claims_Data!L1118</f>
        <v>6</v>
      </c>
      <c r="M1119" t="str">
        <f>IF(Raw_Claims_Data!M1118="","N/A",Raw_Claims_Data!M1118)</f>
        <v>VNDR00222</v>
      </c>
      <c r="N1119" t="str">
        <f>Raw_Claims_Data!N1118</f>
        <v>AGENT00692</v>
      </c>
      <c r="O1119">
        <f>IF(Raw_Claims_Data!G1118="D",1,0)</f>
        <v>0</v>
      </c>
    </row>
    <row r="1120" spans="1:15" x14ac:dyDescent="0.35">
      <c r="A1120" t="str">
        <f>Raw_Claims_Data!A1119</f>
        <v>TXN00001116</v>
      </c>
      <c r="B1120" t="str">
        <f>TRIM(Raw_Claims_Data!B1119)</f>
        <v>Emely Medas</v>
      </c>
      <c r="C1120" t="str">
        <f>Raw_Claims_Data!C1119</f>
        <v>Property</v>
      </c>
      <c r="D1120">
        <f>Raw_Claims_Data!D1119</f>
        <v>150.18</v>
      </c>
      <c r="E1120">
        <f>Raw_Claims_Data!E1119</f>
        <v>23000</v>
      </c>
      <c r="F1120" t="str">
        <f>Raw_Claims_Data!F1119</f>
        <v>CT</v>
      </c>
      <c r="G1120" t="str">
        <f>Raw_Claims_Data!G1119</f>
        <v>A</v>
      </c>
      <c r="H1120" t="str">
        <f>Raw_Claims_Data!H1119</f>
        <v>Minor Loss</v>
      </c>
      <c r="I1120" t="str">
        <f>IF(Raw_Claims_Data!I1119="","None",Raw_Claims_Data!I1119)</f>
        <v>None</v>
      </c>
      <c r="J1120" t="str">
        <f>Raw_Claims_Data!J1119</f>
        <v>Alameda</v>
      </c>
      <c r="K1120" t="str">
        <f>Raw_Claims_Data!K1119</f>
        <v>CA</v>
      </c>
      <c r="L1120">
        <f>Raw_Claims_Data!L1119</f>
        <v>17</v>
      </c>
      <c r="M1120" t="str">
        <f>IF(Raw_Claims_Data!M1119="","N/A",Raw_Claims_Data!M1119)</f>
        <v>VNDR00075</v>
      </c>
      <c r="N1120" t="str">
        <f>Raw_Claims_Data!N1119</f>
        <v>AGENT00082</v>
      </c>
      <c r="O1120">
        <f>IF(Raw_Claims_Data!G1119="D",1,0)</f>
        <v>0</v>
      </c>
    </row>
    <row r="1121" spans="1:15" x14ac:dyDescent="0.35">
      <c r="A1121" t="str">
        <f>Raw_Claims_Data!A1120</f>
        <v>TXN00001117</v>
      </c>
      <c r="B1121" t="str">
        <f>TRIM(Raw_Claims_Data!B1120)</f>
        <v>Jeffrey Geimer</v>
      </c>
      <c r="C1121" t="str">
        <f>Raw_Claims_Data!C1120</f>
        <v>Mobile</v>
      </c>
      <c r="D1121">
        <f>Raw_Claims_Data!D1120</f>
        <v>8.16</v>
      </c>
      <c r="E1121">
        <f>Raw_Claims_Data!E1120</f>
        <v>700</v>
      </c>
      <c r="F1121" t="str">
        <f>Raw_Claims_Data!F1120</f>
        <v>CA</v>
      </c>
      <c r="G1121" t="str">
        <f>Raw_Claims_Data!G1120</f>
        <v>A</v>
      </c>
      <c r="H1121" t="str">
        <f>Raw_Claims_Data!H1120</f>
        <v>Total Loss</v>
      </c>
      <c r="I1121" t="str">
        <f>IF(Raw_Claims_Data!I1120="","None",Raw_Claims_Data!I1120)</f>
        <v>Police</v>
      </c>
      <c r="J1121" t="str">
        <f>Raw_Claims_Data!J1120</f>
        <v>Union City</v>
      </c>
      <c r="K1121" t="str">
        <f>Raw_Claims_Data!K1120</f>
        <v>CA</v>
      </c>
      <c r="L1121">
        <f>Raw_Claims_Data!L1120</f>
        <v>6</v>
      </c>
      <c r="M1121" t="str">
        <f>IF(Raw_Claims_Data!M1120="","N/A",Raw_Claims_Data!M1120)</f>
        <v>VNDR00389</v>
      </c>
      <c r="N1121" t="str">
        <f>Raw_Claims_Data!N1120</f>
        <v>AGENT01035</v>
      </c>
      <c r="O1121">
        <f>IF(Raw_Claims_Data!G1120="D",1,0)</f>
        <v>0</v>
      </c>
    </row>
    <row r="1122" spans="1:15" x14ac:dyDescent="0.35">
      <c r="A1122" t="str">
        <f>Raw_Claims_Data!A1121</f>
        <v>TXN00001118</v>
      </c>
      <c r="B1122" t="str">
        <f>TRIM(Raw_Claims_Data!B1121)</f>
        <v>Paul Power</v>
      </c>
      <c r="C1122" t="str">
        <f>Raw_Claims_Data!C1121</f>
        <v>Health</v>
      </c>
      <c r="D1122">
        <f>Raw_Claims_Data!D1121</f>
        <v>154.87</v>
      </c>
      <c r="E1122">
        <f>Raw_Claims_Data!E1121</f>
        <v>2000</v>
      </c>
      <c r="F1122" t="str">
        <f>Raw_Claims_Data!F1121</f>
        <v>AR</v>
      </c>
      <c r="G1122" t="str">
        <f>Raw_Claims_Data!G1121</f>
        <v>A</v>
      </c>
      <c r="H1122" t="str">
        <f>Raw_Claims_Data!H1121</f>
        <v>Minor Loss</v>
      </c>
      <c r="I1122" t="str">
        <f>IF(Raw_Claims_Data!I1121="","None",Raw_Claims_Data!I1121)</f>
        <v>Other</v>
      </c>
      <c r="J1122" t="str">
        <f>Raw_Claims_Data!J1121</f>
        <v>Arvada</v>
      </c>
      <c r="K1122" t="str">
        <f>Raw_Claims_Data!K1121</f>
        <v>CO</v>
      </c>
      <c r="L1122">
        <f>Raw_Claims_Data!L1121</f>
        <v>9</v>
      </c>
      <c r="M1122" t="str">
        <f>IF(Raw_Claims_Data!M1121="","N/A",Raw_Claims_Data!M1121)</f>
        <v>VNDR00592</v>
      </c>
      <c r="N1122" t="str">
        <f>Raw_Claims_Data!N1121</f>
        <v>AGENT00655</v>
      </c>
      <c r="O1122">
        <f>IF(Raw_Claims_Data!G1121="D",1,0)</f>
        <v>0</v>
      </c>
    </row>
    <row r="1123" spans="1:15" x14ac:dyDescent="0.35">
      <c r="A1123" t="str">
        <f>Raw_Claims_Data!A1122</f>
        <v>TXN00001119</v>
      </c>
      <c r="B1123" t="str">
        <f>TRIM(Raw_Claims_Data!B1122)</f>
        <v>Delbert Mccandless</v>
      </c>
      <c r="C1123" t="str">
        <f>Raw_Claims_Data!C1122</f>
        <v>Motor</v>
      </c>
      <c r="D1123">
        <f>Raw_Claims_Data!D1122</f>
        <v>85.09</v>
      </c>
      <c r="E1123">
        <f>Raw_Claims_Data!E1122</f>
        <v>5000</v>
      </c>
      <c r="F1123" t="str">
        <f>Raw_Claims_Data!F1122</f>
        <v>AR</v>
      </c>
      <c r="G1123" t="str">
        <f>Raw_Claims_Data!G1122</f>
        <v>A</v>
      </c>
      <c r="H1123" t="str">
        <f>Raw_Claims_Data!H1122</f>
        <v>Minor Loss</v>
      </c>
      <c r="I1123" t="str">
        <f>IF(Raw_Claims_Data!I1122="","None",Raw_Claims_Data!I1122)</f>
        <v>Police</v>
      </c>
      <c r="J1123" t="str">
        <f>Raw_Claims_Data!J1122</f>
        <v>Anchorage</v>
      </c>
      <c r="K1123" t="str">
        <f>Raw_Claims_Data!K1122</f>
        <v>AK</v>
      </c>
      <c r="L1123">
        <f>Raw_Claims_Data!L1122</f>
        <v>23</v>
      </c>
      <c r="M1123" t="str">
        <f>IF(Raw_Claims_Data!M1122="","N/A",Raw_Claims_Data!M1122)</f>
        <v>VNDR00289</v>
      </c>
      <c r="N1123" t="str">
        <f>Raw_Claims_Data!N1122</f>
        <v>AGENT00013</v>
      </c>
      <c r="O1123">
        <f>IF(Raw_Claims_Data!G1122="D",1,0)</f>
        <v>0</v>
      </c>
    </row>
    <row r="1124" spans="1:15" x14ac:dyDescent="0.35">
      <c r="A1124" t="str">
        <f>Raw_Claims_Data!A1123</f>
        <v>TXN00001120</v>
      </c>
      <c r="B1124" t="str">
        <f>TRIM(Raw_Claims_Data!B1123)</f>
        <v>Ernest Coker</v>
      </c>
      <c r="C1124" t="str">
        <f>Raw_Claims_Data!C1123</f>
        <v>Travel</v>
      </c>
      <c r="D1124">
        <f>Raw_Claims_Data!D1123</f>
        <v>58.9</v>
      </c>
      <c r="E1124">
        <f>Raw_Claims_Data!E1123</f>
        <v>5000</v>
      </c>
      <c r="F1124" t="str">
        <f>Raw_Claims_Data!F1123</f>
        <v>TN</v>
      </c>
      <c r="G1124" t="str">
        <f>Raw_Claims_Data!G1123</f>
        <v>A</v>
      </c>
      <c r="H1124" t="str">
        <f>Raw_Claims_Data!H1123</f>
        <v>Total Loss</v>
      </c>
      <c r="I1124" t="str">
        <f>IF(Raw_Claims_Data!I1123="","None",Raw_Claims_Data!I1123)</f>
        <v>Ambulance</v>
      </c>
      <c r="J1124" t="str">
        <f>Raw_Claims_Data!J1123</f>
        <v>Pooler</v>
      </c>
      <c r="K1124" t="str">
        <f>Raw_Claims_Data!K1123</f>
        <v>GA</v>
      </c>
      <c r="L1124">
        <f>Raw_Claims_Data!L1123</f>
        <v>17</v>
      </c>
      <c r="M1124" t="str">
        <f>IF(Raw_Claims_Data!M1123="","N/A",Raw_Claims_Data!M1123)</f>
        <v>VNDR00386</v>
      </c>
      <c r="N1124" t="str">
        <f>Raw_Claims_Data!N1123</f>
        <v>AGENT00686</v>
      </c>
      <c r="O1124">
        <f>IF(Raw_Claims_Data!G1123="D",1,0)</f>
        <v>0</v>
      </c>
    </row>
    <row r="1125" spans="1:15" x14ac:dyDescent="0.35">
      <c r="A1125" t="str">
        <f>Raw_Claims_Data!A1124</f>
        <v>TXN00001121</v>
      </c>
      <c r="B1125" t="str">
        <f>TRIM(Raw_Claims_Data!B1124)</f>
        <v>Eve Camren</v>
      </c>
      <c r="C1125" t="str">
        <f>Raw_Claims_Data!C1124</f>
        <v>Property</v>
      </c>
      <c r="D1125">
        <f>Raw_Claims_Data!D1124</f>
        <v>117.35</v>
      </c>
      <c r="E1125">
        <f>Raw_Claims_Data!E1124</f>
        <v>34000</v>
      </c>
      <c r="F1125" t="str">
        <f>Raw_Claims_Data!F1124</f>
        <v>DC</v>
      </c>
      <c r="G1125" t="str">
        <f>Raw_Claims_Data!G1124</f>
        <v>A</v>
      </c>
      <c r="H1125" t="str">
        <f>Raw_Claims_Data!H1124</f>
        <v>Minor Loss</v>
      </c>
      <c r="I1125" t="str">
        <f>IF(Raw_Claims_Data!I1124="","None",Raw_Claims_Data!I1124)</f>
        <v>Police</v>
      </c>
      <c r="J1125" t="str">
        <f>Raw_Claims_Data!J1124</f>
        <v>Fayetteville</v>
      </c>
      <c r="K1125" t="str">
        <f>Raw_Claims_Data!K1124</f>
        <v>AR</v>
      </c>
      <c r="L1125">
        <f>Raw_Claims_Data!L1124</f>
        <v>22</v>
      </c>
      <c r="M1125" t="str">
        <f>IF(Raw_Claims_Data!M1124="","N/A",Raw_Claims_Data!M1124)</f>
        <v>VNDR00096</v>
      </c>
      <c r="N1125" t="str">
        <f>Raw_Claims_Data!N1124</f>
        <v>AGENT00347</v>
      </c>
      <c r="O1125">
        <f>IF(Raw_Claims_Data!G1124="D",1,0)</f>
        <v>0</v>
      </c>
    </row>
    <row r="1126" spans="1:15" x14ac:dyDescent="0.35">
      <c r="A1126" t="str">
        <f>Raw_Claims_Data!A1125</f>
        <v>TXN00001122</v>
      </c>
      <c r="B1126" t="str">
        <f>TRIM(Raw_Claims_Data!B1125)</f>
        <v>Eddie Banks</v>
      </c>
      <c r="C1126" t="str">
        <f>Raw_Claims_Data!C1125</f>
        <v>Mobile</v>
      </c>
      <c r="D1126">
        <f>Raw_Claims_Data!D1125</f>
        <v>10.4</v>
      </c>
      <c r="E1126">
        <f>Raw_Claims_Data!E1125</f>
        <v>300</v>
      </c>
      <c r="F1126" t="str">
        <f>Raw_Claims_Data!F1125</f>
        <v>CA</v>
      </c>
      <c r="G1126" t="str">
        <f>Raw_Claims_Data!G1125</f>
        <v>A</v>
      </c>
      <c r="H1126" t="str">
        <f>Raw_Claims_Data!H1125</f>
        <v>Major Loss</v>
      </c>
      <c r="I1126" t="str">
        <f>IF(Raw_Claims_Data!I1125="","None",Raw_Claims_Data!I1125)</f>
        <v>None</v>
      </c>
      <c r="J1126" t="str">
        <f>Raw_Claims_Data!J1125</f>
        <v>Louisville</v>
      </c>
      <c r="K1126" t="str">
        <f>Raw_Claims_Data!K1125</f>
        <v>KY</v>
      </c>
      <c r="L1126">
        <f>Raw_Claims_Data!L1125</f>
        <v>0</v>
      </c>
      <c r="M1126" t="str">
        <f>IF(Raw_Claims_Data!M1125="","N/A",Raw_Claims_Data!M1125)</f>
        <v>N/A</v>
      </c>
      <c r="N1126" t="str">
        <f>Raw_Claims_Data!N1125</f>
        <v>AGENT00837</v>
      </c>
      <c r="O1126">
        <f>IF(Raw_Claims_Data!G1125="D",1,0)</f>
        <v>0</v>
      </c>
    </row>
    <row r="1127" spans="1:15" x14ac:dyDescent="0.35">
      <c r="A1127" t="str">
        <f>Raw_Claims_Data!A1126</f>
        <v>TXN00001123</v>
      </c>
      <c r="B1127" t="str">
        <f>TRIM(Raw_Claims_Data!B1126)</f>
        <v>June Wang</v>
      </c>
      <c r="C1127" t="str">
        <f>Raw_Claims_Data!C1126</f>
        <v>Property</v>
      </c>
      <c r="D1127">
        <f>Raw_Claims_Data!D1126</f>
        <v>100.53</v>
      </c>
      <c r="E1127">
        <f>Raw_Claims_Data!E1126</f>
        <v>40000</v>
      </c>
      <c r="F1127" t="str">
        <f>Raw_Claims_Data!F1126</f>
        <v>CT</v>
      </c>
      <c r="G1127" t="str">
        <f>Raw_Claims_Data!G1126</f>
        <v>A</v>
      </c>
      <c r="H1127" t="str">
        <f>Raw_Claims_Data!H1126</f>
        <v>Minor Loss</v>
      </c>
      <c r="I1127" t="str">
        <f>IF(Raw_Claims_Data!I1126="","None",Raw_Claims_Data!I1126)</f>
        <v>Other</v>
      </c>
      <c r="J1127" t="str">
        <f>Raw_Claims_Data!J1126</f>
        <v>Edgewater</v>
      </c>
      <c r="K1127" t="str">
        <f>Raw_Claims_Data!K1126</f>
        <v>MD</v>
      </c>
      <c r="L1127">
        <f>Raw_Claims_Data!L1126</f>
        <v>13</v>
      </c>
      <c r="M1127" t="str">
        <f>IF(Raw_Claims_Data!M1126="","N/A",Raw_Claims_Data!M1126)</f>
        <v>VNDR00139</v>
      </c>
      <c r="N1127" t="str">
        <f>Raw_Claims_Data!N1126</f>
        <v>AGENT01067</v>
      </c>
      <c r="O1127">
        <f>IF(Raw_Claims_Data!G1126="D",1,0)</f>
        <v>0</v>
      </c>
    </row>
    <row r="1128" spans="1:15" x14ac:dyDescent="0.35">
      <c r="A1128" t="str">
        <f>Raw_Claims_Data!A1127</f>
        <v>TXN00001124</v>
      </c>
      <c r="B1128" t="str">
        <f>TRIM(Raw_Claims_Data!B1127)</f>
        <v>Bonita Yockey</v>
      </c>
      <c r="C1128" t="str">
        <f>Raw_Claims_Data!C1127</f>
        <v>Life</v>
      </c>
      <c r="D1128">
        <f>Raw_Claims_Data!D1127</f>
        <v>71.180000000000007</v>
      </c>
      <c r="E1128">
        <f>Raw_Claims_Data!E1127</f>
        <v>83000</v>
      </c>
      <c r="F1128" t="str">
        <f>Raw_Claims_Data!F1127</f>
        <v>GA</v>
      </c>
      <c r="G1128" t="str">
        <f>Raw_Claims_Data!G1127</f>
        <v>A</v>
      </c>
      <c r="H1128" t="str">
        <f>Raw_Claims_Data!H1127</f>
        <v>Minor Loss</v>
      </c>
      <c r="I1128" t="str">
        <f>IF(Raw_Claims_Data!I1127="","None",Raw_Claims_Data!I1127)</f>
        <v>Police</v>
      </c>
      <c r="J1128" t="str">
        <f>Raw_Claims_Data!J1127</f>
        <v>Nashville</v>
      </c>
      <c r="K1128" t="str">
        <f>Raw_Claims_Data!K1127</f>
        <v>TN</v>
      </c>
      <c r="L1128">
        <f>Raw_Claims_Data!L1127</f>
        <v>7</v>
      </c>
      <c r="M1128" t="str">
        <f>IF(Raw_Claims_Data!M1127="","N/A",Raw_Claims_Data!M1127)</f>
        <v>VNDR00422</v>
      </c>
      <c r="N1128" t="str">
        <f>Raw_Claims_Data!N1127</f>
        <v>AGENT00979</v>
      </c>
      <c r="O1128">
        <f>IF(Raw_Claims_Data!G1127="D",1,0)</f>
        <v>0</v>
      </c>
    </row>
    <row r="1129" spans="1:15" x14ac:dyDescent="0.35">
      <c r="A1129" t="str">
        <f>Raw_Claims_Data!A1128</f>
        <v>TXN00001125</v>
      </c>
      <c r="B1129" t="str">
        <f>TRIM(Raw_Claims_Data!B1128)</f>
        <v>Eva Ledesma</v>
      </c>
      <c r="C1129" t="str">
        <f>Raw_Claims_Data!C1128</f>
        <v>Mobile</v>
      </c>
      <c r="D1129">
        <f>Raw_Claims_Data!D1128</f>
        <v>6.71</v>
      </c>
      <c r="E1129">
        <f>Raw_Claims_Data!E1128</f>
        <v>400</v>
      </c>
      <c r="F1129" t="str">
        <f>Raw_Claims_Data!F1128</f>
        <v>OK</v>
      </c>
      <c r="G1129" t="str">
        <f>Raw_Claims_Data!G1128</f>
        <v>A</v>
      </c>
      <c r="H1129" t="str">
        <f>Raw_Claims_Data!H1128</f>
        <v>Major Loss</v>
      </c>
      <c r="I1129" t="str">
        <f>IF(Raw_Claims_Data!I1128="","None",Raw_Claims_Data!I1128)</f>
        <v>Police</v>
      </c>
      <c r="J1129" t="str">
        <f>Raw_Claims_Data!J1128</f>
        <v>Washington</v>
      </c>
      <c r="K1129" t="str">
        <f>Raw_Claims_Data!K1128</f>
        <v>DC</v>
      </c>
      <c r="L1129">
        <f>Raw_Claims_Data!L1128</f>
        <v>6</v>
      </c>
      <c r="M1129" t="str">
        <f>IF(Raw_Claims_Data!M1128="","N/A",Raw_Claims_Data!M1128)</f>
        <v>VNDR00004</v>
      </c>
      <c r="N1129" t="str">
        <f>Raw_Claims_Data!N1128</f>
        <v>AGENT00492</v>
      </c>
      <c r="O1129">
        <f>IF(Raw_Claims_Data!G1128="D",1,0)</f>
        <v>0</v>
      </c>
    </row>
    <row r="1130" spans="1:15" x14ac:dyDescent="0.35">
      <c r="A1130" t="str">
        <f>Raw_Claims_Data!A1129</f>
        <v>TXN00001126</v>
      </c>
      <c r="B1130" t="str">
        <f>TRIM(Raw_Claims_Data!B1129)</f>
        <v>Grace Trower</v>
      </c>
      <c r="C1130" t="str">
        <f>Raw_Claims_Data!C1129</f>
        <v>Travel</v>
      </c>
      <c r="D1130">
        <f>Raw_Claims_Data!D1129</f>
        <v>70.48</v>
      </c>
      <c r="E1130">
        <f>Raw_Claims_Data!E1129</f>
        <v>4000</v>
      </c>
      <c r="F1130" t="str">
        <f>Raw_Claims_Data!F1129</f>
        <v>VT</v>
      </c>
      <c r="G1130" t="str">
        <f>Raw_Claims_Data!G1129</f>
        <v>A</v>
      </c>
      <c r="H1130" t="str">
        <f>Raw_Claims_Data!H1129</f>
        <v>Minor Loss</v>
      </c>
      <c r="I1130" t="str">
        <f>IF(Raw_Claims_Data!I1129="","None",Raw_Claims_Data!I1129)</f>
        <v>Ambulance</v>
      </c>
      <c r="J1130" t="str">
        <f>Raw_Claims_Data!J1129</f>
        <v>Palmer</v>
      </c>
      <c r="K1130" t="str">
        <f>Raw_Claims_Data!K1129</f>
        <v>MA</v>
      </c>
      <c r="L1130">
        <f>Raw_Claims_Data!L1129</f>
        <v>1</v>
      </c>
      <c r="M1130" t="str">
        <f>IF(Raw_Claims_Data!M1129="","N/A",Raw_Claims_Data!M1129)</f>
        <v>VNDR00574</v>
      </c>
      <c r="N1130" t="str">
        <f>Raw_Claims_Data!N1129</f>
        <v>AGENT00199</v>
      </c>
      <c r="O1130">
        <f>IF(Raw_Claims_Data!G1129="D",1,0)</f>
        <v>0</v>
      </c>
    </row>
    <row r="1131" spans="1:15" x14ac:dyDescent="0.35">
      <c r="A1131" t="str">
        <f>Raw_Claims_Data!A1130</f>
        <v>TXN00001127</v>
      </c>
      <c r="B1131" t="str">
        <f>TRIM(Raw_Claims_Data!B1130)</f>
        <v>Paul Wasinger</v>
      </c>
      <c r="C1131" t="str">
        <f>Raw_Claims_Data!C1130</f>
        <v>Mobile</v>
      </c>
      <c r="D1131">
        <f>Raw_Claims_Data!D1130</f>
        <v>11.38</v>
      </c>
      <c r="E1131">
        <f>Raw_Claims_Data!E1130</f>
        <v>600</v>
      </c>
      <c r="F1131" t="str">
        <f>Raw_Claims_Data!F1130</f>
        <v>CA</v>
      </c>
      <c r="G1131" t="str">
        <f>Raw_Claims_Data!G1130</f>
        <v>A</v>
      </c>
      <c r="H1131" t="str">
        <f>Raw_Claims_Data!H1130</f>
        <v>Major Loss</v>
      </c>
      <c r="I1131" t="str">
        <f>IF(Raw_Claims_Data!I1130="","None",Raw_Claims_Data!I1130)</f>
        <v>Police</v>
      </c>
      <c r="J1131" t="str">
        <f>Raw_Claims_Data!J1130</f>
        <v>Panama City</v>
      </c>
      <c r="K1131" t="str">
        <f>Raw_Claims_Data!K1130</f>
        <v>FL</v>
      </c>
      <c r="L1131">
        <f>Raw_Claims_Data!L1130</f>
        <v>20</v>
      </c>
      <c r="M1131" t="str">
        <f>IF(Raw_Claims_Data!M1130="","N/A",Raw_Claims_Data!M1130)</f>
        <v>N/A</v>
      </c>
      <c r="N1131" t="str">
        <f>Raw_Claims_Data!N1130</f>
        <v>AGENT00468</v>
      </c>
      <c r="O1131">
        <f>IF(Raw_Claims_Data!G1130="D",1,0)</f>
        <v>0</v>
      </c>
    </row>
    <row r="1132" spans="1:15" x14ac:dyDescent="0.35">
      <c r="A1132" t="str">
        <f>Raw_Claims_Data!A1131</f>
        <v>TXN00001128</v>
      </c>
      <c r="B1132" t="str">
        <f>TRIM(Raw_Claims_Data!B1131)</f>
        <v>Betty Alvarez</v>
      </c>
      <c r="C1132" t="str">
        <f>Raw_Claims_Data!C1131</f>
        <v>Motor</v>
      </c>
      <c r="D1132">
        <f>Raw_Claims_Data!D1131</f>
        <v>127.86</v>
      </c>
      <c r="E1132">
        <f>Raw_Claims_Data!E1131</f>
        <v>5000</v>
      </c>
      <c r="F1132" t="str">
        <f>Raw_Claims_Data!F1131</f>
        <v>AZ</v>
      </c>
      <c r="G1132" t="str">
        <f>Raw_Claims_Data!G1131</f>
        <v>A</v>
      </c>
      <c r="H1132" t="str">
        <f>Raw_Claims_Data!H1131</f>
        <v>Major Loss</v>
      </c>
      <c r="I1132" t="str">
        <f>IF(Raw_Claims_Data!I1131="","None",Raw_Claims_Data!I1131)</f>
        <v>Police</v>
      </c>
      <c r="J1132" t="str">
        <f>Raw_Claims_Data!J1131</f>
        <v>Montgomery</v>
      </c>
      <c r="K1132" t="str">
        <f>Raw_Claims_Data!K1131</f>
        <v>AL</v>
      </c>
      <c r="L1132">
        <f>Raw_Claims_Data!L1131</f>
        <v>8</v>
      </c>
      <c r="M1132" t="str">
        <f>IF(Raw_Claims_Data!M1131="","N/A",Raw_Claims_Data!M1131)</f>
        <v>VNDR00587</v>
      </c>
      <c r="N1132" t="str">
        <f>Raw_Claims_Data!N1131</f>
        <v>AGENT00729</v>
      </c>
      <c r="O1132">
        <f>IF(Raw_Claims_Data!G1131="D",1,0)</f>
        <v>0</v>
      </c>
    </row>
    <row r="1133" spans="1:15" x14ac:dyDescent="0.35">
      <c r="A1133" t="str">
        <f>Raw_Claims_Data!A1132</f>
        <v>TXN00001129</v>
      </c>
      <c r="B1133" t="str">
        <f>TRIM(Raw_Claims_Data!B1132)</f>
        <v>Sybil Mantini</v>
      </c>
      <c r="C1133" t="str">
        <f>Raw_Claims_Data!C1132</f>
        <v>Mobile</v>
      </c>
      <c r="D1133">
        <f>Raw_Claims_Data!D1132</f>
        <v>11.85</v>
      </c>
      <c r="E1133">
        <f>Raw_Claims_Data!E1132</f>
        <v>400</v>
      </c>
      <c r="F1133" t="str">
        <f>Raw_Claims_Data!F1132</f>
        <v>AR</v>
      </c>
      <c r="G1133" t="str">
        <f>Raw_Claims_Data!G1132</f>
        <v>A</v>
      </c>
      <c r="H1133" t="str">
        <f>Raw_Claims_Data!H1132</f>
        <v>Total Loss</v>
      </c>
      <c r="I1133" t="str">
        <f>IF(Raw_Claims_Data!I1132="","None",Raw_Claims_Data!I1132)</f>
        <v>Ambulance</v>
      </c>
      <c r="J1133" t="str">
        <f>Raw_Claims_Data!J1132</f>
        <v>Arvada</v>
      </c>
      <c r="K1133" t="str">
        <f>Raw_Claims_Data!K1132</f>
        <v>CO</v>
      </c>
      <c r="L1133">
        <f>Raw_Claims_Data!L1132</f>
        <v>19</v>
      </c>
      <c r="M1133" t="str">
        <f>IF(Raw_Claims_Data!M1132="","N/A",Raw_Claims_Data!M1132)</f>
        <v>N/A</v>
      </c>
      <c r="N1133" t="str">
        <f>Raw_Claims_Data!N1132</f>
        <v>AGENT00425</v>
      </c>
      <c r="O1133">
        <f>IF(Raw_Claims_Data!G1132="D",1,0)</f>
        <v>0</v>
      </c>
    </row>
    <row r="1134" spans="1:15" x14ac:dyDescent="0.35">
      <c r="A1134" t="str">
        <f>Raw_Claims_Data!A1133</f>
        <v>TXN00001130</v>
      </c>
      <c r="B1134" t="str">
        <f>TRIM(Raw_Claims_Data!B1133)</f>
        <v>Elizabeth Chavarria</v>
      </c>
      <c r="C1134" t="str">
        <f>Raw_Claims_Data!C1133</f>
        <v>Mobile</v>
      </c>
      <c r="D1134">
        <f>Raw_Claims_Data!D1133</f>
        <v>11.54</v>
      </c>
      <c r="E1134">
        <f>Raw_Claims_Data!E1133</f>
        <v>700</v>
      </c>
      <c r="F1134" t="str">
        <f>Raw_Claims_Data!F1133</f>
        <v>OK</v>
      </c>
      <c r="G1134" t="str">
        <f>Raw_Claims_Data!G1133</f>
        <v>A</v>
      </c>
      <c r="H1134" t="str">
        <f>Raw_Claims_Data!H1133</f>
        <v>Minor Loss</v>
      </c>
      <c r="I1134" t="str">
        <f>IF(Raw_Claims_Data!I1133="","None",Raw_Claims_Data!I1133)</f>
        <v>Police</v>
      </c>
      <c r="J1134" t="str">
        <f>Raw_Claims_Data!J1133</f>
        <v>Fremont</v>
      </c>
      <c r="K1134" t="str">
        <f>Raw_Claims_Data!K1133</f>
        <v>CA</v>
      </c>
      <c r="L1134">
        <f>Raw_Claims_Data!L1133</f>
        <v>18</v>
      </c>
      <c r="M1134" t="str">
        <f>IF(Raw_Claims_Data!M1133="","N/A",Raw_Claims_Data!M1133)</f>
        <v>VNDR00186</v>
      </c>
      <c r="N1134" t="str">
        <f>Raw_Claims_Data!N1133</f>
        <v>AGENT00247</v>
      </c>
      <c r="O1134">
        <f>IF(Raw_Claims_Data!G1133="D",1,0)</f>
        <v>0</v>
      </c>
    </row>
    <row r="1135" spans="1:15" x14ac:dyDescent="0.35">
      <c r="A1135" t="str">
        <f>Raw_Claims_Data!A1134</f>
        <v>TXN00001131</v>
      </c>
      <c r="B1135" t="str">
        <f>TRIM(Raw_Claims_Data!B1134)</f>
        <v>Thomas Becnel</v>
      </c>
      <c r="C1135" t="str">
        <f>Raw_Claims_Data!C1134</f>
        <v>Travel</v>
      </c>
      <c r="D1135">
        <f>Raw_Claims_Data!D1134</f>
        <v>55.79</v>
      </c>
      <c r="E1135">
        <f>Raw_Claims_Data!E1134</f>
        <v>2000</v>
      </c>
      <c r="F1135" t="str">
        <f>Raw_Claims_Data!F1134</f>
        <v>TN</v>
      </c>
      <c r="G1135" t="str">
        <f>Raw_Claims_Data!G1134</f>
        <v>A</v>
      </c>
      <c r="H1135" t="str">
        <f>Raw_Claims_Data!H1134</f>
        <v>Total Loss</v>
      </c>
      <c r="I1135" t="str">
        <f>IF(Raw_Claims_Data!I1134="","None",Raw_Claims_Data!I1134)</f>
        <v>None</v>
      </c>
      <c r="J1135" t="str">
        <f>Raw_Claims_Data!J1134</f>
        <v>Washington</v>
      </c>
      <c r="K1135" t="str">
        <f>Raw_Claims_Data!K1134</f>
        <v>DC</v>
      </c>
      <c r="L1135">
        <f>Raw_Claims_Data!L1134</f>
        <v>11</v>
      </c>
      <c r="M1135" t="str">
        <f>IF(Raw_Claims_Data!M1134="","N/A",Raw_Claims_Data!M1134)</f>
        <v>VNDR00134</v>
      </c>
      <c r="N1135" t="str">
        <f>Raw_Claims_Data!N1134</f>
        <v>AGENT00071</v>
      </c>
      <c r="O1135">
        <f>IF(Raw_Claims_Data!G1134="D",1,0)</f>
        <v>0</v>
      </c>
    </row>
    <row r="1136" spans="1:15" x14ac:dyDescent="0.35">
      <c r="A1136" t="str">
        <f>Raw_Claims_Data!A1135</f>
        <v>TXN00001132</v>
      </c>
      <c r="B1136" t="str">
        <f>TRIM(Raw_Claims_Data!B1135)</f>
        <v>Regina Turrie</v>
      </c>
      <c r="C1136" t="str">
        <f>Raw_Claims_Data!C1135</f>
        <v>Mobile</v>
      </c>
      <c r="D1136">
        <f>Raw_Claims_Data!D1135</f>
        <v>6.05</v>
      </c>
      <c r="E1136">
        <f>Raw_Claims_Data!E1135</f>
        <v>400</v>
      </c>
      <c r="F1136" t="str">
        <f>Raw_Claims_Data!F1135</f>
        <v>CT</v>
      </c>
      <c r="G1136" t="str">
        <f>Raw_Claims_Data!G1135</f>
        <v>A</v>
      </c>
      <c r="H1136" t="str">
        <f>Raw_Claims_Data!H1135</f>
        <v>Minor Loss</v>
      </c>
      <c r="I1136" t="str">
        <f>IF(Raw_Claims_Data!I1135="","None",Raw_Claims_Data!I1135)</f>
        <v>None</v>
      </c>
      <c r="J1136" t="str">
        <f>Raw_Claims_Data!J1135</f>
        <v>Montgomery</v>
      </c>
      <c r="K1136" t="str">
        <f>Raw_Claims_Data!K1135</f>
        <v>AL</v>
      </c>
      <c r="L1136">
        <f>Raw_Claims_Data!L1135</f>
        <v>5</v>
      </c>
      <c r="M1136" t="str">
        <f>IF(Raw_Claims_Data!M1135="","N/A",Raw_Claims_Data!M1135)</f>
        <v>N/A</v>
      </c>
      <c r="N1136" t="str">
        <f>Raw_Claims_Data!N1135</f>
        <v>AGENT00329</v>
      </c>
      <c r="O1136">
        <f>IF(Raw_Claims_Data!G1135="D",1,0)</f>
        <v>0</v>
      </c>
    </row>
    <row r="1137" spans="1:15" x14ac:dyDescent="0.35">
      <c r="A1137" t="str">
        <f>Raw_Claims_Data!A1136</f>
        <v>TXN00001133</v>
      </c>
      <c r="B1137" t="str">
        <f>TRIM(Raw_Claims_Data!B1136)</f>
        <v>Cynthia Lollar</v>
      </c>
      <c r="C1137" t="str">
        <f>Raw_Claims_Data!C1136</f>
        <v>Travel</v>
      </c>
      <c r="D1137">
        <f>Raw_Claims_Data!D1136</f>
        <v>82.27</v>
      </c>
      <c r="E1137">
        <f>Raw_Claims_Data!E1136</f>
        <v>4000</v>
      </c>
      <c r="F1137" t="str">
        <f>Raw_Claims_Data!F1136</f>
        <v>GA</v>
      </c>
      <c r="G1137" t="str">
        <f>Raw_Claims_Data!G1136</f>
        <v>A</v>
      </c>
      <c r="H1137" t="str">
        <f>Raw_Claims_Data!H1136</f>
        <v>Minor Loss</v>
      </c>
      <c r="I1137" t="str">
        <f>IF(Raw_Claims_Data!I1136="","None",Raw_Claims_Data!I1136)</f>
        <v>Ambulance</v>
      </c>
      <c r="J1137" t="str">
        <f>Raw_Claims_Data!J1136</f>
        <v>Savannah</v>
      </c>
      <c r="K1137" t="str">
        <f>Raw_Claims_Data!K1136</f>
        <v>GA</v>
      </c>
      <c r="L1137">
        <f>Raw_Claims_Data!L1136</f>
        <v>14</v>
      </c>
      <c r="M1137" t="str">
        <f>IF(Raw_Claims_Data!M1136="","N/A",Raw_Claims_Data!M1136)</f>
        <v>N/A</v>
      </c>
      <c r="N1137" t="str">
        <f>Raw_Claims_Data!N1136</f>
        <v>AGENT00607</v>
      </c>
      <c r="O1137">
        <f>IF(Raw_Claims_Data!G1136="D",1,0)</f>
        <v>0</v>
      </c>
    </row>
    <row r="1138" spans="1:15" x14ac:dyDescent="0.35">
      <c r="A1138" t="str">
        <f>Raw_Claims_Data!A1137</f>
        <v>TXN00001134</v>
      </c>
      <c r="B1138" t="str">
        <f>TRIM(Raw_Claims_Data!B1137)</f>
        <v>Olga Caudle</v>
      </c>
      <c r="C1138" t="str">
        <f>Raw_Claims_Data!C1137</f>
        <v>Mobile</v>
      </c>
      <c r="D1138">
        <f>Raw_Claims_Data!D1137</f>
        <v>8.16</v>
      </c>
      <c r="E1138">
        <f>Raw_Claims_Data!E1137</f>
        <v>600</v>
      </c>
      <c r="F1138" t="str">
        <f>Raw_Claims_Data!F1137</f>
        <v>FL</v>
      </c>
      <c r="G1138" t="str">
        <f>Raw_Claims_Data!G1137</f>
        <v>A</v>
      </c>
      <c r="H1138" t="str">
        <f>Raw_Claims_Data!H1137</f>
        <v>Major Loss</v>
      </c>
      <c r="I1138" t="str">
        <f>IF(Raw_Claims_Data!I1137="","None",Raw_Claims_Data!I1137)</f>
        <v>Other</v>
      </c>
      <c r="J1138" t="str">
        <f>Raw_Claims_Data!J1137</f>
        <v>Montgomery</v>
      </c>
      <c r="K1138" t="str">
        <f>Raw_Claims_Data!K1137</f>
        <v>AL</v>
      </c>
      <c r="L1138">
        <f>Raw_Claims_Data!L1137</f>
        <v>3</v>
      </c>
      <c r="M1138" t="str">
        <f>IF(Raw_Claims_Data!M1137="","N/A",Raw_Claims_Data!M1137)</f>
        <v>VNDR00366</v>
      </c>
      <c r="N1138" t="str">
        <f>Raw_Claims_Data!N1137</f>
        <v>AGENT00367</v>
      </c>
      <c r="O1138">
        <f>IF(Raw_Claims_Data!G1137="D",1,0)</f>
        <v>0</v>
      </c>
    </row>
    <row r="1139" spans="1:15" x14ac:dyDescent="0.35">
      <c r="A1139" t="str">
        <f>Raw_Claims_Data!A1138</f>
        <v>TXN00001135</v>
      </c>
      <c r="B1139" t="str">
        <f>TRIM(Raw_Claims_Data!B1138)</f>
        <v>Vanessa Jones</v>
      </c>
      <c r="C1139" t="str">
        <f>Raw_Claims_Data!C1138</f>
        <v>Travel</v>
      </c>
      <c r="D1139">
        <f>Raw_Claims_Data!D1138</f>
        <v>71.540000000000006</v>
      </c>
      <c r="E1139">
        <f>Raw_Claims_Data!E1138</f>
        <v>1000</v>
      </c>
      <c r="F1139" t="str">
        <f>Raw_Claims_Data!F1138</f>
        <v>CA</v>
      </c>
      <c r="G1139" t="str">
        <f>Raw_Claims_Data!G1138</f>
        <v>A</v>
      </c>
      <c r="H1139" t="str">
        <f>Raw_Claims_Data!H1138</f>
        <v>Total Loss</v>
      </c>
      <c r="I1139" t="str">
        <f>IF(Raw_Claims_Data!I1138="","None",Raw_Claims_Data!I1138)</f>
        <v>Ambulance</v>
      </c>
      <c r="J1139" t="str">
        <f>Raw_Claims_Data!J1138</f>
        <v>Fitchburg</v>
      </c>
      <c r="K1139" t="str">
        <f>Raw_Claims_Data!K1138</f>
        <v>MA</v>
      </c>
      <c r="L1139">
        <f>Raw_Claims_Data!L1138</f>
        <v>18</v>
      </c>
      <c r="M1139" t="str">
        <f>IF(Raw_Claims_Data!M1138="","N/A",Raw_Claims_Data!M1138)</f>
        <v>N/A</v>
      </c>
      <c r="N1139" t="str">
        <f>Raw_Claims_Data!N1138</f>
        <v>AGENT00652</v>
      </c>
      <c r="O1139">
        <f>IF(Raw_Claims_Data!G1138="D",1,0)</f>
        <v>0</v>
      </c>
    </row>
    <row r="1140" spans="1:15" x14ac:dyDescent="0.35">
      <c r="A1140" t="str">
        <f>Raw_Claims_Data!A1139</f>
        <v>TXN00001136</v>
      </c>
      <c r="B1140" t="str">
        <f>TRIM(Raw_Claims_Data!B1139)</f>
        <v>Sonya Isaacs</v>
      </c>
      <c r="C1140" t="str">
        <f>Raw_Claims_Data!C1139</f>
        <v>Motor</v>
      </c>
      <c r="D1140">
        <f>Raw_Claims_Data!D1139</f>
        <v>134.41999999999999</v>
      </c>
      <c r="E1140">
        <f>Raw_Claims_Data!E1139</f>
        <v>10000</v>
      </c>
      <c r="F1140" t="str">
        <f>Raw_Claims_Data!F1139</f>
        <v>CT</v>
      </c>
      <c r="G1140" t="str">
        <f>Raw_Claims_Data!G1139</f>
        <v>A</v>
      </c>
      <c r="H1140" t="str">
        <f>Raw_Claims_Data!H1139</f>
        <v>Minor Loss</v>
      </c>
      <c r="I1140" t="str">
        <f>IF(Raw_Claims_Data!I1139="","None",Raw_Claims_Data!I1139)</f>
        <v>Police</v>
      </c>
      <c r="J1140" t="str">
        <f>Raw_Claims_Data!J1139</f>
        <v>Laurel</v>
      </c>
      <c r="K1140" t="str">
        <f>Raw_Claims_Data!K1139</f>
        <v>MD</v>
      </c>
      <c r="L1140">
        <f>Raw_Claims_Data!L1139</f>
        <v>6</v>
      </c>
      <c r="M1140" t="str">
        <f>IF(Raw_Claims_Data!M1139="","N/A",Raw_Claims_Data!M1139)</f>
        <v>VNDR00151</v>
      </c>
      <c r="N1140" t="str">
        <f>Raw_Claims_Data!N1139</f>
        <v>AGENT00077</v>
      </c>
      <c r="O1140">
        <f>IF(Raw_Claims_Data!G1139="D",1,0)</f>
        <v>0</v>
      </c>
    </row>
    <row r="1141" spans="1:15" x14ac:dyDescent="0.35">
      <c r="A1141" t="str">
        <f>Raw_Claims_Data!A1140</f>
        <v>TXN00001137</v>
      </c>
      <c r="B1141" t="str">
        <f>TRIM(Raw_Claims_Data!B1140)</f>
        <v>Nancy Hill</v>
      </c>
      <c r="C1141" t="str">
        <f>Raw_Claims_Data!C1140</f>
        <v>Property</v>
      </c>
      <c r="D1141">
        <f>Raw_Claims_Data!D1140</f>
        <v>112.9</v>
      </c>
      <c r="E1141">
        <f>Raw_Claims_Data!E1140</f>
        <v>25000</v>
      </c>
      <c r="F1141" t="str">
        <f>Raw_Claims_Data!F1140</f>
        <v>TN</v>
      </c>
      <c r="G1141" t="str">
        <f>Raw_Claims_Data!G1140</f>
        <v>A</v>
      </c>
      <c r="H1141" t="str">
        <f>Raw_Claims_Data!H1140</f>
        <v>Minor Loss</v>
      </c>
      <c r="I1141" t="str">
        <f>IF(Raw_Claims_Data!I1140="","None",Raw_Claims_Data!I1140)</f>
        <v>None</v>
      </c>
      <c r="J1141" t="str">
        <f>Raw_Claims_Data!J1140</f>
        <v>Glendale</v>
      </c>
      <c r="K1141" t="str">
        <f>Raw_Claims_Data!K1140</f>
        <v>AZ</v>
      </c>
      <c r="L1141">
        <f>Raw_Claims_Data!L1140</f>
        <v>6</v>
      </c>
      <c r="M1141" t="str">
        <f>IF(Raw_Claims_Data!M1140="","N/A",Raw_Claims_Data!M1140)</f>
        <v>VNDR00099</v>
      </c>
      <c r="N1141" t="str">
        <f>Raw_Claims_Data!N1140</f>
        <v>AGENT01164</v>
      </c>
      <c r="O1141">
        <f>IF(Raw_Claims_Data!G1140="D",1,0)</f>
        <v>0</v>
      </c>
    </row>
    <row r="1142" spans="1:15" x14ac:dyDescent="0.35">
      <c r="A1142" t="str">
        <f>Raw_Claims_Data!A1141</f>
        <v>TXN00001138</v>
      </c>
      <c r="B1142" t="str">
        <f>TRIM(Raw_Claims_Data!B1141)</f>
        <v>Lisa Yarrington</v>
      </c>
      <c r="C1142" t="str">
        <f>Raw_Claims_Data!C1141</f>
        <v>Health</v>
      </c>
      <c r="D1142">
        <f>Raw_Claims_Data!D1141</f>
        <v>187.39</v>
      </c>
      <c r="E1142">
        <f>Raw_Claims_Data!E1141</f>
        <v>4000</v>
      </c>
      <c r="F1142" t="str">
        <f>Raw_Claims_Data!F1141</f>
        <v>AK</v>
      </c>
      <c r="G1142" t="str">
        <f>Raw_Claims_Data!G1141</f>
        <v>D</v>
      </c>
      <c r="H1142" t="str">
        <f>Raw_Claims_Data!H1141</f>
        <v>Total Loss</v>
      </c>
      <c r="I1142" t="str">
        <f>IF(Raw_Claims_Data!I1141="","None",Raw_Claims_Data!I1141)</f>
        <v>Ambulance</v>
      </c>
      <c r="J1142" t="str">
        <f>Raw_Claims_Data!J1141</f>
        <v>Nashville</v>
      </c>
      <c r="K1142" t="str">
        <f>Raw_Claims_Data!K1141</f>
        <v>TN</v>
      </c>
      <c r="L1142">
        <f>Raw_Claims_Data!L1141</f>
        <v>18</v>
      </c>
      <c r="M1142" t="str">
        <f>IF(Raw_Claims_Data!M1141="","N/A",Raw_Claims_Data!M1141)</f>
        <v>VNDR00277</v>
      </c>
      <c r="N1142" t="str">
        <f>Raw_Claims_Data!N1141</f>
        <v>AGENT00989</v>
      </c>
      <c r="O1142">
        <f>IF(Raw_Claims_Data!G1141="D",1,0)</f>
        <v>1</v>
      </c>
    </row>
    <row r="1143" spans="1:15" x14ac:dyDescent="0.35">
      <c r="A1143" t="str">
        <f>Raw_Claims_Data!A1142</f>
        <v>TXN00001139</v>
      </c>
      <c r="B1143" t="str">
        <f>TRIM(Raw_Claims_Data!B1142)</f>
        <v>Mary Leon</v>
      </c>
      <c r="C1143" t="str">
        <f>Raw_Claims_Data!C1142</f>
        <v>Motor</v>
      </c>
      <c r="D1143">
        <f>Raw_Claims_Data!D1142</f>
        <v>103.97</v>
      </c>
      <c r="E1143">
        <f>Raw_Claims_Data!E1142</f>
        <v>9000</v>
      </c>
      <c r="F1143" t="str">
        <f>Raw_Claims_Data!F1142</f>
        <v>FL</v>
      </c>
      <c r="G1143" t="str">
        <f>Raw_Claims_Data!G1142</f>
        <v>A</v>
      </c>
      <c r="H1143" t="str">
        <f>Raw_Claims_Data!H1142</f>
        <v>Major Loss</v>
      </c>
      <c r="I1143" t="str">
        <f>IF(Raw_Claims_Data!I1142="","None",Raw_Claims_Data!I1142)</f>
        <v>Police</v>
      </c>
      <c r="J1143" t="str">
        <f>Raw_Claims_Data!J1142</f>
        <v>Savannah</v>
      </c>
      <c r="K1143" t="str">
        <f>Raw_Claims_Data!K1142</f>
        <v>GA</v>
      </c>
      <c r="L1143">
        <f>Raw_Claims_Data!L1142</f>
        <v>20</v>
      </c>
      <c r="M1143" t="str">
        <f>IF(Raw_Claims_Data!M1142="","N/A",Raw_Claims_Data!M1142)</f>
        <v>N/A</v>
      </c>
      <c r="N1143" t="str">
        <f>Raw_Claims_Data!N1142</f>
        <v>AGENT00194</v>
      </c>
      <c r="O1143">
        <f>IF(Raw_Claims_Data!G1142="D",1,0)</f>
        <v>0</v>
      </c>
    </row>
    <row r="1144" spans="1:15" x14ac:dyDescent="0.35">
      <c r="A1144" t="str">
        <f>Raw_Claims_Data!A1143</f>
        <v>TXN00001140</v>
      </c>
      <c r="B1144" t="str">
        <f>TRIM(Raw_Claims_Data!B1143)</f>
        <v>Jeannette Smith</v>
      </c>
      <c r="C1144" t="str">
        <f>Raw_Claims_Data!C1143</f>
        <v>Health</v>
      </c>
      <c r="D1144">
        <f>Raw_Claims_Data!D1143</f>
        <v>100.1</v>
      </c>
      <c r="E1144">
        <f>Raw_Claims_Data!E1143</f>
        <v>14000</v>
      </c>
      <c r="F1144" t="str">
        <f>Raw_Claims_Data!F1143</f>
        <v>AL</v>
      </c>
      <c r="G1144" t="str">
        <f>Raw_Claims_Data!G1143</f>
        <v>A</v>
      </c>
      <c r="H1144" t="str">
        <f>Raw_Claims_Data!H1143</f>
        <v>Minor Loss</v>
      </c>
      <c r="I1144" t="str">
        <f>IF(Raw_Claims_Data!I1143="","None",Raw_Claims_Data!I1143)</f>
        <v>Ambulance</v>
      </c>
      <c r="J1144" t="str">
        <f>Raw_Claims_Data!J1143</f>
        <v>Pawlet</v>
      </c>
      <c r="K1144" t="str">
        <f>Raw_Claims_Data!K1143</f>
        <v>VT</v>
      </c>
      <c r="L1144">
        <f>Raw_Claims_Data!L1143</f>
        <v>11</v>
      </c>
      <c r="M1144" t="str">
        <f>IF(Raw_Claims_Data!M1143="","N/A",Raw_Claims_Data!M1143)</f>
        <v>VNDR00597</v>
      </c>
      <c r="N1144" t="str">
        <f>Raw_Claims_Data!N1143</f>
        <v>AGENT01120</v>
      </c>
      <c r="O1144">
        <f>IF(Raw_Claims_Data!G1143="D",1,0)</f>
        <v>0</v>
      </c>
    </row>
    <row r="1145" spans="1:15" x14ac:dyDescent="0.35">
      <c r="A1145" t="str">
        <f>Raw_Claims_Data!A1144</f>
        <v>TXN00001141</v>
      </c>
      <c r="B1145" t="str">
        <f>TRIM(Raw_Claims_Data!B1144)</f>
        <v>Louise Poss</v>
      </c>
      <c r="C1145" t="str">
        <f>Raw_Claims_Data!C1144</f>
        <v>Travel</v>
      </c>
      <c r="D1145">
        <f>Raw_Claims_Data!D1144</f>
        <v>57.12</v>
      </c>
      <c r="E1145">
        <f>Raw_Claims_Data!E1144</f>
        <v>3000</v>
      </c>
      <c r="F1145" t="str">
        <f>Raw_Claims_Data!F1144</f>
        <v>GA</v>
      </c>
      <c r="G1145" t="str">
        <f>Raw_Claims_Data!G1144</f>
        <v>A</v>
      </c>
      <c r="H1145" t="str">
        <f>Raw_Claims_Data!H1144</f>
        <v>Minor Loss</v>
      </c>
      <c r="I1145" t="str">
        <f>IF(Raw_Claims_Data!I1144="","None",Raw_Claims_Data!I1144)</f>
        <v>Ambulance</v>
      </c>
      <c r="J1145">
        <f>Raw_Claims_Data!J1144</f>
        <v>0</v>
      </c>
      <c r="K1145" t="str">
        <f>Raw_Claims_Data!K1144</f>
        <v>VT</v>
      </c>
      <c r="L1145">
        <f>Raw_Claims_Data!L1144</f>
        <v>19</v>
      </c>
      <c r="M1145" t="str">
        <f>IF(Raw_Claims_Data!M1144="","N/A",Raw_Claims_Data!M1144)</f>
        <v>VNDR00037</v>
      </c>
      <c r="N1145" t="str">
        <f>Raw_Claims_Data!N1144</f>
        <v>AGENT00206</v>
      </c>
      <c r="O1145">
        <f>IF(Raw_Claims_Data!G1144="D",1,0)</f>
        <v>0</v>
      </c>
    </row>
    <row r="1146" spans="1:15" x14ac:dyDescent="0.35">
      <c r="A1146" t="str">
        <f>Raw_Claims_Data!A1145</f>
        <v>TXN00001142</v>
      </c>
      <c r="B1146" t="str">
        <f>TRIM(Raw_Claims_Data!B1145)</f>
        <v>Joellen Thompson</v>
      </c>
      <c r="C1146" t="str">
        <f>Raw_Claims_Data!C1145</f>
        <v>Health</v>
      </c>
      <c r="D1146">
        <f>Raw_Claims_Data!D1145</f>
        <v>141.6</v>
      </c>
      <c r="E1146">
        <f>Raw_Claims_Data!E1145</f>
        <v>8000</v>
      </c>
      <c r="F1146" t="str">
        <f>Raw_Claims_Data!F1145</f>
        <v>CA</v>
      </c>
      <c r="G1146" t="str">
        <f>Raw_Claims_Data!G1145</f>
        <v>A</v>
      </c>
      <c r="H1146" t="str">
        <f>Raw_Claims_Data!H1145</f>
        <v>Minor Loss</v>
      </c>
      <c r="I1146" t="str">
        <f>IF(Raw_Claims_Data!I1145="","None",Raw_Claims_Data!I1145)</f>
        <v>Ambulance</v>
      </c>
      <c r="J1146" t="str">
        <f>Raw_Claims_Data!J1145</f>
        <v>Montgomery</v>
      </c>
      <c r="K1146" t="str">
        <f>Raw_Claims_Data!K1145</f>
        <v>AL</v>
      </c>
      <c r="L1146">
        <f>Raw_Claims_Data!L1145</f>
        <v>16</v>
      </c>
      <c r="M1146" t="str">
        <f>IF(Raw_Claims_Data!M1145="","N/A",Raw_Claims_Data!M1145)</f>
        <v>N/A</v>
      </c>
      <c r="N1146" t="str">
        <f>Raw_Claims_Data!N1145</f>
        <v>AGENT01127</v>
      </c>
      <c r="O1146">
        <f>IF(Raw_Claims_Data!G1145="D",1,0)</f>
        <v>0</v>
      </c>
    </row>
    <row r="1147" spans="1:15" x14ac:dyDescent="0.35">
      <c r="A1147" t="str">
        <f>Raw_Claims_Data!A1146</f>
        <v>TXN00001143</v>
      </c>
      <c r="B1147" t="str">
        <f>TRIM(Raw_Claims_Data!B1146)</f>
        <v>Kerri Bissonnette</v>
      </c>
      <c r="C1147" t="str">
        <f>Raw_Claims_Data!C1146</f>
        <v>Health</v>
      </c>
      <c r="D1147">
        <f>Raw_Claims_Data!D1146</f>
        <v>111.11</v>
      </c>
      <c r="E1147">
        <f>Raw_Claims_Data!E1146</f>
        <v>18000</v>
      </c>
      <c r="F1147" t="str">
        <f>Raw_Claims_Data!F1146</f>
        <v>KY</v>
      </c>
      <c r="G1147" t="str">
        <f>Raw_Claims_Data!G1146</f>
        <v>A</v>
      </c>
      <c r="H1147" t="str">
        <f>Raw_Claims_Data!H1146</f>
        <v>Minor Loss</v>
      </c>
      <c r="I1147" t="str">
        <f>IF(Raw_Claims_Data!I1146="","None",Raw_Claims_Data!I1146)</f>
        <v>Police</v>
      </c>
      <c r="J1147" t="str">
        <f>Raw_Claims_Data!J1146</f>
        <v>Anchorage</v>
      </c>
      <c r="K1147" t="str">
        <f>Raw_Claims_Data!K1146</f>
        <v>AK</v>
      </c>
      <c r="L1147">
        <f>Raw_Claims_Data!L1146</f>
        <v>11</v>
      </c>
      <c r="M1147" t="str">
        <f>IF(Raw_Claims_Data!M1146="","N/A",Raw_Claims_Data!M1146)</f>
        <v>N/A</v>
      </c>
      <c r="N1147" t="str">
        <f>Raw_Claims_Data!N1146</f>
        <v>AGENT00933</v>
      </c>
      <c r="O1147">
        <f>IF(Raw_Claims_Data!G1146="D",1,0)</f>
        <v>0</v>
      </c>
    </row>
    <row r="1148" spans="1:15" x14ac:dyDescent="0.35">
      <c r="A1148" t="str">
        <f>Raw_Claims_Data!A1147</f>
        <v>TXN00001144</v>
      </c>
      <c r="B1148" t="str">
        <f>TRIM(Raw_Claims_Data!B1147)</f>
        <v>Lucy Mcclure</v>
      </c>
      <c r="C1148" t="str">
        <f>Raw_Claims_Data!C1147</f>
        <v>Health</v>
      </c>
      <c r="D1148">
        <f>Raw_Claims_Data!D1147</f>
        <v>194.87</v>
      </c>
      <c r="E1148">
        <f>Raw_Claims_Data!E1147</f>
        <v>10000</v>
      </c>
      <c r="F1148" t="str">
        <f>Raw_Claims_Data!F1147</f>
        <v>CT</v>
      </c>
      <c r="G1148" t="str">
        <f>Raw_Claims_Data!G1147</f>
        <v>A</v>
      </c>
      <c r="H1148" t="str">
        <f>Raw_Claims_Data!H1147</f>
        <v>Major Loss</v>
      </c>
      <c r="I1148" t="str">
        <f>IF(Raw_Claims_Data!I1147="","None",Raw_Claims_Data!I1147)</f>
        <v>Police</v>
      </c>
      <c r="J1148" t="str">
        <f>Raw_Claims_Data!J1147</f>
        <v>Hayward</v>
      </c>
      <c r="K1148" t="str">
        <f>Raw_Claims_Data!K1147</f>
        <v>CA</v>
      </c>
      <c r="L1148">
        <f>Raw_Claims_Data!L1147</f>
        <v>18</v>
      </c>
      <c r="M1148" t="str">
        <f>IF(Raw_Claims_Data!M1147="","N/A",Raw_Claims_Data!M1147)</f>
        <v>VNDR00592</v>
      </c>
      <c r="N1148" t="str">
        <f>Raw_Claims_Data!N1147</f>
        <v>AGENT00567</v>
      </c>
      <c r="O1148">
        <f>IF(Raw_Claims_Data!G1147="D",1,0)</f>
        <v>0</v>
      </c>
    </row>
    <row r="1149" spans="1:15" x14ac:dyDescent="0.35">
      <c r="A1149" t="str">
        <f>Raw_Claims_Data!A1148</f>
        <v>TXN00001145</v>
      </c>
      <c r="B1149" t="str">
        <f>TRIM(Raw_Claims_Data!B1148)</f>
        <v>Susan Corrigan</v>
      </c>
      <c r="C1149" t="str">
        <f>Raw_Claims_Data!C1148</f>
        <v>Life</v>
      </c>
      <c r="D1149">
        <f>Raw_Claims_Data!D1148</f>
        <v>61.57</v>
      </c>
      <c r="E1149">
        <f>Raw_Claims_Data!E1148</f>
        <v>29000</v>
      </c>
      <c r="F1149" t="str">
        <f>Raw_Claims_Data!F1148</f>
        <v>AL</v>
      </c>
      <c r="G1149" t="str">
        <f>Raw_Claims_Data!G1148</f>
        <v>A</v>
      </c>
      <c r="H1149" t="str">
        <f>Raw_Claims_Data!H1148</f>
        <v>Minor Loss</v>
      </c>
      <c r="I1149" t="str">
        <f>IF(Raw_Claims_Data!I1148="","None",Raw_Claims_Data!I1148)</f>
        <v>Police</v>
      </c>
      <c r="J1149" t="str">
        <f>Raw_Claims_Data!J1148</f>
        <v>Castro Valley</v>
      </c>
      <c r="K1149" t="str">
        <f>Raw_Claims_Data!K1148</f>
        <v>CA</v>
      </c>
      <c r="L1149">
        <f>Raw_Claims_Data!L1148</f>
        <v>7</v>
      </c>
      <c r="M1149" t="str">
        <f>IF(Raw_Claims_Data!M1148="","N/A",Raw_Claims_Data!M1148)</f>
        <v>VNDR00594</v>
      </c>
      <c r="N1149" t="str">
        <f>Raw_Claims_Data!N1148</f>
        <v>AGENT00183</v>
      </c>
      <c r="O1149">
        <f>IF(Raw_Claims_Data!G1148="D",1,0)</f>
        <v>0</v>
      </c>
    </row>
    <row r="1150" spans="1:15" x14ac:dyDescent="0.35">
      <c r="A1150" t="str">
        <f>Raw_Claims_Data!A1149</f>
        <v>TXN00001146</v>
      </c>
      <c r="B1150" t="str">
        <f>TRIM(Raw_Claims_Data!B1149)</f>
        <v>Flora Scipioni</v>
      </c>
      <c r="C1150" t="str">
        <f>Raw_Claims_Data!C1149</f>
        <v>Life</v>
      </c>
      <c r="D1150">
        <f>Raw_Claims_Data!D1149</f>
        <v>74.17</v>
      </c>
      <c r="E1150">
        <f>Raw_Claims_Data!E1149</f>
        <v>21000</v>
      </c>
      <c r="F1150" t="str">
        <f>Raw_Claims_Data!F1149</f>
        <v>MA</v>
      </c>
      <c r="G1150" t="str">
        <f>Raw_Claims_Data!G1149</f>
        <v>A</v>
      </c>
      <c r="H1150" t="str">
        <f>Raw_Claims_Data!H1149</f>
        <v>Major Loss</v>
      </c>
      <c r="I1150" t="str">
        <f>IF(Raw_Claims_Data!I1149="","None",Raw_Claims_Data!I1149)</f>
        <v>Police</v>
      </c>
      <c r="J1150" t="str">
        <f>Raw_Claims_Data!J1149</f>
        <v>Newark</v>
      </c>
      <c r="K1150" t="str">
        <f>Raw_Claims_Data!K1149</f>
        <v>CA</v>
      </c>
      <c r="L1150">
        <f>Raw_Claims_Data!L1149</f>
        <v>19</v>
      </c>
      <c r="M1150" t="str">
        <f>IF(Raw_Claims_Data!M1149="","N/A",Raw_Claims_Data!M1149)</f>
        <v>N/A</v>
      </c>
      <c r="N1150" t="str">
        <f>Raw_Claims_Data!N1149</f>
        <v>AGENT00321</v>
      </c>
      <c r="O1150">
        <f>IF(Raw_Claims_Data!G1149="D",1,0)</f>
        <v>0</v>
      </c>
    </row>
    <row r="1151" spans="1:15" x14ac:dyDescent="0.35">
      <c r="A1151" t="str">
        <f>Raw_Claims_Data!A1150</f>
        <v>TXN00001147</v>
      </c>
      <c r="B1151" t="str">
        <f>TRIM(Raw_Claims_Data!B1150)</f>
        <v>Harold Avery</v>
      </c>
      <c r="C1151" t="str">
        <f>Raw_Claims_Data!C1150</f>
        <v>Motor</v>
      </c>
      <c r="D1151">
        <f>Raw_Claims_Data!D1150</f>
        <v>114.16</v>
      </c>
      <c r="E1151">
        <f>Raw_Claims_Data!E1150</f>
        <v>8000</v>
      </c>
      <c r="F1151" t="str">
        <f>Raw_Claims_Data!F1150</f>
        <v>AL</v>
      </c>
      <c r="G1151" t="str">
        <f>Raw_Claims_Data!G1150</f>
        <v>A</v>
      </c>
      <c r="H1151" t="str">
        <f>Raw_Claims_Data!H1150</f>
        <v>Minor Loss</v>
      </c>
      <c r="I1151" t="str">
        <f>IF(Raw_Claims_Data!I1150="","None",Raw_Claims_Data!I1150)</f>
        <v>Ambulance</v>
      </c>
      <c r="J1151" t="str">
        <f>Raw_Claims_Data!J1150</f>
        <v>Fayetteville</v>
      </c>
      <c r="K1151" t="str">
        <f>Raw_Claims_Data!K1150</f>
        <v>AR</v>
      </c>
      <c r="L1151">
        <f>Raw_Claims_Data!L1150</f>
        <v>4</v>
      </c>
      <c r="M1151" t="str">
        <f>IF(Raw_Claims_Data!M1150="","N/A",Raw_Claims_Data!M1150)</f>
        <v>VNDR00369</v>
      </c>
      <c r="N1151" t="str">
        <f>Raw_Claims_Data!N1150</f>
        <v>AGENT00327</v>
      </c>
      <c r="O1151">
        <f>IF(Raw_Claims_Data!G1150="D",1,0)</f>
        <v>0</v>
      </c>
    </row>
    <row r="1152" spans="1:15" x14ac:dyDescent="0.35">
      <c r="A1152" t="str">
        <f>Raw_Claims_Data!A1151</f>
        <v>TXN00001148</v>
      </c>
      <c r="B1152" t="str">
        <f>TRIM(Raw_Claims_Data!B1151)</f>
        <v>Matt Yokum</v>
      </c>
      <c r="C1152" t="str">
        <f>Raw_Claims_Data!C1151</f>
        <v>Property</v>
      </c>
      <c r="D1152">
        <f>Raw_Claims_Data!D1151</f>
        <v>116.32</v>
      </c>
      <c r="E1152">
        <f>Raw_Claims_Data!E1151</f>
        <v>39000</v>
      </c>
      <c r="F1152" t="str">
        <f>Raw_Claims_Data!F1151</f>
        <v>AL</v>
      </c>
      <c r="G1152" t="str">
        <f>Raw_Claims_Data!G1151</f>
        <v>A</v>
      </c>
      <c r="H1152" t="str">
        <f>Raw_Claims_Data!H1151</f>
        <v>Minor Loss</v>
      </c>
      <c r="I1152" t="str">
        <f>IF(Raw_Claims_Data!I1151="","None",Raw_Claims_Data!I1151)</f>
        <v>Police</v>
      </c>
      <c r="J1152" t="str">
        <f>Raw_Claims_Data!J1151</f>
        <v>Washington</v>
      </c>
      <c r="K1152" t="str">
        <f>Raw_Claims_Data!K1151</f>
        <v>DC</v>
      </c>
      <c r="L1152">
        <f>Raw_Claims_Data!L1151</f>
        <v>5</v>
      </c>
      <c r="M1152" t="str">
        <f>IF(Raw_Claims_Data!M1151="","N/A",Raw_Claims_Data!M1151)</f>
        <v>VNDR00128</v>
      </c>
      <c r="N1152" t="str">
        <f>Raw_Claims_Data!N1151</f>
        <v>AGENT00069</v>
      </c>
      <c r="O1152">
        <f>IF(Raw_Claims_Data!G1151="D",1,0)</f>
        <v>0</v>
      </c>
    </row>
    <row r="1153" spans="1:15" x14ac:dyDescent="0.35">
      <c r="A1153" t="str">
        <f>Raw_Claims_Data!A1152</f>
        <v>TXN00001149</v>
      </c>
      <c r="B1153" t="str">
        <f>TRIM(Raw_Claims_Data!B1152)</f>
        <v>Jennifer Paulson</v>
      </c>
      <c r="C1153" t="str">
        <f>Raw_Claims_Data!C1152</f>
        <v>Motor</v>
      </c>
      <c r="D1153">
        <f>Raw_Claims_Data!D1152</f>
        <v>138.08000000000001</v>
      </c>
      <c r="E1153">
        <f>Raw_Claims_Data!E1152</f>
        <v>2000</v>
      </c>
      <c r="F1153" t="str">
        <f>Raw_Claims_Data!F1152</f>
        <v>AR</v>
      </c>
      <c r="G1153" t="str">
        <f>Raw_Claims_Data!G1152</f>
        <v>A</v>
      </c>
      <c r="H1153" t="str">
        <f>Raw_Claims_Data!H1152</f>
        <v>Major Loss</v>
      </c>
      <c r="I1153" t="str">
        <f>IF(Raw_Claims_Data!I1152="","None",Raw_Claims_Data!I1152)</f>
        <v>Ambulance</v>
      </c>
      <c r="J1153" t="str">
        <f>Raw_Claims_Data!J1152</f>
        <v>Windham</v>
      </c>
      <c r="K1153" t="str">
        <f>Raw_Claims_Data!K1152</f>
        <v>VT</v>
      </c>
      <c r="L1153">
        <f>Raw_Claims_Data!L1152</f>
        <v>13</v>
      </c>
      <c r="M1153" t="str">
        <f>IF(Raw_Claims_Data!M1152="","N/A",Raw_Claims_Data!M1152)</f>
        <v>VNDR00267</v>
      </c>
      <c r="N1153" t="str">
        <f>Raw_Claims_Data!N1152</f>
        <v>AGENT00213</v>
      </c>
      <c r="O1153">
        <f>IF(Raw_Claims_Data!G1152="D",1,0)</f>
        <v>0</v>
      </c>
    </row>
    <row r="1154" spans="1:15" x14ac:dyDescent="0.35">
      <c r="A1154" t="str">
        <f>Raw_Claims_Data!A1153</f>
        <v>TXN00001150</v>
      </c>
      <c r="B1154" t="str">
        <f>TRIM(Raw_Claims_Data!B1153)</f>
        <v>Matthew Siefkes</v>
      </c>
      <c r="C1154" t="str">
        <f>Raw_Claims_Data!C1153</f>
        <v>Property</v>
      </c>
      <c r="D1154">
        <f>Raw_Claims_Data!D1153</f>
        <v>157.09</v>
      </c>
      <c r="E1154">
        <f>Raw_Claims_Data!E1153</f>
        <v>15000</v>
      </c>
      <c r="F1154" t="str">
        <f>Raw_Claims_Data!F1153</f>
        <v>FL</v>
      </c>
      <c r="G1154" t="str">
        <f>Raw_Claims_Data!G1153</f>
        <v>A</v>
      </c>
      <c r="H1154" t="str">
        <f>Raw_Claims_Data!H1153</f>
        <v>Minor Loss</v>
      </c>
      <c r="I1154" t="str">
        <f>IF(Raw_Claims_Data!I1153="","None",Raw_Claims_Data!I1153)</f>
        <v>Ambulance</v>
      </c>
      <c r="J1154" t="str">
        <f>Raw_Claims_Data!J1153</f>
        <v>Panama City</v>
      </c>
      <c r="K1154" t="str">
        <f>Raw_Claims_Data!K1153</f>
        <v>FL</v>
      </c>
      <c r="L1154">
        <f>Raw_Claims_Data!L1153</f>
        <v>13</v>
      </c>
      <c r="M1154" t="str">
        <f>IF(Raw_Claims_Data!M1153="","N/A",Raw_Claims_Data!M1153)</f>
        <v>N/A</v>
      </c>
      <c r="N1154" t="str">
        <f>Raw_Claims_Data!N1153</f>
        <v>AGENT00915</v>
      </c>
      <c r="O1154">
        <f>IF(Raw_Claims_Data!G1153="D",1,0)</f>
        <v>0</v>
      </c>
    </row>
    <row r="1155" spans="1:15" x14ac:dyDescent="0.35">
      <c r="A1155" t="str">
        <f>Raw_Claims_Data!A1154</f>
        <v>TXN00001151</v>
      </c>
      <c r="B1155" t="str">
        <f>TRIM(Raw_Claims_Data!B1154)</f>
        <v>Guy Staggers</v>
      </c>
      <c r="C1155" t="str">
        <f>Raw_Claims_Data!C1154</f>
        <v>Property</v>
      </c>
      <c r="D1155">
        <f>Raw_Claims_Data!D1154</f>
        <v>115.92</v>
      </c>
      <c r="E1155">
        <f>Raw_Claims_Data!E1154</f>
        <v>39000</v>
      </c>
      <c r="F1155" t="str">
        <f>Raw_Claims_Data!F1154</f>
        <v>OK</v>
      </c>
      <c r="G1155" t="str">
        <f>Raw_Claims_Data!G1154</f>
        <v>A</v>
      </c>
      <c r="H1155" t="str">
        <f>Raw_Claims_Data!H1154</f>
        <v>Major Loss</v>
      </c>
      <c r="I1155" t="str">
        <f>IF(Raw_Claims_Data!I1154="","None",Raw_Claims_Data!I1154)</f>
        <v>Police</v>
      </c>
      <c r="J1155" t="str">
        <f>Raw_Claims_Data!J1154</f>
        <v>Watertown</v>
      </c>
      <c r="K1155" t="str">
        <f>Raw_Claims_Data!K1154</f>
        <v>MA</v>
      </c>
      <c r="L1155">
        <f>Raw_Claims_Data!L1154</f>
        <v>9</v>
      </c>
      <c r="M1155" t="str">
        <f>IF(Raw_Claims_Data!M1154="","N/A",Raw_Claims_Data!M1154)</f>
        <v>N/A</v>
      </c>
      <c r="N1155" t="str">
        <f>Raw_Claims_Data!N1154</f>
        <v>AGENT01117</v>
      </c>
      <c r="O1155">
        <f>IF(Raw_Claims_Data!G1154="D",1,0)</f>
        <v>0</v>
      </c>
    </row>
    <row r="1156" spans="1:15" x14ac:dyDescent="0.35">
      <c r="A1156" t="str">
        <f>Raw_Claims_Data!A1155</f>
        <v>TXN00001152</v>
      </c>
      <c r="B1156" t="str">
        <f>TRIM(Raw_Claims_Data!B1155)</f>
        <v>Jean Cunningham</v>
      </c>
      <c r="C1156" t="str">
        <f>Raw_Claims_Data!C1155</f>
        <v>Travel</v>
      </c>
      <c r="D1156">
        <f>Raw_Claims_Data!D1155</f>
        <v>74.87</v>
      </c>
      <c r="E1156">
        <f>Raw_Claims_Data!E1155</f>
        <v>2000</v>
      </c>
      <c r="F1156" t="str">
        <f>Raw_Claims_Data!F1155</f>
        <v>MD</v>
      </c>
      <c r="G1156" t="str">
        <f>Raw_Claims_Data!G1155</f>
        <v>A</v>
      </c>
      <c r="H1156" t="str">
        <f>Raw_Claims_Data!H1155</f>
        <v>Total Loss</v>
      </c>
      <c r="I1156" t="str">
        <f>IF(Raw_Claims_Data!I1155="","None",Raw_Claims_Data!I1155)</f>
        <v>Other</v>
      </c>
      <c r="J1156" t="str">
        <f>Raw_Claims_Data!J1155</f>
        <v>Glendale</v>
      </c>
      <c r="K1156" t="str">
        <f>Raw_Claims_Data!K1155</f>
        <v>AZ</v>
      </c>
      <c r="L1156">
        <f>Raw_Claims_Data!L1155</f>
        <v>18</v>
      </c>
      <c r="M1156" t="str">
        <f>IF(Raw_Claims_Data!M1155="","N/A",Raw_Claims_Data!M1155)</f>
        <v>N/A</v>
      </c>
      <c r="N1156" t="str">
        <f>Raw_Claims_Data!N1155</f>
        <v>AGENT00702</v>
      </c>
      <c r="O1156">
        <f>IF(Raw_Claims_Data!G1155="D",1,0)</f>
        <v>0</v>
      </c>
    </row>
    <row r="1157" spans="1:15" x14ac:dyDescent="0.35">
      <c r="A1157" t="str">
        <f>Raw_Claims_Data!A1156</f>
        <v>TXN00001153</v>
      </c>
      <c r="B1157" t="str">
        <f>TRIM(Raw_Claims_Data!B1156)</f>
        <v>Terri Filmore</v>
      </c>
      <c r="C1157" t="str">
        <f>Raw_Claims_Data!C1156</f>
        <v>Health</v>
      </c>
      <c r="D1157">
        <f>Raw_Claims_Data!D1156</f>
        <v>161.51</v>
      </c>
      <c r="E1157">
        <f>Raw_Claims_Data!E1156</f>
        <v>9000</v>
      </c>
      <c r="F1157" t="str">
        <f>Raw_Claims_Data!F1156</f>
        <v>GA</v>
      </c>
      <c r="G1157" t="str">
        <f>Raw_Claims_Data!G1156</f>
        <v>A</v>
      </c>
      <c r="H1157" t="str">
        <f>Raw_Claims_Data!H1156</f>
        <v>Total Loss</v>
      </c>
      <c r="I1157" t="str">
        <f>IF(Raw_Claims_Data!I1156="","None",Raw_Claims_Data!I1156)</f>
        <v>None</v>
      </c>
      <c r="J1157" t="str">
        <f>Raw_Claims_Data!J1156</f>
        <v>Montgomery</v>
      </c>
      <c r="K1157" t="str">
        <f>Raw_Claims_Data!K1156</f>
        <v>AL</v>
      </c>
      <c r="L1157">
        <f>Raw_Claims_Data!L1156</f>
        <v>13</v>
      </c>
      <c r="M1157" t="str">
        <f>IF(Raw_Claims_Data!M1156="","N/A",Raw_Claims_Data!M1156)</f>
        <v>VNDR00191</v>
      </c>
      <c r="N1157" t="str">
        <f>Raw_Claims_Data!N1156</f>
        <v>AGENT00955</v>
      </c>
      <c r="O1157">
        <f>IF(Raw_Claims_Data!G1156="D",1,0)</f>
        <v>0</v>
      </c>
    </row>
    <row r="1158" spans="1:15" x14ac:dyDescent="0.35">
      <c r="A1158" t="str">
        <f>Raw_Claims_Data!A1157</f>
        <v>TXN00001154</v>
      </c>
      <c r="B1158" t="str">
        <f>TRIM(Raw_Claims_Data!B1157)</f>
        <v>Carol New</v>
      </c>
      <c r="C1158" t="str">
        <f>Raw_Claims_Data!C1157</f>
        <v>Motor</v>
      </c>
      <c r="D1158">
        <f>Raw_Claims_Data!D1157</f>
        <v>113.54</v>
      </c>
      <c r="E1158">
        <f>Raw_Claims_Data!E1157</f>
        <v>10000</v>
      </c>
      <c r="F1158" t="str">
        <f>Raw_Claims_Data!F1157</f>
        <v>AZ</v>
      </c>
      <c r="G1158" t="str">
        <f>Raw_Claims_Data!G1157</f>
        <v>A</v>
      </c>
      <c r="H1158" t="str">
        <f>Raw_Claims_Data!H1157</f>
        <v>Major Loss</v>
      </c>
      <c r="I1158" t="str">
        <f>IF(Raw_Claims_Data!I1157="","None",Raw_Claims_Data!I1157)</f>
        <v>Police</v>
      </c>
      <c r="J1158" t="str">
        <f>Raw_Claims_Data!J1157</f>
        <v>Washington</v>
      </c>
      <c r="K1158" t="str">
        <f>Raw_Claims_Data!K1157</f>
        <v>DC</v>
      </c>
      <c r="L1158">
        <f>Raw_Claims_Data!L1157</f>
        <v>10</v>
      </c>
      <c r="M1158" t="str">
        <f>IF(Raw_Claims_Data!M1157="","N/A",Raw_Claims_Data!M1157)</f>
        <v>VNDR00512</v>
      </c>
      <c r="N1158" t="str">
        <f>Raw_Claims_Data!N1157</f>
        <v>AGENT01015</v>
      </c>
      <c r="O1158">
        <f>IF(Raw_Claims_Data!G1157="D",1,0)</f>
        <v>0</v>
      </c>
    </row>
    <row r="1159" spans="1:15" x14ac:dyDescent="0.35">
      <c r="A1159" t="str">
        <f>Raw_Claims_Data!A1158</f>
        <v>TXN00001155</v>
      </c>
      <c r="B1159" t="str">
        <f>TRIM(Raw_Claims_Data!B1158)</f>
        <v>Huong Clay</v>
      </c>
      <c r="C1159" t="str">
        <f>Raw_Claims_Data!C1158</f>
        <v>Motor</v>
      </c>
      <c r="D1159">
        <f>Raw_Claims_Data!D1158</f>
        <v>137.78</v>
      </c>
      <c r="E1159">
        <f>Raw_Claims_Data!E1158</f>
        <v>2000</v>
      </c>
      <c r="F1159" t="str">
        <f>Raw_Claims_Data!F1158</f>
        <v>GA</v>
      </c>
      <c r="G1159" t="str">
        <f>Raw_Claims_Data!G1158</f>
        <v>D</v>
      </c>
      <c r="H1159" t="str">
        <f>Raw_Claims_Data!H1158</f>
        <v>Total Loss</v>
      </c>
      <c r="I1159" t="str">
        <f>IF(Raw_Claims_Data!I1158="","None",Raw_Claims_Data!I1158)</f>
        <v>Ambulance</v>
      </c>
      <c r="J1159" t="str">
        <f>Raw_Claims_Data!J1158</f>
        <v>Washington</v>
      </c>
      <c r="K1159" t="str">
        <f>Raw_Claims_Data!K1158</f>
        <v>DC</v>
      </c>
      <c r="L1159">
        <f>Raw_Claims_Data!L1158</f>
        <v>9</v>
      </c>
      <c r="M1159" t="str">
        <f>IF(Raw_Claims_Data!M1158="","N/A",Raw_Claims_Data!M1158)</f>
        <v>VNDR00540</v>
      </c>
      <c r="N1159" t="str">
        <f>Raw_Claims_Data!N1158</f>
        <v>AGENT00636</v>
      </c>
      <c r="O1159">
        <f>IF(Raw_Claims_Data!G1158="D",1,0)</f>
        <v>1</v>
      </c>
    </row>
    <row r="1160" spans="1:15" x14ac:dyDescent="0.35">
      <c r="A1160" t="str">
        <f>Raw_Claims_Data!A1159</f>
        <v>TXN00001156</v>
      </c>
      <c r="B1160" t="str">
        <f>TRIM(Raw_Claims_Data!B1159)</f>
        <v>Julian Dees</v>
      </c>
      <c r="C1160" t="str">
        <f>Raw_Claims_Data!C1159</f>
        <v>Health</v>
      </c>
      <c r="D1160">
        <f>Raw_Claims_Data!D1159</f>
        <v>144.79</v>
      </c>
      <c r="E1160">
        <f>Raw_Claims_Data!E1159</f>
        <v>17000</v>
      </c>
      <c r="F1160" t="str">
        <f>Raw_Claims_Data!F1159</f>
        <v>AR</v>
      </c>
      <c r="G1160" t="str">
        <f>Raw_Claims_Data!G1159</f>
        <v>A</v>
      </c>
      <c r="H1160" t="str">
        <f>Raw_Claims_Data!H1159</f>
        <v>Minor Loss</v>
      </c>
      <c r="I1160" t="str">
        <f>IF(Raw_Claims_Data!I1159="","None",Raw_Claims_Data!I1159)</f>
        <v>Police</v>
      </c>
      <c r="J1160" t="str">
        <f>Raw_Claims_Data!J1159</f>
        <v>Anchorage</v>
      </c>
      <c r="K1160" t="str">
        <f>Raw_Claims_Data!K1159</f>
        <v>AK</v>
      </c>
      <c r="L1160">
        <f>Raw_Claims_Data!L1159</f>
        <v>18</v>
      </c>
      <c r="M1160" t="str">
        <f>IF(Raw_Claims_Data!M1159="","N/A",Raw_Claims_Data!M1159)</f>
        <v>N/A</v>
      </c>
      <c r="N1160" t="str">
        <f>Raw_Claims_Data!N1159</f>
        <v>AGENT00269</v>
      </c>
      <c r="O1160">
        <f>IF(Raw_Claims_Data!G1159="D",1,0)</f>
        <v>0</v>
      </c>
    </row>
    <row r="1161" spans="1:15" x14ac:dyDescent="0.35">
      <c r="A1161" t="str">
        <f>Raw_Claims_Data!A1160</f>
        <v>TXN00001157</v>
      </c>
      <c r="B1161" t="str">
        <f>TRIM(Raw_Claims_Data!B1160)</f>
        <v>Rhonda Walker</v>
      </c>
      <c r="C1161" t="str">
        <f>Raw_Claims_Data!C1160</f>
        <v>Travel</v>
      </c>
      <c r="D1161">
        <f>Raw_Claims_Data!D1160</f>
        <v>50.52</v>
      </c>
      <c r="E1161">
        <f>Raw_Claims_Data!E1160</f>
        <v>3000</v>
      </c>
      <c r="F1161" t="str">
        <f>Raw_Claims_Data!F1160</f>
        <v>TN</v>
      </c>
      <c r="G1161" t="str">
        <f>Raw_Claims_Data!G1160</f>
        <v>A</v>
      </c>
      <c r="H1161" t="str">
        <f>Raw_Claims_Data!H1160</f>
        <v>Major Loss</v>
      </c>
      <c r="I1161" t="str">
        <f>IF(Raw_Claims_Data!I1160="","None",Raw_Claims_Data!I1160)</f>
        <v>Ambulance</v>
      </c>
      <c r="J1161" t="str">
        <f>Raw_Claims_Data!J1160</f>
        <v>Washington</v>
      </c>
      <c r="K1161" t="str">
        <f>Raw_Claims_Data!K1160</f>
        <v>DC</v>
      </c>
      <c r="L1161">
        <f>Raw_Claims_Data!L1160</f>
        <v>23</v>
      </c>
      <c r="M1161" t="str">
        <f>IF(Raw_Claims_Data!M1160="","N/A",Raw_Claims_Data!M1160)</f>
        <v>VNDR00179</v>
      </c>
      <c r="N1161" t="str">
        <f>Raw_Claims_Data!N1160</f>
        <v>AGENT00238</v>
      </c>
      <c r="O1161">
        <f>IF(Raw_Claims_Data!G1160="D",1,0)</f>
        <v>0</v>
      </c>
    </row>
    <row r="1162" spans="1:15" x14ac:dyDescent="0.35">
      <c r="A1162" t="str">
        <f>Raw_Claims_Data!A1161</f>
        <v>TXN00001158</v>
      </c>
      <c r="B1162" t="str">
        <f>TRIM(Raw_Claims_Data!B1161)</f>
        <v>Rhonda Holt</v>
      </c>
      <c r="C1162" t="str">
        <f>Raw_Claims_Data!C1161</f>
        <v>Motor</v>
      </c>
      <c r="D1162">
        <f>Raw_Claims_Data!D1161</f>
        <v>129.6</v>
      </c>
      <c r="E1162">
        <f>Raw_Claims_Data!E1161</f>
        <v>6000</v>
      </c>
      <c r="F1162" t="str">
        <f>Raw_Claims_Data!F1161</f>
        <v>GA</v>
      </c>
      <c r="G1162" t="str">
        <f>Raw_Claims_Data!G1161</f>
        <v>A</v>
      </c>
      <c r="H1162" t="str">
        <f>Raw_Claims_Data!H1161</f>
        <v>Minor Loss</v>
      </c>
      <c r="I1162" t="str">
        <f>IF(Raw_Claims_Data!I1161="","None",Raw_Claims_Data!I1161)</f>
        <v>Police</v>
      </c>
      <c r="J1162" t="str">
        <f>Raw_Claims_Data!J1161</f>
        <v>Fayetteville</v>
      </c>
      <c r="K1162" t="str">
        <f>Raw_Claims_Data!K1161</f>
        <v>AR</v>
      </c>
      <c r="L1162">
        <f>Raw_Claims_Data!L1161</f>
        <v>9</v>
      </c>
      <c r="M1162" t="str">
        <f>IF(Raw_Claims_Data!M1161="","N/A",Raw_Claims_Data!M1161)</f>
        <v>N/A</v>
      </c>
      <c r="N1162" t="str">
        <f>Raw_Claims_Data!N1161</f>
        <v>AGENT00972</v>
      </c>
      <c r="O1162">
        <f>IF(Raw_Claims_Data!G1161="D",1,0)</f>
        <v>0</v>
      </c>
    </row>
    <row r="1163" spans="1:15" x14ac:dyDescent="0.35">
      <c r="A1163" t="str">
        <f>Raw_Claims_Data!A1162</f>
        <v>TXN00001159</v>
      </c>
      <c r="B1163" t="str">
        <f>TRIM(Raw_Claims_Data!B1162)</f>
        <v>Vivian Gaver</v>
      </c>
      <c r="C1163" t="str">
        <f>Raw_Claims_Data!C1162</f>
        <v>Motor</v>
      </c>
      <c r="D1163">
        <f>Raw_Claims_Data!D1162</f>
        <v>98.91</v>
      </c>
      <c r="E1163">
        <f>Raw_Claims_Data!E1162</f>
        <v>1000</v>
      </c>
      <c r="F1163" t="str">
        <f>Raw_Claims_Data!F1162</f>
        <v>CA</v>
      </c>
      <c r="G1163" t="str">
        <f>Raw_Claims_Data!G1162</f>
        <v>A</v>
      </c>
      <c r="H1163" t="str">
        <f>Raw_Claims_Data!H1162</f>
        <v>Total Loss</v>
      </c>
      <c r="I1163" t="str">
        <f>IF(Raw_Claims_Data!I1162="","None",Raw_Claims_Data!I1162)</f>
        <v>None</v>
      </c>
      <c r="J1163" t="str">
        <f>Raw_Claims_Data!J1162</f>
        <v>Glendale</v>
      </c>
      <c r="K1163" t="str">
        <f>Raw_Claims_Data!K1162</f>
        <v>AZ</v>
      </c>
      <c r="L1163">
        <f>Raw_Claims_Data!L1162</f>
        <v>9</v>
      </c>
      <c r="M1163" t="str">
        <f>IF(Raw_Claims_Data!M1162="","N/A",Raw_Claims_Data!M1162)</f>
        <v>VNDR00224</v>
      </c>
      <c r="N1163" t="str">
        <f>Raw_Claims_Data!N1162</f>
        <v>AGENT00330</v>
      </c>
      <c r="O1163">
        <f>IF(Raw_Claims_Data!G1162="D",1,0)</f>
        <v>0</v>
      </c>
    </row>
    <row r="1164" spans="1:15" x14ac:dyDescent="0.35">
      <c r="A1164" t="str">
        <f>Raw_Claims_Data!A1163</f>
        <v>TXN00001160</v>
      </c>
      <c r="B1164" t="str">
        <f>TRIM(Raw_Claims_Data!B1163)</f>
        <v>Eileen Sachs</v>
      </c>
      <c r="C1164" t="str">
        <f>Raw_Claims_Data!C1163</f>
        <v>Motor</v>
      </c>
      <c r="D1164">
        <f>Raw_Claims_Data!D1163</f>
        <v>88.6</v>
      </c>
      <c r="E1164">
        <f>Raw_Claims_Data!E1163</f>
        <v>5000</v>
      </c>
      <c r="F1164" t="str">
        <f>Raw_Claims_Data!F1163</f>
        <v>AZ</v>
      </c>
      <c r="G1164" t="str">
        <f>Raw_Claims_Data!G1163</f>
        <v>A</v>
      </c>
      <c r="H1164" t="str">
        <f>Raw_Claims_Data!H1163</f>
        <v>Minor Loss</v>
      </c>
      <c r="I1164" t="str">
        <f>IF(Raw_Claims_Data!I1163="","None",Raw_Claims_Data!I1163)</f>
        <v>Ambulance</v>
      </c>
      <c r="J1164" t="str">
        <f>Raw_Claims_Data!J1163</f>
        <v>Easton</v>
      </c>
      <c r="K1164" t="str">
        <f>Raw_Claims_Data!K1163</f>
        <v>MA</v>
      </c>
      <c r="L1164">
        <f>Raw_Claims_Data!L1163</f>
        <v>15</v>
      </c>
      <c r="M1164" t="str">
        <f>IF(Raw_Claims_Data!M1163="","N/A",Raw_Claims_Data!M1163)</f>
        <v>VNDR00143</v>
      </c>
      <c r="N1164" t="str">
        <f>Raw_Claims_Data!N1163</f>
        <v>AGENT00172</v>
      </c>
      <c r="O1164">
        <f>IF(Raw_Claims_Data!G1163="D",1,0)</f>
        <v>0</v>
      </c>
    </row>
    <row r="1165" spans="1:15" x14ac:dyDescent="0.35">
      <c r="A1165" t="str">
        <f>Raw_Claims_Data!A1164</f>
        <v>TXN00001161</v>
      </c>
      <c r="B1165" t="str">
        <f>TRIM(Raw_Claims_Data!B1164)</f>
        <v>George Searles</v>
      </c>
      <c r="C1165" t="str">
        <f>Raw_Claims_Data!C1164</f>
        <v>Motor</v>
      </c>
      <c r="D1165">
        <f>Raw_Claims_Data!D1164</f>
        <v>138.63999999999999</v>
      </c>
      <c r="E1165">
        <f>Raw_Claims_Data!E1164</f>
        <v>9000</v>
      </c>
      <c r="F1165" t="str">
        <f>Raw_Claims_Data!F1164</f>
        <v>AK</v>
      </c>
      <c r="G1165" t="str">
        <f>Raw_Claims_Data!G1164</f>
        <v>A</v>
      </c>
      <c r="H1165" t="str">
        <f>Raw_Claims_Data!H1164</f>
        <v>Minor Loss</v>
      </c>
      <c r="I1165" t="str">
        <f>IF(Raw_Claims_Data!I1164="","None",Raw_Claims_Data!I1164)</f>
        <v>Police</v>
      </c>
      <c r="J1165" t="str">
        <f>Raw_Claims_Data!J1164</f>
        <v>Santa Clara</v>
      </c>
      <c r="K1165" t="str">
        <f>Raw_Claims_Data!K1164</f>
        <v>CA</v>
      </c>
      <c r="L1165">
        <f>Raw_Claims_Data!L1164</f>
        <v>13</v>
      </c>
      <c r="M1165" t="str">
        <f>IF(Raw_Claims_Data!M1164="","N/A",Raw_Claims_Data!M1164)</f>
        <v>VNDR00303</v>
      </c>
      <c r="N1165" t="str">
        <f>Raw_Claims_Data!N1164</f>
        <v>AGENT00365</v>
      </c>
      <c r="O1165">
        <f>IF(Raw_Claims_Data!G1164="D",1,0)</f>
        <v>0</v>
      </c>
    </row>
    <row r="1166" spans="1:15" x14ac:dyDescent="0.35">
      <c r="A1166" t="str">
        <f>Raw_Claims_Data!A1165</f>
        <v>TXN00001162</v>
      </c>
      <c r="B1166" t="str">
        <f>TRIM(Raw_Claims_Data!B1165)</f>
        <v>Shauna Lincoln</v>
      </c>
      <c r="C1166" t="str">
        <f>Raw_Claims_Data!C1165</f>
        <v>Mobile</v>
      </c>
      <c r="D1166">
        <f>Raw_Claims_Data!D1165</f>
        <v>7.12</v>
      </c>
      <c r="E1166">
        <f>Raw_Claims_Data!E1165</f>
        <v>600</v>
      </c>
      <c r="F1166" t="str">
        <f>Raw_Claims_Data!F1165</f>
        <v>AZ</v>
      </c>
      <c r="G1166" t="str">
        <f>Raw_Claims_Data!G1165</f>
        <v>A</v>
      </c>
      <c r="H1166" t="str">
        <f>Raw_Claims_Data!H1165</f>
        <v>Minor Loss</v>
      </c>
      <c r="I1166" t="str">
        <f>IF(Raw_Claims_Data!I1165="","None",Raw_Claims_Data!I1165)</f>
        <v>Police</v>
      </c>
      <c r="J1166" t="str">
        <f>Raw_Claims_Data!J1165</f>
        <v>Manchester</v>
      </c>
      <c r="K1166" t="str">
        <f>Raw_Claims_Data!K1165</f>
        <v>CT</v>
      </c>
      <c r="L1166">
        <f>Raw_Claims_Data!L1165</f>
        <v>5</v>
      </c>
      <c r="M1166" t="str">
        <f>IF(Raw_Claims_Data!M1165="","N/A",Raw_Claims_Data!M1165)</f>
        <v>N/A</v>
      </c>
      <c r="N1166" t="str">
        <f>Raw_Claims_Data!N1165</f>
        <v>AGENT00855</v>
      </c>
      <c r="O1166">
        <f>IF(Raw_Claims_Data!G1165="D",1,0)</f>
        <v>0</v>
      </c>
    </row>
    <row r="1167" spans="1:15" x14ac:dyDescent="0.35">
      <c r="A1167" t="str">
        <f>Raw_Claims_Data!A1166</f>
        <v>TXN00001163</v>
      </c>
      <c r="B1167" t="str">
        <f>TRIM(Raw_Claims_Data!B1166)</f>
        <v>William Clifton</v>
      </c>
      <c r="C1167" t="str">
        <f>Raw_Claims_Data!C1166</f>
        <v>Life</v>
      </c>
      <c r="D1167">
        <f>Raw_Claims_Data!D1166</f>
        <v>61.19</v>
      </c>
      <c r="E1167">
        <f>Raw_Claims_Data!E1166</f>
        <v>30000</v>
      </c>
      <c r="F1167" t="str">
        <f>Raw_Claims_Data!F1166</f>
        <v>TN</v>
      </c>
      <c r="G1167" t="str">
        <f>Raw_Claims_Data!G1166</f>
        <v>A</v>
      </c>
      <c r="H1167" t="str">
        <f>Raw_Claims_Data!H1166</f>
        <v>Total Loss</v>
      </c>
      <c r="I1167" t="str">
        <f>IF(Raw_Claims_Data!I1166="","None",Raw_Claims_Data!I1166)</f>
        <v>None</v>
      </c>
      <c r="J1167" t="str">
        <f>Raw_Claims_Data!J1166</f>
        <v>Van Buren</v>
      </c>
      <c r="K1167" t="str">
        <f>Raw_Claims_Data!K1166</f>
        <v>AR</v>
      </c>
      <c r="L1167">
        <f>Raw_Claims_Data!L1166</f>
        <v>2</v>
      </c>
      <c r="M1167" t="str">
        <f>IF(Raw_Claims_Data!M1166="","N/A",Raw_Claims_Data!M1166)</f>
        <v>VNDR00546</v>
      </c>
      <c r="N1167" t="str">
        <f>Raw_Claims_Data!N1166</f>
        <v>AGENT01084</v>
      </c>
      <c r="O1167">
        <f>IF(Raw_Claims_Data!G1166="D",1,0)</f>
        <v>0</v>
      </c>
    </row>
    <row r="1168" spans="1:15" x14ac:dyDescent="0.35">
      <c r="A1168" t="str">
        <f>Raw_Claims_Data!A1167</f>
        <v>TXN00001164</v>
      </c>
      <c r="B1168" t="str">
        <f>TRIM(Raw_Claims_Data!B1167)</f>
        <v>Charles Burton</v>
      </c>
      <c r="C1168" t="str">
        <f>Raw_Claims_Data!C1167</f>
        <v>Travel</v>
      </c>
      <c r="D1168">
        <f>Raw_Claims_Data!D1167</f>
        <v>98.92</v>
      </c>
      <c r="E1168">
        <f>Raw_Claims_Data!E1167</f>
        <v>1000</v>
      </c>
      <c r="F1168" t="str">
        <f>Raw_Claims_Data!F1167</f>
        <v>KY</v>
      </c>
      <c r="G1168" t="str">
        <f>Raw_Claims_Data!G1167</f>
        <v>A</v>
      </c>
      <c r="H1168" t="str">
        <f>Raw_Claims_Data!H1167</f>
        <v>Total Loss</v>
      </c>
      <c r="I1168" t="str">
        <f>IF(Raw_Claims_Data!I1167="","None",Raw_Claims_Data!I1167)</f>
        <v>None</v>
      </c>
      <c r="J1168" t="str">
        <f>Raw_Claims_Data!J1167</f>
        <v>Savannah</v>
      </c>
      <c r="K1168" t="str">
        <f>Raw_Claims_Data!K1167</f>
        <v>GA</v>
      </c>
      <c r="L1168">
        <f>Raw_Claims_Data!L1167</f>
        <v>11</v>
      </c>
      <c r="M1168" t="str">
        <f>IF(Raw_Claims_Data!M1167="","N/A",Raw_Claims_Data!M1167)</f>
        <v>N/A</v>
      </c>
      <c r="N1168" t="str">
        <f>Raw_Claims_Data!N1167</f>
        <v>AGENT00594</v>
      </c>
      <c r="O1168">
        <f>IF(Raw_Claims_Data!G1167="D",1,0)</f>
        <v>0</v>
      </c>
    </row>
    <row r="1169" spans="1:15" x14ac:dyDescent="0.35">
      <c r="A1169" t="str">
        <f>Raw_Claims_Data!A1168</f>
        <v>TXN00001165</v>
      </c>
      <c r="B1169" t="str">
        <f>TRIM(Raw_Claims_Data!B1168)</f>
        <v>Edward Hayes</v>
      </c>
      <c r="C1169" t="str">
        <f>Raw_Claims_Data!C1168</f>
        <v>Travel</v>
      </c>
      <c r="D1169">
        <f>Raw_Claims_Data!D1168</f>
        <v>81.22</v>
      </c>
      <c r="E1169">
        <f>Raw_Claims_Data!E1168</f>
        <v>5000</v>
      </c>
      <c r="F1169" t="str">
        <f>Raw_Claims_Data!F1168</f>
        <v>MD</v>
      </c>
      <c r="G1169" t="str">
        <f>Raw_Claims_Data!G1168</f>
        <v>A</v>
      </c>
      <c r="H1169" t="str">
        <f>Raw_Claims_Data!H1168</f>
        <v>Minor Loss</v>
      </c>
      <c r="I1169" t="str">
        <f>IF(Raw_Claims_Data!I1168="","None",Raw_Claims_Data!I1168)</f>
        <v>Ambulance</v>
      </c>
      <c r="J1169" t="str">
        <f>Raw_Claims_Data!J1168</f>
        <v>Savannah</v>
      </c>
      <c r="K1169" t="str">
        <f>Raw_Claims_Data!K1168</f>
        <v>GA</v>
      </c>
      <c r="L1169">
        <f>Raw_Claims_Data!L1168</f>
        <v>11</v>
      </c>
      <c r="M1169" t="str">
        <f>IF(Raw_Claims_Data!M1168="","N/A",Raw_Claims_Data!M1168)</f>
        <v>N/A</v>
      </c>
      <c r="N1169" t="str">
        <f>Raw_Claims_Data!N1168</f>
        <v>AGENT00339</v>
      </c>
      <c r="O1169">
        <f>IF(Raw_Claims_Data!G1168="D",1,0)</f>
        <v>0</v>
      </c>
    </row>
    <row r="1170" spans="1:15" x14ac:dyDescent="0.35">
      <c r="A1170" t="str">
        <f>Raw_Claims_Data!A1169</f>
        <v>TXN00001166</v>
      </c>
      <c r="B1170" t="str">
        <f>TRIM(Raw_Claims_Data!B1169)</f>
        <v>Lillie Madsen</v>
      </c>
      <c r="C1170" t="str">
        <f>Raw_Claims_Data!C1169</f>
        <v>Property</v>
      </c>
      <c r="D1170">
        <f>Raw_Claims_Data!D1169</f>
        <v>152.24</v>
      </c>
      <c r="E1170">
        <f>Raw_Claims_Data!E1169</f>
        <v>28000</v>
      </c>
      <c r="F1170" t="str">
        <f>Raw_Claims_Data!F1169</f>
        <v>OK</v>
      </c>
      <c r="G1170" t="str">
        <f>Raw_Claims_Data!G1169</f>
        <v>A</v>
      </c>
      <c r="H1170" t="str">
        <f>Raw_Claims_Data!H1169</f>
        <v>Total Loss</v>
      </c>
      <c r="I1170" t="str">
        <f>IF(Raw_Claims_Data!I1169="","None",Raw_Claims_Data!I1169)</f>
        <v>Police</v>
      </c>
      <c r="J1170" t="str">
        <f>Raw_Claims_Data!J1169</f>
        <v>Lynn Haven</v>
      </c>
      <c r="K1170" t="str">
        <f>Raw_Claims_Data!K1169</f>
        <v>FL</v>
      </c>
      <c r="L1170">
        <f>Raw_Claims_Data!L1169</f>
        <v>10</v>
      </c>
      <c r="M1170" t="str">
        <f>IF(Raw_Claims_Data!M1169="","N/A",Raw_Claims_Data!M1169)</f>
        <v>VNDR00359</v>
      </c>
      <c r="N1170" t="str">
        <f>Raw_Claims_Data!N1169</f>
        <v>AGENT00644</v>
      </c>
      <c r="O1170">
        <f>IF(Raw_Claims_Data!G1169="D",1,0)</f>
        <v>0</v>
      </c>
    </row>
    <row r="1171" spans="1:15" x14ac:dyDescent="0.35">
      <c r="A1171" t="str">
        <f>Raw_Claims_Data!A1170</f>
        <v>TXN00001167</v>
      </c>
      <c r="B1171" t="str">
        <f>TRIM(Raw_Claims_Data!B1170)</f>
        <v>Jessica Nosal</v>
      </c>
      <c r="C1171" t="str">
        <f>Raw_Claims_Data!C1170</f>
        <v>Life</v>
      </c>
      <c r="D1171">
        <f>Raw_Claims_Data!D1170</f>
        <v>60.69</v>
      </c>
      <c r="E1171">
        <f>Raw_Claims_Data!E1170</f>
        <v>50000</v>
      </c>
      <c r="F1171" t="str">
        <f>Raw_Claims_Data!F1170</f>
        <v>MD</v>
      </c>
      <c r="G1171" t="str">
        <f>Raw_Claims_Data!G1170</f>
        <v>A</v>
      </c>
      <c r="H1171" t="str">
        <f>Raw_Claims_Data!H1170</f>
        <v>Major Loss</v>
      </c>
      <c r="I1171" t="str">
        <f>IF(Raw_Claims_Data!I1170="","None",Raw_Claims_Data!I1170)</f>
        <v>Other</v>
      </c>
      <c r="J1171" t="str">
        <f>Raw_Claims_Data!J1170</f>
        <v>Fayetteville</v>
      </c>
      <c r="K1171" t="str">
        <f>Raw_Claims_Data!K1170</f>
        <v>AR</v>
      </c>
      <c r="L1171">
        <f>Raw_Claims_Data!L1170</f>
        <v>19</v>
      </c>
      <c r="M1171" t="str">
        <f>IF(Raw_Claims_Data!M1170="","N/A",Raw_Claims_Data!M1170)</f>
        <v>VNDR00529</v>
      </c>
      <c r="N1171" t="str">
        <f>Raw_Claims_Data!N1170</f>
        <v>AGENT00298</v>
      </c>
      <c r="O1171">
        <f>IF(Raw_Claims_Data!G1170="D",1,0)</f>
        <v>0</v>
      </c>
    </row>
    <row r="1172" spans="1:15" x14ac:dyDescent="0.35">
      <c r="A1172" t="str">
        <f>Raw_Claims_Data!A1171</f>
        <v>TXN00001168</v>
      </c>
      <c r="B1172" t="str">
        <f>TRIM(Raw_Claims_Data!B1171)</f>
        <v>Tanya Deleon</v>
      </c>
      <c r="C1172" t="str">
        <f>Raw_Claims_Data!C1171</f>
        <v>Motor</v>
      </c>
      <c r="D1172">
        <f>Raw_Claims_Data!D1171</f>
        <v>75.09</v>
      </c>
      <c r="E1172">
        <f>Raw_Claims_Data!E1171</f>
        <v>4000</v>
      </c>
      <c r="F1172" t="str">
        <f>Raw_Claims_Data!F1171</f>
        <v>GA</v>
      </c>
      <c r="G1172" t="str">
        <f>Raw_Claims_Data!G1171</f>
        <v>A</v>
      </c>
      <c r="H1172" t="str">
        <f>Raw_Claims_Data!H1171</f>
        <v>Major Loss</v>
      </c>
      <c r="I1172" t="str">
        <f>IF(Raw_Claims_Data!I1171="","None",Raw_Claims_Data!I1171)</f>
        <v>Ambulance</v>
      </c>
      <c r="J1172" t="str">
        <f>Raw_Claims_Data!J1171</f>
        <v>Stratton</v>
      </c>
      <c r="K1172" t="str">
        <f>Raw_Claims_Data!K1171</f>
        <v>VT</v>
      </c>
      <c r="L1172">
        <f>Raw_Claims_Data!L1171</f>
        <v>0</v>
      </c>
      <c r="M1172" t="str">
        <f>IF(Raw_Claims_Data!M1171="","N/A",Raw_Claims_Data!M1171)</f>
        <v>N/A</v>
      </c>
      <c r="N1172" t="str">
        <f>Raw_Claims_Data!N1171</f>
        <v>AGENT01075</v>
      </c>
      <c r="O1172">
        <f>IF(Raw_Claims_Data!G1171="D",1,0)</f>
        <v>0</v>
      </c>
    </row>
    <row r="1173" spans="1:15" x14ac:dyDescent="0.35">
      <c r="A1173" t="str">
        <f>Raw_Claims_Data!A1172</f>
        <v>TXN00001169</v>
      </c>
      <c r="B1173" t="str">
        <f>TRIM(Raw_Claims_Data!B1172)</f>
        <v>Suzanne Weiss</v>
      </c>
      <c r="C1173" t="str">
        <f>Raw_Claims_Data!C1172</f>
        <v>Health</v>
      </c>
      <c r="D1173">
        <f>Raw_Claims_Data!D1172</f>
        <v>135.03</v>
      </c>
      <c r="E1173">
        <f>Raw_Claims_Data!E1172</f>
        <v>5000</v>
      </c>
      <c r="F1173" t="str">
        <f>Raw_Claims_Data!F1172</f>
        <v>CO</v>
      </c>
      <c r="G1173" t="str">
        <f>Raw_Claims_Data!G1172</f>
        <v>A</v>
      </c>
      <c r="H1173" t="str">
        <f>Raw_Claims_Data!H1172</f>
        <v>Total Loss</v>
      </c>
      <c r="I1173" t="str">
        <f>IF(Raw_Claims_Data!I1172="","None",Raw_Claims_Data!I1172)</f>
        <v>None</v>
      </c>
      <c r="J1173" t="str">
        <f>Raw_Claims_Data!J1172</f>
        <v>Moore</v>
      </c>
      <c r="K1173" t="str">
        <f>Raw_Claims_Data!K1172</f>
        <v>OK</v>
      </c>
      <c r="L1173">
        <f>Raw_Claims_Data!L1172</f>
        <v>15</v>
      </c>
      <c r="M1173" t="str">
        <f>IF(Raw_Claims_Data!M1172="","N/A",Raw_Claims_Data!M1172)</f>
        <v>N/A</v>
      </c>
      <c r="N1173" t="str">
        <f>Raw_Claims_Data!N1172</f>
        <v>AGENT00296</v>
      </c>
      <c r="O1173">
        <f>IF(Raw_Claims_Data!G1172="D",1,0)</f>
        <v>0</v>
      </c>
    </row>
    <row r="1174" spans="1:15" x14ac:dyDescent="0.35">
      <c r="A1174" t="str">
        <f>Raw_Claims_Data!A1173</f>
        <v>TXN00001170</v>
      </c>
      <c r="B1174" t="str">
        <f>TRIM(Raw_Claims_Data!B1173)</f>
        <v>Scott Young</v>
      </c>
      <c r="C1174" t="str">
        <f>Raw_Claims_Data!C1173</f>
        <v>Health</v>
      </c>
      <c r="D1174">
        <f>Raw_Claims_Data!D1173</f>
        <v>147.88</v>
      </c>
      <c r="E1174">
        <f>Raw_Claims_Data!E1173</f>
        <v>7000</v>
      </c>
      <c r="F1174" t="str">
        <f>Raw_Claims_Data!F1173</f>
        <v>CA</v>
      </c>
      <c r="G1174" t="str">
        <f>Raw_Claims_Data!G1173</f>
        <v>A</v>
      </c>
      <c r="H1174" t="str">
        <f>Raw_Claims_Data!H1173</f>
        <v>Minor Loss</v>
      </c>
      <c r="I1174" t="str">
        <f>IF(Raw_Claims_Data!I1173="","None",Raw_Claims_Data!I1173)</f>
        <v>Police</v>
      </c>
      <c r="J1174" t="str">
        <f>Raw_Claims_Data!J1173</f>
        <v>San Diego</v>
      </c>
      <c r="K1174" t="str">
        <f>Raw_Claims_Data!K1173</f>
        <v>CA</v>
      </c>
      <c r="L1174">
        <f>Raw_Claims_Data!L1173</f>
        <v>22</v>
      </c>
      <c r="M1174" t="str">
        <f>IF(Raw_Claims_Data!M1173="","N/A",Raw_Claims_Data!M1173)</f>
        <v>N/A</v>
      </c>
      <c r="N1174" t="str">
        <f>Raw_Claims_Data!N1173</f>
        <v>AGENT01080</v>
      </c>
      <c r="O1174">
        <f>IF(Raw_Claims_Data!G1173="D",1,0)</f>
        <v>0</v>
      </c>
    </row>
    <row r="1175" spans="1:15" x14ac:dyDescent="0.35">
      <c r="A1175" t="str">
        <f>Raw_Claims_Data!A1174</f>
        <v>TXN00001171</v>
      </c>
      <c r="B1175" t="str">
        <f>TRIM(Raw_Claims_Data!B1174)</f>
        <v>Kelly Holder</v>
      </c>
      <c r="C1175" t="str">
        <f>Raw_Claims_Data!C1174</f>
        <v>Travel</v>
      </c>
      <c r="D1175">
        <f>Raw_Claims_Data!D1174</f>
        <v>60.28</v>
      </c>
      <c r="E1175">
        <f>Raw_Claims_Data!E1174</f>
        <v>3000</v>
      </c>
      <c r="F1175" t="str">
        <f>Raw_Claims_Data!F1174</f>
        <v>KY</v>
      </c>
      <c r="G1175" t="str">
        <f>Raw_Claims_Data!G1174</f>
        <v>A</v>
      </c>
      <c r="H1175" t="str">
        <f>Raw_Claims_Data!H1174</f>
        <v>Major Loss</v>
      </c>
      <c r="I1175" t="str">
        <f>IF(Raw_Claims_Data!I1174="","None",Raw_Claims_Data!I1174)</f>
        <v>Police</v>
      </c>
      <c r="J1175" t="str">
        <f>Raw_Claims_Data!J1174</f>
        <v>Danville</v>
      </c>
      <c r="K1175" t="str">
        <f>Raw_Claims_Data!K1174</f>
        <v>VT</v>
      </c>
      <c r="L1175">
        <f>Raw_Claims_Data!L1174</f>
        <v>10</v>
      </c>
      <c r="M1175" t="str">
        <f>IF(Raw_Claims_Data!M1174="","N/A",Raw_Claims_Data!M1174)</f>
        <v>VNDR00469</v>
      </c>
      <c r="N1175" t="str">
        <f>Raw_Claims_Data!N1174</f>
        <v>AGENT00980</v>
      </c>
      <c r="O1175">
        <f>IF(Raw_Claims_Data!G1174="D",1,0)</f>
        <v>0</v>
      </c>
    </row>
    <row r="1176" spans="1:15" x14ac:dyDescent="0.35">
      <c r="A1176" t="str">
        <f>Raw_Claims_Data!A1175</f>
        <v>TXN00001172</v>
      </c>
      <c r="B1176" t="str">
        <f>TRIM(Raw_Claims_Data!B1175)</f>
        <v>Leona Rivera</v>
      </c>
      <c r="C1176" t="str">
        <f>Raw_Claims_Data!C1175</f>
        <v>Travel</v>
      </c>
      <c r="D1176">
        <f>Raw_Claims_Data!D1175</f>
        <v>64.14</v>
      </c>
      <c r="E1176">
        <f>Raw_Claims_Data!E1175</f>
        <v>2000</v>
      </c>
      <c r="F1176" t="str">
        <f>Raw_Claims_Data!F1175</f>
        <v>CA</v>
      </c>
      <c r="G1176" t="str">
        <f>Raw_Claims_Data!G1175</f>
        <v>D</v>
      </c>
      <c r="H1176" t="str">
        <f>Raw_Claims_Data!H1175</f>
        <v>Total Loss</v>
      </c>
      <c r="I1176" t="str">
        <f>IF(Raw_Claims_Data!I1175="","None",Raw_Claims_Data!I1175)</f>
        <v>Ambulance</v>
      </c>
      <c r="J1176" t="str">
        <f>Raw_Claims_Data!J1175</f>
        <v>Cambridge</v>
      </c>
      <c r="K1176" t="str">
        <f>Raw_Claims_Data!K1175</f>
        <v>MA</v>
      </c>
      <c r="L1176">
        <f>Raw_Claims_Data!L1175</f>
        <v>10</v>
      </c>
      <c r="M1176" t="str">
        <f>IF(Raw_Claims_Data!M1175="","N/A",Raw_Claims_Data!M1175)</f>
        <v>VNDR00019</v>
      </c>
      <c r="N1176" t="str">
        <f>Raw_Claims_Data!N1175</f>
        <v>AGENT00243</v>
      </c>
      <c r="O1176">
        <f>IF(Raw_Claims_Data!G1175="D",1,0)</f>
        <v>1</v>
      </c>
    </row>
    <row r="1177" spans="1:15" x14ac:dyDescent="0.35">
      <c r="A1177" t="str">
        <f>Raw_Claims_Data!A1176</f>
        <v>TXN00001173</v>
      </c>
      <c r="B1177" t="str">
        <f>TRIM(Raw_Claims_Data!B1176)</f>
        <v>Gary Cooper</v>
      </c>
      <c r="C1177" t="str">
        <f>Raw_Claims_Data!C1176</f>
        <v>Travel</v>
      </c>
      <c r="D1177">
        <f>Raw_Claims_Data!D1176</f>
        <v>58.07</v>
      </c>
      <c r="E1177">
        <f>Raw_Claims_Data!E1176</f>
        <v>4000</v>
      </c>
      <c r="F1177" t="str">
        <f>Raw_Claims_Data!F1176</f>
        <v>GA</v>
      </c>
      <c r="G1177" t="str">
        <f>Raw_Claims_Data!G1176</f>
        <v>A</v>
      </c>
      <c r="H1177" t="str">
        <f>Raw_Claims_Data!H1176</f>
        <v>Major Loss</v>
      </c>
      <c r="I1177" t="str">
        <f>IF(Raw_Claims_Data!I1176="","None",Raw_Claims_Data!I1176)</f>
        <v>Ambulance</v>
      </c>
      <c r="J1177" t="str">
        <f>Raw_Claims_Data!J1176</f>
        <v>Berkeley</v>
      </c>
      <c r="K1177" t="str">
        <f>Raw_Claims_Data!K1176</f>
        <v>CA</v>
      </c>
      <c r="L1177">
        <f>Raw_Claims_Data!L1176</f>
        <v>20</v>
      </c>
      <c r="M1177" t="str">
        <f>IF(Raw_Claims_Data!M1176="","N/A",Raw_Claims_Data!M1176)</f>
        <v>VNDR00508</v>
      </c>
      <c r="N1177" t="str">
        <f>Raw_Claims_Data!N1176</f>
        <v>AGENT00581</v>
      </c>
      <c r="O1177">
        <f>IF(Raw_Claims_Data!G1176="D",1,0)</f>
        <v>0</v>
      </c>
    </row>
    <row r="1178" spans="1:15" x14ac:dyDescent="0.35">
      <c r="A1178" t="str">
        <f>Raw_Claims_Data!A1177</f>
        <v>TXN00001174</v>
      </c>
      <c r="B1178" t="str">
        <f>TRIM(Raw_Claims_Data!B1177)</f>
        <v>Sharon Lairy</v>
      </c>
      <c r="C1178" t="str">
        <f>Raw_Claims_Data!C1177</f>
        <v>Health</v>
      </c>
      <c r="D1178">
        <f>Raw_Claims_Data!D1177</f>
        <v>153.28</v>
      </c>
      <c r="E1178">
        <f>Raw_Claims_Data!E1177</f>
        <v>2000</v>
      </c>
      <c r="F1178" t="str">
        <f>Raw_Claims_Data!F1177</f>
        <v>CO</v>
      </c>
      <c r="G1178" t="str">
        <f>Raw_Claims_Data!G1177</f>
        <v>A</v>
      </c>
      <c r="H1178" t="str">
        <f>Raw_Claims_Data!H1177</f>
        <v>Minor Loss</v>
      </c>
      <c r="I1178" t="str">
        <f>IF(Raw_Claims_Data!I1177="","None",Raw_Claims_Data!I1177)</f>
        <v>Ambulance</v>
      </c>
      <c r="J1178" t="str">
        <f>Raw_Claims_Data!J1177</f>
        <v>Oklahoma City</v>
      </c>
      <c r="K1178" t="str">
        <f>Raw_Claims_Data!K1177</f>
        <v>OK</v>
      </c>
      <c r="L1178">
        <f>Raw_Claims_Data!L1177</f>
        <v>7</v>
      </c>
      <c r="M1178" t="str">
        <f>IF(Raw_Claims_Data!M1177="","N/A",Raw_Claims_Data!M1177)</f>
        <v>VNDR00326</v>
      </c>
      <c r="N1178" t="str">
        <f>Raw_Claims_Data!N1177</f>
        <v>AGENT00513</v>
      </c>
      <c r="O1178">
        <f>IF(Raw_Claims_Data!G1177="D",1,0)</f>
        <v>0</v>
      </c>
    </row>
    <row r="1179" spans="1:15" x14ac:dyDescent="0.35">
      <c r="A1179" t="str">
        <f>Raw_Claims_Data!A1178</f>
        <v>TXN00001175</v>
      </c>
      <c r="B1179" t="str">
        <f>TRIM(Raw_Claims_Data!B1178)</f>
        <v>Stephanie Bozek</v>
      </c>
      <c r="C1179" t="str">
        <f>Raw_Claims_Data!C1178</f>
        <v>Property</v>
      </c>
      <c r="D1179">
        <f>Raw_Claims_Data!D1178</f>
        <v>122.47</v>
      </c>
      <c r="E1179">
        <f>Raw_Claims_Data!E1178</f>
        <v>19000</v>
      </c>
      <c r="F1179" t="str">
        <f>Raw_Claims_Data!F1178</f>
        <v>VT</v>
      </c>
      <c r="G1179" t="str">
        <f>Raw_Claims_Data!G1178</f>
        <v>A</v>
      </c>
      <c r="H1179" t="str">
        <f>Raw_Claims_Data!H1178</f>
        <v>Total Loss</v>
      </c>
      <c r="I1179" t="str">
        <f>IF(Raw_Claims_Data!I1178="","None",Raw_Claims_Data!I1178)</f>
        <v>Police</v>
      </c>
      <c r="J1179" t="str">
        <f>Raw_Claims_Data!J1178</f>
        <v>Fayetteville</v>
      </c>
      <c r="K1179" t="str">
        <f>Raw_Claims_Data!K1178</f>
        <v>AR</v>
      </c>
      <c r="L1179">
        <f>Raw_Claims_Data!L1178</f>
        <v>4</v>
      </c>
      <c r="M1179" t="str">
        <f>IF(Raw_Claims_Data!M1178="","N/A",Raw_Claims_Data!M1178)</f>
        <v>N/A</v>
      </c>
      <c r="N1179" t="str">
        <f>Raw_Claims_Data!N1178</f>
        <v>AGENT01031</v>
      </c>
      <c r="O1179">
        <f>IF(Raw_Claims_Data!G1178="D",1,0)</f>
        <v>0</v>
      </c>
    </row>
    <row r="1180" spans="1:15" x14ac:dyDescent="0.35">
      <c r="A1180" t="str">
        <f>Raw_Claims_Data!A1179</f>
        <v>TXN00001176</v>
      </c>
      <c r="B1180" t="str">
        <f>TRIM(Raw_Claims_Data!B1179)</f>
        <v>Gloria Mahn</v>
      </c>
      <c r="C1180" t="str">
        <f>Raw_Claims_Data!C1179</f>
        <v>Health</v>
      </c>
      <c r="D1180">
        <f>Raw_Claims_Data!D1179</f>
        <v>178.33</v>
      </c>
      <c r="E1180">
        <f>Raw_Claims_Data!E1179</f>
        <v>10000</v>
      </c>
      <c r="F1180" t="str">
        <f>Raw_Claims_Data!F1179</f>
        <v>CO</v>
      </c>
      <c r="G1180" t="str">
        <f>Raw_Claims_Data!G1179</f>
        <v>A</v>
      </c>
      <c r="H1180" t="str">
        <f>Raw_Claims_Data!H1179</f>
        <v>Major Loss</v>
      </c>
      <c r="I1180" t="str">
        <f>IF(Raw_Claims_Data!I1179="","None",Raw_Claims_Data!I1179)</f>
        <v>Police</v>
      </c>
      <c r="J1180" t="str">
        <f>Raw_Claims_Data!J1179</f>
        <v>Montgomery</v>
      </c>
      <c r="K1180" t="str">
        <f>Raw_Claims_Data!K1179</f>
        <v>AL</v>
      </c>
      <c r="L1180">
        <f>Raw_Claims_Data!L1179</f>
        <v>21</v>
      </c>
      <c r="M1180" t="str">
        <f>IF(Raw_Claims_Data!M1179="","N/A",Raw_Claims_Data!M1179)</f>
        <v>N/A</v>
      </c>
      <c r="N1180" t="str">
        <f>Raw_Claims_Data!N1179</f>
        <v>AGENT00972</v>
      </c>
      <c r="O1180">
        <f>IF(Raw_Claims_Data!G1179="D",1,0)</f>
        <v>0</v>
      </c>
    </row>
    <row r="1181" spans="1:15" x14ac:dyDescent="0.35">
      <c r="A1181" t="str">
        <f>Raw_Claims_Data!A1180</f>
        <v>TXN00001177</v>
      </c>
      <c r="B1181" t="str">
        <f>TRIM(Raw_Claims_Data!B1180)</f>
        <v>Edward Yarbrough</v>
      </c>
      <c r="C1181" t="str">
        <f>Raw_Claims_Data!C1180</f>
        <v>Mobile</v>
      </c>
      <c r="D1181">
        <f>Raw_Claims_Data!D1180</f>
        <v>9.42</v>
      </c>
      <c r="E1181">
        <f>Raw_Claims_Data!E1180</f>
        <v>700</v>
      </c>
      <c r="F1181" t="str">
        <f>Raw_Claims_Data!F1180</f>
        <v>AL</v>
      </c>
      <c r="G1181" t="str">
        <f>Raw_Claims_Data!G1180</f>
        <v>A</v>
      </c>
      <c r="H1181" t="str">
        <f>Raw_Claims_Data!H1180</f>
        <v>Minor Loss</v>
      </c>
      <c r="I1181" t="str">
        <f>IF(Raw_Claims_Data!I1180="","None",Raw_Claims_Data!I1180)</f>
        <v>None</v>
      </c>
      <c r="J1181" t="str">
        <f>Raw_Claims_Data!J1180</f>
        <v>Nashville</v>
      </c>
      <c r="K1181" t="str">
        <f>Raw_Claims_Data!K1180</f>
        <v>TN</v>
      </c>
      <c r="L1181">
        <f>Raw_Claims_Data!L1180</f>
        <v>0</v>
      </c>
      <c r="M1181" t="str">
        <f>IF(Raw_Claims_Data!M1180="","N/A",Raw_Claims_Data!M1180)</f>
        <v>VNDR00094</v>
      </c>
      <c r="N1181" t="str">
        <f>Raw_Claims_Data!N1180</f>
        <v>AGENT00308</v>
      </c>
      <c r="O1181">
        <f>IF(Raw_Claims_Data!G1180="D",1,0)</f>
        <v>0</v>
      </c>
    </row>
    <row r="1182" spans="1:15" x14ac:dyDescent="0.35">
      <c r="A1182" t="str">
        <f>Raw_Claims_Data!A1181</f>
        <v>TXN00001178</v>
      </c>
      <c r="B1182" t="str">
        <f>TRIM(Raw_Claims_Data!B1181)</f>
        <v>Melodie Mccall</v>
      </c>
      <c r="C1182" t="str">
        <f>Raw_Claims_Data!C1181</f>
        <v>Travel</v>
      </c>
      <c r="D1182">
        <f>Raw_Claims_Data!D1181</f>
        <v>94.73</v>
      </c>
      <c r="E1182">
        <f>Raw_Claims_Data!E1181</f>
        <v>2000</v>
      </c>
      <c r="F1182" t="str">
        <f>Raw_Claims_Data!F1181</f>
        <v>FL</v>
      </c>
      <c r="G1182" t="str">
        <f>Raw_Claims_Data!G1181</f>
        <v>A</v>
      </c>
      <c r="H1182" t="str">
        <f>Raw_Claims_Data!H1181</f>
        <v>Minor Loss</v>
      </c>
      <c r="I1182" t="str">
        <f>IF(Raw_Claims_Data!I1181="","None",Raw_Claims_Data!I1181)</f>
        <v>Ambulance</v>
      </c>
      <c r="J1182" t="str">
        <f>Raw_Claims_Data!J1181</f>
        <v>Washington</v>
      </c>
      <c r="K1182" t="str">
        <f>Raw_Claims_Data!K1181</f>
        <v>DC</v>
      </c>
      <c r="L1182">
        <f>Raw_Claims_Data!L1181</f>
        <v>20</v>
      </c>
      <c r="M1182" t="str">
        <f>IF(Raw_Claims_Data!M1181="","N/A",Raw_Claims_Data!M1181)</f>
        <v>VNDR00483</v>
      </c>
      <c r="N1182" t="str">
        <f>Raw_Claims_Data!N1181</f>
        <v>AGENT00942</v>
      </c>
      <c r="O1182">
        <f>IF(Raw_Claims_Data!G1181="D",1,0)</f>
        <v>0</v>
      </c>
    </row>
    <row r="1183" spans="1:15" x14ac:dyDescent="0.35">
      <c r="A1183" t="str">
        <f>Raw_Claims_Data!A1182</f>
        <v>TXN00001179</v>
      </c>
      <c r="B1183" t="str">
        <f>TRIM(Raw_Claims_Data!B1182)</f>
        <v>Shawn Driscoll</v>
      </c>
      <c r="C1183" t="str">
        <f>Raw_Claims_Data!C1182</f>
        <v>Motor</v>
      </c>
      <c r="D1183">
        <f>Raw_Claims_Data!D1182</f>
        <v>137.49</v>
      </c>
      <c r="E1183">
        <f>Raw_Claims_Data!E1182</f>
        <v>9000</v>
      </c>
      <c r="F1183" t="str">
        <f>Raw_Claims_Data!F1182</f>
        <v>AZ</v>
      </c>
      <c r="G1183" t="str">
        <f>Raw_Claims_Data!G1182</f>
        <v>A</v>
      </c>
      <c r="H1183" t="str">
        <f>Raw_Claims_Data!H1182</f>
        <v>Major Loss</v>
      </c>
      <c r="I1183" t="str">
        <f>IF(Raw_Claims_Data!I1182="","None",Raw_Claims_Data!I1182)</f>
        <v>None</v>
      </c>
      <c r="J1183" t="str">
        <f>Raw_Claims_Data!J1182</f>
        <v>Nashville</v>
      </c>
      <c r="K1183" t="str">
        <f>Raw_Claims_Data!K1182</f>
        <v>TN</v>
      </c>
      <c r="L1183">
        <f>Raw_Claims_Data!L1182</f>
        <v>8</v>
      </c>
      <c r="M1183" t="str">
        <f>IF(Raw_Claims_Data!M1182="","N/A",Raw_Claims_Data!M1182)</f>
        <v>VNDR00495</v>
      </c>
      <c r="N1183" t="str">
        <f>Raw_Claims_Data!N1182</f>
        <v>AGENT00593</v>
      </c>
      <c r="O1183">
        <f>IF(Raw_Claims_Data!G1182="D",1,0)</f>
        <v>0</v>
      </c>
    </row>
    <row r="1184" spans="1:15" x14ac:dyDescent="0.35">
      <c r="A1184" t="str">
        <f>Raw_Claims_Data!A1183</f>
        <v>TXN00001180</v>
      </c>
      <c r="B1184" t="str">
        <f>TRIM(Raw_Claims_Data!B1183)</f>
        <v>John Reyna</v>
      </c>
      <c r="C1184" t="str">
        <f>Raw_Claims_Data!C1183</f>
        <v>Life</v>
      </c>
      <c r="D1184">
        <f>Raw_Claims_Data!D1183</f>
        <v>54.46</v>
      </c>
      <c r="E1184">
        <f>Raw_Claims_Data!E1183</f>
        <v>83000</v>
      </c>
      <c r="F1184" t="str">
        <f>Raw_Claims_Data!F1183</f>
        <v>DC</v>
      </c>
      <c r="G1184" t="str">
        <f>Raw_Claims_Data!G1183</f>
        <v>A</v>
      </c>
      <c r="H1184" t="str">
        <f>Raw_Claims_Data!H1183</f>
        <v>Major Loss</v>
      </c>
      <c r="I1184" t="str">
        <f>IF(Raw_Claims_Data!I1183="","None",Raw_Claims_Data!I1183)</f>
        <v>Other</v>
      </c>
      <c r="J1184" t="str">
        <f>Raw_Claims_Data!J1183</f>
        <v>Manchester</v>
      </c>
      <c r="K1184" t="str">
        <f>Raw_Claims_Data!K1183</f>
        <v>CT</v>
      </c>
      <c r="L1184">
        <f>Raw_Claims_Data!L1183</f>
        <v>23</v>
      </c>
      <c r="M1184" t="str">
        <f>IF(Raw_Claims_Data!M1183="","N/A",Raw_Claims_Data!M1183)</f>
        <v>N/A</v>
      </c>
      <c r="N1184" t="str">
        <f>Raw_Claims_Data!N1183</f>
        <v>AGENT00243</v>
      </c>
      <c r="O1184">
        <f>IF(Raw_Claims_Data!G1183="D",1,0)</f>
        <v>0</v>
      </c>
    </row>
    <row r="1185" spans="1:15" x14ac:dyDescent="0.35">
      <c r="A1185" t="str">
        <f>Raw_Claims_Data!A1184</f>
        <v>TXN00001181</v>
      </c>
      <c r="B1185" t="str">
        <f>TRIM(Raw_Claims_Data!B1184)</f>
        <v>Timothy Gabriele</v>
      </c>
      <c r="C1185" t="str">
        <f>Raw_Claims_Data!C1184</f>
        <v>Health</v>
      </c>
      <c r="D1185">
        <f>Raw_Claims_Data!D1184</f>
        <v>173.44</v>
      </c>
      <c r="E1185">
        <f>Raw_Claims_Data!E1184</f>
        <v>16000</v>
      </c>
      <c r="F1185" t="str">
        <f>Raw_Claims_Data!F1184</f>
        <v>CA</v>
      </c>
      <c r="G1185" t="str">
        <f>Raw_Claims_Data!G1184</f>
        <v>D</v>
      </c>
      <c r="H1185" t="str">
        <f>Raw_Claims_Data!H1184</f>
        <v>Minor Loss</v>
      </c>
      <c r="I1185" t="str">
        <f>IF(Raw_Claims_Data!I1184="","None",Raw_Claims_Data!I1184)</f>
        <v>Other</v>
      </c>
      <c r="J1185" t="str">
        <f>Raw_Claims_Data!J1184</f>
        <v>Oklahoma City</v>
      </c>
      <c r="K1185" t="str">
        <f>Raw_Claims_Data!K1184</f>
        <v>OK</v>
      </c>
      <c r="L1185">
        <f>Raw_Claims_Data!L1184</f>
        <v>0</v>
      </c>
      <c r="M1185" t="str">
        <f>IF(Raw_Claims_Data!M1184="","N/A",Raw_Claims_Data!M1184)</f>
        <v>N/A</v>
      </c>
      <c r="N1185" t="str">
        <f>Raw_Claims_Data!N1184</f>
        <v>AGENT00757</v>
      </c>
      <c r="O1185">
        <f>IF(Raw_Claims_Data!G1184="D",1,0)</f>
        <v>1</v>
      </c>
    </row>
    <row r="1186" spans="1:15" x14ac:dyDescent="0.35">
      <c r="A1186" t="str">
        <f>Raw_Claims_Data!A1185</f>
        <v>TXN00001182</v>
      </c>
      <c r="B1186" t="str">
        <f>TRIM(Raw_Claims_Data!B1185)</f>
        <v>Terry Cruz</v>
      </c>
      <c r="C1186" t="str">
        <f>Raw_Claims_Data!C1185</f>
        <v>Health</v>
      </c>
      <c r="D1186">
        <f>Raw_Claims_Data!D1185</f>
        <v>169.34</v>
      </c>
      <c r="E1186">
        <f>Raw_Claims_Data!E1185</f>
        <v>9000</v>
      </c>
      <c r="F1186" t="str">
        <f>Raw_Claims_Data!F1185</f>
        <v>MA</v>
      </c>
      <c r="G1186" t="str">
        <f>Raw_Claims_Data!G1185</f>
        <v>A</v>
      </c>
      <c r="H1186" t="str">
        <f>Raw_Claims_Data!H1185</f>
        <v>Major Loss</v>
      </c>
      <c r="I1186" t="str">
        <f>IF(Raw_Claims_Data!I1185="","None",Raw_Claims_Data!I1185)</f>
        <v>Police</v>
      </c>
      <c r="J1186" t="str">
        <f>Raw_Claims_Data!J1185</f>
        <v>Linda</v>
      </c>
      <c r="K1186" t="str">
        <f>Raw_Claims_Data!K1185</f>
        <v>CA</v>
      </c>
      <c r="L1186">
        <f>Raw_Claims_Data!L1185</f>
        <v>23</v>
      </c>
      <c r="M1186" t="str">
        <f>IF(Raw_Claims_Data!M1185="","N/A",Raw_Claims_Data!M1185)</f>
        <v>N/A</v>
      </c>
      <c r="N1186" t="str">
        <f>Raw_Claims_Data!N1185</f>
        <v>AGENT00420</v>
      </c>
      <c r="O1186">
        <f>IF(Raw_Claims_Data!G1185="D",1,0)</f>
        <v>0</v>
      </c>
    </row>
    <row r="1187" spans="1:15" x14ac:dyDescent="0.35">
      <c r="A1187" t="str">
        <f>Raw_Claims_Data!A1186</f>
        <v>TXN00001183</v>
      </c>
      <c r="B1187" t="str">
        <f>TRIM(Raw_Claims_Data!B1186)</f>
        <v>Ronald Garczynski</v>
      </c>
      <c r="C1187" t="str">
        <f>Raw_Claims_Data!C1186</f>
        <v>Life</v>
      </c>
      <c r="D1187">
        <f>Raw_Claims_Data!D1186</f>
        <v>74.69</v>
      </c>
      <c r="E1187">
        <f>Raw_Claims_Data!E1186</f>
        <v>87000</v>
      </c>
      <c r="F1187" t="str">
        <f>Raw_Claims_Data!F1186</f>
        <v>TN</v>
      </c>
      <c r="G1187" t="str">
        <f>Raw_Claims_Data!G1186</f>
        <v>A</v>
      </c>
      <c r="H1187" t="str">
        <f>Raw_Claims_Data!H1186</f>
        <v>Total Loss</v>
      </c>
      <c r="I1187" t="str">
        <f>IF(Raw_Claims_Data!I1186="","None",Raw_Claims_Data!I1186)</f>
        <v>Ambulance</v>
      </c>
      <c r="J1187" t="str">
        <f>Raw_Claims_Data!J1186</f>
        <v>Manchester</v>
      </c>
      <c r="K1187" t="str">
        <f>Raw_Claims_Data!K1186</f>
        <v>CT</v>
      </c>
      <c r="L1187">
        <f>Raw_Claims_Data!L1186</f>
        <v>22</v>
      </c>
      <c r="M1187" t="str">
        <f>IF(Raw_Claims_Data!M1186="","N/A",Raw_Claims_Data!M1186)</f>
        <v>VNDR00092</v>
      </c>
      <c r="N1187" t="str">
        <f>Raw_Claims_Data!N1186</f>
        <v>AGENT00913</v>
      </c>
      <c r="O1187">
        <f>IF(Raw_Claims_Data!G1186="D",1,0)</f>
        <v>0</v>
      </c>
    </row>
    <row r="1188" spans="1:15" x14ac:dyDescent="0.35">
      <c r="A1188" t="str">
        <f>Raw_Claims_Data!A1187</f>
        <v>TXN00001184</v>
      </c>
      <c r="B1188" t="str">
        <f>TRIM(Raw_Claims_Data!B1187)</f>
        <v>Albert Ramos</v>
      </c>
      <c r="C1188" t="str">
        <f>Raw_Claims_Data!C1187</f>
        <v>Travel</v>
      </c>
      <c r="D1188">
        <f>Raw_Claims_Data!D1187</f>
        <v>62.85</v>
      </c>
      <c r="E1188">
        <f>Raw_Claims_Data!E1187</f>
        <v>2000</v>
      </c>
      <c r="F1188" t="str">
        <f>Raw_Claims_Data!F1187</f>
        <v>MA</v>
      </c>
      <c r="G1188" t="str">
        <f>Raw_Claims_Data!G1187</f>
        <v>A</v>
      </c>
      <c r="H1188" t="str">
        <f>Raw_Claims_Data!H1187</f>
        <v>Major Loss</v>
      </c>
      <c r="I1188" t="str">
        <f>IF(Raw_Claims_Data!I1187="","None",Raw_Claims_Data!I1187)</f>
        <v>Other</v>
      </c>
      <c r="J1188" t="str">
        <f>Raw_Claims_Data!J1187</f>
        <v>Arvada</v>
      </c>
      <c r="K1188" t="str">
        <f>Raw_Claims_Data!K1187</f>
        <v>CO</v>
      </c>
      <c r="L1188">
        <f>Raw_Claims_Data!L1187</f>
        <v>4</v>
      </c>
      <c r="M1188" t="str">
        <f>IF(Raw_Claims_Data!M1187="","N/A",Raw_Claims_Data!M1187)</f>
        <v>VNDR00275</v>
      </c>
      <c r="N1188" t="str">
        <f>Raw_Claims_Data!N1187</f>
        <v>AGENT01143</v>
      </c>
      <c r="O1188">
        <f>IF(Raw_Claims_Data!G1187="D",1,0)</f>
        <v>0</v>
      </c>
    </row>
    <row r="1189" spans="1:15" x14ac:dyDescent="0.35">
      <c r="A1189" t="str">
        <f>Raw_Claims_Data!A1188</f>
        <v>TXN00001185</v>
      </c>
      <c r="B1189" t="str">
        <f>TRIM(Raw_Claims_Data!B1188)</f>
        <v>Bessie Lee</v>
      </c>
      <c r="C1189" t="str">
        <f>Raw_Claims_Data!C1188</f>
        <v>Motor</v>
      </c>
      <c r="D1189">
        <f>Raw_Claims_Data!D1188</f>
        <v>119.98</v>
      </c>
      <c r="E1189">
        <f>Raw_Claims_Data!E1188</f>
        <v>3000</v>
      </c>
      <c r="F1189" t="str">
        <f>Raw_Claims_Data!F1188</f>
        <v>CT</v>
      </c>
      <c r="G1189" t="str">
        <f>Raw_Claims_Data!G1188</f>
        <v>A</v>
      </c>
      <c r="H1189" t="str">
        <f>Raw_Claims_Data!H1188</f>
        <v>Minor Loss</v>
      </c>
      <c r="I1189" t="str">
        <f>IF(Raw_Claims_Data!I1188="","None",Raw_Claims_Data!I1188)</f>
        <v>Ambulance</v>
      </c>
      <c r="J1189" t="str">
        <f>Raw_Claims_Data!J1188</f>
        <v>Fremont</v>
      </c>
      <c r="K1189" t="str">
        <f>Raw_Claims_Data!K1188</f>
        <v>CA</v>
      </c>
      <c r="L1189">
        <f>Raw_Claims_Data!L1188</f>
        <v>5</v>
      </c>
      <c r="M1189" t="str">
        <f>IF(Raw_Claims_Data!M1188="","N/A",Raw_Claims_Data!M1188)</f>
        <v>VNDR00386</v>
      </c>
      <c r="N1189" t="str">
        <f>Raw_Claims_Data!N1188</f>
        <v>AGENT00226</v>
      </c>
      <c r="O1189">
        <f>IF(Raw_Claims_Data!G1188="D",1,0)</f>
        <v>0</v>
      </c>
    </row>
    <row r="1190" spans="1:15" x14ac:dyDescent="0.35">
      <c r="A1190" t="str">
        <f>Raw_Claims_Data!A1189</f>
        <v>TXN00001186</v>
      </c>
      <c r="B1190" t="str">
        <f>TRIM(Raw_Claims_Data!B1189)</f>
        <v>Terry Flies</v>
      </c>
      <c r="C1190" t="str">
        <f>Raw_Claims_Data!C1189</f>
        <v>Motor</v>
      </c>
      <c r="D1190">
        <f>Raw_Claims_Data!D1189</f>
        <v>124.12</v>
      </c>
      <c r="E1190">
        <f>Raw_Claims_Data!E1189</f>
        <v>5000</v>
      </c>
      <c r="F1190" t="str">
        <f>Raw_Claims_Data!F1189</f>
        <v>FL</v>
      </c>
      <c r="G1190" t="str">
        <f>Raw_Claims_Data!G1189</f>
        <v>A</v>
      </c>
      <c r="H1190" t="str">
        <f>Raw_Claims_Data!H1189</f>
        <v>Major Loss</v>
      </c>
      <c r="I1190" t="str">
        <f>IF(Raw_Claims_Data!I1189="","None",Raw_Claims_Data!I1189)</f>
        <v>None</v>
      </c>
      <c r="J1190" t="str">
        <f>Raw_Claims_Data!J1189</f>
        <v>Baltimore</v>
      </c>
      <c r="K1190" t="str">
        <f>Raw_Claims_Data!K1189</f>
        <v>MD</v>
      </c>
      <c r="L1190">
        <f>Raw_Claims_Data!L1189</f>
        <v>19</v>
      </c>
      <c r="M1190" t="str">
        <f>IF(Raw_Claims_Data!M1189="","N/A",Raw_Claims_Data!M1189)</f>
        <v>N/A</v>
      </c>
      <c r="N1190" t="str">
        <f>Raw_Claims_Data!N1189</f>
        <v>AGENT00556</v>
      </c>
      <c r="O1190">
        <f>IF(Raw_Claims_Data!G1189="D",1,0)</f>
        <v>0</v>
      </c>
    </row>
    <row r="1191" spans="1:15" x14ac:dyDescent="0.35">
      <c r="A1191" t="str">
        <f>Raw_Claims_Data!A1190</f>
        <v>TXN00001187</v>
      </c>
      <c r="B1191" t="str">
        <f>TRIM(Raw_Claims_Data!B1190)</f>
        <v>Eugene Ditzel</v>
      </c>
      <c r="C1191" t="str">
        <f>Raw_Claims_Data!C1190</f>
        <v>Life</v>
      </c>
      <c r="D1191">
        <f>Raw_Claims_Data!D1190</f>
        <v>65.62</v>
      </c>
      <c r="E1191">
        <f>Raw_Claims_Data!E1190</f>
        <v>35000</v>
      </c>
      <c r="F1191" t="str">
        <f>Raw_Claims_Data!F1190</f>
        <v>AZ</v>
      </c>
      <c r="G1191" t="str">
        <f>Raw_Claims_Data!G1190</f>
        <v>A</v>
      </c>
      <c r="H1191" t="str">
        <f>Raw_Claims_Data!H1190</f>
        <v>Major Loss</v>
      </c>
      <c r="I1191" t="str">
        <f>IF(Raw_Claims_Data!I1190="","None",Raw_Claims_Data!I1190)</f>
        <v>Other</v>
      </c>
      <c r="J1191" t="str">
        <f>Raw_Claims_Data!J1190</f>
        <v>Glen Burnie</v>
      </c>
      <c r="K1191" t="str">
        <f>Raw_Claims_Data!K1190</f>
        <v>MD</v>
      </c>
      <c r="L1191">
        <f>Raw_Claims_Data!L1190</f>
        <v>13</v>
      </c>
      <c r="M1191" t="str">
        <f>IF(Raw_Claims_Data!M1190="","N/A",Raw_Claims_Data!M1190)</f>
        <v>VNDR00518</v>
      </c>
      <c r="N1191" t="str">
        <f>Raw_Claims_Data!N1190</f>
        <v>AGENT00217</v>
      </c>
      <c r="O1191">
        <f>IF(Raw_Claims_Data!G1190="D",1,0)</f>
        <v>0</v>
      </c>
    </row>
    <row r="1192" spans="1:15" x14ac:dyDescent="0.35">
      <c r="A1192" t="str">
        <f>Raw_Claims_Data!A1191</f>
        <v>TXN00001188</v>
      </c>
      <c r="B1192" t="str">
        <f>TRIM(Raw_Claims_Data!B1191)</f>
        <v>Doris Harrison</v>
      </c>
      <c r="C1192" t="str">
        <f>Raw_Claims_Data!C1191</f>
        <v>Property</v>
      </c>
      <c r="D1192">
        <f>Raw_Claims_Data!D1191</f>
        <v>136.66999999999999</v>
      </c>
      <c r="E1192">
        <f>Raw_Claims_Data!E1191</f>
        <v>22000</v>
      </c>
      <c r="F1192" t="str">
        <f>Raw_Claims_Data!F1191</f>
        <v>GA</v>
      </c>
      <c r="G1192" t="str">
        <f>Raw_Claims_Data!G1191</f>
        <v>D</v>
      </c>
      <c r="H1192" t="str">
        <f>Raw_Claims_Data!H1191</f>
        <v>Major Loss</v>
      </c>
      <c r="I1192" t="str">
        <f>IF(Raw_Claims_Data!I1191="","None",Raw_Claims_Data!I1191)</f>
        <v>Ambulance</v>
      </c>
      <c r="J1192" t="str">
        <f>Raw_Claims_Data!J1191</f>
        <v>Deale</v>
      </c>
      <c r="K1192" t="str">
        <f>Raw_Claims_Data!K1191</f>
        <v>MD</v>
      </c>
      <c r="L1192">
        <f>Raw_Claims_Data!L1191</f>
        <v>9</v>
      </c>
      <c r="M1192" t="str">
        <f>IF(Raw_Claims_Data!M1191="","N/A",Raw_Claims_Data!M1191)</f>
        <v>VNDR00125</v>
      </c>
      <c r="N1192" t="str">
        <f>Raw_Claims_Data!N1191</f>
        <v>AGENT00495</v>
      </c>
      <c r="O1192">
        <f>IF(Raw_Claims_Data!G1191="D",1,0)</f>
        <v>1</v>
      </c>
    </row>
    <row r="1193" spans="1:15" x14ac:dyDescent="0.35">
      <c r="A1193" t="str">
        <f>Raw_Claims_Data!A1192</f>
        <v>TXN00001189</v>
      </c>
      <c r="B1193" t="str">
        <f>TRIM(Raw_Claims_Data!B1192)</f>
        <v>Dan Martin</v>
      </c>
      <c r="C1193" t="str">
        <f>Raw_Claims_Data!C1192</f>
        <v>Motor</v>
      </c>
      <c r="D1193">
        <f>Raw_Claims_Data!D1192</f>
        <v>134.02000000000001</v>
      </c>
      <c r="E1193">
        <f>Raw_Claims_Data!E1192</f>
        <v>8000</v>
      </c>
      <c r="F1193" t="str">
        <f>Raw_Claims_Data!F1192</f>
        <v>AK</v>
      </c>
      <c r="G1193" t="str">
        <f>Raw_Claims_Data!G1192</f>
        <v>A</v>
      </c>
      <c r="H1193" t="str">
        <f>Raw_Claims_Data!H1192</f>
        <v>Minor Loss</v>
      </c>
      <c r="I1193" t="str">
        <f>IF(Raw_Claims_Data!I1192="","None",Raw_Claims_Data!I1192)</f>
        <v>Ambulance</v>
      </c>
      <c r="J1193" t="str">
        <f>Raw_Claims_Data!J1192</f>
        <v>Salem</v>
      </c>
      <c r="K1193" t="str">
        <f>Raw_Claims_Data!K1192</f>
        <v>MA</v>
      </c>
      <c r="L1193">
        <f>Raw_Claims_Data!L1192</f>
        <v>8</v>
      </c>
      <c r="M1193" t="str">
        <f>IF(Raw_Claims_Data!M1192="","N/A",Raw_Claims_Data!M1192)</f>
        <v>VNDR00112</v>
      </c>
      <c r="N1193" t="str">
        <f>Raw_Claims_Data!N1192</f>
        <v>AGENT00888</v>
      </c>
      <c r="O1193">
        <f>IF(Raw_Claims_Data!G1192="D",1,0)</f>
        <v>0</v>
      </c>
    </row>
    <row r="1194" spans="1:15" x14ac:dyDescent="0.35">
      <c r="A1194" t="str">
        <f>Raw_Claims_Data!A1193</f>
        <v>TXN00001190</v>
      </c>
      <c r="B1194" t="str">
        <f>TRIM(Raw_Claims_Data!B1193)</f>
        <v>Paul Roper</v>
      </c>
      <c r="C1194" t="str">
        <f>Raw_Claims_Data!C1193</f>
        <v>Motor</v>
      </c>
      <c r="D1194">
        <f>Raw_Claims_Data!D1193</f>
        <v>107.65</v>
      </c>
      <c r="E1194">
        <f>Raw_Claims_Data!E1193</f>
        <v>6000</v>
      </c>
      <c r="F1194" t="str">
        <f>Raw_Claims_Data!F1193</f>
        <v>MA</v>
      </c>
      <c r="G1194" t="str">
        <f>Raw_Claims_Data!G1193</f>
        <v>A</v>
      </c>
      <c r="H1194" t="str">
        <f>Raw_Claims_Data!H1193</f>
        <v>Minor Loss</v>
      </c>
      <c r="I1194" t="str">
        <f>IF(Raw_Claims_Data!I1193="","None",Raw_Claims_Data!I1193)</f>
        <v>Other</v>
      </c>
      <c r="J1194" t="str">
        <f>Raw_Claims_Data!J1193</f>
        <v>Marblehead</v>
      </c>
      <c r="K1194" t="str">
        <f>Raw_Claims_Data!K1193</f>
        <v>MA</v>
      </c>
      <c r="L1194">
        <f>Raw_Claims_Data!L1193</f>
        <v>4</v>
      </c>
      <c r="M1194" t="str">
        <f>IF(Raw_Claims_Data!M1193="","N/A",Raw_Claims_Data!M1193)</f>
        <v>N/A</v>
      </c>
      <c r="N1194" t="str">
        <f>Raw_Claims_Data!N1193</f>
        <v>AGENT00581</v>
      </c>
      <c r="O1194">
        <f>IF(Raw_Claims_Data!G1193="D",1,0)</f>
        <v>0</v>
      </c>
    </row>
    <row r="1195" spans="1:15" x14ac:dyDescent="0.35">
      <c r="A1195" t="str">
        <f>Raw_Claims_Data!A1194</f>
        <v>TXN00001191</v>
      </c>
      <c r="B1195" t="str">
        <f>TRIM(Raw_Claims_Data!B1194)</f>
        <v>Leslie Reynolds</v>
      </c>
      <c r="C1195" t="str">
        <f>Raw_Claims_Data!C1194</f>
        <v>Travel</v>
      </c>
      <c r="D1195">
        <f>Raw_Claims_Data!D1194</f>
        <v>79.84</v>
      </c>
      <c r="E1195">
        <f>Raw_Claims_Data!E1194</f>
        <v>1000</v>
      </c>
      <c r="F1195" t="str">
        <f>Raw_Claims_Data!F1194</f>
        <v>AR</v>
      </c>
      <c r="G1195" t="str">
        <f>Raw_Claims_Data!G1194</f>
        <v>D</v>
      </c>
      <c r="H1195" t="str">
        <f>Raw_Claims_Data!H1194</f>
        <v>Major Loss</v>
      </c>
      <c r="I1195" t="str">
        <f>IF(Raw_Claims_Data!I1194="","None",Raw_Claims_Data!I1194)</f>
        <v>Ambulance</v>
      </c>
      <c r="J1195" t="str">
        <f>Raw_Claims_Data!J1194</f>
        <v>Washington</v>
      </c>
      <c r="K1195" t="str">
        <f>Raw_Claims_Data!K1194</f>
        <v>DC</v>
      </c>
      <c r="L1195">
        <f>Raw_Claims_Data!L1194</f>
        <v>17</v>
      </c>
      <c r="M1195" t="str">
        <f>IF(Raw_Claims_Data!M1194="","N/A",Raw_Claims_Data!M1194)</f>
        <v>N/A</v>
      </c>
      <c r="N1195" t="str">
        <f>Raw_Claims_Data!N1194</f>
        <v>AGENT01191</v>
      </c>
      <c r="O1195">
        <f>IF(Raw_Claims_Data!G1194="D",1,0)</f>
        <v>1</v>
      </c>
    </row>
    <row r="1196" spans="1:15" x14ac:dyDescent="0.35">
      <c r="A1196" t="str">
        <f>Raw_Claims_Data!A1195</f>
        <v>TXN00001192</v>
      </c>
      <c r="B1196" t="str">
        <f>TRIM(Raw_Claims_Data!B1195)</f>
        <v>Danielle Saeteun</v>
      </c>
      <c r="C1196" t="str">
        <f>Raw_Claims_Data!C1195</f>
        <v>Health</v>
      </c>
      <c r="D1196">
        <f>Raw_Claims_Data!D1195</f>
        <v>175.16</v>
      </c>
      <c r="E1196">
        <f>Raw_Claims_Data!E1195</f>
        <v>18000</v>
      </c>
      <c r="F1196" t="str">
        <f>Raw_Claims_Data!F1195</f>
        <v>TN</v>
      </c>
      <c r="G1196" t="str">
        <f>Raw_Claims_Data!G1195</f>
        <v>A</v>
      </c>
      <c r="H1196" t="str">
        <f>Raw_Claims_Data!H1195</f>
        <v>Minor Loss</v>
      </c>
      <c r="I1196" t="str">
        <f>IF(Raw_Claims_Data!I1195="","None",Raw_Claims_Data!I1195)</f>
        <v>None</v>
      </c>
      <c r="J1196" t="str">
        <f>Raw_Claims_Data!J1195</f>
        <v>Fayetteville</v>
      </c>
      <c r="K1196" t="str">
        <f>Raw_Claims_Data!K1195</f>
        <v>AR</v>
      </c>
      <c r="L1196">
        <f>Raw_Claims_Data!L1195</f>
        <v>1</v>
      </c>
      <c r="M1196" t="str">
        <f>IF(Raw_Claims_Data!M1195="","N/A",Raw_Claims_Data!M1195)</f>
        <v>N/A</v>
      </c>
      <c r="N1196" t="str">
        <f>Raw_Claims_Data!N1195</f>
        <v>AGENT00318</v>
      </c>
      <c r="O1196">
        <f>IF(Raw_Claims_Data!G1195="D",1,0)</f>
        <v>0</v>
      </c>
    </row>
    <row r="1197" spans="1:15" x14ac:dyDescent="0.35">
      <c r="A1197" t="str">
        <f>Raw_Claims_Data!A1196</f>
        <v>TXN00001193</v>
      </c>
      <c r="B1197" t="str">
        <f>TRIM(Raw_Claims_Data!B1196)</f>
        <v>Loren Mulder</v>
      </c>
      <c r="C1197" t="str">
        <f>Raw_Claims_Data!C1196</f>
        <v>Property</v>
      </c>
      <c r="D1197">
        <f>Raw_Claims_Data!D1196</f>
        <v>130.6</v>
      </c>
      <c r="E1197">
        <f>Raw_Claims_Data!E1196</f>
        <v>36000</v>
      </c>
      <c r="F1197" t="str">
        <f>Raw_Claims_Data!F1196</f>
        <v>FL</v>
      </c>
      <c r="G1197" t="str">
        <f>Raw_Claims_Data!G1196</f>
        <v>A</v>
      </c>
      <c r="H1197" t="str">
        <f>Raw_Claims_Data!H1196</f>
        <v>Major Loss</v>
      </c>
      <c r="I1197" t="str">
        <f>IF(Raw_Claims_Data!I1196="","None",Raw_Claims_Data!I1196)</f>
        <v>Police</v>
      </c>
      <c r="J1197" t="str">
        <f>Raw_Claims_Data!J1196</f>
        <v>Panama City</v>
      </c>
      <c r="K1197" t="str">
        <f>Raw_Claims_Data!K1196</f>
        <v>FL</v>
      </c>
      <c r="L1197">
        <f>Raw_Claims_Data!L1196</f>
        <v>21</v>
      </c>
      <c r="M1197" t="str">
        <f>IF(Raw_Claims_Data!M1196="","N/A",Raw_Claims_Data!M1196)</f>
        <v>VNDR00144</v>
      </c>
      <c r="N1197" t="str">
        <f>Raw_Claims_Data!N1196</f>
        <v>AGENT00241</v>
      </c>
      <c r="O1197">
        <f>IF(Raw_Claims_Data!G1196="D",1,0)</f>
        <v>0</v>
      </c>
    </row>
    <row r="1198" spans="1:15" x14ac:dyDescent="0.35">
      <c r="A1198" t="str">
        <f>Raw_Claims_Data!A1197</f>
        <v>TXN00001194</v>
      </c>
      <c r="B1198" t="str">
        <f>TRIM(Raw_Claims_Data!B1197)</f>
        <v>Johnny Golden</v>
      </c>
      <c r="C1198" t="str">
        <f>Raw_Claims_Data!C1197</f>
        <v>Life</v>
      </c>
      <c r="D1198">
        <f>Raw_Claims_Data!D1197</f>
        <v>92.79</v>
      </c>
      <c r="E1198">
        <f>Raw_Claims_Data!E1197</f>
        <v>54000</v>
      </c>
      <c r="F1198" t="str">
        <f>Raw_Claims_Data!F1197</f>
        <v>CO</v>
      </c>
      <c r="G1198" t="str">
        <f>Raw_Claims_Data!G1197</f>
        <v>A</v>
      </c>
      <c r="H1198" t="str">
        <f>Raw_Claims_Data!H1197</f>
        <v>Total Loss</v>
      </c>
      <c r="I1198" t="str">
        <f>IF(Raw_Claims_Data!I1197="","None",Raw_Claims_Data!I1197)</f>
        <v>Ambulance</v>
      </c>
      <c r="J1198" t="str">
        <f>Raw_Claims_Data!J1197</f>
        <v>Panama City Beach</v>
      </c>
      <c r="K1198" t="str">
        <f>Raw_Claims_Data!K1197</f>
        <v>FL</v>
      </c>
      <c r="L1198">
        <f>Raw_Claims_Data!L1197</f>
        <v>3</v>
      </c>
      <c r="M1198" t="str">
        <f>IF(Raw_Claims_Data!M1197="","N/A",Raw_Claims_Data!M1197)</f>
        <v>N/A</v>
      </c>
      <c r="N1198" t="str">
        <f>Raw_Claims_Data!N1197</f>
        <v>AGENT00684</v>
      </c>
      <c r="O1198">
        <f>IF(Raw_Claims_Data!G1197="D",1,0)</f>
        <v>0</v>
      </c>
    </row>
    <row r="1199" spans="1:15" x14ac:dyDescent="0.35">
      <c r="A1199" t="str">
        <f>Raw_Claims_Data!A1198</f>
        <v>TXN00001195</v>
      </c>
      <c r="B1199" t="str">
        <f>TRIM(Raw_Claims_Data!B1198)</f>
        <v>Randy Jones</v>
      </c>
      <c r="C1199" t="str">
        <f>Raw_Claims_Data!C1198</f>
        <v>Motor</v>
      </c>
      <c r="D1199">
        <f>Raw_Claims_Data!D1198</f>
        <v>87.5</v>
      </c>
      <c r="E1199">
        <f>Raw_Claims_Data!E1198</f>
        <v>9000</v>
      </c>
      <c r="F1199" t="str">
        <f>Raw_Claims_Data!F1198</f>
        <v>CA</v>
      </c>
      <c r="G1199" t="str">
        <f>Raw_Claims_Data!G1198</f>
        <v>A</v>
      </c>
      <c r="H1199" t="str">
        <f>Raw_Claims_Data!H1198</f>
        <v>Major Loss</v>
      </c>
      <c r="I1199" t="str">
        <f>IF(Raw_Claims_Data!I1198="","None",Raw_Claims_Data!I1198)</f>
        <v>None</v>
      </c>
      <c r="J1199" t="str">
        <f>Raw_Claims_Data!J1198</f>
        <v>Groton</v>
      </c>
      <c r="K1199" t="str">
        <f>Raw_Claims_Data!K1198</f>
        <v>CT</v>
      </c>
      <c r="L1199">
        <f>Raw_Claims_Data!L1198</f>
        <v>18</v>
      </c>
      <c r="M1199" t="str">
        <f>IF(Raw_Claims_Data!M1198="","N/A",Raw_Claims_Data!M1198)</f>
        <v>VNDR00311</v>
      </c>
      <c r="N1199" t="str">
        <f>Raw_Claims_Data!N1198</f>
        <v>AGENT00062</v>
      </c>
      <c r="O1199">
        <f>IF(Raw_Claims_Data!G1198="D",1,0)</f>
        <v>0</v>
      </c>
    </row>
    <row r="1200" spans="1:15" x14ac:dyDescent="0.35">
      <c r="A1200" t="str">
        <f>Raw_Claims_Data!A1199</f>
        <v>TXN00001196</v>
      </c>
      <c r="B1200" t="str">
        <f>TRIM(Raw_Claims_Data!B1199)</f>
        <v>Lillian Mcneil</v>
      </c>
      <c r="C1200" t="str">
        <f>Raw_Claims_Data!C1199</f>
        <v>Motor</v>
      </c>
      <c r="D1200">
        <f>Raw_Claims_Data!D1199</f>
        <v>99.2</v>
      </c>
      <c r="E1200">
        <f>Raw_Claims_Data!E1199</f>
        <v>8000</v>
      </c>
      <c r="F1200" t="str">
        <f>Raw_Claims_Data!F1199</f>
        <v>TN</v>
      </c>
      <c r="G1200" t="str">
        <f>Raw_Claims_Data!G1199</f>
        <v>A</v>
      </c>
      <c r="H1200" t="str">
        <f>Raw_Claims_Data!H1199</f>
        <v>Major Loss</v>
      </c>
      <c r="I1200" t="str">
        <f>IF(Raw_Claims_Data!I1199="","None",Raw_Claims_Data!I1199)</f>
        <v>None</v>
      </c>
      <c r="J1200" t="str">
        <f>Raw_Claims_Data!J1199</f>
        <v>Savannah</v>
      </c>
      <c r="K1200" t="str">
        <f>Raw_Claims_Data!K1199</f>
        <v>GA</v>
      </c>
      <c r="L1200">
        <f>Raw_Claims_Data!L1199</f>
        <v>18</v>
      </c>
      <c r="M1200" t="str">
        <f>IF(Raw_Claims_Data!M1199="","N/A",Raw_Claims_Data!M1199)</f>
        <v>N/A</v>
      </c>
      <c r="N1200" t="str">
        <f>Raw_Claims_Data!N1199</f>
        <v>AGENT00614</v>
      </c>
      <c r="O1200">
        <f>IF(Raw_Claims_Data!G1199="D",1,0)</f>
        <v>0</v>
      </c>
    </row>
    <row r="1201" spans="1:15" x14ac:dyDescent="0.35">
      <c r="A1201" t="str">
        <f>Raw_Claims_Data!A1200</f>
        <v>TXN00001197</v>
      </c>
      <c r="B1201" t="str">
        <f>TRIM(Raw_Claims_Data!B1200)</f>
        <v>Dallas Macnab</v>
      </c>
      <c r="C1201" t="str">
        <f>Raw_Claims_Data!C1200</f>
        <v>Travel</v>
      </c>
      <c r="D1201">
        <f>Raw_Claims_Data!D1200</f>
        <v>92.98</v>
      </c>
      <c r="E1201">
        <f>Raw_Claims_Data!E1200</f>
        <v>1000</v>
      </c>
      <c r="F1201" t="str">
        <f>Raw_Claims_Data!F1200</f>
        <v>AZ</v>
      </c>
      <c r="G1201" t="str">
        <f>Raw_Claims_Data!G1200</f>
        <v>A</v>
      </c>
      <c r="H1201" t="str">
        <f>Raw_Claims_Data!H1200</f>
        <v>Minor Loss</v>
      </c>
      <c r="I1201" t="str">
        <f>IF(Raw_Claims_Data!I1200="","None",Raw_Claims_Data!I1200)</f>
        <v>None</v>
      </c>
      <c r="J1201" t="str">
        <f>Raw_Claims_Data!J1200</f>
        <v>Washington</v>
      </c>
      <c r="K1201" t="str">
        <f>Raw_Claims_Data!K1200</f>
        <v>DC</v>
      </c>
      <c r="L1201">
        <f>Raw_Claims_Data!L1200</f>
        <v>13</v>
      </c>
      <c r="M1201" t="str">
        <f>IF(Raw_Claims_Data!M1200="","N/A",Raw_Claims_Data!M1200)</f>
        <v>VNDR00597</v>
      </c>
      <c r="N1201" t="str">
        <f>Raw_Claims_Data!N1200</f>
        <v>AGENT00207</v>
      </c>
      <c r="O1201">
        <f>IF(Raw_Claims_Data!G1200="D",1,0)</f>
        <v>0</v>
      </c>
    </row>
    <row r="1202" spans="1:15" x14ac:dyDescent="0.35">
      <c r="A1202" t="str">
        <f>Raw_Claims_Data!A1201</f>
        <v>TXN00001198</v>
      </c>
      <c r="B1202" t="str">
        <f>TRIM(Raw_Claims_Data!B1201)</f>
        <v>Lydia Cordes</v>
      </c>
      <c r="C1202" t="str">
        <f>Raw_Claims_Data!C1201</f>
        <v>Property</v>
      </c>
      <c r="D1202">
        <f>Raw_Claims_Data!D1201</f>
        <v>124.11</v>
      </c>
      <c r="E1202">
        <f>Raw_Claims_Data!E1201</f>
        <v>13000</v>
      </c>
      <c r="F1202" t="str">
        <f>Raw_Claims_Data!F1201</f>
        <v>AZ</v>
      </c>
      <c r="G1202" t="str">
        <f>Raw_Claims_Data!G1201</f>
        <v>A</v>
      </c>
      <c r="H1202" t="str">
        <f>Raw_Claims_Data!H1201</f>
        <v>Total Loss</v>
      </c>
      <c r="I1202" t="str">
        <f>IF(Raw_Claims_Data!I1201="","None",Raw_Claims_Data!I1201)</f>
        <v>Police</v>
      </c>
      <c r="J1202" t="str">
        <f>Raw_Claims_Data!J1201</f>
        <v>Montevallo</v>
      </c>
      <c r="K1202" t="str">
        <f>Raw_Claims_Data!K1201</f>
        <v>AL</v>
      </c>
      <c r="L1202">
        <f>Raw_Claims_Data!L1201</f>
        <v>17</v>
      </c>
      <c r="M1202" t="str">
        <f>IF(Raw_Claims_Data!M1201="","N/A",Raw_Claims_Data!M1201)</f>
        <v>N/A</v>
      </c>
      <c r="N1202" t="str">
        <f>Raw_Claims_Data!N1201</f>
        <v>AGENT00874</v>
      </c>
      <c r="O1202">
        <f>IF(Raw_Claims_Data!G1201="D",1,0)</f>
        <v>0</v>
      </c>
    </row>
    <row r="1203" spans="1:15" x14ac:dyDescent="0.35">
      <c r="A1203" t="str">
        <f>Raw_Claims_Data!A1202</f>
        <v>TXN00001199</v>
      </c>
      <c r="B1203" t="str">
        <f>TRIM(Raw_Claims_Data!B1202)</f>
        <v>Kathleen Medders</v>
      </c>
      <c r="C1203" t="str">
        <f>Raw_Claims_Data!C1202</f>
        <v>Health</v>
      </c>
      <c r="D1203">
        <f>Raw_Claims_Data!D1202</f>
        <v>153.56</v>
      </c>
      <c r="E1203">
        <f>Raw_Claims_Data!E1202</f>
        <v>12000</v>
      </c>
      <c r="F1203" t="str">
        <f>Raw_Claims_Data!F1202</f>
        <v>AR</v>
      </c>
      <c r="G1203" t="str">
        <f>Raw_Claims_Data!G1202</f>
        <v>A</v>
      </c>
      <c r="H1203" t="str">
        <f>Raw_Claims_Data!H1202</f>
        <v>Minor Loss</v>
      </c>
      <c r="I1203" t="str">
        <f>IF(Raw_Claims_Data!I1202="","None",Raw_Claims_Data!I1202)</f>
        <v>Police</v>
      </c>
      <c r="J1203" t="str">
        <f>Raw_Claims_Data!J1202</f>
        <v>Wilmington</v>
      </c>
      <c r="K1203" t="str">
        <f>Raw_Claims_Data!K1202</f>
        <v>VT</v>
      </c>
      <c r="L1203">
        <f>Raw_Claims_Data!L1202</f>
        <v>2</v>
      </c>
      <c r="M1203" t="str">
        <f>IF(Raw_Claims_Data!M1202="","N/A",Raw_Claims_Data!M1202)</f>
        <v>N/A</v>
      </c>
      <c r="N1203" t="str">
        <f>Raw_Claims_Data!N1202</f>
        <v>AGENT00339</v>
      </c>
      <c r="O1203">
        <f>IF(Raw_Claims_Data!G1202="D",1,0)</f>
        <v>0</v>
      </c>
    </row>
    <row r="1204" spans="1:15" x14ac:dyDescent="0.35">
      <c r="A1204" t="str">
        <f>Raw_Claims_Data!A1203</f>
        <v>TXN00001200</v>
      </c>
      <c r="B1204" t="str">
        <f>TRIM(Raw_Claims_Data!B1203)</f>
        <v>Julie Hoover</v>
      </c>
      <c r="C1204" t="str">
        <f>Raw_Claims_Data!C1203</f>
        <v>Mobile</v>
      </c>
      <c r="D1204">
        <f>Raw_Claims_Data!D1203</f>
        <v>6.16</v>
      </c>
      <c r="E1204">
        <f>Raw_Claims_Data!E1203</f>
        <v>200</v>
      </c>
      <c r="F1204" t="str">
        <f>Raw_Claims_Data!F1203</f>
        <v>MD</v>
      </c>
      <c r="G1204" t="str">
        <f>Raw_Claims_Data!G1203</f>
        <v>A</v>
      </c>
      <c r="H1204" t="str">
        <f>Raw_Claims_Data!H1203</f>
        <v>Major Loss</v>
      </c>
      <c r="I1204" t="str">
        <f>IF(Raw_Claims_Data!I1203="","None",Raw_Claims_Data!I1203)</f>
        <v>Ambulance</v>
      </c>
      <c r="J1204" t="str">
        <f>Raw_Claims_Data!J1203</f>
        <v>Brookfield</v>
      </c>
      <c r="K1204" t="str">
        <f>Raw_Claims_Data!K1203</f>
        <v>VT</v>
      </c>
      <c r="L1204">
        <f>Raw_Claims_Data!L1203</f>
        <v>1</v>
      </c>
      <c r="M1204" t="str">
        <f>IF(Raw_Claims_Data!M1203="","N/A",Raw_Claims_Data!M1203)</f>
        <v>VNDR00330</v>
      </c>
      <c r="N1204" t="str">
        <f>Raw_Claims_Data!N1203</f>
        <v>AGENT00991</v>
      </c>
      <c r="O1204">
        <f>IF(Raw_Claims_Data!G1203="D",1,0)</f>
        <v>0</v>
      </c>
    </row>
    <row r="1205" spans="1:15" x14ac:dyDescent="0.35">
      <c r="A1205" t="str">
        <f>Raw_Claims_Data!A1204</f>
        <v>TXN00001201</v>
      </c>
      <c r="B1205" t="str">
        <f>TRIM(Raw_Claims_Data!B1204)</f>
        <v>Ron Haycook</v>
      </c>
      <c r="C1205" t="str">
        <f>Raw_Claims_Data!C1204</f>
        <v>Property</v>
      </c>
      <c r="D1205">
        <f>Raw_Claims_Data!D1204</f>
        <v>85.97</v>
      </c>
      <c r="E1205">
        <f>Raw_Claims_Data!E1204</f>
        <v>21000</v>
      </c>
      <c r="F1205" t="str">
        <f>Raw_Claims_Data!F1204</f>
        <v>VT</v>
      </c>
      <c r="G1205" t="str">
        <f>Raw_Claims_Data!G1204</f>
        <v>A</v>
      </c>
      <c r="H1205" t="str">
        <f>Raw_Claims_Data!H1204</f>
        <v>Total Loss</v>
      </c>
      <c r="I1205" t="str">
        <f>IF(Raw_Claims_Data!I1204="","None",Raw_Claims_Data!I1204)</f>
        <v>Ambulance</v>
      </c>
      <c r="J1205" t="str">
        <f>Raw_Claims_Data!J1204</f>
        <v>Oklahoma City</v>
      </c>
      <c r="K1205" t="str">
        <f>Raw_Claims_Data!K1204</f>
        <v>OK</v>
      </c>
      <c r="L1205">
        <f>Raw_Claims_Data!L1204</f>
        <v>12</v>
      </c>
      <c r="M1205" t="str">
        <f>IF(Raw_Claims_Data!M1204="","N/A",Raw_Claims_Data!M1204)</f>
        <v>VNDR00090</v>
      </c>
      <c r="N1205" t="str">
        <f>Raw_Claims_Data!N1204</f>
        <v>AGENT00751</v>
      </c>
      <c r="O1205">
        <f>IF(Raw_Claims_Data!G1204="D",1,0)</f>
        <v>0</v>
      </c>
    </row>
    <row r="1206" spans="1:15" x14ac:dyDescent="0.35">
      <c r="A1206" t="str">
        <f>Raw_Claims_Data!A1205</f>
        <v>TXN00001202</v>
      </c>
      <c r="B1206" t="str">
        <f>TRIM(Raw_Claims_Data!B1205)</f>
        <v>Brenda Norman</v>
      </c>
      <c r="C1206" t="str">
        <f>Raw_Claims_Data!C1205</f>
        <v>Life</v>
      </c>
      <c r="D1206">
        <f>Raw_Claims_Data!D1205</f>
        <v>83.33</v>
      </c>
      <c r="E1206">
        <f>Raw_Claims_Data!E1205</f>
        <v>57000</v>
      </c>
      <c r="F1206" t="str">
        <f>Raw_Claims_Data!F1205</f>
        <v>KY</v>
      </c>
      <c r="G1206" t="str">
        <f>Raw_Claims_Data!G1205</f>
        <v>A</v>
      </c>
      <c r="H1206" t="str">
        <f>Raw_Claims_Data!H1205</f>
        <v>Major Loss</v>
      </c>
      <c r="I1206" t="str">
        <f>IF(Raw_Claims_Data!I1205="","None",Raw_Claims_Data!I1205)</f>
        <v>Ambulance</v>
      </c>
      <c r="J1206" t="str">
        <f>Raw_Claims_Data!J1205</f>
        <v>Montgomery</v>
      </c>
      <c r="K1206" t="str">
        <f>Raw_Claims_Data!K1205</f>
        <v>AL</v>
      </c>
      <c r="L1206">
        <f>Raw_Claims_Data!L1205</f>
        <v>7</v>
      </c>
      <c r="M1206" t="str">
        <f>IF(Raw_Claims_Data!M1205="","N/A",Raw_Claims_Data!M1205)</f>
        <v>VNDR00433</v>
      </c>
      <c r="N1206" t="str">
        <f>Raw_Claims_Data!N1205</f>
        <v>AGENT00311</v>
      </c>
      <c r="O1206">
        <f>IF(Raw_Claims_Data!G1205="D",1,0)</f>
        <v>0</v>
      </c>
    </row>
    <row r="1207" spans="1:15" x14ac:dyDescent="0.35">
      <c r="A1207" t="str">
        <f>Raw_Claims_Data!A1206</f>
        <v>TXN00001203</v>
      </c>
      <c r="B1207" t="str">
        <f>TRIM(Raw_Claims_Data!B1206)</f>
        <v>Mary Stevenson</v>
      </c>
      <c r="C1207" t="str">
        <f>Raw_Claims_Data!C1206</f>
        <v>Property</v>
      </c>
      <c r="D1207">
        <f>Raw_Claims_Data!D1206</f>
        <v>103.98</v>
      </c>
      <c r="E1207">
        <f>Raw_Claims_Data!E1206</f>
        <v>39000</v>
      </c>
      <c r="F1207" t="str">
        <f>Raw_Claims_Data!F1206</f>
        <v>CO</v>
      </c>
      <c r="G1207" t="str">
        <f>Raw_Claims_Data!G1206</f>
        <v>A</v>
      </c>
      <c r="H1207" t="str">
        <f>Raw_Claims_Data!H1206</f>
        <v>Minor Loss</v>
      </c>
      <c r="I1207" t="str">
        <f>IF(Raw_Claims_Data!I1206="","None",Raw_Claims_Data!I1206)</f>
        <v>Police</v>
      </c>
      <c r="J1207" t="str">
        <f>Raw_Claims_Data!J1206</f>
        <v>Barre</v>
      </c>
      <c r="K1207" t="str">
        <f>Raw_Claims_Data!K1206</f>
        <v>VT</v>
      </c>
      <c r="L1207">
        <f>Raw_Claims_Data!L1206</f>
        <v>6</v>
      </c>
      <c r="M1207" t="str">
        <f>IF(Raw_Claims_Data!M1206="","N/A",Raw_Claims_Data!M1206)</f>
        <v>N/A</v>
      </c>
      <c r="N1207" t="str">
        <f>Raw_Claims_Data!N1206</f>
        <v>AGENT00616</v>
      </c>
      <c r="O1207">
        <f>IF(Raw_Claims_Data!G1206="D",1,0)</f>
        <v>0</v>
      </c>
    </row>
    <row r="1208" spans="1:15" x14ac:dyDescent="0.35">
      <c r="A1208" t="str">
        <f>Raw_Claims_Data!A1207</f>
        <v>TXN00001204</v>
      </c>
      <c r="B1208" t="str">
        <f>TRIM(Raw_Claims_Data!B1207)</f>
        <v>Heather Henderson</v>
      </c>
      <c r="C1208" t="str">
        <f>Raw_Claims_Data!C1207</f>
        <v>Mobile</v>
      </c>
      <c r="D1208">
        <f>Raw_Claims_Data!D1207</f>
        <v>11.64</v>
      </c>
      <c r="E1208">
        <f>Raw_Claims_Data!E1207</f>
        <v>700</v>
      </c>
      <c r="F1208" t="str">
        <f>Raw_Claims_Data!F1207</f>
        <v>OK</v>
      </c>
      <c r="G1208" t="str">
        <f>Raw_Claims_Data!G1207</f>
        <v>A</v>
      </c>
      <c r="H1208" t="str">
        <f>Raw_Claims_Data!H1207</f>
        <v>Major Loss</v>
      </c>
      <c r="I1208" t="str">
        <f>IF(Raw_Claims_Data!I1207="","None",Raw_Claims_Data!I1207)</f>
        <v>Ambulance</v>
      </c>
      <c r="J1208" t="str">
        <f>Raw_Claims_Data!J1207</f>
        <v>Savannah</v>
      </c>
      <c r="K1208" t="str">
        <f>Raw_Claims_Data!K1207</f>
        <v>GA</v>
      </c>
      <c r="L1208">
        <f>Raw_Claims_Data!L1207</f>
        <v>18</v>
      </c>
      <c r="M1208" t="str">
        <f>IF(Raw_Claims_Data!M1207="","N/A",Raw_Claims_Data!M1207)</f>
        <v>VNDR00498</v>
      </c>
      <c r="N1208" t="str">
        <f>Raw_Claims_Data!N1207</f>
        <v>AGENT00351</v>
      </c>
      <c r="O1208">
        <f>IF(Raw_Claims_Data!G1207="D",1,0)</f>
        <v>0</v>
      </c>
    </row>
    <row r="1209" spans="1:15" x14ac:dyDescent="0.35">
      <c r="A1209" t="str">
        <f>Raw_Claims_Data!A1208</f>
        <v>TXN00001205</v>
      </c>
      <c r="B1209" t="str">
        <f>TRIM(Raw_Claims_Data!B1208)</f>
        <v>Carolyn Krebbs</v>
      </c>
      <c r="C1209" t="str">
        <f>Raw_Claims_Data!C1208</f>
        <v>Motor</v>
      </c>
      <c r="D1209">
        <f>Raw_Claims_Data!D1208</f>
        <v>132.93</v>
      </c>
      <c r="E1209">
        <f>Raw_Claims_Data!E1208</f>
        <v>6000</v>
      </c>
      <c r="F1209" t="str">
        <f>Raw_Claims_Data!F1208</f>
        <v>AZ</v>
      </c>
      <c r="G1209" t="str">
        <f>Raw_Claims_Data!G1208</f>
        <v>A</v>
      </c>
      <c r="H1209" t="str">
        <f>Raw_Claims_Data!H1208</f>
        <v>Major Loss</v>
      </c>
      <c r="I1209" t="str">
        <f>IF(Raw_Claims_Data!I1208="","None",Raw_Claims_Data!I1208)</f>
        <v>Other</v>
      </c>
      <c r="J1209" t="str">
        <f>Raw_Claims_Data!J1208</f>
        <v>Nashville</v>
      </c>
      <c r="K1209" t="str">
        <f>Raw_Claims_Data!K1208</f>
        <v>TN</v>
      </c>
      <c r="L1209">
        <f>Raw_Claims_Data!L1208</f>
        <v>18</v>
      </c>
      <c r="M1209" t="str">
        <f>IF(Raw_Claims_Data!M1208="","N/A",Raw_Claims_Data!M1208)</f>
        <v>VNDR00462</v>
      </c>
      <c r="N1209" t="str">
        <f>Raw_Claims_Data!N1208</f>
        <v>AGENT00382</v>
      </c>
      <c r="O1209">
        <f>IF(Raw_Claims_Data!G1208="D",1,0)</f>
        <v>0</v>
      </c>
    </row>
    <row r="1210" spans="1:15" x14ac:dyDescent="0.35">
      <c r="A1210" t="str">
        <f>Raw_Claims_Data!A1209</f>
        <v>TXN00001206</v>
      </c>
      <c r="B1210" t="str">
        <f>TRIM(Raw_Claims_Data!B1209)</f>
        <v>Gail Mitchell</v>
      </c>
      <c r="C1210" t="str">
        <f>Raw_Claims_Data!C1209</f>
        <v>Life</v>
      </c>
      <c r="D1210">
        <f>Raw_Claims_Data!D1209</f>
        <v>56.85</v>
      </c>
      <c r="E1210">
        <f>Raw_Claims_Data!E1209</f>
        <v>14000</v>
      </c>
      <c r="F1210" t="str">
        <f>Raw_Claims_Data!F1209</f>
        <v>KY</v>
      </c>
      <c r="G1210" t="str">
        <f>Raw_Claims_Data!G1209</f>
        <v>A</v>
      </c>
      <c r="H1210" t="str">
        <f>Raw_Claims_Data!H1209</f>
        <v>Major Loss</v>
      </c>
      <c r="I1210" t="str">
        <f>IF(Raw_Claims_Data!I1209="","None",Raw_Claims_Data!I1209)</f>
        <v>None</v>
      </c>
      <c r="J1210" t="str">
        <f>Raw_Claims_Data!J1209</f>
        <v>Anchorage</v>
      </c>
      <c r="K1210" t="str">
        <f>Raw_Claims_Data!K1209</f>
        <v>AK</v>
      </c>
      <c r="L1210">
        <f>Raw_Claims_Data!L1209</f>
        <v>22</v>
      </c>
      <c r="M1210" t="str">
        <f>IF(Raw_Claims_Data!M1209="","N/A",Raw_Claims_Data!M1209)</f>
        <v>VNDR00029</v>
      </c>
      <c r="N1210" t="str">
        <f>Raw_Claims_Data!N1209</f>
        <v>AGENT01140</v>
      </c>
      <c r="O1210">
        <f>IF(Raw_Claims_Data!G1209="D",1,0)</f>
        <v>0</v>
      </c>
    </row>
    <row r="1211" spans="1:15" x14ac:dyDescent="0.35">
      <c r="A1211" t="str">
        <f>Raw_Claims_Data!A1210</f>
        <v>TXN00001207</v>
      </c>
      <c r="B1211" t="str">
        <f>TRIM(Raw_Claims_Data!B1210)</f>
        <v>Freddie Rebello</v>
      </c>
      <c r="C1211" t="str">
        <f>Raw_Claims_Data!C1210</f>
        <v>Mobile</v>
      </c>
      <c r="D1211">
        <f>Raw_Claims_Data!D1210</f>
        <v>6.56</v>
      </c>
      <c r="E1211">
        <f>Raw_Claims_Data!E1210</f>
        <v>300</v>
      </c>
      <c r="F1211" t="str">
        <f>Raw_Claims_Data!F1210</f>
        <v>DC</v>
      </c>
      <c r="G1211" t="str">
        <f>Raw_Claims_Data!G1210</f>
        <v>A</v>
      </c>
      <c r="H1211" t="str">
        <f>Raw_Claims_Data!H1210</f>
        <v>Total Loss</v>
      </c>
      <c r="I1211" t="str">
        <f>IF(Raw_Claims_Data!I1210="","None",Raw_Claims_Data!I1210)</f>
        <v>Police</v>
      </c>
      <c r="J1211" t="str">
        <f>Raw_Claims_Data!J1210</f>
        <v>Louisville</v>
      </c>
      <c r="K1211" t="str">
        <f>Raw_Claims_Data!K1210</f>
        <v>KY</v>
      </c>
      <c r="L1211">
        <f>Raw_Claims_Data!L1210</f>
        <v>12</v>
      </c>
      <c r="M1211" t="str">
        <f>IF(Raw_Claims_Data!M1210="","N/A",Raw_Claims_Data!M1210)</f>
        <v>N/A</v>
      </c>
      <c r="N1211" t="str">
        <f>Raw_Claims_Data!N1210</f>
        <v>AGENT01026</v>
      </c>
      <c r="O1211">
        <f>IF(Raw_Claims_Data!G1210="D",1,0)</f>
        <v>0</v>
      </c>
    </row>
    <row r="1212" spans="1:15" x14ac:dyDescent="0.35">
      <c r="A1212" t="str">
        <f>Raw_Claims_Data!A1211</f>
        <v>TXN00001208</v>
      </c>
      <c r="B1212" t="str">
        <f>TRIM(Raw_Claims_Data!B1211)</f>
        <v>Matthew Vosmus</v>
      </c>
      <c r="C1212" t="str">
        <f>Raw_Claims_Data!C1211</f>
        <v>Mobile</v>
      </c>
      <c r="D1212">
        <f>Raw_Claims_Data!D1211</f>
        <v>6.73</v>
      </c>
      <c r="E1212">
        <f>Raw_Claims_Data!E1211</f>
        <v>500</v>
      </c>
      <c r="F1212" t="str">
        <f>Raw_Claims_Data!F1211</f>
        <v>MD</v>
      </c>
      <c r="G1212" t="str">
        <f>Raw_Claims_Data!G1211</f>
        <v>A</v>
      </c>
      <c r="H1212" t="str">
        <f>Raw_Claims_Data!H1211</f>
        <v>Major Loss</v>
      </c>
      <c r="I1212" t="str">
        <f>IF(Raw_Claims_Data!I1211="","None",Raw_Claims_Data!I1211)</f>
        <v>Police</v>
      </c>
      <c r="J1212" t="str">
        <f>Raw_Claims_Data!J1211</f>
        <v>Fall River</v>
      </c>
      <c r="K1212" t="str">
        <f>Raw_Claims_Data!K1211</f>
        <v>MA</v>
      </c>
      <c r="L1212">
        <f>Raw_Claims_Data!L1211</f>
        <v>5</v>
      </c>
      <c r="M1212" t="str">
        <f>IF(Raw_Claims_Data!M1211="","N/A",Raw_Claims_Data!M1211)</f>
        <v>N/A</v>
      </c>
      <c r="N1212" t="str">
        <f>Raw_Claims_Data!N1211</f>
        <v>AGENT01109</v>
      </c>
      <c r="O1212">
        <f>IF(Raw_Claims_Data!G1211="D",1,0)</f>
        <v>0</v>
      </c>
    </row>
    <row r="1213" spans="1:15" x14ac:dyDescent="0.35">
      <c r="A1213" t="str">
        <f>Raw_Claims_Data!A1212</f>
        <v>TXN00001209</v>
      </c>
      <c r="B1213" t="str">
        <f>TRIM(Raw_Claims_Data!B1212)</f>
        <v>Paul Harris</v>
      </c>
      <c r="C1213" t="str">
        <f>Raw_Claims_Data!C1212</f>
        <v>Mobile</v>
      </c>
      <c r="D1213">
        <f>Raw_Claims_Data!D1212</f>
        <v>8.99</v>
      </c>
      <c r="E1213">
        <f>Raw_Claims_Data!E1212</f>
        <v>500</v>
      </c>
      <c r="F1213" t="str">
        <f>Raw_Claims_Data!F1212</f>
        <v>GA</v>
      </c>
      <c r="G1213" t="str">
        <f>Raw_Claims_Data!G1212</f>
        <v>A</v>
      </c>
      <c r="H1213" t="str">
        <f>Raw_Claims_Data!H1212</f>
        <v>Minor Loss</v>
      </c>
      <c r="I1213" t="str">
        <f>IF(Raw_Claims_Data!I1212="","None",Raw_Claims_Data!I1212)</f>
        <v>None</v>
      </c>
      <c r="J1213" t="str">
        <f>Raw_Claims_Data!J1212</f>
        <v>Conway</v>
      </c>
      <c r="K1213" t="str">
        <f>Raw_Claims_Data!K1212</f>
        <v>AR</v>
      </c>
      <c r="L1213">
        <f>Raw_Claims_Data!L1212</f>
        <v>13</v>
      </c>
      <c r="M1213" t="str">
        <f>IF(Raw_Claims_Data!M1212="","N/A",Raw_Claims_Data!M1212)</f>
        <v>VNDR00244</v>
      </c>
      <c r="N1213" t="str">
        <f>Raw_Claims_Data!N1212</f>
        <v>AGENT00297</v>
      </c>
      <c r="O1213">
        <f>IF(Raw_Claims_Data!G1212="D",1,0)</f>
        <v>0</v>
      </c>
    </row>
    <row r="1214" spans="1:15" x14ac:dyDescent="0.35">
      <c r="A1214" t="str">
        <f>Raw_Claims_Data!A1213</f>
        <v>TXN00001210</v>
      </c>
      <c r="B1214" t="str">
        <f>TRIM(Raw_Claims_Data!B1213)</f>
        <v>Jerry Stevens</v>
      </c>
      <c r="C1214" t="str">
        <f>Raw_Claims_Data!C1213</f>
        <v>Life</v>
      </c>
      <c r="D1214">
        <f>Raw_Claims_Data!D1213</f>
        <v>52.11</v>
      </c>
      <c r="E1214">
        <f>Raw_Claims_Data!E1213</f>
        <v>20000</v>
      </c>
      <c r="F1214" t="str">
        <f>Raw_Claims_Data!F1213</f>
        <v>CT</v>
      </c>
      <c r="G1214" t="str">
        <f>Raw_Claims_Data!G1213</f>
        <v>D</v>
      </c>
      <c r="H1214" t="str">
        <f>Raw_Claims_Data!H1213</f>
        <v>Major Loss</v>
      </c>
      <c r="I1214" t="str">
        <f>IF(Raw_Claims_Data!I1213="","None",Raw_Claims_Data!I1213)</f>
        <v>Ambulance</v>
      </c>
      <c r="J1214" t="str">
        <f>Raw_Claims_Data!J1213</f>
        <v>Southport</v>
      </c>
      <c r="K1214" t="str">
        <f>Raw_Claims_Data!K1213</f>
        <v>FL</v>
      </c>
      <c r="L1214">
        <f>Raw_Claims_Data!L1213</f>
        <v>12</v>
      </c>
      <c r="M1214" t="str">
        <f>IF(Raw_Claims_Data!M1213="","N/A",Raw_Claims_Data!M1213)</f>
        <v>N/A</v>
      </c>
      <c r="N1214" t="str">
        <f>Raw_Claims_Data!N1213</f>
        <v>AGENT00017</v>
      </c>
      <c r="O1214">
        <f>IF(Raw_Claims_Data!G1213="D",1,0)</f>
        <v>1</v>
      </c>
    </row>
    <row r="1215" spans="1:15" x14ac:dyDescent="0.35">
      <c r="A1215" t="str">
        <f>Raw_Claims_Data!A1214</f>
        <v>TXN00001211</v>
      </c>
      <c r="B1215" t="str">
        <f>TRIM(Raw_Claims_Data!B1214)</f>
        <v>Violet Montoya</v>
      </c>
      <c r="C1215" t="str">
        <f>Raw_Claims_Data!C1214</f>
        <v>Motor</v>
      </c>
      <c r="D1215">
        <f>Raw_Claims_Data!D1214</f>
        <v>135.74</v>
      </c>
      <c r="E1215">
        <f>Raw_Claims_Data!E1214</f>
        <v>3000</v>
      </c>
      <c r="F1215" t="str">
        <f>Raw_Claims_Data!F1214</f>
        <v>CO</v>
      </c>
      <c r="G1215" t="str">
        <f>Raw_Claims_Data!G1214</f>
        <v>A</v>
      </c>
      <c r="H1215" t="str">
        <f>Raw_Claims_Data!H1214</f>
        <v>Minor Loss</v>
      </c>
      <c r="I1215" t="str">
        <f>IF(Raw_Claims_Data!I1214="","None",Raw_Claims_Data!I1214)</f>
        <v>Ambulance</v>
      </c>
      <c r="J1215" t="str">
        <f>Raw_Claims_Data!J1214</f>
        <v>Berkeley</v>
      </c>
      <c r="K1215" t="str">
        <f>Raw_Claims_Data!K1214</f>
        <v>CA</v>
      </c>
      <c r="L1215">
        <f>Raw_Claims_Data!L1214</f>
        <v>16</v>
      </c>
      <c r="M1215" t="str">
        <f>IF(Raw_Claims_Data!M1214="","N/A",Raw_Claims_Data!M1214)</f>
        <v>VNDR00392</v>
      </c>
      <c r="N1215" t="str">
        <f>Raw_Claims_Data!N1214</f>
        <v>AGENT00273</v>
      </c>
      <c r="O1215">
        <f>IF(Raw_Claims_Data!G1214="D",1,0)</f>
        <v>0</v>
      </c>
    </row>
    <row r="1216" spans="1:15" x14ac:dyDescent="0.35">
      <c r="A1216" t="str">
        <f>Raw_Claims_Data!A1215</f>
        <v>TXN00001212</v>
      </c>
      <c r="B1216" t="str">
        <f>TRIM(Raw_Claims_Data!B1215)</f>
        <v>Darlene Leigland</v>
      </c>
      <c r="C1216" t="str">
        <f>Raw_Claims_Data!C1215</f>
        <v>Health</v>
      </c>
      <c r="D1216">
        <f>Raw_Claims_Data!D1215</f>
        <v>165.54</v>
      </c>
      <c r="E1216">
        <f>Raw_Claims_Data!E1215</f>
        <v>10000</v>
      </c>
      <c r="F1216" t="str">
        <f>Raw_Claims_Data!F1215</f>
        <v>GA</v>
      </c>
      <c r="G1216" t="str">
        <f>Raw_Claims_Data!G1215</f>
        <v>A</v>
      </c>
      <c r="H1216" t="str">
        <f>Raw_Claims_Data!H1215</f>
        <v>Major Loss</v>
      </c>
      <c r="I1216" t="str">
        <f>IF(Raw_Claims_Data!I1215="","None",Raw_Claims_Data!I1215)</f>
        <v>Ambulance</v>
      </c>
      <c r="J1216" t="str">
        <f>Raw_Claims_Data!J1215</f>
        <v>Anchorage</v>
      </c>
      <c r="K1216" t="str">
        <f>Raw_Claims_Data!K1215</f>
        <v>AK</v>
      </c>
      <c r="L1216">
        <f>Raw_Claims_Data!L1215</f>
        <v>23</v>
      </c>
      <c r="M1216" t="str">
        <f>IF(Raw_Claims_Data!M1215="","N/A",Raw_Claims_Data!M1215)</f>
        <v>VNDR00332</v>
      </c>
      <c r="N1216" t="str">
        <f>Raw_Claims_Data!N1215</f>
        <v>AGENT00266</v>
      </c>
      <c r="O1216">
        <f>IF(Raw_Claims_Data!G1215="D",1,0)</f>
        <v>0</v>
      </c>
    </row>
    <row r="1217" spans="1:15" x14ac:dyDescent="0.35">
      <c r="A1217" t="str">
        <f>Raw_Claims_Data!A1216</f>
        <v>TXN00001213</v>
      </c>
      <c r="B1217" t="str">
        <f>TRIM(Raw_Claims_Data!B1216)</f>
        <v>Jon Bailey</v>
      </c>
      <c r="C1217" t="str">
        <f>Raw_Claims_Data!C1216</f>
        <v>Life</v>
      </c>
      <c r="D1217">
        <f>Raw_Claims_Data!D1216</f>
        <v>71.67</v>
      </c>
      <c r="E1217">
        <f>Raw_Claims_Data!E1216</f>
        <v>87000</v>
      </c>
      <c r="F1217" t="str">
        <f>Raw_Claims_Data!F1216</f>
        <v>AR</v>
      </c>
      <c r="G1217" t="str">
        <f>Raw_Claims_Data!G1216</f>
        <v>A</v>
      </c>
      <c r="H1217" t="str">
        <f>Raw_Claims_Data!H1216</f>
        <v>Major Loss</v>
      </c>
      <c r="I1217" t="str">
        <f>IF(Raw_Claims_Data!I1216="","None",Raw_Claims_Data!I1216)</f>
        <v>None</v>
      </c>
      <c r="J1217" t="str">
        <f>Raw_Claims_Data!J1216</f>
        <v>Savannah</v>
      </c>
      <c r="K1217" t="str">
        <f>Raw_Claims_Data!K1216</f>
        <v>GA</v>
      </c>
      <c r="L1217">
        <f>Raw_Claims_Data!L1216</f>
        <v>3</v>
      </c>
      <c r="M1217" t="str">
        <f>IF(Raw_Claims_Data!M1216="","N/A",Raw_Claims_Data!M1216)</f>
        <v>VNDR00125</v>
      </c>
      <c r="N1217" t="str">
        <f>Raw_Claims_Data!N1216</f>
        <v>AGENT00018</v>
      </c>
      <c r="O1217">
        <f>IF(Raw_Claims_Data!G1216="D",1,0)</f>
        <v>0</v>
      </c>
    </row>
    <row r="1218" spans="1:15" x14ac:dyDescent="0.35">
      <c r="A1218" t="str">
        <f>Raw_Claims_Data!A1217</f>
        <v>TXN00001214</v>
      </c>
      <c r="B1218" t="str">
        <f>TRIM(Raw_Claims_Data!B1217)</f>
        <v>Craig Brown</v>
      </c>
      <c r="C1218" t="str">
        <f>Raw_Claims_Data!C1217</f>
        <v>Health</v>
      </c>
      <c r="D1218">
        <f>Raw_Claims_Data!D1217</f>
        <v>172.53</v>
      </c>
      <c r="E1218">
        <f>Raw_Claims_Data!E1217</f>
        <v>1000</v>
      </c>
      <c r="F1218" t="str">
        <f>Raw_Claims_Data!F1217</f>
        <v>DC</v>
      </c>
      <c r="G1218" t="str">
        <f>Raw_Claims_Data!G1217</f>
        <v>A</v>
      </c>
      <c r="H1218" t="str">
        <f>Raw_Claims_Data!H1217</f>
        <v>Major Loss</v>
      </c>
      <c r="I1218" t="str">
        <f>IF(Raw_Claims_Data!I1217="","None",Raw_Claims_Data!I1217)</f>
        <v>Other</v>
      </c>
      <c r="J1218" t="str">
        <f>Raw_Claims_Data!J1217</f>
        <v>Swanton</v>
      </c>
      <c r="K1218" t="str">
        <f>Raw_Claims_Data!K1217</f>
        <v>VT</v>
      </c>
      <c r="L1218">
        <f>Raw_Claims_Data!L1217</f>
        <v>6</v>
      </c>
      <c r="M1218" t="str">
        <f>IF(Raw_Claims_Data!M1217="","N/A",Raw_Claims_Data!M1217)</f>
        <v>VNDR00326</v>
      </c>
      <c r="N1218" t="str">
        <f>Raw_Claims_Data!N1217</f>
        <v>AGENT01120</v>
      </c>
      <c r="O1218">
        <f>IF(Raw_Claims_Data!G1217="D",1,0)</f>
        <v>0</v>
      </c>
    </row>
    <row r="1219" spans="1:15" x14ac:dyDescent="0.35">
      <c r="A1219" t="str">
        <f>Raw_Claims_Data!A1218</f>
        <v>TXN00001215</v>
      </c>
      <c r="B1219" t="str">
        <f>TRIM(Raw_Claims_Data!B1218)</f>
        <v>Tina Cheney</v>
      </c>
      <c r="C1219" t="str">
        <f>Raw_Claims_Data!C1218</f>
        <v>Mobile</v>
      </c>
      <c r="D1219">
        <f>Raw_Claims_Data!D1218</f>
        <v>6.38</v>
      </c>
      <c r="E1219">
        <f>Raw_Claims_Data!E1218</f>
        <v>500</v>
      </c>
      <c r="F1219" t="str">
        <f>Raw_Claims_Data!F1218</f>
        <v>GA</v>
      </c>
      <c r="G1219" t="str">
        <f>Raw_Claims_Data!G1218</f>
        <v>A</v>
      </c>
      <c r="H1219" t="str">
        <f>Raw_Claims_Data!H1218</f>
        <v>Total Loss</v>
      </c>
      <c r="I1219" t="str">
        <f>IF(Raw_Claims_Data!I1218="","None",Raw_Claims_Data!I1218)</f>
        <v>None</v>
      </c>
      <c r="J1219" t="str">
        <f>Raw_Claims_Data!J1218</f>
        <v>Oklahoma City</v>
      </c>
      <c r="K1219" t="str">
        <f>Raw_Claims_Data!K1218</f>
        <v>OK</v>
      </c>
      <c r="L1219">
        <f>Raw_Claims_Data!L1218</f>
        <v>9</v>
      </c>
      <c r="M1219" t="str">
        <f>IF(Raw_Claims_Data!M1218="","N/A",Raw_Claims_Data!M1218)</f>
        <v>VNDR00389</v>
      </c>
      <c r="N1219" t="str">
        <f>Raw_Claims_Data!N1218</f>
        <v>AGENT00007</v>
      </c>
      <c r="O1219">
        <f>IF(Raw_Claims_Data!G1218="D",1,0)</f>
        <v>0</v>
      </c>
    </row>
    <row r="1220" spans="1:15" x14ac:dyDescent="0.35">
      <c r="A1220" t="str">
        <f>Raw_Claims_Data!A1219</f>
        <v>TXN00001216</v>
      </c>
      <c r="B1220" t="str">
        <f>TRIM(Raw_Claims_Data!B1219)</f>
        <v>Ralph Corona</v>
      </c>
      <c r="C1220" t="str">
        <f>Raw_Claims_Data!C1219</f>
        <v>Health</v>
      </c>
      <c r="D1220">
        <f>Raw_Claims_Data!D1219</f>
        <v>131.31</v>
      </c>
      <c r="E1220">
        <f>Raw_Claims_Data!E1219</f>
        <v>18000</v>
      </c>
      <c r="F1220" t="str">
        <f>Raw_Claims_Data!F1219</f>
        <v>AR</v>
      </c>
      <c r="G1220" t="str">
        <f>Raw_Claims_Data!G1219</f>
        <v>A</v>
      </c>
      <c r="H1220" t="str">
        <f>Raw_Claims_Data!H1219</f>
        <v>Total Loss</v>
      </c>
      <c r="I1220" t="str">
        <f>IF(Raw_Claims_Data!I1219="","None",Raw_Claims_Data!I1219)</f>
        <v>Other</v>
      </c>
      <c r="J1220" t="str">
        <f>Raw_Claims_Data!J1219</f>
        <v>Calhoun</v>
      </c>
      <c r="K1220" t="str">
        <f>Raw_Claims_Data!K1219</f>
        <v>GA</v>
      </c>
      <c r="L1220">
        <f>Raw_Claims_Data!L1219</f>
        <v>14</v>
      </c>
      <c r="M1220" t="str">
        <f>IF(Raw_Claims_Data!M1219="","N/A",Raw_Claims_Data!M1219)</f>
        <v>VNDR00479</v>
      </c>
      <c r="N1220" t="str">
        <f>Raw_Claims_Data!N1219</f>
        <v>AGENT00486</v>
      </c>
      <c r="O1220">
        <f>IF(Raw_Claims_Data!G1219="D",1,0)</f>
        <v>0</v>
      </c>
    </row>
    <row r="1221" spans="1:15" x14ac:dyDescent="0.35">
      <c r="A1221" t="str">
        <f>Raw_Claims_Data!A1220</f>
        <v>TXN00001217</v>
      </c>
      <c r="B1221" t="str">
        <f>TRIM(Raw_Claims_Data!B1220)</f>
        <v>Jennifer Smith</v>
      </c>
      <c r="C1221" t="str">
        <f>Raw_Claims_Data!C1220</f>
        <v>Motor</v>
      </c>
      <c r="D1221">
        <f>Raw_Claims_Data!D1220</f>
        <v>117.2</v>
      </c>
      <c r="E1221">
        <f>Raw_Claims_Data!E1220</f>
        <v>9000</v>
      </c>
      <c r="F1221" t="str">
        <f>Raw_Claims_Data!F1220</f>
        <v>AK</v>
      </c>
      <c r="G1221" t="str">
        <f>Raw_Claims_Data!G1220</f>
        <v>A</v>
      </c>
      <c r="H1221" t="str">
        <f>Raw_Claims_Data!H1220</f>
        <v>Minor Loss</v>
      </c>
      <c r="I1221" t="str">
        <f>IF(Raw_Claims_Data!I1220="","None",Raw_Claims_Data!I1220)</f>
        <v>Ambulance</v>
      </c>
      <c r="J1221" t="str">
        <f>Raw_Claims_Data!J1220</f>
        <v>Pasadena</v>
      </c>
      <c r="K1221" t="str">
        <f>Raw_Claims_Data!K1220</f>
        <v>MD</v>
      </c>
      <c r="L1221">
        <f>Raw_Claims_Data!L1220</f>
        <v>20</v>
      </c>
      <c r="M1221" t="str">
        <f>IF(Raw_Claims_Data!M1220="","N/A",Raw_Claims_Data!M1220)</f>
        <v>N/A</v>
      </c>
      <c r="N1221" t="str">
        <f>Raw_Claims_Data!N1220</f>
        <v>AGENT00122</v>
      </c>
      <c r="O1221">
        <f>IF(Raw_Claims_Data!G1220="D",1,0)</f>
        <v>0</v>
      </c>
    </row>
    <row r="1222" spans="1:15" x14ac:dyDescent="0.35">
      <c r="A1222" t="str">
        <f>Raw_Claims_Data!A1221</f>
        <v>TXN00001218</v>
      </c>
      <c r="B1222" t="str">
        <f>TRIM(Raw_Claims_Data!B1221)</f>
        <v>Christopher Pierce</v>
      </c>
      <c r="C1222" t="str">
        <f>Raw_Claims_Data!C1221</f>
        <v>Motor</v>
      </c>
      <c r="D1222">
        <f>Raw_Claims_Data!D1221</f>
        <v>77.900000000000006</v>
      </c>
      <c r="E1222">
        <f>Raw_Claims_Data!E1221</f>
        <v>2000</v>
      </c>
      <c r="F1222" t="str">
        <f>Raw_Claims_Data!F1221</f>
        <v>CA</v>
      </c>
      <c r="G1222" t="str">
        <f>Raw_Claims_Data!G1221</f>
        <v>A</v>
      </c>
      <c r="H1222" t="str">
        <f>Raw_Claims_Data!H1221</f>
        <v>Major Loss</v>
      </c>
      <c r="I1222" t="str">
        <f>IF(Raw_Claims_Data!I1221="","None",Raw_Claims_Data!I1221)</f>
        <v>None</v>
      </c>
      <c r="J1222" t="str">
        <f>Raw_Claims_Data!J1221</f>
        <v>Baltimore</v>
      </c>
      <c r="K1222" t="str">
        <f>Raw_Claims_Data!K1221</f>
        <v>MD</v>
      </c>
      <c r="L1222">
        <f>Raw_Claims_Data!L1221</f>
        <v>14</v>
      </c>
      <c r="M1222" t="str">
        <f>IF(Raw_Claims_Data!M1221="","N/A",Raw_Claims_Data!M1221)</f>
        <v>N/A</v>
      </c>
      <c r="N1222" t="str">
        <f>Raw_Claims_Data!N1221</f>
        <v>AGENT01096</v>
      </c>
      <c r="O1222">
        <f>IF(Raw_Claims_Data!G1221="D",1,0)</f>
        <v>0</v>
      </c>
    </row>
    <row r="1223" spans="1:15" x14ac:dyDescent="0.35">
      <c r="A1223" t="str">
        <f>Raw_Claims_Data!A1222</f>
        <v>TXN00001219</v>
      </c>
      <c r="B1223" t="str">
        <f>TRIM(Raw_Claims_Data!B1222)</f>
        <v>Charlotte Garcia</v>
      </c>
      <c r="C1223" t="str">
        <f>Raw_Claims_Data!C1222</f>
        <v>Travel</v>
      </c>
      <c r="D1223">
        <f>Raw_Claims_Data!D1222</f>
        <v>64.989999999999995</v>
      </c>
      <c r="E1223">
        <f>Raw_Claims_Data!E1222</f>
        <v>4000</v>
      </c>
      <c r="F1223" t="str">
        <f>Raw_Claims_Data!F1222</f>
        <v>MA</v>
      </c>
      <c r="G1223" t="str">
        <f>Raw_Claims_Data!G1222</f>
        <v>A</v>
      </c>
      <c r="H1223" t="str">
        <f>Raw_Claims_Data!H1222</f>
        <v>Minor Loss</v>
      </c>
      <c r="I1223" t="str">
        <f>IF(Raw_Claims_Data!I1222="","None",Raw_Claims_Data!I1222)</f>
        <v>None</v>
      </c>
      <c r="J1223" t="str">
        <f>Raw_Claims_Data!J1222</f>
        <v>Windsor</v>
      </c>
      <c r="K1223" t="str">
        <f>Raw_Claims_Data!K1222</f>
        <v>VT</v>
      </c>
      <c r="L1223">
        <f>Raw_Claims_Data!L1222</f>
        <v>15</v>
      </c>
      <c r="M1223" t="str">
        <f>IF(Raw_Claims_Data!M1222="","N/A",Raw_Claims_Data!M1222)</f>
        <v>VNDR00114</v>
      </c>
      <c r="N1223" t="str">
        <f>Raw_Claims_Data!N1222</f>
        <v>AGENT00781</v>
      </c>
      <c r="O1223">
        <f>IF(Raw_Claims_Data!G1222="D",1,0)</f>
        <v>0</v>
      </c>
    </row>
    <row r="1224" spans="1:15" x14ac:dyDescent="0.35">
      <c r="A1224" t="str">
        <f>Raw_Claims_Data!A1223</f>
        <v>TXN00001220</v>
      </c>
      <c r="B1224" t="str">
        <f>TRIM(Raw_Claims_Data!B1223)</f>
        <v>John Hass</v>
      </c>
      <c r="C1224" t="str">
        <f>Raw_Claims_Data!C1223</f>
        <v>Mobile</v>
      </c>
      <c r="D1224">
        <f>Raw_Claims_Data!D1223</f>
        <v>11.54</v>
      </c>
      <c r="E1224">
        <f>Raw_Claims_Data!E1223</f>
        <v>600</v>
      </c>
      <c r="F1224" t="str">
        <f>Raw_Claims_Data!F1223</f>
        <v>CO</v>
      </c>
      <c r="G1224" t="str">
        <f>Raw_Claims_Data!G1223</f>
        <v>A</v>
      </c>
      <c r="H1224" t="str">
        <f>Raw_Claims_Data!H1223</f>
        <v>Total Loss</v>
      </c>
      <c r="I1224" t="str">
        <f>IF(Raw_Claims_Data!I1223="","None",Raw_Claims_Data!I1223)</f>
        <v>Other</v>
      </c>
      <c r="J1224" t="str">
        <f>Raw_Claims_Data!J1223</f>
        <v>Union City</v>
      </c>
      <c r="K1224" t="str">
        <f>Raw_Claims_Data!K1223</f>
        <v>CA</v>
      </c>
      <c r="L1224">
        <f>Raw_Claims_Data!L1223</f>
        <v>2</v>
      </c>
      <c r="M1224" t="str">
        <f>IF(Raw_Claims_Data!M1223="","N/A",Raw_Claims_Data!M1223)</f>
        <v>N/A</v>
      </c>
      <c r="N1224" t="str">
        <f>Raw_Claims_Data!N1223</f>
        <v>AGENT00110</v>
      </c>
      <c r="O1224">
        <f>IF(Raw_Claims_Data!G1223="D",1,0)</f>
        <v>0</v>
      </c>
    </row>
    <row r="1225" spans="1:15" x14ac:dyDescent="0.35">
      <c r="A1225" t="str">
        <f>Raw_Claims_Data!A1224</f>
        <v>TXN00001221</v>
      </c>
      <c r="B1225" t="str">
        <f>TRIM(Raw_Claims_Data!B1224)</f>
        <v>Lourdes Checca</v>
      </c>
      <c r="C1225" t="str">
        <f>Raw_Claims_Data!C1224</f>
        <v>Life</v>
      </c>
      <c r="D1225">
        <f>Raw_Claims_Data!D1224</f>
        <v>66.66</v>
      </c>
      <c r="E1225">
        <f>Raw_Claims_Data!E1224</f>
        <v>51000</v>
      </c>
      <c r="F1225" t="str">
        <f>Raw_Claims_Data!F1224</f>
        <v>VT</v>
      </c>
      <c r="G1225" t="str">
        <f>Raw_Claims_Data!G1224</f>
        <v>A</v>
      </c>
      <c r="H1225" t="str">
        <f>Raw_Claims_Data!H1224</f>
        <v>Minor Loss</v>
      </c>
      <c r="I1225" t="str">
        <f>IF(Raw_Claims_Data!I1224="","None",Raw_Claims_Data!I1224)</f>
        <v>Ambulance</v>
      </c>
      <c r="J1225" t="str">
        <f>Raw_Claims_Data!J1224</f>
        <v>Glendale</v>
      </c>
      <c r="K1225" t="str">
        <f>Raw_Claims_Data!K1224</f>
        <v>AZ</v>
      </c>
      <c r="L1225">
        <f>Raw_Claims_Data!L1224</f>
        <v>13</v>
      </c>
      <c r="M1225" t="str">
        <f>IF(Raw_Claims_Data!M1224="","N/A",Raw_Claims_Data!M1224)</f>
        <v>N/A</v>
      </c>
      <c r="N1225" t="str">
        <f>Raw_Claims_Data!N1224</f>
        <v>AGENT00820</v>
      </c>
      <c r="O1225">
        <f>IF(Raw_Claims_Data!G1224="D",1,0)</f>
        <v>0</v>
      </c>
    </row>
    <row r="1226" spans="1:15" x14ac:dyDescent="0.35">
      <c r="A1226" t="str">
        <f>Raw_Claims_Data!A1225</f>
        <v>TXN00001222</v>
      </c>
      <c r="B1226" t="str">
        <f>TRIM(Raw_Claims_Data!B1225)</f>
        <v>Jack Regan</v>
      </c>
      <c r="C1226" t="str">
        <f>Raw_Claims_Data!C1225</f>
        <v>Property</v>
      </c>
      <c r="D1226">
        <f>Raw_Claims_Data!D1225</f>
        <v>102.37</v>
      </c>
      <c r="E1226">
        <f>Raw_Claims_Data!E1225</f>
        <v>33000</v>
      </c>
      <c r="F1226" t="str">
        <f>Raw_Claims_Data!F1225</f>
        <v>MA</v>
      </c>
      <c r="G1226" t="str">
        <f>Raw_Claims_Data!G1225</f>
        <v>A</v>
      </c>
      <c r="H1226" t="str">
        <f>Raw_Claims_Data!H1225</f>
        <v>Minor Loss</v>
      </c>
      <c r="I1226" t="str">
        <f>IF(Raw_Claims_Data!I1225="","None",Raw_Claims_Data!I1225)</f>
        <v>Police</v>
      </c>
      <c r="J1226" t="str">
        <f>Raw_Claims_Data!J1225</f>
        <v>Somerset</v>
      </c>
      <c r="K1226" t="str">
        <f>Raw_Claims_Data!K1225</f>
        <v>MA</v>
      </c>
      <c r="L1226">
        <f>Raw_Claims_Data!L1225</f>
        <v>1</v>
      </c>
      <c r="M1226" t="str">
        <f>IF(Raw_Claims_Data!M1225="","N/A",Raw_Claims_Data!M1225)</f>
        <v>VNDR00012</v>
      </c>
      <c r="N1226" t="str">
        <f>Raw_Claims_Data!N1225</f>
        <v>AGENT00215</v>
      </c>
      <c r="O1226">
        <f>IF(Raw_Claims_Data!G1225="D",1,0)</f>
        <v>0</v>
      </c>
    </row>
    <row r="1227" spans="1:15" x14ac:dyDescent="0.35">
      <c r="A1227" t="str">
        <f>Raw_Claims_Data!A1226</f>
        <v>TXN00001223</v>
      </c>
      <c r="B1227" t="str">
        <f>TRIM(Raw_Claims_Data!B1226)</f>
        <v>Tim Wagner</v>
      </c>
      <c r="C1227" t="str">
        <f>Raw_Claims_Data!C1226</f>
        <v>Property</v>
      </c>
      <c r="D1227">
        <f>Raw_Claims_Data!D1226</f>
        <v>157.79</v>
      </c>
      <c r="E1227">
        <f>Raw_Claims_Data!E1226</f>
        <v>28000</v>
      </c>
      <c r="F1227" t="str">
        <f>Raw_Claims_Data!F1226</f>
        <v>MA</v>
      </c>
      <c r="G1227" t="str">
        <f>Raw_Claims_Data!G1226</f>
        <v>A</v>
      </c>
      <c r="H1227" t="str">
        <f>Raw_Claims_Data!H1226</f>
        <v>Minor Loss</v>
      </c>
      <c r="I1227" t="str">
        <f>IF(Raw_Claims_Data!I1226="","None",Raw_Claims_Data!I1226)</f>
        <v>Ambulance</v>
      </c>
      <c r="J1227" t="str">
        <f>Raw_Claims_Data!J1226</f>
        <v>Fremont</v>
      </c>
      <c r="K1227" t="str">
        <f>Raw_Claims_Data!K1226</f>
        <v>CA</v>
      </c>
      <c r="L1227">
        <f>Raw_Claims_Data!L1226</f>
        <v>5</v>
      </c>
      <c r="M1227" t="str">
        <f>IF(Raw_Claims_Data!M1226="","N/A",Raw_Claims_Data!M1226)</f>
        <v>VNDR00170</v>
      </c>
      <c r="N1227" t="str">
        <f>Raw_Claims_Data!N1226</f>
        <v>AGENT00278</v>
      </c>
      <c r="O1227">
        <f>IF(Raw_Claims_Data!G1226="D",1,0)</f>
        <v>0</v>
      </c>
    </row>
    <row r="1228" spans="1:15" x14ac:dyDescent="0.35">
      <c r="A1228" t="str">
        <f>Raw_Claims_Data!A1227</f>
        <v>TXN00001224</v>
      </c>
      <c r="B1228" t="str">
        <f>TRIM(Raw_Claims_Data!B1227)</f>
        <v>Alton Bradford</v>
      </c>
      <c r="C1228" t="str">
        <f>Raw_Claims_Data!C1227</f>
        <v>Travel</v>
      </c>
      <c r="D1228">
        <f>Raw_Claims_Data!D1227</f>
        <v>54.55</v>
      </c>
      <c r="E1228">
        <f>Raw_Claims_Data!E1227</f>
        <v>5000</v>
      </c>
      <c r="F1228" t="str">
        <f>Raw_Claims_Data!F1227</f>
        <v>DC</v>
      </c>
      <c r="G1228" t="str">
        <f>Raw_Claims_Data!G1227</f>
        <v>A</v>
      </c>
      <c r="H1228" t="str">
        <f>Raw_Claims_Data!H1227</f>
        <v>Minor Loss</v>
      </c>
      <c r="I1228" t="str">
        <f>IF(Raw_Claims_Data!I1227="","None",Raw_Claims_Data!I1227)</f>
        <v>Ambulance</v>
      </c>
      <c r="J1228" t="str">
        <f>Raw_Claims_Data!J1227</f>
        <v>Annapolis</v>
      </c>
      <c r="K1228" t="str">
        <f>Raw_Claims_Data!K1227</f>
        <v>MD</v>
      </c>
      <c r="L1228">
        <f>Raw_Claims_Data!L1227</f>
        <v>8</v>
      </c>
      <c r="M1228" t="str">
        <f>IF(Raw_Claims_Data!M1227="","N/A",Raw_Claims_Data!M1227)</f>
        <v>VNDR00031</v>
      </c>
      <c r="N1228" t="str">
        <f>Raw_Claims_Data!N1227</f>
        <v>AGENT00370</v>
      </c>
      <c r="O1228">
        <f>IF(Raw_Claims_Data!G1227="D",1,0)</f>
        <v>0</v>
      </c>
    </row>
    <row r="1229" spans="1:15" x14ac:dyDescent="0.35">
      <c r="A1229" t="str">
        <f>Raw_Claims_Data!A1228</f>
        <v>TXN00001225</v>
      </c>
      <c r="B1229" t="str">
        <f>TRIM(Raw_Claims_Data!B1228)</f>
        <v>Sean Turner</v>
      </c>
      <c r="C1229" t="str">
        <f>Raw_Claims_Data!C1228</f>
        <v>Travel</v>
      </c>
      <c r="D1229">
        <f>Raw_Claims_Data!D1228</f>
        <v>88.63</v>
      </c>
      <c r="E1229">
        <f>Raw_Claims_Data!E1228</f>
        <v>1000</v>
      </c>
      <c r="F1229" t="str">
        <f>Raw_Claims_Data!F1228</f>
        <v>AZ</v>
      </c>
      <c r="G1229" t="str">
        <f>Raw_Claims_Data!G1228</f>
        <v>A</v>
      </c>
      <c r="H1229" t="str">
        <f>Raw_Claims_Data!H1228</f>
        <v>Total Loss</v>
      </c>
      <c r="I1229" t="str">
        <f>IF(Raw_Claims_Data!I1228="","None",Raw_Claims_Data!I1228)</f>
        <v>Ambulance</v>
      </c>
      <c r="J1229" t="str">
        <f>Raw_Claims_Data!J1228</f>
        <v>Glendale</v>
      </c>
      <c r="K1229" t="str">
        <f>Raw_Claims_Data!K1228</f>
        <v>AZ</v>
      </c>
      <c r="L1229">
        <f>Raw_Claims_Data!L1228</f>
        <v>9</v>
      </c>
      <c r="M1229" t="str">
        <f>IF(Raw_Claims_Data!M1228="","N/A",Raw_Claims_Data!M1228)</f>
        <v>N/A</v>
      </c>
      <c r="N1229" t="str">
        <f>Raw_Claims_Data!N1228</f>
        <v>AGENT00237</v>
      </c>
      <c r="O1229">
        <f>IF(Raw_Claims_Data!G1228="D",1,0)</f>
        <v>0</v>
      </c>
    </row>
    <row r="1230" spans="1:15" x14ac:dyDescent="0.35">
      <c r="A1230" t="str">
        <f>Raw_Claims_Data!A1229</f>
        <v>TXN00001226</v>
      </c>
      <c r="B1230" t="str">
        <f>TRIM(Raw_Claims_Data!B1229)</f>
        <v>Eloise Dunkley</v>
      </c>
      <c r="C1230" t="str">
        <f>Raw_Claims_Data!C1229</f>
        <v>Health</v>
      </c>
      <c r="D1230">
        <f>Raw_Claims_Data!D1229</f>
        <v>157.93</v>
      </c>
      <c r="E1230">
        <f>Raw_Claims_Data!E1229</f>
        <v>14000</v>
      </c>
      <c r="F1230" t="str">
        <f>Raw_Claims_Data!F1229</f>
        <v>KY</v>
      </c>
      <c r="G1230" t="str">
        <f>Raw_Claims_Data!G1229</f>
        <v>A</v>
      </c>
      <c r="H1230" t="str">
        <f>Raw_Claims_Data!H1229</f>
        <v>Minor Loss</v>
      </c>
      <c r="I1230" t="str">
        <f>IF(Raw_Claims_Data!I1229="","None",Raw_Claims_Data!I1229)</f>
        <v>Police</v>
      </c>
      <c r="J1230" t="str">
        <f>Raw_Claims_Data!J1229</f>
        <v>Louisville</v>
      </c>
      <c r="K1230" t="str">
        <f>Raw_Claims_Data!K1229</f>
        <v>KY</v>
      </c>
      <c r="L1230">
        <f>Raw_Claims_Data!L1229</f>
        <v>12</v>
      </c>
      <c r="M1230" t="str">
        <f>IF(Raw_Claims_Data!M1229="","N/A",Raw_Claims_Data!M1229)</f>
        <v>VNDR00128</v>
      </c>
      <c r="N1230" t="str">
        <f>Raw_Claims_Data!N1229</f>
        <v>AGENT00406</v>
      </c>
      <c r="O1230">
        <f>IF(Raw_Claims_Data!G1229="D",1,0)</f>
        <v>0</v>
      </c>
    </row>
    <row r="1231" spans="1:15" x14ac:dyDescent="0.35">
      <c r="A1231" t="str">
        <f>Raw_Claims_Data!A1230</f>
        <v>TXN00001227</v>
      </c>
      <c r="B1231" t="str">
        <f>TRIM(Raw_Claims_Data!B1230)</f>
        <v>Grace Tate</v>
      </c>
      <c r="C1231" t="str">
        <f>Raw_Claims_Data!C1230</f>
        <v>Motor</v>
      </c>
      <c r="D1231">
        <f>Raw_Claims_Data!D1230</f>
        <v>84.24</v>
      </c>
      <c r="E1231">
        <f>Raw_Claims_Data!E1230</f>
        <v>1000</v>
      </c>
      <c r="F1231" t="str">
        <f>Raw_Claims_Data!F1230</f>
        <v>CA</v>
      </c>
      <c r="G1231" t="str">
        <f>Raw_Claims_Data!G1230</f>
        <v>A</v>
      </c>
      <c r="H1231" t="str">
        <f>Raw_Claims_Data!H1230</f>
        <v>Minor Loss</v>
      </c>
      <c r="I1231" t="str">
        <f>IF(Raw_Claims_Data!I1230="","None",Raw_Claims_Data!I1230)</f>
        <v>Other</v>
      </c>
      <c r="J1231" t="str">
        <f>Raw_Claims_Data!J1230</f>
        <v>Arvada</v>
      </c>
      <c r="K1231" t="str">
        <f>Raw_Claims_Data!K1230</f>
        <v>CO</v>
      </c>
      <c r="L1231">
        <f>Raw_Claims_Data!L1230</f>
        <v>22</v>
      </c>
      <c r="M1231" t="str">
        <f>IF(Raw_Claims_Data!M1230="","N/A",Raw_Claims_Data!M1230)</f>
        <v>VNDR00190</v>
      </c>
      <c r="N1231" t="str">
        <f>Raw_Claims_Data!N1230</f>
        <v>AGENT00272</v>
      </c>
      <c r="O1231">
        <f>IF(Raw_Claims_Data!G1230="D",1,0)</f>
        <v>0</v>
      </c>
    </row>
    <row r="1232" spans="1:15" x14ac:dyDescent="0.35">
      <c r="A1232" t="str">
        <f>Raw_Claims_Data!A1231</f>
        <v>TXN00001228</v>
      </c>
      <c r="B1232" t="str">
        <f>TRIM(Raw_Claims_Data!B1231)</f>
        <v>Barbara Russo</v>
      </c>
      <c r="C1232" t="str">
        <f>Raw_Claims_Data!C1231</f>
        <v>Travel</v>
      </c>
      <c r="D1232">
        <f>Raw_Claims_Data!D1231</f>
        <v>55.05</v>
      </c>
      <c r="E1232">
        <f>Raw_Claims_Data!E1231</f>
        <v>5000</v>
      </c>
      <c r="F1232" t="str">
        <f>Raw_Claims_Data!F1231</f>
        <v>MA</v>
      </c>
      <c r="G1232" t="str">
        <f>Raw_Claims_Data!G1231</f>
        <v>A</v>
      </c>
      <c r="H1232" t="str">
        <f>Raw_Claims_Data!H1231</f>
        <v>Major Loss</v>
      </c>
      <c r="I1232" t="str">
        <f>IF(Raw_Claims_Data!I1231="","None",Raw_Claims_Data!I1231)</f>
        <v>Ambulance</v>
      </c>
      <c r="J1232" t="str">
        <f>Raw_Claims_Data!J1231</f>
        <v>Redding</v>
      </c>
      <c r="K1232" t="str">
        <f>Raw_Claims_Data!K1231</f>
        <v>CA</v>
      </c>
      <c r="L1232">
        <f>Raw_Claims_Data!L1231</f>
        <v>7</v>
      </c>
      <c r="M1232" t="str">
        <f>IF(Raw_Claims_Data!M1231="","N/A",Raw_Claims_Data!M1231)</f>
        <v>N/A</v>
      </c>
      <c r="N1232" t="str">
        <f>Raw_Claims_Data!N1231</f>
        <v>AGENT00066</v>
      </c>
      <c r="O1232">
        <f>IF(Raw_Claims_Data!G1231="D",1,0)</f>
        <v>0</v>
      </c>
    </row>
    <row r="1233" spans="1:15" x14ac:dyDescent="0.35">
      <c r="A1233" t="str">
        <f>Raw_Claims_Data!A1232</f>
        <v>TXN00001229</v>
      </c>
      <c r="B1233" t="str">
        <f>TRIM(Raw_Claims_Data!B1232)</f>
        <v>Roger Lao</v>
      </c>
      <c r="C1233" t="str">
        <f>Raw_Claims_Data!C1232</f>
        <v>Travel</v>
      </c>
      <c r="D1233">
        <f>Raw_Claims_Data!D1232</f>
        <v>62.25</v>
      </c>
      <c r="E1233">
        <f>Raw_Claims_Data!E1232</f>
        <v>2000</v>
      </c>
      <c r="F1233" t="str">
        <f>Raw_Claims_Data!F1232</f>
        <v>CO</v>
      </c>
      <c r="G1233" t="str">
        <f>Raw_Claims_Data!G1232</f>
        <v>A</v>
      </c>
      <c r="H1233" t="str">
        <f>Raw_Claims_Data!H1232</f>
        <v>Major Loss</v>
      </c>
      <c r="I1233" t="str">
        <f>IF(Raw_Claims_Data!I1232="","None",Raw_Claims_Data!I1232)</f>
        <v>Ambulance</v>
      </c>
      <c r="J1233" t="str">
        <f>Raw_Claims_Data!J1232</f>
        <v>Springfield</v>
      </c>
      <c r="K1233" t="str">
        <f>Raw_Claims_Data!K1232</f>
        <v>MA</v>
      </c>
      <c r="L1233">
        <f>Raw_Claims_Data!L1232</f>
        <v>12</v>
      </c>
      <c r="M1233" t="str">
        <f>IF(Raw_Claims_Data!M1232="","N/A",Raw_Claims_Data!M1232)</f>
        <v>N/A</v>
      </c>
      <c r="N1233" t="str">
        <f>Raw_Claims_Data!N1232</f>
        <v>AGENT00989</v>
      </c>
      <c r="O1233">
        <f>IF(Raw_Claims_Data!G1232="D",1,0)</f>
        <v>0</v>
      </c>
    </row>
    <row r="1234" spans="1:15" x14ac:dyDescent="0.35">
      <c r="A1234" t="str">
        <f>Raw_Claims_Data!A1233</f>
        <v>TXN00001230</v>
      </c>
      <c r="B1234" t="str">
        <f>TRIM(Raw_Claims_Data!B1233)</f>
        <v>Charles Keller</v>
      </c>
      <c r="C1234" t="str">
        <f>Raw_Claims_Data!C1233</f>
        <v>Motor</v>
      </c>
      <c r="D1234">
        <f>Raw_Claims_Data!D1233</f>
        <v>137.35</v>
      </c>
      <c r="E1234">
        <f>Raw_Claims_Data!E1233</f>
        <v>9000</v>
      </c>
      <c r="F1234" t="str">
        <f>Raw_Claims_Data!F1233</f>
        <v>FL</v>
      </c>
      <c r="G1234" t="str">
        <f>Raw_Claims_Data!G1233</f>
        <v>A</v>
      </c>
      <c r="H1234" t="str">
        <f>Raw_Claims_Data!H1233</f>
        <v>Minor Loss</v>
      </c>
      <c r="I1234" t="str">
        <f>IF(Raw_Claims_Data!I1233="","None",Raw_Claims_Data!I1233)</f>
        <v>None</v>
      </c>
      <c r="J1234" t="str">
        <f>Raw_Claims_Data!J1233</f>
        <v>Louisville</v>
      </c>
      <c r="K1234" t="str">
        <f>Raw_Claims_Data!K1233</f>
        <v>KY</v>
      </c>
      <c r="L1234">
        <f>Raw_Claims_Data!L1233</f>
        <v>21</v>
      </c>
      <c r="M1234" t="str">
        <f>IF(Raw_Claims_Data!M1233="","N/A",Raw_Claims_Data!M1233)</f>
        <v>N/A</v>
      </c>
      <c r="N1234" t="str">
        <f>Raw_Claims_Data!N1233</f>
        <v>AGENT00626</v>
      </c>
      <c r="O1234">
        <f>IF(Raw_Claims_Data!G1233="D",1,0)</f>
        <v>0</v>
      </c>
    </row>
    <row r="1235" spans="1:15" x14ac:dyDescent="0.35">
      <c r="A1235" t="str">
        <f>Raw_Claims_Data!A1234</f>
        <v>TXN00001231</v>
      </c>
      <c r="B1235" t="str">
        <f>TRIM(Raw_Claims_Data!B1234)</f>
        <v>Don Williams</v>
      </c>
      <c r="C1235" t="str">
        <f>Raw_Claims_Data!C1234</f>
        <v>Life</v>
      </c>
      <c r="D1235">
        <f>Raw_Claims_Data!D1234</f>
        <v>64.959999999999994</v>
      </c>
      <c r="E1235">
        <f>Raw_Claims_Data!E1234</f>
        <v>38000</v>
      </c>
      <c r="F1235" t="str">
        <f>Raw_Claims_Data!F1234</f>
        <v>CA</v>
      </c>
      <c r="G1235" t="str">
        <f>Raw_Claims_Data!G1234</f>
        <v>A</v>
      </c>
      <c r="H1235" t="str">
        <f>Raw_Claims_Data!H1234</f>
        <v>Total Loss</v>
      </c>
      <c r="I1235" t="str">
        <f>IF(Raw_Claims_Data!I1234="","None",Raw_Claims_Data!I1234)</f>
        <v>None</v>
      </c>
      <c r="J1235" t="str">
        <f>Raw_Claims_Data!J1234</f>
        <v>Fayetteville</v>
      </c>
      <c r="K1235" t="str">
        <f>Raw_Claims_Data!K1234</f>
        <v>AR</v>
      </c>
      <c r="L1235">
        <f>Raw_Claims_Data!L1234</f>
        <v>19</v>
      </c>
      <c r="M1235" t="str">
        <f>IF(Raw_Claims_Data!M1234="","N/A",Raw_Claims_Data!M1234)</f>
        <v>VNDR00498</v>
      </c>
      <c r="N1235" t="str">
        <f>Raw_Claims_Data!N1234</f>
        <v>AGENT00799</v>
      </c>
      <c r="O1235">
        <f>IF(Raw_Claims_Data!G1234="D",1,0)</f>
        <v>0</v>
      </c>
    </row>
    <row r="1236" spans="1:15" x14ac:dyDescent="0.35">
      <c r="A1236" t="str">
        <f>Raw_Claims_Data!A1235</f>
        <v>TXN00001232</v>
      </c>
      <c r="B1236" t="str">
        <f>TRIM(Raw_Claims_Data!B1235)</f>
        <v>Arthur Silva</v>
      </c>
      <c r="C1236" t="str">
        <f>Raw_Claims_Data!C1235</f>
        <v>Property</v>
      </c>
      <c r="D1236">
        <f>Raw_Claims_Data!D1235</f>
        <v>145.72999999999999</v>
      </c>
      <c r="E1236">
        <f>Raw_Claims_Data!E1235</f>
        <v>12000</v>
      </c>
      <c r="F1236" t="str">
        <f>Raw_Claims_Data!F1235</f>
        <v>CO</v>
      </c>
      <c r="G1236" t="str">
        <f>Raw_Claims_Data!G1235</f>
        <v>A</v>
      </c>
      <c r="H1236" t="str">
        <f>Raw_Claims_Data!H1235</f>
        <v>Minor Loss</v>
      </c>
      <c r="I1236" t="str">
        <f>IF(Raw_Claims_Data!I1235="","None",Raw_Claims_Data!I1235)</f>
        <v>Police</v>
      </c>
      <c r="J1236" t="str">
        <f>Raw_Claims_Data!J1235</f>
        <v>Derby</v>
      </c>
      <c r="K1236" t="str">
        <f>Raw_Claims_Data!K1235</f>
        <v>VT</v>
      </c>
      <c r="L1236">
        <f>Raw_Claims_Data!L1235</f>
        <v>8</v>
      </c>
      <c r="M1236" t="str">
        <f>IF(Raw_Claims_Data!M1235="","N/A",Raw_Claims_Data!M1235)</f>
        <v>N/A</v>
      </c>
      <c r="N1236" t="str">
        <f>Raw_Claims_Data!N1235</f>
        <v>AGENT00918</v>
      </c>
      <c r="O1236">
        <f>IF(Raw_Claims_Data!G1235="D",1,0)</f>
        <v>0</v>
      </c>
    </row>
    <row r="1237" spans="1:15" x14ac:dyDescent="0.35">
      <c r="A1237" t="str">
        <f>Raw_Claims_Data!A1236</f>
        <v>TXN00001233</v>
      </c>
      <c r="B1237" t="str">
        <f>TRIM(Raw_Claims_Data!B1236)</f>
        <v>Gerald Jenkins</v>
      </c>
      <c r="C1237" t="str">
        <f>Raw_Claims_Data!C1236</f>
        <v>Mobile</v>
      </c>
      <c r="D1237">
        <f>Raw_Claims_Data!D1236</f>
        <v>9.02</v>
      </c>
      <c r="E1237">
        <f>Raw_Claims_Data!E1236</f>
        <v>200</v>
      </c>
      <c r="F1237" t="str">
        <f>Raw_Claims_Data!F1236</f>
        <v>CO</v>
      </c>
      <c r="G1237" t="str">
        <f>Raw_Claims_Data!G1236</f>
        <v>A</v>
      </c>
      <c r="H1237" t="str">
        <f>Raw_Claims_Data!H1236</f>
        <v>Minor Loss</v>
      </c>
      <c r="I1237" t="str">
        <f>IF(Raw_Claims_Data!I1236="","None",Raw_Claims_Data!I1236)</f>
        <v>Ambulance</v>
      </c>
      <c r="J1237" t="str">
        <f>Raw_Claims_Data!J1236</f>
        <v>Anchorage</v>
      </c>
      <c r="K1237" t="str">
        <f>Raw_Claims_Data!K1236</f>
        <v>AK</v>
      </c>
      <c r="L1237">
        <f>Raw_Claims_Data!L1236</f>
        <v>19</v>
      </c>
      <c r="M1237" t="str">
        <f>IF(Raw_Claims_Data!M1236="","N/A",Raw_Claims_Data!M1236)</f>
        <v>VNDR00154</v>
      </c>
      <c r="N1237" t="str">
        <f>Raw_Claims_Data!N1236</f>
        <v>AGENT00632</v>
      </c>
      <c r="O1237">
        <f>IF(Raw_Claims_Data!G1236="D",1,0)</f>
        <v>0</v>
      </c>
    </row>
    <row r="1238" spans="1:15" x14ac:dyDescent="0.35">
      <c r="A1238" t="str">
        <f>Raw_Claims_Data!A1237</f>
        <v>TXN00001234</v>
      </c>
      <c r="B1238" t="str">
        <f>TRIM(Raw_Claims_Data!B1237)</f>
        <v>William Finkbeiner</v>
      </c>
      <c r="C1238" t="str">
        <f>Raw_Claims_Data!C1237</f>
        <v>Health</v>
      </c>
      <c r="D1238">
        <f>Raw_Claims_Data!D1237</f>
        <v>180.73</v>
      </c>
      <c r="E1238">
        <f>Raw_Claims_Data!E1237</f>
        <v>20000</v>
      </c>
      <c r="F1238" t="str">
        <f>Raw_Claims_Data!F1237</f>
        <v>KY</v>
      </c>
      <c r="G1238" t="str">
        <f>Raw_Claims_Data!G1237</f>
        <v>A</v>
      </c>
      <c r="H1238" t="str">
        <f>Raw_Claims_Data!H1237</f>
        <v>Minor Loss</v>
      </c>
      <c r="I1238" t="str">
        <f>IF(Raw_Claims_Data!I1237="","None",Raw_Claims_Data!I1237)</f>
        <v>Police</v>
      </c>
      <c r="J1238" t="str">
        <f>Raw_Claims_Data!J1237</f>
        <v>Arvada</v>
      </c>
      <c r="K1238" t="str">
        <f>Raw_Claims_Data!K1237</f>
        <v>CO</v>
      </c>
      <c r="L1238">
        <f>Raw_Claims_Data!L1237</f>
        <v>8</v>
      </c>
      <c r="M1238" t="str">
        <f>IF(Raw_Claims_Data!M1237="","N/A",Raw_Claims_Data!M1237)</f>
        <v>N/A</v>
      </c>
      <c r="N1238" t="str">
        <f>Raw_Claims_Data!N1237</f>
        <v>AGENT00028</v>
      </c>
      <c r="O1238">
        <f>IF(Raw_Claims_Data!G1237="D",1,0)</f>
        <v>0</v>
      </c>
    </row>
    <row r="1239" spans="1:15" x14ac:dyDescent="0.35">
      <c r="A1239" t="str">
        <f>Raw_Claims_Data!A1238</f>
        <v>TXN00001235</v>
      </c>
      <c r="B1239" t="str">
        <f>TRIM(Raw_Claims_Data!B1238)</f>
        <v>Shirley Pugliese</v>
      </c>
      <c r="C1239" t="str">
        <f>Raw_Claims_Data!C1238</f>
        <v>Mobile</v>
      </c>
      <c r="D1239">
        <f>Raw_Claims_Data!D1238</f>
        <v>6.91</v>
      </c>
      <c r="E1239">
        <f>Raw_Claims_Data!E1238</f>
        <v>700</v>
      </c>
      <c r="F1239" t="str">
        <f>Raw_Claims_Data!F1238</f>
        <v>AR</v>
      </c>
      <c r="G1239" t="str">
        <f>Raw_Claims_Data!G1238</f>
        <v>A</v>
      </c>
      <c r="H1239" t="str">
        <f>Raw_Claims_Data!H1238</f>
        <v>Minor Loss</v>
      </c>
      <c r="I1239" t="str">
        <f>IF(Raw_Claims_Data!I1238="","None",Raw_Claims_Data!I1238)</f>
        <v>Ambulance</v>
      </c>
      <c r="J1239" t="str">
        <f>Raw_Claims_Data!J1238</f>
        <v>Manchester</v>
      </c>
      <c r="K1239" t="str">
        <f>Raw_Claims_Data!K1238</f>
        <v>CT</v>
      </c>
      <c r="L1239">
        <f>Raw_Claims_Data!L1238</f>
        <v>18</v>
      </c>
      <c r="M1239" t="str">
        <f>IF(Raw_Claims_Data!M1238="","N/A",Raw_Claims_Data!M1238)</f>
        <v>VNDR00310</v>
      </c>
      <c r="N1239" t="str">
        <f>Raw_Claims_Data!N1238</f>
        <v>AGENT00581</v>
      </c>
      <c r="O1239">
        <f>IF(Raw_Claims_Data!G1238="D",1,0)</f>
        <v>0</v>
      </c>
    </row>
    <row r="1240" spans="1:15" x14ac:dyDescent="0.35">
      <c r="A1240" t="str">
        <f>Raw_Claims_Data!A1239</f>
        <v>TXN00001236</v>
      </c>
      <c r="B1240" t="str">
        <f>TRIM(Raw_Claims_Data!B1239)</f>
        <v>Hilda Bianchi</v>
      </c>
      <c r="C1240" t="str">
        <f>Raw_Claims_Data!C1239</f>
        <v>Motor</v>
      </c>
      <c r="D1240">
        <f>Raw_Claims_Data!D1239</f>
        <v>103.95</v>
      </c>
      <c r="E1240">
        <f>Raw_Claims_Data!E1239</f>
        <v>6000</v>
      </c>
      <c r="F1240" t="str">
        <f>Raw_Claims_Data!F1239</f>
        <v>GA</v>
      </c>
      <c r="G1240" t="str">
        <f>Raw_Claims_Data!G1239</f>
        <v>A</v>
      </c>
      <c r="H1240" t="str">
        <f>Raw_Claims_Data!H1239</f>
        <v>Minor Loss</v>
      </c>
      <c r="I1240" t="str">
        <f>IF(Raw_Claims_Data!I1239="","None",Raw_Claims_Data!I1239)</f>
        <v>Ambulance</v>
      </c>
      <c r="J1240" t="str">
        <f>Raw_Claims_Data!J1239</f>
        <v>Louisville</v>
      </c>
      <c r="K1240" t="str">
        <f>Raw_Claims_Data!K1239</f>
        <v>KY</v>
      </c>
      <c r="L1240">
        <f>Raw_Claims_Data!L1239</f>
        <v>1</v>
      </c>
      <c r="M1240" t="str">
        <f>IF(Raw_Claims_Data!M1239="","N/A",Raw_Claims_Data!M1239)</f>
        <v>N/A</v>
      </c>
      <c r="N1240" t="str">
        <f>Raw_Claims_Data!N1239</f>
        <v>AGENT01173</v>
      </c>
      <c r="O1240">
        <f>IF(Raw_Claims_Data!G1239="D",1,0)</f>
        <v>0</v>
      </c>
    </row>
    <row r="1241" spans="1:15" x14ac:dyDescent="0.35">
      <c r="A1241" t="str">
        <f>Raw_Claims_Data!A1240</f>
        <v>TXN00001237</v>
      </c>
      <c r="B1241" t="str">
        <f>TRIM(Raw_Claims_Data!B1240)</f>
        <v>Kelly Stamm</v>
      </c>
      <c r="C1241" t="str">
        <f>Raw_Claims_Data!C1240</f>
        <v>Motor</v>
      </c>
      <c r="D1241">
        <f>Raw_Claims_Data!D1240</f>
        <v>80.819999999999993</v>
      </c>
      <c r="E1241">
        <f>Raw_Claims_Data!E1240</f>
        <v>7000</v>
      </c>
      <c r="F1241" t="str">
        <f>Raw_Claims_Data!F1240</f>
        <v>AZ</v>
      </c>
      <c r="G1241" t="str">
        <f>Raw_Claims_Data!G1240</f>
        <v>A</v>
      </c>
      <c r="H1241" t="str">
        <f>Raw_Claims_Data!H1240</f>
        <v>Major Loss</v>
      </c>
      <c r="I1241" t="str">
        <f>IF(Raw_Claims_Data!I1240="","None",Raw_Claims_Data!I1240)</f>
        <v>None</v>
      </c>
      <c r="J1241" t="str">
        <f>Raw_Claims_Data!J1240</f>
        <v>Nashville</v>
      </c>
      <c r="K1241" t="str">
        <f>Raw_Claims_Data!K1240</f>
        <v>TN</v>
      </c>
      <c r="L1241">
        <f>Raw_Claims_Data!L1240</f>
        <v>2</v>
      </c>
      <c r="M1241" t="str">
        <f>IF(Raw_Claims_Data!M1240="","N/A",Raw_Claims_Data!M1240)</f>
        <v>N/A</v>
      </c>
      <c r="N1241" t="str">
        <f>Raw_Claims_Data!N1240</f>
        <v>AGENT00139</v>
      </c>
      <c r="O1241">
        <f>IF(Raw_Claims_Data!G1240="D",1,0)</f>
        <v>0</v>
      </c>
    </row>
    <row r="1242" spans="1:15" x14ac:dyDescent="0.35">
      <c r="A1242" t="str">
        <f>Raw_Claims_Data!A1241</f>
        <v>TXN00001238</v>
      </c>
      <c r="B1242" t="str">
        <f>TRIM(Raw_Claims_Data!B1241)</f>
        <v>Aaron Hearnen</v>
      </c>
      <c r="C1242" t="str">
        <f>Raw_Claims_Data!C1241</f>
        <v>Life</v>
      </c>
      <c r="D1242">
        <f>Raw_Claims_Data!D1241</f>
        <v>71.37</v>
      </c>
      <c r="E1242">
        <f>Raw_Claims_Data!E1241</f>
        <v>64000</v>
      </c>
      <c r="F1242" t="str">
        <f>Raw_Claims_Data!F1241</f>
        <v>AL</v>
      </c>
      <c r="G1242" t="str">
        <f>Raw_Claims_Data!G1241</f>
        <v>A</v>
      </c>
      <c r="H1242" t="str">
        <f>Raw_Claims_Data!H1241</f>
        <v>Minor Loss</v>
      </c>
      <c r="I1242" t="str">
        <f>IF(Raw_Claims_Data!I1241="","None",Raw_Claims_Data!I1241)</f>
        <v>None</v>
      </c>
      <c r="J1242" t="str">
        <f>Raw_Claims_Data!J1241</f>
        <v>Washington</v>
      </c>
      <c r="K1242" t="str">
        <f>Raw_Claims_Data!K1241</f>
        <v>DC</v>
      </c>
      <c r="L1242">
        <f>Raw_Claims_Data!L1241</f>
        <v>17</v>
      </c>
      <c r="M1242" t="str">
        <f>IF(Raw_Claims_Data!M1241="","N/A",Raw_Claims_Data!M1241)</f>
        <v>N/A</v>
      </c>
      <c r="N1242" t="str">
        <f>Raw_Claims_Data!N1241</f>
        <v>AGENT00921</v>
      </c>
      <c r="O1242">
        <f>IF(Raw_Claims_Data!G1241="D",1,0)</f>
        <v>0</v>
      </c>
    </row>
    <row r="1243" spans="1:15" x14ac:dyDescent="0.35">
      <c r="A1243" t="str">
        <f>Raw_Claims_Data!A1242</f>
        <v>TXN00001239</v>
      </c>
      <c r="B1243" t="str">
        <f>TRIM(Raw_Claims_Data!B1242)</f>
        <v>Roger Wilson</v>
      </c>
      <c r="C1243" t="str">
        <f>Raw_Claims_Data!C1242</f>
        <v>Motor</v>
      </c>
      <c r="D1243">
        <f>Raw_Claims_Data!D1242</f>
        <v>107.99</v>
      </c>
      <c r="E1243">
        <f>Raw_Claims_Data!E1242</f>
        <v>7000</v>
      </c>
      <c r="F1243" t="str">
        <f>Raw_Claims_Data!F1242</f>
        <v>MA</v>
      </c>
      <c r="G1243" t="str">
        <f>Raw_Claims_Data!G1242</f>
        <v>A</v>
      </c>
      <c r="H1243" t="str">
        <f>Raw_Claims_Data!H1242</f>
        <v>Total Loss</v>
      </c>
      <c r="I1243" t="str">
        <f>IF(Raw_Claims_Data!I1242="","None",Raw_Claims_Data!I1242)</f>
        <v>Police</v>
      </c>
      <c r="J1243" t="str">
        <f>Raw_Claims_Data!J1242</f>
        <v>Washington</v>
      </c>
      <c r="K1243" t="str">
        <f>Raw_Claims_Data!K1242</f>
        <v>DC</v>
      </c>
      <c r="L1243">
        <f>Raw_Claims_Data!L1242</f>
        <v>17</v>
      </c>
      <c r="M1243" t="str">
        <f>IF(Raw_Claims_Data!M1242="","N/A",Raw_Claims_Data!M1242)</f>
        <v>N/A</v>
      </c>
      <c r="N1243" t="str">
        <f>Raw_Claims_Data!N1242</f>
        <v>AGENT00775</v>
      </c>
      <c r="O1243">
        <f>IF(Raw_Claims_Data!G1242="D",1,0)</f>
        <v>0</v>
      </c>
    </row>
    <row r="1244" spans="1:15" x14ac:dyDescent="0.35">
      <c r="A1244" t="str">
        <f>Raw_Claims_Data!A1243</f>
        <v>TXN00001240</v>
      </c>
      <c r="B1244" t="str">
        <f>TRIM(Raw_Claims_Data!B1243)</f>
        <v>Natalie Sims</v>
      </c>
      <c r="C1244" t="str">
        <f>Raw_Claims_Data!C1243</f>
        <v>Life</v>
      </c>
      <c r="D1244">
        <f>Raw_Claims_Data!D1243</f>
        <v>69.34</v>
      </c>
      <c r="E1244">
        <f>Raw_Claims_Data!E1243</f>
        <v>61000</v>
      </c>
      <c r="F1244" t="str">
        <f>Raw_Claims_Data!F1243</f>
        <v>CA</v>
      </c>
      <c r="G1244" t="str">
        <f>Raw_Claims_Data!G1243</f>
        <v>A</v>
      </c>
      <c r="H1244" t="str">
        <f>Raw_Claims_Data!H1243</f>
        <v>Major Loss</v>
      </c>
      <c r="I1244" t="str">
        <f>IF(Raw_Claims_Data!I1243="","None",Raw_Claims_Data!I1243)</f>
        <v>Ambulance</v>
      </c>
      <c r="J1244" t="str">
        <f>Raw_Claims_Data!J1243</f>
        <v>Panama City Beach</v>
      </c>
      <c r="K1244" t="str">
        <f>Raw_Claims_Data!K1243</f>
        <v>FL</v>
      </c>
      <c r="L1244">
        <f>Raw_Claims_Data!L1243</f>
        <v>1</v>
      </c>
      <c r="M1244" t="str">
        <f>IF(Raw_Claims_Data!M1243="","N/A",Raw_Claims_Data!M1243)</f>
        <v>N/A</v>
      </c>
      <c r="N1244" t="str">
        <f>Raw_Claims_Data!N1243</f>
        <v>AGENT01012</v>
      </c>
      <c r="O1244">
        <f>IF(Raw_Claims_Data!G1243="D",1,0)</f>
        <v>0</v>
      </c>
    </row>
    <row r="1245" spans="1:15" x14ac:dyDescent="0.35">
      <c r="A1245" t="str">
        <f>Raw_Claims_Data!A1244</f>
        <v>TXN00001241</v>
      </c>
      <c r="B1245" t="str">
        <f>TRIM(Raw_Claims_Data!B1244)</f>
        <v>Michael Hayes</v>
      </c>
      <c r="C1245" t="str">
        <f>Raw_Claims_Data!C1244</f>
        <v>Life</v>
      </c>
      <c r="D1245">
        <f>Raw_Claims_Data!D1244</f>
        <v>75.62</v>
      </c>
      <c r="E1245">
        <f>Raw_Claims_Data!E1244</f>
        <v>41000</v>
      </c>
      <c r="F1245" t="str">
        <f>Raw_Claims_Data!F1244</f>
        <v>CA</v>
      </c>
      <c r="G1245" t="str">
        <f>Raw_Claims_Data!G1244</f>
        <v>A</v>
      </c>
      <c r="H1245" t="str">
        <f>Raw_Claims_Data!H1244</f>
        <v>Major Loss</v>
      </c>
      <c r="I1245" t="str">
        <f>IF(Raw_Claims_Data!I1244="","None",Raw_Claims_Data!I1244)</f>
        <v>Ambulance</v>
      </c>
      <c r="J1245" t="str">
        <f>Raw_Claims_Data!J1244</f>
        <v>Annapolis</v>
      </c>
      <c r="K1245" t="str">
        <f>Raw_Claims_Data!K1244</f>
        <v>MD</v>
      </c>
      <c r="L1245">
        <f>Raw_Claims_Data!L1244</f>
        <v>3</v>
      </c>
      <c r="M1245" t="str">
        <f>IF(Raw_Claims_Data!M1244="","N/A",Raw_Claims_Data!M1244)</f>
        <v>VNDR00327</v>
      </c>
      <c r="N1245" t="str">
        <f>Raw_Claims_Data!N1244</f>
        <v>AGENT00638</v>
      </c>
      <c r="O1245">
        <f>IF(Raw_Claims_Data!G1244="D",1,0)</f>
        <v>0</v>
      </c>
    </row>
    <row r="1246" spans="1:15" x14ac:dyDescent="0.35">
      <c r="A1246" t="str">
        <f>Raw_Claims_Data!A1245</f>
        <v>TXN00001242</v>
      </c>
      <c r="B1246" t="str">
        <f>TRIM(Raw_Claims_Data!B1245)</f>
        <v>Geneva Fabela</v>
      </c>
      <c r="C1246" t="str">
        <f>Raw_Claims_Data!C1245</f>
        <v>Motor</v>
      </c>
      <c r="D1246">
        <f>Raw_Claims_Data!D1245</f>
        <v>103.07</v>
      </c>
      <c r="E1246">
        <f>Raw_Claims_Data!E1245</f>
        <v>4000</v>
      </c>
      <c r="F1246" t="str">
        <f>Raw_Claims_Data!F1245</f>
        <v>KY</v>
      </c>
      <c r="G1246" t="str">
        <f>Raw_Claims_Data!G1245</f>
        <v>A</v>
      </c>
      <c r="H1246" t="str">
        <f>Raw_Claims_Data!H1245</f>
        <v>Major Loss</v>
      </c>
      <c r="I1246" t="str">
        <f>IF(Raw_Claims_Data!I1245="","None",Raw_Claims_Data!I1245)</f>
        <v>None</v>
      </c>
      <c r="J1246" t="str">
        <f>Raw_Claims_Data!J1245</f>
        <v>Needham</v>
      </c>
      <c r="K1246" t="str">
        <f>Raw_Claims_Data!K1245</f>
        <v>MA</v>
      </c>
      <c r="L1246">
        <f>Raw_Claims_Data!L1245</f>
        <v>9</v>
      </c>
      <c r="M1246" t="str">
        <f>IF(Raw_Claims_Data!M1245="","N/A",Raw_Claims_Data!M1245)</f>
        <v>N/A</v>
      </c>
      <c r="N1246" t="str">
        <f>Raw_Claims_Data!N1245</f>
        <v>AGENT00167</v>
      </c>
      <c r="O1246">
        <f>IF(Raw_Claims_Data!G1245="D",1,0)</f>
        <v>0</v>
      </c>
    </row>
    <row r="1247" spans="1:15" x14ac:dyDescent="0.35">
      <c r="A1247" t="str">
        <f>Raw_Claims_Data!A1246</f>
        <v>TXN00001243</v>
      </c>
      <c r="B1247" t="str">
        <f>TRIM(Raw_Claims_Data!B1246)</f>
        <v>Kathi Mitchell</v>
      </c>
      <c r="C1247" t="str">
        <f>Raw_Claims_Data!C1246</f>
        <v>Mobile</v>
      </c>
      <c r="D1247">
        <f>Raw_Claims_Data!D1246</f>
        <v>11.66</v>
      </c>
      <c r="E1247">
        <f>Raw_Claims_Data!E1246</f>
        <v>100</v>
      </c>
      <c r="F1247" t="str">
        <f>Raw_Claims_Data!F1246</f>
        <v>MA</v>
      </c>
      <c r="G1247" t="str">
        <f>Raw_Claims_Data!G1246</f>
        <v>A</v>
      </c>
      <c r="H1247" t="str">
        <f>Raw_Claims_Data!H1246</f>
        <v>Total Loss</v>
      </c>
      <c r="I1247" t="str">
        <f>IF(Raw_Claims_Data!I1246="","None",Raw_Claims_Data!I1246)</f>
        <v>Police</v>
      </c>
      <c r="J1247" t="str">
        <f>Raw_Claims_Data!J1246</f>
        <v>Louisville</v>
      </c>
      <c r="K1247" t="str">
        <f>Raw_Claims_Data!K1246</f>
        <v>KY</v>
      </c>
      <c r="L1247">
        <f>Raw_Claims_Data!L1246</f>
        <v>7</v>
      </c>
      <c r="M1247" t="str">
        <f>IF(Raw_Claims_Data!M1246="","N/A",Raw_Claims_Data!M1246)</f>
        <v>N/A</v>
      </c>
      <c r="N1247" t="str">
        <f>Raw_Claims_Data!N1246</f>
        <v>AGENT00890</v>
      </c>
      <c r="O1247">
        <f>IF(Raw_Claims_Data!G1246="D",1,0)</f>
        <v>0</v>
      </c>
    </row>
    <row r="1248" spans="1:15" x14ac:dyDescent="0.35">
      <c r="A1248" t="str">
        <f>Raw_Claims_Data!A1247</f>
        <v>TXN00001244</v>
      </c>
      <c r="B1248" t="str">
        <f>TRIM(Raw_Claims_Data!B1247)</f>
        <v>Holly Mullins</v>
      </c>
      <c r="C1248" t="str">
        <f>Raw_Claims_Data!C1247</f>
        <v>Motor</v>
      </c>
      <c r="D1248">
        <f>Raw_Claims_Data!D1247</f>
        <v>74.09</v>
      </c>
      <c r="E1248">
        <f>Raw_Claims_Data!E1247</f>
        <v>9000</v>
      </c>
      <c r="F1248" t="str">
        <f>Raw_Claims_Data!F1247</f>
        <v>CO</v>
      </c>
      <c r="G1248" t="str">
        <f>Raw_Claims_Data!G1247</f>
        <v>A</v>
      </c>
      <c r="H1248" t="str">
        <f>Raw_Claims_Data!H1247</f>
        <v>Major Loss</v>
      </c>
      <c r="I1248" t="str">
        <f>IF(Raw_Claims_Data!I1247="","None",Raw_Claims_Data!I1247)</f>
        <v>Other</v>
      </c>
      <c r="J1248">
        <f>Raw_Claims_Data!J1247</f>
        <v>0</v>
      </c>
      <c r="K1248" t="str">
        <f>Raw_Claims_Data!K1247</f>
        <v>VT</v>
      </c>
      <c r="L1248">
        <f>Raw_Claims_Data!L1247</f>
        <v>5</v>
      </c>
      <c r="M1248" t="str">
        <f>IF(Raw_Claims_Data!M1247="","N/A",Raw_Claims_Data!M1247)</f>
        <v>VNDR00430</v>
      </c>
      <c r="N1248" t="str">
        <f>Raw_Claims_Data!N1247</f>
        <v>AGENT00541</v>
      </c>
      <c r="O1248">
        <f>IF(Raw_Claims_Data!G1247="D",1,0)</f>
        <v>0</v>
      </c>
    </row>
    <row r="1249" spans="1:15" x14ac:dyDescent="0.35">
      <c r="A1249" t="str">
        <f>Raw_Claims_Data!A1248</f>
        <v>TXN00001245</v>
      </c>
      <c r="B1249" t="str">
        <f>TRIM(Raw_Claims_Data!B1248)</f>
        <v>Marie Adams</v>
      </c>
      <c r="C1249" t="str">
        <f>Raw_Claims_Data!C1248</f>
        <v>Mobile</v>
      </c>
      <c r="D1249">
        <f>Raw_Claims_Data!D1248</f>
        <v>8.56</v>
      </c>
      <c r="E1249">
        <f>Raw_Claims_Data!E1248</f>
        <v>100</v>
      </c>
      <c r="F1249" t="str">
        <f>Raw_Claims_Data!F1248</f>
        <v>CA</v>
      </c>
      <c r="G1249" t="str">
        <f>Raw_Claims_Data!G1248</f>
        <v>A</v>
      </c>
      <c r="H1249" t="str">
        <f>Raw_Claims_Data!H1248</f>
        <v>Minor Loss</v>
      </c>
      <c r="I1249" t="str">
        <f>IF(Raw_Claims_Data!I1248="","None",Raw_Claims_Data!I1248)</f>
        <v>Ambulance</v>
      </c>
      <c r="J1249" t="str">
        <f>Raw_Claims_Data!J1248</f>
        <v>Crofton</v>
      </c>
      <c r="K1249" t="str">
        <f>Raw_Claims_Data!K1248</f>
        <v>MD</v>
      </c>
      <c r="L1249">
        <f>Raw_Claims_Data!L1248</f>
        <v>10</v>
      </c>
      <c r="M1249" t="str">
        <f>IF(Raw_Claims_Data!M1248="","N/A",Raw_Claims_Data!M1248)</f>
        <v>VNDR00216</v>
      </c>
      <c r="N1249" t="str">
        <f>Raw_Claims_Data!N1248</f>
        <v>AGENT00031</v>
      </c>
      <c r="O1249">
        <f>IF(Raw_Claims_Data!G1248="D",1,0)</f>
        <v>0</v>
      </c>
    </row>
    <row r="1250" spans="1:15" x14ac:dyDescent="0.35">
      <c r="A1250" t="str">
        <f>Raw_Claims_Data!A1249</f>
        <v>TXN00001246</v>
      </c>
      <c r="B1250" t="str">
        <f>TRIM(Raw_Claims_Data!B1249)</f>
        <v>Robert Robichaux</v>
      </c>
      <c r="C1250" t="str">
        <f>Raw_Claims_Data!C1249</f>
        <v>Life</v>
      </c>
      <c r="D1250">
        <f>Raw_Claims_Data!D1249</f>
        <v>70.010000000000005</v>
      </c>
      <c r="E1250">
        <f>Raw_Claims_Data!E1249</f>
        <v>44000</v>
      </c>
      <c r="F1250" t="str">
        <f>Raw_Claims_Data!F1249</f>
        <v>KY</v>
      </c>
      <c r="G1250" t="str">
        <f>Raw_Claims_Data!G1249</f>
        <v>A</v>
      </c>
      <c r="H1250" t="str">
        <f>Raw_Claims_Data!H1249</f>
        <v>Minor Loss</v>
      </c>
      <c r="I1250" t="str">
        <f>IF(Raw_Claims_Data!I1249="","None",Raw_Claims_Data!I1249)</f>
        <v>Ambulance</v>
      </c>
      <c r="J1250" t="str">
        <f>Raw_Claims_Data!J1249</f>
        <v>Panama City</v>
      </c>
      <c r="K1250" t="str">
        <f>Raw_Claims_Data!K1249</f>
        <v>FL</v>
      </c>
      <c r="L1250">
        <f>Raw_Claims_Data!L1249</f>
        <v>2</v>
      </c>
      <c r="M1250" t="str">
        <f>IF(Raw_Claims_Data!M1249="","N/A",Raw_Claims_Data!M1249)</f>
        <v>VNDR00123</v>
      </c>
      <c r="N1250" t="str">
        <f>Raw_Claims_Data!N1249</f>
        <v>AGENT00836</v>
      </c>
      <c r="O1250">
        <f>IF(Raw_Claims_Data!G1249="D",1,0)</f>
        <v>0</v>
      </c>
    </row>
    <row r="1251" spans="1:15" x14ac:dyDescent="0.35">
      <c r="A1251" t="str">
        <f>Raw_Claims_Data!A1250</f>
        <v>TXN00001247</v>
      </c>
      <c r="B1251" t="str">
        <f>TRIM(Raw_Claims_Data!B1250)</f>
        <v>Gary Dunbar</v>
      </c>
      <c r="C1251" t="str">
        <f>Raw_Claims_Data!C1250</f>
        <v>Mobile</v>
      </c>
      <c r="D1251">
        <f>Raw_Claims_Data!D1250</f>
        <v>7.26</v>
      </c>
      <c r="E1251">
        <f>Raw_Claims_Data!E1250</f>
        <v>600</v>
      </c>
      <c r="F1251" t="str">
        <f>Raw_Claims_Data!F1250</f>
        <v>OK</v>
      </c>
      <c r="G1251" t="str">
        <f>Raw_Claims_Data!G1250</f>
        <v>A</v>
      </c>
      <c r="H1251" t="str">
        <f>Raw_Claims_Data!H1250</f>
        <v>Minor Loss</v>
      </c>
      <c r="I1251" t="str">
        <f>IF(Raw_Claims_Data!I1250="","None",Raw_Claims_Data!I1250)</f>
        <v>Ambulance</v>
      </c>
      <c r="J1251" t="str">
        <f>Raw_Claims_Data!J1250</f>
        <v>Montgomery</v>
      </c>
      <c r="K1251" t="str">
        <f>Raw_Claims_Data!K1250</f>
        <v>AL</v>
      </c>
      <c r="L1251">
        <f>Raw_Claims_Data!L1250</f>
        <v>3</v>
      </c>
      <c r="M1251" t="str">
        <f>IF(Raw_Claims_Data!M1250="","N/A",Raw_Claims_Data!M1250)</f>
        <v>VNDR00339</v>
      </c>
      <c r="N1251" t="str">
        <f>Raw_Claims_Data!N1250</f>
        <v>AGENT00185</v>
      </c>
      <c r="O1251">
        <f>IF(Raw_Claims_Data!G1250="D",1,0)</f>
        <v>0</v>
      </c>
    </row>
    <row r="1252" spans="1:15" x14ac:dyDescent="0.35">
      <c r="A1252" t="str">
        <f>Raw_Claims_Data!A1251</f>
        <v>TXN00001248</v>
      </c>
      <c r="B1252" t="str">
        <f>TRIM(Raw_Claims_Data!B1251)</f>
        <v>Margaret Pascua</v>
      </c>
      <c r="C1252" t="str">
        <f>Raw_Claims_Data!C1251</f>
        <v>Health</v>
      </c>
      <c r="D1252">
        <f>Raw_Claims_Data!D1251</f>
        <v>188.36</v>
      </c>
      <c r="E1252">
        <f>Raw_Claims_Data!E1251</f>
        <v>14000</v>
      </c>
      <c r="F1252" t="str">
        <f>Raw_Claims_Data!F1251</f>
        <v>VT</v>
      </c>
      <c r="G1252" t="str">
        <f>Raw_Claims_Data!G1251</f>
        <v>A</v>
      </c>
      <c r="H1252" t="str">
        <f>Raw_Claims_Data!H1251</f>
        <v>Major Loss</v>
      </c>
      <c r="I1252" t="str">
        <f>IF(Raw_Claims_Data!I1251="","None",Raw_Claims_Data!I1251)</f>
        <v>Police</v>
      </c>
      <c r="J1252" t="str">
        <f>Raw_Claims_Data!J1251</f>
        <v>Glendale</v>
      </c>
      <c r="K1252" t="str">
        <f>Raw_Claims_Data!K1251</f>
        <v>AZ</v>
      </c>
      <c r="L1252">
        <f>Raw_Claims_Data!L1251</f>
        <v>18</v>
      </c>
      <c r="M1252" t="str">
        <f>IF(Raw_Claims_Data!M1251="","N/A",Raw_Claims_Data!M1251)</f>
        <v>VNDR00314</v>
      </c>
      <c r="N1252" t="str">
        <f>Raw_Claims_Data!N1251</f>
        <v>AGENT00494</v>
      </c>
      <c r="O1252">
        <f>IF(Raw_Claims_Data!G1251="D",1,0)</f>
        <v>0</v>
      </c>
    </row>
    <row r="1253" spans="1:15" x14ac:dyDescent="0.35">
      <c r="A1253" t="str">
        <f>Raw_Claims_Data!A1252</f>
        <v>TXN00001249</v>
      </c>
      <c r="B1253" t="str">
        <f>TRIM(Raw_Claims_Data!B1252)</f>
        <v>Doris Rowe</v>
      </c>
      <c r="C1253" t="str">
        <f>Raw_Claims_Data!C1252</f>
        <v>Motor</v>
      </c>
      <c r="D1253">
        <f>Raw_Claims_Data!D1252</f>
        <v>139.68</v>
      </c>
      <c r="E1253">
        <f>Raw_Claims_Data!E1252</f>
        <v>1000</v>
      </c>
      <c r="F1253" t="str">
        <f>Raw_Claims_Data!F1252</f>
        <v>AR</v>
      </c>
      <c r="G1253" t="str">
        <f>Raw_Claims_Data!G1252</f>
        <v>A</v>
      </c>
      <c r="H1253" t="str">
        <f>Raw_Claims_Data!H1252</f>
        <v>Minor Loss</v>
      </c>
      <c r="I1253" t="str">
        <f>IF(Raw_Claims_Data!I1252="","None",Raw_Claims_Data!I1252)</f>
        <v>Ambulance</v>
      </c>
      <c r="J1253" t="str">
        <f>Raw_Claims_Data!J1252</f>
        <v>Washington</v>
      </c>
      <c r="K1253" t="str">
        <f>Raw_Claims_Data!K1252</f>
        <v>DC</v>
      </c>
      <c r="L1253">
        <f>Raw_Claims_Data!L1252</f>
        <v>13</v>
      </c>
      <c r="M1253" t="str">
        <f>IF(Raw_Claims_Data!M1252="","N/A",Raw_Claims_Data!M1252)</f>
        <v>N/A</v>
      </c>
      <c r="N1253" t="str">
        <f>Raw_Claims_Data!N1252</f>
        <v>AGENT01042</v>
      </c>
      <c r="O1253">
        <f>IF(Raw_Claims_Data!G1252="D",1,0)</f>
        <v>0</v>
      </c>
    </row>
    <row r="1254" spans="1:15" x14ac:dyDescent="0.35">
      <c r="A1254" t="str">
        <f>Raw_Claims_Data!A1253</f>
        <v>TXN00001250</v>
      </c>
      <c r="B1254" t="str">
        <f>TRIM(Raw_Claims_Data!B1253)</f>
        <v>Chad Putnam</v>
      </c>
      <c r="C1254" t="str">
        <f>Raw_Claims_Data!C1253</f>
        <v>Motor</v>
      </c>
      <c r="D1254">
        <f>Raw_Claims_Data!D1253</f>
        <v>101.73</v>
      </c>
      <c r="E1254">
        <f>Raw_Claims_Data!E1253</f>
        <v>2000</v>
      </c>
      <c r="F1254" t="str">
        <f>Raw_Claims_Data!F1253</f>
        <v>VT</v>
      </c>
      <c r="G1254" t="str">
        <f>Raw_Claims_Data!G1253</f>
        <v>A</v>
      </c>
      <c r="H1254" t="str">
        <f>Raw_Claims_Data!H1253</f>
        <v>Major Loss</v>
      </c>
      <c r="I1254" t="str">
        <f>IF(Raw_Claims_Data!I1253="","None",Raw_Claims_Data!I1253)</f>
        <v>Ambulance</v>
      </c>
      <c r="J1254" t="str">
        <f>Raw_Claims_Data!J1253</f>
        <v>Arvada</v>
      </c>
      <c r="K1254" t="str">
        <f>Raw_Claims_Data!K1253</f>
        <v>CO</v>
      </c>
      <c r="L1254">
        <f>Raw_Claims_Data!L1253</f>
        <v>3</v>
      </c>
      <c r="M1254" t="str">
        <f>IF(Raw_Claims_Data!M1253="","N/A",Raw_Claims_Data!M1253)</f>
        <v>VNDR00305</v>
      </c>
      <c r="N1254" t="str">
        <f>Raw_Claims_Data!N1253</f>
        <v>AGENT01178</v>
      </c>
      <c r="O1254">
        <f>IF(Raw_Claims_Data!G1253="D",1,0)</f>
        <v>0</v>
      </c>
    </row>
    <row r="1255" spans="1:15" x14ac:dyDescent="0.35">
      <c r="A1255" t="str">
        <f>Raw_Claims_Data!A1254</f>
        <v>TXN00001251</v>
      </c>
      <c r="B1255" t="str">
        <f>TRIM(Raw_Claims_Data!B1254)</f>
        <v>Ruby Goldman</v>
      </c>
      <c r="C1255" t="str">
        <f>Raw_Claims_Data!C1254</f>
        <v>Property</v>
      </c>
      <c r="D1255">
        <f>Raw_Claims_Data!D1254</f>
        <v>84</v>
      </c>
      <c r="E1255">
        <f>Raw_Claims_Data!E1254</f>
        <v>28000</v>
      </c>
      <c r="F1255" t="str">
        <f>Raw_Claims_Data!F1254</f>
        <v>CA</v>
      </c>
      <c r="G1255" t="str">
        <f>Raw_Claims_Data!G1254</f>
        <v>A</v>
      </c>
      <c r="H1255" t="str">
        <f>Raw_Claims_Data!H1254</f>
        <v>Minor Loss</v>
      </c>
      <c r="I1255" t="str">
        <f>IF(Raw_Claims_Data!I1254="","None",Raw_Claims_Data!I1254)</f>
        <v>Ambulance</v>
      </c>
      <c r="J1255" t="str">
        <f>Raw_Claims_Data!J1254</f>
        <v>Oklahoma City</v>
      </c>
      <c r="K1255" t="str">
        <f>Raw_Claims_Data!K1254</f>
        <v>OK</v>
      </c>
      <c r="L1255">
        <f>Raw_Claims_Data!L1254</f>
        <v>10</v>
      </c>
      <c r="M1255" t="str">
        <f>IF(Raw_Claims_Data!M1254="","N/A",Raw_Claims_Data!M1254)</f>
        <v>VNDR00242</v>
      </c>
      <c r="N1255" t="str">
        <f>Raw_Claims_Data!N1254</f>
        <v>AGENT00684</v>
      </c>
      <c r="O1255">
        <f>IF(Raw_Claims_Data!G1254="D",1,0)</f>
        <v>0</v>
      </c>
    </row>
    <row r="1256" spans="1:15" x14ac:dyDescent="0.35">
      <c r="A1256" t="str">
        <f>Raw_Claims_Data!A1255</f>
        <v>TXN00001252</v>
      </c>
      <c r="B1256" t="str">
        <f>TRIM(Raw_Claims_Data!B1255)</f>
        <v>Warren Davis</v>
      </c>
      <c r="C1256" t="str">
        <f>Raw_Claims_Data!C1255</f>
        <v>Travel</v>
      </c>
      <c r="D1256">
        <f>Raw_Claims_Data!D1255</f>
        <v>88.23</v>
      </c>
      <c r="E1256">
        <f>Raw_Claims_Data!E1255</f>
        <v>3000</v>
      </c>
      <c r="F1256" t="str">
        <f>Raw_Claims_Data!F1255</f>
        <v>FL</v>
      </c>
      <c r="G1256" t="str">
        <f>Raw_Claims_Data!G1255</f>
        <v>A</v>
      </c>
      <c r="H1256" t="str">
        <f>Raw_Claims_Data!H1255</f>
        <v>Minor Loss</v>
      </c>
      <c r="I1256" t="str">
        <f>IF(Raw_Claims_Data!I1255="","None",Raw_Claims_Data!I1255)</f>
        <v>Ambulance</v>
      </c>
      <c r="J1256" t="str">
        <f>Raw_Claims_Data!J1255</f>
        <v>Oklahoma City</v>
      </c>
      <c r="K1256" t="str">
        <f>Raw_Claims_Data!K1255</f>
        <v>OK</v>
      </c>
      <c r="L1256">
        <f>Raw_Claims_Data!L1255</f>
        <v>7</v>
      </c>
      <c r="M1256" t="str">
        <f>IF(Raw_Claims_Data!M1255="","N/A",Raw_Claims_Data!M1255)</f>
        <v>N/A</v>
      </c>
      <c r="N1256" t="str">
        <f>Raw_Claims_Data!N1255</f>
        <v>AGENT01174</v>
      </c>
      <c r="O1256">
        <f>IF(Raw_Claims_Data!G1255="D",1,0)</f>
        <v>0</v>
      </c>
    </row>
    <row r="1257" spans="1:15" x14ac:dyDescent="0.35">
      <c r="A1257" t="str">
        <f>Raw_Claims_Data!A1256</f>
        <v>TXN00001253</v>
      </c>
      <c r="B1257" t="str">
        <f>TRIM(Raw_Claims_Data!B1256)</f>
        <v>Marie Espinoza</v>
      </c>
      <c r="C1257" t="str">
        <f>Raw_Claims_Data!C1256</f>
        <v>Life</v>
      </c>
      <c r="D1257">
        <f>Raw_Claims_Data!D1256</f>
        <v>73.709999999999994</v>
      </c>
      <c r="E1257">
        <f>Raw_Claims_Data!E1256</f>
        <v>70000</v>
      </c>
      <c r="F1257" t="str">
        <f>Raw_Claims_Data!F1256</f>
        <v>AZ</v>
      </c>
      <c r="G1257" t="str">
        <f>Raw_Claims_Data!G1256</f>
        <v>A</v>
      </c>
      <c r="H1257" t="str">
        <f>Raw_Claims_Data!H1256</f>
        <v>Minor Loss</v>
      </c>
      <c r="I1257" t="str">
        <f>IF(Raw_Claims_Data!I1256="","None",Raw_Claims_Data!I1256)</f>
        <v>None</v>
      </c>
      <c r="J1257" t="str">
        <f>Raw_Claims_Data!J1256</f>
        <v>Montgomery</v>
      </c>
      <c r="K1257" t="str">
        <f>Raw_Claims_Data!K1256</f>
        <v>AL</v>
      </c>
      <c r="L1257">
        <f>Raw_Claims_Data!L1256</f>
        <v>18</v>
      </c>
      <c r="M1257" t="str">
        <f>IF(Raw_Claims_Data!M1256="","N/A",Raw_Claims_Data!M1256)</f>
        <v>VNDR00138</v>
      </c>
      <c r="N1257" t="str">
        <f>Raw_Claims_Data!N1256</f>
        <v>AGENT01041</v>
      </c>
      <c r="O1257">
        <f>IF(Raw_Claims_Data!G1256="D",1,0)</f>
        <v>0</v>
      </c>
    </row>
    <row r="1258" spans="1:15" x14ac:dyDescent="0.35">
      <c r="A1258" t="str">
        <f>Raw_Claims_Data!A1257</f>
        <v>TXN00001254</v>
      </c>
      <c r="B1258" t="str">
        <f>TRIM(Raw_Claims_Data!B1257)</f>
        <v>Samuel Raines</v>
      </c>
      <c r="C1258" t="str">
        <f>Raw_Claims_Data!C1257</f>
        <v>Life</v>
      </c>
      <c r="D1258">
        <f>Raw_Claims_Data!D1257</f>
        <v>92.45</v>
      </c>
      <c r="E1258">
        <f>Raw_Claims_Data!E1257</f>
        <v>34000</v>
      </c>
      <c r="F1258" t="str">
        <f>Raw_Claims_Data!F1257</f>
        <v>VT</v>
      </c>
      <c r="G1258" t="str">
        <f>Raw_Claims_Data!G1257</f>
        <v>A</v>
      </c>
      <c r="H1258" t="str">
        <f>Raw_Claims_Data!H1257</f>
        <v>Major Loss</v>
      </c>
      <c r="I1258" t="str">
        <f>IF(Raw_Claims_Data!I1257="","None",Raw_Claims_Data!I1257)</f>
        <v>None</v>
      </c>
      <c r="J1258" t="str">
        <f>Raw_Claims_Data!J1257</f>
        <v>Oklahoma City</v>
      </c>
      <c r="K1258" t="str">
        <f>Raw_Claims_Data!K1257</f>
        <v>OK</v>
      </c>
      <c r="L1258">
        <f>Raw_Claims_Data!L1257</f>
        <v>0</v>
      </c>
      <c r="M1258" t="str">
        <f>IF(Raw_Claims_Data!M1257="","N/A",Raw_Claims_Data!M1257)</f>
        <v>N/A</v>
      </c>
      <c r="N1258" t="str">
        <f>Raw_Claims_Data!N1257</f>
        <v>AGENT00788</v>
      </c>
      <c r="O1258">
        <f>IF(Raw_Claims_Data!G1257="D",1,0)</f>
        <v>0</v>
      </c>
    </row>
    <row r="1259" spans="1:15" x14ac:dyDescent="0.35">
      <c r="A1259" t="str">
        <f>Raw_Claims_Data!A1258</f>
        <v>TXN00001255</v>
      </c>
      <c r="B1259" t="str">
        <f>TRIM(Raw_Claims_Data!B1258)</f>
        <v>Donald White</v>
      </c>
      <c r="C1259" t="str">
        <f>Raw_Claims_Data!C1258</f>
        <v>Motor</v>
      </c>
      <c r="D1259">
        <f>Raw_Claims_Data!D1258</f>
        <v>92.39</v>
      </c>
      <c r="E1259">
        <f>Raw_Claims_Data!E1258</f>
        <v>7000</v>
      </c>
      <c r="F1259" t="str">
        <f>Raw_Claims_Data!F1258</f>
        <v>CO</v>
      </c>
      <c r="G1259" t="str">
        <f>Raw_Claims_Data!G1258</f>
        <v>A</v>
      </c>
      <c r="H1259" t="str">
        <f>Raw_Claims_Data!H1258</f>
        <v>Major Loss</v>
      </c>
      <c r="I1259" t="str">
        <f>IF(Raw_Claims_Data!I1258="","None",Raw_Claims_Data!I1258)</f>
        <v>Ambulance</v>
      </c>
      <c r="J1259" t="str">
        <f>Raw_Claims_Data!J1258</f>
        <v>Saint Matthews</v>
      </c>
      <c r="K1259" t="str">
        <f>Raw_Claims_Data!K1258</f>
        <v>KY</v>
      </c>
      <c r="L1259">
        <f>Raw_Claims_Data!L1258</f>
        <v>21</v>
      </c>
      <c r="M1259" t="str">
        <f>IF(Raw_Claims_Data!M1258="","N/A",Raw_Claims_Data!M1258)</f>
        <v>VNDR00067</v>
      </c>
      <c r="N1259" t="str">
        <f>Raw_Claims_Data!N1258</f>
        <v>AGENT00961</v>
      </c>
      <c r="O1259">
        <f>IF(Raw_Claims_Data!G1258="D",1,0)</f>
        <v>0</v>
      </c>
    </row>
    <row r="1260" spans="1:15" x14ac:dyDescent="0.35">
      <c r="A1260" t="str">
        <f>Raw_Claims_Data!A1259</f>
        <v>TXN00001256</v>
      </c>
      <c r="B1260" t="str">
        <f>TRIM(Raw_Claims_Data!B1259)</f>
        <v>Sheryl Singleton</v>
      </c>
      <c r="C1260" t="str">
        <f>Raw_Claims_Data!C1259</f>
        <v>Motor</v>
      </c>
      <c r="D1260">
        <f>Raw_Claims_Data!D1259</f>
        <v>112.59</v>
      </c>
      <c r="E1260">
        <f>Raw_Claims_Data!E1259</f>
        <v>10000</v>
      </c>
      <c r="F1260" t="str">
        <f>Raw_Claims_Data!F1259</f>
        <v>FL</v>
      </c>
      <c r="G1260" t="str">
        <f>Raw_Claims_Data!G1259</f>
        <v>A</v>
      </c>
      <c r="H1260" t="str">
        <f>Raw_Claims_Data!H1259</f>
        <v>Major Loss</v>
      </c>
      <c r="I1260" t="str">
        <f>IF(Raw_Claims_Data!I1259="","None",Raw_Claims_Data!I1259)</f>
        <v>Police</v>
      </c>
      <c r="J1260" t="str">
        <f>Raw_Claims_Data!J1259</f>
        <v>Washington</v>
      </c>
      <c r="K1260" t="str">
        <f>Raw_Claims_Data!K1259</f>
        <v>DC</v>
      </c>
      <c r="L1260">
        <f>Raw_Claims_Data!L1259</f>
        <v>8</v>
      </c>
      <c r="M1260" t="str">
        <f>IF(Raw_Claims_Data!M1259="","N/A",Raw_Claims_Data!M1259)</f>
        <v>VNDR00407</v>
      </c>
      <c r="N1260" t="str">
        <f>Raw_Claims_Data!N1259</f>
        <v>AGENT00956</v>
      </c>
      <c r="O1260">
        <f>IF(Raw_Claims_Data!G1259="D",1,0)</f>
        <v>0</v>
      </c>
    </row>
    <row r="1261" spans="1:15" x14ac:dyDescent="0.35">
      <c r="A1261" t="str">
        <f>Raw_Claims_Data!A1260</f>
        <v>TXN00001257</v>
      </c>
      <c r="B1261" t="str">
        <f>TRIM(Raw_Claims_Data!B1260)</f>
        <v>Carol Keomanivong</v>
      </c>
      <c r="C1261" t="str">
        <f>Raw_Claims_Data!C1260</f>
        <v>Mobile</v>
      </c>
      <c r="D1261">
        <f>Raw_Claims_Data!D1260</f>
        <v>9.44</v>
      </c>
      <c r="E1261">
        <f>Raw_Claims_Data!E1260</f>
        <v>100</v>
      </c>
      <c r="F1261" t="str">
        <f>Raw_Claims_Data!F1260</f>
        <v>AL</v>
      </c>
      <c r="G1261" t="str">
        <f>Raw_Claims_Data!G1260</f>
        <v>A</v>
      </c>
      <c r="H1261" t="str">
        <f>Raw_Claims_Data!H1260</f>
        <v>Major Loss</v>
      </c>
      <c r="I1261" t="str">
        <f>IF(Raw_Claims_Data!I1260="","None",Raw_Claims_Data!I1260)</f>
        <v>None</v>
      </c>
      <c r="J1261" t="str">
        <f>Raw_Claims_Data!J1260</f>
        <v>Savannah</v>
      </c>
      <c r="K1261" t="str">
        <f>Raw_Claims_Data!K1260</f>
        <v>GA</v>
      </c>
      <c r="L1261">
        <f>Raw_Claims_Data!L1260</f>
        <v>10</v>
      </c>
      <c r="M1261" t="str">
        <f>IF(Raw_Claims_Data!M1260="","N/A",Raw_Claims_Data!M1260)</f>
        <v>VNDR00113</v>
      </c>
      <c r="N1261" t="str">
        <f>Raw_Claims_Data!N1260</f>
        <v>AGENT00849</v>
      </c>
      <c r="O1261">
        <f>IF(Raw_Claims_Data!G1260="D",1,0)</f>
        <v>0</v>
      </c>
    </row>
    <row r="1262" spans="1:15" x14ac:dyDescent="0.35">
      <c r="A1262" t="str">
        <f>Raw_Claims_Data!A1261</f>
        <v>TXN00001258</v>
      </c>
      <c r="B1262" t="str">
        <f>TRIM(Raw_Claims_Data!B1261)</f>
        <v>Lorenzo Eskind</v>
      </c>
      <c r="C1262" t="str">
        <f>Raw_Claims_Data!C1261</f>
        <v>Life</v>
      </c>
      <c r="D1262">
        <f>Raw_Claims_Data!D1261</f>
        <v>76.88</v>
      </c>
      <c r="E1262">
        <f>Raw_Claims_Data!E1261</f>
        <v>77000</v>
      </c>
      <c r="F1262" t="str">
        <f>Raw_Claims_Data!F1261</f>
        <v>CA</v>
      </c>
      <c r="G1262" t="str">
        <f>Raw_Claims_Data!G1261</f>
        <v>A</v>
      </c>
      <c r="H1262" t="str">
        <f>Raw_Claims_Data!H1261</f>
        <v>Total Loss</v>
      </c>
      <c r="I1262" t="str">
        <f>IF(Raw_Claims_Data!I1261="","None",Raw_Claims_Data!I1261)</f>
        <v>Police</v>
      </c>
      <c r="J1262" t="str">
        <f>Raw_Claims_Data!J1261</f>
        <v>Manchester</v>
      </c>
      <c r="K1262" t="str">
        <f>Raw_Claims_Data!K1261</f>
        <v>CT</v>
      </c>
      <c r="L1262">
        <f>Raw_Claims_Data!L1261</f>
        <v>23</v>
      </c>
      <c r="M1262" t="str">
        <f>IF(Raw_Claims_Data!M1261="","N/A",Raw_Claims_Data!M1261)</f>
        <v>N/A</v>
      </c>
      <c r="N1262" t="str">
        <f>Raw_Claims_Data!N1261</f>
        <v>AGENT00914</v>
      </c>
      <c r="O1262">
        <f>IF(Raw_Claims_Data!G1261="D",1,0)</f>
        <v>0</v>
      </c>
    </row>
    <row r="1263" spans="1:15" x14ac:dyDescent="0.35">
      <c r="A1263" t="str">
        <f>Raw_Claims_Data!A1262</f>
        <v>TXN00001259</v>
      </c>
      <c r="B1263" t="str">
        <f>TRIM(Raw_Claims_Data!B1262)</f>
        <v>John Ellington</v>
      </c>
      <c r="C1263" t="str">
        <f>Raw_Claims_Data!C1262</f>
        <v>Property</v>
      </c>
      <c r="D1263">
        <f>Raw_Claims_Data!D1262</f>
        <v>117.29</v>
      </c>
      <c r="E1263">
        <f>Raw_Claims_Data!E1262</f>
        <v>38000</v>
      </c>
      <c r="F1263" t="str">
        <f>Raw_Claims_Data!F1262</f>
        <v>CA</v>
      </c>
      <c r="G1263" t="str">
        <f>Raw_Claims_Data!G1262</f>
        <v>A</v>
      </c>
      <c r="H1263" t="str">
        <f>Raw_Claims_Data!H1262</f>
        <v>Total Loss</v>
      </c>
      <c r="I1263" t="str">
        <f>IF(Raw_Claims_Data!I1262="","None",Raw_Claims_Data!I1262)</f>
        <v>Other</v>
      </c>
      <c r="J1263" t="str">
        <f>Raw_Claims_Data!J1262</f>
        <v>Montgomery</v>
      </c>
      <c r="K1263" t="str">
        <f>Raw_Claims_Data!K1262</f>
        <v>AL</v>
      </c>
      <c r="L1263">
        <f>Raw_Claims_Data!L1262</f>
        <v>23</v>
      </c>
      <c r="M1263" t="str">
        <f>IF(Raw_Claims_Data!M1262="","N/A",Raw_Claims_Data!M1262)</f>
        <v>VNDR00463</v>
      </c>
      <c r="N1263" t="str">
        <f>Raw_Claims_Data!N1262</f>
        <v>AGENT00139</v>
      </c>
      <c r="O1263">
        <f>IF(Raw_Claims_Data!G1262="D",1,0)</f>
        <v>0</v>
      </c>
    </row>
    <row r="1264" spans="1:15" x14ac:dyDescent="0.35">
      <c r="A1264" t="str">
        <f>Raw_Claims_Data!A1263</f>
        <v>TXN00001260</v>
      </c>
      <c r="B1264" t="str">
        <f>TRIM(Raw_Claims_Data!B1263)</f>
        <v>Jennifer Brown</v>
      </c>
      <c r="C1264" t="str">
        <f>Raw_Claims_Data!C1263</f>
        <v>Motor</v>
      </c>
      <c r="D1264">
        <f>Raw_Claims_Data!D1263</f>
        <v>74.92</v>
      </c>
      <c r="E1264">
        <f>Raw_Claims_Data!E1263</f>
        <v>1000</v>
      </c>
      <c r="F1264" t="str">
        <f>Raw_Claims_Data!F1263</f>
        <v>CT</v>
      </c>
      <c r="G1264" t="str">
        <f>Raw_Claims_Data!G1263</f>
        <v>A</v>
      </c>
      <c r="H1264" t="str">
        <f>Raw_Claims_Data!H1263</f>
        <v>Minor Loss</v>
      </c>
      <c r="I1264" t="str">
        <f>IF(Raw_Claims_Data!I1263="","None",Raw_Claims_Data!I1263)</f>
        <v>None</v>
      </c>
      <c r="J1264" t="str">
        <f>Raw_Claims_Data!J1263</f>
        <v>Arvada</v>
      </c>
      <c r="K1264" t="str">
        <f>Raw_Claims_Data!K1263</f>
        <v>CO</v>
      </c>
      <c r="L1264">
        <f>Raw_Claims_Data!L1263</f>
        <v>6</v>
      </c>
      <c r="M1264" t="str">
        <f>IF(Raw_Claims_Data!M1263="","N/A",Raw_Claims_Data!M1263)</f>
        <v>N/A</v>
      </c>
      <c r="N1264" t="str">
        <f>Raw_Claims_Data!N1263</f>
        <v>AGENT00111</v>
      </c>
      <c r="O1264">
        <f>IF(Raw_Claims_Data!G1263="D",1,0)</f>
        <v>0</v>
      </c>
    </row>
    <row r="1265" spans="1:15" x14ac:dyDescent="0.35">
      <c r="A1265" t="str">
        <f>Raw_Claims_Data!A1264</f>
        <v>TXN00001261</v>
      </c>
      <c r="B1265" t="str">
        <f>TRIM(Raw_Claims_Data!B1264)</f>
        <v>Robert Windham</v>
      </c>
      <c r="C1265" t="str">
        <f>Raw_Claims_Data!C1264</f>
        <v>Travel</v>
      </c>
      <c r="D1265">
        <f>Raw_Claims_Data!D1264</f>
        <v>96.05</v>
      </c>
      <c r="E1265">
        <f>Raw_Claims_Data!E1264</f>
        <v>1000</v>
      </c>
      <c r="F1265" t="str">
        <f>Raw_Claims_Data!F1264</f>
        <v>TN</v>
      </c>
      <c r="G1265" t="str">
        <f>Raw_Claims_Data!G1264</f>
        <v>A</v>
      </c>
      <c r="H1265" t="str">
        <f>Raw_Claims_Data!H1264</f>
        <v>Total Loss</v>
      </c>
      <c r="I1265" t="str">
        <f>IF(Raw_Claims_Data!I1264="","None",Raw_Claims_Data!I1264)</f>
        <v>None</v>
      </c>
      <c r="J1265" t="str">
        <f>Raw_Claims_Data!J1264</f>
        <v>Glendale</v>
      </c>
      <c r="K1265" t="str">
        <f>Raw_Claims_Data!K1264</f>
        <v>AZ</v>
      </c>
      <c r="L1265">
        <f>Raw_Claims_Data!L1264</f>
        <v>15</v>
      </c>
      <c r="M1265" t="str">
        <f>IF(Raw_Claims_Data!M1264="","N/A",Raw_Claims_Data!M1264)</f>
        <v>VNDR00311</v>
      </c>
      <c r="N1265" t="str">
        <f>Raw_Claims_Data!N1264</f>
        <v>AGENT00043</v>
      </c>
      <c r="O1265">
        <f>IF(Raw_Claims_Data!G1264="D",1,0)</f>
        <v>0</v>
      </c>
    </row>
    <row r="1266" spans="1:15" x14ac:dyDescent="0.35">
      <c r="A1266" t="str">
        <f>Raw_Claims_Data!A1265</f>
        <v>TXN00001262</v>
      </c>
      <c r="B1266" t="str">
        <f>TRIM(Raw_Claims_Data!B1265)</f>
        <v>Matthew Salisbury</v>
      </c>
      <c r="C1266" t="str">
        <f>Raw_Claims_Data!C1265</f>
        <v>Health</v>
      </c>
      <c r="D1266">
        <f>Raw_Claims_Data!D1265</f>
        <v>169.34</v>
      </c>
      <c r="E1266">
        <f>Raw_Claims_Data!E1265</f>
        <v>16000</v>
      </c>
      <c r="F1266" t="str">
        <f>Raw_Claims_Data!F1265</f>
        <v>AZ</v>
      </c>
      <c r="G1266" t="str">
        <f>Raw_Claims_Data!G1265</f>
        <v>A</v>
      </c>
      <c r="H1266" t="str">
        <f>Raw_Claims_Data!H1265</f>
        <v>Major Loss</v>
      </c>
      <c r="I1266" t="str">
        <f>IF(Raw_Claims_Data!I1265="","None",Raw_Claims_Data!I1265)</f>
        <v>None</v>
      </c>
      <c r="J1266" t="str">
        <f>Raw_Claims_Data!J1265</f>
        <v>Fayetteville</v>
      </c>
      <c r="K1266" t="str">
        <f>Raw_Claims_Data!K1265</f>
        <v>AR</v>
      </c>
      <c r="L1266">
        <f>Raw_Claims_Data!L1265</f>
        <v>6</v>
      </c>
      <c r="M1266" t="str">
        <f>IF(Raw_Claims_Data!M1265="","N/A",Raw_Claims_Data!M1265)</f>
        <v>N/A</v>
      </c>
      <c r="N1266" t="str">
        <f>Raw_Claims_Data!N1265</f>
        <v>AGENT00222</v>
      </c>
      <c r="O1266">
        <f>IF(Raw_Claims_Data!G1265="D",1,0)</f>
        <v>0</v>
      </c>
    </row>
    <row r="1267" spans="1:15" x14ac:dyDescent="0.35">
      <c r="A1267" t="str">
        <f>Raw_Claims_Data!A1266</f>
        <v>TXN00001263</v>
      </c>
      <c r="B1267" t="str">
        <f>TRIM(Raw_Claims_Data!B1266)</f>
        <v>Audrey Leon</v>
      </c>
      <c r="C1267" t="str">
        <f>Raw_Claims_Data!C1266</f>
        <v>Health</v>
      </c>
      <c r="D1267">
        <f>Raw_Claims_Data!D1266</f>
        <v>168.93</v>
      </c>
      <c r="E1267">
        <f>Raw_Claims_Data!E1266</f>
        <v>15000</v>
      </c>
      <c r="F1267" t="str">
        <f>Raw_Claims_Data!F1266</f>
        <v>KY</v>
      </c>
      <c r="G1267" t="str">
        <f>Raw_Claims_Data!G1266</f>
        <v>A</v>
      </c>
      <c r="H1267" t="str">
        <f>Raw_Claims_Data!H1266</f>
        <v>Major Loss</v>
      </c>
      <c r="I1267" t="str">
        <f>IF(Raw_Claims_Data!I1266="","None",Raw_Claims_Data!I1266)</f>
        <v>Police</v>
      </c>
      <c r="J1267" t="str">
        <f>Raw_Claims_Data!J1266</f>
        <v>Oakland</v>
      </c>
      <c r="K1267" t="str">
        <f>Raw_Claims_Data!K1266</f>
        <v>CA</v>
      </c>
      <c r="L1267">
        <f>Raw_Claims_Data!L1266</f>
        <v>2</v>
      </c>
      <c r="M1267" t="str">
        <f>IF(Raw_Claims_Data!M1266="","N/A",Raw_Claims_Data!M1266)</f>
        <v>VNDR00046</v>
      </c>
      <c r="N1267" t="str">
        <f>Raw_Claims_Data!N1266</f>
        <v>AGENT00630</v>
      </c>
      <c r="O1267">
        <f>IF(Raw_Claims_Data!G1266="D",1,0)</f>
        <v>0</v>
      </c>
    </row>
    <row r="1268" spans="1:15" x14ac:dyDescent="0.35">
      <c r="A1268" t="str">
        <f>Raw_Claims_Data!A1267</f>
        <v>TXN00001264</v>
      </c>
      <c r="B1268" t="str">
        <f>TRIM(Raw_Claims_Data!B1267)</f>
        <v>Charlene Howard</v>
      </c>
      <c r="C1268" t="str">
        <f>Raw_Claims_Data!C1267</f>
        <v>Life</v>
      </c>
      <c r="D1268">
        <f>Raw_Claims_Data!D1267</f>
        <v>84.46</v>
      </c>
      <c r="E1268">
        <f>Raw_Claims_Data!E1267</f>
        <v>18000</v>
      </c>
      <c r="F1268" t="str">
        <f>Raw_Claims_Data!F1267</f>
        <v>AZ</v>
      </c>
      <c r="G1268" t="str">
        <f>Raw_Claims_Data!G1267</f>
        <v>A</v>
      </c>
      <c r="H1268" t="str">
        <f>Raw_Claims_Data!H1267</f>
        <v>Total Loss</v>
      </c>
      <c r="I1268" t="str">
        <f>IF(Raw_Claims_Data!I1267="","None",Raw_Claims_Data!I1267)</f>
        <v>Ambulance</v>
      </c>
      <c r="J1268" t="str">
        <f>Raw_Claims_Data!J1267</f>
        <v>Louisville</v>
      </c>
      <c r="K1268" t="str">
        <f>Raw_Claims_Data!K1267</f>
        <v>KY</v>
      </c>
      <c r="L1268">
        <f>Raw_Claims_Data!L1267</f>
        <v>20</v>
      </c>
      <c r="M1268" t="str">
        <f>IF(Raw_Claims_Data!M1267="","N/A",Raw_Claims_Data!M1267)</f>
        <v>VNDR00513</v>
      </c>
      <c r="N1268" t="str">
        <f>Raw_Claims_Data!N1267</f>
        <v>AGENT00840</v>
      </c>
      <c r="O1268">
        <f>IF(Raw_Claims_Data!G1267="D",1,0)</f>
        <v>0</v>
      </c>
    </row>
    <row r="1269" spans="1:15" x14ac:dyDescent="0.35">
      <c r="A1269" t="str">
        <f>Raw_Claims_Data!A1268</f>
        <v>TXN00001265</v>
      </c>
      <c r="B1269" t="str">
        <f>TRIM(Raw_Claims_Data!B1268)</f>
        <v>Eda Cox</v>
      </c>
      <c r="C1269" t="str">
        <f>Raw_Claims_Data!C1268</f>
        <v>Mobile</v>
      </c>
      <c r="D1269">
        <f>Raw_Claims_Data!D1268</f>
        <v>6.36</v>
      </c>
      <c r="E1269">
        <f>Raw_Claims_Data!E1268</f>
        <v>600</v>
      </c>
      <c r="F1269" t="str">
        <f>Raw_Claims_Data!F1268</f>
        <v>TN</v>
      </c>
      <c r="G1269" t="str">
        <f>Raw_Claims_Data!G1268</f>
        <v>A</v>
      </c>
      <c r="H1269" t="str">
        <f>Raw_Claims_Data!H1268</f>
        <v>Major Loss</v>
      </c>
      <c r="I1269" t="str">
        <f>IF(Raw_Claims_Data!I1268="","None",Raw_Claims_Data!I1268)</f>
        <v>Ambulance</v>
      </c>
      <c r="J1269">
        <f>Raw_Claims_Data!J1268</f>
        <v>0</v>
      </c>
      <c r="K1269" t="str">
        <f>Raw_Claims_Data!K1268</f>
        <v>TN</v>
      </c>
      <c r="L1269">
        <f>Raw_Claims_Data!L1268</f>
        <v>5</v>
      </c>
      <c r="M1269" t="str">
        <f>IF(Raw_Claims_Data!M1268="","N/A",Raw_Claims_Data!M1268)</f>
        <v>VNDR00001</v>
      </c>
      <c r="N1269" t="str">
        <f>Raw_Claims_Data!N1268</f>
        <v>AGENT00428</v>
      </c>
      <c r="O1269">
        <f>IF(Raw_Claims_Data!G1268="D",1,0)</f>
        <v>0</v>
      </c>
    </row>
    <row r="1270" spans="1:15" x14ac:dyDescent="0.35">
      <c r="A1270" t="str">
        <f>Raw_Claims_Data!A1269</f>
        <v>TXN00001266</v>
      </c>
      <c r="B1270" t="str">
        <f>TRIM(Raw_Claims_Data!B1269)</f>
        <v>Raul Scholz</v>
      </c>
      <c r="C1270" t="str">
        <f>Raw_Claims_Data!C1269</f>
        <v>Health</v>
      </c>
      <c r="D1270">
        <f>Raw_Claims_Data!D1269</f>
        <v>178.15</v>
      </c>
      <c r="E1270">
        <f>Raw_Claims_Data!E1269</f>
        <v>11000</v>
      </c>
      <c r="F1270" t="str">
        <f>Raw_Claims_Data!F1269</f>
        <v>OK</v>
      </c>
      <c r="G1270" t="str">
        <f>Raw_Claims_Data!G1269</f>
        <v>A</v>
      </c>
      <c r="H1270" t="str">
        <f>Raw_Claims_Data!H1269</f>
        <v>Major Loss</v>
      </c>
      <c r="I1270" t="str">
        <f>IF(Raw_Claims_Data!I1269="","None",Raw_Claims_Data!I1269)</f>
        <v>Ambulance</v>
      </c>
      <c r="J1270" t="str">
        <f>Raw_Claims_Data!J1269</f>
        <v>Berkeley</v>
      </c>
      <c r="K1270" t="str">
        <f>Raw_Claims_Data!K1269</f>
        <v>CA</v>
      </c>
      <c r="L1270">
        <f>Raw_Claims_Data!L1269</f>
        <v>16</v>
      </c>
      <c r="M1270" t="str">
        <f>IF(Raw_Claims_Data!M1269="","N/A",Raw_Claims_Data!M1269)</f>
        <v>VNDR00574</v>
      </c>
      <c r="N1270" t="str">
        <f>Raw_Claims_Data!N1269</f>
        <v>AGENT01170</v>
      </c>
      <c r="O1270">
        <f>IF(Raw_Claims_Data!G1269="D",1,0)</f>
        <v>0</v>
      </c>
    </row>
    <row r="1271" spans="1:15" x14ac:dyDescent="0.35">
      <c r="A1271" t="str">
        <f>Raw_Claims_Data!A1270</f>
        <v>TXN00001267</v>
      </c>
      <c r="B1271" t="str">
        <f>TRIM(Raw_Claims_Data!B1270)</f>
        <v>Shane Whitener</v>
      </c>
      <c r="C1271" t="str">
        <f>Raw_Claims_Data!C1270</f>
        <v>Travel</v>
      </c>
      <c r="D1271">
        <f>Raw_Claims_Data!D1270</f>
        <v>94.54</v>
      </c>
      <c r="E1271">
        <f>Raw_Claims_Data!E1270</f>
        <v>1000</v>
      </c>
      <c r="F1271" t="str">
        <f>Raw_Claims_Data!F1270</f>
        <v>CT</v>
      </c>
      <c r="G1271" t="str">
        <f>Raw_Claims_Data!G1270</f>
        <v>A</v>
      </c>
      <c r="H1271" t="str">
        <f>Raw_Claims_Data!H1270</f>
        <v>Total Loss</v>
      </c>
      <c r="I1271" t="str">
        <f>IF(Raw_Claims_Data!I1270="","None",Raw_Claims_Data!I1270)</f>
        <v>Police</v>
      </c>
      <c r="J1271" t="str">
        <f>Raw_Claims_Data!J1270</f>
        <v>Manchester</v>
      </c>
      <c r="K1271" t="str">
        <f>Raw_Claims_Data!K1270</f>
        <v>CT</v>
      </c>
      <c r="L1271">
        <f>Raw_Claims_Data!L1270</f>
        <v>12</v>
      </c>
      <c r="M1271" t="str">
        <f>IF(Raw_Claims_Data!M1270="","N/A",Raw_Claims_Data!M1270)</f>
        <v>VNDR00167</v>
      </c>
      <c r="N1271" t="str">
        <f>Raw_Claims_Data!N1270</f>
        <v>AGENT00272</v>
      </c>
      <c r="O1271">
        <f>IF(Raw_Claims_Data!G1270="D",1,0)</f>
        <v>0</v>
      </c>
    </row>
    <row r="1272" spans="1:15" x14ac:dyDescent="0.35">
      <c r="A1272" t="str">
        <f>Raw_Claims_Data!A1271</f>
        <v>TXN00001268</v>
      </c>
      <c r="B1272" t="str">
        <f>TRIM(Raw_Claims_Data!B1271)</f>
        <v>Vanessa Applewhite</v>
      </c>
      <c r="C1272" t="str">
        <f>Raw_Claims_Data!C1271</f>
        <v>Travel</v>
      </c>
      <c r="D1272">
        <f>Raw_Claims_Data!D1271</f>
        <v>98.27</v>
      </c>
      <c r="E1272">
        <f>Raw_Claims_Data!E1271</f>
        <v>2000</v>
      </c>
      <c r="F1272" t="str">
        <f>Raw_Claims_Data!F1271</f>
        <v>CO</v>
      </c>
      <c r="G1272" t="str">
        <f>Raw_Claims_Data!G1271</f>
        <v>A</v>
      </c>
      <c r="H1272" t="str">
        <f>Raw_Claims_Data!H1271</f>
        <v>Major Loss</v>
      </c>
      <c r="I1272" t="str">
        <f>IF(Raw_Claims_Data!I1271="","None",Raw_Claims_Data!I1271)</f>
        <v>Ambulance</v>
      </c>
      <c r="J1272" t="str">
        <f>Raw_Claims_Data!J1271</f>
        <v>Hayward</v>
      </c>
      <c r="K1272" t="str">
        <f>Raw_Claims_Data!K1271</f>
        <v>CA</v>
      </c>
      <c r="L1272">
        <f>Raw_Claims_Data!L1271</f>
        <v>16</v>
      </c>
      <c r="M1272" t="str">
        <f>IF(Raw_Claims_Data!M1271="","N/A",Raw_Claims_Data!M1271)</f>
        <v>VNDR00582</v>
      </c>
      <c r="N1272" t="str">
        <f>Raw_Claims_Data!N1271</f>
        <v>AGENT00553</v>
      </c>
      <c r="O1272">
        <f>IF(Raw_Claims_Data!G1271="D",1,0)</f>
        <v>0</v>
      </c>
    </row>
    <row r="1273" spans="1:15" x14ac:dyDescent="0.35">
      <c r="A1273" t="str">
        <f>Raw_Claims_Data!A1272</f>
        <v>TXN00001269</v>
      </c>
      <c r="B1273" t="str">
        <f>TRIM(Raw_Claims_Data!B1272)</f>
        <v>Richard Hwang</v>
      </c>
      <c r="C1273" t="str">
        <f>Raw_Claims_Data!C1272</f>
        <v>Travel</v>
      </c>
      <c r="D1273">
        <f>Raw_Claims_Data!D1272</f>
        <v>71.89</v>
      </c>
      <c r="E1273">
        <f>Raw_Claims_Data!E1272</f>
        <v>3000</v>
      </c>
      <c r="F1273" t="str">
        <f>Raw_Claims_Data!F1272</f>
        <v>VT</v>
      </c>
      <c r="G1273" t="str">
        <f>Raw_Claims_Data!G1272</f>
        <v>A</v>
      </c>
      <c r="H1273" t="str">
        <f>Raw_Claims_Data!H1272</f>
        <v>Total Loss</v>
      </c>
      <c r="I1273" t="str">
        <f>IF(Raw_Claims_Data!I1272="","None",Raw_Claims_Data!I1272)</f>
        <v>Police</v>
      </c>
      <c r="J1273" t="str">
        <f>Raw_Claims_Data!J1272</f>
        <v>Washington</v>
      </c>
      <c r="K1273" t="str">
        <f>Raw_Claims_Data!K1272</f>
        <v>DC</v>
      </c>
      <c r="L1273">
        <f>Raw_Claims_Data!L1272</f>
        <v>6</v>
      </c>
      <c r="M1273" t="str">
        <f>IF(Raw_Claims_Data!M1272="","N/A",Raw_Claims_Data!M1272)</f>
        <v>VNDR00489</v>
      </c>
      <c r="N1273" t="str">
        <f>Raw_Claims_Data!N1272</f>
        <v>AGENT00630</v>
      </c>
      <c r="O1273">
        <f>IF(Raw_Claims_Data!G1272="D",1,0)</f>
        <v>0</v>
      </c>
    </row>
    <row r="1274" spans="1:15" x14ac:dyDescent="0.35">
      <c r="A1274" t="str">
        <f>Raw_Claims_Data!A1273</f>
        <v>TXN00001270</v>
      </c>
      <c r="B1274" t="str">
        <f>TRIM(Raw_Claims_Data!B1273)</f>
        <v>Steven Houck</v>
      </c>
      <c r="C1274" t="str">
        <f>Raw_Claims_Data!C1273</f>
        <v>Health</v>
      </c>
      <c r="D1274">
        <f>Raw_Claims_Data!D1273</f>
        <v>181.92</v>
      </c>
      <c r="E1274">
        <f>Raw_Claims_Data!E1273</f>
        <v>5000</v>
      </c>
      <c r="F1274" t="str">
        <f>Raw_Claims_Data!F1273</f>
        <v>GA</v>
      </c>
      <c r="G1274" t="str">
        <f>Raw_Claims_Data!G1273</f>
        <v>A</v>
      </c>
      <c r="H1274" t="str">
        <f>Raw_Claims_Data!H1273</f>
        <v>Minor Loss</v>
      </c>
      <c r="I1274" t="str">
        <f>IF(Raw_Claims_Data!I1273="","None",Raw_Claims_Data!I1273)</f>
        <v>Police</v>
      </c>
      <c r="J1274" t="str">
        <f>Raw_Claims_Data!J1273</f>
        <v>Lynn Haven</v>
      </c>
      <c r="K1274" t="str">
        <f>Raw_Claims_Data!K1273</f>
        <v>FL</v>
      </c>
      <c r="L1274">
        <f>Raw_Claims_Data!L1273</f>
        <v>17</v>
      </c>
      <c r="M1274" t="str">
        <f>IF(Raw_Claims_Data!M1273="","N/A",Raw_Claims_Data!M1273)</f>
        <v>N/A</v>
      </c>
      <c r="N1274" t="str">
        <f>Raw_Claims_Data!N1273</f>
        <v>AGENT00015</v>
      </c>
      <c r="O1274">
        <f>IF(Raw_Claims_Data!G1273="D",1,0)</f>
        <v>0</v>
      </c>
    </row>
    <row r="1275" spans="1:15" x14ac:dyDescent="0.35">
      <c r="A1275" t="str">
        <f>Raw_Claims_Data!A1274</f>
        <v>TXN00001271</v>
      </c>
      <c r="B1275" t="str">
        <f>TRIM(Raw_Claims_Data!B1274)</f>
        <v>Jose Dowst</v>
      </c>
      <c r="C1275" t="str">
        <f>Raw_Claims_Data!C1274</f>
        <v>Travel</v>
      </c>
      <c r="D1275">
        <f>Raw_Claims_Data!D1274</f>
        <v>76.75</v>
      </c>
      <c r="E1275">
        <f>Raw_Claims_Data!E1274</f>
        <v>3000</v>
      </c>
      <c r="F1275" t="str">
        <f>Raw_Claims_Data!F1274</f>
        <v>TN</v>
      </c>
      <c r="G1275" t="str">
        <f>Raw_Claims_Data!G1274</f>
        <v>A</v>
      </c>
      <c r="H1275" t="str">
        <f>Raw_Claims_Data!H1274</f>
        <v>Total Loss</v>
      </c>
      <c r="I1275" t="str">
        <f>IF(Raw_Claims_Data!I1274="","None",Raw_Claims_Data!I1274)</f>
        <v>Police</v>
      </c>
      <c r="J1275" t="str">
        <f>Raw_Claims_Data!J1274</f>
        <v>New Haven</v>
      </c>
      <c r="K1275" t="str">
        <f>Raw_Claims_Data!K1274</f>
        <v>VT</v>
      </c>
      <c r="L1275">
        <f>Raw_Claims_Data!L1274</f>
        <v>3</v>
      </c>
      <c r="M1275" t="str">
        <f>IF(Raw_Claims_Data!M1274="","N/A",Raw_Claims_Data!M1274)</f>
        <v>VNDR00126</v>
      </c>
      <c r="N1275" t="str">
        <f>Raw_Claims_Data!N1274</f>
        <v>AGENT00792</v>
      </c>
      <c r="O1275">
        <f>IF(Raw_Claims_Data!G1274="D",1,0)</f>
        <v>0</v>
      </c>
    </row>
    <row r="1276" spans="1:15" x14ac:dyDescent="0.35">
      <c r="A1276" t="str">
        <f>Raw_Claims_Data!A1275</f>
        <v>TXN00001272</v>
      </c>
      <c r="B1276" t="str">
        <f>TRIM(Raw_Claims_Data!B1275)</f>
        <v>Julie Moses</v>
      </c>
      <c r="C1276" t="str">
        <f>Raw_Claims_Data!C1275</f>
        <v>Motor</v>
      </c>
      <c r="D1276">
        <f>Raw_Claims_Data!D1275</f>
        <v>75.430000000000007</v>
      </c>
      <c r="E1276">
        <f>Raw_Claims_Data!E1275</f>
        <v>6000</v>
      </c>
      <c r="F1276" t="str">
        <f>Raw_Claims_Data!F1275</f>
        <v>VT</v>
      </c>
      <c r="G1276" t="str">
        <f>Raw_Claims_Data!G1275</f>
        <v>A</v>
      </c>
      <c r="H1276" t="str">
        <f>Raw_Claims_Data!H1275</f>
        <v>Minor Loss</v>
      </c>
      <c r="I1276" t="str">
        <f>IF(Raw_Claims_Data!I1275="","None",Raw_Claims_Data!I1275)</f>
        <v>Police</v>
      </c>
      <c r="J1276" t="str">
        <f>Raw_Claims_Data!J1275</f>
        <v>Montgomery</v>
      </c>
      <c r="K1276" t="str">
        <f>Raw_Claims_Data!K1275</f>
        <v>AL</v>
      </c>
      <c r="L1276">
        <f>Raw_Claims_Data!L1275</f>
        <v>22</v>
      </c>
      <c r="M1276" t="str">
        <f>IF(Raw_Claims_Data!M1275="","N/A",Raw_Claims_Data!M1275)</f>
        <v>N/A</v>
      </c>
      <c r="N1276" t="str">
        <f>Raw_Claims_Data!N1275</f>
        <v>AGENT00062</v>
      </c>
      <c r="O1276">
        <f>IF(Raw_Claims_Data!G1275="D",1,0)</f>
        <v>0</v>
      </c>
    </row>
    <row r="1277" spans="1:15" x14ac:dyDescent="0.35">
      <c r="A1277" t="str">
        <f>Raw_Claims_Data!A1276</f>
        <v>TXN00001273</v>
      </c>
      <c r="B1277" t="str">
        <f>TRIM(Raw_Claims_Data!B1276)</f>
        <v>Mary Choate</v>
      </c>
      <c r="C1277" t="str">
        <f>Raw_Claims_Data!C1276</f>
        <v>Health</v>
      </c>
      <c r="D1277">
        <f>Raw_Claims_Data!D1276</f>
        <v>142.37</v>
      </c>
      <c r="E1277">
        <f>Raw_Claims_Data!E1276</f>
        <v>6000</v>
      </c>
      <c r="F1277" t="str">
        <f>Raw_Claims_Data!F1276</f>
        <v>VT</v>
      </c>
      <c r="G1277" t="str">
        <f>Raw_Claims_Data!G1276</f>
        <v>A</v>
      </c>
      <c r="H1277" t="str">
        <f>Raw_Claims_Data!H1276</f>
        <v>Total Loss</v>
      </c>
      <c r="I1277" t="str">
        <f>IF(Raw_Claims_Data!I1276="","None",Raw_Claims_Data!I1276)</f>
        <v>Ambulance</v>
      </c>
      <c r="J1277" t="str">
        <f>Raw_Claims_Data!J1276</f>
        <v>Oakland</v>
      </c>
      <c r="K1277" t="str">
        <f>Raw_Claims_Data!K1276</f>
        <v>CA</v>
      </c>
      <c r="L1277">
        <f>Raw_Claims_Data!L1276</f>
        <v>9</v>
      </c>
      <c r="M1277" t="str">
        <f>IF(Raw_Claims_Data!M1276="","N/A",Raw_Claims_Data!M1276)</f>
        <v>N/A</v>
      </c>
      <c r="N1277" t="str">
        <f>Raw_Claims_Data!N1276</f>
        <v>AGENT01139</v>
      </c>
      <c r="O1277">
        <f>IF(Raw_Claims_Data!G1276="D",1,0)</f>
        <v>0</v>
      </c>
    </row>
    <row r="1278" spans="1:15" x14ac:dyDescent="0.35">
      <c r="A1278" t="str">
        <f>Raw_Claims_Data!A1277</f>
        <v>TXN00001274</v>
      </c>
      <c r="B1278" t="str">
        <f>TRIM(Raw_Claims_Data!B1277)</f>
        <v>Carol Rivas</v>
      </c>
      <c r="C1278" t="str">
        <f>Raw_Claims_Data!C1277</f>
        <v>Mobile</v>
      </c>
      <c r="D1278">
        <f>Raw_Claims_Data!D1277</f>
        <v>7.6</v>
      </c>
      <c r="E1278">
        <f>Raw_Claims_Data!E1277</f>
        <v>300</v>
      </c>
      <c r="F1278" t="str">
        <f>Raw_Claims_Data!F1277</f>
        <v>MD</v>
      </c>
      <c r="G1278" t="str">
        <f>Raw_Claims_Data!G1277</f>
        <v>A</v>
      </c>
      <c r="H1278" t="str">
        <f>Raw_Claims_Data!H1277</f>
        <v>Minor Loss</v>
      </c>
      <c r="I1278" t="str">
        <f>IF(Raw_Claims_Data!I1277="","None",Raw_Claims_Data!I1277)</f>
        <v>Ambulance</v>
      </c>
      <c r="J1278" t="str">
        <f>Raw_Claims_Data!J1277</f>
        <v>Anchorage</v>
      </c>
      <c r="K1278" t="str">
        <f>Raw_Claims_Data!K1277</f>
        <v>AK</v>
      </c>
      <c r="L1278">
        <f>Raw_Claims_Data!L1277</f>
        <v>2</v>
      </c>
      <c r="M1278" t="str">
        <f>IF(Raw_Claims_Data!M1277="","N/A",Raw_Claims_Data!M1277)</f>
        <v>N/A</v>
      </c>
      <c r="N1278" t="str">
        <f>Raw_Claims_Data!N1277</f>
        <v>AGENT00113</v>
      </c>
      <c r="O1278">
        <f>IF(Raw_Claims_Data!G1277="D",1,0)</f>
        <v>0</v>
      </c>
    </row>
    <row r="1279" spans="1:15" x14ac:dyDescent="0.35">
      <c r="A1279" t="str">
        <f>Raw_Claims_Data!A1278</f>
        <v>TXN00001275</v>
      </c>
      <c r="B1279" t="str">
        <f>TRIM(Raw_Claims_Data!B1278)</f>
        <v>Gina Fultz</v>
      </c>
      <c r="C1279" t="str">
        <f>Raw_Claims_Data!C1278</f>
        <v>Life</v>
      </c>
      <c r="D1279">
        <f>Raw_Claims_Data!D1278</f>
        <v>90.8</v>
      </c>
      <c r="E1279">
        <f>Raw_Claims_Data!E1278</f>
        <v>92000</v>
      </c>
      <c r="F1279" t="str">
        <f>Raw_Claims_Data!F1278</f>
        <v>OK</v>
      </c>
      <c r="G1279" t="str">
        <f>Raw_Claims_Data!G1278</f>
        <v>A</v>
      </c>
      <c r="H1279" t="str">
        <f>Raw_Claims_Data!H1278</f>
        <v>Total Loss</v>
      </c>
      <c r="I1279" t="str">
        <f>IF(Raw_Claims_Data!I1278="","None",Raw_Claims_Data!I1278)</f>
        <v>Ambulance</v>
      </c>
      <c r="J1279" t="str">
        <f>Raw_Claims_Data!J1278</f>
        <v>Manchester</v>
      </c>
      <c r="K1279" t="str">
        <f>Raw_Claims_Data!K1278</f>
        <v>CT</v>
      </c>
      <c r="L1279">
        <f>Raw_Claims_Data!L1278</f>
        <v>10</v>
      </c>
      <c r="M1279" t="str">
        <f>IF(Raw_Claims_Data!M1278="","N/A",Raw_Claims_Data!M1278)</f>
        <v>N/A</v>
      </c>
      <c r="N1279" t="str">
        <f>Raw_Claims_Data!N1278</f>
        <v>AGENT01174</v>
      </c>
      <c r="O1279">
        <f>IF(Raw_Claims_Data!G1278="D",1,0)</f>
        <v>0</v>
      </c>
    </row>
    <row r="1280" spans="1:15" x14ac:dyDescent="0.35">
      <c r="A1280" t="str">
        <f>Raw_Claims_Data!A1279</f>
        <v>TXN00001276</v>
      </c>
      <c r="B1280" t="str">
        <f>TRIM(Raw_Claims_Data!B1279)</f>
        <v>Faye Powers</v>
      </c>
      <c r="C1280" t="str">
        <f>Raw_Claims_Data!C1279</f>
        <v>Motor</v>
      </c>
      <c r="D1280">
        <f>Raw_Claims_Data!D1279</f>
        <v>87.03</v>
      </c>
      <c r="E1280">
        <f>Raw_Claims_Data!E1279</f>
        <v>9000</v>
      </c>
      <c r="F1280" t="str">
        <f>Raw_Claims_Data!F1279</f>
        <v>CA</v>
      </c>
      <c r="G1280" t="str">
        <f>Raw_Claims_Data!G1279</f>
        <v>A</v>
      </c>
      <c r="H1280" t="str">
        <f>Raw_Claims_Data!H1279</f>
        <v>Minor Loss</v>
      </c>
      <c r="I1280" t="str">
        <f>IF(Raw_Claims_Data!I1279="","None",Raw_Claims_Data!I1279)</f>
        <v>Ambulance</v>
      </c>
      <c r="J1280" t="str">
        <f>Raw_Claims_Data!J1279</f>
        <v>Louisville</v>
      </c>
      <c r="K1280" t="str">
        <f>Raw_Claims_Data!K1279</f>
        <v>KY</v>
      </c>
      <c r="L1280">
        <f>Raw_Claims_Data!L1279</f>
        <v>10</v>
      </c>
      <c r="M1280" t="str">
        <f>IF(Raw_Claims_Data!M1279="","N/A",Raw_Claims_Data!M1279)</f>
        <v>VNDR00002</v>
      </c>
      <c r="N1280" t="str">
        <f>Raw_Claims_Data!N1279</f>
        <v>AGENT00429</v>
      </c>
      <c r="O1280">
        <f>IF(Raw_Claims_Data!G1279="D",1,0)</f>
        <v>0</v>
      </c>
    </row>
    <row r="1281" spans="1:15" x14ac:dyDescent="0.35">
      <c r="A1281" t="str">
        <f>Raw_Claims_Data!A1280</f>
        <v>TXN00001277</v>
      </c>
      <c r="B1281" t="str">
        <f>TRIM(Raw_Claims_Data!B1280)</f>
        <v>Ruth Viator</v>
      </c>
      <c r="C1281" t="str">
        <f>Raw_Claims_Data!C1280</f>
        <v>Property</v>
      </c>
      <c r="D1281">
        <f>Raw_Claims_Data!D1280</f>
        <v>139.72999999999999</v>
      </c>
      <c r="E1281">
        <f>Raw_Claims_Data!E1280</f>
        <v>12000</v>
      </c>
      <c r="F1281" t="str">
        <f>Raw_Claims_Data!F1280</f>
        <v>MD</v>
      </c>
      <c r="G1281" t="str">
        <f>Raw_Claims_Data!G1280</f>
        <v>A</v>
      </c>
      <c r="H1281" t="str">
        <f>Raw_Claims_Data!H1280</f>
        <v>Major Loss</v>
      </c>
      <c r="I1281" t="str">
        <f>IF(Raw_Claims_Data!I1280="","None",Raw_Claims_Data!I1280)</f>
        <v>Other</v>
      </c>
      <c r="J1281" t="str">
        <f>Raw_Claims_Data!J1280</f>
        <v>Alameda</v>
      </c>
      <c r="K1281" t="str">
        <f>Raw_Claims_Data!K1280</f>
        <v>CA</v>
      </c>
      <c r="L1281">
        <f>Raw_Claims_Data!L1280</f>
        <v>21</v>
      </c>
      <c r="M1281" t="str">
        <f>IF(Raw_Claims_Data!M1280="","N/A",Raw_Claims_Data!M1280)</f>
        <v>N/A</v>
      </c>
      <c r="N1281" t="str">
        <f>Raw_Claims_Data!N1280</f>
        <v>AGENT00670</v>
      </c>
      <c r="O1281">
        <f>IF(Raw_Claims_Data!G1280="D",1,0)</f>
        <v>0</v>
      </c>
    </row>
    <row r="1282" spans="1:15" x14ac:dyDescent="0.35">
      <c r="A1282" t="str">
        <f>Raw_Claims_Data!A1281</f>
        <v>TXN00001278</v>
      </c>
      <c r="B1282" t="str">
        <f>TRIM(Raw_Claims_Data!B1281)</f>
        <v>Walter Cox</v>
      </c>
      <c r="C1282" t="str">
        <f>Raw_Claims_Data!C1281</f>
        <v>Travel</v>
      </c>
      <c r="D1282">
        <f>Raw_Claims_Data!D1281</f>
        <v>96.39</v>
      </c>
      <c r="E1282">
        <f>Raw_Claims_Data!E1281</f>
        <v>2000</v>
      </c>
      <c r="F1282" t="str">
        <f>Raw_Claims_Data!F1281</f>
        <v>GA</v>
      </c>
      <c r="G1282" t="str">
        <f>Raw_Claims_Data!G1281</f>
        <v>A</v>
      </c>
      <c r="H1282" t="str">
        <f>Raw_Claims_Data!H1281</f>
        <v>Major Loss</v>
      </c>
      <c r="I1282" t="str">
        <f>IF(Raw_Claims_Data!I1281="","None",Raw_Claims_Data!I1281)</f>
        <v>Police</v>
      </c>
      <c r="J1282" t="str">
        <f>Raw_Claims_Data!J1281</f>
        <v>Montgomery</v>
      </c>
      <c r="K1282" t="str">
        <f>Raw_Claims_Data!K1281</f>
        <v>AL</v>
      </c>
      <c r="L1282">
        <f>Raw_Claims_Data!L1281</f>
        <v>14</v>
      </c>
      <c r="M1282" t="str">
        <f>IF(Raw_Claims_Data!M1281="","N/A",Raw_Claims_Data!M1281)</f>
        <v>VNDR00260</v>
      </c>
      <c r="N1282" t="str">
        <f>Raw_Claims_Data!N1281</f>
        <v>AGENT00573</v>
      </c>
      <c r="O1282">
        <f>IF(Raw_Claims_Data!G1281="D",1,0)</f>
        <v>0</v>
      </c>
    </row>
    <row r="1283" spans="1:15" x14ac:dyDescent="0.35">
      <c r="A1283" t="str">
        <f>Raw_Claims_Data!A1282</f>
        <v>TXN00001279</v>
      </c>
      <c r="B1283" t="str">
        <f>TRIM(Raw_Claims_Data!B1282)</f>
        <v>Paul Jones</v>
      </c>
      <c r="C1283" t="str">
        <f>Raw_Claims_Data!C1282</f>
        <v>Motor</v>
      </c>
      <c r="D1283">
        <f>Raw_Claims_Data!D1282</f>
        <v>122.06</v>
      </c>
      <c r="E1283">
        <f>Raw_Claims_Data!E1282</f>
        <v>3000</v>
      </c>
      <c r="F1283" t="str">
        <f>Raw_Claims_Data!F1282</f>
        <v>CT</v>
      </c>
      <c r="G1283" t="str">
        <f>Raw_Claims_Data!G1282</f>
        <v>A</v>
      </c>
      <c r="H1283" t="str">
        <f>Raw_Claims_Data!H1282</f>
        <v>Total Loss</v>
      </c>
      <c r="I1283" t="str">
        <f>IF(Raw_Claims_Data!I1282="","None",Raw_Claims_Data!I1282)</f>
        <v>Other</v>
      </c>
      <c r="J1283" t="str">
        <f>Raw_Claims_Data!J1282</f>
        <v>Nashville</v>
      </c>
      <c r="K1283" t="str">
        <f>Raw_Claims_Data!K1282</f>
        <v>TN</v>
      </c>
      <c r="L1283">
        <f>Raw_Claims_Data!L1282</f>
        <v>20</v>
      </c>
      <c r="M1283" t="str">
        <f>IF(Raw_Claims_Data!M1282="","N/A",Raw_Claims_Data!M1282)</f>
        <v>VNDR00284</v>
      </c>
      <c r="N1283" t="str">
        <f>Raw_Claims_Data!N1282</f>
        <v>AGENT00575</v>
      </c>
      <c r="O1283">
        <f>IF(Raw_Claims_Data!G1282="D",1,0)</f>
        <v>0</v>
      </c>
    </row>
    <row r="1284" spans="1:15" x14ac:dyDescent="0.35">
      <c r="A1284" t="str">
        <f>Raw_Claims_Data!A1283</f>
        <v>TXN00001280</v>
      </c>
      <c r="B1284" t="str">
        <f>TRIM(Raw_Claims_Data!B1283)</f>
        <v>Scott Cheek</v>
      </c>
      <c r="C1284" t="str">
        <f>Raw_Claims_Data!C1283</f>
        <v>Life</v>
      </c>
      <c r="D1284">
        <f>Raw_Claims_Data!D1283</f>
        <v>80.209999999999994</v>
      </c>
      <c r="E1284">
        <f>Raw_Claims_Data!E1283</f>
        <v>48000</v>
      </c>
      <c r="F1284" t="str">
        <f>Raw_Claims_Data!F1283</f>
        <v>TN</v>
      </c>
      <c r="G1284" t="str">
        <f>Raw_Claims_Data!G1283</f>
        <v>A</v>
      </c>
      <c r="H1284" t="str">
        <f>Raw_Claims_Data!H1283</f>
        <v>Total Loss</v>
      </c>
      <c r="I1284" t="str">
        <f>IF(Raw_Claims_Data!I1283="","None",Raw_Claims_Data!I1283)</f>
        <v>Police</v>
      </c>
      <c r="J1284" t="str">
        <f>Raw_Claims_Data!J1283</f>
        <v>Annapolis</v>
      </c>
      <c r="K1284" t="str">
        <f>Raw_Claims_Data!K1283</f>
        <v>MD</v>
      </c>
      <c r="L1284">
        <f>Raw_Claims_Data!L1283</f>
        <v>3</v>
      </c>
      <c r="M1284" t="str">
        <f>IF(Raw_Claims_Data!M1283="","N/A",Raw_Claims_Data!M1283)</f>
        <v>VNDR00568</v>
      </c>
      <c r="N1284" t="str">
        <f>Raw_Claims_Data!N1283</f>
        <v>AGENT00576</v>
      </c>
      <c r="O1284">
        <f>IF(Raw_Claims_Data!G1283="D",1,0)</f>
        <v>0</v>
      </c>
    </row>
    <row r="1285" spans="1:15" x14ac:dyDescent="0.35">
      <c r="A1285" t="str">
        <f>Raw_Claims_Data!A1284</f>
        <v>TXN00001281</v>
      </c>
      <c r="B1285" t="str">
        <f>TRIM(Raw_Claims_Data!B1284)</f>
        <v>Glenn Page</v>
      </c>
      <c r="C1285" t="str">
        <f>Raw_Claims_Data!C1284</f>
        <v>Life</v>
      </c>
      <c r="D1285">
        <f>Raw_Claims_Data!D1284</f>
        <v>80</v>
      </c>
      <c r="E1285">
        <f>Raw_Claims_Data!E1284</f>
        <v>20000</v>
      </c>
      <c r="F1285" t="str">
        <f>Raw_Claims_Data!F1284</f>
        <v>AR</v>
      </c>
      <c r="G1285" t="str">
        <f>Raw_Claims_Data!G1284</f>
        <v>A</v>
      </c>
      <c r="H1285" t="str">
        <f>Raw_Claims_Data!H1284</f>
        <v>Major Loss</v>
      </c>
      <c r="I1285" t="str">
        <f>IF(Raw_Claims_Data!I1284="","None",Raw_Claims_Data!I1284)</f>
        <v>Ambulance</v>
      </c>
      <c r="J1285" t="str">
        <f>Raw_Claims_Data!J1284</f>
        <v>Panama City</v>
      </c>
      <c r="K1285" t="str">
        <f>Raw_Claims_Data!K1284</f>
        <v>FL</v>
      </c>
      <c r="L1285">
        <f>Raw_Claims_Data!L1284</f>
        <v>0</v>
      </c>
      <c r="M1285" t="str">
        <f>IF(Raw_Claims_Data!M1284="","N/A",Raw_Claims_Data!M1284)</f>
        <v>VNDR00263</v>
      </c>
      <c r="N1285" t="str">
        <f>Raw_Claims_Data!N1284</f>
        <v>AGENT00937</v>
      </c>
      <c r="O1285">
        <f>IF(Raw_Claims_Data!G1284="D",1,0)</f>
        <v>0</v>
      </c>
    </row>
    <row r="1286" spans="1:15" x14ac:dyDescent="0.35">
      <c r="A1286" t="str">
        <f>Raw_Claims_Data!A1285</f>
        <v>TXN00001282</v>
      </c>
      <c r="B1286" t="str">
        <f>TRIM(Raw_Claims_Data!B1285)</f>
        <v>Melissa Honeycutt</v>
      </c>
      <c r="C1286" t="str">
        <f>Raw_Claims_Data!C1285</f>
        <v>Mobile</v>
      </c>
      <c r="D1286">
        <f>Raw_Claims_Data!D1285</f>
        <v>10.08</v>
      </c>
      <c r="E1286">
        <f>Raw_Claims_Data!E1285</f>
        <v>300</v>
      </c>
      <c r="F1286" t="str">
        <f>Raw_Claims_Data!F1285</f>
        <v>CA</v>
      </c>
      <c r="G1286" t="str">
        <f>Raw_Claims_Data!G1285</f>
        <v>A</v>
      </c>
      <c r="H1286" t="str">
        <f>Raw_Claims_Data!H1285</f>
        <v>Major Loss</v>
      </c>
      <c r="I1286" t="str">
        <f>IF(Raw_Claims_Data!I1285="","None",Raw_Claims_Data!I1285)</f>
        <v>Ambulance</v>
      </c>
      <c r="J1286" t="str">
        <f>Raw_Claims_Data!J1285</f>
        <v>Arvada</v>
      </c>
      <c r="K1286" t="str">
        <f>Raw_Claims_Data!K1285</f>
        <v>CO</v>
      </c>
      <c r="L1286">
        <f>Raw_Claims_Data!L1285</f>
        <v>12</v>
      </c>
      <c r="M1286" t="str">
        <f>IF(Raw_Claims_Data!M1285="","N/A",Raw_Claims_Data!M1285)</f>
        <v>N/A</v>
      </c>
      <c r="N1286" t="str">
        <f>Raw_Claims_Data!N1285</f>
        <v>AGENT00744</v>
      </c>
      <c r="O1286">
        <f>IF(Raw_Claims_Data!G1285="D",1,0)</f>
        <v>0</v>
      </c>
    </row>
    <row r="1287" spans="1:15" x14ac:dyDescent="0.35">
      <c r="A1287" t="str">
        <f>Raw_Claims_Data!A1286</f>
        <v>TXN00001283</v>
      </c>
      <c r="B1287" t="str">
        <f>TRIM(Raw_Claims_Data!B1286)</f>
        <v>Johnny Nelson</v>
      </c>
      <c r="C1287" t="str">
        <f>Raw_Claims_Data!C1286</f>
        <v>Mobile</v>
      </c>
      <c r="D1287">
        <f>Raw_Claims_Data!D1286</f>
        <v>11.44</v>
      </c>
      <c r="E1287">
        <f>Raw_Claims_Data!E1286</f>
        <v>400</v>
      </c>
      <c r="F1287" t="str">
        <f>Raw_Claims_Data!F1286</f>
        <v>OK</v>
      </c>
      <c r="G1287" t="str">
        <f>Raw_Claims_Data!G1286</f>
        <v>A</v>
      </c>
      <c r="H1287" t="str">
        <f>Raw_Claims_Data!H1286</f>
        <v>Major Loss</v>
      </c>
      <c r="I1287" t="str">
        <f>IF(Raw_Claims_Data!I1286="","None",Raw_Claims_Data!I1286)</f>
        <v>Police</v>
      </c>
      <c r="J1287" t="str">
        <f>Raw_Claims_Data!J1286</f>
        <v>Savannah</v>
      </c>
      <c r="K1287" t="str">
        <f>Raw_Claims_Data!K1286</f>
        <v>GA</v>
      </c>
      <c r="L1287">
        <f>Raw_Claims_Data!L1286</f>
        <v>14</v>
      </c>
      <c r="M1287" t="str">
        <f>IF(Raw_Claims_Data!M1286="","N/A",Raw_Claims_Data!M1286)</f>
        <v>N/A</v>
      </c>
      <c r="N1287" t="str">
        <f>Raw_Claims_Data!N1286</f>
        <v>AGENT01093</v>
      </c>
      <c r="O1287">
        <f>IF(Raw_Claims_Data!G1286="D",1,0)</f>
        <v>0</v>
      </c>
    </row>
    <row r="1288" spans="1:15" x14ac:dyDescent="0.35">
      <c r="A1288" t="str">
        <f>Raw_Claims_Data!A1287</f>
        <v>TXN00001284</v>
      </c>
      <c r="B1288" t="str">
        <f>TRIM(Raw_Claims_Data!B1287)</f>
        <v>Marilyn Stevens</v>
      </c>
      <c r="C1288" t="str">
        <f>Raw_Claims_Data!C1287</f>
        <v>Travel</v>
      </c>
      <c r="D1288">
        <f>Raw_Claims_Data!D1287</f>
        <v>85.47</v>
      </c>
      <c r="E1288">
        <f>Raw_Claims_Data!E1287</f>
        <v>4000</v>
      </c>
      <c r="F1288" t="str">
        <f>Raw_Claims_Data!F1287</f>
        <v>GA</v>
      </c>
      <c r="G1288" t="str">
        <f>Raw_Claims_Data!G1287</f>
        <v>A</v>
      </c>
      <c r="H1288" t="str">
        <f>Raw_Claims_Data!H1287</f>
        <v>Total Loss</v>
      </c>
      <c r="I1288" t="str">
        <f>IF(Raw_Claims_Data!I1287="","None",Raw_Claims_Data!I1287)</f>
        <v>None</v>
      </c>
      <c r="J1288" t="str">
        <f>Raw_Claims_Data!J1287</f>
        <v>Savannah</v>
      </c>
      <c r="K1288" t="str">
        <f>Raw_Claims_Data!K1287</f>
        <v>GA</v>
      </c>
      <c r="L1288">
        <f>Raw_Claims_Data!L1287</f>
        <v>18</v>
      </c>
      <c r="M1288" t="str">
        <f>IF(Raw_Claims_Data!M1287="","N/A",Raw_Claims_Data!M1287)</f>
        <v>N/A</v>
      </c>
      <c r="N1288" t="str">
        <f>Raw_Claims_Data!N1287</f>
        <v>AGENT00925</v>
      </c>
      <c r="O1288">
        <f>IF(Raw_Claims_Data!G1287="D",1,0)</f>
        <v>0</v>
      </c>
    </row>
    <row r="1289" spans="1:15" x14ac:dyDescent="0.35">
      <c r="A1289" t="str">
        <f>Raw_Claims_Data!A1288</f>
        <v>TXN00001285</v>
      </c>
      <c r="B1289" t="str">
        <f>TRIM(Raw_Claims_Data!B1288)</f>
        <v>James Coleman</v>
      </c>
      <c r="C1289" t="str">
        <f>Raw_Claims_Data!C1288</f>
        <v>Health</v>
      </c>
      <c r="D1289">
        <f>Raw_Claims_Data!D1288</f>
        <v>178.11</v>
      </c>
      <c r="E1289">
        <f>Raw_Claims_Data!E1288</f>
        <v>16000</v>
      </c>
      <c r="F1289" t="str">
        <f>Raw_Claims_Data!F1288</f>
        <v>DC</v>
      </c>
      <c r="G1289" t="str">
        <f>Raw_Claims_Data!G1288</f>
        <v>A</v>
      </c>
      <c r="H1289" t="str">
        <f>Raw_Claims_Data!H1288</f>
        <v>Total Loss</v>
      </c>
      <c r="I1289" t="str">
        <f>IF(Raw_Claims_Data!I1288="","None",Raw_Claims_Data!I1288)</f>
        <v>Other</v>
      </c>
      <c r="J1289" t="str">
        <f>Raw_Claims_Data!J1288</f>
        <v>Anchorage</v>
      </c>
      <c r="K1289" t="str">
        <f>Raw_Claims_Data!K1288</f>
        <v>AK</v>
      </c>
      <c r="L1289">
        <f>Raw_Claims_Data!L1288</f>
        <v>5</v>
      </c>
      <c r="M1289" t="str">
        <f>IF(Raw_Claims_Data!M1288="","N/A",Raw_Claims_Data!M1288)</f>
        <v>VNDR00562</v>
      </c>
      <c r="N1289" t="str">
        <f>Raw_Claims_Data!N1288</f>
        <v>AGENT01097</v>
      </c>
      <c r="O1289">
        <f>IF(Raw_Claims_Data!G1288="D",1,0)</f>
        <v>0</v>
      </c>
    </row>
    <row r="1290" spans="1:15" x14ac:dyDescent="0.35">
      <c r="A1290" t="str">
        <f>Raw_Claims_Data!A1289</f>
        <v>TXN00001286</v>
      </c>
      <c r="B1290" t="str">
        <f>TRIM(Raw_Claims_Data!B1289)</f>
        <v>Frances Watson</v>
      </c>
      <c r="C1290" t="str">
        <f>Raw_Claims_Data!C1289</f>
        <v>Motor</v>
      </c>
      <c r="D1290">
        <f>Raw_Claims_Data!D1289</f>
        <v>99.44</v>
      </c>
      <c r="E1290">
        <f>Raw_Claims_Data!E1289</f>
        <v>8000</v>
      </c>
      <c r="F1290" t="str">
        <f>Raw_Claims_Data!F1289</f>
        <v>AR</v>
      </c>
      <c r="G1290" t="str">
        <f>Raw_Claims_Data!G1289</f>
        <v>A</v>
      </c>
      <c r="H1290" t="str">
        <f>Raw_Claims_Data!H1289</f>
        <v>Minor Loss</v>
      </c>
      <c r="I1290" t="str">
        <f>IF(Raw_Claims_Data!I1289="","None",Raw_Claims_Data!I1289)</f>
        <v>None</v>
      </c>
      <c r="J1290" t="str">
        <f>Raw_Claims_Data!J1289</f>
        <v>Spencer</v>
      </c>
      <c r="K1290" t="str">
        <f>Raw_Claims_Data!K1289</f>
        <v>OK</v>
      </c>
      <c r="L1290">
        <f>Raw_Claims_Data!L1289</f>
        <v>12</v>
      </c>
      <c r="M1290" t="str">
        <f>IF(Raw_Claims_Data!M1289="","N/A",Raw_Claims_Data!M1289)</f>
        <v>VNDR00583</v>
      </c>
      <c r="N1290" t="str">
        <f>Raw_Claims_Data!N1289</f>
        <v>AGENT00825</v>
      </c>
      <c r="O1290">
        <f>IF(Raw_Claims_Data!G1289="D",1,0)</f>
        <v>0</v>
      </c>
    </row>
    <row r="1291" spans="1:15" x14ac:dyDescent="0.35">
      <c r="A1291" t="str">
        <f>Raw_Claims_Data!A1290</f>
        <v>TXN00001287</v>
      </c>
      <c r="B1291" t="str">
        <f>TRIM(Raw_Claims_Data!B1290)</f>
        <v>Christian Carp</v>
      </c>
      <c r="C1291" t="str">
        <f>Raw_Claims_Data!C1290</f>
        <v>Health</v>
      </c>
      <c r="D1291">
        <f>Raw_Claims_Data!D1290</f>
        <v>176.42</v>
      </c>
      <c r="E1291">
        <f>Raw_Claims_Data!E1290</f>
        <v>11000</v>
      </c>
      <c r="F1291" t="str">
        <f>Raw_Claims_Data!F1290</f>
        <v>AK</v>
      </c>
      <c r="G1291" t="str">
        <f>Raw_Claims_Data!G1290</f>
        <v>A</v>
      </c>
      <c r="H1291" t="str">
        <f>Raw_Claims_Data!H1290</f>
        <v>Total Loss</v>
      </c>
      <c r="I1291" t="str">
        <f>IF(Raw_Claims_Data!I1290="","None",Raw_Claims_Data!I1290)</f>
        <v>Police</v>
      </c>
      <c r="J1291" t="str">
        <f>Raw_Claims_Data!J1290</f>
        <v>Pooler</v>
      </c>
      <c r="K1291" t="str">
        <f>Raw_Claims_Data!K1290</f>
        <v>GA</v>
      </c>
      <c r="L1291">
        <f>Raw_Claims_Data!L1290</f>
        <v>20</v>
      </c>
      <c r="M1291" t="str">
        <f>IF(Raw_Claims_Data!M1290="","N/A",Raw_Claims_Data!M1290)</f>
        <v>N/A</v>
      </c>
      <c r="N1291" t="str">
        <f>Raw_Claims_Data!N1290</f>
        <v>AGENT00224</v>
      </c>
      <c r="O1291">
        <f>IF(Raw_Claims_Data!G1290="D",1,0)</f>
        <v>0</v>
      </c>
    </row>
    <row r="1292" spans="1:15" x14ac:dyDescent="0.35">
      <c r="A1292" t="str">
        <f>Raw_Claims_Data!A1291</f>
        <v>TXN00001288</v>
      </c>
      <c r="B1292" t="str">
        <f>TRIM(Raw_Claims_Data!B1291)</f>
        <v>Patricia Webb</v>
      </c>
      <c r="C1292" t="str">
        <f>Raw_Claims_Data!C1291</f>
        <v>Motor</v>
      </c>
      <c r="D1292">
        <f>Raw_Claims_Data!D1291</f>
        <v>77.92</v>
      </c>
      <c r="E1292">
        <f>Raw_Claims_Data!E1291</f>
        <v>7000</v>
      </c>
      <c r="F1292" t="str">
        <f>Raw_Claims_Data!F1291</f>
        <v>OK</v>
      </c>
      <c r="G1292" t="str">
        <f>Raw_Claims_Data!G1291</f>
        <v>A</v>
      </c>
      <c r="H1292" t="str">
        <f>Raw_Claims_Data!H1291</f>
        <v>Minor Loss</v>
      </c>
      <c r="I1292" t="str">
        <f>IF(Raw_Claims_Data!I1291="","None",Raw_Claims_Data!I1291)</f>
        <v>Police</v>
      </c>
      <c r="J1292" t="str">
        <f>Raw_Claims_Data!J1291</f>
        <v>Savannah</v>
      </c>
      <c r="K1292" t="str">
        <f>Raw_Claims_Data!K1291</f>
        <v>GA</v>
      </c>
      <c r="L1292">
        <f>Raw_Claims_Data!L1291</f>
        <v>2</v>
      </c>
      <c r="M1292" t="str">
        <f>IF(Raw_Claims_Data!M1291="","N/A",Raw_Claims_Data!M1291)</f>
        <v>VNDR00122</v>
      </c>
      <c r="N1292" t="str">
        <f>Raw_Claims_Data!N1291</f>
        <v>AGENT00482</v>
      </c>
      <c r="O1292">
        <f>IF(Raw_Claims_Data!G1291="D",1,0)</f>
        <v>0</v>
      </c>
    </row>
    <row r="1293" spans="1:15" x14ac:dyDescent="0.35">
      <c r="A1293" t="str">
        <f>Raw_Claims_Data!A1292</f>
        <v>TXN00001289</v>
      </c>
      <c r="B1293" t="str">
        <f>TRIM(Raw_Claims_Data!B1292)</f>
        <v>Robert Beaufort</v>
      </c>
      <c r="C1293" t="str">
        <f>Raw_Claims_Data!C1292</f>
        <v>Property</v>
      </c>
      <c r="D1293">
        <f>Raw_Claims_Data!D1292</f>
        <v>117.55</v>
      </c>
      <c r="E1293">
        <f>Raw_Claims_Data!E1292</f>
        <v>38000</v>
      </c>
      <c r="F1293" t="str">
        <f>Raw_Claims_Data!F1292</f>
        <v>FL</v>
      </c>
      <c r="G1293" t="str">
        <f>Raw_Claims_Data!G1292</f>
        <v>A</v>
      </c>
      <c r="H1293" t="str">
        <f>Raw_Claims_Data!H1292</f>
        <v>Minor Loss</v>
      </c>
      <c r="I1293" t="str">
        <f>IF(Raw_Claims_Data!I1292="","None",Raw_Claims_Data!I1292)</f>
        <v>Other</v>
      </c>
      <c r="J1293" t="str">
        <f>Raw_Claims_Data!J1292</f>
        <v>Nashville</v>
      </c>
      <c r="K1293" t="str">
        <f>Raw_Claims_Data!K1292</f>
        <v>TN</v>
      </c>
      <c r="L1293">
        <f>Raw_Claims_Data!L1292</f>
        <v>22</v>
      </c>
      <c r="M1293" t="str">
        <f>IF(Raw_Claims_Data!M1292="","N/A",Raw_Claims_Data!M1292)</f>
        <v>VNDR00250</v>
      </c>
      <c r="N1293" t="str">
        <f>Raw_Claims_Data!N1292</f>
        <v>AGENT00588</v>
      </c>
      <c r="O1293">
        <f>IF(Raw_Claims_Data!G1292="D",1,0)</f>
        <v>0</v>
      </c>
    </row>
    <row r="1294" spans="1:15" x14ac:dyDescent="0.35">
      <c r="A1294" t="str">
        <f>Raw_Claims_Data!A1293</f>
        <v>TXN00001290</v>
      </c>
      <c r="B1294" t="str">
        <f>TRIM(Raw_Claims_Data!B1293)</f>
        <v>Pamela Withers</v>
      </c>
      <c r="C1294" t="str">
        <f>Raw_Claims_Data!C1293</f>
        <v>Mobile</v>
      </c>
      <c r="D1294">
        <f>Raw_Claims_Data!D1293</f>
        <v>11.19</v>
      </c>
      <c r="E1294">
        <f>Raw_Claims_Data!E1293</f>
        <v>400</v>
      </c>
      <c r="F1294" t="str">
        <f>Raw_Claims_Data!F1293</f>
        <v>TN</v>
      </c>
      <c r="G1294" t="str">
        <f>Raw_Claims_Data!G1293</f>
        <v>D</v>
      </c>
      <c r="H1294" t="str">
        <f>Raw_Claims_Data!H1293</f>
        <v>Major Loss</v>
      </c>
      <c r="I1294" t="str">
        <f>IF(Raw_Claims_Data!I1293="","None",Raw_Claims_Data!I1293)</f>
        <v>Police</v>
      </c>
      <c r="J1294" t="str">
        <f>Raw_Claims_Data!J1293</f>
        <v>Fayetteville</v>
      </c>
      <c r="K1294" t="str">
        <f>Raw_Claims_Data!K1293</f>
        <v>AR</v>
      </c>
      <c r="L1294">
        <f>Raw_Claims_Data!L1293</f>
        <v>6</v>
      </c>
      <c r="M1294" t="str">
        <f>IF(Raw_Claims_Data!M1293="","N/A",Raw_Claims_Data!M1293)</f>
        <v>VNDR00597</v>
      </c>
      <c r="N1294" t="str">
        <f>Raw_Claims_Data!N1293</f>
        <v>AGENT00750</v>
      </c>
      <c r="O1294">
        <f>IF(Raw_Claims_Data!G1293="D",1,0)</f>
        <v>1</v>
      </c>
    </row>
    <row r="1295" spans="1:15" x14ac:dyDescent="0.35">
      <c r="A1295" t="str">
        <f>Raw_Claims_Data!A1294</f>
        <v>TXN00001291</v>
      </c>
      <c r="B1295" t="str">
        <f>TRIM(Raw_Claims_Data!B1294)</f>
        <v>Mark Crosby</v>
      </c>
      <c r="C1295" t="str">
        <f>Raw_Claims_Data!C1294</f>
        <v>Life</v>
      </c>
      <c r="D1295">
        <f>Raw_Claims_Data!D1294</f>
        <v>65.349999999999994</v>
      </c>
      <c r="E1295">
        <f>Raw_Claims_Data!E1294</f>
        <v>51000</v>
      </c>
      <c r="F1295" t="str">
        <f>Raw_Claims_Data!F1294</f>
        <v>CA</v>
      </c>
      <c r="G1295" t="str">
        <f>Raw_Claims_Data!G1294</f>
        <v>A</v>
      </c>
      <c r="H1295" t="str">
        <f>Raw_Claims_Data!H1294</f>
        <v>Total Loss</v>
      </c>
      <c r="I1295" t="str">
        <f>IF(Raw_Claims_Data!I1294="","None",Raw_Claims_Data!I1294)</f>
        <v>Other</v>
      </c>
      <c r="J1295" t="str">
        <f>Raw_Claims_Data!J1294</f>
        <v>Washington</v>
      </c>
      <c r="K1295" t="str">
        <f>Raw_Claims_Data!K1294</f>
        <v>DC</v>
      </c>
      <c r="L1295">
        <f>Raw_Claims_Data!L1294</f>
        <v>6</v>
      </c>
      <c r="M1295" t="str">
        <f>IF(Raw_Claims_Data!M1294="","N/A",Raw_Claims_Data!M1294)</f>
        <v>N/A</v>
      </c>
      <c r="N1295" t="str">
        <f>Raw_Claims_Data!N1294</f>
        <v>AGENT00104</v>
      </c>
      <c r="O1295">
        <f>IF(Raw_Claims_Data!G1294="D",1,0)</f>
        <v>0</v>
      </c>
    </row>
    <row r="1296" spans="1:15" x14ac:dyDescent="0.35">
      <c r="A1296" t="str">
        <f>Raw_Claims_Data!A1295</f>
        <v>TXN00001292</v>
      </c>
      <c r="B1296" t="str">
        <f>TRIM(Raw_Claims_Data!B1295)</f>
        <v>Carl Leblanc</v>
      </c>
      <c r="C1296" t="str">
        <f>Raw_Claims_Data!C1295</f>
        <v>Life</v>
      </c>
      <c r="D1296">
        <f>Raw_Claims_Data!D1295</f>
        <v>88.68</v>
      </c>
      <c r="E1296">
        <f>Raw_Claims_Data!E1295</f>
        <v>41000</v>
      </c>
      <c r="F1296" t="str">
        <f>Raw_Claims_Data!F1295</f>
        <v>AL</v>
      </c>
      <c r="G1296" t="str">
        <f>Raw_Claims_Data!G1295</f>
        <v>A</v>
      </c>
      <c r="H1296" t="str">
        <f>Raw_Claims_Data!H1295</f>
        <v>Total Loss</v>
      </c>
      <c r="I1296" t="str">
        <f>IF(Raw_Claims_Data!I1295="","None",Raw_Claims_Data!I1295)</f>
        <v>None</v>
      </c>
      <c r="J1296" t="str">
        <f>Raw_Claims_Data!J1295</f>
        <v>Arvada</v>
      </c>
      <c r="K1296" t="str">
        <f>Raw_Claims_Data!K1295</f>
        <v>CO</v>
      </c>
      <c r="L1296">
        <f>Raw_Claims_Data!L1295</f>
        <v>5</v>
      </c>
      <c r="M1296" t="str">
        <f>IF(Raw_Claims_Data!M1295="","N/A",Raw_Claims_Data!M1295)</f>
        <v>VNDR00067</v>
      </c>
      <c r="N1296" t="str">
        <f>Raw_Claims_Data!N1295</f>
        <v>AGENT00653</v>
      </c>
      <c r="O1296">
        <f>IF(Raw_Claims_Data!G1295="D",1,0)</f>
        <v>0</v>
      </c>
    </row>
    <row r="1297" spans="1:15" x14ac:dyDescent="0.35">
      <c r="A1297" t="str">
        <f>Raw_Claims_Data!A1296</f>
        <v>TXN00001293</v>
      </c>
      <c r="B1297" t="str">
        <f>TRIM(Raw_Claims_Data!B1296)</f>
        <v>Brian Lewis</v>
      </c>
      <c r="C1297" t="str">
        <f>Raw_Claims_Data!C1296</f>
        <v>Motor</v>
      </c>
      <c r="D1297">
        <f>Raw_Claims_Data!D1296</f>
        <v>89.54</v>
      </c>
      <c r="E1297">
        <f>Raw_Claims_Data!E1296</f>
        <v>6000</v>
      </c>
      <c r="F1297" t="str">
        <f>Raw_Claims_Data!F1296</f>
        <v>CO</v>
      </c>
      <c r="G1297" t="str">
        <f>Raw_Claims_Data!G1296</f>
        <v>D</v>
      </c>
      <c r="H1297" t="str">
        <f>Raw_Claims_Data!H1296</f>
        <v>Total Loss</v>
      </c>
      <c r="I1297" t="str">
        <f>IF(Raw_Claims_Data!I1296="","None",Raw_Claims_Data!I1296)</f>
        <v>Ambulance</v>
      </c>
      <c r="J1297" t="str">
        <f>Raw_Claims_Data!J1296</f>
        <v>Manchester</v>
      </c>
      <c r="K1297" t="str">
        <f>Raw_Claims_Data!K1296</f>
        <v>CT</v>
      </c>
      <c r="L1297">
        <f>Raw_Claims_Data!L1296</f>
        <v>23</v>
      </c>
      <c r="M1297" t="str">
        <f>IF(Raw_Claims_Data!M1296="","N/A",Raw_Claims_Data!M1296)</f>
        <v>VNDR00126</v>
      </c>
      <c r="N1297" t="str">
        <f>Raw_Claims_Data!N1296</f>
        <v>AGENT00374</v>
      </c>
      <c r="O1297">
        <f>IF(Raw_Claims_Data!G1296="D",1,0)</f>
        <v>1</v>
      </c>
    </row>
    <row r="1298" spans="1:15" x14ac:dyDescent="0.35">
      <c r="A1298" t="str">
        <f>Raw_Claims_Data!A1297</f>
        <v>TXN00001294</v>
      </c>
      <c r="B1298" t="str">
        <f>TRIM(Raw_Claims_Data!B1297)</f>
        <v>George Mccarthy</v>
      </c>
      <c r="C1298" t="str">
        <f>Raw_Claims_Data!C1297</f>
        <v>Motor</v>
      </c>
      <c r="D1298">
        <f>Raw_Claims_Data!D1297</f>
        <v>93.43</v>
      </c>
      <c r="E1298">
        <f>Raw_Claims_Data!E1297</f>
        <v>7000</v>
      </c>
      <c r="F1298" t="str">
        <f>Raw_Claims_Data!F1297</f>
        <v>CA</v>
      </c>
      <c r="G1298" t="str">
        <f>Raw_Claims_Data!G1297</f>
        <v>A</v>
      </c>
      <c r="H1298" t="str">
        <f>Raw_Claims_Data!H1297</f>
        <v>Major Loss</v>
      </c>
      <c r="I1298" t="str">
        <f>IF(Raw_Claims_Data!I1297="","None",Raw_Claims_Data!I1297)</f>
        <v>Ambulance</v>
      </c>
      <c r="J1298" t="str">
        <f>Raw_Claims_Data!J1297</f>
        <v>Louisville</v>
      </c>
      <c r="K1298" t="str">
        <f>Raw_Claims_Data!K1297</f>
        <v>KY</v>
      </c>
      <c r="L1298">
        <f>Raw_Claims_Data!L1297</f>
        <v>10</v>
      </c>
      <c r="M1298" t="str">
        <f>IF(Raw_Claims_Data!M1297="","N/A",Raw_Claims_Data!M1297)</f>
        <v>N/A</v>
      </c>
      <c r="N1298" t="str">
        <f>Raw_Claims_Data!N1297</f>
        <v>AGENT00443</v>
      </c>
      <c r="O1298">
        <f>IF(Raw_Claims_Data!G1297="D",1,0)</f>
        <v>0</v>
      </c>
    </row>
    <row r="1299" spans="1:15" x14ac:dyDescent="0.35">
      <c r="A1299" t="str">
        <f>Raw_Claims_Data!A1298</f>
        <v>TXN00001295</v>
      </c>
      <c r="B1299" t="str">
        <f>TRIM(Raw_Claims_Data!B1298)</f>
        <v>Lucy Garrett</v>
      </c>
      <c r="C1299" t="str">
        <f>Raw_Claims_Data!C1298</f>
        <v>Life</v>
      </c>
      <c r="D1299">
        <f>Raw_Claims_Data!D1298</f>
        <v>65.92</v>
      </c>
      <c r="E1299">
        <f>Raw_Claims_Data!E1298</f>
        <v>36000</v>
      </c>
      <c r="F1299" t="str">
        <f>Raw_Claims_Data!F1298</f>
        <v>FL</v>
      </c>
      <c r="G1299" t="str">
        <f>Raw_Claims_Data!G1298</f>
        <v>A</v>
      </c>
      <c r="H1299" t="str">
        <f>Raw_Claims_Data!H1298</f>
        <v>Total Loss</v>
      </c>
      <c r="I1299" t="str">
        <f>IF(Raw_Claims_Data!I1298="","None",Raw_Claims_Data!I1298)</f>
        <v>Police</v>
      </c>
      <c r="J1299" t="str">
        <f>Raw_Claims_Data!J1298</f>
        <v>Arvada</v>
      </c>
      <c r="K1299" t="str">
        <f>Raw_Claims_Data!K1298</f>
        <v>CO</v>
      </c>
      <c r="L1299">
        <f>Raw_Claims_Data!L1298</f>
        <v>15</v>
      </c>
      <c r="M1299" t="str">
        <f>IF(Raw_Claims_Data!M1298="","N/A",Raw_Claims_Data!M1298)</f>
        <v>VNDR00008</v>
      </c>
      <c r="N1299" t="str">
        <f>Raw_Claims_Data!N1298</f>
        <v>AGENT00682</v>
      </c>
      <c r="O1299">
        <f>IF(Raw_Claims_Data!G1298="D",1,0)</f>
        <v>0</v>
      </c>
    </row>
    <row r="1300" spans="1:15" x14ac:dyDescent="0.35">
      <c r="A1300" t="str">
        <f>Raw_Claims_Data!A1299</f>
        <v>TXN00001296</v>
      </c>
      <c r="B1300" t="str">
        <f>TRIM(Raw_Claims_Data!B1299)</f>
        <v>Mary Beard</v>
      </c>
      <c r="C1300" t="str">
        <f>Raw_Claims_Data!C1299</f>
        <v>Health</v>
      </c>
      <c r="D1300">
        <f>Raw_Claims_Data!D1299</f>
        <v>110.68</v>
      </c>
      <c r="E1300">
        <f>Raw_Claims_Data!E1299</f>
        <v>6000</v>
      </c>
      <c r="F1300" t="str">
        <f>Raw_Claims_Data!F1299</f>
        <v>CT</v>
      </c>
      <c r="G1300" t="str">
        <f>Raw_Claims_Data!G1299</f>
        <v>A</v>
      </c>
      <c r="H1300" t="str">
        <f>Raw_Claims_Data!H1299</f>
        <v>Major Loss</v>
      </c>
      <c r="I1300" t="str">
        <f>IF(Raw_Claims_Data!I1299="","None",Raw_Claims_Data!I1299)</f>
        <v>Police</v>
      </c>
      <c r="J1300" t="str">
        <f>Raw_Claims_Data!J1299</f>
        <v>Fayetteville</v>
      </c>
      <c r="K1300" t="str">
        <f>Raw_Claims_Data!K1299</f>
        <v>AR</v>
      </c>
      <c r="L1300">
        <f>Raw_Claims_Data!L1299</f>
        <v>11</v>
      </c>
      <c r="M1300" t="str">
        <f>IF(Raw_Claims_Data!M1299="","N/A",Raw_Claims_Data!M1299)</f>
        <v>VNDR00470</v>
      </c>
      <c r="N1300" t="str">
        <f>Raw_Claims_Data!N1299</f>
        <v>AGENT00049</v>
      </c>
      <c r="O1300">
        <f>IF(Raw_Claims_Data!G1299="D",1,0)</f>
        <v>0</v>
      </c>
    </row>
    <row r="1301" spans="1:15" x14ac:dyDescent="0.35">
      <c r="A1301" t="str">
        <f>Raw_Claims_Data!A1300</f>
        <v>TXN00001297</v>
      </c>
      <c r="B1301" t="str">
        <f>TRIM(Raw_Claims_Data!B1300)</f>
        <v>Joseph Caughey</v>
      </c>
      <c r="C1301" t="str">
        <f>Raw_Claims_Data!C1300</f>
        <v>Property</v>
      </c>
      <c r="D1301">
        <f>Raw_Claims_Data!D1300</f>
        <v>90.18</v>
      </c>
      <c r="E1301">
        <f>Raw_Claims_Data!E1300</f>
        <v>34000</v>
      </c>
      <c r="F1301" t="str">
        <f>Raw_Claims_Data!F1300</f>
        <v>AZ</v>
      </c>
      <c r="G1301" t="str">
        <f>Raw_Claims_Data!G1300</f>
        <v>A</v>
      </c>
      <c r="H1301" t="str">
        <f>Raw_Claims_Data!H1300</f>
        <v>Major Loss</v>
      </c>
      <c r="I1301" t="str">
        <f>IF(Raw_Claims_Data!I1300="","None",Raw_Claims_Data!I1300)</f>
        <v>Ambulance</v>
      </c>
      <c r="J1301" t="str">
        <f>Raw_Claims_Data!J1300</f>
        <v>Louisville</v>
      </c>
      <c r="K1301" t="str">
        <f>Raw_Claims_Data!K1300</f>
        <v>KY</v>
      </c>
      <c r="L1301">
        <f>Raw_Claims_Data!L1300</f>
        <v>12</v>
      </c>
      <c r="M1301" t="str">
        <f>IF(Raw_Claims_Data!M1300="","N/A",Raw_Claims_Data!M1300)</f>
        <v>N/A</v>
      </c>
      <c r="N1301" t="str">
        <f>Raw_Claims_Data!N1300</f>
        <v>AGENT00521</v>
      </c>
      <c r="O1301">
        <f>IF(Raw_Claims_Data!G1300="D",1,0)</f>
        <v>0</v>
      </c>
    </row>
    <row r="1302" spans="1:15" x14ac:dyDescent="0.35">
      <c r="A1302" t="str">
        <f>Raw_Claims_Data!A1301</f>
        <v>TXN00001298</v>
      </c>
      <c r="B1302" t="str">
        <f>TRIM(Raw_Claims_Data!B1301)</f>
        <v>Steven Lee</v>
      </c>
      <c r="C1302" t="str">
        <f>Raw_Claims_Data!C1301</f>
        <v>Property</v>
      </c>
      <c r="D1302">
        <f>Raw_Claims_Data!D1301</f>
        <v>143.88999999999999</v>
      </c>
      <c r="E1302">
        <f>Raw_Claims_Data!E1301</f>
        <v>17000</v>
      </c>
      <c r="F1302" t="str">
        <f>Raw_Claims_Data!F1301</f>
        <v>CA</v>
      </c>
      <c r="G1302" t="str">
        <f>Raw_Claims_Data!G1301</f>
        <v>A</v>
      </c>
      <c r="H1302" t="str">
        <f>Raw_Claims_Data!H1301</f>
        <v>Total Loss</v>
      </c>
      <c r="I1302" t="str">
        <f>IF(Raw_Claims_Data!I1301="","None",Raw_Claims_Data!I1301)</f>
        <v>Ambulance</v>
      </c>
      <c r="J1302" t="str">
        <f>Raw_Claims_Data!J1301</f>
        <v>Nashville</v>
      </c>
      <c r="K1302" t="str">
        <f>Raw_Claims_Data!K1301</f>
        <v>TN</v>
      </c>
      <c r="L1302">
        <f>Raw_Claims_Data!L1301</f>
        <v>19</v>
      </c>
      <c r="M1302" t="str">
        <f>IF(Raw_Claims_Data!M1301="","N/A",Raw_Claims_Data!M1301)</f>
        <v>VNDR00394</v>
      </c>
      <c r="N1302" t="str">
        <f>Raw_Claims_Data!N1301</f>
        <v>AGENT01192</v>
      </c>
      <c r="O1302">
        <f>IF(Raw_Claims_Data!G1301="D",1,0)</f>
        <v>0</v>
      </c>
    </row>
    <row r="1303" spans="1:15" x14ac:dyDescent="0.35">
      <c r="A1303" t="str">
        <f>Raw_Claims_Data!A1302</f>
        <v>TXN00001299</v>
      </c>
      <c r="B1303" t="str">
        <f>TRIM(Raw_Claims_Data!B1302)</f>
        <v>Reginald Lewis</v>
      </c>
      <c r="C1303" t="str">
        <f>Raw_Claims_Data!C1302</f>
        <v>Mobile</v>
      </c>
      <c r="D1303">
        <f>Raw_Claims_Data!D1302</f>
        <v>8.2899999999999991</v>
      </c>
      <c r="E1303">
        <f>Raw_Claims_Data!E1302</f>
        <v>700</v>
      </c>
      <c r="F1303" t="str">
        <f>Raw_Claims_Data!F1302</f>
        <v>CT</v>
      </c>
      <c r="G1303" t="str">
        <f>Raw_Claims_Data!G1302</f>
        <v>A</v>
      </c>
      <c r="H1303" t="str">
        <f>Raw_Claims_Data!H1302</f>
        <v>Minor Loss</v>
      </c>
      <c r="I1303" t="str">
        <f>IF(Raw_Claims_Data!I1302="","None",Raw_Claims_Data!I1302)</f>
        <v>Other</v>
      </c>
      <c r="J1303" t="str">
        <f>Raw_Claims_Data!J1302</f>
        <v>Arvada</v>
      </c>
      <c r="K1303" t="str">
        <f>Raw_Claims_Data!K1302</f>
        <v>CO</v>
      </c>
      <c r="L1303">
        <f>Raw_Claims_Data!L1302</f>
        <v>9</v>
      </c>
      <c r="M1303" t="str">
        <f>IF(Raw_Claims_Data!M1302="","N/A",Raw_Claims_Data!M1302)</f>
        <v>N/A</v>
      </c>
      <c r="N1303" t="str">
        <f>Raw_Claims_Data!N1302</f>
        <v>AGENT00490</v>
      </c>
      <c r="O1303">
        <f>IF(Raw_Claims_Data!G1302="D",1,0)</f>
        <v>0</v>
      </c>
    </row>
    <row r="1304" spans="1:15" x14ac:dyDescent="0.35">
      <c r="A1304" t="str">
        <f>Raw_Claims_Data!A1303</f>
        <v>TXN00001300</v>
      </c>
      <c r="B1304" t="str">
        <f>TRIM(Raw_Claims_Data!B1303)</f>
        <v>Donnie Brown</v>
      </c>
      <c r="C1304" t="str">
        <f>Raw_Claims_Data!C1303</f>
        <v>Motor</v>
      </c>
      <c r="D1304">
        <f>Raw_Claims_Data!D1303</f>
        <v>75.11</v>
      </c>
      <c r="E1304">
        <f>Raw_Claims_Data!E1303</f>
        <v>8000</v>
      </c>
      <c r="F1304" t="str">
        <f>Raw_Claims_Data!F1303</f>
        <v>GA</v>
      </c>
      <c r="G1304" t="str">
        <f>Raw_Claims_Data!G1303</f>
        <v>A</v>
      </c>
      <c r="H1304" t="str">
        <f>Raw_Claims_Data!H1303</f>
        <v>Total Loss</v>
      </c>
      <c r="I1304" t="str">
        <f>IF(Raw_Claims_Data!I1303="","None",Raw_Claims_Data!I1303)</f>
        <v>None</v>
      </c>
      <c r="J1304" t="str">
        <f>Raw_Claims_Data!J1303</f>
        <v>Edgewater</v>
      </c>
      <c r="K1304" t="str">
        <f>Raw_Claims_Data!K1303</f>
        <v>MD</v>
      </c>
      <c r="L1304">
        <f>Raw_Claims_Data!L1303</f>
        <v>16</v>
      </c>
      <c r="M1304" t="str">
        <f>IF(Raw_Claims_Data!M1303="","N/A",Raw_Claims_Data!M1303)</f>
        <v>VNDR00078</v>
      </c>
      <c r="N1304" t="str">
        <f>Raw_Claims_Data!N1303</f>
        <v>AGENT01183</v>
      </c>
      <c r="O1304">
        <f>IF(Raw_Claims_Data!G1303="D",1,0)</f>
        <v>0</v>
      </c>
    </row>
    <row r="1305" spans="1:15" x14ac:dyDescent="0.35">
      <c r="A1305" t="str">
        <f>Raw_Claims_Data!A1304</f>
        <v>TXN00001301</v>
      </c>
      <c r="B1305" t="str">
        <f>TRIM(Raw_Claims_Data!B1304)</f>
        <v>Kevin Rodriguez</v>
      </c>
      <c r="C1305" t="str">
        <f>Raw_Claims_Data!C1304</f>
        <v>Life</v>
      </c>
      <c r="D1305">
        <f>Raw_Claims_Data!D1304</f>
        <v>52.43</v>
      </c>
      <c r="E1305">
        <f>Raw_Claims_Data!E1304</f>
        <v>89000</v>
      </c>
      <c r="F1305" t="str">
        <f>Raw_Claims_Data!F1304</f>
        <v>FL</v>
      </c>
      <c r="G1305" t="str">
        <f>Raw_Claims_Data!G1304</f>
        <v>A</v>
      </c>
      <c r="H1305" t="str">
        <f>Raw_Claims_Data!H1304</f>
        <v>Total Loss</v>
      </c>
      <c r="I1305" t="str">
        <f>IF(Raw_Claims_Data!I1304="","None",Raw_Claims_Data!I1304)</f>
        <v>Ambulance</v>
      </c>
      <c r="J1305" t="str">
        <f>Raw_Claims_Data!J1304</f>
        <v>Glen Burnie</v>
      </c>
      <c r="K1305" t="str">
        <f>Raw_Claims_Data!K1304</f>
        <v>MD</v>
      </c>
      <c r="L1305">
        <f>Raw_Claims_Data!L1304</f>
        <v>17</v>
      </c>
      <c r="M1305" t="str">
        <f>IF(Raw_Claims_Data!M1304="","N/A",Raw_Claims_Data!M1304)</f>
        <v>VNDR00031</v>
      </c>
      <c r="N1305" t="str">
        <f>Raw_Claims_Data!N1304</f>
        <v>AGENT00177</v>
      </c>
      <c r="O1305">
        <f>IF(Raw_Claims_Data!G1304="D",1,0)</f>
        <v>0</v>
      </c>
    </row>
    <row r="1306" spans="1:15" x14ac:dyDescent="0.35">
      <c r="A1306" t="str">
        <f>Raw_Claims_Data!A1305</f>
        <v>TXN00001302</v>
      </c>
      <c r="B1306" t="str">
        <f>TRIM(Raw_Claims_Data!B1305)</f>
        <v>Alex Musto</v>
      </c>
      <c r="C1306" t="str">
        <f>Raw_Claims_Data!C1305</f>
        <v>Travel</v>
      </c>
      <c r="D1306">
        <f>Raw_Claims_Data!D1305</f>
        <v>83.57</v>
      </c>
      <c r="E1306">
        <f>Raw_Claims_Data!E1305</f>
        <v>1000</v>
      </c>
      <c r="F1306" t="str">
        <f>Raw_Claims_Data!F1305</f>
        <v>TN</v>
      </c>
      <c r="G1306" t="str">
        <f>Raw_Claims_Data!G1305</f>
        <v>A</v>
      </c>
      <c r="H1306" t="str">
        <f>Raw_Claims_Data!H1305</f>
        <v>Major Loss</v>
      </c>
      <c r="I1306" t="str">
        <f>IF(Raw_Claims_Data!I1305="","None",Raw_Claims_Data!I1305)</f>
        <v>Ambulance</v>
      </c>
      <c r="J1306" t="str">
        <f>Raw_Claims_Data!J1305</f>
        <v>Nashville</v>
      </c>
      <c r="K1306" t="str">
        <f>Raw_Claims_Data!K1305</f>
        <v>TN</v>
      </c>
      <c r="L1306">
        <f>Raw_Claims_Data!L1305</f>
        <v>10</v>
      </c>
      <c r="M1306" t="str">
        <f>IF(Raw_Claims_Data!M1305="","N/A",Raw_Claims_Data!M1305)</f>
        <v>N/A</v>
      </c>
      <c r="N1306" t="str">
        <f>Raw_Claims_Data!N1305</f>
        <v>AGENT00547</v>
      </c>
      <c r="O1306">
        <f>IF(Raw_Claims_Data!G1305="D",1,0)</f>
        <v>0</v>
      </c>
    </row>
    <row r="1307" spans="1:15" x14ac:dyDescent="0.35">
      <c r="A1307" t="str">
        <f>Raw_Claims_Data!A1306</f>
        <v>TXN00001303</v>
      </c>
      <c r="B1307" t="str">
        <f>TRIM(Raw_Claims_Data!B1306)</f>
        <v>Lisa Gholston</v>
      </c>
      <c r="C1307" t="str">
        <f>Raw_Claims_Data!C1306</f>
        <v>Life</v>
      </c>
      <c r="D1307">
        <f>Raw_Claims_Data!D1306</f>
        <v>63.95</v>
      </c>
      <c r="E1307">
        <f>Raw_Claims_Data!E1306</f>
        <v>41000</v>
      </c>
      <c r="F1307" t="str">
        <f>Raw_Claims_Data!F1306</f>
        <v>FL</v>
      </c>
      <c r="G1307" t="str">
        <f>Raw_Claims_Data!G1306</f>
        <v>A</v>
      </c>
      <c r="H1307" t="str">
        <f>Raw_Claims_Data!H1306</f>
        <v>Minor Loss</v>
      </c>
      <c r="I1307" t="str">
        <f>IF(Raw_Claims_Data!I1306="","None",Raw_Claims_Data!I1306)</f>
        <v>Other</v>
      </c>
      <c r="J1307" t="str">
        <f>Raw_Claims_Data!J1306</f>
        <v>Grass Valley</v>
      </c>
      <c r="K1307" t="str">
        <f>Raw_Claims_Data!K1306</f>
        <v>CA</v>
      </c>
      <c r="L1307">
        <f>Raw_Claims_Data!L1306</f>
        <v>3</v>
      </c>
      <c r="M1307" t="str">
        <f>IF(Raw_Claims_Data!M1306="","N/A",Raw_Claims_Data!M1306)</f>
        <v>VNDR00425</v>
      </c>
      <c r="N1307" t="str">
        <f>Raw_Claims_Data!N1306</f>
        <v>AGENT00384</v>
      </c>
      <c r="O1307">
        <f>IF(Raw_Claims_Data!G1306="D",1,0)</f>
        <v>0</v>
      </c>
    </row>
    <row r="1308" spans="1:15" x14ac:dyDescent="0.35">
      <c r="A1308" t="str">
        <f>Raw_Claims_Data!A1307</f>
        <v>TXN00001304</v>
      </c>
      <c r="B1308" t="str">
        <f>TRIM(Raw_Claims_Data!B1307)</f>
        <v>Elisa Farkas</v>
      </c>
      <c r="C1308" t="str">
        <f>Raw_Claims_Data!C1307</f>
        <v>Mobile</v>
      </c>
      <c r="D1308">
        <f>Raw_Claims_Data!D1307</f>
        <v>9.3000000000000007</v>
      </c>
      <c r="E1308">
        <f>Raw_Claims_Data!E1307</f>
        <v>400</v>
      </c>
      <c r="F1308" t="str">
        <f>Raw_Claims_Data!F1307</f>
        <v>TN</v>
      </c>
      <c r="G1308" t="str">
        <f>Raw_Claims_Data!G1307</f>
        <v>D</v>
      </c>
      <c r="H1308" t="str">
        <f>Raw_Claims_Data!H1307</f>
        <v>Major Loss</v>
      </c>
      <c r="I1308" t="str">
        <f>IF(Raw_Claims_Data!I1307="","None",Raw_Claims_Data!I1307)</f>
        <v>Other</v>
      </c>
      <c r="J1308" t="str">
        <f>Raw_Claims_Data!J1307</f>
        <v>Easthampton</v>
      </c>
      <c r="K1308" t="str">
        <f>Raw_Claims_Data!K1307</f>
        <v>MA</v>
      </c>
      <c r="L1308">
        <f>Raw_Claims_Data!L1307</f>
        <v>19</v>
      </c>
      <c r="M1308" t="str">
        <f>IF(Raw_Claims_Data!M1307="","N/A",Raw_Claims_Data!M1307)</f>
        <v>N/A</v>
      </c>
      <c r="N1308" t="str">
        <f>Raw_Claims_Data!N1307</f>
        <v>AGENT00511</v>
      </c>
      <c r="O1308">
        <f>IF(Raw_Claims_Data!G1307="D",1,0)</f>
        <v>1</v>
      </c>
    </row>
    <row r="1309" spans="1:15" x14ac:dyDescent="0.35">
      <c r="A1309" t="str">
        <f>Raw_Claims_Data!A1308</f>
        <v>TXN00001305</v>
      </c>
      <c r="B1309" t="str">
        <f>TRIM(Raw_Claims_Data!B1308)</f>
        <v>Liberty Dowdy</v>
      </c>
      <c r="C1309" t="str">
        <f>Raw_Claims_Data!C1308</f>
        <v>Mobile</v>
      </c>
      <c r="D1309">
        <f>Raw_Claims_Data!D1308</f>
        <v>10.67</v>
      </c>
      <c r="E1309">
        <f>Raw_Claims_Data!E1308</f>
        <v>200</v>
      </c>
      <c r="F1309" t="str">
        <f>Raw_Claims_Data!F1308</f>
        <v>AZ</v>
      </c>
      <c r="G1309" t="str">
        <f>Raw_Claims_Data!G1308</f>
        <v>A</v>
      </c>
      <c r="H1309" t="str">
        <f>Raw_Claims_Data!H1308</f>
        <v>Total Loss</v>
      </c>
      <c r="I1309" t="str">
        <f>IF(Raw_Claims_Data!I1308="","None",Raw_Claims_Data!I1308)</f>
        <v>None</v>
      </c>
      <c r="J1309" t="str">
        <f>Raw_Claims_Data!J1308</f>
        <v>Tollhouse</v>
      </c>
      <c r="K1309" t="str">
        <f>Raw_Claims_Data!K1308</f>
        <v>CA</v>
      </c>
      <c r="L1309">
        <f>Raw_Claims_Data!L1308</f>
        <v>19</v>
      </c>
      <c r="M1309" t="str">
        <f>IF(Raw_Claims_Data!M1308="","N/A",Raw_Claims_Data!M1308)</f>
        <v>N/A</v>
      </c>
      <c r="N1309" t="str">
        <f>Raw_Claims_Data!N1308</f>
        <v>AGENT00592</v>
      </c>
      <c r="O1309">
        <f>IF(Raw_Claims_Data!G1308="D",1,0)</f>
        <v>0</v>
      </c>
    </row>
    <row r="1310" spans="1:15" x14ac:dyDescent="0.35">
      <c r="A1310" t="str">
        <f>Raw_Claims_Data!A1309</f>
        <v>TXN00001306</v>
      </c>
      <c r="B1310" t="str">
        <f>TRIM(Raw_Claims_Data!B1309)</f>
        <v>Paige Barrett</v>
      </c>
      <c r="C1310" t="str">
        <f>Raw_Claims_Data!C1309</f>
        <v>Life</v>
      </c>
      <c r="D1310">
        <f>Raw_Claims_Data!D1309</f>
        <v>60.68</v>
      </c>
      <c r="E1310">
        <f>Raw_Claims_Data!E1309</f>
        <v>69000</v>
      </c>
      <c r="F1310" t="str">
        <f>Raw_Claims_Data!F1309</f>
        <v>TN</v>
      </c>
      <c r="G1310" t="str">
        <f>Raw_Claims_Data!G1309</f>
        <v>A</v>
      </c>
      <c r="H1310" t="str">
        <f>Raw_Claims_Data!H1309</f>
        <v>Total Loss</v>
      </c>
      <c r="I1310" t="str">
        <f>IF(Raw_Claims_Data!I1309="","None",Raw_Claims_Data!I1309)</f>
        <v>Ambulance</v>
      </c>
      <c r="J1310" t="str">
        <f>Raw_Claims_Data!J1309</f>
        <v>Glendale</v>
      </c>
      <c r="K1310" t="str">
        <f>Raw_Claims_Data!K1309</f>
        <v>AZ</v>
      </c>
      <c r="L1310">
        <f>Raw_Claims_Data!L1309</f>
        <v>5</v>
      </c>
      <c r="M1310" t="str">
        <f>IF(Raw_Claims_Data!M1309="","N/A",Raw_Claims_Data!M1309)</f>
        <v>VNDR00037</v>
      </c>
      <c r="N1310" t="str">
        <f>Raw_Claims_Data!N1309</f>
        <v>AGENT00611</v>
      </c>
      <c r="O1310">
        <f>IF(Raw_Claims_Data!G1309="D",1,0)</f>
        <v>0</v>
      </c>
    </row>
    <row r="1311" spans="1:15" x14ac:dyDescent="0.35">
      <c r="A1311" t="str">
        <f>Raw_Claims_Data!A1310</f>
        <v>TXN00001307</v>
      </c>
      <c r="B1311" t="str">
        <f>TRIM(Raw_Claims_Data!B1310)</f>
        <v>James Thompson</v>
      </c>
      <c r="C1311" t="str">
        <f>Raw_Claims_Data!C1310</f>
        <v>Health</v>
      </c>
      <c r="D1311">
        <f>Raw_Claims_Data!D1310</f>
        <v>100.02</v>
      </c>
      <c r="E1311">
        <f>Raw_Claims_Data!E1310</f>
        <v>6000</v>
      </c>
      <c r="F1311" t="str">
        <f>Raw_Claims_Data!F1310</f>
        <v>OK</v>
      </c>
      <c r="G1311" t="str">
        <f>Raw_Claims_Data!G1310</f>
        <v>A</v>
      </c>
      <c r="H1311" t="str">
        <f>Raw_Claims_Data!H1310</f>
        <v>Total Loss</v>
      </c>
      <c r="I1311" t="str">
        <f>IF(Raw_Claims_Data!I1310="","None",Raw_Claims_Data!I1310)</f>
        <v>Police</v>
      </c>
      <c r="J1311" t="str">
        <f>Raw_Claims_Data!J1310</f>
        <v>Arvada</v>
      </c>
      <c r="K1311" t="str">
        <f>Raw_Claims_Data!K1310</f>
        <v>CO</v>
      </c>
      <c r="L1311">
        <f>Raw_Claims_Data!L1310</f>
        <v>13</v>
      </c>
      <c r="M1311" t="str">
        <f>IF(Raw_Claims_Data!M1310="","N/A",Raw_Claims_Data!M1310)</f>
        <v>VNDR00082</v>
      </c>
      <c r="N1311" t="str">
        <f>Raw_Claims_Data!N1310</f>
        <v>AGENT01019</v>
      </c>
      <c r="O1311">
        <f>IF(Raw_Claims_Data!G1310="D",1,0)</f>
        <v>0</v>
      </c>
    </row>
    <row r="1312" spans="1:15" x14ac:dyDescent="0.35">
      <c r="A1312" t="str">
        <f>Raw_Claims_Data!A1311</f>
        <v>TXN00001308</v>
      </c>
      <c r="B1312" t="str">
        <f>TRIM(Raw_Claims_Data!B1311)</f>
        <v>Michael Kinney</v>
      </c>
      <c r="C1312" t="str">
        <f>Raw_Claims_Data!C1311</f>
        <v>Property</v>
      </c>
      <c r="D1312">
        <f>Raw_Claims_Data!D1311</f>
        <v>105.06</v>
      </c>
      <c r="E1312">
        <f>Raw_Claims_Data!E1311</f>
        <v>29000</v>
      </c>
      <c r="F1312" t="str">
        <f>Raw_Claims_Data!F1311</f>
        <v>DC</v>
      </c>
      <c r="G1312" t="str">
        <f>Raw_Claims_Data!G1311</f>
        <v>A</v>
      </c>
      <c r="H1312" t="str">
        <f>Raw_Claims_Data!H1311</f>
        <v>Total Loss</v>
      </c>
      <c r="I1312" t="str">
        <f>IF(Raw_Claims_Data!I1311="","None",Raw_Claims_Data!I1311)</f>
        <v>None</v>
      </c>
      <c r="J1312" t="str">
        <f>Raw_Claims_Data!J1311</f>
        <v>Montgomery</v>
      </c>
      <c r="K1312" t="str">
        <f>Raw_Claims_Data!K1311</f>
        <v>AL</v>
      </c>
      <c r="L1312">
        <f>Raw_Claims_Data!L1311</f>
        <v>3</v>
      </c>
      <c r="M1312" t="str">
        <f>IF(Raw_Claims_Data!M1311="","N/A",Raw_Claims_Data!M1311)</f>
        <v>VNDR00479</v>
      </c>
      <c r="N1312" t="str">
        <f>Raw_Claims_Data!N1311</f>
        <v>AGENT00192</v>
      </c>
      <c r="O1312">
        <f>IF(Raw_Claims_Data!G1311="D",1,0)</f>
        <v>0</v>
      </c>
    </row>
    <row r="1313" spans="1:15" x14ac:dyDescent="0.35">
      <c r="A1313" t="str">
        <f>Raw_Claims_Data!A1312</f>
        <v>TXN00001309</v>
      </c>
      <c r="B1313" t="str">
        <f>TRIM(Raw_Claims_Data!B1312)</f>
        <v>Sara Morse</v>
      </c>
      <c r="C1313" t="str">
        <f>Raw_Claims_Data!C1312</f>
        <v>Travel</v>
      </c>
      <c r="D1313">
        <f>Raw_Claims_Data!D1312</f>
        <v>96.42</v>
      </c>
      <c r="E1313">
        <f>Raw_Claims_Data!E1312</f>
        <v>4000</v>
      </c>
      <c r="F1313" t="str">
        <f>Raw_Claims_Data!F1312</f>
        <v>AR</v>
      </c>
      <c r="G1313" t="str">
        <f>Raw_Claims_Data!G1312</f>
        <v>A</v>
      </c>
      <c r="H1313" t="str">
        <f>Raw_Claims_Data!H1312</f>
        <v>Total Loss</v>
      </c>
      <c r="I1313" t="str">
        <f>IF(Raw_Claims_Data!I1312="","None",Raw_Claims_Data!I1312)</f>
        <v>Police</v>
      </c>
      <c r="J1313" t="str">
        <f>Raw_Claims_Data!J1312</f>
        <v>Annapolis</v>
      </c>
      <c r="K1313" t="str">
        <f>Raw_Claims_Data!K1312</f>
        <v>MD</v>
      </c>
      <c r="L1313">
        <f>Raw_Claims_Data!L1312</f>
        <v>11</v>
      </c>
      <c r="M1313" t="str">
        <f>IF(Raw_Claims_Data!M1312="","N/A",Raw_Claims_Data!M1312)</f>
        <v>VNDR00327</v>
      </c>
      <c r="N1313" t="str">
        <f>Raw_Claims_Data!N1312</f>
        <v>AGENT00345</v>
      </c>
      <c r="O1313">
        <f>IF(Raw_Claims_Data!G1312="D",1,0)</f>
        <v>0</v>
      </c>
    </row>
    <row r="1314" spans="1:15" x14ac:dyDescent="0.35">
      <c r="A1314" t="str">
        <f>Raw_Claims_Data!A1313</f>
        <v>TXN00001310</v>
      </c>
      <c r="B1314" t="str">
        <f>TRIM(Raw_Claims_Data!B1313)</f>
        <v>David Grant</v>
      </c>
      <c r="C1314" t="str">
        <f>Raw_Claims_Data!C1313</f>
        <v>Mobile</v>
      </c>
      <c r="D1314">
        <f>Raw_Claims_Data!D1313</f>
        <v>11.88</v>
      </c>
      <c r="E1314">
        <f>Raw_Claims_Data!E1313</f>
        <v>600</v>
      </c>
      <c r="F1314" t="str">
        <f>Raw_Claims_Data!F1313</f>
        <v>AR</v>
      </c>
      <c r="G1314" t="str">
        <f>Raw_Claims_Data!G1313</f>
        <v>A</v>
      </c>
      <c r="H1314" t="str">
        <f>Raw_Claims_Data!H1313</f>
        <v>Total Loss</v>
      </c>
      <c r="I1314" t="str">
        <f>IF(Raw_Claims_Data!I1313="","None",Raw_Claims_Data!I1313)</f>
        <v>Ambulance</v>
      </c>
      <c r="J1314" t="str">
        <f>Raw_Claims_Data!J1313</f>
        <v>Glendale</v>
      </c>
      <c r="K1314" t="str">
        <f>Raw_Claims_Data!K1313</f>
        <v>AZ</v>
      </c>
      <c r="L1314">
        <f>Raw_Claims_Data!L1313</f>
        <v>7</v>
      </c>
      <c r="M1314" t="str">
        <f>IF(Raw_Claims_Data!M1313="","N/A",Raw_Claims_Data!M1313)</f>
        <v>VNDR00599</v>
      </c>
      <c r="N1314" t="str">
        <f>Raw_Claims_Data!N1313</f>
        <v>AGENT00673</v>
      </c>
      <c r="O1314">
        <f>IF(Raw_Claims_Data!G1313="D",1,0)</f>
        <v>0</v>
      </c>
    </row>
    <row r="1315" spans="1:15" x14ac:dyDescent="0.35">
      <c r="A1315" t="str">
        <f>Raw_Claims_Data!A1314</f>
        <v>TXN00001311</v>
      </c>
      <c r="B1315" t="str">
        <f>TRIM(Raw_Claims_Data!B1314)</f>
        <v>Kim Dozier</v>
      </c>
      <c r="C1315" t="str">
        <f>Raw_Claims_Data!C1314</f>
        <v>Property</v>
      </c>
      <c r="D1315">
        <f>Raw_Claims_Data!D1314</f>
        <v>92.97</v>
      </c>
      <c r="E1315">
        <f>Raw_Claims_Data!E1314</f>
        <v>28000</v>
      </c>
      <c r="F1315" t="str">
        <f>Raw_Claims_Data!F1314</f>
        <v>AL</v>
      </c>
      <c r="G1315" t="str">
        <f>Raw_Claims_Data!G1314</f>
        <v>A</v>
      </c>
      <c r="H1315" t="str">
        <f>Raw_Claims_Data!H1314</f>
        <v>Minor Loss</v>
      </c>
      <c r="I1315" t="str">
        <f>IF(Raw_Claims_Data!I1314="","None",Raw_Claims_Data!I1314)</f>
        <v>Ambulance</v>
      </c>
      <c r="J1315" t="str">
        <f>Raw_Claims_Data!J1314</f>
        <v>Montgomery</v>
      </c>
      <c r="K1315" t="str">
        <f>Raw_Claims_Data!K1314</f>
        <v>AL</v>
      </c>
      <c r="L1315">
        <f>Raw_Claims_Data!L1314</f>
        <v>9</v>
      </c>
      <c r="M1315" t="str">
        <f>IF(Raw_Claims_Data!M1314="","N/A",Raw_Claims_Data!M1314)</f>
        <v>N/A</v>
      </c>
      <c r="N1315" t="str">
        <f>Raw_Claims_Data!N1314</f>
        <v>AGENT00238</v>
      </c>
      <c r="O1315">
        <f>IF(Raw_Claims_Data!G1314="D",1,0)</f>
        <v>0</v>
      </c>
    </row>
    <row r="1316" spans="1:15" x14ac:dyDescent="0.35">
      <c r="A1316" t="str">
        <f>Raw_Claims_Data!A1315</f>
        <v>TXN00001312</v>
      </c>
      <c r="B1316" t="str">
        <f>TRIM(Raw_Claims_Data!B1315)</f>
        <v>Beulah Cornelius</v>
      </c>
      <c r="C1316" t="str">
        <f>Raw_Claims_Data!C1315</f>
        <v>Health</v>
      </c>
      <c r="D1316">
        <f>Raw_Claims_Data!D1315</f>
        <v>126.83</v>
      </c>
      <c r="E1316">
        <f>Raw_Claims_Data!E1315</f>
        <v>8000</v>
      </c>
      <c r="F1316" t="str">
        <f>Raw_Claims_Data!F1315</f>
        <v>VT</v>
      </c>
      <c r="G1316" t="str">
        <f>Raw_Claims_Data!G1315</f>
        <v>A</v>
      </c>
      <c r="H1316" t="str">
        <f>Raw_Claims_Data!H1315</f>
        <v>Minor Loss</v>
      </c>
      <c r="I1316" t="str">
        <f>IF(Raw_Claims_Data!I1315="","None",Raw_Claims_Data!I1315)</f>
        <v>Ambulance</v>
      </c>
      <c r="J1316" t="str">
        <f>Raw_Claims_Data!J1315</f>
        <v>Panama City</v>
      </c>
      <c r="K1316" t="str">
        <f>Raw_Claims_Data!K1315</f>
        <v>FL</v>
      </c>
      <c r="L1316">
        <f>Raw_Claims_Data!L1315</f>
        <v>8</v>
      </c>
      <c r="M1316" t="str">
        <f>IF(Raw_Claims_Data!M1315="","N/A",Raw_Claims_Data!M1315)</f>
        <v>VNDR00382</v>
      </c>
      <c r="N1316" t="str">
        <f>Raw_Claims_Data!N1315</f>
        <v>AGENT00801</v>
      </c>
      <c r="O1316">
        <f>IF(Raw_Claims_Data!G1315="D",1,0)</f>
        <v>0</v>
      </c>
    </row>
    <row r="1317" spans="1:15" x14ac:dyDescent="0.35">
      <c r="A1317" t="str">
        <f>Raw_Claims_Data!A1316</f>
        <v>TXN00001313</v>
      </c>
      <c r="B1317" t="str">
        <f>TRIM(Raw_Claims_Data!B1316)</f>
        <v>Brittany James</v>
      </c>
      <c r="C1317" t="str">
        <f>Raw_Claims_Data!C1316</f>
        <v>Life</v>
      </c>
      <c r="D1317">
        <f>Raw_Claims_Data!D1316</f>
        <v>65.319999999999993</v>
      </c>
      <c r="E1317">
        <f>Raw_Claims_Data!E1316</f>
        <v>71000</v>
      </c>
      <c r="F1317" t="str">
        <f>Raw_Claims_Data!F1316</f>
        <v>AR</v>
      </c>
      <c r="G1317" t="str">
        <f>Raw_Claims_Data!G1316</f>
        <v>A</v>
      </c>
      <c r="H1317" t="str">
        <f>Raw_Claims_Data!H1316</f>
        <v>Minor Loss</v>
      </c>
      <c r="I1317" t="str">
        <f>IF(Raw_Claims_Data!I1316="","None",Raw_Claims_Data!I1316)</f>
        <v>None</v>
      </c>
      <c r="J1317" t="str">
        <f>Raw_Claims_Data!J1316</f>
        <v>Anchorage</v>
      </c>
      <c r="K1317" t="str">
        <f>Raw_Claims_Data!K1316</f>
        <v>AK</v>
      </c>
      <c r="L1317">
        <f>Raw_Claims_Data!L1316</f>
        <v>5</v>
      </c>
      <c r="M1317" t="str">
        <f>IF(Raw_Claims_Data!M1316="","N/A",Raw_Claims_Data!M1316)</f>
        <v>VNDR00566</v>
      </c>
      <c r="N1317" t="str">
        <f>Raw_Claims_Data!N1316</f>
        <v>AGENT00876</v>
      </c>
      <c r="O1317">
        <f>IF(Raw_Claims_Data!G1316="D",1,0)</f>
        <v>0</v>
      </c>
    </row>
    <row r="1318" spans="1:15" x14ac:dyDescent="0.35">
      <c r="A1318" t="str">
        <f>Raw_Claims_Data!A1317</f>
        <v>TXN00001314</v>
      </c>
      <c r="B1318" t="str">
        <f>TRIM(Raw_Claims_Data!B1317)</f>
        <v>Jayson Garza</v>
      </c>
      <c r="C1318" t="str">
        <f>Raw_Claims_Data!C1317</f>
        <v>Property</v>
      </c>
      <c r="D1318">
        <f>Raw_Claims_Data!D1317</f>
        <v>113.68</v>
      </c>
      <c r="E1318">
        <f>Raw_Claims_Data!E1317</f>
        <v>38000</v>
      </c>
      <c r="F1318" t="str">
        <f>Raw_Claims_Data!F1317</f>
        <v>AR</v>
      </c>
      <c r="G1318" t="str">
        <f>Raw_Claims_Data!G1317</f>
        <v>D</v>
      </c>
      <c r="H1318" t="str">
        <f>Raw_Claims_Data!H1317</f>
        <v>Total Loss</v>
      </c>
      <c r="I1318" t="str">
        <f>IF(Raw_Claims_Data!I1317="","None",Raw_Claims_Data!I1317)</f>
        <v>Ambulance</v>
      </c>
      <c r="J1318" t="str">
        <f>Raw_Claims_Data!J1317</f>
        <v>Fayetteville</v>
      </c>
      <c r="K1318" t="str">
        <f>Raw_Claims_Data!K1317</f>
        <v>AR</v>
      </c>
      <c r="L1318">
        <f>Raw_Claims_Data!L1317</f>
        <v>8</v>
      </c>
      <c r="M1318" t="str">
        <f>IF(Raw_Claims_Data!M1317="","N/A",Raw_Claims_Data!M1317)</f>
        <v>VNDR00325</v>
      </c>
      <c r="N1318" t="str">
        <f>Raw_Claims_Data!N1317</f>
        <v>AGENT00027</v>
      </c>
      <c r="O1318">
        <f>IF(Raw_Claims_Data!G1317="D",1,0)</f>
        <v>1</v>
      </c>
    </row>
    <row r="1319" spans="1:15" x14ac:dyDescent="0.35">
      <c r="A1319" t="str">
        <f>Raw_Claims_Data!A1318</f>
        <v>TXN00001315</v>
      </c>
      <c r="B1319" t="str">
        <f>TRIM(Raw_Claims_Data!B1318)</f>
        <v>Frances Hall</v>
      </c>
      <c r="C1319" t="str">
        <f>Raw_Claims_Data!C1318</f>
        <v>Mobile</v>
      </c>
      <c r="D1319">
        <f>Raw_Claims_Data!D1318</f>
        <v>11.5</v>
      </c>
      <c r="E1319">
        <f>Raw_Claims_Data!E1318</f>
        <v>300</v>
      </c>
      <c r="F1319" t="str">
        <f>Raw_Claims_Data!F1318</f>
        <v>CA</v>
      </c>
      <c r="G1319" t="str">
        <f>Raw_Claims_Data!G1318</f>
        <v>A</v>
      </c>
      <c r="H1319" t="str">
        <f>Raw_Claims_Data!H1318</f>
        <v>Total Loss</v>
      </c>
      <c r="I1319" t="str">
        <f>IF(Raw_Claims_Data!I1318="","None",Raw_Claims_Data!I1318)</f>
        <v>None</v>
      </c>
      <c r="J1319" t="str">
        <f>Raw_Claims_Data!J1318</f>
        <v>Arvada</v>
      </c>
      <c r="K1319" t="str">
        <f>Raw_Claims_Data!K1318</f>
        <v>CO</v>
      </c>
      <c r="L1319">
        <f>Raw_Claims_Data!L1318</f>
        <v>18</v>
      </c>
      <c r="M1319" t="str">
        <f>IF(Raw_Claims_Data!M1318="","N/A",Raw_Claims_Data!M1318)</f>
        <v>VNDR00508</v>
      </c>
      <c r="N1319" t="str">
        <f>Raw_Claims_Data!N1318</f>
        <v>AGENT00107</v>
      </c>
      <c r="O1319">
        <f>IF(Raw_Claims_Data!G1318="D",1,0)</f>
        <v>0</v>
      </c>
    </row>
    <row r="1320" spans="1:15" x14ac:dyDescent="0.35">
      <c r="A1320" t="str">
        <f>Raw_Claims_Data!A1319</f>
        <v>TXN00001316</v>
      </c>
      <c r="B1320" t="str">
        <f>TRIM(Raw_Claims_Data!B1319)</f>
        <v>Carla Nichols</v>
      </c>
      <c r="C1320" t="str">
        <f>Raw_Claims_Data!C1319</f>
        <v>Travel</v>
      </c>
      <c r="D1320">
        <f>Raw_Claims_Data!D1319</f>
        <v>55.31</v>
      </c>
      <c r="E1320">
        <f>Raw_Claims_Data!E1319</f>
        <v>3000</v>
      </c>
      <c r="F1320" t="str">
        <f>Raw_Claims_Data!F1319</f>
        <v>DC</v>
      </c>
      <c r="G1320" t="str">
        <f>Raw_Claims_Data!G1319</f>
        <v>A</v>
      </c>
      <c r="H1320" t="str">
        <f>Raw_Claims_Data!H1319</f>
        <v>Total Loss</v>
      </c>
      <c r="I1320" t="str">
        <f>IF(Raw_Claims_Data!I1319="","None",Raw_Claims_Data!I1319)</f>
        <v>None</v>
      </c>
      <c r="J1320" t="str">
        <f>Raw_Claims_Data!J1319</f>
        <v>Fayetteville</v>
      </c>
      <c r="K1320" t="str">
        <f>Raw_Claims_Data!K1319</f>
        <v>AR</v>
      </c>
      <c r="L1320">
        <f>Raw_Claims_Data!L1319</f>
        <v>10</v>
      </c>
      <c r="M1320" t="str">
        <f>IF(Raw_Claims_Data!M1319="","N/A",Raw_Claims_Data!M1319)</f>
        <v>N/A</v>
      </c>
      <c r="N1320" t="str">
        <f>Raw_Claims_Data!N1319</f>
        <v>AGENT00659</v>
      </c>
      <c r="O1320">
        <f>IF(Raw_Claims_Data!G1319="D",1,0)</f>
        <v>0</v>
      </c>
    </row>
    <row r="1321" spans="1:15" x14ac:dyDescent="0.35">
      <c r="A1321" t="str">
        <f>Raw_Claims_Data!A1320</f>
        <v>TXN00001317</v>
      </c>
      <c r="B1321" t="str">
        <f>TRIM(Raw_Claims_Data!B1320)</f>
        <v>Heather Crouse</v>
      </c>
      <c r="C1321" t="str">
        <f>Raw_Claims_Data!C1320</f>
        <v>Property</v>
      </c>
      <c r="D1321">
        <f>Raw_Claims_Data!D1320</f>
        <v>84.54</v>
      </c>
      <c r="E1321">
        <f>Raw_Claims_Data!E1320</f>
        <v>15000</v>
      </c>
      <c r="F1321" t="str">
        <f>Raw_Claims_Data!F1320</f>
        <v>MA</v>
      </c>
      <c r="G1321" t="str">
        <f>Raw_Claims_Data!G1320</f>
        <v>A</v>
      </c>
      <c r="H1321" t="str">
        <f>Raw_Claims_Data!H1320</f>
        <v>Major Loss</v>
      </c>
      <c r="I1321" t="str">
        <f>IF(Raw_Claims_Data!I1320="","None",Raw_Claims_Data!I1320)</f>
        <v>Police</v>
      </c>
      <c r="J1321" t="str">
        <f>Raw_Claims_Data!J1320</f>
        <v>Truckee</v>
      </c>
      <c r="K1321" t="str">
        <f>Raw_Claims_Data!K1320</f>
        <v>CA</v>
      </c>
      <c r="L1321">
        <f>Raw_Claims_Data!L1320</f>
        <v>6</v>
      </c>
      <c r="M1321" t="str">
        <f>IF(Raw_Claims_Data!M1320="","N/A",Raw_Claims_Data!M1320)</f>
        <v>VNDR00247</v>
      </c>
      <c r="N1321" t="str">
        <f>Raw_Claims_Data!N1320</f>
        <v>AGENT00036</v>
      </c>
      <c r="O1321">
        <f>IF(Raw_Claims_Data!G1320="D",1,0)</f>
        <v>0</v>
      </c>
    </row>
    <row r="1322" spans="1:15" x14ac:dyDescent="0.35">
      <c r="A1322" t="str">
        <f>Raw_Claims_Data!A1321</f>
        <v>TXN00001318</v>
      </c>
      <c r="B1322" t="str">
        <f>TRIM(Raw_Claims_Data!B1321)</f>
        <v>Karen Moga</v>
      </c>
      <c r="C1322" t="str">
        <f>Raw_Claims_Data!C1321</f>
        <v>Life</v>
      </c>
      <c r="D1322">
        <f>Raw_Claims_Data!D1321</f>
        <v>51.36</v>
      </c>
      <c r="E1322">
        <f>Raw_Claims_Data!E1321</f>
        <v>23000</v>
      </c>
      <c r="F1322" t="str">
        <f>Raw_Claims_Data!F1321</f>
        <v>MA</v>
      </c>
      <c r="G1322" t="str">
        <f>Raw_Claims_Data!G1321</f>
        <v>A</v>
      </c>
      <c r="H1322" t="str">
        <f>Raw_Claims_Data!H1321</f>
        <v>Major Loss</v>
      </c>
      <c r="I1322" t="str">
        <f>IF(Raw_Claims_Data!I1321="","None",Raw_Claims_Data!I1321)</f>
        <v>None</v>
      </c>
      <c r="J1322" t="str">
        <f>Raw_Claims_Data!J1321</f>
        <v>Nashville</v>
      </c>
      <c r="K1322" t="str">
        <f>Raw_Claims_Data!K1321</f>
        <v>TN</v>
      </c>
      <c r="L1322">
        <f>Raw_Claims_Data!L1321</f>
        <v>5</v>
      </c>
      <c r="M1322" t="str">
        <f>IF(Raw_Claims_Data!M1321="","N/A",Raw_Claims_Data!M1321)</f>
        <v>VNDR00189</v>
      </c>
      <c r="N1322" t="str">
        <f>Raw_Claims_Data!N1321</f>
        <v>AGENT00903</v>
      </c>
      <c r="O1322">
        <f>IF(Raw_Claims_Data!G1321="D",1,0)</f>
        <v>0</v>
      </c>
    </row>
    <row r="1323" spans="1:15" x14ac:dyDescent="0.35">
      <c r="A1323" t="str">
        <f>Raw_Claims_Data!A1322</f>
        <v>TXN00001319</v>
      </c>
      <c r="B1323" t="str">
        <f>TRIM(Raw_Claims_Data!B1322)</f>
        <v>Jody Dux</v>
      </c>
      <c r="C1323" t="str">
        <f>Raw_Claims_Data!C1322</f>
        <v>Motor</v>
      </c>
      <c r="D1323">
        <f>Raw_Claims_Data!D1322</f>
        <v>97.1</v>
      </c>
      <c r="E1323">
        <f>Raw_Claims_Data!E1322</f>
        <v>1000</v>
      </c>
      <c r="F1323" t="str">
        <f>Raw_Claims_Data!F1322</f>
        <v>KY</v>
      </c>
      <c r="G1323" t="str">
        <f>Raw_Claims_Data!G1322</f>
        <v>A</v>
      </c>
      <c r="H1323" t="str">
        <f>Raw_Claims_Data!H1322</f>
        <v>Total Loss</v>
      </c>
      <c r="I1323" t="str">
        <f>IF(Raw_Claims_Data!I1322="","None",Raw_Claims_Data!I1322)</f>
        <v>Ambulance</v>
      </c>
      <c r="J1323" t="str">
        <f>Raw_Claims_Data!J1322</f>
        <v>Anchorage</v>
      </c>
      <c r="K1323" t="str">
        <f>Raw_Claims_Data!K1322</f>
        <v>AK</v>
      </c>
      <c r="L1323">
        <f>Raw_Claims_Data!L1322</f>
        <v>19</v>
      </c>
      <c r="M1323" t="str">
        <f>IF(Raw_Claims_Data!M1322="","N/A",Raw_Claims_Data!M1322)</f>
        <v>VNDR00163</v>
      </c>
      <c r="N1323" t="str">
        <f>Raw_Claims_Data!N1322</f>
        <v>AGENT00180</v>
      </c>
      <c r="O1323">
        <f>IF(Raw_Claims_Data!G1322="D",1,0)</f>
        <v>0</v>
      </c>
    </row>
    <row r="1324" spans="1:15" x14ac:dyDescent="0.35">
      <c r="A1324" t="str">
        <f>Raw_Claims_Data!A1323</f>
        <v>TXN00001320</v>
      </c>
      <c r="B1324" t="str">
        <f>TRIM(Raw_Claims_Data!B1323)</f>
        <v>Gary Walker</v>
      </c>
      <c r="C1324" t="str">
        <f>Raw_Claims_Data!C1323</f>
        <v>Health</v>
      </c>
      <c r="D1324">
        <f>Raw_Claims_Data!D1323</f>
        <v>145.81</v>
      </c>
      <c r="E1324">
        <f>Raw_Claims_Data!E1323</f>
        <v>7000</v>
      </c>
      <c r="F1324" t="str">
        <f>Raw_Claims_Data!F1323</f>
        <v>KY</v>
      </c>
      <c r="G1324" t="str">
        <f>Raw_Claims_Data!G1323</f>
        <v>A</v>
      </c>
      <c r="H1324" t="str">
        <f>Raw_Claims_Data!H1323</f>
        <v>Major Loss</v>
      </c>
      <c r="I1324" t="str">
        <f>IF(Raw_Claims_Data!I1323="","None",Raw_Claims_Data!I1323)</f>
        <v>Ambulance</v>
      </c>
      <c r="J1324" t="str">
        <f>Raw_Claims_Data!J1323</f>
        <v>Louisville</v>
      </c>
      <c r="K1324" t="str">
        <f>Raw_Claims_Data!K1323</f>
        <v>KY</v>
      </c>
      <c r="L1324">
        <f>Raw_Claims_Data!L1323</f>
        <v>8</v>
      </c>
      <c r="M1324" t="str">
        <f>IF(Raw_Claims_Data!M1323="","N/A",Raw_Claims_Data!M1323)</f>
        <v>VNDR00186</v>
      </c>
      <c r="N1324" t="str">
        <f>Raw_Claims_Data!N1323</f>
        <v>AGENT00794</v>
      </c>
      <c r="O1324">
        <f>IF(Raw_Claims_Data!G1323="D",1,0)</f>
        <v>0</v>
      </c>
    </row>
    <row r="1325" spans="1:15" x14ac:dyDescent="0.35">
      <c r="A1325" t="str">
        <f>Raw_Claims_Data!A1324</f>
        <v>TXN00001321</v>
      </c>
      <c r="B1325" t="str">
        <f>TRIM(Raw_Claims_Data!B1324)</f>
        <v>Jim Dansby</v>
      </c>
      <c r="C1325" t="str">
        <f>Raw_Claims_Data!C1324</f>
        <v>Motor</v>
      </c>
      <c r="D1325">
        <f>Raw_Claims_Data!D1324</f>
        <v>115.25</v>
      </c>
      <c r="E1325">
        <f>Raw_Claims_Data!E1324</f>
        <v>8000</v>
      </c>
      <c r="F1325" t="str">
        <f>Raw_Claims_Data!F1324</f>
        <v>CT</v>
      </c>
      <c r="G1325" t="str">
        <f>Raw_Claims_Data!G1324</f>
        <v>A</v>
      </c>
      <c r="H1325" t="str">
        <f>Raw_Claims_Data!H1324</f>
        <v>Major Loss</v>
      </c>
      <c r="I1325" t="str">
        <f>IF(Raw_Claims_Data!I1324="","None",Raw_Claims_Data!I1324)</f>
        <v>None</v>
      </c>
      <c r="J1325" t="str">
        <f>Raw_Claims_Data!J1324</f>
        <v>Manchester</v>
      </c>
      <c r="K1325" t="str">
        <f>Raw_Claims_Data!K1324</f>
        <v>CT</v>
      </c>
      <c r="L1325">
        <f>Raw_Claims_Data!L1324</f>
        <v>23</v>
      </c>
      <c r="M1325" t="str">
        <f>IF(Raw_Claims_Data!M1324="","N/A",Raw_Claims_Data!M1324)</f>
        <v>VNDR00216</v>
      </c>
      <c r="N1325" t="str">
        <f>Raw_Claims_Data!N1324</f>
        <v>AGENT01011</v>
      </c>
      <c r="O1325">
        <f>IF(Raw_Claims_Data!G1324="D",1,0)</f>
        <v>0</v>
      </c>
    </row>
    <row r="1326" spans="1:15" x14ac:dyDescent="0.35">
      <c r="A1326" t="str">
        <f>Raw_Claims_Data!A1325</f>
        <v>TXN00001322</v>
      </c>
      <c r="B1326" t="str">
        <f>TRIM(Raw_Claims_Data!B1325)</f>
        <v>Justin Reed</v>
      </c>
      <c r="C1326" t="str">
        <f>Raw_Claims_Data!C1325</f>
        <v>Travel</v>
      </c>
      <c r="D1326">
        <f>Raw_Claims_Data!D1325</f>
        <v>65.040000000000006</v>
      </c>
      <c r="E1326">
        <f>Raw_Claims_Data!E1325</f>
        <v>2000</v>
      </c>
      <c r="F1326" t="str">
        <f>Raw_Claims_Data!F1325</f>
        <v>KY</v>
      </c>
      <c r="G1326" t="str">
        <f>Raw_Claims_Data!G1325</f>
        <v>A</v>
      </c>
      <c r="H1326" t="str">
        <f>Raw_Claims_Data!H1325</f>
        <v>Total Loss</v>
      </c>
      <c r="I1326" t="str">
        <f>IF(Raw_Claims_Data!I1325="","None",Raw_Claims_Data!I1325)</f>
        <v>Police</v>
      </c>
      <c r="J1326" t="str">
        <f>Raw_Claims_Data!J1325</f>
        <v>Fremont</v>
      </c>
      <c r="K1326" t="str">
        <f>Raw_Claims_Data!K1325</f>
        <v>CA</v>
      </c>
      <c r="L1326">
        <f>Raw_Claims_Data!L1325</f>
        <v>15</v>
      </c>
      <c r="M1326" t="str">
        <f>IF(Raw_Claims_Data!M1325="","N/A",Raw_Claims_Data!M1325)</f>
        <v>VNDR00575</v>
      </c>
      <c r="N1326" t="str">
        <f>Raw_Claims_Data!N1325</f>
        <v>AGENT01187</v>
      </c>
      <c r="O1326">
        <f>IF(Raw_Claims_Data!G1325="D",1,0)</f>
        <v>0</v>
      </c>
    </row>
    <row r="1327" spans="1:15" x14ac:dyDescent="0.35">
      <c r="A1327" t="str">
        <f>Raw_Claims_Data!A1326</f>
        <v>TXN00001323</v>
      </c>
      <c r="B1327" t="str">
        <f>TRIM(Raw_Claims_Data!B1326)</f>
        <v>Altagracia Burns</v>
      </c>
      <c r="C1327" t="str">
        <f>Raw_Claims_Data!C1326</f>
        <v>Health</v>
      </c>
      <c r="D1327">
        <f>Raw_Claims_Data!D1326</f>
        <v>182.69</v>
      </c>
      <c r="E1327">
        <f>Raw_Claims_Data!E1326</f>
        <v>7000</v>
      </c>
      <c r="F1327" t="str">
        <f>Raw_Claims_Data!F1326</f>
        <v>FL</v>
      </c>
      <c r="G1327" t="str">
        <f>Raw_Claims_Data!G1326</f>
        <v>D</v>
      </c>
      <c r="H1327" t="str">
        <f>Raw_Claims_Data!H1326</f>
        <v>Total Loss</v>
      </c>
      <c r="I1327" t="str">
        <f>IF(Raw_Claims_Data!I1326="","None",Raw_Claims_Data!I1326)</f>
        <v>None</v>
      </c>
      <c r="J1327" t="str">
        <f>Raw_Claims_Data!J1326</f>
        <v>Panama City</v>
      </c>
      <c r="K1327" t="str">
        <f>Raw_Claims_Data!K1326</f>
        <v>FL</v>
      </c>
      <c r="L1327">
        <f>Raw_Claims_Data!L1326</f>
        <v>1</v>
      </c>
      <c r="M1327" t="str">
        <f>IF(Raw_Claims_Data!M1326="","N/A",Raw_Claims_Data!M1326)</f>
        <v>VNDR00592</v>
      </c>
      <c r="N1327" t="str">
        <f>Raw_Claims_Data!N1326</f>
        <v>AGENT01110</v>
      </c>
      <c r="O1327">
        <f>IF(Raw_Claims_Data!G1326="D",1,0)</f>
        <v>1</v>
      </c>
    </row>
    <row r="1328" spans="1:15" x14ac:dyDescent="0.35">
      <c r="A1328" t="str">
        <f>Raw_Claims_Data!A1327</f>
        <v>TXN00001324</v>
      </c>
      <c r="B1328" t="str">
        <f>TRIM(Raw_Claims_Data!B1327)</f>
        <v>Elizabeth Ramirez</v>
      </c>
      <c r="C1328" t="str">
        <f>Raw_Claims_Data!C1327</f>
        <v>Life</v>
      </c>
      <c r="D1328">
        <f>Raw_Claims_Data!D1327</f>
        <v>96.82</v>
      </c>
      <c r="E1328">
        <f>Raw_Claims_Data!E1327</f>
        <v>72000</v>
      </c>
      <c r="F1328" t="str">
        <f>Raw_Claims_Data!F1327</f>
        <v>CO</v>
      </c>
      <c r="G1328" t="str">
        <f>Raw_Claims_Data!G1327</f>
        <v>A</v>
      </c>
      <c r="H1328" t="str">
        <f>Raw_Claims_Data!H1327</f>
        <v>Major Loss</v>
      </c>
      <c r="I1328" t="str">
        <f>IF(Raw_Claims_Data!I1327="","None",Raw_Claims_Data!I1327)</f>
        <v>None</v>
      </c>
      <c r="J1328" t="str">
        <f>Raw_Claims_Data!J1327</f>
        <v>Oklahoma City</v>
      </c>
      <c r="K1328" t="str">
        <f>Raw_Claims_Data!K1327</f>
        <v>OK</v>
      </c>
      <c r="L1328">
        <f>Raw_Claims_Data!L1327</f>
        <v>5</v>
      </c>
      <c r="M1328" t="str">
        <f>IF(Raw_Claims_Data!M1327="","N/A",Raw_Claims_Data!M1327)</f>
        <v>VNDR00126</v>
      </c>
      <c r="N1328" t="str">
        <f>Raw_Claims_Data!N1327</f>
        <v>AGENT00155</v>
      </c>
      <c r="O1328">
        <f>IF(Raw_Claims_Data!G1327="D",1,0)</f>
        <v>0</v>
      </c>
    </row>
    <row r="1329" spans="1:15" x14ac:dyDescent="0.35">
      <c r="A1329" t="str">
        <f>Raw_Claims_Data!A1328</f>
        <v>TXN00001325</v>
      </c>
      <c r="B1329" t="str">
        <f>TRIM(Raw_Claims_Data!B1328)</f>
        <v>Selena Lomago</v>
      </c>
      <c r="C1329" t="str">
        <f>Raw_Claims_Data!C1328</f>
        <v>Mobile</v>
      </c>
      <c r="D1329">
        <f>Raw_Claims_Data!D1328</f>
        <v>6</v>
      </c>
      <c r="E1329">
        <f>Raw_Claims_Data!E1328</f>
        <v>600</v>
      </c>
      <c r="F1329" t="str">
        <f>Raw_Claims_Data!F1328</f>
        <v>AZ</v>
      </c>
      <c r="G1329" t="str">
        <f>Raw_Claims_Data!G1328</f>
        <v>A</v>
      </c>
      <c r="H1329" t="str">
        <f>Raw_Claims_Data!H1328</f>
        <v>Major Loss</v>
      </c>
      <c r="I1329" t="str">
        <f>IF(Raw_Claims_Data!I1328="","None",Raw_Claims_Data!I1328)</f>
        <v>Ambulance</v>
      </c>
      <c r="J1329" t="str">
        <f>Raw_Claims_Data!J1328</f>
        <v>Oklahoma City</v>
      </c>
      <c r="K1329" t="str">
        <f>Raw_Claims_Data!K1328</f>
        <v>OK</v>
      </c>
      <c r="L1329">
        <f>Raw_Claims_Data!L1328</f>
        <v>12</v>
      </c>
      <c r="M1329" t="str">
        <f>IF(Raw_Claims_Data!M1328="","N/A",Raw_Claims_Data!M1328)</f>
        <v>N/A</v>
      </c>
      <c r="N1329" t="str">
        <f>Raw_Claims_Data!N1328</f>
        <v>AGENT00717</v>
      </c>
      <c r="O1329">
        <f>IF(Raw_Claims_Data!G1328="D",1,0)</f>
        <v>0</v>
      </c>
    </row>
    <row r="1330" spans="1:15" x14ac:dyDescent="0.35">
      <c r="A1330" t="str">
        <f>Raw_Claims_Data!A1329</f>
        <v>TXN00001326</v>
      </c>
      <c r="B1330" t="str">
        <f>TRIM(Raw_Claims_Data!B1329)</f>
        <v>Donetta Mallory</v>
      </c>
      <c r="C1330" t="str">
        <f>Raw_Claims_Data!C1329</f>
        <v>Travel</v>
      </c>
      <c r="D1330">
        <f>Raw_Claims_Data!D1329</f>
        <v>53.33</v>
      </c>
      <c r="E1330">
        <f>Raw_Claims_Data!E1329</f>
        <v>3000</v>
      </c>
      <c r="F1330" t="str">
        <f>Raw_Claims_Data!F1329</f>
        <v>MD</v>
      </c>
      <c r="G1330" t="str">
        <f>Raw_Claims_Data!G1329</f>
        <v>A</v>
      </c>
      <c r="H1330" t="str">
        <f>Raw_Claims_Data!H1329</f>
        <v>Total Loss</v>
      </c>
      <c r="I1330" t="str">
        <f>IF(Raw_Claims_Data!I1329="","None",Raw_Claims_Data!I1329)</f>
        <v>Police</v>
      </c>
      <c r="J1330" t="str">
        <f>Raw_Claims_Data!J1329</f>
        <v>Dublin</v>
      </c>
      <c r="K1330" t="str">
        <f>Raw_Claims_Data!K1329</f>
        <v>CA</v>
      </c>
      <c r="L1330">
        <f>Raw_Claims_Data!L1329</f>
        <v>9</v>
      </c>
      <c r="M1330" t="str">
        <f>IF(Raw_Claims_Data!M1329="","N/A",Raw_Claims_Data!M1329)</f>
        <v>VNDR00394</v>
      </c>
      <c r="N1330" t="str">
        <f>Raw_Claims_Data!N1329</f>
        <v>AGENT00057</v>
      </c>
      <c r="O1330">
        <f>IF(Raw_Claims_Data!G1329="D",1,0)</f>
        <v>0</v>
      </c>
    </row>
    <row r="1331" spans="1:15" x14ac:dyDescent="0.35">
      <c r="A1331" t="str">
        <f>Raw_Claims_Data!A1330</f>
        <v>TXN00001327</v>
      </c>
      <c r="B1331" t="str">
        <f>TRIM(Raw_Claims_Data!B1330)</f>
        <v>Annette Cross</v>
      </c>
      <c r="C1331" t="str">
        <f>Raw_Claims_Data!C1330</f>
        <v>Motor</v>
      </c>
      <c r="D1331">
        <f>Raw_Claims_Data!D1330</f>
        <v>95.96</v>
      </c>
      <c r="E1331">
        <f>Raw_Claims_Data!E1330</f>
        <v>10000</v>
      </c>
      <c r="F1331" t="str">
        <f>Raw_Claims_Data!F1330</f>
        <v>AK</v>
      </c>
      <c r="G1331" t="str">
        <f>Raw_Claims_Data!G1330</f>
        <v>A</v>
      </c>
      <c r="H1331" t="str">
        <f>Raw_Claims_Data!H1330</f>
        <v>Major Loss</v>
      </c>
      <c r="I1331" t="str">
        <f>IF(Raw_Claims_Data!I1330="","None",Raw_Claims_Data!I1330)</f>
        <v>Police</v>
      </c>
      <c r="J1331" t="str">
        <f>Raw_Claims_Data!J1330</f>
        <v>Agawam</v>
      </c>
      <c r="K1331" t="str">
        <f>Raw_Claims_Data!K1330</f>
        <v>MA</v>
      </c>
      <c r="L1331">
        <f>Raw_Claims_Data!L1330</f>
        <v>14</v>
      </c>
      <c r="M1331" t="str">
        <f>IF(Raw_Claims_Data!M1330="","N/A",Raw_Claims_Data!M1330)</f>
        <v>VNDR00282</v>
      </c>
      <c r="N1331" t="str">
        <f>Raw_Claims_Data!N1330</f>
        <v>AGENT01075</v>
      </c>
      <c r="O1331">
        <f>IF(Raw_Claims_Data!G1330="D",1,0)</f>
        <v>0</v>
      </c>
    </row>
    <row r="1332" spans="1:15" x14ac:dyDescent="0.35">
      <c r="A1332" t="str">
        <f>Raw_Claims_Data!A1331</f>
        <v>TXN00001328</v>
      </c>
      <c r="B1332" t="str">
        <f>TRIM(Raw_Claims_Data!B1331)</f>
        <v>Marcella Brown</v>
      </c>
      <c r="C1332" t="str">
        <f>Raw_Claims_Data!C1331</f>
        <v>Property</v>
      </c>
      <c r="D1332">
        <f>Raw_Claims_Data!D1331</f>
        <v>156.78</v>
      </c>
      <c r="E1332">
        <f>Raw_Claims_Data!E1331</f>
        <v>14000</v>
      </c>
      <c r="F1332" t="str">
        <f>Raw_Claims_Data!F1331</f>
        <v>VT</v>
      </c>
      <c r="G1332" t="str">
        <f>Raw_Claims_Data!G1331</f>
        <v>A</v>
      </c>
      <c r="H1332" t="str">
        <f>Raw_Claims_Data!H1331</f>
        <v>Total Loss</v>
      </c>
      <c r="I1332" t="str">
        <f>IF(Raw_Claims_Data!I1331="","None",Raw_Claims_Data!I1331)</f>
        <v>None</v>
      </c>
      <c r="J1332" t="str">
        <f>Raw_Claims_Data!J1331</f>
        <v>Nashville</v>
      </c>
      <c r="K1332" t="str">
        <f>Raw_Claims_Data!K1331</f>
        <v>TN</v>
      </c>
      <c r="L1332">
        <f>Raw_Claims_Data!L1331</f>
        <v>16</v>
      </c>
      <c r="M1332" t="str">
        <f>IF(Raw_Claims_Data!M1331="","N/A",Raw_Claims_Data!M1331)</f>
        <v>VNDR00503</v>
      </c>
      <c r="N1332" t="str">
        <f>Raw_Claims_Data!N1331</f>
        <v>AGENT00509</v>
      </c>
      <c r="O1332">
        <f>IF(Raw_Claims_Data!G1331="D",1,0)</f>
        <v>0</v>
      </c>
    </row>
    <row r="1333" spans="1:15" x14ac:dyDescent="0.35">
      <c r="A1333" t="str">
        <f>Raw_Claims_Data!A1332</f>
        <v>TXN00001329</v>
      </c>
      <c r="B1333" t="str">
        <f>TRIM(Raw_Claims_Data!B1332)</f>
        <v>Patricia English</v>
      </c>
      <c r="C1333" t="str">
        <f>Raw_Claims_Data!C1332</f>
        <v>Travel</v>
      </c>
      <c r="D1333">
        <f>Raw_Claims_Data!D1332</f>
        <v>89.14</v>
      </c>
      <c r="E1333">
        <f>Raw_Claims_Data!E1332</f>
        <v>4000</v>
      </c>
      <c r="F1333" t="str">
        <f>Raw_Claims_Data!F1332</f>
        <v>FL</v>
      </c>
      <c r="G1333" t="str">
        <f>Raw_Claims_Data!G1332</f>
        <v>A</v>
      </c>
      <c r="H1333" t="str">
        <f>Raw_Claims_Data!H1332</f>
        <v>Major Loss</v>
      </c>
      <c r="I1333" t="str">
        <f>IF(Raw_Claims_Data!I1332="","None",Raw_Claims_Data!I1332)</f>
        <v>Police</v>
      </c>
      <c r="J1333" t="str">
        <f>Raw_Claims_Data!J1332</f>
        <v>Newton</v>
      </c>
      <c r="K1333" t="str">
        <f>Raw_Claims_Data!K1332</f>
        <v>MA</v>
      </c>
      <c r="L1333">
        <f>Raw_Claims_Data!L1332</f>
        <v>7</v>
      </c>
      <c r="M1333" t="str">
        <f>IF(Raw_Claims_Data!M1332="","N/A",Raw_Claims_Data!M1332)</f>
        <v>N/A</v>
      </c>
      <c r="N1333" t="str">
        <f>Raw_Claims_Data!N1332</f>
        <v>AGENT00079</v>
      </c>
      <c r="O1333">
        <f>IF(Raw_Claims_Data!G1332="D",1,0)</f>
        <v>0</v>
      </c>
    </row>
    <row r="1334" spans="1:15" x14ac:dyDescent="0.35">
      <c r="A1334" t="str">
        <f>Raw_Claims_Data!A1333</f>
        <v>TXN00001330</v>
      </c>
      <c r="B1334" t="str">
        <f>TRIM(Raw_Claims_Data!B1333)</f>
        <v>Alan Guinane</v>
      </c>
      <c r="C1334" t="str">
        <f>Raw_Claims_Data!C1333</f>
        <v>Property</v>
      </c>
      <c r="D1334">
        <f>Raw_Claims_Data!D1333</f>
        <v>94.49</v>
      </c>
      <c r="E1334">
        <f>Raw_Claims_Data!E1333</f>
        <v>34000</v>
      </c>
      <c r="F1334" t="str">
        <f>Raw_Claims_Data!F1333</f>
        <v>OK</v>
      </c>
      <c r="G1334" t="str">
        <f>Raw_Claims_Data!G1333</f>
        <v>A</v>
      </c>
      <c r="H1334" t="str">
        <f>Raw_Claims_Data!H1333</f>
        <v>Minor Loss</v>
      </c>
      <c r="I1334" t="str">
        <f>IF(Raw_Claims_Data!I1333="","None",Raw_Claims_Data!I1333)</f>
        <v>Ambulance</v>
      </c>
      <c r="J1334" t="str">
        <f>Raw_Claims_Data!J1333</f>
        <v>Pueblo</v>
      </c>
      <c r="K1334" t="str">
        <f>Raw_Claims_Data!K1333</f>
        <v>CO</v>
      </c>
      <c r="L1334">
        <f>Raw_Claims_Data!L1333</f>
        <v>16</v>
      </c>
      <c r="M1334" t="str">
        <f>IF(Raw_Claims_Data!M1333="","N/A",Raw_Claims_Data!M1333)</f>
        <v>VNDR00355</v>
      </c>
      <c r="N1334" t="str">
        <f>Raw_Claims_Data!N1333</f>
        <v>AGENT00040</v>
      </c>
      <c r="O1334">
        <f>IF(Raw_Claims_Data!G1333="D",1,0)</f>
        <v>0</v>
      </c>
    </row>
    <row r="1335" spans="1:15" x14ac:dyDescent="0.35">
      <c r="A1335" t="str">
        <f>Raw_Claims_Data!A1334</f>
        <v>TXN00001331</v>
      </c>
      <c r="B1335" t="str">
        <f>TRIM(Raw_Claims_Data!B1334)</f>
        <v>Diana Scott</v>
      </c>
      <c r="C1335" t="str">
        <f>Raw_Claims_Data!C1334</f>
        <v>Motor</v>
      </c>
      <c r="D1335">
        <f>Raw_Claims_Data!D1334</f>
        <v>86.1</v>
      </c>
      <c r="E1335">
        <f>Raw_Claims_Data!E1334</f>
        <v>8000</v>
      </c>
      <c r="F1335" t="str">
        <f>Raw_Claims_Data!F1334</f>
        <v>CO</v>
      </c>
      <c r="G1335" t="str">
        <f>Raw_Claims_Data!G1334</f>
        <v>A</v>
      </c>
      <c r="H1335" t="str">
        <f>Raw_Claims_Data!H1334</f>
        <v>Major Loss</v>
      </c>
      <c r="I1335" t="str">
        <f>IF(Raw_Claims_Data!I1334="","None",Raw_Claims_Data!I1334)</f>
        <v>Police</v>
      </c>
      <c r="J1335" t="str">
        <f>Raw_Claims_Data!J1334</f>
        <v>Arvada</v>
      </c>
      <c r="K1335" t="str">
        <f>Raw_Claims_Data!K1334</f>
        <v>CO</v>
      </c>
      <c r="L1335">
        <f>Raw_Claims_Data!L1334</f>
        <v>15</v>
      </c>
      <c r="M1335" t="str">
        <f>IF(Raw_Claims_Data!M1334="","N/A",Raw_Claims_Data!M1334)</f>
        <v>VNDR00326</v>
      </c>
      <c r="N1335" t="str">
        <f>Raw_Claims_Data!N1334</f>
        <v>AGENT00296</v>
      </c>
      <c r="O1335">
        <f>IF(Raw_Claims_Data!G1334="D",1,0)</f>
        <v>0</v>
      </c>
    </row>
    <row r="1336" spans="1:15" x14ac:dyDescent="0.35">
      <c r="A1336" t="str">
        <f>Raw_Claims_Data!A1335</f>
        <v>TXN00001332</v>
      </c>
      <c r="B1336" t="str">
        <f>TRIM(Raw_Claims_Data!B1335)</f>
        <v>Gladys Miller</v>
      </c>
      <c r="C1336" t="str">
        <f>Raw_Claims_Data!C1335</f>
        <v>Mobile</v>
      </c>
      <c r="D1336">
        <f>Raw_Claims_Data!D1335</f>
        <v>6.59</v>
      </c>
      <c r="E1336">
        <f>Raw_Claims_Data!E1335</f>
        <v>200</v>
      </c>
      <c r="F1336" t="str">
        <f>Raw_Claims_Data!F1335</f>
        <v>CT</v>
      </c>
      <c r="G1336" t="str">
        <f>Raw_Claims_Data!G1335</f>
        <v>A</v>
      </c>
      <c r="H1336" t="str">
        <f>Raw_Claims_Data!H1335</f>
        <v>Major Loss</v>
      </c>
      <c r="I1336" t="str">
        <f>IF(Raw_Claims_Data!I1335="","None",Raw_Claims_Data!I1335)</f>
        <v>Other</v>
      </c>
      <c r="J1336" t="str">
        <f>Raw_Claims_Data!J1335</f>
        <v>Louisville</v>
      </c>
      <c r="K1336" t="str">
        <f>Raw_Claims_Data!K1335</f>
        <v>KY</v>
      </c>
      <c r="L1336">
        <f>Raw_Claims_Data!L1335</f>
        <v>11</v>
      </c>
      <c r="M1336" t="str">
        <f>IF(Raw_Claims_Data!M1335="","N/A",Raw_Claims_Data!M1335)</f>
        <v>VNDR00258</v>
      </c>
      <c r="N1336" t="str">
        <f>Raw_Claims_Data!N1335</f>
        <v>AGENT00590</v>
      </c>
      <c r="O1336">
        <f>IF(Raw_Claims_Data!G1335="D",1,0)</f>
        <v>0</v>
      </c>
    </row>
    <row r="1337" spans="1:15" x14ac:dyDescent="0.35">
      <c r="A1337" t="str">
        <f>Raw_Claims_Data!A1336</f>
        <v>TXN00001333</v>
      </c>
      <c r="B1337" t="str">
        <f>TRIM(Raw_Claims_Data!B1336)</f>
        <v>Benjamin Cardona</v>
      </c>
      <c r="C1337" t="str">
        <f>Raw_Claims_Data!C1336</f>
        <v>Motor</v>
      </c>
      <c r="D1337">
        <f>Raw_Claims_Data!D1336</f>
        <v>100.91</v>
      </c>
      <c r="E1337">
        <f>Raw_Claims_Data!E1336</f>
        <v>4000</v>
      </c>
      <c r="F1337" t="str">
        <f>Raw_Claims_Data!F1336</f>
        <v>KY</v>
      </c>
      <c r="G1337" t="str">
        <f>Raw_Claims_Data!G1336</f>
        <v>A</v>
      </c>
      <c r="H1337" t="str">
        <f>Raw_Claims_Data!H1336</f>
        <v>Minor Loss</v>
      </c>
      <c r="I1337" t="str">
        <f>IF(Raw_Claims_Data!I1336="","None",Raw_Claims_Data!I1336)</f>
        <v>Ambulance</v>
      </c>
      <c r="J1337" t="str">
        <f>Raw_Claims_Data!J1336</f>
        <v>Anchorage</v>
      </c>
      <c r="K1337" t="str">
        <f>Raw_Claims_Data!K1336</f>
        <v>AK</v>
      </c>
      <c r="L1337">
        <f>Raw_Claims_Data!L1336</f>
        <v>1</v>
      </c>
      <c r="M1337" t="str">
        <f>IF(Raw_Claims_Data!M1336="","N/A",Raw_Claims_Data!M1336)</f>
        <v>VNDR00486</v>
      </c>
      <c r="N1337" t="str">
        <f>Raw_Claims_Data!N1336</f>
        <v>AGENT00109</v>
      </c>
      <c r="O1337">
        <f>IF(Raw_Claims_Data!G1336="D",1,0)</f>
        <v>0</v>
      </c>
    </row>
    <row r="1338" spans="1:15" x14ac:dyDescent="0.35">
      <c r="A1338" t="str">
        <f>Raw_Claims_Data!A1337</f>
        <v>TXN00001334</v>
      </c>
      <c r="B1338" t="str">
        <f>TRIM(Raw_Claims_Data!B1337)</f>
        <v>Aurore Scaglione</v>
      </c>
      <c r="C1338" t="str">
        <f>Raw_Claims_Data!C1337</f>
        <v>Mobile</v>
      </c>
      <c r="D1338">
        <f>Raw_Claims_Data!D1337</f>
        <v>10</v>
      </c>
      <c r="E1338">
        <f>Raw_Claims_Data!E1337</f>
        <v>600</v>
      </c>
      <c r="F1338" t="str">
        <f>Raw_Claims_Data!F1337</f>
        <v>CA</v>
      </c>
      <c r="G1338" t="str">
        <f>Raw_Claims_Data!G1337</f>
        <v>A</v>
      </c>
      <c r="H1338" t="str">
        <f>Raw_Claims_Data!H1337</f>
        <v>Major Loss</v>
      </c>
      <c r="I1338" t="str">
        <f>IF(Raw_Claims_Data!I1337="","None",Raw_Claims_Data!I1337)</f>
        <v>Ambulance</v>
      </c>
      <c r="J1338" t="str">
        <f>Raw_Claims_Data!J1337</f>
        <v>Montgomery</v>
      </c>
      <c r="K1338" t="str">
        <f>Raw_Claims_Data!K1337</f>
        <v>AL</v>
      </c>
      <c r="L1338">
        <f>Raw_Claims_Data!L1337</f>
        <v>13</v>
      </c>
      <c r="M1338" t="str">
        <f>IF(Raw_Claims_Data!M1337="","N/A",Raw_Claims_Data!M1337)</f>
        <v>VNDR00180</v>
      </c>
      <c r="N1338" t="str">
        <f>Raw_Claims_Data!N1337</f>
        <v>AGENT00171</v>
      </c>
      <c r="O1338">
        <f>IF(Raw_Claims_Data!G1337="D",1,0)</f>
        <v>0</v>
      </c>
    </row>
    <row r="1339" spans="1:15" x14ac:dyDescent="0.35">
      <c r="A1339" t="str">
        <f>Raw_Claims_Data!A1338</f>
        <v>TXN00001335</v>
      </c>
      <c r="B1339" t="str">
        <f>TRIM(Raw_Claims_Data!B1338)</f>
        <v>Louis Martinez</v>
      </c>
      <c r="C1339" t="str">
        <f>Raw_Claims_Data!C1338</f>
        <v>Motor</v>
      </c>
      <c r="D1339">
        <f>Raw_Claims_Data!D1338</f>
        <v>105.23</v>
      </c>
      <c r="E1339">
        <f>Raw_Claims_Data!E1338</f>
        <v>2000</v>
      </c>
      <c r="F1339" t="str">
        <f>Raw_Claims_Data!F1338</f>
        <v>AL</v>
      </c>
      <c r="G1339" t="str">
        <f>Raw_Claims_Data!G1338</f>
        <v>A</v>
      </c>
      <c r="H1339" t="str">
        <f>Raw_Claims_Data!H1338</f>
        <v>Total Loss</v>
      </c>
      <c r="I1339" t="str">
        <f>IF(Raw_Claims_Data!I1338="","None",Raw_Claims_Data!I1338)</f>
        <v>Other</v>
      </c>
      <c r="J1339" t="str">
        <f>Raw_Claims_Data!J1338</f>
        <v>Panama City</v>
      </c>
      <c r="K1339" t="str">
        <f>Raw_Claims_Data!K1338</f>
        <v>FL</v>
      </c>
      <c r="L1339">
        <f>Raw_Claims_Data!L1338</f>
        <v>9</v>
      </c>
      <c r="M1339" t="str">
        <f>IF(Raw_Claims_Data!M1338="","N/A",Raw_Claims_Data!M1338)</f>
        <v>VNDR00499</v>
      </c>
      <c r="N1339" t="str">
        <f>Raw_Claims_Data!N1338</f>
        <v>AGENT00610</v>
      </c>
      <c r="O1339">
        <f>IF(Raw_Claims_Data!G1338="D",1,0)</f>
        <v>0</v>
      </c>
    </row>
    <row r="1340" spans="1:15" x14ac:dyDescent="0.35">
      <c r="A1340" t="str">
        <f>Raw_Claims_Data!A1339</f>
        <v>TXN00001336</v>
      </c>
      <c r="B1340" t="str">
        <f>TRIM(Raw_Claims_Data!B1339)</f>
        <v>Gretchen Early</v>
      </c>
      <c r="C1340" t="str">
        <f>Raw_Claims_Data!C1339</f>
        <v>Travel</v>
      </c>
      <c r="D1340">
        <f>Raw_Claims_Data!D1339</f>
        <v>82.27</v>
      </c>
      <c r="E1340">
        <f>Raw_Claims_Data!E1339</f>
        <v>3000</v>
      </c>
      <c r="F1340" t="str">
        <f>Raw_Claims_Data!F1339</f>
        <v>OK</v>
      </c>
      <c r="G1340" t="str">
        <f>Raw_Claims_Data!G1339</f>
        <v>A</v>
      </c>
      <c r="H1340" t="str">
        <f>Raw_Claims_Data!H1339</f>
        <v>Major Loss</v>
      </c>
      <c r="I1340" t="str">
        <f>IF(Raw_Claims_Data!I1339="","None",Raw_Claims_Data!I1339)</f>
        <v>None</v>
      </c>
      <c r="J1340" t="str">
        <f>Raw_Claims_Data!J1339</f>
        <v>Oklahoma City</v>
      </c>
      <c r="K1340" t="str">
        <f>Raw_Claims_Data!K1339</f>
        <v>OK</v>
      </c>
      <c r="L1340">
        <f>Raw_Claims_Data!L1339</f>
        <v>0</v>
      </c>
      <c r="M1340" t="str">
        <f>IF(Raw_Claims_Data!M1339="","N/A",Raw_Claims_Data!M1339)</f>
        <v>N/A</v>
      </c>
      <c r="N1340" t="str">
        <f>Raw_Claims_Data!N1339</f>
        <v>AGENT00753</v>
      </c>
      <c r="O1340">
        <f>IF(Raw_Claims_Data!G1339="D",1,0)</f>
        <v>0</v>
      </c>
    </row>
    <row r="1341" spans="1:15" x14ac:dyDescent="0.35">
      <c r="A1341" t="str">
        <f>Raw_Claims_Data!A1340</f>
        <v>TXN00001337</v>
      </c>
      <c r="B1341" t="str">
        <f>TRIM(Raw_Claims_Data!B1340)</f>
        <v>Virginia Anderson</v>
      </c>
      <c r="C1341" t="str">
        <f>Raw_Claims_Data!C1340</f>
        <v>Property</v>
      </c>
      <c r="D1341">
        <f>Raw_Claims_Data!D1340</f>
        <v>143.56</v>
      </c>
      <c r="E1341">
        <f>Raw_Claims_Data!E1340</f>
        <v>32000</v>
      </c>
      <c r="F1341" t="str">
        <f>Raw_Claims_Data!F1340</f>
        <v>AZ</v>
      </c>
      <c r="G1341" t="str">
        <f>Raw_Claims_Data!G1340</f>
        <v>A</v>
      </c>
      <c r="H1341" t="str">
        <f>Raw_Claims_Data!H1340</f>
        <v>Minor Loss</v>
      </c>
      <c r="I1341" t="str">
        <f>IF(Raw_Claims_Data!I1340="","None",Raw_Claims_Data!I1340)</f>
        <v>Police</v>
      </c>
      <c r="J1341" t="str">
        <f>Raw_Claims_Data!J1340</f>
        <v>Washington</v>
      </c>
      <c r="K1341" t="str">
        <f>Raw_Claims_Data!K1340</f>
        <v>DC</v>
      </c>
      <c r="L1341">
        <f>Raw_Claims_Data!L1340</f>
        <v>16</v>
      </c>
      <c r="M1341" t="str">
        <f>IF(Raw_Claims_Data!M1340="","N/A",Raw_Claims_Data!M1340)</f>
        <v>VNDR00593</v>
      </c>
      <c r="N1341" t="str">
        <f>Raw_Claims_Data!N1340</f>
        <v>AGENT01149</v>
      </c>
      <c r="O1341">
        <f>IF(Raw_Claims_Data!G1340="D",1,0)</f>
        <v>0</v>
      </c>
    </row>
    <row r="1342" spans="1:15" x14ac:dyDescent="0.35">
      <c r="A1342" t="str">
        <f>Raw_Claims_Data!A1341</f>
        <v>TXN00001338</v>
      </c>
      <c r="B1342" t="str">
        <f>TRIM(Raw_Claims_Data!B1341)</f>
        <v>Ruth Alford</v>
      </c>
      <c r="C1342" t="str">
        <f>Raw_Claims_Data!C1341</f>
        <v>Property</v>
      </c>
      <c r="D1342">
        <f>Raw_Claims_Data!D1341</f>
        <v>141.47999999999999</v>
      </c>
      <c r="E1342">
        <f>Raw_Claims_Data!E1341</f>
        <v>26000</v>
      </c>
      <c r="F1342" t="str">
        <f>Raw_Claims_Data!F1341</f>
        <v>MA</v>
      </c>
      <c r="G1342" t="str">
        <f>Raw_Claims_Data!G1341</f>
        <v>A</v>
      </c>
      <c r="H1342" t="str">
        <f>Raw_Claims_Data!H1341</f>
        <v>Total Loss</v>
      </c>
      <c r="I1342" t="str">
        <f>IF(Raw_Claims_Data!I1341="","None",Raw_Claims_Data!I1341)</f>
        <v>Ambulance</v>
      </c>
      <c r="J1342" t="str">
        <f>Raw_Claims_Data!J1341</f>
        <v>Falmouth</v>
      </c>
      <c r="K1342" t="str">
        <f>Raw_Claims_Data!K1341</f>
        <v>MA</v>
      </c>
      <c r="L1342">
        <f>Raw_Claims_Data!L1341</f>
        <v>13</v>
      </c>
      <c r="M1342" t="str">
        <f>IF(Raw_Claims_Data!M1341="","N/A",Raw_Claims_Data!M1341)</f>
        <v>VNDR00138</v>
      </c>
      <c r="N1342" t="str">
        <f>Raw_Claims_Data!N1341</f>
        <v>AGENT01162</v>
      </c>
      <c r="O1342">
        <f>IF(Raw_Claims_Data!G1341="D",1,0)</f>
        <v>0</v>
      </c>
    </row>
    <row r="1343" spans="1:15" x14ac:dyDescent="0.35">
      <c r="A1343" t="str">
        <f>Raw_Claims_Data!A1342</f>
        <v>TXN00001339</v>
      </c>
      <c r="B1343" t="str">
        <f>TRIM(Raw_Claims_Data!B1342)</f>
        <v>Tracey Lytle</v>
      </c>
      <c r="C1343" t="str">
        <f>Raw_Claims_Data!C1342</f>
        <v>Life</v>
      </c>
      <c r="D1343">
        <f>Raw_Claims_Data!D1342</f>
        <v>77.37</v>
      </c>
      <c r="E1343">
        <f>Raw_Claims_Data!E1342</f>
        <v>20000</v>
      </c>
      <c r="F1343" t="str">
        <f>Raw_Claims_Data!F1342</f>
        <v>VT</v>
      </c>
      <c r="G1343" t="str">
        <f>Raw_Claims_Data!G1342</f>
        <v>A</v>
      </c>
      <c r="H1343" t="str">
        <f>Raw_Claims_Data!H1342</f>
        <v>Total Loss</v>
      </c>
      <c r="I1343" t="str">
        <f>IF(Raw_Claims_Data!I1342="","None",Raw_Claims_Data!I1342)</f>
        <v>Ambulance</v>
      </c>
      <c r="J1343" t="str">
        <f>Raw_Claims_Data!J1342</f>
        <v>Savannah</v>
      </c>
      <c r="K1343" t="str">
        <f>Raw_Claims_Data!K1342</f>
        <v>GA</v>
      </c>
      <c r="L1343">
        <f>Raw_Claims_Data!L1342</f>
        <v>2</v>
      </c>
      <c r="M1343" t="str">
        <f>IF(Raw_Claims_Data!M1342="","N/A",Raw_Claims_Data!M1342)</f>
        <v>N/A</v>
      </c>
      <c r="N1343" t="str">
        <f>Raw_Claims_Data!N1342</f>
        <v>AGENT01102</v>
      </c>
      <c r="O1343">
        <f>IF(Raw_Claims_Data!G1342="D",1,0)</f>
        <v>0</v>
      </c>
    </row>
    <row r="1344" spans="1:15" x14ac:dyDescent="0.35">
      <c r="A1344" t="str">
        <f>Raw_Claims_Data!A1343</f>
        <v>TXN00001340</v>
      </c>
      <c r="B1344" t="str">
        <f>TRIM(Raw_Claims_Data!B1343)</f>
        <v>Kenneth Wyatt</v>
      </c>
      <c r="C1344" t="str">
        <f>Raw_Claims_Data!C1343</f>
        <v>Travel</v>
      </c>
      <c r="D1344">
        <f>Raw_Claims_Data!D1343</f>
        <v>59.27</v>
      </c>
      <c r="E1344">
        <f>Raw_Claims_Data!E1343</f>
        <v>4000</v>
      </c>
      <c r="F1344" t="str">
        <f>Raw_Claims_Data!F1343</f>
        <v>AK</v>
      </c>
      <c r="G1344" t="str">
        <f>Raw_Claims_Data!G1343</f>
        <v>A</v>
      </c>
      <c r="H1344" t="str">
        <f>Raw_Claims_Data!H1343</f>
        <v>Total Loss</v>
      </c>
      <c r="I1344" t="str">
        <f>IF(Raw_Claims_Data!I1343="","None",Raw_Claims_Data!I1343)</f>
        <v>Police</v>
      </c>
      <c r="J1344" t="str">
        <f>Raw_Claims_Data!J1343</f>
        <v>Washington</v>
      </c>
      <c r="K1344" t="str">
        <f>Raw_Claims_Data!K1343</f>
        <v>DC</v>
      </c>
      <c r="L1344">
        <f>Raw_Claims_Data!L1343</f>
        <v>12</v>
      </c>
      <c r="M1344" t="str">
        <f>IF(Raw_Claims_Data!M1343="","N/A",Raw_Claims_Data!M1343)</f>
        <v>N/A</v>
      </c>
      <c r="N1344" t="str">
        <f>Raw_Claims_Data!N1343</f>
        <v>AGENT00522</v>
      </c>
      <c r="O1344">
        <f>IF(Raw_Claims_Data!G1343="D",1,0)</f>
        <v>0</v>
      </c>
    </row>
    <row r="1345" spans="1:15" x14ac:dyDescent="0.35">
      <c r="A1345" t="str">
        <f>Raw_Claims_Data!A1344</f>
        <v>TXN00001341</v>
      </c>
      <c r="B1345" t="str">
        <f>TRIM(Raw_Claims_Data!B1344)</f>
        <v>Michelle Mcelroy</v>
      </c>
      <c r="C1345" t="str">
        <f>Raw_Claims_Data!C1344</f>
        <v>Mobile</v>
      </c>
      <c r="D1345">
        <f>Raw_Claims_Data!D1344</f>
        <v>10.74</v>
      </c>
      <c r="E1345">
        <f>Raw_Claims_Data!E1344</f>
        <v>100</v>
      </c>
      <c r="F1345" t="str">
        <f>Raw_Claims_Data!F1344</f>
        <v>VT</v>
      </c>
      <c r="G1345" t="str">
        <f>Raw_Claims_Data!G1344</f>
        <v>A</v>
      </c>
      <c r="H1345" t="str">
        <f>Raw_Claims_Data!H1344</f>
        <v>Major Loss</v>
      </c>
      <c r="I1345" t="str">
        <f>IF(Raw_Claims_Data!I1344="","None",Raw_Claims_Data!I1344)</f>
        <v>Ambulance</v>
      </c>
      <c r="J1345" t="str">
        <f>Raw_Claims_Data!J1344</f>
        <v>Fremont</v>
      </c>
      <c r="K1345" t="str">
        <f>Raw_Claims_Data!K1344</f>
        <v>CA</v>
      </c>
      <c r="L1345">
        <f>Raw_Claims_Data!L1344</f>
        <v>21</v>
      </c>
      <c r="M1345" t="str">
        <f>IF(Raw_Claims_Data!M1344="","N/A",Raw_Claims_Data!M1344)</f>
        <v>N/A</v>
      </c>
      <c r="N1345" t="str">
        <f>Raw_Claims_Data!N1344</f>
        <v>AGENT00046</v>
      </c>
      <c r="O1345">
        <f>IF(Raw_Claims_Data!G1344="D",1,0)</f>
        <v>0</v>
      </c>
    </row>
    <row r="1346" spans="1:15" x14ac:dyDescent="0.35">
      <c r="A1346" t="str">
        <f>Raw_Claims_Data!A1345</f>
        <v>TXN00001342</v>
      </c>
      <c r="B1346" t="str">
        <f>TRIM(Raw_Claims_Data!B1345)</f>
        <v>George Majors</v>
      </c>
      <c r="C1346" t="str">
        <f>Raw_Claims_Data!C1345</f>
        <v>Health</v>
      </c>
      <c r="D1346">
        <f>Raw_Claims_Data!D1345</f>
        <v>194.54</v>
      </c>
      <c r="E1346">
        <f>Raw_Claims_Data!E1345</f>
        <v>13000</v>
      </c>
      <c r="F1346" t="str">
        <f>Raw_Claims_Data!F1345</f>
        <v>AZ</v>
      </c>
      <c r="G1346" t="str">
        <f>Raw_Claims_Data!G1345</f>
        <v>D</v>
      </c>
      <c r="H1346" t="str">
        <f>Raw_Claims_Data!H1345</f>
        <v>Major Loss</v>
      </c>
      <c r="I1346" t="str">
        <f>IF(Raw_Claims_Data!I1345="","None",Raw_Claims_Data!I1345)</f>
        <v>Ambulance</v>
      </c>
      <c r="J1346" t="str">
        <f>Raw_Claims_Data!J1345</f>
        <v>Louisville</v>
      </c>
      <c r="K1346" t="str">
        <f>Raw_Claims_Data!K1345</f>
        <v>KY</v>
      </c>
      <c r="L1346">
        <f>Raw_Claims_Data!L1345</f>
        <v>23</v>
      </c>
      <c r="M1346" t="str">
        <f>IF(Raw_Claims_Data!M1345="","N/A",Raw_Claims_Data!M1345)</f>
        <v>VNDR00523</v>
      </c>
      <c r="N1346" t="str">
        <f>Raw_Claims_Data!N1345</f>
        <v>AGENT00428</v>
      </c>
      <c r="O1346">
        <f>IF(Raw_Claims_Data!G1345="D",1,0)</f>
        <v>1</v>
      </c>
    </row>
    <row r="1347" spans="1:15" x14ac:dyDescent="0.35">
      <c r="A1347" t="str">
        <f>Raw_Claims_Data!A1346</f>
        <v>TXN00001343</v>
      </c>
      <c r="B1347" t="str">
        <f>TRIM(Raw_Claims_Data!B1346)</f>
        <v>John Smith</v>
      </c>
      <c r="C1347" t="str">
        <f>Raw_Claims_Data!C1346</f>
        <v>Mobile</v>
      </c>
      <c r="D1347">
        <f>Raw_Claims_Data!D1346</f>
        <v>7.48</v>
      </c>
      <c r="E1347">
        <f>Raw_Claims_Data!E1346</f>
        <v>200</v>
      </c>
      <c r="F1347" t="str">
        <f>Raw_Claims_Data!F1346</f>
        <v>AL</v>
      </c>
      <c r="G1347" t="str">
        <f>Raw_Claims_Data!G1346</f>
        <v>A</v>
      </c>
      <c r="H1347" t="str">
        <f>Raw_Claims_Data!H1346</f>
        <v>Total Loss</v>
      </c>
      <c r="I1347" t="str">
        <f>IF(Raw_Claims_Data!I1346="","None",Raw_Claims_Data!I1346)</f>
        <v>None</v>
      </c>
      <c r="J1347" t="str">
        <f>Raw_Claims_Data!J1346</f>
        <v>Anchorage</v>
      </c>
      <c r="K1347" t="str">
        <f>Raw_Claims_Data!K1346</f>
        <v>AK</v>
      </c>
      <c r="L1347">
        <f>Raw_Claims_Data!L1346</f>
        <v>15</v>
      </c>
      <c r="M1347" t="str">
        <f>IF(Raw_Claims_Data!M1346="","N/A",Raw_Claims_Data!M1346)</f>
        <v>VNDR00566</v>
      </c>
      <c r="N1347" t="str">
        <f>Raw_Claims_Data!N1346</f>
        <v>AGENT00434</v>
      </c>
      <c r="O1347">
        <f>IF(Raw_Claims_Data!G1346="D",1,0)</f>
        <v>0</v>
      </c>
    </row>
    <row r="1348" spans="1:15" x14ac:dyDescent="0.35">
      <c r="A1348" t="str">
        <f>Raw_Claims_Data!A1347</f>
        <v>TXN00001344</v>
      </c>
      <c r="B1348" t="str">
        <f>TRIM(Raw_Claims_Data!B1347)</f>
        <v>Virginia Rankin</v>
      </c>
      <c r="C1348" t="str">
        <f>Raw_Claims_Data!C1347</f>
        <v>Life</v>
      </c>
      <c r="D1348">
        <f>Raw_Claims_Data!D1347</f>
        <v>64.75</v>
      </c>
      <c r="E1348">
        <f>Raw_Claims_Data!E1347</f>
        <v>82000</v>
      </c>
      <c r="F1348" t="str">
        <f>Raw_Claims_Data!F1347</f>
        <v>AZ</v>
      </c>
      <c r="G1348" t="str">
        <f>Raw_Claims_Data!G1347</f>
        <v>A</v>
      </c>
      <c r="H1348" t="str">
        <f>Raw_Claims_Data!H1347</f>
        <v>Major Loss</v>
      </c>
      <c r="I1348" t="str">
        <f>IF(Raw_Claims_Data!I1347="","None",Raw_Claims_Data!I1347)</f>
        <v>Ambulance</v>
      </c>
      <c r="J1348" t="str">
        <f>Raw_Claims_Data!J1347</f>
        <v>Thetford</v>
      </c>
      <c r="K1348" t="str">
        <f>Raw_Claims_Data!K1347</f>
        <v>VT</v>
      </c>
      <c r="L1348">
        <f>Raw_Claims_Data!L1347</f>
        <v>16</v>
      </c>
      <c r="M1348" t="str">
        <f>IF(Raw_Claims_Data!M1347="","N/A",Raw_Claims_Data!M1347)</f>
        <v>VNDR00433</v>
      </c>
      <c r="N1348" t="str">
        <f>Raw_Claims_Data!N1347</f>
        <v>AGENT00570</v>
      </c>
      <c r="O1348">
        <f>IF(Raw_Claims_Data!G1347="D",1,0)</f>
        <v>0</v>
      </c>
    </row>
    <row r="1349" spans="1:15" x14ac:dyDescent="0.35">
      <c r="A1349" t="str">
        <f>Raw_Claims_Data!A1348</f>
        <v>TXN00001345</v>
      </c>
      <c r="B1349" t="str">
        <f>TRIM(Raw_Claims_Data!B1348)</f>
        <v>Edward Green</v>
      </c>
      <c r="C1349" t="str">
        <f>Raw_Claims_Data!C1348</f>
        <v>Property</v>
      </c>
      <c r="D1349">
        <f>Raw_Claims_Data!D1348</f>
        <v>127.14</v>
      </c>
      <c r="E1349">
        <f>Raw_Claims_Data!E1348</f>
        <v>34000</v>
      </c>
      <c r="F1349" t="str">
        <f>Raw_Claims_Data!F1348</f>
        <v>MD</v>
      </c>
      <c r="G1349" t="str">
        <f>Raw_Claims_Data!G1348</f>
        <v>A</v>
      </c>
      <c r="H1349" t="str">
        <f>Raw_Claims_Data!H1348</f>
        <v>Major Loss</v>
      </c>
      <c r="I1349" t="str">
        <f>IF(Raw_Claims_Data!I1348="","None",Raw_Claims_Data!I1348)</f>
        <v>None</v>
      </c>
      <c r="J1349" t="str">
        <f>Raw_Claims_Data!J1348</f>
        <v>Nashville</v>
      </c>
      <c r="K1349" t="str">
        <f>Raw_Claims_Data!K1348</f>
        <v>TN</v>
      </c>
      <c r="L1349">
        <f>Raw_Claims_Data!L1348</f>
        <v>6</v>
      </c>
      <c r="M1349" t="str">
        <f>IF(Raw_Claims_Data!M1348="","N/A",Raw_Claims_Data!M1348)</f>
        <v>VNDR00408</v>
      </c>
      <c r="N1349" t="str">
        <f>Raw_Claims_Data!N1348</f>
        <v>AGENT00648</v>
      </c>
      <c r="O1349">
        <f>IF(Raw_Claims_Data!G1348="D",1,0)</f>
        <v>0</v>
      </c>
    </row>
    <row r="1350" spans="1:15" x14ac:dyDescent="0.35">
      <c r="A1350" t="str">
        <f>Raw_Claims_Data!A1349</f>
        <v>TXN00001346</v>
      </c>
      <c r="B1350" t="str">
        <f>TRIM(Raw_Claims_Data!B1349)</f>
        <v>Lucina Krieger</v>
      </c>
      <c r="C1350" t="str">
        <f>Raw_Claims_Data!C1349</f>
        <v>Property</v>
      </c>
      <c r="D1350">
        <f>Raw_Claims_Data!D1349</f>
        <v>136.21</v>
      </c>
      <c r="E1350">
        <f>Raw_Claims_Data!E1349</f>
        <v>28000</v>
      </c>
      <c r="F1350" t="str">
        <f>Raw_Claims_Data!F1349</f>
        <v>DC</v>
      </c>
      <c r="G1350" t="str">
        <f>Raw_Claims_Data!G1349</f>
        <v>A</v>
      </c>
      <c r="H1350" t="str">
        <f>Raw_Claims_Data!H1349</f>
        <v>Major Loss</v>
      </c>
      <c r="I1350" t="str">
        <f>IF(Raw_Claims_Data!I1349="","None",Raw_Claims_Data!I1349)</f>
        <v>Ambulance</v>
      </c>
      <c r="J1350" t="str">
        <f>Raw_Claims_Data!J1349</f>
        <v>Oakland</v>
      </c>
      <c r="K1350" t="str">
        <f>Raw_Claims_Data!K1349</f>
        <v>CA</v>
      </c>
      <c r="L1350">
        <f>Raw_Claims_Data!L1349</f>
        <v>9</v>
      </c>
      <c r="M1350" t="str">
        <f>IF(Raw_Claims_Data!M1349="","N/A",Raw_Claims_Data!M1349)</f>
        <v>VNDR00344</v>
      </c>
      <c r="N1350" t="str">
        <f>Raw_Claims_Data!N1349</f>
        <v>AGENT00483</v>
      </c>
      <c r="O1350">
        <f>IF(Raw_Claims_Data!G1349="D",1,0)</f>
        <v>0</v>
      </c>
    </row>
    <row r="1351" spans="1:15" x14ac:dyDescent="0.35">
      <c r="A1351" t="str">
        <f>Raw_Claims_Data!A1350</f>
        <v>TXN00001347</v>
      </c>
      <c r="B1351" t="str">
        <f>TRIM(Raw_Claims_Data!B1350)</f>
        <v>Mary Truax</v>
      </c>
      <c r="C1351" t="str">
        <f>Raw_Claims_Data!C1350</f>
        <v>Life</v>
      </c>
      <c r="D1351">
        <f>Raw_Claims_Data!D1350</f>
        <v>66.12</v>
      </c>
      <c r="E1351">
        <f>Raw_Claims_Data!E1350</f>
        <v>57000</v>
      </c>
      <c r="F1351" t="str">
        <f>Raw_Claims_Data!F1350</f>
        <v>AL</v>
      </c>
      <c r="G1351" t="str">
        <f>Raw_Claims_Data!G1350</f>
        <v>A</v>
      </c>
      <c r="H1351" t="str">
        <f>Raw_Claims_Data!H1350</f>
        <v>Total Loss</v>
      </c>
      <c r="I1351" t="str">
        <f>IF(Raw_Claims_Data!I1350="","None",Raw_Claims_Data!I1350)</f>
        <v>Police</v>
      </c>
      <c r="J1351" t="str">
        <f>Raw_Claims_Data!J1350</f>
        <v>Arvada</v>
      </c>
      <c r="K1351" t="str">
        <f>Raw_Claims_Data!K1350</f>
        <v>CO</v>
      </c>
      <c r="L1351">
        <f>Raw_Claims_Data!L1350</f>
        <v>6</v>
      </c>
      <c r="M1351" t="str">
        <f>IF(Raw_Claims_Data!M1350="","N/A",Raw_Claims_Data!M1350)</f>
        <v>N/A</v>
      </c>
      <c r="N1351" t="str">
        <f>Raw_Claims_Data!N1350</f>
        <v>AGENT00656</v>
      </c>
      <c r="O1351">
        <f>IF(Raw_Claims_Data!G1350="D",1,0)</f>
        <v>0</v>
      </c>
    </row>
    <row r="1352" spans="1:15" x14ac:dyDescent="0.35">
      <c r="A1352" t="str">
        <f>Raw_Claims_Data!A1351</f>
        <v>TXN00001348</v>
      </c>
      <c r="B1352" t="str">
        <f>TRIM(Raw_Claims_Data!B1351)</f>
        <v>Donna Pierce</v>
      </c>
      <c r="C1352" t="str">
        <f>Raw_Claims_Data!C1351</f>
        <v>Motor</v>
      </c>
      <c r="D1352">
        <f>Raw_Claims_Data!D1351</f>
        <v>130.66999999999999</v>
      </c>
      <c r="E1352">
        <f>Raw_Claims_Data!E1351</f>
        <v>8000</v>
      </c>
      <c r="F1352" t="str">
        <f>Raw_Claims_Data!F1351</f>
        <v>CO</v>
      </c>
      <c r="G1352" t="str">
        <f>Raw_Claims_Data!G1351</f>
        <v>A</v>
      </c>
      <c r="H1352" t="str">
        <f>Raw_Claims_Data!H1351</f>
        <v>Minor Loss</v>
      </c>
      <c r="I1352" t="str">
        <f>IF(Raw_Claims_Data!I1351="","None",Raw_Claims_Data!I1351)</f>
        <v>Ambulance</v>
      </c>
      <c r="J1352" t="str">
        <f>Raw_Claims_Data!J1351</f>
        <v>Edmond</v>
      </c>
      <c r="K1352" t="str">
        <f>Raw_Claims_Data!K1351</f>
        <v>OK</v>
      </c>
      <c r="L1352">
        <f>Raw_Claims_Data!L1351</f>
        <v>14</v>
      </c>
      <c r="M1352" t="str">
        <f>IF(Raw_Claims_Data!M1351="","N/A",Raw_Claims_Data!M1351)</f>
        <v>VNDR00366</v>
      </c>
      <c r="N1352" t="str">
        <f>Raw_Claims_Data!N1351</f>
        <v>AGENT00776</v>
      </c>
      <c r="O1352">
        <f>IF(Raw_Claims_Data!G1351="D",1,0)</f>
        <v>0</v>
      </c>
    </row>
    <row r="1353" spans="1:15" x14ac:dyDescent="0.35">
      <c r="A1353" t="str">
        <f>Raw_Claims_Data!A1352</f>
        <v>TXN00001349</v>
      </c>
      <c r="B1353" t="str">
        <f>TRIM(Raw_Claims_Data!B1352)</f>
        <v>Earl Shepherd</v>
      </c>
      <c r="C1353" t="str">
        <f>Raw_Claims_Data!C1352</f>
        <v>Motor</v>
      </c>
      <c r="D1353">
        <f>Raw_Claims_Data!D1352</f>
        <v>101.88</v>
      </c>
      <c r="E1353">
        <f>Raw_Claims_Data!E1352</f>
        <v>4000</v>
      </c>
      <c r="F1353" t="str">
        <f>Raw_Claims_Data!F1352</f>
        <v>CT</v>
      </c>
      <c r="G1353" t="str">
        <f>Raw_Claims_Data!G1352</f>
        <v>A</v>
      </c>
      <c r="H1353" t="str">
        <f>Raw_Claims_Data!H1352</f>
        <v>Major Loss</v>
      </c>
      <c r="I1353" t="str">
        <f>IF(Raw_Claims_Data!I1352="","None",Raw_Claims_Data!I1352)</f>
        <v>Ambulance</v>
      </c>
      <c r="J1353" t="str">
        <f>Raw_Claims_Data!J1352</f>
        <v>Arvada</v>
      </c>
      <c r="K1353" t="str">
        <f>Raw_Claims_Data!K1352</f>
        <v>CO</v>
      </c>
      <c r="L1353">
        <f>Raw_Claims_Data!L1352</f>
        <v>4</v>
      </c>
      <c r="M1353" t="str">
        <f>IF(Raw_Claims_Data!M1352="","N/A",Raw_Claims_Data!M1352)</f>
        <v>VNDR00486</v>
      </c>
      <c r="N1353" t="str">
        <f>Raw_Claims_Data!N1352</f>
        <v>AGENT00921</v>
      </c>
      <c r="O1353">
        <f>IF(Raw_Claims_Data!G1352="D",1,0)</f>
        <v>0</v>
      </c>
    </row>
    <row r="1354" spans="1:15" x14ac:dyDescent="0.35">
      <c r="A1354" t="str">
        <f>Raw_Claims_Data!A1353</f>
        <v>TXN00001350</v>
      </c>
      <c r="B1354" t="str">
        <f>TRIM(Raw_Claims_Data!B1353)</f>
        <v>Tracy Smith</v>
      </c>
      <c r="C1354" t="str">
        <f>Raw_Claims_Data!C1353</f>
        <v>Mobile</v>
      </c>
      <c r="D1354">
        <f>Raw_Claims_Data!D1353</f>
        <v>7.08</v>
      </c>
      <c r="E1354">
        <f>Raw_Claims_Data!E1353</f>
        <v>700</v>
      </c>
      <c r="F1354" t="str">
        <f>Raw_Claims_Data!F1353</f>
        <v>DC</v>
      </c>
      <c r="G1354" t="str">
        <f>Raw_Claims_Data!G1353</f>
        <v>A</v>
      </c>
      <c r="H1354" t="str">
        <f>Raw_Claims_Data!H1353</f>
        <v>Minor Loss</v>
      </c>
      <c r="I1354" t="str">
        <f>IF(Raw_Claims_Data!I1353="","None",Raw_Claims_Data!I1353)</f>
        <v>None</v>
      </c>
      <c r="J1354" t="str">
        <f>Raw_Claims_Data!J1353</f>
        <v>Nashville</v>
      </c>
      <c r="K1354" t="str">
        <f>Raw_Claims_Data!K1353</f>
        <v>TN</v>
      </c>
      <c r="L1354">
        <f>Raw_Claims_Data!L1353</f>
        <v>12</v>
      </c>
      <c r="M1354" t="str">
        <f>IF(Raw_Claims_Data!M1353="","N/A",Raw_Claims_Data!M1353)</f>
        <v>VNDR00239</v>
      </c>
      <c r="N1354" t="str">
        <f>Raw_Claims_Data!N1353</f>
        <v>AGENT00808</v>
      </c>
      <c r="O1354">
        <f>IF(Raw_Claims_Data!G1353="D",1,0)</f>
        <v>0</v>
      </c>
    </row>
    <row r="1355" spans="1:15" x14ac:dyDescent="0.35">
      <c r="A1355" t="str">
        <f>Raw_Claims_Data!A1354</f>
        <v>TXN00001351</v>
      </c>
      <c r="B1355" t="str">
        <f>TRIM(Raw_Claims_Data!B1354)</f>
        <v>Paul Chai</v>
      </c>
      <c r="C1355" t="str">
        <f>Raw_Claims_Data!C1354</f>
        <v>Life</v>
      </c>
      <c r="D1355">
        <f>Raw_Claims_Data!D1354</f>
        <v>50.53</v>
      </c>
      <c r="E1355">
        <f>Raw_Claims_Data!E1354</f>
        <v>91000</v>
      </c>
      <c r="F1355" t="str">
        <f>Raw_Claims_Data!F1354</f>
        <v>DC</v>
      </c>
      <c r="G1355" t="str">
        <f>Raw_Claims_Data!G1354</f>
        <v>A</v>
      </c>
      <c r="H1355" t="str">
        <f>Raw_Claims_Data!H1354</f>
        <v>Minor Loss</v>
      </c>
      <c r="I1355" t="str">
        <f>IF(Raw_Claims_Data!I1354="","None",Raw_Claims_Data!I1354)</f>
        <v>None</v>
      </c>
      <c r="J1355" t="str">
        <f>Raw_Claims_Data!J1354</f>
        <v>Barre</v>
      </c>
      <c r="K1355" t="str">
        <f>Raw_Claims_Data!K1354</f>
        <v>VT</v>
      </c>
      <c r="L1355">
        <f>Raw_Claims_Data!L1354</f>
        <v>23</v>
      </c>
      <c r="M1355" t="str">
        <f>IF(Raw_Claims_Data!M1354="","N/A",Raw_Claims_Data!M1354)</f>
        <v>VNDR00562</v>
      </c>
      <c r="N1355" t="str">
        <f>Raw_Claims_Data!N1354</f>
        <v>AGENT01159</v>
      </c>
      <c r="O1355">
        <f>IF(Raw_Claims_Data!G1354="D",1,0)</f>
        <v>0</v>
      </c>
    </row>
    <row r="1356" spans="1:15" x14ac:dyDescent="0.35">
      <c r="A1356" t="str">
        <f>Raw_Claims_Data!A1355</f>
        <v>TXN00001352</v>
      </c>
      <c r="B1356" t="str">
        <f>TRIM(Raw_Claims_Data!B1355)</f>
        <v>Luis Raymond</v>
      </c>
      <c r="C1356" t="str">
        <f>Raw_Claims_Data!C1355</f>
        <v>Motor</v>
      </c>
      <c r="D1356">
        <f>Raw_Claims_Data!D1355</f>
        <v>106.99</v>
      </c>
      <c r="E1356">
        <f>Raw_Claims_Data!E1355</f>
        <v>7000</v>
      </c>
      <c r="F1356" t="str">
        <f>Raw_Claims_Data!F1355</f>
        <v>DC</v>
      </c>
      <c r="G1356" t="str">
        <f>Raw_Claims_Data!G1355</f>
        <v>A</v>
      </c>
      <c r="H1356" t="str">
        <f>Raw_Claims_Data!H1355</f>
        <v>Major Loss</v>
      </c>
      <c r="I1356" t="str">
        <f>IF(Raw_Claims_Data!I1355="","None",Raw_Claims_Data!I1355)</f>
        <v>None</v>
      </c>
      <c r="J1356" t="str">
        <f>Raw_Claims_Data!J1355</f>
        <v>Glendale</v>
      </c>
      <c r="K1356" t="str">
        <f>Raw_Claims_Data!K1355</f>
        <v>AZ</v>
      </c>
      <c r="L1356">
        <f>Raw_Claims_Data!L1355</f>
        <v>17</v>
      </c>
      <c r="M1356" t="str">
        <f>IF(Raw_Claims_Data!M1355="","N/A",Raw_Claims_Data!M1355)</f>
        <v>N/A</v>
      </c>
      <c r="N1356" t="str">
        <f>Raw_Claims_Data!N1355</f>
        <v>AGENT00824</v>
      </c>
      <c r="O1356">
        <f>IF(Raw_Claims_Data!G1355="D",1,0)</f>
        <v>0</v>
      </c>
    </row>
    <row r="1357" spans="1:15" x14ac:dyDescent="0.35">
      <c r="A1357" t="str">
        <f>Raw_Claims_Data!A1356</f>
        <v>TXN00001353</v>
      </c>
      <c r="B1357" t="str">
        <f>TRIM(Raw_Claims_Data!B1356)</f>
        <v>Shawn Travis</v>
      </c>
      <c r="C1357" t="str">
        <f>Raw_Claims_Data!C1356</f>
        <v>Mobile</v>
      </c>
      <c r="D1357">
        <f>Raw_Claims_Data!D1356</f>
        <v>6.71</v>
      </c>
      <c r="E1357">
        <f>Raw_Claims_Data!E1356</f>
        <v>100</v>
      </c>
      <c r="F1357" t="str">
        <f>Raw_Claims_Data!F1356</f>
        <v>AL</v>
      </c>
      <c r="G1357" t="str">
        <f>Raw_Claims_Data!G1356</f>
        <v>A</v>
      </c>
      <c r="H1357" t="str">
        <f>Raw_Claims_Data!H1356</f>
        <v>Total Loss</v>
      </c>
      <c r="I1357" t="str">
        <f>IF(Raw_Claims_Data!I1356="","None",Raw_Claims_Data!I1356)</f>
        <v>Police</v>
      </c>
      <c r="J1357" t="str">
        <f>Raw_Claims_Data!J1356</f>
        <v>Oklahoma City</v>
      </c>
      <c r="K1357" t="str">
        <f>Raw_Claims_Data!K1356</f>
        <v>OK</v>
      </c>
      <c r="L1357">
        <f>Raw_Claims_Data!L1356</f>
        <v>12</v>
      </c>
      <c r="M1357" t="str">
        <f>IF(Raw_Claims_Data!M1356="","N/A",Raw_Claims_Data!M1356)</f>
        <v>VNDR00477</v>
      </c>
      <c r="N1357" t="str">
        <f>Raw_Claims_Data!N1356</f>
        <v>AGENT00228</v>
      </c>
      <c r="O1357">
        <f>IF(Raw_Claims_Data!G1356="D",1,0)</f>
        <v>0</v>
      </c>
    </row>
    <row r="1358" spans="1:15" x14ac:dyDescent="0.35">
      <c r="A1358" t="str">
        <f>Raw_Claims_Data!A1357</f>
        <v>TXN00001354</v>
      </c>
      <c r="B1358" t="str">
        <f>TRIM(Raw_Claims_Data!B1357)</f>
        <v>Brent Wilson</v>
      </c>
      <c r="C1358" t="str">
        <f>Raw_Claims_Data!C1357</f>
        <v>Property</v>
      </c>
      <c r="D1358">
        <f>Raw_Claims_Data!D1357</f>
        <v>143.57</v>
      </c>
      <c r="E1358">
        <f>Raw_Claims_Data!E1357</f>
        <v>18000</v>
      </c>
      <c r="F1358" t="str">
        <f>Raw_Claims_Data!F1357</f>
        <v>CA</v>
      </c>
      <c r="G1358" t="str">
        <f>Raw_Claims_Data!G1357</f>
        <v>A</v>
      </c>
      <c r="H1358" t="str">
        <f>Raw_Claims_Data!H1357</f>
        <v>Major Loss</v>
      </c>
      <c r="I1358" t="str">
        <f>IF(Raw_Claims_Data!I1357="","None",Raw_Claims_Data!I1357)</f>
        <v>Ambulance</v>
      </c>
      <c r="J1358" t="str">
        <f>Raw_Claims_Data!J1357</f>
        <v>Arvada</v>
      </c>
      <c r="K1358" t="str">
        <f>Raw_Claims_Data!K1357</f>
        <v>CO</v>
      </c>
      <c r="L1358">
        <f>Raw_Claims_Data!L1357</f>
        <v>6</v>
      </c>
      <c r="M1358" t="str">
        <f>IF(Raw_Claims_Data!M1357="","N/A",Raw_Claims_Data!M1357)</f>
        <v>N/A</v>
      </c>
      <c r="N1358" t="str">
        <f>Raw_Claims_Data!N1357</f>
        <v>AGENT00008</v>
      </c>
      <c r="O1358">
        <f>IF(Raw_Claims_Data!G1357="D",1,0)</f>
        <v>0</v>
      </c>
    </row>
    <row r="1359" spans="1:15" x14ac:dyDescent="0.35">
      <c r="A1359" t="str">
        <f>Raw_Claims_Data!A1358</f>
        <v>TXN00001355</v>
      </c>
      <c r="B1359" t="str">
        <f>TRIM(Raw_Claims_Data!B1358)</f>
        <v>Diana Wilcox</v>
      </c>
      <c r="C1359" t="str">
        <f>Raw_Claims_Data!C1358</f>
        <v>Property</v>
      </c>
      <c r="D1359">
        <f>Raw_Claims_Data!D1358</f>
        <v>152.44999999999999</v>
      </c>
      <c r="E1359">
        <f>Raw_Claims_Data!E1358</f>
        <v>16000</v>
      </c>
      <c r="F1359" t="str">
        <f>Raw_Claims_Data!F1358</f>
        <v>AR</v>
      </c>
      <c r="G1359" t="str">
        <f>Raw_Claims_Data!G1358</f>
        <v>A</v>
      </c>
      <c r="H1359" t="str">
        <f>Raw_Claims_Data!H1358</f>
        <v>Total Loss</v>
      </c>
      <c r="I1359" t="str">
        <f>IF(Raw_Claims_Data!I1358="","None",Raw_Claims_Data!I1358)</f>
        <v>Police</v>
      </c>
      <c r="J1359" t="str">
        <f>Raw_Claims_Data!J1358</f>
        <v>Oakland</v>
      </c>
      <c r="K1359" t="str">
        <f>Raw_Claims_Data!K1358</f>
        <v>CA</v>
      </c>
      <c r="L1359">
        <f>Raw_Claims_Data!L1358</f>
        <v>4</v>
      </c>
      <c r="M1359" t="str">
        <f>IF(Raw_Claims_Data!M1358="","N/A",Raw_Claims_Data!M1358)</f>
        <v>VNDR00233</v>
      </c>
      <c r="N1359" t="str">
        <f>Raw_Claims_Data!N1358</f>
        <v>AGENT01150</v>
      </c>
      <c r="O1359">
        <f>IF(Raw_Claims_Data!G1358="D",1,0)</f>
        <v>0</v>
      </c>
    </row>
    <row r="1360" spans="1:15" x14ac:dyDescent="0.35">
      <c r="A1360" t="str">
        <f>Raw_Claims_Data!A1359</f>
        <v>TXN00001356</v>
      </c>
      <c r="B1360" t="str">
        <f>TRIM(Raw_Claims_Data!B1359)</f>
        <v>Lawrence Rodriguez</v>
      </c>
      <c r="C1360" t="str">
        <f>Raw_Claims_Data!C1359</f>
        <v>Motor</v>
      </c>
      <c r="D1360">
        <f>Raw_Claims_Data!D1359</f>
        <v>136.29</v>
      </c>
      <c r="E1360">
        <f>Raw_Claims_Data!E1359</f>
        <v>7000</v>
      </c>
      <c r="F1360" t="str">
        <f>Raw_Claims_Data!F1359</f>
        <v>MA</v>
      </c>
      <c r="G1360" t="str">
        <f>Raw_Claims_Data!G1359</f>
        <v>A</v>
      </c>
      <c r="H1360" t="str">
        <f>Raw_Claims_Data!H1359</f>
        <v>Total Loss</v>
      </c>
      <c r="I1360" t="str">
        <f>IF(Raw_Claims_Data!I1359="","None",Raw_Claims_Data!I1359)</f>
        <v>Ambulance</v>
      </c>
      <c r="J1360" t="str">
        <f>Raw_Claims_Data!J1359</f>
        <v>Auburn</v>
      </c>
      <c r="K1360" t="str">
        <f>Raw_Claims_Data!K1359</f>
        <v>MA</v>
      </c>
      <c r="L1360">
        <f>Raw_Claims_Data!L1359</f>
        <v>22</v>
      </c>
      <c r="M1360" t="str">
        <f>IF(Raw_Claims_Data!M1359="","N/A",Raw_Claims_Data!M1359)</f>
        <v>VNDR00093</v>
      </c>
      <c r="N1360" t="str">
        <f>Raw_Claims_Data!N1359</f>
        <v>AGENT00323</v>
      </c>
      <c r="O1360">
        <f>IF(Raw_Claims_Data!G1359="D",1,0)</f>
        <v>0</v>
      </c>
    </row>
    <row r="1361" spans="1:15" x14ac:dyDescent="0.35">
      <c r="A1361" t="str">
        <f>Raw_Claims_Data!A1360</f>
        <v>TXN00001357</v>
      </c>
      <c r="B1361" t="str">
        <f>TRIM(Raw_Claims_Data!B1360)</f>
        <v>Anthony Ryder</v>
      </c>
      <c r="C1361" t="str">
        <f>Raw_Claims_Data!C1360</f>
        <v>Motor</v>
      </c>
      <c r="D1361">
        <f>Raw_Claims_Data!D1360</f>
        <v>115.5</v>
      </c>
      <c r="E1361">
        <f>Raw_Claims_Data!E1360</f>
        <v>2000</v>
      </c>
      <c r="F1361" t="str">
        <f>Raw_Claims_Data!F1360</f>
        <v>CT</v>
      </c>
      <c r="G1361" t="str">
        <f>Raw_Claims_Data!G1360</f>
        <v>A</v>
      </c>
      <c r="H1361" t="str">
        <f>Raw_Claims_Data!H1360</f>
        <v>Minor Loss</v>
      </c>
      <c r="I1361" t="str">
        <f>IF(Raw_Claims_Data!I1360="","None",Raw_Claims_Data!I1360)</f>
        <v>Police</v>
      </c>
      <c r="J1361" t="str">
        <f>Raw_Claims_Data!J1360</f>
        <v>Oakland</v>
      </c>
      <c r="K1361" t="str">
        <f>Raw_Claims_Data!K1360</f>
        <v>CA</v>
      </c>
      <c r="L1361">
        <f>Raw_Claims_Data!L1360</f>
        <v>23</v>
      </c>
      <c r="M1361" t="str">
        <f>IF(Raw_Claims_Data!M1360="","N/A",Raw_Claims_Data!M1360)</f>
        <v>VNDR00353</v>
      </c>
      <c r="N1361" t="str">
        <f>Raw_Claims_Data!N1360</f>
        <v>AGENT01095</v>
      </c>
      <c r="O1361">
        <f>IF(Raw_Claims_Data!G1360="D",1,0)</f>
        <v>0</v>
      </c>
    </row>
    <row r="1362" spans="1:15" x14ac:dyDescent="0.35">
      <c r="A1362" t="str">
        <f>Raw_Claims_Data!A1361</f>
        <v>TXN00001358</v>
      </c>
      <c r="B1362" t="str">
        <f>TRIM(Raw_Claims_Data!B1361)</f>
        <v>Dorothy Rodriquez</v>
      </c>
      <c r="C1362" t="str">
        <f>Raw_Claims_Data!C1361</f>
        <v>Motor</v>
      </c>
      <c r="D1362">
        <f>Raw_Claims_Data!D1361</f>
        <v>77.23</v>
      </c>
      <c r="E1362">
        <f>Raw_Claims_Data!E1361</f>
        <v>7000</v>
      </c>
      <c r="F1362" t="str">
        <f>Raw_Claims_Data!F1361</f>
        <v>AZ</v>
      </c>
      <c r="G1362" t="str">
        <f>Raw_Claims_Data!G1361</f>
        <v>A</v>
      </c>
      <c r="H1362" t="str">
        <f>Raw_Claims_Data!H1361</f>
        <v>Total Loss</v>
      </c>
      <c r="I1362" t="str">
        <f>IF(Raw_Claims_Data!I1361="","None",Raw_Claims_Data!I1361)</f>
        <v>Police</v>
      </c>
      <c r="J1362" t="str">
        <f>Raw_Claims_Data!J1361</f>
        <v>Brentwood</v>
      </c>
      <c r="K1362" t="str">
        <f>Raw_Claims_Data!K1361</f>
        <v>TN</v>
      </c>
      <c r="L1362">
        <f>Raw_Claims_Data!L1361</f>
        <v>23</v>
      </c>
      <c r="M1362" t="str">
        <f>IF(Raw_Claims_Data!M1361="","N/A",Raw_Claims_Data!M1361)</f>
        <v>VNDR00456</v>
      </c>
      <c r="N1362" t="str">
        <f>Raw_Claims_Data!N1361</f>
        <v>AGENT00386</v>
      </c>
      <c r="O1362">
        <f>IF(Raw_Claims_Data!G1361="D",1,0)</f>
        <v>0</v>
      </c>
    </row>
    <row r="1363" spans="1:15" x14ac:dyDescent="0.35">
      <c r="A1363" t="str">
        <f>Raw_Claims_Data!A1362</f>
        <v>TXN00001359</v>
      </c>
      <c r="B1363" t="str">
        <f>TRIM(Raw_Claims_Data!B1362)</f>
        <v>Alexander Holder</v>
      </c>
      <c r="C1363" t="str">
        <f>Raw_Claims_Data!C1362</f>
        <v>Health</v>
      </c>
      <c r="D1363">
        <f>Raw_Claims_Data!D1362</f>
        <v>108.5</v>
      </c>
      <c r="E1363">
        <f>Raw_Claims_Data!E1362</f>
        <v>4000</v>
      </c>
      <c r="F1363" t="str">
        <f>Raw_Claims_Data!F1362</f>
        <v>MD</v>
      </c>
      <c r="G1363" t="str">
        <f>Raw_Claims_Data!G1362</f>
        <v>A</v>
      </c>
      <c r="H1363" t="str">
        <f>Raw_Claims_Data!H1362</f>
        <v>Major Loss</v>
      </c>
      <c r="I1363" t="str">
        <f>IF(Raw_Claims_Data!I1362="","None",Raw_Claims_Data!I1362)</f>
        <v>Other</v>
      </c>
      <c r="J1363" t="str">
        <f>Raw_Claims_Data!J1362</f>
        <v>Oakland</v>
      </c>
      <c r="K1363" t="str">
        <f>Raw_Claims_Data!K1362</f>
        <v>CA</v>
      </c>
      <c r="L1363">
        <f>Raw_Claims_Data!L1362</f>
        <v>13</v>
      </c>
      <c r="M1363" t="str">
        <f>IF(Raw_Claims_Data!M1362="","N/A",Raw_Claims_Data!M1362)</f>
        <v>VNDR00167</v>
      </c>
      <c r="N1363" t="str">
        <f>Raw_Claims_Data!N1362</f>
        <v>AGENT00729</v>
      </c>
      <c r="O1363">
        <f>IF(Raw_Claims_Data!G1362="D",1,0)</f>
        <v>0</v>
      </c>
    </row>
    <row r="1364" spans="1:15" x14ac:dyDescent="0.35">
      <c r="A1364" t="str">
        <f>Raw_Claims_Data!A1363</f>
        <v>TXN00001360</v>
      </c>
      <c r="B1364" t="str">
        <f>TRIM(Raw_Claims_Data!B1363)</f>
        <v>John Starr</v>
      </c>
      <c r="C1364" t="str">
        <f>Raw_Claims_Data!C1363</f>
        <v>Property</v>
      </c>
      <c r="D1364">
        <f>Raw_Claims_Data!D1363</f>
        <v>159.71</v>
      </c>
      <c r="E1364">
        <f>Raw_Claims_Data!E1363</f>
        <v>11000</v>
      </c>
      <c r="F1364" t="str">
        <f>Raw_Claims_Data!F1363</f>
        <v>AK</v>
      </c>
      <c r="G1364" t="str">
        <f>Raw_Claims_Data!G1363</f>
        <v>A</v>
      </c>
      <c r="H1364" t="str">
        <f>Raw_Claims_Data!H1363</f>
        <v>Total Loss</v>
      </c>
      <c r="I1364" t="str">
        <f>IF(Raw_Claims_Data!I1363="","None",Raw_Claims_Data!I1363)</f>
        <v>Other</v>
      </c>
      <c r="J1364" t="str">
        <f>Raw_Claims_Data!J1363</f>
        <v>Grass Valley</v>
      </c>
      <c r="K1364" t="str">
        <f>Raw_Claims_Data!K1363</f>
        <v>CA</v>
      </c>
      <c r="L1364">
        <f>Raw_Claims_Data!L1363</f>
        <v>15</v>
      </c>
      <c r="M1364" t="str">
        <f>IF(Raw_Claims_Data!M1363="","N/A",Raw_Claims_Data!M1363)</f>
        <v>VNDR00541</v>
      </c>
      <c r="N1364" t="str">
        <f>Raw_Claims_Data!N1363</f>
        <v>AGENT00821</v>
      </c>
      <c r="O1364">
        <f>IF(Raw_Claims_Data!G1363="D",1,0)</f>
        <v>0</v>
      </c>
    </row>
    <row r="1365" spans="1:15" x14ac:dyDescent="0.35">
      <c r="A1365" t="str">
        <f>Raw_Claims_Data!A1364</f>
        <v>TXN00001361</v>
      </c>
      <c r="B1365" t="str">
        <f>TRIM(Raw_Claims_Data!B1364)</f>
        <v>Karen Smith</v>
      </c>
      <c r="C1365" t="str">
        <f>Raw_Claims_Data!C1364</f>
        <v>Mobile</v>
      </c>
      <c r="D1365">
        <f>Raw_Claims_Data!D1364</f>
        <v>10.99</v>
      </c>
      <c r="E1365">
        <f>Raw_Claims_Data!E1364</f>
        <v>400</v>
      </c>
      <c r="F1365" t="str">
        <f>Raw_Claims_Data!F1364</f>
        <v>GA</v>
      </c>
      <c r="G1365" t="str">
        <f>Raw_Claims_Data!G1364</f>
        <v>D</v>
      </c>
      <c r="H1365" t="str">
        <f>Raw_Claims_Data!H1364</f>
        <v>Total Loss</v>
      </c>
      <c r="I1365" t="str">
        <f>IF(Raw_Claims_Data!I1364="","None",Raw_Claims_Data!I1364)</f>
        <v>Police</v>
      </c>
      <c r="J1365" t="str">
        <f>Raw_Claims_Data!J1364</f>
        <v>Arvada</v>
      </c>
      <c r="K1365" t="str">
        <f>Raw_Claims_Data!K1364</f>
        <v>CO</v>
      </c>
      <c r="L1365">
        <f>Raw_Claims_Data!L1364</f>
        <v>2</v>
      </c>
      <c r="M1365" t="str">
        <f>IF(Raw_Claims_Data!M1364="","N/A",Raw_Claims_Data!M1364)</f>
        <v>VNDR00491</v>
      </c>
      <c r="N1365" t="str">
        <f>Raw_Claims_Data!N1364</f>
        <v>AGENT00684</v>
      </c>
      <c r="O1365">
        <f>IF(Raw_Claims_Data!G1364="D",1,0)</f>
        <v>1</v>
      </c>
    </row>
    <row r="1366" spans="1:15" x14ac:dyDescent="0.35">
      <c r="A1366" t="str">
        <f>Raw_Claims_Data!A1365</f>
        <v>TXN00001362</v>
      </c>
      <c r="B1366" t="str">
        <f>TRIM(Raw_Claims_Data!B1365)</f>
        <v>Gladys Fox</v>
      </c>
      <c r="C1366" t="str">
        <f>Raw_Claims_Data!C1365</f>
        <v>Property</v>
      </c>
      <c r="D1366">
        <f>Raw_Claims_Data!D1365</f>
        <v>105.93</v>
      </c>
      <c r="E1366">
        <f>Raw_Claims_Data!E1365</f>
        <v>26000</v>
      </c>
      <c r="F1366" t="str">
        <f>Raw_Claims_Data!F1365</f>
        <v>MD</v>
      </c>
      <c r="G1366" t="str">
        <f>Raw_Claims_Data!G1365</f>
        <v>A</v>
      </c>
      <c r="H1366" t="str">
        <f>Raw_Claims_Data!H1365</f>
        <v>Minor Loss</v>
      </c>
      <c r="I1366" t="str">
        <f>IF(Raw_Claims_Data!I1365="","None",Raw_Claims_Data!I1365)</f>
        <v>Ambulance</v>
      </c>
      <c r="J1366" t="str">
        <f>Raw_Claims_Data!J1365</f>
        <v>Anchorage</v>
      </c>
      <c r="K1366" t="str">
        <f>Raw_Claims_Data!K1365</f>
        <v>AK</v>
      </c>
      <c r="L1366">
        <f>Raw_Claims_Data!L1365</f>
        <v>10</v>
      </c>
      <c r="M1366" t="str">
        <f>IF(Raw_Claims_Data!M1365="","N/A",Raw_Claims_Data!M1365)</f>
        <v>N/A</v>
      </c>
      <c r="N1366" t="str">
        <f>Raw_Claims_Data!N1365</f>
        <v>AGENT00414</v>
      </c>
      <c r="O1366">
        <f>IF(Raw_Claims_Data!G1365="D",1,0)</f>
        <v>0</v>
      </c>
    </row>
    <row r="1367" spans="1:15" x14ac:dyDescent="0.35">
      <c r="A1367" t="str">
        <f>Raw_Claims_Data!A1366</f>
        <v>TXN00001363</v>
      </c>
      <c r="B1367" t="str">
        <f>TRIM(Raw_Claims_Data!B1366)</f>
        <v>Jason White</v>
      </c>
      <c r="C1367" t="str">
        <f>Raw_Claims_Data!C1366</f>
        <v>Travel</v>
      </c>
      <c r="D1367">
        <f>Raw_Claims_Data!D1366</f>
        <v>71.53</v>
      </c>
      <c r="E1367">
        <f>Raw_Claims_Data!E1366</f>
        <v>4000</v>
      </c>
      <c r="F1367" t="str">
        <f>Raw_Claims_Data!F1366</f>
        <v>MD</v>
      </c>
      <c r="G1367" t="str">
        <f>Raw_Claims_Data!G1366</f>
        <v>A</v>
      </c>
      <c r="H1367" t="str">
        <f>Raw_Claims_Data!H1366</f>
        <v>Total Loss</v>
      </c>
      <c r="I1367" t="str">
        <f>IF(Raw_Claims_Data!I1366="","None",Raw_Claims_Data!I1366)</f>
        <v>Police</v>
      </c>
      <c r="J1367" t="str">
        <f>Raw_Claims_Data!J1366</f>
        <v>Hayward</v>
      </c>
      <c r="K1367" t="str">
        <f>Raw_Claims_Data!K1366</f>
        <v>CA</v>
      </c>
      <c r="L1367">
        <f>Raw_Claims_Data!L1366</f>
        <v>22</v>
      </c>
      <c r="M1367" t="str">
        <f>IF(Raw_Claims_Data!M1366="","N/A",Raw_Claims_Data!M1366)</f>
        <v>VNDR00293</v>
      </c>
      <c r="N1367" t="str">
        <f>Raw_Claims_Data!N1366</f>
        <v>AGENT01040</v>
      </c>
      <c r="O1367">
        <f>IF(Raw_Claims_Data!G1366="D",1,0)</f>
        <v>0</v>
      </c>
    </row>
    <row r="1368" spans="1:15" x14ac:dyDescent="0.35">
      <c r="A1368" t="str">
        <f>Raw_Claims_Data!A1367</f>
        <v>TXN00001364</v>
      </c>
      <c r="B1368" t="str">
        <f>TRIM(Raw_Claims_Data!B1367)</f>
        <v>Betty Means</v>
      </c>
      <c r="C1368" t="str">
        <f>Raw_Claims_Data!C1367</f>
        <v>Travel</v>
      </c>
      <c r="D1368">
        <f>Raw_Claims_Data!D1367</f>
        <v>89.53</v>
      </c>
      <c r="E1368">
        <f>Raw_Claims_Data!E1367</f>
        <v>3000</v>
      </c>
      <c r="F1368" t="str">
        <f>Raw_Claims_Data!F1367</f>
        <v>MA</v>
      </c>
      <c r="G1368" t="str">
        <f>Raw_Claims_Data!G1367</f>
        <v>A</v>
      </c>
      <c r="H1368" t="str">
        <f>Raw_Claims_Data!H1367</f>
        <v>Minor Loss</v>
      </c>
      <c r="I1368" t="str">
        <f>IF(Raw_Claims_Data!I1367="","None",Raw_Claims_Data!I1367)</f>
        <v>None</v>
      </c>
      <c r="J1368" t="str">
        <f>Raw_Claims_Data!J1367</f>
        <v>Manchester</v>
      </c>
      <c r="K1368" t="str">
        <f>Raw_Claims_Data!K1367</f>
        <v>CT</v>
      </c>
      <c r="L1368">
        <f>Raw_Claims_Data!L1367</f>
        <v>3</v>
      </c>
      <c r="M1368" t="str">
        <f>IF(Raw_Claims_Data!M1367="","N/A",Raw_Claims_Data!M1367)</f>
        <v>VNDR00019</v>
      </c>
      <c r="N1368" t="str">
        <f>Raw_Claims_Data!N1367</f>
        <v>AGENT00270</v>
      </c>
      <c r="O1368">
        <f>IF(Raw_Claims_Data!G1367="D",1,0)</f>
        <v>0</v>
      </c>
    </row>
    <row r="1369" spans="1:15" x14ac:dyDescent="0.35">
      <c r="A1369" t="str">
        <f>Raw_Claims_Data!A1368</f>
        <v>TXN00001365</v>
      </c>
      <c r="B1369" t="str">
        <f>TRIM(Raw_Claims_Data!B1368)</f>
        <v>John Gomez</v>
      </c>
      <c r="C1369" t="str">
        <f>Raw_Claims_Data!C1368</f>
        <v>Mobile</v>
      </c>
      <c r="D1369">
        <f>Raw_Claims_Data!D1368</f>
        <v>6.55</v>
      </c>
      <c r="E1369">
        <f>Raw_Claims_Data!E1368</f>
        <v>200</v>
      </c>
      <c r="F1369" t="str">
        <f>Raw_Claims_Data!F1368</f>
        <v>FL</v>
      </c>
      <c r="G1369" t="str">
        <f>Raw_Claims_Data!G1368</f>
        <v>A</v>
      </c>
      <c r="H1369" t="str">
        <f>Raw_Claims_Data!H1368</f>
        <v>Total Loss</v>
      </c>
      <c r="I1369" t="str">
        <f>IF(Raw_Claims_Data!I1368="","None",Raw_Claims_Data!I1368)</f>
        <v>Police</v>
      </c>
      <c r="J1369" t="str">
        <f>Raw_Claims_Data!J1368</f>
        <v>Washington</v>
      </c>
      <c r="K1369" t="str">
        <f>Raw_Claims_Data!K1368</f>
        <v>DC</v>
      </c>
      <c r="L1369">
        <f>Raw_Claims_Data!L1368</f>
        <v>8</v>
      </c>
      <c r="M1369" t="str">
        <f>IF(Raw_Claims_Data!M1368="","N/A",Raw_Claims_Data!M1368)</f>
        <v>N/A</v>
      </c>
      <c r="N1369" t="str">
        <f>Raw_Claims_Data!N1368</f>
        <v>AGENT00645</v>
      </c>
      <c r="O1369">
        <f>IF(Raw_Claims_Data!G1368="D",1,0)</f>
        <v>0</v>
      </c>
    </row>
    <row r="1370" spans="1:15" x14ac:dyDescent="0.35">
      <c r="A1370" t="str">
        <f>Raw_Claims_Data!A1369</f>
        <v>TXN00001366</v>
      </c>
      <c r="B1370" t="str">
        <f>TRIM(Raw_Claims_Data!B1369)</f>
        <v>Jerry Olsen</v>
      </c>
      <c r="C1370" t="str">
        <f>Raw_Claims_Data!C1369</f>
        <v>Property</v>
      </c>
      <c r="D1370">
        <f>Raw_Claims_Data!D1369</f>
        <v>82.35</v>
      </c>
      <c r="E1370">
        <f>Raw_Claims_Data!E1369</f>
        <v>35000</v>
      </c>
      <c r="F1370" t="str">
        <f>Raw_Claims_Data!F1369</f>
        <v>AL</v>
      </c>
      <c r="G1370" t="str">
        <f>Raw_Claims_Data!G1369</f>
        <v>A</v>
      </c>
      <c r="H1370" t="str">
        <f>Raw_Claims_Data!H1369</f>
        <v>Total Loss</v>
      </c>
      <c r="I1370" t="str">
        <f>IF(Raw_Claims_Data!I1369="","None",Raw_Claims_Data!I1369)</f>
        <v>Police</v>
      </c>
      <c r="J1370" t="str">
        <f>Raw_Claims_Data!J1369</f>
        <v>Panama City</v>
      </c>
      <c r="K1370" t="str">
        <f>Raw_Claims_Data!K1369</f>
        <v>FL</v>
      </c>
      <c r="L1370">
        <f>Raw_Claims_Data!L1369</f>
        <v>8</v>
      </c>
      <c r="M1370" t="str">
        <f>IF(Raw_Claims_Data!M1369="","N/A",Raw_Claims_Data!M1369)</f>
        <v>N/A</v>
      </c>
      <c r="N1370" t="str">
        <f>Raw_Claims_Data!N1369</f>
        <v>AGENT00933</v>
      </c>
      <c r="O1370">
        <f>IF(Raw_Claims_Data!G1369="D",1,0)</f>
        <v>0</v>
      </c>
    </row>
    <row r="1371" spans="1:15" x14ac:dyDescent="0.35">
      <c r="A1371" t="str">
        <f>Raw_Claims_Data!A1370</f>
        <v>TXN00001367</v>
      </c>
      <c r="B1371" t="str">
        <f>TRIM(Raw_Claims_Data!B1370)</f>
        <v>Diane Hooper</v>
      </c>
      <c r="C1371" t="str">
        <f>Raw_Claims_Data!C1370</f>
        <v>Motor</v>
      </c>
      <c r="D1371">
        <f>Raw_Claims_Data!D1370</f>
        <v>105.57</v>
      </c>
      <c r="E1371">
        <f>Raw_Claims_Data!E1370</f>
        <v>3000</v>
      </c>
      <c r="F1371" t="str">
        <f>Raw_Claims_Data!F1370</f>
        <v>MD</v>
      </c>
      <c r="G1371" t="str">
        <f>Raw_Claims_Data!G1370</f>
        <v>A</v>
      </c>
      <c r="H1371" t="str">
        <f>Raw_Claims_Data!H1370</f>
        <v>Major Loss</v>
      </c>
      <c r="I1371" t="str">
        <f>IF(Raw_Claims_Data!I1370="","None",Raw_Claims_Data!I1370)</f>
        <v>Other</v>
      </c>
      <c r="J1371" t="str">
        <f>Raw_Claims_Data!J1370</f>
        <v>Montgomery</v>
      </c>
      <c r="K1371" t="str">
        <f>Raw_Claims_Data!K1370</f>
        <v>AL</v>
      </c>
      <c r="L1371">
        <f>Raw_Claims_Data!L1370</f>
        <v>4</v>
      </c>
      <c r="M1371" t="str">
        <f>IF(Raw_Claims_Data!M1370="","N/A",Raw_Claims_Data!M1370)</f>
        <v>N/A</v>
      </c>
      <c r="N1371" t="str">
        <f>Raw_Claims_Data!N1370</f>
        <v>AGENT00407</v>
      </c>
      <c r="O1371">
        <f>IF(Raw_Claims_Data!G1370="D",1,0)</f>
        <v>0</v>
      </c>
    </row>
    <row r="1372" spans="1:15" x14ac:dyDescent="0.35">
      <c r="A1372" t="str">
        <f>Raw_Claims_Data!A1371</f>
        <v>TXN00001368</v>
      </c>
      <c r="B1372" t="str">
        <f>TRIM(Raw_Claims_Data!B1371)</f>
        <v>Javier From</v>
      </c>
      <c r="C1372" t="str">
        <f>Raw_Claims_Data!C1371</f>
        <v>Motor</v>
      </c>
      <c r="D1372">
        <f>Raw_Claims_Data!D1371</f>
        <v>91.12</v>
      </c>
      <c r="E1372">
        <f>Raw_Claims_Data!E1371</f>
        <v>8000</v>
      </c>
      <c r="F1372" t="str">
        <f>Raw_Claims_Data!F1371</f>
        <v>CO</v>
      </c>
      <c r="G1372" t="str">
        <f>Raw_Claims_Data!G1371</f>
        <v>A</v>
      </c>
      <c r="H1372" t="str">
        <f>Raw_Claims_Data!H1371</f>
        <v>Major Loss</v>
      </c>
      <c r="I1372" t="str">
        <f>IF(Raw_Claims_Data!I1371="","None",Raw_Claims_Data!I1371)</f>
        <v>Ambulance</v>
      </c>
      <c r="J1372" t="str">
        <f>Raw_Claims_Data!J1371</f>
        <v>Savannah</v>
      </c>
      <c r="K1372" t="str">
        <f>Raw_Claims_Data!K1371</f>
        <v>GA</v>
      </c>
      <c r="L1372">
        <f>Raw_Claims_Data!L1371</f>
        <v>15</v>
      </c>
      <c r="M1372" t="str">
        <f>IF(Raw_Claims_Data!M1371="","N/A",Raw_Claims_Data!M1371)</f>
        <v>VNDR00499</v>
      </c>
      <c r="N1372" t="str">
        <f>Raw_Claims_Data!N1371</f>
        <v>AGENT01184</v>
      </c>
      <c r="O1372">
        <f>IF(Raw_Claims_Data!G1371="D",1,0)</f>
        <v>0</v>
      </c>
    </row>
    <row r="1373" spans="1:15" x14ac:dyDescent="0.35">
      <c r="A1373" t="str">
        <f>Raw_Claims_Data!A1372</f>
        <v>TXN00001369</v>
      </c>
      <c r="B1373" t="str">
        <f>TRIM(Raw_Claims_Data!B1372)</f>
        <v>Candace Crawford</v>
      </c>
      <c r="C1373" t="str">
        <f>Raw_Claims_Data!C1372</f>
        <v>Travel</v>
      </c>
      <c r="D1373">
        <f>Raw_Claims_Data!D1372</f>
        <v>87.21</v>
      </c>
      <c r="E1373">
        <f>Raw_Claims_Data!E1372</f>
        <v>1000</v>
      </c>
      <c r="F1373" t="str">
        <f>Raw_Claims_Data!F1372</f>
        <v>KY</v>
      </c>
      <c r="G1373" t="str">
        <f>Raw_Claims_Data!G1372</f>
        <v>A</v>
      </c>
      <c r="H1373" t="str">
        <f>Raw_Claims_Data!H1372</f>
        <v>Total Loss</v>
      </c>
      <c r="I1373" t="str">
        <f>IF(Raw_Claims_Data!I1372="","None",Raw_Claims_Data!I1372)</f>
        <v>Ambulance</v>
      </c>
      <c r="J1373" t="str">
        <f>Raw_Claims_Data!J1372</f>
        <v>Newark</v>
      </c>
      <c r="K1373" t="str">
        <f>Raw_Claims_Data!K1372</f>
        <v>CA</v>
      </c>
      <c r="L1373">
        <f>Raw_Claims_Data!L1372</f>
        <v>2</v>
      </c>
      <c r="M1373" t="str">
        <f>IF(Raw_Claims_Data!M1372="","N/A",Raw_Claims_Data!M1372)</f>
        <v>N/A</v>
      </c>
      <c r="N1373" t="str">
        <f>Raw_Claims_Data!N1372</f>
        <v>AGENT00313</v>
      </c>
      <c r="O1373">
        <f>IF(Raw_Claims_Data!G1372="D",1,0)</f>
        <v>0</v>
      </c>
    </row>
    <row r="1374" spans="1:15" x14ac:dyDescent="0.35">
      <c r="A1374" t="str">
        <f>Raw_Claims_Data!A1373</f>
        <v>TXN00001370</v>
      </c>
      <c r="B1374" t="str">
        <f>TRIM(Raw_Claims_Data!B1373)</f>
        <v>William Lindsey</v>
      </c>
      <c r="C1374" t="str">
        <f>Raw_Claims_Data!C1373</f>
        <v>Travel</v>
      </c>
      <c r="D1374">
        <f>Raw_Claims_Data!D1373</f>
        <v>59.42</v>
      </c>
      <c r="E1374">
        <f>Raw_Claims_Data!E1373</f>
        <v>3000</v>
      </c>
      <c r="F1374" t="str">
        <f>Raw_Claims_Data!F1373</f>
        <v>KY</v>
      </c>
      <c r="G1374" t="str">
        <f>Raw_Claims_Data!G1373</f>
        <v>D</v>
      </c>
      <c r="H1374" t="str">
        <f>Raw_Claims_Data!H1373</f>
        <v>Major Loss</v>
      </c>
      <c r="I1374" t="str">
        <f>IF(Raw_Claims_Data!I1373="","None",Raw_Claims_Data!I1373)</f>
        <v>Ambulance</v>
      </c>
      <c r="J1374" t="str">
        <f>Raw_Claims_Data!J1373</f>
        <v>Pooler</v>
      </c>
      <c r="K1374" t="str">
        <f>Raw_Claims_Data!K1373</f>
        <v>GA</v>
      </c>
      <c r="L1374">
        <f>Raw_Claims_Data!L1373</f>
        <v>14</v>
      </c>
      <c r="M1374" t="str">
        <f>IF(Raw_Claims_Data!M1373="","N/A",Raw_Claims_Data!M1373)</f>
        <v>VNDR00197</v>
      </c>
      <c r="N1374" t="str">
        <f>Raw_Claims_Data!N1373</f>
        <v>AGENT00931</v>
      </c>
      <c r="O1374">
        <f>IF(Raw_Claims_Data!G1373="D",1,0)</f>
        <v>1</v>
      </c>
    </row>
    <row r="1375" spans="1:15" x14ac:dyDescent="0.35">
      <c r="A1375" t="str">
        <f>Raw_Claims_Data!A1374</f>
        <v>TXN00001371</v>
      </c>
      <c r="B1375" t="str">
        <f>TRIM(Raw_Claims_Data!B1374)</f>
        <v>Jeanne Cortez</v>
      </c>
      <c r="C1375" t="str">
        <f>Raw_Claims_Data!C1374</f>
        <v>Life</v>
      </c>
      <c r="D1375">
        <f>Raw_Claims_Data!D1374</f>
        <v>58.15</v>
      </c>
      <c r="E1375">
        <f>Raw_Claims_Data!E1374</f>
        <v>17000</v>
      </c>
      <c r="F1375" t="str">
        <f>Raw_Claims_Data!F1374</f>
        <v>AR</v>
      </c>
      <c r="G1375" t="str">
        <f>Raw_Claims_Data!G1374</f>
        <v>A</v>
      </c>
      <c r="H1375" t="str">
        <f>Raw_Claims_Data!H1374</f>
        <v>Minor Loss</v>
      </c>
      <c r="I1375" t="str">
        <f>IF(Raw_Claims_Data!I1374="","None",Raw_Claims_Data!I1374)</f>
        <v>Ambulance</v>
      </c>
      <c r="J1375" t="str">
        <f>Raw_Claims_Data!J1374</f>
        <v>Lynn Haven</v>
      </c>
      <c r="K1375" t="str">
        <f>Raw_Claims_Data!K1374</f>
        <v>FL</v>
      </c>
      <c r="L1375">
        <f>Raw_Claims_Data!L1374</f>
        <v>9</v>
      </c>
      <c r="M1375" t="str">
        <f>IF(Raw_Claims_Data!M1374="","N/A",Raw_Claims_Data!M1374)</f>
        <v>VNDR00193</v>
      </c>
      <c r="N1375" t="str">
        <f>Raw_Claims_Data!N1374</f>
        <v>AGENT00976</v>
      </c>
      <c r="O1375">
        <f>IF(Raw_Claims_Data!G1374="D",1,0)</f>
        <v>0</v>
      </c>
    </row>
    <row r="1376" spans="1:15" x14ac:dyDescent="0.35">
      <c r="A1376" t="str">
        <f>Raw_Claims_Data!A1375</f>
        <v>TXN00001372</v>
      </c>
      <c r="B1376" t="str">
        <f>TRIM(Raw_Claims_Data!B1375)</f>
        <v>Agustin Zahar</v>
      </c>
      <c r="C1376" t="str">
        <f>Raw_Claims_Data!C1375</f>
        <v>Travel</v>
      </c>
      <c r="D1376">
        <f>Raw_Claims_Data!D1375</f>
        <v>53.96</v>
      </c>
      <c r="E1376">
        <f>Raw_Claims_Data!E1375</f>
        <v>3000</v>
      </c>
      <c r="F1376" t="str">
        <f>Raw_Claims_Data!F1375</f>
        <v>KY</v>
      </c>
      <c r="G1376" t="str">
        <f>Raw_Claims_Data!G1375</f>
        <v>A</v>
      </c>
      <c r="H1376" t="str">
        <f>Raw_Claims_Data!H1375</f>
        <v>Total Loss</v>
      </c>
      <c r="I1376" t="str">
        <f>IF(Raw_Claims_Data!I1375="","None",Raw_Claims_Data!I1375)</f>
        <v>Ambulance</v>
      </c>
      <c r="J1376" t="str">
        <f>Raw_Claims_Data!J1375</f>
        <v>Savannah</v>
      </c>
      <c r="K1376" t="str">
        <f>Raw_Claims_Data!K1375</f>
        <v>GA</v>
      </c>
      <c r="L1376">
        <f>Raw_Claims_Data!L1375</f>
        <v>22</v>
      </c>
      <c r="M1376" t="str">
        <f>IF(Raw_Claims_Data!M1375="","N/A",Raw_Claims_Data!M1375)</f>
        <v>VNDR00255</v>
      </c>
      <c r="N1376" t="str">
        <f>Raw_Claims_Data!N1375</f>
        <v>AGENT01095</v>
      </c>
      <c r="O1376">
        <f>IF(Raw_Claims_Data!G1375="D",1,0)</f>
        <v>0</v>
      </c>
    </row>
    <row r="1377" spans="1:15" x14ac:dyDescent="0.35">
      <c r="A1377" t="str">
        <f>Raw_Claims_Data!A1376</f>
        <v>TXN00001373</v>
      </c>
      <c r="B1377" t="str">
        <f>TRIM(Raw_Claims_Data!B1376)</f>
        <v>Maudie Youngblood</v>
      </c>
      <c r="C1377" t="str">
        <f>Raw_Claims_Data!C1376</f>
        <v>Travel</v>
      </c>
      <c r="D1377">
        <f>Raw_Claims_Data!D1376</f>
        <v>82.72</v>
      </c>
      <c r="E1377">
        <f>Raw_Claims_Data!E1376</f>
        <v>2000</v>
      </c>
      <c r="F1377" t="str">
        <f>Raw_Claims_Data!F1376</f>
        <v>CA</v>
      </c>
      <c r="G1377" t="str">
        <f>Raw_Claims_Data!G1376</f>
        <v>D</v>
      </c>
      <c r="H1377" t="str">
        <f>Raw_Claims_Data!H1376</f>
        <v>Major Loss</v>
      </c>
      <c r="I1377" t="str">
        <f>IF(Raw_Claims_Data!I1376="","None",Raw_Claims_Data!I1376)</f>
        <v>None</v>
      </c>
      <c r="J1377" t="str">
        <f>Raw_Claims_Data!J1376</f>
        <v>Nashville</v>
      </c>
      <c r="K1377" t="str">
        <f>Raw_Claims_Data!K1376</f>
        <v>TN</v>
      </c>
      <c r="L1377">
        <f>Raw_Claims_Data!L1376</f>
        <v>3</v>
      </c>
      <c r="M1377" t="str">
        <f>IF(Raw_Claims_Data!M1376="","N/A",Raw_Claims_Data!M1376)</f>
        <v>N/A</v>
      </c>
      <c r="N1377" t="str">
        <f>Raw_Claims_Data!N1376</f>
        <v>AGENT00870</v>
      </c>
      <c r="O1377">
        <f>IF(Raw_Claims_Data!G1376="D",1,0)</f>
        <v>1</v>
      </c>
    </row>
    <row r="1378" spans="1:15" x14ac:dyDescent="0.35">
      <c r="A1378" t="str">
        <f>Raw_Claims_Data!A1377</f>
        <v>TXN00001374</v>
      </c>
      <c r="B1378" t="str">
        <f>TRIM(Raw_Claims_Data!B1377)</f>
        <v>Geneva Thomas</v>
      </c>
      <c r="C1378" t="str">
        <f>Raw_Claims_Data!C1377</f>
        <v>Property</v>
      </c>
      <c r="D1378">
        <f>Raw_Claims_Data!D1377</f>
        <v>126.67</v>
      </c>
      <c r="E1378">
        <f>Raw_Claims_Data!E1377</f>
        <v>40000</v>
      </c>
      <c r="F1378" t="str">
        <f>Raw_Claims_Data!F1377</f>
        <v>AK</v>
      </c>
      <c r="G1378" t="str">
        <f>Raw_Claims_Data!G1377</f>
        <v>A</v>
      </c>
      <c r="H1378" t="str">
        <f>Raw_Claims_Data!H1377</f>
        <v>Minor Loss</v>
      </c>
      <c r="I1378" t="str">
        <f>IF(Raw_Claims_Data!I1377="","None",Raw_Claims_Data!I1377)</f>
        <v>Police</v>
      </c>
      <c r="J1378" t="str">
        <f>Raw_Claims_Data!J1377</f>
        <v>Savannah</v>
      </c>
      <c r="K1378" t="str">
        <f>Raw_Claims_Data!K1377</f>
        <v>GA</v>
      </c>
      <c r="L1378">
        <f>Raw_Claims_Data!L1377</f>
        <v>9</v>
      </c>
      <c r="M1378" t="str">
        <f>IF(Raw_Claims_Data!M1377="","N/A",Raw_Claims_Data!M1377)</f>
        <v>VNDR00512</v>
      </c>
      <c r="N1378" t="str">
        <f>Raw_Claims_Data!N1377</f>
        <v>AGENT00523</v>
      </c>
      <c r="O1378">
        <f>IF(Raw_Claims_Data!G1377="D",1,0)</f>
        <v>0</v>
      </c>
    </row>
    <row r="1379" spans="1:15" x14ac:dyDescent="0.35">
      <c r="A1379" t="str">
        <f>Raw_Claims_Data!A1378</f>
        <v>TXN00001375</v>
      </c>
      <c r="B1379" t="str">
        <f>TRIM(Raw_Claims_Data!B1378)</f>
        <v>Andrew Garcia</v>
      </c>
      <c r="C1379" t="str">
        <f>Raw_Claims_Data!C1378</f>
        <v>Health</v>
      </c>
      <c r="D1379">
        <f>Raw_Claims_Data!D1378</f>
        <v>112.56</v>
      </c>
      <c r="E1379">
        <f>Raw_Claims_Data!E1378</f>
        <v>14000</v>
      </c>
      <c r="F1379" t="str">
        <f>Raw_Claims_Data!F1378</f>
        <v>MA</v>
      </c>
      <c r="G1379" t="str">
        <f>Raw_Claims_Data!G1378</f>
        <v>A</v>
      </c>
      <c r="H1379" t="str">
        <f>Raw_Claims_Data!H1378</f>
        <v>Total Loss</v>
      </c>
      <c r="I1379" t="str">
        <f>IF(Raw_Claims_Data!I1378="","None",Raw_Claims_Data!I1378)</f>
        <v>Ambulance</v>
      </c>
      <c r="J1379" t="str">
        <f>Raw_Claims_Data!J1378</f>
        <v>Louisville</v>
      </c>
      <c r="K1379" t="str">
        <f>Raw_Claims_Data!K1378</f>
        <v>KY</v>
      </c>
      <c r="L1379">
        <f>Raw_Claims_Data!L1378</f>
        <v>5</v>
      </c>
      <c r="M1379" t="str">
        <f>IF(Raw_Claims_Data!M1378="","N/A",Raw_Claims_Data!M1378)</f>
        <v>VNDR00374</v>
      </c>
      <c r="N1379" t="str">
        <f>Raw_Claims_Data!N1378</f>
        <v>AGENT00846</v>
      </c>
      <c r="O1379">
        <f>IF(Raw_Claims_Data!G1378="D",1,0)</f>
        <v>0</v>
      </c>
    </row>
    <row r="1380" spans="1:15" x14ac:dyDescent="0.35">
      <c r="A1380" t="str">
        <f>Raw_Claims_Data!A1379</f>
        <v>TXN00001376</v>
      </c>
      <c r="B1380" t="str">
        <f>TRIM(Raw_Claims_Data!B1379)</f>
        <v>Kimberly Doucette</v>
      </c>
      <c r="C1380" t="str">
        <f>Raw_Claims_Data!C1379</f>
        <v>Life</v>
      </c>
      <c r="D1380">
        <f>Raw_Claims_Data!D1379</f>
        <v>86.9</v>
      </c>
      <c r="E1380">
        <f>Raw_Claims_Data!E1379</f>
        <v>85000</v>
      </c>
      <c r="F1380" t="str">
        <f>Raw_Claims_Data!F1379</f>
        <v>AZ</v>
      </c>
      <c r="G1380" t="str">
        <f>Raw_Claims_Data!G1379</f>
        <v>A</v>
      </c>
      <c r="H1380" t="str">
        <f>Raw_Claims_Data!H1379</f>
        <v>Total Loss</v>
      </c>
      <c r="I1380" t="str">
        <f>IF(Raw_Claims_Data!I1379="","None",Raw_Claims_Data!I1379)</f>
        <v>None</v>
      </c>
      <c r="J1380" t="str">
        <f>Raw_Claims_Data!J1379</f>
        <v>Louisville</v>
      </c>
      <c r="K1380" t="str">
        <f>Raw_Claims_Data!K1379</f>
        <v>KY</v>
      </c>
      <c r="L1380">
        <f>Raw_Claims_Data!L1379</f>
        <v>0</v>
      </c>
      <c r="M1380" t="str">
        <f>IF(Raw_Claims_Data!M1379="","N/A",Raw_Claims_Data!M1379)</f>
        <v>VNDR00142</v>
      </c>
      <c r="N1380" t="str">
        <f>Raw_Claims_Data!N1379</f>
        <v>AGENT00914</v>
      </c>
      <c r="O1380">
        <f>IF(Raw_Claims_Data!G1379="D",1,0)</f>
        <v>0</v>
      </c>
    </row>
    <row r="1381" spans="1:15" x14ac:dyDescent="0.35">
      <c r="A1381" t="str">
        <f>Raw_Claims_Data!A1380</f>
        <v>TXN00001377</v>
      </c>
      <c r="B1381" t="str">
        <f>TRIM(Raw_Claims_Data!B1380)</f>
        <v>Terry Brown</v>
      </c>
      <c r="C1381" t="str">
        <f>Raw_Claims_Data!C1380</f>
        <v>Health</v>
      </c>
      <c r="D1381">
        <f>Raw_Claims_Data!D1380</f>
        <v>144.16</v>
      </c>
      <c r="E1381">
        <f>Raw_Claims_Data!E1380</f>
        <v>20000</v>
      </c>
      <c r="F1381" t="str">
        <f>Raw_Claims_Data!F1380</f>
        <v>KY</v>
      </c>
      <c r="G1381" t="str">
        <f>Raw_Claims_Data!G1380</f>
        <v>A</v>
      </c>
      <c r="H1381" t="str">
        <f>Raw_Claims_Data!H1380</f>
        <v>Major Loss</v>
      </c>
      <c r="I1381" t="str">
        <f>IF(Raw_Claims_Data!I1380="","None",Raw_Claims_Data!I1380)</f>
        <v>None</v>
      </c>
      <c r="J1381" t="str">
        <f>Raw_Claims_Data!J1380</f>
        <v>Manchester</v>
      </c>
      <c r="K1381" t="str">
        <f>Raw_Claims_Data!K1380</f>
        <v>CT</v>
      </c>
      <c r="L1381">
        <f>Raw_Claims_Data!L1380</f>
        <v>10</v>
      </c>
      <c r="M1381" t="str">
        <f>IF(Raw_Claims_Data!M1380="","N/A",Raw_Claims_Data!M1380)</f>
        <v>VNDR00002</v>
      </c>
      <c r="N1381" t="str">
        <f>Raw_Claims_Data!N1380</f>
        <v>AGENT00988</v>
      </c>
      <c r="O1381">
        <f>IF(Raw_Claims_Data!G1380="D",1,0)</f>
        <v>0</v>
      </c>
    </row>
    <row r="1382" spans="1:15" x14ac:dyDescent="0.35">
      <c r="A1382" t="str">
        <f>Raw_Claims_Data!A1381</f>
        <v>TXN00001378</v>
      </c>
      <c r="B1382" t="str">
        <f>TRIM(Raw_Claims_Data!B1381)</f>
        <v>Martha Torrez</v>
      </c>
      <c r="C1382" t="str">
        <f>Raw_Claims_Data!C1381</f>
        <v>Property</v>
      </c>
      <c r="D1382">
        <f>Raw_Claims_Data!D1381</f>
        <v>137.54</v>
      </c>
      <c r="E1382">
        <f>Raw_Claims_Data!E1381</f>
        <v>14000</v>
      </c>
      <c r="F1382" t="str">
        <f>Raw_Claims_Data!F1381</f>
        <v>KY</v>
      </c>
      <c r="G1382" t="str">
        <f>Raw_Claims_Data!G1381</f>
        <v>A</v>
      </c>
      <c r="H1382" t="str">
        <f>Raw_Claims_Data!H1381</f>
        <v>Total Loss</v>
      </c>
      <c r="I1382" t="str">
        <f>IF(Raw_Claims_Data!I1381="","None",Raw_Claims_Data!I1381)</f>
        <v>None</v>
      </c>
      <c r="J1382" t="str">
        <f>Raw_Claims_Data!J1381</f>
        <v>Anchorage</v>
      </c>
      <c r="K1382" t="str">
        <f>Raw_Claims_Data!K1381</f>
        <v>AK</v>
      </c>
      <c r="L1382">
        <f>Raw_Claims_Data!L1381</f>
        <v>20</v>
      </c>
      <c r="M1382" t="str">
        <f>IF(Raw_Claims_Data!M1381="","N/A",Raw_Claims_Data!M1381)</f>
        <v>VNDR00465</v>
      </c>
      <c r="N1382" t="str">
        <f>Raw_Claims_Data!N1381</f>
        <v>AGENT00889</v>
      </c>
      <c r="O1382">
        <f>IF(Raw_Claims_Data!G1381="D",1,0)</f>
        <v>0</v>
      </c>
    </row>
    <row r="1383" spans="1:15" x14ac:dyDescent="0.35">
      <c r="A1383" t="str">
        <f>Raw_Claims_Data!A1382</f>
        <v>TXN00001379</v>
      </c>
      <c r="B1383" t="str">
        <f>TRIM(Raw_Claims_Data!B1382)</f>
        <v>Brooke Lane</v>
      </c>
      <c r="C1383" t="str">
        <f>Raw_Claims_Data!C1382</f>
        <v>Mobile</v>
      </c>
      <c r="D1383">
        <f>Raw_Claims_Data!D1382</f>
        <v>11.16</v>
      </c>
      <c r="E1383">
        <f>Raw_Claims_Data!E1382</f>
        <v>600</v>
      </c>
      <c r="F1383" t="str">
        <f>Raw_Claims_Data!F1382</f>
        <v>CO</v>
      </c>
      <c r="G1383" t="str">
        <f>Raw_Claims_Data!G1382</f>
        <v>A</v>
      </c>
      <c r="H1383" t="str">
        <f>Raw_Claims_Data!H1382</f>
        <v>Major Loss</v>
      </c>
      <c r="I1383" t="str">
        <f>IF(Raw_Claims_Data!I1382="","None",Raw_Claims_Data!I1382)</f>
        <v>Police</v>
      </c>
      <c r="J1383" t="str">
        <f>Raw_Claims_Data!J1382</f>
        <v>Louisville</v>
      </c>
      <c r="K1383" t="str">
        <f>Raw_Claims_Data!K1382</f>
        <v>KY</v>
      </c>
      <c r="L1383">
        <f>Raw_Claims_Data!L1382</f>
        <v>14</v>
      </c>
      <c r="M1383" t="str">
        <f>IF(Raw_Claims_Data!M1382="","N/A",Raw_Claims_Data!M1382)</f>
        <v>VNDR00587</v>
      </c>
      <c r="N1383" t="str">
        <f>Raw_Claims_Data!N1382</f>
        <v>AGENT00515</v>
      </c>
      <c r="O1383">
        <f>IF(Raw_Claims_Data!G1382="D",1,0)</f>
        <v>0</v>
      </c>
    </row>
    <row r="1384" spans="1:15" x14ac:dyDescent="0.35">
      <c r="A1384" t="str">
        <f>Raw_Claims_Data!A1383</f>
        <v>TXN00001380</v>
      </c>
      <c r="B1384" t="str">
        <f>TRIM(Raw_Claims_Data!B1383)</f>
        <v>Loretta Rush</v>
      </c>
      <c r="C1384" t="str">
        <f>Raw_Claims_Data!C1383</f>
        <v>Health</v>
      </c>
      <c r="D1384">
        <f>Raw_Claims_Data!D1383</f>
        <v>115.75</v>
      </c>
      <c r="E1384">
        <f>Raw_Claims_Data!E1383</f>
        <v>11000</v>
      </c>
      <c r="F1384" t="str">
        <f>Raw_Claims_Data!F1383</f>
        <v>VT</v>
      </c>
      <c r="G1384" t="str">
        <f>Raw_Claims_Data!G1383</f>
        <v>A</v>
      </c>
      <c r="H1384" t="str">
        <f>Raw_Claims_Data!H1383</f>
        <v>Major Loss</v>
      </c>
      <c r="I1384" t="str">
        <f>IF(Raw_Claims_Data!I1383="","None",Raw_Claims_Data!I1383)</f>
        <v>Ambulance</v>
      </c>
      <c r="J1384" t="str">
        <f>Raw_Claims_Data!J1383</f>
        <v>Nashville</v>
      </c>
      <c r="K1384" t="str">
        <f>Raw_Claims_Data!K1383</f>
        <v>TN</v>
      </c>
      <c r="L1384">
        <f>Raw_Claims_Data!L1383</f>
        <v>23</v>
      </c>
      <c r="M1384" t="str">
        <f>IF(Raw_Claims_Data!M1383="","N/A",Raw_Claims_Data!M1383)</f>
        <v>VNDR00132</v>
      </c>
      <c r="N1384" t="str">
        <f>Raw_Claims_Data!N1383</f>
        <v>AGENT00711</v>
      </c>
      <c r="O1384">
        <f>IF(Raw_Claims_Data!G1383="D",1,0)</f>
        <v>0</v>
      </c>
    </row>
    <row r="1385" spans="1:15" x14ac:dyDescent="0.35">
      <c r="A1385" t="str">
        <f>Raw_Claims_Data!A1384</f>
        <v>TXN00001381</v>
      </c>
      <c r="B1385" t="str">
        <f>TRIM(Raw_Claims_Data!B1384)</f>
        <v>Jeremy Purnell</v>
      </c>
      <c r="C1385" t="str">
        <f>Raw_Claims_Data!C1384</f>
        <v>Motor</v>
      </c>
      <c r="D1385">
        <f>Raw_Claims_Data!D1384</f>
        <v>128.58000000000001</v>
      </c>
      <c r="E1385">
        <f>Raw_Claims_Data!E1384</f>
        <v>9000</v>
      </c>
      <c r="F1385" t="str">
        <f>Raw_Claims_Data!F1384</f>
        <v>GA</v>
      </c>
      <c r="G1385" t="str">
        <f>Raw_Claims_Data!G1384</f>
        <v>A</v>
      </c>
      <c r="H1385" t="str">
        <f>Raw_Claims_Data!H1384</f>
        <v>Minor Loss</v>
      </c>
      <c r="I1385" t="str">
        <f>IF(Raw_Claims_Data!I1384="","None",Raw_Claims_Data!I1384)</f>
        <v>None</v>
      </c>
      <c r="J1385" t="str">
        <f>Raw_Claims_Data!J1384</f>
        <v>Panama City</v>
      </c>
      <c r="K1385" t="str">
        <f>Raw_Claims_Data!K1384</f>
        <v>FL</v>
      </c>
      <c r="L1385">
        <f>Raw_Claims_Data!L1384</f>
        <v>6</v>
      </c>
      <c r="M1385" t="str">
        <f>IF(Raw_Claims_Data!M1384="","N/A",Raw_Claims_Data!M1384)</f>
        <v>N/A</v>
      </c>
      <c r="N1385" t="str">
        <f>Raw_Claims_Data!N1384</f>
        <v>AGENT00069</v>
      </c>
      <c r="O1385">
        <f>IF(Raw_Claims_Data!G1384="D",1,0)</f>
        <v>0</v>
      </c>
    </row>
    <row r="1386" spans="1:15" x14ac:dyDescent="0.35">
      <c r="A1386" t="str">
        <f>Raw_Claims_Data!A1385</f>
        <v>TXN00001382</v>
      </c>
      <c r="B1386" t="str">
        <f>TRIM(Raw_Claims_Data!B1385)</f>
        <v>Russell Davis</v>
      </c>
      <c r="C1386" t="str">
        <f>Raw_Claims_Data!C1385</f>
        <v>Health</v>
      </c>
      <c r="D1386">
        <f>Raw_Claims_Data!D1385</f>
        <v>175.23</v>
      </c>
      <c r="E1386">
        <f>Raw_Claims_Data!E1385</f>
        <v>14000</v>
      </c>
      <c r="F1386" t="str">
        <f>Raw_Claims_Data!F1385</f>
        <v>CA</v>
      </c>
      <c r="G1386" t="str">
        <f>Raw_Claims_Data!G1385</f>
        <v>A</v>
      </c>
      <c r="H1386" t="str">
        <f>Raw_Claims_Data!H1385</f>
        <v>Total Loss</v>
      </c>
      <c r="I1386" t="str">
        <f>IF(Raw_Claims_Data!I1385="","None",Raw_Claims_Data!I1385)</f>
        <v>Ambulance</v>
      </c>
      <c r="J1386" t="str">
        <f>Raw_Claims_Data!J1385</f>
        <v>Panama City</v>
      </c>
      <c r="K1386" t="str">
        <f>Raw_Claims_Data!K1385</f>
        <v>FL</v>
      </c>
      <c r="L1386">
        <f>Raw_Claims_Data!L1385</f>
        <v>17</v>
      </c>
      <c r="M1386" t="str">
        <f>IF(Raw_Claims_Data!M1385="","N/A",Raw_Claims_Data!M1385)</f>
        <v>VNDR00332</v>
      </c>
      <c r="N1386" t="str">
        <f>Raw_Claims_Data!N1385</f>
        <v>AGENT00495</v>
      </c>
      <c r="O1386">
        <f>IF(Raw_Claims_Data!G1385="D",1,0)</f>
        <v>0</v>
      </c>
    </row>
    <row r="1387" spans="1:15" x14ac:dyDescent="0.35">
      <c r="A1387" t="str">
        <f>Raw_Claims_Data!A1386</f>
        <v>TXN00001383</v>
      </c>
      <c r="B1387" t="str">
        <f>TRIM(Raw_Claims_Data!B1386)</f>
        <v>Nydia Bowser</v>
      </c>
      <c r="C1387" t="str">
        <f>Raw_Claims_Data!C1386</f>
        <v>Health</v>
      </c>
      <c r="D1387">
        <f>Raw_Claims_Data!D1386</f>
        <v>112.35</v>
      </c>
      <c r="E1387">
        <f>Raw_Claims_Data!E1386</f>
        <v>15000</v>
      </c>
      <c r="F1387" t="str">
        <f>Raw_Claims_Data!F1386</f>
        <v>FL</v>
      </c>
      <c r="G1387" t="str">
        <f>Raw_Claims_Data!G1386</f>
        <v>A</v>
      </c>
      <c r="H1387" t="str">
        <f>Raw_Claims_Data!H1386</f>
        <v>Major Loss</v>
      </c>
      <c r="I1387" t="str">
        <f>IF(Raw_Claims_Data!I1386="","None",Raw_Claims_Data!I1386)</f>
        <v>Ambulance</v>
      </c>
      <c r="J1387" t="str">
        <f>Raw_Claims_Data!J1386</f>
        <v>Manchester</v>
      </c>
      <c r="K1387" t="str">
        <f>Raw_Claims_Data!K1386</f>
        <v>CT</v>
      </c>
      <c r="L1387">
        <f>Raw_Claims_Data!L1386</f>
        <v>15</v>
      </c>
      <c r="M1387" t="str">
        <f>IF(Raw_Claims_Data!M1386="","N/A",Raw_Claims_Data!M1386)</f>
        <v>VNDR00068</v>
      </c>
      <c r="N1387" t="str">
        <f>Raw_Claims_Data!N1386</f>
        <v>AGENT00230</v>
      </c>
      <c r="O1387">
        <f>IF(Raw_Claims_Data!G1386="D",1,0)</f>
        <v>0</v>
      </c>
    </row>
    <row r="1388" spans="1:15" x14ac:dyDescent="0.35">
      <c r="A1388" t="str">
        <f>Raw_Claims_Data!A1387</f>
        <v>TXN00001384</v>
      </c>
      <c r="B1388" t="str">
        <f>TRIM(Raw_Claims_Data!B1387)</f>
        <v>Shaun Santos</v>
      </c>
      <c r="C1388" t="str">
        <f>Raw_Claims_Data!C1387</f>
        <v>Health</v>
      </c>
      <c r="D1388">
        <f>Raw_Claims_Data!D1387</f>
        <v>154.16999999999999</v>
      </c>
      <c r="E1388">
        <f>Raw_Claims_Data!E1387</f>
        <v>5000</v>
      </c>
      <c r="F1388" t="str">
        <f>Raw_Claims_Data!F1387</f>
        <v>CA</v>
      </c>
      <c r="G1388" t="str">
        <f>Raw_Claims_Data!G1387</f>
        <v>A</v>
      </c>
      <c r="H1388" t="str">
        <f>Raw_Claims_Data!H1387</f>
        <v>Minor Loss</v>
      </c>
      <c r="I1388" t="str">
        <f>IF(Raw_Claims_Data!I1387="","None",Raw_Claims_Data!I1387)</f>
        <v>None</v>
      </c>
      <c r="J1388" t="str">
        <f>Raw_Claims_Data!J1387</f>
        <v>Washington</v>
      </c>
      <c r="K1388" t="str">
        <f>Raw_Claims_Data!K1387</f>
        <v>DC</v>
      </c>
      <c r="L1388">
        <f>Raw_Claims_Data!L1387</f>
        <v>0</v>
      </c>
      <c r="M1388" t="str">
        <f>IF(Raw_Claims_Data!M1387="","N/A",Raw_Claims_Data!M1387)</f>
        <v>VNDR00422</v>
      </c>
      <c r="N1388" t="str">
        <f>Raw_Claims_Data!N1387</f>
        <v>AGENT00633</v>
      </c>
      <c r="O1388">
        <f>IF(Raw_Claims_Data!G1387="D",1,0)</f>
        <v>0</v>
      </c>
    </row>
    <row r="1389" spans="1:15" x14ac:dyDescent="0.35">
      <c r="A1389" t="str">
        <f>Raw_Claims_Data!A1388</f>
        <v>TXN00001385</v>
      </c>
      <c r="B1389" t="str">
        <f>TRIM(Raw_Claims_Data!B1388)</f>
        <v>Robert Monske</v>
      </c>
      <c r="C1389" t="str">
        <f>Raw_Claims_Data!C1388</f>
        <v>Health</v>
      </c>
      <c r="D1389">
        <f>Raw_Claims_Data!D1388</f>
        <v>146.79</v>
      </c>
      <c r="E1389">
        <f>Raw_Claims_Data!E1388</f>
        <v>15000</v>
      </c>
      <c r="F1389" t="str">
        <f>Raw_Claims_Data!F1388</f>
        <v>MA</v>
      </c>
      <c r="G1389" t="str">
        <f>Raw_Claims_Data!G1388</f>
        <v>A</v>
      </c>
      <c r="H1389" t="str">
        <f>Raw_Claims_Data!H1388</f>
        <v>Minor Loss</v>
      </c>
      <c r="I1389" t="str">
        <f>IF(Raw_Claims_Data!I1388="","None",Raw_Claims_Data!I1388)</f>
        <v>Police</v>
      </c>
      <c r="J1389" t="str">
        <f>Raw_Claims_Data!J1388</f>
        <v>Washington</v>
      </c>
      <c r="K1389" t="str">
        <f>Raw_Claims_Data!K1388</f>
        <v>VT</v>
      </c>
      <c r="L1389">
        <f>Raw_Claims_Data!L1388</f>
        <v>23</v>
      </c>
      <c r="M1389" t="str">
        <f>IF(Raw_Claims_Data!M1388="","N/A",Raw_Claims_Data!M1388)</f>
        <v>VNDR00243</v>
      </c>
      <c r="N1389" t="str">
        <f>Raw_Claims_Data!N1388</f>
        <v>AGENT00764</v>
      </c>
      <c r="O1389">
        <f>IF(Raw_Claims_Data!G1388="D",1,0)</f>
        <v>0</v>
      </c>
    </row>
    <row r="1390" spans="1:15" x14ac:dyDescent="0.35">
      <c r="A1390" t="str">
        <f>Raw_Claims_Data!A1389</f>
        <v>TXN00001386</v>
      </c>
      <c r="B1390" t="str">
        <f>TRIM(Raw_Claims_Data!B1389)</f>
        <v>Wesley George</v>
      </c>
      <c r="C1390" t="str">
        <f>Raw_Claims_Data!C1389</f>
        <v>Health</v>
      </c>
      <c r="D1390">
        <f>Raw_Claims_Data!D1389</f>
        <v>195.97</v>
      </c>
      <c r="E1390">
        <f>Raw_Claims_Data!E1389</f>
        <v>10000</v>
      </c>
      <c r="F1390" t="str">
        <f>Raw_Claims_Data!F1389</f>
        <v>CT</v>
      </c>
      <c r="G1390" t="str">
        <f>Raw_Claims_Data!G1389</f>
        <v>A</v>
      </c>
      <c r="H1390" t="str">
        <f>Raw_Claims_Data!H1389</f>
        <v>Major Loss</v>
      </c>
      <c r="I1390" t="str">
        <f>IF(Raw_Claims_Data!I1389="","None",Raw_Claims_Data!I1389)</f>
        <v>Police</v>
      </c>
      <c r="J1390" t="str">
        <f>Raw_Claims_Data!J1389</f>
        <v>Washington</v>
      </c>
      <c r="K1390" t="str">
        <f>Raw_Claims_Data!K1389</f>
        <v>DC</v>
      </c>
      <c r="L1390">
        <f>Raw_Claims_Data!L1389</f>
        <v>1</v>
      </c>
      <c r="M1390" t="str">
        <f>IF(Raw_Claims_Data!M1389="","N/A",Raw_Claims_Data!M1389)</f>
        <v>VNDR00096</v>
      </c>
      <c r="N1390" t="str">
        <f>Raw_Claims_Data!N1389</f>
        <v>AGENT00570</v>
      </c>
      <c r="O1390">
        <f>IF(Raw_Claims_Data!G1389="D",1,0)</f>
        <v>0</v>
      </c>
    </row>
    <row r="1391" spans="1:15" x14ac:dyDescent="0.35">
      <c r="A1391" t="str">
        <f>Raw_Claims_Data!A1390</f>
        <v>TXN00001387</v>
      </c>
      <c r="B1391" t="str">
        <f>TRIM(Raw_Claims_Data!B1390)</f>
        <v>John Walsh</v>
      </c>
      <c r="C1391" t="str">
        <f>Raw_Claims_Data!C1390</f>
        <v>Motor</v>
      </c>
      <c r="D1391">
        <f>Raw_Claims_Data!D1390</f>
        <v>102.83</v>
      </c>
      <c r="E1391">
        <f>Raw_Claims_Data!E1390</f>
        <v>10000</v>
      </c>
      <c r="F1391" t="str">
        <f>Raw_Claims_Data!F1390</f>
        <v>OK</v>
      </c>
      <c r="G1391" t="str">
        <f>Raw_Claims_Data!G1390</f>
        <v>A</v>
      </c>
      <c r="H1391" t="str">
        <f>Raw_Claims_Data!H1390</f>
        <v>Major Loss</v>
      </c>
      <c r="I1391" t="str">
        <f>IF(Raw_Claims_Data!I1390="","None",Raw_Claims_Data!I1390)</f>
        <v>Ambulance</v>
      </c>
      <c r="J1391" t="str">
        <f>Raw_Claims_Data!J1390</f>
        <v>Panama City</v>
      </c>
      <c r="K1391" t="str">
        <f>Raw_Claims_Data!K1390</f>
        <v>FL</v>
      </c>
      <c r="L1391">
        <f>Raw_Claims_Data!L1390</f>
        <v>13</v>
      </c>
      <c r="M1391" t="str">
        <f>IF(Raw_Claims_Data!M1390="","N/A",Raw_Claims_Data!M1390)</f>
        <v>VNDR00556</v>
      </c>
      <c r="N1391" t="str">
        <f>Raw_Claims_Data!N1390</f>
        <v>AGENT00690</v>
      </c>
      <c r="O1391">
        <f>IF(Raw_Claims_Data!G1390="D",1,0)</f>
        <v>0</v>
      </c>
    </row>
    <row r="1392" spans="1:15" x14ac:dyDescent="0.35">
      <c r="A1392" t="str">
        <f>Raw_Claims_Data!A1391</f>
        <v>TXN00001388</v>
      </c>
      <c r="B1392" t="str">
        <f>TRIM(Raw_Claims_Data!B1391)</f>
        <v>Francisco Curtis</v>
      </c>
      <c r="C1392" t="str">
        <f>Raw_Claims_Data!C1391</f>
        <v>Property</v>
      </c>
      <c r="D1392">
        <f>Raw_Claims_Data!D1391</f>
        <v>122.21</v>
      </c>
      <c r="E1392">
        <f>Raw_Claims_Data!E1391</f>
        <v>19000</v>
      </c>
      <c r="F1392" t="str">
        <f>Raw_Claims_Data!F1391</f>
        <v>CT</v>
      </c>
      <c r="G1392" t="str">
        <f>Raw_Claims_Data!G1391</f>
        <v>A</v>
      </c>
      <c r="H1392" t="str">
        <f>Raw_Claims_Data!H1391</f>
        <v>Major Loss</v>
      </c>
      <c r="I1392" t="str">
        <f>IF(Raw_Claims_Data!I1391="","None",Raw_Claims_Data!I1391)</f>
        <v>Ambulance</v>
      </c>
      <c r="J1392" t="str">
        <f>Raw_Claims_Data!J1391</f>
        <v>Castro Valley</v>
      </c>
      <c r="K1392" t="str">
        <f>Raw_Claims_Data!K1391</f>
        <v>CA</v>
      </c>
      <c r="L1392">
        <f>Raw_Claims_Data!L1391</f>
        <v>13</v>
      </c>
      <c r="M1392" t="str">
        <f>IF(Raw_Claims_Data!M1391="","N/A",Raw_Claims_Data!M1391)</f>
        <v>VNDR00265</v>
      </c>
      <c r="N1392" t="str">
        <f>Raw_Claims_Data!N1391</f>
        <v>AGENT00289</v>
      </c>
      <c r="O1392">
        <f>IF(Raw_Claims_Data!G1391="D",1,0)</f>
        <v>0</v>
      </c>
    </row>
    <row r="1393" spans="1:15" x14ac:dyDescent="0.35">
      <c r="A1393" t="str">
        <f>Raw_Claims_Data!A1392</f>
        <v>TXN00001389</v>
      </c>
      <c r="B1393" t="str">
        <f>TRIM(Raw_Claims_Data!B1392)</f>
        <v>Chad Mcintyre</v>
      </c>
      <c r="C1393" t="str">
        <f>Raw_Claims_Data!C1392</f>
        <v>Life</v>
      </c>
      <c r="D1393">
        <f>Raw_Claims_Data!D1392</f>
        <v>76.09</v>
      </c>
      <c r="E1393">
        <f>Raw_Claims_Data!E1392</f>
        <v>50000</v>
      </c>
      <c r="F1393" t="str">
        <f>Raw_Claims_Data!F1392</f>
        <v>OK</v>
      </c>
      <c r="G1393" t="str">
        <f>Raw_Claims_Data!G1392</f>
        <v>A</v>
      </c>
      <c r="H1393" t="str">
        <f>Raw_Claims_Data!H1392</f>
        <v>Major Loss</v>
      </c>
      <c r="I1393" t="str">
        <f>IF(Raw_Claims_Data!I1392="","None",Raw_Claims_Data!I1392)</f>
        <v>Ambulance</v>
      </c>
      <c r="J1393" t="str">
        <f>Raw_Claims_Data!J1392</f>
        <v>Montgomery</v>
      </c>
      <c r="K1393" t="str">
        <f>Raw_Claims_Data!K1392</f>
        <v>AL</v>
      </c>
      <c r="L1393">
        <f>Raw_Claims_Data!L1392</f>
        <v>17</v>
      </c>
      <c r="M1393" t="str">
        <f>IF(Raw_Claims_Data!M1392="","N/A",Raw_Claims_Data!M1392)</f>
        <v>VNDR00186</v>
      </c>
      <c r="N1393" t="str">
        <f>Raw_Claims_Data!N1392</f>
        <v>AGENT00132</v>
      </c>
      <c r="O1393">
        <f>IF(Raw_Claims_Data!G1392="D",1,0)</f>
        <v>0</v>
      </c>
    </row>
    <row r="1394" spans="1:15" x14ac:dyDescent="0.35">
      <c r="A1394" t="str">
        <f>Raw_Claims_Data!A1393</f>
        <v>TXN00001390</v>
      </c>
      <c r="B1394" t="str">
        <f>TRIM(Raw_Claims_Data!B1393)</f>
        <v>Donald Forget</v>
      </c>
      <c r="C1394" t="str">
        <f>Raw_Claims_Data!C1393</f>
        <v>Travel</v>
      </c>
      <c r="D1394">
        <f>Raw_Claims_Data!D1393</f>
        <v>60.72</v>
      </c>
      <c r="E1394">
        <f>Raw_Claims_Data!E1393</f>
        <v>1000</v>
      </c>
      <c r="F1394" t="str">
        <f>Raw_Claims_Data!F1393</f>
        <v>KY</v>
      </c>
      <c r="G1394" t="str">
        <f>Raw_Claims_Data!G1393</f>
        <v>A</v>
      </c>
      <c r="H1394" t="str">
        <f>Raw_Claims_Data!H1393</f>
        <v>Major Loss</v>
      </c>
      <c r="I1394" t="str">
        <f>IF(Raw_Claims_Data!I1393="","None",Raw_Claims_Data!I1393)</f>
        <v>Ambulance</v>
      </c>
      <c r="J1394" t="str">
        <f>Raw_Claims_Data!J1393</f>
        <v>Louisville</v>
      </c>
      <c r="K1394" t="str">
        <f>Raw_Claims_Data!K1393</f>
        <v>KY</v>
      </c>
      <c r="L1394">
        <f>Raw_Claims_Data!L1393</f>
        <v>18</v>
      </c>
      <c r="M1394" t="str">
        <f>IF(Raw_Claims_Data!M1393="","N/A",Raw_Claims_Data!M1393)</f>
        <v>VNDR00109</v>
      </c>
      <c r="N1394" t="str">
        <f>Raw_Claims_Data!N1393</f>
        <v>AGENT00114</v>
      </c>
      <c r="O1394">
        <f>IF(Raw_Claims_Data!G1393="D",1,0)</f>
        <v>0</v>
      </c>
    </row>
    <row r="1395" spans="1:15" x14ac:dyDescent="0.35">
      <c r="A1395" t="str">
        <f>Raw_Claims_Data!A1394</f>
        <v>TXN00001391</v>
      </c>
      <c r="B1395" t="str">
        <f>TRIM(Raw_Claims_Data!B1394)</f>
        <v>Leslie Stokes</v>
      </c>
      <c r="C1395" t="str">
        <f>Raw_Claims_Data!C1394</f>
        <v>Motor</v>
      </c>
      <c r="D1395">
        <f>Raw_Claims_Data!D1394</f>
        <v>103.96</v>
      </c>
      <c r="E1395">
        <f>Raw_Claims_Data!E1394</f>
        <v>9000</v>
      </c>
      <c r="F1395" t="str">
        <f>Raw_Claims_Data!F1394</f>
        <v>OK</v>
      </c>
      <c r="G1395" t="str">
        <f>Raw_Claims_Data!G1394</f>
        <v>A</v>
      </c>
      <c r="H1395" t="str">
        <f>Raw_Claims_Data!H1394</f>
        <v>Minor Loss</v>
      </c>
      <c r="I1395" t="str">
        <f>IF(Raw_Claims_Data!I1394="","None",Raw_Claims_Data!I1394)</f>
        <v>Police</v>
      </c>
      <c r="J1395" t="str">
        <f>Raw_Claims_Data!J1394</f>
        <v>Fremont</v>
      </c>
      <c r="K1395" t="str">
        <f>Raw_Claims_Data!K1394</f>
        <v>CA</v>
      </c>
      <c r="L1395">
        <f>Raw_Claims_Data!L1394</f>
        <v>13</v>
      </c>
      <c r="M1395" t="str">
        <f>IF(Raw_Claims_Data!M1394="","N/A",Raw_Claims_Data!M1394)</f>
        <v>VNDR00368</v>
      </c>
      <c r="N1395" t="str">
        <f>Raw_Claims_Data!N1394</f>
        <v>AGENT00141</v>
      </c>
      <c r="O1395">
        <f>IF(Raw_Claims_Data!G1394="D",1,0)</f>
        <v>0</v>
      </c>
    </row>
    <row r="1396" spans="1:15" x14ac:dyDescent="0.35">
      <c r="A1396" t="str">
        <f>Raw_Claims_Data!A1395</f>
        <v>TXN00001392</v>
      </c>
      <c r="B1396" t="str">
        <f>TRIM(Raw_Claims_Data!B1395)</f>
        <v>Michael Crane</v>
      </c>
      <c r="C1396" t="str">
        <f>Raw_Claims_Data!C1395</f>
        <v>Life</v>
      </c>
      <c r="D1396">
        <f>Raw_Claims_Data!D1395</f>
        <v>77.989999999999995</v>
      </c>
      <c r="E1396">
        <f>Raw_Claims_Data!E1395</f>
        <v>98000</v>
      </c>
      <c r="F1396" t="str">
        <f>Raw_Claims_Data!F1395</f>
        <v>CA</v>
      </c>
      <c r="G1396" t="str">
        <f>Raw_Claims_Data!G1395</f>
        <v>A</v>
      </c>
      <c r="H1396" t="str">
        <f>Raw_Claims_Data!H1395</f>
        <v>Major Loss</v>
      </c>
      <c r="I1396" t="str">
        <f>IF(Raw_Claims_Data!I1395="","None",Raw_Claims_Data!I1395)</f>
        <v>Police</v>
      </c>
      <c r="J1396" t="str">
        <f>Raw_Claims_Data!J1395</f>
        <v>Manchester</v>
      </c>
      <c r="K1396" t="str">
        <f>Raw_Claims_Data!K1395</f>
        <v>CT</v>
      </c>
      <c r="L1396">
        <f>Raw_Claims_Data!L1395</f>
        <v>18</v>
      </c>
      <c r="M1396" t="str">
        <f>IF(Raw_Claims_Data!M1395="","N/A",Raw_Claims_Data!M1395)</f>
        <v>N/A</v>
      </c>
      <c r="N1396" t="str">
        <f>Raw_Claims_Data!N1395</f>
        <v>AGENT00388</v>
      </c>
      <c r="O1396">
        <f>IF(Raw_Claims_Data!G1395="D",1,0)</f>
        <v>0</v>
      </c>
    </row>
    <row r="1397" spans="1:15" x14ac:dyDescent="0.35">
      <c r="A1397" t="str">
        <f>Raw_Claims_Data!A1396</f>
        <v>TXN00001393</v>
      </c>
      <c r="B1397" t="str">
        <f>TRIM(Raw_Claims_Data!B1396)</f>
        <v>Amber Adams</v>
      </c>
      <c r="C1397" t="str">
        <f>Raw_Claims_Data!C1396</f>
        <v>Travel</v>
      </c>
      <c r="D1397">
        <f>Raw_Claims_Data!D1396</f>
        <v>56.7</v>
      </c>
      <c r="E1397">
        <f>Raw_Claims_Data!E1396</f>
        <v>1000</v>
      </c>
      <c r="F1397" t="str">
        <f>Raw_Claims_Data!F1396</f>
        <v>OK</v>
      </c>
      <c r="G1397" t="str">
        <f>Raw_Claims_Data!G1396</f>
        <v>A</v>
      </c>
      <c r="H1397" t="str">
        <f>Raw_Claims_Data!H1396</f>
        <v>Major Loss</v>
      </c>
      <c r="I1397" t="str">
        <f>IF(Raw_Claims_Data!I1396="","None",Raw_Claims_Data!I1396)</f>
        <v>None</v>
      </c>
      <c r="J1397" t="str">
        <f>Raw_Claims_Data!J1396</f>
        <v>Montgomery</v>
      </c>
      <c r="K1397" t="str">
        <f>Raw_Claims_Data!K1396</f>
        <v>AL</v>
      </c>
      <c r="L1397">
        <f>Raw_Claims_Data!L1396</f>
        <v>23</v>
      </c>
      <c r="M1397" t="str">
        <f>IF(Raw_Claims_Data!M1396="","N/A",Raw_Claims_Data!M1396)</f>
        <v>N/A</v>
      </c>
      <c r="N1397" t="str">
        <f>Raw_Claims_Data!N1396</f>
        <v>AGENT01083</v>
      </c>
      <c r="O1397">
        <f>IF(Raw_Claims_Data!G1396="D",1,0)</f>
        <v>0</v>
      </c>
    </row>
    <row r="1398" spans="1:15" x14ac:dyDescent="0.35">
      <c r="A1398" t="str">
        <f>Raw_Claims_Data!A1397</f>
        <v>TXN00001394</v>
      </c>
      <c r="B1398" t="str">
        <f>TRIM(Raw_Claims_Data!B1397)</f>
        <v>Georgia Hyett</v>
      </c>
      <c r="C1398" t="str">
        <f>Raw_Claims_Data!C1397</f>
        <v>Property</v>
      </c>
      <c r="D1398">
        <f>Raw_Claims_Data!D1397</f>
        <v>154.94999999999999</v>
      </c>
      <c r="E1398">
        <f>Raw_Claims_Data!E1397</f>
        <v>29000</v>
      </c>
      <c r="F1398" t="str">
        <f>Raw_Claims_Data!F1397</f>
        <v>CA</v>
      </c>
      <c r="G1398" t="str">
        <f>Raw_Claims_Data!G1397</f>
        <v>A</v>
      </c>
      <c r="H1398" t="str">
        <f>Raw_Claims_Data!H1397</f>
        <v>Minor Loss</v>
      </c>
      <c r="I1398" t="str">
        <f>IF(Raw_Claims_Data!I1397="","None",Raw_Claims_Data!I1397)</f>
        <v>None</v>
      </c>
      <c r="J1398" t="str">
        <f>Raw_Claims_Data!J1397</f>
        <v>Manchester</v>
      </c>
      <c r="K1398" t="str">
        <f>Raw_Claims_Data!K1397</f>
        <v>CT</v>
      </c>
      <c r="L1398">
        <f>Raw_Claims_Data!L1397</f>
        <v>16</v>
      </c>
      <c r="M1398" t="str">
        <f>IF(Raw_Claims_Data!M1397="","N/A",Raw_Claims_Data!M1397)</f>
        <v>N/A</v>
      </c>
      <c r="N1398" t="str">
        <f>Raw_Claims_Data!N1397</f>
        <v>AGENT00133</v>
      </c>
      <c r="O1398">
        <f>IF(Raw_Claims_Data!G1397="D",1,0)</f>
        <v>0</v>
      </c>
    </row>
    <row r="1399" spans="1:15" x14ac:dyDescent="0.35">
      <c r="A1399" t="str">
        <f>Raw_Claims_Data!A1398</f>
        <v>TXN00001395</v>
      </c>
      <c r="B1399" t="str">
        <f>TRIM(Raw_Claims_Data!B1398)</f>
        <v>Jerry Coward</v>
      </c>
      <c r="C1399" t="str">
        <f>Raw_Claims_Data!C1398</f>
        <v>Property</v>
      </c>
      <c r="D1399">
        <f>Raw_Claims_Data!D1398</f>
        <v>134.28</v>
      </c>
      <c r="E1399">
        <f>Raw_Claims_Data!E1398</f>
        <v>10000</v>
      </c>
      <c r="F1399" t="str">
        <f>Raw_Claims_Data!F1398</f>
        <v>CA</v>
      </c>
      <c r="G1399" t="str">
        <f>Raw_Claims_Data!G1398</f>
        <v>A</v>
      </c>
      <c r="H1399" t="str">
        <f>Raw_Claims_Data!H1398</f>
        <v>Total Loss</v>
      </c>
      <c r="I1399" t="str">
        <f>IF(Raw_Claims_Data!I1398="","None",Raw_Claims_Data!I1398)</f>
        <v>Police</v>
      </c>
      <c r="J1399" t="str">
        <f>Raw_Claims_Data!J1398</f>
        <v>Groton</v>
      </c>
      <c r="K1399" t="str">
        <f>Raw_Claims_Data!K1398</f>
        <v>CT</v>
      </c>
      <c r="L1399">
        <f>Raw_Claims_Data!L1398</f>
        <v>19</v>
      </c>
      <c r="M1399" t="str">
        <f>IF(Raw_Claims_Data!M1398="","N/A",Raw_Claims_Data!M1398)</f>
        <v>VNDR00228</v>
      </c>
      <c r="N1399" t="str">
        <f>Raw_Claims_Data!N1398</f>
        <v>AGENT00589</v>
      </c>
      <c r="O1399">
        <f>IF(Raw_Claims_Data!G1398="D",1,0)</f>
        <v>0</v>
      </c>
    </row>
    <row r="1400" spans="1:15" x14ac:dyDescent="0.35">
      <c r="A1400" t="str">
        <f>Raw_Claims_Data!A1399</f>
        <v>TXN00001396</v>
      </c>
      <c r="B1400" t="str">
        <f>TRIM(Raw_Claims_Data!B1399)</f>
        <v>Ruben Barclay</v>
      </c>
      <c r="C1400" t="str">
        <f>Raw_Claims_Data!C1399</f>
        <v>Property</v>
      </c>
      <c r="D1400">
        <f>Raw_Claims_Data!D1399</f>
        <v>104.26</v>
      </c>
      <c r="E1400">
        <f>Raw_Claims_Data!E1399</f>
        <v>18000</v>
      </c>
      <c r="F1400" t="str">
        <f>Raw_Claims_Data!F1399</f>
        <v>CA</v>
      </c>
      <c r="G1400" t="str">
        <f>Raw_Claims_Data!G1399</f>
        <v>A</v>
      </c>
      <c r="H1400" t="str">
        <f>Raw_Claims_Data!H1399</f>
        <v>Total Loss</v>
      </c>
      <c r="I1400" t="str">
        <f>IF(Raw_Claims_Data!I1399="","None",Raw_Claims_Data!I1399)</f>
        <v>Ambulance</v>
      </c>
      <c r="J1400" t="str">
        <f>Raw_Claims_Data!J1399</f>
        <v>Manchester</v>
      </c>
      <c r="K1400" t="str">
        <f>Raw_Claims_Data!K1399</f>
        <v>CT</v>
      </c>
      <c r="L1400">
        <f>Raw_Claims_Data!L1399</f>
        <v>13</v>
      </c>
      <c r="M1400" t="str">
        <f>IF(Raw_Claims_Data!M1399="","N/A",Raw_Claims_Data!M1399)</f>
        <v>N/A</v>
      </c>
      <c r="N1400" t="str">
        <f>Raw_Claims_Data!N1399</f>
        <v>AGENT00528</v>
      </c>
      <c r="O1400">
        <f>IF(Raw_Claims_Data!G1399="D",1,0)</f>
        <v>0</v>
      </c>
    </row>
    <row r="1401" spans="1:15" x14ac:dyDescent="0.35">
      <c r="A1401" t="str">
        <f>Raw_Claims_Data!A1400</f>
        <v>TXN00001397</v>
      </c>
      <c r="B1401" t="str">
        <f>TRIM(Raw_Claims_Data!B1400)</f>
        <v>Michael Foster</v>
      </c>
      <c r="C1401" t="str">
        <f>Raw_Claims_Data!C1400</f>
        <v>Travel</v>
      </c>
      <c r="D1401">
        <f>Raw_Claims_Data!D1400</f>
        <v>70.58</v>
      </c>
      <c r="E1401">
        <f>Raw_Claims_Data!E1400</f>
        <v>5000</v>
      </c>
      <c r="F1401" t="str">
        <f>Raw_Claims_Data!F1400</f>
        <v>CA</v>
      </c>
      <c r="G1401" t="str">
        <f>Raw_Claims_Data!G1400</f>
        <v>A</v>
      </c>
      <c r="H1401" t="str">
        <f>Raw_Claims_Data!H1400</f>
        <v>Major Loss</v>
      </c>
      <c r="I1401" t="str">
        <f>IF(Raw_Claims_Data!I1400="","None",Raw_Claims_Data!I1400)</f>
        <v>Ambulance</v>
      </c>
      <c r="J1401" t="str">
        <f>Raw_Claims_Data!J1400</f>
        <v>Union City</v>
      </c>
      <c r="K1401" t="str">
        <f>Raw_Claims_Data!K1400</f>
        <v>CA</v>
      </c>
      <c r="L1401">
        <f>Raw_Claims_Data!L1400</f>
        <v>23</v>
      </c>
      <c r="M1401" t="str">
        <f>IF(Raw_Claims_Data!M1400="","N/A",Raw_Claims_Data!M1400)</f>
        <v>VNDR00175</v>
      </c>
      <c r="N1401" t="str">
        <f>Raw_Claims_Data!N1400</f>
        <v>AGENT00544</v>
      </c>
      <c r="O1401">
        <f>IF(Raw_Claims_Data!G1400="D",1,0)</f>
        <v>0</v>
      </c>
    </row>
    <row r="1402" spans="1:15" x14ac:dyDescent="0.35">
      <c r="A1402" t="str">
        <f>Raw_Claims_Data!A1401</f>
        <v>TXN00001398</v>
      </c>
      <c r="B1402" t="str">
        <f>TRIM(Raw_Claims_Data!B1401)</f>
        <v>Babette Simon</v>
      </c>
      <c r="C1402" t="str">
        <f>Raw_Claims_Data!C1401</f>
        <v>Health</v>
      </c>
      <c r="D1402">
        <f>Raw_Claims_Data!D1401</f>
        <v>193.67</v>
      </c>
      <c r="E1402">
        <f>Raw_Claims_Data!E1401</f>
        <v>4000</v>
      </c>
      <c r="F1402" t="str">
        <f>Raw_Claims_Data!F1401</f>
        <v>KY</v>
      </c>
      <c r="G1402" t="str">
        <f>Raw_Claims_Data!G1401</f>
        <v>A</v>
      </c>
      <c r="H1402" t="str">
        <f>Raw_Claims_Data!H1401</f>
        <v>Minor Loss</v>
      </c>
      <c r="I1402" t="str">
        <f>IF(Raw_Claims_Data!I1401="","None",Raw_Claims_Data!I1401)</f>
        <v>Ambulance</v>
      </c>
      <c r="J1402" t="str">
        <f>Raw_Claims_Data!J1401</f>
        <v>Pasadena</v>
      </c>
      <c r="K1402" t="str">
        <f>Raw_Claims_Data!K1401</f>
        <v>MD</v>
      </c>
      <c r="L1402">
        <f>Raw_Claims_Data!L1401</f>
        <v>12</v>
      </c>
      <c r="M1402" t="str">
        <f>IF(Raw_Claims_Data!M1401="","N/A",Raw_Claims_Data!M1401)</f>
        <v>N/A</v>
      </c>
      <c r="N1402" t="str">
        <f>Raw_Claims_Data!N1401</f>
        <v>AGENT00531</v>
      </c>
      <c r="O1402">
        <f>IF(Raw_Claims_Data!G1401="D",1,0)</f>
        <v>0</v>
      </c>
    </row>
    <row r="1403" spans="1:15" x14ac:dyDescent="0.35">
      <c r="A1403" t="str">
        <f>Raw_Claims_Data!A1402</f>
        <v>TXN00001399</v>
      </c>
      <c r="B1403" t="str">
        <f>TRIM(Raw_Claims_Data!B1402)</f>
        <v>Kevin Waldrop</v>
      </c>
      <c r="C1403" t="str">
        <f>Raw_Claims_Data!C1402</f>
        <v>Health</v>
      </c>
      <c r="D1403">
        <f>Raw_Claims_Data!D1402</f>
        <v>147.19999999999999</v>
      </c>
      <c r="E1403">
        <f>Raw_Claims_Data!E1402</f>
        <v>5000</v>
      </c>
      <c r="F1403" t="str">
        <f>Raw_Claims_Data!F1402</f>
        <v>DC</v>
      </c>
      <c r="G1403" t="str">
        <f>Raw_Claims_Data!G1402</f>
        <v>A</v>
      </c>
      <c r="H1403" t="str">
        <f>Raw_Claims_Data!H1402</f>
        <v>Major Loss</v>
      </c>
      <c r="I1403" t="str">
        <f>IF(Raw_Claims_Data!I1402="","None",Raw_Claims_Data!I1402)</f>
        <v>Other</v>
      </c>
      <c r="J1403" t="str">
        <f>Raw_Claims_Data!J1402</f>
        <v>Union City</v>
      </c>
      <c r="K1403" t="str">
        <f>Raw_Claims_Data!K1402</f>
        <v>CA</v>
      </c>
      <c r="L1403">
        <f>Raw_Claims_Data!L1402</f>
        <v>8</v>
      </c>
      <c r="M1403" t="str">
        <f>IF(Raw_Claims_Data!M1402="","N/A",Raw_Claims_Data!M1402)</f>
        <v>VNDR00204</v>
      </c>
      <c r="N1403" t="str">
        <f>Raw_Claims_Data!N1402</f>
        <v>AGENT00011</v>
      </c>
      <c r="O1403">
        <f>IF(Raw_Claims_Data!G1402="D",1,0)</f>
        <v>0</v>
      </c>
    </row>
    <row r="1404" spans="1:15" x14ac:dyDescent="0.35">
      <c r="A1404" t="str">
        <f>Raw_Claims_Data!A1403</f>
        <v>TXN00001400</v>
      </c>
      <c r="B1404" t="str">
        <f>TRIM(Raw_Claims_Data!B1403)</f>
        <v>Nicole Smith</v>
      </c>
      <c r="C1404" t="str">
        <f>Raw_Claims_Data!C1403</f>
        <v>Health</v>
      </c>
      <c r="D1404">
        <f>Raw_Claims_Data!D1403</f>
        <v>128.69999999999999</v>
      </c>
      <c r="E1404">
        <f>Raw_Claims_Data!E1403</f>
        <v>7000</v>
      </c>
      <c r="F1404" t="str">
        <f>Raw_Claims_Data!F1403</f>
        <v>MD</v>
      </c>
      <c r="G1404" t="str">
        <f>Raw_Claims_Data!G1403</f>
        <v>A</v>
      </c>
      <c r="H1404" t="str">
        <f>Raw_Claims_Data!H1403</f>
        <v>Major Loss</v>
      </c>
      <c r="I1404" t="str">
        <f>IF(Raw_Claims_Data!I1403="","None",Raw_Claims_Data!I1403)</f>
        <v>Ambulance</v>
      </c>
      <c r="J1404" t="str">
        <f>Raw_Claims_Data!J1403</f>
        <v>Deale</v>
      </c>
      <c r="K1404" t="str">
        <f>Raw_Claims_Data!K1403</f>
        <v>MD</v>
      </c>
      <c r="L1404">
        <f>Raw_Claims_Data!L1403</f>
        <v>15</v>
      </c>
      <c r="M1404" t="str">
        <f>IF(Raw_Claims_Data!M1403="","N/A",Raw_Claims_Data!M1403)</f>
        <v>VNDR00183</v>
      </c>
      <c r="N1404" t="str">
        <f>Raw_Claims_Data!N1403</f>
        <v>AGENT00646</v>
      </c>
      <c r="O1404">
        <f>IF(Raw_Claims_Data!G1403="D",1,0)</f>
        <v>0</v>
      </c>
    </row>
    <row r="1405" spans="1:15" x14ac:dyDescent="0.35">
      <c r="A1405" t="str">
        <f>Raw_Claims_Data!A1404</f>
        <v>TXN00001401</v>
      </c>
      <c r="B1405" t="str">
        <f>TRIM(Raw_Claims_Data!B1404)</f>
        <v>Pam Stover</v>
      </c>
      <c r="C1405" t="str">
        <f>Raw_Claims_Data!C1404</f>
        <v>Property</v>
      </c>
      <c r="D1405">
        <f>Raw_Claims_Data!D1404</f>
        <v>148.16999999999999</v>
      </c>
      <c r="E1405">
        <f>Raw_Claims_Data!E1404</f>
        <v>33000</v>
      </c>
      <c r="F1405" t="str">
        <f>Raw_Claims_Data!F1404</f>
        <v>CA</v>
      </c>
      <c r="G1405" t="str">
        <f>Raw_Claims_Data!G1404</f>
        <v>A</v>
      </c>
      <c r="H1405" t="str">
        <f>Raw_Claims_Data!H1404</f>
        <v>Minor Loss</v>
      </c>
      <c r="I1405" t="str">
        <f>IF(Raw_Claims_Data!I1404="","None",Raw_Claims_Data!I1404)</f>
        <v>None</v>
      </c>
      <c r="J1405" t="str">
        <f>Raw_Claims_Data!J1404</f>
        <v>Fayetteville</v>
      </c>
      <c r="K1405" t="str">
        <f>Raw_Claims_Data!K1404</f>
        <v>AR</v>
      </c>
      <c r="L1405">
        <f>Raw_Claims_Data!L1404</f>
        <v>11</v>
      </c>
      <c r="M1405" t="str">
        <f>IF(Raw_Claims_Data!M1404="","N/A",Raw_Claims_Data!M1404)</f>
        <v>N/A</v>
      </c>
      <c r="N1405" t="str">
        <f>Raw_Claims_Data!N1404</f>
        <v>AGENT00875</v>
      </c>
      <c r="O1405">
        <f>IF(Raw_Claims_Data!G1404="D",1,0)</f>
        <v>0</v>
      </c>
    </row>
    <row r="1406" spans="1:15" x14ac:dyDescent="0.35">
      <c r="A1406" t="str">
        <f>Raw_Claims_Data!A1405</f>
        <v>TXN00001402</v>
      </c>
      <c r="B1406" t="str">
        <f>TRIM(Raw_Claims_Data!B1405)</f>
        <v>James Hyde</v>
      </c>
      <c r="C1406" t="str">
        <f>Raw_Claims_Data!C1405</f>
        <v>Motor</v>
      </c>
      <c r="D1406">
        <f>Raw_Claims_Data!D1405</f>
        <v>96.36</v>
      </c>
      <c r="E1406">
        <f>Raw_Claims_Data!E1405</f>
        <v>7000</v>
      </c>
      <c r="F1406" t="str">
        <f>Raw_Claims_Data!F1405</f>
        <v>CO</v>
      </c>
      <c r="G1406" t="str">
        <f>Raw_Claims_Data!G1405</f>
        <v>A</v>
      </c>
      <c r="H1406" t="str">
        <f>Raw_Claims_Data!H1405</f>
        <v>Minor Loss</v>
      </c>
      <c r="I1406" t="str">
        <f>IF(Raw_Claims_Data!I1405="","None",Raw_Claims_Data!I1405)</f>
        <v>Ambulance</v>
      </c>
      <c r="J1406" t="str">
        <f>Raw_Claims_Data!J1405</f>
        <v>Anchorage</v>
      </c>
      <c r="K1406" t="str">
        <f>Raw_Claims_Data!K1405</f>
        <v>AK</v>
      </c>
      <c r="L1406">
        <f>Raw_Claims_Data!L1405</f>
        <v>18</v>
      </c>
      <c r="M1406" t="str">
        <f>IF(Raw_Claims_Data!M1405="","N/A",Raw_Claims_Data!M1405)</f>
        <v>N/A</v>
      </c>
      <c r="N1406" t="str">
        <f>Raw_Claims_Data!N1405</f>
        <v>AGENT00570</v>
      </c>
      <c r="O1406">
        <f>IF(Raw_Claims_Data!G1405="D",1,0)</f>
        <v>0</v>
      </c>
    </row>
    <row r="1407" spans="1:15" x14ac:dyDescent="0.35">
      <c r="A1407" t="str">
        <f>Raw_Claims_Data!A1406</f>
        <v>TXN00001403</v>
      </c>
      <c r="B1407" t="str">
        <f>TRIM(Raw_Claims_Data!B1406)</f>
        <v>Edith Brown</v>
      </c>
      <c r="C1407" t="str">
        <f>Raw_Claims_Data!C1406</f>
        <v>Motor</v>
      </c>
      <c r="D1407">
        <f>Raw_Claims_Data!D1406</f>
        <v>134.53</v>
      </c>
      <c r="E1407">
        <f>Raw_Claims_Data!E1406</f>
        <v>5000</v>
      </c>
      <c r="F1407" t="str">
        <f>Raw_Claims_Data!F1406</f>
        <v>GA</v>
      </c>
      <c r="G1407" t="str">
        <f>Raw_Claims_Data!G1406</f>
        <v>A</v>
      </c>
      <c r="H1407" t="str">
        <f>Raw_Claims_Data!H1406</f>
        <v>Major Loss</v>
      </c>
      <c r="I1407" t="str">
        <f>IF(Raw_Claims_Data!I1406="","None",Raw_Claims_Data!I1406)</f>
        <v>Ambulance</v>
      </c>
      <c r="J1407" t="str">
        <f>Raw_Claims_Data!J1406</f>
        <v>Savannah</v>
      </c>
      <c r="K1407" t="str">
        <f>Raw_Claims_Data!K1406</f>
        <v>GA</v>
      </c>
      <c r="L1407">
        <f>Raw_Claims_Data!L1406</f>
        <v>11</v>
      </c>
      <c r="M1407" t="str">
        <f>IF(Raw_Claims_Data!M1406="","N/A",Raw_Claims_Data!M1406)</f>
        <v>VNDR00252</v>
      </c>
      <c r="N1407" t="str">
        <f>Raw_Claims_Data!N1406</f>
        <v>AGENT00349</v>
      </c>
      <c r="O1407">
        <f>IF(Raw_Claims_Data!G1406="D",1,0)</f>
        <v>0</v>
      </c>
    </row>
    <row r="1408" spans="1:15" x14ac:dyDescent="0.35">
      <c r="A1408" t="str">
        <f>Raw_Claims_Data!A1407</f>
        <v>TXN00001404</v>
      </c>
      <c r="B1408" t="str">
        <f>TRIM(Raw_Claims_Data!B1407)</f>
        <v>Michael Koopman</v>
      </c>
      <c r="C1408" t="str">
        <f>Raw_Claims_Data!C1407</f>
        <v>Travel</v>
      </c>
      <c r="D1408">
        <f>Raw_Claims_Data!D1407</f>
        <v>69.98</v>
      </c>
      <c r="E1408">
        <f>Raw_Claims_Data!E1407</f>
        <v>4000</v>
      </c>
      <c r="F1408" t="str">
        <f>Raw_Claims_Data!F1407</f>
        <v>VT</v>
      </c>
      <c r="G1408" t="str">
        <f>Raw_Claims_Data!G1407</f>
        <v>A</v>
      </c>
      <c r="H1408" t="str">
        <f>Raw_Claims_Data!H1407</f>
        <v>Total Loss</v>
      </c>
      <c r="I1408" t="str">
        <f>IF(Raw_Claims_Data!I1407="","None",Raw_Claims_Data!I1407)</f>
        <v>Police</v>
      </c>
      <c r="J1408" t="str">
        <f>Raw_Claims_Data!J1407</f>
        <v>Louisville</v>
      </c>
      <c r="K1408" t="str">
        <f>Raw_Claims_Data!K1407</f>
        <v>KY</v>
      </c>
      <c r="L1408">
        <f>Raw_Claims_Data!L1407</f>
        <v>11</v>
      </c>
      <c r="M1408" t="str">
        <f>IF(Raw_Claims_Data!M1407="","N/A",Raw_Claims_Data!M1407)</f>
        <v>VNDR00141</v>
      </c>
      <c r="N1408" t="str">
        <f>Raw_Claims_Data!N1407</f>
        <v>AGENT00064</v>
      </c>
      <c r="O1408">
        <f>IF(Raw_Claims_Data!G1407="D",1,0)</f>
        <v>0</v>
      </c>
    </row>
    <row r="1409" spans="1:15" x14ac:dyDescent="0.35">
      <c r="A1409" t="str">
        <f>Raw_Claims_Data!A1408</f>
        <v>TXN00001405</v>
      </c>
      <c r="B1409" t="str">
        <f>TRIM(Raw_Claims_Data!B1408)</f>
        <v>Ashley Gaytan</v>
      </c>
      <c r="C1409" t="str">
        <f>Raw_Claims_Data!C1408</f>
        <v>Travel</v>
      </c>
      <c r="D1409">
        <f>Raw_Claims_Data!D1408</f>
        <v>70.94</v>
      </c>
      <c r="E1409">
        <f>Raw_Claims_Data!E1408</f>
        <v>4000</v>
      </c>
      <c r="F1409" t="str">
        <f>Raw_Claims_Data!F1408</f>
        <v>AK</v>
      </c>
      <c r="G1409" t="str">
        <f>Raw_Claims_Data!G1408</f>
        <v>A</v>
      </c>
      <c r="H1409" t="str">
        <f>Raw_Claims_Data!H1408</f>
        <v>Major Loss</v>
      </c>
      <c r="I1409" t="str">
        <f>IF(Raw_Claims_Data!I1408="","None",Raw_Claims_Data!I1408)</f>
        <v>Police</v>
      </c>
      <c r="J1409" t="str">
        <f>Raw_Claims_Data!J1408</f>
        <v>Fremont</v>
      </c>
      <c r="K1409" t="str">
        <f>Raw_Claims_Data!K1408</f>
        <v>CA</v>
      </c>
      <c r="L1409">
        <f>Raw_Claims_Data!L1408</f>
        <v>18</v>
      </c>
      <c r="M1409" t="str">
        <f>IF(Raw_Claims_Data!M1408="","N/A",Raw_Claims_Data!M1408)</f>
        <v>N/A</v>
      </c>
      <c r="N1409" t="str">
        <f>Raw_Claims_Data!N1408</f>
        <v>AGENT00287</v>
      </c>
      <c r="O1409">
        <f>IF(Raw_Claims_Data!G1408="D",1,0)</f>
        <v>0</v>
      </c>
    </row>
    <row r="1410" spans="1:15" x14ac:dyDescent="0.35">
      <c r="A1410" t="str">
        <f>Raw_Claims_Data!A1409</f>
        <v>TXN00001406</v>
      </c>
      <c r="B1410" t="str">
        <f>TRIM(Raw_Claims_Data!B1409)</f>
        <v>Carl Dunn</v>
      </c>
      <c r="C1410" t="str">
        <f>Raw_Claims_Data!C1409</f>
        <v>Mobile</v>
      </c>
      <c r="D1410">
        <f>Raw_Claims_Data!D1409</f>
        <v>9.5500000000000007</v>
      </c>
      <c r="E1410">
        <f>Raw_Claims_Data!E1409</f>
        <v>500</v>
      </c>
      <c r="F1410" t="str">
        <f>Raw_Claims_Data!F1409</f>
        <v>AZ</v>
      </c>
      <c r="G1410" t="str">
        <f>Raw_Claims_Data!G1409</f>
        <v>A</v>
      </c>
      <c r="H1410" t="str">
        <f>Raw_Claims_Data!H1409</f>
        <v>Total Loss</v>
      </c>
      <c r="I1410" t="str">
        <f>IF(Raw_Claims_Data!I1409="","None",Raw_Claims_Data!I1409)</f>
        <v>Ambulance</v>
      </c>
      <c r="J1410" t="str">
        <f>Raw_Claims_Data!J1409</f>
        <v>Somerville</v>
      </c>
      <c r="K1410" t="str">
        <f>Raw_Claims_Data!K1409</f>
        <v>MA</v>
      </c>
      <c r="L1410">
        <f>Raw_Claims_Data!L1409</f>
        <v>15</v>
      </c>
      <c r="M1410" t="str">
        <f>IF(Raw_Claims_Data!M1409="","N/A",Raw_Claims_Data!M1409)</f>
        <v>VNDR00108</v>
      </c>
      <c r="N1410" t="str">
        <f>Raw_Claims_Data!N1409</f>
        <v>AGENT01091</v>
      </c>
      <c r="O1410">
        <f>IF(Raw_Claims_Data!G1409="D",1,0)</f>
        <v>0</v>
      </c>
    </row>
    <row r="1411" spans="1:15" x14ac:dyDescent="0.35">
      <c r="A1411" t="str">
        <f>Raw_Claims_Data!A1410</f>
        <v>TXN00001407</v>
      </c>
      <c r="B1411" t="str">
        <f>TRIM(Raw_Claims_Data!B1410)</f>
        <v>Jose Moore</v>
      </c>
      <c r="C1411" t="str">
        <f>Raw_Claims_Data!C1410</f>
        <v>Health</v>
      </c>
      <c r="D1411">
        <f>Raw_Claims_Data!D1410</f>
        <v>162.44999999999999</v>
      </c>
      <c r="E1411">
        <f>Raw_Claims_Data!E1410</f>
        <v>16000</v>
      </c>
      <c r="F1411" t="str">
        <f>Raw_Claims_Data!F1410</f>
        <v>MA</v>
      </c>
      <c r="G1411" t="str">
        <f>Raw_Claims_Data!G1410</f>
        <v>A</v>
      </c>
      <c r="H1411" t="str">
        <f>Raw_Claims_Data!H1410</f>
        <v>Major Loss</v>
      </c>
      <c r="I1411" t="str">
        <f>IF(Raw_Claims_Data!I1410="","None",Raw_Claims_Data!I1410)</f>
        <v>Police</v>
      </c>
      <c r="J1411" t="str">
        <f>Raw_Claims_Data!J1410</f>
        <v>Glendale</v>
      </c>
      <c r="K1411" t="str">
        <f>Raw_Claims_Data!K1410</f>
        <v>AZ</v>
      </c>
      <c r="L1411">
        <f>Raw_Claims_Data!L1410</f>
        <v>15</v>
      </c>
      <c r="M1411" t="str">
        <f>IF(Raw_Claims_Data!M1410="","N/A",Raw_Claims_Data!M1410)</f>
        <v>N/A</v>
      </c>
      <c r="N1411" t="str">
        <f>Raw_Claims_Data!N1410</f>
        <v>AGENT00811</v>
      </c>
      <c r="O1411">
        <f>IF(Raw_Claims_Data!G1410="D",1,0)</f>
        <v>0</v>
      </c>
    </row>
    <row r="1412" spans="1:15" x14ac:dyDescent="0.35">
      <c r="A1412" t="str">
        <f>Raw_Claims_Data!A1411</f>
        <v>TXN00001408</v>
      </c>
      <c r="B1412" t="str">
        <f>TRIM(Raw_Claims_Data!B1411)</f>
        <v>Kimberly Chen</v>
      </c>
      <c r="C1412" t="str">
        <f>Raw_Claims_Data!C1411</f>
        <v>Motor</v>
      </c>
      <c r="D1412">
        <f>Raw_Claims_Data!D1411</f>
        <v>132.97999999999999</v>
      </c>
      <c r="E1412">
        <f>Raw_Claims_Data!E1411</f>
        <v>1000</v>
      </c>
      <c r="F1412" t="str">
        <f>Raw_Claims_Data!F1411</f>
        <v>AL</v>
      </c>
      <c r="G1412" t="str">
        <f>Raw_Claims_Data!G1411</f>
        <v>A</v>
      </c>
      <c r="H1412" t="str">
        <f>Raw_Claims_Data!H1411</f>
        <v>Total Loss</v>
      </c>
      <c r="I1412" t="str">
        <f>IF(Raw_Claims_Data!I1411="","None",Raw_Claims_Data!I1411)</f>
        <v>Ambulance</v>
      </c>
      <c r="J1412" t="str">
        <f>Raw_Claims_Data!J1411</f>
        <v>Washington</v>
      </c>
      <c r="K1412" t="str">
        <f>Raw_Claims_Data!K1411</f>
        <v>DC</v>
      </c>
      <c r="L1412">
        <f>Raw_Claims_Data!L1411</f>
        <v>11</v>
      </c>
      <c r="M1412" t="str">
        <f>IF(Raw_Claims_Data!M1411="","N/A",Raw_Claims_Data!M1411)</f>
        <v>N/A</v>
      </c>
      <c r="N1412" t="str">
        <f>Raw_Claims_Data!N1411</f>
        <v>AGENT00073</v>
      </c>
      <c r="O1412">
        <f>IF(Raw_Claims_Data!G1411="D",1,0)</f>
        <v>0</v>
      </c>
    </row>
    <row r="1413" spans="1:15" x14ac:dyDescent="0.35">
      <c r="A1413" t="str">
        <f>Raw_Claims_Data!A1412</f>
        <v>TXN00001409</v>
      </c>
      <c r="B1413" t="str">
        <f>TRIM(Raw_Claims_Data!B1412)</f>
        <v>April Bell</v>
      </c>
      <c r="C1413" t="str">
        <f>Raw_Claims_Data!C1412</f>
        <v>Property</v>
      </c>
      <c r="D1413">
        <f>Raw_Claims_Data!D1412</f>
        <v>119.24</v>
      </c>
      <c r="E1413">
        <f>Raw_Claims_Data!E1412</f>
        <v>24000</v>
      </c>
      <c r="F1413" t="str">
        <f>Raw_Claims_Data!F1412</f>
        <v>AR</v>
      </c>
      <c r="G1413" t="str">
        <f>Raw_Claims_Data!G1412</f>
        <v>A</v>
      </c>
      <c r="H1413" t="str">
        <f>Raw_Claims_Data!H1412</f>
        <v>Total Loss</v>
      </c>
      <c r="I1413" t="str">
        <f>IF(Raw_Claims_Data!I1412="","None",Raw_Claims_Data!I1412)</f>
        <v>Police</v>
      </c>
      <c r="J1413" t="str">
        <f>Raw_Claims_Data!J1412</f>
        <v>Washington</v>
      </c>
      <c r="K1413" t="str">
        <f>Raw_Claims_Data!K1412</f>
        <v>DC</v>
      </c>
      <c r="L1413">
        <f>Raw_Claims_Data!L1412</f>
        <v>12</v>
      </c>
      <c r="M1413" t="str">
        <f>IF(Raw_Claims_Data!M1412="","N/A",Raw_Claims_Data!M1412)</f>
        <v>VNDR00118</v>
      </c>
      <c r="N1413" t="str">
        <f>Raw_Claims_Data!N1412</f>
        <v>AGENT00379</v>
      </c>
      <c r="O1413">
        <f>IF(Raw_Claims_Data!G1412="D",1,0)</f>
        <v>0</v>
      </c>
    </row>
    <row r="1414" spans="1:15" x14ac:dyDescent="0.35">
      <c r="A1414" t="str">
        <f>Raw_Claims_Data!A1413</f>
        <v>TXN00001410</v>
      </c>
      <c r="B1414" t="str">
        <f>TRIM(Raw_Claims_Data!B1413)</f>
        <v>Samantha Glickman</v>
      </c>
      <c r="C1414" t="str">
        <f>Raw_Claims_Data!C1413</f>
        <v>Motor</v>
      </c>
      <c r="D1414">
        <f>Raw_Claims_Data!D1413</f>
        <v>89.02</v>
      </c>
      <c r="E1414">
        <f>Raw_Claims_Data!E1413</f>
        <v>2000</v>
      </c>
      <c r="F1414" t="str">
        <f>Raw_Claims_Data!F1413</f>
        <v>GA</v>
      </c>
      <c r="G1414" t="str">
        <f>Raw_Claims_Data!G1413</f>
        <v>A</v>
      </c>
      <c r="H1414" t="str">
        <f>Raw_Claims_Data!H1413</f>
        <v>Minor Loss</v>
      </c>
      <c r="I1414" t="str">
        <f>IF(Raw_Claims_Data!I1413="","None",Raw_Claims_Data!I1413)</f>
        <v>None</v>
      </c>
      <c r="J1414" t="str">
        <f>Raw_Claims_Data!J1413</f>
        <v>Glendale</v>
      </c>
      <c r="K1414" t="str">
        <f>Raw_Claims_Data!K1413</f>
        <v>AZ</v>
      </c>
      <c r="L1414">
        <f>Raw_Claims_Data!L1413</f>
        <v>1</v>
      </c>
      <c r="M1414" t="str">
        <f>IF(Raw_Claims_Data!M1413="","N/A",Raw_Claims_Data!M1413)</f>
        <v>VNDR00494</v>
      </c>
      <c r="N1414" t="str">
        <f>Raw_Claims_Data!N1413</f>
        <v>AGENT01103</v>
      </c>
      <c r="O1414">
        <f>IF(Raw_Claims_Data!G1413="D",1,0)</f>
        <v>0</v>
      </c>
    </row>
    <row r="1415" spans="1:15" x14ac:dyDescent="0.35">
      <c r="A1415" t="str">
        <f>Raw_Claims_Data!A1414</f>
        <v>TXN00001411</v>
      </c>
      <c r="B1415" t="str">
        <f>TRIM(Raw_Claims_Data!B1414)</f>
        <v>Corey Ready</v>
      </c>
      <c r="C1415" t="str">
        <f>Raw_Claims_Data!C1414</f>
        <v>Property</v>
      </c>
      <c r="D1415">
        <f>Raw_Claims_Data!D1414</f>
        <v>121.57</v>
      </c>
      <c r="E1415">
        <f>Raw_Claims_Data!E1414</f>
        <v>30000</v>
      </c>
      <c r="F1415" t="str">
        <f>Raw_Claims_Data!F1414</f>
        <v>AZ</v>
      </c>
      <c r="G1415" t="str">
        <f>Raw_Claims_Data!G1414</f>
        <v>A</v>
      </c>
      <c r="H1415" t="str">
        <f>Raw_Claims_Data!H1414</f>
        <v>Total Loss</v>
      </c>
      <c r="I1415" t="str">
        <f>IF(Raw_Claims_Data!I1414="","None",Raw_Claims_Data!I1414)</f>
        <v>Other</v>
      </c>
      <c r="J1415" t="str">
        <f>Raw_Claims_Data!J1414</f>
        <v>San Leandro</v>
      </c>
      <c r="K1415" t="str">
        <f>Raw_Claims_Data!K1414</f>
        <v>CA</v>
      </c>
      <c r="L1415">
        <f>Raw_Claims_Data!L1414</f>
        <v>9</v>
      </c>
      <c r="M1415" t="str">
        <f>IF(Raw_Claims_Data!M1414="","N/A",Raw_Claims_Data!M1414)</f>
        <v>VNDR00222</v>
      </c>
      <c r="N1415" t="str">
        <f>Raw_Claims_Data!N1414</f>
        <v>AGENT01142</v>
      </c>
      <c r="O1415">
        <f>IF(Raw_Claims_Data!G1414="D",1,0)</f>
        <v>0</v>
      </c>
    </row>
    <row r="1416" spans="1:15" x14ac:dyDescent="0.35">
      <c r="A1416" t="str">
        <f>Raw_Claims_Data!A1415</f>
        <v>TXN00001412</v>
      </c>
      <c r="B1416" t="str">
        <f>TRIM(Raw_Claims_Data!B1415)</f>
        <v>Emmanuel Hawley</v>
      </c>
      <c r="C1416" t="str">
        <f>Raw_Claims_Data!C1415</f>
        <v>Health</v>
      </c>
      <c r="D1416">
        <f>Raw_Claims_Data!D1415</f>
        <v>119.25</v>
      </c>
      <c r="E1416">
        <f>Raw_Claims_Data!E1415</f>
        <v>1000</v>
      </c>
      <c r="F1416" t="str">
        <f>Raw_Claims_Data!F1415</f>
        <v>MD</v>
      </c>
      <c r="G1416" t="str">
        <f>Raw_Claims_Data!G1415</f>
        <v>A</v>
      </c>
      <c r="H1416" t="str">
        <f>Raw_Claims_Data!H1415</f>
        <v>Major Loss</v>
      </c>
      <c r="I1416" t="str">
        <f>IF(Raw_Claims_Data!I1415="","None",Raw_Claims_Data!I1415)</f>
        <v>None</v>
      </c>
      <c r="J1416" t="str">
        <f>Raw_Claims_Data!J1415</f>
        <v>Savannah</v>
      </c>
      <c r="K1416" t="str">
        <f>Raw_Claims_Data!K1415</f>
        <v>GA</v>
      </c>
      <c r="L1416">
        <f>Raw_Claims_Data!L1415</f>
        <v>10</v>
      </c>
      <c r="M1416" t="str">
        <f>IF(Raw_Claims_Data!M1415="","N/A",Raw_Claims_Data!M1415)</f>
        <v>N/A</v>
      </c>
      <c r="N1416" t="str">
        <f>Raw_Claims_Data!N1415</f>
        <v>AGENT00661</v>
      </c>
      <c r="O1416">
        <f>IF(Raw_Claims_Data!G1415="D",1,0)</f>
        <v>0</v>
      </c>
    </row>
    <row r="1417" spans="1:15" x14ac:dyDescent="0.35">
      <c r="A1417" t="str">
        <f>Raw_Claims_Data!A1416</f>
        <v>TXN00001413</v>
      </c>
      <c r="B1417" t="str">
        <f>TRIM(Raw_Claims_Data!B1416)</f>
        <v>Maria Kosmowski</v>
      </c>
      <c r="C1417" t="str">
        <f>Raw_Claims_Data!C1416</f>
        <v>Health</v>
      </c>
      <c r="D1417">
        <f>Raw_Claims_Data!D1416</f>
        <v>183.91</v>
      </c>
      <c r="E1417">
        <f>Raw_Claims_Data!E1416</f>
        <v>8000</v>
      </c>
      <c r="F1417" t="str">
        <f>Raw_Claims_Data!F1416</f>
        <v>AL</v>
      </c>
      <c r="G1417" t="str">
        <f>Raw_Claims_Data!G1416</f>
        <v>A</v>
      </c>
      <c r="H1417" t="str">
        <f>Raw_Claims_Data!H1416</f>
        <v>Total Loss</v>
      </c>
      <c r="I1417" t="str">
        <f>IF(Raw_Claims_Data!I1416="","None",Raw_Claims_Data!I1416)</f>
        <v>Ambulance</v>
      </c>
      <c r="J1417" t="str">
        <f>Raw_Claims_Data!J1416</f>
        <v>Harrah</v>
      </c>
      <c r="K1417" t="str">
        <f>Raw_Claims_Data!K1416</f>
        <v>OK</v>
      </c>
      <c r="L1417">
        <f>Raw_Claims_Data!L1416</f>
        <v>3</v>
      </c>
      <c r="M1417" t="str">
        <f>IF(Raw_Claims_Data!M1416="","N/A",Raw_Claims_Data!M1416)</f>
        <v>N/A</v>
      </c>
      <c r="N1417" t="str">
        <f>Raw_Claims_Data!N1416</f>
        <v>AGENT00118</v>
      </c>
      <c r="O1417">
        <f>IF(Raw_Claims_Data!G1416="D",1,0)</f>
        <v>0</v>
      </c>
    </row>
    <row r="1418" spans="1:15" x14ac:dyDescent="0.35">
      <c r="A1418" t="str">
        <f>Raw_Claims_Data!A1417</f>
        <v>TXN00001414</v>
      </c>
      <c r="B1418" t="str">
        <f>TRIM(Raw_Claims_Data!B1417)</f>
        <v>Antonio Lee</v>
      </c>
      <c r="C1418" t="str">
        <f>Raw_Claims_Data!C1417</f>
        <v>Motor</v>
      </c>
      <c r="D1418">
        <f>Raw_Claims_Data!D1417</f>
        <v>95.38</v>
      </c>
      <c r="E1418">
        <f>Raw_Claims_Data!E1417</f>
        <v>4000</v>
      </c>
      <c r="F1418" t="str">
        <f>Raw_Claims_Data!F1417</f>
        <v>GA</v>
      </c>
      <c r="G1418" t="str">
        <f>Raw_Claims_Data!G1417</f>
        <v>A</v>
      </c>
      <c r="H1418" t="str">
        <f>Raw_Claims_Data!H1417</f>
        <v>Major Loss</v>
      </c>
      <c r="I1418" t="str">
        <f>IF(Raw_Claims_Data!I1417="","None",Raw_Claims_Data!I1417)</f>
        <v>Police</v>
      </c>
      <c r="J1418" t="str">
        <f>Raw_Claims_Data!J1417</f>
        <v>Manchester</v>
      </c>
      <c r="K1418" t="str">
        <f>Raw_Claims_Data!K1417</f>
        <v>CT</v>
      </c>
      <c r="L1418">
        <f>Raw_Claims_Data!L1417</f>
        <v>15</v>
      </c>
      <c r="M1418" t="str">
        <f>IF(Raw_Claims_Data!M1417="","N/A",Raw_Claims_Data!M1417)</f>
        <v>VNDR00548</v>
      </c>
      <c r="N1418" t="str">
        <f>Raw_Claims_Data!N1417</f>
        <v>AGENT01149</v>
      </c>
      <c r="O1418">
        <f>IF(Raw_Claims_Data!G1417="D",1,0)</f>
        <v>0</v>
      </c>
    </row>
    <row r="1419" spans="1:15" x14ac:dyDescent="0.35">
      <c r="A1419" t="str">
        <f>Raw_Claims_Data!A1418</f>
        <v>TXN00001415</v>
      </c>
      <c r="B1419" t="str">
        <f>TRIM(Raw_Claims_Data!B1418)</f>
        <v>Ramon Brackins</v>
      </c>
      <c r="C1419" t="str">
        <f>Raw_Claims_Data!C1418</f>
        <v>Motor</v>
      </c>
      <c r="D1419">
        <f>Raw_Claims_Data!D1418</f>
        <v>91.27</v>
      </c>
      <c r="E1419">
        <f>Raw_Claims_Data!E1418</f>
        <v>9000</v>
      </c>
      <c r="F1419" t="str">
        <f>Raw_Claims_Data!F1418</f>
        <v>KY</v>
      </c>
      <c r="G1419" t="str">
        <f>Raw_Claims_Data!G1418</f>
        <v>D</v>
      </c>
      <c r="H1419" t="str">
        <f>Raw_Claims_Data!H1418</f>
        <v>Total Loss</v>
      </c>
      <c r="I1419" t="str">
        <f>IF(Raw_Claims_Data!I1418="","None",Raw_Claims_Data!I1418)</f>
        <v>Ambulance</v>
      </c>
      <c r="J1419" t="str">
        <f>Raw_Claims_Data!J1418</f>
        <v>San Leandro</v>
      </c>
      <c r="K1419" t="str">
        <f>Raw_Claims_Data!K1418</f>
        <v>CA</v>
      </c>
      <c r="L1419">
        <f>Raw_Claims_Data!L1418</f>
        <v>22</v>
      </c>
      <c r="M1419" t="str">
        <f>IF(Raw_Claims_Data!M1418="","N/A",Raw_Claims_Data!M1418)</f>
        <v>N/A</v>
      </c>
      <c r="N1419" t="str">
        <f>Raw_Claims_Data!N1418</f>
        <v>AGENT00360</v>
      </c>
      <c r="O1419">
        <f>IF(Raw_Claims_Data!G1418="D",1,0)</f>
        <v>1</v>
      </c>
    </row>
    <row r="1420" spans="1:15" x14ac:dyDescent="0.35">
      <c r="A1420" t="str">
        <f>Raw_Claims_Data!A1419</f>
        <v>TXN00001416</v>
      </c>
      <c r="B1420" t="str">
        <f>TRIM(Raw_Claims_Data!B1419)</f>
        <v>Ralph Lord</v>
      </c>
      <c r="C1420" t="str">
        <f>Raw_Claims_Data!C1419</f>
        <v>Motor</v>
      </c>
      <c r="D1420">
        <f>Raw_Claims_Data!D1419</f>
        <v>73.13</v>
      </c>
      <c r="E1420">
        <f>Raw_Claims_Data!E1419</f>
        <v>10000</v>
      </c>
      <c r="F1420" t="str">
        <f>Raw_Claims_Data!F1419</f>
        <v>CT</v>
      </c>
      <c r="G1420" t="str">
        <f>Raw_Claims_Data!G1419</f>
        <v>A</v>
      </c>
      <c r="H1420" t="str">
        <f>Raw_Claims_Data!H1419</f>
        <v>Total Loss</v>
      </c>
      <c r="I1420" t="str">
        <f>IF(Raw_Claims_Data!I1419="","None",Raw_Claims_Data!I1419)</f>
        <v>None</v>
      </c>
      <c r="J1420" t="str">
        <f>Raw_Claims_Data!J1419</f>
        <v>Oklahoma City</v>
      </c>
      <c r="K1420" t="str">
        <f>Raw_Claims_Data!K1419</f>
        <v>OK</v>
      </c>
      <c r="L1420">
        <f>Raw_Claims_Data!L1419</f>
        <v>17</v>
      </c>
      <c r="M1420" t="str">
        <f>IF(Raw_Claims_Data!M1419="","N/A",Raw_Claims_Data!M1419)</f>
        <v>VNDR00239</v>
      </c>
      <c r="N1420" t="str">
        <f>Raw_Claims_Data!N1419</f>
        <v>AGENT00977</v>
      </c>
      <c r="O1420">
        <f>IF(Raw_Claims_Data!G1419="D",1,0)</f>
        <v>0</v>
      </c>
    </row>
    <row r="1421" spans="1:15" x14ac:dyDescent="0.35">
      <c r="A1421" t="str">
        <f>Raw_Claims_Data!A1420</f>
        <v>TXN00001417</v>
      </c>
      <c r="B1421" t="str">
        <f>TRIM(Raw_Claims_Data!B1420)</f>
        <v>Timothy Noel</v>
      </c>
      <c r="C1421" t="str">
        <f>Raw_Claims_Data!C1420</f>
        <v>Motor</v>
      </c>
      <c r="D1421">
        <f>Raw_Claims_Data!D1420</f>
        <v>95.33</v>
      </c>
      <c r="E1421">
        <f>Raw_Claims_Data!E1420</f>
        <v>10000</v>
      </c>
      <c r="F1421" t="str">
        <f>Raw_Claims_Data!F1420</f>
        <v>AK</v>
      </c>
      <c r="G1421" t="str">
        <f>Raw_Claims_Data!G1420</f>
        <v>A</v>
      </c>
      <c r="H1421" t="str">
        <f>Raw_Claims_Data!H1420</f>
        <v>Total Loss</v>
      </c>
      <c r="I1421" t="str">
        <f>IF(Raw_Claims_Data!I1420="","None",Raw_Claims_Data!I1420)</f>
        <v>Police</v>
      </c>
      <c r="J1421" t="str">
        <f>Raw_Claims_Data!J1420</f>
        <v>Lynn</v>
      </c>
      <c r="K1421" t="str">
        <f>Raw_Claims_Data!K1420</f>
        <v>MA</v>
      </c>
      <c r="L1421">
        <f>Raw_Claims_Data!L1420</f>
        <v>11</v>
      </c>
      <c r="M1421" t="str">
        <f>IF(Raw_Claims_Data!M1420="","N/A",Raw_Claims_Data!M1420)</f>
        <v>N/A</v>
      </c>
      <c r="N1421" t="str">
        <f>Raw_Claims_Data!N1420</f>
        <v>AGENT00261</v>
      </c>
      <c r="O1421">
        <f>IF(Raw_Claims_Data!G1420="D",1,0)</f>
        <v>0</v>
      </c>
    </row>
    <row r="1422" spans="1:15" x14ac:dyDescent="0.35">
      <c r="A1422" t="str">
        <f>Raw_Claims_Data!A1421</f>
        <v>TXN00001418</v>
      </c>
      <c r="B1422" t="str">
        <f>TRIM(Raw_Claims_Data!B1421)</f>
        <v>Mary Butts</v>
      </c>
      <c r="C1422" t="str">
        <f>Raw_Claims_Data!C1421</f>
        <v>Travel</v>
      </c>
      <c r="D1422">
        <f>Raw_Claims_Data!D1421</f>
        <v>68.08</v>
      </c>
      <c r="E1422">
        <f>Raw_Claims_Data!E1421</f>
        <v>3000</v>
      </c>
      <c r="F1422" t="str">
        <f>Raw_Claims_Data!F1421</f>
        <v>CA</v>
      </c>
      <c r="G1422" t="str">
        <f>Raw_Claims_Data!G1421</f>
        <v>A</v>
      </c>
      <c r="H1422" t="str">
        <f>Raw_Claims_Data!H1421</f>
        <v>Total Loss</v>
      </c>
      <c r="I1422" t="str">
        <f>IF(Raw_Claims_Data!I1421="","None",Raw_Claims_Data!I1421)</f>
        <v>Ambulance</v>
      </c>
      <c r="J1422" t="str">
        <f>Raw_Claims_Data!J1421</f>
        <v>Louisville</v>
      </c>
      <c r="K1422" t="str">
        <f>Raw_Claims_Data!K1421</f>
        <v>KY</v>
      </c>
      <c r="L1422">
        <f>Raw_Claims_Data!L1421</f>
        <v>3</v>
      </c>
      <c r="M1422" t="str">
        <f>IF(Raw_Claims_Data!M1421="","N/A",Raw_Claims_Data!M1421)</f>
        <v>VNDR00498</v>
      </c>
      <c r="N1422" t="str">
        <f>Raw_Claims_Data!N1421</f>
        <v>AGENT00718</v>
      </c>
      <c r="O1422">
        <f>IF(Raw_Claims_Data!G1421="D",1,0)</f>
        <v>0</v>
      </c>
    </row>
    <row r="1423" spans="1:15" x14ac:dyDescent="0.35">
      <c r="A1423" t="str">
        <f>Raw_Claims_Data!A1422</f>
        <v>TXN00001419</v>
      </c>
      <c r="B1423" t="str">
        <f>TRIM(Raw_Claims_Data!B1422)</f>
        <v>Pat Menzel</v>
      </c>
      <c r="C1423" t="str">
        <f>Raw_Claims_Data!C1422</f>
        <v>Life</v>
      </c>
      <c r="D1423">
        <f>Raw_Claims_Data!D1422</f>
        <v>87.13</v>
      </c>
      <c r="E1423">
        <f>Raw_Claims_Data!E1422</f>
        <v>57000</v>
      </c>
      <c r="F1423" t="str">
        <f>Raw_Claims_Data!F1422</f>
        <v>OK</v>
      </c>
      <c r="G1423" t="str">
        <f>Raw_Claims_Data!G1422</f>
        <v>A</v>
      </c>
      <c r="H1423" t="str">
        <f>Raw_Claims_Data!H1422</f>
        <v>Total Loss</v>
      </c>
      <c r="I1423" t="str">
        <f>IF(Raw_Claims_Data!I1422="","None",Raw_Claims_Data!I1422)</f>
        <v>Other</v>
      </c>
      <c r="J1423" t="str">
        <f>Raw_Claims_Data!J1422</f>
        <v>Evergreen</v>
      </c>
      <c r="K1423" t="str">
        <f>Raw_Claims_Data!K1422</f>
        <v>CO</v>
      </c>
      <c r="L1423">
        <f>Raw_Claims_Data!L1422</f>
        <v>12</v>
      </c>
      <c r="M1423" t="str">
        <f>IF(Raw_Claims_Data!M1422="","N/A",Raw_Claims_Data!M1422)</f>
        <v>N/A</v>
      </c>
      <c r="N1423" t="str">
        <f>Raw_Claims_Data!N1422</f>
        <v>AGENT00881</v>
      </c>
      <c r="O1423">
        <f>IF(Raw_Claims_Data!G1422="D",1,0)</f>
        <v>0</v>
      </c>
    </row>
    <row r="1424" spans="1:15" x14ac:dyDescent="0.35">
      <c r="A1424" t="str">
        <f>Raw_Claims_Data!A1423</f>
        <v>TXN00001420</v>
      </c>
      <c r="B1424" t="str">
        <f>TRIM(Raw_Claims_Data!B1423)</f>
        <v>Stacy Stewart</v>
      </c>
      <c r="C1424" t="str">
        <f>Raw_Claims_Data!C1423</f>
        <v>Mobile</v>
      </c>
      <c r="D1424">
        <f>Raw_Claims_Data!D1423</f>
        <v>6.37</v>
      </c>
      <c r="E1424">
        <f>Raw_Claims_Data!E1423</f>
        <v>500</v>
      </c>
      <c r="F1424" t="str">
        <f>Raw_Claims_Data!F1423</f>
        <v>MD</v>
      </c>
      <c r="G1424" t="str">
        <f>Raw_Claims_Data!G1423</f>
        <v>A</v>
      </c>
      <c r="H1424" t="str">
        <f>Raw_Claims_Data!H1423</f>
        <v>Total Loss</v>
      </c>
      <c r="I1424" t="str">
        <f>IF(Raw_Claims_Data!I1423="","None",Raw_Claims_Data!I1423)</f>
        <v>None</v>
      </c>
      <c r="J1424" t="str">
        <f>Raw_Claims_Data!J1423</f>
        <v>Louisville</v>
      </c>
      <c r="K1424" t="str">
        <f>Raw_Claims_Data!K1423</f>
        <v>KY</v>
      </c>
      <c r="L1424">
        <f>Raw_Claims_Data!L1423</f>
        <v>23</v>
      </c>
      <c r="M1424" t="str">
        <f>IF(Raw_Claims_Data!M1423="","N/A",Raw_Claims_Data!M1423)</f>
        <v>VNDR00279</v>
      </c>
      <c r="N1424" t="str">
        <f>Raw_Claims_Data!N1423</f>
        <v>AGENT00162</v>
      </c>
      <c r="O1424">
        <f>IF(Raw_Claims_Data!G1423="D",1,0)</f>
        <v>0</v>
      </c>
    </row>
    <row r="1425" spans="1:15" x14ac:dyDescent="0.35">
      <c r="A1425" t="str">
        <f>Raw_Claims_Data!A1424</f>
        <v>TXN00001421</v>
      </c>
      <c r="B1425" t="str">
        <f>TRIM(Raw_Claims_Data!B1424)</f>
        <v>Ashley Holloway</v>
      </c>
      <c r="C1425" t="str">
        <f>Raw_Claims_Data!C1424</f>
        <v>Health</v>
      </c>
      <c r="D1425">
        <f>Raw_Claims_Data!D1424</f>
        <v>167.8</v>
      </c>
      <c r="E1425">
        <f>Raw_Claims_Data!E1424</f>
        <v>18000</v>
      </c>
      <c r="F1425" t="str">
        <f>Raw_Claims_Data!F1424</f>
        <v>DC</v>
      </c>
      <c r="G1425" t="str">
        <f>Raw_Claims_Data!G1424</f>
        <v>A</v>
      </c>
      <c r="H1425" t="str">
        <f>Raw_Claims_Data!H1424</f>
        <v>Major Loss</v>
      </c>
      <c r="I1425" t="str">
        <f>IF(Raw_Claims_Data!I1424="","None",Raw_Claims_Data!I1424)</f>
        <v>Ambulance</v>
      </c>
      <c r="J1425" t="str">
        <f>Raw_Claims_Data!J1424</f>
        <v>Anchorage</v>
      </c>
      <c r="K1425" t="str">
        <f>Raw_Claims_Data!K1424</f>
        <v>AK</v>
      </c>
      <c r="L1425">
        <f>Raw_Claims_Data!L1424</f>
        <v>1</v>
      </c>
      <c r="M1425" t="str">
        <f>IF(Raw_Claims_Data!M1424="","N/A",Raw_Claims_Data!M1424)</f>
        <v>N/A</v>
      </c>
      <c r="N1425" t="str">
        <f>Raw_Claims_Data!N1424</f>
        <v>AGENT00864</v>
      </c>
      <c r="O1425">
        <f>IF(Raw_Claims_Data!G1424="D",1,0)</f>
        <v>0</v>
      </c>
    </row>
    <row r="1426" spans="1:15" x14ac:dyDescent="0.35">
      <c r="A1426" t="str">
        <f>Raw_Claims_Data!A1425</f>
        <v>TXN00001422</v>
      </c>
      <c r="B1426" t="str">
        <f>TRIM(Raw_Claims_Data!B1425)</f>
        <v>Anne Polanco</v>
      </c>
      <c r="C1426" t="str">
        <f>Raw_Claims_Data!C1425</f>
        <v>Travel</v>
      </c>
      <c r="D1426">
        <f>Raw_Claims_Data!D1425</f>
        <v>78.58</v>
      </c>
      <c r="E1426">
        <f>Raw_Claims_Data!E1425</f>
        <v>3000</v>
      </c>
      <c r="F1426" t="str">
        <f>Raw_Claims_Data!F1425</f>
        <v>AR</v>
      </c>
      <c r="G1426" t="str">
        <f>Raw_Claims_Data!G1425</f>
        <v>A</v>
      </c>
      <c r="H1426" t="str">
        <f>Raw_Claims_Data!H1425</f>
        <v>Total Loss</v>
      </c>
      <c r="I1426" t="str">
        <f>IF(Raw_Claims_Data!I1425="","None",Raw_Claims_Data!I1425)</f>
        <v>Police</v>
      </c>
      <c r="J1426" t="str">
        <f>Raw_Claims_Data!J1425</f>
        <v>Dracut</v>
      </c>
      <c r="K1426" t="str">
        <f>Raw_Claims_Data!K1425</f>
        <v>MA</v>
      </c>
      <c r="L1426">
        <f>Raw_Claims_Data!L1425</f>
        <v>15</v>
      </c>
      <c r="M1426" t="str">
        <f>IF(Raw_Claims_Data!M1425="","N/A",Raw_Claims_Data!M1425)</f>
        <v>VNDR00078</v>
      </c>
      <c r="N1426" t="str">
        <f>Raw_Claims_Data!N1425</f>
        <v>AGENT00399</v>
      </c>
      <c r="O1426">
        <f>IF(Raw_Claims_Data!G1425="D",1,0)</f>
        <v>0</v>
      </c>
    </row>
    <row r="1427" spans="1:15" x14ac:dyDescent="0.35">
      <c r="A1427" t="str">
        <f>Raw_Claims_Data!A1426</f>
        <v>TXN00001423</v>
      </c>
      <c r="B1427" t="str">
        <f>TRIM(Raw_Claims_Data!B1426)</f>
        <v>Michelle Garcia</v>
      </c>
      <c r="C1427" t="str">
        <f>Raw_Claims_Data!C1426</f>
        <v>Property</v>
      </c>
      <c r="D1427">
        <f>Raw_Claims_Data!D1426</f>
        <v>120.67</v>
      </c>
      <c r="E1427">
        <f>Raw_Claims_Data!E1426</f>
        <v>23000</v>
      </c>
      <c r="F1427" t="str">
        <f>Raw_Claims_Data!F1426</f>
        <v>MD</v>
      </c>
      <c r="G1427" t="str">
        <f>Raw_Claims_Data!G1426</f>
        <v>A</v>
      </c>
      <c r="H1427" t="str">
        <f>Raw_Claims_Data!H1426</f>
        <v>Minor Loss</v>
      </c>
      <c r="I1427" t="str">
        <f>IF(Raw_Claims_Data!I1426="","None",Raw_Claims_Data!I1426)</f>
        <v>Police</v>
      </c>
      <c r="J1427" t="str">
        <f>Raw_Claims_Data!J1426</f>
        <v>Oklahoma City</v>
      </c>
      <c r="K1427" t="str">
        <f>Raw_Claims_Data!K1426</f>
        <v>OK</v>
      </c>
      <c r="L1427">
        <f>Raw_Claims_Data!L1426</f>
        <v>0</v>
      </c>
      <c r="M1427" t="str">
        <f>IF(Raw_Claims_Data!M1426="","N/A",Raw_Claims_Data!M1426)</f>
        <v>VNDR00335</v>
      </c>
      <c r="N1427" t="str">
        <f>Raw_Claims_Data!N1426</f>
        <v>AGENT00975</v>
      </c>
      <c r="O1427">
        <f>IF(Raw_Claims_Data!G1426="D",1,0)</f>
        <v>0</v>
      </c>
    </row>
    <row r="1428" spans="1:15" x14ac:dyDescent="0.35">
      <c r="A1428" t="str">
        <f>Raw_Claims_Data!A1427</f>
        <v>TXN00001424</v>
      </c>
      <c r="B1428" t="str">
        <f>TRIM(Raw_Claims_Data!B1427)</f>
        <v>Timothy Baldino</v>
      </c>
      <c r="C1428" t="str">
        <f>Raw_Claims_Data!C1427</f>
        <v>Property</v>
      </c>
      <c r="D1428">
        <f>Raw_Claims_Data!D1427</f>
        <v>102.42</v>
      </c>
      <c r="E1428">
        <f>Raw_Claims_Data!E1427</f>
        <v>40000</v>
      </c>
      <c r="F1428" t="str">
        <f>Raw_Claims_Data!F1427</f>
        <v>GA</v>
      </c>
      <c r="G1428" t="str">
        <f>Raw_Claims_Data!G1427</f>
        <v>A</v>
      </c>
      <c r="H1428" t="str">
        <f>Raw_Claims_Data!H1427</f>
        <v>Major Loss</v>
      </c>
      <c r="I1428" t="str">
        <f>IF(Raw_Claims_Data!I1427="","None",Raw_Claims_Data!I1427)</f>
        <v>Other</v>
      </c>
      <c r="J1428" t="str">
        <f>Raw_Claims_Data!J1427</f>
        <v>Louisville</v>
      </c>
      <c r="K1428" t="str">
        <f>Raw_Claims_Data!K1427</f>
        <v>KY</v>
      </c>
      <c r="L1428">
        <f>Raw_Claims_Data!L1427</f>
        <v>8</v>
      </c>
      <c r="M1428" t="str">
        <f>IF(Raw_Claims_Data!M1427="","N/A",Raw_Claims_Data!M1427)</f>
        <v>VNDR00033</v>
      </c>
      <c r="N1428" t="str">
        <f>Raw_Claims_Data!N1427</f>
        <v>AGENT01185</v>
      </c>
      <c r="O1428">
        <f>IF(Raw_Claims_Data!G1427="D",1,0)</f>
        <v>0</v>
      </c>
    </row>
    <row r="1429" spans="1:15" x14ac:dyDescent="0.35">
      <c r="A1429" t="str">
        <f>Raw_Claims_Data!A1428</f>
        <v>TXN00001425</v>
      </c>
      <c r="B1429" t="str">
        <f>TRIM(Raw_Claims_Data!B1428)</f>
        <v>David Hebrank</v>
      </c>
      <c r="C1429" t="str">
        <f>Raw_Claims_Data!C1428</f>
        <v>Life</v>
      </c>
      <c r="D1429">
        <f>Raw_Claims_Data!D1428</f>
        <v>65.59</v>
      </c>
      <c r="E1429">
        <f>Raw_Claims_Data!E1428</f>
        <v>54000</v>
      </c>
      <c r="F1429" t="str">
        <f>Raw_Claims_Data!F1428</f>
        <v>AL</v>
      </c>
      <c r="G1429" t="str">
        <f>Raw_Claims_Data!G1428</f>
        <v>A</v>
      </c>
      <c r="H1429" t="str">
        <f>Raw_Claims_Data!H1428</f>
        <v>Minor Loss</v>
      </c>
      <c r="I1429" t="str">
        <f>IF(Raw_Claims_Data!I1428="","None",Raw_Claims_Data!I1428)</f>
        <v>Ambulance</v>
      </c>
      <c r="J1429" t="str">
        <f>Raw_Claims_Data!J1428</f>
        <v>Manchester</v>
      </c>
      <c r="K1429" t="str">
        <f>Raw_Claims_Data!K1428</f>
        <v>CT</v>
      </c>
      <c r="L1429">
        <f>Raw_Claims_Data!L1428</f>
        <v>5</v>
      </c>
      <c r="M1429" t="str">
        <f>IF(Raw_Claims_Data!M1428="","N/A",Raw_Claims_Data!M1428)</f>
        <v>VNDR00067</v>
      </c>
      <c r="N1429" t="str">
        <f>Raw_Claims_Data!N1428</f>
        <v>AGENT00687</v>
      </c>
      <c r="O1429">
        <f>IF(Raw_Claims_Data!G1428="D",1,0)</f>
        <v>0</v>
      </c>
    </row>
    <row r="1430" spans="1:15" x14ac:dyDescent="0.35">
      <c r="A1430" t="str">
        <f>Raw_Claims_Data!A1429</f>
        <v>TXN00001426</v>
      </c>
      <c r="B1430" t="str">
        <f>TRIM(Raw_Claims_Data!B1429)</f>
        <v>Doris Koon</v>
      </c>
      <c r="C1430" t="str">
        <f>Raw_Claims_Data!C1429</f>
        <v>Health</v>
      </c>
      <c r="D1430">
        <f>Raw_Claims_Data!D1429</f>
        <v>178.3</v>
      </c>
      <c r="E1430">
        <f>Raw_Claims_Data!E1429</f>
        <v>11000</v>
      </c>
      <c r="F1430" t="str">
        <f>Raw_Claims_Data!F1429</f>
        <v>CT</v>
      </c>
      <c r="G1430" t="str">
        <f>Raw_Claims_Data!G1429</f>
        <v>A</v>
      </c>
      <c r="H1430" t="str">
        <f>Raw_Claims_Data!H1429</f>
        <v>Total Loss</v>
      </c>
      <c r="I1430" t="str">
        <f>IF(Raw_Claims_Data!I1429="","None",Raw_Claims_Data!I1429)</f>
        <v>Ambulance</v>
      </c>
      <c r="J1430" t="str">
        <f>Raw_Claims_Data!J1429</f>
        <v>Washington</v>
      </c>
      <c r="K1430" t="str">
        <f>Raw_Claims_Data!K1429</f>
        <v>DC</v>
      </c>
      <c r="L1430">
        <f>Raw_Claims_Data!L1429</f>
        <v>4</v>
      </c>
      <c r="M1430" t="str">
        <f>IF(Raw_Claims_Data!M1429="","N/A",Raw_Claims_Data!M1429)</f>
        <v>VNDR00377</v>
      </c>
      <c r="N1430" t="str">
        <f>Raw_Claims_Data!N1429</f>
        <v>AGENT01194</v>
      </c>
      <c r="O1430">
        <f>IF(Raw_Claims_Data!G1429="D",1,0)</f>
        <v>0</v>
      </c>
    </row>
    <row r="1431" spans="1:15" x14ac:dyDescent="0.35">
      <c r="A1431" t="str">
        <f>Raw_Claims_Data!A1430</f>
        <v>TXN00001427</v>
      </c>
      <c r="B1431" t="str">
        <f>TRIM(Raw_Claims_Data!B1430)</f>
        <v>Joyce Mcintyre</v>
      </c>
      <c r="C1431" t="str">
        <f>Raw_Claims_Data!C1430</f>
        <v>Life</v>
      </c>
      <c r="D1431">
        <f>Raw_Claims_Data!D1430</f>
        <v>58.76</v>
      </c>
      <c r="E1431">
        <f>Raw_Claims_Data!E1430</f>
        <v>28000</v>
      </c>
      <c r="F1431" t="str">
        <f>Raw_Claims_Data!F1430</f>
        <v>AR</v>
      </c>
      <c r="G1431" t="str">
        <f>Raw_Claims_Data!G1430</f>
        <v>A</v>
      </c>
      <c r="H1431" t="str">
        <f>Raw_Claims_Data!H1430</f>
        <v>Total Loss</v>
      </c>
      <c r="I1431" t="str">
        <f>IF(Raw_Claims_Data!I1430="","None",Raw_Claims_Data!I1430)</f>
        <v>Police</v>
      </c>
      <c r="J1431" t="str">
        <f>Raw_Claims_Data!J1430</f>
        <v>Washington</v>
      </c>
      <c r="K1431" t="str">
        <f>Raw_Claims_Data!K1430</f>
        <v>DC</v>
      </c>
      <c r="L1431">
        <f>Raw_Claims_Data!L1430</f>
        <v>15</v>
      </c>
      <c r="M1431" t="str">
        <f>IF(Raw_Claims_Data!M1430="","N/A",Raw_Claims_Data!M1430)</f>
        <v>N/A</v>
      </c>
      <c r="N1431" t="str">
        <f>Raw_Claims_Data!N1430</f>
        <v>AGENT00927</v>
      </c>
      <c r="O1431">
        <f>IF(Raw_Claims_Data!G1430="D",1,0)</f>
        <v>0</v>
      </c>
    </row>
    <row r="1432" spans="1:15" x14ac:dyDescent="0.35">
      <c r="A1432" t="str">
        <f>Raw_Claims_Data!A1431</f>
        <v>TXN00001428</v>
      </c>
      <c r="B1432" t="str">
        <f>TRIM(Raw_Claims_Data!B1431)</f>
        <v>Mildred Witt</v>
      </c>
      <c r="C1432" t="str">
        <f>Raw_Claims_Data!C1431</f>
        <v>Motor</v>
      </c>
      <c r="D1432">
        <f>Raw_Claims_Data!D1431</f>
        <v>122.61</v>
      </c>
      <c r="E1432">
        <f>Raw_Claims_Data!E1431</f>
        <v>3000</v>
      </c>
      <c r="F1432" t="str">
        <f>Raw_Claims_Data!F1431</f>
        <v>TN</v>
      </c>
      <c r="G1432" t="str">
        <f>Raw_Claims_Data!G1431</f>
        <v>A</v>
      </c>
      <c r="H1432" t="str">
        <f>Raw_Claims_Data!H1431</f>
        <v>Major Loss</v>
      </c>
      <c r="I1432" t="str">
        <f>IF(Raw_Claims_Data!I1431="","None",Raw_Claims_Data!I1431)</f>
        <v>Other</v>
      </c>
      <c r="J1432" t="str">
        <f>Raw_Claims_Data!J1431</f>
        <v>Panama City</v>
      </c>
      <c r="K1432" t="str">
        <f>Raw_Claims_Data!K1431</f>
        <v>FL</v>
      </c>
      <c r="L1432">
        <f>Raw_Claims_Data!L1431</f>
        <v>23</v>
      </c>
      <c r="M1432" t="str">
        <f>IF(Raw_Claims_Data!M1431="","N/A",Raw_Claims_Data!M1431)</f>
        <v>N/A</v>
      </c>
      <c r="N1432" t="str">
        <f>Raw_Claims_Data!N1431</f>
        <v>AGENT00672</v>
      </c>
      <c r="O1432">
        <f>IF(Raw_Claims_Data!G1431="D",1,0)</f>
        <v>0</v>
      </c>
    </row>
    <row r="1433" spans="1:15" x14ac:dyDescent="0.35">
      <c r="A1433" t="str">
        <f>Raw_Claims_Data!A1432</f>
        <v>TXN00001429</v>
      </c>
      <c r="B1433" t="str">
        <f>TRIM(Raw_Claims_Data!B1432)</f>
        <v>Paul Craig</v>
      </c>
      <c r="C1433" t="str">
        <f>Raw_Claims_Data!C1432</f>
        <v>Mobile</v>
      </c>
      <c r="D1433">
        <f>Raw_Claims_Data!D1432</f>
        <v>7.35</v>
      </c>
      <c r="E1433">
        <f>Raw_Claims_Data!E1432</f>
        <v>400</v>
      </c>
      <c r="F1433" t="str">
        <f>Raw_Claims_Data!F1432</f>
        <v>MD</v>
      </c>
      <c r="G1433" t="str">
        <f>Raw_Claims_Data!G1432</f>
        <v>A</v>
      </c>
      <c r="H1433" t="str">
        <f>Raw_Claims_Data!H1432</f>
        <v>Total Loss</v>
      </c>
      <c r="I1433" t="str">
        <f>IF(Raw_Claims_Data!I1432="","None",Raw_Claims_Data!I1432)</f>
        <v>Police</v>
      </c>
      <c r="J1433" t="str">
        <f>Raw_Claims_Data!J1432</f>
        <v>Saint Albans Town</v>
      </c>
      <c r="K1433" t="str">
        <f>Raw_Claims_Data!K1432</f>
        <v>VT</v>
      </c>
      <c r="L1433">
        <f>Raw_Claims_Data!L1432</f>
        <v>16</v>
      </c>
      <c r="M1433" t="str">
        <f>IF(Raw_Claims_Data!M1432="","N/A",Raw_Claims_Data!M1432)</f>
        <v>VNDR00513</v>
      </c>
      <c r="N1433" t="str">
        <f>Raw_Claims_Data!N1432</f>
        <v>AGENT00455</v>
      </c>
      <c r="O1433">
        <f>IF(Raw_Claims_Data!G1432="D",1,0)</f>
        <v>0</v>
      </c>
    </row>
    <row r="1434" spans="1:15" x14ac:dyDescent="0.35">
      <c r="A1434" t="str">
        <f>Raw_Claims_Data!A1433</f>
        <v>TXN00001430</v>
      </c>
      <c r="B1434" t="str">
        <f>TRIM(Raw_Claims_Data!B1433)</f>
        <v>Steven Erickson</v>
      </c>
      <c r="C1434" t="str">
        <f>Raw_Claims_Data!C1433</f>
        <v>Life</v>
      </c>
      <c r="D1434">
        <f>Raw_Claims_Data!D1433</f>
        <v>65.69</v>
      </c>
      <c r="E1434">
        <f>Raw_Claims_Data!E1433</f>
        <v>74000</v>
      </c>
      <c r="F1434" t="str">
        <f>Raw_Claims_Data!F1433</f>
        <v>AR</v>
      </c>
      <c r="G1434" t="str">
        <f>Raw_Claims_Data!G1433</f>
        <v>A</v>
      </c>
      <c r="H1434" t="str">
        <f>Raw_Claims_Data!H1433</f>
        <v>Minor Loss</v>
      </c>
      <c r="I1434" t="str">
        <f>IF(Raw_Claims_Data!I1433="","None",Raw_Claims_Data!I1433)</f>
        <v>Ambulance</v>
      </c>
      <c r="J1434" t="str">
        <f>Raw_Claims_Data!J1433</f>
        <v>Arvada</v>
      </c>
      <c r="K1434" t="str">
        <f>Raw_Claims_Data!K1433</f>
        <v>CO</v>
      </c>
      <c r="L1434">
        <f>Raw_Claims_Data!L1433</f>
        <v>7</v>
      </c>
      <c r="M1434" t="str">
        <f>IF(Raw_Claims_Data!M1433="","N/A",Raw_Claims_Data!M1433)</f>
        <v>N/A</v>
      </c>
      <c r="N1434" t="str">
        <f>Raw_Claims_Data!N1433</f>
        <v>AGENT01041</v>
      </c>
      <c r="O1434">
        <f>IF(Raw_Claims_Data!G1433="D",1,0)</f>
        <v>0</v>
      </c>
    </row>
    <row r="1435" spans="1:15" x14ac:dyDescent="0.35">
      <c r="A1435" t="str">
        <f>Raw_Claims_Data!A1434</f>
        <v>TXN00001431</v>
      </c>
      <c r="B1435" t="str">
        <f>TRIM(Raw_Claims_Data!B1434)</f>
        <v>Alberto Hodges</v>
      </c>
      <c r="C1435" t="str">
        <f>Raw_Claims_Data!C1434</f>
        <v>Travel</v>
      </c>
      <c r="D1435">
        <f>Raw_Claims_Data!D1434</f>
        <v>58.74</v>
      </c>
      <c r="E1435">
        <f>Raw_Claims_Data!E1434</f>
        <v>5000</v>
      </c>
      <c r="F1435" t="str">
        <f>Raw_Claims_Data!F1434</f>
        <v>AL</v>
      </c>
      <c r="G1435" t="str">
        <f>Raw_Claims_Data!G1434</f>
        <v>A</v>
      </c>
      <c r="H1435" t="str">
        <f>Raw_Claims_Data!H1434</f>
        <v>Major Loss</v>
      </c>
      <c r="I1435" t="str">
        <f>IF(Raw_Claims_Data!I1434="","None",Raw_Claims_Data!I1434)</f>
        <v>Police</v>
      </c>
      <c r="J1435" t="str">
        <f>Raw_Claims_Data!J1434</f>
        <v>Westford</v>
      </c>
      <c r="K1435" t="str">
        <f>Raw_Claims_Data!K1434</f>
        <v>VT</v>
      </c>
      <c r="L1435">
        <f>Raw_Claims_Data!L1434</f>
        <v>18</v>
      </c>
      <c r="M1435" t="str">
        <f>IF(Raw_Claims_Data!M1434="","N/A",Raw_Claims_Data!M1434)</f>
        <v>VNDR00350</v>
      </c>
      <c r="N1435" t="str">
        <f>Raw_Claims_Data!N1434</f>
        <v>AGENT00241</v>
      </c>
      <c r="O1435">
        <f>IF(Raw_Claims_Data!G1434="D",1,0)</f>
        <v>0</v>
      </c>
    </row>
    <row r="1436" spans="1:15" x14ac:dyDescent="0.35">
      <c r="A1436" t="str">
        <f>Raw_Claims_Data!A1435</f>
        <v>TXN00001432</v>
      </c>
      <c r="B1436" t="str">
        <f>TRIM(Raw_Claims_Data!B1435)</f>
        <v>Crystal Taylor</v>
      </c>
      <c r="C1436" t="str">
        <f>Raw_Claims_Data!C1435</f>
        <v>Health</v>
      </c>
      <c r="D1436">
        <f>Raw_Claims_Data!D1435</f>
        <v>131.01</v>
      </c>
      <c r="E1436">
        <f>Raw_Claims_Data!E1435</f>
        <v>1000</v>
      </c>
      <c r="F1436" t="str">
        <f>Raw_Claims_Data!F1435</f>
        <v>TN</v>
      </c>
      <c r="G1436" t="str">
        <f>Raw_Claims_Data!G1435</f>
        <v>A</v>
      </c>
      <c r="H1436" t="str">
        <f>Raw_Claims_Data!H1435</f>
        <v>Total Loss</v>
      </c>
      <c r="I1436" t="str">
        <f>IF(Raw_Claims_Data!I1435="","None",Raw_Claims_Data!I1435)</f>
        <v>None</v>
      </c>
      <c r="J1436" t="str">
        <f>Raw_Claims_Data!J1435</f>
        <v>Fayetteville</v>
      </c>
      <c r="K1436" t="str">
        <f>Raw_Claims_Data!K1435</f>
        <v>AR</v>
      </c>
      <c r="L1436">
        <f>Raw_Claims_Data!L1435</f>
        <v>2</v>
      </c>
      <c r="M1436" t="str">
        <f>IF(Raw_Claims_Data!M1435="","N/A",Raw_Claims_Data!M1435)</f>
        <v>VNDR00375</v>
      </c>
      <c r="N1436" t="str">
        <f>Raw_Claims_Data!N1435</f>
        <v>AGENT01008</v>
      </c>
      <c r="O1436">
        <f>IF(Raw_Claims_Data!G1435="D",1,0)</f>
        <v>0</v>
      </c>
    </row>
    <row r="1437" spans="1:15" x14ac:dyDescent="0.35">
      <c r="A1437" t="str">
        <f>Raw_Claims_Data!A1436</f>
        <v>TXN00001433</v>
      </c>
      <c r="B1437" t="str">
        <f>TRIM(Raw_Claims_Data!B1436)</f>
        <v>Maris Allen</v>
      </c>
      <c r="C1437" t="str">
        <f>Raw_Claims_Data!C1436</f>
        <v>Health</v>
      </c>
      <c r="D1437">
        <f>Raw_Claims_Data!D1436</f>
        <v>153.38999999999999</v>
      </c>
      <c r="E1437">
        <f>Raw_Claims_Data!E1436</f>
        <v>18000</v>
      </c>
      <c r="F1437" t="str">
        <f>Raw_Claims_Data!F1436</f>
        <v>VT</v>
      </c>
      <c r="G1437" t="str">
        <f>Raw_Claims_Data!G1436</f>
        <v>A</v>
      </c>
      <c r="H1437" t="str">
        <f>Raw_Claims_Data!H1436</f>
        <v>Minor Loss</v>
      </c>
      <c r="I1437" t="str">
        <f>IF(Raw_Claims_Data!I1436="","None",Raw_Claims_Data!I1436)</f>
        <v>Ambulance</v>
      </c>
      <c r="J1437" t="str">
        <f>Raw_Claims_Data!J1436</f>
        <v>Manchester</v>
      </c>
      <c r="K1437" t="str">
        <f>Raw_Claims_Data!K1436</f>
        <v>CT</v>
      </c>
      <c r="L1437">
        <f>Raw_Claims_Data!L1436</f>
        <v>0</v>
      </c>
      <c r="M1437" t="str">
        <f>IF(Raw_Claims_Data!M1436="","N/A",Raw_Claims_Data!M1436)</f>
        <v>VNDR00115</v>
      </c>
      <c r="N1437" t="str">
        <f>Raw_Claims_Data!N1436</f>
        <v>AGENT01150</v>
      </c>
      <c r="O1437">
        <f>IF(Raw_Claims_Data!G1436="D",1,0)</f>
        <v>0</v>
      </c>
    </row>
    <row r="1438" spans="1:15" x14ac:dyDescent="0.35">
      <c r="A1438" t="str">
        <f>Raw_Claims_Data!A1437</f>
        <v>TXN00001434</v>
      </c>
      <c r="B1438" t="str">
        <f>TRIM(Raw_Claims_Data!B1437)</f>
        <v>Larry Burke</v>
      </c>
      <c r="C1438" t="str">
        <f>Raw_Claims_Data!C1437</f>
        <v>Mobile</v>
      </c>
      <c r="D1438">
        <f>Raw_Claims_Data!D1437</f>
        <v>7.08</v>
      </c>
      <c r="E1438">
        <f>Raw_Claims_Data!E1437</f>
        <v>600</v>
      </c>
      <c r="F1438" t="str">
        <f>Raw_Claims_Data!F1437</f>
        <v>FL</v>
      </c>
      <c r="G1438" t="str">
        <f>Raw_Claims_Data!G1437</f>
        <v>A</v>
      </c>
      <c r="H1438" t="str">
        <f>Raw_Claims_Data!H1437</f>
        <v>Minor Loss</v>
      </c>
      <c r="I1438" t="str">
        <f>IF(Raw_Claims_Data!I1437="","None",Raw_Claims_Data!I1437)</f>
        <v>None</v>
      </c>
      <c r="J1438" t="str">
        <f>Raw_Claims_Data!J1437</f>
        <v>Nashville</v>
      </c>
      <c r="K1438" t="str">
        <f>Raw_Claims_Data!K1437</f>
        <v>TN</v>
      </c>
      <c r="L1438">
        <f>Raw_Claims_Data!L1437</f>
        <v>6</v>
      </c>
      <c r="M1438" t="str">
        <f>IF(Raw_Claims_Data!M1437="","N/A",Raw_Claims_Data!M1437)</f>
        <v>VNDR00066</v>
      </c>
      <c r="N1438" t="str">
        <f>Raw_Claims_Data!N1437</f>
        <v>AGENT00300</v>
      </c>
      <c r="O1438">
        <f>IF(Raw_Claims_Data!G1437="D",1,0)</f>
        <v>0</v>
      </c>
    </row>
    <row r="1439" spans="1:15" x14ac:dyDescent="0.35">
      <c r="A1439" t="str">
        <f>Raw_Claims_Data!A1438</f>
        <v>TXN00001435</v>
      </c>
      <c r="B1439" t="str">
        <f>TRIM(Raw_Claims_Data!B1438)</f>
        <v>Minnie Hux</v>
      </c>
      <c r="C1439" t="str">
        <f>Raw_Claims_Data!C1438</f>
        <v>Mobile</v>
      </c>
      <c r="D1439">
        <f>Raw_Claims_Data!D1438</f>
        <v>7.89</v>
      </c>
      <c r="E1439">
        <f>Raw_Claims_Data!E1438</f>
        <v>200</v>
      </c>
      <c r="F1439" t="str">
        <f>Raw_Claims_Data!F1438</f>
        <v>TN</v>
      </c>
      <c r="G1439" t="str">
        <f>Raw_Claims_Data!G1438</f>
        <v>A</v>
      </c>
      <c r="H1439" t="str">
        <f>Raw_Claims_Data!H1438</f>
        <v>Total Loss</v>
      </c>
      <c r="I1439" t="str">
        <f>IF(Raw_Claims_Data!I1438="","None",Raw_Claims_Data!I1438)</f>
        <v>Police</v>
      </c>
      <c r="J1439" t="str">
        <f>Raw_Claims_Data!J1438</f>
        <v>Essex</v>
      </c>
      <c r="K1439" t="str">
        <f>Raw_Claims_Data!K1438</f>
        <v>VT</v>
      </c>
      <c r="L1439">
        <f>Raw_Claims_Data!L1438</f>
        <v>22</v>
      </c>
      <c r="M1439" t="str">
        <f>IF(Raw_Claims_Data!M1438="","N/A",Raw_Claims_Data!M1438)</f>
        <v>VNDR00047</v>
      </c>
      <c r="N1439" t="str">
        <f>Raw_Claims_Data!N1438</f>
        <v>AGENT00024</v>
      </c>
      <c r="O1439">
        <f>IF(Raw_Claims_Data!G1438="D",1,0)</f>
        <v>0</v>
      </c>
    </row>
    <row r="1440" spans="1:15" x14ac:dyDescent="0.35">
      <c r="A1440" t="str">
        <f>Raw_Claims_Data!A1439</f>
        <v>TXN00001436</v>
      </c>
      <c r="B1440" t="str">
        <f>TRIM(Raw_Claims_Data!B1439)</f>
        <v>Judy Clemmer</v>
      </c>
      <c r="C1440" t="str">
        <f>Raw_Claims_Data!C1439</f>
        <v>Mobile</v>
      </c>
      <c r="D1440">
        <f>Raw_Claims_Data!D1439</f>
        <v>11.28</v>
      </c>
      <c r="E1440">
        <f>Raw_Claims_Data!E1439</f>
        <v>400</v>
      </c>
      <c r="F1440" t="str">
        <f>Raw_Claims_Data!F1439</f>
        <v>GA</v>
      </c>
      <c r="G1440" t="str">
        <f>Raw_Claims_Data!G1439</f>
        <v>A</v>
      </c>
      <c r="H1440" t="str">
        <f>Raw_Claims_Data!H1439</f>
        <v>Total Loss</v>
      </c>
      <c r="I1440" t="str">
        <f>IF(Raw_Claims_Data!I1439="","None",Raw_Claims_Data!I1439)</f>
        <v>Ambulance</v>
      </c>
      <c r="J1440" t="str">
        <f>Raw_Claims_Data!J1439</f>
        <v>Montgomery</v>
      </c>
      <c r="K1440" t="str">
        <f>Raw_Claims_Data!K1439</f>
        <v>AL</v>
      </c>
      <c r="L1440">
        <f>Raw_Claims_Data!L1439</f>
        <v>13</v>
      </c>
      <c r="M1440" t="str">
        <f>IF(Raw_Claims_Data!M1439="","N/A",Raw_Claims_Data!M1439)</f>
        <v>VNDR00293</v>
      </c>
      <c r="N1440" t="str">
        <f>Raw_Claims_Data!N1439</f>
        <v>AGENT00647</v>
      </c>
      <c r="O1440">
        <f>IF(Raw_Claims_Data!G1439="D",1,0)</f>
        <v>0</v>
      </c>
    </row>
    <row r="1441" spans="1:15" x14ac:dyDescent="0.35">
      <c r="A1441" t="str">
        <f>Raw_Claims_Data!A1440</f>
        <v>TXN00001437</v>
      </c>
      <c r="B1441" t="str">
        <f>TRIM(Raw_Claims_Data!B1440)</f>
        <v>Jonathan Curtis</v>
      </c>
      <c r="C1441" t="str">
        <f>Raw_Claims_Data!C1440</f>
        <v>Property</v>
      </c>
      <c r="D1441">
        <f>Raw_Claims_Data!D1440</f>
        <v>147.4</v>
      </c>
      <c r="E1441">
        <f>Raw_Claims_Data!E1440</f>
        <v>30000</v>
      </c>
      <c r="F1441" t="str">
        <f>Raw_Claims_Data!F1440</f>
        <v>VT</v>
      </c>
      <c r="G1441" t="str">
        <f>Raw_Claims_Data!G1440</f>
        <v>A</v>
      </c>
      <c r="H1441" t="str">
        <f>Raw_Claims_Data!H1440</f>
        <v>Minor Loss</v>
      </c>
      <c r="I1441" t="str">
        <f>IF(Raw_Claims_Data!I1440="","None",Raw_Claims_Data!I1440)</f>
        <v>Ambulance</v>
      </c>
      <c r="J1441" t="str">
        <f>Raw_Claims_Data!J1440</f>
        <v>Louisville</v>
      </c>
      <c r="K1441" t="str">
        <f>Raw_Claims_Data!K1440</f>
        <v>KY</v>
      </c>
      <c r="L1441">
        <f>Raw_Claims_Data!L1440</f>
        <v>12</v>
      </c>
      <c r="M1441" t="str">
        <f>IF(Raw_Claims_Data!M1440="","N/A",Raw_Claims_Data!M1440)</f>
        <v>N/A</v>
      </c>
      <c r="N1441" t="str">
        <f>Raw_Claims_Data!N1440</f>
        <v>AGENT01032</v>
      </c>
      <c r="O1441">
        <f>IF(Raw_Claims_Data!G1440="D",1,0)</f>
        <v>0</v>
      </c>
    </row>
    <row r="1442" spans="1:15" x14ac:dyDescent="0.35">
      <c r="A1442" t="str">
        <f>Raw_Claims_Data!A1441</f>
        <v>TXN00001438</v>
      </c>
      <c r="B1442" t="str">
        <f>TRIM(Raw_Claims_Data!B1441)</f>
        <v>Milton Howerton</v>
      </c>
      <c r="C1442" t="str">
        <f>Raw_Claims_Data!C1441</f>
        <v>Health</v>
      </c>
      <c r="D1442">
        <f>Raw_Claims_Data!D1441</f>
        <v>167.33</v>
      </c>
      <c r="E1442">
        <f>Raw_Claims_Data!E1441</f>
        <v>10000</v>
      </c>
      <c r="F1442" t="str">
        <f>Raw_Claims_Data!F1441</f>
        <v>CA</v>
      </c>
      <c r="G1442" t="str">
        <f>Raw_Claims_Data!G1441</f>
        <v>A</v>
      </c>
      <c r="H1442" t="str">
        <f>Raw_Claims_Data!H1441</f>
        <v>Minor Loss</v>
      </c>
      <c r="I1442" t="str">
        <f>IF(Raw_Claims_Data!I1441="","None",Raw_Claims_Data!I1441)</f>
        <v>Police</v>
      </c>
      <c r="J1442" t="str">
        <f>Raw_Claims_Data!J1441</f>
        <v>Haverhill</v>
      </c>
      <c r="K1442" t="str">
        <f>Raw_Claims_Data!K1441</f>
        <v>MA</v>
      </c>
      <c r="L1442">
        <f>Raw_Claims_Data!L1441</f>
        <v>3</v>
      </c>
      <c r="M1442" t="str">
        <f>IF(Raw_Claims_Data!M1441="","N/A",Raw_Claims_Data!M1441)</f>
        <v>VNDR00494</v>
      </c>
      <c r="N1442" t="str">
        <f>Raw_Claims_Data!N1441</f>
        <v>AGENT01051</v>
      </c>
      <c r="O1442">
        <f>IF(Raw_Claims_Data!G1441="D",1,0)</f>
        <v>0</v>
      </c>
    </row>
    <row r="1443" spans="1:15" x14ac:dyDescent="0.35">
      <c r="A1443" t="str">
        <f>Raw_Claims_Data!A1442</f>
        <v>TXN00001439</v>
      </c>
      <c r="B1443" t="str">
        <f>TRIM(Raw_Claims_Data!B1442)</f>
        <v>Vera James</v>
      </c>
      <c r="C1443" t="str">
        <f>Raw_Claims_Data!C1442</f>
        <v>Travel</v>
      </c>
      <c r="D1443">
        <f>Raw_Claims_Data!D1442</f>
        <v>87.93</v>
      </c>
      <c r="E1443">
        <f>Raw_Claims_Data!E1442</f>
        <v>5000</v>
      </c>
      <c r="F1443" t="str">
        <f>Raw_Claims_Data!F1442</f>
        <v>KY</v>
      </c>
      <c r="G1443" t="str">
        <f>Raw_Claims_Data!G1442</f>
        <v>A</v>
      </c>
      <c r="H1443" t="str">
        <f>Raw_Claims_Data!H1442</f>
        <v>Minor Loss</v>
      </c>
      <c r="I1443" t="str">
        <f>IF(Raw_Claims_Data!I1442="","None",Raw_Claims_Data!I1442)</f>
        <v>Police</v>
      </c>
      <c r="J1443" t="str">
        <f>Raw_Claims_Data!J1442</f>
        <v>Washington</v>
      </c>
      <c r="K1443" t="str">
        <f>Raw_Claims_Data!K1442</f>
        <v>DC</v>
      </c>
      <c r="L1443">
        <f>Raw_Claims_Data!L1442</f>
        <v>5</v>
      </c>
      <c r="M1443" t="str">
        <f>IF(Raw_Claims_Data!M1442="","N/A",Raw_Claims_Data!M1442)</f>
        <v>VNDR00086</v>
      </c>
      <c r="N1443" t="str">
        <f>Raw_Claims_Data!N1442</f>
        <v>AGENT00053</v>
      </c>
      <c r="O1443">
        <f>IF(Raw_Claims_Data!G1442="D",1,0)</f>
        <v>0</v>
      </c>
    </row>
    <row r="1444" spans="1:15" x14ac:dyDescent="0.35">
      <c r="A1444" t="str">
        <f>Raw_Claims_Data!A1443</f>
        <v>TXN00001440</v>
      </c>
      <c r="B1444" t="str">
        <f>TRIM(Raw_Claims_Data!B1443)</f>
        <v>Jennie Westin</v>
      </c>
      <c r="C1444" t="str">
        <f>Raw_Claims_Data!C1443</f>
        <v>Property</v>
      </c>
      <c r="D1444">
        <f>Raw_Claims_Data!D1443</f>
        <v>129.71</v>
      </c>
      <c r="E1444">
        <f>Raw_Claims_Data!E1443</f>
        <v>19000</v>
      </c>
      <c r="F1444" t="str">
        <f>Raw_Claims_Data!F1443</f>
        <v>FL</v>
      </c>
      <c r="G1444" t="str">
        <f>Raw_Claims_Data!G1443</f>
        <v>A</v>
      </c>
      <c r="H1444" t="str">
        <f>Raw_Claims_Data!H1443</f>
        <v>Major Loss</v>
      </c>
      <c r="I1444" t="str">
        <f>IF(Raw_Claims_Data!I1443="","None",Raw_Claims_Data!I1443)</f>
        <v>Police</v>
      </c>
      <c r="J1444" t="str">
        <f>Raw_Claims_Data!J1443</f>
        <v>Deale</v>
      </c>
      <c r="K1444" t="str">
        <f>Raw_Claims_Data!K1443</f>
        <v>MD</v>
      </c>
      <c r="L1444">
        <f>Raw_Claims_Data!L1443</f>
        <v>5</v>
      </c>
      <c r="M1444" t="str">
        <f>IF(Raw_Claims_Data!M1443="","N/A",Raw_Claims_Data!M1443)</f>
        <v>VNDR00120</v>
      </c>
      <c r="N1444" t="str">
        <f>Raw_Claims_Data!N1443</f>
        <v>AGENT00709</v>
      </c>
      <c r="O1444">
        <f>IF(Raw_Claims_Data!G1443="D",1,0)</f>
        <v>0</v>
      </c>
    </row>
    <row r="1445" spans="1:15" x14ac:dyDescent="0.35">
      <c r="A1445" t="str">
        <f>Raw_Claims_Data!A1444</f>
        <v>TXN00001441</v>
      </c>
      <c r="B1445" t="str">
        <f>TRIM(Raw_Claims_Data!B1444)</f>
        <v>Robin Townsend</v>
      </c>
      <c r="C1445" t="str">
        <f>Raw_Claims_Data!C1444</f>
        <v>Motor</v>
      </c>
      <c r="D1445">
        <f>Raw_Claims_Data!D1444</f>
        <v>122.18</v>
      </c>
      <c r="E1445">
        <f>Raw_Claims_Data!E1444</f>
        <v>2000</v>
      </c>
      <c r="F1445" t="str">
        <f>Raw_Claims_Data!F1444</f>
        <v>FL</v>
      </c>
      <c r="G1445" t="str">
        <f>Raw_Claims_Data!G1444</f>
        <v>A</v>
      </c>
      <c r="H1445" t="str">
        <f>Raw_Claims_Data!H1444</f>
        <v>Minor Loss</v>
      </c>
      <c r="I1445" t="str">
        <f>IF(Raw_Claims_Data!I1444="","None",Raw_Claims_Data!I1444)</f>
        <v>Ambulance</v>
      </c>
      <c r="J1445" t="str">
        <f>Raw_Claims_Data!J1444</f>
        <v>Arvada</v>
      </c>
      <c r="K1445" t="str">
        <f>Raw_Claims_Data!K1444</f>
        <v>CO</v>
      </c>
      <c r="L1445">
        <f>Raw_Claims_Data!L1444</f>
        <v>10</v>
      </c>
      <c r="M1445" t="str">
        <f>IF(Raw_Claims_Data!M1444="","N/A",Raw_Claims_Data!M1444)</f>
        <v>VNDR00508</v>
      </c>
      <c r="N1445" t="str">
        <f>Raw_Claims_Data!N1444</f>
        <v>AGENT00146</v>
      </c>
      <c r="O1445">
        <f>IF(Raw_Claims_Data!G1444="D",1,0)</f>
        <v>0</v>
      </c>
    </row>
    <row r="1446" spans="1:15" x14ac:dyDescent="0.35">
      <c r="A1446" t="str">
        <f>Raw_Claims_Data!A1445</f>
        <v>TXN00001442</v>
      </c>
      <c r="B1446" t="str">
        <f>TRIM(Raw_Claims_Data!B1445)</f>
        <v>Willie Mcdonald</v>
      </c>
      <c r="C1446" t="str">
        <f>Raw_Claims_Data!C1445</f>
        <v>Mobile</v>
      </c>
      <c r="D1446">
        <f>Raw_Claims_Data!D1445</f>
        <v>10.39</v>
      </c>
      <c r="E1446">
        <f>Raw_Claims_Data!E1445</f>
        <v>300</v>
      </c>
      <c r="F1446" t="str">
        <f>Raw_Claims_Data!F1445</f>
        <v>AL</v>
      </c>
      <c r="G1446" t="str">
        <f>Raw_Claims_Data!G1445</f>
        <v>A</v>
      </c>
      <c r="H1446" t="str">
        <f>Raw_Claims_Data!H1445</f>
        <v>Minor Loss</v>
      </c>
      <c r="I1446" t="str">
        <f>IF(Raw_Claims_Data!I1445="","None",Raw_Claims_Data!I1445)</f>
        <v>Police</v>
      </c>
      <c r="J1446" t="str">
        <f>Raw_Claims_Data!J1445</f>
        <v>Panama City</v>
      </c>
      <c r="K1446" t="str">
        <f>Raw_Claims_Data!K1445</f>
        <v>FL</v>
      </c>
      <c r="L1446">
        <f>Raw_Claims_Data!L1445</f>
        <v>15</v>
      </c>
      <c r="M1446" t="str">
        <f>IF(Raw_Claims_Data!M1445="","N/A",Raw_Claims_Data!M1445)</f>
        <v>VNDR00590</v>
      </c>
      <c r="N1446" t="str">
        <f>Raw_Claims_Data!N1445</f>
        <v>AGENT00672</v>
      </c>
      <c r="O1446">
        <f>IF(Raw_Claims_Data!G1445="D",1,0)</f>
        <v>0</v>
      </c>
    </row>
    <row r="1447" spans="1:15" x14ac:dyDescent="0.35">
      <c r="A1447" t="str">
        <f>Raw_Claims_Data!A1446</f>
        <v>TXN00001443</v>
      </c>
      <c r="B1447" t="str">
        <f>TRIM(Raw_Claims_Data!B1446)</f>
        <v>Earl Hassinger</v>
      </c>
      <c r="C1447" t="str">
        <f>Raw_Claims_Data!C1446</f>
        <v>Health</v>
      </c>
      <c r="D1447">
        <f>Raw_Claims_Data!D1446</f>
        <v>103.87</v>
      </c>
      <c r="E1447">
        <f>Raw_Claims_Data!E1446</f>
        <v>17000</v>
      </c>
      <c r="F1447" t="str">
        <f>Raw_Claims_Data!F1446</f>
        <v>VT</v>
      </c>
      <c r="G1447" t="str">
        <f>Raw_Claims_Data!G1446</f>
        <v>A</v>
      </c>
      <c r="H1447" t="str">
        <f>Raw_Claims_Data!H1446</f>
        <v>Total Loss</v>
      </c>
      <c r="I1447" t="str">
        <f>IF(Raw_Claims_Data!I1446="","None",Raw_Claims_Data!I1446)</f>
        <v>None</v>
      </c>
      <c r="J1447" t="str">
        <f>Raw_Claims_Data!J1446</f>
        <v>Nashville</v>
      </c>
      <c r="K1447" t="str">
        <f>Raw_Claims_Data!K1446</f>
        <v>TN</v>
      </c>
      <c r="L1447">
        <f>Raw_Claims_Data!L1446</f>
        <v>9</v>
      </c>
      <c r="M1447" t="str">
        <f>IF(Raw_Claims_Data!M1446="","N/A",Raw_Claims_Data!M1446)</f>
        <v>VNDR00509</v>
      </c>
      <c r="N1447" t="str">
        <f>Raw_Claims_Data!N1446</f>
        <v>AGENT00375</v>
      </c>
      <c r="O1447">
        <f>IF(Raw_Claims_Data!G1446="D",1,0)</f>
        <v>0</v>
      </c>
    </row>
    <row r="1448" spans="1:15" x14ac:dyDescent="0.35">
      <c r="A1448" t="str">
        <f>Raw_Claims_Data!A1447</f>
        <v>TXN00001444</v>
      </c>
      <c r="B1448" t="str">
        <f>TRIM(Raw_Claims_Data!B1447)</f>
        <v>Beverly Bennett</v>
      </c>
      <c r="C1448" t="str">
        <f>Raw_Claims_Data!C1447</f>
        <v>Motor</v>
      </c>
      <c r="D1448">
        <f>Raw_Claims_Data!D1447</f>
        <v>93.8</v>
      </c>
      <c r="E1448">
        <f>Raw_Claims_Data!E1447</f>
        <v>9000</v>
      </c>
      <c r="F1448" t="str">
        <f>Raw_Claims_Data!F1447</f>
        <v>TN</v>
      </c>
      <c r="G1448" t="str">
        <f>Raw_Claims_Data!G1447</f>
        <v>A</v>
      </c>
      <c r="H1448" t="str">
        <f>Raw_Claims_Data!H1447</f>
        <v>Minor Loss</v>
      </c>
      <c r="I1448" t="str">
        <f>IF(Raw_Claims_Data!I1447="","None",Raw_Claims_Data!I1447)</f>
        <v>Ambulance</v>
      </c>
      <c r="J1448" t="str">
        <f>Raw_Claims_Data!J1447</f>
        <v>Manchester</v>
      </c>
      <c r="K1448" t="str">
        <f>Raw_Claims_Data!K1447</f>
        <v>CT</v>
      </c>
      <c r="L1448">
        <f>Raw_Claims_Data!L1447</f>
        <v>21</v>
      </c>
      <c r="M1448" t="str">
        <f>IF(Raw_Claims_Data!M1447="","N/A",Raw_Claims_Data!M1447)</f>
        <v>N/A</v>
      </c>
      <c r="N1448" t="str">
        <f>Raw_Claims_Data!N1447</f>
        <v>AGENT00055</v>
      </c>
      <c r="O1448">
        <f>IF(Raw_Claims_Data!G1447="D",1,0)</f>
        <v>0</v>
      </c>
    </row>
    <row r="1449" spans="1:15" x14ac:dyDescent="0.35">
      <c r="A1449" t="str">
        <f>Raw_Claims_Data!A1448</f>
        <v>TXN00001445</v>
      </c>
      <c r="B1449" t="str">
        <f>TRIM(Raw_Claims_Data!B1448)</f>
        <v>Lori Urquhart</v>
      </c>
      <c r="C1449" t="str">
        <f>Raw_Claims_Data!C1448</f>
        <v>Health</v>
      </c>
      <c r="D1449">
        <f>Raw_Claims_Data!D1448</f>
        <v>125.01</v>
      </c>
      <c r="E1449">
        <f>Raw_Claims_Data!E1448</f>
        <v>1000</v>
      </c>
      <c r="F1449" t="str">
        <f>Raw_Claims_Data!F1448</f>
        <v>KY</v>
      </c>
      <c r="G1449" t="str">
        <f>Raw_Claims_Data!G1448</f>
        <v>A</v>
      </c>
      <c r="H1449" t="str">
        <f>Raw_Claims_Data!H1448</f>
        <v>Total Loss</v>
      </c>
      <c r="I1449" t="str">
        <f>IF(Raw_Claims_Data!I1448="","None",Raw_Claims_Data!I1448)</f>
        <v>Police</v>
      </c>
      <c r="J1449" t="str">
        <f>Raw_Claims_Data!J1448</f>
        <v>Washington</v>
      </c>
      <c r="K1449" t="str">
        <f>Raw_Claims_Data!K1448</f>
        <v>DC</v>
      </c>
      <c r="L1449">
        <f>Raw_Claims_Data!L1448</f>
        <v>2</v>
      </c>
      <c r="M1449" t="str">
        <f>IF(Raw_Claims_Data!M1448="","N/A",Raw_Claims_Data!M1448)</f>
        <v>N/A</v>
      </c>
      <c r="N1449" t="str">
        <f>Raw_Claims_Data!N1448</f>
        <v>AGENT01157</v>
      </c>
      <c r="O1449">
        <f>IF(Raw_Claims_Data!G1448="D",1,0)</f>
        <v>0</v>
      </c>
    </row>
    <row r="1450" spans="1:15" x14ac:dyDescent="0.35">
      <c r="A1450" t="str">
        <f>Raw_Claims_Data!A1449</f>
        <v>TXN00001446</v>
      </c>
      <c r="B1450" t="str">
        <f>TRIM(Raw_Claims_Data!B1449)</f>
        <v>Lena Saunders</v>
      </c>
      <c r="C1450" t="str">
        <f>Raw_Claims_Data!C1449</f>
        <v>Motor</v>
      </c>
      <c r="D1450">
        <f>Raw_Claims_Data!D1449</f>
        <v>74.75</v>
      </c>
      <c r="E1450">
        <f>Raw_Claims_Data!E1449</f>
        <v>6000</v>
      </c>
      <c r="F1450" t="str">
        <f>Raw_Claims_Data!F1449</f>
        <v>DC</v>
      </c>
      <c r="G1450" t="str">
        <f>Raw_Claims_Data!G1449</f>
        <v>A</v>
      </c>
      <c r="H1450" t="str">
        <f>Raw_Claims_Data!H1449</f>
        <v>Total Loss</v>
      </c>
      <c r="I1450" t="str">
        <f>IF(Raw_Claims_Data!I1449="","None",Raw_Claims_Data!I1449)</f>
        <v>Other</v>
      </c>
      <c r="J1450" t="str">
        <f>Raw_Claims_Data!J1449</f>
        <v>Manchester</v>
      </c>
      <c r="K1450" t="str">
        <f>Raw_Claims_Data!K1449</f>
        <v>CT</v>
      </c>
      <c r="L1450">
        <f>Raw_Claims_Data!L1449</f>
        <v>2</v>
      </c>
      <c r="M1450" t="str">
        <f>IF(Raw_Claims_Data!M1449="","N/A",Raw_Claims_Data!M1449)</f>
        <v>VNDR00582</v>
      </c>
      <c r="N1450" t="str">
        <f>Raw_Claims_Data!N1449</f>
        <v>AGENT01051</v>
      </c>
      <c r="O1450">
        <f>IF(Raw_Claims_Data!G1449="D",1,0)</f>
        <v>0</v>
      </c>
    </row>
    <row r="1451" spans="1:15" x14ac:dyDescent="0.35">
      <c r="A1451" t="str">
        <f>Raw_Claims_Data!A1450</f>
        <v>TXN00001447</v>
      </c>
      <c r="B1451" t="str">
        <f>TRIM(Raw_Claims_Data!B1450)</f>
        <v>Alicia Helm</v>
      </c>
      <c r="C1451" t="str">
        <f>Raw_Claims_Data!C1450</f>
        <v>Life</v>
      </c>
      <c r="D1451">
        <f>Raw_Claims_Data!D1450</f>
        <v>91.09</v>
      </c>
      <c r="E1451">
        <f>Raw_Claims_Data!E1450</f>
        <v>87000</v>
      </c>
      <c r="F1451" t="str">
        <f>Raw_Claims_Data!F1450</f>
        <v>CA</v>
      </c>
      <c r="G1451" t="str">
        <f>Raw_Claims_Data!G1450</f>
        <v>A</v>
      </c>
      <c r="H1451" t="str">
        <f>Raw_Claims_Data!H1450</f>
        <v>Major Loss</v>
      </c>
      <c r="I1451" t="str">
        <f>IF(Raw_Claims_Data!I1450="","None",Raw_Claims_Data!I1450)</f>
        <v>Police</v>
      </c>
      <c r="J1451" t="str">
        <f>Raw_Claims_Data!J1450</f>
        <v>Glen Burnie</v>
      </c>
      <c r="K1451" t="str">
        <f>Raw_Claims_Data!K1450</f>
        <v>MD</v>
      </c>
      <c r="L1451">
        <f>Raw_Claims_Data!L1450</f>
        <v>21</v>
      </c>
      <c r="M1451" t="str">
        <f>IF(Raw_Claims_Data!M1450="","N/A",Raw_Claims_Data!M1450)</f>
        <v>N/A</v>
      </c>
      <c r="N1451" t="str">
        <f>Raw_Claims_Data!N1450</f>
        <v>AGENT00741</v>
      </c>
      <c r="O1451">
        <f>IF(Raw_Claims_Data!G1450="D",1,0)</f>
        <v>0</v>
      </c>
    </row>
    <row r="1452" spans="1:15" x14ac:dyDescent="0.35">
      <c r="A1452" t="str">
        <f>Raw_Claims_Data!A1451</f>
        <v>TXN00001448</v>
      </c>
      <c r="B1452" t="str">
        <f>TRIM(Raw_Claims_Data!B1451)</f>
        <v>Claude Darnstaedt</v>
      </c>
      <c r="C1452" t="str">
        <f>Raw_Claims_Data!C1451</f>
        <v>Travel</v>
      </c>
      <c r="D1452">
        <f>Raw_Claims_Data!D1451</f>
        <v>60.19</v>
      </c>
      <c r="E1452">
        <f>Raw_Claims_Data!E1451</f>
        <v>3000</v>
      </c>
      <c r="F1452" t="str">
        <f>Raw_Claims_Data!F1451</f>
        <v>FL</v>
      </c>
      <c r="G1452" t="str">
        <f>Raw_Claims_Data!G1451</f>
        <v>A</v>
      </c>
      <c r="H1452" t="str">
        <f>Raw_Claims_Data!H1451</f>
        <v>Total Loss</v>
      </c>
      <c r="I1452" t="str">
        <f>IF(Raw_Claims_Data!I1451="","None",Raw_Claims_Data!I1451)</f>
        <v>Police</v>
      </c>
      <c r="J1452" t="str">
        <f>Raw_Claims_Data!J1451</f>
        <v>Wheatland</v>
      </c>
      <c r="K1452" t="str">
        <f>Raw_Claims_Data!K1451</f>
        <v>CA</v>
      </c>
      <c r="L1452">
        <f>Raw_Claims_Data!L1451</f>
        <v>9</v>
      </c>
      <c r="M1452" t="str">
        <f>IF(Raw_Claims_Data!M1451="","N/A",Raw_Claims_Data!M1451)</f>
        <v>VNDR00311</v>
      </c>
      <c r="N1452" t="str">
        <f>Raw_Claims_Data!N1451</f>
        <v>AGENT00529</v>
      </c>
      <c r="O1452">
        <f>IF(Raw_Claims_Data!G1451="D",1,0)</f>
        <v>0</v>
      </c>
    </row>
    <row r="1453" spans="1:15" x14ac:dyDescent="0.35">
      <c r="A1453" t="str">
        <f>Raw_Claims_Data!A1452</f>
        <v>TXN00001449</v>
      </c>
      <c r="B1453" t="str">
        <f>TRIM(Raw_Claims_Data!B1452)</f>
        <v>Nancy Cloyd</v>
      </c>
      <c r="C1453" t="str">
        <f>Raw_Claims_Data!C1452</f>
        <v>Travel</v>
      </c>
      <c r="D1453">
        <f>Raw_Claims_Data!D1452</f>
        <v>58.44</v>
      </c>
      <c r="E1453">
        <f>Raw_Claims_Data!E1452</f>
        <v>5000</v>
      </c>
      <c r="F1453" t="str">
        <f>Raw_Claims_Data!F1452</f>
        <v>MD</v>
      </c>
      <c r="G1453" t="str">
        <f>Raw_Claims_Data!G1452</f>
        <v>A</v>
      </c>
      <c r="H1453" t="str">
        <f>Raw_Claims_Data!H1452</f>
        <v>Total Loss</v>
      </c>
      <c r="I1453" t="str">
        <f>IF(Raw_Claims_Data!I1452="","None",Raw_Claims_Data!I1452)</f>
        <v>Police</v>
      </c>
      <c r="J1453" t="str">
        <f>Raw_Claims_Data!J1452</f>
        <v>Fremont</v>
      </c>
      <c r="K1453" t="str">
        <f>Raw_Claims_Data!K1452</f>
        <v>CA</v>
      </c>
      <c r="L1453">
        <f>Raw_Claims_Data!L1452</f>
        <v>3</v>
      </c>
      <c r="M1453" t="str">
        <f>IF(Raw_Claims_Data!M1452="","N/A",Raw_Claims_Data!M1452)</f>
        <v>N/A</v>
      </c>
      <c r="N1453" t="str">
        <f>Raw_Claims_Data!N1452</f>
        <v>AGENT01148</v>
      </c>
      <c r="O1453">
        <f>IF(Raw_Claims_Data!G1452="D",1,0)</f>
        <v>0</v>
      </c>
    </row>
    <row r="1454" spans="1:15" x14ac:dyDescent="0.35">
      <c r="A1454" t="str">
        <f>Raw_Claims_Data!A1453</f>
        <v>TXN00001450</v>
      </c>
      <c r="B1454" t="str">
        <f>TRIM(Raw_Claims_Data!B1453)</f>
        <v>Lloyd Ellis</v>
      </c>
      <c r="C1454" t="str">
        <f>Raw_Claims_Data!C1453</f>
        <v>Health</v>
      </c>
      <c r="D1454">
        <f>Raw_Claims_Data!D1453</f>
        <v>125.33</v>
      </c>
      <c r="E1454">
        <f>Raw_Claims_Data!E1453</f>
        <v>13000</v>
      </c>
      <c r="F1454" t="str">
        <f>Raw_Claims_Data!F1453</f>
        <v>KY</v>
      </c>
      <c r="G1454" t="str">
        <f>Raw_Claims_Data!G1453</f>
        <v>A</v>
      </c>
      <c r="H1454" t="str">
        <f>Raw_Claims_Data!H1453</f>
        <v>Minor Loss</v>
      </c>
      <c r="I1454" t="str">
        <f>IF(Raw_Claims_Data!I1453="","None",Raw_Claims_Data!I1453)</f>
        <v>None</v>
      </c>
      <c r="J1454" t="str">
        <f>Raw_Claims_Data!J1453</f>
        <v>Nashville</v>
      </c>
      <c r="K1454" t="str">
        <f>Raw_Claims_Data!K1453</f>
        <v>TN</v>
      </c>
      <c r="L1454">
        <f>Raw_Claims_Data!L1453</f>
        <v>22</v>
      </c>
      <c r="M1454" t="str">
        <f>IF(Raw_Claims_Data!M1453="","N/A",Raw_Claims_Data!M1453)</f>
        <v>N/A</v>
      </c>
      <c r="N1454" t="str">
        <f>Raw_Claims_Data!N1453</f>
        <v>AGENT00644</v>
      </c>
      <c r="O1454">
        <f>IF(Raw_Claims_Data!G1453="D",1,0)</f>
        <v>0</v>
      </c>
    </row>
    <row r="1455" spans="1:15" x14ac:dyDescent="0.35">
      <c r="A1455" t="str">
        <f>Raw_Claims_Data!A1454</f>
        <v>TXN00001451</v>
      </c>
      <c r="B1455" t="str">
        <f>TRIM(Raw_Claims_Data!B1454)</f>
        <v>Jennifer Traxler</v>
      </c>
      <c r="C1455" t="str">
        <f>Raw_Claims_Data!C1454</f>
        <v>Life</v>
      </c>
      <c r="D1455">
        <f>Raw_Claims_Data!D1454</f>
        <v>76.72</v>
      </c>
      <c r="E1455">
        <f>Raw_Claims_Data!E1454</f>
        <v>49000</v>
      </c>
      <c r="F1455" t="str">
        <f>Raw_Claims_Data!F1454</f>
        <v>AL</v>
      </c>
      <c r="G1455" t="str">
        <f>Raw_Claims_Data!G1454</f>
        <v>A</v>
      </c>
      <c r="H1455" t="str">
        <f>Raw_Claims_Data!H1454</f>
        <v>Major Loss</v>
      </c>
      <c r="I1455" t="str">
        <f>IF(Raw_Claims_Data!I1454="","None",Raw_Claims_Data!I1454)</f>
        <v>Ambulance</v>
      </c>
      <c r="J1455" t="str">
        <f>Raw_Claims_Data!J1454</f>
        <v>Savannah</v>
      </c>
      <c r="K1455" t="str">
        <f>Raw_Claims_Data!K1454</f>
        <v>GA</v>
      </c>
      <c r="L1455">
        <f>Raw_Claims_Data!L1454</f>
        <v>0</v>
      </c>
      <c r="M1455" t="str">
        <f>IF(Raw_Claims_Data!M1454="","N/A",Raw_Claims_Data!M1454)</f>
        <v>VNDR00268</v>
      </c>
      <c r="N1455" t="str">
        <f>Raw_Claims_Data!N1454</f>
        <v>AGENT00319</v>
      </c>
      <c r="O1455">
        <f>IF(Raw_Claims_Data!G1454="D",1,0)</f>
        <v>0</v>
      </c>
    </row>
    <row r="1456" spans="1:15" x14ac:dyDescent="0.35">
      <c r="A1456" t="str">
        <f>Raw_Claims_Data!A1455</f>
        <v>TXN00001452</v>
      </c>
      <c r="B1456" t="str">
        <f>TRIM(Raw_Claims_Data!B1455)</f>
        <v>Jennifer Gordon</v>
      </c>
      <c r="C1456" t="str">
        <f>Raw_Claims_Data!C1455</f>
        <v>Life</v>
      </c>
      <c r="D1456">
        <f>Raw_Claims_Data!D1455</f>
        <v>56.12</v>
      </c>
      <c r="E1456">
        <f>Raw_Claims_Data!E1455</f>
        <v>47000</v>
      </c>
      <c r="F1456" t="str">
        <f>Raw_Claims_Data!F1455</f>
        <v>CA</v>
      </c>
      <c r="G1456" t="str">
        <f>Raw_Claims_Data!G1455</f>
        <v>A</v>
      </c>
      <c r="H1456" t="str">
        <f>Raw_Claims_Data!H1455</f>
        <v>Total Loss</v>
      </c>
      <c r="I1456" t="str">
        <f>IF(Raw_Claims_Data!I1455="","None",Raw_Claims_Data!I1455)</f>
        <v>Other</v>
      </c>
      <c r="J1456" t="str">
        <f>Raw_Claims_Data!J1455</f>
        <v>Westmore</v>
      </c>
      <c r="K1456" t="str">
        <f>Raw_Claims_Data!K1455</f>
        <v>VT</v>
      </c>
      <c r="L1456">
        <f>Raw_Claims_Data!L1455</f>
        <v>20</v>
      </c>
      <c r="M1456" t="str">
        <f>IF(Raw_Claims_Data!M1455="","N/A",Raw_Claims_Data!M1455)</f>
        <v>VNDR00420</v>
      </c>
      <c r="N1456" t="str">
        <f>Raw_Claims_Data!N1455</f>
        <v>AGENT00749</v>
      </c>
      <c r="O1456">
        <f>IF(Raw_Claims_Data!G1455="D",1,0)</f>
        <v>0</v>
      </c>
    </row>
    <row r="1457" spans="1:15" x14ac:dyDescent="0.35">
      <c r="A1457" t="str">
        <f>Raw_Claims_Data!A1456</f>
        <v>TXN00001453</v>
      </c>
      <c r="B1457" t="str">
        <f>TRIM(Raw_Claims_Data!B1456)</f>
        <v>Saul Howard</v>
      </c>
      <c r="C1457" t="str">
        <f>Raw_Claims_Data!C1456</f>
        <v>Health</v>
      </c>
      <c r="D1457">
        <f>Raw_Claims_Data!D1456</f>
        <v>130.31</v>
      </c>
      <c r="E1457">
        <f>Raw_Claims_Data!E1456</f>
        <v>19000</v>
      </c>
      <c r="F1457" t="str">
        <f>Raw_Claims_Data!F1456</f>
        <v>KY</v>
      </c>
      <c r="G1457" t="str">
        <f>Raw_Claims_Data!G1456</f>
        <v>A</v>
      </c>
      <c r="H1457" t="str">
        <f>Raw_Claims_Data!H1456</f>
        <v>Total Loss</v>
      </c>
      <c r="I1457" t="str">
        <f>IF(Raw_Claims_Data!I1456="","None",Raw_Claims_Data!I1456)</f>
        <v>Police</v>
      </c>
      <c r="J1457" t="str">
        <f>Raw_Claims_Data!J1456</f>
        <v>Savannah</v>
      </c>
      <c r="K1457" t="str">
        <f>Raw_Claims_Data!K1456</f>
        <v>GA</v>
      </c>
      <c r="L1457">
        <f>Raw_Claims_Data!L1456</f>
        <v>17</v>
      </c>
      <c r="M1457" t="str">
        <f>IF(Raw_Claims_Data!M1456="","N/A",Raw_Claims_Data!M1456)</f>
        <v>N/A</v>
      </c>
      <c r="N1457" t="str">
        <f>Raw_Claims_Data!N1456</f>
        <v>AGENT01015</v>
      </c>
      <c r="O1457">
        <f>IF(Raw_Claims_Data!G1456="D",1,0)</f>
        <v>0</v>
      </c>
    </row>
    <row r="1458" spans="1:15" x14ac:dyDescent="0.35">
      <c r="A1458" t="str">
        <f>Raw_Claims_Data!A1457</f>
        <v>TXN00001454</v>
      </c>
      <c r="B1458" t="str">
        <f>TRIM(Raw_Claims_Data!B1457)</f>
        <v>Judith Lopez</v>
      </c>
      <c r="C1458" t="str">
        <f>Raw_Claims_Data!C1457</f>
        <v>Motor</v>
      </c>
      <c r="D1458">
        <f>Raw_Claims_Data!D1457</f>
        <v>81.099999999999994</v>
      </c>
      <c r="E1458">
        <f>Raw_Claims_Data!E1457</f>
        <v>10000</v>
      </c>
      <c r="F1458" t="str">
        <f>Raw_Claims_Data!F1457</f>
        <v>CO</v>
      </c>
      <c r="G1458" t="str">
        <f>Raw_Claims_Data!G1457</f>
        <v>A</v>
      </c>
      <c r="H1458" t="str">
        <f>Raw_Claims_Data!H1457</f>
        <v>Major Loss</v>
      </c>
      <c r="I1458" t="str">
        <f>IF(Raw_Claims_Data!I1457="","None",Raw_Claims_Data!I1457)</f>
        <v>Ambulance</v>
      </c>
      <c r="J1458" t="str">
        <f>Raw_Claims_Data!J1457</f>
        <v>Derby</v>
      </c>
      <c r="K1458" t="str">
        <f>Raw_Claims_Data!K1457</f>
        <v>VT</v>
      </c>
      <c r="L1458">
        <f>Raw_Claims_Data!L1457</f>
        <v>20</v>
      </c>
      <c r="M1458" t="str">
        <f>IF(Raw_Claims_Data!M1457="","N/A",Raw_Claims_Data!M1457)</f>
        <v>N/A</v>
      </c>
      <c r="N1458" t="str">
        <f>Raw_Claims_Data!N1457</f>
        <v>AGENT00814</v>
      </c>
      <c r="O1458">
        <f>IF(Raw_Claims_Data!G1457="D",1,0)</f>
        <v>0</v>
      </c>
    </row>
    <row r="1459" spans="1:15" x14ac:dyDescent="0.35">
      <c r="A1459" t="str">
        <f>Raw_Claims_Data!A1458</f>
        <v>TXN00001455</v>
      </c>
      <c r="B1459" t="str">
        <f>TRIM(Raw_Claims_Data!B1458)</f>
        <v>Frank Carr</v>
      </c>
      <c r="C1459" t="str">
        <f>Raw_Claims_Data!C1458</f>
        <v>Life</v>
      </c>
      <c r="D1459">
        <f>Raw_Claims_Data!D1458</f>
        <v>91.67</v>
      </c>
      <c r="E1459">
        <f>Raw_Claims_Data!E1458</f>
        <v>40000</v>
      </c>
      <c r="F1459" t="str">
        <f>Raw_Claims_Data!F1458</f>
        <v>DC</v>
      </c>
      <c r="G1459" t="str">
        <f>Raw_Claims_Data!G1458</f>
        <v>A</v>
      </c>
      <c r="H1459" t="str">
        <f>Raw_Claims_Data!H1458</f>
        <v>Major Loss</v>
      </c>
      <c r="I1459" t="str">
        <f>IF(Raw_Claims_Data!I1458="","None",Raw_Claims_Data!I1458)</f>
        <v>Ambulance</v>
      </c>
      <c r="J1459" t="str">
        <f>Raw_Claims_Data!J1458</f>
        <v>Fayetteville</v>
      </c>
      <c r="K1459" t="str">
        <f>Raw_Claims_Data!K1458</f>
        <v>AR</v>
      </c>
      <c r="L1459">
        <f>Raw_Claims_Data!L1458</f>
        <v>18</v>
      </c>
      <c r="M1459" t="str">
        <f>IF(Raw_Claims_Data!M1458="","N/A",Raw_Claims_Data!M1458)</f>
        <v>N/A</v>
      </c>
      <c r="N1459" t="str">
        <f>Raw_Claims_Data!N1458</f>
        <v>AGENT00311</v>
      </c>
      <c r="O1459">
        <f>IF(Raw_Claims_Data!G1458="D",1,0)</f>
        <v>0</v>
      </c>
    </row>
    <row r="1460" spans="1:15" x14ac:dyDescent="0.35">
      <c r="A1460" t="str">
        <f>Raw_Claims_Data!A1459</f>
        <v>TXN00001456</v>
      </c>
      <c r="B1460" t="str">
        <f>TRIM(Raw_Claims_Data!B1459)</f>
        <v>Eddie Gilbert</v>
      </c>
      <c r="C1460" t="str">
        <f>Raw_Claims_Data!C1459</f>
        <v>Motor</v>
      </c>
      <c r="D1460">
        <f>Raw_Claims_Data!D1459</f>
        <v>71.319999999999993</v>
      </c>
      <c r="E1460">
        <f>Raw_Claims_Data!E1459</f>
        <v>3000</v>
      </c>
      <c r="F1460" t="str">
        <f>Raw_Claims_Data!F1459</f>
        <v>KY</v>
      </c>
      <c r="G1460" t="str">
        <f>Raw_Claims_Data!G1459</f>
        <v>A</v>
      </c>
      <c r="H1460" t="str">
        <f>Raw_Claims_Data!H1459</f>
        <v>Total Loss</v>
      </c>
      <c r="I1460" t="str">
        <f>IF(Raw_Claims_Data!I1459="","None",Raw_Claims_Data!I1459)</f>
        <v>Ambulance</v>
      </c>
      <c r="J1460" t="str">
        <f>Raw_Claims_Data!J1459</f>
        <v>Livermore</v>
      </c>
      <c r="K1460" t="str">
        <f>Raw_Claims_Data!K1459</f>
        <v>CA</v>
      </c>
      <c r="L1460">
        <f>Raw_Claims_Data!L1459</f>
        <v>5</v>
      </c>
      <c r="M1460" t="str">
        <f>IF(Raw_Claims_Data!M1459="","N/A",Raw_Claims_Data!M1459)</f>
        <v>VNDR00002</v>
      </c>
      <c r="N1460" t="str">
        <f>Raw_Claims_Data!N1459</f>
        <v>AGENT00940</v>
      </c>
      <c r="O1460">
        <f>IF(Raw_Claims_Data!G1459="D",1,0)</f>
        <v>0</v>
      </c>
    </row>
    <row r="1461" spans="1:15" x14ac:dyDescent="0.35">
      <c r="A1461" t="str">
        <f>Raw_Claims_Data!A1460</f>
        <v>TXN00001457</v>
      </c>
      <c r="B1461" t="str">
        <f>TRIM(Raw_Claims_Data!B1460)</f>
        <v>Timothy Mcknight</v>
      </c>
      <c r="C1461" t="str">
        <f>Raw_Claims_Data!C1460</f>
        <v>Health</v>
      </c>
      <c r="D1461">
        <f>Raw_Claims_Data!D1460</f>
        <v>193.95</v>
      </c>
      <c r="E1461">
        <f>Raw_Claims_Data!E1460</f>
        <v>20000</v>
      </c>
      <c r="F1461" t="str">
        <f>Raw_Claims_Data!F1460</f>
        <v>DC</v>
      </c>
      <c r="G1461" t="str">
        <f>Raw_Claims_Data!G1460</f>
        <v>A</v>
      </c>
      <c r="H1461" t="str">
        <f>Raw_Claims_Data!H1460</f>
        <v>Total Loss</v>
      </c>
      <c r="I1461" t="str">
        <f>IF(Raw_Claims_Data!I1460="","None",Raw_Claims_Data!I1460)</f>
        <v>Ambulance</v>
      </c>
      <c r="J1461" t="str">
        <f>Raw_Claims_Data!J1460</f>
        <v>Anchorage</v>
      </c>
      <c r="K1461" t="str">
        <f>Raw_Claims_Data!K1460</f>
        <v>AK</v>
      </c>
      <c r="L1461">
        <f>Raw_Claims_Data!L1460</f>
        <v>22</v>
      </c>
      <c r="M1461" t="str">
        <f>IF(Raw_Claims_Data!M1460="","N/A",Raw_Claims_Data!M1460)</f>
        <v>VNDR00191</v>
      </c>
      <c r="N1461" t="str">
        <f>Raw_Claims_Data!N1460</f>
        <v>AGENT01199</v>
      </c>
      <c r="O1461">
        <f>IF(Raw_Claims_Data!G1460="D",1,0)</f>
        <v>0</v>
      </c>
    </row>
    <row r="1462" spans="1:15" x14ac:dyDescent="0.35">
      <c r="A1462" t="str">
        <f>Raw_Claims_Data!A1461</f>
        <v>TXN00001458</v>
      </c>
      <c r="B1462" t="str">
        <f>TRIM(Raw_Claims_Data!B1461)</f>
        <v>Julia Snell</v>
      </c>
      <c r="C1462" t="str">
        <f>Raw_Claims_Data!C1461</f>
        <v>Motor</v>
      </c>
      <c r="D1462">
        <f>Raw_Claims_Data!D1461</f>
        <v>73.92</v>
      </c>
      <c r="E1462">
        <f>Raw_Claims_Data!E1461</f>
        <v>6000</v>
      </c>
      <c r="F1462" t="str">
        <f>Raw_Claims_Data!F1461</f>
        <v>GA</v>
      </c>
      <c r="G1462" t="str">
        <f>Raw_Claims_Data!G1461</f>
        <v>A</v>
      </c>
      <c r="H1462" t="str">
        <f>Raw_Claims_Data!H1461</f>
        <v>Major Loss</v>
      </c>
      <c r="I1462" t="str">
        <f>IF(Raw_Claims_Data!I1461="","None",Raw_Claims_Data!I1461)</f>
        <v>Ambulance</v>
      </c>
      <c r="J1462" t="str">
        <f>Raw_Claims_Data!J1461</f>
        <v>Brentwood</v>
      </c>
      <c r="K1462" t="str">
        <f>Raw_Claims_Data!K1461</f>
        <v>TN</v>
      </c>
      <c r="L1462">
        <f>Raw_Claims_Data!L1461</f>
        <v>8</v>
      </c>
      <c r="M1462" t="str">
        <f>IF(Raw_Claims_Data!M1461="","N/A",Raw_Claims_Data!M1461)</f>
        <v>VNDR00279</v>
      </c>
      <c r="N1462" t="str">
        <f>Raw_Claims_Data!N1461</f>
        <v>AGENT00080</v>
      </c>
      <c r="O1462">
        <f>IF(Raw_Claims_Data!G1461="D",1,0)</f>
        <v>0</v>
      </c>
    </row>
    <row r="1463" spans="1:15" x14ac:dyDescent="0.35">
      <c r="A1463" t="str">
        <f>Raw_Claims_Data!A1462</f>
        <v>TXN00001459</v>
      </c>
      <c r="B1463" t="str">
        <f>TRIM(Raw_Claims_Data!B1462)</f>
        <v>Christopher Singletary</v>
      </c>
      <c r="C1463" t="str">
        <f>Raw_Claims_Data!C1462</f>
        <v>Motor</v>
      </c>
      <c r="D1463">
        <f>Raw_Claims_Data!D1462</f>
        <v>125.11</v>
      </c>
      <c r="E1463">
        <f>Raw_Claims_Data!E1462</f>
        <v>9000</v>
      </c>
      <c r="F1463" t="str">
        <f>Raw_Claims_Data!F1462</f>
        <v>KY</v>
      </c>
      <c r="G1463" t="str">
        <f>Raw_Claims_Data!G1462</f>
        <v>A</v>
      </c>
      <c r="H1463" t="str">
        <f>Raw_Claims_Data!H1462</f>
        <v>Major Loss</v>
      </c>
      <c r="I1463" t="str">
        <f>IF(Raw_Claims_Data!I1462="","None",Raw_Claims_Data!I1462)</f>
        <v>Other</v>
      </c>
      <c r="J1463" t="str">
        <f>Raw_Claims_Data!J1462</f>
        <v>Boulder</v>
      </c>
      <c r="K1463" t="str">
        <f>Raw_Claims_Data!K1462</f>
        <v>CO</v>
      </c>
      <c r="L1463">
        <f>Raw_Claims_Data!L1462</f>
        <v>20</v>
      </c>
      <c r="M1463" t="str">
        <f>IF(Raw_Claims_Data!M1462="","N/A",Raw_Claims_Data!M1462)</f>
        <v>VNDR00479</v>
      </c>
      <c r="N1463" t="str">
        <f>Raw_Claims_Data!N1462</f>
        <v>AGENT00278</v>
      </c>
      <c r="O1463">
        <f>IF(Raw_Claims_Data!G1462="D",1,0)</f>
        <v>0</v>
      </c>
    </row>
    <row r="1464" spans="1:15" x14ac:dyDescent="0.35">
      <c r="A1464" t="str">
        <f>Raw_Claims_Data!A1463</f>
        <v>TXN00001460</v>
      </c>
      <c r="B1464" t="str">
        <f>TRIM(Raw_Claims_Data!B1463)</f>
        <v>Charlie Hanna</v>
      </c>
      <c r="C1464" t="str">
        <f>Raw_Claims_Data!C1463</f>
        <v>Travel</v>
      </c>
      <c r="D1464">
        <f>Raw_Claims_Data!D1463</f>
        <v>89.54</v>
      </c>
      <c r="E1464">
        <f>Raw_Claims_Data!E1463</f>
        <v>3000</v>
      </c>
      <c r="F1464" t="str">
        <f>Raw_Claims_Data!F1463</f>
        <v>TN</v>
      </c>
      <c r="G1464" t="str">
        <f>Raw_Claims_Data!G1463</f>
        <v>A</v>
      </c>
      <c r="H1464" t="str">
        <f>Raw_Claims_Data!H1463</f>
        <v>Total Loss</v>
      </c>
      <c r="I1464" t="str">
        <f>IF(Raw_Claims_Data!I1463="","None",Raw_Claims_Data!I1463)</f>
        <v>Ambulance</v>
      </c>
      <c r="J1464" t="str">
        <f>Raw_Claims_Data!J1463</f>
        <v>Lynn Haven</v>
      </c>
      <c r="K1464" t="str">
        <f>Raw_Claims_Data!K1463</f>
        <v>FL</v>
      </c>
      <c r="L1464">
        <f>Raw_Claims_Data!L1463</f>
        <v>11</v>
      </c>
      <c r="M1464" t="str">
        <f>IF(Raw_Claims_Data!M1463="","N/A",Raw_Claims_Data!M1463)</f>
        <v>VNDR00538</v>
      </c>
      <c r="N1464" t="str">
        <f>Raw_Claims_Data!N1463</f>
        <v>AGENT00736</v>
      </c>
      <c r="O1464">
        <f>IF(Raw_Claims_Data!G1463="D",1,0)</f>
        <v>0</v>
      </c>
    </row>
    <row r="1465" spans="1:15" x14ac:dyDescent="0.35">
      <c r="A1465" t="str">
        <f>Raw_Claims_Data!A1464</f>
        <v>TXN00001461</v>
      </c>
      <c r="B1465" t="str">
        <f>TRIM(Raw_Claims_Data!B1464)</f>
        <v>Joan Barlow</v>
      </c>
      <c r="C1465" t="str">
        <f>Raw_Claims_Data!C1464</f>
        <v>Motor</v>
      </c>
      <c r="D1465">
        <f>Raw_Claims_Data!D1464</f>
        <v>93.99</v>
      </c>
      <c r="E1465">
        <f>Raw_Claims_Data!E1464</f>
        <v>3000</v>
      </c>
      <c r="F1465" t="str">
        <f>Raw_Claims_Data!F1464</f>
        <v>FL</v>
      </c>
      <c r="G1465" t="str">
        <f>Raw_Claims_Data!G1464</f>
        <v>A</v>
      </c>
      <c r="H1465" t="str">
        <f>Raw_Claims_Data!H1464</f>
        <v>Total Loss</v>
      </c>
      <c r="I1465" t="str">
        <f>IF(Raw_Claims_Data!I1464="","None",Raw_Claims_Data!I1464)</f>
        <v>Ambulance</v>
      </c>
      <c r="J1465" t="str">
        <f>Raw_Claims_Data!J1464</f>
        <v>Glen Burnie</v>
      </c>
      <c r="K1465" t="str">
        <f>Raw_Claims_Data!K1464</f>
        <v>MD</v>
      </c>
      <c r="L1465">
        <f>Raw_Claims_Data!L1464</f>
        <v>5</v>
      </c>
      <c r="M1465" t="str">
        <f>IF(Raw_Claims_Data!M1464="","N/A",Raw_Claims_Data!M1464)</f>
        <v>VNDR00222</v>
      </c>
      <c r="N1465" t="str">
        <f>Raw_Claims_Data!N1464</f>
        <v>AGENT00001</v>
      </c>
      <c r="O1465">
        <f>IF(Raw_Claims_Data!G1464="D",1,0)</f>
        <v>0</v>
      </c>
    </row>
    <row r="1466" spans="1:15" x14ac:dyDescent="0.35">
      <c r="A1466" t="str">
        <f>Raw_Claims_Data!A1465</f>
        <v>TXN00001462</v>
      </c>
      <c r="B1466" t="str">
        <f>TRIM(Raw_Claims_Data!B1465)</f>
        <v>Eula Dini</v>
      </c>
      <c r="C1466" t="str">
        <f>Raw_Claims_Data!C1465</f>
        <v>Mobile</v>
      </c>
      <c r="D1466">
        <f>Raw_Claims_Data!D1465</f>
        <v>7.25</v>
      </c>
      <c r="E1466">
        <f>Raw_Claims_Data!E1465</f>
        <v>700</v>
      </c>
      <c r="F1466" t="str">
        <f>Raw_Claims_Data!F1465</f>
        <v>TN</v>
      </c>
      <c r="G1466" t="str">
        <f>Raw_Claims_Data!G1465</f>
        <v>A</v>
      </c>
      <c r="H1466" t="str">
        <f>Raw_Claims_Data!H1465</f>
        <v>Total Loss</v>
      </c>
      <c r="I1466" t="str">
        <f>IF(Raw_Claims_Data!I1465="","None",Raw_Claims_Data!I1465)</f>
        <v>Other</v>
      </c>
      <c r="J1466" t="str">
        <f>Raw_Claims_Data!J1465</f>
        <v>Crofton</v>
      </c>
      <c r="K1466" t="str">
        <f>Raw_Claims_Data!K1465</f>
        <v>MD</v>
      </c>
      <c r="L1466">
        <f>Raw_Claims_Data!L1465</f>
        <v>2</v>
      </c>
      <c r="M1466" t="str">
        <f>IF(Raw_Claims_Data!M1465="","N/A",Raw_Claims_Data!M1465)</f>
        <v>VNDR00508</v>
      </c>
      <c r="N1466" t="str">
        <f>Raw_Claims_Data!N1465</f>
        <v>AGENT00216</v>
      </c>
      <c r="O1466">
        <f>IF(Raw_Claims_Data!G1465="D",1,0)</f>
        <v>0</v>
      </c>
    </row>
    <row r="1467" spans="1:15" x14ac:dyDescent="0.35">
      <c r="A1467" t="str">
        <f>Raw_Claims_Data!A1466</f>
        <v>TXN00001463</v>
      </c>
      <c r="B1467" t="str">
        <f>TRIM(Raw_Claims_Data!B1466)</f>
        <v>Jody Haywood</v>
      </c>
      <c r="C1467" t="str">
        <f>Raw_Claims_Data!C1466</f>
        <v>Motor</v>
      </c>
      <c r="D1467">
        <f>Raw_Claims_Data!D1466</f>
        <v>103.78</v>
      </c>
      <c r="E1467">
        <f>Raw_Claims_Data!E1466</f>
        <v>2000</v>
      </c>
      <c r="F1467" t="str">
        <f>Raw_Claims_Data!F1466</f>
        <v>FL</v>
      </c>
      <c r="G1467" t="str">
        <f>Raw_Claims_Data!G1466</f>
        <v>A</v>
      </c>
      <c r="H1467" t="str">
        <f>Raw_Claims_Data!H1466</f>
        <v>Total Loss</v>
      </c>
      <c r="I1467" t="str">
        <f>IF(Raw_Claims_Data!I1466="","None",Raw_Claims_Data!I1466)</f>
        <v>Ambulance</v>
      </c>
      <c r="J1467" t="str">
        <f>Raw_Claims_Data!J1466</f>
        <v>Arvada</v>
      </c>
      <c r="K1467" t="str">
        <f>Raw_Claims_Data!K1466</f>
        <v>CO</v>
      </c>
      <c r="L1467">
        <f>Raw_Claims_Data!L1466</f>
        <v>6</v>
      </c>
      <c r="M1467" t="str">
        <f>IF(Raw_Claims_Data!M1466="","N/A",Raw_Claims_Data!M1466)</f>
        <v>VNDR00312</v>
      </c>
      <c r="N1467" t="str">
        <f>Raw_Claims_Data!N1466</f>
        <v>AGENT00866</v>
      </c>
      <c r="O1467">
        <f>IF(Raw_Claims_Data!G1466="D",1,0)</f>
        <v>0</v>
      </c>
    </row>
    <row r="1468" spans="1:15" x14ac:dyDescent="0.35">
      <c r="A1468" t="str">
        <f>Raw_Claims_Data!A1467</f>
        <v>TXN00001464</v>
      </c>
      <c r="B1468" t="str">
        <f>TRIM(Raw_Claims_Data!B1467)</f>
        <v>Shawn Brown</v>
      </c>
      <c r="C1468" t="str">
        <f>Raw_Claims_Data!C1467</f>
        <v>Travel</v>
      </c>
      <c r="D1468">
        <f>Raw_Claims_Data!D1467</f>
        <v>55.3</v>
      </c>
      <c r="E1468">
        <f>Raw_Claims_Data!E1467</f>
        <v>4000</v>
      </c>
      <c r="F1468" t="str">
        <f>Raw_Claims_Data!F1467</f>
        <v>DC</v>
      </c>
      <c r="G1468" t="str">
        <f>Raw_Claims_Data!G1467</f>
        <v>A</v>
      </c>
      <c r="H1468" t="str">
        <f>Raw_Claims_Data!H1467</f>
        <v>Minor Loss</v>
      </c>
      <c r="I1468" t="str">
        <f>IF(Raw_Claims_Data!I1467="","None",Raw_Claims_Data!I1467)</f>
        <v>None</v>
      </c>
      <c r="J1468" t="str">
        <f>Raw_Claims_Data!J1467</f>
        <v>Tewksbury</v>
      </c>
      <c r="K1468" t="str">
        <f>Raw_Claims_Data!K1467</f>
        <v>MA</v>
      </c>
      <c r="L1468">
        <f>Raw_Claims_Data!L1467</f>
        <v>1</v>
      </c>
      <c r="M1468" t="str">
        <f>IF(Raw_Claims_Data!M1467="","N/A",Raw_Claims_Data!M1467)</f>
        <v>N/A</v>
      </c>
      <c r="N1468" t="str">
        <f>Raw_Claims_Data!N1467</f>
        <v>AGENT00410</v>
      </c>
      <c r="O1468">
        <f>IF(Raw_Claims_Data!G1467="D",1,0)</f>
        <v>0</v>
      </c>
    </row>
    <row r="1469" spans="1:15" x14ac:dyDescent="0.35">
      <c r="A1469" t="str">
        <f>Raw_Claims_Data!A1468</f>
        <v>TXN00001465</v>
      </c>
      <c r="B1469" t="str">
        <f>TRIM(Raw_Claims_Data!B1468)</f>
        <v>Samantha Young</v>
      </c>
      <c r="C1469" t="str">
        <f>Raw_Claims_Data!C1468</f>
        <v>Travel</v>
      </c>
      <c r="D1469">
        <f>Raw_Claims_Data!D1468</f>
        <v>81.069999999999993</v>
      </c>
      <c r="E1469">
        <f>Raw_Claims_Data!E1468</f>
        <v>2000</v>
      </c>
      <c r="F1469" t="str">
        <f>Raw_Claims_Data!F1468</f>
        <v>TN</v>
      </c>
      <c r="G1469" t="str">
        <f>Raw_Claims_Data!G1468</f>
        <v>A</v>
      </c>
      <c r="H1469" t="str">
        <f>Raw_Claims_Data!H1468</f>
        <v>Minor Loss</v>
      </c>
      <c r="I1469" t="str">
        <f>IF(Raw_Claims_Data!I1468="","None",Raw_Claims_Data!I1468)</f>
        <v>Ambulance</v>
      </c>
      <c r="J1469" t="str">
        <f>Raw_Claims_Data!J1468</f>
        <v>Westminster</v>
      </c>
      <c r="K1469" t="str">
        <f>Raw_Claims_Data!K1468</f>
        <v>CO</v>
      </c>
      <c r="L1469">
        <f>Raw_Claims_Data!L1468</f>
        <v>9</v>
      </c>
      <c r="M1469" t="str">
        <f>IF(Raw_Claims_Data!M1468="","N/A",Raw_Claims_Data!M1468)</f>
        <v>VNDR00469</v>
      </c>
      <c r="N1469" t="str">
        <f>Raw_Claims_Data!N1468</f>
        <v>AGENT00079</v>
      </c>
      <c r="O1469">
        <f>IF(Raw_Claims_Data!G1468="D",1,0)</f>
        <v>0</v>
      </c>
    </row>
    <row r="1470" spans="1:15" x14ac:dyDescent="0.35">
      <c r="A1470" t="str">
        <f>Raw_Claims_Data!A1469</f>
        <v>TXN00001466</v>
      </c>
      <c r="B1470" t="str">
        <f>TRIM(Raw_Claims_Data!B1469)</f>
        <v>Geri Rodgers</v>
      </c>
      <c r="C1470" t="str">
        <f>Raw_Claims_Data!C1469</f>
        <v>Health</v>
      </c>
      <c r="D1470">
        <f>Raw_Claims_Data!D1469</f>
        <v>133.63999999999999</v>
      </c>
      <c r="E1470">
        <f>Raw_Claims_Data!E1469</f>
        <v>5000</v>
      </c>
      <c r="F1470" t="str">
        <f>Raw_Claims_Data!F1469</f>
        <v>CT</v>
      </c>
      <c r="G1470" t="str">
        <f>Raw_Claims_Data!G1469</f>
        <v>A</v>
      </c>
      <c r="H1470" t="str">
        <f>Raw_Claims_Data!H1469</f>
        <v>Total Loss</v>
      </c>
      <c r="I1470" t="str">
        <f>IF(Raw_Claims_Data!I1469="","None",Raw_Claims_Data!I1469)</f>
        <v>None</v>
      </c>
      <c r="J1470" t="str">
        <f>Raw_Claims_Data!J1469</f>
        <v>San Jose</v>
      </c>
      <c r="K1470" t="str">
        <f>Raw_Claims_Data!K1469</f>
        <v>CA</v>
      </c>
      <c r="L1470">
        <f>Raw_Claims_Data!L1469</f>
        <v>6</v>
      </c>
      <c r="M1470" t="str">
        <f>IF(Raw_Claims_Data!M1469="","N/A",Raw_Claims_Data!M1469)</f>
        <v>N/A</v>
      </c>
      <c r="N1470" t="str">
        <f>Raw_Claims_Data!N1469</f>
        <v>AGENT00303</v>
      </c>
      <c r="O1470">
        <f>IF(Raw_Claims_Data!G1469="D",1,0)</f>
        <v>0</v>
      </c>
    </row>
    <row r="1471" spans="1:15" x14ac:dyDescent="0.35">
      <c r="A1471" t="str">
        <f>Raw_Claims_Data!A1470</f>
        <v>TXN00001467</v>
      </c>
      <c r="B1471" t="str">
        <f>TRIM(Raw_Claims_Data!B1470)</f>
        <v>Sue Tillotson</v>
      </c>
      <c r="C1471" t="str">
        <f>Raw_Claims_Data!C1470</f>
        <v>Health</v>
      </c>
      <c r="D1471">
        <f>Raw_Claims_Data!D1470</f>
        <v>171.74</v>
      </c>
      <c r="E1471">
        <f>Raw_Claims_Data!E1470</f>
        <v>15000</v>
      </c>
      <c r="F1471" t="str">
        <f>Raw_Claims_Data!F1470</f>
        <v>GA</v>
      </c>
      <c r="G1471" t="str">
        <f>Raw_Claims_Data!G1470</f>
        <v>A</v>
      </c>
      <c r="H1471" t="str">
        <f>Raw_Claims_Data!H1470</f>
        <v>Minor Loss</v>
      </c>
      <c r="I1471" t="str">
        <f>IF(Raw_Claims_Data!I1470="","None",Raw_Claims_Data!I1470)</f>
        <v>Ambulance</v>
      </c>
      <c r="J1471" t="str">
        <f>Raw_Claims_Data!J1470</f>
        <v>Lynn</v>
      </c>
      <c r="K1471" t="str">
        <f>Raw_Claims_Data!K1470</f>
        <v>MA</v>
      </c>
      <c r="L1471">
        <f>Raw_Claims_Data!L1470</f>
        <v>7</v>
      </c>
      <c r="M1471" t="str">
        <f>IF(Raw_Claims_Data!M1470="","N/A",Raw_Claims_Data!M1470)</f>
        <v>N/A</v>
      </c>
      <c r="N1471" t="str">
        <f>Raw_Claims_Data!N1470</f>
        <v>AGENT00913</v>
      </c>
      <c r="O1471">
        <f>IF(Raw_Claims_Data!G1470="D",1,0)</f>
        <v>0</v>
      </c>
    </row>
    <row r="1472" spans="1:15" x14ac:dyDescent="0.35">
      <c r="A1472" t="str">
        <f>Raw_Claims_Data!A1471</f>
        <v>TXN00001468</v>
      </c>
      <c r="B1472" t="str">
        <f>TRIM(Raw_Claims_Data!B1471)</f>
        <v>Anthony Conley</v>
      </c>
      <c r="C1472" t="str">
        <f>Raw_Claims_Data!C1471</f>
        <v>Mobile</v>
      </c>
      <c r="D1472">
        <f>Raw_Claims_Data!D1471</f>
        <v>10.99</v>
      </c>
      <c r="E1472">
        <f>Raw_Claims_Data!E1471</f>
        <v>200</v>
      </c>
      <c r="F1472" t="str">
        <f>Raw_Claims_Data!F1471</f>
        <v>AZ</v>
      </c>
      <c r="G1472" t="str">
        <f>Raw_Claims_Data!G1471</f>
        <v>A</v>
      </c>
      <c r="H1472" t="str">
        <f>Raw_Claims_Data!H1471</f>
        <v>Minor Loss</v>
      </c>
      <c r="I1472" t="str">
        <f>IF(Raw_Claims_Data!I1471="","None",Raw_Claims_Data!I1471)</f>
        <v>None</v>
      </c>
      <c r="J1472" t="str">
        <f>Raw_Claims_Data!J1471</f>
        <v>Manchester</v>
      </c>
      <c r="K1472" t="str">
        <f>Raw_Claims_Data!K1471</f>
        <v>CT</v>
      </c>
      <c r="L1472">
        <f>Raw_Claims_Data!L1471</f>
        <v>21</v>
      </c>
      <c r="M1472" t="str">
        <f>IF(Raw_Claims_Data!M1471="","N/A",Raw_Claims_Data!M1471)</f>
        <v>VNDR00120</v>
      </c>
      <c r="N1472" t="str">
        <f>Raw_Claims_Data!N1471</f>
        <v>AGENT00476</v>
      </c>
      <c r="O1472">
        <f>IF(Raw_Claims_Data!G1471="D",1,0)</f>
        <v>0</v>
      </c>
    </row>
    <row r="1473" spans="1:15" x14ac:dyDescent="0.35">
      <c r="A1473" t="str">
        <f>Raw_Claims_Data!A1472</f>
        <v>TXN00001469</v>
      </c>
      <c r="B1473" t="str">
        <f>TRIM(Raw_Claims_Data!B1472)</f>
        <v>Johnny Bledsoe</v>
      </c>
      <c r="C1473" t="str">
        <f>Raw_Claims_Data!C1472</f>
        <v>Health</v>
      </c>
      <c r="D1473">
        <f>Raw_Claims_Data!D1472</f>
        <v>120.7</v>
      </c>
      <c r="E1473">
        <f>Raw_Claims_Data!E1472</f>
        <v>2000</v>
      </c>
      <c r="F1473" t="str">
        <f>Raw_Claims_Data!F1472</f>
        <v>AK</v>
      </c>
      <c r="G1473" t="str">
        <f>Raw_Claims_Data!G1472</f>
        <v>A</v>
      </c>
      <c r="H1473" t="str">
        <f>Raw_Claims_Data!H1472</f>
        <v>Major Loss</v>
      </c>
      <c r="I1473" t="str">
        <f>IF(Raw_Claims_Data!I1472="","None",Raw_Claims_Data!I1472)</f>
        <v>Police</v>
      </c>
      <c r="J1473" t="str">
        <f>Raw_Claims_Data!J1472</f>
        <v>San Diego</v>
      </c>
      <c r="K1473" t="str">
        <f>Raw_Claims_Data!K1472</f>
        <v>CA</v>
      </c>
      <c r="L1473">
        <f>Raw_Claims_Data!L1472</f>
        <v>13</v>
      </c>
      <c r="M1473" t="str">
        <f>IF(Raw_Claims_Data!M1472="","N/A",Raw_Claims_Data!M1472)</f>
        <v>N/A</v>
      </c>
      <c r="N1473" t="str">
        <f>Raw_Claims_Data!N1472</f>
        <v>AGENT00054</v>
      </c>
      <c r="O1473">
        <f>IF(Raw_Claims_Data!G1472="D",1,0)</f>
        <v>0</v>
      </c>
    </row>
    <row r="1474" spans="1:15" x14ac:dyDescent="0.35">
      <c r="A1474" t="str">
        <f>Raw_Claims_Data!A1473</f>
        <v>TXN00001470</v>
      </c>
      <c r="B1474" t="str">
        <f>TRIM(Raw_Claims_Data!B1473)</f>
        <v>Zachariah Callahan</v>
      </c>
      <c r="C1474" t="str">
        <f>Raw_Claims_Data!C1473</f>
        <v>Mobile</v>
      </c>
      <c r="D1474">
        <f>Raw_Claims_Data!D1473</f>
        <v>7.95</v>
      </c>
      <c r="E1474">
        <f>Raw_Claims_Data!E1473</f>
        <v>200</v>
      </c>
      <c r="F1474" t="str">
        <f>Raw_Claims_Data!F1473</f>
        <v>CT</v>
      </c>
      <c r="G1474" t="str">
        <f>Raw_Claims_Data!G1473</f>
        <v>A</v>
      </c>
      <c r="H1474" t="str">
        <f>Raw_Claims_Data!H1473</f>
        <v>Minor Loss</v>
      </c>
      <c r="I1474" t="str">
        <f>IF(Raw_Claims_Data!I1473="","None",Raw_Claims_Data!I1473)</f>
        <v>Ambulance</v>
      </c>
      <c r="J1474" t="str">
        <f>Raw_Claims_Data!J1473</f>
        <v>Twentynine Palms</v>
      </c>
      <c r="K1474" t="str">
        <f>Raw_Claims_Data!K1473</f>
        <v>CA</v>
      </c>
      <c r="L1474">
        <f>Raw_Claims_Data!L1473</f>
        <v>12</v>
      </c>
      <c r="M1474" t="str">
        <f>IF(Raw_Claims_Data!M1473="","N/A",Raw_Claims_Data!M1473)</f>
        <v>VNDR00221</v>
      </c>
      <c r="N1474" t="str">
        <f>Raw_Claims_Data!N1473</f>
        <v>AGENT00156</v>
      </c>
      <c r="O1474">
        <f>IF(Raw_Claims_Data!G1473="D",1,0)</f>
        <v>0</v>
      </c>
    </row>
    <row r="1475" spans="1:15" x14ac:dyDescent="0.35">
      <c r="A1475" t="str">
        <f>Raw_Claims_Data!A1474</f>
        <v>TXN00001471</v>
      </c>
      <c r="B1475" t="str">
        <f>TRIM(Raw_Claims_Data!B1474)</f>
        <v>Traci Dorsey</v>
      </c>
      <c r="C1475" t="str">
        <f>Raw_Claims_Data!C1474</f>
        <v>Property</v>
      </c>
      <c r="D1475">
        <f>Raw_Claims_Data!D1474</f>
        <v>128.31</v>
      </c>
      <c r="E1475">
        <f>Raw_Claims_Data!E1474</f>
        <v>28000</v>
      </c>
      <c r="F1475" t="str">
        <f>Raw_Claims_Data!F1474</f>
        <v>MD</v>
      </c>
      <c r="G1475" t="str">
        <f>Raw_Claims_Data!G1474</f>
        <v>A</v>
      </c>
      <c r="H1475" t="str">
        <f>Raw_Claims_Data!H1474</f>
        <v>Total Loss</v>
      </c>
      <c r="I1475" t="str">
        <f>IF(Raw_Claims_Data!I1474="","None",Raw_Claims_Data!I1474)</f>
        <v>Police</v>
      </c>
      <c r="J1475" t="str">
        <f>Raw_Claims_Data!J1474</f>
        <v>Nashville</v>
      </c>
      <c r="K1475" t="str">
        <f>Raw_Claims_Data!K1474</f>
        <v>TN</v>
      </c>
      <c r="L1475">
        <f>Raw_Claims_Data!L1474</f>
        <v>18</v>
      </c>
      <c r="M1475" t="str">
        <f>IF(Raw_Claims_Data!M1474="","N/A",Raw_Claims_Data!M1474)</f>
        <v>VNDR00429</v>
      </c>
      <c r="N1475" t="str">
        <f>Raw_Claims_Data!N1474</f>
        <v>AGENT00374</v>
      </c>
      <c r="O1475">
        <f>IF(Raw_Claims_Data!G1474="D",1,0)</f>
        <v>0</v>
      </c>
    </row>
    <row r="1476" spans="1:15" x14ac:dyDescent="0.35">
      <c r="A1476" t="str">
        <f>Raw_Claims_Data!A1475</f>
        <v>TXN00001472</v>
      </c>
      <c r="B1476" t="str">
        <f>TRIM(Raw_Claims_Data!B1475)</f>
        <v>Thomas Pascual</v>
      </c>
      <c r="C1476" t="str">
        <f>Raw_Claims_Data!C1475</f>
        <v>Travel</v>
      </c>
      <c r="D1476">
        <f>Raw_Claims_Data!D1475</f>
        <v>56.1</v>
      </c>
      <c r="E1476">
        <f>Raw_Claims_Data!E1475</f>
        <v>3000</v>
      </c>
      <c r="F1476" t="str">
        <f>Raw_Claims_Data!F1475</f>
        <v>KY</v>
      </c>
      <c r="G1476" t="str">
        <f>Raw_Claims_Data!G1475</f>
        <v>A</v>
      </c>
      <c r="H1476" t="str">
        <f>Raw_Claims_Data!H1475</f>
        <v>Minor Loss</v>
      </c>
      <c r="I1476" t="str">
        <f>IF(Raw_Claims_Data!I1475="","None",Raw_Claims_Data!I1475)</f>
        <v>Police</v>
      </c>
      <c r="J1476" t="str">
        <f>Raw_Claims_Data!J1475</f>
        <v>Anchorage</v>
      </c>
      <c r="K1476" t="str">
        <f>Raw_Claims_Data!K1475</f>
        <v>AK</v>
      </c>
      <c r="L1476">
        <f>Raw_Claims_Data!L1475</f>
        <v>5</v>
      </c>
      <c r="M1476" t="str">
        <f>IF(Raw_Claims_Data!M1475="","N/A",Raw_Claims_Data!M1475)</f>
        <v>VNDR00192</v>
      </c>
      <c r="N1476" t="str">
        <f>Raw_Claims_Data!N1475</f>
        <v>AGENT01131</v>
      </c>
      <c r="O1476">
        <f>IF(Raw_Claims_Data!G1475="D",1,0)</f>
        <v>0</v>
      </c>
    </row>
    <row r="1477" spans="1:15" x14ac:dyDescent="0.35">
      <c r="A1477" t="str">
        <f>Raw_Claims_Data!A1476</f>
        <v>TXN00001473</v>
      </c>
      <c r="B1477" t="str">
        <f>TRIM(Raw_Claims_Data!B1476)</f>
        <v>Ted Alvarado</v>
      </c>
      <c r="C1477" t="str">
        <f>Raw_Claims_Data!C1476</f>
        <v>Life</v>
      </c>
      <c r="D1477">
        <f>Raw_Claims_Data!D1476</f>
        <v>73.66</v>
      </c>
      <c r="E1477">
        <f>Raw_Claims_Data!E1476</f>
        <v>67000</v>
      </c>
      <c r="F1477" t="str">
        <f>Raw_Claims_Data!F1476</f>
        <v>KY</v>
      </c>
      <c r="G1477" t="str">
        <f>Raw_Claims_Data!G1476</f>
        <v>A</v>
      </c>
      <c r="H1477" t="str">
        <f>Raw_Claims_Data!H1476</f>
        <v>Total Loss</v>
      </c>
      <c r="I1477" t="str">
        <f>IF(Raw_Claims_Data!I1476="","None",Raw_Claims_Data!I1476)</f>
        <v>Ambulance</v>
      </c>
      <c r="J1477" t="str">
        <f>Raw_Claims_Data!J1476</f>
        <v>Oklahoma City</v>
      </c>
      <c r="K1477" t="str">
        <f>Raw_Claims_Data!K1476</f>
        <v>OK</v>
      </c>
      <c r="L1477">
        <f>Raw_Claims_Data!L1476</f>
        <v>17</v>
      </c>
      <c r="M1477" t="str">
        <f>IF(Raw_Claims_Data!M1476="","N/A",Raw_Claims_Data!M1476)</f>
        <v>VNDR00232</v>
      </c>
      <c r="N1477" t="str">
        <f>Raw_Claims_Data!N1476</f>
        <v>AGENT01174</v>
      </c>
      <c r="O1477">
        <f>IF(Raw_Claims_Data!G1476="D",1,0)</f>
        <v>0</v>
      </c>
    </row>
    <row r="1478" spans="1:15" x14ac:dyDescent="0.35">
      <c r="A1478" t="str">
        <f>Raw_Claims_Data!A1477</f>
        <v>TXN00001474</v>
      </c>
      <c r="B1478" t="str">
        <f>TRIM(Raw_Claims_Data!B1477)</f>
        <v>Ricky Berry</v>
      </c>
      <c r="C1478" t="str">
        <f>Raw_Claims_Data!C1477</f>
        <v>Motor</v>
      </c>
      <c r="D1478">
        <f>Raw_Claims_Data!D1477</f>
        <v>75.62</v>
      </c>
      <c r="E1478">
        <f>Raw_Claims_Data!E1477</f>
        <v>9000</v>
      </c>
      <c r="F1478" t="str">
        <f>Raw_Claims_Data!F1477</f>
        <v>OK</v>
      </c>
      <c r="G1478" t="str">
        <f>Raw_Claims_Data!G1477</f>
        <v>A</v>
      </c>
      <c r="H1478" t="str">
        <f>Raw_Claims_Data!H1477</f>
        <v>Minor Loss</v>
      </c>
      <c r="I1478" t="str">
        <f>IF(Raw_Claims_Data!I1477="","None",Raw_Claims_Data!I1477)</f>
        <v>None</v>
      </c>
      <c r="J1478" t="str">
        <f>Raw_Claims_Data!J1477</f>
        <v>Montgomery</v>
      </c>
      <c r="K1478" t="str">
        <f>Raw_Claims_Data!K1477</f>
        <v>AL</v>
      </c>
      <c r="L1478">
        <f>Raw_Claims_Data!L1477</f>
        <v>20</v>
      </c>
      <c r="M1478" t="str">
        <f>IF(Raw_Claims_Data!M1477="","N/A",Raw_Claims_Data!M1477)</f>
        <v>VNDR00361</v>
      </c>
      <c r="N1478" t="str">
        <f>Raw_Claims_Data!N1477</f>
        <v>AGENT00011</v>
      </c>
      <c r="O1478">
        <f>IF(Raw_Claims_Data!G1477="D",1,0)</f>
        <v>0</v>
      </c>
    </row>
    <row r="1479" spans="1:15" x14ac:dyDescent="0.35">
      <c r="A1479" t="str">
        <f>Raw_Claims_Data!A1478</f>
        <v>TXN00001475</v>
      </c>
      <c r="B1479" t="str">
        <f>TRIM(Raw_Claims_Data!B1478)</f>
        <v>Joseph Reyes</v>
      </c>
      <c r="C1479" t="str">
        <f>Raw_Claims_Data!C1478</f>
        <v>Mobile</v>
      </c>
      <c r="D1479">
        <f>Raw_Claims_Data!D1478</f>
        <v>8.8699999999999992</v>
      </c>
      <c r="E1479">
        <f>Raw_Claims_Data!E1478</f>
        <v>300</v>
      </c>
      <c r="F1479" t="str">
        <f>Raw_Claims_Data!F1478</f>
        <v>DC</v>
      </c>
      <c r="G1479" t="str">
        <f>Raw_Claims_Data!G1478</f>
        <v>A</v>
      </c>
      <c r="H1479" t="str">
        <f>Raw_Claims_Data!H1478</f>
        <v>Major Loss</v>
      </c>
      <c r="I1479" t="str">
        <f>IF(Raw_Claims_Data!I1478="","None",Raw_Claims_Data!I1478)</f>
        <v>Ambulance</v>
      </c>
      <c r="J1479" t="str">
        <f>Raw_Claims_Data!J1478</f>
        <v>Oakland</v>
      </c>
      <c r="K1479" t="str">
        <f>Raw_Claims_Data!K1478</f>
        <v>CA</v>
      </c>
      <c r="L1479">
        <f>Raw_Claims_Data!L1478</f>
        <v>1</v>
      </c>
      <c r="M1479" t="str">
        <f>IF(Raw_Claims_Data!M1478="","N/A",Raw_Claims_Data!M1478)</f>
        <v>N/A</v>
      </c>
      <c r="N1479" t="str">
        <f>Raw_Claims_Data!N1478</f>
        <v>AGENT00406</v>
      </c>
      <c r="O1479">
        <f>IF(Raw_Claims_Data!G1478="D",1,0)</f>
        <v>0</v>
      </c>
    </row>
    <row r="1480" spans="1:15" x14ac:dyDescent="0.35">
      <c r="A1480" t="str">
        <f>Raw_Claims_Data!A1479</f>
        <v>TXN00001476</v>
      </c>
      <c r="B1480" t="str">
        <f>TRIM(Raw_Claims_Data!B1479)</f>
        <v>Thelma Henry</v>
      </c>
      <c r="C1480" t="str">
        <f>Raw_Claims_Data!C1479</f>
        <v>Health</v>
      </c>
      <c r="D1480">
        <f>Raw_Claims_Data!D1479</f>
        <v>153.41999999999999</v>
      </c>
      <c r="E1480">
        <f>Raw_Claims_Data!E1479</f>
        <v>16000</v>
      </c>
      <c r="F1480" t="str">
        <f>Raw_Claims_Data!F1479</f>
        <v>OK</v>
      </c>
      <c r="G1480" t="str">
        <f>Raw_Claims_Data!G1479</f>
        <v>D</v>
      </c>
      <c r="H1480" t="str">
        <f>Raw_Claims_Data!H1479</f>
        <v>Total Loss</v>
      </c>
      <c r="I1480" t="str">
        <f>IF(Raw_Claims_Data!I1479="","None",Raw_Claims_Data!I1479)</f>
        <v>None</v>
      </c>
      <c r="J1480" t="str">
        <f>Raw_Claims_Data!J1479</f>
        <v>Midwest City</v>
      </c>
      <c r="K1480" t="str">
        <f>Raw_Claims_Data!K1479</f>
        <v>OK</v>
      </c>
      <c r="L1480">
        <f>Raw_Claims_Data!L1479</f>
        <v>8</v>
      </c>
      <c r="M1480" t="str">
        <f>IF(Raw_Claims_Data!M1479="","N/A",Raw_Claims_Data!M1479)</f>
        <v>VNDR00265</v>
      </c>
      <c r="N1480" t="str">
        <f>Raw_Claims_Data!N1479</f>
        <v>AGENT00666</v>
      </c>
      <c r="O1480">
        <f>IF(Raw_Claims_Data!G1479="D",1,0)</f>
        <v>1</v>
      </c>
    </row>
    <row r="1481" spans="1:15" x14ac:dyDescent="0.35">
      <c r="A1481" t="str">
        <f>Raw_Claims_Data!A1480</f>
        <v>TXN00001477</v>
      </c>
      <c r="B1481" t="str">
        <f>TRIM(Raw_Claims_Data!B1480)</f>
        <v>Terry Khan</v>
      </c>
      <c r="C1481" t="str">
        <f>Raw_Claims_Data!C1480</f>
        <v>Life</v>
      </c>
      <c r="D1481">
        <f>Raw_Claims_Data!D1480</f>
        <v>52.39</v>
      </c>
      <c r="E1481">
        <f>Raw_Claims_Data!E1480</f>
        <v>32000</v>
      </c>
      <c r="F1481" t="str">
        <f>Raw_Claims_Data!F1480</f>
        <v>DC</v>
      </c>
      <c r="G1481" t="str">
        <f>Raw_Claims_Data!G1480</f>
        <v>D</v>
      </c>
      <c r="H1481" t="str">
        <f>Raw_Claims_Data!H1480</f>
        <v>Minor Loss</v>
      </c>
      <c r="I1481" t="str">
        <f>IF(Raw_Claims_Data!I1480="","None",Raw_Claims_Data!I1480)</f>
        <v>None</v>
      </c>
      <c r="J1481" t="str">
        <f>Raw_Claims_Data!J1480</f>
        <v>Panama City Beach</v>
      </c>
      <c r="K1481" t="str">
        <f>Raw_Claims_Data!K1480</f>
        <v>FL</v>
      </c>
      <c r="L1481">
        <f>Raw_Claims_Data!L1480</f>
        <v>16</v>
      </c>
      <c r="M1481" t="str">
        <f>IF(Raw_Claims_Data!M1480="","N/A",Raw_Claims_Data!M1480)</f>
        <v>VNDR00025</v>
      </c>
      <c r="N1481" t="str">
        <f>Raw_Claims_Data!N1480</f>
        <v>AGENT00346</v>
      </c>
      <c r="O1481">
        <f>IF(Raw_Claims_Data!G1480="D",1,0)</f>
        <v>1</v>
      </c>
    </row>
    <row r="1482" spans="1:15" x14ac:dyDescent="0.35">
      <c r="A1482" t="str">
        <f>Raw_Claims_Data!A1481</f>
        <v>TXN00001478</v>
      </c>
      <c r="B1482" t="str">
        <f>TRIM(Raw_Claims_Data!B1481)</f>
        <v>Adrian Cena</v>
      </c>
      <c r="C1482" t="str">
        <f>Raw_Claims_Data!C1481</f>
        <v>Life</v>
      </c>
      <c r="D1482">
        <f>Raw_Claims_Data!D1481</f>
        <v>66.540000000000006</v>
      </c>
      <c r="E1482">
        <f>Raw_Claims_Data!E1481</f>
        <v>58000</v>
      </c>
      <c r="F1482" t="str">
        <f>Raw_Claims_Data!F1481</f>
        <v>MA</v>
      </c>
      <c r="G1482" t="str">
        <f>Raw_Claims_Data!G1481</f>
        <v>A</v>
      </c>
      <c r="H1482" t="str">
        <f>Raw_Claims_Data!H1481</f>
        <v>Major Loss</v>
      </c>
      <c r="I1482" t="str">
        <f>IF(Raw_Claims_Data!I1481="","None",Raw_Claims_Data!I1481)</f>
        <v>Ambulance</v>
      </c>
      <c r="J1482" t="str">
        <f>Raw_Claims_Data!J1481</f>
        <v>Nashville</v>
      </c>
      <c r="K1482" t="str">
        <f>Raw_Claims_Data!K1481</f>
        <v>TN</v>
      </c>
      <c r="L1482">
        <f>Raw_Claims_Data!L1481</f>
        <v>12</v>
      </c>
      <c r="M1482" t="str">
        <f>IF(Raw_Claims_Data!M1481="","N/A",Raw_Claims_Data!M1481)</f>
        <v>N/A</v>
      </c>
      <c r="N1482" t="str">
        <f>Raw_Claims_Data!N1481</f>
        <v>AGENT00482</v>
      </c>
      <c r="O1482">
        <f>IF(Raw_Claims_Data!G1481="D",1,0)</f>
        <v>0</v>
      </c>
    </row>
    <row r="1483" spans="1:15" x14ac:dyDescent="0.35">
      <c r="A1483" t="str">
        <f>Raw_Claims_Data!A1482</f>
        <v>TXN00001479</v>
      </c>
      <c r="B1483" t="str">
        <f>TRIM(Raw_Claims_Data!B1482)</f>
        <v>Denise Hayes</v>
      </c>
      <c r="C1483" t="str">
        <f>Raw_Claims_Data!C1482</f>
        <v>Property</v>
      </c>
      <c r="D1483">
        <f>Raw_Claims_Data!D1482</f>
        <v>109.2</v>
      </c>
      <c r="E1483">
        <f>Raw_Claims_Data!E1482</f>
        <v>10000</v>
      </c>
      <c r="F1483" t="str">
        <f>Raw_Claims_Data!F1482</f>
        <v>CT</v>
      </c>
      <c r="G1483" t="str">
        <f>Raw_Claims_Data!G1482</f>
        <v>A</v>
      </c>
      <c r="H1483" t="str">
        <f>Raw_Claims_Data!H1482</f>
        <v>Major Loss</v>
      </c>
      <c r="I1483" t="str">
        <f>IF(Raw_Claims_Data!I1482="","None",Raw_Claims_Data!I1482)</f>
        <v>Police</v>
      </c>
      <c r="J1483" t="str">
        <f>Raw_Claims_Data!J1482</f>
        <v>Panama City</v>
      </c>
      <c r="K1483" t="str">
        <f>Raw_Claims_Data!K1482</f>
        <v>FL</v>
      </c>
      <c r="L1483">
        <f>Raw_Claims_Data!L1482</f>
        <v>7</v>
      </c>
      <c r="M1483" t="str">
        <f>IF(Raw_Claims_Data!M1482="","N/A",Raw_Claims_Data!M1482)</f>
        <v>VNDR00499</v>
      </c>
      <c r="N1483" t="str">
        <f>Raw_Claims_Data!N1482</f>
        <v>AGENT00400</v>
      </c>
      <c r="O1483">
        <f>IF(Raw_Claims_Data!G1482="D",1,0)</f>
        <v>0</v>
      </c>
    </row>
    <row r="1484" spans="1:15" x14ac:dyDescent="0.35">
      <c r="A1484" t="str">
        <f>Raw_Claims_Data!A1483</f>
        <v>TXN00001480</v>
      </c>
      <c r="B1484" t="str">
        <f>TRIM(Raw_Claims_Data!B1483)</f>
        <v>James Cruz</v>
      </c>
      <c r="C1484" t="str">
        <f>Raw_Claims_Data!C1483</f>
        <v>Mobile</v>
      </c>
      <c r="D1484">
        <f>Raw_Claims_Data!D1483</f>
        <v>11.1</v>
      </c>
      <c r="E1484">
        <f>Raw_Claims_Data!E1483</f>
        <v>600</v>
      </c>
      <c r="F1484" t="str">
        <f>Raw_Claims_Data!F1483</f>
        <v>AR</v>
      </c>
      <c r="G1484" t="str">
        <f>Raw_Claims_Data!G1483</f>
        <v>A</v>
      </c>
      <c r="H1484" t="str">
        <f>Raw_Claims_Data!H1483</f>
        <v>Total Loss</v>
      </c>
      <c r="I1484" t="str">
        <f>IF(Raw_Claims_Data!I1483="","None",Raw_Claims_Data!I1483)</f>
        <v>Ambulance</v>
      </c>
      <c r="J1484" t="str">
        <f>Raw_Claims_Data!J1483</f>
        <v>Underhill</v>
      </c>
      <c r="K1484" t="str">
        <f>Raw_Claims_Data!K1483</f>
        <v>VT</v>
      </c>
      <c r="L1484">
        <f>Raw_Claims_Data!L1483</f>
        <v>7</v>
      </c>
      <c r="M1484" t="str">
        <f>IF(Raw_Claims_Data!M1483="","N/A",Raw_Claims_Data!M1483)</f>
        <v>N/A</v>
      </c>
      <c r="N1484" t="str">
        <f>Raw_Claims_Data!N1483</f>
        <v>AGENT00504</v>
      </c>
      <c r="O1484">
        <f>IF(Raw_Claims_Data!G1483="D",1,0)</f>
        <v>0</v>
      </c>
    </row>
    <row r="1485" spans="1:15" x14ac:dyDescent="0.35">
      <c r="A1485" t="str">
        <f>Raw_Claims_Data!A1484</f>
        <v>TXN00001481</v>
      </c>
      <c r="B1485" t="str">
        <f>TRIM(Raw_Claims_Data!B1484)</f>
        <v>Miguel Holland</v>
      </c>
      <c r="C1485" t="str">
        <f>Raw_Claims_Data!C1484</f>
        <v>Health</v>
      </c>
      <c r="D1485">
        <f>Raw_Claims_Data!D1484</f>
        <v>118.97</v>
      </c>
      <c r="E1485">
        <f>Raw_Claims_Data!E1484</f>
        <v>17000</v>
      </c>
      <c r="F1485" t="str">
        <f>Raw_Claims_Data!F1484</f>
        <v>MA</v>
      </c>
      <c r="G1485" t="str">
        <f>Raw_Claims_Data!G1484</f>
        <v>A</v>
      </c>
      <c r="H1485" t="str">
        <f>Raw_Claims_Data!H1484</f>
        <v>Major Loss</v>
      </c>
      <c r="I1485" t="str">
        <f>IF(Raw_Claims_Data!I1484="","None",Raw_Claims_Data!I1484)</f>
        <v>Police</v>
      </c>
      <c r="J1485" t="str">
        <f>Raw_Claims_Data!J1484</f>
        <v>Peabody</v>
      </c>
      <c r="K1485" t="str">
        <f>Raw_Claims_Data!K1484</f>
        <v>MA</v>
      </c>
      <c r="L1485">
        <f>Raw_Claims_Data!L1484</f>
        <v>23</v>
      </c>
      <c r="M1485" t="str">
        <f>IF(Raw_Claims_Data!M1484="","N/A",Raw_Claims_Data!M1484)</f>
        <v>VNDR00039</v>
      </c>
      <c r="N1485" t="str">
        <f>Raw_Claims_Data!N1484</f>
        <v>AGENT00558</v>
      </c>
      <c r="O1485">
        <f>IF(Raw_Claims_Data!G1484="D",1,0)</f>
        <v>0</v>
      </c>
    </row>
    <row r="1486" spans="1:15" x14ac:dyDescent="0.35">
      <c r="A1486" t="str">
        <f>Raw_Claims_Data!A1485</f>
        <v>TXN00001482</v>
      </c>
      <c r="B1486" t="str">
        <f>TRIM(Raw_Claims_Data!B1485)</f>
        <v>Joann Bane</v>
      </c>
      <c r="C1486" t="str">
        <f>Raw_Claims_Data!C1485</f>
        <v>Travel</v>
      </c>
      <c r="D1486">
        <f>Raw_Claims_Data!D1485</f>
        <v>84.84</v>
      </c>
      <c r="E1486">
        <f>Raw_Claims_Data!E1485</f>
        <v>2000</v>
      </c>
      <c r="F1486" t="str">
        <f>Raw_Claims_Data!F1485</f>
        <v>DC</v>
      </c>
      <c r="G1486" t="str">
        <f>Raw_Claims_Data!G1485</f>
        <v>A</v>
      </c>
      <c r="H1486" t="str">
        <f>Raw_Claims_Data!H1485</f>
        <v>Minor Loss</v>
      </c>
      <c r="I1486" t="str">
        <f>IF(Raw_Claims_Data!I1485="","None",Raw_Claims_Data!I1485)</f>
        <v>Ambulance</v>
      </c>
      <c r="J1486" t="str">
        <f>Raw_Claims_Data!J1485</f>
        <v>Nashville</v>
      </c>
      <c r="K1486" t="str">
        <f>Raw_Claims_Data!K1485</f>
        <v>TN</v>
      </c>
      <c r="L1486">
        <f>Raw_Claims_Data!L1485</f>
        <v>16</v>
      </c>
      <c r="M1486" t="str">
        <f>IF(Raw_Claims_Data!M1485="","N/A",Raw_Claims_Data!M1485)</f>
        <v>VNDR00364</v>
      </c>
      <c r="N1486" t="str">
        <f>Raw_Claims_Data!N1485</f>
        <v>AGENT00091</v>
      </c>
      <c r="O1486">
        <f>IF(Raw_Claims_Data!G1485="D",1,0)</f>
        <v>0</v>
      </c>
    </row>
    <row r="1487" spans="1:15" x14ac:dyDescent="0.35">
      <c r="A1487" t="str">
        <f>Raw_Claims_Data!A1486</f>
        <v>TXN00001483</v>
      </c>
      <c r="B1487" t="str">
        <f>TRIM(Raw_Claims_Data!B1486)</f>
        <v>Ann Rogers</v>
      </c>
      <c r="C1487" t="str">
        <f>Raw_Claims_Data!C1486</f>
        <v>Property</v>
      </c>
      <c r="D1487">
        <f>Raw_Claims_Data!D1486</f>
        <v>108.87</v>
      </c>
      <c r="E1487">
        <f>Raw_Claims_Data!E1486</f>
        <v>24000</v>
      </c>
      <c r="F1487" t="str">
        <f>Raw_Claims_Data!F1486</f>
        <v>TN</v>
      </c>
      <c r="G1487" t="str">
        <f>Raw_Claims_Data!G1486</f>
        <v>A</v>
      </c>
      <c r="H1487" t="str">
        <f>Raw_Claims_Data!H1486</f>
        <v>Major Loss</v>
      </c>
      <c r="I1487" t="str">
        <f>IF(Raw_Claims_Data!I1486="","None",Raw_Claims_Data!I1486)</f>
        <v>Other</v>
      </c>
      <c r="J1487" t="str">
        <f>Raw_Claims_Data!J1486</f>
        <v>Hingham</v>
      </c>
      <c r="K1487" t="str">
        <f>Raw_Claims_Data!K1486</f>
        <v>MA</v>
      </c>
      <c r="L1487">
        <f>Raw_Claims_Data!L1486</f>
        <v>5</v>
      </c>
      <c r="M1487" t="str">
        <f>IF(Raw_Claims_Data!M1486="","N/A",Raw_Claims_Data!M1486)</f>
        <v>N/A</v>
      </c>
      <c r="N1487" t="str">
        <f>Raw_Claims_Data!N1486</f>
        <v>AGENT00866</v>
      </c>
      <c r="O1487">
        <f>IF(Raw_Claims_Data!G1486="D",1,0)</f>
        <v>0</v>
      </c>
    </row>
    <row r="1488" spans="1:15" x14ac:dyDescent="0.35">
      <c r="A1488" t="str">
        <f>Raw_Claims_Data!A1487</f>
        <v>TXN00001484</v>
      </c>
      <c r="B1488" t="str">
        <f>TRIM(Raw_Claims_Data!B1487)</f>
        <v>Deborah Barker</v>
      </c>
      <c r="C1488" t="str">
        <f>Raw_Claims_Data!C1487</f>
        <v>Mobile</v>
      </c>
      <c r="D1488">
        <f>Raw_Claims_Data!D1487</f>
        <v>6.75</v>
      </c>
      <c r="E1488">
        <f>Raw_Claims_Data!E1487</f>
        <v>600</v>
      </c>
      <c r="F1488" t="str">
        <f>Raw_Claims_Data!F1487</f>
        <v>OK</v>
      </c>
      <c r="G1488" t="str">
        <f>Raw_Claims_Data!G1487</f>
        <v>A</v>
      </c>
      <c r="H1488" t="str">
        <f>Raw_Claims_Data!H1487</f>
        <v>Total Loss</v>
      </c>
      <c r="I1488" t="str">
        <f>IF(Raw_Claims_Data!I1487="","None",Raw_Claims_Data!I1487)</f>
        <v>Ambulance</v>
      </c>
      <c r="J1488" t="str">
        <f>Raw_Claims_Data!J1487</f>
        <v>Fayetteville</v>
      </c>
      <c r="K1488" t="str">
        <f>Raw_Claims_Data!K1487</f>
        <v>AR</v>
      </c>
      <c r="L1488">
        <f>Raw_Claims_Data!L1487</f>
        <v>15</v>
      </c>
      <c r="M1488" t="str">
        <f>IF(Raw_Claims_Data!M1487="","N/A",Raw_Claims_Data!M1487)</f>
        <v>VNDR00090</v>
      </c>
      <c r="N1488" t="str">
        <f>Raw_Claims_Data!N1487</f>
        <v>AGENT00456</v>
      </c>
      <c r="O1488">
        <f>IF(Raw_Claims_Data!G1487="D",1,0)</f>
        <v>0</v>
      </c>
    </row>
    <row r="1489" spans="1:15" x14ac:dyDescent="0.35">
      <c r="A1489" t="str">
        <f>Raw_Claims_Data!A1488</f>
        <v>TXN00001485</v>
      </c>
      <c r="B1489" t="str">
        <f>TRIM(Raw_Claims_Data!B1488)</f>
        <v>Harry Padilla</v>
      </c>
      <c r="C1489" t="str">
        <f>Raw_Claims_Data!C1488</f>
        <v>Travel</v>
      </c>
      <c r="D1489">
        <f>Raw_Claims_Data!D1488</f>
        <v>76.569999999999993</v>
      </c>
      <c r="E1489">
        <f>Raw_Claims_Data!E1488</f>
        <v>4000</v>
      </c>
      <c r="F1489" t="str">
        <f>Raw_Claims_Data!F1488</f>
        <v>CO</v>
      </c>
      <c r="G1489" t="str">
        <f>Raw_Claims_Data!G1488</f>
        <v>A</v>
      </c>
      <c r="H1489" t="str">
        <f>Raw_Claims_Data!H1488</f>
        <v>Total Loss</v>
      </c>
      <c r="I1489" t="str">
        <f>IF(Raw_Claims_Data!I1488="","None",Raw_Claims_Data!I1488)</f>
        <v>Other</v>
      </c>
      <c r="J1489" t="str">
        <f>Raw_Claims_Data!J1488</f>
        <v>Montgomery</v>
      </c>
      <c r="K1489" t="str">
        <f>Raw_Claims_Data!K1488</f>
        <v>AL</v>
      </c>
      <c r="L1489">
        <f>Raw_Claims_Data!L1488</f>
        <v>20</v>
      </c>
      <c r="M1489" t="str">
        <f>IF(Raw_Claims_Data!M1488="","N/A",Raw_Claims_Data!M1488)</f>
        <v>VNDR00462</v>
      </c>
      <c r="N1489" t="str">
        <f>Raw_Claims_Data!N1488</f>
        <v>AGENT00418</v>
      </c>
      <c r="O1489">
        <f>IF(Raw_Claims_Data!G1488="D",1,0)</f>
        <v>0</v>
      </c>
    </row>
    <row r="1490" spans="1:15" x14ac:dyDescent="0.35">
      <c r="A1490" t="str">
        <f>Raw_Claims_Data!A1489</f>
        <v>TXN00001486</v>
      </c>
      <c r="B1490" t="str">
        <f>TRIM(Raw_Claims_Data!B1489)</f>
        <v>John Albers</v>
      </c>
      <c r="C1490" t="str">
        <f>Raw_Claims_Data!C1489</f>
        <v>Mobile</v>
      </c>
      <c r="D1490">
        <f>Raw_Claims_Data!D1489</f>
        <v>10.82</v>
      </c>
      <c r="E1490">
        <f>Raw_Claims_Data!E1489</f>
        <v>300</v>
      </c>
      <c r="F1490" t="str">
        <f>Raw_Claims_Data!F1489</f>
        <v>VT</v>
      </c>
      <c r="G1490" t="str">
        <f>Raw_Claims_Data!G1489</f>
        <v>A</v>
      </c>
      <c r="H1490" t="str">
        <f>Raw_Claims_Data!H1489</f>
        <v>Minor Loss</v>
      </c>
      <c r="I1490" t="str">
        <f>IF(Raw_Claims_Data!I1489="","None",Raw_Claims_Data!I1489)</f>
        <v>Ambulance</v>
      </c>
      <c r="J1490" t="str">
        <f>Raw_Claims_Data!J1489</f>
        <v>Manchester</v>
      </c>
      <c r="K1490" t="str">
        <f>Raw_Claims_Data!K1489</f>
        <v>CT</v>
      </c>
      <c r="L1490">
        <f>Raw_Claims_Data!L1489</f>
        <v>0</v>
      </c>
      <c r="M1490" t="str">
        <f>IF(Raw_Claims_Data!M1489="","N/A",Raw_Claims_Data!M1489)</f>
        <v>N/A</v>
      </c>
      <c r="N1490" t="str">
        <f>Raw_Claims_Data!N1489</f>
        <v>AGENT01156</v>
      </c>
      <c r="O1490">
        <f>IF(Raw_Claims_Data!G1489="D",1,0)</f>
        <v>0</v>
      </c>
    </row>
    <row r="1491" spans="1:15" x14ac:dyDescent="0.35">
      <c r="A1491" t="str">
        <f>Raw_Claims_Data!A1490</f>
        <v>TXN00001487</v>
      </c>
      <c r="B1491" t="str">
        <f>TRIM(Raw_Claims_Data!B1490)</f>
        <v>Joseph Wingate</v>
      </c>
      <c r="C1491" t="str">
        <f>Raw_Claims_Data!C1490</f>
        <v>Mobile</v>
      </c>
      <c r="D1491">
        <f>Raw_Claims_Data!D1490</f>
        <v>6.39</v>
      </c>
      <c r="E1491">
        <f>Raw_Claims_Data!E1490</f>
        <v>700</v>
      </c>
      <c r="F1491" t="str">
        <f>Raw_Claims_Data!F1490</f>
        <v>GA</v>
      </c>
      <c r="G1491" t="str">
        <f>Raw_Claims_Data!G1490</f>
        <v>A</v>
      </c>
      <c r="H1491" t="str">
        <f>Raw_Claims_Data!H1490</f>
        <v>Total Loss</v>
      </c>
      <c r="I1491" t="str">
        <f>IF(Raw_Claims_Data!I1490="","None",Raw_Claims_Data!I1490)</f>
        <v>Ambulance</v>
      </c>
      <c r="J1491" t="str">
        <f>Raw_Claims_Data!J1490</f>
        <v>Louisville</v>
      </c>
      <c r="K1491" t="str">
        <f>Raw_Claims_Data!K1490</f>
        <v>KY</v>
      </c>
      <c r="L1491">
        <f>Raw_Claims_Data!L1490</f>
        <v>15</v>
      </c>
      <c r="M1491" t="str">
        <f>IF(Raw_Claims_Data!M1490="","N/A",Raw_Claims_Data!M1490)</f>
        <v>N/A</v>
      </c>
      <c r="N1491" t="str">
        <f>Raw_Claims_Data!N1490</f>
        <v>AGENT01152</v>
      </c>
      <c r="O1491">
        <f>IF(Raw_Claims_Data!G1490="D",1,0)</f>
        <v>0</v>
      </c>
    </row>
    <row r="1492" spans="1:15" x14ac:dyDescent="0.35">
      <c r="A1492" t="str">
        <f>Raw_Claims_Data!A1491</f>
        <v>TXN00001488</v>
      </c>
      <c r="B1492" t="str">
        <f>TRIM(Raw_Claims_Data!B1491)</f>
        <v>Sheila Douglas</v>
      </c>
      <c r="C1492" t="str">
        <f>Raw_Claims_Data!C1491</f>
        <v>Life</v>
      </c>
      <c r="D1492">
        <f>Raw_Claims_Data!D1491</f>
        <v>61.55</v>
      </c>
      <c r="E1492">
        <f>Raw_Claims_Data!E1491</f>
        <v>83000</v>
      </c>
      <c r="F1492" t="str">
        <f>Raw_Claims_Data!F1491</f>
        <v>CA</v>
      </c>
      <c r="G1492" t="str">
        <f>Raw_Claims_Data!G1491</f>
        <v>A</v>
      </c>
      <c r="H1492" t="str">
        <f>Raw_Claims_Data!H1491</f>
        <v>Major Loss</v>
      </c>
      <c r="I1492" t="str">
        <f>IF(Raw_Claims_Data!I1491="","None",Raw_Claims_Data!I1491)</f>
        <v>Police</v>
      </c>
      <c r="J1492" t="str">
        <f>Raw_Claims_Data!J1491</f>
        <v>Nashville</v>
      </c>
      <c r="K1492" t="str">
        <f>Raw_Claims_Data!K1491</f>
        <v>TN</v>
      </c>
      <c r="L1492">
        <f>Raw_Claims_Data!L1491</f>
        <v>7</v>
      </c>
      <c r="M1492" t="str">
        <f>IF(Raw_Claims_Data!M1491="","N/A",Raw_Claims_Data!M1491)</f>
        <v>N/A</v>
      </c>
      <c r="N1492" t="str">
        <f>Raw_Claims_Data!N1491</f>
        <v>AGENT00490</v>
      </c>
      <c r="O1492">
        <f>IF(Raw_Claims_Data!G1491="D",1,0)</f>
        <v>0</v>
      </c>
    </row>
    <row r="1493" spans="1:15" x14ac:dyDescent="0.35">
      <c r="A1493" t="str">
        <f>Raw_Claims_Data!A1492</f>
        <v>TXN00001489</v>
      </c>
      <c r="B1493" t="str">
        <f>TRIM(Raw_Claims_Data!B1492)</f>
        <v>Harry Norris</v>
      </c>
      <c r="C1493" t="str">
        <f>Raw_Claims_Data!C1492</f>
        <v>Life</v>
      </c>
      <c r="D1493">
        <f>Raw_Claims_Data!D1492</f>
        <v>84.16</v>
      </c>
      <c r="E1493">
        <f>Raw_Claims_Data!E1492</f>
        <v>14000</v>
      </c>
      <c r="F1493" t="str">
        <f>Raw_Claims_Data!F1492</f>
        <v>MA</v>
      </c>
      <c r="G1493" t="str">
        <f>Raw_Claims_Data!G1492</f>
        <v>A</v>
      </c>
      <c r="H1493" t="str">
        <f>Raw_Claims_Data!H1492</f>
        <v>Major Loss</v>
      </c>
      <c r="I1493" t="str">
        <f>IF(Raw_Claims_Data!I1492="","None",Raw_Claims_Data!I1492)</f>
        <v>Police</v>
      </c>
      <c r="J1493" t="str">
        <f>Raw_Claims_Data!J1492</f>
        <v>Fayetteville</v>
      </c>
      <c r="K1493" t="str">
        <f>Raw_Claims_Data!K1492</f>
        <v>AR</v>
      </c>
      <c r="L1493">
        <f>Raw_Claims_Data!L1492</f>
        <v>7</v>
      </c>
      <c r="M1493" t="str">
        <f>IF(Raw_Claims_Data!M1492="","N/A",Raw_Claims_Data!M1492)</f>
        <v>VNDR00575</v>
      </c>
      <c r="N1493" t="str">
        <f>Raw_Claims_Data!N1492</f>
        <v>AGENT01145</v>
      </c>
      <c r="O1493">
        <f>IF(Raw_Claims_Data!G1492="D",1,0)</f>
        <v>0</v>
      </c>
    </row>
    <row r="1494" spans="1:15" x14ac:dyDescent="0.35">
      <c r="A1494" t="str">
        <f>Raw_Claims_Data!A1493</f>
        <v>TXN00001490</v>
      </c>
      <c r="B1494" t="str">
        <f>TRIM(Raw_Claims_Data!B1493)</f>
        <v>Reginald Guercio</v>
      </c>
      <c r="C1494" t="str">
        <f>Raw_Claims_Data!C1493</f>
        <v>Life</v>
      </c>
      <c r="D1494">
        <f>Raw_Claims_Data!D1493</f>
        <v>88.16</v>
      </c>
      <c r="E1494">
        <f>Raw_Claims_Data!E1493</f>
        <v>21000</v>
      </c>
      <c r="F1494" t="str">
        <f>Raw_Claims_Data!F1493</f>
        <v>FL</v>
      </c>
      <c r="G1494" t="str">
        <f>Raw_Claims_Data!G1493</f>
        <v>A</v>
      </c>
      <c r="H1494" t="str">
        <f>Raw_Claims_Data!H1493</f>
        <v>Minor Loss</v>
      </c>
      <c r="I1494" t="str">
        <f>IF(Raw_Claims_Data!I1493="","None",Raw_Claims_Data!I1493)</f>
        <v>Ambulance</v>
      </c>
      <c r="J1494" t="str">
        <f>Raw_Claims_Data!J1493</f>
        <v>Panama City</v>
      </c>
      <c r="K1494" t="str">
        <f>Raw_Claims_Data!K1493</f>
        <v>FL</v>
      </c>
      <c r="L1494">
        <f>Raw_Claims_Data!L1493</f>
        <v>20</v>
      </c>
      <c r="M1494" t="str">
        <f>IF(Raw_Claims_Data!M1493="","N/A",Raw_Claims_Data!M1493)</f>
        <v>VNDR00395</v>
      </c>
      <c r="N1494" t="str">
        <f>Raw_Claims_Data!N1493</f>
        <v>AGENT00041</v>
      </c>
      <c r="O1494">
        <f>IF(Raw_Claims_Data!G1493="D",1,0)</f>
        <v>0</v>
      </c>
    </row>
    <row r="1495" spans="1:15" x14ac:dyDescent="0.35">
      <c r="A1495" t="str">
        <f>Raw_Claims_Data!A1494</f>
        <v>TXN00001491</v>
      </c>
      <c r="B1495" t="str">
        <f>TRIM(Raw_Claims_Data!B1494)</f>
        <v>Naomi Spriggs</v>
      </c>
      <c r="C1495" t="str">
        <f>Raw_Claims_Data!C1494</f>
        <v>Mobile</v>
      </c>
      <c r="D1495">
        <f>Raw_Claims_Data!D1494</f>
        <v>8.0299999999999994</v>
      </c>
      <c r="E1495">
        <f>Raw_Claims_Data!E1494</f>
        <v>100</v>
      </c>
      <c r="F1495" t="str">
        <f>Raw_Claims_Data!F1494</f>
        <v>CT</v>
      </c>
      <c r="G1495" t="str">
        <f>Raw_Claims_Data!G1494</f>
        <v>A</v>
      </c>
      <c r="H1495" t="str">
        <f>Raw_Claims_Data!H1494</f>
        <v>Total Loss</v>
      </c>
      <c r="I1495" t="str">
        <f>IF(Raw_Claims_Data!I1494="","None",Raw_Claims_Data!I1494)</f>
        <v>Ambulance</v>
      </c>
      <c r="J1495" t="str">
        <f>Raw_Claims_Data!J1494</f>
        <v>Castro Valley</v>
      </c>
      <c r="K1495" t="str">
        <f>Raw_Claims_Data!K1494</f>
        <v>CA</v>
      </c>
      <c r="L1495">
        <f>Raw_Claims_Data!L1494</f>
        <v>11</v>
      </c>
      <c r="M1495" t="str">
        <f>IF(Raw_Claims_Data!M1494="","N/A",Raw_Claims_Data!M1494)</f>
        <v>N/A</v>
      </c>
      <c r="N1495" t="str">
        <f>Raw_Claims_Data!N1494</f>
        <v>AGENT01163</v>
      </c>
      <c r="O1495">
        <f>IF(Raw_Claims_Data!G1494="D",1,0)</f>
        <v>0</v>
      </c>
    </row>
    <row r="1496" spans="1:15" x14ac:dyDescent="0.35">
      <c r="A1496" t="str">
        <f>Raw_Claims_Data!A1495</f>
        <v>TXN00001492</v>
      </c>
      <c r="B1496" t="str">
        <f>TRIM(Raw_Claims_Data!B1495)</f>
        <v>Lance Angles</v>
      </c>
      <c r="C1496" t="str">
        <f>Raw_Claims_Data!C1495</f>
        <v>Property</v>
      </c>
      <c r="D1496">
        <f>Raw_Claims_Data!D1495</f>
        <v>115.25</v>
      </c>
      <c r="E1496">
        <f>Raw_Claims_Data!E1495</f>
        <v>32000</v>
      </c>
      <c r="F1496" t="str">
        <f>Raw_Claims_Data!F1495</f>
        <v>CA</v>
      </c>
      <c r="G1496" t="str">
        <f>Raw_Claims_Data!G1495</f>
        <v>A</v>
      </c>
      <c r="H1496" t="str">
        <f>Raw_Claims_Data!H1495</f>
        <v>Total Loss</v>
      </c>
      <c r="I1496" t="str">
        <f>IF(Raw_Claims_Data!I1495="","None",Raw_Claims_Data!I1495)</f>
        <v>Police</v>
      </c>
      <c r="J1496" t="str">
        <f>Raw_Claims_Data!J1495</f>
        <v>Oakland</v>
      </c>
      <c r="K1496" t="str">
        <f>Raw_Claims_Data!K1495</f>
        <v>CA</v>
      </c>
      <c r="L1496">
        <f>Raw_Claims_Data!L1495</f>
        <v>16</v>
      </c>
      <c r="M1496" t="str">
        <f>IF(Raw_Claims_Data!M1495="","N/A",Raw_Claims_Data!M1495)</f>
        <v>VNDR00385</v>
      </c>
      <c r="N1496" t="str">
        <f>Raw_Claims_Data!N1495</f>
        <v>AGENT00849</v>
      </c>
      <c r="O1496">
        <f>IF(Raw_Claims_Data!G1495="D",1,0)</f>
        <v>0</v>
      </c>
    </row>
    <row r="1497" spans="1:15" x14ac:dyDescent="0.35">
      <c r="A1497" t="str">
        <f>Raw_Claims_Data!A1496</f>
        <v>TXN00001493</v>
      </c>
      <c r="B1497" t="str">
        <f>TRIM(Raw_Claims_Data!B1496)</f>
        <v>Kyle Richardson</v>
      </c>
      <c r="C1497" t="str">
        <f>Raw_Claims_Data!C1496</f>
        <v>Motor</v>
      </c>
      <c r="D1497">
        <f>Raw_Claims_Data!D1496</f>
        <v>84.23</v>
      </c>
      <c r="E1497">
        <f>Raw_Claims_Data!E1496</f>
        <v>7000</v>
      </c>
      <c r="F1497" t="str">
        <f>Raw_Claims_Data!F1496</f>
        <v>MD</v>
      </c>
      <c r="G1497" t="str">
        <f>Raw_Claims_Data!G1496</f>
        <v>D</v>
      </c>
      <c r="H1497" t="str">
        <f>Raw_Claims_Data!H1496</f>
        <v>Major Loss</v>
      </c>
      <c r="I1497" t="str">
        <f>IF(Raw_Claims_Data!I1496="","None",Raw_Claims_Data!I1496)</f>
        <v>Ambulance</v>
      </c>
      <c r="J1497" t="str">
        <f>Raw_Claims_Data!J1496</f>
        <v>Crofton</v>
      </c>
      <c r="K1497" t="str">
        <f>Raw_Claims_Data!K1496</f>
        <v>MD</v>
      </c>
      <c r="L1497">
        <f>Raw_Claims_Data!L1496</f>
        <v>18</v>
      </c>
      <c r="M1497" t="str">
        <f>IF(Raw_Claims_Data!M1496="","N/A",Raw_Claims_Data!M1496)</f>
        <v>VNDR00423</v>
      </c>
      <c r="N1497" t="str">
        <f>Raw_Claims_Data!N1496</f>
        <v>AGENT00407</v>
      </c>
      <c r="O1497">
        <f>IF(Raw_Claims_Data!G1496="D",1,0)</f>
        <v>1</v>
      </c>
    </row>
    <row r="1498" spans="1:15" x14ac:dyDescent="0.35">
      <c r="A1498" t="str">
        <f>Raw_Claims_Data!A1497</f>
        <v>TXN00001494</v>
      </c>
      <c r="B1498" t="str">
        <f>TRIM(Raw_Claims_Data!B1497)</f>
        <v>Mary Owen</v>
      </c>
      <c r="C1498" t="str">
        <f>Raw_Claims_Data!C1497</f>
        <v>Motor</v>
      </c>
      <c r="D1498">
        <f>Raw_Claims_Data!D1497</f>
        <v>82.4</v>
      </c>
      <c r="E1498">
        <f>Raw_Claims_Data!E1497</f>
        <v>7000</v>
      </c>
      <c r="F1498" t="str">
        <f>Raw_Claims_Data!F1497</f>
        <v>TN</v>
      </c>
      <c r="G1498" t="str">
        <f>Raw_Claims_Data!G1497</f>
        <v>A</v>
      </c>
      <c r="H1498" t="str">
        <f>Raw_Claims_Data!H1497</f>
        <v>Total Loss</v>
      </c>
      <c r="I1498" t="str">
        <f>IF(Raw_Claims_Data!I1497="","None",Raw_Claims_Data!I1497)</f>
        <v>Police</v>
      </c>
      <c r="J1498" t="str">
        <f>Raw_Claims_Data!J1497</f>
        <v>Anchorage</v>
      </c>
      <c r="K1498" t="str">
        <f>Raw_Claims_Data!K1497</f>
        <v>AK</v>
      </c>
      <c r="L1498">
        <f>Raw_Claims_Data!L1497</f>
        <v>6</v>
      </c>
      <c r="M1498" t="str">
        <f>IF(Raw_Claims_Data!M1497="","N/A",Raw_Claims_Data!M1497)</f>
        <v>VNDR00544</v>
      </c>
      <c r="N1498" t="str">
        <f>Raw_Claims_Data!N1497</f>
        <v>AGENT00093</v>
      </c>
      <c r="O1498">
        <f>IF(Raw_Claims_Data!G1497="D",1,0)</f>
        <v>0</v>
      </c>
    </row>
    <row r="1499" spans="1:15" x14ac:dyDescent="0.35">
      <c r="A1499" t="str">
        <f>Raw_Claims_Data!A1498</f>
        <v>TXN00001495</v>
      </c>
      <c r="B1499" t="str">
        <f>TRIM(Raw_Claims_Data!B1498)</f>
        <v>Kenneth Currie</v>
      </c>
      <c r="C1499" t="str">
        <f>Raw_Claims_Data!C1498</f>
        <v>Health</v>
      </c>
      <c r="D1499">
        <f>Raw_Claims_Data!D1498</f>
        <v>108.98</v>
      </c>
      <c r="E1499">
        <f>Raw_Claims_Data!E1498</f>
        <v>20000</v>
      </c>
      <c r="F1499" t="str">
        <f>Raw_Claims_Data!F1498</f>
        <v>OK</v>
      </c>
      <c r="G1499" t="str">
        <f>Raw_Claims_Data!G1498</f>
        <v>A</v>
      </c>
      <c r="H1499" t="str">
        <f>Raw_Claims_Data!H1498</f>
        <v>Major Loss</v>
      </c>
      <c r="I1499" t="str">
        <f>IF(Raw_Claims_Data!I1498="","None",Raw_Claims_Data!I1498)</f>
        <v>Ambulance</v>
      </c>
      <c r="J1499" t="str">
        <f>Raw_Claims_Data!J1498</f>
        <v>Nashville</v>
      </c>
      <c r="K1499" t="str">
        <f>Raw_Claims_Data!K1498</f>
        <v>TN</v>
      </c>
      <c r="L1499">
        <f>Raw_Claims_Data!L1498</f>
        <v>9</v>
      </c>
      <c r="M1499" t="str">
        <f>IF(Raw_Claims_Data!M1498="","N/A",Raw_Claims_Data!M1498)</f>
        <v>N/A</v>
      </c>
      <c r="N1499" t="str">
        <f>Raw_Claims_Data!N1498</f>
        <v>AGENT00361</v>
      </c>
      <c r="O1499">
        <f>IF(Raw_Claims_Data!G1498="D",1,0)</f>
        <v>0</v>
      </c>
    </row>
    <row r="1500" spans="1:15" x14ac:dyDescent="0.35">
      <c r="A1500" t="str">
        <f>Raw_Claims_Data!A1499</f>
        <v>TXN00001496</v>
      </c>
      <c r="B1500" t="str">
        <f>TRIM(Raw_Claims_Data!B1499)</f>
        <v>Anastasia Hawk</v>
      </c>
      <c r="C1500" t="str">
        <f>Raw_Claims_Data!C1499</f>
        <v>Motor</v>
      </c>
      <c r="D1500">
        <f>Raw_Claims_Data!D1499</f>
        <v>120.92</v>
      </c>
      <c r="E1500">
        <f>Raw_Claims_Data!E1499</f>
        <v>9000</v>
      </c>
      <c r="F1500" t="str">
        <f>Raw_Claims_Data!F1499</f>
        <v>KY</v>
      </c>
      <c r="G1500" t="str">
        <f>Raw_Claims_Data!G1499</f>
        <v>A</v>
      </c>
      <c r="H1500" t="str">
        <f>Raw_Claims_Data!H1499</f>
        <v>Minor Loss</v>
      </c>
      <c r="I1500" t="str">
        <f>IF(Raw_Claims_Data!I1499="","None",Raw_Claims_Data!I1499)</f>
        <v>Police</v>
      </c>
      <c r="J1500" t="str">
        <f>Raw_Claims_Data!J1499</f>
        <v>Washington</v>
      </c>
      <c r="K1500" t="str">
        <f>Raw_Claims_Data!K1499</f>
        <v>DC</v>
      </c>
      <c r="L1500">
        <f>Raw_Claims_Data!L1499</f>
        <v>3</v>
      </c>
      <c r="M1500" t="str">
        <f>IF(Raw_Claims_Data!M1499="","N/A",Raw_Claims_Data!M1499)</f>
        <v>VNDR00234</v>
      </c>
      <c r="N1500" t="str">
        <f>Raw_Claims_Data!N1499</f>
        <v>AGENT00026</v>
      </c>
      <c r="O1500">
        <f>IF(Raw_Claims_Data!G1499="D",1,0)</f>
        <v>0</v>
      </c>
    </row>
    <row r="1501" spans="1:15" x14ac:dyDescent="0.35">
      <c r="A1501" t="str">
        <f>Raw_Claims_Data!A1500</f>
        <v>TXN00001497</v>
      </c>
      <c r="B1501" t="str">
        <f>TRIM(Raw_Claims_Data!B1500)</f>
        <v>Hal Holland</v>
      </c>
      <c r="C1501" t="str">
        <f>Raw_Claims_Data!C1500</f>
        <v>Life</v>
      </c>
      <c r="D1501">
        <f>Raw_Claims_Data!D1500</f>
        <v>99.28</v>
      </c>
      <c r="E1501">
        <f>Raw_Claims_Data!E1500</f>
        <v>34000</v>
      </c>
      <c r="F1501" t="str">
        <f>Raw_Claims_Data!F1500</f>
        <v>TN</v>
      </c>
      <c r="G1501" t="str">
        <f>Raw_Claims_Data!G1500</f>
        <v>A</v>
      </c>
      <c r="H1501" t="str">
        <f>Raw_Claims_Data!H1500</f>
        <v>Major Loss</v>
      </c>
      <c r="I1501" t="str">
        <f>IF(Raw_Claims_Data!I1500="","None",Raw_Claims_Data!I1500)</f>
        <v>Police</v>
      </c>
      <c r="J1501" t="str">
        <f>Raw_Claims_Data!J1500</f>
        <v>Glendale</v>
      </c>
      <c r="K1501" t="str">
        <f>Raw_Claims_Data!K1500</f>
        <v>AZ</v>
      </c>
      <c r="L1501">
        <f>Raw_Claims_Data!L1500</f>
        <v>17</v>
      </c>
      <c r="M1501" t="str">
        <f>IF(Raw_Claims_Data!M1500="","N/A",Raw_Claims_Data!M1500)</f>
        <v>VNDR00193</v>
      </c>
      <c r="N1501" t="str">
        <f>Raw_Claims_Data!N1500</f>
        <v>AGENT00298</v>
      </c>
      <c r="O1501">
        <f>IF(Raw_Claims_Data!G1500="D",1,0)</f>
        <v>0</v>
      </c>
    </row>
    <row r="1502" spans="1:15" x14ac:dyDescent="0.35">
      <c r="A1502" t="str">
        <f>Raw_Claims_Data!A1501</f>
        <v>TXN00001498</v>
      </c>
      <c r="B1502" t="str">
        <f>TRIM(Raw_Claims_Data!B1501)</f>
        <v>Ruthie Shea</v>
      </c>
      <c r="C1502" t="str">
        <f>Raw_Claims_Data!C1501</f>
        <v>Mobile</v>
      </c>
      <c r="D1502">
        <f>Raw_Claims_Data!D1501</f>
        <v>11.38</v>
      </c>
      <c r="E1502">
        <f>Raw_Claims_Data!E1501</f>
        <v>400</v>
      </c>
      <c r="F1502" t="str">
        <f>Raw_Claims_Data!F1501</f>
        <v>GA</v>
      </c>
      <c r="G1502" t="str">
        <f>Raw_Claims_Data!G1501</f>
        <v>A</v>
      </c>
      <c r="H1502" t="str">
        <f>Raw_Claims_Data!H1501</f>
        <v>Major Loss</v>
      </c>
      <c r="I1502" t="str">
        <f>IF(Raw_Claims_Data!I1501="","None",Raw_Claims_Data!I1501)</f>
        <v>Police</v>
      </c>
      <c r="J1502" t="str">
        <f>Raw_Claims_Data!J1501</f>
        <v>Panama City</v>
      </c>
      <c r="K1502" t="str">
        <f>Raw_Claims_Data!K1501</f>
        <v>FL</v>
      </c>
      <c r="L1502">
        <f>Raw_Claims_Data!L1501</f>
        <v>21</v>
      </c>
      <c r="M1502" t="str">
        <f>IF(Raw_Claims_Data!M1501="","N/A",Raw_Claims_Data!M1501)</f>
        <v>N/A</v>
      </c>
      <c r="N1502" t="str">
        <f>Raw_Claims_Data!N1501</f>
        <v>AGENT01182</v>
      </c>
      <c r="O1502">
        <f>IF(Raw_Claims_Data!G1501="D",1,0)</f>
        <v>0</v>
      </c>
    </row>
    <row r="1503" spans="1:15" x14ac:dyDescent="0.35">
      <c r="A1503" t="str">
        <f>Raw_Claims_Data!A1502</f>
        <v>TXN00001499</v>
      </c>
      <c r="B1503" t="str">
        <f>TRIM(Raw_Claims_Data!B1502)</f>
        <v>Sharon Butler</v>
      </c>
      <c r="C1503" t="str">
        <f>Raw_Claims_Data!C1502</f>
        <v>Life</v>
      </c>
      <c r="D1503">
        <f>Raw_Claims_Data!D1502</f>
        <v>82.99</v>
      </c>
      <c r="E1503">
        <f>Raw_Claims_Data!E1502</f>
        <v>41000</v>
      </c>
      <c r="F1503" t="str">
        <f>Raw_Claims_Data!F1502</f>
        <v>CA</v>
      </c>
      <c r="G1503" t="str">
        <f>Raw_Claims_Data!G1502</f>
        <v>A</v>
      </c>
      <c r="H1503" t="str">
        <f>Raw_Claims_Data!H1502</f>
        <v>Minor Loss</v>
      </c>
      <c r="I1503" t="str">
        <f>IF(Raw_Claims_Data!I1502="","None",Raw_Claims_Data!I1502)</f>
        <v>Other</v>
      </c>
      <c r="J1503" t="str">
        <f>Raw_Claims_Data!J1502</f>
        <v>Anchorage</v>
      </c>
      <c r="K1503" t="str">
        <f>Raw_Claims_Data!K1502</f>
        <v>AK</v>
      </c>
      <c r="L1503">
        <f>Raw_Claims_Data!L1502</f>
        <v>17</v>
      </c>
      <c r="M1503" t="str">
        <f>IF(Raw_Claims_Data!M1502="","N/A",Raw_Claims_Data!M1502)</f>
        <v>VNDR00162</v>
      </c>
      <c r="N1503" t="str">
        <f>Raw_Claims_Data!N1502</f>
        <v>AGENT00646</v>
      </c>
      <c r="O1503">
        <f>IF(Raw_Claims_Data!G1502="D",1,0)</f>
        <v>0</v>
      </c>
    </row>
    <row r="1504" spans="1:15" x14ac:dyDescent="0.35">
      <c r="A1504" t="str">
        <f>Raw_Claims_Data!A1503</f>
        <v>TXN00001500</v>
      </c>
      <c r="B1504" t="str">
        <f>TRIM(Raw_Claims_Data!B1503)</f>
        <v>Nickolas Blanchard</v>
      </c>
      <c r="C1504" t="str">
        <f>Raw_Claims_Data!C1503</f>
        <v>Health</v>
      </c>
      <c r="D1504">
        <f>Raw_Claims_Data!D1503</f>
        <v>174.84</v>
      </c>
      <c r="E1504">
        <f>Raw_Claims_Data!E1503</f>
        <v>3000</v>
      </c>
      <c r="F1504" t="str">
        <f>Raw_Claims_Data!F1503</f>
        <v>KY</v>
      </c>
      <c r="G1504" t="str">
        <f>Raw_Claims_Data!G1503</f>
        <v>A</v>
      </c>
      <c r="H1504" t="str">
        <f>Raw_Claims_Data!H1503</f>
        <v>Major Loss</v>
      </c>
      <c r="I1504" t="str">
        <f>IF(Raw_Claims_Data!I1503="","None",Raw_Claims_Data!I1503)</f>
        <v>None</v>
      </c>
      <c r="J1504" t="str">
        <f>Raw_Claims_Data!J1503</f>
        <v>Greeley</v>
      </c>
      <c r="K1504" t="str">
        <f>Raw_Claims_Data!K1503</f>
        <v>CO</v>
      </c>
      <c r="L1504">
        <f>Raw_Claims_Data!L1503</f>
        <v>16</v>
      </c>
      <c r="M1504" t="str">
        <f>IF(Raw_Claims_Data!M1503="","N/A",Raw_Claims_Data!M1503)</f>
        <v>VNDR00122</v>
      </c>
      <c r="N1504" t="str">
        <f>Raw_Claims_Data!N1503</f>
        <v>AGENT00013</v>
      </c>
      <c r="O1504">
        <f>IF(Raw_Claims_Data!G1503="D",1,0)</f>
        <v>0</v>
      </c>
    </row>
    <row r="1505" spans="1:15" x14ac:dyDescent="0.35">
      <c r="A1505" t="str">
        <f>Raw_Claims_Data!A1504</f>
        <v>TXN00001501</v>
      </c>
      <c r="B1505" t="str">
        <f>TRIM(Raw_Claims_Data!B1504)</f>
        <v>Jessie Laubhan</v>
      </c>
      <c r="C1505" t="str">
        <f>Raw_Claims_Data!C1504</f>
        <v>Health</v>
      </c>
      <c r="D1505">
        <f>Raw_Claims_Data!D1504</f>
        <v>192.39</v>
      </c>
      <c r="E1505">
        <f>Raw_Claims_Data!E1504</f>
        <v>1000</v>
      </c>
      <c r="F1505" t="str">
        <f>Raw_Claims_Data!F1504</f>
        <v>AR</v>
      </c>
      <c r="G1505" t="str">
        <f>Raw_Claims_Data!G1504</f>
        <v>A</v>
      </c>
      <c r="H1505" t="str">
        <f>Raw_Claims_Data!H1504</f>
        <v>Total Loss</v>
      </c>
      <c r="I1505" t="str">
        <f>IF(Raw_Claims_Data!I1504="","None",Raw_Claims_Data!I1504)</f>
        <v>Ambulance</v>
      </c>
      <c r="J1505" t="str">
        <f>Raw_Claims_Data!J1504</f>
        <v>Attleboro</v>
      </c>
      <c r="K1505" t="str">
        <f>Raw_Claims_Data!K1504</f>
        <v>MA</v>
      </c>
      <c r="L1505">
        <f>Raw_Claims_Data!L1504</f>
        <v>17</v>
      </c>
      <c r="M1505" t="str">
        <f>IF(Raw_Claims_Data!M1504="","N/A",Raw_Claims_Data!M1504)</f>
        <v>N/A</v>
      </c>
      <c r="N1505" t="str">
        <f>Raw_Claims_Data!N1504</f>
        <v>AGENT01060</v>
      </c>
      <c r="O1505">
        <f>IF(Raw_Claims_Data!G1504="D",1,0)</f>
        <v>0</v>
      </c>
    </row>
    <row r="1506" spans="1:15" x14ac:dyDescent="0.35">
      <c r="A1506" t="str">
        <f>Raw_Claims_Data!A1505</f>
        <v>TXN00001502</v>
      </c>
      <c r="B1506" t="str">
        <f>TRIM(Raw_Claims_Data!B1505)</f>
        <v>Louise Wilson</v>
      </c>
      <c r="C1506" t="str">
        <f>Raw_Claims_Data!C1505</f>
        <v>Health</v>
      </c>
      <c r="D1506">
        <f>Raw_Claims_Data!D1505</f>
        <v>197.71</v>
      </c>
      <c r="E1506">
        <f>Raw_Claims_Data!E1505</f>
        <v>6000</v>
      </c>
      <c r="F1506" t="str">
        <f>Raw_Claims_Data!F1505</f>
        <v>FL</v>
      </c>
      <c r="G1506" t="str">
        <f>Raw_Claims_Data!G1505</f>
        <v>A</v>
      </c>
      <c r="H1506" t="str">
        <f>Raw_Claims_Data!H1505</f>
        <v>Minor Loss</v>
      </c>
      <c r="I1506" t="str">
        <f>IF(Raw_Claims_Data!I1505="","None",Raw_Claims_Data!I1505)</f>
        <v>Ambulance</v>
      </c>
      <c r="J1506" t="str">
        <f>Raw_Claims_Data!J1505</f>
        <v>Savannah</v>
      </c>
      <c r="K1506" t="str">
        <f>Raw_Claims_Data!K1505</f>
        <v>GA</v>
      </c>
      <c r="L1506">
        <f>Raw_Claims_Data!L1505</f>
        <v>14</v>
      </c>
      <c r="M1506" t="str">
        <f>IF(Raw_Claims_Data!M1505="","N/A",Raw_Claims_Data!M1505)</f>
        <v>VNDR00361</v>
      </c>
      <c r="N1506" t="str">
        <f>Raw_Claims_Data!N1505</f>
        <v>AGENT00070</v>
      </c>
      <c r="O1506">
        <f>IF(Raw_Claims_Data!G1505="D",1,0)</f>
        <v>0</v>
      </c>
    </row>
    <row r="1507" spans="1:15" x14ac:dyDescent="0.35">
      <c r="A1507" t="str">
        <f>Raw_Claims_Data!A1506</f>
        <v>TXN00001503</v>
      </c>
      <c r="B1507" t="str">
        <f>TRIM(Raw_Claims_Data!B1506)</f>
        <v>Madelyn Riojas</v>
      </c>
      <c r="C1507" t="str">
        <f>Raw_Claims_Data!C1506</f>
        <v>Health</v>
      </c>
      <c r="D1507">
        <f>Raw_Claims_Data!D1506</f>
        <v>195.69</v>
      </c>
      <c r="E1507">
        <f>Raw_Claims_Data!E1506</f>
        <v>12000</v>
      </c>
      <c r="F1507" t="str">
        <f>Raw_Claims_Data!F1506</f>
        <v>CT</v>
      </c>
      <c r="G1507" t="str">
        <f>Raw_Claims_Data!G1506</f>
        <v>A</v>
      </c>
      <c r="H1507" t="str">
        <f>Raw_Claims_Data!H1506</f>
        <v>Major Loss</v>
      </c>
      <c r="I1507" t="str">
        <f>IF(Raw_Claims_Data!I1506="","None",Raw_Claims_Data!I1506)</f>
        <v>Police</v>
      </c>
      <c r="J1507" t="str">
        <f>Raw_Claims_Data!J1506</f>
        <v>Millersville</v>
      </c>
      <c r="K1507" t="str">
        <f>Raw_Claims_Data!K1506</f>
        <v>MD</v>
      </c>
      <c r="L1507">
        <f>Raw_Claims_Data!L1506</f>
        <v>11</v>
      </c>
      <c r="M1507" t="str">
        <f>IF(Raw_Claims_Data!M1506="","N/A",Raw_Claims_Data!M1506)</f>
        <v>N/A</v>
      </c>
      <c r="N1507" t="str">
        <f>Raw_Claims_Data!N1506</f>
        <v>AGENT00947</v>
      </c>
      <c r="O1507">
        <f>IF(Raw_Claims_Data!G1506="D",1,0)</f>
        <v>0</v>
      </c>
    </row>
    <row r="1508" spans="1:15" x14ac:dyDescent="0.35">
      <c r="A1508" t="str">
        <f>Raw_Claims_Data!A1507</f>
        <v>TXN00001504</v>
      </c>
      <c r="B1508" t="str">
        <f>TRIM(Raw_Claims_Data!B1507)</f>
        <v>Lorraine Perry</v>
      </c>
      <c r="C1508" t="str">
        <f>Raw_Claims_Data!C1507</f>
        <v>Life</v>
      </c>
      <c r="D1508">
        <f>Raw_Claims_Data!D1507</f>
        <v>81.28</v>
      </c>
      <c r="E1508">
        <f>Raw_Claims_Data!E1507</f>
        <v>88000</v>
      </c>
      <c r="F1508" t="str">
        <f>Raw_Claims_Data!F1507</f>
        <v>OK</v>
      </c>
      <c r="G1508" t="str">
        <f>Raw_Claims_Data!G1507</f>
        <v>A</v>
      </c>
      <c r="H1508" t="str">
        <f>Raw_Claims_Data!H1507</f>
        <v>Major Loss</v>
      </c>
      <c r="I1508" t="str">
        <f>IF(Raw_Claims_Data!I1507="","None",Raw_Claims_Data!I1507)</f>
        <v>Police</v>
      </c>
      <c r="J1508" t="str">
        <f>Raw_Claims_Data!J1507</f>
        <v>Lynn Haven</v>
      </c>
      <c r="K1508" t="str">
        <f>Raw_Claims_Data!K1507</f>
        <v>FL</v>
      </c>
      <c r="L1508">
        <f>Raw_Claims_Data!L1507</f>
        <v>19</v>
      </c>
      <c r="M1508" t="str">
        <f>IF(Raw_Claims_Data!M1507="","N/A",Raw_Claims_Data!M1507)</f>
        <v>VNDR00297</v>
      </c>
      <c r="N1508" t="str">
        <f>Raw_Claims_Data!N1507</f>
        <v>AGENT00776</v>
      </c>
      <c r="O1508">
        <f>IF(Raw_Claims_Data!G1507="D",1,0)</f>
        <v>0</v>
      </c>
    </row>
    <row r="1509" spans="1:15" x14ac:dyDescent="0.35">
      <c r="A1509" t="str">
        <f>Raw_Claims_Data!A1508</f>
        <v>TXN00001505</v>
      </c>
      <c r="B1509" t="str">
        <f>TRIM(Raw_Claims_Data!B1508)</f>
        <v>Kelly Valenzuela</v>
      </c>
      <c r="C1509" t="str">
        <f>Raw_Claims_Data!C1508</f>
        <v>Mobile</v>
      </c>
      <c r="D1509">
        <f>Raw_Claims_Data!D1508</f>
        <v>8.9</v>
      </c>
      <c r="E1509">
        <f>Raw_Claims_Data!E1508</f>
        <v>300</v>
      </c>
      <c r="F1509" t="str">
        <f>Raw_Claims_Data!F1508</f>
        <v>CT</v>
      </c>
      <c r="G1509" t="str">
        <f>Raw_Claims_Data!G1508</f>
        <v>A</v>
      </c>
      <c r="H1509" t="str">
        <f>Raw_Claims_Data!H1508</f>
        <v>Minor Loss</v>
      </c>
      <c r="I1509" t="str">
        <f>IF(Raw_Claims_Data!I1508="","None",Raw_Claims_Data!I1508)</f>
        <v>Police</v>
      </c>
      <c r="J1509" t="str">
        <f>Raw_Claims_Data!J1508</f>
        <v>Savannah</v>
      </c>
      <c r="K1509" t="str">
        <f>Raw_Claims_Data!K1508</f>
        <v>GA</v>
      </c>
      <c r="L1509">
        <f>Raw_Claims_Data!L1508</f>
        <v>22</v>
      </c>
      <c r="M1509" t="str">
        <f>IF(Raw_Claims_Data!M1508="","N/A",Raw_Claims_Data!M1508)</f>
        <v>N/A</v>
      </c>
      <c r="N1509" t="str">
        <f>Raw_Claims_Data!N1508</f>
        <v>AGENT00581</v>
      </c>
      <c r="O1509">
        <f>IF(Raw_Claims_Data!G1508="D",1,0)</f>
        <v>0</v>
      </c>
    </row>
    <row r="1510" spans="1:15" x14ac:dyDescent="0.35">
      <c r="A1510" t="str">
        <f>Raw_Claims_Data!A1509</f>
        <v>TXN00001506</v>
      </c>
      <c r="B1510" t="str">
        <f>TRIM(Raw_Claims_Data!B1509)</f>
        <v>Mary Lamarche</v>
      </c>
      <c r="C1510" t="str">
        <f>Raw_Claims_Data!C1509</f>
        <v>Travel</v>
      </c>
      <c r="D1510">
        <f>Raw_Claims_Data!D1509</f>
        <v>81.62</v>
      </c>
      <c r="E1510">
        <f>Raw_Claims_Data!E1509</f>
        <v>1000</v>
      </c>
      <c r="F1510" t="str">
        <f>Raw_Claims_Data!F1509</f>
        <v>CA</v>
      </c>
      <c r="G1510" t="str">
        <f>Raw_Claims_Data!G1509</f>
        <v>D</v>
      </c>
      <c r="H1510" t="str">
        <f>Raw_Claims_Data!H1509</f>
        <v>Major Loss</v>
      </c>
      <c r="I1510" t="str">
        <f>IF(Raw_Claims_Data!I1509="","None",Raw_Claims_Data!I1509)</f>
        <v>Ambulance</v>
      </c>
      <c r="J1510" t="str">
        <f>Raw_Claims_Data!J1509</f>
        <v>Everett</v>
      </c>
      <c r="K1510" t="str">
        <f>Raw_Claims_Data!K1509</f>
        <v>MA</v>
      </c>
      <c r="L1510">
        <f>Raw_Claims_Data!L1509</f>
        <v>20</v>
      </c>
      <c r="M1510" t="str">
        <f>IF(Raw_Claims_Data!M1509="","N/A",Raw_Claims_Data!M1509)</f>
        <v>VNDR00001</v>
      </c>
      <c r="N1510" t="str">
        <f>Raw_Claims_Data!N1509</f>
        <v>AGENT00038</v>
      </c>
      <c r="O1510">
        <f>IF(Raw_Claims_Data!G1509="D",1,0)</f>
        <v>1</v>
      </c>
    </row>
    <row r="1511" spans="1:15" x14ac:dyDescent="0.35">
      <c r="A1511" t="str">
        <f>Raw_Claims_Data!A1510</f>
        <v>TXN00001507</v>
      </c>
      <c r="B1511" t="str">
        <f>TRIM(Raw_Claims_Data!B1510)</f>
        <v>James Sindelar</v>
      </c>
      <c r="C1511" t="str">
        <f>Raw_Claims_Data!C1510</f>
        <v>Mobile</v>
      </c>
      <c r="D1511">
        <f>Raw_Claims_Data!D1510</f>
        <v>8.1300000000000008</v>
      </c>
      <c r="E1511">
        <f>Raw_Claims_Data!E1510</f>
        <v>600</v>
      </c>
      <c r="F1511" t="str">
        <f>Raw_Claims_Data!F1510</f>
        <v>MD</v>
      </c>
      <c r="G1511" t="str">
        <f>Raw_Claims_Data!G1510</f>
        <v>A</v>
      </c>
      <c r="H1511" t="str">
        <f>Raw_Claims_Data!H1510</f>
        <v>Minor Loss</v>
      </c>
      <c r="I1511" t="str">
        <f>IF(Raw_Claims_Data!I1510="","None",Raw_Claims_Data!I1510)</f>
        <v>Police</v>
      </c>
      <c r="J1511" t="str">
        <f>Raw_Claims_Data!J1510</f>
        <v>Manchester</v>
      </c>
      <c r="K1511" t="str">
        <f>Raw_Claims_Data!K1510</f>
        <v>CT</v>
      </c>
      <c r="L1511">
        <f>Raw_Claims_Data!L1510</f>
        <v>7</v>
      </c>
      <c r="M1511" t="str">
        <f>IF(Raw_Claims_Data!M1510="","N/A",Raw_Claims_Data!M1510)</f>
        <v>N/A</v>
      </c>
      <c r="N1511" t="str">
        <f>Raw_Claims_Data!N1510</f>
        <v>AGENT00158</v>
      </c>
      <c r="O1511">
        <f>IF(Raw_Claims_Data!G1510="D",1,0)</f>
        <v>0</v>
      </c>
    </row>
    <row r="1512" spans="1:15" x14ac:dyDescent="0.35">
      <c r="A1512" t="str">
        <f>Raw_Claims_Data!A1511</f>
        <v>TXN00001508</v>
      </c>
      <c r="B1512" t="str">
        <f>TRIM(Raw_Claims_Data!B1511)</f>
        <v>Juanita Merten</v>
      </c>
      <c r="C1512" t="str">
        <f>Raw_Claims_Data!C1511</f>
        <v>Travel</v>
      </c>
      <c r="D1512">
        <f>Raw_Claims_Data!D1511</f>
        <v>54.14</v>
      </c>
      <c r="E1512">
        <f>Raw_Claims_Data!E1511</f>
        <v>5000</v>
      </c>
      <c r="F1512" t="str">
        <f>Raw_Claims_Data!F1511</f>
        <v>OK</v>
      </c>
      <c r="G1512" t="str">
        <f>Raw_Claims_Data!G1511</f>
        <v>A</v>
      </c>
      <c r="H1512" t="str">
        <f>Raw_Claims_Data!H1511</f>
        <v>Minor Loss</v>
      </c>
      <c r="I1512" t="str">
        <f>IF(Raw_Claims_Data!I1511="","None",Raw_Claims_Data!I1511)</f>
        <v>Ambulance</v>
      </c>
      <c r="J1512" t="str">
        <f>Raw_Claims_Data!J1511</f>
        <v>Manchester</v>
      </c>
      <c r="K1512" t="str">
        <f>Raw_Claims_Data!K1511</f>
        <v>CT</v>
      </c>
      <c r="L1512">
        <f>Raw_Claims_Data!L1511</f>
        <v>1</v>
      </c>
      <c r="M1512" t="str">
        <f>IF(Raw_Claims_Data!M1511="","N/A",Raw_Claims_Data!M1511)</f>
        <v>VNDR00107</v>
      </c>
      <c r="N1512" t="str">
        <f>Raw_Claims_Data!N1511</f>
        <v>AGENT00660</v>
      </c>
      <c r="O1512">
        <f>IF(Raw_Claims_Data!G1511="D",1,0)</f>
        <v>0</v>
      </c>
    </row>
    <row r="1513" spans="1:15" x14ac:dyDescent="0.35">
      <c r="A1513" t="str">
        <f>Raw_Claims_Data!A1512</f>
        <v>TXN00001509</v>
      </c>
      <c r="B1513" t="str">
        <f>TRIM(Raw_Claims_Data!B1512)</f>
        <v>Bianca Kilday</v>
      </c>
      <c r="C1513" t="str">
        <f>Raw_Claims_Data!C1512</f>
        <v>Property</v>
      </c>
      <c r="D1513">
        <f>Raw_Claims_Data!D1512</f>
        <v>84.19</v>
      </c>
      <c r="E1513">
        <f>Raw_Claims_Data!E1512</f>
        <v>29000</v>
      </c>
      <c r="F1513" t="str">
        <f>Raw_Claims_Data!F1512</f>
        <v>CO</v>
      </c>
      <c r="G1513" t="str">
        <f>Raw_Claims_Data!G1512</f>
        <v>A</v>
      </c>
      <c r="H1513" t="str">
        <f>Raw_Claims_Data!H1512</f>
        <v>Major Loss</v>
      </c>
      <c r="I1513" t="str">
        <f>IF(Raw_Claims_Data!I1512="","None",Raw_Claims_Data!I1512)</f>
        <v>Ambulance</v>
      </c>
      <c r="J1513" t="str">
        <f>Raw_Claims_Data!J1512</f>
        <v>Panama City</v>
      </c>
      <c r="K1513" t="str">
        <f>Raw_Claims_Data!K1512</f>
        <v>FL</v>
      </c>
      <c r="L1513">
        <f>Raw_Claims_Data!L1512</f>
        <v>5</v>
      </c>
      <c r="M1513" t="str">
        <f>IF(Raw_Claims_Data!M1512="","N/A",Raw_Claims_Data!M1512)</f>
        <v>N/A</v>
      </c>
      <c r="N1513" t="str">
        <f>Raw_Claims_Data!N1512</f>
        <v>AGENT00259</v>
      </c>
      <c r="O1513">
        <f>IF(Raw_Claims_Data!G1512="D",1,0)</f>
        <v>0</v>
      </c>
    </row>
    <row r="1514" spans="1:15" x14ac:dyDescent="0.35">
      <c r="A1514" t="str">
        <f>Raw_Claims_Data!A1513</f>
        <v>TXN00001510</v>
      </c>
      <c r="B1514" t="str">
        <f>TRIM(Raw_Claims_Data!B1513)</f>
        <v>Eileen Stephenson</v>
      </c>
      <c r="C1514" t="str">
        <f>Raw_Claims_Data!C1513</f>
        <v>Health</v>
      </c>
      <c r="D1514">
        <f>Raw_Claims_Data!D1513</f>
        <v>127.34</v>
      </c>
      <c r="E1514">
        <f>Raw_Claims_Data!E1513</f>
        <v>12000</v>
      </c>
      <c r="F1514" t="str">
        <f>Raw_Claims_Data!F1513</f>
        <v>MA</v>
      </c>
      <c r="G1514" t="str">
        <f>Raw_Claims_Data!G1513</f>
        <v>A</v>
      </c>
      <c r="H1514" t="str">
        <f>Raw_Claims_Data!H1513</f>
        <v>Total Loss</v>
      </c>
      <c r="I1514" t="str">
        <f>IF(Raw_Claims_Data!I1513="","None",Raw_Claims_Data!I1513)</f>
        <v>Ambulance</v>
      </c>
      <c r="J1514" t="str">
        <f>Raw_Claims_Data!J1513</f>
        <v>Nashville</v>
      </c>
      <c r="K1514" t="str">
        <f>Raw_Claims_Data!K1513</f>
        <v>TN</v>
      </c>
      <c r="L1514">
        <f>Raw_Claims_Data!L1513</f>
        <v>22</v>
      </c>
      <c r="M1514" t="str">
        <f>IF(Raw_Claims_Data!M1513="","N/A",Raw_Claims_Data!M1513)</f>
        <v>VNDR00002</v>
      </c>
      <c r="N1514" t="str">
        <f>Raw_Claims_Data!N1513</f>
        <v>AGENT00318</v>
      </c>
      <c r="O1514">
        <f>IF(Raw_Claims_Data!G1513="D",1,0)</f>
        <v>0</v>
      </c>
    </row>
    <row r="1515" spans="1:15" x14ac:dyDescent="0.35">
      <c r="A1515" t="str">
        <f>Raw_Claims_Data!A1514</f>
        <v>TXN00001511</v>
      </c>
      <c r="B1515" t="str">
        <f>TRIM(Raw_Claims_Data!B1514)</f>
        <v>Kristin Womack</v>
      </c>
      <c r="C1515" t="str">
        <f>Raw_Claims_Data!C1514</f>
        <v>Health</v>
      </c>
      <c r="D1515">
        <f>Raw_Claims_Data!D1514</f>
        <v>164.81</v>
      </c>
      <c r="E1515">
        <f>Raw_Claims_Data!E1514</f>
        <v>12000</v>
      </c>
      <c r="F1515" t="str">
        <f>Raw_Claims_Data!F1514</f>
        <v>TN</v>
      </c>
      <c r="G1515" t="str">
        <f>Raw_Claims_Data!G1514</f>
        <v>A</v>
      </c>
      <c r="H1515" t="str">
        <f>Raw_Claims_Data!H1514</f>
        <v>Minor Loss</v>
      </c>
      <c r="I1515" t="str">
        <f>IF(Raw_Claims_Data!I1514="","None",Raw_Claims_Data!I1514)</f>
        <v>None</v>
      </c>
      <c r="J1515" t="str">
        <f>Raw_Claims_Data!J1514</f>
        <v>Mountain View</v>
      </c>
      <c r="K1515" t="str">
        <f>Raw_Claims_Data!K1514</f>
        <v>CA</v>
      </c>
      <c r="L1515">
        <f>Raw_Claims_Data!L1514</f>
        <v>20</v>
      </c>
      <c r="M1515" t="str">
        <f>IF(Raw_Claims_Data!M1514="","N/A",Raw_Claims_Data!M1514)</f>
        <v>VNDR00488</v>
      </c>
      <c r="N1515" t="str">
        <f>Raw_Claims_Data!N1514</f>
        <v>AGENT00379</v>
      </c>
      <c r="O1515">
        <f>IF(Raw_Claims_Data!G1514="D",1,0)</f>
        <v>0</v>
      </c>
    </row>
    <row r="1516" spans="1:15" x14ac:dyDescent="0.35">
      <c r="A1516" t="str">
        <f>Raw_Claims_Data!A1515</f>
        <v>TXN00001512</v>
      </c>
      <c r="B1516" t="str">
        <f>TRIM(Raw_Claims_Data!B1515)</f>
        <v>Suzanne Minnich</v>
      </c>
      <c r="C1516" t="str">
        <f>Raw_Claims_Data!C1515</f>
        <v>Health</v>
      </c>
      <c r="D1516">
        <f>Raw_Claims_Data!D1515</f>
        <v>102.25</v>
      </c>
      <c r="E1516">
        <f>Raw_Claims_Data!E1515</f>
        <v>9000</v>
      </c>
      <c r="F1516" t="str">
        <f>Raw_Claims_Data!F1515</f>
        <v>CT</v>
      </c>
      <c r="G1516" t="str">
        <f>Raw_Claims_Data!G1515</f>
        <v>A</v>
      </c>
      <c r="H1516" t="str">
        <f>Raw_Claims_Data!H1515</f>
        <v>Total Loss</v>
      </c>
      <c r="I1516" t="str">
        <f>IF(Raw_Claims_Data!I1515="","None",Raw_Claims_Data!I1515)</f>
        <v>None</v>
      </c>
      <c r="J1516" t="str">
        <f>Raw_Claims_Data!J1515</f>
        <v>Anchorage</v>
      </c>
      <c r="K1516" t="str">
        <f>Raw_Claims_Data!K1515</f>
        <v>AK</v>
      </c>
      <c r="L1516">
        <f>Raw_Claims_Data!L1515</f>
        <v>7</v>
      </c>
      <c r="M1516" t="str">
        <f>IF(Raw_Claims_Data!M1515="","N/A",Raw_Claims_Data!M1515)</f>
        <v>VNDR00317</v>
      </c>
      <c r="N1516" t="str">
        <f>Raw_Claims_Data!N1515</f>
        <v>AGENT00981</v>
      </c>
      <c r="O1516">
        <f>IF(Raw_Claims_Data!G1515="D",1,0)</f>
        <v>0</v>
      </c>
    </row>
    <row r="1517" spans="1:15" x14ac:dyDescent="0.35">
      <c r="A1517" t="str">
        <f>Raw_Claims_Data!A1516</f>
        <v>TXN00001513</v>
      </c>
      <c r="B1517" t="str">
        <f>TRIM(Raw_Claims_Data!B1516)</f>
        <v>Ann Luebke</v>
      </c>
      <c r="C1517" t="str">
        <f>Raw_Claims_Data!C1516</f>
        <v>Health</v>
      </c>
      <c r="D1517">
        <f>Raw_Claims_Data!D1516</f>
        <v>161.88</v>
      </c>
      <c r="E1517">
        <f>Raw_Claims_Data!E1516</f>
        <v>12000</v>
      </c>
      <c r="F1517" t="str">
        <f>Raw_Claims_Data!F1516</f>
        <v>CA</v>
      </c>
      <c r="G1517" t="str">
        <f>Raw_Claims_Data!G1516</f>
        <v>A</v>
      </c>
      <c r="H1517" t="str">
        <f>Raw_Claims_Data!H1516</f>
        <v>Minor Loss</v>
      </c>
      <c r="I1517" t="str">
        <f>IF(Raw_Claims_Data!I1516="","None",Raw_Claims_Data!I1516)</f>
        <v>None</v>
      </c>
      <c r="J1517" t="str">
        <f>Raw_Claims_Data!J1516</f>
        <v>Medford</v>
      </c>
      <c r="K1517" t="str">
        <f>Raw_Claims_Data!K1516</f>
        <v>MA</v>
      </c>
      <c r="L1517">
        <f>Raw_Claims_Data!L1516</f>
        <v>5</v>
      </c>
      <c r="M1517" t="str">
        <f>IF(Raw_Claims_Data!M1516="","N/A",Raw_Claims_Data!M1516)</f>
        <v>N/A</v>
      </c>
      <c r="N1517" t="str">
        <f>Raw_Claims_Data!N1516</f>
        <v>AGENT00205</v>
      </c>
      <c r="O1517">
        <f>IF(Raw_Claims_Data!G1516="D",1,0)</f>
        <v>0</v>
      </c>
    </row>
    <row r="1518" spans="1:15" x14ac:dyDescent="0.35">
      <c r="A1518" t="str">
        <f>Raw_Claims_Data!A1517</f>
        <v>TXN00001514</v>
      </c>
      <c r="B1518" t="str">
        <f>TRIM(Raw_Claims_Data!B1517)</f>
        <v>Alexander Anderson</v>
      </c>
      <c r="C1518" t="str">
        <f>Raw_Claims_Data!C1517</f>
        <v>Health</v>
      </c>
      <c r="D1518">
        <f>Raw_Claims_Data!D1517</f>
        <v>112.91</v>
      </c>
      <c r="E1518">
        <f>Raw_Claims_Data!E1517</f>
        <v>6000</v>
      </c>
      <c r="F1518" t="str">
        <f>Raw_Claims_Data!F1517</f>
        <v>MA</v>
      </c>
      <c r="G1518" t="str">
        <f>Raw_Claims_Data!G1517</f>
        <v>A</v>
      </c>
      <c r="H1518" t="str">
        <f>Raw_Claims_Data!H1517</f>
        <v>Total Loss</v>
      </c>
      <c r="I1518" t="str">
        <f>IF(Raw_Claims_Data!I1517="","None",Raw_Claims_Data!I1517)</f>
        <v>Police</v>
      </c>
      <c r="J1518" t="str">
        <f>Raw_Claims_Data!J1517</f>
        <v>Bakersfield</v>
      </c>
      <c r="K1518" t="str">
        <f>Raw_Claims_Data!K1517</f>
        <v>CA</v>
      </c>
      <c r="L1518">
        <f>Raw_Claims_Data!L1517</f>
        <v>11</v>
      </c>
      <c r="M1518" t="str">
        <f>IF(Raw_Claims_Data!M1517="","N/A",Raw_Claims_Data!M1517)</f>
        <v>N/A</v>
      </c>
      <c r="N1518" t="str">
        <f>Raw_Claims_Data!N1517</f>
        <v>AGENT00591</v>
      </c>
      <c r="O1518">
        <f>IF(Raw_Claims_Data!G1517="D",1,0)</f>
        <v>0</v>
      </c>
    </row>
    <row r="1519" spans="1:15" x14ac:dyDescent="0.35">
      <c r="A1519" t="str">
        <f>Raw_Claims_Data!A1518</f>
        <v>TXN00001515</v>
      </c>
      <c r="B1519" t="str">
        <f>TRIM(Raw_Claims_Data!B1518)</f>
        <v>Danielle Allen</v>
      </c>
      <c r="C1519" t="str">
        <f>Raw_Claims_Data!C1518</f>
        <v>Mobile</v>
      </c>
      <c r="D1519">
        <f>Raw_Claims_Data!D1518</f>
        <v>8.33</v>
      </c>
      <c r="E1519">
        <f>Raw_Claims_Data!E1518</f>
        <v>200</v>
      </c>
      <c r="F1519" t="str">
        <f>Raw_Claims_Data!F1518</f>
        <v>AR</v>
      </c>
      <c r="G1519" t="str">
        <f>Raw_Claims_Data!G1518</f>
        <v>A</v>
      </c>
      <c r="H1519" t="str">
        <f>Raw_Claims_Data!H1518</f>
        <v>Major Loss</v>
      </c>
      <c r="I1519" t="str">
        <f>IF(Raw_Claims_Data!I1518="","None",Raw_Claims_Data!I1518)</f>
        <v>Police</v>
      </c>
      <c r="J1519" t="str">
        <f>Raw_Claims_Data!J1518</f>
        <v>Anchorage</v>
      </c>
      <c r="K1519" t="str">
        <f>Raw_Claims_Data!K1518</f>
        <v>AK</v>
      </c>
      <c r="L1519">
        <f>Raw_Claims_Data!L1518</f>
        <v>19</v>
      </c>
      <c r="M1519" t="str">
        <f>IF(Raw_Claims_Data!M1518="","N/A",Raw_Claims_Data!M1518)</f>
        <v>VNDR00190</v>
      </c>
      <c r="N1519" t="str">
        <f>Raw_Claims_Data!N1518</f>
        <v>AGENT00620</v>
      </c>
      <c r="O1519">
        <f>IF(Raw_Claims_Data!G1518="D",1,0)</f>
        <v>0</v>
      </c>
    </row>
    <row r="1520" spans="1:15" x14ac:dyDescent="0.35">
      <c r="A1520" t="str">
        <f>Raw_Claims_Data!A1519</f>
        <v>TXN00001516</v>
      </c>
      <c r="B1520" t="str">
        <f>TRIM(Raw_Claims_Data!B1519)</f>
        <v>Ralph Dockery</v>
      </c>
      <c r="C1520" t="str">
        <f>Raw_Claims_Data!C1519</f>
        <v>Mobile</v>
      </c>
      <c r="D1520">
        <f>Raw_Claims_Data!D1519</f>
        <v>10.25</v>
      </c>
      <c r="E1520">
        <f>Raw_Claims_Data!E1519</f>
        <v>500</v>
      </c>
      <c r="F1520" t="str">
        <f>Raw_Claims_Data!F1519</f>
        <v>VT</v>
      </c>
      <c r="G1520" t="str">
        <f>Raw_Claims_Data!G1519</f>
        <v>A</v>
      </c>
      <c r="H1520" t="str">
        <f>Raw_Claims_Data!H1519</f>
        <v>Minor Loss</v>
      </c>
      <c r="I1520" t="str">
        <f>IF(Raw_Claims_Data!I1519="","None",Raw_Claims_Data!I1519)</f>
        <v>Ambulance</v>
      </c>
      <c r="J1520" t="str">
        <f>Raw_Claims_Data!J1519</f>
        <v>Waddell</v>
      </c>
      <c r="K1520" t="str">
        <f>Raw_Claims_Data!K1519</f>
        <v>AZ</v>
      </c>
      <c r="L1520">
        <f>Raw_Claims_Data!L1519</f>
        <v>6</v>
      </c>
      <c r="M1520" t="str">
        <f>IF(Raw_Claims_Data!M1519="","N/A",Raw_Claims_Data!M1519)</f>
        <v>VNDR00307</v>
      </c>
      <c r="N1520" t="str">
        <f>Raw_Claims_Data!N1519</f>
        <v>AGENT00320</v>
      </c>
      <c r="O1520">
        <f>IF(Raw_Claims_Data!G1519="D",1,0)</f>
        <v>0</v>
      </c>
    </row>
    <row r="1521" spans="1:15" x14ac:dyDescent="0.35">
      <c r="A1521" t="str">
        <f>Raw_Claims_Data!A1520</f>
        <v>TXN00001517</v>
      </c>
      <c r="B1521" t="str">
        <f>TRIM(Raw_Claims_Data!B1520)</f>
        <v>Elroy Renner</v>
      </c>
      <c r="C1521" t="str">
        <f>Raw_Claims_Data!C1520</f>
        <v>Motor</v>
      </c>
      <c r="D1521">
        <f>Raw_Claims_Data!D1520</f>
        <v>101.72</v>
      </c>
      <c r="E1521">
        <f>Raw_Claims_Data!E1520</f>
        <v>8000</v>
      </c>
      <c r="F1521" t="str">
        <f>Raw_Claims_Data!F1520</f>
        <v>TN</v>
      </c>
      <c r="G1521" t="str">
        <f>Raw_Claims_Data!G1520</f>
        <v>A</v>
      </c>
      <c r="H1521" t="str">
        <f>Raw_Claims_Data!H1520</f>
        <v>Minor Loss</v>
      </c>
      <c r="I1521" t="str">
        <f>IF(Raw_Claims_Data!I1520="","None",Raw_Claims_Data!I1520)</f>
        <v>Ambulance</v>
      </c>
      <c r="J1521" t="str">
        <f>Raw_Claims_Data!J1520</f>
        <v>Panama City Beach</v>
      </c>
      <c r="K1521" t="str">
        <f>Raw_Claims_Data!K1520</f>
        <v>FL</v>
      </c>
      <c r="L1521">
        <f>Raw_Claims_Data!L1520</f>
        <v>7</v>
      </c>
      <c r="M1521" t="str">
        <f>IF(Raw_Claims_Data!M1520="","N/A",Raw_Claims_Data!M1520)</f>
        <v>N/A</v>
      </c>
      <c r="N1521" t="str">
        <f>Raw_Claims_Data!N1520</f>
        <v>AGENT00046</v>
      </c>
      <c r="O1521">
        <f>IF(Raw_Claims_Data!G1520="D",1,0)</f>
        <v>0</v>
      </c>
    </row>
    <row r="1522" spans="1:15" x14ac:dyDescent="0.35">
      <c r="A1522" t="str">
        <f>Raw_Claims_Data!A1521</f>
        <v>TXN00001518</v>
      </c>
      <c r="B1522" t="str">
        <f>TRIM(Raw_Claims_Data!B1521)</f>
        <v>Lester Tanaka</v>
      </c>
      <c r="C1522" t="str">
        <f>Raw_Claims_Data!C1521</f>
        <v>Travel</v>
      </c>
      <c r="D1522">
        <f>Raw_Claims_Data!D1521</f>
        <v>95.57</v>
      </c>
      <c r="E1522">
        <f>Raw_Claims_Data!E1521</f>
        <v>5000</v>
      </c>
      <c r="F1522" t="str">
        <f>Raw_Claims_Data!F1521</f>
        <v>FL</v>
      </c>
      <c r="G1522" t="str">
        <f>Raw_Claims_Data!G1521</f>
        <v>A</v>
      </c>
      <c r="H1522" t="str">
        <f>Raw_Claims_Data!H1521</f>
        <v>Minor Loss</v>
      </c>
      <c r="I1522" t="str">
        <f>IF(Raw_Claims_Data!I1521="","None",Raw_Claims_Data!I1521)</f>
        <v>Ambulance</v>
      </c>
      <c r="J1522" t="str">
        <f>Raw_Claims_Data!J1521</f>
        <v>Essex</v>
      </c>
      <c r="K1522" t="str">
        <f>Raw_Claims_Data!K1521</f>
        <v>VT</v>
      </c>
      <c r="L1522">
        <f>Raw_Claims_Data!L1521</f>
        <v>9</v>
      </c>
      <c r="M1522" t="str">
        <f>IF(Raw_Claims_Data!M1521="","N/A",Raw_Claims_Data!M1521)</f>
        <v>VNDR00407</v>
      </c>
      <c r="N1522" t="str">
        <f>Raw_Claims_Data!N1521</f>
        <v>AGENT00623</v>
      </c>
      <c r="O1522">
        <f>IF(Raw_Claims_Data!G1521="D",1,0)</f>
        <v>0</v>
      </c>
    </row>
    <row r="1523" spans="1:15" x14ac:dyDescent="0.35">
      <c r="A1523" t="str">
        <f>Raw_Claims_Data!A1522</f>
        <v>TXN00001519</v>
      </c>
      <c r="B1523" t="str">
        <f>TRIM(Raw_Claims_Data!B1522)</f>
        <v>Helen Craze</v>
      </c>
      <c r="C1523" t="str">
        <f>Raw_Claims_Data!C1522</f>
        <v>Property</v>
      </c>
      <c r="D1523">
        <f>Raw_Claims_Data!D1522</f>
        <v>85.75</v>
      </c>
      <c r="E1523">
        <f>Raw_Claims_Data!E1522</f>
        <v>26000</v>
      </c>
      <c r="F1523" t="str">
        <f>Raw_Claims_Data!F1522</f>
        <v>AL</v>
      </c>
      <c r="G1523" t="str">
        <f>Raw_Claims_Data!G1522</f>
        <v>A</v>
      </c>
      <c r="H1523" t="str">
        <f>Raw_Claims_Data!H1522</f>
        <v>Total Loss</v>
      </c>
      <c r="I1523" t="str">
        <f>IF(Raw_Claims_Data!I1522="","None",Raw_Claims_Data!I1522)</f>
        <v>Ambulance</v>
      </c>
      <c r="J1523" t="str">
        <f>Raw_Claims_Data!J1522</f>
        <v>Louisville</v>
      </c>
      <c r="K1523" t="str">
        <f>Raw_Claims_Data!K1522</f>
        <v>KY</v>
      </c>
      <c r="L1523">
        <f>Raw_Claims_Data!L1522</f>
        <v>22</v>
      </c>
      <c r="M1523" t="str">
        <f>IF(Raw_Claims_Data!M1522="","N/A",Raw_Claims_Data!M1522)</f>
        <v>VNDR00239</v>
      </c>
      <c r="N1523" t="str">
        <f>Raw_Claims_Data!N1522</f>
        <v>AGENT00465</v>
      </c>
      <c r="O1523">
        <f>IF(Raw_Claims_Data!G1522="D",1,0)</f>
        <v>0</v>
      </c>
    </row>
    <row r="1524" spans="1:15" x14ac:dyDescent="0.35">
      <c r="A1524" t="str">
        <f>Raw_Claims_Data!A1523</f>
        <v>TXN00001520</v>
      </c>
      <c r="B1524" t="str">
        <f>TRIM(Raw_Claims_Data!B1523)</f>
        <v>Justin Davis</v>
      </c>
      <c r="C1524" t="str">
        <f>Raw_Claims_Data!C1523</f>
        <v>Life</v>
      </c>
      <c r="D1524">
        <f>Raw_Claims_Data!D1523</f>
        <v>90.81</v>
      </c>
      <c r="E1524">
        <f>Raw_Claims_Data!E1523</f>
        <v>72000</v>
      </c>
      <c r="F1524" t="str">
        <f>Raw_Claims_Data!F1523</f>
        <v>GA</v>
      </c>
      <c r="G1524" t="str">
        <f>Raw_Claims_Data!G1523</f>
        <v>A</v>
      </c>
      <c r="H1524" t="str">
        <f>Raw_Claims_Data!H1523</f>
        <v>Major Loss</v>
      </c>
      <c r="I1524" t="str">
        <f>IF(Raw_Claims_Data!I1523="","None",Raw_Claims_Data!I1523)</f>
        <v>Police</v>
      </c>
      <c r="J1524" t="str">
        <f>Raw_Claims_Data!J1523</f>
        <v>Essex</v>
      </c>
      <c r="K1524" t="str">
        <f>Raw_Claims_Data!K1523</f>
        <v>VT</v>
      </c>
      <c r="L1524">
        <f>Raw_Claims_Data!L1523</f>
        <v>14</v>
      </c>
      <c r="M1524" t="str">
        <f>IF(Raw_Claims_Data!M1523="","N/A",Raw_Claims_Data!M1523)</f>
        <v>N/A</v>
      </c>
      <c r="N1524" t="str">
        <f>Raw_Claims_Data!N1523</f>
        <v>AGENT01094</v>
      </c>
      <c r="O1524">
        <f>IF(Raw_Claims_Data!G1523="D",1,0)</f>
        <v>0</v>
      </c>
    </row>
    <row r="1525" spans="1:15" x14ac:dyDescent="0.35">
      <c r="A1525" t="str">
        <f>Raw_Claims_Data!A1524</f>
        <v>TXN00001521</v>
      </c>
      <c r="B1525" t="str">
        <f>TRIM(Raw_Claims_Data!B1524)</f>
        <v>Kathleen Wong</v>
      </c>
      <c r="C1525" t="str">
        <f>Raw_Claims_Data!C1524</f>
        <v>Life</v>
      </c>
      <c r="D1525">
        <f>Raw_Claims_Data!D1524</f>
        <v>86.92</v>
      </c>
      <c r="E1525">
        <f>Raw_Claims_Data!E1524</f>
        <v>76000</v>
      </c>
      <c r="F1525" t="str">
        <f>Raw_Claims_Data!F1524</f>
        <v>OK</v>
      </c>
      <c r="G1525" t="str">
        <f>Raw_Claims_Data!G1524</f>
        <v>A</v>
      </c>
      <c r="H1525" t="str">
        <f>Raw_Claims_Data!H1524</f>
        <v>Total Loss</v>
      </c>
      <c r="I1525" t="str">
        <f>IF(Raw_Claims_Data!I1524="","None",Raw_Claims_Data!I1524)</f>
        <v>None</v>
      </c>
      <c r="J1525" t="str">
        <f>Raw_Claims_Data!J1524</f>
        <v>Burlington</v>
      </c>
      <c r="K1525" t="str">
        <f>Raw_Claims_Data!K1524</f>
        <v>MA</v>
      </c>
      <c r="L1525">
        <f>Raw_Claims_Data!L1524</f>
        <v>7</v>
      </c>
      <c r="M1525" t="str">
        <f>IF(Raw_Claims_Data!M1524="","N/A",Raw_Claims_Data!M1524)</f>
        <v>VNDR00096</v>
      </c>
      <c r="N1525" t="str">
        <f>Raw_Claims_Data!N1524</f>
        <v>AGENT00973</v>
      </c>
      <c r="O1525">
        <f>IF(Raw_Claims_Data!G1524="D",1,0)</f>
        <v>0</v>
      </c>
    </row>
    <row r="1526" spans="1:15" x14ac:dyDescent="0.35">
      <c r="A1526" t="str">
        <f>Raw_Claims_Data!A1525</f>
        <v>TXN00001522</v>
      </c>
      <c r="B1526" t="str">
        <f>TRIM(Raw_Claims_Data!B1525)</f>
        <v>Michael Jones</v>
      </c>
      <c r="C1526" t="str">
        <f>Raw_Claims_Data!C1525</f>
        <v>Mobile</v>
      </c>
      <c r="D1526">
        <f>Raw_Claims_Data!D1525</f>
        <v>6.82</v>
      </c>
      <c r="E1526">
        <f>Raw_Claims_Data!E1525</f>
        <v>300</v>
      </c>
      <c r="F1526" t="str">
        <f>Raw_Claims_Data!F1525</f>
        <v>FL</v>
      </c>
      <c r="G1526" t="str">
        <f>Raw_Claims_Data!G1525</f>
        <v>D</v>
      </c>
      <c r="H1526" t="str">
        <f>Raw_Claims_Data!H1525</f>
        <v>Minor Loss</v>
      </c>
      <c r="I1526" t="str">
        <f>IF(Raw_Claims_Data!I1525="","None",Raw_Claims_Data!I1525)</f>
        <v>Police</v>
      </c>
      <c r="J1526" t="str">
        <f>Raw_Claims_Data!J1525</f>
        <v>Manchester</v>
      </c>
      <c r="K1526" t="str">
        <f>Raw_Claims_Data!K1525</f>
        <v>CT</v>
      </c>
      <c r="L1526">
        <f>Raw_Claims_Data!L1525</f>
        <v>13</v>
      </c>
      <c r="M1526" t="str">
        <f>IF(Raw_Claims_Data!M1525="","N/A",Raw_Claims_Data!M1525)</f>
        <v>VNDR00150</v>
      </c>
      <c r="N1526" t="str">
        <f>Raw_Claims_Data!N1525</f>
        <v>AGENT00039</v>
      </c>
      <c r="O1526">
        <f>IF(Raw_Claims_Data!G1525="D",1,0)</f>
        <v>1</v>
      </c>
    </row>
    <row r="1527" spans="1:15" x14ac:dyDescent="0.35">
      <c r="A1527" t="str">
        <f>Raw_Claims_Data!A1526</f>
        <v>TXN00001523</v>
      </c>
      <c r="B1527" t="str">
        <f>TRIM(Raw_Claims_Data!B1526)</f>
        <v>Rodney Emerson</v>
      </c>
      <c r="C1527" t="str">
        <f>Raw_Claims_Data!C1526</f>
        <v>Travel</v>
      </c>
      <c r="D1527">
        <f>Raw_Claims_Data!D1526</f>
        <v>55.49</v>
      </c>
      <c r="E1527">
        <f>Raw_Claims_Data!E1526</f>
        <v>4000</v>
      </c>
      <c r="F1527" t="str">
        <f>Raw_Claims_Data!F1526</f>
        <v>KY</v>
      </c>
      <c r="G1527" t="str">
        <f>Raw_Claims_Data!G1526</f>
        <v>A</v>
      </c>
      <c r="H1527" t="str">
        <f>Raw_Claims_Data!H1526</f>
        <v>Total Loss</v>
      </c>
      <c r="I1527" t="str">
        <f>IF(Raw_Claims_Data!I1526="","None",Raw_Claims_Data!I1526)</f>
        <v>Police</v>
      </c>
      <c r="J1527" t="str">
        <f>Raw_Claims_Data!J1526</f>
        <v>Montgomery</v>
      </c>
      <c r="K1527" t="str">
        <f>Raw_Claims_Data!K1526</f>
        <v>AL</v>
      </c>
      <c r="L1527">
        <f>Raw_Claims_Data!L1526</f>
        <v>9</v>
      </c>
      <c r="M1527" t="str">
        <f>IF(Raw_Claims_Data!M1526="","N/A",Raw_Claims_Data!M1526)</f>
        <v>N/A</v>
      </c>
      <c r="N1527" t="str">
        <f>Raw_Claims_Data!N1526</f>
        <v>AGENT00286</v>
      </c>
      <c r="O1527">
        <f>IF(Raw_Claims_Data!G1526="D",1,0)</f>
        <v>0</v>
      </c>
    </row>
    <row r="1528" spans="1:15" x14ac:dyDescent="0.35">
      <c r="A1528" t="str">
        <f>Raw_Claims_Data!A1527</f>
        <v>TXN00001524</v>
      </c>
      <c r="B1528" t="str">
        <f>TRIM(Raw_Claims_Data!B1527)</f>
        <v>Paige Greenlaw</v>
      </c>
      <c r="C1528" t="str">
        <f>Raw_Claims_Data!C1527</f>
        <v>Life</v>
      </c>
      <c r="D1528">
        <f>Raw_Claims_Data!D1527</f>
        <v>69.69</v>
      </c>
      <c r="E1528">
        <f>Raw_Claims_Data!E1527</f>
        <v>98000</v>
      </c>
      <c r="F1528" t="str">
        <f>Raw_Claims_Data!F1527</f>
        <v>AZ</v>
      </c>
      <c r="G1528" t="str">
        <f>Raw_Claims_Data!G1527</f>
        <v>A</v>
      </c>
      <c r="H1528" t="str">
        <f>Raw_Claims_Data!H1527</f>
        <v>Total Loss</v>
      </c>
      <c r="I1528" t="str">
        <f>IF(Raw_Claims_Data!I1527="","None",Raw_Claims_Data!I1527)</f>
        <v>Ambulance</v>
      </c>
      <c r="J1528" t="str">
        <f>Raw_Claims_Data!J1527</f>
        <v>Glendale</v>
      </c>
      <c r="K1528" t="str">
        <f>Raw_Claims_Data!K1527</f>
        <v>AZ</v>
      </c>
      <c r="L1528">
        <f>Raw_Claims_Data!L1527</f>
        <v>6</v>
      </c>
      <c r="M1528" t="str">
        <f>IF(Raw_Claims_Data!M1527="","N/A",Raw_Claims_Data!M1527)</f>
        <v>VNDR00169</v>
      </c>
      <c r="N1528" t="str">
        <f>Raw_Claims_Data!N1527</f>
        <v>AGENT00679</v>
      </c>
      <c r="O1528">
        <f>IF(Raw_Claims_Data!G1527="D",1,0)</f>
        <v>0</v>
      </c>
    </row>
    <row r="1529" spans="1:15" x14ac:dyDescent="0.35">
      <c r="A1529" t="str">
        <f>Raw_Claims_Data!A1528</f>
        <v>TXN00001525</v>
      </c>
      <c r="B1529" t="str">
        <f>TRIM(Raw_Claims_Data!B1528)</f>
        <v>Chad Johnson</v>
      </c>
      <c r="C1529" t="str">
        <f>Raw_Claims_Data!C1528</f>
        <v>Motor</v>
      </c>
      <c r="D1529">
        <f>Raw_Claims_Data!D1528</f>
        <v>113.27</v>
      </c>
      <c r="E1529">
        <f>Raw_Claims_Data!E1528</f>
        <v>10000</v>
      </c>
      <c r="F1529" t="str">
        <f>Raw_Claims_Data!F1528</f>
        <v>MA</v>
      </c>
      <c r="G1529" t="str">
        <f>Raw_Claims_Data!G1528</f>
        <v>A</v>
      </c>
      <c r="H1529" t="str">
        <f>Raw_Claims_Data!H1528</f>
        <v>Major Loss</v>
      </c>
      <c r="I1529" t="str">
        <f>IF(Raw_Claims_Data!I1528="","None",Raw_Claims_Data!I1528)</f>
        <v>None</v>
      </c>
      <c r="J1529" t="str">
        <f>Raw_Claims_Data!J1528</f>
        <v>Glen Burnie</v>
      </c>
      <c r="K1529" t="str">
        <f>Raw_Claims_Data!K1528</f>
        <v>MD</v>
      </c>
      <c r="L1529">
        <f>Raw_Claims_Data!L1528</f>
        <v>2</v>
      </c>
      <c r="M1529" t="str">
        <f>IF(Raw_Claims_Data!M1528="","N/A",Raw_Claims_Data!M1528)</f>
        <v>VNDR00523</v>
      </c>
      <c r="N1529" t="str">
        <f>Raw_Claims_Data!N1528</f>
        <v>AGENT00259</v>
      </c>
      <c r="O1529">
        <f>IF(Raw_Claims_Data!G1528="D",1,0)</f>
        <v>0</v>
      </c>
    </row>
    <row r="1530" spans="1:15" x14ac:dyDescent="0.35">
      <c r="A1530" t="str">
        <f>Raw_Claims_Data!A1529</f>
        <v>TXN00001526</v>
      </c>
      <c r="B1530" t="str">
        <f>TRIM(Raw_Claims_Data!B1529)</f>
        <v>Douglas Blankenship</v>
      </c>
      <c r="C1530" t="str">
        <f>Raw_Claims_Data!C1529</f>
        <v>Health</v>
      </c>
      <c r="D1530">
        <f>Raw_Claims_Data!D1529</f>
        <v>146.16999999999999</v>
      </c>
      <c r="E1530">
        <f>Raw_Claims_Data!E1529</f>
        <v>3000</v>
      </c>
      <c r="F1530" t="str">
        <f>Raw_Claims_Data!F1529</f>
        <v>AK</v>
      </c>
      <c r="G1530" t="str">
        <f>Raw_Claims_Data!G1529</f>
        <v>A</v>
      </c>
      <c r="H1530" t="str">
        <f>Raw_Claims_Data!H1529</f>
        <v>Total Loss</v>
      </c>
      <c r="I1530" t="str">
        <f>IF(Raw_Claims_Data!I1529="","None",Raw_Claims_Data!I1529)</f>
        <v>Ambulance</v>
      </c>
      <c r="J1530" t="str">
        <f>Raw_Claims_Data!J1529</f>
        <v>Glen Burnie</v>
      </c>
      <c r="K1530" t="str">
        <f>Raw_Claims_Data!K1529</f>
        <v>MD</v>
      </c>
      <c r="L1530">
        <f>Raw_Claims_Data!L1529</f>
        <v>1</v>
      </c>
      <c r="M1530" t="str">
        <f>IF(Raw_Claims_Data!M1529="","N/A",Raw_Claims_Data!M1529)</f>
        <v>N/A</v>
      </c>
      <c r="N1530" t="str">
        <f>Raw_Claims_Data!N1529</f>
        <v>AGENT00757</v>
      </c>
      <c r="O1530">
        <f>IF(Raw_Claims_Data!G1529="D",1,0)</f>
        <v>0</v>
      </c>
    </row>
    <row r="1531" spans="1:15" x14ac:dyDescent="0.35">
      <c r="A1531" t="str">
        <f>Raw_Claims_Data!A1530</f>
        <v>TXN00001527</v>
      </c>
      <c r="B1531" t="str">
        <f>TRIM(Raw_Claims_Data!B1530)</f>
        <v>Arlene Hervey</v>
      </c>
      <c r="C1531" t="str">
        <f>Raw_Claims_Data!C1530</f>
        <v>Property</v>
      </c>
      <c r="D1531">
        <f>Raw_Claims_Data!D1530</f>
        <v>101.42</v>
      </c>
      <c r="E1531">
        <f>Raw_Claims_Data!E1530</f>
        <v>26000</v>
      </c>
      <c r="F1531" t="str">
        <f>Raw_Claims_Data!F1530</f>
        <v>CO</v>
      </c>
      <c r="G1531" t="str">
        <f>Raw_Claims_Data!G1530</f>
        <v>A</v>
      </c>
      <c r="H1531" t="str">
        <f>Raw_Claims_Data!H1530</f>
        <v>Minor Loss</v>
      </c>
      <c r="I1531" t="str">
        <f>IF(Raw_Claims_Data!I1530="","None",Raw_Claims_Data!I1530)</f>
        <v>Ambulance</v>
      </c>
      <c r="J1531" t="str">
        <f>Raw_Claims_Data!J1530</f>
        <v>Fayetteville</v>
      </c>
      <c r="K1531" t="str">
        <f>Raw_Claims_Data!K1530</f>
        <v>AR</v>
      </c>
      <c r="L1531">
        <f>Raw_Claims_Data!L1530</f>
        <v>10</v>
      </c>
      <c r="M1531" t="str">
        <f>IF(Raw_Claims_Data!M1530="","N/A",Raw_Claims_Data!M1530)</f>
        <v>VNDR00205</v>
      </c>
      <c r="N1531" t="str">
        <f>Raw_Claims_Data!N1530</f>
        <v>AGENT00322</v>
      </c>
      <c r="O1531">
        <f>IF(Raw_Claims_Data!G1530="D",1,0)</f>
        <v>0</v>
      </c>
    </row>
    <row r="1532" spans="1:15" x14ac:dyDescent="0.35">
      <c r="A1532" t="str">
        <f>Raw_Claims_Data!A1531</f>
        <v>TXN00001528</v>
      </c>
      <c r="B1532" t="str">
        <f>TRIM(Raw_Claims_Data!B1531)</f>
        <v>Paul Randle</v>
      </c>
      <c r="C1532" t="str">
        <f>Raw_Claims_Data!C1531</f>
        <v>Travel</v>
      </c>
      <c r="D1532">
        <f>Raw_Claims_Data!D1531</f>
        <v>82.13</v>
      </c>
      <c r="E1532">
        <f>Raw_Claims_Data!E1531</f>
        <v>5000</v>
      </c>
      <c r="F1532" t="str">
        <f>Raw_Claims_Data!F1531</f>
        <v>KY</v>
      </c>
      <c r="G1532" t="str">
        <f>Raw_Claims_Data!G1531</f>
        <v>A</v>
      </c>
      <c r="H1532" t="str">
        <f>Raw_Claims_Data!H1531</f>
        <v>Minor Loss</v>
      </c>
      <c r="I1532" t="str">
        <f>IF(Raw_Claims_Data!I1531="","None",Raw_Claims_Data!I1531)</f>
        <v>Ambulance</v>
      </c>
      <c r="J1532" t="str">
        <f>Raw_Claims_Data!J1531</f>
        <v>Anchorage</v>
      </c>
      <c r="K1532" t="str">
        <f>Raw_Claims_Data!K1531</f>
        <v>AK</v>
      </c>
      <c r="L1532">
        <f>Raw_Claims_Data!L1531</f>
        <v>6</v>
      </c>
      <c r="M1532" t="str">
        <f>IF(Raw_Claims_Data!M1531="","N/A",Raw_Claims_Data!M1531)</f>
        <v>VNDR00058</v>
      </c>
      <c r="N1532" t="str">
        <f>Raw_Claims_Data!N1531</f>
        <v>AGENT00693</v>
      </c>
      <c r="O1532">
        <f>IF(Raw_Claims_Data!G1531="D",1,0)</f>
        <v>0</v>
      </c>
    </row>
    <row r="1533" spans="1:15" x14ac:dyDescent="0.35">
      <c r="A1533" t="str">
        <f>Raw_Claims_Data!A1532</f>
        <v>TXN00001529</v>
      </c>
      <c r="B1533" t="str">
        <f>TRIM(Raw_Claims_Data!B1532)</f>
        <v>Walter Ostermann</v>
      </c>
      <c r="C1533" t="str">
        <f>Raw_Claims_Data!C1532</f>
        <v>Life</v>
      </c>
      <c r="D1533">
        <f>Raw_Claims_Data!D1532</f>
        <v>71.650000000000006</v>
      </c>
      <c r="E1533">
        <f>Raw_Claims_Data!E1532</f>
        <v>24000</v>
      </c>
      <c r="F1533" t="str">
        <f>Raw_Claims_Data!F1532</f>
        <v>CO</v>
      </c>
      <c r="G1533" t="str">
        <f>Raw_Claims_Data!G1532</f>
        <v>A</v>
      </c>
      <c r="H1533" t="str">
        <f>Raw_Claims_Data!H1532</f>
        <v>Minor Loss</v>
      </c>
      <c r="I1533" t="str">
        <f>IF(Raw_Claims_Data!I1532="","None",Raw_Claims_Data!I1532)</f>
        <v>Police</v>
      </c>
      <c r="J1533" t="str">
        <f>Raw_Claims_Data!J1532</f>
        <v>Manchester</v>
      </c>
      <c r="K1533" t="str">
        <f>Raw_Claims_Data!K1532</f>
        <v>CT</v>
      </c>
      <c r="L1533">
        <f>Raw_Claims_Data!L1532</f>
        <v>12</v>
      </c>
      <c r="M1533" t="str">
        <f>IF(Raw_Claims_Data!M1532="","N/A",Raw_Claims_Data!M1532)</f>
        <v>VNDR00204</v>
      </c>
      <c r="N1533" t="str">
        <f>Raw_Claims_Data!N1532</f>
        <v>AGENT00967</v>
      </c>
      <c r="O1533">
        <f>IF(Raw_Claims_Data!G1532="D",1,0)</f>
        <v>0</v>
      </c>
    </row>
    <row r="1534" spans="1:15" x14ac:dyDescent="0.35">
      <c r="A1534" t="str">
        <f>Raw_Claims_Data!A1533</f>
        <v>TXN00001530</v>
      </c>
      <c r="B1534" t="str">
        <f>TRIM(Raw_Claims_Data!B1533)</f>
        <v>Raquel Ryan</v>
      </c>
      <c r="C1534" t="str">
        <f>Raw_Claims_Data!C1533</f>
        <v>Life</v>
      </c>
      <c r="D1534">
        <f>Raw_Claims_Data!D1533</f>
        <v>92.16</v>
      </c>
      <c r="E1534">
        <f>Raw_Claims_Data!E1533</f>
        <v>34000</v>
      </c>
      <c r="F1534" t="str">
        <f>Raw_Claims_Data!F1533</f>
        <v>MD</v>
      </c>
      <c r="G1534" t="str">
        <f>Raw_Claims_Data!G1533</f>
        <v>A</v>
      </c>
      <c r="H1534" t="str">
        <f>Raw_Claims_Data!H1533</f>
        <v>Minor Loss</v>
      </c>
      <c r="I1534" t="str">
        <f>IF(Raw_Claims_Data!I1533="","None",Raw_Claims_Data!I1533)</f>
        <v>Police</v>
      </c>
      <c r="J1534" t="str">
        <f>Raw_Claims_Data!J1533</f>
        <v>Lynn</v>
      </c>
      <c r="K1534" t="str">
        <f>Raw_Claims_Data!K1533</f>
        <v>MA</v>
      </c>
      <c r="L1534">
        <f>Raw_Claims_Data!L1533</f>
        <v>1</v>
      </c>
      <c r="M1534" t="str">
        <f>IF(Raw_Claims_Data!M1533="","N/A",Raw_Claims_Data!M1533)</f>
        <v>VNDR00128</v>
      </c>
      <c r="N1534" t="str">
        <f>Raw_Claims_Data!N1533</f>
        <v>AGENT00758</v>
      </c>
      <c r="O1534">
        <f>IF(Raw_Claims_Data!G1533="D",1,0)</f>
        <v>0</v>
      </c>
    </row>
    <row r="1535" spans="1:15" x14ac:dyDescent="0.35">
      <c r="A1535" t="str">
        <f>Raw_Claims_Data!A1534</f>
        <v>TXN00001531</v>
      </c>
      <c r="B1535" t="str">
        <f>TRIM(Raw_Claims_Data!B1534)</f>
        <v>James Polczynski</v>
      </c>
      <c r="C1535" t="str">
        <f>Raw_Claims_Data!C1534</f>
        <v>Property</v>
      </c>
      <c r="D1535">
        <f>Raw_Claims_Data!D1534</f>
        <v>129.63999999999999</v>
      </c>
      <c r="E1535">
        <f>Raw_Claims_Data!E1534</f>
        <v>19000</v>
      </c>
      <c r="F1535" t="str">
        <f>Raw_Claims_Data!F1534</f>
        <v>AL</v>
      </c>
      <c r="G1535" t="str">
        <f>Raw_Claims_Data!G1534</f>
        <v>A</v>
      </c>
      <c r="H1535" t="str">
        <f>Raw_Claims_Data!H1534</f>
        <v>Minor Loss</v>
      </c>
      <c r="I1535" t="str">
        <f>IF(Raw_Claims_Data!I1534="","None",Raw_Claims_Data!I1534)</f>
        <v>Police</v>
      </c>
      <c r="J1535" t="str">
        <f>Raw_Claims_Data!J1534</f>
        <v>Edmond</v>
      </c>
      <c r="K1535" t="str">
        <f>Raw_Claims_Data!K1534</f>
        <v>OK</v>
      </c>
      <c r="L1535">
        <f>Raw_Claims_Data!L1534</f>
        <v>15</v>
      </c>
      <c r="M1535" t="str">
        <f>IF(Raw_Claims_Data!M1534="","N/A",Raw_Claims_Data!M1534)</f>
        <v>N/A</v>
      </c>
      <c r="N1535" t="str">
        <f>Raw_Claims_Data!N1534</f>
        <v>AGENT00971</v>
      </c>
      <c r="O1535">
        <f>IF(Raw_Claims_Data!G1534="D",1,0)</f>
        <v>0</v>
      </c>
    </row>
    <row r="1536" spans="1:15" x14ac:dyDescent="0.35">
      <c r="A1536" t="str">
        <f>Raw_Claims_Data!A1535</f>
        <v>TXN00001532</v>
      </c>
      <c r="B1536" t="str">
        <f>TRIM(Raw_Claims_Data!B1535)</f>
        <v>Irene Kimmes</v>
      </c>
      <c r="C1536" t="str">
        <f>Raw_Claims_Data!C1535</f>
        <v>Motor</v>
      </c>
      <c r="D1536">
        <f>Raw_Claims_Data!D1535</f>
        <v>95.85</v>
      </c>
      <c r="E1536">
        <f>Raw_Claims_Data!E1535</f>
        <v>1000</v>
      </c>
      <c r="F1536" t="str">
        <f>Raw_Claims_Data!F1535</f>
        <v>CO</v>
      </c>
      <c r="G1536" t="str">
        <f>Raw_Claims_Data!G1535</f>
        <v>A</v>
      </c>
      <c r="H1536" t="str">
        <f>Raw_Claims_Data!H1535</f>
        <v>Major Loss</v>
      </c>
      <c r="I1536" t="str">
        <f>IF(Raw_Claims_Data!I1535="","None",Raw_Claims_Data!I1535)</f>
        <v>None</v>
      </c>
      <c r="J1536" t="str">
        <f>Raw_Claims_Data!J1535</f>
        <v>Montgomery</v>
      </c>
      <c r="K1536" t="str">
        <f>Raw_Claims_Data!K1535</f>
        <v>AL</v>
      </c>
      <c r="L1536">
        <f>Raw_Claims_Data!L1535</f>
        <v>22</v>
      </c>
      <c r="M1536" t="str">
        <f>IF(Raw_Claims_Data!M1535="","N/A",Raw_Claims_Data!M1535)</f>
        <v>VNDR00451</v>
      </c>
      <c r="N1536" t="str">
        <f>Raw_Claims_Data!N1535</f>
        <v>AGENT01011</v>
      </c>
      <c r="O1536">
        <f>IF(Raw_Claims_Data!G1535="D",1,0)</f>
        <v>0</v>
      </c>
    </row>
    <row r="1537" spans="1:15" x14ac:dyDescent="0.35">
      <c r="A1537" t="str">
        <f>Raw_Claims_Data!A1536</f>
        <v>TXN00001533</v>
      </c>
      <c r="B1537" t="str">
        <f>TRIM(Raw_Claims_Data!B1536)</f>
        <v>Mia Meadows</v>
      </c>
      <c r="C1537" t="str">
        <f>Raw_Claims_Data!C1536</f>
        <v>Mobile</v>
      </c>
      <c r="D1537">
        <f>Raw_Claims_Data!D1536</f>
        <v>11.24</v>
      </c>
      <c r="E1537">
        <f>Raw_Claims_Data!E1536</f>
        <v>600</v>
      </c>
      <c r="F1537" t="str">
        <f>Raw_Claims_Data!F1536</f>
        <v>AK</v>
      </c>
      <c r="G1537" t="str">
        <f>Raw_Claims_Data!G1536</f>
        <v>A</v>
      </c>
      <c r="H1537" t="str">
        <f>Raw_Claims_Data!H1536</f>
        <v>Minor Loss</v>
      </c>
      <c r="I1537" t="str">
        <f>IF(Raw_Claims_Data!I1536="","None",Raw_Claims_Data!I1536)</f>
        <v>Other</v>
      </c>
      <c r="J1537" t="str">
        <f>Raw_Claims_Data!J1536</f>
        <v>Anchorage</v>
      </c>
      <c r="K1537" t="str">
        <f>Raw_Claims_Data!K1536</f>
        <v>AK</v>
      </c>
      <c r="L1537">
        <f>Raw_Claims_Data!L1536</f>
        <v>10</v>
      </c>
      <c r="M1537" t="str">
        <f>IF(Raw_Claims_Data!M1536="","N/A",Raw_Claims_Data!M1536)</f>
        <v>VNDR00279</v>
      </c>
      <c r="N1537" t="str">
        <f>Raw_Claims_Data!N1536</f>
        <v>AGENT00904</v>
      </c>
      <c r="O1537">
        <f>IF(Raw_Claims_Data!G1536="D",1,0)</f>
        <v>0</v>
      </c>
    </row>
    <row r="1538" spans="1:15" x14ac:dyDescent="0.35">
      <c r="A1538" t="str">
        <f>Raw_Claims_Data!A1537</f>
        <v>TXN00001534</v>
      </c>
      <c r="B1538" t="str">
        <f>TRIM(Raw_Claims_Data!B1537)</f>
        <v>Stephen Sloan</v>
      </c>
      <c r="C1538" t="str">
        <f>Raw_Claims_Data!C1537</f>
        <v>Mobile</v>
      </c>
      <c r="D1538">
        <f>Raw_Claims_Data!D1537</f>
        <v>8.9499999999999993</v>
      </c>
      <c r="E1538">
        <f>Raw_Claims_Data!E1537</f>
        <v>200</v>
      </c>
      <c r="F1538" t="str">
        <f>Raw_Claims_Data!F1537</f>
        <v>GA</v>
      </c>
      <c r="G1538" t="str">
        <f>Raw_Claims_Data!G1537</f>
        <v>A</v>
      </c>
      <c r="H1538" t="str">
        <f>Raw_Claims_Data!H1537</f>
        <v>Minor Loss</v>
      </c>
      <c r="I1538" t="str">
        <f>IF(Raw_Claims_Data!I1537="","None",Raw_Claims_Data!I1537)</f>
        <v>Ambulance</v>
      </c>
      <c r="J1538" t="str">
        <f>Raw_Claims_Data!J1537</f>
        <v>Baldwin Park</v>
      </c>
      <c r="K1538" t="str">
        <f>Raw_Claims_Data!K1537</f>
        <v>CA</v>
      </c>
      <c r="L1538">
        <f>Raw_Claims_Data!L1537</f>
        <v>10</v>
      </c>
      <c r="M1538" t="str">
        <f>IF(Raw_Claims_Data!M1537="","N/A",Raw_Claims_Data!M1537)</f>
        <v>N/A</v>
      </c>
      <c r="N1538" t="str">
        <f>Raw_Claims_Data!N1537</f>
        <v>AGENT00390</v>
      </c>
      <c r="O1538">
        <f>IF(Raw_Claims_Data!G1537="D",1,0)</f>
        <v>0</v>
      </c>
    </row>
    <row r="1539" spans="1:15" x14ac:dyDescent="0.35">
      <c r="A1539" t="str">
        <f>Raw_Claims_Data!A1538</f>
        <v>TXN00001535</v>
      </c>
      <c r="B1539" t="str">
        <f>TRIM(Raw_Claims_Data!B1538)</f>
        <v>Carter Perry</v>
      </c>
      <c r="C1539" t="str">
        <f>Raw_Claims_Data!C1538</f>
        <v>Motor</v>
      </c>
      <c r="D1539">
        <f>Raw_Claims_Data!D1538</f>
        <v>135.49</v>
      </c>
      <c r="E1539">
        <f>Raw_Claims_Data!E1538</f>
        <v>7000</v>
      </c>
      <c r="F1539" t="str">
        <f>Raw_Claims_Data!F1538</f>
        <v>FL</v>
      </c>
      <c r="G1539" t="str">
        <f>Raw_Claims_Data!G1538</f>
        <v>A</v>
      </c>
      <c r="H1539" t="str">
        <f>Raw_Claims_Data!H1538</f>
        <v>Total Loss</v>
      </c>
      <c r="I1539" t="str">
        <f>IF(Raw_Claims_Data!I1538="","None",Raw_Claims_Data!I1538)</f>
        <v>None</v>
      </c>
      <c r="J1539" t="str">
        <f>Raw_Claims_Data!J1538</f>
        <v>Savannah</v>
      </c>
      <c r="K1539" t="str">
        <f>Raw_Claims_Data!K1538</f>
        <v>GA</v>
      </c>
      <c r="L1539">
        <f>Raw_Claims_Data!L1538</f>
        <v>19</v>
      </c>
      <c r="M1539" t="str">
        <f>IF(Raw_Claims_Data!M1538="","N/A",Raw_Claims_Data!M1538)</f>
        <v>N/A</v>
      </c>
      <c r="N1539" t="str">
        <f>Raw_Claims_Data!N1538</f>
        <v>AGENT00187</v>
      </c>
      <c r="O1539">
        <f>IF(Raw_Claims_Data!G1538="D",1,0)</f>
        <v>0</v>
      </c>
    </row>
    <row r="1540" spans="1:15" x14ac:dyDescent="0.35">
      <c r="A1540" t="str">
        <f>Raw_Claims_Data!A1539</f>
        <v>TXN00001536</v>
      </c>
      <c r="B1540" t="str">
        <f>TRIM(Raw_Claims_Data!B1539)</f>
        <v>Brian Ruiz</v>
      </c>
      <c r="C1540" t="str">
        <f>Raw_Claims_Data!C1539</f>
        <v>Mobile</v>
      </c>
      <c r="D1540">
        <f>Raw_Claims_Data!D1539</f>
        <v>9.32</v>
      </c>
      <c r="E1540">
        <f>Raw_Claims_Data!E1539</f>
        <v>600</v>
      </c>
      <c r="F1540" t="str">
        <f>Raw_Claims_Data!F1539</f>
        <v>CO</v>
      </c>
      <c r="G1540" t="str">
        <f>Raw_Claims_Data!G1539</f>
        <v>A</v>
      </c>
      <c r="H1540" t="str">
        <f>Raw_Claims_Data!H1539</f>
        <v>Minor Loss</v>
      </c>
      <c r="I1540" t="str">
        <f>IF(Raw_Claims_Data!I1539="","None",Raw_Claims_Data!I1539)</f>
        <v>Ambulance</v>
      </c>
      <c r="J1540" t="str">
        <f>Raw_Claims_Data!J1539</f>
        <v>Montgomery</v>
      </c>
      <c r="K1540" t="str">
        <f>Raw_Claims_Data!K1539</f>
        <v>AL</v>
      </c>
      <c r="L1540">
        <f>Raw_Claims_Data!L1539</f>
        <v>22</v>
      </c>
      <c r="M1540" t="str">
        <f>IF(Raw_Claims_Data!M1539="","N/A",Raw_Claims_Data!M1539)</f>
        <v>N/A</v>
      </c>
      <c r="N1540" t="str">
        <f>Raw_Claims_Data!N1539</f>
        <v>AGENT00233</v>
      </c>
      <c r="O1540">
        <f>IF(Raw_Claims_Data!G1539="D",1,0)</f>
        <v>0</v>
      </c>
    </row>
    <row r="1541" spans="1:15" x14ac:dyDescent="0.35">
      <c r="A1541" t="str">
        <f>Raw_Claims_Data!A1540</f>
        <v>TXN00001537</v>
      </c>
      <c r="B1541" t="str">
        <f>TRIM(Raw_Claims_Data!B1540)</f>
        <v>Melissa Mcgehee</v>
      </c>
      <c r="C1541" t="str">
        <f>Raw_Claims_Data!C1540</f>
        <v>Mobile</v>
      </c>
      <c r="D1541">
        <f>Raw_Claims_Data!D1540</f>
        <v>6.62</v>
      </c>
      <c r="E1541">
        <f>Raw_Claims_Data!E1540</f>
        <v>700</v>
      </c>
      <c r="F1541" t="str">
        <f>Raw_Claims_Data!F1540</f>
        <v>VT</v>
      </c>
      <c r="G1541" t="str">
        <f>Raw_Claims_Data!G1540</f>
        <v>A</v>
      </c>
      <c r="H1541" t="str">
        <f>Raw_Claims_Data!H1540</f>
        <v>Major Loss</v>
      </c>
      <c r="I1541" t="str">
        <f>IF(Raw_Claims_Data!I1540="","None",Raw_Claims_Data!I1540)</f>
        <v>Ambulance</v>
      </c>
      <c r="J1541" t="str">
        <f>Raw_Claims_Data!J1540</f>
        <v>Nashville</v>
      </c>
      <c r="K1541" t="str">
        <f>Raw_Claims_Data!K1540</f>
        <v>TN</v>
      </c>
      <c r="L1541">
        <f>Raw_Claims_Data!L1540</f>
        <v>6</v>
      </c>
      <c r="M1541" t="str">
        <f>IF(Raw_Claims_Data!M1540="","N/A",Raw_Claims_Data!M1540)</f>
        <v>N/A</v>
      </c>
      <c r="N1541" t="str">
        <f>Raw_Claims_Data!N1540</f>
        <v>AGENT00676</v>
      </c>
      <c r="O1541">
        <f>IF(Raw_Claims_Data!G1540="D",1,0)</f>
        <v>0</v>
      </c>
    </row>
    <row r="1542" spans="1:15" x14ac:dyDescent="0.35">
      <c r="A1542" t="str">
        <f>Raw_Claims_Data!A1541</f>
        <v>TXN00001538</v>
      </c>
      <c r="B1542" t="str">
        <f>TRIM(Raw_Claims_Data!B1541)</f>
        <v>Robert Simpson</v>
      </c>
      <c r="C1542" t="str">
        <f>Raw_Claims_Data!C1541</f>
        <v>Property</v>
      </c>
      <c r="D1542">
        <f>Raw_Claims_Data!D1541</f>
        <v>149.37</v>
      </c>
      <c r="E1542">
        <f>Raw_Claims_Data!E1541</f>
        <v>37000</v>
      </c>
      <c r="F1542" t="str">
        <f>Raw_Claims_Data!F1541</f>
        <v>FL</v>
      </c>
      <c r="G1542" t="str">
        <f>Raw_Claims_Data!G1541</f>
        <v>A</v>
      </c>
      <c r="H1542" t="str">
        <f>Raw_Claims_Data!H1541</f>
        <v>Total Loss</v>
      </c>
      <c r="I1542" t="str">
        <f>IF(Raw_Claims_Data!I1541="","None",Raw_Claims_Data!I1541)</f>
        <v>Other</v>
      </c>
      <c r="J1542" t="str">
        <f>Raw_Claims_Data!J1541</f>
        <v>Glen Burnie</v>
      </c>
      <c r="K1542" t="str">
        <f>Raw_Claims_Data!K1541</f>
        <v>MD</v>
      </c>
      <c r="L1542">
        <f>Raw_Claims_Data!L1541</f>
        <v>14</v>
      </c>
      <c r="M1542" t="str">
        <f>IF(Raw_Claims_Data!M1541="","N/A",Raw_Claims_Data!M1541)</f>
        <v>N/A</v>
      </c>
      <c r="N1542" t="str">
        <f>Raw_Claims_Data!N1541</f>
        <v>AGENT00526</v>
      </c>
      <c r="O1542">
        <f>IF(Raw_Claims_Data!G1541="D",1,0)</f>
        <v>0</v>
      </c>
    </row>
    <row r="1543" spans="1:15" x14ac:dyDescent="0.35">
      <c r="A1543" t="str">
        <f>Raw_Claims_Data!A1542</f>
        <v>TXN00001539</v>
      </c>
      <c r="B1543" t="str">
        <f>TRIM(Raw_Claims_Data!B1542)</f>
        <v>Gladys Webb</v>
      </c>
      <c r="C1543" t="str">
        <f>Raw_Claims_Data!C1542</f>
        <v>Mobile</v>
      </c>
      <c r="D1543">
        <f>Raw_Claims_Data!D1542</f>
        <v>9.08</v>
      </c>
      <c r="E1543">
        <f>Raw_Claims_Data!E1542</f>
        <v>300</v>
      </c>
      <c r="F1543" t="str">
        <f>Raw_Claims_Data!F1542</f>
        <v>TN</v>
      </c>
      <c r="G1543" t="str">
        <f>Raw_Claims_Data!G1542</f>
        <v>A</v>
      </c>
      <c r="H1543" t="str">
        <f>Raw_Claims_Data!H1542</f>
        <v>Total Loss</v>
      </c>
      <c r="I1543" t="str">
        <f>IF(Raw_Claims_Data!I1542="","None",Raw_Claims_Data!I1542)</f>
        <v>Ambulance</v>
      </c>
      <c r="J1543" t="str">
        <f>Raw_Claims_Data!J1542</f>
        <v>Panama City</v>
      </c>
      <c r="K1543" t="str">
        <f>Raw_Claims_Data!K1542</f>
        <v>FL</v>
      </c>
      <c r="L1543">
        <f>Raw_Claims_Data!L1542</f>
        <v>2</v>
      </c>
      <c r="M1543" t="str">
        <f>IF(Raw_Claims_Data!M1542="","N/A",Raw_Claims_Data!M1542)</f>
        <v>N/A</v>
      </c>
      <c r="N1543" t="str">
        <f>Raw_Claims_Data!N1542</f>
        <v>AGENT01064</v>
      </c>
      <c r="O1543">
        <f>IF(Raw_Claims_Data!G1542="D",1,0)</f>
        <v>0</v>
      </c>
    </row>
    <row r="1544" spans="1:15" x14ac:dyDescent="0.35">
      <c r="A1544" t="str">
        <f>Raw_Claims_Data!A1543</f>
        <v>TXN00001540</v>
      </c>
      <c r="B1544" t="str">
        <f>TRIM(Raw_Claims_Data!B1543)</f>
        <v>James Gross</v>
      </c>
      <c r="C1544" t="str">
        <f>Raw_Claims_Data!C1543</f>
        <v>Mobile</v>
      </c>
      <c r="D1544">
        <f>Raw_Claims_Data!D1543</f>
        <v>7.61</v>
      </c>
      <c r="E1544">
        <f>Raw_Claims_Data!E1543</f>
        <v>100</v>
      </c>
      <c r="F1544" t="str">
        <f>Raw_Claims_Data!F1543</f>
        <v>VT</v>
      </c>
      <c r="G1544" t="str">
        <f>Raw_Claims_Data!G1543</f>
        <v>A</v>
      </c>
      <c r="H1544" t="str">
        <f>Raw_Claims_Data!H1543</f>
        <v>Major Loss</v>
      </c>
      <c r="I1544" t="str">
        <f>IF(Raw_Claims_Data!I1543="","None",Raw_Claims_Data!I1543)</f>
        <v>Ambulance</v>
      </c>
      <c r="J1544" t="str">
        <f>Raw_Claims_Data!J1543</f>
        <v>Arvada</v>
      </c>
      <c r="K1544" t="str">
        <f>Raw_Claims_Data!K1543</f>
        <v>CO</v>
      </c>
      <c r="L1544">
        <f>Raw_Claims_Data!L1543</f>
        <v>2</v>
      </c>
      <c r="M1544" t="str">
        <f>IF(Raw_Claims_Data!M1543="","N/A",Raw_Claims_Data!M1543)</f>
        <v>VNDR00228</v>
      </c>
      <c r="N1544" t="str">
        <f>Raw_Claims_Data!N1543</f>
        <v>AGENT00161</v>
      </c>
      <c r="O1544">
        <f>IF(Raw_Claims_Data!G1543="D",1,0)</f>
        <v>0</v>
      </c>
    </row>
    <row r="1545" spans="1:15" x14ac:dyDescent="0.35">
      <c r="A1545" t="str">
        <f>Raw_Claims_Data!A1544</f>
        <v>TXN00001541</v>
      </c>
      <c r="B1545" t="str">
        <f>TRIM(Raw_Claims_Data!B1544)</f>
        <v>Jimmy Boyer</v>
      </c>
      <c r="C1545" t="str">
        <f>Raw_Claims_Data!C1544</f>
        <v>Life</v>
      </c>
      <c r="D1545">
        <f>Raw_Claims_Data!D1544</f>
        <v>87.77</v>
      </c>
      <c r="E1545">
        <f>Raw_Claims_Data!E1544</f>
        <v>100000</v>
      </c>
      <c r="F1545" t="str">
        <f>Raw_Claims_Data!F1544</f>
        <v>GA</v>
      </c>
      <c r="G1545" t="str">
        <f>Raw_Claims_Data!G1544</f>
        <v>A</v>
      </c>
      <c r="H1545" t="str">
        <f>Raw_Claims_Data!H1544</f>
        <v>Minor Loss</v>
      </c>
      <c r="I1545" t="str">
        <f>IF(Raw_Claims_Data!I1544="","None",Raw_Claims_Data!I1544)</f>
        <v>Police</v>
      </c>
      <c r="J1545" t="str">
        <f>Raw_Claims_Data!J1544</f>
        <v>Fayetteville</v>
      </c>
      <c r="K1545" t="str">
        <f>Raw_Claims_Data!K1544</f>
        <v>AR</v>
      </c>
      <c r="L1545">
        <f>Raw_Claims_Data!L1544</f>
        <v>18</v>
      </c>
      <c r="M1545" t="str">
        <f>IF(Raw_Claims_Data!M1544="","N/A",Raw_Claims_Data!M1544)</f>
        <v>N/A</v>
      </c>
      <c r="N1545" t="str">
        <f>Raw_Claims_Data!N1544</f>
        <v>AGENT00834</v>
      </c>
      <c r="O1545">
        <f>IF(Raw_Claims_Data!G1544="D",1,0)</f>
        <v>0</v>
      </c>
    </row>
    <row r="1546" spans="1:15" x14ac:dyDescent="0.35">
      <c r="A1546" t="str">
        <f>Raw_Claims_Data!A1545</f>
        <v>TXN00001542</v>
      </c>
      <c r="B1546" t="str">
        <f>TRIM(Raw_Claims_Data!B1545)</f>
        <v>Anthony Cox</v>
      </c>
      <c r="C1546" t="str">
        <f>Raw_Claims_Data!C1545</f>
        <v>Mobile</v>
      </c>
      <c r="D1546">
        <f>Raw_Claims_Data!D1545</f>
        <v>7.15</v>
      </c>
      <c r="E1546">
        <f>Raw_Claims_Data!E1545</f>
        <v>400</v>
      </c>
      <c r="F1546" t="str">
        <f>Raw_Claims_Data!F1545</f>
        <v>TN</v>
      </c>
      <c r="G1546" t="str">
        <f>Raw_Claims_Data!G1545</f>
        <v>D</v>
      </c>
      <c r="H1546" t="str">
        <f>Raw_Claims_Data!H1545</f>
        <v>Major Loss</v>
      </c>
      <c r="I1546" t="str">
        <f>IF(Raw_Claims_Data!I1545="","None",Raw_Claims_Data!I1545)</f>
        <v>Other</v>
      </c>
      <c r="J1546" t="str">
        <f>Raw_Claims_Data!J1545</f>
        <v>Mountain Village</v>
      </c>
      <c r="K1546" t="str">
        <f>Raw_Claims_Data!K1545</f>
        <v>CO</v>
      </c>
      <c r="L1546">
        <f>Raw_Claims_Data!L1545</f>
        <v>5</v>
      </c>
      <c r="M1546" t="str">
        <f>IF(Raw_Claims_Data!M1545="","N/A",Raw_Claims_Data!M1545)</f>
        <v>VNDR00023</v>
      </c>
      <c r="N1546" t="str">
        <f>Raw_Claims_Data!N1545</f>
        <v>AGENT00885</v>
      </c>
      <c r="O1546">
        <f>IF(Raw_Claims_Data!G1545="D",1,0)</f>
        <v>1</v>
      </c>
    </row>
    <row r="1547" spans="1:15" x14ac:dyDescent="0.35">
      <c r="A1547" t="str">
        <f>Raw_Claims_Data!A1546</f>
        <v>TXN00001543</v>
      </c>
      <c r="B1547" t="str">
        <f>TRIM(Raw_Claims_Data!B1546)</f>
        <v>Elsie Oneil</v>
      </c>
      <c r="C1547" t="str">
        <f>Raw_Claims_Data!C1546</f>
        <v>Life</v>
      </c>
      <c r="D1547">
        <f>Raw_Claims_Data!D1546</f>
        <v>70.27</v>
      </c>
      <c r="E1547">
        <f>Raw_Claims_Data!E1546</f>
        <v>36000</v>
      </c>
      <c r="F1547" t="str">
        <f>Raw_Claims_Data!F1546</f>
        <v>DC</v>
      </c>
      <c r="G1547" t="str">
        <f>Raw_Claims_Data!G1546</f>
        <v>A</v>
      </c>
      <c r="H1547" t="str">
        <f>Raw_Claims_Data!H1546</f>
        <v>Total Loss</v>
      </c>
      <c r="I1547" t="str">
        <f>IF(Raw_Claims_Data!I1546="","None",Raw_Claims_Data!I1546)</f>
        <v>Police</v>
      </c>
      <c r="J1547" t="str">
        <f>Raw_Claims_Data!J1546</f>
        <v>Washington</v>
      </c>
      <c r="K1547" t="str">
        <f>Raw_Claims_Data!K1546</f>
        <v>VT</v>
      </c>
      <c r="L1547">
        <f>Raw_Claims_Data!L1546</f>
        <v>9</v>
      </c>
      <c r="M1547" t="str">
        <f>IF(Raw_Claims_Data!M1546="","N/A",Raw_Claims_Data!M1546)</f>
        <v>VNDR00422</v>
      </c>
      <c r="N1547" t="str">
        <f>Raw_Claims_Data!N1546</f>
        <v>AGENT00426</v>
      </c>
      <c r="O1547">
        <f>IF(Raw_Claims_Data!G1546="D",1,0)</f>
        <v>0</v>
      </c>
    </row>
    <row r="1548" spans="1:15" x14ac:dyDescent="0.35">
      <c r="A1548" t="str">
        <f>Raw_Claims_Data!A1547</f>
        <v>TXN00001544</v>
      </c>
      <c r="B1548" t="str">
        <f>TRIM(Raw_Claims_Data!B1547)</f>
        <v>Racheal Ledwell</v>
      </c>
      <c r="C1548" t="str">
        <f>Raw_Claims_Data!C1547</f>
        <v>Property</v>
      </c>
      <c r="D1548">
        <f>Raw_Claims_Data!D1547</f>
        <v>121.35</v>
      </c>
      <c r="E1548">
        <f>Raw_Claims_Data!E1547</f>
        <v>11000</v>
      </c>
      <c r="F1548" t="str">
        <f>Raw_Claims_Data!F1547</f>
        <v>TN</v>
      </c>
      <c r="G1548" t="str">
        <f>Raw_Claims_Data!G1547</f>
        <v>A</v>
      </c>
      <c r="H1548" t="str">
        <f>Raw_Claims_Data!H1547</f>
        <v>Total Loss</v>
      </c>
      <c r="I1548" t="str">
        <f>IF(Raw_Claims_Data!I1547="","None",Raw_Claims_Data!I1547)</f>
        <v>Ambulance</v>
      </c>
      <c r="J1548" t="str">
        <f>Raw_Claims_Data!J1547</f>
        <v>Arvada</v>
      </c>
      <c r="K1548" t="str">
        <f>Raw_Claims_Data!K1547</f>
        <v>CO</v>
      </c>
      <c r="L1548">
        <f>Raw_Claims_Data!L1547</f>
        <v>9</v>
      </c>
      <c r="M1548" t="str">
        <f>IF(Raw_Claims_Data!M1547="","N/A",Raw_Claims_Data!M1547)</f>
        <v>VNDR00354</v>
      </c>
      <c r="N1548" t="str">
        <f>Raw_Claims_Data!N1547</f>
        <v>AGENT00050</v>
      </c>
      <c r="O1548">
        <f>IF(Raw_Claims_Data!G1547="D",1,0)</f>
        <v>0</v>
      </c>
    </row>
    <row r="1549" spans="1:15" x14ac:dyDescent="0.35">
      <c r="A1549" t="str">
        <f>Raw_Claims_Data!A1548</f>
        <v>TXN00001545</v>
      </c>
      <c r="B1549" t="str">
        <f>TRIM(Raw_Claims_Data!B1548)</f>
        <v>Jacqueline Woodard</v>
      </c>
      <c r="C1549" t="str">
        <f>Raw_Claims_Data!C1548</f>
        <v>Travel</v>
      </c>
      <c r="D1549">
        <f>Raw_Claims_Data!D1548</f>
        <v>77.16</v>
      </c>
      <c r="E1549">
        <f>Raw_Claims_Data!E1548</f>
        <v>1000</v>
      </c>
      <c r="F1549" t="str">
        <f>Raw_Claims_Data!F1548</f>
        <v>TN</v>
      </c>
      <c r="G1549" t="str">
        <f>Raw_Claims_Data!G1548</f>
        <v>A</v>
      </c>
      <c r="H1549" t="str">
        <f>Raw_Claims_Data!H1548</f>
        <v>Total Loss</v>
      </c>
      <c r="I1549" t="str">
        <f>IF(Raw_Claims_Data!I1548="","None",Raw_Claims_Data!I1548)</f>
        <v>None</v>
      </c>
      <c r="J1549" t="str">
        <f>Raw_Claims_Data!J1548</f>
        <v>Glendale</v>
      </c>
      <c r="K1549" t="str">
        <f>Raw_Claims_Data!K1548</f>
        <v>AZ</v>
      </c>
      <c r="L1549">
        <f>Raw_Claims_Data!L1548</f>
        <v>21</v>
      </c>
      <c r="M1549" t="str">
        <f>IF(Raw_Claims_Data!M1548="","N/A",Raw_Claims_Data!M1548)</f>
        <v>VNDR00343</v>
      </c>
      <c r="N1549" t="str">
        <f>Raw_Claims_Data!N1548</f>
        <v>AGENT00858</v>
      </c>
      <c r="O1549">
        <f>IF(Raw_Claims_Data!G1548="D",1,0)</f>
        <v>0</v>
      </c>
    </row>
    <row r="1550" spans="1:15" x14ac:dyDescent="0.35">
      <c r="A1550" t="str">
        <f>Raw_Claims_Data!A1549</f>
        <v>TXN00001546</v>
      </c>
      <c r="B1550" t="str">
        <f>TRIM(Raw_Claims_Data!B1549)</f>
        <v>Michelle Conn</v>
      </c>
      <c r="C1550" t="str">
        <f>Raw_Claims_Data!C1549</f>
        <v>Travel</v>
      </c>
      <c r="D1550">
        <f>Raw_Claims_Data!D1549</f>
        <v>71.34</v>
      </c>
      <c r="E1550">
        <f>Raw_Claims_Data!E1549</f>
        <v>2000</v>
      </c>
      <c r="F1550" t="str">
        <f>Raw_Claims_Data!F1549</f>
        <v>AR</v>
      </c>
      <c r="G1550" t="str">
        <f>Raw_Claims_Data!G1549</f>
        <v>A</v>
      </c>
      <c r="H1550" t="str">
        <f>Raw_Claims_Data!H1549</f>
        <v>Total Loss</v>
      </c>
      <c r="I1550" t="str">
        <f>IF(Raw_Claims_Data!I1549="","None",Raw_Claims_Data!I1549)</f>
        <v>Police</v>
      </c>
      <c r="J1550" t="str">
        <f>Raw_Claims_Data!J1549</f>
        <v>Montgomery</v>
      </c>
      <c r="K1550" t="str">
        <f>Raw_Claims_Data!K1549</f>
        <v>AL</v>
      </c>
      <c r="L1550">
        <f>Raw_Claims_Data!L1549</f>
        <v>4</v>
      </c>
      <c r="M1550" t="str">
        <f>IF(Raw_Claims_Data!M1549="","N/A",Raw_Claims_Data!M1549)</f>
        <v>VNDR00191</v>
      </c>
      <c r="N1550" t="str">
        <f>Raw_Claims_Data!N1549</f>
        <v>AGENT00663</v>
      </c>
      <c r="O1550">
        <f>IF(Raw_Claims_Data!G1549="D",1,0)</f>
        <v>0</v>
      </c>
    </row>
    <row r="1551" spans="1:15" x14ac:dyDescent="0.35">
      <c r="A1551" t="str">
        <f>Raw_Claims_Data!A1550</f>
        <v>TXN00001547</v>
      </c>
      <c r="B1551" t="str">
        <f>TRIM(Raw_Claims_Data!B1550)</f>
        <v>Tonya Boss</v>
      </c>
      <c r="C1551" t="str">
        <f>Raw_Claims_Data!C1550</f>
        <v>Property</v>
      </c>
      <c r="D1551">
        <f>Raw_Claims_Data!D1550</f>
        <v>107.29</v>
      </c>
      <c r="E1551">
        <f>Raw_Claims_Data!E1550</f>
        <v>24000</v>
      </c>
      <c r="F1551" t="str">
        <f>Raw_Claims_Data!F1550</f>
        <v>CA</v>
      </c>
      <c r="G1551" t="str">
        <f>Raw_Claims_Data!G1550</f>
        <v>A</v>
      </c>
      <c r="H1551" t="str">
        <f>Raw_Claims_Data!H1550</f>
        <v>Total Loss</v>
      </c>
      <c r="I1551" t="str">
        <f>IF(Raw_Claims_Data!I1550="","None",Raw_Claims_Data!I1550)</f>
        <v>Ambulance</v>
      </c>
      <c r="J1551" t="str">
        <f>Raw_Claims_Data!J1550</f>
        <v>Fayetteville</v>
      </c>
      <c r="K1551" t="str">
        <f>Raw_Claims_Data!K1550</f>
        <v>AR</v>
      </c>
      <c r="L1551">
        <f>Raw_Claims_Data!L1550</f>
        <v>11</v>
      </c>
      <c r="M1551" t="str">
        <f>IF(Raw_Claims_Data!M1550="","N/A",Raw_Claims_Data!M1550)</f>
        <v>N/A</v>
      </c>
      <c r="N1551" t="str">
        <f>Raw_Claims_Data!N1550</f>
        <v>AGENT00398</v>
      </c>
      <c r="O1551">
        <f>IF(Raw_Claims_Data!G1550="D",1,0)</f>
        <v>0</v>
      </c>
    </row>
    <row r="1552" spans="1:15" x14ac:dyDescent="0.35">
      <c r="A1552" t="str">
        <f>Raw_Claims_Data!A1551</f>
        <v>TXN00001548</v>
      </c>
      <c r="B1552" t="str">
        <f>TRIM(Raw_Claims_Data!B1551)</f>
        <v>Wilbert Labbe</v>
      </c>
      <c r="C1552" t="str">
        <f>Raw_Claims_Data!C1551</f>
        <v>Mobile</v>
      </c>
      <c r="D1552">
        <f>Raw_Claims_Data!D1551</f>
        <v>8.85</v>
      </c>
      <c r="E1552">
        <f>Raw_Claims_Data!E1551</f>
        <v>200</v>
      </c>
      <c r="F1552" t="str">
        <f>Raw_Claims_Data!F1551</f>
        <v>CO</v>
      </c>
      <c r="G1552" t="str">
        <f>Raw_Claims_Data!G1551</f>
        <v>A</v>
      </c>
      <c r="H1552" t="str">
        <f>Raw_Claims_Data!H1551</f>
        <v>Minor Loss</v>
      </c>
      <c r="I1552" t="str">
        <f>IF(Raw_Claims_Data!I1551="","None",Raw_Claims_Data!I1551)</f>
        <v>Ambulance</v>
      </c>
      <c r="J1552" t="str">
        <f>Raw_Claims_Data!J1551</f>
        <v>Washington</v>
      </c>
      <c r="K1552" t="str">
        <f>Raw_Claims_Data!K1551</f>
        <v>DC</v>
      </c>
      <c r="L1552">
        <f>Raw_Claims_Data!L1551</f>
        <v>2</v>
      </c>
      <c r="M1552" t="str">
        <f>IF(Raw_Claims_Data!M1551="","N/A",Raw_Claims_Data!M1551)</f>
        <v>N/A</v>
      </c>
      <c r="N1552" t="str">
        <f>Raw_Claims_Data!N1551</f>
        <v>AGENT00891</v>
      </c>
      <c r="O1552">
        <f>IF(Raw_Claims_Data!G1551="D",1,0)</f>
        <v>0</v>
      </c>
    </row>
    <row r="1553" spans="1:15" x14ac:dyDescent="0.35">
      <c r="A1553" t="str">
        <f>Raw_Claims_Data!A1552</f>
        <v>TXN00001549</v>
      </c>
      <c r="B1553" t="str">
        <f>TRIM(Raw_Claims_Data!B1552)</f>
        <v>Albert Mahoney</v>
      </c>
      <c r="C1553" t="str">
        <f>Raw_Claims_Data!C1552</f>
        <v>Travel</v>
      </c>
      <c r="D1553">
        <f>Raw_Claims_Data!D1552</f>
        <v>67.260000000000005</v>
      </c>
      <c r="E1553">
        <f>Raw_Claims_Data!E1552</f>
        <v>3000</v>
      </c>
      <c r="F1553" t="str">
        <f>Raw_Claims_Data!F1552</f>
        <v>CA</v>
      </c>
      <c r="G1553" t="str">
        <f>Raw_Claims_Data!G1552</f>
        <v>A</v>
      </c>
      <c r="H1553" t="str">
        <f>Raw_Claims_Data!H1552</f>
        <v>Major Loss</v>
      </c>
      <c r="I1553" t="str">
        <f>IF(Raw_Claims_Data!I1552="","None",Raw_Claims_Data!I1552)</f>
        <v>Other</v>
      </c>
      <c r="J1553" t="str">
        <f>Raw_Claims_Data!J1552</f>
        <v>Panama City</v>
      </c>
      <c r="K1553" t="str">
        <f>Raw_Claims_Data!K1552</f>
        <v>FL</v>
      </c>
      <c r="L1553">
        <f>Raw_Claims_Data!L1552</f>
        <v>11</v>
      </c>
      <c r="M1553" t="str">
        <f>IF(Raw_Claims_Data!M1552="","N/A",Raw_Claims_Data!M1552)</f>
        <v>VNDR00254</v>
      </c>
      <c r="N1553" t="str">
        <f>Raw_Claims_Data!N1552</f>
        <v>AGENT00594</v>
      </c>
      <c r="O1553">
        <f>IF(Raw_Claims_Data!G1552="D",1,0)</f>
        <v>0</v>
      </c>
    </row>
    <row r="1554" spans="1:15" x14ac:dyDescent="0.35">
      <c r="A1554" t="str">
        <f>Raw_Claims_Data!A1553</f>
        <v>TXN00001550</v>
      </c>
      <c r="B1554" t="str">
        <f>TRIM(Raw_Claims_Data!B1553)</f>
        <v>Ronald Bannister</v>
      </c>
      <c r="C1554" t="str">
        <f>Raw_Claims_Data!C1553</f>
        <v>Health</v>
      </c>
      <c r="D1554">
        <f>Raw_Claims_Data!D1553</f>
        <v>197.25</v>
      </c>
      <c r="E1554">
        <f>Raw_Claims_Data!E1553</f>
        <v>11000</v>
      </c>
      <c r="F1554" t="str">
        <f>Raw_Claims_Data!F1553</f>
        <v>GA</v>
      </c>
      <c r="G1554" t="str">
        <f>Raw_Claims_Data!G1553</f>
        <v>A</v>
      </c>
      <c r="H1554" t="str">
        <f>Raw_Claims_Data!H1553</f>
        <v>Major Loss</v>
      </c>
      <c r="I1554" t="str">
        <f>IF(Raw_Claims_Data!I1553="","None",Raw_Claims_Data!I1553)</f>
        <v>Ambulance</v>
      </c>
      <c r="J1554" t="str">
        <f>Raw_Claims_Data!J1553</f>
        <v>Nashville</v>
      </c>
      <c r="K1554" t="str">
        <f>Raw_Claims_Data!K1553</f>
        <v>TN</v>
      </c>
      <c r="L1554">
        <f>Raw_Claims_Data!L1553</f>
        <v>8</v>
      </c>
      <c r="M1554" t="str">
        <f>IF(Raw_Claims_Data!M1553="","N/A",Raw_Claims_Data!M1553)</f>
        <v>N/A</v>
      </c>
      <c r="N1554" t="str">
        <f>Raw_Claims_Data!N1553</f>
        <v>AGENT01125</v>
      </c>
      <c r="O1554">
        <f>IF(Raw_Claims_Data!G1553="D",1,0)</f>
        <v>0</v>
      </c>
    </row>
    <row r="1555" spans="1:15" x14ac:dyDescent="0.35">
      <c r="A1555" t="str">
        <f>Raw_Claims_Data!A1554</f>
        <v>TXN00001551</v>
      </c>
      <c r="B1555" t="str">
        <f>TRIM(Raw_Claims_Data!B1554)</f>
        <v>Jean Lapoint</v>
      </c>
      <c r="C1555" t="str">
        <f>Raw_Claims_Data!C1554</f>
        <v>Mobile</v>
      </c>
      <c r="D1555">
        <f>Raw_Claims_Data!D1554</f>
        <v>8.94</v>
      </c>
      <c r="E1555">
        <f>Raw_Claims_Data!E1554</f>
        <v>600</v>
      </c>
      <c r="F1555" t="str">
        <f>Raw_Claims_Data!F1554</f>
        <v>CA</v>
      </c>
      <c r="G1555" t="str">
        <f>Raw_Claims_Data!G1554</f>
        <v>D</v>
      </c>
      <c r="H1555" t="str">
        <f>Raw_Claims_Data!H1554</f>
        <v>Minor Loss</v>
      </c>
      <c r="I1555" t="str">
        <f>IF(Raw_Claims_Data!I1554="","None",Raw_Claims_Data!I1554)</f>
        <v>Ambulance</v>
      </c>
      <c r="J1555" t="str">
        <f>Raw_Claims_Data!J1554</f>
        <v>Washington</v>
      </c>
      <c r="K1555" t="str">
        <f>Raw_Claims_Data!K1554</f>
        <v>DC</v>
      </c>
      <c r="L1555">
        <f>Raw_Claims_Data!L1554</f>
        <v>15</v>
      </c>
      <c r="M1555" t="str">
        <f>IF(Raw_Claims_Data!M1554="","N/A",Raw_Claims_Data!M1554)</f>
        <v>VNDR00588</v>
      </c>
      <c r="N1555" t="str">
        <f>Raw_Claims_Data!N1554</f>
        <v>AGENT00720</v>
      </c>
      <c r="O1555">
        <f>IF(Raw_Claims_Data!G1554="D",1,0)</f>
        <v>1</v>
      </c>
    </row>
    <row r="1556" spans="1:15" x14ac:dyDescent="0.35">
      <c r="A1556" t="str">
        <f>Raw_Claims_Data!A1555</f>
        <v>TXN00001552</v>
      </c>
      <c r="B1556" t="str">
        <f>TRIM(Raw_Claims_Data!B1555)</f>
        <v>Stephen Ferrell</v>
      </c>
      <c r="C1556" t="str">
        <f>Raw_Claims_Data!C1555</f>
        <v>Health</v>
      </c>
      <c r="D1556">
        <f>Raw_Claims_Data!D1555</f>
        <v>190.49</v>
      </c>
      <c r="E1556">
        <f>Raw_Claims_Data!E1555</f>
        <v>10000</v>
      </c>
      <c r="F1556" t="str">
        <f>Raw_Claims_Data!F1555</f>
        <v>OK</v>
      </c>
      <c r="G1556" t="str">
        <f>Raw_Claims_Data!G1555</f>
        <v>A</v>
      </c>
      <c r="H1556" t="str">
        <f>Raw_Claims_Data!H1555</f>
        <v>Major Loss</v>
      </c>
      <c r="I1556" t="str">
        <f>IF(Raw_Claims_Data!I1555="","None",Raw_Claims_Data!I1555)</f>
        <v>Police</v>
      </c>
      <c r="J1556" t="str">
        <f>Raw_Claims_Data!J1555</f>
        <v>Oklahoma City</v>
      </c>
      <c r="K1556" t="str">
        <f>Raw_Claims_Data!K1555</f>
        <v>OK</v>
      </c>
      <c r="L1556">
        <f>Raw_Claims_Data!L1555</f>
        <v>13</v>
      </c>
      <c r="M1556" t="str">
        <f>IF(Raw_Claims_Data!M1555="","N/A",Raw_Claims_Data!M1555)</f>
        <v>VNDR00454</v>
      </c>
      <c r="N1556" t="str">
        <f>Raw_Claims_Data!N1555</f>
        <v>AGENT00251</v>
      </c>
      <c r="O1556">
        <f>IF(Raw_Claims_Data!G1555="D",1,0)</f>
        <v>0</v>
      </c>
    </row>
    <row r="1557" spans="1:15" x14ac:dyDescent="0.35">
      <c r="A1557" t="str">
        <f>Raw_Claims_Data!A1556</f>
        <v>TXN00001553</v>
      </c>
      <c r="B1557" t="str">
        <f>TRIM(Raw_Claims_Data!B1556)</f>
        <v>Stuart Green</v>
      </c>
      <c r="C1557" t="str">
        <f>Raw_Claims_Data!C1556</f>
        <v>Mobile</v>
      </c>
      <c r="D1557">
        <f>Raw_Claims_Data!D1556</f>
        <v>8.5500000000000007</v>
      </c>
      <c r="E1557">
        <f>Raw_Claims_Data!E1556</f>
        <v>200</v>
      </c>
      <c r="F1557" t="str">
        <f>Raw_Claims_Data!F1556</f>
        <v>AL</v>
      </c>
      <c r="G1557" t="str">
        <f>Raw_Claims_Data!G1556</f>
        <v>A</v>
      </c>
      <c r="H1557" t="str">
        <f>Raw_Claims_Data!H1556</f>
        <v>Major Loss</v>
      </c>
      <c r="I1557" t="str">
        <f>IF(Raw_Claims_Data!I1556="","None",Raw_Claims_Data!I1556)</f>
        <v>None</v>
      </c>
      <c r="J1557" t="str">
        <f>Raw_Claims_Data!J1556</f>
        <v>Shelburne</v>
      </c>
      <c r="K1557" t="str">
        <f>Raw_Claims_Data!K1556</f>
        <v>VT</v>
      </c>
      <c r="L1557">
        <f>Raw_Claims_Data!L1556</f>
        <v>7</v>
      </c>
      <c r="M1557" t="str">
        <f>IF(Raw_Claims_Data!M1556="","N/A",Raw_Claims_Data!M1556)</f>
        <v>VNDR00206</v>
      </c>
      <c r="N1557" t="str">
        <f>Raw_Claims_Data!N1556</f>
        <v>AGENT00385</v>
      </c>
      <c r="O1557">
        <f>IF(Raw_Claims_Data!G1556="D",1,0)</f>
        <v>0</v>
      </c>
    </row>
    <row r="1558" spans="1:15" x14ac:dyDescent="0.35">
      <c r="A1558" t="str">
        <f>Raw_Claims_Data!A1557</f>
        <v>TXN00001554</v>
      </c>
      <c r="B1558" t="str">
        <f>TRIM(Raw_Claims_Data!B1557)</f>
        <v>Phillip Hendershot</v>
      </c>
      <c r="C1558" t="str">
        <f>Raw_Claims_Data!C1557</f>
        <v>Health</v>
      </c>
      <c r="D1558">
        <f>Raw_Claims_Data!D1557</f>
        <v>162.81</v>
      </c>
      <c r="E1558">
        <f>Raw_Claims_Data!E1557</f>
        <v>12000</v>
      </c>
      <c r="F1558" t="str">
        <f>Raw_Claims_Data!F1557</f>
        <v>KY</v>
      </c>
      <c r="G1558" t="str">
        <f>Raw_Claims_Data!G1557</f>
        <v>A</v>
      </c>
      <c r="H1558" t="str">
        <f>Raw_Claims_Data!H1557</f>
        <v>Total Loss</v>
      </c>
      <c r="I1558" t="str">
        <f>IF(Raw_Claims_Data!I1557="","None",Raw_Claims_Data!I1557)</f>
        <v>Other</v>
      </c>
      <c r="J1558" t="str">
        <f>Raw_Claims_Data!J1557</f>
        <v>Panama City</v>
      </c>
      <c r="K1558" t="str">
        <f>Raw_Claims_Data!K1557</f>
        <v>FL</v>
      </c>
      <c r="L1558">
        <f>Raw_Claims_Data!L1557</f>
        <v>7</v>
      </c>
      <c r="M1558" t="str">
        <f>IF(Raw_Claims_Data!M1557="","N/A",Raw_Claims_Data!M1557)</f>
        <v>VNDR00076</v>
      </c>
      <c r="N1558" t="str">
        <f>Raw_Claims_Data!N1557</f>
        <v>AGENT00225</v>
      </c>
      <c r="O1558">
        <f>IF(Raw_Claims_Data!G1557="D",1,0)</f>
        <v>0</v>
      </c>
    </row>
    <row r="1559" spans="1:15" x14ac:dyDescent="0.35">
      <c r="A1559" t="str">
        <f>Raw_Claims_Data!A1558</f>
        <v>TXN00001555</v>
      </c>
      <c r="B1559" t="str">
        <f>TRIM(Raw_Claims_Data!B1558)</f>
        <v>Raymond Clark</v>
      </c>
      <c r="C1559" t="str">
        <f>Raw_Claims_Data!C1558</f>
        <v>Motor</v>
      </c>
      <c r="D1559">
        <f>Raw_Claims_Data!D1558</f>
        <v>132.93</v>
      </c>
      <c r="E1559">
        <f>Raw_Claims_Data!E1558</f>
        <v>2000</v>
      </c>
      <c r="F1559" t="str">
        <f>Raw_Claims_Data!F1558</f>
        <v>CA</v>
      </c>
      <c r="G1559" t="str">
        <f>Raw_Claims_Data!G1558</f>
        <v>A</v>
      </c>
      <c r="H1559" t="str">
        <f>Raw_Claims_Data!H1558</f>
        <v>Minor Loss</v>
      </c>
      <c r="I1559" t="str">
        <f>IF(Raw_Claims_Data!I1558="","None",Raw_Claims_Data!I1558)</f>
        <v>Ambulance</v>
      </c>
      <c r="J1559">
        <f>Raw_Claims_Data!J1558</f>
        <v>0</v>
      </c>
      <c r="K1559" t="str">
        <f>Raw_Claims_Data!K1558</f>
        <v>VT</v>
      </c>
      <c r="L1559">
        <f>Raw_Claims_Data!L1558</f>
        <v>7</v>
      </c>
      <c r="M1559" t="str">
        <f>IF(Raw_Claims_Data!M1558="","N/A",Raw_Claims_Data!M1558)</f>
        <v>VNDR00132</v>
      </c>
      <c r="N1559" t="str">
        <f>Raw_Claims_Data!N1558</f>
        <v>AGENT00921</v>
      </c>
      <c r="O1559">
        <f>IF(Raw_Claims_Data!G1558="D",1,0)</f>
        <v>0</v>
      </c>
    </row>
    <row r="1560" spans="1:15" x14ac:dyDescent="0.35">
      <c r="A1560" t="str">
        <f>Raw_Claims_Data!A1559</f>
        <v>TXN00001556</v>
      </c>
      <c r="B1560" t="str">
        <f>TRIM(Raw_Claims_Data!B1559)</f>
        <v>Myrna Hemrich</v>
      </c>
      <c r="C1560" t="str">
        <f>Raw_Claims_Data!C1559</f>
        <v>Mobile</v>
      </c>
      <c r="D1560">
        <f>Raw_Claims_Data!D1559</f>
        <v>10.59</v>
      </c>
      <c r="E1560">
        <f>Raw_Claims_Data!E1559</f>
        <v>100</v>
      </c>
      <c r="F1560" t="str">
        <f>Raw_Claims_Data!F1559</f>
        <v>MD</v>
      </c>
      <c r="G1560" t="str">
        <f>Raw_Claims_Data!G1559</f>
        <v>A</v>
      </c>
      <c r="H1560" t="str">
        <f>Raw_Claims_Data!H1559</f>
        <v>Total Loss</v>
      </c>
      <c r="I1560" t="str">
        <f>IF(Raw_Claims_Data!I1559="","None",Raw_Claims_Data!I1559)</f>
        <v>Police</v>
      </c>
      <c r="J1560" t="str">
        <f>Raw_Claims_Data!J1559</f>
        <v>Washington</v>
      </c>
      <c r="K1560" t="str">
        <f>Raw_Claims_Data!K1559</f>
        <v>DC</v>
      </c>
      <c r="L1560">
        <f>Raw_Claims_Data!L1559</f>
        <v>17</v>
      </c>
      <c r="M1560" t="str">
        <f>IF(Raw_Claims_Data!M1559="","N/A",Raw_Claims_Data!M1559)</f>
        <v>N/A</v>
      </c>
      <c r="N1560" t="str">
        <f>Raw_Claims_Data!N1559</f>
        <v>AGENT00175</v>
      </c>
      <c r="O1560">
        <f>IF(Raw_Claims_Data!G1559="D",1,0)</f>
        <v>0</v>
      </c>
    </row>
    <row r="1561" spans="1:15" x14ac:dyDescent="0.35">
      <c r="A1561" t="str">
        <f>Raw_Claims_Data!A1560</f>
        <v>TXN00001557</v>
      </c>
      <c r="B1561" t="str">
        <f>TRIM(Raw_Claims_Data!B1560)</f>
        <v>Rhonda Eslinger</v>
      </c>
      <c r="C1561" t="str">
        <f>Raw_Claims_Data!C1560</f>
        <v>Health</v>
      </c>
      <c r="D1561">
        <f>Raw_Claims_Data!D1560</f>
        <v>186.09</v>
      </c>
      <c r="E1561">
        <f>Raw_Claims_Data!E1560</f>
        <v>11000</v>
      </c>
      <c r="F1561" t="str">
        <f>Raw_Claims_Data!F1560</f>
        <v>MD</v>
      </c>
      <c r="G1561" t="str">
        <f>Raw_Claims_Data!G1560</f>
        <v>A</v>
      </c>
      <c r="H1561" t="str">
        <f>Raw_Claims_Data!H1560</f>
        <v>Minor Loss</v>
      </c>
      <c r="I1561" t="str">
        <f>IF(Raw_Claims_Data!I1560="","None",Raw_Claims_Data!I1560)</f>
        <v>None</v>
      </c>
      <c r="J1561" t="str">
        <f>Raw_Claims_Data!J1560</f>
        <v>Glendale</v>
      </c>
      <c r="K1561" t="str">
        <f>Raw_Claims_Data!K1560</f>
        <v>AZ</v>
      </c>
      <c r="L1561">
        <f>Raw_Claims_Data!L1560</f>
        <v>0</v>
      </c>
      <c r="M1561" t="str">
        <f>IF(Raw_Claims_Data!M1560="","N/A",Raw_Claims_Data!M1560)</f>
        <v>VNDR00250</v>
      </c>
      <c r="N1561" t="str">
        <f>Raw_Claims_Data!N1560</f>
        <v>AGENT01050</v>
      </c>
      <c r="O1561">
        <f>IF(Raw_Claims_Data!G1560="D",1,0)</f>
        <v>0</v>
      </c>
    </row>
    <row r="1562" spans="1:15" x14ac:dyDescent="0.35">
      <c r="A1562" t="str">
        <f>Raw_Claims_Data!A1561</f>
        <v>TXN00001558</v>
      </c>
      <c r="B1562" t="str">
        <f>TRIM(Raw_Claims_Data!B1561)</f>
        <v>Kevin Allison</v>
      </c>
      <c r="C1562" t="str">
        <f>Raw_Claims_Data!C1561</f>
        <v>Mobile</v>
      </c>
      <c r="D1562">
        <f>Raw_Claims_Data!D1561</f>
        <v>11.82</v>
      </c>
      <c r="E1562">
        <f>Raw_Claims_Data!E1561</f>
        <v>700</v>
      </c>
      <c r="F1562" t="str">
        <f>Raw_Claims_Data!F1561</f>
        <v>MA</v>
      </c>
      <c r="G1562" t="str">
        <f>Raw_Claims_Data!G1561</f>
        <v>A</v>
      </c>
      <c r="H1562" t="str">
        <f>Raw_Claims_Data!H1561</f>
        <v>Major Loss</v>
      </c>
      <c r="I1562" t="str">
        <f>IF(Raw_Claims_Data!I1561="","None",Raw_Claims_Data!I1561)</f>
        <v>Police</v>
      </c>
      <c r="J1562" t="str">
        <f>Raw_Claims_Data!J1561</f>
        <v>Nashville</v>
      </c>
      <c r="K1562" t="str">
        <f>Raw_Claims_Data!K1561</f>
        <v>TN</v>
      </c>
      <c r="L1562">
        <f>Raw_Claims_Data!L1561</f>
        <v>14</v>
      </c>
      <c r="M1562" t="str">
        <f>IF(Raw_Claims_Data!M1561="","N/A",Raw_Claims_Data!M1561)</f>
        <v>N/A</v>
      </c>
      <c r="N1562" t="str">
        <f>Raw_Claims_Data!N1561</f>
        <v>AGENT00624</v>
      </c>
      <c r="O1562">
        <f>IF(Raw_Claims_Data!G1561="D",1,0)</f>
        <v>0</v>
      </c>
    </row>
    <row r="1563" spans="1:15" x14ac:dyDescent="0.35">
      <c r="A1563" t="str">
        <f>Raw_Claims_Data!A1562</f>
        <v>TXN00001559</v>
      </c>
      <c r="B1563" t="str">
        <f>TRIM(Raw_Claims_Data!B1562)</f>
        <v>Benjamin Dahl</v>
      </c>
      <c r="C1563" t="str">
        <f>Raw_Claims_Data!C1562</f>
        <v>Health</v>
      </c>
      <c r="D1563">
        <f>Raw_Claims_Data!D1562</f>
        <v>121.31</v>
      </c>
      <c r="E1563">
        <f>Raw_Claims_Data!E1562</f>
        <v>8000</v>
      </c>
      <c r="F1563" t="str">
        <f>Raw_Claims_Data!F1562</f>
        <v>MD</v>
      </c>
      <c r="G1563" t="str">
        <f>Raw_Claims_Data!G1562</f>
        <v>A</v>
      </c>
      <c r="H1563" t="str">
        <f>Raw_Claims_Data!H1562</f>
        <v>Total Loss</v>
      </c>
      <c r="I1563" t="str">
        <f>IF(Raw_Claims_Data!I1562="","None",Raw_Claims_Data!I1562)</f>
        <v>Other</v>
      </c>
      <c r="J1563" t="str">
        <f>Raw_Claims_Data!J1562</f>
        <v>Glendale</v>
      </c>
      <c r="K1563" t="str">
        <f>Raw_Claims_Data!K1562</f>
        <v>AZ</v>
      </c>
      <c r="L1563">
        <f>Raw_Claims_Data!L1562</f>
        <v>13</v>
      </c>
      <c r="M1563" t="str">
        <f>IF(Raw_Claims_Data!M1562="","N/A",Raw_Claims_Data!M1562)</f>
        <v>VNDR00266</v>
      </c>
      <c r="N1563" t="str">
        <f>Raw_Claims_Data!N1562</f>
        <v>AGENT00721</v>
      </c>
      <c r="O1563">
        <f>IF(Raw_Claims_Data!G1562="D",1,0)</f>
        <v>0</v>
      </c>
    </row>
    <row r="1564" spans="1:15" x14ac:dyDescent="0.35">
      <c r="A1564" t="str">
        <f>Raw_Claims_Data!A1563</f>
        <v>TXN00001560</v>
      </c>
      <c r="B1564" t="str">
        <f>TRIM(Raw_Claims_Data!B1563)</f>
        <v>Ruth Hoskins</v>
      </c>
      <c r="C1564" t="str">
        <f>Raw_Claims_Data!C1563</f>
        <v>Health</v>
      </c>
      <c r="D1564">
        <f>Raw_Claims_Data!D1563</f>
        <v>141.59</v>
      </c>
      <c r="E1564">
        <f>Raw_Claims_Data!E1563</f>
        <v>14000</v>
      </c>
      <c r="F1564" t="str">
        <f>Raw_Claims_Data!F1563</f>
        <v>DC</v>
      </c>
      <c r="G1564" t="str">
        <f>Raw_Claims_Data!G1563</f>
        <v>A</v>
      </c>
      <c r="H1564" t="str">
        <f>Raw_Claims_Data!H1563</f>
        <v>Total Loss</v>
      </c>
      <c r="I1564" t="str">
        <f>IF(Raw_Claims_Data!I1563="","None",Raw_Claims_Data!I1563)</f>
        <v>Ambulance</v>
      </c>
      <c r="J1564" t="str">
        <f>Raw_Claims_Data!J1563</f>
        <v>Washington</v>
      </c>
      <c r="K1564" t="str">
        <f>Raw_Claims_Data!K1563</f>
        <v>DC</v>
      </c>
      <c r="L1564">
        <f>Raw_Claims_Data!L1563</f>
        <v>2</v>
      </c>
      <c r="M1564" t="str">
        <f>IF(Raw_Claims_Data!M1563="","N/A",Raw_Claims_Data!M1563)</f>
        <v>N/A</v>
      </c>
      <c r="N1564" t="str">
        <f>Raw_Claims_Data!N1563</f>
        <v>AGENT00642</v>
      </c>
      <c r="O1564">
        <f>IF(Raw_Claims_Data!G1563="D",1,0)</f>
        <v>0</v>
      </c>
    </row>
    <row r="1565" spans="1:15" x14ac:dyDescent="0.35">
      <c r="A1565" t="str">
        <f>Raw_Claims_Data!A1564</f>
        <v>TXN00001561</v>
      </c>
      <c r="B1565" t="str">
        <f>TRIM(Raw_Claims_Data!B1564)</f>
        <v>Caroline Henderson</v>
      </c>
      <c r="C1565" t="str">
        <f>Raw_Claims_Data!C1564</f>
        <v>Life</v>
      </c>
      <c r="D1565">
        <f>Raw_Claims_Data!D1564</f>
        <v>62.9</v>
      </c>
      <c r="E1565">
        <f>Raw_Claims_Data!E1564</f>
        <v>27000</v>
      </c>
      <c r="F1565" t="str">
        <f>Raw_Claims_Data!F1564</f>
        <v>AK</v>
      </c>
      <c r="G1565" t="str">
        <f>Raw_Claims_Data!G1564</f>
        <v>D</v>
      </c>
      <c r="H1565" t="str">
        <f>Raw_Claims_Data!H1564</f>
        <v>Major Loss</v>
      </c>
      <c r="I1565" t="str">
        <f>IF(Raw_Claims_Data!I1564="","None",Raw_Claims_Data!I1564)</f>
        <v>Ambulance</v>
      </c>
      <c r="J1565" t="str">
        <f>Raw_Claims_Data!J1564</f>
        <v>Louisville</v>
      </c>
      <c r="K1565" t="str">
        <f>Raw_Claims_Data!K1564</f>
        <v>KY</v>
      </c>
      <c r="L1565">
        <f>Raw_Claims_Data!L1564</f>
        <v>18</v>
      </c>
      <c r="M1565" t="str">
        <f>IF(Raw_Claims_Data!M1564="","N/A",Raw_Claims_Data!M1564)</f>
        <v>VNDR00353</v>
      </c>
      <c r="N1565" t="str">
        <f>Raw_Claims_Data!N1564</f>
        <v>AGENT00182</v>
      </c>
      <c r="O1565">
        <f>IF(Raw_Claims_Data!G1564="D",1,0)</f>
        <v>1</v>
      </c>
    </row>
    <row r="1566" spans="1:15" x14ac:dyDescent="0.35">
      <c r="A1566" t="str">
        <f>Raw_Claims_Data!A1565</f>
        <v>TXN00001562</v>
      </c>
      <c r="B1566" t="str">
        <f>TRIM(Raw_Claims_Data!B1565)</f>
        <v>Micheal Kher</v>
      </c>
      <c r="C1566" t="str">
        <f>Raw_Claims_Data!C1565</f>
        <v>Travel</v>
      </c>
      <c r="D1566">
        <f>Raw_Claims_Data!D1565</f>
        <v>58.55</v>
      </c>
      <c r="E1566">
        <f>Raw_Claims_Data!E1565</f>
        <v>2000</v>
      </c>
      <c r="F1566" t="str">
        <f>Raw_Claims_Data!F1565</f>
        <v>GA</v>
      </c>
      <c r="G1566" t="str">
        <f>Raw_Claims_Data!G1565</f>
        <v>A</v>
      </c>
      <c r="H1566" t="str">
        <f>Raw_Claims_Data!H1565</f>
        <v>Minor Loss</v>
      </c>
      <c r="I1566" t="str">
        <f>IF(Raw_Claims_Data!I1565="","None",Raw_Claims_Data!I1565)</f>
        <v>Police</v>
      </c>
      <c r="J1566" t="str">
        <f>Raw_Claims_Data!J1565</f>
        <v>Panama City</v>
      </c>
      <c r="K1566" t="str">
        <f>Raw_Claims_Data!K1565</f>
        <v>FL</v>
      </c>
      <c r="L1566">
        <f>Raw_Claims_Data!L1565</f>
        <v>12</v>
      </c>
      <c r="M1566" t="str">
        <f>IF(Raw_Claims_Data!M1565="","N/A",Raw_Claims_Data!M1565)</f>
        <v>N/A</v>
      </c>
      <c r="N1566" t="str">
        <f>Raw_Claims_Data!N1565</f>
        <v>AGENT00572</v>
      </c>
      <c r="O1566">
        <f>IF(Raw_Claims_Data!G1565="D",1,0)</f>
        <v>0</v>
      </c>
    </row>
    <row r="1567" spans="1:15" x14ac:dyDescent="0.35">
      <c r="A1567" t="str">
        <f>Raw_Claims_Data!A1566</f>
        <v>TXN00001563</v>
      </c>
      <c r="B1567" t="str">
        <f>TRIM(Raw_Claims_Data!B1566)</f>
        <v>Margaret Hines</v>
      </c>
      <c r="C1567" t="str">
        <f>Raw_Claims_Data!C1566</f>
        <v>Property</v>
      </c>
      <c r="D1567">
        <f>Raw_Claims_Data!D1566</f>
        <v>94.8</v>
      </c>
      <c r="E1567">
        <f>Raw_Claims_Data!E1566</f>
        <v>26000</v>
      </c>
      <c r="F1567" t="str">
        <f>Raw_Claims_Data!F1566</f>
        <v>CA</v>
      </c>
      <c r="G1567" t="str">
        <f>Raw_Claims_Data!G1566</f>
        <v>A</v>
      </c>
      <c r="H1567" t="str">
        <f>Raw_Claims_Data!H1566</f>
        <v>Major Loss</v>
      </c>
      <c r="I1567" t="str">
        <f>IF(Raw_Claims_Data!I1566="","None",Raw_Claims_Data!I1566)</f>
        <v>Police</v>
      </c>
      <c r="J1567" t="str">
        <f>Raw_Claims_Data!J1566</f>
        <v>Rancho Cordova</v>
      </c>
      <c r="K1567" t="str">
        <f>Raw_Claims_Data!K1566</f>
        <v>CA</v>
      </c>
      <c r="L1567">
        <f>Raw_Claims_Data!L1566</f>
        <v>14</v>
      </c>
      <c r="M1567" t="str">
        <f>IF(Raw_Claims_Data!M1566="","N/A",Raw_Claims_Data!M1566)</f>
        <v>VNDR00415</v>
      </c>
      <c r="N1567" t="str">
        <f>Raw_Claims_Data!N1566</f>
        <v>AGENT00468</v>
      </c>
      <c r="O1567">
        <f>IF(Raw_Claims_Data!G1566="D",1,0)</f>
        <v>0</v>
      </c>
    </row>
    <row r="1568" spans="1:15" x14ac:dyDescent="0.35">
      <c r="A1568" t="str">
        <f>Raw_Claims_Data!A1567</f>
        <v>TXN00001564</v>
      </c>
      <c r="B1568" t="str">
        <f>TRIM(Raw_Claims_Data!B1567)</f>
        <v>Pedro Vadenais</v>
      </c>
      <c r="C1568" t="str">
        <f>Raw_Claims_Data!C1567</f>
        <v>Motor</v>
      </c>
      <c r="D1568">
        <f>Raw_Claims_Data!D1567</f>
        <v>77.150000000000006</v>
      </c>
      <c r="E1568">
        <f>Raw_Claims_Data!E1567</f>
        <v>8000</v>
      </c>
      <c r="F1568" t="str">
        <f>Raw_Claims_Data!F1567</f>
        <v>GA</v>
      </c>
      <c r="G1568" t="str">
        <f>Raw_Claims_Data!G1567</f>
        <v>A</v>
      </c>
      <c r="H1568" t="str">
        <f>Raw_Claims_Data!H1567</f>
        <v>Major Loss</v>
      </c>
      <c r="I1568" t="str">
        <f>IF(Raw_Claims_Data!I1567="","None",Raw_Claims_Data!I1567)</f>
        <v>None</v>
      </c>
      <c r="J1568" t="str">
        <f>Raw_Claims_Data!J1567</f>
        <v>Anchorage</v>
      </c>
      <c r="K1568" t="str">
        <f>Raw_Claims_Data!K1567</f>
        <v>AK</v>
      </c>
      <c r="L1568">
        <f>Raw_Claims_Data!L1567</f>
        <v>19</v>
      </c>
      <c r="M1568" t="str">
        <f>IF(Raw_Claims_Data!M1567="","N/A",Raw_Claims_Data!M1567)</f>
        <v>VNDR00373</v>
      </c>
      <c r="N1568" t="str">
        <f>Raw_Claims_Data!N1567</f>
        <v>AGENT00778</v>
      </c>
      <c r="O1568">
        <f>IF(Raw_Claims_Data!G1567="D",1,0)</f>
        <v>0</v>
      </c>
    </row>
    <row r="1569" spans="1:15" x14ac:dyDescent="0.35">
      <c r="A1569" t="str">
        <f>Raw_Claims_Data!A1568</f>
        <v>TXN00001565</v>
      </c>
      <c r="B1569" t="str">
        <f>TRIM(Raw_Claims_Data!B1568)</f>
        <v>Tandy Thomas</v>
      </c>
      <c r="C1569" t="str">
        <f>Raw_Claims_Data!C1568</f>
        <v>Health</v>
      </c>
      <c r="D1569">
        <f>Raw_Claims_Data!D1568</f>
        <v>191.91</v>
      </c>
      <c r="E1569">
        <f>Raw_Claims_Data!E1568</f>
        <v>9000</v>
      </c>
      <c r="F1569" t="str">
        <f>Raw_Claims_Data!F1568</f>
        <v>CT</v>
      </c>
      <c r="G1569" t="str">
        <f>Raw_Claims_Data!G1568</f>
        <v>A</v>
      </c>
      <c r="H1569" t="str">
        <f>Raw_Claims_Data!H1568</f>
        <v>Minor Loss</v>
      </c>
      <c r="I1569" t="str">
        <f>IF(Raw_Claims_Data!I1568="","None",Raw_Claims_Data!I1568)</f>
        <v>Police</v>
      </c>
      <c r="J1569" t="str">
        <f>Raw_Claims_Data!J1568</f>
        <v>Bloomingdale</v>
      </c>
      <c r="K1569" t="str">
        <f>Raw_Claims_Data!K1568</f>
        <v>GA</v>
      </c>
      <c r="L1569">
        <f>Raw_Claims_Data!L1568</f>
        <v>12</v>
      </c>
      <c r="M1569" t="str">
        <f>IF(Raw_Claims_Data!M1568="","N/A",Raw_Claims_Data!M1568)</f>
        <v>VNDR00249</v>
      </c>
      <c r="N1569" t="str">
        <f>Raw_Claims_Data!N1568</f>
        <v>AGENT00806</v>
      </c>
      <c r="O1569">
        <f>IF(Raw_Claims_Data!G1568="D",1,0)</f>
        <v>0</v>
      </c>
    </row>
    <row r="1570" spans="1:15" x14ac:dyDescent="0.35">
      <c r="A1570" t="str">
        <f>Raw_Claims_Data!A1569</f>
        <v>TXN00001566</v>
      </c>
      <c r="B1570" t="str">
        <f>TRIM(Raw_Claims_Data!B1569)</f>
        <v>Leslie Mann</v>
      </c>
      <c r="C1570" t="str">
        <f>Raw_Claims_Data!C1569</f>
        <v>Property</v>
      </c>
      <c r="D1570">
        <f>Raw_Claims_Data!D1569</f>
        <v>117.83</v>
      </c>
      <c r="E1570">
        <f>Raw_Claims_Data!E1569</f>
        <v>12000</v>
      </c>
      <c r="F1570" t="str">
        <f>Raw_Claims_Data!F1569</f>
        <v>AZ</v>
      </c>
      <c r="G1570" t="str">
        <f>Raw_Claims_Data!G1569</f>
        <v>A</v>
      </c>
      <c r="H1570" t="str">
        <f>Raw_Claims_Data!H1569</f>
        <v>Total Loss</v>
      </c>
      <c r="I1570" t="str">
        <f>IF(Raw_Claims_Data!I1569="","None",Raw_Claims_Data!I1569)</f>
        <v>Ambulance</v>
      </c>
      <c r="J1570" t="str">
        <f>Raw_Claims_Data!J1569</f>
        <v>Washington</v>
      </c>
      <c r="K1570" t="str">
        <f>Raw_Claims_Data!K1569</f>
        <v>DC</v>
      </c>
      <c r="L1570">
        <f>Raw_Claims_Data!L1569</f>
        <v>9</v>
      </c>
      <c r="M1570" t="str">
        <f>IF(Raw_Claims_Data!M1569="","N/A",Raw_Claims_Data!M1569)</f>
        <v>VNDR00557</v>
      </c>
      <c r="N1570" t="str">
        <f>Raw_Claims_Data!N1569</f>
        <v>AGENT00993</v>
      </c>
      <c r="O1570">
        <f>IF(Raw_Claims_Data!G1569="D",1,0)</f>
        <v>0</v>
      </c>
    </row>
    <row r="1571" spans="1:15" x14ac:dyDescent="0.35">
      <c r="A1571" t="str">
        <f>Raw_Claims_Data!A1570</f>
        <v>TXN00001567</v>
      </c>
      <c r="B1571" t="str">
        <f>TRIM(Raw_Claims_Data!B1570)</f>
        <v>Jules Hughes</v>
      </c>
      <c r="C1571" t="str">
        <f>Raw_Claims_Data!C1570</f>
        <v>Life</v>
      </c>
      <c r="D1571">
        <f>Raw_Claims_Data!D1570</f>
        <v>80.62</v>
      </c>
      <c r="E1571">
        <f>Raw_Claims_Data!E1570</f>
        <v>89000</v>
      </c>
      <c r="F1571" t="str">
        <f>Raw_Claims_Data!F1570</f>
        <v>GA</v>
      </c>
      <c r="G1571" t="str">
        <f>Raw_Claims_Data!G1570</f>
        <v>A</v>
      </c>
      <c r="H1571" t="str">
        <f>Raw_Claims_Data!H1570</f>
        <v>Minor Loss</v>
      </c>
      <c r="I1571" t="str">
        <f>IF(Raw_Claims_Data!I1570="","None",Raw_Claims_Data!I1570)</f>
        <v>Police</v>
      </c>
      <c r="J1571" t="str">
        <f>Raw_Claims_Data!J1570</f>
        <v>Nashville</v>
      </c>
      <c r="K1571" t="str">
        <f>Raw_Claims_Data!K1570</f>
        <v>TN</v>
      </c>
      <c r="L1571">
        <f>Raw_Claims_Data!L1570</f>
        <v>12</v>
      </c>
      <c r="M1571" t="str">
        <f>IF(Raw_Claims_Data!M1570="","N/A",Raw_Claims_Data!M1570)</f>
        <v>VNDR00410</v>
      </c>
      <c r="N1571" t="str">
        <f>Raw_Claims_Data!N1570</f>
        <v>AGENT00871</v>
      </c>
      <c r="O1571">
        <f>IF(Raw_Claims_Data!G1570="D",1,0)</f>
        <v>0</v>
      </c>
    </row>
    <row r="1572" spans="1:15" x14ac:dyDescent="0.35">
      <c r="A1572" t="str">
        <f>Raw_Claims_Data!A1571</f>
        <v>TXN00001568</v>
      </c>
      <c r="B1572" t="str">
        <f>TRIM(Raw_Claims_Data!B1571)</f>
        <v>James Weiss</v>
      </c>
      <c r="C1572" t="str">
        <f>Raw_Claims_Data!C1571</f>
        <v>Travel</v>
      </c>
      <c r="D1572">
        <f>Raw_Claims_Data!D1571</f>
        <v>97.49</v>
      </c>
      <c r="E1572">
        <f>Raw_Claims_Data!E1571</f>
        <v>1000</v>
      </c>
      <c r="F1572" t="str">
        <f>Raw_Claims_Data!F1571</f>
        <v>AL</v>
      </c>
      <c r="G1572" t="str">
        <f>Raw_Claims_Data!G1571</f>
        <v>A</v>
      </c>
      <c r="H1572" t="str">
        <f>Raw_Claims_Data!H1571</f>
        <v>Major Loss</v>
      </c>
      <c r="I1572" t="str">
        <f>IF(Raw_Claims_Data!I1571="","None",Raw_Claims_Data!I1571)</f>
        <v>Police</v>
      </c>
      <c r="J1572" t="str">
        <f>Raw_Claims_Data!J1571</f>
        <v>South Burlington</v>
      </c>
      <c r="K1572" t="str">
        <f>Raw_Claims_Data!K1571</f>
        <v>VT</v>
      </c>
      <c r="L1572">
        <f>Raw_Claims_Data!L1571</f>
        <v>5</v>
      </c>
      <c r="M1572" t="str">
        <f>IF(Raw_Claims_Data!M1571="","N/A",Raw_Claims_Data!M1571)</f>
        <v>VNDR00319</v>
      </c>
      <c r="N1572" t="str">
        <f>Raw_Claims_Data!N1571</f>
        <v>AGENT00345</v>
      </c>
      <c r="O1572">
        <f>IF(Raw_Claims_Data!G1571="D",1,0)</f>
        <v>0</v>
      </c>
    </row>
    <row r="1573" spans="1:15" x14ac:dyDescent="0.35">
      <c r="A1573" t="str">
        <f>Raw_Claims_Data!A1572</f>
        <v>TXN00001569</v>
      </c>
      <c r="B1573" t="str">
        <f>TRIM(Raw_Claims_Data!B1572)</f>
        <v>Phyllis Mimnaugh</v>
      </c>
      <c r="C1573" t="str">
        <f>Raw_Claims_Data!C1572</f>
        <v>Mobile</v>
      </c>
      <c r="D1573">
        <f>Raw_Claims_Data!D1572</f>
        <v>10.72</v>
      </c>
      <c r="E1573">
        <f>Raw_Claims_Data!E1572</f>
        <v>600</v>
      </c>
      <c r="F1573" t="str">
        <f>Raw_Claims_Data!F1572</f>
        <v>CT</v>
      </c>
      <c r="G1573" t="str">
        <f>Raw_Claims_Data!G1572</f>
        <v>A</v>
      </c>
      <c r="H1573" t="str">
        <f>Raw_Claims_Data!H1572</f>
        <v>Total Loss</v>
      </c>
      <c r="I1573" t="str">
        <f>IF(Raw_Claims_Data!I1572="","None",Raw_Claims_Data!I1572)</f>
        <v>Ambulance</v>
      </c>
      <c r="J1573" t="str">
        <f>Raw_Claims_Data!J1572</f>
        <v>Union City</v>
      </c>
      <c r="K1573" t="str">
        <f>Raw_Claims_Data!K1572</f>
        <v>CA</v>
      </c>
      <c r="L1573">
        <f>Raw_Claims_Data!L1572</f>
        <v>20</v>
      </c>
      <c r="M1573" t="str">
        <f>IF(Raw_Claims_Data!M1572="","N/A",Raw_Claims_Data!M1572)</f>
        <v>VNDR00052</v>
      </c>
      <c r="N1573" t="str">
        <f>Raw_Claims_Data!N1572</f>
        <v>AGENT00312</v>
      </c>
      <c r="O1573">
        <f>IF(Raw_Claims_Data!G1572="D",1,0)</f>
        <v>0</v>
      </c>
    </row>
    <row r="1574" spans="1:15" x14ac:dyDescent="0.35">
      <c r="A1574" t="str">
        <f>Raw_Claims_Data!A1573</f>
        <v>TXN00001570</v>
      </c>
      <c r="B1574" t="str">
        <f>TRIM(Raw_Claims_Data!B1573)</f>
        <v>Mark Gardner</v>
      </c>
      <c r="C1574" t="str">
        <f>Raw_Claims_Data!C1573</f>
        <v>Motor</v>
      </c>
      <c r="D1574">
        <f>Raw_Claims_Data!D1573</f>
        <v>112.02</v>
      </c>
      <c r="E1574">
        <f>Raw_Claims_Data!E1573</f>
        <v>1000</v>
      </c>
      <c r="F1574" t="str">
        <f>Raw_Claims_Data!F1573</f>
        <v>AZ</v>
      </c>
      <c r="G1574" t="str">
        <f>Raw_Claims_Data!G1573</f>
        <v>A</v>
      </c>
      <c r="H1574" t="str">
        <f>Raw_Claims_Data!H1573</f>
        <v>Total Loss</v>
      </c>
      <c r="I1574" t="str">
        <f>IF(Raw_Claims_Data!I1573="","None",Raw_Claims_Data!I1573)</f>
        <v>Other</v>
      </c>
      <c r="J1574" t="str">
        <f>Raw_Claims_Data!J1573</f>
        <v>Everett</v>
      </c>
      <c r="K1574" t="str">
        <f>Raw_Claims_Data!K1573</f>
        <v>MA</v>
      </c>
      <c r="L1574">
        <f>Raw_Claims_Data!L1573</f>
        <v>0</v>
      </c>
      <c r="M1574" t="str">
        <f>IF(Raw_Claims_Data!M1573="","N/A",Raw_Claims_Data!M1573)</f>
        <v>VNDR00096</v>
      </c>
      <c r="N1574" t="str">
        <f>Raw_Claims_Data!N1573</f>
        <v>AGENT00510</v>
      </c>
      <c r="O1574">
        <f>IF(Raw_Claims_Data!G1573="D",1,0)</f>
        <v>0</v>
      </c>
    </row>
    <row r="1575" spans="1:15" x14ac:dyDescent="0.35">
      <c r="A1575" t="str">
        <f>Raw_Claims_Data!A1574</f>
        <v>TXN00001571</v>
      </c>
      <c r="B1575" t="str">
        <f>TRIM(Raw_Claims_Data!B1574)</f>
        <v>Wayne Osborn</v>
      </c>
      <c r="C1575" t="str">
        <f>Raw_Claims_Data!C1574</f>
        <v>Property</v>
      </c>
      <c r="D1575">
        <f>Raw_Claims_Data!D1574</f>
        <v>124.57</v>
      </c>
      <c r="E1575">
        <f>Raw_Claims_Data!E1574</f>
        <v>32000</v>
      </c>
      <c r="F1575" t="str">
        <f>Raw_Claims_Data!F1574</f>
        <v>AZ</v>
      </c>
      <c r="G1575" t="str">
        <f>Raw_Claims_Data!G1574</f>
        <v>A</v>
      </c>
      <c r="H1575" t="str">
        <f>Raw_Claims_Data!H1574</f>
        <v>Minor Loss</v>
      </c>
      <c r="I1575" t="str">
        <f>IF(Raw_Claims_Data!I1574="","None",Raw_Claims_Data!I1574)</f>
        <v>None</v>
      </c>
      <c r="J1575" t="str">
        <f>Raw_Claims_Data!J1574</f>
        <v>Colchester</v>
      </c>
      <c r="K1575" t="str">
        <f>Raw_Claims_Data!K1574</f>
        <v>VT</v>
      </c>
      <c r="L1575">
        <f>Raw_Claims_Data!L1574</f>
        <v>0</v>
      </c>
      <c r="M1575" t="str">
        <f>IF(Raw_Claims_Data!M1574="","N/A",Raw_Claims_Data!M1574)</f>
        <v>VNDR00433</v>
      </c>
      <c r="N1575" t="str">
        <f>Raw_Claims_Data!N1574</f>
        <v>AGENT00838</v>
      </c>
      <c r="O1575">
        <f>IF(Raw_Claims_Data!G1574="D",1,0)</f>
        <v>0</v>
      </c>
    </row>
    <row r="1576" spans="1:15" x14ac:dyDescent="0.35">
      <c r="A1576" t="str">
        <f>Raw_Claims_Data!A1575</f>
        <v>TXN00001572</v>
      </c>
      <c r="B1576" t="str">
        <f>TRIM(Raw_Claims_Data!B1575)</f>
        <v>William Gaines</v>
      </c>
      <c r="C1576" t="str">
        <f>Raw_Claims_Data!C1575</f>
        <v>Travel</v>
      </c>
      <c r="D1576">
        <f>Raw_Claims_Data!D1575</f>
        <v>77.53</v>
      </c>
      <c r="E1576">
        <f>Raw_Claims_Data!E1575</f>
        <v>5000</v>
      </c>
      <c r="F1576" t="str">
        <f>Raw_Claims_Data!F1575</f>
        <v>VT</v>
      </c>
      <c r="G1576" t="str">
        <f>Raw_Claims_Data!G1575</f>
        <v>A</v>
      </c>
      <c r="H1576" t="str">
        <f>Raw_Claims_Data!H1575</f>
        <v>Minor Loss</v>
      </c>
      <c r="I1576" t="str">
        <f>IF(Raw_Claims_Data!I1575="","None",Raw_Claims_Data!I1575)</f>
        <v>Police</v>
      </c>
      <c r="J1576" t="str">
        <f>Raw_Claims_Data!J1575</f>
        <v>Panama City</v>
      </c>
      <c r="K1576" t="str">
        <f>Raw_Claims_Data!K1575</f>
        <v>FL</v>
      </c>
      <c r="L1576">
        <f>Raw_Claims_Data!L1575</f>
        <v>15</v>
      </c>
      <c r="M1576" t="str">
        <f>IF(Raw_Claims_Data!M1575="","N/A",Raw_Claims_Data!M1575)</f>
        <v>N/A</v>
      </c>
      <c r="N1576" t="str">
        <f>Raw_Claims_Data!N1575</f>
        <v>AGENT00753</v>
      </c>
      <c r="O1576">
        <f>IF(Raw_Claims_Data!G1575="D",1,0)</f>
        <v>0</v>
      </c>
    </row>
    <row r="1577" spans="1:15" x14ac:dyDescent="0.35">
      <c r="A1577" t="str">
        <f>Raw_Claims_Data!A1576</f>
        <v>TXN00001573</v>
      </c>
      <c r="B1577" t="str">
        <f>TRIM(Raw_Claims_Data!B1576)</f>
        <v>Angel Holmberg</v>
      </c>
      <c r="C1577" t="str">
        <f>Raw_Claims_Data!C1576</f>
        <v>Life</v>
      </c>
      <c r="D1577">
        <f>Raw_Claims_Data!D1576</f>
        <v>88.21</v>
      </c>
      <c r="E1577">
        <f>Raw_Claims_Data!E1576</f>
        <v>99000</v>
      </c>
      <c r="F1577" t="str">
        <f>Raw_Claims_Data!F1576</f>
        <v>TN</v>
      </c>
      <c r="G1577" t="str">
        <f>Raw_Claims_Data!G1576</f>
        <v>D</v>
      </c>
      <c r="H1577" t="str">
        <f>Raw_Claims_Data!H1576</f>
        <v>Total Loss</v>
      </c>
      <c r="I1577" t="str">
        <f>IF(Raw_Claims_Data!I1576="","None",Raw_Claims_Data!I1576)</f>
        <v>Police</v>
      </c>
      <c r="J1577" t="str">
        <f>Raw_Claims_Data!J1576</f>
        <v>Glendale</v>
      </c>
      <c r="K1577" t="str">
        <f>Raw_Claims_Data!K1576</f>
        <v>AZ</v>
      </c>
      <c r="L1577">
        <f>Raw_Claims_Data!L1576</f>
        <v>2</v>
      </c>
      <c r="M1577" t="str">
        <f>IF(Raw_Claims_Data!M1576="","N/A",Raw_Claims_Data!M1576)</f>
        <v>N/A</v>
      </c>
      <c r="N1577" t="str">
        <f>Raw_Claims_Data!N1576</f>
        <v>AGENT00814</v>
      </c>
      <c r="O1577">
        <f>IF(Raw_Claims_Data!G1576="D",1,0)</f>
        <v>1</v>
      </c>
    </row>
    <row r="1578" spans="1:15" x14ac:dyDescent="0.35">
      <c r="A1578" t="str">
        <f>Raw_Claims_Data!A1577</f>
        <v>TXN00001574</v>
      </c>
      <c r="B1578" t="str">
        <f>TRIM(Raw_Claims_Data!B1577)</f>
        <v>Eric Gier</v>
      </c>
      <c r="C1578" t="str">
        <f>Raw_Claims_Data!C1577</f>
        <v>Life</v>
      </c>
      <c r="D1578">
        <f>Raw_Claims_Data!D1577</f>
        <v>61.32</v>
      </c>
      <c r="E1578">
        <f>Raw_Claims_Data!E1577</f>
        <v>45000</v>
      </c>
      <c r="F1578" t="str">
        <f>Raw_Claims_Data!F1577</f>
        <v>MD</v>
      </c>
      <c r="G1578" t="str">
        <f>Raw_Claims_Data!G1577</f>
        <v>A</v>
      </c>
      <c r="H1578" t="str">
        <f>Raw_Claims_Data!H1577</f>
        <v>Total Loss</v>
      </c>
      <c r="I1578" t="str">
        <f>IF(Raw_Claims_Data!I1577="","None",Raw_Claims_Data!I1577)</f>
        <v>Ambulance</v>
      </c>
      <c r="J1578" t="str">
        <f>Raw_Claims_Data!J1577</f>
        <v>Nashville</v>
      </c>
      <c r="K1578" t="str">
        <f>Raw_Claims_Data!K1577</f>
        <v>TN</v>
      </c>
      <c r="L1578">
        <f>Raw_Claims_Data!L1577</f>
        <v>22</v>
      </c>
      <c r="M1578" t="str">
        <f>IF(Raw_Claims_Data!M1577="","N/A",Raw_Claims_Data!M1577)</f>
        <v>VNDR00447</v>
      </c>
      <c r="N1578" t="str">
        <f>Raw_Claims_Data!N1577</f>
        <v>AGENT01122</v>
      </c>
      <c r="O1578">
        <f>IF(Raw_Claims_Data!G1577="D",1,0)</f>
        <v>0</v>
      </c>
    </row>
    <row r="1579" spans="1:15" x14ac:dyDescent="0.35">
      <c r="A1579" t="str">
        <f>Raw_Claims_Data!A1578</f>
        <v>TXN00001575</v>
      </c>
      <c r="B1579" t="str">
        <f>TRIM(Raw_Claims_Data!B1578)</f>
        <v>Judith Noble</v>
      </c>
      <c r="C1579" t="str">
        <f>Raw_Claims_Data!C1578</f>
        <v>Travel</v>
      </c>
      <c r="D1579">
        <f>Raw_Claims_Data!D1578</f>
        <v>64.66</v>
      </c>
      <c r="E1579">
        <f>Raw_Claims_Data!E1578</f>
        <v>4000</v>
      </c>
      <c r="F1579" t="str">
        <f>Raw_Claims_Data!F1578</f>
        <v>FL</v>
      </c>
      <c r="G1579" t="str">
        <f>Raw_Claims_Data!G1578</f>
        <v>A</v>
      </c>
      <c r="H1579" t="str">
        <f>Raw_Claims_Data!H1578</f>
        <v>Major Loss</v>
      </c>
      <c r="I1579" t="str">
        <f>IF(Raw_Claims_Data!I1578="","None",Raw_Claims_Data!I1578)</f>
        <v>Ambulance</v>
      </c>
      <c r="J1579" t="str">
        <f>Raw_Claims_Data!J1578</f>
        <v>Nashville</v>
      </c>
      <c r="K1579" t="str">
        <f>Raw_Claims_Data!K1578</f>
        <v>TN</v>
      </c>
      <c r="L1579">
        <f>Raw_Claims_Data!L1578</f>
        <v>7</v>
      </c>
      <c r="M1579" t="str">
        <f>IF(Raw_Claims_Data!M1578="","N/A",Raw_Claims_Data!M1578)</f>
        <v>N/A</v>
      </c>
      <c r="N1579" t="str">
        <f>Raw_Claims_Data!N1578</f>
        <v>AGENT00132</v>
      </c>
      <c r="O1579">
        <f>IF(Raw_Claims_Data!G1578="D",1,0)</f>
        <v>0</v>
      </c>
    </row>
    <row r="1580" spans="1:15" x14ac:dyDescent="0.35">
      <c r="A1580" t="str">
        <f>Raw_Claims_Data!A1579</f>
        <v>TXN00001576</v>
      </c>
      <c r="B1580" t="str">
        <f>TRIM(Raw_Claims_Data!B1579)</f>
        <v>Betty Morehead</v>
      </c>
      <c r="C1580" t="str">
        <f>Raw_Claims_Data!C1579</f>
        <v>Travel</v>
      </c>
      <c r="D1580">
        <f>Raw_Claims_Data!D1579</f>
        <v>86.29</v>
      </c>
      <c r="E1580">
        <f>Raw_Claims_Data!E1579</f>
        <v>1000</v>
      </c>
      <c r="F1580" t="str">
        <f>Raw_Claims_Data!F1579</f>
        <v>AR</v>
      </c>
      <c r="G1580" t="str">
        <f>Raw_Claims_Data!G1579</f>
        <v>A</v>
      </c>
      <c r="H1580" t="str">
        <f>Raw_Claims_Data!H1579</f>
        <v>Minor Loss</v>
      </c>
      <c r="I1580" t="str">
        <f>IF(Raw_Claims_Data!I1579="","None",Raw_Claims_Data!I1579)</f>
        <v>Ambulance</v>
      </c>
      <c r="J1580" t="str">
        <f>Raw_Claims_Data!J1579</f>
        <v>Annapolis</v>
      </c>
      <c r="K1580" t="str">
        <f>Raw_Claims_Data!K1579</f>
        <v>MD</v>
      </c>
      <c r="L1580">
        <f>Raw_Claims_Data!L1579</f>
        <v>23</v>
      </c>
      <c r="M1580" t="str">
        <f>IF(Raw_Claims_Data!M1579="","N/A",Raw_Claims_Data!M1579)</f>
        <v>VNDR00001</v>
      </c>
      <c r="N1580" t="str">
        <f>Raw_Claims_Data!N1579</f>
        <v>AGENT00910</v>
      </c>
      <c r="O1580">
        <f>IF(Raw_Claims_Data!G1579="D",1,0)</f>
        <v>0</v>
      </c>
    </row>
    <row r="1581" spans="1:15" x14ac:dyDescent="0.35">
      <c r="A1581" t="str">
        <f>Raw_Claims_Data!A1580</f>
        <v>TXN00001577</v>
      </c>
      <c r="B1581" t="str">
        <f>TRIM(Raw_Claims_Data!B1580)</f>
        <v>Lorri Whitefield</v>
      </c>
      <c r="C1581" t="str">
        <f>Raw_Claims_Data!C1580</f>
        <v>Travel</v>
      </c>
      <c r="D1581">
        <f>Raw_Claims_Data!D1580</f>
        <v>52.42</v>
      </c>
      <c r="E1581">
        <f>Raw_Claims_Data!E1580</f>
        <v>4000</v>
      </c>
      <c r="F1581" t="str">
        <f>Raw_Claims_Data!F1580</f>
        <v>OK</v>
      </c>
      <c r="G1581" t="str">
        <f>Raw_Claims_Data!G1580</f>
        <v>A</v>
      </c>
      <c r="H1581" t="str">
        <f>Raw_Claims_Data!H1580</f>
        <v>Minor Loss</v>
      </c>
      <c r="I1581" t="str">
        <f>IF(Raw_Claims_Data!I1580="","None",Raw_Claims_Data!I1580)</f>
        <v>None</v>
      </c>
      <c r="J1581" t="str">
        <f>Raw_Claims_Data!J1580</f>
        <v>Edmond</v>
      </c>
      <c r="K1581" t="str">
        <f>Raw_Claims_Data!K1580</f>
        <v>OK</v>
      </c>
      <c r="L1581">
        <f>Raw_Claims_Data!L1580</f>
        <v>22</v>
      </c>
      <c r="M1581" t="str">
        <f>IF(Raw_Claims_Data!M1580="","N/A",Raw_Claims_Data!M1580)</f>
        <v>VNDR00289</v>
      </c>
      <c r="N1581" t="str">
        <f>Raw_Claims_Data!N1580</f>
        <v>AGENT00033</v>
      </c>
      <c r="O1581">
        <f>IF(Raw_Claims_Data!G1580="D",1,0)</f>
        <v>0</v>
      </c>
    </row>
    <row r="1582" spans="1:15" x14ac:dyDescent="0.35">
      <c r="A1582" t="str">
        <f>Raw_Claims_Data!A1581</f>
        <v>TXN00001578</v>
      </c>
      <c r="B1582" t="str">
        <f>TRIM(Raw_Claims_Data!B1581)</f>
        <v>Tonia Simmons</v>
      </c>
      <c r="C1582" t="str">
        <f>Raw_Claims_Data!C1581</f>
        <v>Life</v>
      </c>
      <c r="D1582">
        <f>Raw_Claims_Data!D1581</f>
        <v>66.319999999999993</v>
      </c>
      <c r="E1582">
        <f>Raw_Claims_Data!E1581</f>
        <v>33000</v>
      </c>
      <c r="F1582" t="str">
        <f>Raw_Claims_Data!F1581</f>
        <v>FL</v>
      </c>
      <c r="G1582" t="str">
        <f>Raw_Claims_Data!G1581</f>
        <v>A</v>
      </c>
      <c r="H1582" t="str">
        <f>Raw_Claims_Data!H1581</f>
        <v>Total Loss</v>
      </c>
      <c r="I1582" t="str">
        <f>IF(Raw_Claims_Data!I1581="","None",Raw_Claims_Data!I1581)</f>
        <v>None</v>
      </c>
      <c r="J1582" t="str">
        <f>Raw_Claims_Data!J1581</f>
        <v>Manchester</v>
      </c>
      <c r="K1582" t="str">
        <f>Raw_Claims_Data!K1581</f>
        <v>CT</v>
      </c>
      <c r="L1582">
        <f>Raw_Claims_Data!L1581</f>
        <v>5</v>
      </c>
      <c r="M1582" t="str">
        <f>IF(Raw_Claims_Data!M1581="","N/A",Raw_Claims_Data!M1581)</f>
        <v>VNDR00319</v>
      </c>
      <c r="N1582" t="str">
        <f>Raw_Claims_Data!N1581</f>
        <v>AGENT00717</v>
      </c>
      <c r="O1582">
        <f>IF(Raw_Claims_Data!G1581="D",1,0)</f>
        <v>0</v>
      </c>
    </row>
    <row r="1583" spans="1:15" x14ac:dyDescent="0.35">
      <c r="A1583" t="str">
        <f>Raw_Claims_Data!A1582</f>
        <v>TXN00001579</v>
      </c>
      <c r="B1583" t="str">
        <f>TRIM(Raw_Claims_Data!B1582)</f>
        <v>Lillie Kenny</v>
      </c>
      <c r="C1583" t="str">
        <f>Raw_Claims_Data!C1582</f>
        <v>Health</v>
      </c>
      <c r="D1583">
        <f>Raw_Claims_Data!D1582</f>
        <v>189.07</v>
      </c>
      <c r="E1583">
        <f>Raw_Claims_Data!E1582</f>
        <v>4000</v>
      </c>
      <c r="F1583" t="str">
        <f>Raw_Claims_Data!F1582</f>
        <v>AR</v>
      </c>
      <c r="G1583" t="str">
        <f>Raw_Claims_Data!G1582</f>
        <v>A</v>
      </c>
      <c r="H1583" t="str">
        <f>Raw_Claims_Data!H1582</f>
        <v>Total Loss</v>
      </c>
      <c r="I1583" t="str">
        <f>IF(Raw_Claims_Data!I1582="","None",Raw_Claims_Data!I1582)</f>
        <v>Police</v>
      </c>
      <c r="J1583" t="str">
        <f>Raw_Claims_Data!J1582</f>
        <v>Arvada</v>
      </c>
      <c r="K1583" t="str">
        <f>Raw_Claims_Data!K1582</f>
        <v>CO</v>
      </c>
      <c r="L1583">
        <f>Raw_Claims_Data!L1582</f>
        <v>23</v>
      </c>
      <c r="M1583" t="str">
        <f>IF(Raw_Claims_Data!M1582="","N/A",Raw_Claims_Data!M1582)</f>
        <v>VNDR00166</v>
      </c>
      <c r="N1583" t="str">
        <f>Raw_Claims_Data!N1582</f>
        <v>AGENT00968</v>
      </c>
      <c r="O1583">
        <f>IF(Raw_Claims_Data!G1582="D",1,0)</f>
        <v>0</v>
      </c>
    </row>
    <row r="1584" spans="1:15" x14ac:dyDescent="0.35">
      <c r="A1584" t="str">
        <f>Raw_Claims_Data!A1583</f>
        <v>TXN00001580</v>
      </c>
      <c r="B1584" t="str">
        <f>TRIM(Raw_Claims_Data!B1583)</f>
        <v>Bryan Smith</v>
      </c>
      <c r="C1584" t="str">
        <f>Raw_Claims_Data!C1583</f>
        <v>Motor</v>
      </c>
      <c r="D1584">
        <f>Raw_Claims_Data!D1583</f>
        <v>94.66</v>
      </c>
      <c r="E1584">
        <f>Raw_Claims_Data!E1583</f>
        <v>5000</v>
      </c>
      <c r="F1584" t="str">
        <f>Raw_Claims_Data!F1583</f>
        <v>MD</v>
      </c>
      <c r="G1584" t="str">
        <f>Raw_Claims_Data!G1583</f>
        <v>A</v>
      </c>
      <c r="H1584" t="str">
        <f>Raw_Claims_Data!H1583</f>
        <v>Minor Loss</v>
      </c>
      <c r="I1584" t="str">
        <f>IF(Raw_Claims_Data!I1583="","None",Raw_Claims_Data!I1583)</f>
        <v>Police</v>
      </c>
      <c r="J1584" t="str">
        <f>Raw_Claims_Data!J1583</f>
        <v>Arvada</v>
      </c>
      <c r="K1584" t="str">
        <f>Raw_Claims_Data!K1583</f>
        <v>CO</v>
      </c>
      <c r="L1584">
        <f>Raw_Claims_Data!L1583</f>
        <v>11</v>
      </c>
      <c r="M1584" t="str">
        <f>IF(Raw_Claims_Data!M1583="","N/A",Raw_Claims_Data!M1583)</f>
        <v>N/A</v>
      </c>
      <c r="N1584" t="str">
        <f>Raw_Claims_Data!N1583</f>
        <v>AGENT00867</v>
      </c>
      <c r="O1584">
        <f>IF(Raw_Claims_Data!G1583="D",1,0)</f>
        <v>0</v>
      </c>
    </row>
    <row r="1585" spans="1:15" x14ac:dyDescent="0.35">
      <c r="A1585" t="str">
        <f>Raw_Claims_Data!A1584</f>
        <v>TXN00001581</v>
      </c>
      <c r="B1585" t="str">
        <f>TRIM(Raw_Claims_Data!B1584)</f>
        <v>Michael Johnson</v>
      </c>
      <c r="C1585" t="str">
        <f>Raw_Claims_Data!C1584</f>
        <v>Life</v>
      </c>
      <c r="D1585">
        <f>Raw_Claims_Data!D1584</f>
        <v>65.69</v>
      </c>
      <c r="E1585">
        <f>Raw_Claims_Data!E1584</f>
        <v>16000</v>
      </c>
      <c r="F1585" t="str">
        <f>Raw_Claims_Data!F1584</f>
        <v>MA</v>
      </c>
      <c r="G1585" t="str">
        <f>Raw_Claims_Data!G1584</f>
        <v>A</v>
      </c>
      <c r="H1585" t="str">
        <f>Raw_Claims_Data!H1584</f>
        <v>Total Loss</v>
      </c>
      <c r="I1585" t="str">
        <f>IF(Raw_Claims_Data!I1584="","None",Raw_Claims_Data!I1584)</f>
        <v>Ambulance</v>
      </c>
      <c r="J1585" t="str">
        <f>Raw_Claims_Data!J1584</f>
        <v>Fayetteville</v>
      </c>
      <c r="K1585" t="str">
        <f>Raw_Claims_Data!K1584</f>
        <v>AR</v>
      </c>
      <c r="L1585">
        <f>Raw_Claims_Data!L1584</f>
        <v>8</v>
      </c>
      <c r="M1585" t="str">
        <f>IF(Raw_Claims_Data!M1584="","N/A",Raw_Claims_Data!M1584)</f>
        <v>VNDR00008</v>
      </c>
      <c r="N1585" t="str">
        <f>Raw_Claims_Data!N1584</f>
        <v>AGENT00122</v>
      </c>
      <c r="O1585">
        <f>IF(Raw_Claims_Data!G1584="D",1,0)</f>
        <v>0</v>
      </c>
    </row>
    <row r="1586" spans="1:15" x14ac:dyDescent="0.35">
      <c r="A1586" t="str">
        <f>Raw_Claims_Data!A1585</f>
        <v>TXN00001582</v>
      </c>
      <c r="B1586" t="str">
        <f>TRIM(Raw_Claims_Data!B1585)</f>
        <v>Gail Daly</v>
      </c>
      <c r="C1586" t="str">
        <f>Raw_Claims_Data!C1585</f>
        <v>Life</v>
      </c>
      <c r="D1586">
        <f>Raw_Claims_Data!D1585</f>
        <v>69.61</v>
      </c>
      <c r="E1586">
        <f>Raw_Claims_Data!E1585</f>
        <v>71000</v>
      </c>
      <c r="F1586" t="str">
        <f>Raw_Claims_Data!F1585</f>
        <v>AZ</v>
      </c>
      <c r="G1586" t="str">
        <f>Raw_Claims_Data!G1585</f>
        <v>A</v>
      </c>
      <c r="H1586" t="str">
        <f>Raw_Claims_Data!H1585</f>
        <v>Minor Loss</v>
      </c>
      <c r="I1586" t="str">
        <f>IF(Raw_Claims_Data!I1585="","None",Raw_Claims_Data!I1585)</f>
        <v>Police</v>
      </c>
      <c r="J1586" t="str">
        <f>Raw_Claims_Data!J1585</f>
        <v>Glen Burnie</v>
      </c>
      <c r="K1586" t="str">
        <f>Raw_Claims_Data!K1585</f>
        <v>MD</v>
      </c>
      <c r="L1586">
        <f>Raw_Claims_Data!L1585</f>
        <v>21</v>
      </c>
      <c r="M1586" t="str">
        <f>IF(Raw_Claims_Data!M1585="","N/A",Raw_Claims_Data!M1585)</f>
        <v>N/A</v>
      </c>
      <c r="N1586" t="str">
        <f>Raw_Claims_Data!N1585</f>
        <v>AGENT00140</v>
      </c>
      <c r="O1586">
        <f>IF(Raw_Claims_Data!G1585="D",1,0)</f>
        <v>0</v>
      </c>
    </row>
    <row r="1587" spans="1:15" x14ac:dyDescent="0.35">
      <c r="A1587" t="str">
        <f>Raw_Claims_Data!A1586</f>
        <v>TXN00001583</v>
      </c>
      <c r="B1587" t="str">
        <f>TRIM(Raw_Claims_Data!B1586)</f>
        <v>John Montoya</v>
      </c>
      <c r="C1587" t="str">
        <f>Raw_Claims_Data!C1586</f>
        <v>Mobile</v>
      </c>
      <c r="D1587">
        <f>Raw_Claims_Data!D1586</f>
        <v>8.0399999999999991</v>
      </c>
      <c r="E1587">
        <f>Raw_Claims_Data!E1586</f>
        <v>700</v>
      </c>
      <c r="F1587" t="str">
        <f>Raw_Claims_Data!F1586</f>
        <v>CO</v>
      </c>
      <c r="G1587" t="str">
        <f>Raw_Claims_Data!G1586</f>
        <v>D</v>
      </c>
      <c r="H1587" t="str">
        <f>Raw_Claims_Data!H1586</f>
        <v>Minor Loss</v>
      </c>
      <c r="I1587" t="str">
        <f>IF(Raw_Claims_Data!I1586="","None",Raw_Claims_Data!I1586)</f>
        <v>Ambulance</v>
      </c>
      <c r="J1587" t="str">
        <f>Raw_Claims_Data!J1586</f>
        <v>Warr Acres</v>
      </c>
      <c r="K1587" t="str">
        <f>Raw_Claims_Data!K1586</f>
        <v>OK</v>
      </c>
      <c r="L1587">
        <f>Raw_Claims_Data!L1586</f>
        <v>14</v>
      </c>
      <c r="M1587" t="str">
        <f>IF(Raw_Claims_Data!M1586="","N/A",Raw_Claims_Data!M1586)</f>
        <v>N/A</v>
      </c>
      <c r="N1587" t="str">
        <f>Raw_Claims_Data!N1586</f>
        <v>AGENT00148</v>
      </c>
      <c r="O1587">
        <f>IF(Raw_Claims_Data!G1586="D",1,0)</f>
        <v>1</v>
      </c>
    </row>
    <row r="1588" spans="1:15" x14ac:dyDescent="0.35">
      <c r="A1588" t="str">
        <f>Raw_Claims_Data!A1587</f>
        <v>TXN00001584</v>
      </c>
      <c r="B1588" t="str">
        <f>TRIM(Raw_Claims_Data!B1587)</f>
        <v>David Scott</v>
      </c>
      <c r="C1588" t="str">
        <f>Raw_Claims_Data!C1587</f>
        <v>Life</v>
      </c>
      <c r="D1588">
        <f>Raw_Claims_Data!D1587</f>
        <v>60.54</v>
      </c>
      <c r="E1588">
        <f>Raw_Claims_Data!E1587</f>
        <v>29000</v>
      </c>
      <c r="F1588" t="str">
        <f>Raw_Claims_Data!F1587</f>
        <v>VT</v>
      </c>
      <c r="G1588" t="str">
        <f>Raw_Claims_Data!G1587</f>
        <v>A</v>
      </c>
      <c r="H1588" t="str">
        <f>Raw_Claims_Data!H1587</f>
        <v>Total Loss</v>
      </c>
      <c r="I1588" t="str">
        <f>IF(Raw_Claims_Data!I1587="","None",Raw_Claims_Data!I1587)</f>
        <v>Ambulance</v>
      </c>
      <c r="J1588" t="str">
        <f>Raw_Claims_Data!J1587</f>
        <v>Fayetteville</v>
      </c>
      <c r="K1588" t="str">
        <f>Raw_Claims_Data!K1587</f>
        <v>AR</v>
      </c>
      <c r="L1588">
        <f>Raw_Claims_Data!L1587</f>
        <v>0</v>
      </c>
      <c r="M1588" t="str">
        <f>IF(Raw_Claims_Data!M1587="","N/A",Raw_Claims_Data!M1587)</f>
        <v>VNDR00002</v>
      </c>
      <c r="N1588" t="str">
        <f>Raw_Claims_Data!N1587</f>
        <v>AGENT01118</v>
      </c>
      <c r="O1588">
        <f>IF(Raw_Claims_Data!G1587="D",1,0)</f>
        <v>0</v>
      </c>
    </row>
    <row r="1589" spans="1:15" x14ac:dyDescent="0.35">
      <c r="A1589" t="str">
        <f>Raw_Claims_Data!A1588</f>
        <v>TXN00001585</v>
      </c>
      <c r="B1589" t="str">
        <f>TRIM(Raw_Claims_Data!B1588)</f>
        <v>Donna Young</v>
      </c>
      <c r="C1589" t="str">
        <f>Raw_Claims_Data!C1588</f>
        <v>Travel</v>
      </c>
      <c r="D1589">
        <f>Raw_Claims_Data!D1588</f>
        <v>91</v>
      </c>
      <c r="E1589">
        <f>Raw_Claims_Data!E1588</f>
        <v>2000</v>
      </c>
      <c r="F1589" t="str">
        <f>Raw_Claims_Data!F1588</f>
        <v>CT</v>
      </c>
      <c r="G1589" t="str">
        <f>Raw_Claims_Data!G1588</f>
        <v>A</v>
      </c>
      <c r="H1589" t="str">
        <f>Raw_Claims_Data!H1588</f>
        <v>Minor Loss</v>
      </c>
      <c r="I1589" t="str">
        <f>IF(Raw_Claims_Data!I1588="","None",Raw_Claims_Data!I1588)</f>
        <v>Police</v>
      </c>
      <c r="J1589" t="str">
        <f>Raw_Claims_Data!J1588</f>
        <v>Glendale</v>
      </c>
      <c r="K1589" t="str">
        <f>Raw_Claims_Data!K1588</f>
        <v>AZ</v>
      </c>
      <c r="L1589">
        <f>Raw_Claims_Data!L1588</f>
        <v>11</v>
      </c>
      <c r="M1589" t="str">
        <f>IF(Raw_Claims_Data!M1588="","N/A",Raw_Claims_Data!M1588)</f>
        <v>VNDR00266</v>
      </c>
      <c r="N1589" t="str">
        <f>Raw_Claims_Data!N1588</f>
        <v>AGENT01122</v>
      </c>
      <c r="O1589">
        <f>IF(Raw_Claims_Data!G1588="D",1,0)</f>
        <v>0</v>
      </c>
    </row>
    <row r="1590" spans="1:15" x14ac:dyDescent="0.35">
      <c r="A1590" t="str">
        <f>Raw_Claims_Data!A1589</f>
        <v>TXN00001586</v>
      </c>
      <c r="B1590" t="str">
        <f>TRIM(Raw_Claims_Data!B1589)</f>
        <v>Matthew Carnevale</v>
      </c>
      <c r="C1590" t="str">
        <f>Raw_Claims_Data!C1589</f>
        <v>Life</v>
      </c>
      <c r="D1590">
        <f>Raw_Claims_Data!D1589</f>
        <v>69.83</v>
      </c>
      <c r="E1590">
        <f>Raw_Claims_Data!E1589</f>
        <v>98000</v>
      </c>
      <c r="F1590" t="str">
        <f>Raw_Claims_Data!F1589</f>
        <v>TN</v>
      </c>
      <c r="G1590" t="str">
        <f>Raw_Claims_Data!G1589</f>
        <v>A</v>
      </c>
      <c r="H1590" t="str">
        <f>Raw_Claims_Data!H1589</f>
        <v>Minor Loss</v>
      </c>
      <c r="I1590" t="str">
        <f>IF(Raw_Claims_Data!I1589="","None",Raw_Claims_Data!I1589)</f>
        <v>Ambulance</v>
      </c>
      <c r="J1590" t="str">
        <f>Raw_Claims_Data!J1589</f>
        <v>Montgomery</v>
      </c>
      <c r="K1590" t="str">
        <f>Raw_Claims_Data!K1589</f>
        <v>AL</v>
      </c>
      <c r="L1590">
        <f>Raw_Claims_Data!L1589</f>
        <v>10</v>
      </c>
      <c r="M1590" t="str">
        <f>IF(Raw_Claims_Data!M1589="","N/A",Raw_Claims_Data!M1589)</f>
        <v>VNDR00098</v>
      </c>
      <c r="N1590" t="str">
        <f>Raw_Claims_Data!N1589</f>
        <v>AGENT01043</v>
      </c>
      <c r="O1590">
        <f>IF(Raw_Claims_Data!G1589="D",1,0)</f>
        <v>0</v>
      </c>
    </row>
    <row r="1591" spans="1:15" x14ac:dyDescent="0.35">
      <c r="A1591" t="str">
        <f>Raw_Claims_Data!A1590</f>
        <v>TXN00001587</v>
      </c>
      <c r="B1591" t="str">
        <f>TRIM(Raw_Claims_Data!B1590)</f>
        <v>Thomas Meyer</v>
      </c>
      <c r="C1591" t="str">
        <f>Raw_Claims_Data!C1590</f>
        <v>Motor</v>
      </c>
      <c r="D1591">
        <f>Raw_Claims_Data!D1590</f>
        <v>116.28</v>
      </c>
      <c r="E1591">
        <f>Raw_Claims_Data!E1590</f>
        <v>5000</v>
      </c>
      <c r="F1591" t="str">
        <f>Raw_Claims_Data!F1590</f>
        <v>FL</v>
      </c>
      <c r="G1591" t="str">
        <f>Raw_Claims_Data!G1590</f>
        <v>A</v>
      </c>
      <c r="H1591" t="str">
        <f>Raw_Claims_Data!H1590</f>
        <v>Major Loss</v>
      </c>
      <c r="I1591" t="str">
        <f>IF(Raw_Claims_Data!I1590="","None",Raw_Claims_Data!I1590)</f>
        <v>Other</v>
      </c>
      <c r="J1591" t="str">
        <f>Raw_Claims_Data!J1590</f>
        <v>Washington</v>
      </c>
      <c r="K1591" t="str">
        <f>Raw_Claims_Data!K1590</f>
        <v>DC</v>
      </c>
      <c r="L1591">
        <f>Raw_Claims_Data!L1590</f>
        <v>8</v>
      </c>
      <c r="M1591" t="str">
        <f>IF(Raw_Claims_Data!M1590="","N/A",Raw_Claims_Data!M1590)</f>
        <v>VNDR00566</v>
      </c>
      <c r="N1591" t="str">
        <f>Raw_Claims_Data!N1590</f>
        <v>AGENT01006</v>
      </c>
      <c r="O1591">
        <f>IF(Raw_Claims_Data!G1590="D",1,0)</f>
        <v>0</v>
      </c>
    </row>
    <row r="1592" spans="1:15" x14ac:dyDescent="0.35">
      <c r="A1592" t="str">
        <f>Raw_Claims_Data!A1591</f>
        <v>TXN00001588</v>
      </c>
      <c r="B1592" t="str">
        <f>TRIM(Raw_Claims_Data!B1591)</f>
        <v>Naomi Hoover</v>
      </c>
      <c r="C1592" t="str">
        <f>Raw_Claims_Data!C1591</f>
        <v>Health</v>
      </c>
      <c r="D1592">
        <f>Raw_Claims_Data!D1591</f>
        <v>103.17</v>
      </c>
      <c r="E1592">
        <f>Raw_Claims_Data!E1591</f>
        <v>15000</v>
      </c>
      <c r="F1592" t="str">
        <f>Raw_Claims_Data!F1591</f>
        <v>CO</v>
      </c>
      <c r="G1592" t="str">
        <f>Raw_Claims_Data!G1591</f>
        <v>A</v>
      </c>
      <c r="H1592" t="str">
        <f>Raw_Claims_Data!H1591</f>
        <v>Minor Loss</v>
      </c>
      <c r="I1592" t="str">
        <f>IF(Raw_Claims_Data!I1591="","None",Raw_Claims_Data!I1591)</f>
        <v>None</v>
      </c>
      <c r="J1592" t="str">
        <f>Raw_Claims_Data!J1591</f>
        <v>Severn</v>
      </c>
      <c r="K1592" t="str">
        <f>Raw_Claims_Data!K1591</f>
        <v>MD</v>
      </c>
      <c r="L1592">
        <f>Raw_Claims_Data!L1591</f>
        <v>22</v>
      </c>
      <c r="M1592" t="str">
        <f>IF(Raw_Claims_Data!M1591="","N/A",Raw_Claims_Data!M1591)</f>
        <v>VNDR00293</v>
      </c>
      <c r="N1592" t="str">
        <f>Raw_Claims_Data!N1591</f>
        <v>AGENT00565</v>
      </c>
      <c r="O1592">
        <f>IF(Raw_Claims_Data!G1591="D",1,0)</f>
        <v>0</v>
      </c>
    </row>
    <row r="1593" spans="1:15" x14ac:dyDescent="0.35">
      <c r="A1593" t="str">
        <f>Raw_Claims_Data!A1592</f>
        <v>TXN00001589</v>
      </c>
      <c r="B1593" t="str">
        <f>TRIM(Raw_Claims_Data!B1592)</f>
        <v>Gary Houston</v>
      </c>
      <c r="C1593" t="str">
        <f>Raw_Claims_Data!C1592</f>
        <v>Motor</v>
      </c>
      <c r="D1593">
        <f>Raw_Claims_Data!D1592</f>
        <v>129.79</v>
      </c>
      <c r="E1593">
        <f>Raw_Claims_Data!E1592</f>
        <v>7000</v>
      </c>
      <c r="F1593" t="str">
        <f>Raw_Claims_Data!F1592</f>
        <v>TN</v>
      </c>
      <c r="G1593" t="str">
        <f>Raw_Claims_Data!G1592</f>
        <v>A</v>
      </c>
      <c r="H1593" t="str">
        <f>Raw_Claims_Data!H1592</f>
        <v>Total Loss</v>
      </c>
      <c r="I1593" t="str">
        <f>IF(Raw_Claims_Data!I1592="","None",Raw_Claims_Data!I1592)</f>
        <v>Other</v>
      </c>
      <c r="J1593" t="str">
        <f>Raw_Claims_Data!J1592</f>
        <v>Arvada</v>
      </c>
      <c r="K1593" t="str">
        <f>Raw_Claims_Data!K1592</f>
        <v>CO</v>
      </c>
      <c r="L1593">
        <f>Raw_Claims_Data!L1592</f>
        <v>7</v>
      </c>
      <c r="M1593" t="str">
        <f>IF(Raw_Claims_Data!M1592="","N/A",Raw_Claims_Data!M1592)</f>
        <v>N/A</v>
      </c>
      <c r="N1593" t="str">
        <f>Raw_Claims_Data!N1592</f>
        <v>AGENT00111</v>
      </c>
      <c r="O1593">
        <f>IF(Raw_Claims_Data!G1592="D",1,0)</f>
        <v>0</v>
      </c>
    </row>
    <row r="1594" spans="1:15" x14ac:dyDescent="0.35">
      <c r="A1594" t="str">
        <f>Raw_Claims_Data!A1593</f>
        <v>TXN00001590</v>
      </c>
      <c r="B1594" t="str">
        <f>TRIM(Raw_Claims_Data!B1593)</f>
        <v>Marvin Salamy</v>
      </c>
      <c r="C1594" t="str">
        <f>Raw_Claims_Data!C1593</f>
        <v>Property</v>
      </c>
      <c r="D1594">
        <f>Raw_Claims_Data!D1593</f>
        <v>82.21</v>
      </c>
      <c r="E1594">
        <f>Raw_Claims_Data!E1593</f>
        <v>10000</v>
      </c>
      <c r="F1594" t="str">
        <f>Raw_Claims_Data!F1593</f>
        <v>CT</v>
      </c>
      <c r="G1594" t="str">
        <f>Raw_Claims_Data!G1593</f>
        <v>A</v>
      </c>
      <c r="H1594" t="str">
        <f>Raw_Claims_Data!H1593</f>
        <v>Minor Loss</v>
      </c>
      <c r="I1594" t="str">
        <f>IF(Raw_Claims_Data!I1593="","None",Raw_Claims_Data!I1593)</f>
        <v>Police</v>
      </c>
      <c r="J1594" t="str">
        <f>Raw_Claims_Data!J1593</f>
        <v>Suisun City</v>
      </c>
      <c r="K1594" t="str">
        <f>Raw_Claims_Data!K1593</f>
        <v>CA</v>
      </c>
      <c r="L1594">
        <f>Raw_Claims_Data!L1593</f>
        <v>0</v>
      </c>
      <c r="M1594" t="str">
        <f>IF(Raw_Claims_Data!M1593="","N/A",Raw_Claims_Data!M1593)</f>
        <v>VNDR00382</v>
      </c>
      <c r="N1594" t="str">
        <f>Raw_Claims_Data!N1593</f>
        <v>AGENT00083</v>
      </c>
      <c r="O1594">
        <f>IF(Raw_Claims_Data!G1593="D",1,0)</f>
        <v>0</v>
      </c>
    </row>
    <row r="1595" spans="1:15" x14ac:dyDescent="0.35">
      <c r="A1595" t="str">
        <f>Raw_Claims_Data!A1594</f>
        <v>TXN00001591</v>
      </c>
      <c r="B1595" t="str">
        <f>TRIM(Raw_Claims_Data!B1594)</f>
        <v>Arthur Devaney</v>
      </c>
      <c r="C1595" t="str">
        <f>Raw_Claims_Data!C1594</f>
        <v>Motor</v>
      </c>
      <c r="D1595">
        <f>Raw_Claims_Data!D1594</f>
        <v>110.19</v>
      </c>
      <c r="E1595">
        <f>Raw_Claims_Data!E1594</f>
        <v>10000</v>
      </c>
      <c r="F1595" t="str">
        <f>Raw_Claims_Data!F1594</f>
        <v>DC</v>
      </c>
      <c r="G1595" t="str">
        <f>Raw_Claims_Data!G1594</f>
        <v>A</v>
      </c>
      <c r="H1595" t="str">
        <f>Raw_Claims_Data!H1594</f>
        <v>Total Loss</v>
      </c>
      <c r="I1595" t="str">
        <f>IF(Raw_Claims_Data!I1594="","None",Raw_Claims_Data!I1594)</f>
        <v>None</v>
      </c>
      <c r="J1595" t="str">
        <f>Raw_Claims_Data!J1594</f>
        <v>Montgomery</v>
      </c>
      <c r="K1595" t="str">
        <f>Raw_Claims_Data!K1594</f>
        <v>AL</v>
      </c>
      <c r="L1595">
        <f>Raw_Claims_Data!L1594</f>
        <v>16</v>
      </c>
      <c r="M1595" t="str">
        <f>IF(Raw_Claims_Data!M1594="","N/A",Raw_Claims_Data!M1594)</f>
        <v>VNDR00164</v>
      </c>
      <c r="N1595" t="str">
        <f>Raw_Claims_Data!N1594</f>
        <v>AGENT00361</v>
      </c>
      <c r="O1595">
        <f>IF(Raw_Claims_Data!G1594="D",1,0)</f>
        <v>0</v>
      </c>
    </row>
    <row r="1596" spans="1:15" x14ac:dyDescent="0.35">
      <c r="A1596" t="str">
        <f>Raw_Claims_Data!A1595</f>
        <v>TXN00001592</v>
      </c>
      <c r="B1596" t="str">
        <f>TRIM(Raw_Claims_Data!B1595)</f>
        <v>Stacey Burnett</v>
      </c>
      <c r="C1596" t="str">
        <f>Raw_Claims_Data!C1595</f>
        <v>Mobile</v>
      </c>
      <c r="D1596">
        <f>Raw_Claims_Data!D1595</f>
        <v>7.38</v>
      </c>
      <c r="E1596">
        <f>Raw_Claims_Data!E1595</f>
        <v>500</v>
      </c>
      <c r="F1596" t="str">
        <f>Raw_Claims_Data!F1595</f>
        <v>CA</v>
      </c>
      <c r="G1596" t="str">
        <f>Raw_Claims_Data!G1595</f>
        <v>A</v>
      </c>
      <c r="H1596" t="str">
        <f>Raw_Claims_Data!H1595</f>
        <v>Minor Loss</v>
      </c>
      <c r="I1596" t="str">
        <f>IF(Raw_Claims_Data!I1595="","None",Raw_Claims_Data!I1595)</f>
        <v>Police</v>
      </c>
      <c r="J1596" t="str">
        <f>Raw_Claims_Data!J1595</f>
        <v>Panama City Beach</v>
      </c>
      <c r="K1596" t="str">
        <f>Raw_Claims_Data!K1595</f>
        <v>FL</v>
      </c>
      <c r="L1596">
        <f>Raw_Claims_Data!L1595</f>
        <v>2</v>
      </c>
      <c r="M1596" t="str">
        <f>IF(Raw_Claims_Data!M1595="","N/A",Raw_Claims_Data!M1595)</f>
        <v>N/A</v>
      </c>
      <c r="N1596" t="str">
        <f>Raw_Claims_Data!N1595</f>
        <v>AGENT00929</v>
      </c>
      <c r="O1596">
        <f>IF(Raw_Claims_Data!G1595="D",1,0)</f>
        <v>0</v>
      </c>
    </row>
    <row r="1597" spans="1:15" x14ac:dyDescent="0.35">
      <c r="A1597" t="str">
        <f>Raw_Claims_Data!A1596</f>
        <v>TXN00001593</v>
      </c>
      <c r="B1597" t="str">
        <f>TRIM(Raw_Claims_Data!B1596)</f>
        <v>Barbara Vega</v>
      </c>
      <c r="C1597" t="str">
        <f>Raw_Claims_Data!C1596</f>
        <v>Mobile</v>
      </c>
      <c r="D1597">
        <f>Raw_Claims_Data!D1596</f>
        <v>6.52</v>
      </c>
      <c r="E1597">
        <f>Raw_Claims_Data!E1596</f>
        <v>100</v>
      </c>
      <c r="F1597" t="str">
        <f>Raw_Claims_Data!F1596</f>
        <v>CA</v>
      </c>
      <c r="G1597" t="str">
        <f>Raw_Claims_Data!G1596</f>
        <v>A</v>
      </c>
      <c r="H1597" t="str">
        <f>Raw_Claims_Data!H1596</f>
        <v>Major Loss</v>
      </c>
      <c r="I1597" t="str">
        <f>IF(Raw_Claims_Data!I1596="","None",Raw_Claims_Data!I1596)</f>
        <v>Ambulance</v>
      </c>
      <c r="J1597" t="str">
        <f>Raw_Claims_Data!J1596</f>
        <v>Arvada</v>
      </c>
      <c r="K1597" t="str">
        <f>Raw_Claims_Data!K1596</f>
        <v>CO</v>
      </c>
      <c r="L1597">
        <f>Raw_Claims_Data!L1596</f>
        <v>17</v>
      </c>
      <c r="M1597" t="str">
        <f>IF(Raw_Claims_Data!M1596="","N/A",Raw_Claims_Data!M1596)</f>
        <v>VNDR00544</v>
      </c>
      <c r="N1597" t="str">
        <f>Raw_Claims_Data!N1596</f>
        <v>AGENT00540</v>
      </c>
      <c r="O1597">
        <f>IF(Raw_Claims_Data!G1596="D",1,0)</f>
        <v>0</v>
      </c>
    </row>
    <row r="1598" spans="1:15" x14ac:dyDescent="0.35">
      <c r="A1598" t="str">
        <f>Raw_Claims_Data!A1597</f>
        <v>TXN00001594</v>
      </c>
      <c r="B1598" t="str">
        <f>TRIM(Raw_Claims_Data!B1597)</f>
        <v>Molly Hamel</v>
      </c>
      <c r="C1598" t="str">
        <f>Raw_Claims_Data!C1597</f>
        <v>Property</v>
      </c>
      <c r="D1598">
        <f>Raw_Claims_Data!D1597</f>
        <v>125.23</v>
      </c>
      <c r="E1598">
        <f>Raw_Claims_Data!E1597</f>
        <v>36000</v>
      </c>
      <c r="F1598" t="str">
        <f>Raw_Claims_Data!F1597</f>
        <v>AR</v>
      </c>
      <c r="G1598" t="str">
        <f>Raw_Claims_Data!G1597</f>
        <v>A</v>
      </c>
      <c r="H1598" t="str">
        <f>Raw_Claims_Data!H1597</f>
        <v>Major Loss</v>
      </c>
      <c r="I1598" t="str">
        <f>IF(Raw_Claims_Data!I1597="","None",Raw_Claims_Data!I1597)</f>
        <v>Ambulance</v>
      </c>
      <c r="J1598" t="str">
        <f>Raw_Claims_Data!J1597</f>
        <v>Nashville</v>
      </c>
      <c r="K1598" t="str">
        <f>Raw_Claims_Data!K1597</f>
        <v>TN</v>
      </c>
      <c r="L1598">
        <f>Raw_Claims_Data!L1597</f>
        <v>10</v>
      </c>
      <c r="M1598" t="str">
        <f>IF(Raw_Claims_Data!M1597="","N/A",Raw_Claims_Data!M1597)</f>
        <v>N/A</v>
      </c>
      <c r="N1598" t="str">
        <f>Raw_Claims_Data!N1597</f>
        <v>AGENT00771</v>
      </c>
      <c r="O1598">
        <f>IF(Raw_Claims_Data!G1597="D",1,0)</f>
        <v>0</v>
      </c>
    </row>
    <row r="1599" spans="1:15" x14ac:dyDescent="0.35">
      <c r="A1599" t="str">
        <f>Raw_Claims_Data!A1598</f>
        <v>TXN00001595</v>
      </c>
      <c r="B1599" t="str">
        <f>TRIM(Raw_Claims_Data!B1598)</f>
        <v>Phillip Luckner</v>
      </c>
      <c r="C1599" t="str">
        <f>Raw_Claims_Data!C1598</f>
        <v>Life</v>
      </c>
      <c r="D1599">
        <f>Raw_Claims_Data!D1598</f>
        <v>57.69</v>
      </c>
      <c r="E1599">
        <f>Raw_Claims_Data!E1598</f>
        <v>48000</v>
      </c>
      <c r="F1599" t="str">
        <f>Raw_Claims_Data!F1598</f>
        <v>TN</v>
      </c>
      <c r="G1599" t="str">
        <f>Raw_Claims_Data!G1598</f>
        <v>A</v>
      </c>
      <c r="H1599" t="str">
        <f>Raw_Claims_Data!H1598</f>
        <v>Total Loss</v>
      </c>
      <c r="I1599" t="str">
        <f>IF(Raw_Claims_Data!I1598="","None",Raw_Claims_Data!I1598)</f>
        <v>Ambulance</v>
      </c>
      <c r="J1599" t="str">
        <f>Raw_Claims_Data!J1598</f>
        <v>Montgomery</v>
      </c>
      <c r="K1599" t="str">
        <f>Raw_Claims_Data!K1598</f>
        <v>AL</v>
      </c>
      <c r="L1599">
        <f>Raw_Claims_Data!L1598</f>
        <v>15</v>
      </c>
      <c r="M1599" t="str">
        <f>IF(Raw_Claims_Data!M1598="","N/A",Raw_Claims_Data!M1598)</f>
        <v>VNDR00422</v>
      </c>
      <c r="N1599" t="str">
        <f>Raw_Claims_Data!N1598</f>
        <v>AGENT01028</v>
      </c>
      <c r="O1599">
        <f>IF(Raw_Claims_Data!G1598="D",1,0)</f>
        <v>0</v>
      </c>
    </row>
    <row r="1600" spans="1:15" x14ac:dyDescent="0.35">
      <c r="A1600" t="str">
        <f>Raw_Claims_Data!A1599</f>
        <v>TXN00001596</v>
      </c>
      <c r="B1600" t="str">
        <f>TRIM(Raw_Claims_Data!B1599)</f>
        <v>Thomas James</v>
      </c>
      <c r="C1600" t="str">
        <f>Raw_Claims_Data!C1599</f>
        <v>Mobile</v>
      </c>
      <c r="D1600">
        <f>Raw_Claims_Data!D1599</f>
        <v>7.67</v>
      </c>
      <c r="E1600">
        <f>Raw_Claims_Data!E1599</f>
        <v>700</v>
      </c>
      <c r="F1600" t="str">
        <f>Raw_Claims_Data!F1599</f>
        <v>CT</v>
      </c>
      <c r="G1600" t="str">
        <f>Raw_Claims_Data!G1599</f>
        <v>A</v>
      </c>
      <c r="H1600" t="str">
        <f>Raw_Claims_Data!H1599</f>
        <v>Minor Loss</v>
      </c>
      <c r="I1600" t="str">
        <f>IF(Raw_Claims_Data!I1599="","None",Raw_Claims_Data!I1599)</f>
        <v>None</v>
      </c>
      <c r="J1600" t="str">
        <f>Raw_Claims_Data!J1599</f>
        <v>Manchester</v>
      </c>
      <c r="K1600" t="str">
        <f>Raw_Claims_Data!K1599</f>
        <v>CT</v>
      </c>
      <c r="L1600">
        <f>Raw_Claims_Data!L1599</f>
        <v>9</v>
      </c>
      <c r="M1600" t="str">
        <f>IF(Raw_Claims_Data!M1599="","N/A",Raw_Claims_Data!M1599)</f>
        <v>VNDR00101</v>
      </c>
      <c r="N1600" t="str">
        <f>Raw_Claims_Data!N1599</f>
        <v>AGENT00452</v>
      </c>
      <c r="O1600">
        <f>IF(Raw_Claims_Data!G1599="D",1,0)</f>
        <v>0</v>
      </c>
    </row>
    <row r="1601" spans="1:15" x14ac:dyDescent="0.35">
      <c r="A1601" t="str">
        <f>Raw_Claims_Data!A1600</f>
        <v>TXN00001597</v>
      </c>
      <c r="B1601" t="str">
        <f>TRIM(Raw_Claims_Data!B1600)</f>
        <v>Thomas Austin</v>
      </c>
      <c r="C1601" t="str">
        <f>Raw_Claims_Data!C1600</f>
        <v>Travel</v>
      </c>
      <c r="D1601">
        <f>Raw_Claims_Data!D1600</f>
        <v>62.48</v>
      </c>
      <c r="E1601">
        <f>Raw_Claims_Data!E1600</f>
        <v>3000</v>
      </c>
      <c r="F1601" t="str">
        <f>Raw_Claims_Data!F1600</f>
        <v>CO</v>
      </c>
      <c r="G1601" t="str">
        <f>Raw_Claims_Data!G1600</f>
        <v>D</v>
      </c>
      <c r="H1601" t="str">
        <f>Raw_Claims_Data!H1600</f>
        <v>Total Loss</v>
      </c>
      <c r="I1601" t="str">
        <f>IF(Raw_Claims_Data!I1600="","None",Raw_Claims_Data!I1600)</f>
        <v>Police</v>
      </c>
      <c r="J1601" t="str">
        <f>Raw_Claims_Data!J1600</f>
        <v>Savannah</v>
      </c>
      <c r="K1601" t="str">
        <f>Raw_Claims_Data!K1600</f>
        <v>GA</v>
      </c>
      <c r="L1601">
        <f>Raw_Claims_Data!L1600</f>
        <v>10</v>
      </c>
      <c r="M1601" t="str">
        <f>IF(Raw_Claims_Data!M1600="","N/A",Raw_Claims_Data!M1600)</f>
        <v>N/A</v>
      </c>
      <c r="N1601" t="str">
        <f>Raw_Claims_Data!N1600</f>
        <v>AGENT01123</v>
      </c>
      <c r="O1601">
        <f>IF(Raw_Claims_Data!G1600="D",1,0)</f>
        <v>1</v>
      </c>
    </row>
    <row r="1602" spans="1:15" x14ac:dyDescent="0.35">
      <c r="A1602" t="str">
        <f>Raw_Claims_Data!A1601</f>
        <v>TXN00001598</v>
      </c>
      <c r="B1602" t="str">
        <f>TRIM(Raw_Claims_Data!B1601)</f>
        <v>James Brown</v>
      </c>
      <c r="C1602" t="str">
        <f>Raw_Claims_Data!C1601</f>
        <v>Property</v>
      </c>
      <c r="D1602">
        <f>Raw_Claims_Data!D1601</f>
        <v>98.72</v>
      </c>
      <c r="E1602">
        <f>Raw_Claims_Data!E1601</f>
        <v>31000</v>
      </c>
      <c r="F1602" t="str">
        <f>Raw_Claims_Data!F1601</f>
        <v>FL</v>
      </c>
      <c r="G1602" t="str">
        <f>Raw_Claims_Data!G1601</f>
        <v>A</v>
      </c>
      <c r="H1602" t="str">
        <f>Raw_Claims_Data!H1601</f>
        <v>Minor Loss</v>
      </c>
      <c r="I1602" t="str">
        <f>IF(Raw_Claims_Data!I1601="","None",Raw_Claims_Data!I1601)</f>
        <v>Other</v>
      </c>
      <c r="J1602" t="str">
        <f>Raw_Claims_Data!J1601</f>
        <v>Manchester</v>
      </c>
      <c r="K1602" t="str">
        <f>Raw_Claims_Data!K1601</f>
        <v>CT</v>
      </c>
      <c r="L1602">
        <f>Raw_Claims_Data!L1601</f>
        <v>0</v>
      </c>
      <c r="M1602" t="str">
        <f>IF(Raw_Claims_Data!M1601="","N/A",Raw_Claims_Data!M1601)</f>
        <v>VNDR00001</v>
      </c>
      <c r="N1602" t="str">
        <f>Raw_Claims_Data!N1601</f>
        <v>AGENT00128</v>
      </c>
      <c r="O1602">
        <f>IF(Raw_Claims_Data!G1601="D",1,0)</f>
        <v>0</v>
      </c>
    </row>
    <row r="1603" spans="1:15" x14ac:dyDescent="0.35">
      <c r="A1603" t="str">
        <f>Raw_Claims_Data!A1602</f>
        <v>TXN00001599</v>
      </c>
      <c r="B1603" t="str">
        <f>TRIM(Raw_Claims_Data!B1602)</f>
        <v>Mildred Gaston</v>
      </c>
      <c r="C1603" t="str">
        <f>Raw_Claims_Data!C1602</f>
        <v>Property</v>
      </c>
      <c r="D1603">
        <f>Raw_Claims_Data!D1602</f>
        <v>157.33000000000001</v>
      </c>
      <c r="E1603">
        <f>Raw_Claims_Data!E1602</f>
        <v>13000</v>
      </c>
      <c r="F1603" t="str">
        <f>Raw_Claims_Data!F1602</f>
        <v>FL</v>
      </c>
      <c r="G1603" t="str">
        <f>Raw_Claims_Data!G1602</f>
        <v>A</v>
      </c>
      <c r="H1603" t="str">
        <f>Raw_Claims_Data!H1602</f>
        <v>Major Loss</v>
      </c>
      <c r="I1603" t="str">
        <f>IF(Raw_Claims_Data!I1602="","None",Raw_Claims_Data!I1602)</f>
        <v>Police</v>
      </c>
      <c r="J1603">
        <f>Raw_Claims_Data!J1602</f>
        <v>0</v>
      </c>
      <c r="K1603" t="str">
        <f>Raw_Claims_Data!K1602</f>
        <v>VT</v>
      </c>
      <c r="L1603">
        <f>Raw_Claims_Data!L1602</f>
        <v>21</v>
      </c>
      <c r="M1603" t="str">
        <f>IF(Raw_Claims_Data!M1602="","N/A",Raw_Claims_Data!M1602)</f>
        <v>N/A</v>
      </c>
      <c r="N1603" t="str">
        <f>Raw_Claims_Data!N1602</f>
        <v>AGENT00468</v>
      </c>
      <c r="O1603">
        <f>IF(Raw_Claims_Data!G1602="D",1,0)</f>
        <v>0</v>
      </c>
    </row>
    <row r="1604" spans="1:15" x14ac:dyDescent="0.35">
      <c r="A1604" t="str">
        <f>Raw_Claims_Data!A1603</f>
        <v>TXN00001600</v>
      </c>
      <c r="B1604" t="str">
        <f>TRIM(Raw_Claims_Data!B1603)</f>
        <v>Bobby Holbrook</v>
      </c>
      <c r="C1604" t="str">
        <f>Raw_Claims_Data!C1603</f>
        <v>Life</v>
      </c>
      <c r="D1604">
        <f>Raw_Claims_Data!D1603</f>
        <v>66.41</v>
      </c>
      <c r="E1604">
        <f>Raw_Claims_Data!E1603</f>
        <v>90000</v>
      </c>
      <c r="F1604" t="str">
        <f>Raw_Claims_Data!F1603</f>
        <v>KY</v>
      </c>
      <c r="G1604" t="str">
        <f>Raw_Claims_Data!G1603</f>
        <v>A</v>
      </c>
      <c r="H1604" t="str">
        <f>Raw_Claims_Data!H1603</f>
        <v>Minor Loss</v>
      </c>
      <c r="I1604" t="str">
        <f>IF(Raw_Claims_Data!I1603="","None",Raw_Claims_Data!I1603)</f>
        <v>Police</v>
      </c>
      <c r="J1604" t="str">
        <f>Raw_Claims_Data!J1603</f>
        <v>Annapolis</v>
      </c>
      <c r="K1604" t="str">
        <f>Raw_Claims_Data!K1603</f>
        <v>MD</v>
      </c>
      <c r="L1604">
        <f>Raw_Claims_Data!L1603</f>
        <v>11</v>
      </c>
      <c r="M1604" t="str">
        <f>IF(Raw_Claims_Data!M1603="","N/A",Raw_Claims_Data!M1603)</f>
        <v>VNDR00354</v>
      </c>
      <c r="N1604" t="str">
        <f>Raw_Claims_Data!N1603</f>
        <v>AGENT00932</v>
      </c>
      <c r="O1604">
        <f>IF(Raw_Claims_Data!G1603="D",1,0)</f>
        <v>0</v>
      </c>
    </row>
    <row r="1605" spans="1:15" x14ac:dyDescent="0.35">
      <c r="A1605" t="str">
        <f>Raw_Claims_Data!A1604</f>
        <v>TXN00001601</v>
      </c>
      <c r="B1605" t="str">
        <f>TRIM(Raw_Claims_Data!B1604)</f>
        <v>Leslie Dennis</v>
      </c>
      <c r="C1605" t="str">
        <f>Raw_Claims_Data!C1604</f>
        <v>Life</v>
      </c>
      <c r="D1605">
        <f>Raw_Claims_Data!D1604</f>
        <v>70.17</v>
      </c>
      <c r="E1605">
        <f>Raw_Claims_Data!E1604</f>
        <v>96000</v>
      </c>
      <c r="F1605" t="str">
        <f>Raw_Claims_Data!F1604</f>
        <v>MA</v>
      </c>
      <c r="G1605" t="str">
        <f>Raw_Claims_Data!G1604</f>
        <v>A</v>
      </c>
      <c r="H1605" t="str">
        <f>Raw_Claims_Data!H1604</f>
        <v>Major Loss</v>
      </c>
      <c r="I1605" t="str">
        <f>IF(Raw_Claims_Data!I1604="","None",Raw_Claims_Data!I1604)</f>
        <v>Police</v>
      </c>
      <c r="J1605" t="str">
        <f>Raw_Claims_Data!J1604</f>
        <v>Savannah</v>
      </c>
      <c r="K1605" t="str">
        <f>Raw_Claims_Data!K1604</f>
        <v>GA</v>
      </c>
      <c r="L1605">
        <f>Raw_Claims_Data!L1604</f>
        <v>7</v>
      </c>
      <c r="M1605" t="str">
        <f>IF(Raw_Claims_Data!M1604="","N/A",Raw_Claims_Data!M1604)</f>
        <v>VNDR00307</v>
      </c>
      <c r="N1605" t="str">
        <f>Raw_Claims_Data!N1604</f>
        <v>AGENT00816</v>
      </c>
      <c r="O1605">
        <f>IF(Raw_Claims_Data!G1604="D",1,0)</f>
        <v>0</v>
      </c>
    </row>
    <row r="1606" spans="1:15" x14ac:dyDescent="0.35">
      <c r="A1606" t="str">
        <f>Raw_Claims_Data!A1605</f>
        <v>TXN00001602</v>
      </c>
      <c r="B1606" t="str">
        <f>TRIM(Raw_Claims_Data!B1605)</f>
        <v>Davida Martin</v>
      </c>
      <c r="C1606" t="str">
        <f>Raw_Claims_Data!C1605</f>
        <v>Motor</v>
      </c>
      <c r="D1606">
        <f>Raw_Claims_Data!D1605</f>
        <v>87.66</v>
      </c>
      <c r="E1606">
        <f>Raw_Claims_Data!E1605</f>
        <v>5000</v>
      </c>
      <c r="F1606" t="str">
        <f>Raw_Claims_Data!F1605</f>
        <v>OK</v>
      </c>
      <c r="G1606" t="str">
        <f>Raw_Claims_Data!G1605</f>
        <v>A</v>
      </c>
      <c r="H1606" t="str">
        <f>Raw_Claims_Data!H1605</f>
        <v>Total Loss</v>
      </c>
      <c r="I1606" t="str">
        <f>IF(Raw_Claims_Data!I1605="","None",Raw_Claims_Data!I1605)</f>
        <v>Police</v>
      </c>
      <c r="J1606" t="str">
        <f>Raw_Claims_Data!J1605</f>
        <v>Fayetteville</v>
      </c>
      <c r="K1606" t="str">
        <f>Raw_Claims_Data!K1605</f>
        <v>AR</v>
      </c>
      <c r="L1606">
        <f>Raw_Claims_Data!L1605</f>
        <v>19</v>
      </c>
      <c r="M1606" t="str">
        <f>IF(Raw_Claims_Data!M1605="","N/A",Raw_Claims_Data!M1605)</f>
        <v>VNDR00109</v>
      </c>
      <c r="N1606" t="str">
        <f>Raw_Claims_Data!N1605</f>
        <v>AGENT00455</v>
      </c>
      <c r="O1606">
        <f>IF(Raw_Claims_Data!G1605="D",1,0)</f>
        <v>0</v>
      </c>
    </row>
    <row r="1607" spans="1:15" x14ac:dyDescent="0.35">
      <c r="A1607" t="str">
        <f>Raw_Claims_Data!A1606</f>
        <v>TXN00001603</v>
      </c>
      <c r="B1607" t="str">
        <f>TRIM(Raw_Claims_Data!B1606)</f>
        <v>Manuel Bradbury</v>
      </c>
      <c r="C1607" t="str">
        <f>Raw_Claims_Data!C1606</f>
        <v>Mobile</v>
      </c>
      <c r="D1607">
        <f>Raw_Claims_Data!D1606</f>
        <v>7.48</v>
      </c>
      <c r="E1607">
        <f>Raw_Claims_Data!E1606</f>
        <v>600</v>
      </c>
      <c r="F1607" t="str">
        <f>Raw_Claims_Data!F1606</f>
        <v>KY</v>
      </c>
      <c r="G1607" t="str">
        <f>Raw_Claims_Data!G1606</f>
        <v>A</v>
      </c>
      <c r="H1607" t="str">
        <f>Raw_Claims_Data!H1606</f>
        <v>Total Loss</v>
      </c>
      <c r="I1607" t="str">
        <f>IF(Raw_Claims_Data!I1606="","None",Raw_Claims_Data!I1606)</f>
        <v>Ambulance</v>
      </c>
      <c r="J1607" t="str">
        <f>Raw_Claims_Data!J1606</f>
        <v>Louisville</v>
      </c>
      <c r="K1607" t="str">
        <f>Raw_Claims_Data!K1606</f>
        <v>KY</v>
      </c>
      <c r="L1607">
        <f>Raw_Claims_Data!L1606</f>
        <v>18</v>
      </c>
      <c r="M1607" t="str">
        <f>IF(Raw_Claims_Data!M1606="","N/A",Raw_Claims_Data!M1606)</f>
        <v>VNDR00086</v>
      </c>
      <c r="N1607" t="str">
        <f>Raw_Claims_Data!N1606</f>
        <v>AGENT00190</v>
      </c>
      <c r="O1607">
        <f>IF(Raw_Claims_Data!G1606="D",1,0)</f>
        <v>0</v>
      </c>
    </row>
    <row r="1608" spans="1:15" x14ac:dyDescent="0.35">
      <c r="A1608" t="str">
        <f>Raw_Claims_Data!A1607</f>
        <v>TXN00001604</v>
      </c>
      <c r="B1608" t="str">
        <f>TRIM(Raw_Claims_Data!B1607)</f>
        <v>Elizabeth Engelhardt</v>
      </c>
      <c r="C1608" t="str">
        <f>Raw_Claims_Data!C1607</f>
        <v>Motor</v>
      </c>
      <c r="D1608">
        <f>Raw_Claims_Data!D1607</f>
        <v>124.2</v>
      </c>
      <c r="E1608">
        <f>Raw_Claims_Data!E1607</f>
        <v>1000</v>
      </c>
      <c r="F1608" t="str">
        <f>Raw_Claims_Data!F1607</f>
        <v>AR</v>
      </c>
      <c r="G1608" t="str">
        <f>Raw_Claims_Data!G1607</f>
        <v>A</v>
      </c>
      <c r="H1608" t="str">
        <f>Raw_Claims_Data!H1607</f>
        <v>Total Loss</v>
      </c>
      <c r="I1608" t="str">
        <f>IF(Raw_Claims_Data!I1607="","None",Raw_Claims_Data!I1607)</f>
        <v>Police</v>
      </c>
      <c r="J1608" t="str">
        <f>Raw_Claims_Data!J1607</f>
        <v>Washington</v>
      </c>
      <c r="K1608" t="str">
        <f>Raw_Claims_Data!K1607</f>
        <v>DC</v>
      </c>
      <c r="L1608">
        <f>Raw_Claims_Data!L1607</f>
        <v>19</v>
      </c>
      <c r="M1608" t="str">
        <f>IF(Raw_Claims_Data!M1607="","N/A",Raw_Claims_Data!M1607)</f>
        <v>N/A</v>
      </c>
      <c r="N1608" t="str">
        <f>Raw_Claims_Data!N1607</f>
        <v>AGENT00720</v>
      </c>
      <c r="O1608">
        <f>IF(Raw_Claims_Data!G1607="D",1,0)</f>
        <v>0</v>
      </c>
    </row>
    <row r="1609" spans="1:15" x14ac:dyDescent="0.35">
      <c r="A1609" t="str">
        <f>Raw_Claims_Data!A1608</f>
        <v>TXN00001605</v>
      </c>
      <c r="B1609" t="str">
        <f>TRIM(Raw_Claims_Data!B1608)</f>
        <v>Doris Johnson</v>
      </c>
      <c r="C1609" t="str">
        <f>Raw_Claims_Data!C1608</f>
        <v>Motor</v>
      </c>
      <c r="D1609">
        <f>Raw_Claims_Data!D1608</f>
        <v>78.010000000000005</v>
      </c>
      <c r="E1609">
        <f>Raw_Claims_Data!E1608</f>
        <v>5000</v>
      </c>
      <c r="F1609" t="str">
        <f>Raw_Claims_Data!F1608</f>
        <v>CA</v>
      </c>
      <c r="G1609" t="str">
        <f>Raw_Claims_Data!G1608</f>
        <v>A</v>
      </c>
      <c r="H1609" t="str">
        <f>Raw_Claims_Data!H1608</f>
        <v>Major Loss</v>
      </c>
      <c r="I1609" t="str">
        <f>IF(Raw_Claims_Data!I1608="","None",Raw_Claims_Data!I1608)</f>
        <v>Ambulance</v>
      </c>
      <c r="J1609" t="str">
        <f>Raw_Claims_Data!J1608</f>
        <v>Glen Burnie</v>
      </c>
      <c r="K1609" t="str">
        <f>Raw_Claims_Data!K1608</f>
        <v>MD</v>
      </c>
      <c r="L1609">
        <f>Raw_Claims_Data!L1608</f>
        <v>11</v>
      </c>
      <c r="M1609" t="str">
        <f>IF(Raw_Claims_Data!M1608="","N/A",Raw_Claims_Data!M1608)</f>
        <v>N/A</v>
      </c>
      <c r="N1609" t="str">
        <f>Raw_Claims_Data!N1608</f>
        <v>AGENT00282</v>
      </c>
      <c r="O1609">
        <f>IF(Raw_Claims_Data!G1608="D",1,0)</f>
        <v>0</v>
      </c>
    </row>
    <row r="1610" spans="1:15" x14ac:dyDescent="0.35">
      <c r="A1610" t="str">
        <f>Raw_Claims_Data!A1609</f>
        <v>TXN00001606</v>
      </c>
      <c r="B1610" t="str">
        <f>TRIM(Raw_Claims_Data!B1609)</f>
        <v>Timothy Bullock</v>
      </c>
      <c r="C1610" t="str">
        <f>Raw_Claims_Data!C1609</f>
        <v>Health</v>
      </c>
      <c r="D1610">
        <f>Raw_Claims_Data!D1609</f>
        <v>189.66</v>
      </c>
      <c r="E1610">
        <f>Raw_Claims_Data!E1609</f>
        <v>19000</v>
      </c>
      <c r="F1610" t="str">
        <f>Raw_Claims_Data!F1609</f>
        <v>CO</v>
      </c>
      <c r="G1610" t="str">
        <f>Raw_Claims_Data!G1609</f>
        <v>A</v>
      </c>
      <c r="H1610" t="str">
        <f>Raw_Claims_Data!H1609</f>
        <v>Major Loss</v>
      </c>
      <c r="I1610" t="str">
        <f>IF(Raw_Claims_Data!I1609="","None",Raw_Claims_Data!I1609)</f>
        <v>Police</v>
      </c>
      <c r="J1610" t="str">
        <f>Raw_Claims_Data!J1609</f>
        <v>Montgomery</v>
      </c>
      <c r="K1610" t="str">
        <f>Raw_Claims_Data!K1609</f>
        <v>AL</v>
      </c>
      <c r="L1610">
        <f>Raw_Claims_Data!L1609</f>
        <v>6</v>
      </c>
      <c r="M1610" t="str">
        <f>IF(Raw_Claims_Data!M1609="","N/A",Raw_Claims_Data!M1609)</f>
        <v>VNDR00075</v>
      </c>
      <c r="N1610" t="str">
        <f>Raw_Claims_Data!N1609</f>
        <v>AGENT00052</v>
      </c>
      <c r="O1610">
        <f>IF(Raw_Claims_Data!G1609="D",1,0)</f>
        <v>0</v>
      </c>
    </row>
    <row r="1611" spans="1:15" x14ac:dyDescent="0.35">
      <c r="A1611" t="str">
        <f>Raw_Claims_Data!A1610</f>
        <v>TXN00001607</v>
      </c>
      <c r="B1611" t="str">
        <f>TRIM(Raw_Claims_Data!B1610)</f>
        <v>Myrtle Silverstein</v>
      </c>
      <c r="C1611" t="str">
        <f>Raw_Claims_Data!C1610</f>
        <v>Mobile</v>
      </c>
      <c r="D1611">
        <f>Raw_Claims_Data!D1610</f>
        <v>6.69</v>
      </c>
      <c r="E1611">
        <f>Raw_Claims_Data!E1610</f>
        <v>600</v>
      </c>
      <c r="F1611" t="str">
        <f>Raw_Claims_Data!F1610</f>
        <v>MA</v>
      </c>
      <c r="G1611" t="str">
        <f>Raw_Claims_Data!G1610</f>
        <v>A</v>
      </c>
      <c r="H1611" t="str">
        <f>Raw_Claims_Data!H1610</f>
        <v>Total Loss</v>
      </c>
      <c r="I1611" t="str">
        <f>IF(Raw_Claims_Data!I1610="","None",Raw_Claims_Data!I1610)</f>
        <v>Ambulance</v>
      </c>
      <c r="J1611" t="str">
        <f>Raw_Claims_Data!J1610</f>
        <v>Washington</v>
      </c>
      <c r="K1611" t="str">
        <f>Raw_Claims_Data!K1610</f>
        <v>DC</v>
      </c>
      <c r="L1611">
        <f>Raw_Claims_Data!L1610</f>
        <v>23</v>
      </c>
      <c r="M1611" t="str">
        <f>IF(Raw_Claims_Data!M1610="","N/A",Raw_Claims_Data!M1610)</f>
        <v>N/A</v>
      </c>
      <c r="N1611" t="str">
        <f>Raw_Claims_Data!N1610</f>
        <v>AGENT00008</v>
      </c>
      <c r="O1611">
        <f>IF(Raw_Claims_Data!G1610="D",1,0)</f>
        <v>0</v>
      </c>
    </row>
    <row r="1612" spans="1:15" x14ac:dyDescent="0.35">
      <c r="A1612" t="str">
        <f>Raw_Claims_Data!A1611</f>
        <v>TXN00001608</v>
      </c>
      <c r="B1612" t="str">
        <f>TRIM(Raw_Claims_Data!B1611)</f>
        <v>James Levine</v>
      </c>
      <c r="C1612" t="str">
        <f>Raw_Claims_Data!C1611</f>
        <v>Motor</v>
      </c>
      <c r="D1612">
        <f>Raw_Claims_Data!D1611</f>
        <v>98.83</v>
      </c>
      <c r="E1612">
        <f>Raw_Claims_Data!E1611</f>
        <v>1000</v>
      </c>
      <c r="F1612" t="str">
        <f>Raw_Claims_Data!F1611</f>
        <v>MA</v>
      </c>
      <c r="G1612" t="str">
        <f>Raw_Claims_Data!G1611</f>
        <v>A</v>
      </c>
      <c r="H1612" t="str">
        <f>Raw_Claims_Data!H1611</f>
        <v>Minor Loss</v>
      </c>
      <c r="I1612" t="str">
        <f>IF(Raw_Claims_Data!I1611="","None",Raw_Claims_Data!I1611)</f>
        <v>Police</v>
      </c>
      <c r="J1612" t="str">
        <f>Raw_Claims_Data!J1611</f>
        <v>Hayward</v>
      </c>
      <c r="K1612" t="str">
        <f>Raw_Claims_Data!K1611</f>
        <v>CA</v>
      </c>
      <c r="L1612">
        <f>Raw_Claims_Data!L1611</f>
        <v>18</v>
      </c>
      <c r="M1612" t="str">
        <f>IF(Raw_Claims_Data!M1611="","N/A",Raw_Claims_Data!M1611)</f>
        <v>VNDR00280</v>
      </c>
      <c r="N1612" t="str">
        <f>Raw_Claims_Data!N1611</f>
        <v>AGENT00235</v>
      </c>
      <c r="O1612">
        <f>IF(Raw_Claims_Data!G1611="D",1,0)</f>
        <v>0</v>
      </c>
    </row>
    <row r="1613" spans="1:15" x14ac:dyDescent="0.35">
      <c r="A1613" t="str">
        <f>Raw_Claims_Data!A1612</f>
        <v>TXN00001609</v>
      </c>
      <c r="B1613" t="str">
        <f>TRIM(Raw_Claims_Data!B1612)</f>
        <v>Teresa Rogers</v>
      </c>
      <c r="C1613" t="str">
        <f>Raw_Claims_Data!C1612</f>
        <v>Motor</v>
      </c>
      <c r="D1613">
        <f>Raw_Claims_Data!D1612</f>
        <v>89.13</v>
      </c>
      <c r="E1613">
        <f>Raw_Claims_Data!E1612</f>
        <v>6000</v>
      </c>
      <c r="F1613" t="str">
        <f>Raw_Claims_Data!F1612</f>
        <v>AK</v>
      </c>
      <c r="G1613" t="str">
        <f>Raw_Claims_Data!G1612</f>
        <v>A</v>
      </c>
      <c r="H1613" t="str">
        <f>Raw_Claims_Data!H1612</f>
        <v>Minor Loss</v>
      </c>
      <c r="I1613" t="str">
        <f>IF(Raw_Claims_Data!I1612="","None",Raw_Claims_Data!I1612)</f>
        <v>None</v>
      </c>
      <c r="J1613" t="str">
        <f>Raw_Claims_Data!J1612</f>
        <v>Arvada</v>
      </c>
      <c r="K1613" t="str">
        <f>Raw_Claims_Data!K1612</f>
        <v>CO</v>
      </c>
      <c r="L1613">
        <f>Raw_Claims_Data!L1612</f>
        <v>17</v>
      </c>
      <c r="M1613" t="str">
        <f>IF(Raw_Claims_Data!M1612="","N/A",Raw_Claims_Data!M1612)</f>
        <v>VNDR00179</v>
      </c>
      <c r="N1613" t="str">
        <f>Raw_Claims_Data!N1612</f>
        <v>AGENT00832</v>
      </c>
      <c r="O1613">
        <f>IF(Raw_Claims_Data!G1612="D",1,0)</f>
        <v>0</v>
      </c>
    </row>
    <row r="1614" spans="1:15" x14ac:dyDescent="0.35">
      <c r="A1614" t="str">
        <f>Raw_Claims_Data!A1613</f>
        <v>TXN00001610</v>
      </c>
      <c r="B1614" t="str">
        <f>TRIM(Raw_Claims_Data!B1613)</f>
        <v>John Hannan</v>
      </c>
      <c r="C1614" t="str">
        <f>Raw_Claims_Data!C1613</f>
        <v>Health</v>
      </c>
      <c r="D1614">
        <f>Raw_Claims_Data!D1613</f>
        <v>133.88</v>
      </c>
      <c r="E1614">
        <f>Raw_Claims_Data!E1613</f>
        <v>4000</v>
      </c>
      <c r="F1614" t="str">
        <f>Raw_Claims_Data!F1613</f>
        <v>DC</v>
      </c>
      <c r="G1614" t="str">
        <f>Raw_Claims_Data!G1613</f>
        <v>A</v>
      </c>
      <c r="H1614" t="str">
        <f>Raw_Claims_Data!H1613</f>
        <v>Total Loss</v>
      </c>
      <c r="I1614" t="str">
        <f>IF(Raw_Claims_Data!I1613="","None",Raw_Claims_Data!I1613)</f>
        <v>Ambulance</v>
      </c>
      <c r="J1614" t="str">
        <f>Raw_Claims_Data!J1613</f>
        <v>Fayetteville</v>
      </c>
      <c r="K1614" t="str">
        <f>Raw_Claims_Data!K1613</f>
        <v>AR</v>
      </c>
      <c r="L1614">
        <f>Raw_Claims_Data!L1613</f>
        <v>2</v>
      </c>
      <c r="M1614" t="str">
        <f>IF(Raw_Claims_Data!M1613="","N/A",Raw_Claims_Data!M1613)</f>
        <v>N/A</v>
      </c>
      <c r="N1614" t="str">
        <f>Raw_Claims_Data!N1613</f>
        <v>AGENT00668</v>
      </c>
      <c r="O1614">
        <f>IF(Raw_Claims_Data!G1613="D",1,0)</f>
        <v>0</v>
      </c>
    </row>
    <row r="1615" spans="1:15" x14ac:dyDescent="0.35">
      <c r="A1615" t="str">
        <f>Raw_Claims_Data!A1614</f>
        <v>TXN00001611</v>
      </c>
      <c r="B1615" t="str">
        <f>TRIM(Raw_Claims_Data!B1614)</f>
        <v>Bobby Ard</v>
      </c>
      <c r="C1615" t="str">
        <f>Raw_Claims_Data!C1614</f>
        <v>Life</v>
      </c>
      <c r="D1615">
        <f>Raw_Claims_Data!D1614</f>
        <v>86.12</v>
      </c>
      <c r="E1615">
        <f>Raw_Claims_Data!E1614</f>
        <v>41000</v>
      </c>
      <c r="F1615" t="str">
        <f>Raw_Claims_Data!F1614</f>
        <v>KY</v>
      </c>
      <c r="G1615" t="str">
        <f>Raw_Claims_Data!G1614</f>
        <v>A</v>
      </c>
      <c r="H1615" t="str">
        <f>Raw_Claims_Data!H1614</f>
        <v>Minor Loss</v>
      </c>
      <c r="I1615" t="str">
        <f>IF(Raw_Claims_Data!I1614="","None",Raw_Claims_Data!I1614)</f>
        <v>Police</v>
      </c>
      <c r="J1615" t="str">
        <f>Raw_Claims_Data!J1614</f>
        <v>Washington</v>
      </c>
      <c r="K1615" t="str">
        <f>Raw_Claims_Data!K1614</f>
        <v>DC</v>
      </c>
      <c r="L1615">
        <f>Raw_Claims_Data!L1614</f>
        <v>13</v>
      </c>
      <c r="M1615" t="str">
        <f>IF(Raw_Claims_Data!M1614="","N/A",Raw_Claims_Data!M1614)</f>
        <v>N/A</v>
      </c>
      <c r="N1615" t="str">
        <f>Raw_Claims_Data!N1614</f>
        <v>AGENT00993</v>
      </c>
      <c r="O1615">
        <f>IF(Raw_Claims_Data!G1614="D",1,0)</f>
        <v>0</v>
      </c>
    </row>
    <row r="1616" spans="1:15" x14ac:dyDescent="0.35">
      <c r="A1616" t="str">
        <f>Raw_Claims_Data!A1615</f>
        <v>TXN00001612</v>
      </c>
      <c r="B1616" t="str">
        <f>TRIM(Raw_Claims_Data!B1615)</f>
        <v>Jonathan Francis</v>
      </c>
      <c r="C1616" t="str">
        <f>Raw_Claims_Data!C1615</f>
        <v>Property</v>
      </c>
      <c r="D1616">
        <f>Raw_Claims_Data!D1615</f>
        <v>144.83000000000001</v>
      </c>
      <c r="E1616">
        <f>Raw_Claims_Data!E1615</f>
        <v>19000</v>
      </c>
      <c r="F1616" t="str">
        <f>Raw_Claims_Data!F1615</f>
        <v>DC</v>
      </c>
      <c r="G1616" t="str">
        <f>Raw_Claims_Data!G1615</f>
        <v>A</v>
      </c>
      <c r="H1616" t="str">
        <f>Raw_Claims_Data!H1615</f>
        <v>Major Loss</v>
      </c>
      <c r="I1616" t="str">
        <f>IF(Raw_Claims_Data!I1615="","None",Raw_Claims_Data!I1615)</f>
        <v>Police</v>
      </c>
      <c r="J1616" t="str">
        <f>Raw_Claims_Data!J1615</f>
        <v>Louisville</v>
      </c>
      <c r="K1616" t="str">
        <f>Raw_Claims_Data!K1615</f>
        <v>KY</v>
      </c>
      <c r="L1616">
        <f>Raw_Claims_Data!L1615</f>
        <v>4</v>
      </c>
      <c r="M1616" t="str">
        <f>IF(Raw_Claims_Data!M1615="","N/A",Raw_Claims_Data!M1615)</f>
        <v>VNDR00447</v>
      </c>
      <c r="N1616" t="str">
        <f>Raw_Claims_Data!N1615</f>
        <v>AGENT00784</v>
      </c>
      <c r="O1616">
        <f>IF(Raw_Claims_Data!G1615="D",1,0)</f>
        <v>0</v>
      </c>
    </row>
    <row r="1617" spans="1:15" x14ac:dyDescent="0.35">
      <c r="A1617" t="str">
        <f>Raw_Claims_Data!A1616</f>
        <v>TXN00001613</v>
      </c>
      <c r="B1617" t="str">
        <f>TRIM(Raw_Claims_Data!B1616)</f>
        <v>Alexander Mills</v>
      </c>
      <c r="C1617" t="str">
        <f>Raw_Claims_Data!C1616</f>
        <v>Motor</v>
      </c>
      <c r="D1617">
        <f>Raw_Claims_Data!D1616</f>
        <v>92.26</v>
      </c>
      <c r="E1617">
        <f>Raw_Claims_Data!E1616</f>
        <v>5000</v>
      </c>
      <c r="F1617" t="str">
        <f>Raw_Claims_Data!F1616</f>
        <v>OK</v>
      </c>
      <c r="G1617" t="str">
        <f>Raw_Claims_Data!G1616</f>
        <v>A</v>
      </c>
      <c r="H1617" t="str">
        <f>Raw_Claims_Data!H1616</f>
        <v>Total Loss</v>
      </c>
      <c r="I1617" t="str">
        <f>IF(Raw_Claims_Data!I1616="","None",Raw_Claims_Data!I1616)</f>
        <v>Police</v>
      </c>
      <c r="J1617" t="str">
        <f>Raw_Claims_Data!J1616</f>
        <v>Panama City</v>
      </c>
      <c r="K1617" t="str">
        <f>Raw_Claims_Data!K1616</f>
        <v>FL</v>
      </c>
      <c r="L1617">
        <f>Raw_Claims_Data!L1616</f>
        <v>19</v>
      </c>
      <c r="M1617" t="str">
        <f>IF(Raw_Claims_Data!M1616="","N/A",Raw_Claims_Data!M1616)</f>
        <v>VNDR00039</v>
      </c>
      <c r="N1617" t="str">
        <f>Raw_Claims_Data!N1616</f>
        <v>AGENT00935</v>
      </c>
      <c r="O1617">
        <f>IF(Raw_Claims_Data!G1616="D",1,0)</f>
        <v>0</v>
      </c>
    </row>
    <row r="1618" spans="1:15" x14ac:dyDescent="0.35">
      <c r="A1618" t="str">
        <f>Raw_Claims_Data!A1617</f>
        <v>TXN00001614</v>
      </c>
      <c r="B1618" t="str">
        <f>TRIM(Raw_Claims_Data!B1617)</f>
        <v>Phil Wallis</v>
      </c>
      <c r="C1618" t="str">
        <f>Raw_Claims_Data!C1617</f>
        <v>Motor</v>
      </c>
      <c r="D1618">
        <f>Raw_Claims_Data!D1617</f>
        <v>87.29</v>
      </c>
      <c r="E1618">
        <f>Raw_Claims_Data!E1617</f>
        <v>9000</v>
      </c>
      <c r="F1618" t="str">
        <f>Raw_Claims_Data!F1617</f>
        <v>MA</v>
      </c>
      <c r="G1618" t="str">
        <f>Raw_Claims_Data!G1617</f>
        <v>A</v>
      </c>
      <c r="H1618" t="str">
        <f>Raw_Claims_Data!H1617</f>
        <v>Minor Loss</v>
      </c>
      <c r="I1618" t="str">
        <f>IF(Raw_Claims_Data!I1617="","None",Raw_Claims_Data!I1617)</f>
        <v>Police</v>
      </c>
      <c r="J1618" t="str">
        <f>Raw_Claims_Data!J1617</f>
        <v>Savannah</v>
      </c>
      <c r="K1618" t="str">
        <f>Raw_Claims_Data!K1617</f>
        <v>GA</v>
      </c>
      <c r="L1618">
        <f>Raw_Claims_Data!L1617</f>
        <v>6</v>
      </c>
      <c r="M1618" t="str">
        <f>IF(Raw_Claims_Data!M1617="","N/A",Raw_Claims_Data!M1617)</f>
        <v>VNDR00234</v>
      </c>
      <c r="N1618" t="str">
        <f>Raw_Claims_Data!N1617</f>
        <v>AGENT01005</v>
      </c>
      <c r="O1618">
        <f>IF(Raw_Claims_Data!G1617="D",1,0)</f>
        <v>0</v>
      </c>
    </row>
    <row r="1619" spans="1:15" x14ac:dyDescent="0.35">
      <c r="A1619" t="str">
        <f>Raw_Claims_Data!A1618</f>
        <v>TXN00001615</v>
      </c>
      <c r="B1619" t="str">
        <f>TRIM(Raw_Claims_Data!B1618)</f>
        <v>Arnold Adair</v>
      </c>
      <c r="C1619" t="str">
        <f>Raw_Claims_Data!C1618</f>
        <v>Motor</v>
      </c>
      <c r="D1619">
        <f>Raw_Claims_Data!D1618</f>
        <v>84.96</v>
      </c>
      <c r="E1619">
        <f>Raw_Claims_Data!E1618</f>
        <v>7000</v>
      </c>
      <c r="F1619" t="str">
        <f>Raw_Claims_Data!F1618</f>
        <v>FL</v>
      </c>
      <c r="G1619" t="str">
        <f>Raw_Claims_Data!G1618</f>
        <v>A</v>
      </c>
      <c r="H1619" t="str">
        <f>Raw_Claims_Data!H1618</f>
        <v>Major Loss</v>
      </c>
      <c r="I1619" t="str">
        <f>IF(Raw_Claims_Data!I1618="","None",Raw_Claims_Data!I1618)</f>
        <v>Ambulance</v>
      </c>
      <c r="J1619" t="str">
        <f>Raw_Claims_Data!J1618</f>
        <v>Edmond</v>
      </c>
      <c r="K1619" t="str">
        <f>Raw_Claims_Data!K1618</f>
        <v>OK</v>
      </c>
      <c r="L1619">
        <f>Raw_Claims_Data!L1618</f>
        <v>2</v>
      </c>
      <c r="M1619" t="str">
        <f>IF(Raw_Claims_Data!M1618="","N/A",Raw_Claims_Data!M1618)</f>
        <v>VNDR00407</v>
      </c>
      <c r="N1619" t="str">
        <f>Raw_Claims_Data!N1618</f>
        <v>AGENT01189</v>
      </c>
      <c r="O1619">
        <f>IF(Raw_Claims_Data!G1618="D",1,0)</f>
        <v>0</v>
      </c>
    </row>
    <row r="1620" spans="1:15" x14ac:dyDescent="0.35">
      <c r="A1620" t="str">
        <f>Raw_Claims_Data!A1619</f>
        <v>TXN00001616</v>
      </c>
      <c r="B1620" t="str">
        <f>TRIM(Raw_Claims_Data!B1619)</f>
        <v>Zenaida Norman</v>
      </c>
      <c r="C1620" t="str">
        <f>Raw_Claims_Data!C1619</f>
        <v>Motor</v>
      </c>
      <c r="D1620">
        <f>Raw_Claims_Data!D1619</f>
        <v>82.97</v>
      </c>
      <c r="E1620">
        <f>Raw_Claims_Data!E1619</f>
        <v>5000</v>
      </c>
      <c r="F1620" t="str">
        <f>Raw_Claims_Data!F1619</f>
        <v>TN</v>
      </c>
      <c r="G1620" t="str">
        <f>Raw_Claims_Data!G1619</f>
        <v>A</v>
      </c>
      <c r="H1620" t="str">
        <f>Raw_Claims_Data!H1619</f>
        <v>Minor Loss</v>
      </c>
      <c r="I1620" t="str">
        <f>IF(Raw_Claims_Data!I1619="","None",Raw_Claims_Data!I1619)</f>
        <v>Police</v>
      </c>
      <c r="J1620" t="str">
        <f>Raw_Claims_Data!J1619</f>
        <v>Anchorage</v>
      </c>
      <c r="K1620" t="str">
        <f>Raw_Claims_Data!K1619</f>
        <v>AK</v>
      </c>
      <c r="L1620">
        <f>Raw_Claims_Data!L1619</f>
        <v>20</v>
      </c>
      <c r="M1620" t="str">
        <f>IF(Raw_Claims_Data!M1619="","N/A",Raw_Claims_Data!M1619)</f>
        <v>VNDR00247</v>
      </c>
      <c r="N1620" t="str">
        <f>Raw_Claims_Data!N1619</f>
        <v>AGENT00631</v>
      </c>
      <c r="O1620">
        <f>IF(Raw_Claims_Data!G1619="D",1,0)</f>
        <v>0</v>
      </c>
    </row>
    <row r="1621" spans="1:15" x14ac:dyDescent="0.35">
      <c r="A1621" t="str">
        <f>Raw_Claims_Data!A1620</f>
        <v>TXN00001617</v>
      </c>
      <c r="B1621" t="str">
        <f>TRIM(Raw_Claims_Data!B1620)</f>
        <v>Crystal Shively</v>
      </c>
      <c r="C1621" t="str">
        <f>Raw_Claims_Data!C1620</f>
        <v>Travel</v>
      </c>
      <c r="D1621">
        <f>Raw_Claims_Data!D1620</f>
        <v>64.88</v>
      </c>
      <c r="E1621">
        <f>Raw_Claims_Data!E1620</f>
        <v>1000</v>
      </c>
      <c r="F1621" t="str">
        <f>Raw_Claims_Data!F1620</f>
        <v>AL</v>
      </c>
      <c r="G1621" t="str">
        <f>Raw_Claims_Data!G1620</f>
        <v>A</v>
      </c>
      <c r="H1621" t="str">
        <f>Raw_Claims_Data!H1620</f>
        <v>Minor Loss</v>
      </c>
      <c r="I1621" t="str">
        <f>IF(Raw_Claims_Data!I1620="","None",Raw_Claims_Data!I1620)</f>
        <v>Ambulance</v>
      </c>
      <c r="J1621" t="str">
        <f>Raw_Claims_Data!J1620</f>
        <v>Arvada</v>
      </c>
      <c r="K1621" t="str">
        <f>Raw_Claims_Data!K1620</f>
        <v>CO</v>
      </c>
      <c r="L1621">
        <f>Raw_Claims_Data!L1620</f>
        <v>7</v>
      </c>
      <c r="M1621" t="str">
        <f>IF(Raw_Claims_Data!M1620="","N/A",Raw_Claims_Data!M1620)</f>
        <v>VNDR00574</v>
      </c>
      <c r="N1621" t="str">
        <f>Raw_Claims_Data!N1620</f>
        <v>AGENT00232</v>
      </c>
      <c r="O1621">
        <f>IF(Raw_Claims_Data!G1620="D",1,0)</f>
        <v>0</v>
      </c>
    </row>
    <row r="1622" spans="1:15" x14ac:dyDescent="0.35">
      <c r="A1622" t="str">
        <f>Raw_Claims_Data!A1621</f>
        <v>TXN00001618</v>
      </c>
      <c r="B1622" t="str">
        <f>TRIM(Raw_Claims_Data!B1621)</f>
        <v>John Moore</v>
      </c>
      <c r="C1622" t="str">
        <f>Raw_Claims_Data!C1621</f>
        <v>Travel</v>
      </c>
      <c r="D1622">
        <f>Raw_Claims_Data!D1621</f>
        <v>70.47</v>
      </c>
      <c r="E1622">
        <f>Raw_Claims_Data!E1621</f>
        <v>1000</v>
      </c>
      <c r="F1622" t="str">
        <f>Raw_Claims_Data!F1621</f>
        <v>VT</v>
      </c>
      <c r="G1622" t="str">
        <f>Raw_Claims_Data!G1621</f>
        <v>A</v>
      </c>
      <c r="H1622" t="str">
        <f>Raw_Claims_Data!H1621</f>
        <v>Minor Loss</v>
      </c>
      <c r="I1622" t="str">
        <f>IF(Raw_Claims_Data!I1621="","None",Raw_Claims_Data!I1621)</f>
        <v>Ambulance</v>
      </c>
      <c r="J1622" t="str">
        <f>Raw_Claims_Data!J1621</f>
        <v>Arvada</v>
      </c>
      <c r="K1622" t="str">
        <f>Raw_Claims_Data!K1621</f>
        <v>CO</v>
      </c>
      <c r="L1622">
        <f>Raw_Claims_Data!L1621</f>
        <v>10</v>
      </c>
      <c r="M1622" t="str">
        <f>IF(Raw_Claims_Data!M1621="","N/A",Raw_Claims_Data!M1621)</f>
        <v>VNDR00269</v>
      </c>
      <c r="N1622" t="str">
        <f>Raw_Claims_Data!N1621</f>
        <v>AGENT00884</v>
      </c>
      <c r="O1622">
        <f>IF(Raw_Claims_Data!G1621="D",1,0)</f>
        <v>0</v>
      </c>
    </row>
    <row r="1623" spans="1:15" x14ac:dyDescent="0.35">
      <c r="A1623" t="str">
        <f>Raw_Claims_Data!A1622</f>
        <v>TXN00001619</v>
      </c>
      <c r="B1623" t="str">
        <f>TRIM(Raw_Claims_Data!B1622)</f>
        <v>Tara Curran</v>
      </c>
      <c r="C1623" t="str">
        <f>Raw_Claims_Data!C1622</f>
        <v>Property</v>
      </c>
      <c r="D1623">
        <f>Raw_Claims_Data!D1622</f>
        <v>159</v>
      </c>
      <c r="E1623">
        <f>Raw_Claims_Data!E1622</f>
        <v>25000</v>
      </c>
      <c r="F1623" t="str">
        <f>Raw_Claims_Data!F1622</f>
        <v>MD</v>
      </c>
      <c r="G1623" t="str">
        <f>Raw_Claims_Data!G1622</f>
        <v>A</v>
      </c>
      <c r="H1623" t="str">
        <f>Raw_Claims_Data!H1622</f>
        <v>Minor Loss</v>
      </c>
      <c r="I1623" t="str">
        <f>IF(Raw_Claims_Data!I1622="","None",Raw_Claims_Data!I1622)</f>
        <v>None</v>
      </c>
      <c r="J1623" t="str">
        <f>Raw_Claims_Data!J1622</f>
        <v>Manchester</v>
      </c>
      <c r="K1623" t="str">
        <f>Raw_Claims_Data!K1622</f>
        <v>CT</v>
      </c>
      <c r="L1623">
        <f>Raw_Claims_Data!L1622</f>
        <v>16</v>
      </c>
      <c r="M1623" t="str">
        <f>IF(Raw_Claims_Data!M1622="","N/A",Raw_Claims_Data!M1622)</f>
        <v>VNDR00040</v>
      </c>
      <c r="N1623" t="str">
        <f>Raw_Claims_Data!N1622</f>
        <v>AGENT00202</v>
      </c>
      <c r="O1623">
        <f>IF(Raw_Claims_Data!G1622="D",1,0)</f>
        <v>0</v>
      </c>
    </row>
    <row r="1624" spans="1:15" x14ac:dyDescent="0.35">
      <c r="A1624" t="str">
        <f>Raw_Claims_Data!A1623</f>
        <v>TXN00001620</v>
      </c>
      <c r="B1624" t="str">
        <f>TRIM(Raw_Claims_Data!B1623)</f>
        <v>Susan Jones</v>
      </c>
      <c r="C1624" t="str">
        <f>Raw_Claims_Data!C1623</f>
        <v>Motor</v>
      </c>
      <c r="D1624">
        <f>Raw_Claims_Data!D1623</f>
        <v>105.45</v>
      </c>
      <c r="E1624">
        <f>Raw_Claims_Data!E1623</f>
        <v>10000</v>
      </c>
      <c r="F1624" t="str">
        <f>Raw_Claims_Data!F1623</f>
        <v>CO</v>
      </c>
      <c r="G1624" t="str">
        <f>Raw_Claims_Data!G1623</f>
        <v>A</v>
      </c>
      <c r="H1624" t="str">
        <f>Raw_Claims_Data!H1623</f>
        <v>Minor Loss</v>
      </c>
      <c r="I1624" t="str">
        <f>IF(Raw_Claims_Data!I1623="","None",Raw_Claims_Data!I1623)</f>
        <v>Police</v>
      </c>
      <c r="J1624" t="str">
        <f>Raw_Claims_Data!J1623</f>
        <v>Edgewater</v>
      </c>
      <c r="K1624" t="str">
        <f>Raw_Claims_Data!K1623</f>
        <v>MD</v>
      </c>
      <c r="L1624">
        <f>Raw_Claims_Data!L1623</f>
        <v>17</v>
      </c>
      <c r="M1624" t="str">
        <f>IF(Raw_Claims_Data!M1623="","N/A",Raw_Claims_Data!M1623)</f>
        <v>VNDR00415</v>
      </c>
      <c r="N1624" t="str">
        <f>Raw_Claims_Data!N1623</f>
        <v>AGENT00458</v>
      </c>
      <c r="O1624">
        <f>IF(Raw_Claims_Data!G1623="D",1,0)</f>
        <v>0</v>
      </c>
    </row>
    <row r="1625" spans="1:15" x14ac:dyDescent="0.35">
      <c r="A1625" t="str">
        <f>Raw_Claims_Data!A1624</f>
        <v>TXN00001621</v>
      </c>
      <c r="B1625" t="str">
        <f>TRIM(Raw_Claims_Data!B1624)</f>
        <v>Barbara Peebles</v>
      </c>
      <c r="C1625" t="str">
        <f>Raw_Claims_Data!C1624</f>
        <v>Life</v>
      </c>
      <c r="D1625">
        <f>Raw_Claims_Data!D1624</f>
        <v>54.84</v>
      </c>
      <c r="E1625">
        <f>Raw_Claims_Data!E1624</f>
        <v>61000</v>
      </c>
      <c r="F1625" t="str">
        <f>Raw_Claims_Data!F1624</f>
        <v>TN</v>
      </c>
      <c r="G1625" t="str">
        <f>Raw_Claims_Data!G1624</f>
        <v>A</v>
      </c>
      <c r="H1625" t="str">
        <f>Raw_Claims_Data!H1624</f>
        <v>Minor Loss</v>
      </c>
      <c r="I1625" t="str">
        <f>IF(Raw_Claims_Data!I1624="","None",Raw_Claims_Data!I1624)</f>
        <v>Ambulance</v>
      </c>
      <c r="J1625" t="str">
        <f>Raw_Claims_Data!J1624</f>
        <v>Homer</v>
      </c>
      <c r="K1625" t="str">
        <f>Raw_Claims_Data!K1624</f>
        <v>AK</v>
      </c>
      <c r="L1625">
        <f>Raw_Claims_Data!L1624</f>
        <v>7</v>
      </c>
      <c r="M1625" t="str">
        <f>IF(Raw_Claims_Data!M1624="","N/A",Raw_Claims_Data!M1624)</f>
        <v>VNDR00082</v>
      </c>
      <c r="N1625" t="str">
        <f>Raw_Claims_Data!N1624</f>
        <v>AGENT00117</v>
      </c>
      <c r="O1625">
        <f>IF(Raw_Claims_Data!G1624="D",1,0)</f>
        <v>0</v>
      </c>
    </row>
    <row r="1626" spans="1:15" x14ac:dyDescent="0.35">
      <c r="A1626" t="str">
        <f>Raw_Claims_Data!A1625</f>
        <v>TXN00001622</v>
      </c>
      <c r="B1626" t="str">
        <f>TRIM(Raw_Claims_Data!B1625)</f>
        <v>Goldie Daigle</v>
      </c>
      <c r="C1626" t="str">
        <f>Raw_Claims_Data!C1625</f>
        <v>Property</v>
      </c>
      <c r="D1626">
        <f>Raw_Claims_Data!D1625</f>
        <v>128.34</v>
      </c>
      <c r="E1626">
        <f>Raw_Claims_Data!E1625</f>
        <v>37000</v>
      </c>
      <c r="F1626" t="str">
        <f>Raw_Claims_Data!F1625</f>
        <v>AR</v>
      </c>
      <c r="G1626" t="str">
        <f>Raw_Claims_Data!G1625</f>
        <v>A</v>
      </c>
      <c r="H1626" t="str">
        <f>Raw_Claims_Data!H1625</f>
        <v>Total Loss</v>
      </c>
      <c r="I1626" t="str">
        <f>IF(Raw_Claims_Data!I1625="","None",Raw_Claims_Data!I1625)</f>
        <v>Ambulance</v>
      </c>
      <c r="J1626" t="str">
        <f>Raw_Claims_Data!J1625</f>
        <v>Savannah</v>
      </c>
      <c r="K1626" t="str">
        <f>Raw_Claims_Data!K1625</f>
        <v>GA</v>
      </c>
      <c r="L1626">
        <f>Raw_Claims_Data!L1625</f>
        <v>12</v>
      </c>
      <c r="M1626" t="str">
        <f>IF(Raw_Claims_Data!M1625="","N/A",Raw_Claims_Data!M1625)</f>
        <v>VNDR00566</v>
      </c>
      <c r="N1626" t="str">
        <f>Raw_Claims_Data!N1625</f>
        <v>AGENT00158</v>
      </c>
      <c r="O1626">
        <f>IF(Raw_Claims_Data!G1625="D",1,0)</f>
        <v>0</v>
      </c>
    </row>
    <row r="1627" spans="1:15" x14ac:dyDescent="0.35">
      <c r="A1627" t="str">
        <f>Raw_Claims_Data!A1626</f>
        <v>TXN00001623</v>
      </c>
      <c r="B1627" t="str">
        <f>TRIM(Raw_Claims_Data!B1626)</f>
        <v>Donald Mayoras</v>
      </c>
      <c r="C1627" t="str">
        <f>Raw_Claims_Data!C1626</f>
        <v>Life</v>
      </c>
      <c r="D1627">
        <f>Raw_Claims_Data!D1626</f>
        <v>97.25</v>
      </c>
      <c r="E1627">
        <f>Raw_Claims_Data!E1626</f>
        <v>58000</v>
      </c>
      <c r="F1627" t="str">
        <f>Raw_Claims_Data!F1626</f>
        <v>AR</v>
      </c>
      <c r="G1627" t="str">
        <f>Raw_Claims_Data!G1626</f>
        <v>A</v>
      </c>
      <c r="H1627" t="str">
        <f>Raw_Claims_Data!H1626</f>
        <v>Minor Loss</v>
      </c>
      <c r="I1627" t="str">
        <f>IF(Raw_Claims_Data!I1626="","None",Raw_Claims_Data!I1626)</f>
        <v>Police</v>
      </c>
      <c r="J1627" t="str">
        <f>Raw_Claims_Data!J1626</f>
        <v>Livermore</v>
      </c>
      <c r="K1627" t="str">
        <f>Raw_Claims_Data!K1626</f>
        <v>CA</v>
      </c>
      <c r="L1627">
        <f>Raw_Claims_Data!L1626</f>
        <v>14</v>
      </c>
      <c r="M1627" t="str">
        <f>IF(Raw_Claims_Data!M1626="","N/A",Raw_Claims_Data!M1626)</f>
        <v>VNDR00451</v>
      </c>
      <c r="N1627" t="str">
        <f>Raw_Claims_Data!N1626</f>
        <v>AGENT00612</v>
      </c>
      <c r="O1627">
        <f>IF(Raw_Claims_Data!G1626="D",1,0)</f>
        <v>0</v>
      </c>
    </row>
    <row r="1628" spans="1:15" x14ac:dyDescent="0.35">
      <c r="A1628" t="str">
        <f>Raw_Claims_Data!A1627</f>
        <v>TXN00001624</v>
      </c>
      <c r="B1628" t="str">
        <f>TRIM(Raw_Claims_Data!B1627)</f>
        <v>Laura Trantham</v>
      </c>
      <c r="C1628" t="str">
        <f>Raw_Claims_Data!C1627</f>
        <v>Life</v>
      </c>
      <c r="D1628">
        <f>Raw_Claims_Data!D1627</f>
        <v>62.1</v>
      </c>
      <c r="E1628">
        <f>Raw_Claims_Data!E1627</f>
        <v>68000</v>
      </c>
      <c r="F1628" t="str">
        <f>Raw_Claims_Data!F1627</f>
        <v>CT</v>
      </c>
      <c r="G1628" t="str">
        <f>Raw_Claims_Data!G1627</f>
        <v>A</v>
      </c>
      <c r="H1628" t="str">
        <f>Raw_Claims_Data!H1627</f>
        <v>Minor Loss</v>
      </c>
      <c r="I1628" t="str">
        <f>IF(Raw_Claims_Data!I1627="","None",Raw_Claims_Data!I1627)</f>
        <v>Ambulance</v>
      </c>
      <c r="J1628" t="str">
        <f>Raw_Claims_Data!J1627</f>
        <v>Savannah</v>
      </c>
      <c r="K1628" t="str">
        <f>Raw_Claims_Data!K1627</f>
        <v>GA</v>
      </c>
      <c r="L1628">
        <f>Raw_Claims_Data!L1627</f>
        <v>7</v>
      </c>
      <c r="M1628" t="str">
        <f>IF(Raw_Claims_Data!M1627="","N/A",Raw_Claims_Data!M1627)</f>
        <v>N/A</v>
      </c>
      <c r="N1628" t="str">
        <f>Raw_Claims_Data!N1627</f>
        <v>AGENT00712</v>
      </c>
      <c r="O1628">
        <f>IF(Raw_Claims_Data!G1627="D",1,0)</f>
        <v>0</v>
      </c>
    </row>
    <row r="1629" spans="1:15" x14ac:dyDescent="0.35">
      <c r="A1629" t="str">
        <f>Raw_Claims_Data!A1628</f>
        <v>TXN00001625</v>
      </c>
      <c r="B1629" t="str">
        <f>TRIM(Raw_Claims_Data!B1628)</f>
        <v>Noemi Fairley</v>
      </c>
      <c r="C1629" t="str">
        <f>Raw_Claims_Data!C1628</f>
        <v>Motor</v>
      </c>
      <c r="D1629">
        <f>Raw_Claims_Data!D1628</f>
        <v>101.01</v>
      </c>
      <c r="E1629">
        <f>Raw_Claims_Data!E1628</f>
        <v>8000</v>
      </c>
      <c r="F1629" t="str">
        <f>Raw_Claims_Data!F1628</f>
        <v>CO</v>
      </c>
      <c r="G1629" t="str">
        <f>Raw_Claims_Data!G1628</f>
        <v>A</v>
      </c>
      <c r="H1629" t="str">
        <f>Raw_Claims_Data!H1628</f>
        <v>Total Loss</v>
      </c>
      <c r="I1629" t="str">
        <f>IF(Raw_Claims_Data!I1628="","None",Raw_Claims_Data!I1628)</f>
        <v>Police</v>
      </c>
      <c r="J1629" t="str">
        <f>Raw_Claims_Data!J1628</f>
        <v>Arvada</v>
      </c>
      <c r="K1629" t="str">
        <f>Raw_Claims_Data!K1628</f>
        <v>CO</v>
      </c>
      <c r="L1629">
        <f>Raw_Claims_Data!L1628</f>
        <v>13</v>
      </c>
      <c r="M1629" t="str">
        <f>IF(Raw_Claims_Data!M1628="","N/A",Raw_Claims_Data!M1628)</f>
        <v>VNDR00513</v>
      </c>
      <c r="N1629" t="str">
        <f>Raw_Claims_Data!N1628</f>
        <v>AGENT01187</v>
      </c>
      <c r="O1629">
        <f>IF(Raw_Claims_Data!G1628="D",1,0)</f>
        <v>0</v>
      </c>
    </row>
    <row r="1630" spans="1:15" x14ac:dyDescent="0.35">
      <c r="A1630" t="str">
        <f>Raw_Claims_Data!A1629</f>
        <v>TXN00001626</v>
      </c>
      <c r="B1630" t="str">
        <f>TRIM(Raw_Claims_Data!B1629)</f>
        <v>Scott Jennrich</v>
      </c>
      <c r="C1630" t="str">
        <f>Raw_Claims_Data!C1629</f>
        <v>Motor</v>
      </c>
      <c r="D1630">
        <f>Raw_Claims_Data!D1629</f>
        <v>111.1</v>
      </c>
      <c r="E1630">
        <f>Raw_Claims_Data!E1629</f>
        <v>7000</v>
      </c>
      <c r="F1630" t="str">
        <f>Raw_Claims_Data!F1629</f>
        <v>GA</v>
      </c>
      <c r="G1630" t="str">
        <f>Raw_Claims_Data!G1629</f>
        <v>A</v>
      </c>
      <c r="H1630" t="str">
        <f>Raw_Claims_Data!H1629</f>
        <v>Major Loss</v>
      </c>
      <c r="I1630" t="str">
        <f>IF(Raw_Claims_Data!I1629="","None",Raw_Claims_Data!I1629)</f>
        <v>Ambulance</v>
      </c>
      <c r="J1630" t="str">
        <f>Raw_Claims_Data!J1629</f>
        <v>Hanford</v>
      </c>
      <c r="K1630" t="str">
        <f>Raw_Claims_Data!K1629</f>
        <v>CA</v>
      </c>
      <c r="L1630">
        <f>Raw_Claims_Data!L1629</f>
        <v>8</v>
      </c>
      <c r="M1630" t="str">
        <f>IF(Raw_Claims_Data!M1629="","N/A",Raw_Claims_Data!M1629)</f>
        <v>N/A</v>
      </c>
      <c r="N1630" t="str">
        <f>Raw_Claims_Data!N1629</f>
        <v>AGENT00785</v>
      </c>
      <c r="O1630">
        <f>IF(Raw_Claims_Data!G1629="D",1,0)</f>
        <v>0</v>
      </c>
    </row>
    <row r="1631" spans="1:15" x14ac:dyDescent="0.35">
      <c r="A1631" t="str">
        <f>Raw_Claims_Data!A1630</f>
        <v>TXN00001627</v>
      </c>
      <c r="B1631" t="str">
        <f>TRIM(Raw_Claims_Data!B1630)</f>
        <v>Louis Aronson</v>
      </c>
      <c r="C1631" t="str">
        <f>Raw_Claims_Data!C1630</f>
        <v>Property</v>
      </c>
      <c r="D1631">
        <f>Raw_Claims_Data!D1630</f>
        <v>105.6</v>
      </c>
      <c r="E1631">
        <f>Raw_Claims_Data!E1630</f>
        <v>33000</v>
      </c>
      <c r="F1631" t="str">
        <f>Raw_Claims_Data!F1630</f>
        <v>TN</v>
      </c>
      <c r="G1631" t="str">
        <f>Raw_Claims_Data!G1630</f>
        <v>A</v>
      </c>
      <c r="H1631" t="str">
        <f>Raw_Claims_Data!H1630</f>
        <v>Minor Loss</v>
      </c>
      <c r="I1631" t="str">
        <f>IF(Raw_Claims_Data!I1630="","None",Raw_Claims_Data!I1630)</f>
        <v>Ambulance</v>
      </c>
      <c r="J1631" t="str">
        <f>Raw_Claims_Data!J1630</f>
        <v>Berkeley</v>
      </c>
      <c r="K1631" t="str">
        <f>Raw_Claims_Data!K1630</f>
        <v>CA</v>
      </c>
      <c r="L1631">
        <f>Raw_Claims_Data!L1630</f>
        <v>9</v>
      </c>
      <c r="M1631" t="str">
        <f>IF(Raw_Claims_Data!M1630="","N/A",Raw_Claims_Data!M1630)</f>
        <v>N/A</v>
      </c>
      <c r="N1631" t="str">
        <f>Raw_Claims_Data!N1630</f>
        <v>AGENT00716</v>
      </c>
      <c r="O1631">
        <f>IF(Raw_Claims_Data!G1630="D",1,0)</f>
        <v>0</v>
      </c>
    </row>
    <row r="1632" spans="1:15" x14ac:dyDescent="0.35">
      <c r="A1632" t="str">
        <f>Raw_Claims_Data!A1631</f>
        <v>TXN00001628</v>
      </c>
      <c r="B1632" t="str">
        <f>TRIM(Raw_Claims_Data!B1631)</f>
        <v>Elizabeth Brock</v>
      </c>
      <c r="C1632" t="str">
        <f>Raw_Claims_Data!C1631</f>
        <v>Motor</v>
      </c>
      <c r="D1632">
        <f>Raw_Claims_Data!D1631</f>
        <v>99.91</v>
      </c>
      <c r="E1632">
        <f>Raw_Claims_Data!E1631</f>
        <v>1000</v>
      </c>
      <c r="F1632" t="str">
        <f>Raw_Claims_Data!F1631</f>
        <v>CT</v>
      </c>
      <c r="G1632" t="str">
        <f>Raw_Claims_Data!G1631</f>
        <v>A</v>
      </c>
      <c r="H1632" t="str">
        <f>Raw_Claims_Data!H1631</f>
        <v>Minor Loss</v>
      </c>
      <c r="I1632" t="str">
        <f>IF(Raw_Claims_Data!I1631="","None",Raw_Claims_Data!I1631)</f>
        <v>Police</v>
      </c>
      <c r="J1632" t="str">
        <f>Raw_Claims_Data!J1631</f>
        <v>Santa Rosa</v>
      </c>
      <c r="K1632" t="str">
        <f>Raw_Claims_Data!K1631</f>
        <v>CA</v>
      </c>
      <c r="L1632">
        <f>Raw_Claims_Data!L1631</f>
        <v>12</v>
      </c>
      <c r="M1632" t="str">
        <f>IF(Raw_Claims_Data!M1631="","N/A",Raw_Claims_Data!M1631)</f>
        <v>VNDR00339</v>
      </c>
      <c r="N1632" t="str">
        <f>Raw_Claims_Data!N1631</f>
        <v>AGENT00979</v>
      </c>
      <c r="O1632">
        <f>IF(Raw_Claims_Data!G1631="D",1,0)</f>
        <v>0</v>
      </c>
    </row>
    <row r="1633" spans="1:15" x14ac:dyDescent="0.35">
      <c r="A1633" t="str">
        <f>Raw_Claims_Data!A1632</f>
        <v>TXN00001629</v>
      </c>
      <c r="B1633" t="str">
        <f>TRIM(Raw_Claims_Data!B1632)</f>
        <v>Paul Serrano</v>
      </c>
      <c r="C1633" t="str">
        <f>Raw_Claims_Data!C1632</f>
        <v>Motor</v>
      </c>
      <c r="D1633">
        <f>Raw_Claims_Data!D1632</f>
        <v>76.52</v>
      </c>
      <c r="E1633">
        <f>Raw_Claims_Data!E1632</f>
        <v>2000</v>
      </c>
      <c r="F1633" t="str">
        <f>Raw_Claims_Data!F1632</f>
        <v>CA</v>
      </c>
      <c r="G1633" t="str">
        <f>Raw_Claims_Data!G1632</f>
        <v>A</v>
      </c>
      <c r="H1633" t="str">
        <f>Raw_Claims_Data!H1632</f>
        <v>Minor Loss</v>
      </c>
      <c r="I1633" t="str">
        <f>IF(Raw_Claims_Data!I1632="","None",Raw_Claims_Data!I1632)</f>
        <v>Police</v>
      </c>
      <c r="J1633" t="str">
        <f>Raw_Claims_Data!J1632</f>
        <v>Savannah</v>
      </c>
      <c r="K1633" t="str">
        <f>Raw_Claims_Data!K1632</f>
        <v>GA</v>
      </c>
      <c r="L1633">
        <f>Raw_Claims_Data!L1632</f>
        <v>18</v>
      </c>
      <c r="M1633" t="str">
        <f>IF(Raw_Claims_Data!M1632="","N/A",Raw_Claims_Data!M1632)</f>
        <v>VNDR00005</v>
      </c>
      <c r="N1633" t="str">
        <f>Raw_Claims_Data!N1632</f>
        <v>AGENT00609</v>
      </c>
      <c r="O1633">
        <f>IF(Raw_Claims_Data!G1632="D",1,0)</f>
        <v>0</v>
      </c>
    </row>
    <row r="1634" spans="1:15" x14ac:dyDescent="0.35">
      <c r="A1634" t="str">
        <f>Raw_Claims_Data!A1633</f>
        <v>TXN00001630</v>
      </c>
      <c r="B1634" t="str">
        <f>TRIM(Raw_Claims_Data!B1633)</f>
        <v>Eric Charles</v>
      </c>
      <c r="C1634" t="str">
        <f>Raw_Claims_Data!C1633</f>
        <v>Travel</v>
      </c>
      <c r="D1634">
        <f>Raw_Claims_Data!D1633</f>
        <v>58.01</v>
      </c>
      <c r="E1634">
        <f>Raw_Claims_Data!E1633</f>
        <v>1000</v>
      </c>
      <c r="F1634" t="str">
        <f>Raw_Claims_Data!F1633</f>
        <v>AR</v>
      </c>
      <c r="G1634" t="str">
        <f>Raw_Claims_Data!G1633</f>
        <v>A</v>
      </c>
      <c r="H1634" t="str">
        <f>Raw_Claims_Data!H1633</f>
        <v>Total Loss</v>
      </c>
      <c r="I1634" t="str">
        <f>IF(Raw_Claims_Data!I1633="","None",Raw_Claims_Data!I1633)</f>
        <v>Ambulance</v>
      </c>
      <c r="J1634" t="str">
        <f>Raw_Claims_Data!J1633</f>
        <v>Washington</v>
      </c>
      <c r="K1634" t="str">
        <f>Raw_Claims_Data!K1633</f>
        <v>DC</v>
      </c>
      <c r="L1634">
        <f>Raw_Claims_Data!L1633</f>
        <v>7</v>
      </c>
      <c r="M1634" t="str">
        <f>IF(Raw_Claims_Data!M1633="","N/A",Raw_Claims_Data!M1633)</f>
        <v>VNDR00126</v>
      </c>
      <c r="N1634" t="str">
        <f>Raw_Claims_Data!N1633</f>
        <v>AGENT01010</v>
      </c>
      <c r="O1634">
        <f>IF(Raw_Claims_Data!G1633="D",1,0)</f>
        <v>0</v>
      </c>
    </row>
    <row r="1635" spans="1:15" x14ac:dyDescent="0.35">
      <c r="A1635" t="str">
        <f>Raw_Claims_Data!A1634</f>
        <v>TXN00001631</v>
      </c>
      <c r="B1635" t="str">
        <f>TRIM(Raw_Claims_Data!B1634)</f>
        <v>Marylee File</v>
      </c>
      <c r="C1635" t="str">
        <f>Raw_Claims_Data!C1634</f>
        <v>Property</v>
      </c>
      <c r="D1635">
        <f>Raw_Claims_Data!D1634</f>
        <v>132.69999999999999</v>
      </c>
      <c r="E1635">
        <f>Raw_Claims_Data!E1634</f>
        <v>24000</v>
      </c>
      <c r="F1635" t="str">
        <f>Raw_Claims_Data!F1634</f>
        <v>AK</v>
      </c>
      <c r="G1635" t="str">
        <f>Raw_Claims_Data!G1634</f>
        <v>A</v>
      </c>
      <c r="H1635" t="str">
        <f>Raw_Claims_Data!H1634</f>
        <v>Total Loss</v>
      </c>
      <c r="I1635" t="str">
        <f>IF(Raw_Claims_Data!I1634="","None",Raw_Claims_Data!I1634)</f>
        <v>Ambulance</v>
      </c>
      <c r="J1635" t="str">
        <f>Raw_Claims_Data!J1634</f>
        <v>Cambridge</v>
      </c>
      <c r="K1635" t="str">
        <f>Raw_Claims_Data!K1634</f>
        <v>MA</v>
      </c>
      <c r="L1635">
        <f>Raw_Claims_Data!L1634</f>
        <v>22</v>
      </c>
      <c r="M1635" t="str">
        <f>IF(Raw_Claims_Data!M1634="","N/A",Raw_Claims_Data!M1634)</f>
        <v>N/A</v>
      </c>
      <c r="N1635" t="str">
        <f>Raw_Claims_Data!N1634</f>
        <v>AGENT00514</v>
      </c>
      <c r="O1635">
        <f>IF(Raw_Claims_Data!G1634="D",1,0)</f>
        <v>0</v>
      </c>
    </row>
    <row r="1636" spans="1:15" x14ac:dyDescent="0.35">
      <c r="A1636" t="str">
        <f>Raw_Claims_Data!A1635</f>
        <v>TXN00001632</v>
      </c>
      <c r="B1636" t="str">
        <f>TRIM(Raw_Claims_Data!B1635)</f>
        <v>Marion Baker</v>
      </c>
      <c r="C1636" t="str">
        <f>Raw_Claims_Data!C1635</f>
        <v>Life</v>
      </c>
      <c r="D1636">
        <f>Raw_Claims_Data!D1635</f>
        <v>56.86</v>
      </c>
      <c r="E1636">
        <f>Raw_Claims_Data!E1635</f>
        <v>30000</v>
      </c>
      <c r="F1636" t="str">
        <f>Raw_Claims_Data!F1635</f>
        <v>AR</v>
      </c>
      <c r="G1636" t="str">
        <f>Raw_Claims_Data!G1635</f>
        <v>A</v>
      </c>
      <c r="H1636" t="str">
        <f>Raw_Claims_Data!H1635</f>
        <v>Total Loss</v>
      </c>
      <c r="I1636" t="str">
        <f>IF(Raw_Claims_Data!I1635="","None",Raw_Claims_Data!I1635)</f>
        <v>None</v>
      </c>
      <c r="J1636" t="str">
        <f>Raw_Claims_Data!J1635</f>
        <v>Nashville</v>
      </c>
      <c r="K1636" t="str">
        <f>Raw_Claims_Data!K1635</f>
        <v>TN</v>
      </c>
      <c r="L1636">
        <f>Raw_Claims_Data!L1635</f>
        <v>20</v>
      </c>
      <c r="M1636" t="str">
        <f>IF(Raw_Claims_Data!M1635="","N/A",Raw_Claims_Data!M1635)</f>
        <v>VNDR00191</v>
      </c>
      <c r="N1636" t="str">
        <f>Raw_Claims_Data!N1635</f>
        <v>AGENT00751</v>
      </c>
      <c r="O1636">
        <f>IF(Raw_Claims_Data!G1635="D",1,0)</f>
        <v>0</v>
      </c>
    </row>
    <row r="1637" spans="1:15" x14ac:dyDescent="0.35">
      <c r="A1637" t="str">
        <f>Raw_Claims_Data!A1636</f>
        <v>TXN00001633</v>
      </c>
      <c r="B1637" t="str">
        <f>TRIM(Raw_Claims_Data!B1636)</f>
        <v>Dominick Smith</v>
      </c>
      <c r="C1637" t="str">
        <f>Raw_Claims_Data!C1636</f>
        <v>Life</v>
      </c>
      <c r="D1637">
        <f>Raw_Claims_Data!D1636</f>
        <v>87.1</v>
      </c>
      <c r="E1637">
        <f>Raw_Claims_Data!E1636</f>
        <v>99000</v>
      </c>
      <c r="F1637" t="str">
        <f>Raw_Claims_Data!F1636</f>
        <v>TN</v>
      </c>
      <c r="G1637" t="str">
        <f>Raw_Claims_Data!G1636</f>
        <v>A</v>
      </c>
      <c r="H1637" t="str">
        <f>Raw_Claims_Data!H1636</f>
        <v>Minor Loss</v>
      </c>
      <c r="I1637" t="str">
        <f>IF(Raw_Claims_Data!I1636="","None",Raw_Claims_Data!I1636)</f>
        <v>Ambulance</v>
      </c>
      <c r="J1637" t="str">
        <f>Raw_Claims_Data!J1636</f>
        <v>Glendale</v>
      </c>
      <c r="K1637" t="str">
        <f>Raw_Claims_Data!K1636</f>
        <v>AZ</v>
      </c>
      <c r="L1637">
        <f>Raw_Claims_Data!L1636</f>
        <v>19</v>
      </c>
      <c r="M1637" t="str">
        <f>IF(Raw_Claims_Data!M1636="","N/A",Raw_Claims_Data!M1636)</f>
        <v>VNDR00375</v>
      </c>
      <c r="N1637" t="str">
        <f>Raw_Claims_Data!N1636</f>
        <v>AGENT00607</v>
      </c>
      <c r="O1637">
        <f>IF(Raw_Claims_Data!G1636="D",1,0)</f>
        <v>0</v>
      </c>
    </row>
    <row r="1638" spans="1:15" x14ac:dyDescent="0.35">
      <c r="A1638" t="str">
        <f>Raw_Claims_Data!A1637</f>
        <v>TXN00001634</v>
      </c>
      <c r="B1638" t="str">
        <f>TRIM(Raw_Claims_Data!B1637)</f>
        <v>Raymond Martin</v>
      </c>
      <c r="C1638" t="str">
        <f>Raw_Claims_Data!C1637</f>
        <v>Mobile</v>
      </c>
      <c r="D1638">
        <f>Raw_Claims_Data!D1637</f>
        <v>7.19</v>
      </c>
      <c r="E1638">
        <f>Raw_Claims_Data!E1637</f>
        <v>300</v>
      </c>
      <c r="F1638" t="str">
        <f>Raw_Claims_Data!F1637</f>
        <v>AZ</v>
      </c>
      <c r="G1638" t="str">
        <f>Raw_Claims_Data!G1637</f>
        <v>A</v>
      </c>
      <c r="H1638" t="str">
        <f>Raw_Claims_Data!H1637</f>
        <v>Major Loss</v>
      </c>
      <c r="I1638" t="str">
        <f>IF(Raw_Claims_Data!I1637="","None",Raw_Claims_Data!I1637)</f>
        <v>Ambulance</v>
      </c>
      <c r="J1638" t="str">
        <f>Raw_Claims_Data!J1637</f>
        <v>Severn</v>
      </c>
      <c r="K1638" t="str">
        <f>Raw_Claims_Data!K1637</f>
        <v>MD</v>
      </c>
      <c r="L1638">
        <f>Raw_Claims_Data!L1637</f>
        <v>20</v>
      </c>
      <c r="M1638" t="str">
        <f>IF(Raw_Claims_Data!M1637="","N/A",Raw_Claims_Data!M1637)</f>
        <v>VNDR00229</v>
      </c>
      <c r="N1638" t="str">
        <f>Raw_Claims_Data!N1637</f>
        <v>AGENT00593</v>
      </c>
      <c r="O1638">
        <f>IF(Raw_Claims_Data!G1637="D",1,0)</f>
        <v>0</v>
      </c>
    </row>
    <row r="1639" spans="1:15" x14ac:dyDescent="0.35">
      <c r="A1639" t="str">
        <f>Raw_Claims_Data!A1638</f>
        <v>TXN00001635</v>
      </c>
      <c r="B1639" t="str">
        <f>TRIM(Raw_Claims_Data!B1638)</f>
        <v>David Hopkins</v>
      </c>
      <c r="C1639" t="str">
        <f>Raw_Claims_Data!C1638</f>
        <v>Life</v>
      </c>
      <c r="D1639">
        <f>Raw_Claims_Data!D1638</f>
        <v>66.709999999999994</v>
      </c>
      <c r="E1639">
        <f>Raw_Claims_Data!E1638</f>
        <v>43000</v>
      </c>
      <c r="F1639" t="str">
        <f>Raw_Claims_Data!F1638</f>
        <v>MD</v>
      </c>
      <c r="G1639" t="str">
        <f>Raw_Claims_Data!G1638</f>
        <v>A</v>
      </c>
      <c r="H1639" t="str">
        <f>Raw_Claims_Data!H1638</f>
        <v>Minor Loss</v>
      </c>
      <c r="I1639" t="str">
        <f>IF(Raw_Claims_Data!I1638="","None",Raw_Claims_Data!I1638)</f>
        <v>Ambulance</v>
      </c>
      <c r="J1639" t="str">
        <f>Raw_Claims_Data!J1638</f>
        <v>Tampa</v>
      </c>
      <c r="K1639" t="str">
        <f>Raw_Claims_Data!K1638</f>
        <v>FL</v>
      </c>
      <c r="L1639">
        <f>Raw_Claims_Data!L1638</f>
        <v>17</v>
      </c>
      <c r="M1639" t="str">
        <f>IF(Raw_Claims_Data!M1638="","N/A",Raw_Claims_Data!M1638)</f>
        <v>N/A</v>
      </c>
      <c r="N1639" t="str">
        <f>Raw_Claims_Data!N1638</f>
        <v>AGENT01160</v>
      </c>
      <c r="O1639">
        <f>IF(Raw_Claims_Data!G1638="D",1,0)</f>
        <v>0</v>
      </c>
    </row>
    <row r="1640" spans="1:15" x14ac:dyDescent="0.35">
      <c r="A1640" t="str">
        <f>Raw_Claims_Data!A1639</f>
        <v>TXN00001636</v>
      </c>
      <c r="B1640" t="str">
        <f>TRIM(Raw_Claims_Data!B1639)</f>
        <v>Manuel Schoonmaker</v>
      </c>
      <c r="C1640" t="str">
        <f>Raw_Claims_Data!C1639</f>
        <v>Life</v>
      </c>
      <c r="D1640">
        <f>Raw_Claims_Data!D1639</f>
        <v>86.26</v>
      </c>
      <c r="E1640">
        <f>Raw_Claims_Data!E1639</f>
        <v>96000</v>
      </c>
      <c r="F1640" t="str">
        <f>Raw_Claims_Data!F1639</f>
        <v>CO</v>
      </c>
      <c r="G1640" t="str">
        <f>Raw_Claims_Data!G1639</f>
        <v>A</v>
      </c>
      <c r="H1640" t="str">
        <f>Raw_Claims_Data!H1639</f>
        <v>Total Loss</v>
      </c>
      <c r="I1640" t="str">
        <f>IF(Raw_Claims_Data!I1639="","None",Raw_Claims_Data!I1639)</f>
        <v>Police</v>
      </c>
      <c r="J1640" t="str">
        <f>Raw_Claims_Data!J1639</f>
        <v>Panama City Beach</v>
      </c>
      <c r="K1640" t="str">
        <f>Raw_Claims_Data!K1639</f>
        <v>FL</v>
      </c>
      <c r="L1640">
        <f>Raw_Claims_Data!L1639</f>
        <v>21</v>
      </c>
      <c r="M1640" t="str">
        <f>IF(Raw_Claims_Data!M1639="","N/A",Raw_Claims_Data!M1639)</f>
        <v>VNDR00060</v>
      </c>
      <c r="N1640" t="str">
        <f>Raw_Claims_Data!N1639</f>
        <v>AGENT00534</v>
      </c>
      <c r="O1640">
        <f>IF(Raw_Claims_Data!G1639="D",1,0)</f>
        <v>0</v>
      </c>
    </row>
    <row r="1641" spans="1:15" x14ac:dyDescent="0.35">
      <c r="A1641" t="str">
        <f>Raw_Claims_Data!A1640</f>
        <v>TXN00001637</v>
      </c>
      <c r="B1641" t="str">
        <f>TRIM(Raw_Claims_Data!B1640)</f>
        <v>Clarence Smith</v>
      </c>
      <c r="C1641" t="str">
        <f>Raw_Claims_Data!C1640</f>
        <v>Mobile</v>
      </c>
      <c r="D1641">
        <f>Raw_Claims_Data!D1640</f>
        <v>10.73</v>
      </c>
      <c r="E1641">
        <f>Raw_Claims_Data!E1640</f>
        <v>100</v>
      </c>
      <c r="F1641" t="str">
        <f>Raw_Claims_Data!F1640</f>
        <v>CT</v>
      </c>
      <c r="G1641" t="str">
        <f>Raw_Claims_Data!G1640</f>
        <v>D</v>
      </c>
      <c r="H1641" t="str">
        <f>Raw_Claims_Data!H1640</f>
        <v>Major Loss</v>
      </c>
      <c r="I1641" t="str">
        <f>IF(Raw_Claims_Data!I1640="","None",Raw_Claims_Data!I1640)</f>
        <v>Police</v>
      </c>
      <c r="J1641" t="str">
        <f>Raw_Claims_Data!J1640</f>
        <v>Manchester</v>
      </c>
      <c r="K1641" t="str">
        <f>Raw_Claims_Data!K1640</f>
        <v>CT</v>
      </c>
      <c r="L1641">
        <f>Raw_Claims_Data!L1640</f>
        <v>16</v>
      </c>
      <c r="M1641" t="str">
        <f>IF(Raw_Claims_Data!M1640="","N/A",Raw_Claims_Data!M1640)</f>
        <v>N/A</v>
      </c>
      <c r="N1641" t="str">
        <f>Raw_Claims_Data!N1640</f>
        <v>AGENT00892</v>
      </c>
      <c r="O1641">
        <f>IF(Raw_Claims_Data!G1640="D",1,0)</f>
        <v>1</v>
      </c>
    </row>
    <row r="1642" spans="1:15" x14ac:dyDescent="0.35">
      <c r="A1642" t="str">
        <f>Raw_Claims_Data!A1641</f>
        <v>TXN00001638</v>
      </c>
      <c r="B1642" t="str">
        <f>TRIM(Raw_Claims_Data!B1641)</f>
        <v>David Magallan</v>
      </c>
      <c r="C1642" t="str">
        <f>Raw_Claims_Data!C1641</f>
        <v>Mobile</v>
      </c>
      <c r="D1642">
        <f>Raw_Claims_Data!D1641</f>
        <v>9.3000000000000007</v>
      </c>
      <c r="E1642">
        <f>Raw_Claims_Data!E1641</f>
        <v>300</v>
      </c>
      <c r="F1642" t="str">
        <f>Raw_Claims_Data!F1641</f>
        <v>AR</v>
      </c>
      <c r="G1642" t="str">
        <f>Raw_Claims_Data!G1641</f>
        <v>A</v>
      </c>
      <c r="H1642" t="str">
        <f>Raw_Claims_Data!H1641</f>
        <v>Minor Loss</v>
      </c>
      <c r="I1642" t="str">
        <f>IF(Raw_Claims_Data!I1641="","None",Raw_Claims_Data!I1641)</f>
        <v>Police</v>
      </c>
      <c r="J1642" t="str">
        <f>Raw_Claims_Data!J1641</f>
        <v>Louisville</v>
      </c>
      <c r="K1642" t="str">
        <f>Raw_Claims_Data!K1641</f>
        <v>KY</v>
      </c>
      <c r="L1642">
        <f>Raw_Claims_Data!L1641</f>
        <v>23</v>
      </c>
      <c r="M1642" t="str">
        <f>IF(Raw_Claims_Data!M1641="","N/A",Raw_Claims_Data!M1641)</f>
        <v>N/A</v>
      </c>
      <c r="N1642" t="str">
        <f>Raw_Claims_Data!N1641</f>
        <v>AGENT00551</v>
      </c>
      <c r="O1642">
        <f>IF(Raw_Claims_Data!G1641="D",1,0)</f>
        <v>0</v>
      </c>
    </row>
    <row r="1643" spans="1:15" x14ac:dyDescent="0.35">
      <c r="A1643" t="str">
        <f>Raw_Claims_Data!A1642</f>
        <v>TXN00001639</v>
      </c>
      <c r="B1643" t="str">
        <f>TRIM(Raw_Claims_Data!B1642)</f>
        <v>Mary Wright</v>
      </c>
      <c r="C1643" t="str">
        <f>Raw_Claims_Data!C1642</f>
        <v>Health</v>
      </c>
      <c r="D1643">
        <f>Raw_Claims_Data!D1642</f>
        <v>127.13</v>
      </c>
      <c r="E1643">
        <f>Raw_Claims_Data!E1642</f>
        <v>19000</v>
      </c>
      <c r="F1643" t="str">
        <f>Raw_Claims_Data!F1642</f>
        <v>DC</v>
      </c>
      <c r="G1643" t="str">
        <f>Raw_Claims_Data!G1642</f>
        <v>A</v>
      </c>
      <c r="H1643" t="str">
        <f>Raw_Claims_Data!H1642</f>
        <v>Total Loss</v>
      </c>
      <c r="I1643" t="str">
        <f>IF(Raw_Claims_Data!I1642="","None",Raw_Claims_Data!I1642)</f>
        <v>None</v>
      </c>
      <c r="J1643" t="str">
        <f>Raw_Claims_Data!J1642</f>
        <v>Norman</v>
      </c>
      <c r="K1643" t="str">
        <f>Raw_Claims_Data!K1642</f>
        <v>OK</v>
      </c>
      <c r="L1643">
        <f>Raw_Claims_Data!L1642</f>
        <v>1</v>
      </c>
      <c r="M1643" t="str">
        <f>IF(Raw_Claims_Data!M1642="","N/A",Raw_Claims_Data!M1642)</f>
        <v>VNDR00096</v>
      </c>
      <c r="N1643" t="str">
        <f>Raw_Claims_Data!N1642</f>
        <v>AGENT00687</v>
      </c>
      <c r="O1643">
        <f>IF(Raw_Claims_Data!G1642="D",1,0)</f>
        <v>0</v>
      </c>
    </row>
    <row r="1644" spans="1:15" x14ac:dyDescent="0.35">
      <c r="A1644" t="str">
        <f>Raw_Claims_Data!A1643</f>
        <v>TXN00001640</v>
      </c>
      <c r="B1644" t="str">
        <f>TRIM(Raw_Claims_Data!B1643)</f>
        <v>Thomas Diehl</v>
      </c>
      <c r="C1644" t="str">
        <f>Raw_Claims_Data!C1643</f>
        <v>Property</v>
      </c>
      <c r="D1644">
        <f>Raw_Claims_Data!D1643</f>
        <v>105.58</v>
      </c>
      <c r="E1644">
        <f>Raw_Claims_Data!E1643</f>
        <v>36000</v>
      </c>
      <c r="F1644" t="str">
        <f>Raw_Claims_Data!F1643</f>
        <v>MD</v>
      </c>
      <c r="G1644" t="str">
        <f>Raw_Claims_Data!G1643</f>
        <v>A</v>
      </c>
      <c r="H1644" t="str">
        <f>Raw_Claims_Data!H1643</f>
        <v>Major Loss</v>
      </c>
      <c r="I1644" t="str">
        <f>IF(Raw_Claims_Data!I1643="","None",Raw_Claims_Data!I1643)</f>
        <v>None</v>
      </c>
      <c r="J1644" t="str">
        <f>Raw_Claims_Data!J1643</f>
        <v>Oklahoma City</v>
      </c>
      <c r="K1644" t="str">
        <f>Raw_Claims_Data!K1643</f>
        <v>OK</v>
      </c>
      <c r="L1644">
        <f>Raw_Claims_Data!L1643</f>
        <v>7</v>
      </c>
      <c r="M1644" t="str">
        <f>IF(Raw_Claims_Data!M1643="","N/A",Raw_Claims_Data!M1643)</f>
        <v>N/A</v>
      </c>
      <c r="N1644" t="str">
        <f>Raw_Claims_Data!N1643</f>
        <v>AGENT00784</v>
      </c>
      <c r="O1644">
        <f>IF(Raw_Claims_Data!G1643="D",1,0)</f>
        <v>0</v>
      </c>
    </row>
    <row r="1645" spans="1:15" x14ac:dyDescent="0.35">
      <c r="A1645" t="str">
        <f>Raw_Claims_Data!A1644</f>
        <v>TXN00001641</v>
      </c>
      <c r="B1645" t="str">
        <f>TRIM(Raw_Claims_Data!B1644)</f>
        <v>Jim Cheatom</v>
      </c>
      <c r="C1645" t="str">
        <f>Raw_Claims_Data!C1644</f>
        <v>Motor</v>
      </c>
      <c r="D1645">
        <f>Raw_Claims_Data!D1644</f>
        <v>116.92</v>
      </c>
      <c r="E1645">
        <f>Raw_Claims_Data!E1644</f>
        <v>1000</v>
      </c>
      <c r="F1645" t="str">
        <f>Raw_Claims_Data!F1644</f>
        <v>CT</v>
      </c>
      <c r="G1645" t="str">
        <f>Raw_Claims_Data!G1644</f>
        <v>A</v>
      </c>
      <c r="H1645" t="str">
        <f>Raw_Claims_Data!H1644</f>
        <v>Total Loss</v>
      </c>
      <c r="I1645" t="str">
        <f>IF(Raw_Claims_Data!I1644="","None",Raw_Claims_Data!I1644)</f>
        <v>Police</v>
      </c>
      <c r="J1645" t="str">
        <f>Raw_Claims_Data!J1644</f>
        <v>West Windsor</v>
      </c>
      <c r="K1645" t="str">
        <f>Raw_Claims_Data!K1644</f>
        <v>VT</v>
      </c>
      <c r="L1645">
        <f>Raw_Claims_Data!L1644</f>
        <v>22</v>
      </c>
      <c r="M1645" t="str">
        <f>IF(Raw_Claims_Data!M1644="","N/A",Raw_Claims_Data!M1644)</f>
        <v>VNDR00400</v>
      </c>
      <c r="N1645" t="str">
        <f>Raw_Claims_Data!N1644</f>
        <v>AGENT00992</v>
      </c>
      <c r="O1645">
        <f>IF(Raw_Claims_Data!G1644="D",1,0)</f>
        <v>0</v>
      </c>
    </row>
    <row r="1646" spans="1:15" x14ac:dyDescent="0.35">
      <c r="A1646" t="str">
        <f>Raw_Claims_Data!A1645</f>
        <v>TXN00001642</v>
      </c>
      <c r="B1646" t="str">
        <f>TRIM(Raw_Claims_Data!B1645)</f>
        <v>Rita Evans</v>
      </c>
      <c r="C1646" t="str">
        <f>Raw_Claims_Data!C1645</f>
        <v>Property</v>
      </c>
      <c r="D1646">
        <f>Raw_Claims_Data!D1645</f>
        <v>137.56</v>
      </c>
      <c r="E1646">
        <f>Raw_Claims_Data!E1645</f>
        <v>21000</v>
      </c>
      <c r="F1646" t="str">
        <f>Raw_Claims_Data!F1645</f>
        <v>CA</v>
      </c>
      <c r="G1646" t="str">
        <f>Raw_Claims_Data!G1645</f>
        <v>A</v>
      </c>
      <c r="H1646" t="str">
        <f>Raw_Claims_Data!H1645</f>
        <v>Minor Loss</v>
      </c>
      <c r="I1646" t="str">
        <f>IF(Raw_Claims_Data!I1645="","None",Raw_Claims_Data!I1645)</f>
        <v>Other</v>
      </c>
      <c r="J1646" t="str">
        <f>Raw_Claims_Data!J1645</f>
        <v>Eureka</v>
      </c>
      <c r="K1646" t="str">
        <f>Raw_Claims_Data!K1645</f>
        <v>CA</v>
      </c>
      <c r="L1646">
        <f>Raw_Claims_Data!L1645</f>
        <v>23</v>
      </c>
      <c r="M1646" t="str">
        <f>IF(Raw_Claims_Data!M1645="","N/A",Raw_Claims_Data!M1645)</f>
        <v>N/A</v>
      </c>
      <c r="N1646" t="str">
        <f>Raw_Claims_Data!N1645</f>
        <v>AGENT00225</v>
      </c>
      <c r="O1646">
        <f>IF(Raw_Claims_Data!G1645="D",1,0)</f>
        <v>0</v>
      </c>
    </row>
    <row r="1647" spans="1:15" x14ac:dyDescent="0.35">
      <c r="A1647" t="str">
        <f>Raw_Claims_Data!A1646</f>
        <v>TXN00001643</v>
      </c>
      <c r="B1647" t="str">
        <f>TRIM(Raw_Claims_Data!B1646)</f>
        <v>Jerry Sanford</v>
      </c>
      <c r="C1647" t="str">
        <f>Raw_Claims_Data!C1646</f>
        <v>Life</v>
      </c>
      <c r="D1647">
        <f>Raw_Claims_Data!D1646</f>
        <v>59.78</v>
      </c>
      <c r="E1647">
        <f>Raw_Claims_Data!E1646</f>
        <v>26000</v>
      </c>
      <c r="F1647" t="str">
        <f>Raw_Claims_Data!F1646</f>
        <v>VT</v>
      </c>
      <c r="G1647" t="str">
        <f>Raw_Claims_Data!G1646</f>
        <v>A</v>
      </c>
      <c r="H1647" t="str">
        <f>Raw_Claims_Data!H1646</f>
        <v>Total Loss</v>
      </c>
      <c r="I1647" t="str">
        <f>IF(Raw_Claims_Data!I1646="","None",Raw_Claims_Data!I1646)</f>
        <v>Other</v>
      </c>
      <c r="J1647" t="str">
        <f>Raw_Claims_Data!J1646</f>
        <v>Arvada</v>
      </c>
      <c r="K1647" t="str">
        <f>Raw_Claims_Data!K1646</f>
        <v>CO</v>
      </c>
      <c r="L1647">
        <f>Raw_Claims_Data!L1646</f>
        <v>21</v>
      </c>
      <c r="M1647" t="str">
        <f>IF(Raw_Claims_Data!M1646="","N/A",Raw_Claims_Data!M1646)</f>
        <v>N/A</v>
      </c>
      <c r="N1647" t="str">
        <f>Raw_Claims_Data!N1646</f>
        <v>AGENT00911</v>
      </c>
      <c r="O1647">
        <f>IF(Raw_Claims_Data!G1646="D",1,0)</f>
        <v>0</v>
      </c>
    </row>
    <row r="1648" spans="1:15" x14ac:dyDescent="0.35">
      <c r="A1648" t="str">
        <f>Raw_Claims_Data!A1647</f>
        <v>TXN00001644</v>
      </c>
      <c r="B1648" t="str">
        <f>TRIM(Raw_Claims_Data!B1647)</f>
        <v>James Sandridge</v>
      </c>
      <c r="C1648" t="str">
        <f>Raw_Claims_Data!C1647</f>
        <v>Mobile</v>
      </c>
      <c r="D1648">
        <f>Raw_Claims_Data!D1647</f>
        <v>11.58</v>
      </c>
      <c r="E1648">
        <f>Raw_Claims_Data!E1647</f>
        <v>200</v>
      </c>
      <c r="F1648" t="str">
        <f>Raw_Claims_Data!F1647</f>
        <v>DC</v>
      </c>
      <c r="G1648" t="str">
        <f>Raw_Claims_Data!G1647</f>
        <v>A</v>
      </c>
      <c r="H1648" t="str">
        <f>Raw_Claims_Data!H1647</f>
        <v>Minor Loss</v>
      </c>
      <c r="I1648" t="str">
        <f>IF(Raw_Claims_Data!I1647="","None",Raw_Claims_Data!I1647)</f>
        <v>Ambulance</v>
      </c>
      <c r="J1648" t="str">
        <f>Raw_Claims_Data!J1647</f>
        <v>Nashville</v>
      </c>
      <c r="K1648" t="str">
        <f>Raw_Claims_Data!K1647</f>
        <v>TN</v>
      </c>
      <c r="L1648">
        <f>Raw_Claims_Data!L1647</f>
        <v>18</v>
      </c>
      <c r="M1648" t="str">
        <f>IF(Raw_Claims_Data!M1647="","N/A",Raw_Claims_Data!M1647)</f>
        <v>VNDR00489</v>
      </c>
      <c r="N1648" t="str">
        <f>Raw_Claims_Data!N1647</f>
        <v>AGENT00054</v>
      </c>
      <c r="O1648">
        <f>IF(Raw_Claims_Data!G1647="D",1,0)</f>
        <v>0</v>
      </c>
    </row>
    <row r="1649" spans="1:15" x14ac:dyDescent="0.35">
      <c r="A1649" t="str">
        <f>Raw_Claims_Data!A1648</f>
        <v>TXN00001645</v>
      </c>
      <c r="B1649" t="str">
        <f>TRIM(Raw_Claims_Data!B1648)</f>
        <v>Phillis Ly</v>
      </c>
      <c r="C1649" t="str">
        <f>Raw_Claims_Data!C1648</f>
        <v>Mobile</v>
      </c>
      <c r="D1649">
        <f>Raw_Claims_Data!D1648</f>
        <v>10.88</v>
      </c>
      <c r="E1649">
        <f>Raw_Claims_Data!E1648</f>
        <v>500</v>
      </c>
      <c r="F1649" t="str">
        <f>Raw_Claims_Data!F1648</f>
        <v>CT</v>
      </c>
      <c r="G1649" t="str">
        <f>Raw_Claims_Data!G1648</f>
        <v>A</v>
      </c>
      <c r="H1649" t="str">
        <f>Raw_Claims_Data!H1648</f>
        <v>Total Loss</v>
      </c>
      <c r="I1649" t="str">
        <f>IF(Raw_Claims_Data!I1648="","None",Raw_Claims_Data!I1648)</f>
        <v>None</v>
      </c>
      <c r="J1649" t="str">
        <f>Raw_Claims_Data!J1648</f>
        <v>Panama City Beach</v>
      </c>
      <c r="K1649" t="str">
        <f>Raw_Claims_Data!K1648</f>
        <v>FL</v>
      </c>
      <c r="L1649">
        <f>Raw_Claims_Data!L1648</f>
        <v>15</v>
      </c>
      <c r="M1649" t="str">
        <f>IF(Raw_Claims_Data!M1648="","N/A",Raw_Claims_Data!M1648)</f>
        <v>VNDR00505</v>
      </c>
      <c r="N1649" t="str">
        <f>Raw_Claims_Data!N1648</f>
        <v>AGENT00692</v>
      </c>
      <c r="O1649">
        <f>IF(Raw_Claims_Data!G1648="D",1,0)</f>
        <v>0</v>
      </c>
    </row>
    <row r="1650" spans="1:15" x14ac:dyDescent="0.35">
      <c r="A1650" t="str">
        <f>Raw_Claims_Data!A1649</f>
        <v>TXN00001646</v>
      </c>
      <c r="B1650" t="str">
        <f>TRIM(Raw_Claims_Data!B1649)</f>
        <v>Theodore Mccoy</v>
      </c>
      <c r="C1650" t="str">
        <f>Raw_Claims_Data!C1649</f>
        <v>Life</v>
      </c>
      <c r="D1650">
        <f>Raw_Claims_Data!D1649</f>
        <v>96.53</v>
      </c>
      <c r="E1650">
        <f>Raw_Claims_Data!E1649</f>
        <v>13000</v>
      </c>
      <c r="F1650" t="str">
        <f>Raw_Claims_Data!F1649</f>
        <v>CA</v>
      </c>
      <c r="G1650" t="str">
        <f>Raw_Claims_Data!G1649</f>
        <v>A</v>
      </c>
      <c r="H1650" t="str">
        <f>Raw_Claims_Data!H1649</f>
        <v>Total Loss</v>
      </c>
      <c r="I1650" t="str">
        <f>IF(Raw_Claims_Data!I1649="","None",Raw_Claims_Data!I1649)</f>
        <v>Police</v>
      </c>
      <c r="J1650" t="str">
        <f>Raw_Claims_Data!J1649</f>
        <v>Palmer</v>
      </c>
      <c r="K1650" t="str">
        <f>Raw_Claims_Data!K1649</f>
        <v>MA</v>
      </c>
      <c r="L1650">
        <f>Raw_Claims_Data!L1649</f>
        <v>10</v>
      </c>
      <c r="M1650" t="str">
        <f>IF(Raw_Claims_Data!M1649="","N/A",Raw_Claims_Data!M1649)</f>
        <v>VNDR00517</v>
      </c>
      <c r="N1650" t="str">
        <f>Raw_Claims_Data!N1649</f>
        <v>AGENT00045</v>
      </c>
      <c r="O1650">
        <f>IF(Raw_Claims_Data!G1649="D",1,0)</f>
        <v>0</v>
      </c>
    </row>
    <row r="1651" spans="1:15" x14ac:dyDescent="0.35">
      <c r="A1651" t="str">
        <f>Raw_Claims_Data!A1650</f>
        <v>TXN00001647</v>
      </c>
      <c r="B1651" t="str">
        <f>TRIM(Raw_Claims_Data!B1650)</f>
        <v>Russell Wilcox</v>
      </c>
      <c r="C1651" t="str">
        <f>Raw_Claims_Data!C1650</f>
        <v>Life</v>
      </c>
      <c r="D1651">
        <f>Raw_Claims_Data!D1650</f>
        <v>85.25</v>
      </c>
      <c r="E1651">
        <f>Raw_Claims_Data!E1650</f>
        <v>23000</v>
      </c>
      <c r="F1651" t="str">
        <f>Raw_Claims_Data!F1650</f>
        <v>AK</v>
      </c>
      <c r="G1651" t="str">
        <f>Raw_Claims_Data!G1650</f>
        <v>A</v>
      </c>
      <c r="H1651" t="str">
        <f>Raw_Claims_Data!H1650</f>
        <v>Minor Loss</v>
      </c>
      <c r="I1651" t="str">
        <f>IF(Raw_Claims_Data!I1650="","None",Raw_Claims_Data!I1650)</f>
        <v>Police</v>
      </c>
      <c r="J1651" t="str">
        <f>Raw_Claims_Data!J1650</f>
        <v>Pooler</v>
      </c>
      <c r="K1651" t="str">
        <f>Raw_Claims_Data!K1650</f>
        <v>GA</v>
      </c>
      <c r="L1651">
        <f>Raw_Claims_Data!L1650</f>
        <v>5</v>
      </c>
      <c r="M1651" t="str">
        <f>IF(Raw_Claims_Data!M1650="","N/A",Raw_Claims_Data!M1650)</f>
        <v>VNDR00100</v>
      </c>
      <c r="N1651" t="str">
        <f>Raw_Claims_Data!N1650</f>
        <v>AGENT00382</v>
      </c>
      <c r="O1651">
        <f>IF(Raw_Claims_Data!G1650="D",1,0)</f>
        <v>0</v>
      </c>
    </row>
    <row r="1652" spans="1:15" x14ac:dyDescent="0.35">
      <c r="A1652" t="str">
        <f>Raw_Claims_Data!A1651</f>
        <v>TXN00001648</v>
      </c>
      <c r="B1652" t="str">
        <f>TRIM(Raw_Claims_Data!B1651)</f>
        <v>Paul Acuna</v>
      </c>
      <c r="C1652" t="str">
        <f>Raw_Claims_Data!C1651</f>
        <v>Mobile</v>
      </c>
      <c r="D1652">
        <f>Raw_Claims_Data!D1651</f>
        <v>8.35</v>
      </c>
      <c r="E1652">
        <f>Raw_Claims_Data!E1651</f>
        <v>700</v>
      </c>
      <c r="F1652" t="str">
        <f>Raw_Claims_Data!F1651</f>
        <v>DC</v>
      </c>
      <c r="G1652" t="str">
        <f>Raw_Claims_Data!G1651</f>
        <v>A</v>
      </c>
      <c r="H1652" t="str">
        <f>Raw_Claims_Data!H1651</f>
        <v>Total Loss</v>
      </c>
      <c r="I1652" t="str">
        <f>IF(Raw_Claims_Data!I1651="","None",Raw_Claims_Data!I1651)</f>
        <v>Ambulance</v>
      </c>
      <c r="J1652" t="str">
        <f>Raw_Claims_Data!J1651</f>
        <v>Arvada</v>
      </c>
      <c r="K1652" t="str">
        <f>Raw_Claims_Data!K1651</f>
        <v>CO</v>
      </c>
      <c r="L1652">
        <f>Raw_Claims_Data!L1651</f>
        <v>17</v>
      </c>
      <c r="M1652" t="str">
        <f>IF(Raw_Claims_Data!M1651="","N/A",Raw_Claims_Data!M1651)</f>
        <v>N/A</v>
      </c>
      <c r="N1652" t="str">
        <f>Raw_Claims_Data!N1651</f>
        <v>AGENT00903</v>
      </c>
      <c r="O1652">
        <f>IF(Raw_Claims_Data!G1651="D",1,0)</f>
        <v>0</v>
      </c>
    </row>
    <row r="1653" spans="1:15" x14ac:dyDescent="0.35">
      <c r="A1653" t="str">
        <f>Raw_Claims_Data!A1652</f>
        <v>TXN00001649</v>
      </c>
      <c r="B1653" t="str">
        <f>TRIM(Raw_Claims_Data!B1652)</f>
        <v>Russell Hill</v>
      </c>
      <c r="C1653" t="str">
        <f>Raw_Claims_Data!C1652</f>
        <v>Motor</v>
      </c>
      <c r="D1653">
        <f>Raw_Claims_Data!D1652</f>
        <v>95.05</v>
      </c>
      <c r="E1653">
        <f>Raw_Claims_Data!E1652</f>
        <v>8000</v>
      </c>
      <c r="F1653" t="str">
        <f>Raw_Claims_Data!F1652</f>
        <v>CA</v>
      </c>
      <c r="G1653" t="str">
        <f>Raw_Claims_Data!G1652</f>
        <v>A</v>
      </c>
      <c r="H1653" t="str">
        <f>Raw_Claims_Data!H1652</f>
        <v>Major Loss</v>
      </c>
      <c r="I1653" t="str">
        <f>IF(Raw_Claims_Data!I1652="","None",Raw_Claims_Data!I1652)</f>
        <v>Ambulance</v>
      </c>
      <c r="J1653" t="str">
        <f>Raw_Claims_Data!J1652</f>
        <v>Washington</v>
      </c>
      <c r="K1653" t="str">
        <f>Raw_Claims_Data!K1652</f>
        <v>DC</v>
      </c>
      <c r="L1653">
        <f>Raw_Claims_Data!L1652</f>
        <v>6</v>
      </c>
      <c r="M1653" t="str">
        <f>IF(Raw_Claims_Data!M1652="","N/A",Raw_Claims_Data!M1652)</f>
        <v>VNDR00305</v>
      </c>
      <c r="N1653" t="str">
        <f>Raw_Claims_Data!N1652</f>
        <v>AGENT00455</v>
      </c>
      <c r="O1653">
        <f>IF(Raw_Claims_Data!G1652="D",1,0)</f>
        <v>0</v>
      </c>
    </row>
    <row r="1654" spans="1:15" x14ac:dyDescent="0.35">
      <c r="A1654" t="str">
        <f>Raw_Claims_Data!A1653</f>
        <v>TXN00001650</v>
      </c>
      <c r="B1654" t="str">
        <f>TRIM(Raw_Claims_Data!B1653)</f>
        <v>Jessica Greer</v>
      </c>
      <c r="C1654" t="str">
        <f>Raw_Claims_Data!C1653</f>
        <v>Health</v>
      </c>
      <c r="D1654">
        <f>Raw_Claims_Data!D1653</f>
        <v>158.78</v>
      </c>
      <c r="E1654">
        <f>Raw_Claims_Data!E1653</f>
        <v>20000</v>
      </c>
      <c r="F1654" t="str">
        <f>Raw_Claims_Data!F1653</f>
        <v>MA</v>
      </c>
      <c r="G1654" t="str">
        <f>Raw_Claims_Data!G1653</f>
        <v>A</v>
      </c>
      <c r="H1654" t="str">
        <f>Raw_Claims_Data!H1653</f>
        <v>Minor Loss</v>
      </c>
      <c r="I1654" t="str">
        <f>IF(Raw_Claims_Data!I1653="","None",Raw_Claims_Data!I1653)</f>
        <v>Ambulance</v>
      </c>
      <c r="J1654" t="str">
        <f>Raw_Claims_Data!J1653</f>
        <v>Savannah</v>
      </c>
      <c r="K1654" t="str">
        <f>Raw_Claims_Data!K1653</f>
        <v>GA</v>
      </c>
      <c r="L1654">
        <f>Raw_Claims_Data!L1653</f>
        <v>2</v>
      </c>
      <c r="M1654" t="str">
        <f>IF(Raw_Claims_Data!M1653="","N/A",Raw_Claims_Data!M1653)</f>
        <v>VNDR00395</v>
      </c>
      <c r="N1654" t="str">
        <f>Raw_Claims_Data!N1653</f>
        <v>AGENT00472</v>
      </c>
      <c r="O1654">
        <f>IF(Raw_Claims_Data!G1653="D",1,0)</f>
        <v>0</v>
      </c>
    </row>
    <row r="1655" spans="1:15" x14ac:dyDescent="0.35">
      <c r="A1655" t="str">
        <f>Raw_Claims_Data!A1654</f>
        <v>TXN00001651</v>
      </c>
      <c r="B1655" t="str">
        <f>TRIM(Raw_Claims_Data!B1654)</f>
        <v>Edna Armstrong</v>
      </c>
      <c r="C1655" t="str">
        <f>Raw_Claims_Data!C1654</f>
        <v>Health</v>
      </c>
      <c r="D1655">
        <f>Raw_Claims_Data!D1654</f>
        <v>169.27</v>
      </c>
      <c r="E1655">
        <f>Raw_Claims_Data!E1654</f>
        <v>18000</v>
      </c>
      <c r="F1655" t="str">
        <f>Raw_Claims_Data!F1654</f>
        <v>GA</v>
      </c>
      <c r="G1655" t="str">
        <f>Raw_Claims_Data!G1654</f>
        <v>A</v>
      </c>
      <c r="H1655" t="str">
        <f>Raw_Claims_Data!H1654</f>
        <v>Total Loss</v>
      </c>
      <c r="I1655" t="str">
        <f>IF(Raw_Claims_Data!I1654="","None",Raw_Claims_Data!I1654)</f>
        <v>Other</v>
      </c>
      <c r="J1655" t="str">
        <f>Raw_Claims_Data!J1654</f>
        <v>Glen Burnie</v>
      </c>
      <c r="K1655" t="str">
        <f>Raw_Claims_Data!K1654</f>
        <v>MD</v>
      </c>
      <c r="L1655">
        <f>Raw_Claims_Data!L1654</f>
        <v>18</v>
      </c>
      <c r="M1655" t="str">
        <f>IF(Raw_Claims_Data!M1654="","N/A",Raw_Claims_Data!M1654)</f>
        <v>VNDR00297</v>
      </c>
      <c r="N1655" t="str">
        <f>Raw_Claims_Data!N1654</f>
        <v>AGENT00916</v>
      </c>
      <c r="O1655">
        <f>IF(Raw_Claims_Data!G1654="D",1,0)</f>
        <v>0</v>
      </c>
    </row>
    <row r="1656" spans="1:15" x14ac:dyDescent="0.35">
      <c r="A1656" t="str">
        <f>Raw_Claims_Data!A1655</f>
        <v>TXN00001652</v>
      </c>
      <c r="B1656" t="str">
        <f>TRIM(Raw_Claims_Data!B1655)</f>
        <v>Maud Urrutia</v>
      </c>
      <c r="C1656" t="str">
        <f>Raw_Claims_Data!C1655</f>
        <v>Motor</v>
      </c>
      <c r="D1656">
        <f>Raw_Claims_Data!D1655</f>
        <v>95.82</v>
      </c>
      <c r="E1656">
        <f>Raw_Claims_Data!E1655</f>
        <v>1000</v>
      </c>
      <c r="F1656" t="str">
        <f>Raw_Claims_Data!F1655</f>
        <v>AR</v>
      </c>
      <c r="G1656" t="str">
        <f>Raw_Claims_Data!G1655</f>
        <v>A</v>
      </c>
      <c r="H1656" t="str">
        <f>Raw_Claims_Data!H1655</f>
        <v>Major Loss</v>
      </c>
      <c r="I1656" t="str">
        <f>IF(Raw_Claims_Data!I1655="","None",Raw_Claims_Data!I1655)</f>
        <v>Police</v>
      </c>
      <c r="J1656" t="str">
        <f>Raw_Claims_Data!J1655</f>
        <v>Ludlow</v>
      </c>
      <c r="K1656" t="str">
        <f>Raw_Claims_Data!K1655</f>
        <v>VT</v>
      </c>
      <c r="L1656">
        <f>Raw_Claims_Data!L1655</f>
        <v>9</v>
      </c>
      <c r="M1656" t="str">
        <f>IF(Raw_Claims_Data!M1655="","N/A",Raw_Claims_Data!M1655)</f>
        <v>N/A</v>
      </c>
      <c r="N1656" t="str">
        <f>Raw_Claims_Data!N1655</f>
        <v>AGENT00333</v>
      </c>
      <c r="O1656">
        <f>IF(Raw_Claims_Data!G1655="D",1,0)</f>
        <v>0</v>
      </c>
    </row>
    <row r="1657" spans="1:15" x14ac:dyDescent="0.35">
      <c r="A1657" t="str">
        <f>Raw_Claims_Data!A1656</f>
        <v>TXN00001653</v>
      </c>
      <c r="B1657" t="str">
        <f>TRIM(Raw_Claims_Data!B1656)</f>
        <v>Winnie Durant</v>
      </c>
      <c r="C1657" t="str">
        <f>Raw_Claims_Data!C1656</f>
        <v>Motor</v>
      </c>
      <c r="D1657">
        <f>Raw_Claims_Data!D1656</f>
        <v>72.56</v>
      </c>
      <c r="E1657">
        <f>Raw_Claims_Data!E1656</f>
        <v>5000</v>
      </c>
      <c r="F1657" t="str">
        <f>Raw_Claims_Data!F1656</f>
        <v>KY</v>
      </c>
      <c r="G1657" t="str">
        <f>Raw_Claims_Data!G1656</f>
        <v>D</v>
      </c>
      <c r="H1657" t="str">
        <f>Raw_Claims_Data!H1656</f>
        <v>Major Loss</v>
      </c>
      <c r="I1657" t="str">
        <f>IF(Raw_Claims_Data!I1656="","None",Raw_Claims_Data!I1656)</f>
        <v>Police</v>
      </c>
      <c r="J1657" t="str">
        <f>Raw_Claims_Data!J1656</f>
        <v>Chico</v>
      </c>
      <c r="K1657" t="str">
        <f>Raw_Claims_Data!K1656</f>
        <v>CA</v>
      </c>
      <c r="L1657">
        <f>Raw_Claims_Data!L1656</f>
        <v>14</v>
      </c>
      <c r="M1657" t="str">
        <f>IF(Raw_Claims_Data!M1656="","N/A",Raw_Claims_Data!M1656)</f>
        <v>VNDR00064</v>
      </c>
      <c r="N1657" t="str">
        <f>Raw_Claims_Data!N1656</f>
        <v>AGENT00705</v>
      </c>
      <c r="O1657">
        <f>IF(Raw_Claims_Data!G1656="D",1,0)</f>
        <v>1</v>
      </c>
    </row>
    <row r="1658" spans="1:15" x14ac:dyDescent="0.35">
      <c r="A1658" t="str">
        <f>Raw_Claims_Data!A1657</f>
        <v>TXN00001654</v>
      </c>
      <c r="B1658" t="str">
        <f>TRIM(Raw_Claims_Data!B1657)</f>
        <v>Harley Smith</v>
      </c>
      <c r="C1658" t="str">
        <f>Raw_Claims_Data!C1657</f>
        <v>Life</v>
      </c>
      <c r="D1658">
        <f>Raw_Claims_Data!D1657</f>
        <v>76.92</v>
      </c>
      <c r="E1658">
        <f>Raw_Claims_Data!E1657</f>
        <v>42000</v>
      </c>
      <c r="F1658" t="str">
        <f>Raw_Claims_Data!F1657</f>
        <v>AL</v>
      </c>
      <c r="G1658" t="str">
        <f>Raw_Claims_Data!G1657</f>
        <v>A</v>
      </c>
      <c r="H1658" t="str">
        <f>Raw_Claims_Data!H1657</f>
        <v>Minor Loss</v>
      </c>
      <c r="I1658" t="str">
        <f>IF(Raw_Claims_Data!I1657="","None",Raw_Claims_Data!I1657)</f>
        <v>Ambulance</v>
      </c>
      <c r="J1658" t="str">
        <f>Raw_Claims_Data!J1657</f>
        <v>Arvada</v>
      </c>
      <c r="K1658" t="str">
        <f>Raw_Claims_Data!K1657</f>
        <v>CO</v>
      </c>
      <c r="L1658">
        <f>Raw_Claims_Data!L1657</f>
        <v>13</v>
      </c>
      <c r="M1658" t="str">
        <f>IF(Raw_Claims_Data!M1657="","N/A",Raw_Claims_Data!M1657)</f>
        <v>VNDR00398</v>
      </c>
      <c r="N1658" t="str">
        <f>Raw_Claims_Data!N1657</f>
        <v>AGENT00602</v>
      </c>
      <c r="O1658">
        <f>IF(Raw_Claims_Data!G1657="D",1,0)</f>
        <v>0</v>
      </c>
    </row>
    <row r="1659" spans="1:15" x14ac:dyDescent="0.35">
      <c r="A1659" t="str">
        <f>Raw_Claims_Data!A1658</f>
        <v>TXN00001655</v>
      </c>
      <c r="B1659" t="str">
        <f>TRIM(Raw_Claims_Data!B1658)</f>
        <v>Barbara Withers</v>
      </c>
      <c r="C1659" t="str">
        <f>Raw_Claims_Data!C1658</f>
        <v>Property</v>
      </c>
      <c r="D1659">
        <f>Raw_Claims_Data!D1658</f>
        <v>142.16999999999999</v>
      </c>
      <c r="E1659">
        <f>Raw_Claims_Data!E1658</f>
        <v>18000</v>
      </c>
      <c r="F1659" t="str">
        <f>Raw_Claims_Data!F1658</f>
        <v>GA</v>
      </c>
      <c r="G1659" t="str">
        <f>Raw_Claims_Data!G1658</f>
        <v>A</v>
      </c>
      <c r="H1659" t="str">
        <f>Raw_Claims_Data!H1658</f>
        <v>Total Loss</v>
      </c>
      <c r="I1659" t="str">
        <f>IF(Raw_Claims_Data!I1658="","None",Raw_Claims_Data!I1658)</f>
        <v>Ambulance</v>
      </c>
      <c r="J1659" t="str">
        <f>Raw_Claims_Data!J1658</f>
        <v>Nashville</v>
      </c>
      <c r="K1659" t="str">
        <f>Raw_Claims_Data!K1658</f>
        <v>TN</v>
      </c>
      <c r="L1659">
        <f>Raw_Claims_Data!L1658</f>
        <v>8</v>
      </c>
      <c r="M1659" t="str">
        <f>IF(Raw_Claims_Data!M1658="","N/A",Raw_Claims_Data!M1658)</f>
        <v>VNDR00313</v>
      </c>
      <c r="N1659" t="str">
        <f>Raw_Claims_Data!N1658</f>
        <v>AGENT01197</v>
      </c>
      <c r="O1659">
        <f>IF(Raw_Claims_Data!G1658="D",1,0)</f>
        <v>0</v>
      </c>
    </row>
    <row r="1660" spans="1:15" x14ac:dyDescent="0.35">
      <c r="A1660" t="str">
        <f>Raw_Claims_Data!A1659</f>
        <v>TXN00001656</v>
      </c>
      <c r="B1660" t="str">
        <f>TRIM(Raw_Claims_Data!B1659)</f>
        <v>Priscilla Wright</v>
      </c>
      <c r="C1660" t="str">
        <f>Raw_Claims_Data!C1659</f>
        <v>Property</v>
      </c>
      <c r="D1660">
        <f>Raw_Claims_Data!D1659</f>
        <v>103.84</v>
      </c>
      <c r="E1660">
        <f>Raw_Claims_Data!E1659</f>
        <v>18000</v>
      </c>
      <c r="F1660" t="str">
        <f>Raw_Claims_Data!F1659</f>
        <v>CT</v>
      </c>
      <c r="G1660" t="str">
        <f>Raw_Claims_Data!G1659</f>
        <v>D</v>
      </c>
      <c r="H1660" t="str">
        <f>Raw_Claims_Data!H1659</f>
        <v>Major Loss</v>
      </c>
      <c r="I1660" t="str">
        <f>IF(Raw_Claims_Data!I1659="","None",Raw_Claims_Data!I1659)</f>
        <v>Other</v>
      </c>
      <c r="J1660" t="str">
        <f>Raw_Claims_Data!J1659</f>
        <v>Fayetteville</v>
      </c>
      <c r="K1660" t="str">
        <f>Raw_Claims_Data!K1659</f>
        <v>AR</v>
      </c>
      <c r="L1660">
        <f>Raw_Claims_Data!L1659</f>
        <v>21</v>
      </c>
      <c r="M1660" t="str">
        <f>IF(Raw_Claims_Data!M1659="","N/A",Raw_Claims_Data!M1659)</f>
        <v>VNDR00037</v>
      </c>
      <c r="N1660" t="str">
        <f>Raw_Claims_Data!N1659</f>
        <v>AGENT01013</v>
      </c>
      <c r="O1660">
        <f>IF(Raw_Claims_Data!G1659="D",1,0)</f>
        <v>1</v>
      </c>
    </row>
    <row r="1661" spans="1:15" x14ac:dyDescent="0.35">
      <c r="A1661" t="str">
        <f>Raw_Claims_Data!A1660</f>
        <v>TXN00001657</v>
      </c>
      <c r="B1661" t="str">
        <f>TRIM(Raw_Claims_Data!B1660)</f>
        <v>Everett Hall</v>
      </c>
      <c r="C1661" t="str">
        <f>Raw_Claims_Data!C1660</f>
        <v>Mobile</v>
      </c>
      <c r="D1661">
        <f>Raw_Claims_Data!D1660</f>
        <v>8.1999999999999993</v>
      </c>
      <c r="E1661">
        <f>Raw_Claims_Data!E1660</f>
        <v>500</v>
      </c>
      <c r="F1661" t="str">
        <f>Raw_Claims_Data!F1660</f>
        <v>GA</v>
      </c>
      <c r="G1661" t="str">
        <f>Raw_Claims_Data!G1660</f>
        <v>A</v>
      </c>
      <c r="H1661" t="str">
        <f>Raw_Claims_Data!H1660</f>
        <v>Minor Loss</v>
      </c>
      <c r="I1661" t="str">
        <f>IF(Raw_Claims_Data!I1660="","None",Raw_Claims_Data!I1660)</f>
        <v>Ambulance</v>
      </c>
      <c r="J1661" t="str">
        <f>Raw_Claims_Data!J1660</f>
        <v>Severn</v>
      </c>
      <c r="K1661" t="str">
        <f>Raw_Claims_Data!K1660</f>
        <v>MD</v>
      </c>
      <c r="L1661">
        <f>Raw_Claims_Data!L1660</f>
        <v>18</v>
      </c>
      <c r="M1661" t="str">
        <f>IF(Raw_Claims_Data!M1660="","N/A",Raw_Claims_Data!M1660)</f>
        <v>VNDR00018</v>
      </c>
      <c r="N1661" t="str">
        <f>Raw_Claims_Data!N1660</f>
        <v>AGENT00182</v>
      </c>
      <c r="O1661">
        <f>IF(Raw_Claims_Data!G1660="D",1,0)</f>
        <v>0</v>
      </c>
    </row>
    <row r="1662" spans="1:15" x14ac:dyDescent="0.35">
      <c r="A1662" t="str">
        <f>Raw_Claims_Data!A1661</f>
        <v>TXN00001658</v>
      </c>
      <c r="B1662" t="str">
        <f>TRIM(Raw_Claims_Data!B1661)</f>
        <v>Joseph Brandenburg</v>
      </c>
      <c r="C1662" t="str">
        <f>Raw_Claims_Data!C1661</f>
        <v>Health</v>
      </c>
      <c r="D1662">
        <f>Raw_Claims_Data!D1661</f>
        <v>178.93</v>
      </c>
      <c r="E1662">
        <f>Raw_Claims_Data!E1661</f>
        <v>7000</v>
      </c>
      <c r="F1662" t="str">
        <f>Raw_Claims_Data!F1661</f>
        <v>CA</v>
      </c>
      <c r="G1662" t="str">
        <f>Raw_Claims_Data!G1661</f>
        <v>A</v>
      </c>
      <c r="H1662" t="str">
        <f>Raw_Claims_Data!H1661</f>
        <v>Total Loss</v>
      </c>
      <c r="I1662" t="str">
        <f>IF(Raw_Claims_Data!I1661="","None",Raw_Claims_Data!I1661)</f>
        <v>Ambulance</v>
      </c>
      <c r="J1662" t="str">
        <f>Raw_Claims_Data!J1661</f>
        <v>Glendale</v>
      </c>
      <c r="K1662" t="str">
        <f>Raw_Claims_Data!K1661</f>
        <v>AZ</v>
      </c>
      <c r="L1662">
        <f>Raw_Claims_Data!L1661</f>
        <v>23</v>
      </c>
      <c r="M1662" t="str">
        <f>IF(Raw_Claims_Data!M1661="","N/A",Raw_Claims_Data!M1661)</f>
        <v>VNDR00373</v>
      </c>
      <c r="N1662" t="str">
        <f>Raw_Claims_Data!N1661</f>
        <v>AGENT00815</v>
      </c>
      <c r="O1662">
        <f>IF(Raw_Claims_Data!G1661="D",1,0)</f>
        <v>0</v>
      </c>
    </row>
    <row r="1663" spans="1:15" x14ac:dyDescent="0.35">
      <c r="A1663" t="str">
        <f>Raw_Claims_Data!A1662</f>
        <v>TXN00001659</v>
      </c>
      <c r="B1663" t="str">
        <f>TRIM(Raw_Claims_Data!B1662)</f>
        <v>Ashley George</v>
      </c>
      <c r="C1663" t="str">
        <f>Raw_Claims_Data!C1662</f>
        <v>Health</v>
      </c>
      <c r="D1663">
        <f>Raw_Claims_Data!D1662</f>
        <v>197.86</v>
      </c>
      <c r="E1663">
        <f>Raw_Claims_Data!E1662</f>
        <v>14000</v>
      </c>
      <c r="F1663" t="str">
        <f>Raw_Claims_Data!F1662</f>
        <v>TN</v>
      </c>
      <c r="G1663" t="str">
        <f>Raw_Claims_Data!G1662</f>
        <v>A</v>
      </c>
      <c r="H1663" t="str">
        <f>Raw_Claims_Data!H1662</f>
        <v>Minor Loss</v>
      </c>
      <c r="I1663" t="str">
        <f>IF(Raw_Claims_Data!I1662="","None",Raw_Claims_Data!I1662)</f>
        <v>Police</v>
      </c>
      <c r="J1663" t="str">
        <f>Raw_Claims_Data!J1662</f>
        <v>Nashville</v>
      </c>
      <c r="K1663" t="str">
        <f>Raw_Claims_Data!K1662</f>
        <v>TN</v>
      </c>
      <c r="L1663">
        <f>Raw_Claims_Data!L1662</f>
        <v>2</v>
      </c>
      <c r="M1663" t="str">
        <f>IF(Raw_Claims_Data!M1662="","N/A",Raw_Claims_Data!M1662)</f>
        <v>VNDR00222</v>
      </c>
      <c r="N1663" t="str">
        <f>Raw_Claims_Data!N1662</f>
        <v>AGENT01039</v>
      </c>
      <c r="O1663">
        <f>IF(Raw_Claims_Data!G1662="D",1,0)</f>
        <v>0</v>
      </c>
    </row>
    <row r="1664" spans="1:15" x14ac:dyDescent="0.35">
      <c r="A1664" t="str">
        <f>Raw_Claims_Data!A1663</f>
        <v>TXN00001660</v>
      </c>
      <c r="B1664" t="str">
        <f>TRIM(Raw_Claims_Data!B1663)</f>
        <v>Gordon Blankenship</v>
      </c>
      <c r="C1664" t="str">
        <f>Raw_Claims_Data!C1663</f>
        <v>Health</v>
      </c>
      <c r="D1664">
        <f>Raw_Claims_Data!D1663</f>
        <v>191.68</v>
      </c>
      <c r="E1664">
        <f>Raw_Claims_Data!E1663</f>
        <v>5000</v>
      </c>
      <c r="F1664" t="str">
        <f>Raw_Claims_Data!F1663</f>
        <v>DC</v>
      </c>
      <c r="G1664" t="str">
        <f>Raw_Claims_Data!G1663</f>
        <v>A</v>
      </c>
      <c r="H1664" t="str">
        <f>Raw_Claims_Data!H1663</f>
        <v>Major Loss</v>
      </c>
      <c r="I1664" t="str">
        <f>IF(Raw_Claims_Data!I1663="","None",Raw_Claims_Data!I1663)</f>
        <v>Other</v>
      </c>
      <c r="J1664" t="str">
        <f>Raw_Claims_Data!J1663</f>
        <v>Manchester</v>
      </c>
      <c r="K1664" t="str">
        <f>Raw_Claims_Data!K1663</f>
        <v>CT</v>
      </c>
      <c r="L1664">
        <f>Raw_Claims_Data!L1663</f>
        <v>15</v>
      </c>
      <c r="M1664" t="str">
        <f>IF(Raw_Claims_Data!M1663="","N/A",Raw_Claims_Data!M1663)</f>
        <v>N/A</v>
      </c>
      <c r="N1664" t="str">
        <f>Raw_Claims_Data!N1663</f>
        <v>AGENT00706</v>
      </c>
      <c r="O1664">
        <f>IF(Raw_Claims_Data!G1663="D",1,0)</f>
        <v>0</v>
      </c>
    </row>
    <row r="1665" spans="1:15" x14ac:dyDescent="0.35">
      <c r="A1665" t="str">
        <f>Raw_Claims_Data!A1664</f>
        <v>TXN00001661</v>
      </c>
      <c r="B1665" t="str">
        <f>TRIM(Raw_Claims_Data!B1664)</f>
        <v>Thomas Gaines</v>
      </c>
      <c r="C1665" t="str">
        <f>Raw_Claims_Data!C1664</f>
        <v>Life</v>
      </c>
      <c r="D1665">
        <f>Raw_Claims_Data!D1664</f>
        <v>62.43</v>
      </c>
      <c r="E1665">
        <f>Raw_Claims_Data!E1664</f>
        <v>67000</v>
      </c>
      <c r="F1665" t="str">
        <f>Raw_Claims_Data!F1664</f>
        <v>AK</v>
      </c>
      <c r="G1665" t="str">
        <f>Raw_Claims_Data!G1664</f>
        <v>A</v>
      </c>
      <c r="H1665" t="str">
        <f>Raw_Claims_Data!H1664</f>
        <v>Total Loss</v>
      </c>
      <c r="I1665" t="str">
        <f>IF(Raw_Claims_Data!I1664="","None",Raw_Claims_Data!I1664)</f>
        <v>Police</v>
      </c>
      <c r="J1665" t="str">
        <f>Raw_Claims_Data!J1664</f>
        <v>Savannah</v>
      </c>
      <c r="K1665" t="str">
        <f>Raw_Claims_Data!K1664</f>
        <v>GA</v>
      </c>
      <c r="L1665">
        <f>Raw_Claims_Data!L1664</f>
        <v>11</v>
      </c>
      <c r="M1665" t="str">
        <f>IF(Raw_Claims_Data!M1664="","N/A",Raw_Claims_Data!M1664)</f>
        <v>VNDR00037</v>
      </c>
      <c r="N1665" t="str">
        <f>Raw_Claims_Data!N1664</f>
        <v>AGENT00211</v>
      </c>
      <c r="O1665">
        <f>IF(Raw_Claims_Data!G1664="D",1,0)</f>
        <v>0</v>
      </c>
    </row>
    <row r="1666" spans="1:15" x14ac:dyDescent="0.35">
      <c r="A1666" t="str">
        <f>Raw_Claims_Data!A1665</f>
        <v>TXN00001662</v>
      </c>
      <c r="B1666" t="str">
        <f>TRIM(Raw_Claims_Data!B1665)</f>
        <v>Marilyn Bullinger</v>
      </c>
      <c r="C1666" t="str">
        <f>Raw_Claims_Data!C1665</f>
        <v>Life</v>
      </c>
      <c r="D1666">
        <f>Raw_Claims_Data!D1665</f>
        <v>93.49</v>
      </c>
      <c r="E1666">
        <f>Raw_Claims_Data!E1665</f>
        <v>25000</v>
      </c>
      <c r="F1666" t="str">
        <f>Raw_Claims_Data!F1665</f>
        <v>VT</v>
      </c>
      <c r="G1666" t="str">
        <f>Raw_Claims_Data!G1665</f>
        <v>A</v>
      </c>
      <c r="H1666" t="str">
        <f>Raw_Claims_Data!H1665</f>
        <v>Minor Loss</v>
      </c>
      <c r="I1666" t="str">
        <f>IF(Raw_Claims_Data!I1665="","None",Raw_Claims_Data!I1665)</f>
        <v>Ambulance</v>
      </c>
      <c r="J1666" t="str">
        <f>Raw_Claims_Data!J1665</f>
        <v>Oakland</v>
      </c>
      <c r="K1666" t="str">
        <f>Raw_Claims_Data!K1665</f>
        <v>CA</v>
      </c>
      <c r="L1666">
        <f>Raw_Claims_Data!L1665</f>
        <v>21</v>
      </c>
      <c r="M1666" t="str">
        <f>IF(Raw_Claims_Data!M1665="","N/A",Raw_Claims_Data!M1665)</f>
        <v>N/A</v>
      </c>
      <c r="N1666" t="str">
        <f>Raw_Claims_Data!N1665</f>
        <v>AGENT00766</v>
      </c>
      <c r="O1666">
        <f>IF(Raw_Claims_Data!G1665="D",1,0)</f>
        <v>0</v>
      </c>
    </row>
    <row r="1667" spans="1:15" x14ac:dyDescent="0.35">
      <c r="A1667" t="str">
        <f>Raw_Claims_Data!A1666</f>
        <v>TXN00001663</v>
      </c>
      <c r="B1667" t="str">
        <f>TRIM(Raw_Claims_Data!B1666)</f>
        <v>Albert Matthes</v>
      </c>
      <c r="C1667" t="str">
        <f>Raw_Claims_Data!C1666</f>
        <v>Mobile</v>
      </c>
      <c r="D1667">
        <f>Raw_Claims_Data!D1666</f>
        <v>10.08</v>
      </c>
      <c r="E1667">
        <f>Raw_Claims_Data!E1666</f>
        <v>600</v>
      </c>
      <c r="F1667" t="str">
        <f>Raw_Claims_Data!F1666</f>
        <v>CO</v>
      </c>
      <c r="G1667" t="str">
        <f>Raw_Claims_Data!G1666</f>
        <v>A</v>
      </c>
      <c r="H1667" t="str">
        <f>Raw_Claims_Data!H1666</f>
        <v>Minor Loss</v>
      </c>
      <c r="I1667" t="str">
        <f>IF(Raw_Claims_Data!I1666="","None",Raw_Claims_Data!I1666)</f>
        <v>Police</v>
      </c>
      <c r="J1667" t="str">
        <f>Raw_Claims_Data!J1666</f>
        <v>Alameda</v>
      </c>
      <c r="K1667" t="str">
        <f>Raw_Claims_Data!K1666</f>
        <v>CA</v>
      </c>
      <c r="L1667">
        <f>Raw_Claims_Data!L1666</f>
        <v>19</v>
      </c>
      <c r="M1667" t="str">
        <f>IF(Raw_Claims_Data!M1666="","N/A",Raw_Claims_Data!M1666)</f>
        <v>VNDR00252</v>
      </c>
      <c r="N1667" t="str">
        <f>Raw_Claims_Data!N1666</f>
        <v>AGENT01147</v>
      </c>
      <c r="O1667">
        <f>IF(Raw_Claims_Data!G1666="D",1,0)</f>
        <v>0</v>
      </c>
    </row>
    <row r="1668" spans="1:15" x14ac:dyDescent="0.35">
      <c r="A1668" t="str">
        <f>Raw_Claims_Data!A1667</f>
        <v>TXN00001664</v>
      </c>
      <c r="B1668" t="str">
        <f>TRIM(Raw_Claims_Data!B1667)</f>
        <v>Dorothy Garcia</v>
      </c>
      <c r="C1668" t="str">
        <f>Raw_Claims_Data!C1667</f>
        <v>Mobile</v>
      </c>
      <c r="D1668">
        <f>Raw_Claims_Data!D1667</f>
        <v>11.06</v>
      </c>
      <c r="E1668">
        <f>Raw_Claims_Data!E1667</f>
        <v>400</v>
      </c>
      <c r="F1668" t="str">
        <f>Raw_Claims_Data!F1667</f>
        <v>CO</v>
      </c>
      <c r="G1668" t="str">
        <f>Raw_Claims_Data!G1667</f>
        <v>A</v>
      </c>
      <c r="H1668" t="str">
        <f>Raw_Claims_Data!H1667</f>
        <v>Minor Loss</v>
      </c>
      <c r="I1668" t="str">
        <f>IF(Raw_Claims_Data!I1667="","None",Raw_Claims_Data!I1667)</f>
        <v>Police</v>
      </c>
      <c r="J1668" t="str">
        <f>Raw_Claims_Data!J1667</f>
        <v>Annapolis</v>
      </c>
      <c r="K1668" t="str">
        <f>Raw_Claims_Data!K1667</f>
        <v>MD</v>
      </c>
      <c r="L1668">
        <f>Raw_Claims_Data!L1667</f>
        <v>9</v>
      </c>
      <c r="M1668" t="str">
        <f>IF(Raw_Claims_Data!M1667="","N/A",Raw_Claims_Data!M1667)</f>
        <v>VNDR00125</v>
      </c>
      <c r="N1668" t="str">
        <f>Raw_Claims_Data!N1667</f>
        <v>AGENT00685</v>
      </c>
      <c r="O1668">
        <f>IF(Raw_Claims_Data!G1667="D",1,0)</f>
        <v>0</v>
      </c>
    </row>
    <row r="1669" spans="1:15" x14ac:dyDescent="0.35">
      <c r="A1669" t="str">
        <f>Raw_Claims_Data!A1668</f>
        <v>TXN00001665</v>
      </c>
      <c r="B1669" t="str">
        <f>TRIM(Raw_Claims_Data!B1668)</f>
        <v>Leona Nixon</v>
      </c>
      <c r="C1669" t="str">
        <f>Raw_Claims_Data!C1668</f>
        <v>Mobile</v>
      </c>
      <c r="D1669">
        <f>Raw_Claims_Data!D1668</f>
        <v>8.17</v>
      </c>
      <c r="E1669">
        <f>Raw_Claims_Data!E1668</f>
        <v>300</v>
      </c>
      <c r="F1669" t="str">
        <f>Raw_Claims_Data!F1668</f>
        <v>VT</v>
      </c>
      <c r="G1669" t="str">
        <f>Raw_Claims_Data!G1668</f>
        <v>A</v>
      </c>
      <c r="H1669" t="str">
        <f>Raw_Claims_Data!H1668</f>
        <v>Total Loss</v>
      </c>
      <c r="I1669" t="str">
        <f>IF(Raw_Claims_Data!I1668="","None",Raw_Claims_Data!I1668)</f>
        <v>None</v>
      </c>
      <c r="J1669" t="str">
        <f>Raw_Claims_Data!J1668</f>
        <v>Washington</v>
      </c>
      <c r="K1669" t="str">
        <f>Raw_Claims_Data!K1668</f>
        <v>DC</v>
      </c>
      <c r="L1669">
        <f>Raw_Claims_Data!L1668</f>
        <v>23</v>
      </c>
      <c r="M1669" t="str">
        <f>IF(Raw_Claims_Data!M1668="","N/A",Raw_Claims_Data!M1668)</f>
        <v>VNDR00449</v>
      </c>
      <c r="N1669" t="str">
        <f>Raw_Claims_Data!N1668</f>
        <v>AGENT00563</v>
      </c>
      <c r="O1669">
        <f>IF(Raw_Claims_Data!G1668="D",1,0)</f>
        <v>0</v>
      </c>
    </row>
    <row r="1670" spans="1:15" x14ac:dyDescent="0.35">
      <c r="A1670" t="str">
        <f>Raw_Claims_Data!A1669</f>
        <v>TXN00001666</v>
      </c>
      <c r="B1670" t="str">
        <f>TRIM(Raw_Claims_Data!B1669)</f>
        <v>Palmer Miller</v>
      </c>
      <c r="C1670" t="str">
        <f>Raw_Claims_Data!C1669</f>
        <v>Life</v>
      </c>
      <c r="D1670">
        <f>Raw_Claims_Data!D1669</f>
        <v>64.5</v>
      </c>
      <c r="E1670">
        <f>Raw_Claims_Data!E1669</f>
        <v>46000</v>
      </c>
      <c r="F1670" t="str">
        <f>Raw_Claims_Data!F1669</f>
        <v>DC</v>
      </c>
      <c r="G1670" t="str">
        <f>Raw_Claims_Data!G1669</f>
        <v>A</v>
      </c>
      <c r="H1670" t="str">
        <f>Raw_Claims_Data!H1669</f>
        <v>Minor Loss</v>
      </c>
      <c r="I1670" t="str">
        <f>IF(Raw_Claims_Data!I1669="","None",Raw_Claims_Data!I1669)</f>
        <v>Ambulance</v>
      </c>
      <c r="J1670" t="str">
        <f>Raw_Claims_Data!J1669</f>
        <v>Crofton</v>
      </c>
      <c r="K1670" t="str">
        <f>Raw_Claims_Data!K1669</f>
        <v>MD</v>
      </c>
      <c r="L1670">
        <f>Raw_Claims_Data!L1669</f>
        <v>7</v>
      </c>
      <c r="M1670" t="str">
        <f>IF(Raw_Claims_Data!M1669="","N/A",Raw_Claims_Data!M1669)</f>
        <v>VNDR00317</v>
      </c>
      <c r="N1670" t="str">
        <f>Raw_Claims_Data!N1669</f>
        <v>AGENT01114</v>
      </c>
      <c r="O1670">
        <f>IF(Raw_Claims_Data!G1669="D",1,0)</f>
        <v>0</v>
      </c>
    </row>
    <row r="1671" spans="1:15" x14ac:dyDescent="0.35">
      <c r="A1671" t="str">
        <f>Raw_Claims_Data!A1670</f>
        <v>TXN00001667</v>
      </c>
      <c r="B1671" t="str">
        <f>TRIM(Raw_Claims_Data!B1670)</f>
        <v>Josephine Pyle</v>
      </c>
      <c r="C1671" t="str">
        <f>Raw_Claims_Data!C1670</f>
        <v>Property</v>
      </c>
      <c r="D1671">
        <f>Raw_Claims_Data!D1670</f>
        <v>132.66</v>
      </c>
      <c r="E1671">
        <f>Raw_Claims_Data!E1670</f>
        <v>25000</v>
      </c>
      <c r="F1671" t="str">
        <f>Raw_Claims_Data!F1670</f>
        <v>AR</v>
      </c>
      <c r="G1671" t="str">
        <f>Raw_Claims_Data!G1670</f>
        <v>A</v>
      </c>
      <c r="H1671" t="str">
        <f>Raw_Claims_Data!H1670</f>
        <v>Major Loss</v>
      </c>
      <c r="I1671" t="str">
        <f>IF(Raw_Claims_Data!I1670="","None",Raw_Claims_Data!I1670)</f>
        <v>None</v>
      </c>
      <c r="J1671" t="str">
        <f>Raw_Claims_Data!J1670</f>
        <v>Wheelock</v>
      </c>
      <c r="K1671" t="str">
        <f>Raw_Claims_Data!K1670</f>
        <v>VT</v>
      </c>
      <c r="L1671">
        <f>Raw_Claims_Data!L1670</f>
        <v>3</v>
      </c>
      <c r="M1671" t="str">
        <f>IF(Raw_Claims_Data!M1670="","N/A",Raw_Claims_Data!M1670)</f>
        <v>VNDR00251</v>
      </c>
      <c r="N1671" t="str">
        <f>Raw_Claims_Data!N1670</f>
        <v>AGENT00284</v>
      </c>
      <c r="O1671">
        <f>IF(Raw_Claims_Data!G1670="D",1,0)</f>
        <v>0</v>
      </c>
    </row>
    <row r="1672" spans="1:15" x14ac:dyDescent="0.35">
      <c r="A1672" t="str">
        <f>Raw_Claims_Data!A1671</f>
        <v>TXN00001668</v>
      </c>
      <c r="B1672" t="str">
        <f>TRIM(Raw_Claims_Data!B1671)</f>
        <v>Tanesha Dickinson</v>
      </c>
      <c r="C1672" t="str">
        <f>Raw_Claims_Data!C1671</f>
        <v>Life</v>
      </c>
      <c r="D1672">
        <f>Raw_Claims_Data!D1671</f>
        <v>75.900000000000006</v>
      </c>
      <c r="E1672">
        <f>Raw_Claims_Data!E1671</f>
        <v>34000</v>
      </c>
      <c r="F1672" t="str">
        <f>Raw_Claims_Data!F1671</f>
        <v>AR</v>
      </c>
      <c r="G1672" t="str">
        <f>Raw_Claims_Data!G1671</f>
        <v>A</v>
      </c>
      <c r="H1672" t="str">
        <f>Raw_Claims_Data!H1671</f>
        <v>Major Loss</v>
      </c>
      <c r="I1672" t="str">
        <f>IF(Raw_Claims_Data!I1671="","None",Raw_Claims_Data!I1671)</f>
        <v>Ambulance</v>
      </c>
      <c r="J1672" t="str">
        <f>Raw_Claims_Data!J1671</f>
        <v>Edgewater</v>
      </c>
      <c r="K1672" t="str">
        <f>Raw_Claims_Data!K1671</f>
        <v>MD</v>
      </c>
      <c r="L1672">
        <f>Raw_Claims_Data!L1671</f>
        <v>10</v>
      </c>
      <c r="M1672" t="str">
        <f>IF(Raw_Claims_Data!M1671="","N/A",Raw_Claims_Data!M1671)</f>
        <v>VNDR00425</v>
      </c>
      <c r="N1672" t="str">
        <f>Raw_Claims_Data!N1671</f>
        <v>AGENT00825</v>
      </c>
      <c r="O1672">
        <f>IF(Raw_Claims_Data!G1671="D",1,0)</f>
        <v>0</v>
      </c>
    </row>
    <row r="1673" spans="1:15" x14ac:dyDescent="0.35">
      <c r="A1673" t="str">
        <f>Raw_Claims_Data!A1672</f>
        <v>TXN00001669</v>
      </c>
      <c r="B1673" t="str">
        <f>TRIM(Raw_Claims_Data!B1672)</f>
        <v>Mildred Sparks</v>
      </c>
      <c r="C1673" t="str">
        <f>Raw_Claims_Data!C1672</f>
        <v>Property</v>
      </c>
      <c r="D1673">
        <f>Raw_Claims_Data!D1672</f>
        <v>82.63</v>
      </c>
      <c r="E1673">
        <f>Raw_Claims_Data!E1672</f>
        <v>26000</v>
      </c>
      <c r="F1673" t="str">
        <f>Raw_Claims_Data!F1672</f>
        <v>TN</v>
      </c>
      <c r="G1673" t="str">
        <f>Raw_Claims_Data!G1672</f>
        <v>A</v>
      </c>
      <c r="H1673" t="str">
        <f>Raw_Claims_Data!H1672</f>
        <v>Minor Loss</v>
      </c>
      <c r="I1673" t="str">
        <f>IF(Raw_Claims_Data!I1672="","None",Raw_Claims_Data!I1672)</f>
        <v>Police</v>
      </c>
      <c r="J1673" t="str">
        <f>Raw_Claims_Data!J1672</f>
        <v>Oklahoma City</v>
      </c>
      <c r="K1673" t="str">
        <f>Raw_Claims_Data!K1672</f>
        <v>OK</v>
      </c>
      <c r="L1673">
        <f>Raw_Claims_Data!L1672</f>
        <v>18</v>
      </c>
      <c r="M1673" t="str">
        <f>IF(Raw_Claims_Data!M1672="","N/A",Raw_Claims_Data!M1672)</f>
        <v>VNDR00488</v>
      </c>
      <c r="N1673" t="str">
        <f>Raw_Claims_Data!N1672</f>
        <v>AGENT01091</v>
      </c>
      <c r="O1673">
        <f>IF(Raw_Claims_Data!G1672="D",1,0)</f>
        <v>0</v>
      </c>
    </row>
    <row r="1674" spans="1:15" x14ac:dyDescent="0.35">
      <c r="A1674" t="str">
        <f>Raw_Claims_Data!A1673</f>
        <v>TXN00001670</v>
      </c>
      <c r="B1674" t="str">
        <f>TRIM(Raw_Claims_Data!B1673)</f>
        <v>Joseph Wong</v>
      </c>
      <c r="C1674" t="str">
        <f>Raw_Claims_Data!C1673</f>
        <v>Mobile</v>
      </c>
      <c r="D1674">
        <f>Raw_Claims_Data!D1673</f>
        <v>8.1199999999999992</v>
      </c>
      <c r="E1674">
        <f>Raw_Claims_Data!E1673</f>
        <v>400</v>
      </c>
      <c r="F1674" t="str">
        <f>Raw_Claims_Data!F1673</f>
        <v>CA</v>
      </c>
      <c r="G1674" t="str">
        <f>Raw_Claims_Data!G1673</f>
        <v>A</v>
      </c>
      <c r="H1674" t="str">
        <f>Raw_Claims_Data!H1673</f>
        <v>Major Loss</v>
      </c>
      <c r="I1674" t="str">
        <f>IF(Raw_Claims_Data!I1673="","None",Raw_Claims_Data!I1673)</f>
        <v>Police</v>
      </c>
      <c r="J1674" t="str">
        <f>Raw_Claims_Data!J1673</f>
        <v>Montgomery</v>
      </c>
      <c r="K1674" t="str">
        <f>Raw_Claims_Data!K1673</f>
        <v>AL</v>
      </c>
      <c r="L1674">
        <f>Raw_Claims_Data!L1673</f>
        <v>9</v>
      </c>
      <c r="M1674" t="str">
        <f>IF(Raw_Claims_Data!M1673="","N/A",Raw_Claims_Data!M1673)</f>
        <v>VNDR00310</v>
      </c>
      <c r="N1674" t="str">
        <f>Raw_Claims_Data!N1673</f>
        <v>AGENT00096</v>
      </c>
      <c r="O1674">
        <f>IF(Raw_Claims_Data!G1673="D",1,0)</f>
        <v>0</v>
      </c>
    </row>
    <row r="1675" spans="1:15" x14ac:dyDescent="0.35">
      <c r="A1675" t="str">
        <f>Raw_Claims_Data!A1674</f>
        <v>TXN00001671</v>
      </c>
      <c r="B1675" t="str">
        <f>TRIM(Raw_Claims_Data!B1674)</f>
        <v>Flora Troke</v>
      </c>
      <c r="C1675" t="str">
        <f>Raw_Claims_Data!C1674</f>
        <v>Health</v>
      </c>
      <c r="D1675">
        <f>Raw_Claims_Data!D1674</f>
        <v>110.93</v>
      </c>
      <c r="E1675">
        <f>Raw_Claims_Data!E1674</f>
        <v>15000</v>
      </c>
      <c r="F1675" t="str">
        <f>Raw_Claims_Data!F1674</f>
        <v>AK</v>
      </c>
      <c r="G1675" t="str">
        <f>Raw_Claims_Data!G1674</f>
        <v>A</v>
      </c>
      <c r="H1675" t="str">
        <f>Raw_Claims_Data!H1674</f>
        <v>Major Loss</v>
      </c>
      <c r="I1675" t="str">
        <f>IF(Raw_Claims_Data!I1674="","None",Raw_Claims_Data!I1674)</f>
        <v>Ambulance</v>
      </c>
      <c r="J1675" t="str">
        <f>Raw_Claims_Data!J1674</f>
        <v>Lynn Haven</v>
      </c>
      <c r="K1675" t="str">
        <f>Raw_Claims_Data!K1674</f>
        <v>FL</v>
      </c>
      <c r="L1675">
        <f>Raw_Claims_Data!L1674</f>
        <v>1</v>
      </c>
      <c r="M1675" t="str">
        <f>IF(Raw_Claims_Data!M1674="","N/A",Raw_Claims_Data!M1674)</f>
        <v>VNDR00164</v>
      </c>
      <c r="N1675" t="str">
        <f>Raw_Claims_Data!N1674</f>
        <v>AGENT00887</v>
      </c>
      <c r="O1675">
        <f>IF(Raw_Claims_Data!G1674="D",1,0)</f>
        <v>0</v>
      </c>
    </row>
    <row r="1676" spans="1:15" x14ac:dyDescent="0.35">
      <c r="A1676" t="str">
        <f>Raw_Claims_Data!A1675</f>
        <v>TXN00001672</v>
      </c>
      <c r="B1676" t="str">
        <f>TRIM(Raw_Claims_Data!B1675)</f>
        <v>Steven Roberts</v>
      </c>
      <c r="C1676" t="str">
        <f>Raw_Claims_Data!C1675</f>
        <v>Motor</v>
      </c>
      <c r="D1676">
        <f>Raw_Claims_Data!D1675</f>
        <v>132.65</v>
      </c>
      <c r="E1676">
        <f>Raw_Claims_Data!E1675</f>
        <v>2000</v>
      </c>
      <c r="F1676" t="str">
        <f>Raw_Claims_Data!F1675</f>
        <v>AR</v>
      </c>
      <c r="G1676" t="str">
        <f>Raw_Claims_Data!G1675</f>
        <v>A</v>
      </c>
      <c r="H1676" t="str">
        <f>Raw_Claims_Data!H1675</f>
        <v>Minor Loss</v>
      </c>
      <c r="I1676" t="str">
        <f>IF(Raw_Claims_Data!I1675="","None",Raw_Claims_Data!I1675)</f>
        <v>Ambulance</v>
      </c>
      <c r="J1676" t="str">
        <f>Raw_Claims_Data!J1675</f>
        <v>Mountain View</v>
      </c>
      <c r="K1676" t="str">
        <f>Raw_Claims_Data!K1675</f>
        <v>CA</v>
      </c>
      <c r="L1676">
        <f>Raw_Claims_Data!L1675</f>
        <v>1</v>
      </c>
      <c r="M1676" t="str">
        <f>IF(Raw_Claims_Data!M1675="","N/A",Raw_Claims_Data!M1675)</f>
        <v>VNDR00268</v>
      </c>
      <c r="N1676" t="str">
        <f>Raw_Claims_Data!N1675</f>
        <v>AGENT00077</v>
      </c>
      <c r="O1676">
        <f>IF(Raw_Claims_Data!G1675="D",1,0)</f>
        <v>0</v>
      </c>
    </row>
    <row r="1677" spans="1:15" x14ac:dyDescent="0.35">
      <c r="A1677" t="str">
        <f>Raw_Claims_Data!A1676</f>
        <v>TXN00001673</v>
      </c>
      <c r="B1677" t="str">
        <f>TRIM(Raw_Claims_Data!B1676)</f>
        <v>Travis Brazil</v>
      </c>
      <c r="C1677" t="str">
        <f>Raw_Claims_Data!C1676</f>
        <v>Travel</v>
      </c>
      <c r="D1677">
        <f>Raw_Claims_Data!D1676</f>
        <v>90.41</v>
      </c>
      <c r="E1677">
        <f>Raw_Claims_Data!E1676</f>
        <v>1000</v>
      </c>
      <c r="F1677" t="str">
        <f>Raw_Claims_Data!F1676</f>
        <v>GA</v>
      </c>
      <c r="G1677" t="str">
        <f>Raw_Claims_Data!G1676</f>
        <v>A</v>
      </c>
      <c r="H1677" t="str">
        <f>Raw_Claims_Data!H1676</f>
        <v>Major Loss</v>
      </c>
      <c r="I1677" t="str">
        <f>IF(Raw_Claims_Data!I1676="","None",Raw_Claims_Data!I1676)</f>
        <v>Ambulance</v>
      </c>
      <c r="J1677" t="str">
        <f>Raw_Claims_Data!J1676</f>
        <v>Fayetteville</v>
      </c>
      <c r="K1677" t="str">
        <f>Raw_Claims_Data!K1676</f>
        <v>AR</v>
      </c>
      <c r="L1677">
        <f>Raw_Claims_Data!L1676</f>
        <v>5</v>
      </c>
      <c r="M1677" t="str">
        <f>IF(Raw_Claims_Data!M1676="","N/A",Raw_Claims_Data!M1676)</f>
        <v>N/A</v>
      </c>
      <c r="N1677" t="str">
        <f>Raw_Claims_Data!N1676</f>
        <v>AGENT00797</v>
      </c>
      <c r="O1677">
        <f>IF(Raw_Claims_Data!G1676="D",1,0)</f>
        <v>0</v>
      </c>
    </row>
    <row r="1678" spans="1:15" x14ac:dyDescent="0.35">
      <c r="A1678" t="str">
        <f>Raw_Claims_Data!A1677</f>
        <v>TXN00001674</v>
      </c>
      <c r="B1678" t="str">
        <f>TRIM(Raw_Claims_Data!B1677)</f>
        <v>Tim Mimnaugh</v>
      </c>
      <c r="C1678" t="str">
        <f>Raw_Claims_Data!C1677</f>
        <v>Property</v>
      </c>
      <c r="D1678">
        <f>Raw_Claims_Data!D1677</f>
        <v>99.69</v>
      </c>
      <c r="E1678">
        <f>Raw_Claims_Data!E1677</f>
        <v>21000</v>
      </c>
      <c r="F1678" t="str">
        <f>Raw_Claims_Data!F1677</f>
        <v>MD</v>
      </c>
      <c r="G1678" t="str">
        <f>Raw_Claims_Data!G1677</f>
        <v>A</v>
      </c>
      <c r="H1678" t="str">
        <f>Raw_Claims_Data!H1677</f>
        <v>Total Loss</v>
      </c>
      <c r="I1678" t="str">
        <f>IF(Raw_Claims_Data!I1677="","None",Raw_Claims_Data!I1677)</f>
        <v>Ambulance</v>
      </c>
      <c r="J1678" t="str">
        <f>Raw_Claims_Data!J1677</f>
        <v>Montgomery</v>
      </c>
      <c r="K1678" t="str">
        <f>Raw_Claims_Data!K1677</f>
        <v>AL</v>
      </c>
      <c r="L1678">
        <f>Raw_Claims_Data!L1677</f>
        <v>14</v>
      </c>
      <c r="M1678" t="str">
        <f>IF(Raw_Claims_Data!M1677="","N/A",Raw_Claims_Data!M1677)</f>
        <v>VNDR00465</v>
      </c>
      <c r="N1678" t="str">
        <f>Raw_Claims_Data!N1677</f>
        <v>AGENT00777</v>
      </c>
      <c r="O1678">
        <f>IF(Raw_Claims_Data!G1677="D",1,0)</f>
        <v>0</v>
      </c>
    </row>
    <row r="1679" spans="1:15" x14ac:dyDescent="0.35">
      <c r="A1679" t="str">
        <f>Raw_Claims_Data!A1678</f>
        <v>TXN00001675</v>
      </c>
      <c r="B1679" t="str">
        <f>TRIM(Raw_Claims_Data!B1678)</f>
        <v>Riva Hunter</v>
      </c>
      <c r="C1679" t="str">
        <f>Raw_Claims_Data!C1678</f>
        <v>Health</v>
      </c>
      <c r="D1679">
        <f>Raw_Claims_Data!D1678</f>
        <v>153.52000000000001</v>
      </c>
      <c r="E1679">
        <f>Raw_Claims_Data!E1678</f>
        <v>16000</v>
      </c>
      <c r="F1679" t="str">
        <f>Raw_Claims_Data!F1678</f>
        <v>DC</v>
      </c>
      <c r="G1679" t="str">
        <f>Raw_Claims_Data!G1678</f>
        <v>D</v>
      </c>
      <c r="H1679" t="str">
        <f>Raw_Claims_Data!H1678</f>
        <v>Minor Loss</v>
      </c>
      <c r="I1679" t="str">
        <f>IF(Raw_Claims_Data!I1678="","None",Raw_Claims_Data!I1678)</f>
        <v>Other</v>
      </c>
      <c r="J1679" t="str">
        <f>Raw_Claims_Data!J1678</f>
        <v>Deale</v>
      </c>
      <c r="K1679" t="str">
        <f>Raw_Claims_Data!K1678</f>
        <v>MD</v>
      </c>
      <c r="L1679">
        <f>Raw_Claims_Data!L1678</f>
        <v>19</v>
      </c>
      <c r="M1679" t="str">
        <f>IF(Raw_Claims_Data!M1678="","N/A",Raw_Claims_Data!M1678)</f>
        <v>VNDR00430</v>
      </c>
      <c r="N1679" t="str">
        <f>Raw_Claims_Data!N1678</f>
        <v>AGENT00535</v>
      </c>
      <c r="O1679">
        <f>IF(Raw_Claims_Data!G1678="D",1,0)</f>
        <v>1</v>
      </c>
    </row>
    <row r="1680" spans="1:15" x14ac:dyDescent="0.35">
      <c r="A1680" t="str">
        <f>Raw_Claims_Data!A1679</f>
        <v>TXN00001676</v>
      </c>
      <c r="B1680" t="str">
        <f>TRIM(Raw_Claims_Data!B1679)</f>
        <v>Douglas Richardson</v>
      </c>
      <c r="C1680" t="str">
        <f>Raw_Claims_Data!C1679</f>
        <v>Mobile</v>
      </c>
      <c r="D1680">
        <f>Raw_Claims_Data!D1679</f>
        <v>11.25</v>
      </c>
      <c r="E1680">
        <f>Raw_Claims_Data!E1679</f>
        <v>200</v>
      </c>
      <c r="F1680" t="str">
        <f>Raw_Claims_Data!F1679</f>
        <v>MD</v>
      </c>
      <c r="G1680" t="str">
        <f>Raw_Claims_Data!G1679</f>
        <v>A</v>
      </c>
      <c r="H1680" t="str">
        <f>Raw_Claims_Data!H1679</f>
        <v>Major Loss</v>
      </c>
      <c r="I1680" t="str">
        <f>IF(Raw_Claims_Data!I1679="","None",Raw_Claims_Data!I1679)</f>
        <v>Police</v>
      </c>
      <c r="J1680" t="str">
        <f>Raw_Claims_Data!J1679</f>
        <v>Glendale</v>
      </c>
      <c r="K1680" t="str">
        <f>Raw_Claims_Data!K1679</f>
        <v>AZ</v>
      </c>
      <c r="L1680">
        <f>Raw_Claims_Data!L1679</f>
        <v>18</v>
      </c>
      <c r="M1680" t="str">
        <f>IF(Raw_Claims_Data!M1679="","N/A",Raw_Claims_Data!M1679)</f>
        <v>VNDR00420</v>
      </c>
      <c r="N1680" t="str">
        <f>Raw_Claims_Data!N1679</f>
        <v>AGENT00776</v>
      </c>
      <c r="O1680">
        <f>IF(Raw_Claims_Data!G1679="D",1,0)</f>
        <v>0</v>
      </c>
    </row>
    <row r="1681" spans="1:15" x14ac:dyDescent="0.35">
      <c r="A1681" t="str">
        <f>Raw_Claims_Data!A1680</f>
        <v>TXN00001677</v>
      </c>
      <c r="B1681" t="str">
        <f>TRIM(Raw_Claims_Data!B1680)</f>
        <v>Letha Haack</v>
      </c>
      <c r="C1681" t="str">
        <f>Raw_Claims_Data!C1680</f>
        <v>Mobile</v>
      </c>
      <c r="D1681">
        <f>Raw_Claims_Data!D1680</f>
        <v>11.08</v>
      </c>
      <c r="E1681">
        <f>Raw_Claims_Data!E1680</f>
        <v>100</v>
      </c>
      <c r="F1681" t="str">
        <f>Raw_Claims_Data!F1680</f>
        <v>GA</v>
      </c>
      <c r="G1681" t="str">
        <f>Raw_Claims_Data!G1680</f>
        <v>A</v>
      </c>
      <c r="H1681" t="str">
        <f>Raw_Claims_Data!H1680</f>
        <v>Minor Loss</v>
      </c>
      <c r="I1681" t="str">
        <f>IF(Raw_Claims_Data!I1680="","None",Raw_Claims_Data!I1680)</f>
        <v>Ambulance</v>
      </c>
      <c r="J1681" t="str">
        <f>Raw_Claims_Data!J1680</f>
        <v>Anchorage</v>
      </c>
      <c r="K1681" t="str">
        <f>Raw_Claims_Data!K1680</f>
        <v>AK</v>
      </c>
      <c r="L1681">
        <f>Raw_Claims_Data!L1680</f>
        <v>2</v>
      </c>
      <c r="M1681" t="str">
        <f>IF(Raw_Claims_Data!M1680="","N/A",Raw_Claims_Data!M1680)</f>
        <v>VNDR00589</v>
      </c>
      <c r="N1681" t="str">
        <f>Raw_Claims_Data!N1680</f>
        <v>AGENT00913</v>
      </c>
      <c r="O1681">
        <f>IF(Raw_Claims_Data!G1680="D",1,0)</f>
        <v>0</v>
      </c>
    </row>
    <row r="1682" spans="1:15" x14ac:dyDescent="0.35">
      <c r="A1682" t="str">
        <f>Raw_Claims_Data!A1681</f>
        <v>TXN00001678</v>
      </c>
      <c r="B1682" t="str">
        <f>TRIM(Raw_Claims_Data!B1681)</f>
        <v>Hattie Diaz</v>
      </c>
      <c r="C1682" t="str">
        <f>Raw_Claims_Data!C1681</f>
        <v>Motor</v>
      </c>
      <c r="D1682">
        <f>Raw_Claims_Data!D1681</f>
        <v>90.07</v>
      </c>
      <c r="E1682">
        <f>Raw_Claims_Data!E1681</f>
        <v>5000</v>
      </c>
      <c r="F1682" t="str">
        <f>Raw_Claims_Data!F1681</f>
        <v>FL</v>
      </c>
      <c r="G1682" t="str">
        <f>Raw_Claims_Data!G1681</f>
        <v>A</v>
      </c>
      <c r="H1682" t="str">
        <f>Raw_Claims_Data!H1681</f>
        <v>Total Loss</v>
      </c>
      <c r="I1682" t="str">
        <f>IF(Raw_Claims_Data!I1681="","None",Raw_Claims_Data!I1681)</f>
        <v>None</v>
      </c>
      <c r="J1682" t="str">
        <f>Raw_Claims_Data!J1681</f>
        <v>Savannah</v>
      </c>
      <c r="K1682" t="str">
        <f>Raw_Claims_Data!K1681</f>
        <v>GA</v>
      </c>
      <c r="L1682">
        <f>Raw_Claims_Data!L1681</f>
        <v>9</v>
      </c>
      <c r="M1682" t="str">
        <f>IF(Raw_Claims_Data!M1681="","N/A",Raw_Claims_Data!M1681)</f>
        <v>N/A</v>
      </c>
      <c r="N1682" t="str">
        <f>Raw_Claims_Data!N1681</f>
        <v>AGENT00226</v>
      </c>
      <c r="O1682">
        <f>IF(Raw_Claims_Data!G1681="D",1,0)</f>
        <v>0</v>
      </c>
    </row>
    <row r="1683" spans="1:15" x14ac:dyDescent="0.35">
      <c r="A1683" t="str">
        <f>Raw_Claims_Data!A1682</f>
        <v>TXN00001679</v>
      </c>
      <c r="B1683" t="str">
        <f>TRIM(Raw_Claims_Data!B1682)</f>
        <v>Loretta Pierson</v>
      </c>
      <c r="C1683" t="str">
        <f>Raw_Claims_Data!C1682</f>
        <v>Life</v>
      </c>
      <c r="D1683">
        <f>Raw_Claims_Data!D1682</f>
        <v>88</v>
      </c>
      <c r="E1683">
        <f>Raw_Claims_Data!E1682</f>
        <v>50000</v>
      </c>
      <c r="F1683" t="str">
        <f>Raw_Claims_Data!F1682</f>
        <v>AK</v>
      </c>
      <c r="G1683" t="str">
        <f>Raw_Claims_Data!G1682</f>
        <v>A</v>
      </c>
      <c r="H1683" t="str">
        <f>Raw_Claims_Data!H1682</f>
        <v>Minor Loss</v>
      </c>
      <c r="I1683" t="str">
        <f>IF(Raw_Claims_Data!I1682="","None",Raw_Claims_Data!I1682)</f>
        <v>Ambulance</v>
      </c>
      <c r="J1683" t="str">
        <f>Raw_Claims_Data!J1682</f>
        <v>Berkeley</v>
      </c>
      <c r="K1683" t="str">
        <f>Raw_Claims_Data!K1682</f>
        <v>CA</v>
      </c>
      <c r="L1683">
        <f>Raw_Claims_Data!L1682</f>
        <v>1</v>
      </c>
      <c r="M1683" t="str">
        <f>IF(Raw_Claims_Data!M1682="","N/A",Raw_Claims_Data!M1682)</f>
        <v>VNDR00330</v>
      </c>
      <c r="N1683" t="str">
        <f>Raw_Claims_Data!N1682</f>
        <v>AGENT00740</v>
      </c>
      <c r="O1683">
        <f>IF(Raw_Claims_Data!G1682="D",1,0)</f>
        <v>0</v>
      </c>
    </row>
    <row r="1684" spans="1:15" x14ac:dyDescent="0.35">
      <c r="A1684" t="str">
        <f>Raw_Claims_Data!A1683</f>
        <v>TXN00001680</v>
      </c>
      <c r="B1684" t="str">
        <f>TRIM(Raw_Claims_Data!B1683)</f>
        <v>Dennis Fuller</v>
      </c>
      <c r="C1684" t="str">
        <f>Raw_Claims_Data!C1683</f>
        <v>Health</v>
      </c>
      <c r="D1684">
        <f>Raw_Claims_Data!D1683</f>
        <v>123.72</v>
      </c>
      <c r="E1684">
        <f>Raw_Claims_Data!E1683</f>
        <v>3000</v>
      </c>
      <c r="F1684" t="str">
        <f>Raw_Claims_Data!F1683</f>
        <v>AZ</v>
      </c>
      <c r="G1684" t="str">
        <f>Raw_Claims_Data!G1683</f>
        <v>A</v>
      </c>
      <c r="H1684" t="str">
        <f>Raw_Claims_Data!H1683</f>
        <v>Minor Loss</v>
      </c>
      <c r="I1684" t="str">
        <f>IF(Raw_Claims_Data!I1683="","None",Raw_Claims_Data!I1683)</f>
        <v>Ambulance</v>
      </c>
      <c r="J1684" t="str">
        <f>Raw_Claims_Data!J1683</f>
        <v>Farmington</v>
      </c>
      <c r="K1684" t="str">
        <f>Raw_Claims_Data!K1683</f>
        <v>AR</v>
      </c>
      <c r="L1684">
        <f>Raw_Claims_Data!L1683</f>
        <v>20</v>
      </c>
      <c r="M1684" t="str">
        <f>IF(Raw_Claims_Data!M1683="","N/A",Raw_Claims_Data!M1683)</f>
        <v>N/A</v>
      </c>
      <c r="N1684" t="str">
        <f>Raw_Claims_Data!N1683</f>
        <v>AGENT00886</v>
      </c>
      <c r="O1684">
        <f>IF(Raw_Claims_Data!G1683="D",1,0)</f>
        <v>0</v>
      </c>
    </row>
    <row r="1685" spans="1:15" x14ac:dyDescent="0.35">
      <c r="A1685" t="str">
        <f>Raw_Claims_Data!A1684</f>
        <v>TXN00001681</v>
      </c>
      <c r="B1685" t="str">
        <f>TRIM(Raw_Claims_Data!B1684)</f>
        <v>Sergio Griggs</v>
      </c>
      <c r="C1685" t="str">
        <f>Raw_Claims_Data!C1684</f>
        <v>Property</v>
      </c>
      <c r="D1685">
        <f>Raw_Claims_Data!D1684</f>
        <v>90.68</v>
      </c>
      <c r="E1685">
        <f>Raw_Claims_Data!E1684</f>
        <v>20000</v>
      </c>
      <c r="F1685" t="str">
        <f>Raw_Claims_Data!F1684</f>
        <v>CO</v>
      </c>
      <c r="G1685" t="str">
        <f>Raw_Claims_Data!G1684</f>
        <v>A</v>
      </c>
      <c r="H1685" t="str">
        <f>Raw_Claims_Data!H1684</f>
        <v>Major Loss</v>
      </c>
      <c r="I1685" t="str">
        <f>IF(Raw_Claims_Data!I1684="","None",Raw_Claims_Data!I1684)</f>
        <v>None</v>
      </c>
      <c r="J1685" t="str">
        <f>Raw_Claims_Data!J1684</f>
        <v>Shelburne</v>
      </c>
      <c r="K1685" t="str">
        <f>Raw_Claims_Data!K1684</f>
        <v>VT</v>
      </c>
      <c r="L1685">
        <f>Raw_Claims_Data!L1684</f>
        <v>6</v>
      </c>
      <c r="M1685" t="str">
        <f>IF(Raw_Claims_Data!M1684="","N/A",Raw_Claims_Data!M1684)</f>
        <v>VNDR00286</v>
      </c>
      <c r="N1685" t="str">
        <f>Raw_Claims_Data!N1684</f>
        <v>AGENT00688</v>
      </c>
      <c r="O1685">
        <f>IF(Raw_Claims_Data!G1684="D",1,0)</f>
        <v>0</v>
      </c>
    </row>
    <row r="1686" spans="1:15" x14ac:dyDescent="0.35">
      <c r="A1686" t="str">
        <f>Raw_Claims_Data!A1685</f>
        <v>TXN00001682</v>
      </c>
      <c r="B1686" t="str">
        <f>TRIM(Raw_Claims_Data!B1685)</f>
        <v>Teresa Mcalpine</v>
      </c>
      <c r="C1686" t="str">
        <f>Raw_Claims_Data!C1685</f>
        <v>Life</v>
      </c>
      <c r="D1686">
        <f>Raw_Claims_Data!D1685</f>
        <v>85.64</v>
      </c>
      <c r="E1686">
        <f>Raw_Claims_Data!E1685</f>
        <v>82000</v>
      </c>
      <c r="F1686" t="str">
        <f>Raw_Claims_Data!F1685</f>
        <v>AR</v>
      </c>
      <c r="G1686" t="str">
        <f>Raw_Claims_Data!G1685</f>
        <v>A</v>
      </c>
      <c r="H1686" t="str">
        <f>Raw_Claims_Data!H1685</f>
        <v>Minor Loss</v>
      </c>
      <c r="I1686" t="str">
        <f>IF(Raw_Claims_Data!I1685="","None",Raw_Claims_Data!I1685)</f>
        <v>Other</v>
      </c>
      <c r="J1686" t="str">
        <f>Raw_Claims_Data!J1685</f>
        <v>Hubbardston</v>
      </c>
      <c r="K1686" t="str">
        <f>Raw_Claims_Data!K1685</f>
        <v>MA</v>
      </c>
      <c r="L1686">
        <f>Raw_Claims_Data!L1685</f>
        <v>13</v>
      </c>
      <c r="M1686" t="str">
        <f>IF(Raw_Claims_Data!M1685="","N/A",Raw_Claims_Data!M1685)</f>
        <v>VNDR00375</v>
      </c>
      <c r="N1686" t="str">
        <f>Raw_Claims_Data!N1685</f>
        <v>AGENT00357</v>
      </c>
      <c r="O1686">
        <f>IF(Raw_Claims_Data!G1685="D",1,0)</f>
        <v>0</v>
      </c>
    </row>
    <row r="1687" spans="1:15" x14ac:dyDescent="0.35">
      <c r="A1687" t="str">
        <f>Raw_Claims_Data!A1686</f>
        <v>TXN00001683</v>
      </c>
      <c r="B1687" t="str">
        <f>TRIM(Raw_Claims_Data!B1686)</f>
        <v>Jorge Jones</v>
      </c>
      <c r="C1687" t="str">
        <f>Raw_Claims_Data!C1686</f>
        <v>Health</v>
      </c>
      <c r="D1687">
        <f>Raw_Claims_Data!D1686</f>
        <v>183.66</v>
      </c>
      <c r="E1687">
        <f>Raw_Claims_Data!E1686</f>
        <v>2000</v>
      </c>
      <c r="F1687" t="str">
        <f>Raw_Claims_Data!F1686</f>
        <v>FL</v>
      </c>
      <c r="G1687" t="str">
        <f>Raw_Claims_Data!G1686</f>
        <v>A</v>
      </c>
      <c r="H1687" t="str">
        <f>Raw_Claims_Data!H1686</f>
        <v>Total Loss</v>
      </c>
      <c r="I1687" t="str">
        <f>IF(Raw_Claims_Data!I1686="","None",Raw_Claims_Data!I1686)</f>
        <v>Ambulance</v>
      </c>
      <c r="J1687" t="str">
        <f>Raw_Claims_Data!J1686</f>
        <v>Brooklyn Park</v>
      </c>
      <c r="K1687" t="str">
        <f>Raw_Claims_Data!K1686</f>
        <v>MD</v>
      </c>
      <c r="L1687">
        <f>Raw_Claims_Data!L1686</f>
        <v>14</v>
      </c>
      <c r="M1687" t="str">
        <f>IF(Raw_Claims_Data!M1686="","N/A",Raw_Claims_Data!M1686)</f>
        <v>N/A</v>
      </c>
      <c r="N1687" t="str">
        <f>Raw_Claims_Data!N1686</f>
        <v>AGENT01117</v>
      </c>
      <c r="O1687">
        <f>IF(Raw_Claims_Data!G1686="D",1,0)</f>
        <v>0</v>
      </c>
    </row>
    <row r="1688" spans="1:15" x14ac:dyDescent="0.35">
      <c r="A1688" t="str">
        <f>Raw_Claims_Data!A1687</f>
        <v>TXN00001684</v>
      </c>
      <c r="B1688" t="str">
        <f>TRIM(Raw_Claims_Data!B1687)</f>
        <v>Jason White</v>
      </c>
      <c r="C1688" t="str">
        <f>Raw_Claims_Data!C1687</f>
        <v>Property</v>
      </c>
      <c r="D1688">
        <f>Raw_Claims_Data!D1687</f>
        <v>126.2</v>
      </c>
      <c r="E1688">
        <f>Raw_Claims_Data!E1687</f>
        <v>16000</v>
      </c>
      <c r="F1688" t="str">
        <f>Raw_Claims_Data!F1687</f>
        <v>TN</v>
      </c>
      <c r="G1688" t="str">
        <f>Raw_Claims_Data!G1687</f>
        <v>A</v>
      </c>
      <c r="H1688" t="str">
        <f>Raw_Claims_Data!H1687</f>
        <v>Total Loss</v>
      </c>
      <c r="I1688" t="str">
        <f>IF(Raw_Claims_Data!I1687="","None",Raw_Claims_Data!I1687)</f>
        <v>None</v>
      </c>
      <c r="J1688" t="str">
        <f>Raw_Claims_Data!J1687</f>
        <v>Barre</v>
      </c>
      <c r="K1688" t="str">
        <f>Raw_Claims_Data!K1687</f>
        <v>VT</v>
      </c>
      <c r="L1688">
        <f>Raw_Claims_Data!L1687</f>
        <v>3</v>
      </c>
      <c r="M1688" t="str">
        <f>IF(Raw_Claims_Data!M1687="","N/A",Raw_Claims_Data!M1687)</f>
        <v>VNDR00305</v>
      </c>
      <c r="N1688" t="str">
        <f>Raw_Claims_Data!N1687</f>
        <v>AGENT00562</v>
      </c>
      <c r="O1688">
        <f>IF(Raw_Claims_Data!G1687="D",1,0)</f>
        <v>0</v>
      </c>
    </row>
    <row r="1689" spans="1:15" x14ac:dyDescent="0.35">
      <c r="A1689" t="str">
        <f>Raw_Claims_Data!A1688</f>
        <v>TXN00001685</v>
      </c>
      <c r="B1689" t="str">
        <f>TRIM(Raw_Claims_Data!B1688)</f>
        <v>Alfred Tait</v>
      </c>
      <c r="C1689" t="str">
        <f>Raw_Claims_Data!C1688</f>
        <v>Mobile</v>
      </c>
      <c r="D1689">
        <f>Raw_Claims_Data!D1688</f>
        <v>7.27</v>
      </c>
      <c r="E1689">
        <f>Raw_Claims_Data!E1688</f>
        <v>400</v>
      </c>
      <c r="F1689" t="str">
        <f>Raw_Claims_Data!F1688</f>
        <v>AL</v>
      </c>
      <c r="G1689" t="str">
        <f>Raw_Claims_Data!G1688</f>
        <v>A</v>
      </c>
      <c r="H1689" t="str">
        <f>Raw_Claims_Data!H1688</f>
        <v>Major Loss</v>
      </c>
      <c r="I1689" t="str">
        <f>IF(Raw_Claims_Data!I1688="","None",Raw_Claims_Data!I1688)</f>
        <v>Ambulance</v>
      </c>
      <c r="J1689" t="str">
        <f>Raw_Claims_Data!J1688</f>
        <v>Carson</v>
      </c>
      <c r="K1689" t="str">
        <f>Raw_Claims_Data!K1688</f>
        <v>CA</v>
      </c>
      <c r="L1689">
        <f>Raw_Claims_Data!L1688</f>
        <v>21</v>
      </c>
      <c r="M1689" t="str">
        <f>IF(Raw_Claims_Data!M1688="","N/A",Raw_Claims_Data!M1688)</f>
        <v>VNDR00233</v>
      </c>
      <c r="N1689" t="str">
        <f>Raw_Claims_Data!N1688</f>
        <v>AGENT00803</v>
      </c>
      <c r="O1689">
        <f>IF(Raw_Claims_Data!G1688="D",1,0)</f>
        <v>0</v>
      </c>
    </row>
    <row r="1690" spans="1:15" x14ac:dyDescent="0.35">
      <c r="A1690" t="str">
        <f>Raw_Claims_Data!A1689</f>
        <v>TXN00001686</v>
      </c>
      <c r="B1690" t="str">
        <f>TRIM(Raw_Claims_Data!B1689)</f>
        <v>Penny Pickel</v>
      </c>
      <c r="C1690" t="str">
        <f>Raw_Claims_Data!C1689</f>
        <v>Motor</v>
      </c>
      <c r="D1690">
        <f>Raw_Claims_Data!D1689</f>
        <v>111.37</v>
      </c>
      <c r="E1690">
        <f>Raw_Claims_Data!E1689</f>
        <v>7000</v>
      </c>
      <c r="F1690" t="str">
        <f>Raw_Claims_Data!F1689</f>
        <v>CO</v>
      </c>
      <c r="G1690" t="str">
        <f>Raw_Claims_Data!G1689</f>
        <v>A</v>
      </c>
      <c r="H1690" t="str">
        <f>Raw_Claims_Data!H1689</f>
        <v>Major Loss</v>
      </c>
      <c r="I1690" t="str">
        <f>IF(Raw_Claims_Data!I1689="","None",Raw_Claims_Data!I1689)</f>
        <v>Police</v>
      </c>
      <c r="J1690" t="str">
        <f>Raw_Claims_Data!J1689</f>
        <v>Hayward</v>
      </c>
      <c r="K1690" t="str">
        <f>Raw_Claims_Data!K1689</f>
        <v>CA</v>
      </c>
      <c r="L1690">
        <f>Raw_Claims_Data!L1689</f>
        <v>20</v>
      </c>
      <c r="M1690" t="str">
        <f>IF(Raw_Claims_Data!M1689="","N/A",Raw_Claims_Data!M1689)</f>
        <v>N/A</v>
      </c>
      <c r="N1690" t="str">
        <f>Raw_Claims_Data!N1689</f>
        <v>AGENT00794</v>
      </c>
      <c r="O1690">
        <f>IF(Raw_Claims_Data!G1689="D",1,0)</f>
        <v>0</v>
      </c>
    </row>
    <row r="1691" spans="1:15" x14ac:dyDescent="0.35">
      <c r="A1691" t="str">
        <f>Raw_Claims_Data!A1690</f>
        <v>TXN00001687</v>
      </c>
      <c r="B1691" t="str">
        <f>TRIM(Raw_Claims_Data!B1690)</f>
        <v>Diane Mcchristian</v>
      </c>
      <c r="C1691" t="str">
        <f>Raw_Claims_Data!C1690</f>
        <v>Motor</v>
      </c>
      <c r="D1691">
        <f>Raw_Claims_Data!D1690</f>
        <v>70.78</v>
      </c>
      <c r="E1691">
        <f>Raw_Claims_Data!E1690</f>
        <v>4000</v>
      </c>
      <c r="F1691" t="str">
        <f>Raw_Claims_Data!F1690</f>
        <v>DC</v>
      </c>
      <c r="G1691" t="str">
        <f>Raw_Claims_Data!G1690</f>
        <v>A</v>
      </c>
      <c r="H1691" t="str">
        <f>Raw_Claims_Data!H1690</f>
        <v>Total Loss</v>
      </c>
      <c r="I1691" t="str">
        <f>IF(Raw_Claims_Data!I1690="","None",Raw_Claims_Data!I1690)</f>
        <v>Ambulance</v>
      </c>
      <c r="J1691" t="str">
        <f>Raw_Claims_Data!J1690</f>
        <v>Braintree</v>
      </c>
      <c r="K1691" t="str">
        <f>Raw_Claims_Data!K1690</f>
        <v>MA</v>
      </c>
      <c r="L1691">
        <f>Raw_Claims_Data!L1690</f>
        <v>6</v>
      </c>
      <c r="M1691" t="str">
        <f>IF(Raw_Claims_Data!M1690="","N/A",Raw_Claims_Data!M1690)</f>
        <v>N/A</v>
      </c>
      <c r="N1691" t="str">
        <f>Raw_Claims_Data!N1690</f>
        <v>AGENT01108</v>
      </c>
      <c r="O1691">
        <f>IF(Raw_Claims_Data!G1690="D",1,0)</f>
        <v>0</v>
      </c>
    </row>
    <row r="1692" spans="1:15" x14ac:dyDescent="0.35">
      <c r="A1692" t="str">
        <f>Raw_Claims_Data!A1691</f>
        <v>TXN00001688</v>
      </c>
      <c r="B1692" t="str">
        <f>TRIM(Raw_Claims_Data!B1691)</f>
        <v>Thomas White</v>
      </c>
      <c r="C1692" t="str">
        <f>Raw_Claims_Data!C1691</f>
        <v>Health</v>
      </c>
      <c r="D1692">
        <f>Raw_Claims_Data!D1691</f>
        <v>150.13</v>
      </c>
      <c r="E1692">
        <f>Raw_Claims_Data!E1691</f>
        <v>18000</v>
      </c>
      <c r="F1692" t="str">
        <f>Raw_Claims_Data!F1691</f>
        <v>AZ</v>
      </c>
      <c r="G1692" t="str">
        <f>Raw_Claims_Data!G1691</f>
        <v>A</v>
      </c>
      <c r="H1692" t="str">
        <f>Raw_Claims_Data!H1691</f>
        <v>Major Loss</v>
      </c>
      <c r="I1692" t="str">
        <f>IF(Raw_Claims_Data!I1691="","None",Raw_Claims_Data!I1691)</f>
        <v>Police</v>
      </c>
      <c r="J1692" t="str">
        <f>Raw_Claims_Data!J1691</f>
        <v>Moore</v>
      </c>
      <c r="K1692" t="str">
        <f>Raw_Claims_Data!K1691</f>
        <v>OK</v>
      </c>
      <c r="L1692">
        <f>Raw_Claims_Data!L1691</f>
        <v>2</v>
      </c>
      <c r="M1692" t="str">
        <f>IF(Raw_Claims_Data!M1691="","N/A",Raw_Claims_Data!M1691)</f>
        <v>N/A</v>
      </c>
      <c r="N1692" t="str">
        <f>Raw_Claims_Data!N1691</f>
        <v>AGENT00741</v>
      </c>
      <c r="O1692">
        <f>IF(Raw_Claims_Data!G1691="D",1,0)</f>
        <v>0</v>
      </c>
    </row>
    <row r="1693" spans="1:15" x14ac:dyDescent="0.35">
      <c r="A1693" t="str">
        <f>Raw_Claims_Data!A1692</f>
        <v>TXN00001689</v>
      </c>
      <c r="B1693" t="str">
        <f>TRIM(Raw_Claims_Data!B1692)</f>
        <v>Ralph Mello</v>
      </c>
      <c r="C1693" t="str">
        <f>Raw_Claims_Data!C1692</f>
        <v>Motor</v>
      </c>
      <c r="D1693">
        <f>Raw_Claims_Data!D1692</f>
        <v>74.989999999999995</v>
      </c>
      <c r="E1693">
        <f>Raw_Claims_Data!E1692</f>
        <v>8000</v>
      </c>
      <c r="F1693" t="str">
        <f>Raw_Claims_Data!F1692</f>
        <v>FL</v>
      </c>
      <c r="G1693" t="str">
        <f>Raw_Claims_Data!G1692</f>
        <v>A</v>
      </c>
      <c r="H1693" t="str">
        <f>Raw_Claims_Data!H1692</f>
        <v>Major Loss</v>
      </c>
      <c r="I1693" t="str">
        <f>IF(Raw_Claims_Data!I1692="","None",Raw_Claims_Data!I1692)</f>
        <v>Other</v>
      </c>
      <c r="J1693" t="str">
        <f>Raw_Claims_Data!J1692</f>
        <v>Annapolis</v>
      </c>
      <c r="K1693" t="str">
        <f>Raw_Claims_Data!K1692</f>
        <v>MD</v>
      </c>
      <c r="L1693">
        <f>Raw_Claims_Data!L1692</f>
        <v>2</v>
      </c>
      <c r="M1693" t="str">
        <f>IF(Raw_Claims_Data!M1692="","N/A",Raw_Claims_Data!M1692)</f>
        <v>N/A</v>
      </c>
      <c r="N1693" t="str">
        <f>Raw_Claims_Data!N1692</f>
        <v>AGENT00453</v>
      </c>
      <c r="O1693">
        <f>IF(Raw_Claims_Data!G1692="D",1,0)</f>
        <v>0</v>
      </c>
    </row>
    <row r="1694" spans="1:15" x14ac:dyDescent="0.35">
      <c r="A1694" t="str">
        <f>Raw_Claims_Data!A1693</f>
        <v>TXN00001690</v>
      </c>
      <c r="B1694" t="str">
        <f>TRIM(Raw_Claims_Data!B1693)</f>
        <v>Sara Felten</v>
      </c>
      <c r="C1694" t="str">
        <f>Raw_Claims_Data!C1693</f>
        <v>Mobile</v>
      </c>
      <c r="D1694">
        <f>Raw_Claims_Data!D1693</f>
        <v>7.13</v>
      </c>
      <c r="E1694">
        <f>Raw_Claims_Data!E1693</f>
        <v>700</v>
      </c>
      <c r="F1694" t="str">
        <f>Raw_Claims_Data!F1693</f>
        <v>CA</v>
      </c>
      <c r="G1694" t="str">
        <f>Raw_Claims_Data!G1693</f>
        <v>A</v>
      </c>
      <c r="H1694" t="str">
        <f>Raw_Claims_Data!H1693</f>
        <v>Minor Loss</v>
      </c>
      <c r="I1694" t="str">
        <f>IF(Raw_Claims_Data!I1693="","None",Raw_Claims_Data!I1693)</f>
        <v>Ambulance</v>
      </c>
      <c r="J1694" t="str">
        <f>Raw_Claims_Data!J1693</f>
        <v>Dublin</v>
      </c>
      <c r="K1694" t="str">
        <f>Raw_Claims_Data!K1693</f>
        <v>CA</v>
      </c>
      <c r="L1694">
        <f>Raw_Claims_Data!L1693</f>
        <v>7</v>
      </c>
      <c r="M1694" t="str">
        <f>IF(Raw_Claims_Data!M1693="","N/A",Raw_Claims_Data!M1693)</f>
        <v>VNDR00505</v>
      </c>
      <c r="N1694" t="str">
        <f>Raw_Claims_Data!N1693</f>
        <v>AGENT00321</v>
      </c>
      <c r="O1694">
        <f>IF(Raw_Claims_Data!G1693="D",1,0)</f>
        <v>0</v>
      </c>
    </row>
    <row r="1695" spans="1:15" x14ac:dyDescent="0.35">
      <c r="A1695" t="str">
        <f>Raw_Claims_Data!A1694</f>
        <v>TXN00001691</v>
      </c>
      <c r="B1695" t="str">
        <f>TRIM(Raw_Claims_Data!B1694)</f>
        <v>Todd Kelley</v>
      </c>
      <c r="C1695" t="str">
        <f>Raw_Claims_Data!C1694</f>
        <v>Health</v>
      </c>
      <c r="D1695">
        <f>Raw_Claims_Data!D1694</f>
        <v>100.78</v>
      </c>
      <c r="E1695">
        <f>Raw_Claims_Data!E1694</f>
        <v>19000</v>
      </c>
      <c r="F1695" t="str">
        <f>Raw_Claims_Data!F1694</f>
        <v>AL</v>
      </c>
      <c r="G1695" t="str">
        <f>Raw_Claims_Data!G1694</f>
        <v>A</v>
      </c>
      <c r="H1695" t="str">
        <f>Raw_Claims_Data!H1694</f>
        <v>Total Loss</v>
      </c>
      <c r="I1695" t="str">
        <f>IF(Raw_Claims_Data!I1694="","None",Raw_Claims_Data!I1694)</f>
        <v>None</v>
      </c>
      <c r="J1695" t="str">
        <f>Raw_Claims_Data!J1694</f>
        <v>Washington</v>
      </c>
      <c r="K1695" t="str">
        <f>Raw_Claims_Data!K1694</f>
        <v>DC</v>
      </c>
      <c r="L1695">
        <f>Raw_Claims_Data!L1694</f>
        <v>7</v>
      </c>
      <c r="M1695" t="str">
        <f>IF(Raw_Claims_Data!M1694="","N/A",Raw_Claims_Data!M1694)</f>
        <v>VNDR00557</v>
      </c>
      <c r="N1695" t="str">
        <f>Raw_Claims_Data!N1694</f>
        <v>AGENT01199</v>
      </c>
      <c r="O1695">
        <f>IF(Raw_Claims_Data!G1694="D",1,0)</f>
        <v>0</v>
      </c>
    </row>
    <row r="1696" spans="1:15" x14ac:dyDescent="0.35">
      <c r="A1696" t="str">
        <f>Raw_Claims_Data!A1695</f>
        <v>TXN00001692</v>
      </c>
      <c r="B1696" t="str">
        <f>TRIM(Raw_Claims_Data!B1695)</f>
        <v>William Oliver</v>
      </c>
      <c r="C1696" t="str">
        <f>Raw_Claims_Data!C1695</f>
        <v>Health</v>
      </c>
      <c r="D1696">
        <f>Raw_Claims_Data!D1695</f>
        <v>125.04</v>
      </c>
      <c r="E1696">
        <f>Raw_Claims_Data!E1695</f>
        <v>18000</v>
      </c>
      <c r="F1696" t="str">
        <f>Raw_Claims_Data!F1695</f>
        <v>TN</v>
      </c>
      <c r="G1696" t="str">
        <f>Raw_Claims_Data!G1695</f>
        <v>A</v>
      </c>
      <c r="H1696" t="str">
        <f>Raw_Claims_Data!H1695</f>
        <v>Major Loss</v>
      </c>
      <c r="I1696" t="str">
        <f>IF(Raw_Claims_Data!I1695="","None",Raw_Claims_Data!I1695)</f>
        <v>None</v>
      </c>
      <c r="J1696" t="str">
        <f>Raw_Claims_Data!J1695</f>
        <v>Savannah</v>
      </c>
      <c r="K1696" t="str">
        <f>Raw_Claims_Data!K1695</f>
        <v>GA</v>
      </c>
      <c r="L1696">
        <f>Raw_Claims_Data!L1695</f>
        <v>11</v>
      </c>
      <c r="M1696" t="str">
        <f>IF(Raw_Claims_Data!M1695="","N/A",Raw_Claims_Data!M1695)</f>
        <v>VNDR00265</v>
      </c>
      <c r="N1696" t="str">
        <f>Raw_Claims_Data!N1695</f>
        <v>AGENT01124</v>
      </c>
      <c r="O1696">
        <f>IF(Raw_Claims_Data!G1695="D",1,0)</f>
        <v>0</v>
      </c>
    </row>
    <row r="1697" spans="1:15" x14ac:dyDescent="0.35">
      <c r="A1697" t="str">
        <f>Raw_Claims_Data!A1696</f>
        <v>TXN00001693</v>
      </c>
      <c r="B1697" t="str">
        <f>TRIM(Raw_Claims_Data!B1696)</f>
        <v>Shawn Strickland</v>
      </c>
      <c r="C1697" t="str">
        <f>Raw_Claims_Data!C1696</f>
        <v>Life</v>
      </c>
      <c r="D1697">
        <f>Raw_Claims_Data!D1696</f>
        <v>80.38</v>
      </c>
      <c r="E1697">
        <f>Raw_Claims_Data!E1696</f>
        <v>20000</v>
      </c>
      <c r="F1697" t="str">
        <f>Raw_Claims_Data!F1696</f>
        <v>VT</v>
      </c>
      <c r="G1697" t="str">
        <f>Raw_Claims_Data!G1696</f>
        <v>A</v>
      </c>
      <c r="H1697" t="str">
        <f>Raw_Claims_Data!H1696</f>
        <v>Major Loss</v>
      </c>
      <c r="I1697" t="str">
        <f>IF(Raw_Claims_Data!I1696="","None",Raw_Claims_Data!I1696)</f>
        <v>Other</v>
      </c>
      <c r="J1697" t="str">
        <f>Raw_Claims_Data!J1696</f>
        <v>Edgewater</v>
      </c>
      <c r="K1697" t="str">
        <f>Raw_Claims_Data!K1696</f>
        <v>MD</v>
      </c>
      <c r="L1697">
        <f>Raw_Claims_Data!L1696</f>
        <v>22</v>
      </c>
      <c r="M1697" t="str">
        <f>IF(Raw_Claims_Data!M1696="","N/A",Raw_Claims_Data!M1696)</f>
        <v>VNDR00594</v>
      </c>
      <c r="N1697" t="str">
        <f>Raw_Claims_Data!N1696</f>
        <v>AGENT00930</v>
      </c>
      <c r="O1697">
        <f>IF(Raw_Claims_Data!G1696="D",1,0)</f>
        <v>0</v>
      </c>
    </row>
    <row r="1698" spans="1:15" x14ac:dyDescent="0.35">
      <c r="A1698" t="str">
        <f>Raw_Claims_Data!A1697</f>
        <v>TXN00001694</v>
      </c>
      <c r="B1698" t="str">
        <f>TRIM(Raw_Claims_Data!B1697)</f>
        <v>Norman Jordan</v>
      </c>
      <c r="C1698" t="str">
        <f>Raw_Claims_Data!C1697</f>
        <v>Travel</v>
      </c>
      <c r="D1698">
        <f>Raw_Claims_Data!D1697</f>
        <v>55.47</v>
      </c>
      <c r="E1698">
        <f>Raw_Claims_Data!E1697</f>
        <v>5000</v>
      </c>
      <c r="F1698" t="str">
        <f>Raw_Claims_Data!F1697</f>
        <v>CO</v>
      </c>
      <c r="G1698" t="str">
        <f>Raw_Claims_Data!G1697</f>
        <v>A</v>
      </c>
      <c r="H1698" t="str">
        <f>Raw_Claims_Data!H1697</f>
        <v>Major Loss</v>
      </c>
      <c r="I1698" t="str">
        <f>IF(Raw_Claims_Data!I1697="","None",Raw_Claims_Data!I1697)</f>
        <v>Other</v>
      </c>
      <c r="J1698" t="str">
        <f>Raw_Claims_Data!J1697</f>
        <v>Colchester</v>
      </c>
      <c r="K1698" t="str">
        <f>Raw_Claims_Data!K1697</f>
        <v>VT</v>
      </c>
      <c r="L1698">
        <f>Raw_Claims_Data!L1697</f>
        <v>3</v>
      </c>
      <c r="M1698" t="str">
        <f>IF(Raw_Claims_Data!M1697="","N/A",Raw_Claims_Data!M1697)</f>
        <v>VNDR00482</v>
      </c>
      <c r="N1698" t="str">
        <f>Raw_Claims_Data!N1697</f>
        <v>AGENT00467</v>
      </c>
      <c r="O1698">
        <f>IF(Raw_Claims_Data!G1697="D",1,0)</f>
        <v>0</v>
      </c>
    </row>
    <row r="1699" spans="1:15" x14ac:dyDescent="0.35">
      <c r="A1699" t="str">
        <f>Raw_Claims_Data!A1698</f>
        <v>TXN00001695</v>
      </c>
      <c r="B1699" t="str">
        <f>TRIM(Raw_Claims_Data!B1698)</f>
        <v>Helen Benz</v>
      </c>
      <c r="C1699" t="str">
        <f>Raw_Claims_Data!C1698</f>
        <v>Travel</v>
      </c>
      <c r="D1699">
        <f>Raw_Claims_Data!D1698</f>
        <v>96.04</v>
      </c>
      <c r="E1699">
        <f>Raw_Claims_Data!E1698</f>
        <v>4000</v>
      </c>
      <c r="F1699" t="str">
        <f>Raw_Claims_Data!F1698</f>
        <v>MA</v>
      </c>
      <c r="G1699" t="str">
        <f>Raw_Claims_Data!G1698</f>
        <v>A</v>
      </c>
      <c r="H1699" t="str">
        <f>Raw_Claims_Data!H1698</f>
        <v>Minor Loss</v>
      </c>
      <c r="I1699" t="str">
        <f>IF(Raw_Claims_Data!I1698="","None",Raw_Claims_Data!I1698)</f>
        <v>Ambulance</v>
      </c>
      <c r="J1699" t="str">
        <f>Raw_Claims_Data!J1698</f>
        <v>Washington</v>
      </c>
      <c r="K1699" t="str">
        <f>Raw_Claims_Data!K1698</f>
        <v>DC</v>
      </c>
      <c r="L1699">
        <f>Raw_Claims_Data!L1698</f>
        <v>0</v>
      </c>
      <c r="M1699" t="str">
        <f>IF(Raw_Claims_Data!M1698="","N/A",Raw_Claims_Data!M1698)</f>
        <v>VNDR00254</v>
      </c>
      <c r="N1699" t="str">
        <f>Raw_Claims_Data!N1698</f>
        <v>AGENT00486</v>
      </c>
      <c r="O1699">
        <f>IF(Raw_Claims_Data!G1698="D",1,0)</f>
        <v>0</v>
      </c>
    </row>
    <row r="1700" spans="1:15" x14ac:dyDescent="0.35">
      <c r="A1700" t="str">
        <f>Raw_Claims_Data!A1699</f>
        <v>TXN00001696</v>
      </c>
      <c r="B1700" t="str">
        <f>TRIM(Raw_Claims_Data!B1699)</f>
        <v>Irene Trinh</v>
      </c>
      <c r="C1700" t="str">
        <f>Raw_Claims_Data!C1699</f>
        <v>Life</v>
      </c>
      <c r="D1700">
        <f>Raw_Claims_Data!D1699</f>
        <v>97.83</v>
      </c>
      <c r="E1700">
        <f>Raw_Claims_Data!E1699</f>
        <v>77000</v>
      </c>
      <c r="F1700" t="str">
        <f>Raw_Claims_Data!F1699</f>
        <v>GA</v>
      </c>
      <c r="G1700" t="str">
        <f>Raw_Claims_Data!G1699</f>
        <v>A</v>
      </c>
      <c r="H1700" t="str">
        <f>Raw_Claims_Data!H1699</f>
        <v>Minor Loss</v>
      </c>
      <c r="I1700" t="str">
        <f>IF(Raw_Claims_Data!I1699="","None",Raw_Claims_Data!I1699)</f>
        <v>Other</v>
      </c>
      <c r="J1700" t="str">
        <f>Raw_Claims_Data!J1699</f>
        <v>Glen Burnie</v>
      </c>
      <c r="K1700" t="str">
        <f>Raw_Claims_Data!K1699</f>
        <v>MD</v>
      </c>
      <c r="L1700">
        <f>Raw_Claims_Data!L1699</f>
        <v>2</v>
      </c>
      <c r="M1700" t="str">
        <f>IF(Raw_Claims_Data!M1699="","N/A",Raw_Claims_Data!M1699)</f>
        <v>VNDR00326</v>
      </c>
      <c r="N1700" t="str">
        <f>Raw_Claims_Data!N1699</f>
        <v>AGENT00734</v>
      </c>
      <c r="O1700">
        <f>IF(Raw_Claims_Data!G1699="D",1,0)</f>
        <v>0</v>
      </c>
    </row>
    <row r="1701" spans="1:15" x14ac:dyDescent="0.35">
      <c r="A1701" t="str">
        <f>Raw_Claims_Data!A1700</f>
        <v>TXN00001697</v>
      </c>
      <c r="B1701" t="str">
        <f>TRIM(Raw_Claims_Data!B1700)</f>
        <v>Rogelio Richards</v>
      </c>
      <c r="C1701" t="str">
        <f>Raw_Claims_Data!C1700</f>
        <v>Health</v>
      </c>
      <c r="D1701">
        <f>Raw_Claims_Data!D1700</f>
        <v>196.1</v>
      </c>
      <c r="E1701">
        <f>Raw_Claims_Data!E1700</f>
        <v>7000</v>
      </c>
      <c r="F1701" t="str">
        <f>Raw_Claims_Data!F1700</f>
        <v>TN</v>
      </c>
      <c r="G1701" t="str">
        <f>Raw_Claims_Data!G1700</f>
        <v>A</v>
      </c>
      <c r="H1701" t="str">
        <f>Raw_Claims_Data!H1700</f>
        <v>Major Loss</v>
      </c>
      <c r="I1701" t="str">
        <f>IF(Raw_Claims_Data!I1700="","None",Raw_Claims_Data!I1700)</f>
        <v>Police</v>
      </c>
      <c r="J1701" t="str">
        <f>Raw_Claims_Data!J1700</f>
        <v>Fayetteville</v>
      </c>
      <c r="K1701" t="str">
        <f>Raw_Claims_Data!K1700</f>
        <v>AR</v>
      </c>
      <c r="L1701">
        <f>Raw_Claims_Data!L1700</f>
        <v>22</v>
      </c>
      <c r="M1701" t="str">
        <f>IF(Raw_Claims_Data!M1700="","N/A",Raw_Claims_Data!M1700)</f>
        <v>VNDR00228</v>
      </c>
      <c r="N1701" t="str">
        <f>Raw_Claims_Data!N1700</f>
        <v>AGENT00823</v>
      </c>
      <c r="O1701">
        <f>IF(Raw_Claims_Data!G1700="D",1,0)</f>
        <v>0</v>
      </c>
    </row>
    <row r="1702" spans="1:15" x14ac:dyDescent="0.35">
      <c r="A1702" t="str">
        <f>Raw_Claims_Data!A1701</f>
        <v>TXN00001698</v>
      </c>
      <c r="B1702" t="str">
        <f>TRIM(Raw_Claims_Data!B1701)</f>
        <v>David Peoples</v>
      </c>
      <c r="C1702" t="str">
        <f>Raw_Claims_Data!C1701</f>
        <v>Mobile</v>
      </c>
      <c r="D1702">
        <f>Raw_Claims_Data!D1701</f>
        <v>11.67</v>
      </c>
      <c r="E1702">
        <f>Raw_Claims_Data!E1701</f>
        <v>300</v>
      </c>
      <c r="F1702" t="str">
        <f>Raw_Claims_Data!F1701</f>
        <v>AK</v>
      </c>
      <c r="G1702" t="str">
        <f>Raw_Claims_Data!G1701</f>
        <v>A</v>
      </c>
      <c r="H1702" t="str">
        <f>Raw_Claims_Data!H1701</f>
        <v>Minor Loss</v>
      </c>
      <c r="I1702" t="str">
        <f>IF(Raw_Claims_Data!I1701="","None",Raw_Claims_Data!I1701)</f>
        <v>Police</v>
      </c>
      <c r="J1702" t="str">
        <f>Raw_Claims_Data!J1701</f>
        <v>Panama City Beach</v>
      </c>
      <c r="K1702" t="str">
        <f>Raw_Claims_Data!K1701</f>
        <v>FL</v>
      </c>
      <c r="L1702">
        <f>Raw_Claims_Data!L1701</f>
        <v>1</v>
      </c>
      <c r="M1702" t="str">
        <f>IF(Raw_Claims_Data!M1701="","N/A",Raw_Claims_Data!M1701)</f>
        <v>VNDR00354</v>
      </c>
      <c r="N1702" t="str">
        <f>Raw_Claims_Data!N1701</f>
        <v>AGENT00714</v>
      </c>
      <c r="O1702">
        <f>IF(Raw_Claims_Data!G1701="D",1,0)</f>
        <v>0</v>
      </c>
    </row>
    <row r="1703" spans="1:15" x14ac:dyDescent="0.35">
      <c r="A1703" t="str">
        <f>Raw_Claims_Data!A1702</f>
        <v>TXN00001699</v>
      </c>
      <c r="B1703" t="str">
        <f>TRIM(Raw_Claims_Data!B1702)</f>
        <v>Morris Butler</v>
      </c>
      <c r="C1703" t="str">
        <f>Raw_Claims_Data!C1702</f>
        <v>Life</v>
      </c>
      <c r="D1703">
        <f>Raw_Claims_Data!D1702</f>
        <v>80.67</v>
      </c>
      <c r="E1703">
        <f>Raw_Claims_Data!E1702</f>
        <v>92000</v>
      </c>
      <c r="F1703" t="str">
        <f>Raw_Claims_Data!F1702</f>
        <v>CA</v>
      </c>
      <c r="G1703" t="str">
        <f>Raw_Claims_Data!G1702</f>
        <v>A</v>
      </c>
      <c r="H1703" t="str">
        <f>Raw_Claims_Data!H1702</f>
        <v>Major Loss</v>
      </c>
      <c r="I1703" t="str">
        <f>IF(Raw_Claims_Data!I1702="","None",Raw_Claims_Data!I1702)</f>
        <v>Ambulance</v>
      </c>
      <c r="J1703" t="str">
        <f>Raw_Claims_Data!J1702</f>
        <v>Louisville</v>
      </c>
      <c r="K1703" t="str">
        <f>Raw_Claims_Data!K1702</f>
        <v>KY</v>
      </c>
      <c r="L1703">
        <f>Raw_Claims_Data!L1702</f>
        <v>18</v>
      </c>
      <c r="M1703" t="str">
        <f>IF(Raw_Claims_Data!M1702="","N/A",Raw_Claims_Data!M1702)</f>
        <v>N/A</v>
      </c>
      <c r="N1703" t="str">
        <f>Raw_Claims_Data!N1702</f>
        <v>AGENT00777</v>
      </c>
      <c r="O1703">
        <f>IF(Raw_Claims_Data!G1702="D",1,0)</f>
        <v>0</v>
      </c>
    </row>
    <row r="1704" spans="1:15" x14ac:dyDescent="0.35">
      <c r="A1704" t="str">
        <f>Raw_Claims_Data!A1703</f>
        <v>TXN00001700</v>
      </c>
      <c r="B1704" t="str">
        <f>TRIM(Raw_Claims_Data!B1703)</f>
        <v>Tennille Bieber</v>
      </c>
      <c r="C1704" t="str">
        <f>Raw_Claims_Data!C1703</f>
        <v>Motor</v>
      </c>
      <c r="D1704">
        <f>Raw_Claims_Data!D1703</f>
        <v>118.17</v>
      </c>
      <c r="E1704">
        <f>Raw_Claims_Data!E1703</f>
        <v>1000</v>
      </c>
      <c r="F1704" t="str">
        <f>Raw_Claims_Data!F1703</f>
        <v>TN</v>
      </c>
      <c r="G1704" t="str">
        <f>Raw_Claims_Data!G1703</f>
        <v>A</v>
      </c>
      <c r="H1704" t="str">
        <f>Raw_Claims_Data!H1703</f>
        <v>Major Loss</v>
      </c>
      <c r="I1704" t="str">
        <f>IF(Raw_Claims_Data!I1703="","None",Raw_Claims_Data!I1703)</f>
        <v>Other</v>
      </c>
      <c r="J1704" t="str">
        <f>Raw_Claims_Data!J1703</f>
        <v>Savannah</v>
      </c>
      <c r="K1704" t="str">
        <f>Raw_Claims_Data!K1703</f>
        <v>GA</v>
      </c>
      <c r="L1704">
        <f>Raw_Claims_Data!L1703</f>
        <v>15</v>
      </c>
      <c r="M1704" t="str">
        <f>IF(Raw_Claims_Data!M1703="","N/A",Raw_Claims_Data!M1703)</f>
        <v>VNDR00315</v>
      </c>
      <c r="N1704" t="str">
        <f>Raw_Claims_Data!N1703</f>
        <v>AGENT01152</v>
      </c>
      <c r="O1704">
        <f>IF(Raw_Claims_Data!G1703="D",1,0)</f>
        <v>0</v>
      </c>
    </row>
    <row r="1705" spans="1:15" x14ac:dyDescent="0.35">
      <c r="A1705" t="str">
        <f>Raw_Claims_Data!A1704</f>
        <v>TXN00001701</v>
      </c>
      <c r="B1705" t="str">
        <f>TRIM(Raw_Claims_Data!B1704)</f>
        <v>Allen Phares</v>
      </c>
      <c r="C1705" t="str">
        <f>Raw_Claims_Data!C1704</f>
        <v>Motor</v>
      </c>
      <c r="D1705">
        <f>Raw_Claims_Data!D1704</f>
        <v>130.9</v>
      </c>
      <c r="E1705">
        <f>Raw_Claims_Data!E1704</f>
        <v>5000</v>
      </c>
      <c r="F1705" t="str">
        <f>Raw_Claims_Data!F1704</f>
        <v>AZ</v>
      </c>
      <c r="G1705" t="str">
        <f>Raw_Claims_Data!G1704</f>
        <v>A</v>
      </c>
      <c r="H1705" t="str">
        <f>Raw_Claims_Data!H1704</f>
        <v>Major Loss</v>
      </c>
      <c r="I1705" t="str">
        <f>IF(Raw_Claims_Data!I1704="","None",Raw_Claims_Data!I1704)</f>
        <v>Ambulance</v>
      </c>
      <c r="J1705" t="str">
        <f>Raw_Claims_Data!J1704</f>
        <v>Glendale</v>
      </c>
      <c r="K1705" t="str">
        <f>Raw_Claims_Data!K1704</f>
        <v>AZ</v>
      </c>
      <c r="L1705">
        <f>Raw_Claims_Data!L1704</f>
        <v>8</v>
      </c>
      <c r="M1705" t="str">
        <f>IF(Raw_Claims_Data!M1704="","N/A",Raw_Claims_Data!M1704)</f>
        <v>VNDR00228</v>
      </c>
      <c r="N1705" t="str">
        <f>Raw_Claims_Data!N1704</f>
        <v>AGENT00595</v>
      </c>
      <c r="O1705">
        <f>IF(Raw_Claims_Data!G1704="D",1,0)</f>
        <v>0</v>
      </c>
    </row>
    <row r="1706" spans="1:15" x14ac:dyDescent="0.35">
      <c r="A1706" t="str">
        <f>Raw_Claims_Data!A1705</f>
        <v>TXN00001702</v>
      </c>
      <c r="B1706" t="str">
        <f>TRIM(Raw_Claims_Data!B1705)</f>
        <v>Dominick Daniels</v>
      </c>
      <c r="C1706" t="str">
        <f>Raw_Claims_Data!C1705</f>
        <v>Life</v>
      </c>
      <c r="D1706">
        <f>Raw_Claims_Data!D1705</f>
        <v>90.46</v>
      </c>
      <c r="E1706">
        <f>Raw_Claims_Data!E1705</f>
        <v>55000</v>
      </c>
      <c r="F1706" t="str">
        <f>Raw_Claims_Data!F1705</f>
        <v>AR</v>
      </c>
      <c r="G1706" t="str">
        <f>Raw_Claims_Data!G1705</f>
        <v>A</v>
      </c>
      <c r="H1706" t="str">
        <f>Raw_Claims_Data!H1705</f>
        <v>Major Loss</v>
      </c>
      <c r="I1706" t="str">
        <f>IF(Raw_Claims_Data!I1705="","None",Raw_Claims_Data!I1705)</f>
        <v>None</v>
      </c>
      <c r="J1706" t="str">
        <f>Raw_Claims_Data!J1705</f>
        <v>Manchester</v>
      </c>
      <c r="K1706" t="str">
        <f>Raw_Claims_Data!K1705</f>
        <v>CT</v>
      </c>
      <c r="L1706">
        <f>Raw_Claims_Data!L1705</f>
        <v>23</v>
      </c>
      <c r="M1706" t="str">
        <f>IF(Raw_Claims_Data!M1705="","N/A",Raw_Claims_Data!M1705)</f>
        <v>VNDR00134</v>
      </c>
      <c r="N1706" t="str">
        <f>Raw_Claims_Data!N1705</f>
        <v>AGENT00395</v>
      </c>
      <c r="O1706">
        <f>IF(Raw_Claims_Data!G1705="D",1,0)</f>
        <v>0</v>
      </c>
    </row>
    <row r="1707" spans="1:15" x14ac:dyDescent="0.35">
      <c r="A1707" t="str">
        <f>Raw_Claims_Data!A1706</f>
        <v>TXN00001703</v>
      </c>
      <c r="B1707" t="str">
        <f>TRIM(Raw_Claims_Data!B1706)</f>
        <v>Stanley Limones</v>
      </c>
      <c r="C1707" t="str">
        <f>Raw_Claims_Data!C1706</f>
        <v>Health</v>
      </c>
      <c r="D1707">
        <f>Raw_Claims_Data!D1706</f>
        <v>129.38999999999999</v>
      </c>
      <c r="E1707">
        <f>Raw_Claims_Data!E1706</f>
        <v>1000</v>
      </c>
      <c r="F1707" t="str">
        <f>Raw_Claims_Data!F1706</f>
        <v>DC</v>
      </c>
      <c r="G1707" t="str">
        <f>Raw_Claims_Data!G1706</f>
        <v>A</v>
      </c>
      <c r="H1707" t="str">
        <f>Raw_Claims_Data!H1706</f>
        <v>Minor Loss</v>
      </c>
      <c r="I1707" t="str">
        <f>IF(Raw_Claims_Data!I1706="","None",Raw_Claims_Data!I1706)</f>
        <v>Police</v>
      </c>
      <c r="J1707" t="str">
        <f>Raw_Claims_Data!J1706</f>
        <v>Brockton</v>
      </c>
      <c r="K1707" t="str">
        <f>Raw_Claims_Data!K1706</f>
        <v>MA</v>
      </c>
      <c r="L1707">
        <f>Raw_Claims_Data!L1706</f>
        <v>20</v>
      </c>
      <c r="M1707" t="str">
        <f>IF(Raw_Claims_Data!M1706="","N/A",Raw_Claims_Data!M1706)</f>
        <v>N/A</v>
      </c>
      <c r="N1707" t="str">
        <f>Raw_Claims_Data!N1706</f>
        <v>AGENT00709</v>
      </c>
      <c r="O1707">
        <f>IF(Raw_Claims_Data!G1706="D",1,0)</f>
        <v>0</v>
      </c>
    </row>
    <row r="1708" spans="1:15" x14ac:dyDescent="0.35">
      <c r="A1708" t="str">
        <f>Raw_Claims_Data!A1707</f>
        <v>TXN00001704</v>
      </c>
      <c r="B1708" t="str">
        <f>TRIM(Raw_Claims_Data!B1707)</f>
        <v>Earl Fort</v>
      </c>
      <c r="C1708" t="str">
        <f>Raw_Claims_Data!C1707</f>
        <v>Health</v>
      </c>
      <c r="D1708">
        <f>Raw_Claims_Data!D1707</f>
        <v>131.63</v>
      </c>
      <c r="E1708">
        <f>Raw_Claims_Data!E1707</f>
        <v>19000</v>
      </c>
      <c r="F1708" t="str">
        <f>Raw_Claims_Data!F1707</f>
        <v>MA</v>
      </c>
      <c r="G1708" t="str">
        <f>Raw_Claims_Data!G1707</f>
        <v>A</v>
      </c>
      <c r="H1708" t="str">
        <f>Raw_Claims_Data!H1707</f>
        <v>Minor Loss</v>
      </c>
      <c r="I1708" t="str">
        <f>IF(Raw_Claims_Data!I1707="","None",Raw_Claims_Data!I1707)</f>
        <v>None</v>
      </c>
      <c r="J1708" t="str">
        <f>Raw_Claims_Data!J1707</f>
        <v>Mexico Beach</v>
      </c>
      <c r="K1708" t="str">
        <f>Raw_Claims_Data!K1707</f>
        <v>FL</v>
      </c>
      <c r="L1708">
        <f>Raw_Claims_Data!L1707</f>
        <v>0</v>
      </c>
      <c r="M1708" t="str">
        <f>IF(Raw_Claims_Data!M1707="","N/A",Raw_Claims_Data!M1707)</f>
        <v>VNDR00060</v>
      </c>
      <c r="N1708" t="str">
        <f>Raw_Claims_Data!N1707</f>
        <v>AGENT00952</v>
      </c>
      <c r="O1708">
        <f>IF(Raw_Claims_Data!G1707="D",1,0)</f>
        <v>0</v>
      </c>
    </row>
    <row r="1709" spans="1:15" x14ac:dyDescent="0.35">
      <c r="A1709" t="str">
        <f>Raw_Claims_Data!A1708</f>
        <v>TXN00001705</v>
      </c>
      <c r="B1709" t="str">
        <f>TRIM(Raw_Claims_Data!B1708)</f>
        <v>Tommy Perry</v>
      </c>
      <c r="C1709" t="str">
        <f>Raw_Claims_Data!C1708</f>
        <v>Motor</v>
      </c>
      <c r="D1709">
        <f>Raw_Claims_Data!D1708</f>
        <v>77.5</v>
      </c>
      <c r="E1709">
        <f>Raw_Claims_Data!E1708</f>
        <v>4000</v>
      </c>
      <c r="F1709" t="str">
        <f>Raw_Claims_Data!F1708</f>
        <v>TN</v>
      </c>
      <c r="G1709" t="str">
        <f>Raw_Claims_Data!G1708</f>
        <v>A</v>
      </c>
      <c r="H1709" t="str">
        <f>Raw_Claims_Data!H1708</f>
        <v>Major Loss</v>
      </c>
      <c r="I1709" t="str">
        <f>IF(Raw_Claims_Data!I1708="","None",Raw_Claims_Data!I1708)</f>
        <v>Police</v>
      </c>
      <c r="J1709" t="str">
        <f>Raw_Claims_Data!J1708</f>
        <v>Los Angeles</v>
      </c>
      <c r="K1709" t="str">
        <f>Raw_Claims_Data!K1708</f>
        <v>CA</v>
      </c>
      <c r="L1709">
        <f>Raw_Claims_Data!L1708</f>
        <v>2</v>
      </c>
      <c r="M1709" t="str">
        <f>IF(Raw_Claims_Data!M1708="","N/A",Raw_Claims_Data!M1708)</f>
        <v>VNDR00266</v>
      </c>
      <c r="N1709" t="str">
        <f>Raw_Claims_Data!N1708</f>
        <v>AGENT01200</v>
      </c>
      <c r="O1709">
        <f>IF(Raw_Claims_Data!G1708="D",1,0)</f>
        <v>0</v>
      </c>
    </row>
    <row r="1710" spans="1:15" x14ac:dyDescent="0.35">
      <c r="A1710" t="str">
        <f>Raw_Claims_Data!A1709</f>
        <v>TXN00001706</v>
      </c>
      <c r="B1710" t="str">
        <f>TRIM(Raw_Claims_Data!B1709)</f>
        <v>Thomas Burnham</v>
      </c>
      <c r="C1710" t="str">
        <f>Raw_Claims_Data!C1709</f>
        <v>Travel</v>
      </c>
      <c r="D1710">
        <f>Raw_Claims_Data!D1709</f>
        <v>89.39</v>
      </c>
      <c r="E1710">
        <f>Raw_Claims_Data!E1709</f>
        <v>4000</v>
      </c>
      <c r="F1710" t="str">
        <f>Raw_Claims_Data!F1709</f>
        <v>AL</v>
      </c>
      <c r="G1710" t="str">
        <f>Raw_Claims_Data!G1709</f>
        <v>A</v>
      </c>
      <c r="H1710" t="str">
        <f>Raw_Claims_Data!H1709</f>
        <v>Minor Loss</v>
      </c>
      <c r="I1710" t="str">
        <f>IF(Raw_Claims_Data!I1709="","None",Raw_Claims_Data!I1709)</f>
        <v>None</v>
      </c>
      <c r="J1710" t="str">
        <f>Raw_Claims_Data!J1709</f>
        <v>Panama City</v>
      </c>
      <c r="K1710" t="str">
        <f>Raw_Claims_Data!K1709</f>
        <v>FL</v>
      </c>
      <c r="L1710">
        <f>Raw_Claims_Data!L1709</f>
        <v>1</v>
      </c>
      <c r="M1710" t="str">
        <f>IF(Raw_Claims_Data!M1709="","N/A",Raw_Claims_Data!M1709)</f>
        <v>VNDR00188</v>
      </c>
      <c r="N1710" t="str">
        <f>Raw_Claims_Data!N1709</f>
        <v>AGENT00277</v>
      </c>
      <c r="O1710">
        <f>IF(Raw_Claims_Data!G1709="D",1,0)</f>
        <v>0</v>
      </c>
    </row>
    <row r="1711" spans="1:15" x14ac:dyDescent="0.35">
      <c r="A1711" t="str">
        <f>Raw_Claims_Data!A1710</f>
        <v>TXN00001707</v>
      </c>
      <c r="B1711" t="str">
        <f>TRIM(Raw_Claims_Data!B1710)</f>
        <v>Ada Vermeesch</v>
      </c>
      <c r="C1711" t="str">
        <f>Raw_Claims_Data!C1710</f>
        <v>Property</v>
      </c>
      <c r="D1711">
        <f>Raw_Claims_Data!D1710</f>
        <v>117.43</v>
      </c>
      <c r="E1711">
        <f>Raw_Claims_Data!E1710</f>
        <v>17000</v>
      </c>
      <c r="F1711" t="str">
        <f>Raw_Claims_Data!F1710</f>
        <v>MA</v>
      </c>
      <c r="G1711" t="str">
        <f>Raw_Claims_Data!G1710</f>
        <v>A</v>
      </c>
      <c r="H1711" t="str">
        <f>Raw_Claims_Data!H1710</f>
        <v>Minor Loss</v>
      </c>
      <c r="I1711" t="str">
        <f>IF(Raw_Claims_Data!I1710="","None",Raw_Claims_Data!I1710)</f>
        <v>Police</v>
      </c>
      <c r="J1711" t="str">
        <f>Raw_Claims_Data!J1710</f>
        <v>Glendale</v>
      </c>
      <c r="K1711" t="str">
        <f>Raw_Claims_Data!K1710</f>
        <v>AZ</v>
      </c>
      <c r="L1711">
        <f>Raw_Claims_Data!L1710</f>
        <v>0</v>
      </c>
      <c r="M1711" t="str">
        <f>IF(Raw_Claims_Data!M1710="","N/A",Raw_Claims_Data!M1710)</f>
        <v>VNDR00387</v>
      </c>
      <c r="N1711" t="str">
        <f>Raw_Claims_Data!N1710</f>
        <v>AGENT00972</v>
      </c>
      <c r="O1711">
        <f>IF(Raw_Claims_Data!G1710="D",1,0)</f>
        <v>0</v>
      </c>
    </row>
    <row r="1712" spans="1:15" x14ac:dyDescent="0.35">
      <c r="A1712" t="str">
        <f>Raw_Claims_Data!A1711</f>
        <v>TXN00001708</v>
      </c>
      <c r="B1712" t="str">
        <f>TRIM(Raw_Claims_Data!B1711)</f>
        <v>Monica Mention</v>
      </c>
      <c r="C1712" t="str">
        <f>Raw_Claims_Data!C1711</f>
        <v>Travel</v>
      </c>
      <c r="D1712">
        <f>Raw_Claims_Data!D1711</f>
        <v>54.99</v>
      </c>
      <c r="E1712">
        <f>Raw_Claims_Data!E1711</f>
        <v>3000</v>
      </c>
      <c r="F1712" t="str">
        <f>Raw_Claims_Data!F1711</f>
        <v>OK</v>
      </c>
      <c r="G1712" t="str">
        <f>Raw_Claims_Data!G1711</f>
        <v>A</v>
      </c>
      <c r="H1712" t="str">
        <f>Raw_Claims_Data!H1711</f>
        <v>Total Loss</v>
      </c>
      <c r="I1712" t="str">
        <f>IF(Raw_Claims_Data!I1711="","None",Raw_Claims_Data!I1711)</f>
        <v>Ambulance</v>
      </c>
      <c r="J1712" t="str">
        <f>Raw_Claims_Data!J1711</f>
        <v>Nashville</v>
      </c>
      <c r="K1712" t="str">
        <f>Raw_Claims_Data!K1711</f>
        <v>TN</v>
      </c>
      <c r="L1712">
        <f>Raw_Claims_Data!L1711</f>
        <v>22</v>
      </c>
      <c r="M1712" t="str">
        <f>IF(Raw_Claims_Data!M1711="","N/A",Raw_Claims_Data!M1711)</f>
        <v>VNDR00448</v>
      </c>
      <c r="N1712" t="str">
        <f>Raw_Claims_Data!N1711</f>
        <v>AGENT01186</v>
      </c>
      <c r="O1712">
        <f>IF(Raw_Claims_Data!G1711="D",1,0)</f>
        <v>0</v>
      </c>
    </row>
    <row r="1713" spans="1:15" x14ac:dyDescent="0.35">
      <c r="A1713" t="str">
        <f>Raw_Claims_Data!A1712</f>
        <v>TXN00001709</v>
      </c>
      <c r="B1713" t="str">
        <f>TRIM(Raw_Claims_Data!B1712)</f>
        <v>Ebony Payson</v>
      </c>
      <c r="C1713" t="str">
        <f>Raw_Claims_Data!C1712</f>
        <v>Life</v>
      </c>
      <c r="D1713">
        <f>Raw_Claims_Data!D1712</f>
        <v>83.19</v>
      </c>
      <c r="E1713">
        <f>Raw_Claims_Data!E1712</f>
        <v>74000</v>
      </c>
      <c r="F1713" t="str">
        <f>Raw_Claims_Data!F1712</f>
        <v>MD</v>
      </c>
      <c r="G1713" t="str">
        <f>Raw_Claims_Data!G1712</f>
        <v>A</v>
      </c>
      <c r="H1713" t="str">
        <f>Raw_Claims_Data!H1712</f>
        <v>Minor Loss</v>
      </c>
      <c r="I1713" t="str">
        <f>IF(Raw_Claims_Data!I1712="","None",Raw_Claims_Data!I1712)</f>
        <v>None</v>
      </c>
      <c r="J1713" t="str">
        <f>Raw_Claims_Data!J1712</f>
        <v>Glendale</v>
      </c>
      <c r="K1713" t="str">
        <f>Raw_Claims_Data!K1712</f>
        <v>AZ</v>
      </c>
      <c r="L1713">
        <f>Raw_Claims_Data!L1712</f>
        <v>15</v>
      </c>
      <c r="M1713" t="str">
        <f>IF(Raw_Claims_Data!M1712="","N/A",Raw_Claims_Data!M1712)</f>
        <v>VNDR00488</v>
      </c>
      <c r="N1713" t="str">
        <f>Raw_Claims_Data!N1712</f>
        <v>AGENT00918</v>
      </c>
      <c r="O1713">
        <f>IF(Raw_Claims_Data!G1712="D",1,0)</f>
        <v>0</v>
      </c>
    </row>
    <row r="1714" spans="1:15" x14ac:dyDescent="0.35">
      <c r="A1714" t="str">
        <f>Raw_Claims_Data!A1713</f>
        <v>TXN00001710</v>
      </c>
      <c r="B1714" t="str">
        <f>TRIM(Raw_Claims_Data!B1713)</f>
        <v>Rebecca Lance</v>
      </c>
      <c r="C1714" t="str">
        <f>Raw_Claims_Data!C1713</f>
        <v>Health</v>
      </c>
      <c r="D1714">
        <f>Raw_Claims_Data!D1713</f>
        <v>157.41999999999999</v>
      </c>
      <c r="E1714">
        <f>Raw_Claims_Data!E1713</f>
        <v>6000</v>
      </c>
      <c r="F1714" t="str">
        <f>Raw_Claims_Data!F1713</f>
        <v>CA</v>
      </c>
      <c r="G1714" t="str">
        <f>Raw_Claims_Data!G1713</f>
        <v>A</v>
      </c>
      <c r="H1714" t="str">
        <f>Raw_Claims_Data!H1713</f>
        <v>Major Loss</v>
      </c>
      <c r="I1714" t="str">
        <f>IF(Raw_Claims_Data!I1713="","None",Raw_Claims_Data!I1713)</f>
        <v>None</v>
      </c>
      <c r="J1714" t="str">
        <f>Raw_Claims_Data!J1713</f>
        <v>Pawlet</v>
      </c>
      <c r="K1714" t="str">
        <f>Raw_Claims_Data!K1713</f>
        <v>VT</v>
      </c>
      <c r="L1714">
        <f>Raw_Claims_Data!L1713</f>
        <v>17</v>
      </c>
      <c r="M1714" t="str">
        <f>IF(Raw_Claims_Data!M1713="","N/A",Raw_Claims_Data!M1713)</f>
        <v>VNDR00279</v>
      </c>
      <c r="N1714" t="str">
        <f>Raw_Claims_Data!N1713</f>
        <v>AGENT00365</v>
      </c>
      <c r="O1714">
        <f>IF(Raw_Claims_Data!G1713="D",1,0)</f>
        <v>0</v>
      </c>
    </row>
    <row r="1715" spans="1:15" x14ac:dyDescent="0.35">
      <c r="A1715" t="str">
        <f>Raw_Claims_Data!A1714</f>
        <v>TXN00001711</v>
      </c>
      <c r="B1715" t="str">
        <f>TRIM(Raw_Claims_Data!B1714)</f>
        <v>Mary Mckie</v>
      </c>
      <c r="C1715" t="str">
        <f>Raw_Claims_Data!C1714</f>
        <v>Motor</v>
      </c>
      <c r="D1715">
        <f>Raw_Claims_Data!D1714</f>
        <v>107.35</v>
      </c>
      <c r="E1715">
        <f>Raw_Claims_Data!E1714</f>
        <v>1000</v>
      </c>
      <c r="F1715" t="str">
        <f>Raw_Claims_Data!F1714</f>
        <v>MD</v>
      </c>
      <c r="G1715" t="str">
        <f>Raw_Claims_Data!G1714</f>
        <v>A</v>
      </c>
      <c r="H1715" t="str">
        <f>Raw_Claims_Data!H1714</f>
        <v>Total Loss</v>
      </c>
      <c r="I1715" t="str">
        <f>IF(Raw_Claims_Data!I1714="","None",Raw_Claims_Data!I1714)</f>
        <v>Ambulance</v>
      </c>
      <c r="J1715" t="str">
        <f>Raw_Claims_Data!J1714</f>
        <v>Panama City Beach</v>
      </c>
      <c r="K1715" t="str">
        <f>Raw_Claims_Data!K1714</f>
        <v>FL</v>
      </c>
      <c r="L1715">
        <f>Raw_Claims_Data!L1714</f>
        <v>3</v>
      </c>
      <c r="M1715" t="str">
        <f>IF(Raw_Claims_Data!M1714="","N/A",Raw_Claims_Data!M1714)</f>
        <v>VNDR00402</v>
      </c>
      <c r="N1715" t="str">
        <f>Raw_Claims_Data!N1714</f>
        <v>AGENT00151</v>
      </c>
      <c r="O1715">
        <f>IF(Raw_Claims_Data!G1714="D",1,0)</f>
        <v>0</v>
      </c>
    </row>
    <row r="1716" spans="1:15" x14ac:dyDescent="0.35">
      <c r="A1716" t="str">
        <f>Raw_Claims_Data!A1715</f>
        <v>TXN00001712</v>
      </c>
      <c r="B1716" t="str">
        <f>TRIM(Raw_Claims_Data!B1715)</f>
        <v>Kandice Pickle</v>
      </c>
      <c r="C1716" t="str">
        <f>Raw_Claims_Data!C1715</f>
        <v>Motor</v>
      </c>
      <c r="D1716">
        <f>Raw_Claims_Data!D1715</f>
        <v>113.54</v>
      </c>
      <c r="E1716">
        <f>Raw_Claims_Data!E1715</f>
        <v>10000</v>
      </c>
      <c r="F1716" t="str">
        <f>Raw_Claims_Data!F1715</f>
        <v>CO</v>
      </c>
      <c r="G1716" t="str">
        <f>Raw_Claims_Data!G1715</f>
        <v>A</v>
      </c>
      <c r="H1716" t="str">
        <f>Raw_Claims_Data!H1715</f>
        <v>Minor Loss</v>
      </c>
      <c r="I1716" t="str">
        <f>IF(Raw_Claims_Data!I1715="","None",Raw_Claims_Data!I1715)</f>
        <v>Police</v>
      </c>
      <c r="J1716" t="str">
        <f>Raw_Claims_Data!J1715</f>
        <v>Plantation</v>
      </c>
      <c r="K1716" t="str">
        <f>Raw_Claims_Data!K1715</f>
        <v>KY</v>
      </c>
      <c r="L1716">
        <f>Raw_Claims_Data!L1715</f>
        <v>4</v>
      </c>
      <c r="M1716" t="str">
        <f>IF(Raw_Claims_Data!M1715="","N/A",Raw_Claims_Data!M1715)</f>
        <v>N/A</v>
      </c>
      <c r="N1716" t="str">
        <f>Raw_Claims_Data!N1715</f>
        <v>AGENT00006</v>
      </c>
      <c r="O1716">
        <f>IF(Raw_Claims_Data!G1715="D",1,0)</f>
        <v>0</v>
      </c>
    </row>
    <row r="1717" spans="1:15" x14ac:dyDescent="0.35">
      <c r="A1717" t="str">
        <f>Raw_Claims_Data!A1716</f>
        <v>TXN00001713</v>
      </c>
      <c r="B1717" t="str">
        <f>TRIM(Raw_Claims_Data!B1716)</f>
        <v>Albert Waters</v>
      </c>
      <c r="C1717" t="str">
        <f>Raw_Claims_Data!C1716</f>
        <v>Life</v>
      </c>
      <c r="D1717">
        <f>Raw_Claims_Data!D1716</f>
        <v>95.3</v>
      </c>
      <c r="E1717">
        <f>Raw_Claims_Data!E1716</f>
        <v>88000</v>
      </c>
      <c r="F1717" t="str">
        <f>Raw_Claims_Data!F1716</f>
        <v>AL</v>
      </c>
      <c r="G1717" t="str">
        <f>Raw_Claims_Data!G1716</f>
        <v>A</v>
      </c>
      <c r="H1717" t="str">
        <f>Raw_Claims_Data!H1716</f>
        <v>Minor Loss</v>
      </c>
      <c r="I1717" t="str">
        <f>IF(Raw_Claims_Data!I1716="","None",Raw_Claims_Data!I1716)</f>
        <v>None</v>
      </c>
      <c r="J1717" t="str">
        <f>Raw_Claims_Data!J1716</f>
        <v>Edmond</v>
      </c>
      <c r="K1717" t="str">
        <f>Raw_Claims_Data!K1716</f>
        <v>OK</v>
      </c>
      <c r="L1717">
        <f>Raw_Claims_Data!L1716</f>
        <v>12</v>
      </c>
      <c r="M1717" t="str">
        <f>IF(Raw_Claims_Data!M1716="","N/A",Raw_Claims_Data!M1716)</f>
        <v>N/A</v>
      </c>
      <c r="N1717" t="str">
        <f>Raw_Claims_Data!N1716</f>
        <v>AGENT00262</v>
      </c>
      <c r="O1717">
        <f>IF(Raw_Claims_Data!G1716="D",1,0)</f>
        <v>0</v>
      </c>
    </row>
    <row r="1718" spans="1:15" x14ac:dyDescent="0.35">
      <c r="A1718" t="str">
        <f>Raw_Claims_Data!A1717</f>
        <v>TXN00001714</v>
      </c>
      <c r="B1718" t="str">
        <f>TRIM(Raw_Claims_Data!B1717)</f>
        <v>Anthony Kornbluth</v>
      </c>
      <c r="C1718" t="str">
        <f>Raw_Claims_Data!C1717</f>
        <v>Travel</v>
      </c>
      <c r="D1718">
        <f>Raw_Claims_Data!D1717</f>
        <v>83.61</v>
      </c>
      <c r="E1718">
        <f>Raw_Claims_Data!E1717</f>
        <v>1000</v>
      </c>
      <c r="F1718" t="str">
        <f>Raw_Claims_Data!F1717</f>
        <v>OK</v>
      </c>
      <c r="G1718" t="str">
        <f>Raw_Claims_Data!G1717</f>
        <v>A</v>
      </c>
      <c r="H1718" t="str">
        <f>Raw_Claims_Data!H1717</f>
        <v>Major Loss</v>
      </c>
      <c r="I1718" t="str">
        <f>IF(Raw_Claims_Data!I1717="","None",Raw_Claims_Data!I1717)</f>
        <v>Police</v>
      </c>
      <c r="J1718" t="str">
        <f>Raw_Claims_Data!J1717</f>
        <v>Glendale</v>
      </c>
      <c r="K1718" t="str">
        <f>Raw_Claims_Data!K1717</f>
        <v>AZ</v>
      </c>
      <c r="L1718">
        <f>Raw_Claims_Data!L1717</f>
        <v>14</v>
      </c>
      <c r="M1718" t="str">
        <f>IF(Raw_Claims_Data!M1717="","N/A",Raw_Claims_Data!M1717)</f>
        <v>VNDR00056</v>
      </c>
      <c r="N1718" t="str">
        <f>Raw_Claims_Data!N1717</f>
        <v>AGENT00286</v>
      </c>
      <c r="O1718">
        <f>IF(Raw_Claims_Data!G1717="D",1,0)</f>
        <v>0</v>
      </c>
    </row>
    <row r="1719" spans="1:15" x14ac:dyDescent="0.35">
      <c r="A1719" t="str">
        <f>Raw_Claims_Data!A1718</f>
        <v>TXN00001715</v>
      </c>
      <c r="B1719" t="str">
        <f>TRIM(Raw_Claims_Data!B1718)</f>
        <v>William Vaughan</v>
      </c>
      <c r="C1719" t="str">
        <f>Raw_Claims_Data!C1718</f>
        <v>Travel</v>
      </c>
      <c r="D1719">
        <f>Raw_Claims_Data!D1718</f>
        <v>59.22</v>
      </c>
      <c r="E1719">
        <f>Raw_Claims_Data!E1718</f>
        <v>3000</v>
      </c>
      <c r="F1719" t="str">
        <f>Raw_Claims_Data!F1718</f>
        <v>CO</v>
      </c>
      <c r="G1719" t="str">
        <f>Raw_Claims_Data!G1718</f>
        <v>D</v>
      </c>
      <c r="H1719" t="str">
        <f>Raw_Claims_Data!H1718</f>
        <v>Minor Loss</v>
      </c>
      <c r="I1719" t="str">
        <f>IF(Raw_Claims_Data!I1718="","None",Raw_Claims_Data!I1718)</f>
        <v>Police</v>
      </c>
      <c r="J1719" t="str">
        <f>Raw_Claims_Data!J1718</f>
        <v>Manchester</v>
      </c>
      <c r="K1719" t="str">
        <f>Raw_Claims_Data!K1718</f>
        <v>CT</v>
      </c>
      <c r="L1719">
        <f>Raw_Claims_Data!L1718</f>
        <v>1</v>
      </c>
      <c r="M1719" t="str">
        <f>IF(Raw_Claims_Data!M1718="","N/A",Raw_Claims_Data!M1718)</f>
        <v>VNDR00025</v>
      </c>
      <c r="N1719" t="str">
        <f>Raw_Claims_Data!N1718</f>
        <v>AGENT00669</v>
      </c>
      <c r="O1719">
        <f>IF(Raw_Claims_Data!G1718="D",1,0)</f>
        <v>1</v>
      </c>
    </row>
    <row r="1720" spans="1:15" x14ac:dyDescent="0.35">
      <c r="A1720" t="str">
        <f>Raw_Claims_Data!A1719</f>
        <v>TXN00001716</v>
      </c>
      <c r="B1720" t="str">
        <f>TRIM(Raw_Claims_Data!B1719)</f>
        <v>Hilton Henderson</v>
      </c>
      <c r="C1720" t="str">
        <f>Raw_Claims_Data!C1719</f>
        <v>Motor</v>
      </c>
      <c r="D1720">
        <f>Raw_Claims_Data!D1719</f>
        <v>136.57</v>
      </c>
      <c r="E1720">
        <f>Raw_Claims_Data!E1719</f>
        <v>1000</v>
      </c>
      <c r="F1720" t="str">
        <f>Raw_Claims_Data!F1719</f>
        <v>AZ</v>
      </c>
      <c r="G1720" t="str">
        <f>Raw_Claims_Data!G1719</f>
        <v>A</v>
      </c>
      <c r="H1720" t="str">
        <f>Raw_Claims_Data!H1719</f>
        <v>Total Loss</v>
      </c>
      <c r="I1720" t="str">
        <f>IF(Raw_Claims_Data!I1719="","None",Raw_Claims_Data!I1719)</f>
        <v>Police</v>
      </c>
      <c r="J1720" t="str">
        <f>Raw_Claims_Data!J1719</f>
        <v>Arvada</v>
      </c>
      <c r="K1720" t="str">
        <f>Raw_Claims_Data!K1719</f>
        <v>CO</v>
      </c>
      <c r="L1720">
        <f>Raw_Claims_Data!L1719</f>
        <v>11</v>
      </c>
      <c r="M1720" t="str">
        <f>IF(Raw_Claims_Data!M1719="","N/A",Raw_Claims_Data!M1719)</f>
        <v>VNDR00087</v>
      </c>
      <c r="N1720" t="str">
        <f>Raw_Claims_Data!N1719</f>
        <v>AGENT00090</v>
      </c>
      <c r="O1720">
        <f>IF(Raw_Claims_Data!G1719="D",1,0)</f>
        <v>0</v>
      </c>
    </row>
    <row r="1721" spans="1:15" x14ac:dyDescent="0.35">
      <c r="A1721" t="str">
        <f>Raw_Claims_Data!A1720</f>
        <v>TXN00001717</v>
      </c>
      <c r="B1721" t="str">
        <f>TRIM(Raw_Claims_Data!B1720)</f>
        <v>Chris Border</v>
      </c>
      <c r="C1721" t="str">
        <f>Raw_Claims_Data!C1720</f>
        <v>Travel</v>
      </c>
      <c r="D1721">
        <f>Raw_Claims_Data!D1720</f>
        <v>79.58</v>
      </c>
      <c r="E1721">
        <f>Raw_Claims_Data!E1720</f>
        <v>1000</v>
      </c>
      <c r="F1721" t="str">
        <f>Raw_Claims_Data!F1720</f>
        <v>CT</v>
      </c>
      <c r="G1721" t="str">
        <f>Raw_Claims_Data!G1720</f>
        <v>A</v>
      </c>
      <c r="H1721" t="str">
        <f>Raw_Claims_Data!H1720</f>
        <v>Total Loss</v>
      </c>
      <c r="I1721" t="str">
        <f>IF(Raw_Claims_Data!I1720="","None",Raw_Claims_Data!I1720)</f>
        <v>Police</v>
      </c>
      <c r="J1721" t="str">
        <f>Raw_Claims_Data!J1720</f>
        <v>Nashville</v>
      </c>
      <c r="K1721" t="str">
        <f>Raw_Claims_Data!K1720</f>
        <v>TN</v>
      </c>
      <c r="L1721">
        <f>Raw_Claims_Data!L1720</f>
        <v>10</v>
      </c>
      <c r="M1721" t="str">
        <f>IF(Raw_Claims_Data!M1720="","N/A",Raw_Claims_Data!M1720)</f>
        <v>VNDR00385</v>
      </c>
      <c r="N1721" t="str">
        <f>Raw_Claims_Data!N1720</f>
        <v>AGENT01150</v>
      </c>
      <c r="O1721">
        <f>IF(Raw_Claims_Data!G1720="D",1,0)</f>
        <v>0</v>
      </c>
    </row>
    <row r="1722" spans="1:15" x14ac:dyDescent="0.35">
      <c r="A1722" t="str">
        <f>Raw_Claims_Data!A1721</f>
        <v>TXN00001718</v>
      </c>
      <c r="B1722" t="str">
        <f>TRIM(Raw_Claims_Data!B1721)</f>
        <v>Thomas Pitts</v>
      </c>
      <c r="C1722" t="str">
        <f>Raw_Claims_Data!C1721</f>
        <v>Mobile</v>
      </c>
      <c r="D1722">
        <f>Raw_Claims_Data!D1721</f>
        <v>6.3</v>
      </c>
      <c r="E1722">
        <f>Raw_Claims_Data!E1721</f>
        <v>700</v>
      </c>
      <c r="F1722" t="str">
        <f>Raw_Claims_Data!F1721</f>
        <v>AZ</v>
      </c>
      <c r="G1722" t="str">
        <f>Raw_Claims_Data!G1721</f>
        <v>A</v>
      </c>
      <c r="H1722" t="str">
        <f>Raw_Claims_Data!H1721</f>
        <v>Total Loss</v>
      </c>
      <c r="I1722" t="str">
        <f>IF(Raw_Claims_Data!I1721="","None",Raw_Claims_Data!I1721)</f>
        <v>None</v>
      </c>
      <c r="J1722" t="str">
        <f>Raw_Claims_Data!J1721</f>
        <v>Nashville</v>
      </c>
      <c r="K1722" t="str">
        <f>Raw_Claims_Data!K1721</f>
        <v>TN</v>
      </c>
      <c r="L1722">
        <f>Raw_Claims_Data!L1721</f>
        <v>21</v>
      </c>
      <c r="M1722" t="str">
        <f>IF(Raw_Claims_Data!M1721="","N/A",Raw_Claims_Data!M1721)</f>
        <v>N/A</v>
      </c>
      <c r="N1722" t="str">
        <f>Raw_Claims_Data!N1721</f>
        <v>AGENT00131</v>
      </c>
      <c r="O1722">
        <f>IF(Raw_Claims_Data!G1721="D",1,0)</f>
        <v>0</v>
      </c>
    </row>
    <row r="1723" spans="1:15" x14ac:dyDescent="0.35">
      <c r="A1723" t="str">
        <f>Raw_Claims_Data!A1722</f>
        <v>TXN00001719</v>
      </c>
      <c r="B1723" t="str">
        <f>TRIM(Raw_Claims_Data!B1722)</f>
        <v>Alberta Hassard</v>
      </c>
      <c r="C1723" t="str">
        <f>Raw_Claims_Data!C1722</f>
        <v>Motor</v>
      </c>
      <c r="D1723">
        <f>Raw_Claims_Data!D1722</f>
        <v>88.49</v>
      </c>
      <c r="E1723">
        <f>Raw_Claims_Data!E1722</f>
        <v>5000</v>
      </c>
      <c r="F1723" t="str">
        <f>Raw_Claims_Data!F1722</f>
        <v>MD</v>
      </c>
      <c r="G1723" t="str">
        <f>Raw_Claims_Data!G1722</f>
        <v>A</v>
      </c>
      <c r="H1723" t="str">
        <f>Raw_Claims_Data!H1722</f>
        <v>Major Loss</v>
      </c>
      <c r="I1723" t="str">
        <f>IF(Raw_Claims_Data!I1722="","None",Raw_Claims_Data!I1722)</f>
        <v>None</v>
      </c>
      <c r="J1723" t="str">
        <f>Raw_Claims_Data!J1722</f>
        <v>Montgomery</v>
      </c>
      <c r="K1723" t="str">
        <f>Raw_Claims_Data!K1722</f>
        <v>AL</v>
      </c>
      <c r="L1723">
        <f>Raw_Claims_Data!L1722</f>
        <v>11</v>
      </c>
      <c r="M1723" t="str">
        <f>IF(Raw_Claims_Data!M1722="","N/A",Raw_Claims_Data!M1722)</f>
        <v>VNDR00386</v>
      </c>
      <c r="N1723" t="str">
        <f>Raw_Claims_Data!N1722</f>
        <v>AGENT00081</v>
      </c>
      <c r="O1723">
        <f>IF(Raw_Claims_Data!G1722="D",1,0)</f>
        <v>0</v>
      </c>
    </row>
    <row r="1724" spans="1:15" x14ac:dyDescent="0.35">
      <c r="A1724" t="str">
        <f>Raw_Claims_Data!A1723</f>
        <v>TXN00001720</v>
      </c>
      <c r="B1724" t="str">
        <f>TRIM(Raw_Claims_Data!B1723)</f>
        <v>Herman Headrick</v>
      </c>
      <c r="C1724" t="str">
        <f>Raw_Claims_Data!C1723</f>
        <v>Health</v>
      </c>
      <c r="D1724">
        <f>Raw_Claims_Data!D1723</f>
        <v>126.97</v>
      </c>
      <c r="E1724">
        <f>Raw_Claims_Data!E1723</f>
        <v>18000</v>
      </c>
      <c r="F1724" t="str">
        <f>Raw_Claims_Data!F1723</f>
        <v>KY</v>
      </c>
      <c r="G1724" t="str">
        <f>Raw_Claims_Data!G1723</f>
        <v>A</v>
      </c>
      <c r="H1724" t="str">
        <f>Raw_Claims_Data!H1723</f>
        <v>Minor Loss</v>
      </c>
      <c r="I1724" t="str">
        <f>IF(Raw_Claims_Data!I1723="","None",Raw_Claims_Data!I1723)</f>
        <v>None</v>
      </c>
      <c r="J1724" t="str">
        <f>Raw_Claims_Data!J1723</f>
        <v>Arnold</v>
      </c>
      <c r="K1724" t="str">
        <f>Raw_Claims_Data!K1723</f>
        <v>MD</v>
      </c>
      <c r="L1724">
        <f>Raw_Claims_Data!L1723</f>
        <v>8</v>
      </c>
      <c r="M1724" t="str">
        <f>IF(Raw_Claims_Data!M1723="","N/A",Raw_Claims_Data!M1723)</f>
        <v>VNDR00009</v>
      </c>
      <c r="N1724" t="str">
        <f>Raw_Claims_Data!N1723</f>
        <v>AGENT00815</v>
      </c>
      <c r="O1724">
        <f>IF(Raw_Claims_Data!G1723="D",1,0)</f>
        <v>0</v>
      </c>
    </row>
    <row r="1725" spans="1:15" x14ac:dyDescent="0.35">
      <c r="A1725" t="str">
        <f>Raw_Claims_Data!A1724</f>
        <v>TXN00001721</v>
      </c>
      <c r="B1725" t="str">
        <f>TRIM(Raw_Claims_Data!B1724)</f>
        <v>Wayne Garcia</v>
      </c>
      <c r="C1725" t="str">
        <f>Raw_Claims_Data!C1724</f>
        <v>Travel</v>
      </c>
      <c r="D1725">
        <f>Raw_Claims_Data!D1724</f>
        <v>62.03</v>
      </c>
      <c r="E1725">
        <f>Raw_Claims_Data!E1724</f>
        <v>4000</v>
      </c>
      <c r="F1725" t="str">
        <f>Raw_Claims_Data!F1724</f>
        <v>CT</v>
      </c>
      <c r="G1725" t="str">
        <f>Raw_Claims_Data!G1724</f>
        <v>A</v>
      </c>
      <c r="H1725" t="str">
        <f>Raw_Claims_Data!H1724</f>
        <v>Minor Loss</v>
      </c>
      <c r="I1725" t="str">
        <f>IF(Raw_Claims_Data!I1724="","None",Raw_Claims_Data!I1724)</f>
        <v>Other</v>
      </c>
      <c r="J1725" t="str">
        <f>Raw_Claims_Data!J1724</f>
        <v>Louisville</v>
      </c>
      <c r="K1725" t="str">
        <f>Raw_Claims_Data!K1724</f>
        <v>KY</v>
      </c>
      <c r="L1725">
        <f>Raw_Claims_Data!L1724</f>
        <v>1</v>
      </c>
      <c r="M1725" t="str">
        <f>IF(Raw_Claims_Data!M1724="","N/A",Raw_Claims_Data!M1724)</f>
        <v>VNDR00276</v>
      </c>
      <c r="N1725" t="str">
        <f>Raw_Claims_Data!N1724</f>
        <v>AGENT00027</v>
      </c>
      <c r="O1725">
        <f>IF(Raw_Claims_Data!G1724="D",1,0)</f>
        <v>0</v>
      </c>
    </row>
    <row r="1726" spans="1:15" x14ac:dyDescent="0.35">
      <c r="A1726" t="str">
        <f>Raw_Claims_Data!A1725</f>
        <v>TXN00001722</v>
      </c>
      <c r="B1726" t="str">
        <f>TRIM(Raw_Claims_Data!B1725)</f>
        <v>David Stewart</v>
      </c>
      <c r="C1726" t="str">
        <f>Raw_Claims_Data!C1725</f>
        <v>Mobile</v>
      </c>
      <c r="D1726">
        <f>Raw_Claims_Data!D1725</f>
        <v>7.37</v>
      </c>
      <c r="E1726">
        <f>Raw_Claims_Data!E1725</f>
        <v>200</v>
      </c>
      <c r="F1726" t="str">
        <f>Raw_Claims_Data!F1725</f>
        <v>FL</v>
      </c>
      <c r="G1726" t="str">
        <f>Raw_Claims_Data!G1725</f>
        <v>A</v>
      </c>
      <c r="H1726" t="str">
        <f>Raw_Claims_Data!H1725</f>
        <v>Total Loss</v>
      </c>
      <c r="I1726" t="str">
        <f>IF(Raw_Claims_Data!I1725="","None",Raw_Claims_Data!I1725)</f>
        <v>Ambulance</v>
      </c>
      <c r="J1726" t="str">
        <f>Raw_Claims_Data!J1725</f>
        <v>Waltham</v>
      </c>
      <c r="K1726" t="str">
        <f>Raw_Claims_Data!K1725</f>
        <v>MA</v>
      </c>
      <c r="L1726">
        <f>Raw_Claims_Data!L1725</f>
        <v>11</v>
      </c>
      <c r="M1726" t="str">
        <f>IF(Raw_Claims_Data!M1725="","N/A",Raw_Claims_Data!M1725)</f>
        <v>N/A</v>
      </c>
      <c r="N1726" t="str">
        <f>Raw_Claims_Data!N1725</f>
        <v>AGENT00915</v>
      </c>
      <c r="O1726">
        <f>IF(Raw_Claims_Data!G1725="D",1,0)</f>
        <v>0</v>
      </c>
    </row>
    <row r="1727" spans="1:15" x14ac:dyDescent="0.35">
      <c r="A1727" t="str">
        <f>Raw_Claims_Data!A1726</f>
        <v>TXN00001723</v>
      </c>
      <c r="B1727" t="str">
        <f>TRIM(Raw_Claims_Data!B1726)</f>
        <v>Barbara Bernes</v>
      </c>
      <c r="C1727" t="str">
        <f>Raw_Claims_Data!C1726</f>
        <v>Travel</v>
      </c>
      <c r="D1727">
        <f>Raw_Claims_Data!D1726</f>
        <v>76.459999999999994</v>
      </c>
      <c r="E1727">
        <f>Raw_Claims_Data!E1726</f>
        <v>1000</v>
      </c>
      <c r="F1727" t="str">
        <f>Raw_Claims_Data!F1726</f>
        <v>VT</v>
      </c>
      <c r="G1727" t="str">
        <f>Raw_Claims_Data!G1726</f>
        <v>A</v>
      </c>
      <c r="H1727" t="str">
        <f>Raw_Claims_Data!H1726</f>
        <v>Minor Loss</v>
      </c>
      <c r="I1727" t="str">
        <f>IF(Raw_Claims_Data!I1726="","None",Raw_Claims_Data!I1726)</f>
        <v>Other</v>
      </c>
      <c r="J1727" t="str">
        <f>Raw_Claims_Data!J1726</f>
        <v>Anchorage</v>
      </c>
      <c r="K1727" t="str">
        <f>Raw_Claims_Data!K1726</f>
        <v>AK</v>
      </c>
      <c r="L1727">
        <f>Raw_Claims_Data!L1726</f>
        <v>20</v>
      </c>
      <c r="M1727" t="str">
        <f>IF(Raw_Claims_Data!M1726="","N/A",Raw_Claims_Data!M1726)</f>
        <v>VNDR00161</v>
      </c>
      <c r="N1727" t="str">
        <f>Raw_Claims_Data!N1726</f>
        <v>AGENT00361</v>
      </c>
      <c r="O1727">
        <f>IF(Raw_Claims_Data!G1726="D",1,0)</f>
        <v>0</v>
      </c>
    </row>
    <row r="1728" spans="1:15" x14ac:dyDescent="0.35">
      <c r="A1728" t="str">
        <f>Raw_Claims_Data!A1727</f>
        <v>TXN00001724</v>
      </c>
      <c r="B1728" t="str">
        <f>TRIM(Raw_Claims_Data!B1727)</f>
        <v>Michael Cruz</v>
      </c>
      <c r="C1728" t="str">
        <f>Raw_Claims_Data!C1727</f>
        <v>Travel</v>
      </c>
      <c r="D1728">
        <f>Raw_Claims_Data!D1727</f>
        <v>83</v>
      </c>
      <c r="E1728">
        <f>Raw_Claims_Data!E1727</f>
        <v>1000</v>
      </c>
      <c r="F1728" t="str">
        <f>Raw_Claims_Data!F1727</f>
        <v>GA</v>
      </c>
      <c r="G1728" t="str">
        <f>Raw_Claims_Data!G1727</f>
        <v>A</v>
      </c>
      <c r="H1728" t="str">
        <f>Raw_Claims_Data!H1727</f>
        <v>Major Loss</v>
      </c>
      <c r="I1728" t="str">
        <f>IF(Raw_Claims_Data!I1727="","None",Raw_Claims_Data!I1727)</f>
        <v>None</v>
      </c>
      <c r="J1728" t="str">
        <f>Raw_Claims_Data!J1727</f>
        <v>Riva</v>
      </c>
      <c r="K1728" t="str">
        <f>Raw_Claims_Data!K1727</f>
        <v>MD</v>
      </c>
      <c r="L1728">
        <f>Raw_Claims_Data!L1727</f>
        <v>0</v>
      </c>
      <c r="M1728" t="str">
        <f>IF(Raw_Claims_Data!M1727="","N/A",Raw_Claims_Data!M1727)</f>
        <v>VNDR00378</v>
      </c>
      <c r="N1728" t="str">
        <f>Raw_Claims_Data!N1727</f>
        <v>AGENT00513</v>
      </c>
      <c r="O1728">
        <f>IF(Raw_Claims_Data!G1727="D",1,0)</f>
        <v>0</v>
      </c>
    </row>
    <row r="1729" spans="1:15" x14ac:dyDescent="0.35">
      <c r="A1729" t="str">
        <f>Raw_Claims_Data!A1728</f>
        <v>TXN00001725</v>
      </c>
      <c r="B1729" t="str">
        <f>TRIM(Raw_Claims_Data!B1728)</f>
        <v>Peter Bryan</v>
      </c>
      <c r="C1729" t="str">
        <f>Raw_Claims_Data!C1728</f>
        <v>Motor</v>
      </c>
      <c r="D1729">
        <f>Raw_Claims_Data!D1728</f>
        <v>116.06</v>
      </c>
      <c r="E1729">
        <f>Raw_Claims_Data!E1728</f>
        <v>1000</v>
      </c>
      <c r="F1729" t="str">
        <f>Raw_Claims_Data!F1728</f>
        <v>KY</v>
      </c>
      <c r="G1729" t="str">
        <f>Raw_Claims_Data!G1728</f>
        <v>A</v>
      </c>
      <c r="H1729" t="str">
        <f>Raw_Claims_Data!H1728</f>
        <v>Minor Loss</v>
      </c>
      <c r="I1729" t="str">
        <f>IF(Raw_Claims_Data!I1728="","None",Raw_Claims_Data!I1728)</f>
        <v>Ambulance</v>
      </c>
      <c r="J1729" t="str">
        <f>Raw_Claims_Data!J1728</f>
        <v>Panama City Beach</v>
      </c>
      <c r="K1729" t="str">
        <f>Raw_Claims_Data!K1728</f>
        <v>FL</v>
      </c>
      <c r="L1729">
        <f>Raw_Claims_Data!L1728</f>
        <v>2</v>
      </c>
      <c r="M1729" t="str">
        <f>IF(Raw_Claims_Data!M1728="","N/A",Raw_Claims_Data!M1728)</f>
        <v>VNDR00544</v>
      </c>
      <c r="N1729" t="str">
        <f>Raw_Claims_Data!N1728</f>
        <v>AGENT00160</v>
      </c>
      <c r="O1729">
        <f>IF(Raw_Claims_Data!G1728="D",1,0)</f>
        <v>0</v>
      </c>
    </row>
    <row r="1730" spans="1:15" x14ac:dyDescent="0.35">
      <c r="A1730" t="str">
        <f>Raw_Claims_Data!A1729</f>
        <v>TXN00001726</v>
      </c>
      <c r="B1730" t="str">
        <f>TRIM(Raw_Claims_Data!B1729)</f>
        <v>Ernest Cook</v>
      </c>
      <c r="C1730" t="str">
        <f>Raw_Claims_Data!C1729</f>
        <v>Mobile</v>
      </c>
      <c r="D1730">
        <f>Raw_Claims_Data!D1729</f>
        <v>9.75</v>
      </c>
      <c r="E1730">
        <f>Raw_Claims_Data!E1729</f>
        <v>600</v>
      </c>
      <c r="F1730" t="str">
        <f>Raw_Claims_Data!F1729</f>
        <v>OK</v>
      </c>
      <c r="G1730" t="str">
        <f>Raw_Claims_Data!G1729</f>
        <v>A</v>
      </c>
      <c r="H1730" t="str">
        <f>Raw_Claims_Data!H1729</f>
        <v>Major Loss</v>
      </c>
      <c r="I1730" t="str">
        <f>IF(Raw_Claims_Data!I1729="","None",Raw_Claims_Data!I1729)</f>
        <v>Police</v>
      </c>
      <c r="J1730" t="str">
        <f>Raw_Claims_Data!J1729</f>
        <v>Savannah</v>
      </c>
      <c r="K1730" t="str">
        <f>Raw_Claims_Data!K1729</f>
        <v>GA</v>
      </c>
      <c r="L1730">
        <f>Raw_Claims_Data!L1729</f>
        <v>7</v>
      </c>
      <c r="M1730" t="str">
        <f>IF(Raw_Claims_Data!M1729="","N/A",Raw_Claims_Data!M1729)</f>
        <v>VNDR00077</v>
      </c>
      <c r="N1730" t="str">
        <f>Raw_Claims_Data!N1729</f>
        <v>AGENT01124</v>
      </c>
      <c r="O1730">
        <f>IF(Raw_Claims_Data!G1729="D",1,0)</f>
        <v>0</v>
      </c>
    </row>
    <row r="1731" spans="1:15" x14ac:dyDescent="0.35">
      <c r="A1731" t="str">
        <f>Raw_Claims_Data!A1730</f>
        <v>TXN00001727</v>
      </c>
      <c r="B1731" t="str">
        <f>TRIM(Raw_Claims_Data!B1730)</f>
        <v>John Jurasek</v>
      </c>
      <c r="C1731" t="str">
        <f>Raw_Claims_Data!C1730</f>
        <v>Travel</v>
      </c>
      <c r="D1731">
        <f>Raw_Claims_Data!D1730</f>
        <v>86.31</v>
      </c>
      <c r="E1731">
        <f>Raw_Claims_Data!E1730</f>
        <v>2000</v>
      </c>
      <c r="F1731" t="str">
        <f>Raw_Claims_Data!F1730</f>
        <v>DC</v>
      </c>
      <c r="G1731" t="str">
        <f>Raw_Claims_Data!G1730</f>
        <v>A</v>
      </c>
      <c r="H1731" t="str">
        <f>Raw_Claims_Data!H1730</f>
        <v>Major Loss</v>
      </c>
      <c r="I1731" t="str">
        <f>IF(Raw_Claims_Data!I1730="","None",Raw_Claims_Data!I1730)</f>
        <v>Police</v>
      </c>
      <c r="J1731" t="str">
        <f>Raw_Claims_Data!J1730</f>
        <v>Washington</v>
      </c>
      <c r="K1731" t="str">
        <f>Raw_Claims_Data!K1730</f>
        <v>DC</v>
      </c>
      <c r="L1731">
        <f>Raw_Claims_Data!L1730</f>
        <v>3</v>
      </c>
      <c r="M1731" t="str">
        <f>IF(Raw_Claims_Data!M1730="","N/A",Raw_Claims_Data!M1730)</f>
        <v>VNDR00365</v>
      </c>
      <c r="N1731" t="str">
        <f>Raw_Claims_Data!N1730</f>
        <v>AGENT00061</v>
      </c>
      <c r="O1731">
        <f>IF(Raw_Claims_Data!G1730="D",1,0)</f>
        <v>0</v>
      </c>
    </row>
    <row r="1732" spans="1:15" x14ac:dyDescent="0.35">
      <c r="A1732" t="str">
        <f>Raw_Claims_Data!A1731</f>
        <v>TXN00001728</v>
      </c>
      <c r="B1732" t="str">
        <f>TRIM(Raw_Claims_Data!B1731)</f>
        <v>Henry Gardner</v>
      </c>
      <c r="C1732" t="str">
        <f>Raw_Claims_Data!C1731</f>
        <v>Health</v>
      </c>
      <c r="D1732">
        <f>Raw_Claims_Data!D1731</f>
        <v>116.54</v>
      </c>
      <c r="E1732">
        <f>Raw_Claims_Data!E1731</f>
        <v>9000</v>
      </c>
      <c r="F1732" t="str">
        <f>Raw_Claims_Data!F1731</f>
        <v>FL</v>
      </c>
      <c r="G1732" t="str">
        <f>Raw_Claims_Data!G1731</f>
        <v>A</v>
      </c>
      <c r="H1732" t="str">
        <f>Raw_Claims_Data!H1731</f>
        <v>Total Loss</v>
      </c>
      <c r="I1732" t="str">
        <f>IF(Raw_Claims_Data!I1731="","None",Raw_Claims_Data!I1731)</f>
        <v>Ambulance</v>
      </c>
      <c r="J1732" t="str">
        <f>Raw_Claims_Data!J1731</f>
        <v>Millersville</v>
      </c>
      <c r="K1732" t="str">
        <f>Raw_Claims_Data!K1731</f>
        <v>MD</v>
      </c>
      <c r="L1732">
        <f>Raw_Claims_Data!L1731</f>
        <v>21</v>
      </c>
      <c r="M1732" t="str">
        <f>IF(Raw_Claims_Data!M1731="","N/A",Raw_Claims_Data!M1731)</f>
        <v>VNDR00359</v>
      </c>
      <c r="N1732" t="str">
        <f>Raw_Claims_Data!N1731</f>
        <v>AGENT00873</v>
      </c>
      <c r="O1732">
        <f>IF(Raw_Claims_Data!G1731="D",1,0)</f>
        <v>0</v>
      </c>
    </row>
    <row r="1733" spans="1:15" x14ac:dyDescent="0.35">
      <c r="A1733" t="str">
        <f>Raw_Claims_Data!A1732</f>
        <v>TXN00001729</v>
      </c>
      <c r="B1733" t="str">
        <f>TRIM(Raw_Claims_Data!B1732)</f>
        <v>Jesse Rawson</v>
      </c>
      <c r="C1733" t="str">
        <f>Raw_Claims_Data!C1732</f>
        <v>Motor</v>
      </c>
      <c r="D1733">
        <f>Raw_Claims_Data!D1732</f>
        <v>96.11</v>
      </c>
      <c r="E1733">
        <f>Raw_Claims_Data!E1732</f>
        <v>3000</v>
      </c>
      <c r="F1733" t="str">
        <f>Raw_Claims_Data!F1732</f>
        <v>CT</v>
      </c>
      <c r="G1733" t="str">
        <f>Raw_Claims_Data!G1732</f>
        <v>A</v>
      </c>
      <c r="H1733" t="str">
        <f>Raw_Claims_Data!H1732</f>
        <v>Major Loss</v>
      </c>
      <c r="I1733" t="str">
        <f>IF(Raw_Claims_Data!I1732="","None",Raw_Claims_Data!I1732)</f>
        <v>Ambulance</v>
      </c>
      <c r="J1733" t="str">
        <f>Raw_Claims_Data!J1732</f>
        <v>Anchorage</v>
      </c>
      <c r="K1733" t="str">
        <f>Raw_Claims_Data!K1732</f>
        <v>AK</v>
      </c>
      <c r="L1733">
        <f>Raw_Claims_Data!L1732</f>
        <v>23</v>
      </c>
      <c r="M1733" t="str">
        <f>IF(Raw_Claims_Data!M1732="","N/A",Raw_Claims_Data!M1732)</f>
        <v>N/A</v>
      </c>
      <c r="N1733" t="str">
        <f>Raw_Claims_Data!N1732</f>
        <v>AGENT00851</v>
      </c>
      <c r="O1733">
        <f>IF(Raw_Claims_Data!G1732="D",1,0)</f>
        <v>0</v>
      </c>
    </row>
    <row r="1734" spans="1:15" x14ac:dyDescent="0.35">
      <c r="A1734" t="str">
        <f>Raw_Claims_Data!A1733</f>
        <v>TXN00001730</v>
      </c>
      <c r="B1734" t="str">
        <f>TRIM(Raw_Claims_Data!B1733)</f>
        <v>Edward Ferguson</v>
      </c>
      <c r="C1734" t="str">
        <f>Raw_Claims_Data!C1733</f>
        <v>Property</v>
      </c>
      <c r="D1734">
        <f>Raw_Claims_Data!D1733</f>
        <v>125.28</v>
      </c>
      <c r="E1734">
        <f>Raw_Claims_Data!E1733</f>
        <v>33000</v>
      </c>
      <c r="F1734" t="str">
        <f>Raw_Claims_Data!F1733</f>
        <v>MD</v>
      </c>
      <c r="G1734" t="str">
        <f>Raw_Claims_Data!G1733</f>
        <v>A</v>
      </c>
      <c r="H1734" t="str">
        <f>Raw_Claims_Data!H1733</f>
        <v>Total Loss</v>
      </c>
      <c r="I1734" t="str">
        <f>IF(Raw_Claims_Data!I1733="","None",Raw_Claims_Data!I1733)</f>
        <v>Police</v>
      </c>
      <c r="J1734" t="str">
        <f>Raw_Claims_Data!J1733</f>
        <v>Louisville</v>
      </c>
      <c r="K1734" t="str">
        <f>Raw_Claims_Data!K1733</f>
        <v>KY</v>
      </c>
      <c r="L1734">
        <f>Raw_Claims_Data!L1733</f>
        <v>23</v>
      </c>
      <c r="M1734" t="str">
        <f>IF(Raw_Claims_Data!M1733="","N/A",Raw_Claims_Data!M1733)</f>
        <v>VNDR00071</v>
      </c>
      <c r="N1734" t="str">
        <f>Raw_Claims_Data!N1733</f>
        <v>AGENT01099</v>
      </c>
      <c r="O1734">
        <f>IF(Raw_Claims_Data!G1733="D",1,0)</f>
        <v>0</v>
      </c>
    </row>
    <row r="1735" spans="1:15" x14ac:dyDescent="0.35">
      <c r="A1735" t="str">
        <f>Raw_Claims_Data!A1734</f>
        <v>TXN00001731</v>
      </c>
      <c r="B1735" t="str">
        <f>TRIM(Raw_Claims_Data!B1734)</f>
        <v>Madelyn Gordon</v>
      </c>
      <c r="C1735" t="str">
        <f>Raw_Claims_Data!C1734</f>
        <v>Health</v>
      </c>
      <c r="D1735">
        <f>Raw_Claims_Data!D1734</f>
        <v>150.22999999999999</v>
      </c>
      <c r="E1735">
        <f>Raw_Claims_Data!E1734</f>
        <v>10000</v>
      </c>
      <c r="F1735" t="str">
        <f>Raw_Claims_Data!F1734</f>
        <v>KY</v>
      </c>
      <c r="G1735" t="str">
        <f>Raw_Claims_Data!G1734</f>
        <v>A</v>
      </c>
      <c r="H1735" t="str">
        <f>Raw_Claims_Data!H1734</f>
        <v>Major Loss</v>
      </c>
      <c r="I1735" t="str">
        <f>IF(Raw_Claims_Data!I1734="","None",Raw_Claims_Data!I1734)</f>
        <v>Police</v>
      </c>
      <c r="J1735" t="str">
        <f>Raw_Claims_Data!J1734</f>
        <v>Falmouth</v>
      </c>
      <c r="K1735" t="str">
        <f>Raw_Claims_Data!K1734</f>
        <v>MA</v>
      </c>
      <c r="L1735">
        <f>Raw_Claims_Data!L1734</f>
        <v>23</v>
      </c>
      <c r="M1735" t="str">
        <f>IF(Raw_Claims_Data!M1734="","N/A",Raw_Claims_Data!M1734)</f>
        <v>N/A</v>
      </c>
      <c r="N1735" t="str">
        <f>Raw_Claims_Data!N1734</f>
        <v>AGENT00198</v>
      </c>
      <c r="O1735">
        <f>IF(Raw_Claims_Data!G1734="D",1,0)</f>
        <v>0</v>
      </c>
    </row>
    <row r="1736" spans="1:15" x14ac:dyDescent="0.35">
      <c r="A1736" t="str">
        <f>Raw_Claims_Data!A1735</f>
        <v>TXN00001732</v>
      </c>
      <c r="B1736" t="str">
        <f>TRIM(Raw_Claims_Data!B1735)</f>
        <v>Theresa Ortega</v>
      </c>
      <c r="C1736" t="str">
        <f>Raw_Claims_Data!C1735</f>
        <v>Travel</v>
      </c>
      <c r="D1736">
        <f>Raw_Claims_Data!D1735</f>
        <v>80.459999999999994</v>
      </c>
      <c r="E1736">
        <f>Raw_Claims_Data!E1735</f>
        <v>3000</v>
      </c>
      <c r="F1736" t="str">
        <f>Raw_Claims_Data!F1735</f>
        <v>CT</v>
      </c>
      <c r="G1736" t="str">
        <f>Raw_Claims_Data!G1735</f>
        <v>D</v>
      </c>
      <c r="H1736" t="str">
        <f>Raw_Claims_Data!H1735</f>
        <v>Minor Loss</v>
      </c>
      <c r="I1736" t="str">
        <f>IF(Raw_Claims_Data!I1735="","None",Raw_Claims_Data!I1735)</f>
        <v>Police</v>
      </c>
      <c r="J1736" t="str">
        <f>Raw_Claims_Data!J1735</f>
        <v>Manchester</v>
      </c>
      <c r="K1736" t="str">
        <f>Raw_Claims_Data!K1735</f>
        <v>CT</v>
      </c>
      <c r="L1736">
        <f>Raw_Claims_Data!L1735</f>
        <v>12</v>
      </c>
      <c r="M1736" t="str">
        <f>IF(Raw_Claims_Data!M1735="","N/A",Raw_Claims_Data!M1735)</f>
        <v>VNDR00046</v>
      </c>
      <c r="N1736" t="str">
        <f>Raw_Claims_Data!N1735</f>
        <v>AGENT01163</v>
      </c>
      <c r="O1736">
        <f>IF(Raw_Claims_Data!G1735="D",1,0)</f>
        <v>1</v>
      </c>
    </row>
    <row r="1737" spans="1:15" x14ac:dyDescent="0.35">
      <c r="A1737" t="str">
        <f>Raw_Claims_Data!A1736</f>
        <v>TXN00001733</v>
      </c>
      <c r="B1737" t="str">
        <f>TRIM(Raw_Claims_Data!B1736)</f>
        <v>Brenda Solomon</v>
      </c>
      <c r="C1737" t="str">
        <f>Raw_Claims_Data!C1736</f>
        <v>Mobile</v>
      </c>
      <c r="D1737">
        <f>Raw_Claims_Data!D1736</f>
        <v>10.45</v>
      </c>
      <c r="E1737">
        <f>Raw_Claims_Data!E1736</f>
        <v>300</v>
      </c>
      <c r="F1737" t="str">
        <f>Raw_Claims_Data!F1736</f>
        <v>CT</v>
      </c>
      <c r="G1737" t="str">
        <f>Raw_Claims_Data!G1736</f>
        <v>A</v>
      </c>
      <c r="H1737" t="str">
        <f>Raw_Claims_Data!H1736</f>
        <v>Total Loss</v>
      </c>
      <c r="I1737" t="str">
        <f>IF(Raw_Claims_Data!I1736="","None",Raw_Claims_Data!I1736)</f>
        <v>Police</v>
      </c>
      <c r="J1737" t="str">
        <f>Raw_Claims_Data!J1736</f>
        <v>Nashville</v>
      </c>
      <c r="K1737" t="str">
        <f>Raw_Claims_Data!K1736</f>
        <v>TN</v>
      </c>
      <c r="L1737">
        <f>Raw_Claims_Data!L1736</f>
        <v>18</v>
      </c>
      <c r="M1737" t="str">
        <f>IF(Raw_Claims_Data!M1736="","N/A",Raw_Claims_Data!M1736)</f>
        <v>VNDR00450</v>
      </c>
      <c r="N1737" t="str">
        <f>Raw_Claims_Data!N1736</f>
        <v>AGENT01164</v>
      </c>
      <c r="O1737">
        <f>IF(Raw_Claims_Data!G1736="D",1,0)</f>
        <v>0</v>
      </c>
    </row>
    <row r="1738" spans="1:15" x14ac:dyDescent="0.35">
      <c r="A1738" t="str">
        <f>Raw_Claims_Data!A1737</f>
        <v>TXN00001734</v>
      </c>
      <c r="B1738" t="str">
        <f>TRIM(Raw_Claims_Data!B1737)</f>
        <v>Darrel Fitzgerald</v>
      </c>
      <c r="C1738" t="str">
        <f>Raw_Claims_Data!C1737</f>
        <v>Life</v>
      </c>
      <c r="D1738">
        <f>Raw_Claims_Data!D1737</f>
        <v>84</v>
      </c>
      <c r="E1738">
        <f>Raw_Claims_Data!E1737</f>
        <v>44000</v>
      </c>
      <c r="F1738" t="str">
        <f>Raw_Claims_Data!F1737</f>
        <v>AZ</v>
      </c>
      <c r="G1738" t="str">
        <f>Raw_Claims_Data!G1737</f>
        <v>D</v>
      </c>
      <c r="H1738" t="str">
        <f>Raw_Claims_Data!H1737</f>
        <v>Major Loss</v>
      </c>
      <c r="I1738" t="str">
        <f>IF(Raw_Claims_Data!I1737="","None",Raw_Claims_Data!I1737)</f>
        <v>Ambulance</v>
      </c>
      <c r="J1738" t="str">
        <f>Raw_Claims_Data!J1737</f>
        <v>Louisville</v>
      </c>
      <c r="K1738" t="str">
        <f>Raw_Claims_Data!K1737</f>
        <v>KY</v>
      </c>
      <c r="L1738">
        <f>Raw_Claims_Data!L1737</f>
        <v>4</v>
      </c>
      <c r="M1738" t="str">
        <f>IF(Raw_Claims_Data!M1737="","N/A",Raw_Claims_Data!M1737)</f>
        <v>N/A</v>
      </c>
      <c r="N1738" t="str">
        <f>Raw_Claims_Data!N1737</f>
        <v>AGENT00726</v>
      </c>
      <c r="O1738">
        <f>IF(Raw_Claims_Data!G1737="D",1,0)</f>
        <v>1</v>
      </c>
    </row>
    <row r="1739" spans="1:15" x14ac:dyDescent="0.35">
      <c r="A1739" t="str">
        <f>Raw_Claims_Data!A1738</f>
        <v>TXN00001735</v>
      </c>
      <c r="B1739" t="str">
        <f>TRIM(Raw_Claims_Data!B1738)</f>
        <v>Peter Hermans</v>
      </c>
      <c r="C1739" t="str">
        <f>Raw_Claims_Data!C1738</f>
        <v>Mobile</v>
      </c>
      <c r="D1739">
        <f>Raw_Claims_Data!D1738</f>
        <v>11.63</v>
      </c>
      <c r="E1739">
        <f>Raw_Claims_Data!E1738</f>
        <v>200</v>
      </c>
      <c r="F1739" t="str">
        <f>Raw_Claims_Data!F1738</f>
        <v>GA</v>
      </c>
      <c r="G1739" t="str">
        <f>Raw_Claims_Data!G1738</f>
        <v>A</v>
      </c>
      <c r="H1739" t="str">
        <f>Raw_Claims_Data!H1738</f>
        <v>Total Loss</v>
      </c>
      <c r="I1739" t="str">
        <f>IF(Raw_Claims_Data!I1738="","None",Raw_Claims_Data!I1738)</f>
        <v>Other</v>
      </c>
      <c r="J1739" t="str">
        <f>Raw_Claims_Data!J1738</f>
        <v>Anchorage</v>
      </c>
      <c r="K1739" t="str">
        <f>Raw_Claims_Data!K1738</f>
        <v>AK</v>
      </c>
      <c r="L1739">
        <f>Raw_Claims_Data!L1738</f>
        <v>4</v>
      </c>
      <c r="M1739" t="str">
        <f>IF(Raw_Claims_Data!M1738="","N/A",Raw_Claims_Data!M1738)</f>
        <v>VNDR00001</v>
      </c>
      <c r="N1739" t="str">
        <f>Raw_Claims_Data!N1738</f>
        <v>AGENT01098</v>
      </c>
      <c r="O1739">
        <f>IF(Raw_Claims_Data!G1738="D",1,0)</f>
        <v>0</v>
      </c>
    </row>
    <row r="1740" spans="1:15" x14ac:dyDescent="0.35">
      <c r="A1740" t="str">
        <f>Raw_Claims_Data!A1739</f>
        <v>TXN00001736</v>
      </c>
      <c r="B1740" t="str">
        <f>TRIM(Raw_Claims_Data!B1739)</f>
        <v>John Morris</v>
      </c>
      <c r="C1740" t="str">
        <f>Raw_Claims_Data!C1739</f>
        <v>Health</v>
      </c>
      <c r="D1740">
        <f>Raw_Claims_Data!D1739</f>
        <v>115.73</v>
      </c>
      <c r="E1740">
        <f>Raw_Claims_Data!E1739</f>
        <v>7000</v>
      </c>
      <c r="F1740" t="str">
        <f>Raw_Claims_Data!F1739</f>
        <v>KY</v>
      </c>
      <c r="G1740" t="str">
        <f>Raw_Claims_Data!G1739</f>
        <v>A</v>
      </c>
      <c r="H1740" t="str">
        <f>Raw_Claims_Data!H1739</f>
        <v>Total Loss</v>
      </c>
      <c r="I1740" t="str">
        <f>IF(Raw_Claims_Data!I1739="","None",Raw_Claims_Data!I1739)</f>
        <v>Ambulance</v>
      </c>
      <c r="J1740" t="str">
        <f>Raw_Claims_Data!J1739</f>
        <v>Dublin</v>
      </c>
      <c r="K1740" t="str">
        <f>Raw_Claims_Data!K1739</f>
        <v>CA</v>
      </c>
      <c r="L1740">
        <f>Raw_Claims_Data!L1739</f>
        <v>12</v>
      </c>
      <c r="M1740" t="str">
        <f>IF(Raw_Claims_Data!M1739="","N/A",Raw_Claims_Data!M1739)</f>
        <v>N/A</v>
      </c>
      <c r="N1740" t="str">
        <f>Raw_Claims_Data!N1739</f>
        <v>AGENT00632</v>
      </c>
      <c r="O1740">
        <f>IF(Raw_Claims_Data!G1739="D",1,0)</f>
        <v>0</v>
      </c>
    </row>
    <row r="1741" spans="1:15" x14ac:dyDescent="0.35">
      <c r="A1741" t="str">
        <f>Raw_Claims_Data!A1740</f>
        <v>TXN00001737</v>
      </c>
      <c r="B1741" t="str">
        <f>TRIM(Raw_Claims_Data!B1740)</f>
        <v>Ida Rose</v>
      </c>
      <c r="C1741" t="str">
        <f>Raw_Claims_Data!C1740</f>
        <v>Life</v>
      </c>
      <c r="D1741">
        <f>Raw_Claims_Data!D1740</f>
        <v>94.16</v>
      </c>
      <c r="E1741">
        <f>Raw_Claims_Data!E1740</f>
        <v>63000</v>
      </c>
      <c r="F1741" t="str">
        <f>Raw_Claims_Data!F1740</f>
        <v>MA</v>
      </c>
      <c r="G1741" t="str">
        <f>Raw_Claims_Data!G1740</f>
        <v>A</v>
      </c>
      <c r="H1741" t="str">
        <f>Raw_Claims_Data!H1740</f>
        <v>Total Loss</v>
      </c>
      <c r="I1741" t="str">
        <f>IF(Raw_Claims_Data!I1740="","None",Raw_Claims_Data!I1740)</f>
        <v>Police</v>
      </c>
      <c r="J1741" t="str">
        <f>Raw_Claims_Data!J1740</f>
        <v>Montgomery</v>
      </c>
      <c r="K1741" t="str">
        <f>Raw_Claims_Data!K1740</f>
        <v>AL</v>
      </c>
      <c r="L1741">
        <f>Raw_Claims_Data!L1740</f>
        <v>19</v>
      </c>
      <c r="M1741" t="str">
        <f>IF(Raw_Claims_Data!M1740="","N/A",Raw_Claims_Data!M1740)</f>
        <v>VNDR00169</v>
      </c>
      <c r="N1741" t="str">
        <f>Raw_Claims_Data!N1740</f>
        <v>AGENT00390</v>
      </c>
      <c r="O1741">
        <f>IF(Raw_Claims_Data!G1740="D",1,0)</f>
        <v>0</v>
      </c>
    </row>
    <row r="1742" spans="1:15" x14ac:dyDescent="0.35">
      <c r="A1742" t="str">
        <f>Raw_Claims_Data!A1741</f>
        <v>TXN00001738</v>
      </c>
      <c r="B1742" t="str">
        <f>TRIM(Raw_Claims_Data!B1741)</f>
        <v>Dan Buchholz</v>
      </c>
      <c r="C1742" t="str">
        <f>Raw_Claims_Data!C1741</f>
        <v>Property</v>
      </c>
      <c r="D1742">
        <f>Raw_Claims_Data!D1741</f>
        <v>115.42</v>
      </c>
      <c r="E1742">
        <f>Raw_Claims_Data!E1741</f>
        <v>18000</v>
      </c>
      <c r="F1742" t="str">
        <f>Raw_Claims_Data!F1741</f>
        <v>CA</v>
      </c>
      <c r="G1742" t="str">
        <f>Raw_Claims_Data!G1741</f>
        <v>A</v>
      </c>
      <c r="H1742" t="str">
        <f>Raw_Claims_Data!H1741</f>
        <v>Minor Loss</v>
      </c>
      <c r="I1742" t="str">
        <f>IF(Raw_Claims_Data!I1741="","None",Raw_Claims_Data!I1741)</f>
        <v>Ambulance</v>
      </c>
      <c r="J1742" t="str">
        <f>Raw_Claims_Data!J1741</f>
        <v>Fayetteville</v>
      </c>
      <c r="K1742" t="str">
        <f>Raw_Claims_Data!K1741</f>
        <v>AR</v>
      </c>
      <c r="L1742">
        <f>Raw_Claims_Data!L1741</f>
        <v>12</v>
      </c>
      <c r="M1742" t="str">
        <f>IF(Raw_Claims_Data!M1741="","N/A",Raw_Claims_Data!M1741)</f>
        <v>VNDR00010</v>
      </c>
      <c r="N1742" t="str">
        <f>Raw_Claims_Data!N1741</f>
        <v>AGENT00311</v>
      </c>
      <c r="O1742">
        <f>IF(Raw_Claims_Data!G1741="D",1,0)</f>
        <v>0</v>
      </c>
    </row>
    <row r="1743" spans="1:15" x14ac:dyDescent="0.35">
      <c r="A1743" t="str">
        <f>Raw_Claims_Data!A1742</f>
        <v>TXN00001739</v>
      </c>
      <c r="B1743" t="str">
        <f>TRIM(Raw_Claims_Data!B1742)</f>
        <v>Phylis Ness</v>
      </c>
      <c r="C1743" t="str">
        <f>Raw_Claims_Data!C1742</f>
        <v>Property</v>
      </c>
      <c r="D1743">
        <f>Raw_Claims_Data!D1742</f>
        <v>82.02</v>
      </c>
      <c r="E1743">
        <f>Raw_Claims_Data!E1742</f>
        <v>36000</v>
      </c>
      <c r="F1743" t="str">
        <f>Raw_Claims_Data!F1742</f>
        <v>AK</v>
      </c>
      <c r="G1743" t="str">
        <f>Raw_Claims_Data!G1742</f>
        <v>A</v>
      </c>
      <c r="H1743" t="str">
        <f>Raw_Claims_Data!H1742</f>
        <v>Major Loss</v>
      </c>
      <c r="I1743" t="str">
        <f>IF(Raw_Claims_Data!I1742="","None",Raw_Claims_Data!I1742)</f>
        <v>Other</v>
      </c>
      <c r="J1743" t="str">
        <f>Raw_Claims_Data!J1742</f>
        <v>Fayetteville</v>
      </c>
      <c r="K1743" t="str">
        <f>Raw_Claims_Data!K1742</f>
        <v>AR</v>
      </c>
      <c r="L1743">
        <f>Raw_Claims_Data!L1742</f>
        <v>10</v>
      </c>
      <c r="M1743" t="str">
        <f>IF(Raw_Claims_Data!M1742="","N/A",Raw_Claims_Data!M1742)</f>
        <v>VNDR00189</v>
      </c>
      <c r="N1743" t="str">
        <f>Raw_Claims_Data!N1742</f>
        <v>AGENT01011</v>
      </c>
      <c r="O1743">
        <f>IF(Raw_Claims_Data!G1742="D",1,0)</f>
        <v>0</v>
      </c>
    </row>
    <row r="1744" spans="1:15" x14ac:dyDescent="0.35">
      <c r="A1744" t="str">
        <f>Raw_Claims_Data!A1743</f>
        <v>TXN00001740</v>
      </c>
      <c r="B1744" t="str">
        <f>TRIM(Raw_Claims_Data!B1743)</f>
        <v>Ann Farber</v>
      </c>
      <c r="C1744" t="str">
        <f>Raw_Claims_Data!C1743</f>
        <v>Health</v>
      </c>
      <c r="D1744">
        <f>Raw_Claims_Data!D1743</f>
        <v>118.61</v>
      </c>
      <c r="E1744">
        <f>Raw_Claims_Data!E1743</f>
        <v>8000</v>
      </c>
      <c r="F1744" t="str">
        <f>Raw_Claims_Data!F1743</f>
        <v>MA</v>
      </c>
      <c r="G1744" t="str">
        <f>Raw_Claims_Data!G1743</f>
        <v>A</v>
      </c>
      <c r="H1744" t="str">
        <f>Raw_Claims_Data!H1743</f>
        <v>Total Loss</v>
      </c>
      <c r="I1744" t="str">
        <f>IF(Raw_Claims_Data!I1743="","None",Raw_Claims_Data!I1743)</f>
        <v>Ambulance</v>
      </c>
      <c r="J1744" t="str">
        <f>Raw_Claims_Data!J1743</f>
        <v>Crownsville</v>
      </c>
      <c r="K1744" t="str">
        <f>Raw_Claims_Data!K1743</f>
        <v>MD</v>
      </c>
      <c r="L1744">
        <f>Raw_Claims_Data!L1743</f>
        <v>18</v>
      </c>
      <c r="M1744" t="str">
        <f>IF(Raw_Claims_Data!M1743="","N/A",Raw_Claims_Data!M1743)</f>
        <v>VNDR00297</v>
      </c>
      <c r="N1744" t="str">
        <f>Raw_Claims_Data!N1743</f>
        <v>AGENT00796</v>
      </c>
      <c r="O1744">
        <f>IF(Raw_Claims_Data!G1743="D",1,0)</f>
        <v>0</v>
      </c>
    </row>
    <row r="1745" spans="1:15" x14ac:dyDescent="0.35">
      <c r="A1745" t="str">
        <f>Raw_Claims_Data!A1744</f>
        <v>TXN00001741</v>
      </c>
      <c r="B1745" t="str">
        <f>TRIM(Raw_Claims_Data!B1744)</f>
        <v>Jasmine Lewis</v>
      </c>
      <c r="C1745" t="str">
        <f>Raw_Claims_Data!C1744</f>
        <v>Property</v>
      </c>
      <c r="D1745">
        <f>Raw_Claims_Data!D1744</f>
        <v>141.33000000000001</v>
      </c>
      <c r="E1745">
        <f>Raw_Claims_Data!E1744</f>
        <v>11000</v>
      </c>
      <c r="F1745" t="str">
        <f>Raw_Claims_Data!F1744</f>
        <v>CA</v>
      </c>
      <c r="G1745" t="str">
        <f>Raw_Claims_Data!G1744</f>
        <v>A</v>
      </c>
      <c r="H1745" t="str">
        <f>Raw_Claims_Data!H1744</f>
        <v>Total Loss</v>
      </c>
      <c r="I1745" t="str">
        <f>IF(Raw_Claims_Data!I1744="","None",Raw_Claims_Data!I1744)</f>
        <v>Police</v>
      </c>
      <c r="J1745" t="str">
        <f>Raw_Claims_Data!J1744</f>
        <v>Louisville</v>
      </c>
      <c r="K1745" t="str">
        <f>Raw_Claims_Data!K1744</f>
        <v>KY</v>
      </c>
      <c r="L1745">
        <f>Raw_Claims_Data!L1744</f>
        <v>18</v>
      </c>
      <c r="M1745" t="str">
        <f>IF(Raw_Claims_Data!M1744="","N/A",Raw_Claims_Data!M1744)</f>
        <v>VNDR00115</v>
      </c>
      <c r="N1745" t="str">
        <f>Raw_Claims_Data!N1744</f>
        <v>AGENT00076</v>
      </c>
      <c r="O1745">
        <f>IF(Raw_Claims_Data!G1744="D",1,0)</f>
        <v>0</v>
      </c>
    </row>
    <row r="1746" spans="1:15" x14ac:dyDescent="0.35">
      <c r="A1746" t="str">
        <f>Raw_Claims_Data!A1745</f>
        <v>TXN00001742</v>
      </c>
      <c r="B1746" t="str">
        <f>TRIM(Raw_Claims_Data!B1745)</f>
        <v>Tonya Wheeler</v>
      </c>
      <c r="C1746" t="str">
        <f>Raw_Claims_Data!C1745</f>
        <v>Mobile</v>
      </c>
      <c r="D1746">
        <f>Raw_Claims_Data!D1745</f>
        <v>10.31</v>
      </c>
      <c r="E1746">
        <f>Raw_Claims_Data!E1745</f>
        <v>500</v>
      </c>
      <c r="F1746" t="str">
        <f>Raw_Claims_Data!F1745</f>
        <v>AR</v>
      </c>
      <c r="G1746" t="str">
        <f>Raw_Claims_Data!G1745</f>
        <v>A</v>
      </c>
      <c r="H1746" t="str">
        <f>Raw_Claims_Data!H1745</f>
        <v>Major Loss</v>
      </c>
      <c r="I1746" t="str">
        <f>IF(Raw_Claims_Data!I1745="","None",Raw_Claims_Data!I1745)</f>
        <v>Police</v>
      </c>
      <c r="J1746" t="str">
        <f>Raw_Claims_Data!J1745</f>
        <v>Mountain View</v>
      </c>
      <c r="K1746" t="str">
        <f>Raw_Claims_Data!K1745</f>
        <v>CA</v>
      </c>
      <c r="L1746">
        <f>Raw_Claims_Data!L1745</f>
        <v>21</v>
      </c>
      <c r="M1746" t="str">
        <f>IF(Raw_Claims_Data!M1745="","N/A",Raw_Claims_Data!M1745)</f>
        <v>N/A</v>
      </c>
      <c r="N1746" t="str">
        <f>Raw_Claims_Data!N1745</f>
        <v>AGENT00657</v>
      </c>
      <c r="O1746">
        <f>IF(Raw_Claims_Data!G1745="D",1,0)</f>
        <v>0</v>
      </c>
    </row>
    <row r="1747" spans="1:15" x14ac:dyDescent="0.35">
      <c r="A1747" t="str">
        <f>Raw_Claims_Data!A1746</f>
        <v>TXN00001743</v>
      </c>
      <c r="B1747" t="str">
        <f>TRIM(Raw_Claims_Data!B1746)</f>
        <v>Scott Hart</v>
      </c>
      <c r="C1747" t="str">
        <f>Raw_Claims_Data!C1746</f>
        <v>Mobile</v>
      </c>
      <c r="D1747">
        <f>Raw_Claims_Data!D1746</f>
        <v>8.66</v>
      </c>
      <c r="E1747">
        <f>Raw_Claims_Data!E1746</f>
        <v>100</v>
      </c>
      <c r="F1747" t="str">
        <f>Raw_Claims_Data!F1746</f>
        <v>FL</v>
      </c>
      <c r="G1747" t="str">
        <f>Raw_Claims_Data!G1746</f>
        <v>A</v>
      </c>
      <c r="H1747" t="str">
        <f>Raw_Claims_Data!H1746</f>
        <v>Total Loss</v>
      </c>
      <c r="I1747" t="str">
        <f>IF(Raw_Claims_Data!I1746="","None",Raw_Claims_Data!I1746)</f>
        <v>Ambulance</v>
      </c>
      <c r="J1747" t="str">
        <f>Raw_Claims_Data!J1746</f>
        <v>Easton</v>
      </c>
      <c r="K1747" t="str">
        <f>Raw_Claims_Data!K1746</f>
        <v>MA</v>
      </c>
      <c r="L1747">
        <f>Raw_Claims_Data!L1746</f>
        <v>5</v>
      </c>
      <c r="M1747" t="str">
        <f>IF(Raw_Claims_Data!M1746="","N/A",Raw_Claims_Data!M1746)</f>
        <v>VNDR00161</v>
      </c>
      <c r="N1747" t="str">
        <f>Raw_Claims_Data!N1746</f>
        <v>AGENT00967</v>
      </c>
      <c r="O1747">
        <f>IF(Raw_Claims_Data!G1746="D",1,0)</f>
        <v>0</v>
      </c>
    </row>
    <row r="1748" spans="1:15" x14ac:dyDescent="0.35">
      <c r="A1748" t="str">
        <f>Raw_Claims_Data!A1747</f>
        <v>TXN00001744</v>
      </c>
      <c r="B1748" t="str">
        <f>TRIM(Raw_Claims_Data!B1747)</f>
        <v>Dale Thompson</v>
      </c>
      <c r="C1748" t="str">
        <f>Raw_Claims_Data!C1747</f>
        <v>Property</v>
      </c>
      <c r="D1748">
        <f>Raw_Claims_Data!D1747</f>
        <v>154.69</v>
      </c>
      <c r="E1748">
        <f>Raw_Claims_Data!E1747</f>
        <v>35000</v>
      </c>
      <c r="F1748" t="str">
        <f>Raw_Claims_Data!F1747</f>
        <v>DC</v>
      </c>
      <c r="G1748" t="str">
        <f>Raw_Claims_Data!G1747</f>
        <v>A</v>
      </c>
      <c r="H1748" t="str">
        <f>Raw_Claims_Data!H1747</f>
        <v>Major Loss</v>
      </c>
      <c r="I1748" t="str">
        <f>IF(Raw_Claims_Data!I1747="","None",Raw_Claims_Data!I1747)</f>
        <v>Police</v>
      </c>
      <c r="J1748" t="str">
        <f>Raw_Claims_Data!J1747</f>
        <v>Arvada</v>
      </c>
      <c r="K1748" t="str">
        <f>Raw_Claims_Data!K1747</f>
        <v>CO</v>
      </c>
      <c r="L1748">
        <f>Raw_Claims_Data!L1747</f>
        <v>10</v>
      </c>
      <c r="M1748" t="str">
        <f>IF(Raw_Claims_Data!M1747="","N/A",Raw_Claims_Data!M1747)</f>
        <v>VNDR00556</v>
      </c>
      <c r="N1748" t="str">
        <f>Raw_Claims_Data!N1747</f>
        <v>AGENT00380</v>
      </c>
      <c r="O1748">
        <f>IF(Raw_Claims_Data!G1747="D",1,0)</f>
        <v>0</v>
      </c>
    </row>
    <row r="1749" spans="1:15" x14ac:dyDescent="0.35">
      <c r="A1749" t="str">
        <f>Raw_Claims_Data!A1748</f>
        <v>TXN00001745</v>
      </c>
      <c r="B1749" t="str">
        <f>TRIM(Raw_Claims_Data!B1748)</f>
        <v>Melinda Creger</v>
      </c>
      <c r="C1749" t="str">
        <f>Raw_Claims_Data!C1748</f>
        <v>Health</v>
      </c>
      <c r="D1749">
        <f>Raw_Claims_Data!D1748</f>
        <v>143.62</v>
      </c>
      <c r="E1749">
        <f>Raw_Claims_Data!E1748</f>
        <v>1000</v>
      </c>
      <c r="F1749" t="str">
        <f>Raw_Claims_Data!F1748</f>
        <v>DC</v>
      </c>
      <c r="G1749" t="str">
        <f>Raw_Claims_Data!G1748</f>
        <v>A</v>
      </c>
      <c r="H1749" t="str">
        <f>Raw_Claims_Data!H1748</f>
        <v>Minor Loss</v>
      </c>
      <c r="I1749" t="str">
        <f>IF(Raw_Claims_Data!I1748="","None",Raw_Claims_Data!I1748)</f>
        <v>Police</v>
      </c>
      <c r="J1749" t="str">
        <f>Raw_Claims_Data!J1748</f>
        <v>Mammoth Lakes</v>
      </c>
      <c r="K1749" t="str">
        <f>Raw_Claims_Data!K1748</f>
        <v>CA</v>
      </c>
      <c r="L1749">
        <f>Raw_Claims_Data!L1748</f>
        <v>17</v>
      </c>
      <c r="M1749" t="str">
        <f>IF(Raw_Claims_Data!M1748="","N/A",Raw_Claims_Data!M1748)</f>
        <v>VNDR00012</v>
      </c>
      <c r="N1749" t="str">
        <f>Raw_Claims_Data!N1748</f>
        <v>AGENT00950</v>
      </c>
      <c r="O1749">
        <f>IF(Raw_Claims_Data!G1748="D",1,0)</f>
        <v>0</v>
      </c>
    </row>
    <row r="1750" spans="1:15" x14ac:dyDescent="0.35">
      <c r="A1750" t="str">
        <f>Raw_Claims_Data!A1749</f>
        <v>TXN00001746</v>
      </c>
      <c r="B1750" t="str">
        <f>TRIM(Raw_Claims_Data!B1749)</f>
        <v>Matthew Pelletier</v>
      </c>
      <c r="C1750" t="str">
        <f>Raw_Claims_Data!C1749</f>
        <v>Mobile</v>
      </c>
      <c r="D1750">
        <f>Raw_Claims_Data!D1749</f>
        <v>9.93</v>
      </c>
      <c r="E1750">
        <f>Raw_Claims_Data!E1749</f>
        <v>400</v>
      </c>
      <c r="F1750" t="str">
        <f>Raw_Claims_Data!F1749</f>
        <v>AK</v>
      </c>
      <c r="G1750" t="str">
        <f>Raw_Claims_Data!G1749</f>
        <v>A</v>
      </c>
      <c r="H1750" t="str">
        <f>Raw_Claims_Data!H1749</f>
        <v>Total Loss</v>
      </c>
      <c r="I1750" t="str">
        <f>IF(Raw_Claims_Data!I1749="","None",Raw_Claims_Data!I1749)</f>
        <v>Police</v>
      </c>
      <c r="J1750" t="str">
        <f>Raw_Claims_Data!J1749</f>
        <v>Del City</v>
      </c>
      <c r="K1750" t="str">
        <f>Raw_Claims_Data!K1749</f>
        <v>OK</v>
      </c>
      <c r="L1750">
        <f>Raw_Claims_Data!L1749</f>
        <v>17</v>
      </c>
      <c r="M1750" t="str">
        <f>IF(Raw_Claims_Data!M1749="","N/A",Raw_Claims_Data!M1749)</f>
        <v>VNDR00120</v>
      </c>
      <c r="N1750" t="str">
        <f>Raw_Claims_Data!N1749</f>
        <v>AGENT00758</v>
      </c>
      <c r="O1750">
        <f>IF(Raw_Claims_Data!G1749="D",1,0)</f>
        <v>0</v>
      </c>
    </row>
    <row r="1751" spans="1:15" x14ac:dyDescent="0.35">
      <c r="A1751" t="str">
        <f>Raw_Claims_Data!A1750</f>
        <v>TXN00001747</v>
      </c>
      <c r="B1751" t="str">
        <f>TRIM(Raw_Claims_Data!B1750)</f>
        <v>George Whorley</v>
      </c>
      <c r="C1751" t="str">
        <f>Raw_Claims_Data!C1750</f>
        <v>Life</v>
      </c>
      <c r="D1751">
        <f>Raw_Claims_Data!D1750</f>
        <v>67.260000000000005</v>
      </c>
      <c r="E1751">
        <f>Raw_Claims_Data!E1750</f>
        <v>11000</v>
      </c>
      <c r="F1751" t="str">
        <f>Raw_Claims_Data!F1750</f>
        <v>OK</v>
      </c>
      <c r="G1751" t="str">
        <f>Raw_Claims_Data!G1750</f>
        <v>A</v>
      </c>
      <c r="H1751" t="str">
        <f>Raw_Claims_Data!H1750</f>
        <v>Minor Loss</v>
      </c>
      <c r="I1751" t="str">
        <f>IF(Raw_Claims_Data!I1750="","None",Raw_Claims_Data!I1750)</f>
        <v>Ambulance</v>
      </c>
      <c r="J1751" t="str">
        <f>Raw_Claims_Data!J1750</f>
        <v>Montgomery</v>
      </c>
      <c r="K1751" t="str">
        <f>Raw_Claims_Data!K1750</f>
        <v>AL</v>
      </c>
      <c r="L1751">
        <f>Raw_Claims_Data!L1750</f>
        <v>8</v>
      </c>
      <c r="M1751" t="str">
        <f>IF(Raw_Claims_Data!M1750="","N/A",Raw_Claims_Data!M1750)</f>
        <v>VNDR00335</v>
      </c>
      <c r="N1751" t="str">
        <f>Raw_Claims_Data!N1750</f>
        <v>AGENT00099</v>
      </c>
      <c r="O1751">
        <f>IF(Raw_Claims_Data!G1750="D",1,0)</f>
        <v>0</v>
      </c>
    </row>
    <row r="1752" spans="1:15" x14ac:dyDescent="0.35">
      <c r="A1752" t="str">
        <f>Raw_Claims_Data!A1751</f>
        <v>TXN00001748</v>
      </c>
      <c r="B1752" t="str">
        <f>TRIM(Raw_Claims_Data!B1751)</f>
        <v>Adam Laub</v>
      </c>
      <c r="C1752" t="str">
        <f>Raw_Claims_Data!C1751</f>
        <v>Health</v>
      </c>
      <c r="D1752">
        <f>Raw_Claims_Data!D1751</f>
        <v>117.7</v>
      </c>
      <c r="E1752">
        <f>Raw_Claims_Data!E1751</f>
        <v>6000</v>
      </c>
      <c r="F1752" t="str">
        <f>Raw_Claims_Data!F1751</f>
        <v>CA</v>
      </c>
      <c r="G1752" t="str">
        <f>Raw_Claims_Data!G1751</f>
        <v>A</v>
      </c>
      <c r="H1752" t="str">
        <f>Raw_Claims_Data!H1751</f>
        <v>Total Loss</v>
      </c>
      <c r="I1752" t="str">
        <f>IF(Raw_Claims_Data!I1751="","None",Raw_Claims_Data!I1751)</f>
        <v>Ambulance</v>
      </c>
      <c r="J1752" t="str">
        <f>Raw_Claims_Data!J1751</f>
        <v>Glendale</v>
      </c>
      <c r="K1752" t="str">
        <f>Raw_Claims_Data!K1751</f>
        <v>AZ</v>
      </c>
      <c r="L1752">
        <f>Raw_Claims_Data!L1751</f>
        <v>9</v>
      </c>
      <c r="M1752" t="str">
        <f>IF(Raw_Claims_Data!M1751="","N/A",Raw_Claims_Data!M1751)</f>
        <v>N/A</v>
      </c>
      <c r="N1752" t="str">
        <f>Raw_Claims_Data!N1751</f>
        <v>AGENT00877</v>
      </c>
      <c r="O1752">
        <f>IF(Raw_Claims_Data!G1751="D",1,0)</f>
        <v>0</v>
      </c>
    </row>
    <row r="1753" spans="1:15" x14ac:dyDescent="0.35">
      <c r="A1753" t="str">
        <f>Raw_Claims_Data!A1752</f>
        <v>TXN00001749</v>
      </c>
      <c r="B1753" t="str">
        <f>TRIM(Raw_Claims_Data!B1752)</f>
        <v>Madlyn Colon</v>
      </c>
      <c r="C1753" t="str">
        <f>Raw_Claims_Data!C1752</f>
        <v>Property</v>
      </c>
      <c r="D1753">
        <f>Raw_Claims_Data!D1752</f>
        <v>148.12</v>
      </c>
      <c r="E1753">
        <f>Raw_Claims_Data!E1752</f>
        <v>35000</v>
      </c>
      <c r="F1753" t="str">
        <f>Raw_Claims_Data!F1752</f>
        <v>OK</v>
      </c>
      <c r="G1753" t="str">
        <f>Raw_Claims_Data!G1752</f>
        <v>A</v>
      </c>
      <c r="H1753" t="str">
        <f>Raw_Claims_Data!H1752</f>
        <v>Total Loss</v>
      </c>
      <c r="I1753" t="str">
        <f>IF(Raw_Claims_Data!I1752="","None",Raw_Claims_Data!I1752)</f>
        <v>Police</v>
      </c>
      <c r="J1753" t="str">
        <f>Raw_Claims_Data!J1752</f>
        <v>Glendale</v>
      </c>
      <c r="K1753" t="str">
        <f>Raw_Claims_Data!K1752</f>
        <v>AZ</v>
      </c>
      <c r="L1753">
        <f>Raw_Claims_Data!L1752</f>
        <v>11</v>
      </c>
      <c r="M1753" t="str">
        <f>IF(Raw_Claims_Data!M1752="","N/A",Raw_Claims_Data!M1752)</f>
        <v>N/A</v>
      </c>
      <c r="N1753" t="str">
        <f>Raw_Claims_Data!N1752</f>
        <v>AGENT00936</v>
      </c>
      <c r="O1753">
        <f>IF(Raw_Claims_Data!G1752="D",1,0)</f>
        <v>0</v>
      </c>
    </row>
    <row r="1754" spans="1:15" x14ac:dyDescent="0.35">
      <c r="A1754" t="str">
        <f>Raw_Claims_Data!A1753</f>
        <v>TXN00001750</v>
      </c>
      <c r="B1754" t="str">
        <f>TRIM(Raw_Claims_Data!B1753)</f>
        <v>Terry Tibbert</v>
      </c>
      <c r="C1754" t="str">
        <f>Raw_Claims_Data!C1753</f>
        <v>Health</v>
      </c>
      <c r="D1754">
        <f>Raw_Claims_Data!D1753</f>
        <v>173.46</v>
      </c>
      <c r="E1754">
        <f>Raw_Claims_Data!E1753</f>
        <v>19000</v>
      </c>
      <c r="F1754" t="str">
        <f>Raw_Claims_Data!F1753</f>
        <v>KY</v>
      </c>
      <c r="G1754" t="str">
        <f>Raw_Claims_Data!G1753</f>
        <v>A</v>
      </c>
      <c r="H1754" t="str">
        <f>Raw_Claims_Data!H1753</f>
        <v>Minor Loss</v>
      </c>
      <c r="I1754" t="str">
        <f>IF(Raw_Claims_Data!I1753="","None",Raw_Claims_Data!I1753)</f>
        <v>None</v>
      </c>
      <c r="J1754" t="str">
        <f>Raw_Claims_Data!J1753</f>
        <v>Glendale</v>
      </c>
      <c r="K1754" t="str">
        <f>Raw_Claims_Data!K1753</f>
        <v>AZ</v>
      </c>
      <c r="L1754">
        <f>Raw_Claims_Data!L1753</f>
        <v>13</v>
      </c>
      <c r="M1754" t="str">
        <f>IF(Raw_Claims_Data!M1753="","N/A",Raw_Claims_Data!M1753)</f>
        <v>N/A</v>
      </c>
      <c r="N1754" t="str">
        <f>Raw_Claims_Data!N1753</f>
        <v>AGENT00943</v>
      </c>
      <c r="O1754">
        <f>IF(Raw_Claims_Data!G1753="D",1,0)</f>
        <v>0</v>
      </c>
    </row>
    <row r="1755" spans="1:15" x14ac:dyDescent="0.35">
      <c r="A1755" t="str">
        <f>Raw_Claims_Data!A1754</f>
        <v>TXN00001751</v>
      </c>
      <c r="B1755" t="str">
        <f>TRIM(Raw_Claims_Data!B1754)</f>
        <v>Edward Menden</v>
      </c>
      <c r="C1755" t="str">
        <f>Raw_Claims_Data!C1754</f>
        <v>Property</v>
      </c>
      <c r="D1755">
        <f>Raw_Claims_Data!D1754</f>
        <v>139.05000000000001</v>
      </c>
      <c r="E1755">
        <f>Raw_Claims_Data!E1754</f>
        <v>31000</v>
      </c>
      <c r="F1755" t="str">
        <f>Raw_Claims_Data!F1754</f>
        <v>VT</v>
      </c>
      <c r="G1755" t="str">
        <f>Raw_Claims_Data!G1754</f>
        <v>A</v>
      </c>
      <c r="H1755" t="str">
        <f>Raw_Claims_Data!H1754</f>
        <v>Total Loss</v>
      </c>
      <c r="I1755" t="str">
        <f>IF(Raw_Claims_Data!I1754="","None",Raw_Claims_Data!I1754)</f>
        <v>Ambulance</v>
      </c>
      <c r="J1755" t="str">
        <f>Raw_Claims_Data!J1754</f>
        <v>Anchorage</v>
      </c>
      <c r="K1755" t="str">
        <f>Raw_Claims_Data!K1754</f>
        <v>AK</v>
      </c>
      <c r="L1755">
        <f>Raw_Claims_Data!L1754</f>
        <v>18</v>
      </c>
      <c r="M1755" t="str">
        <f>IF(Raw_Claims_Data!M1754="","N/A",Raw_Claims_Data!M1754)</f>
        <v>N/A</v>
      </c>
      <c r="N1755" t="str">
        <f>Raw_Claims_Data!N1754</f>
        <v>AGENT01162</v>
      </c>
      <c r="O1755">
        <f>IF(Raw_Claims_Data!G1754="D",1,0)</f>
        <v>0</v>
      </c>
    </row>
    <row r="1756" spans="1:15" x14ac:dyDescent="0.35">
      <c r="A1756" t="str">
        <f>Raw_Claims_Data!A1755</f>
        <v>TXN00001752</v>
      </c>
      <c r="B1756" t="str">
        <f>TRIM(Raw_Claims_Data!B1755)</f>
        <v>Billy Macaraeg</v>
      </c>
      <c r="C1756" t="str">
        <f>Raw_Claims_Data!C1755</f>
        <v>Motor</v>
      </c>
      <c r="D1756">
        <f>Raw_Claims_Data!D1755</f>
        <v>96.55</v>
      </c>
      <c r="E1756">
        <f>Raw_Claims_Data!E1755</f>
        <v>6000</v>
      </c>
      <c r="F1756" t="str">
        <f>Raw_Claims_Data!F1755</f>
        <v>CA</v>
      </c>
      <c r="G1756" t="str">
        <f>Raw_Claims_Data!G1755</f>
        <v>A</v>
      </c>
      <c r="H1756" t="str">
        <f>Raw_Claims_Data!H1755</f>
        <v>Major Loss</v>
      </c>
      <c r="I1756" t="str">
        <f>IF(Raw_Claims_Data!I1755="","None",Raw_Claims_Data!I1755)</f>
        <v>Ambulance</v>
      </c>
      <c r="J1756" t="str">
        <f>Raw_Claims_Data!J1755</f>
        <v>Oklahoma City</v>
      </c>
      <c r="K1756" t="str">
        <f>Raw_Claims_Data!K1755</f>
        <v>OK</v>
      </c>
      <c r="L1756">
        <f>Raw_Claims_Data!L1755</f>
        <v>20</v>
      </c>
      <c r="M1756" t="str">
        <f>IF(Raw_Claims_Data!M1755="","N/A",Raw_Claims_Data!M1755)</f>
        <v>VNDR00315</v>
      </c>
      <c r="N1756" t="str">
        <f>Raw_Claims_Data!N1755</f>
        <v>AGENT01034</v>
      </c>
      <c r="O1756">
        <f>IF(Raw_Claims_Data!G1755="D",1,0)</f>
        <v>0</v>
      </c>
    </row>
    <row r="1757" spans="1:15" x14ac:dyDescent="0.35">
      <c r="A1757" t="str">
        <f>Raw_Claims_Data!A1756</f>
        <v>TXN00001753</v>
      </c>
      <c r="B1757" t="str">
        <f>TRIM(Raw_Claims_Data!B1756)</f>
        <v>Brian Phillips</v>
      </c>
      <c r="C1757" t="str">
        <f>Raw_Claims_Data!C1756</f>
        <v>Health</v>
      </c>
      <c r="D1757">
        <f>Raw_Claims_Data!D1756</f>
        <v>196.8</v>
      </c>
      <c r="E1757">
        <f>Raw_Claims_Data!E1756</f>
        <v>13000</v>
      </c>
      <c r="F1757" t="str">
        <f>Raw_Claims_Data!F1756</f>
        <v>TN</v>
      </c>
      <c r="G1757" t="str">
        <f>Raw_Claims_Data!G1756</f>
        <v>D</v>
      </c>
      <c r="H1757" t="str">
        <f>Raw_Claims_Data!H1756</f>
        <v>Major Loss</v>
      </c>
      <c r="I1757" t="str">
        <f>IF(Raw_Claims_Data!I1756="","None",Raw_Claims_Data!I1756)</f>
        <v>Police</v>
      </c>
      <c r="J1757" t="str">
        <f>Raw_Claims_Data!J1756</f>
        <v>Fayetteville</v>
      </c>
      <c r="K1757" t="str">
        <f>Raw_Claims_Data!K1756</f>
        <v>AR</v>
      </c>
      <c r="L1757">
        <f>Raw_Claims_Data!L1756</f>
        <v>13</v>
      </c>
      <c r="M1757" t="str">
        <f>IF(Raw_Claims_Data!M1756="","N/A",Raw_Claims_Data!M1756)</f>
        <v>N/A</v>
      </c>
      <c r="N1757" t="str">
        <f>Raw_Claims_Data!N1756</f>
        <v>AGENT00503</v>
      </c>
      <c r="O1757">
        <f>IF(Raw_Claims_Data!G1756="D",1,0)</f>
        <v>1</v>
      </c>
    </row>
    <row r="1758" spans="1:15" x14ac:dyDescent="0.35">
      <c r="A1758" t="str">
        <f>Raw_Claims_Data!A1757</f>
        <v>TXN00001754</v>
      </c>
      <c r="B1758" t="str">
        <f>TRIM(Raw_Claims_Data!B1757)</f>
        <v>Mary Fountain</v>
      </c>
      <c r="C1758" t="str">
        <f>Raw_Claims_Data!C1757</f>
        <v>Travel</v>
      </c>
      <c r="D1758">
        <f>Raw_Claims_Data!D1757</f>
        <v>94.13</v>
      </c>
      <c r="E1758">
        <f>Raw_Claims_Data!E1757</f>
        <v>1000</v>
      </c>
      <c r="F1758" t="str">
        <f>Raw_Claims_Data!F1757</f>
        <v>TN</v>
      </c>
      <c r="G1758" t="str">
        <f>Raw_Claims_Data!G1757</f>
        <v>A</v>
      </c>
      <c r="H1758" t="str">
        <f>Raw_Claims_Data!H1757</f>
        <v>Total Loss</v>
      </c>
      <c r="I1758" t="str">
        <f>IF(Raw_Claims_Data!I1757="","None",Raw_Claims_Data!I1757)</f>
        <v>Police</v>
      </c>
      <c r="J1758" t="str">
        <f>Raw_Claims_Data!J1757</f>
        <v>Montgomery</v>
      </c>
      <c r="K1758" t="str">
        <f>Raw_Claims_Data!K1757</f>
        <v>AL</v>
      </c>
      <c r="L1758">
        <f>Raw_Claims_Data!L1757</f>
        <v>3</v>
      </c>
      <c r="M1758" t="str">
        <f>IF(Raw_Claims_Data!M1757="","N/A",Raw_Claims_Data!M1757)</f>
        <v>N/A</v>
      </c>
      <c r="N1758" t="str">
        <f>Raw_Claims_Data!N1757</f>
        <v>AGENT00069</v>
      </c>
      <c r="O1758">
        <f>IF(Raw_Claims_Data!G1757="D",1,0)</f>
        <v>0</v>
      </c>
    </row>
    <row r="1759" spans="1:15" x14ac:dyDescent="0.35">
      <c r="A1759" t="str">
        <f>Raw_Claims_Data!A1758</f>
        <v>TXN00001755</v>
      </c>
      <c r="B1759" t="str">
        <f>TRIM(Raw_Claims_Data!B1758)</f>
        <v>Benny Johnson</v>
      </c>
      <c r="C1759" t="str">
        <f>Raw_Claims_Data!C1758</f>
        <v>Motor</v>
      </c>
      <c r="D1759">
        <f>Raw_Claims_Data!D1758</f>
        <v>137.37</v>
      </c>
      <c r="E1759">
        <f>Raw_Claims_Data!E1758</f>
        <v>4000</v>
      </c>
      <c r="F1759" t="str">
        <f>Raw_Claims_Data!F1758</f>
        <v>MA</v>
      </c>
      <c r="G1759" t="str">
        <f>Raw_Claims_Data!G1758</f>
        <v>A</v>
      </c>
      <c r="H1759" t="str">
        <f>Raw_Claims_Data!H1758</f>
        <v>Minor Loss</v>
      </c>
      <c r="I1759" t="str">
        <f>IF(Raw_Claims_Data!I1758="","None",Raw_Claims_Data!I1758)</f>
        <v>Ambulance</v>
      </c>
      <c r="J1759" t="str">
        <f>Raw_Claims_Data!J1758</f>
        <v>Farmington</v>
      </c>
      <c r="K1759" t="str">
        <f>Raw_Claims_Data!K1758</f>
        <v>AR</v>
      </c>
      <c r="L1759">
        <f>Raw_Claims_Data!L1758</f>
        <v>5</v>
      </c>
      <c r="M1759" t="str">
        <f>IF(Raw_Claims_Data!M1758="","N/A",Raw_Claims_Data!M1758)</f>
        <v>VNDR00156</v>
      </c>
      <c r="N1759" t="str">
        <f>Raw_Claims_Data!N1758</f>
        <v>AGENT00227</v>
      </c>
      <c r="O1759">
        <f>IF(Raw_Claims_Data!G1758="D",1,0)</f>
        <v>0</v>
      </c>
    </row>
    <row r="1760" spans="1:15" x14ac:dyDescent="0.35">
      <c r="A1760" t="str">
        <f>Raw_Claims_Data!A1759</f>
        <v>TXN00001756</v>
      </c>
      <c r="B1760" t="str">
        <f>TRIM(Raw_Claims_Data!B1759)</f>
        <v>Donnie Williams</v>
      </c>
      <c r="C1760" t="str">
        <f>Raw_Claims_Data!C1759</f>
        <v>Life</v>
      </c>
      <c r="D1760">
        <f>Raw_Claims_Data!D1759</f>
        <v>52.1</v>
      </c>
      <c r="E1760">
        <f>Raw_Claims_Data!E1759</f>
        <v>65000</v>
      </c>
      <c r="F1760" t="str">
        <f>Raw_Claims_Data!F1759</f>
        <v>AZ</v>
      </c>
      <c r="G1760" t="str">
        <f>Raw_Claims_Data!G1759</f>
        <v>A</v>
      </c>
      <c r="H1760" t="str">
        <f>Raw_Claims_Data!H1759</f>
        <v>Major Loss</v>
      </c>
      <c r="I1760" t="str">
        <f>IF(Raw_Claims_Data!I1759="","None",Raw_Claims_Data!I1759)</f>
        <v>Ambulance</v>
      </c>
      <c r="J1760" t="str">
        <f>Raw_Claims_Data!J1759</f>
        <v>Manchester</v>
      </c>
      <c r="K1760" t="str">
        <f>Raw_Claims_Data!K1759</f>
        <v>CT</v>
      </c>
      <c r="L1760">
        <f>Raw_Claims_Data!L1759</f>
        <v>21</v>
      </c>
      <c r="M1760" t="str">
        <f>IF(Raw_Claims_Data!M1759="","N/A",Raw_Claims_Data!M1759)</f>
        <v>VNDR00274</v>
      </c>
      <c r="N1760" t="str">
        <f>Raw_Claims_Data!N1759</f>
        <v>AGENT00677</v>
      </c>
      <c r="O1760">
        <f>IF(Raw_Claims_Data!G1759="D",1,0)</f>
        <v>0</v>
      </c>
    </row>
    <row r="1761" spans="1:15" x14ac:dyDescent="0.35">
      <c r="A1761" t="str">
        <f>Raw_Claims_Data!A1760</f>
        <v>TXN00001757</v>
      </c>
      <c r="B1761" t="str">
        <f>TRIM(Raw_Claims_Data!B1760)</f>
        <v>Ruth Lawton</v>
      </c>
      <c r="C1761" t="str">
        <f>Raw_Claims_Data!C1760</f>
        <v>Health</v>
      </c>
      <c r="D1761">
        <f>Raw_Claims_Data!D1760</f>
        <v>100.47</v>
      </c>
      <c r="E1761">
        <f>Raw_Claims_Data!E1760</f>
        <v>8000</v>
      </c>
      <c r="F1761" t="str">
        <f>Raw_Claims_Data!F1760</f>
        <v>GA</v>
      </c>
      <c r="G1761" t="str">
        <f>Raw_Claims_Data!G1760</f>
        <v>A</v>
      </c>
      <c r="H1761" t="str">
        <f>Raw_Claims_Data!H1760</f>
        <v>Minor Loss</v>
      </c>
      <c r="I1761" t="str">
        <f>IF(Raw_Claims_Data!I1760="","None",Raw_Claims_Data!I1760)</f>
        <v>Police</v>
      </c>
      <c r="J1761" t="str">
        <f>Raw_Claims_Data!J1760</f>
        <v>Glendale</v>
      </c>
      <c r="K1761" t="str">
        <f>Raw_Claims_Data!K1760</f>
        <v>AZ</v>
      </c>
      <c r="L1761">
        <f>Raw_Claims_Data!L1760</f>
        <v>1</v>
      </c>
      <c r="M1761" t="str">
        <f>IF(Raw_Claims_Data!M1760="","N/A",Raw_Claims_Data!M1760)</f>
        <v>N/A</v>
      </c>
      <c r="N1761" t="str">
        <f>Raw_Claims_Data!N1760</f>
        <v>AGENT00130</v>
      </c>
      <c r="O1761">
        <f>IF(Raw_Claims_Data!G1760="D",1,0)</f>
        <v>0</v>
      </c>
    </row>
    <row r="1762" spans="1:15" x14ac:dyDescent="0.35">
      <c r="A1762" t="str">
        <f>Raw_Claims_Data!A1761</f>
        <v>TXN00001758</v>
      </c>
      <c r="B1762" t="str">
        <f>TRIM(Raw_Claims_Data!B1761)</f>
        <v>Warren Harrison</v>
      </c>
      <c r="C1762" t="str">
        <f>Raw_Claims_Data!C1761</f>
        <v>Travel</v>
      </c>
      <c r="D1762">
        <f>Raw_Claims_Data!D1761</f>
        <v>60.39</v>
      </c>
      <c r="E1762">
        <f>Raw_Claims_Data!E1761</f>
        <v>3000</v>
      </c>
      <c r="F1762" t="str">
        <f>Raw_Claims_Data!F1761</f>
        <v>MA</v>
      </c>
      <c r="G1762" t="str">
        <f>Raw_Claims_Data!G1761</f>
        <v>A</v>
      </c>
      <c r="H1762" t="str">
        <f>Raw_Claims_Data!H1761</f>
        <v>Major Loss</v>
      </c>
      <c r="I1762" t="str">
        <f>IF(Raw_Claims_Data!I1761="","None",Raw_Claims_Data!I1761)</f>
        <v>Ambulance</v>
      </c>
      <c r="J1762" t="str">
        <f>Raw_Claims_Data!J1761</f>
        <v>Fremont</v>
      </c>
      <c r="K1762" t="str">
        <f>Raw_Claims_Data!K1761</f>
        <v>CA</v>
      </c>
      <c r="L1762">
        <f>Raw_Claims_Data!L1761</f>
        <v>5</v>
      </c>
      <c r="M1762" t="str">
        <f>IF(Raw_Claims_Data!M1761="","N/A",Raw_Claims_Data!M1761)</f>
        <v>VNDR00087</v>
      </c>
      <c r="N1762" t="str">
        <f>Raw_Claims_Data!N1761</f>
        <v>AGENT01125</v>
      </c>
      <c r="O1762">
        <f>IF(Raw_Claims_Data!G1761="D",1,0)</f>
        <v>0</v>
      </c>
    </row>
    <row r="1763" spans="1:15" x14ac:dyDescent="0.35">
      <c r="A1763" t="str">
        <f>Raw_Claims_Data!A1762</f>
        <v>TXN00001759</v>
      </c>
      <c r="B1763" t="str">
        <f>TRIM(Raw_Claims_Data!B1762)</f>
        <v>Diane Brownlow</v>
      </c>
      <c r="C1763" t="str">
        <f>Raw_Claims_Data!C1762</f>
        <v>Health</v>
      </c>
      <c r="D1763">
        <f>Raw_Claims_Data!D1762</f>
        <v>107.91</v>
      </c>
      <c r="E1763">
        <f>Raw_Claims_Data!E1762</f>
        <v>3000</v>
      </c>
      <c r="F1763" t="str">
        <f>Raw_Claims_Data!F1762</f>
        <v>KY</v>
      </c>
      <c r="G1763" t="str">
        <f>Raw_Claims_Data!G1762</f>
        <v>A</v>
      </c>
      <c r="H1763" t="str">
        <f>Raw_Claims_Data!H1762</f>
        <v>Minor Loss</v>
      </c>
      <c r="I1763" t="str">
        <f>IF(Raw_Claims_Data!I1762="","None",Raw_Claims_Data!I1762)</f>
        <v>Ambulance</v>
      </c>
      <c r="J1763" t="str">
        <f>Raw_Claims_Data!J1762</f>
        <v>Savannah</v>
      </c>
      <c r="K1763" t="str">
        <f>Raw_Claims_Data!K1762</f>
        <v>GA</v>
      </c>
      <c r="L1763">
        <f>Raw_Claims_Data!L1762</f>
        <v>15</v>
      </c>
      <c r="M1763" t="str">
        <f>IF(Raw_Claims_Data!M1762="","N/A",Raw_Claims_Data!M1762)</f>
        <v>VNDR00296</v>
      </c>
      <c r="N1763" t="str">
        <f>Raw_Claims_Data!N1762</f>
        <v>AGENT00905</v>
      </c>
      <c r="O1763">
        <f>IF(Raw_Claims_Data!G1762="D",1,0)</f>
        <v>0</v>
      </c>
    </row>
    <row r="1764" spans="1:15" x14ac:dyDescent="0.35">
      <c r="A1764" t="str">
        <f>Raw_Claims_Data!A1763</f>
        <v>TXN00001760</v>
      </c>
      <c r="B1764" t="str">
        <f>TRIM(Raw_Claims_Data!B1763)</f>
        <v>Linda Neal</v>
      </c>
      <c r="C1764" t="str">
        <f>Raw_Claims_Data!C1763</f>
        <v>Mobile</v>
      </c>
      <c r="D1764">
        <f>Raw_Claims_Data!D1763</f>
        <v>7.41</v>
      </c>
      <c r="E1764">
        <f>Raw_Claims_Data!E1763</f>
        <v>700</v>
      </c>
      <c r="F1764" t="str">
        <f>Raw_Claims_Data!F1763</f>
        <v>AK</v>
      </c>
      <c r="G1764" t="str">
        <f>Raw_Claims_Data!G1763</f>
        <v>A</v>
      </c>
      <c r="H1764" t="str">
        <f>Raw_Claims_Data!H1763</f>
        <v>Total Loss</v>
      </c>
      <c r="I1764" t="str">
        <f>IF(Raw_Claims_Data!I1763="","None",Raw_Claims_Data!I1763)</f>
        <v>Police</v>
      </c>
      <c r="J1764" t="str">
        <f>Raw_Claims_Data!J1763</f>
        <v>Fremont</v>
      </c>
      <c r="K1764" t="str">
        <f>Raw_Claims_Data!K1763</f>
        <v>CA</v>
      </c>
      <c r="L1764">
        <f>Raw_Claims_Data!L1763</f>
        <v>13</v>
      </c>
      <c r="M1764" t="str">
        <f>IF(Raw_Claims_Data!M1763="","N/A",Raw_Claims_Data!M1763)</f>
        <v>VNDR00523</v>
      </c>
      <c r="N1764" t="str">
        <f>Raw_Claims_Data!N1763</f>
        <v>AGENT00843</v>
      </c>
      <c r="O1764">
        <f>IF(Raw_Claims_Data!G1763="D",1,0)</f>
        <v>0</v>
      </c>
    </row>
    <row r="1765" spans="1:15" x14ac:dyDescent="0.35">
      <c r="A1765" t="str">
        <f>Raw_Claims_Data!A1764</f>
        <v>TXN00001761</v>
      </c>
      <c r="B1765" t="str">
        <f>TRIM(Raw_Claims_Data!B1764)</f>
        <v>Pauline Grollimund</v>
      </c>
      <c r="C1765" t="str">
        <f>Raw_Claims_Data!C1764</f>
        <v>Travel</v>
      </c>
      <c r="D1765">
        <f>Raw_Claims_Data!D1764</f>
        <v>64.58</v>
      </c>
      <c r="E1765">
        <f>Raw_Claims_Data!E1764</f>
        <v>4000</v>
      </c>
      <c r="F1765" t="str">
        <f>Raw_Claims_Data!F1764</f>
        <v>CO</v>
      </c>
      <c r="G1765" t="str">
        <f>Raw_Claims_Data!G1764</f>
        <v>A</v>
      </c>
      <c r="H1765" t="str">
        <f>Raw_Claims_Data!H1764</f>
        <v>Total Loss</v>
      </c>
      <c r="I1765" t="str">
        <f>IF(Raw_Claims_Data!I1764="","None",Raw_Claims_Data!I1764)</f>
        <v>None</v>
      </c>
      <c r="J1765" t="str">
        <f>Raw_Claims_Data!J1764</f>
        <v>Nashville</v>
      </c>
      <c r="K1765" t="str">
        <f>Raw_Claims_Data!K1764</f>
        <v>TN</v>
      </c>
      <c r="L1765">
        <f>Raw_Claims_Data!L1764</f>
        <v>0</v>
      </c>
      <c r="M1765" t="str">
        <f>IF(Raw_Claims_Data!M1764="","N/A",Raw_Claims_Data!M1764)</f>
        <v>VNDR00161</v>
      </c>
      <c r="N1765" t="str">
        <f>Raw_Claims_Data!N1764</f>
        <v>AGENT00963</v>
      </c>
      <c r="O1765">
        <f>IF(Raw_Claims_Data!G1764="D",1,0)</f>
        <v>0</v>
      </c>
    </row>
    <row r="1766" spans="1:15" x14ac:dyDescent="0.35">
      <c r="A1766" t="str">
        <f>Raw_Claims_Data!A1765</f>
        <v>TXN00001762</v>
      </c>
      <c r="B1766" t="str">
        <f>TRIM(Raw_Claims_Data!B1765)</f>
        <v>Alberta Powell</v>
      </c>
      <c r="C1766" t="str">
        <f>Raw_Claims_Data!C1765</f>
        <v>Life</v>
      </c>
      <c r="D1766">
        <f>Raw_Claims_Data!D1765</f>
        <v>89.01</v>
      </c>
      <c r="E1766">
        <f>Raw_Claims_Data!E1765</f>
        <v>63000</v>
      </c>
      <c r="F1766" t="str">
        <f>Raw_Claims_Data!F1765</f>
        <v>KY</v>
      </c>
      <c r="G1766" t="str">
        <f>Raw_Claims_Data!G1765</f>
        <v>A</v>
      </c>
      <c r="H1766" t="str">
        <f>Raw_Claims_Data!H1765</f>
        <v>Total Loss</v>
      </c>
      <c r="I1766" t="str">
        <f>IF(Raw_Claims_Data!I1765="","None",Raw_Claims_Data!I1765)</f>
        <v>Police</v>
      </c>
      <c r="J1766" t="str">
        <f>Raw_Claims_Data!J1765</f>
        <v>Arvada</v>
      </c>
      <c r="K1766" t="str">
        <f>Raw_Claims_Data!K1765</f>
        <v>CO</v>
      </c>
      <c r="L1766">
        <f>Raw_Claims_Data!L1765</f>
        <v>21</v>
      </c>
      <c r="M1766" t="str">
        <f>IF(Raw_Claims_Data!M1765="","N/A",Raw_Claims_Data!M1765)</f>
        <v>VNDR00242</v>
      </c>
      <c r="N1766" t="str">
        <f>Raw_Claims_Data!N1765</f>
        <v>AGENT00036</v>
      </c>
      <c r="O1766">
        <f>IF(Raw_Claims_Data!G1765="D",1,0)</f>
        <v>0</v>
      </c>
    </row>
    <row r="1767" spans="1:15" x14ac:dyDescent="0.35">
      <c r="A1767" t="str">
        <f>Raw_Claims_Data!A1766</f>
        <v>TXN00001763</v>
      </c>
      <c r="B1767" t="str">
        <f>TRIM(Raw_Claims_Data!B1766)</f>
        <v>Trista Villalobos</v>
      </c>
      <c r="C1767" t="str">
        <f>Raw_Claims_Data!C1766</f>
        <v>Property</v>
      </c>
      <c r="D1767">
        <f>Raw_Claims_Data!D1766</f>
        <v>145.11000000000001</v>
      </c>
      <c r="E1767">
        <f>Raw_Claims_Data!E1766</f>
        <v>12000</v>
      </c>
      <c r="F1767" t="str">
        <f>Raw_Claims_Data!F1766</f>
        <v>AL</v>
      </c>
      <c r="G1767" t="str">
        <f>Raw_Claims_Data!G1766</f>
        <v>A</v>
      </c>
      <c r="H1767" t="str">
        <f>Raw_Claims_Data!H1766</f>
        <v>Total Loss</v>
      </c>
      <c r="I1767" t="str">
        <f>IF(Raw_Claims_Data!I1766="","None",Raw_Claims_Data!I1766)</f>
        <v>Ambulance</v>
      </c>
      <c r="J1767" t="str">
        <f>Raw_Claims_Data!J1766</f>
        <v>Hanover</v>
      </c>
      <c r="K1767" t="str">
        <f>Raw_Claims_Data!K1766</f>
        <v>MD</v>
      </c>
      <c r="L1767">
        <f>Raw_Claims_Data!L1766</f>
        <v>1</v>
      </c>
      <c r="M1767" t="str">
        <f>IF(Raw_Claims_Data!M1766="","N/A",Raw_Claims_Data!M1766)</f>
        <v>VNDR00597</v>
      </c>
      <c r="N1767" t="str">
        <f>Raw_Claims_Data!N1766</f>
        <v>AGENT00873</v>
      </c>
      <c r="O1767">
        <f>IF(Raw_Claims_Data!G1766="D",1,0)</f>
        <v>0</v>
      </c>
    </row>
    <row r="1768" spans="1:15" x14ac:dyDescent="0.35">
      <c r="A1768" t="str">
        <f>Raw_Claims_Data!A1767</f>
        <v>TXN00001764</v>
      </c>
      <c r="B1768" t="str">
        <f>TRIM(Raw_Claims_Data!B1767)</f>
        <v>Clark Rosa</v>
      </c>
      <c r="C1768" t="str">
        <f>Raw_Claims_Data!C1767</f>
        <v>Mobile</v>
      </c>
      <c r="D1768">
        <f>Raw_Claims_Data!D1767</f>
        <v>9</v>
      </c>
      <c r="E1768">
        <f>Raw_Claims_Data!E1767</f>
        <v>400</v>
      </c>
      <c r="F1768" t="str">
        <f>Raw_Claims_Data!F1767</f>
        <v>AR</v>
      </c>
      <c r="G1768" t="str">
        <f>Raw_Claims_Data!G1767</f>
        <v>A</v>
      </c>
      <c r="H1768" t="str">
        <f>Raw_Claims_Data!H1767</f>
        <v>Total Loss</v>
      </c>
      <c r="I1768" t="str">
        <f>IF(Raw_Claims_Data!I1767="","None",Raw_Claims_Data!I1767)</f>
        <v>None</v>
      </c>
      <c r="J1768" t="str">
        <f>Raw_Claims_Data!J1767</f>
        <v>Anchorage</v>
      </c>
      <c r="K1768" t="str">
        <f>Raw_Claims_Data!K1767</f>
        <v>AK</v>
      </c>
      <c r="L1768">
        <f>Raw_Claims_Data!L1767</f>
        <v>18</v>
      </c>
      <c r="M1768" t="str">
        <f>IF(Raw_Claims_Data!M1767="","N/A",Raw_Claims_Data!M1767)</f>
        <v>VNDR00521</v>
      </c>
      <c r="N1768" t="str">
        <f>Raw_Claims_Data!N1767</f>
        <v>AGENT00654</v>
      </c>
      <c r="O1768">
        <f>IF(Raw_Claims_Data!G1767="D",1,0)</f>
        <v>0</v>
      </c>
    </row>
    <row r="1769" spans="1:15" x14ac:dyDescent="0.35">
      <c r="A1769" t="str">
        <f>Raw_Claims_Data!A1768</f>
        <v>TXN00001765</v>
      </c>
      <c r="B1769" t="str">
        <f>TRIM(Raw_Claims_Data!B1768)</f>
        <v>Lori Leedy</v>
      </c>
      <c r="C1769" t="str">
        <f>Raw_Claims_Data!C1768</f>
        <v>Property</v>
      </c>
      <c r="D1769">
        <f>Raw_Claims_Data!D1768</f>
        <v>115.22</v>
      </c>
      <c r="E1769">
        <f>Raw_Claims_Data!E1768</f>
        <v>28000</v>
      </c>
      <c r="F1769" t="str">
        <f>Raw_Claims_Data!F1768</f>
        <v>CT</v>
      </c>
      <c r="G1769" t="str">
        <f>Raw_Claims_Data!G1768</f>
        <v>A</v>
      </c>
      <c r="H1769" t="str">
        <f>Raw_Claims_Data!H1768</f>
        <v>Minor Loss</v>
      </c>
      <c r="I1769" t="str">
        <f>IF(Raw_Claims_Data!I1768="","None",Raw_Claims_Data!I1768)</f>
        <v>Ambulance</v>
      </c>
      <c r="J1769" t="str">
        <f>Raw_Claims_Data!J1768</f>
        <v>Louisville</v>
      </c>
      <c r="K1769" t="str">
        <f>Raw_Claims_Data!K1768</f>
        <v>KY</v>
      </c>
      <c r="L1769">
        <f>Raw_Claims_Data!L1768</f>
        <v>22</v>
      </c>
      <c r="M1769" t="str">
        <f>IF(Raw_Claims_Data!M1768="","N/A",Raw_Claims_Data!M1768)</f>
        <v>VNDR00399</v>
      </c>
      <c r="N1769" t="str">
        <f>Raw_Claims_Data!N1768</f>
        <v>AGENT00234</v>
      </c>
      <c r="O1769">
        <f>IF(Raw_Claims_Data!G1768="D",1,0)</f>
        <v>0</v>
      </c>
    </row>
    <row r="1770" spans="1:15" x14ac:dyDescent="0.35">
      <c r="A1770" t="str">
        <f>Raw_Claims_Data!A1769</f>
        <v>TXN00001766</v>
      </c>
      <c r="B1770" t="str">
        <f>TRIM(Raw_Claims_Data!B1769)</f>
        <v>Rachel Ramirez</v>
      </c>
      <c r="C1770" t="str">
        <f>Raw_Claims_Data!C1769</f>
        <v>Health</v>
      </c>
      <c r="D1770">
        <f>Raw_Claims_Data!D1769</f>
        <v>194.05</v>
      </c>
      <c r="E1770">
        <f>Raw_Claims_Data!E1769</f>
        <v>18000</v>
      </c>
      <c r="F1770" t="str">
        <f>Raw_Claims_Data!F1769</f>
        <v>AK</v>
      </c>
      <c r="G1770" t="str">
        <f>Raw_Claims_Data!G1769</f>
        <v>A</v>
      </c>
      <c r="H1770" t="str">
        <f>Raw_Claims_Data!H1769</f>
        <v>Total Loss</v>
      </c>
      <c r="I1770" t="str">
        <f>IF(Raw_Claims_Data!I1769="","None",Raw_Claims_Data!I1769)</f>
        <v>None</v>
      </c>
      <c r="J1770" t="str">
        <f>Raw_Claims_Data!J1769</f>
        <v>Guildhall</v>
      </c>
      <c r="K1770" t="str">
        <f>Raw_Claims_Data!K1769</f>
        <v>VT</v>
      </c>
      <c r="L1770">
        <f>Raw_Claims_Data!L1769</f>
        <v>3</v>
      </c>
      <c r="M1770" t="str">
        <f>IF(Raw_Claims_Data!M1769="","N/A",Raw_Claims_Data!M1769)</f>
        <v>VNDR00407</v>
      </c>
      <c r="N1770" t="str">
        <f>Raw_Claims_Data!N1769</f>
        <v>AGENT00814</v>
      </c>
      <c r="O1770">
        <f>IF(Raw_Claims_Data!G1769="D",1,0)</f>
        <v>0</v>
      </c>
    </row>
    <row r="1771" spans="1:15" x14ac:dyDescent="0.35">
      <c r="A1771" t="str">
        <f>Raw_Claims_Data!A1770</f>
        <v>TXN00001767</v>
      </c>
      <c r="B1771" t="str">
        <f>TRIM(Raw_Claims_Data!B1770)</f>
        <v>Melissa Moralez</v>
      </c>
      <c r="C1771" t="str">
        <f>Raw_Claims_Data!C1770</f>
        <v>Mobile</v>
      </c>
      <c r="D1771">
        <f>Raw_Claims_Data!D1770</f>
        <v>7.71</v>
      </c>
      <c r="E1771">
        <f>Raw_Claims_Data!E1770</f>
        <v>700</v>
      </c>
      <c r="F1771" t="str">
        <f>Raw_Claims_Data!F1770</f>
        <v>CO</v>
      </c>
      <c r="G1771" t="str">
        <f>Raw_Claims_Data!G1770</f>
        <v>A</v>
      </c>
      <c r="H1771" t="str">
        <f>Raw_Claims_Data!H1770</f>
        <v>Minor Loss</v>
      </c>
      <c r="I1771" t="str">
        <f>IF(Raw_Claims_Data!I1770="","None",Raw_Claims_Data!I1770)</f>
        <v>Ambulance</v>
      </c>
      <c r="J1771" t="str">
        <f>Raw_Claims_Data!J1770</f>
        <v>Colchester</v>
      </c>
      <c r="K1771" t="str">
        <f>Raw_Claims_Data!K1770</f>
        <v>VT</v>
      </c>
      <c r="L1771">
        <f>Raw_Claims_Data!L1770</f>
        <v>23</v>
      </c>
      <c r="M1771" t="str">
        <f>IF(Raw_Claims_Data!M1770="","N/A",Raw_Claims_Data!M1770)</f>
        <v>VNDR00585</v>
      </c>
      <c r="N1771" t="str">
        <f>Raw_Claims_Data!N1770</f>
        <v>AGENT00470</v>
      </c>
      <c r="O1771">
        <f>IF(Raw_Claims_Data!G1770="D",1,0)</f>
        <v>0</v>
      </c>
    </row>
    <row r="1772" spans="1:15" x14ac:dyDescent="0.35">
      <c r="A1772" t="str">
        <f>Raw_Claims_Data!A1771</f>
        <v>TXN00001768</v>
      </c>
      <c r="B1772" t="str">
        <f>TRIM(Raw_Claims_Data!B1771)</f>
        <v>Sharon Carrell</v>
      </c>
      <c r="C1772" t="str">
        <f>Raw_Claims_Data!C1771</f>
        <v>Travel</v>
      </c>
      <c r="D1772">
        <f>Raw_Claims_Data!D1771</f>
        <v>51.26</v>
      </c>
      <c r="E1772">
        <f>Raw_Claims_Data!E1771</f>
        <v>5000</v>
      </c>
      <c r="F1772" t="str">
        <f>Raw_Claims_Data!F1771</f>
        <v>AR</v>
      </c>
      <c r="G1772" t="str">
        <f>Raw_Claims_Data!G1771</f>
        <v>A</v>
      </c>
      <c r="H1772" t="str">
        <f>Raw_Claims_Data!H1771</f>
        <v>Total Loss</v>
      </c>
      <c r="I1772" t="str">
        <f>IF(Raw_Claims_Data!I1771="","None",Raw_Claims_Data!I1771)</f>
        <v>Ambulance</v>
      </c>
      <c r="J1772" t="str">
        <f>Raw_Claims_Data!J1771</f>
        <v>Fremont</v>
      </c>
      <c r="K1772" t="str">
        <f>Raw_Claims_Data!K1771</f>
        <v>CA</v>
      </c>
      <c r="L1772">
        <f>Raw_Claims_Data!L1771</f>
        <v>8</v>
      </c>
      <c r="M1772" t="str">
        <f>IF(Raw_Claims_Data!M1771="","N/A",Raw_Claims_Data!M1771)</f>
        <v>VNDR00161</v>
      </c>
      <c r="N1772" t="str">
        <f>Raw_Claims_Data!N1771</f>
        <v>AGENT01185</v>
      </c>
      <c r="O1772">
        <f>IF(Raw_Claims_Data!G1771="D",1,0)</f>
        <v>0</v>
      </c>
    </row>
    <row r="1773" spans="1:15" x14ac:dyDescent="0.35">
      <c r="A1773" t="str">
        <f>Raw_Claims_Data!A1772</f>
        <v>TXN00001769</v>
      </c>
      <c r="B1773" t="str">
        <f>TRIM(Raw_Claims_Data!B1772)</f>
        <v>Lawrence Larson</v>
      </c>
      <c r="C1773" t="str">
        <f>Raw_Claims_Data!C1772</f>
        <v>Motor</v>
      </c>
      <c r="D1773">
        <f>Raw_Claims_Data!D1772</f>
        <v>110.64</v>
      </c>
      <c r="E1773">
        <f>Raw_Claims_Data!E1772</f>
        <v>4000</v>
      </c>
      <c r="F1773" t="str">
        <f>Raw_Claims_Data!F1772</f>
        <v>DC</v>
      </c>
      <c r="G1773" t="str">
        <f>Raw_Claims_Data!G1772</f>
        <v>A</v>
      </c>
      <c r="H1773" t="str">
        <f>Raw_Claims_Data!H1772</f>
        <v>Major Loss</v>
      </c>
      <c r="I1773" t="str">
        <f>IF(Raw_Claims_Data!I1772="","None",Raw_Claims_Data!I1772)</f>
        <v>Police</v>
      </c>
      <c r="J1773" t="str">
        <f>Raw_Claims_Data!J1772</f>
        <v>Pasadena</v>
      </c>
      <c r="K1773" t="str">
        <f>Raw_Claims_Data!K1772</f>
        <v>MD</v>
      </c>
      <c r="L1773">
        <f>Raw_Claims_Data!L1772</f>
        <v>0</v>
      </c>
      <c r="M1773" t="str">
        <f>IF(Raw_Claims_Data!M1772="","N/A",Raw_Claims_Data!M1772)</f>
        <v>VNDR00248</v>
      </c>
      <c r="N1773" t="str">
        <f>Raw_Claims_Data!N1772</f>
        <v>AGENT00534</v>
      </c>
      <c r="O1773">
        <f>IF(Raw_Claims_Data!G1772="D",1,0)</f>
        <v>0</v>
      </c>
    </row>
    <row r="1774" spans="1:15" x14ac:dyDescent="0.35">
      <c r="A1774" t="str">
        <f>Raw_Claims_Data!A1773</f>
        <v>TXN00001770</v>
      </c>
      <c r="B1774" t="str">
        <f>TRIM(Raw_Claims_Data!B1773)</f>
        <v>Angela Lappin</v>
      </c>
      <c r="C1774" t="str">
        <f>Raw_Claims_Data!C1773</f>
        <v>Mobile</v>
      </c>
      <c r="D1774">
        <f>Raw_Claims_Data!D1773</f>
        <v>7.2</v>
      </c>
      <c r="E1774">
        <f>Raw_Claims_Data!E1773</f>
        <v>700</v>
      </c>
      <c r="F1774" t="str">
        <f>Raw_Claims_Data!F1773</f>
        <v>CO</v>
      </c>
      <c r="G1774" t="str">
        <f>Raw_Claims_Data!G1773</f>
        <v>A</v>
      </c>
      <c r="H1774" t="str">
        <f>Raw_Claims_Data!H1773</f>
        <v>Minor Loss</v>
      </c>
      <c r="I1774" t="str">
        <f>IF(Raw_Claims_Data!I1773="","None",Raw_Claims_Data!I1773)</f>
        <v>Ambulance</v>
      </c>
      <c r="J1774" t="str">
        <f>Raw_Claims_Data!J1773</f>
        <v>Savannah</v>
      </c>
      <c r="K1774" t="str">
        <f>Raw_Claims_Data!K1773</f>
        <v>GA</v>
      </c>
      <c r="L1774">
        <f>Raw_Claims_Data!L1773</f>
        <v>10</v>
      </c>
      <c r="M1774" t="str">
        <f>IF(Raw_Claims_Data!M1773="","N/A",Raw_Claims_Data!M1773)</f>
        <v>VNDR00312</v>
      </c>
      <c r="N1774" t="str">
        <f>Raw_Claims_Data!N1773</f>
        <v>AGENT00358</v>
      </c>
      <c r="O1774">
        <f>IF(Raw_Claims_Data!G1773="D",1,0)</f>
        <v>0</v>
      </c>
    </row>
    <row r="1775" spans="1:15" x14ac:dyDescent="0.35">
      <c r="A1775" t="str">
        <f>Raw_Claims_Data!A1774</f>
        <v>TXN00001771</v>
      </c>
      <c r="B1775" t="str">
        <f>TRIM(Raw_Claims_Data!B1774)</f>
        <v>Tracy Calhoun</v>
      </c>
      <c r="C1775" t="str">
        <f>Raw_Claims_Data!C1774</f>
        <v>Life</v>
      </c>
      <c r="D1775">
        <f>Raw_Claims_Data!D1774</f>
        <v>79.040000000000006</v>
      </c>
      <c r="E1775">
        <f>Raw_Claims_Data!E1774</f>
        <v>95000</v>
      </c>
      <c r="F1775" t="str">
        <f>Raw_Claims_Data!F1774</f>
        <v>TN</v>
      </c>
      <c r="G1775" t="str">
        <f>Raw_Claims_Data!G1774</f>
        <v>A</v>
      </c>
      <c r="H1775" t="str">
        <f>Raw_Claims_Data!H1774</f>
        <v>Total Loss</v>
      </c>
      <c r="I1775" t="str">
        <f>IF(Raw_Claims_Data!I1774="","None",Raw_Claims_Data!I1774)</f>
        <v>None</v>
      </c>
      <c r="J1775" t="str">
        <f>Raw_Claims_Data!J1774</f>
        <v>Panama City</v>
      </c>
      <c r="K1775" t="str">
        <f>Raw_Claims_Data!K1774</f>
        <v>FL</v>
      </c>
      <c r="L1775">
        <f>Raw_Claims_Data!L1774</f>
        <v>5</v>
      </c>
      <c r="M1775" t="str">
        <f>IF(Raw_Claims_Data!M1774="","N/A",Raw_Claims_Data!M1774)</f>
        <v>VNDR00458</v>
      </c>
      <c r="N1775" t="str">
        <f>Raw_Claims_Data!N1774</f>
        <v>AGENT00814</v>
      </c>
      <c r="O1775">
        <f>IF(Raw_Claims_Data!G1774="D",1,0)</f>
        <v>0</v>
      </c>
    </row>
    <row r="1776" spans="1:15" x14ac:dyDescent="0.35">
      <c r="A1776" t="str">
        <f>Raw_Claims_Data!A1775</f>
        <v>TXN00001772</v>
      </c>
      <c r="B1776" t="str">
        <f>TRIM(Raw_Claims_Data!B1775)</f>
        <v>Bryan Cash</v>
      </c>
      <c r="C1776" t="str">
        <f>Raw_Claims_Data!C1775</f>
        <v>Mobile</v>
      </c>
      <c r="D1776">
        <f>Raw_Claims_Data!D1775</f>
        <v>11.98</v>
      </c>
      <c r="E1776">
        <f>Raw_Claims_Data!E1775</f>
        <v>700</v>
      </c>
      <c r="F1776" t="str">
        <f>Raw_Claims_Data!F1775</f>
        <v>KY</v>
      </c>
      <c r="G1776" t="str">
        <f>Raw_Claims_Data!G1775</f>
        <v>A</v>
      </c>
      <c r="H1776" t="str">
        <f>Raw_Claims_Data!H1775</f>
        <v>Total Loss</v>
      </c>
      <c r="I1776" t="str">
        <f>IF(Raw_Claims_Data!I1775="","None",Raw_Claims_Data!I1775)</f>
        <v>Police</v>
      </c>
      <c r="J1776" t="str">
        <f>Raw_Claims_Data!J1775</f>
        <v>Oklahoma City</v>
      </c>
      <c r="K1776" t="str">
        <f>Raw_Claims_Data!K1775</f>
        <v>OK</v>
      </c>
      <c r="L1776">
        <f>Raw_Claims_Data!L1775</f>
        <v>5</v>
      </c>
      <c r="M1776" t="str">
        <f>IF(Raw_Claims_Data!M1775="","N/A",Raw_Claims_Data!M1775)</f>
        <v>VNDR00495</v>
      </c>
      <c r="N1776" t="str">
        <f>Raw_Claims_Data!N1775</f>
        <v>AGENT00478</v>
      </c>
      <c r="O1776">
        <f>IF(Raw_Claims_Data!G1775="D",1,0)</f>
        <v>0</v>
      </c>
    </row>
    <row r="1777" spans="1:15" x14ac:dyDescent="0.35">
      <c r="A1777" t="str">
        <f>Raw_Claims_Data!A1776</f>
        <v>TXN00001773</v>
      </c>
      <c r="B1777" t="str">
        <f>TRIM(Raw_Claims_Data!B1776)</f>
        <v>Mary Batty</v>
      </c>
      <c r="C1777" t="str">
        <f>Raw_Claims_Data!C1776</f>
        <v>Mobile</v>
      </c>
      <c r="D1777">
        <f>Raw_Claims_Data!D1776</f>
        <v>7.94</v>
      </c>
      <c r="E1777">
        <f>Raw_Claims_Data!E1776</f>
        <v>700</v>
      </c>
      <c r="F1777" t="str">
        <f>Raw_Claims_Data!F1776</f>
        <v>GA</v>
      </c>
      <c r="G1777" t="str">
        <f>Raw_Claims_Data!G1776</f>
        <v>A</v>
      </c>
      <c r="H1777" t="str">
        <f>Raw_Claims_Data!H1776</f>
        <v>Major Loss</v>
      </c>
      <c r="I1777" t="str">
        <f>IF(Raw_Claims_Data!I1776="","None",Raw_Claims_Data!I1776)</f>
        <v>Ambulance</v>
      </c>
      <c r="J1777" t="str">
        <f>Raw_Claims_Data!J1776</f>
        <v>Manchester</v>
      </c>
      <c r="K1777" t="str">
        <f>Raw_Claims_Data!K1776</f>
        <v>CT</v>
      </c>
      <c r="L1777">
        <f>Raw_Claims_Data!L1776</f>
        <v>17</v>
      </c>
      <c r="M1777" t="str">
        <f>IF(Raw_Claims_Data!M1776="","N/A",Raw_Claims_Data!M1776)</f>
        <v>VNDR00397</v>
      </c>
      <c r="N1777" t="str">
        <f>Raw_Claims_Data!N1776</f>
        <v>AGENT01093</v>
      </c>
      <c r="O1777">
        <f>IF(Raw_Claims_Data!G1776="D",1,0)</f>
        <v>0</v>
      </c>
    </row>
    <row r="1778" spans="1:15" x14ac:dyDescent="0.35">
      <c r="A1778" t="str">
        <f>Raw_Claims_Data!A1777</f>
        <v>TXN00001774</v>
      </c>
      <c r="B1778" t="str">
        <f>TRIM(Raw_Claims_Data!B1777)</f>
        <v>Dennis Leasure</v>
      </c>
      <c r="C1778" t="str">
        <f>Raw_Claims_Data!C1777</f>
        <v>Mobile</v>
      </c>
      <c r="D1778">
        <f>Raw_Claims_Data!D1777</f>
        <v>8.0500000000000007</v>
      </c>
      <c r="E1778">
        <f>Raw_Claims_Data!E1777</f>
        <v>100</v>
      </c>
      <c r="F1778" t="str">
        <f>Raw_Claims_Data!F1777</f>
        <v>CA</v>
      </c>
      <c r="G1778" t="str">
        <f>Raw_Claims_Data!G1777</f>
        <v>A</v>
      </c>
      <c r="H1778" t="str">
        <f>Raw_Claims_Data!H1777</f>
        <v>Minor Loss</v>
      </c>
      <c r="I1778" t="str">
        <f>IF(Raw_Claims_Data!I1777="","None",Raw_Claims_Data!I1777)</f>
        <v>None</v>
      </c>
      <c r="J1778" t="str">
        <f>Raw_Claims_Data!J1777</f>
        <v>Montgomery</v>
      </c>
      <c r="K1778" t="str">
        <f>Raw_Claims_Data!K1777</f>
        <v>AL</v>
      </c>
      <c r="L1778">
        <f>Raw_Claims_Data!L1777</f>
        <v>20</v>
      </c>
      <c r="M1778" t="str">
        <f>IF(Raw_Claims_Data!M1777="","N/A",Raw_Claims_Data!M1777)</f>
        <v>VNDR00193</v>
      </c>
      <c r="N1778" t="str">
        <f>Raw_Claims_Data!N1777</f>
        <v>AGENT00362</v>
      </c>
      <c r="O1778">
        <f>IF(Raw_Claims_Data!G1777="D",1,0)</f>
        <v>0</v>
      </c>
    </row>
    <row r="1779" spans="1:15" x14ac:dyDescent="0.35">
      <c r="A1779" t="str">
        <f>Raw_Claims_Data!A1778</f>
        <v>TXN00001775</v>
      </c>
      <c r="B1779" t="str">
        <f>TRIM(Raw_Claims_Data!B1778)</f>
        <v>Juan Vallery</v>
      </c>
      <c r="C1779" t="str">
        <f>Raw_Claims_Data!C1778</f>
        <v>Mobile</v>
      </c>
      <c r="D1779">
        <f>Raw_Claims_Data!D1778</f>
        <v>6.56</v>
      </c>
      <c r="E1779">
        <f>Raw_Claims_Data!E1778</f>
        <v>400</v>
      </c>
      <c r="F1779" t="str">
        <f>Raw_Claims_Data!F1778</f>
        <v>CA</v>
      </c>
      <c r="G1779" t="str">
        <f>Raw_Claims_Data!G1778</f>
        <v>A</v>
      </c>
      <c r="H1779" t="str">
        <f>Raw_Claims_Data!H1778</f>
        <v>Major Loss</v>
      </c>
      <c r="I1779" t="str">
        <f>IF(Raw_Claims_Data!I1778="","None",Raw_Claims_Data!I1778)</f>
        <v>Police</v>
      </c>
      <c r="J1779" t="str">
        <f>Raw_Claims_Data!J1778</f>
        <v>Nashville</v>
      </c>
      <c r="K1779" t="str">
        <f>Raw_Claims_Data!K1778</f>
        <v>TN</v>
      </c>
      <c r="L1779">
        <f>Raw_Claims_Data!L1778</f>
        <v>5</v>
      </c>
      <c r="M1779" t="str">
        <f>IF(Raw_Claims_Data!M1778="","N/A",Raw_Claims_Data!M1778)</f>
        <v>N/A</v>
      </c>
      <c r="N1779" t="str">
        <f>Raw_Claims_Data!N1778</f>
        <v>AGENT01198</v>
      </c>
      <c r="O1779">
        <f>IF(Raw_Claims_Data!G1778="D",1,0)</f>
        <v>0</v>
      </c>
    </row>
    <row r="1780" spans="1:15" x14ac:dyDescent="0.35">
      <c r="A1780" t="str">
        <f>Raw_Claims_Data!A1779</f>
        <v>TXN00001776</v>
      </c>
      <c r="B1780" t="str">
        <f>TRIM(Raw_Claims_Data!B1779)</f>
        <v>Elizabeth Ferrell</v>
      </c>
      <c r="C1780" t="str">
        <f>Raw_Claims_Data!C1779</f>
        <v>Motor</v>
      </c>
      <c r="D1780">
        <f>Raw_Claims_Data!D1779</f>
        <v>83.24</v>
      </c>
      <c r="E1780">
        <f>Raw_Claims_Data!E1779</f>
        <v>6000</v>
      </c>
      <c r="F1780" t="str">
        <f>Raw_Claims_Data!F1779</f>
        <v>GA</v>
      </c>
      <c r="G1780" t="str">
        <f>Raw_Claims_Data!G1779</f>
        <v>A</v>
      </c>
      <c r="H1780" t="str">
        <f>Raw_Claims_Data!H1779</f>
        <v>Minor Loss</v>
      </c>
      <c r="I1780" t="str">
        <f>IF(Raw_Claims_Data!I1779="","None",Raw_Claims_Data!I1779)</f>
        <v>None</v>
      </c>
      <c r="J1780" t="str">
        <f>Raw_Claims_Data!J1779</f>
        <v>Anchorage</v>
      </c>
      <c r="K1780" t="str">
        <f>Raw_Claims_Data!K1779</f>
        <v>AK</v>
      </c>
      <c r="L1780">
        <f>Raw_Claims_Data!L1779</f>
        <v>3</v>
      </c>
      <c r="M1780" t="str">
        <f>IF(Raw_Claims_Data!M1779="","N/A",Raw_Claims_Data!M1779)</f>
        <v>VNDR00122</v>
      </c>
      <c r="N1780" t="str">
        <f>Raw_Claims_Data!N1779</f>
        <v>AGENT00555</v>
      </c>
      <c r="O1780">
        <f>IF(Raw_Claims_Data!G1779="D",1,0)</f>
        <v>0</v>
      </c>
    </row>
    <row r="1781" spans="1:15" x14ac:dyDescent="0.35">
      <c r="A1781" t="str">
        <f>Raw_Claims_Data!A1780</f>
        <v>TXN00001777</v>
      </c>
      <c r="B1781" t="str">
        <f>TRIM(Raw_Claims_Data!B1780)</f>
        <v>Benjamin Baisley</v>
      </c>
      <c r="C1781" t="str">
        <f>Raw_Claims_Data!C1780</f>
        <v>Health</v>
      </c>
      <c r="D1781">
        <f>Raw_Claims_Data!D1780</f>
        <v>130.85</v>
      </c>
      <c r="E1781">
        <f>Raw_Claims_Data!E1780</f>
        <v>11000</v>
      </c>
      <c r="F1781" t="str">
        <f>Raw_Claims_Data!F1780</f>
        <v>CO</v>
      </c>
      <c r="G1781" t="str">
        <f>Raw_Claims_Data!G1780</f>
        <v>A</v>
      </c>
      <c r="H1781" t="str">
        <f>Raw_Claims_Data!H1780</f>
        <v>Total Loss</v>
      </c>
      <c r="I1781" t="str">
        <f>IF(Raw_Claims_Data!I1780="","None",Raw_Claims_Data!I1780)</f>
        <v>Police</v>
      </c>
      <c r="J1781" t="str">
        <f>Raw_Claims_Data!J1780</f>
        <v>Arvada</v>
      </c>
      <c r="K1781" t="str">
        <f>Raw_Claims_Data!K1780</f>
        <v>CO</v>
      </c>
      <c r="L1781">
        <f>Raw_Claims_Data!L1780</f>
        <v>6</v>
      </c>
      <c r="M1781" t="str">
        <f>IF(Raw_Claims_Data!M1780="","N/A",Raw_Claims_Data!M1780)</f>
        <v>N/A</v>
      </c>
      <c r="N1781" t="str">
        <f>Raw_Claims_Data!N1780</f>
        <v>AGENT00514</v>
      </c>
      <c r="O1781">
        <f>IF(Raw_Claims_Data!G1780="D",1,0)</f>
        <v>0</v>
      </c>
    </row>
    <row r="1782" spans="1:15" x14ac:dyDescent="0.35">
      <c r="A1782" t="str">
        <f>Raw_Claims_Data!A1781</f>
        <v>TXN00001778</v>
      </c>
      <c r="B1782" t="str">
        <f>TRIM(Raw_Claims_Data!B1781)</f>
        <v>John Delaney</v>
      </c>
      <c r="C1782" t="str">
        <f>Raw_Claims_Data!C1781</f>
        <v>Mobile</v>
      </c>
      <c r="D1782">
        <f>Raw_Claims_Data!D1781</f>
        <v>9.31</v>
      </c>
      <c r="E1782">
        <f>Raw_Claims_Data!E1781</f>
        <v>300</v>
      </c>
      <c r="F1782" t="str">
        <f>Raw_Claims_Data!F1781</f>
        <v>OK</v>
      </c>
      <c r="G1782" t="str">
        <f>Raw_Claims_Data!G1781</f>
        <v>A</v>
      </c>
      <c r="H1782" t="str">
        <f>Raw_Claims_Data!H1781</f>
        <v>Major Loss</v>
      </c>
      <c r="I1782" t="str">
        <f>IF(Raw_Claims_Data!I1781="","None",Raw_Claims_Data!I1781)</f>
        <v>Police</v>
      </c>
      <c r="J1782" t="str">
        <f>Raw_Claims_Data!J1781</f>
        <v>Edgewater</v>
      </c>
      <c r="K1782" t="str">
        <f>Raw_Claims_Data!K1781</f>
        <v>MD</v>
      </c>
      <c r="L1782">
        <f>Raw_Claims_Data!L1781</f>
        <v>18</v>
      </c>
      <c r="M1782" t="str">
        <f>IF(Raw_Claims_Data!M1781="","N/A",Raw_Claims_Data!M1781)</f>
        <v>VNDR00358</v>
      </c>
      <c r="N1782" t="str">
        <f>Raw_Claims_Data!N1781</f>
        <v>AGENT00694</v>
      </c>
      <c r="O1782">
        <f>IF(Raw_Claims_Data!G1781="D",1,0)</f>
        <v>0</v>
      </c>
    </row>
    <row r="1783" spans="1:15" x14ac:dyDescent="0.35">
      <c r="A1783" t="str">
        <f>Raw_Claims_Data!A1782</f>
        <v>TXN00001779</v>
      </c>
      <c r="B1783" t="str">
        <f>TRIM(Raw_Claims_Data!B1782)</f>
        <v>Kathryn Murphy</v>
      </c>
      <c r="C1783" t="str">
        <f>Raw_Claims_Data!C1782</f>
        <v>Mobile</v>
      </c>
      <c r="D1783">
        <f>Raw_Claims_Data!D1782</f>
        <v>11.56</v>
      </c>
      <c r="E1783">
        <f>Raw_Claims_Data!E1782</f>
        <v>100</v>
      </c>
      <c r="F1783" t="str">
        <f>Raw_Claims_Data!F1782</f>
        <v>VT</v>
      </c>
      <c r="G1783" t="str">
        <f>Raw_Claims_Data!G1782</f>
        <v>A</v>
      </c>
      <c r="H1783" t="str">
        <f>Raw_Claims_Data!H1782</f>
        <v>Major Loss</v>
      </c>
      <c r="I1783" t="str">
        <f>IF(Raw_Claims_Data!I1782="","None",Raw_Claims_Data!I1782)</f>
        <v>Police</v>
      </c>
      <c r="J1783" t="str">
        <f>Raw_Claims_Data!J1782</f>
        <v>Saint Albans City</v>
      </c>
      <c r="K1783" t="str">
        <f>Raw_Claims_Data!K1782</f>
        <v>VT</v>
      </c>
      <c r="L1783">
        <f>Raw_Claims_Data!L1782</f>
        <v>9</v>
      </c>
      <c r="M1783" t="str">
        <f>IF(Raw_Claims_Data!M1782="","N/A",Raw_Claims_Data!M1782)</f>
        <v>VNDR00255</v>
      </c>
      <c r="N1783" t="str">
        <f>Raw_Claims_Data!N1782</f>
        <v>AGENT00537</v>
      </c>
      <c r="O1783">
        <f>IF(Raw_Claims_Data!G1782="D",1,0)</f>
        <v>0</v>
      </c>
    </row>
    <row r="1784" spans="1:15" x14ac:dyDescent="0.35">
      <c r="A1784" t="str">
        <f>Raw_Claims_Data!A1783</f>
        <v>TXN00001780</v>
      </c>
      <c r="B1784" t="str">
        <f>TRIM(Raw_Claims_Data!B1783)</f>
        <v>Nancy Gonzalez</v>
      </c>
      <c r="C1784" t="str">
        <f>Raw_Claims_Data!C1783</f>
        <v>Health</v>
      </c>
      <c r="D1784">
        <f>Raw_Claims_Data!D1783</f>
        <v>136.04</v>
      </c>
      <c r="E1784">
        <f>Raw_Claims_Data!E1783</f>
        <v>4000</v>
      </c>
      <c r="F1784" t="str">
        <f>Raw_Claims_Data!F1783</f>
        <v>AK</v>
      </c>
      <c r="G1784" t="str">
        <f>Raw_Claims_Data!G1783</f>
        <v>A</v>
      </c>
      <c r="H1784" t="str">
        <f>Raw_Claims_Data!H1783</f>
        <v>Minor Loss</v>
      </c>
      <c r="I1784" t="str">
        <f>IF(Raw_Claims_Data!I1783="","None",Raw_Claims_Data!I1783)</f>
        <v>Police</v>
      </c>
      <c r="J1784" t="str">
        <f>Raw_Claims_Data!J1783</f>
        <v>Oklahoma City</v>
      </c>
      <c r="K1784" t="str">
        <f>Raw_Claims_Data!K1783</f>
        <v>OK</v>
      </c>
      <c r="L1784">
        <f>Raw_Claims_Data!L1783</f>
        <v>20</v>
      </c>
      <c r="M1784" t="str">
        <f>IF(Raw_Claims_Data!M1783="","N/A",Raw_Claims_Data!M1783)</f>
        <v>VNDR00369</v>
      </c>
      <c r="N1784" t="str">
        <f>Raw_Claims_Data!N1783</f>
        <v>AGENT00223</v>
      </c>
      <c r="O1784">
        <f>IF(Raw_Claims_Data!G1783="D",1,0)</f>
        <v>0</v>
      </c>
    </row>
    <row r="1785" spans="1:15" x14ac:dyDescent="0.35">
      <c r="A1785" t="str">
        <f>Raw_Claims_Data!A1784</f>
        <v>TXN00001781</v>
      </c>
      <c r="B1785" t="str">
        <f>TRIM(Raw_Claims_Data!B1784)</f>
        <v>Robbie Alfano</v>
      </c>
      <c r="C1785" t="str">
        <f>Raw_Claims_Data!C1784</f>
        <v>Travel</v>
      </c>
      <c r="D1785">
        <f>Raw_Claims_Data!D1784</f>
        <v>79.88</v>
      </c>
      <c r="E1785">
        <f>Raw_Claims_Data!E1784</f>
        <v>5000</v>
      </c>
      <c r="F1785" t="str">
        <f>Raw_Claims_Data!F1784</f>
        <v>KY</v>
      </c>
      <c r="G1785" t="str">
        <f>Raw_Claims_Data!G1784</f>
        <v>A</v>
      </c>
      <c r="H1785" t="str">
        <f>Raw_Claims_Data!H1784</f>
        <v>Major Loss</v>
      </c>
      <c r="I1785" t="str">
        <f>IF(Raw_Claims_Data!I1784="","None",Raw_Claims_Data!I1784)</f>
        <v>Police</v>
      </c>
      <c r="J1785" t="str">
        <f>Raw_Claims_Data!J1784</f>
        <v>Manchester</v>
      </c>
      <c r="K1785" t="str">
        <f>Raw_Claims_Data!K1784</f>
        <v>CT</v>
      </c>
      <c r="L1785">
        <f>Raw_Claims_Data!L1784</f>
        <v>0</v>
      </c>
      <c r="M1785" t="str">
        <f>IF(Raw_Claims_Data!M1784="","N/A",Raw_Claims_Data!M1784)</f>
        <v>N/A</v>
      </c>
      <c r="N1785" t="str">
        <f>Raw_Claims_Data!N1784</f>
        <v>AGENT00514</v>
      </c>
      <c r="O1785">
        <f>IF(Raw_Claims_Data!G1784="D",1,0)</f>
        <v>0</v>
      </c>
    </row>
    <row r="1786" spans="1:15" x14ac:dyDescent="0.35">
      <c r="A1786" t="str">
        <f>Raw_Claims_Data!A1785</f>
        <v>TXN00001782</v>
      </c>
      <c r="B1786" t="str">
        <f>TRIM(Raw_Claims_Data!B1785)</f>
        <v>George Robinson</v>
      </c>
      <c r="C1786" t="str">
        <f>Raw_Claims_Data!C1785</f>
        <v>Life</v>
      </c>
      <c r="D1786">
        <f>Raw_Claims_Data!D1785</f>
        <v>58.47</v>
      </c>
      <c r="E1786">
        <f>Raw_Claims_Data!E1785</f>
        <v>55000</v>
      </c>
      <c r="F1786" t="str">
        <f>Raw_Claims_Data!F1785</f>
        <v>AK</v>
      </c>
      <c r="G1786" t="str">
        <f>Raw_Claims_Data!G1785</f>
        <v>A</v>
      </c>
      <c r="H1786" t="str">
        <f>Raw_Claims_Data!H1785</f>
        <v>Total Loss</v>
      </c>
      <c r="I1786" t="str">
        <f>IF(Raw_Claims_Data!I1785="","None",Raw_Claims_Data!I1785)</f>
        <v>Ambulance</v>
      </c>
      <c r="J1786" t="str">
        <f>Raw_Claims_Data!J1785</f>
        <v>Fayetteville</v>
      </c>
      <c r="K1786" t="str">
        <f>Raw_Claims_Data!K1785</f>
        <v>AR</v>
      </c>
      <c r="L1786">
        <f>Raw_Claims_Data!L1785</f>
        <v>4</v>
      </c>
      <c r="M1786" t="str">
        <f>IF(Raw_Claims_Data!M1785="","N/A",Raw_Claims_Data!M1785)</f>
        <v>VNDR00529</v>
      </c>
      <c r="N1786" t="str">
        <f>Raw_Claims_Data!N1785</f>
        <v>AGENT00658</v>
      </c>
      <c r="O1786">
        <f>IF(Raw_Claims_Data!G1785="D",1,0)</f>
        <v>0</v>
      </c>
    </row>
    <row r="1787" spans="1:15" x14ac:dyDescent="0.35">
      <c r="A1787" t="str">
        <f>Raw_Claims_Data!A1786</f>
        <v>TXN00001783</v>
      </c>
      <c r="B1787" t="str">
        <f>TRIM(Raw_Claims_Data!B1786)</f>
        <v>Harriet Vashaw</v>
      </c>
      <c r="C1787" t="str">
        <f>Raw_Claims_Data!C1786</f>
        <v>Health</v>
      </c>
      <c r="D1787">
        <f>Raw_Claims_Data!D1786</f>
        <v>128.41999999999999</v>
      </c>
      <c r="E1787">
        <f>Raw_Claims_Data!E1786</f>
        <v>6000</v>
      </c>
      <c r="F1787" t="str">
        <f>Raw_Claims_Data!F1786</f>
        <v>TN</v>
      </c>
      <c r="G1787" t="str">
        <f>Raw_Claims_Data!G1786</f>
        <v>A</v>
      </c>
      <c r="H1787" t="str">
        <f>Raw_Claims_Data!H1786</f>
        <v>Total Loss</v>
      </c>
      <c r="I1787" t="str">
        <f>IF(Raw_Claims_Data!I1786="","None",Raw_Claims_Data!I1786)</f>
        <v>Police</v>
      </c>
      <c r="J1787" t="str">
        <f>Raw_Claims_Data!J1786</f>
        <v>Louisville</v>
      </c>
      <c r="K1787" t="str">
        <f>Raw_Claims_Data!K1786</f>
        <v>KY</v>
      </c>
      <c r="L1787">
        <f>Raw_Claims_Data!L1786</f>
        <v>1</v>
      </c>
      <c r="M1787" t="str">
        <f>IF(Raw_Claims_Data!M1786="","N/A",Raw_Claims_Data!M1786)</f>
        <v>N/A</v>
      </c>
      <c r="N1787" t="str">
        <f>Raw_Claims_Data!N1786</f>
        <v>AGENT01118</v>
      </c>
      <c r="O1787">
        <f>IF(Raw_Claims_Data!G1786="D",1,0)</f>
        <v>0</v>
      </c>
    </row>
    <row r="1788" spans="1:15" x14ac:dyDescent="0.35">
      <c r="A1788" t="str">
        <f>Raw_Claims_Data!A1787</f>
        <v>TXN00001784</v>
      </c>
      <c r="B1788" t="str">
        <f>TRIM(Raw_Claims_Data!B1787)</f>
        <v>Albert Ogden</v>
      </c>
      <c r="C1788" t="str">
        <f>Raw_Claims_Data!C1787</f>
        <v>Travel</v>
      </c>
      <c r="D1788">
        <f>Raw_Claims_Data!D1787</f>
        <v>96.87</v>
      </c>
      <c r="E1788">
        <f>Raw_Claims_Data!E1787</f>
        <v>2000</v>
      </c>
      <c r="F1788" t="str">
        <f>Raw_Claims_Data!F1787</f>
        <v>AZ</v>
      </c>
      <c r="G1788" t="str">
        <f>Raw_Claims_Data!G1787</f>
        <v>A</v>
      </c>
      <c r="H1788" t="str">
        <f>Raw_Claims_Data!H1787</f>
        <v>Major Loss</v>
      </c>
      <c r="I1788" t="str">
        <f>IF(Raw_Claims_Data!I1787="","None",Raw_Claims_Data!I1787)</f>
        <v>Police</v>
      </c>
      <c r="J1788" t="str">
        <f>Raw_Claims_Data!J1787</f>
        <v>Tollhouse</v>
      </c>
      <c r="K1788" t="str">
        <f>Raw_Claims_Data!K1787</f>
        <v>CA</v>
      </c>
      <c r="L1788">
        <f>Raw_Claims_Data!L1787</f>
        <v>16</v>
      </c>
      <c r="M1788" t="str">
        <f>IF(Raw_Claims_Data!M1787="","N/A",Raw_Claims_Data!M1787)</f>
        <v>VNDR00052</v>
      </c>
      <c r="N1788" t="str">
        <f>Raw_Claims_Data!N1787</f>
        <v>AGENT00188</v>
      </c>
      <c r="O1788">
        <f>IF(Raw_Claims_Data!G1787="D",1,0)</f>
        <v>0</v>
      </c>
    </row>
    <row r="1789" spans="1:15" x14ac:dyDescent="0.35">
      <c r="A1789" t="str">
        <f>Raw_Claims_Data!A1788</f>
        <v>TXN00001785</v>
      </c>
      <c r="B1789" t="str">
        <f>TRIM(Raw_Claims_Data!B1788)</f>
        <v>Heather Raines</v>
      </c>
      <c r="C1789" t="str">
        <f>Raw_Claims_Data!C1788</f>
        <v>Mobile</v>
      </c>
      <c r="D1789">
        <f>Raw_Claims_Data!D1788</f>
        <v>6.98</v>
      </c>
      <c r="E1789">
        <f>Raw_Claims_Data!E1788</f>
        <v>100</v>
      </c>
      <c r="F1789" t="str">
        <f>Raw_Claims_Data!F1788</f>
        <v>DC</v>
      </c>
      <c r="G1789" t="str">
        <f>Raw_Claims_Data!G1788</f>
        <v>A</v>
      </c>
      <c r="H1789" t="str">
        <f>Raw_Claims_Data!H1788</f>
        <v>Minor Loss</v>
      </c>
      <c r="I1789" t="str">
        <f>IF(Raw_Claims_Data!I1788="","None",Raw_Claims_Data!I1788)</f>
        <v>Police</v>
      </c>
      <c r="J1789" t="str">
        <f>Raw_Claims_Data!J1788</f>
        <v>Westmore</v>
      </c>
      <c r="K1789" t="str">
        <f>Raw_Claims_Data!K1788</f>
        <v>VT</v>
      </c>
      <c r="L1789">
        <f>Raw_Claims_Data!L1788</f>
        <v>3</v>
      </c>
      <c r="M1789" t="str">
        <f>IF(Raw_Claims_Data!M1788="","N/A",Raw_Claims_Data!M1788)</f>
        <v>VNDR00248</v>
      </c>
      <c r="N1789" t="str">
        <f>Raw_Claims_Data!N1788</f>
        <v>AGENT00314</v>
      </c>
      <c r="O1789">
        <f>IF(Raw_Claims_Data!G1788="D",1,0)</f>
        <v>0</v>
      </c>
    </row>
    <row r="1790" spans="1:15" x14ac:dyDescent="0.35">
      <c r="A1790" t="str">
        <f>Raw_Claims_Data!A1789</f>
        <v>TXN00001786</v>
      </c>
      <c r="B1790" t="str">
        <f>TRIM(Raw_Claims_Data!B1789)</f>
        <v>Ray Thomas</v>
      </c>
      <c r="C1790" t="str">
        <f>Raw_Claims_Data!C1789</f>
        <v>Travel</v>
      </c>
      <c r="D1790">
        <f>Raw_Claims_Data!D1789</f>
        <v>72.13</v>
      </c>
      <c r="E1790">
        <f>Raw_Claims_Data!E1789</f>
        <v>1000</v>
      </c>
      <c r="F1790" t="str">
        <f>Raw_Claims_Data!F1789</f>
        <v>MA</v>
      </c>
      <c r="G1790" t="str">
        <f>Raw_Claims_Data!G1789</f>
        <v>A</v>
      </c>
      <c r="H1790" t="str">
        <f>Raw_Claims_Data!H1789</f>
        <v>Major Loss</v>
      </c>
      <c r="I1790" t="str">
        <f>IF(Raw_Claims_Data!I1789="","None",Raw_Claims_Data!I1789)</f>
        <v>Police</v>
      </c>
      <c r="J1790" t="str">
        <f>Raw_Claims_Data!J1789</f>
        <v>Washington</v>
      </c>
      <c r="K1790" t="str">
        <f>Raw_Claims_Data!K1789</f>
        <v>DC</v>
      </c>
      <c r="L1790">
        <f>Raw_Claims_Data!L1789</f>
        <v>12</v>
      </c>
      <c r="M1790" t="str">
        <f>IF(Raw_Claims_Data!M1789="","N/A",Raw_Claims_Data!M1789)</f>
        <v>VNDR00012</v>
      </c>
      <c r="N1790" t="str">
        <f>Raw_Claims_Data!N1789</f>
        <v>AGENT00027</v>
      </c>
      <c r="O1790">
        <f>IF(Raw_Claims_Data!G1789="D",1,0)</f>
        <v>0</v>
      </c>
    </row>
    <row r="1791" spans="1:15" x14ac:dyDescent="0.35">
      <c r="A1791" t="str">
        <f>Raw_Claims_Data!A1790</f>
        <v>TXN00001787</v>
      </c>
      <c r="B1791" t="str">
        <f>TRIM(Raw_Claims_Data!B1790)</f>
        <v>Alesha Catano</v>
      </c>
      <c r="C1791" t="str">
        <f>Raw_Claims_Data!C1790</f>
        <v>Motor</v>
      </c>
      <c r="D1791">
        <f>Raw_Claims_Data!D1790</f>
        <v>124.98</v>
      </c>
      <c r="E1791">
        <f>Raw_Claims_Data!E1790</f>
        <v>5000</v>
      </c>
      <c r="F1791" t="str">
        <f>Raw_Claims_Data!F1790</f>
        <v>KY</v>
      </c>
      <c r="G1791" t="str">
        <f>Raw_Claims_Data!G1790</f>
        <v>A</v>
      </c>
      <c r="H1791" t="str">
        <f>Raw_Claims_Data!H1790</f>
        <v>Major Loss</v>
      </c>
      <c r="I1791" t="str">
        <f>IF(Raw_Claims_Data!I1790="","None",Raw_Claims_Data!I1790)</f>
        <v>Police</v>
      </c>
      <c r="J1791" t="str">
        <f>Raw_Claims_Data!J1790</f>
        <v>Arvada</v>
      </c>
      <c r="K1791" t="str">
        <f>Raw_Claims_Data!K1790</f>
        <v>CO</v>
      </c>
      <c r="L1791">
        <f>Raw_Claims_Data!L1790</f>
        <v>19</v>
      </c>
      <c r="M1791" t="str">
        <f>IF(Raw_Claims_Data!M1790="","N/A",Raw_Claims_Data!M1790)</f>
        <v>VNDR00258</v>
      </c>
      <c r="N1791" t="str">
        <f>Raw_Claims_Data!N1790</f>
        <v>AGENT00676</v>
      </c>
      <c r="O1791">
        <f>IF(Raw_Claims_Data!G1790="D",1,0)</f>
        <v>0</v>
      </c>
    </row>
    <row r="1792" spans="1:15" x14ac:dyDescent="0.35">
      <c r="A1792" t="str">
        <f>Raw_Claims_Data!A1791</f>
        <v>TXN00001788</v>
      </c>
      <c r="B1792" t="str">
        <f>TRIM(Raw_Claims_Data!B1791)</f>
        <v>Robert Sottile</v>
      </c>
      <c r="C1792" t="str">
        <f>Raw_Claims_Data!C1791</f>
        <v>Travel</v>
      </c>
      <c r="D1792">
        <f>Raw_Claims_Data!D1791</f>
        <v>51.3</v>
      </c>
      <c r="E1792">
        <f>Raw_Claims_Data!E1791</f>
        <v>2000</v>
      </c>
      <c r="F1792" t="str">
        <f>Raw_Claims_Data!F1791</f>
        <v>FL</v>
      </c>
      <c r="G1792" t="str">
        <f>Raw_Claims_Data!G1791</f>
        <v>A</v>
      </c>
      <c r="H1792" t="str">
        <f>Raw_Claims_Data!H1791</f>
        <v>Minor Loss</v>
      </c>
      <c r="I1792" t="str">
        <f>IF(Raw_Claims_Data!I1791="","None",Raw_Claims_Data!I1791)</f>
        <v>None</v>
      </c>
      <c r="J1792" t="str">
        <f>Raw_Claims_Data!J1791</f>
        <v>Fremont</v>
      </c>
      <c r="K1792" t="str">
        <f>Raw_Claims_Data!K1791</f>
        <v>CA</v>
      </c>
      <c r="L1792">
        <f>Raw_Claims_Data!L1791</f>
        <v>18</v>
      </c>
      <c r="M1792" t="str">
        <f>IF(Raw_Claims_Data!M1791="","N/A",Raw_Claims_Data!M1791)</f>
        <v>VNDR00564</v>
      </c>
      <c r="N1792" t="str">
        <f>Raw_Claims_Data!N1791</f>
        <v>AGENT00772</v>
      </c>
      <c r="O1792">
        <f>IF(Raw_Claims_Data!G1791="D",1,0)</f>
        <v>0</v>
      </c>
    </row>
    <row r="1793" spans="1:15" x14ac:dyDescent="0.35">
      <c r="A1793" t="str">
        <f>Raw_Claims_Data!A1792</f>
        <v>TXN00001789</v>
      </c>
      <c r="B1793" t="str">
        <f>TRIM(Raw_Claims_Data!B1792)</f>
        <v>Robert Knox</v>
      </c>
      <c r="C1793" t="str">
        <f>Raw_Claims_Data!C1792</f>
        <v>Travel</v>
      </c>
      <c r="D1793">
        <f>Raw_Claims_Data!D1792</f>
        <v>89.04</v>
      </c>
      <c r="E1793">
        <f>Raw_Claims_Data!E1792</f>
        <v>4000</v>
      </c>
      <c r="F1793" t="str">
        <f>Raw_Claims_Data!F1792</f>
        <v>CT</v>
      </c>
      <c r="G1793" t="str">
        <f>Raw_Claims_Data!G1792</f>
        <v>A</v>
      </c>
      <c r="H1793" t="str">
        <f>Raw_Claims_Data!H1792</f>
        <v>Total Loss</v>
      </c>
      <c r="I1793" t="str">
        <f>IF(Raw_Claims_Data!I1792="","None",Raw_Claims_Data!I1792)</f>
        <v>Ambulance</v>
      </c>
      <c r="J1793" t="str">
        <f>Raw_Claims_Data!J1792</f>
        <v>Glendale</v>
      </c>
      <c r="K1793" t="str">
        <f>Raw_Claims_Data!K1792</f>
        <v>AZ</v>
      </c>
      <c r="L1793">
        <f>Raw_Claims_Data!L1792</f>
        <v>9</v>
      </c>
      <c r="M1793" t="str">
        <f>IF(Raw_Claims_Data!M1792="","N/A",Raw_Claims_Data!M1792)</f>
        <v>VNDR00283</v>
      </c>
      <c r="N1793" t="str">
        <f>Raw_Claims_Data!N1792</f>
        <v>AGENT00322</v>
      </c>
      <c r="O1793">
        <f>IF(Raw_Claims_Data!G1792="D",1,0)</f>
        <v>0</v>
      </c>
    </row>
    <row r="1794" spans="1:15" x14ac:dyDescent="0.35">
      <c r="A1794" t="str">
        <f>Raw_Claims_Data!A1793</f>
        <v>TXN00001790</v>
      </c>
      <c r="B1794" t="str">
        <f>TRIM(Raw_Claims_Data!B1793)</f>
        <v>Chris Tutor</v>
      </c>
      <c r="C1794" t="str">
        <f>Raw_Claims_Data!C1793</f>
        <v>Life</v>
      </c>
      <c r="D1794">
        <f>Raw_Claims_Data!D1793</f>
        <v>56.78</v>
      </c>
      <c r="E1794">
        <f>Raw_Claims_Data!E1793</f>
        <v>73000</v>
      </c>
      <c r="F1794" t="str">
        <f>Raw_Claims_Data!F1793</f>
        <v>AZ</v>
      </c>
      <c r="G1794" t="str">
        <f>Raw_Claims_Data!G1793</f>
        <v>D</v>
      </c>
      <c r="H1794" t="str">
        <f>Raw_Claims_Data!H1793</f>
        <v>Minor Loss</v>
      </c>
      <c r="I1794" t="str">
        <f>IF(Raw_Claims_Data!I1793="","None",Raw_Claims_Data!I1793)</f>
        <v>Ambulance</v>
      </c>
      <c r="J1794" t="str">
        <f>Raw_Claims_Data!J1793</f>
        <v>Glendale</v>
      </c>
      <c r="K1794" t="str">
        <f>Raw_Claims_Data!K1793</f>
        <v>AZ</v>
      </c>
      <c r="L1794">
        <f>Raw_Claims_Data!L1793</f>
        <v>3</v>
      </c>
      <c r="M1794" t="str">
        <f>IF(Raw_Claims_Data!M1793="","N/A",Raw_Claims_Data!M1793)</f>
        <v>VNDR00189</v>
      </c>
      <c r="N1794" t="str">
        <f>Raw_Claims_Data!N1793</f>
        <v>AGENT01184</v>
      </c>
      <c r="O1794">
        <f>IF(Raw_Claims_Data!G1793="D",1,0)</f>
        <v>1</v>
      </c>
    </row>
    <row r="1795" spans="1:15" x14ac:dyDescent="0.35">
      <c r="A1795" t="str">
        <f>Raw_Claims_Data!A1794</f>
        <v>TXN00001791</v>
      </c>
      <c r="B1795" t="str">
        <f>TRIM(Raw_Claims_Data!B1794)</f>
        <v>Margarita Nicholas</v>
      </c>
      <c r="C1795" t="str">
        <f>Raw_Claims_Data!C1794</f>
        <v>Travel</v>
      </c>
      <c r="D1795">
        <f>Raw_Claims_Data!D1794</f>
        <v>54.57</v>
      </c>
      <c r="E1795">
        <f>Raw_Claims_Data!E1794</f>
        <v>3000</v>
      </c>
      <c r="F1795" t="str">
        <f>Raw_Claims_Data!F1794</f>
        <v>CA</v>
      </c>
      <c r="G1795" t="str">
        <f>Raw_Claims_Data!G1794</f>
        <v>A</v>
      </c>
      <c r="H1795" t="str">
        <f>Raw_Claims_Data!H1794</f>
        <v>Major Loss</v>
      </c>
      <c r="I1795" t="str">
        <f>IF(Raw_Claims_Data!I1794="","None",Raw_Claims_Data!I1794)</f>
        <v>Ambulance</v>
      </c>
      <c r="J1795" t="str">
        <f>Raw_Claims_Data!J1794</f>
        <v>Manchester</v>
      </c>
      <c r="K1795" t="str">
        <f>Raw_Claims_Data!K1794</f>
        <v>CT</v>
      </c>
      <c r="L1795">
        <f>Raw_Claims_Data!L1794</f>
        <v>16</v>
      </c>
      <c r="M1795" t="str">
        <f>IF(Raw_Claims_Data!M1794="","N/A",Raw_Claims_Data!M1794)</f>
        <v>N/A</v>
      </c>
      <c r="N1795" t="str">
        <f>Raw_Claims_Data!N1794</f>
        <v>AGENT00070</v>
      </c>
      <c r="O1795">
        <f>IF(Raw_Claims_Data!G1794="D",1,0)</f>
        <v>0</v>
      </c>
    </row>
    <row r="1796" spans="1:15" x14ac:dyDescent="0.35">
      <c r="A1796" t="str">
        <f>Raw_Claims_Data!A1795</f>
        <v>TXN00001792</v>
      </c>
      <c r="B1796" t="str">
        <f>TRIM(Raw_Claims_Data!B1795)</f>
        <v>Lieselotte Unterseher</v>
      </c>
      <c r="C1796" t="str">
        <f>Raw_Claims_Data!C1795</f>
        <v>Life</v>
      </c>
      <c r="D1796">
        <f>Raw_Claims_Data!D1795</f>
        <v>80.33</v>
      </c>
      <c r="E1796">
        <f>Raw_Claims_Data!E1795</f>
        <v>47000</v>
      </c>
      <c r="F1796" t="str">
        <f>Raw_Claims_Data!F1795</f>
        <v>MD</v>
      </c>
      <c r="G1796" t="str">
        <f>Raw_Claims_Data!G1795</f>
        <v>A</v>
      </c>
      <c r="H1796" t="str">
        <f>Raw_Claims_Data!H1795</f>
        <v>Minor Loss</v>
      </c>
      <c r="I1796" t="str">
        <f>IF(Raw_Claims_Data!I1795="","None",Raw_Claims_Data!I1795)</f>
        <v>Police</v>
      </c>
      <c r="J1796" t="str">
        <f>Raw_Claims_Data!J1795</f>
        <v>Aurora</v>
      </c>
      <c r="K1796" t="str">
        <f>Raw_Claims_Data!K1795</f>
        <v>CO</v>
      </c>
      <c r="L1796">
        <f>Raw_Claims_Data!L1795</f>
        <v>7</v>
      </c>
      <c r="M1796" t="str">
        <f>IF(Raw_Claims_Data!M1795="","N/A",Raw_Claims_Data!M1795)</f>
        <v>N/A</v>
      </c>
      <c r="N1796" t="str">
        <f>Raw_Claims_Data!N1795</f>
        <v>AGENT01084</v>
      </c>
      <c r="O1796">
        <f>IF(Raw_Claims_Data!G1795="D",1,0)</f>
        <v>0</v>
      </c>
    </row>
    <row r="1797" spans="1:15" x14ac:dyDescent="0.35">
      <c r="A1797" t="str">
        <f>Raw_Claims_Data!A1796</f>
        <v>TXN00001793</v>
      </c>
      <c r="B1797" t="str">
        <f>TRIM(Raw_Claims_Data!B1796)</f>
        <v>Donald Gaucin</v>
      </c>
      <c r="C1797" t="str">
        <f>Raw_Claims_Data!C1796</f>
        <v>Travel</v>
      </c>
      <c r="D1797">
        <f>Raw_Claims_Data!D1796</f>
        <v>65.08</v>
      </c>
      <c r="E1797">
        <f>Raw_Claims_Data!E1796</f>
        <v>2000</v>
      </c>
      <c r="F1797" t="str">
        <f>Raw_Claims_Data!F1796</f>
        <v>VT</v>
      </c>
      <c r="G1797" t="str">
        <f>Raw_Claims_Data!G1796</f>
        <v>A</v>
      </c>
      <c r="H1797" t="str">
        <f>Raw_Claims_Data!H1796</f>
        <v>Major Loss</v>
      </c>
      <c r="I1797" t="str">
        <f>IF(Raw_Claims_Data!I1796="","None",Raw_Claims_Data!I1796)</f>
        <v>None</v>
      </c>
      <c r="J1797" t="str">
        <f>Raw_Claims_Data!J1796</f>
        <v>Savannah</v>
      </c>
      <c r="K1797" t="str">
        <f>Raw_Claims_Data!K1796</f>
        <v>GA</v>
      </c>
      <c r="L1797">
        <f>Raw_Claims_Data!L1796</f>
        <v>12</v>
      </c>
      <c r="M1797" t="str">
        <f>IF(Raw_Claims_Data!M1796="","N/A",Raw_Claims_Data!M1796)</f>
        <v>N/A</v>
      </c>
      <c r="N1797" t="str">
        <f>Raw_Claims_Data!N1796</f>
        <v>AGENT00006</v>
      </c>
      <c r="O1797">
        <f>IF(Raw_Claims_Data!G1796="D",1,0)</f>
        <v>0</v>
      </c>
    </row>
    <row r="1798" spans="1:15" x14ac:dyDescent="0.35">
      <c r="A1798" t="str">
        <f>Raw_Claims_Data!A1797</f>
        <v>TXN00001794</v>
      </c>
      <c r="B1798" t="str">
        <f>TRIM(Raw_Claims_Data!B1797)</f>
        <v>Sherman Constance</v>
      </c>
      <c r="C1798" t="str">
        <f>Raw_Claims_Data!C1797</f>
        <v>Travel</v>
      </c>
      <c r="D1798">
        <f>Raw_Claims_Data!D1797</f>
        <v>95.38</v>
      </c>
      <c r="E1798">
        <f>Raw_Claims_Data!E1797</f>
        <v>4000</v>
      </c>
      <c r="F1798" t="str">
        <f>Raw_Claims_Data!F1797</f>
        <v>MA</v>
      </c>
      <c r="G1798" t="str">
        <f>Raw_Claims_Data!G1797</f>
        <v>A</v>
      </c>
      <c r="H1798" t="str">
        <f>Raw_Claims_Data!H1797</f>
        <v>Total Loss</v>
      </c>
      <c r="I1798" t="str">
        <f>IF(Raw_Claims_Data!I1797="","None",Raw_Claims_Data!I1797)</f>
        <v>Ambulance</v>
      </c>
      <c r="J1798" t="str">
        <f>Raw_Claims_Data!J1797</f>
        <v>Glendale</v>
      </c>
      <c r="K1798" t="str">
        <f>Raw_Claims_Data!K1797</f>
        <v>AZ</v>
      </c>
      <c r="L1798">
        <f>Raw_Claims_Data!L1797</f>
        <v>16</v>
      </c>
      <c r="M1798" t="str">
        <f>IF(Raw_Claims_Data!M1797="","N/A",Raw_Claims_Data!M1797)</f>
        <v>VNDR00445</v>
      </c>
      <c r="N1798" t="str">
        <f>Raw_Claims_Data!N1797</f>
        <v>AGENT00088</v>
      </c>
      <c r="O1798">
        <f>IF(Raw_Claims_Data!G1797="D",1,0)</f>
        <v>0</v>
      </c>
    </row>
    <row r="1799" spans="1:15" x14ac:dyDescent="0.35">
      <c r="A1799" t="str">
        <f>Raw_Claims_Data!A1798</f>
        <v>TXN00001795</v>
      </c>
      <c r="B1799" t="str">
        <f>TRIM(Raw_Claims_Data!B1798)</f>
        <v>Edward Davis</v>
      </c>
      <c r="C1799" t="str">
        <f>Raw_Claims_Data!C1798</f>
        <v>Travel</v>
      </c>
      <c r="D1799">
        <f>Raw_Claims_Data!D1798</f>
        <v>75.489999999999995</v>
      </c>
      <c r="E1799">
        <f>Raw_Claims_Data!E1798</f>
        <v>3000</v>
      </c>
      <c r="F1799" t="str">
        <f>Raw_Claims_Data!F1798</f>
        <v>DC</v>
      </c>
      <c r="G1799" t="str">
        <f>Raw_Claims_Data!G1798</f>
        <v>A</v>
      </c>
      <c r="H1799" t="str">
        <f>Raw_Claims_Data!H1798</f>
        <v>Minor Loss</v>
      </c>
      <c r="I1799" t="str">
        <f>IF(Raw_Claims_Data!I1798="","None",Raw_Claims_Data!I1798)</f>
        <v>Police</v>
      </c>
      <c r="J1799" t="str">
        <f>Raw_Claims_Data!J1798</f>
        <v>Arvada</v>
      </c>
      <c r="K1799" t="str">
        <f>Raw_Claims_Data!K1798</f>
        <v>CO</v>
      </c>
      <c r="L1799">
        <f>Raw_Claims_Data!L1798</f>
        <v>5</v>
      </c>
      <c r="M1799" t="str">
        <f>IF(Raw_Claims_Data!M1798="","N/A",Raw_Claims_Data!M1798)</f>
        <v>VNDR00493</v>
      </c>
      <c r="N1799" t="str">
        <f>Raw_Claims_Data!N1798</f>
        <v>AGENT00763</v>
      </c>
      <c r="O1799">
        <f>IF(Raw_Claims_Data!G1798="D",1,0)</f>
        <v>0</v>
      </c>
    </row>
    <row r="1800" spans="1:15" x14ac:dyDescent="0.35">
      <c r="A1800" t="str">
        <f>Raw_Claims_Data!A1799</f>
        <v>TXN00001796</v>
      </c>
      <c r="B1800" t="str">
        <f>TRIM(Raw_Claims_Data!B1799)</f>
        <v>Mark Bruce</v>
      </c>
      <c r="C1800" t="str">
        <f>Raw_Claims_Data!C1799</f>
        <v>Mobile</v>
      </c>
      <c r="D1800">
        <f>Raw_Claims_Data!D1799</f>
        <v>11.63</v>
      </c>
      <c r="E1800">
        <f>Raw_Claims_Data!E1799</f>
        <v>100</v>
      </c>
      <c r="F1800" t="str">
        <f>Raw_Claims_Data!F1799</f>
        <v>KY</v>
      </c>
      <c r="G1800" t="str">
        <f>Raw_Claims_Data!G1799</f>
        <v>A</v>
      </c>
      <c r="H1800" t="str">
        <f>Raw_Claims_Data!H1799</f>
        <v>Minor Loss</v>
      </c>
      <c r="I1800" t="str">
        <f>IF(Raw_Claims_Data!I1799="","None",Raw_Claims_Data!I1799)</f>
        <v>None</v>
      </c>
      <c r="J1800" t="str">
        <f>Raw_Claims_Data!J1799</f>
        <v>Oklahoma City</v>
      </c>
      <c r="K1800" t="str">
        <f>Raw_Claims_Data!K1799</f>
        <v>OK</v>
      </c>
      <c r="L1800">
        <f>Raw_Claims_Data!L1799</f>
        <v>6</v>
      </c>
      <c r="M1800" t="str">
        <f>IF(Raw_Claims_Data!M1799="","N/A",Raw_Claims_Data!M1799)</f>
        <v>VNDR00251</v>
      </c>
      <c r="N1800" t="str">
        <f>Raw_Claims_Data!N1799</f>
        <v>AGENT00426</v>
      </c>
      <c r="O1800">
        <f>IF(Raw_Claims_Data!G1799="D",1,0)</f>
        <v>0</v>
      </c>
    </row>
    <row r="1801" spans="1:15" x14ac:dyDescent="0.35">
      <c r="A1801" t="str">
        <f>Raw_Claims_Data!A1800</f>
        <v>TXN00001797</v>
      </c>
      <c r="B1801" t="str">
        <f>TRIM(Raw_Claims_Data!B1800)</f>
        <v>Fred Medved</v>
      </c>
      <c r="C1801" t="str">
        <f>Raw_Claims_Data!C1800</f>
        <v>Health</v>
      </c>
      <c r="D1801">
        <f>Raw_Claims_Data!D1800</f>
        <v>183.42</v>
      </c>
      <c r="E1801">
        <f>Raw_Claims_Data!E1800</f>
        <v>18000</v>
      </c>
      <c r="F1801" t="str">
        <f>Raw_Claims_Data!F1800</f>
        <v>AK</v>
      </c>
      <c r="G1801" t="str">
        <f>Raw_Claims_Data!G1800</f>
        <v>A</v>
      </c>
      <c r="H1801" t="str">
        <f>Raw_Claims_Data!H1800</f>
        <v>Total Loss</v>
      </c>
      <c r="I1801" t="str">
        <f>IF(Raw_Claims_Data!I1800="","None",Raw_Claims_Data!I1800)</f>
        <v>Police</v>
      </c>
      <c r="J1801" t="str">
        <f>Raw_Claims_Data!J1800</f>
        <v>Oklahoma City</v>
      </c>
      <c r="K1801" t="str">
        <f>Raw_Claims_Data!K1800</f>
        <v>OK</v>
      </c>
      <c r="L1801">
        <f>Raw_Claims_Data!L1800</f>
        <v>21</v>
      </c>
      <c r="M1801" t="str">
        <f>IF(Raw_Claims_Data!M1800="","N/A",Raw_Claims_Data!M1800)</f>
        <v>VNDR00211</v>
      </c>
      <c r="N1801" t="str">
        <f>Raw_Claims_Data!N1800</f>
        <v>AGENT00108</v>
      </c>
      <c r="O1801">
        <f>IF(Raw_Claims_Data!G1800="D",1,0)</f>
        <v>0</v>
      </c>
    </row>
    <row r="1802" spans="1:15" x14ac:dyDescent="0.35">
      <c r="A1802" t="str">
        <f>Raw_Claims_Data!A1801</f>
        <v>TXN00001798</v>
      </c>
      <c r="B1802" t="str">
        <f>TRIM(Raw_Claims_Data!B1801)</f>
        <v>Christian Mason</v>
      </c>
      <c r="C1802" t="str">
        <f>Raw_Claims_Data!C1801</f>
        <v>Life</v>
      </c>
      <c r="D1802">
        <f>Raw_Claims_Data!D1801</f>
        <v>99.84</v>
      </c>
      <c r="E1802">
        <f>Raw_Claims_Data!E1801</f>
        <v>39000</v>
      </c>
      <c r="F1802" t="str">
        <f>Raw_Claims_Data!F1801</f>
        <v>CA</v>
      </c>
      <c r="G1802" t="str">
        <f>Raw_Claims_Data!G1801</f>
        <v>A</v>
      </c>
      <c r="H1802" t="str">
        <f>Raw_Claims_Data!H1801</f>
        <v>Minor Loss</v>
      </c>
      <c r="I1802" t="str">
        <f>IF(Raw_Claims_Data!I1801="","None",Raw_Claims_Data!I1801)</f>
        <v>Police</v>
      </c>
      <c r="J1802" t="str">
        <f>Raw_Claims_Data!J1801</f>
        <v>Arvada</v>
      </c>
      <c r="K1802" t="str">
        <f>Raw_Claims_Data!K1801</f>
        <v>CO</v>
      </c>
      <c r="L1802">
        <f>Raw_Claims_Data!L1801</f>
        <v>22</v>
      </c>
      <c r="M1802" t="str">
        <f>IF(Raw_Claims_Data!M1801="","N/A",Raw_Claims_Data!M1801)</f>
        <v>VNDR00410</v>
      </c>
      <c r="N1802" t="str">
        <f>Raw_Claims_Data!N1801</f>
        <v>AGENT00563</v>
      </c>
      <c r="O1802">
        <f>IF(Raw_Claims_Data!G1801="D",1,0)</f>
        <v>0</v>
      </c>
    </row>
    <row r="1803" spans="1:15" x14ac:dyDescent="0.35">
      <c r="A1803" t="str">
        <f>Raw_Claims_Data!A1802</f>
        <v>TXN00001799</v>
      </c>
      <c r="B1803" t="str">
        <f>TRIM(Raw_Claims_Data!B1802)</f>
        <v>Maria Peoples</v>
      </c>
      <c r="C1803" t="str">
        <f>Raw_Claims_Data!C1802</f>
        <v>Health</v>
      </c>
      <c r="D1803">
        <f>Raw_Claims_Data!D1802</f>
        <v>144.16</v>
      </c>
      <c r="E1803">
        <f>Raw_Claims_Data!E1802</f>
        <v>5000</v>
      </c>
      <c r="F1803" t="str">
        <f>Raw_Claims_Data!F1802</f>
        <v>OK</v>
      </c>
      <c r="G1803" t="str">
        <f>Raw_Claims_Data!G1802</f>
        <v>A</v>
      </c>
      <c r="H1803" t="str">
        <f>Raw_Claims_Data!H1802</f>
        <v>Major Loss</v>
      </c>
      <c r="I1803" t="str">
        <f>IF(Raw_Claims_Data!I1802="","None",Raw_Claims_Data!I1802)</f>
        <v>Ambulance</v>
      </c>
      <c r="J1803" t="str">
        <f>Raw_Claims_Data!J1802</f>
        <v>Pelham</v>
      </c>
      <c r="K1803" t="str">
        <f>Raw_Claims_Data!K1802</f>
        <v>AL</v>
      </c>
      <c r="L1803">
        <f>Raw_Claims_Data!L1802</f>
        <v>6</v>
      </c>
      <c r="M1803" t="str">
        <f>IF(Raw_Claims_Data!M1802="","N/A",Raw_Claims_Data!M1802)</f>
        <v>VNDR00276</v>
      </c>
      <c r="N1803" t="str">
        <f>Raw_Claims_Data!N1802</f>
        <v>AGENT01177</v>
      </c>
      <c r="O1803">
        <f>IF(Raw_Claims_Data!G1802="D",1,0)</f>
        <v>0</v>
      </c>
    </row>
    <row r="1804" spans="1:15" x14ac:dyDescent="0.35">
      <c r="A1804" t="str">
        <f>Raw_Claims_Data!A1803</f>
        <v>TXN00001800</v>
      </c>
      <c r="B1804" t="str">
        <f>TRIM(Raw_Claims_Data!B1803)</f>
        <v>Andrea Sommerville</v>
      </c>
      <c r="C1804" t="str">
        <f>Raw_Claims_Data!C1803</f>
        <v>Travel</v>
      </c>
      <c r="D1804">
        <f>Raw_Claims_Data!D1803</f>
        <v>74.27</v>
      </c>
      <c r="E1804">
        <f>Raw_Claims_Data!E1803</f>
        <v>1000</v>
      </c>
      <c r="F1804" t="str">
        <f>Raw_Claims_Data!F1803</f>
        <v>OK</v>
      </c>
      <c r="G1804" t="str">
        <f>Raw_Claims_Data!G1803</f>
        <v>A</v>
      </c>
      <c r="H1804" t="str">
        <f>Raw_Claims_Data!H1803</f>
        <v>Minor Loss</v>
      </c>
      <c r="I1804" t="str">
        <f>IF(Raw_Claims_Data!I1803="","None",Raw_Claims_Data!I1803)</f>
        <v>None</v>
      </c>
      <c r="J1804" t="str">
        <f>Raw_Claims_Data!J1803</f>
        <v>Louisville</v>
      </c>
      <c r="K1804" t="str">
        <f>Raw_Claims_Data!K1803</f>
        <v>KY</v>
      </c>
      <c r="L1804">
        <f>Raw_Claims_Data!L1803</f>
        <v>14</v>
      </c>
      <c r="M1804" t="str">
        <f>IF(Raw_Claims_Data!M1803="","N/A",Raw_Claims_Data!M1803)</f>
        <v>VNDR00214</v>
      </c>
      <c r="N1804" t="str">
        <f>Raw_Claims_Data!N1803</f>
        <v>AGENT00943</v>
      </c>
      <c r="O1804">
        <f>IF(Raw_Claims_Data!G1803="D",1,0)</f>
        <v>0</v>
      </c>
    </row>
    <row r="1805" spans="1:15" x14ac:dyDescent="0.35">
      <c r="A1805" t="str">
        <f>Raw_Claims_Data!A1804</f>
        <v>TXN00001801</v>
      </c>
      <c r="B1805" t="str">
        <f>TRIM(Raw_Claims_Data!B1804)</f>
        <v>Jessica Montgomery</v>
      </c>
      <c r="C1805" t="str">
        <f>Raw_Claims_Data!C1804</f>
        <v>Property</v>
      </c>
      <c r="D1805">
        <f>Raw_Claims_Data!D1804</f>
        <v>121.72</v>
      </c>
      <c r="E1805">
        <f>Raw_Claims_Data!E1804</f>
        <v>14000</v>
      </c>
      <c r="F1805" t="str">
        <f>Raw_Claims_Data!F1804</f>
        <v>MD</v>
      </c>
      <c r="G1805" t="str">
        <f>Raw_Claims_Data!G1804</f>
        <v>A</v>
      </c>
      <c r="H1805" t="str">
        <f>Raw_Claims_Data!H1804</f>
        <v>Total Loss</v>
      </c>
      <c r="I1805" t="str">
        <f>IF(Raw_Claims_Data!I1804="","None",Raw_Claims_Data!I1804)</f>
        <v>Ambulance</v>
      </c>
      <c r="J1805" t="str">
        <f>Raw_Claims_Data!J1804</f>
        <v>Anchorage</v>
      </c>
      <c r="K1805" t="str">
        <f>Raw_Claims_Data!K1804</f>
        <v>AK</v>
      </c>
      <c r="L1805">
        <f>Raw_Claims_Data!L1804</f>
        <v>17</v>
      </c>
      <c r="M1805" t="str">
        <f>IF(Raw_Claims_Data!M1804="","N/A",Raw_Claims_Data!M1804)</f>
        <v>N/A</v>
      </c>
      <c r="N1805" t="str">
        <f>Raw_Claims_Data!N1804</f>
        <v>AGENT00211</v>
      </c>
      <c r="O1805">
        <f>IF(Raw_Claims_Data!G1804="D",1,0)</f>
        <v>0</v>
      </c>
    </row>
    <row r="1806" spans="1:15" x14ac:dyDescent="0.35">
      <c r="A1806" t="str">
        <f>Raw_Claims_Data!A1805</f>
        <v>TXN00001802</v>
      </c>
      <c r="B1806" t="str">
        <f>TRIM(Raw_Claims_Data!B1805)</f>
        <v>Albert Sarkin</v>
      </c>
      <c r="C1806" t="str">
        <f>Raw_Claims_Data!C1805</f>
        <v>Motor</v>
      </c>
      <c r="D1806">
        <f>Raw_Claims_Data!D1805</f>
        <v>127.24</v>
      </c>
      <c r="E1806">
        <f>Raw_Claims_Data!E1805</f>
        <v>7000</v>
      </c>
      <c r="F1806" t="str">
        <f>Raw_Claims_Data!F1805</f>
        <v>CT</v>
      </c>
      <c r="G1806" t="str">
        <f>Raw_Claims_Data!G1805</f>
        <v>A</v>
      </c>
      <c r="H1806" t="str">
        <f>Raw_Claims_Data!H1805</f>
        <v>Total Loss</v>
      </c>
      <c r="I1806" t="str">
        <f>IF(Raw_Claims_Data!I1805="","None",Raw_Claims_Data!I1805)</f>
        <v>Ambulance</v>
      </c>
      <c r="J1806" t="str">
        <f>Raw_Claims_Data!J1805</f>
        <v>Savannah</v>
      </c>
      <c r="K1806" t="str">
        <f>Raw_Claims_Data!K1805</f>
        <v>GA</v>
      </c>
      <c r="L1806">
        <f>Raw_Claims_Data!L1805</f>
        <v>8</v>
      </c>
      <c r="M1806" t="str">
        <f>IF(Raw_Claims_Data!M1805="","N/A",Raw_Claims_Data!M1805)</f>
        <v>VNDR00478</v>
      </c>
      <c r="N1806" t="str">
        <f>Raw_Claims_Data!N1805</f>
        <v>AGENT00536</v>
      </c>
      <c r="O1806">
        <f>IF(Raw_Claims_Data!G1805="D",1,0)</f>
        <v>0</v>
      </c>
    </row>
    <row r="1807" spans="1:15" x14ac:dyDescent="0.35">
      <c r="A1807" t="str">
        <f>Raw_Claims_Data!A1806</f>
        <v>TXN00001803</v>
      </c>
      <c r="B1807" t="str">
        <f>TRIM(Raw_Claims_Data!B1806)</f>
        <v>Nicole Gonzalez</v>
      </c>
      <c r="C1807" t="str">
        <f>Raw_Claims_Data!C1806</f>
        <v>Life</v>
      </c>
      <c r="D1807">
        <f>Raw_Claims_Data!D1806</f>
        <v>59.45</v>
      </c>
      <c r="E1807">
        <f>Raw_Claims_Data!E1806</f>
        <v>69000</v>
      </c>
      <c r="F1807" t="str">
        <f>Raw_Claims_Data!F1806</f>
        <v>VT</v>
      </c>
      <c r="G1807" t="str">
        <f>Raw_Claims_Data!G1806</f>
        <v>A</v>
      </c>
      <c r="H1807" t="str">
        <f>Raw_Claims_Data!H1806</f>
        <v>Total Loss</v>
      </c>
      <c r="I1807" t="str">
        <f>IF(Raw_Claims_Data!I1806="","None",Raw_Claims_Data!I1806)</f>
        <v>Ambulance</v>
      </c>
      <c r="J1807" t="str">
        <f>Raw_Claims_Data!J1806</f>
        <v>Nashville</v>
      </c>
      <c r="K1807" t="str">
        <f>Raw_Claims_Data!K1806</f>
        <v>TN</v>
      </c>
      <c r="L1807">
        <f>Raw_Claims_Data!L1806</f>
        <v>2</v>
      </c>
      <c r="M1807" t="str">
        <f>IF(Raw_Claims_Data!M1806="","N/A",Raw_Claims_Data!M1806)</f>
        <v>N/A</v>
      </c>
      <c r="N1807" t="str">
        <f>Raw_Claims_Data!N1806</f>
        <v>AGENT00799</v>
      </c>
      <c r="O1807">
        <f>IF(Raw_Claims_Data!G1806="D",1,0)</f>
        <v>0</v>
      </c>
    </row>
    <row r="1808" spans="1:15" x14ac:dyDescent="0.35">
      <c r="A1808" t="str">
        <f>Raw_Claims_Data!A1807</f>
        <v>TXN00001804</v>
      </c>
      <c r="B1808" t="str">
        <f>TRIM(Raw_Claims_Data!B1807)</f>
        <v>Min Teal</v>
      </c>
      <c r="C1808" t="str">
        <f>Raw_Claims_Data!C1807</f>
        <v>Motor</v>
      </c>
      <c r="D1808">
        <f>Raw_Claims_Data!D1807</f>
        <v>82.37</v>
      </c>
      <c r="E1808">
        <f>Raw_Claims_Data!E1807</f>
        <v>6000</v>
      </c>
      <c r="F1808" t="str">
        <f>Raw_Claims_Data!F1807</f>
        <v>CT</v>
      </c>
      <c r="G1808" t="str">
        <f>Raw_Claims_Data!G1807</f>
        <v>A</v>
      </c>
      <c r="H1808" t="str">
        <f>Raw_Claims_Data!H1807</f>
        <v>Major Loss</v>
      </c>
      <c r="I1808" t="str">
        <f>IF(Raw_Claims_Data!I1807="","None",Raw_Claims_Data!I1807)</f>
        <v>Ambulance</v>
      </c>
      <c r="J1808" t="str">
        <f>Raw_Claims_Data!J1807</f>
        <v>Linthicum Heights</v>
      </c>
      <c r="K1808" t="str">
        <f>Raw_Claims_Data!K1807</f>
        <v>MD</v>
      </c>
      <c r="L1808">
        <f>Raw_Claims_Data!L1807</f>
        <v>4</v>
      </c>
      <c r="M1808" t="str">
        <f>IF(Raw_Claims_Data!M1807="","N/A",Raw_Claims_Data!M1807)</f>
        <v>VNDR00206</v>
      </c>
      <c r="N1808" t="str">
        <f>Raw_Claims_Data!N1807</f>
        <v>AGENT00058</v>
      </c>
      <c r="O1808">
        <f>IF(Raw_Claims_Data!G1807="D",1,0)</f>
        <v>0</v>
      </c>
    </row>
    <row r="1809" spans="1:15" x14ac:dyDescent="0.35">
      <c r="A1809" t="str">
        <f>Raw_Claims_Data!A1808</f>
        <v>TXN00001805</v>
      </c>
      <c r="B1809" t="str">
        <f>TRIM(Raw_Claims_Data!B1808)</f>
        <v>Mercedes Powell</v>
      </c>
      <c r="C1809" t="str">
        <f>Raw_Claims_Data!C1808</f>
        <v>Health</v>
      </c>
      <c r="D1809">
        <f>Raw_Claims_Data!D1808</f>
        <v>136.43</v>
      </c>
      <c r="E1809">
        <f>Raw_Claims_Data!E1808</f>
        <v>1000</v>
      </c>
      <c r="F1809" t="str">
        <f>Raw_Claims_Data!F1808</f>
        <v>VT</v>
      </c>
      <c r="G1809" t="str">
        <f>Raw_Claims_Data!G1808</f>
        <v>A</v>
      </c>
      <c r="H1809" t="str">
        <f>Raw_Claims_Data!H1808</f>
        <v>Major Loss</v>
      </c>
      <c r="I1809" t="str">
        <f>IF(Raw_Claims_Data!I1808="","None",Raw_Claims_Data!I1808)</f>
        <v>None</v>
      </c>
      <c r="J1809" t="str">
        <f>Raw_Claims_Data!J1808</f>
        <v>Groton</v>
      </c>
      <c r="K1809" t="str">
        <f>Raw_Claims_Data!K1808</f>
        <v>CT</v>
      </c>
      <c r="L1809">
        <f>Raw_Claims_Data!L1808</f>
        <v>15</v>
      </c>
      <c r="M1809" t="str">
        <f>IF(Raw_Claims_Data!M1808="","N/A",Raw_Claims_Data!M1808)</f>
        <v>VNDR00319</v>
      </c>
      <c r="N1809" t="str">
        <f>Raw_Claims_Data!N1808</f>
        <v>AGENT00671</v>
      </c>
      <c r="O1809">
        <f>IF(Raw_Claims_Data!G1808="D",1,0)</f>
        <v>0</v>
      </c>
    </row>
    <row r="1810" spans="1:15" x14ac:dyDescent="0.35">
      <c r="A1810" t="str">
        <f>Raw_Claims_Data!A1809</f>
        <v>TXN00001806</v>
      </c>
      <c r="B1810" t="str">
        <f>TRIM(Raw_Claims_Data!B1809)</f>
        <v>Linda Stutzman</v>
      </c>
      <c r="C1810" t="str">
        <f>Raw_Claims_Data!C1809</f>
        <v>Health</v>
      </c>
      <c r="D1810">
        <f>Raw_Claims_Data!D1809</f>
        <v>174.22</v>
      </c>
      <c r="E1810">
        <f>Raw_Claims_Data!E1809</f>
        <v>17000</v>
      </c>
      <c r="F1810" t="str">
        <f>Raw_Claims_Data!F1809</f>
        <v>CA</v>
      </c>
      <c r="G1810" t="str">
        <f>Raw_Claims_Data!G1809</f>
        <v>A</v>
      </c>
      <c r="H1810" t="str">
        <f>Raw_Claims_Data!H1809</f>
        <v>Major Loss</v>
      </c>
      <c r="I1810" t="str">
        <f>IF(Raw_Claims_Data!I1809="","None",Raw_Claims_Data!I1809)</f>
        <v>Police</v>
      </c>
      <c r="J1810" t="str">
        <f>Raw_Claims_Data!J1809</f>
        <v>Pasadena</v>
      </c>
      <c r="K1810" t="str">
        <f>Raw_Claims_Data!K1809</f>
        <v>MD</v>
      </c>
      <c r="L1810">
        <f>Raw_Claims_Data!L1809</f>
        <v>7</v>
      </c>
      <c r="M1810" t="str">
        <f>IF(Raw_Claims_Data!M1809="","N/A",Raw_Claims_Data!M1809)</f>
        <v>VNDR00057</v>
      </c>
      <c r="N1810" t="str">
        <f>Raw_Claims_Data!N1809</f>
        <v>AGENT00890</v>
      </c>
      <c r="O1810">
        <f>IF(Raw_Claims_Data!G1809="D",1,0)</f>
        <v>0</v>
      </c>
    </row>
    <row r="1811" spans="1:15" x14ac:dyDescent="0.35">
      <c r="A1811" t="str">
        <f>Raw_Claims_Data!A1810</f>
        <v>TXN00001807</v>
      </c>
      <c r="B1811" t="str">
        <f>TRIM(Raw_Claims_Data!B1810)</f>
        <v>Dolores Snyder</v>
      </c>
      <c r="C1811" t="str">
        <f>Raw_Claims_Data!C1810</f>
        <v>Life</v>
      </c>
      <c r="D1811">
        <f>Raw_Claims_Data!D1810</f>
        <v>60.29</v>
      </c>
      <c r="E1811">
        <f>Raw_Claims_Data!E1810</f>
        <v>49000</v>
      </c>
      <c r="F1811" t="str">
        <f>Raw_Claims_Data!F1810</f>
        <v>AL</v>
      </c>
      <c r="G1811" t="str">
        <f>Raw_Claims_Data!G1810</f>
        <v>A</v>
      </c>
      <c r="H1811" t="str">
        <f>Raw_Claims_Data!H1810</f>
        <v>Major Loss</v>
      </c>
      <c r="I1811" t="str">
        <f>IF(Raw_Claims_Data!I1810="","None",Raw_Claims_Data!I1810)</f>
        <v>Ambulance</v>
      </c>
      <c r="J1811" t="str">
        <f>Raw_Claims_Data!J1810</f>
        <v>Arvada</v>
      </c>
      <c r="K1811" t="str">
        <f>Raw_Claims_Data!K1810</f>
        <v>CO</v>
      </c>
      <c r="L1811">
        <f>Raw_Claims_Data!L1810</f>
        <v>15</v>
      </c>
      <c r="M1811" t="str">
        <f>IF(Raw_Claims_Data!M1810="","N/A",Raw_Claims_Data!M1810)</f>
        <v>N/A</v>
      </c>
      <c r="N1811" t="str">
        <f>Raw_Claims_Data!N1810</f>
        <v>AGENT00307</v>
      </c>
      <c r="O1811">
        <f>IF(Raw_Claims_Data!G1810="D",1,0)</f>
        <v>0</v>
      </c>
    </row>
    <row r="1812" spans="1:15" x14ac:dyDescent="0.35">
      <c r="A1812" t="str">
        <f>Raw_Claims_Data!A1811</f>
        <v>TXN00001808</v>
      </c>
      <c r="B1812" t="str">
        <f>TRIM(Raw_Claims_Data!B1811)</f>
        <v>Louise Eubanks</v>
      </c>
      <c r="C1812" t="str">
        <f>Raw_Claims_Data!C1811</f>
        <v>Life</v>
      </c>
      <c r="D1812">
        <f>Raw_Claims_Data!D1811</f>
        <v>50.66</v>
      </c>
      <c r="E1812">
        <f>Raw_Claims_Data!E1811</f>
        <v>40000</v>
      </c>
      <c r="F1812" t="str">
        <f>Raw_Claims_Data!F1811</f>
        <v>AL</v>
      </c>
      <c r="G1812" t="str">
        <f>Raw_Claims_Data!G1811</f>
        <v>A</v>
      </c>
      <c r="H1812" t="str">
        <f>Raw_Claims_Data!H1811</f>
        <v>Major Loss</v>
      </c>
      <c r="I1812" t="str">
        <f>IF(Raw_Claims_Data!I1811="","None",Raw_Claims_Data!I1811)</f>
        <v>Police</v>
      </c>
      <c r="J1812" t="str">
        <f>Raw_Claims_Data!J1811</f>
        <v>Pooler</v>
      </c>
      <c r="K1812" t="str">
        <f>Raw_Claims_Data!K1811</f>
        <v>GA</v>
      </c>
      <c r="L1812">
        <f>Raw_Claims_Data!L1811</f>
        <v>8</v>
      </c>
      <c r="M1812" t="str">
        <f>IF(Raw_Claims_Data!M1811="","N/A",Raw_Claims_Data!M1811)</f>
        <v>VNDR00202</v>
      </c>
      <c r="N1812" t="str">
        <f>Raw_Claims_Data!N1811</f>
        <v>AGENT00251</v>
      </c>
      <c r="O1812">
        <f>IF(Raw_Claims_Data!G1811="D",1,0)</f>
        <v>0</v>
      </c>
    </row>
    <row r="1813" spans="1:15" x14ac:dyDescent="0.35">
      <c r="A1813" t="str">
        <f>Raw_Claims_Data!A1812</f>
        <v>TXN00001809</v>
      </c>
      <c r="B1813" t="str">
        <f>TRIM(Raw_Claims_Data!B1812)</f>
        <v>Julia Dominguez</v>
      </c>
      <c r="C1813" t="str">
        <f>Raw_Claims_Data!C1812</f>
        <v>Mobile</v>
      </c>
      <c r="D1813">
        <f>Raw_Claims_Data!D1812</f>
        <v>9.77</v>
      </c>
      <c r="E1813">
        <f>Raw_Claims_Data!E1812</f>
        <v>300</v>
      </c>
      <c r="F1813" t="str">
        <f>Raw_Claims_Data!F1812</f>
        <v>KY</v>
      </c>
      <c r="G1813" t="str">
        <f>Raw_Claims_Data!G1812</f>
        <v>A</v>
      </c>
      <c r="H1813" t="str">
        <f>Raw_Claims_Data!H1812</f>
        <v>Total Loss</v>
      </c>
      <c r="I1813" t="str">
        <f>IF(Raw_Claims_Data!I1812="","None",Raw_Claims_Data!I1812)</f>
        <v>None</v>
      </c>
      <c r="J1813" t="str">
        <f>Raw_Claims_Data!J1812</f>
        <v>Falmouth</v>
      </c>
      <c r="K1813" t="str">
        <f>Raw_Claims_Data!K1812</f>
        <v>MA</v>
      </c>
      <c r="L1813">
        <f>Raw_Claims_Data!L1812</f>
        <v>20</v>
      </c>
      <c r="M1813" t="str">
        <f>IF(Raw_Claims_Data!M1812="","N/A",Raw_Claims_Data!M1812)</f>
        <v>VNDR00104</v>
      </c>
      <c r="N1813" t="str">
        <f>Raw_Claims_Data!N1812</f>
        <v>AGENT00614</v>
      </c>
      <c r="O1813">
        <f>IF(Raw_Claims_Data!G1812="D",1,0)</f>
        <v>0</v>
      </c>
    </row>
    <row r="1814" spans="1:15" x14ac:dyDescent="0.35">
      <c r="A1814" t="str">
        <f>Raw_Claims_Data!A1813</f>
        <v>TXN00001810</v>
      </c>
      <c r="B1814" t="str">
        <f>TRIM(Raw_Claims_Data!B1813)</f>
        <v>Monty Valerio</v>
      </c>
      <c r="C1814" t="str">
        <f>Raw_Claims_Data!C1813</f>
        <v>Life</v>
      </c>
      <c r="D1814">
        <f>Raw_Claims_Data!D1813</f>
        <v>83.96</v>
      </c>
      <c r="E1814">
        <f>Raw_Claims_Data!E1813</f>
        <v>31000</v>
      </c>
      <c r="F1814" t="str">
        <f>Raw_Claims_Data!F1813</f>
        <v>VT</v>
      </c>
      <c r="G1814" t="str">
        <f>Raw_Claims_Data!G1813</f>
        <v>A</v>
      </c>
      <c r="H1814" t="str">
        <f>Raw_Claims_Data!H1813</f>
        <v>Minor Loss</v>
      </c>
      <c r="I1814" t="str">
        <f>IF(Raw_Claims_Data!I1813="","None",Raw_Claims_Data!I1813)</f>
        <v>Police</v>
      </c>
      <c r="J1814" t="str">
        <f>Raw_Claims_Data!J1813</f>
        <v>Brentwood</v>
      </c>
      <c r="K1814" t="str">
        <f>Raw_Claims_Data!K1813</f>
        <v>TN</v>
      </c>
      <c r="L1814">
        <f>Raw_Claims_Data!L1813</f>
        <v>2</v>
      </c>
      <c r="M1814" t="str">
        <f>IF(Raw_Claims_Data!M1813="","N/A",Raw_Claims_Data!M1813)</f>
        <v>VNDR00234</v>
      </c>
      <c r="N1814" t="str">
        <f>Raw_Claims_Data!N1813</f>
        <v>AGENT00273</v>
      </c>
      <c r="O1814">
        <f>IF(Raw_Claims_Data!G1813="D",1,0)</f>
        <v>0</v>
      </c>
    </row>
    <row r="1815" spans="1:15" x14ac:dyDescent="0.35">
      <c r="A1815" t="str">
        <f>Raw_Claims_Data!A1814</f>
        <v>TXN00001811</v>
      </c>
      <c r="B1815" t="str">
        <f>TRIM(Raw_Claims_Data!B1814)</f>
        <v>Joshua Cooper</v>
      </c>
      <c r="C1815" t="str">
        <f>Raw_Claims_Data!C1814</f>
        <v>Motor</v>
      </c>
      <c r="D1815">
        <f>Raw_Claims_Data!D1814</f>
        <v>96.91</v>
      </c>
      <c r="E1815">
        <f>Raw_Claims_Data!E1814</f>
        <v>4000</v>
      </c>
      <c r="F1815" t="str">
        <f>Raw_Claims_Data!F1814</f>
        <v>KY</v>
      </c>
      <c r="G1815" t="str">
        <f>Raw_Claims_Data!G1814</f>
        <v>A</v>
      </c>
      <c r="H1815" t="str">
        <f>Raw_Claims_Data!H1814</f>
        <v>Major Loss</v>
      </c>
      <c r="I1815" t="str">
        <f>IF(Raw_Claims_Data!I1814="","None",Raw_Claims_Data!I1814)</f>
        <v>Ambulance</v>
      </c>
      <c r="J1815" t="str">
        <f>Raw_Claims_Data!J1814</f>
        <v>Arvada</v>
      </c>
      <c r="K1815" t="str">
        <f>Raw_Claims_Data!K1814</f>
        <v>CO</v>
      </c>
      <c r="L1815">
        <f>Raw_Claims_Data!L1814</f>
        <v>10</v>
      </c>
      <c r="M1815" t="str">
        <f>IF(Raw_Claims_Data!M1814="","N/A",Raw_Claims_Data!M1814)</f>
        <v>VNDR00243</v>
      </c>
      <c r="N1815" t="str">
        <f>Raw_Claims_Data!N1814</f>
        <v>AGENT01185</v>
      </c>
      <c r="O1815">
        <f>IF(Raw_Claims_Data!G1814="D",1,0)</f>
        <v>0</v>
      </c>
    </row>
    <row r="1816" spans="1:15" x14ac:dyDescent="0.35">
      <c r="A1816" t="str">
        <f>Raw_Claims_Data!A1815</f>
        <v>TXN00001812</v>
      </c>
      <c r="B1816" t="str">
        <f>TRIM(Raw_Claims_Data!B1815)</f>
        <v>Lisa Heath</v>
      </c>
      <c r="C1816" t="str">
        <f>Raw_Claims_Data!C1815</f>
        <v>Life</v>
      </c>
      <c r="D1816">
        <f>Raw_Claims_Data!D1815</f>
        <v>69.349999999999994</v>
      </c>
      <c r="E1816">
        <f>Raw_Claims_Data!E1815</f>
        <v>56000</v>
      </c>
      <c r="F1816" t="str">
        <f>Raw_Claims_Data!F1815</f>
        <v>DC</v>
      </c>
      <c r="G1816" t="str">
        <f>Raw_Claims_Data!G1815</f>
        <v>A</v>
      </c>
      <c r="H1816" t="str">
        <f>Raw_Claims_Data!H1815</f>
        <v>Major Loss</v>
      </c>
      <c r="I1816" t="str">
        <f>IF(Raw_Claims_Data!I1815="","None",Raw_Claims_Data!I1815)</f>
        <v>Police</v>
      </c>
      <c r="J1816" t="str">
        <f>Raw_Claims_Data!J1815</f>
        <v>Arvada</v>
      </c>
      <c r="K1816" t="str">
        <f>Raw_Claims_Data!K1815</f>
        <v>CO</v>
      </c>
      <c r="L1816">
        <f>Raw_Claims_Data!L1815</f>
        <v>6</v>
      </c>
      <c r="M1816" t="str">
        <f>IF(Raw_Claims_Data!M1815="","N/A",Raw_Claims_Data!M1815)</f>
        <v>VNDR00378</v>
      </c>
      <c r="N1816" t="str">
        <f>Raw_Claims_Data!N1815</f>
        <v>AGENT00028</v>
      </c>
      <c r="O1816">
        <f>IF(Raw_Claims_Data!G1815="D",1,0)</f>
        <v>0</v>
      </c>
    </row>
    <row r="1817" spans="1:15" x14ac:dyDescent="0.35">
      <c r="A1817" t="str">
        <f>Raw_Claims_Data!A1816</f>
        <v>TXN00001813</v>
      </c>
      <c r="B1817" t="str">
        <f>TRIM(Raw_Claims_Data!B1816)</f>
        <v>Gary Thomas</v>
      </c>
      <c r="C1817" t="str">
        <f>Raw_Claims_Data!C1816</f>
        <v>Life</v>
      </c>
      <c r="D1817">
        <f>Raw_Claims_Data!D1816</f>
        <v>72.180000000000007</v>
      </c>
      <c r="E1817">
        <f>Raw_Claims_Data!E1816</f>
        <v>25000</v>
      </c>
      <c r="F1817" t="str">
        <f>Raw_Claims_Data!F1816</f>
        <v>MA</v>
      </c>
      <c r="G1817" t="str">
        <f>Raw_Claims_Data!G1816</f>
        <v>A</v>
      </c>
      <c r="H1817" t="str">
        <f>Raw_Claims_Data!H1816</f>
        <v>Major Loss</v>
      </c>
      <c r="I1817" t="str">
        <f>IF(Raw_Claims_Data!I1816="","None",Raw_Claims_Data!I1816)</f>
        <v>Police</v>
      </c>
      <c r="J1817" t="str">
        <f>Raw_Claims_Data!J1816</f>
        <v>Glendale</v>
      </c>
      <c r="K1817" t="str">
        <f>Raw_Claims_Data!K1816</f>
        <v>AZ</v>
      </c>
      <c r="L1817">
        <f>Raw_Claims_Data!L1816</f>
        <v>0</v>
      </c>
      <c r="M1817" t="str">
        <f>IF(Raw_Claims_Data!M1816="","N/A",Raw_Claims_Data!M1816)</f>
        <v>N/A</v>
      </c>
      <c r="N1817" t="str">
        <f>Raw_Claims_Data!N1816</f>
        <v>AGENT00849</v>
      </c>
      <c r="O1817">
        <f>IF(Raw_Claims_Data!G1816="D",1,0)</f>
        <v>0</v>
      </c>
    </row>
    <row r="1818" spans="1:15" x14ac:dyDescent="0.35">
      <c r="A1818" t="str">
        <f>Raw_Claims_Data!A1817</f>
        <v>TXN00001814</v>
      </c>
      <c r="B1818" t="str">
        <f>TRIM(Raw_Claims_Data!B1817)</f>
        <v>Peter Brown</v>
      </c>
      <c r="C1818" t="str">
        <f>Raw_Claims_Data!C1817</f>
        <v>Property</v>
      </c>
      <c r="D1818">
        <f>Raw_Claims_Data!D1817</f>
        <v>132.65</v>
      </c>
      <c r="E1818">
        <f>Raw_Claims_Data!E1817</f>
        <v>33000</v>
      </c>
      <c r="F1818" t="str">
        <f>Raw_Claims_Data!F1817</f>
        <v>KY</v>
      </c>
      <c r="G1818" t="str">
        <f>Raw_Claims_Data!G1817</f>
        <v>A</v>
      </c>
      <c r="H1818" t="str">
        <f>Raw_Claims_Data!H1817</f>
        <v>Minor Loss</v>
      </c>
      <c r="I1818" t="str">
        <f>IF(Raw_Claims_Data!I1817="","None",Raw_Claims_Data!I1817)</f>
        <v>None</v>
      </c>
      <c r="J1818" t="str">
        <f>Raw_Claims_Data!J1817</f>
        <v>Manchester</v>
      </c>
      <c r="K1818" t="str">
        <f>Raw_Claims_Data!K1817</f>
        <v>CT</v>
      </c>
      <c r="L1818">
        <f>Raw_Claims_Data!L1817</f>
        <v>12</v>
      </c>
      <c r="M1818" t="str">
        <f>IF(Raw_Claims_Data!M1817="","N/A",Raw_Claims_Data!M1817)</f>
        <v>VNDR00373</v>
      </c>
      <c r="N1818" t="str">
        <f>Raw_Claims_Data!N1817</f>
        <v>AGENT01063</v>
      </c>
      <c r="O1818">
        <f>IF(Raw_Claims_Data!G1817="D",1,0)</f>
        <v>0</v>
      </c>
    </row>
    <row r="1819" spans="1:15" x14ac:dyDescent="0.35">
      <c r="A1819" t="str">
        <f>Raw_Claims_Data!A1818</f>
        <v>TXN00001815</v>
      </c>
      <c r="B1819" t="str">
        <f>TRIM(Raw_Claims_Data!B1818)</f>
        <v>Joseph Dobson</v>
      </c>
      <c r="C1819" t="str">
        <f>Raw_Claims_Data!C1818</f>
        <v>Health</v>
      </c>
      <c r="D1819">
        <f>Raw_Claims_Data!D1818</f>
        <v>143</v>
      </c>
      <c r="E1819">
        <f>Raw_Claims_Data!E1818</f>
        <v>12000</v>
      </c>
      <c r="F1819" t="str">
        <f>Raw_Claims_Data!F1818</f>
        <v>AK</v>
      </c>
      <c r="G1819" t="str">
        <f>Raw_Claims_Data!G1818</f>
        <v>A</v>
      </c>
      <c r="H1819" t="str">
        <f>Raw_Claims_Data!H1818</f>
        <v>Minor Loss</v>
      </c>
      <c r="I1819" t="str">
        <f>IF(Raw_Claims_Data!I1818="","None",Raw_Claims_Data!I1818)</f>
        <v>Other</v>
      </c>
      <c r="J1819" t="str">
        <f>Raw_Claims_Data!J1818</f>
        <v>Arvada</v>
      </c>
      <c r="K1819" t="str">
        <f>Raw_Claims_Data!K1818</f>
        <v>CO</v>
      </c>
      <c r="L1819">
        <f>Raw_Claims_Data!L1818</f>
        <v>23</v>
      </c>
      <c r="M1819" t="str">
        <f>IF(Raw_Claims_Data!M1818="","N/A",Raw_Claims_Data!M1818)</f>
        <v>VNDR00052</v>
      </c>
      <c r="N1819" t="str">
        <f>Raw_Claims_Data!N1818</f>
        <v>AGENT00754</v>
      </c>
      <c r="O1819">
        <f>IF(Raw_Claims_Data!G1818="D",1,0)</f>
        <v>0</v>
      </c>
    </row>
    <row r="1820" spans="1:15" x14ac:dyDescent="0.35">
      <c r="A1820" t="str">
        <f>Raw_Claims_Data!A1819</f>
        <v>TXN00001816</v>
      </c>
      <c r="B1820" t="str">
        <f>TRIM(Raw_Claims_Data!B1819)</f>
        <v>Nichole Ramirez</v>
      </c>
      <c r="C1820" t="str">
        <f>Raw_Claims_Data!C1819</f>
        <v>Mobile</v>
      </c>
      <c r="D1820">
        <f>Raw_Claims_Data!D1819</f>
        <v>6.75</v>
      </c>
      <c r="E1820">
        <f>Raw_Claims_Data!E1819</f>
        <v>200</v>
      </c>
      <c r="F1820" t="str">
        <f>Raw_Claims_Data!F1819</f>
        <v>CA</v>
      </c>
      <c r="G1820" t="str">
        <f>Raw_Claims_Data!G1819</f>
        <v>A</v>
      </c>
      <c r="H1820" t="str">
        <f>Raw_Claims_Data!H1819</f>
        <v>Minor Loss</v>
      </c>
      <c r="I1820" t="str">
        <f>IF(Raw_Claims_Data!I1819="","None",Raw_Claims_Data!I1819)</f>
        <v>None</v>
      </c>
      <c r="J1820" t="str">
        <f>Raw_Claims_Data!J1819</f>
        <v>Oakland</v>
      </c>
      <c r="K1820" t="str">
        <f>Raw_Claims_Data!K1819</f>
        <v>CA</v>
      </c>
      <c r="L1820">
        <f>Raw_Claims_Data!L1819</f>
        <v>5</v>
      </c>
      <c r="M1820" t="str">
        <f>IF(Raw_Claims_Data!M1819="","N/A",Raw_Claims_Data!M1819)</f>
        <v>VNDR00323</v>
      </c>
      <c r="N1820" t="str">
        <f>Raw_Claims_Data!N1819</f>
        <v>AGENT00782</v>
      </c>
      <c r="O1820">
        <f>IF(Raw_Claims_Data!G1819="D",1,0)</f>
        <v>0</v>
      </c>
    </row>
    <row r="1821" spans="1:15" x14ac:dyDescent="0.35">
      <c r="A1821" t="str">
        <f>Raw_Claims_Data!A1820</f>
        <v>TXN00001817</v>
      </c>
      <c r="B1821" t="str">
        <f>TRIM(Raw_Claims_Data!B1820)</f>
        <v>Crystal Williams</v>
      </c>
      <c r="C1821" t="str">
        <f>Raw_Claims_Data!C1820</f>
        <v>Health</v>
      </c>
      <c r="D1821">
        <f>Raw_Claims_Data!D1820</f>
        <v>121.88</v>
      </c>
      <c r="E1821">
        <f>Raw_Claims_Data!E1820</f>
        <v>3000</v>
      </c>
      <c r="F1821" t="str">
        <f>Raw_Claims_Data!F1820</f>
        <v>CT</v>
      </c>
      <c r="G1821" t="str">
        <f>Raw_Claims_Data!G1820</f>
        <v>A</v>
      </c>
      <c r="H1821" t="str">
        <f>Raw_Claims_Data!H1820</f>
        <v>Minor Loss</v>
      </c>
      <c r="I1821" t="str">
        <f>IF(Raw_Claims_Data!I1820="","None",Raw_Claims_Data!I1820)</f>
        <v>Police</v>
      </c>
      <c r="J1821" t="str">
        <f>Raw_Claims_Data!J1820</f>
        <v>Fayetteville</v>
      </c>
      <c r="K1821" t="str">
        <f>Raw_Claims_Data!K1820</f>
        <v>AR</v>
      </c>
      <c r="L1821">
        <f>Raw_Claims_Data!L1820</f>
        <v>7</v>
      </c>
      <c r="M1821" t="str">
        <f>IF(Raw_Claims_Data!M1820="","N/A",Raw_Claims_Data!M1820)</f>
        <v>VNDR00268</v>
      </c>
      <c r="N1821" t="str">
        <f>Raw_Claims_Data!N1820</f>
        <v>AGENT00669</v>
      </c>
      <c r="O1821">
        <f>IF(Raw_Claims_Data!G1820="D",1,0)</f>
        <v>0</v>
      </c>
    </row>
    <row r="1822" spans="1:15" x14ac:dyDescent="0.35">
      <c r="A1822" t="str">
        <f>Raw_Claims_Data!A1821</f>
        <v>TXN00001818</v>
      </c>
      <c r="B1822" t="str">
        <f>TRIM(Raw_Claims_Data!B1821)</f>
        <v>Michael Young</v>
      </c>
      <c r="C1822" t="str">
        <f>Raw_Claims_Data!C1821</f>
        <v>Life</v>
      </c>
      <c r="D1822">
        <f>Raw_Claims_Data!D1821</f>
        <v>75.27</v>
      </c>
      <c r="E1822">
        <f>Raw_Claims_Data!E1821</f>
        <v>18000</v>
      </c>
      <c r="F1822" t="str">
        <f>Raw_Claims_Data!F1821</f>
        <v>TN</v>
      </c>
      <c r="G1822" t="str">
        <f>Raw_Claims_Data!G1821</f>
        <v>A</v>
      </c>
      <c r="H1822" t="str">
        <f>Raw_Claims_Data!H1821</f>
        <v>Minor Loss</v>
      </c>
      <c r="I1822" t="str">
        <f>IF(Raw_Claims_Data!I1821="","None",Raw_Claims_Data!I1821)</f>
        <v>Police</v>
      </c>
      <c r="J1822" t="str">
        <f>Raw_Claims_Data!J1821</f>
        <v>Jackson</v>
      </c>
      <c r="K1822" t="str">
        <f>Raw_Claims_Data!K1821</f>
        <v>CA</v>
      </c>
      <c r="L1822">
        <f>Raw_Claims_Data!L1821</f>
        <v>4</v>
      </c>
      <c r="M1822" t="str">
        <f>IF(Raw_Claims_Data!M1821="","N/A",Raw_Claims_Data!M1821)</f>
        <v>N/A</v>
      </c>
      <c r="N1822" t="str">
        <f>Raw_Claims_Data!N1821</f>
        <v>AGENT00800</v>
      </c>
      <c r="O1822">
        <f>IF(Raw_Claims_Data!G1821="D",1,0)</f>
        <v>0</v>
      </c>
    </row>
    <row r="1823" spans="1:15" x14ac:dyDescent="0.35">
      <c r="A1823" t="str">
        <f>Raw_Claims_Data!A1822</f>
        <v>TXN00001819</v>
      </c>
      <c r="B1823" t="str">
        <f>TRIM(Raw_Claims_Data!B1822)</f>
        <v>Gloria Haigh</v>
      </c>
      <c r="C1823" t="str">
        <f>Raw_Claims_Data!C1822</f>
        <v>Travel</v>
      </c>
      <c r="D1823">
        <f>Raw_Claims_Data!D1822</f>
        <v>66.37</v>
      </c>
      <c r="E1823">
        <f>Raw_Claims_Data!E1822</f>
        <v>5000</v>
      </c>
      <c r="F1823" t="str">
        <f>Raw_Claims_Data!F1822</f>
        <v>DC</v>
      </c>
      <c r="G1823" t="str">
        <f>Raw_Claims_Data!G1822</f>
        <v>A</v>
      </c>
      <c r="H1823" t="str">
        <f>Raw_Claims_Data!H1822</f>
        <v>Minor Loss</v>
      </c>
      <c r="I1823" t="str">
        <f>IF(Raw_Claims_Data!I1822="","None",Raw_Claims_Data!I1822)</f>
        <v>Ambulance</v>
      </c>
      <c r="J1823" t="str">
        <f>Raw_Claims_Data!J1822</f>
        <v>Oakland</v>
      </c>
      <c r="K1823" t="str">
        <f>Raw_Claims_Data!K1822</f>
        <v>CA</v>
      </c>
      <c r="L1823">
        <f>Raw_Claims_Data!L1822</f>
        <v>18</v>
      </c>
      <c r="M1823" t="str">
        <f>IF(Raw_Claims_Data!M1822="","N/A",Raw_Claims_Data!M1822)</f>
        <v>VNDR00533</v>
      </c>
      <c r="N1823" t="str">
        <f>Raw_Claims_Data!N1822</f>
        <v>AGENT00836</v>
      </c>
      <c r="O1823">
        <f>IF(Raw_Claims_Data!G1822="D",1,0)</f>
        <v>0</v>
      </c>
    </row>
    <row r="1824" spans="1:15" x14ac:dyDescent="0.35">
      <c r="A1824" t="str">
        <f>Raw_Claims_Data!A1823</f>
        <v>TXN00001820</v>
      </c>
      <c r="B1824" t="str">
        <f>TRIM(Raw_Claims_Data!B1823)</f>
        <v>Kenneth Duffy</v>
      </c>
      <c r="C1824" t="str">
        <f>Raw_Claims_Data!C1823</f>
        <v>Property</v>
      </c>
      <c r="D1824">
        <f>Raw_Claims_Data!D1823</f>
        <v>148.22999999999999</v>
      </c>
      <c r="E1824">
        <f>Raw_Claims_Data!E1823</f>
        <v>18000</v>
      </c>
      <c r="F1824" t="str">
        <f>Raw_Claims_Data!F1823</f>
        <v>OK</v>
      </c>
      <c r="G1824" t="str">
        <f>Raw_Claims_Data!G1823</f>
        <v>A</v>
      </c>
      <c r="H1824" t="str">
        <f>Raw_Claims_Data!H1823</f>
        <v>Major Loss</v>
      </c>
      <c r="I1824" t="str">
        <f>IF(Raw_Claims_Data!I1823="","None",Raw_Claims_Data!I1823)</f>
        <v>Other</v>
      </c>
      <c r="J1824" t="str">
        <f>Raw_Claims_Data!J1823</f>
        <v>Shelburne Falls</v>
      </c>
      <c r="K1824" t="str">
        <f>Raw_Claims_Data!K1823</f>
        <v>MA</v>
      </c>
      <c r="L1824">
        <f>Raw_Claims_Data!L1823</f>
        <v>15</v>
      </c>
      <c r="M1824" t="str">
        <f>IF(Raw_Claims_Data!M1823="","N/A",Raw_Claims_Data!M1823)</f>
        <v>VNDR00353</v>
      </c>
      <c r="N1824" t="str">
        <f>Raw_Claims_Data!N1823</f>
        <v>AGENT00011</v>
      </c>
      <c r="O1824">
        <f>IF(Raw_Claims_Data!G1823="D",1,0)</f>
        <v>0</v>
      </c>
    </row>
    <row r="1825" spans="1:15" x14ac:dyDescent="0.35">
      <c r="A1825" t="str">
        <f>Raw_Claims_Data!A1824</f>
        <v>TXN00001821</v>
      </c>
      <c r="B1825" t="str">
        <f>TRIM(Raw_Claims_Data!B1824)</f>
        <v>Terrie Orbin</v>
      </c>
      <c r="C1825" t="str">
        <f>Raw_Claims_Data!C1824</f>
        <v>Travel</v>
      </c>
      <c r="D1825">
        <f>Raw_Claims_Data!D1824</f>
        <v>86.46</v>
      </c>
      <c r="E1825">
        <f>Raw_Claims_Data!E1824</f>
        <v>3000</v>
      </c>
      <c r="F1825" t="str">
        <f>Raw_Claims_Data!F1824</f>
        <v>FL</v>
      </c>
      <c r="G1825" t="str">
        <f>Raw_Claims_Data!G1824</f>
        <v>A</v>
      </c>
      <c r="H1825" t="str">
        <f>Raw_Claims_Data!H1824</f>
        <v>Major Loss</v>
      </c>
      <c r="I1825" t="str">
        <f>IF(Raw_Claims_Data!I1824="","None",Raw_Claims_Data!I1824)</f>
        <v>Other</v>
      </c>
      <c r="J1825" t="str">
        <f>Raw_Claims_Data!J1824</f>
        <v>Manchester</v>
      </c>
      <c r="K1825" t="str">
        <f>Raw_Claims_Data!K1824</f>
        <v>CT</v>
      </c>
      <c r="L1825">
        <f>Raw_Claims_Data!L1824</f>
        <v>10</v>
      </c>
      <c r="M1825" t="str">
        <f>IF(Raw_Claims_Data!M1824="","N/A",Raw_Claims_Data!M1824)</f>
        <v>VNDR00156</v>
      </c>
      <c r="N1825" t="str">
        <f>Raw_Claims_Data!N1824</f>
        <v>AGENT00709</v>
      </c>
      <c r="O1825">
        <f>IF(Raw_Claims_Data!G1824="D",1,0)</f>
        <v>0</v>
      </c>
    </row>
    <row r="1826" spans="1:15" x14ac:dyDescent="0.35">
      <c r="A1826" t="str">
        <f>Raw_Claims_Data!A1825</f>
        <v>TXN00001822</v>
      </c>
      <c r="B1826" t="str">
        <f>TRIM(Raw_Claims_Data!B1825)</f>
        <v>Juan James</v>
      </c>
      <c r="C1826" t="str">
        <f>Raw_Claims_Data!C1825</f>
        <v>Mobile</v>
      </c>
      <c r="D1826">
        <f>Raw_Claims_Data!D1825</f>
        <v>9.68</v>
      </c>
      <c r="E1826">
        <f>Raw_Claims_Data!E1825</f>
        <v>400</v>
      </c>
      <c r="F1826" t="str">
        <f>Raw_Claims_Data!F1825</f>
        <v>MD</v>
      </c>
      <c r="G1826" t="str">
        <f>Raw_Claims_Data!G1825</f>
        <v>A</v>
      </c>
      <c r="H1826" t="str">
        <f>Raw_Claims_Data!H1825</f>
        <v>Total Loss</v>
      </c>
      <c r="I1826" t="str">
        <f>IF(Raw_Claims_Data!I1825="","None",Raw_Claims_Data!I1825)</f>
        <v>Ambulance</v>
      </c>
      <c r="J1826" t="str">
        <f>Raw_Claims_Data!J1825</f>
        <v>Crownsville</v>
      </c>
      <c r="K1826" t="str">
        <f>Raw_Claims_Data!K1825</f>
        <v>MD</v>
      </c>
      <c r="L1826">
        <f>Raw_Claims_Data!L1825</f>
        <v>15</v>
      </c>
      <c r="M1826" t="str">
        <f>IF(Raw_Claims_Data!M1825="","N/A",Raw_Claims_Data!M1825)</f>
        <v>VNDR00450</v>
      </c>
      <c r="N1826" t="str">
        <f>Raw_Claims_Data!N1825</f>
        <v>AGENT00690</v>
      </c>
      <c r="O1826">
        <f>IF(Raw_Claims_Data!G1825="D",1,0)</f>
        <v>0</v>
      </c>
    </row>
    <row r="1827" spans="1:15" x14ac:dyDescent="0.35">
      <c r="A1827" t="str">
        <f>Raw_Claims_Data!A1826</f>
        <v>TXN00001823</v>
      </c>
      <c r="B1827" t="str">
        <f>TRIM(Raw_Claims_Data!B1826)</f>
        <v>Heather Clark</v>
      </c>
      <c r="C1827" t="str">
        <f>Raw_Claims_Data!C1826</f>
        <v>Mobile</v>
      </c>
      <c r="D1827">
        <f>Raw_Claims_Data!D1826</f>
        <v>11.36</v>
      </c>
      <c r="E1827">
        <f>Raw_Claims_Data!E1826</f>
        <v>400</v>
      </c>
      <c r="F1827" t="str">
        <f>Raw_Claims_Data!F1826</f>
        <v>AK</v>
      </c>
      <c r="G1827" t="str">
        <f>Raw_Claims_Data!G1826</f>
        <v>A</v>
      </c>
      <c r="H1827" t="str">
        <f>Raw_Claims_Data!H1826</f>
        <v>Major Loss</v>
      </c>
      <c r="I1827" t="str">
        <f>IF(Raw_Claims_Data!I1826="","None",Raw_Claims_Data!I1826)</f>
        <v>Ambulance</v>
      </c>
      <c r="J1827" t="str">
        <f>Raw_Claims_Data!J1826</f>
        <v>Anchorage</v>
      </c>
      <c r="K1827" t="str">
        <f>Raw_Claims_Data!K1826</f>
        <v>AK</v>
      </c>
      <c r="L1827">
        <f>Raw_Claims_Data!L1826</f>
        <v>1</v>
      </c>
      <c r="M1827" t="str">
        <f>IF(Raw_Claims_Data!M1826="","N/A",Raw_Claims_Data!M1826)</f>
        <v>VNDR00431</v>
      </c>
      <c r="N1827" t="str">
        <f>Raw_Claims_Data!N1826</f>
        <v>AGENT01044</v>
      </c>
      <c r="O1827">
        <f>IF(Raw_Claims_Data!G1826="D",1,0)</f>
        <v>0</v>
      </c>
    </row>
    <row r="1828" spans="1:15" x14ac:dyDescent="0.35">
      <c r="A1828" t="str">
        <f>Raw_Claims_Data!A1827</f>
        <v>TXN00001824</v>
      </c>
      <c r="B1828" t="str">
        <f>TRIM(Raw_Claims_Data!B1827)</f>
        <v>William Wolfgang</v>
      </c>
      <c r="C1828" t="str">
        <f>Raw_Claims_Data!C1827</f>
        <v>Motor</v>
      </c>
      <c r="D1828">
        <f>Raw_Claims_Data!D1827</f>
        <v>100.46</v>
      </c>
      <c r="E1828">
        <f>Raw_Claims_Data!E1827</f>
        <v>2000</v>
      </c>
      <c r="F1828" t="str">
        <f>Raw_Claims_Data!F1827</f>
        <v>CT</v>
      </c>
      <c r="G1828" t="str">
        <f>Raw_Claims_Data!G1827</f>
        <v>A</v>
      </c>
      <c r="H1828" t="str">
        <f>Raw_Claims_Data!H1827</f>
        <v>Total Loss</v>
      </c>
      <c r="I1828" t="str">
        <f>IF(Raw_Claims_Data!I1827="","None",Raw_Claims_Data!I1827)</f>
        <v>Ambulance</v>
      </c>
      <c r="J1828" t="str">
        <f>Raw_Claims_Data!J1827</f>
        <v>Brentwood</v>
      </c>
      <c r="K1828" t="str">
        <f>Raw_Claims_Data!K1827</f>
        <v>TN</v>
      </c>
      <c r="L1828">
        <f>Raw_Claims_Data!L1827</f>
        <v>21</v>
      </c>
      <c r="M1828" t="str">
        <f>IF(Raw_Claims_Data!M1827="","N/A",Raw_Claims_Data!M1827)</f>
        <v>N/A</v>
      </c>
      <c r="N1828" t="str">
        <f>Raw_Claims_Data!N1827</f>
        <v>AGENT00319</v>
      </c>
      <c r="O1828">
        <f>IF(Raw_Claims_Data!G1827="D",1,0)</f>
        <v>0</v>
      </c>
    </row>
    <row r="1829" spans="1:15" x14ac:dyDescent="0.35">
      <c r="A1829" t="str">
        <f>Raw_Claims_Data!A1828</f>
        <v>TXN00001825</v>
      </c>
      <c r="B1829" t="str">
        <f>TRIM(Raw_Claims_Data!B1828)</f>
        <v>William Johnson</v>
      </c>
      <c r="C1829" t="str">
        <f>Raw_Claims_Data!C1828</f>
        <v>Health</v>
      </c>
      <c r="D1829">
        <f>Raw_Claims_Data!D1828</f>
        <v>162.81</v>
      </c>
      <c r="E1829">
        <f>Raw_Claims_Data!E1828</f>
        <v>4000</v>
      </c>
      <c r="F1829" t="str">
        <f>Raw_Claims_Data!F1828</f>
        <v>FL</v>
      </c>
      <c r="G1829" t="str">
        <f>Raw_Claims_Data!G1828</f>
        <v>A</v>
      </c>
      <c r="H1829" t="str">
        <f>Raw_Claims_Data!H1828</f>
        <v>Major Loss</v>
      </c>
      <c r="I1829" t="str">
        <f>IF(Raw_Claims_Data!I1828="","None",Raw_Claims_Data!I1828)</f>
        <v>Other</v>
      </c>
      <c r="J1829" t="str">
        <f>Raw_Claims_Data!J1828</f>
        <v>Oakland</v>
      </c>
      <c r="K1829" t="str">
        <f>Raw_Claims_Data!K1828</f>
        <v>CA</v>
      </c>
      <c r="L1829">
        <f>Raw_Claims_Data!L1828</f>
        <v>1</v>
      </c>
      <c r="M1829" t="str">
        <f>IF(Raw_Claims_Data!M1828="","N/A",Raw_Claims_Data!M1828)</f>
        <v>VNDR00344</v>
      </c>
      <c r="N1829" t="str">
        <f>Raw_Claims_Data!N1828</f>
        <v>AGENT00192</v>
      </c>
      <c r="O1829">
        <f>IF(Raw_Claims_Data!G1828="D",1,0)</f>
        <v>0</v>
      </c>
    </row>
    <row r="1830" spans="1:15" x14ac:dyDescent="0.35">
      <c r="A1830" t="str">
        <f>Raw_Claims_Data!A1829</f>
        <v>TXN00001826</v>
      </c>
      <c r="B1830" t="str">
        <f>TRIM(Raw_Claims_Data!B1829)</f>
        <v>Eva Pratt</v>
      </c>
      <c r="C1830" t="str">
        <f>Raw_Claims_Data!C1829</f>
        <v>Property</v>
      </c>
      <c r="D1830">
        <f>Raw_Claims_Data!D1829</f>
        <v>113.87</v>
      </c>
      <c r="E1830">
        <f>Raw_Claims_Data!E1829</f>
        <v>10000</v>
      </c>
      <c r="F1830" t="str">
        <f>Raw_Claims_Data!F1829</f>
        <v>FL</v>
      </c>
      <c r="G1830" t="str">
        <f>Raw_Claims_Data!G1829</f>
        <v>A</v>
      </c>
      <c r="H1830" t="str">
        <f>Raw_Claims_Data!H1829</f>
        <v>Minor Loss</v>
      </c>
      <c r="I1830" t="str">
        <f>IF(Raw_Claims_Data!I1829="","None",Raw_Claims_Data!I1829)</f>
        <v>None</v>
      </c>
      <c r="J1830" t="str">
        <f>Raw_Claims_Data!J1829</f>
        <v>Nashville</v>
      </c>
      <c r="K1830" t="str">
        <f>Raw_Claims_Data!K1829</f>
        <v>TN</v>
      </c>
      <c r="L1830">
        <f>Raw_Claims_Data!L1829</f>
        <v>20</v>
      </c>
      <c r="M1830" t="str">
        <f>IF(Raw_Claims_Data!M1829="","N/A",Raw_Claims_Data!M1829)</f>
        <v>VNDR00422</v>
      </c>
      <c r="N1830" t="str">
        <f>Raw_Claims_Data!N1829</f>
        <v>AGENT00707</v>
      </c>
      <c r="O1830">
        <f>IF(Raw_Claims_Data!G1829="D",1,0)</f>
        <v>0</v>
      </c>
    </row>
    <row r="1831" spans="1:15" x14ac:dyDescent="0.35">
      <c r="A1831" t="str">
        <f>Raw_Claims_Data!A1830</f>
        <v>TXN00001827</v>
      </c>
      <c r="B1831" t="str">
        <f>TRIM(Raw_Claims_Data!B1830)</f>
        <v>Krista Brown</v>
      </c>
      <c r="C1831" t="str">
        <f>Raw_Claims_Data!C1830</f>
        <v>Motor</v>
      </c>
      <c r="D1831">
        <f>Raw_Claims_Data!D1830</f>
        <v>123.35</v>
      </c>
      <c r="E1831">
        <f>Raw_Claims_Data!E1830</f>
        <v>5000</v>
      </c>
      <c r="F1831" t="str">
        <f>Raw_Claims_Data!F1830</f>
        <v>FL</v>
      </c>
      <c r="G1831" t="str">
        <f>Raw_Claims_Data!G1830</f>
        <v>A</v>
      </c>
      <c r="H1831" t="str">
        <f>Raw_Claims_Data!H1830</f>
        <v>Total Loss</v>
      </c>
      <c r="I1831" t="str">
        <f>IF(Raw_Claims_Data!I1830="","None",Raw_Claims_Data!I1830)</f>
        <v>None</v>
      </c>
      <c r="J1831" t="str">
        <f>Raw_Claims_Data!J1830</f>
        <v>Waltham</v>
      </c>
      <c r="K1831" t="str">
        <f>Raw_Claims_Data!K1830</f>
        <v>MA</v>
      </c>
      <c r="L1831">
        <f>Raw_Claims_Data!L1830</f>
        <v>1</v>
      </c>
      <c r="M1831" t="str">
        <f>IF(Raw_Claims_Data!M1830="","N/A",Raw_Claims_Data!M1830)</f>
        <v>N/A</v>
      </c>
      <c r="N1831" t="str">
        <f>Raw_Claims_Data!N1830</f>
        <v>AGENT01078</v>
      </c>
      <c r="O1831">
        <f>IF(Raw_Claims_Data!G1830="D",1,0)</f>
        <v>0</v>
      </c>
    </row>
    <row r="1832" spans="1:15" x14ac:dyDescent="0.35">
      <c r="A1832" t="str">
        <f>Raw_Claims_Data!A1831</f>
        <v>TXN00001828</v>
      </c>
      <c r="B1832" t="str">
        <f>TRIM(Raw_Claims_Data!B1831)</f>
        <v>Helen Sanchez</v>
      </c>
      <c r="C1832" t="str">
        <f>Raw_Claims_Data!C1831</f>
        <v>Health</v>
      </c>
      <c r="D1832">
        <f>Raw_Claims_Data!D1831</f>
        <v>121.67</v>
      </c>
      <c r="E1832">
        <f>Raw_Claims_Data!E1831</f>
        <v>5000</v>
      </c>
      <c r="F1832" t="str">
        <f>Raw_Claims_Data!F1831</f>
        <v>CO</v>
      </c>
      <c r="G1832" t="str">
        <f>Raw_Claims_Data!G1831</f>
        <v>A</v>
      </c>
      <c r="H1832" t="str">
        <f>Raw_Claims_Data!H1831</f>
        <v>Major Loss</v>
      </c>
      <c r="I1832" t="str">
        <f>IF(Raw_Claims_Data!I1831="","None",Raw_Claims_Data!I1831)</f>
        <v>None</v>
      </c>
      <c r="J1832" t="str">
        <f>Raw_Claims_Data!J1831</f>
        <v>Fremont</v>
      </c>
      <c r="K1832" t="str">
        <f>Raw_Claims_Data!K1831</f>
        <v>CA</v>
      </c>
      <c r="L1832">
        <f>Raw_Claims_Data!L1831</f>
        <v>18</v>
      </c>
      <c r="M1832" t="str">
        <f>IF(Raw_Claims_Data!M1831="","N/A",Raw_Claims_Data!M1831)</f>
        <v>VNDR00552</v>
      </c>
      <c r="N1832" t="str">
        <f>Raw_Claims_Data!N1831</f>
        <v>AGENT00963</v>
      </c>
      <c r="O1832">
        <f>IF(Raw_Claims_Data!G1831="D",1,0)</f>
        <v>0</v>
      </c>
    </row>
    <row r="1833" spans="1:15" x14ac:dyDescent="0.35">
      <c r="A1833" t="str">
        <f>Raw_Claims_Data!A1832</f>
        <v>TXN00001829</v>
      </c>
      <c r="B1833" t="str">
        <f>TRIM(Raw_Claims_Data!B1832)</f>
        <v>Jenny Hayes</v>
      </c>
      <c r="C1833" t="str">
        <f>Raw_Claims_Data!C1832</f>
        <v>Travel</v>
      </c>
      <c r="D1833">
        <f>Raw_Claims_Data!D1832</f>
        <v>68.03</v>
      </c>
      <c r="E1833">
        <f>Raw_Claims_Data!E1832</f>
        <v>5000</v>
      </c>
      <c r="F1833" t="str">
        <f>Raw_Claims_Data!F1832</f>
        <v>OK</v>
      </c>
      <c r="G1833" t="str">
        <f>Raw_Claims_Data!G1832</f>
        <v>A</v>
      </c>
      <c r="H1833" t="str">
        <f>Raw_Claims_Data!H1832</f>
        <v>Total Loss</v>
      </c>
      <c r="I1833" t="str">
        <f>IF(Raw_Claims_Data!I1832="","None",Raw_Claims_Data!I1832)</f>
        <v>Ambulance</v>
      </c>
      <c r="J1833" t="str">
        <f>Raw_Claims_Data!J1832</f>
        <v>Hayward</v>
      </c>
      <c r="K1833" t="str">
        <f>Raw_Claims_Data!K1832</f>
        <v>CA</v>
      </c>
      <c r="L1833">
        <f>Raw_Claims_Data!L1832</f>
        <v>15</v>
      </c>
      <c r="M1833" t="str">
        <f>IF(Raw_Claims_Data!M1832="","N/A",Raw_Claims_Data!M1832)</f>
        <v>VNDR00297</v>
      </c>
      <c r="N1833" t="str">
        <f>Raw_Claims_Data!N1832</f>
        <v>AGENT01196</v>
      </c>
      <c r="O1833">
        <f>IF(Raw_Claims_Data!G1832="D",1,0)</f>
        <v>0</v>
      </c>
    </row>
    <row r="1834" spans="1:15" x14ac:dyDescent="0.35">
      <c r="A1834" t="str">
        <f>Raw_Claims_Data!A1833</f>
        <v>TXN00001830</v>
      </c>
      <c r="B1834" t="str">
        <f>TRIM(Raw_Claims_Data!B1833)</f>
        <v>Edward Simpson</v>
      </c>
      <c r="C1834" t="str">
        <f>Raw_Claims_Data!C1833</f>
        <v>Motor</v>
      </c>
      <c r="D1834">
        <f>Raw_Claims_Data!D1833</f>
        <v>110.87</v>
      </c>
      <c r="E1834">
        <f>Raw_Claims_Data!E1833</f>
        <v>10000</v>
      </c>
      <c r="F1834" t="str">
        <f>Raw_Claims_Data!F1833</f>
        <v>FL</v>
      </c>
      <c r="G1834" t="str">
        <f>Raw_Claims_Data!G1833</f>
        <v>A</v>
      </c>
      <c r="H1834" t="str">
        <f>Raw_Claims_Data!H1833</f>
        <v>Major Loss</v>
      </c>
      <c r="I1834" t="str">
        <f>IF(Raw_Claims_Data!I1833="","None",Raw_Claims_Data!I1833)</f>
        <v>Ambulance</v>
      </c>
      <c r="J1834" t="str">
        <f>Raw_Claims_Data!J1833</f>
        <v>Calhoun</v>
      </c>
      <c r="K1834" t="str">
        <f>Raw_Claims_Data!K1833</f>
        <v>GA</v>
      </c>
      <c r="L1834">
        <f>Raw_Claims_Data!L1833</f>
        <v>12</v>
      </c>
      <c r="M1834" t="str">
        <f>IF(Raw_Claims_Data!M1833="","N/A",Raw_Claims_Data!M1833)</f>
        <v>N/A</v>
      </c>
      <c r="N1834" t="str">
        <f>Raw_Claims_Data!N1833</f>
        <v>AGENT00940</v>
      </c>
      <c r="O1834">
        <f>IF(Raw_Claims_Data!G1833="D",1,0)</f>
        <v>0</v>
      </c>
    </row>
    <row r="1835" spans="1:15" x14ac:dyDescent="0.35">
      <c r="A1835" t="str">
        <f>Raw_Claims_Data!A1834</f>
        <v>TXN00001831</v>
      </c>
      <c r="B1835" t="str">
        <f>TRIM(Raw_Claims_Data!B1834)</f>
        <v>Nathaniel Transou</v>
      </c>
      <c r="C1835" t="str">
        <f>Raw_Claims_Data!C1834</f>
        <v>Property</v>
      </c>
      <c r="D1835">
        <f>Raw_Claims_Data!D1834</f>
        <v>97.66</v>
      </c>
      <c r="E1835">
        <f>Raw_Claims_Data!E1834</f>
        <v>19000</v>
      </c>
      <c r="F1835" t="str">
        <f>Raw_Claims_Data!F1834</f>
        <v>MD</v>
      </c>
      <c r="G1835" t="str">
        <f>Raw_Claims_Data!G1834</f>
        <v>A</v>
      </c>
      <c r="H1835" t="str">
        <f>Raw_Claims_Data!H1834</f>
        <v>Minor Loss</v>
      </c>
      <c r="I1835" t="str">
        <f>IF(Raw_Claims_Data!I1834="","None",Raw_Claims_Data!I1834)</f>
        <v>Police</v>
      </c>
      <c r="J1835" t="str">
        <f>Raw_Claims_Data!J1834</f>
        <v>New Bedford</v>
      </c>
      <c r="K1835" t="str">
        <f>Raw_Claims_Data!K1834</f>
        <v>MA</v>
      </c>
      <c r="L1835">
        <f>Raw_Claims_Data!L1834</f>
        <v>20</v>
      </c>
      <c r="M1835" t="str">
        <f>IF(Raw_Claims_Data!M1834="","N/A",Raw_Claims_Data!M1834)</f>
        <v>VNDR00020</v>
      </c>
      <c r="N1835" t="str">
        <f>Raw_Claims_Data!N1834</f>
        <v>AGENT00160</v>
      </c>
      <c r="O1835">
        <f>IF(Raw_Claims_Data!G1834="D",1,0)</f>
        <v>0</v>
      </c>
    </row>
    <row r="1836" spans="1:15" x14ac:dyDescent="0.35">
      <c r="A1836" t="str">
        <f>Raw_Claims_Data!A1835</f>
        <v>TXN00001832</v>
      </c>
      <c r="B1836" t="str">
        <f>TRIM(Raw_Claims_Data!B1835)</f>
        <v>Don Davis</v>
      </c>
      <c r="C1836" t="str">
        <f>Raw_Claims_Data!C1835</f>
        <v>Mobile</v>
      </c>
      <c r="D1836">
        <f>Raw_Claims_Data!D1835</f>
        <v>6.75</v>
      </c>
      <c r="E1836">
        <f>Raw_Claims_Data!E1835</f>
        <v>100</v>
      </c>
      <c r="F1836" t="str">
        <f>Raw_Claims_Data!F1835</f>
        <v>AR</v>
      </c>
      <c r="G1836" t="str">
        <f>Raw_Claims_Data!G1835</f>
        <v>D</v>
      </c>
      <c r="H1836" t="str">
        <f>Raw_Claims_Data!H1835</f>
        <v>Total Loss</v>
      </c>
      <c r="I1836" t="str">
        <f>IF(Raw_Claims_Data!I1835="","None",Raw_Claims_Data!I1835)</f>
        <v>Police</v>
      </c>
      <c r="J1836" t="str">
        <f>Raw_Claims_Data!J1835</f>
        <v>Fayetteville</v>
      </c>
      <c r="K1836" t="str">
        <f>Raw_Claims_Data!K1835</f>
        <v>AR</v>
      </c>
      <c r="L1836">
        <f>Raw_Claims_Data!L1835</f>
        <v>5</v>
      </c>
      <c r="M1836" t="str">
        <f>IF(Raw_Claims_Data!M1835="","N/A",Raw_Claims_Data!M1835)</f>
        <v>VNDR00203</v>
      </c>
      <c r="N1836" t="str">
        <f>Raw_Claims_Data!N1835</f>
        <v>AGENT00909</v>
      </c>
      <c r="O1836">
        <f>IF(Raw_Claims_Data!G1835="D",1,0)</f>
        <v>1</v>
      </c>
    </row>
    <row r="1837" spans="1:15" x14ac:dyDescent="0.35">
      <c r="A1837" t="str">
        <f>Raw_Claims_Data!A1836</f>
        <v>TXN00001833</v>
      </c>
      <c r="B1837" t="str">
        <f>TRIM(Raw_Claims_Data!B1836)</f>
        <v>Judy Showalter</v>
      </c>
      <c r="C1837" t="str">
        <f>Raw_Claims_Data!C1836</f>
        <v>Travel</v>
      </c>
      <c r="D1837">
        <f>Raw_Claims_Data!D1836</f>
        <v>61.73</v>
      </c>
      <c r="E1837">
        <f>Raw_Claims_Data!E1836</f>
        <v>5000</v>
      </c>
      <c r="F1837" t="str">
        <f>Raw_Claims_Data!F1836</f>
        <v>FL</v>
      </c>
      <c r="G1837" t="str">
        <f>Raw_Claims_Data!G1836</f>
        <v>A</v>
      </c>
      <c r="H1837" t="str">
        <f>Raw_Claims_Data!H1836</f>
        <v>Total Loss</v>
      </c>
      <c r="I1837" t="str">
        <f>IF(Raw_Claims_Data!I1836="","None",Raw_Claims_Data!I1836)</f>
        <v>Police</v>
      </c>
      <c r="J1837" t="str">
        <f>Raw_Claims_Data!J1836</f>
        <v>Washington</v>
      </c>
      <c r="K1837" t="str">
        <f>Raw_Claims_Data!K1836</f>
        <v>DC</v>
      </c>
      <c r="L1837">
        <f>Raw_Claims_Data!L1836</f>
        <v>11</v>
      </c>
      <c r="M1837" t="str">
        <f>IF(Raw_Claims_Data!M1836="","N/A",Raw_Claims_Data!M1836)</f>
        <v>VNDR00321</v>
      </c>
      <c r="N1837" t="str">
        <f>Raw_Claims_Data!N1836</f>
        <v>AGENT00983</v>
      </c>
      <c r="O1837">
        <f>IF(Raw_Claims_Data!G1836="D",1,0)</f>
        <v>0</v>
      </c>
    </row>
    <row r="1838" spans="1:15" x14ac:dyDescent="0.35">
      <c r="A1838" t="str">
        <f>Raw_Claims_Data!A1837</f>
        <v>TXN00001834</v>
      </c>
      <c r="B1838" t="str">
        <f>TRIM(Raw_Claims_Data!B1837)</f>
        <v>Angela Mcfee</v>
      </c>
      <c r="C1838" t="str">
        <f>Raw_Claims_Data!C1837</f>
        <v>Motor</v>
      </c>
      <c r="D1838">
        <f>Raw_Claims_Data!D1837</f>
        <v>117.92</v>
      </c>
      <c r="E1838">
        <f>Raw_Claims_Data!E1837</f>
        <v>8000</v>
      </c>
      <c r="F1838" t="str">
        <f>Raw_Claims_Data!F1837</f>
        <v>AK</v>
      </c>
      <c r="G1838" t="str">
        <f>Raw_Claims_Data!G1837</f>
        <v>A</v>
      </c>
      <c r="H1838" t="str">
        <f>Raw_Claims_Data!H1837</f>
        <v>Total Loss</v>
      </c>
      <c r="I1838" t="str">
        <f>IF(Raw_Claims_Data!I1837="","None",Raw_Claims_Data!I1837)</f>
        <v>None</v>
      </c>
      <c r="J1838" t="str">
        <f>Raw_Claims_Data!J1837</f>
        <v>Manchester</v>
      </c>
      <c r="K1838" t="str">
        <f>Raw_Claims_Data!K1837</f>
        <v>CT</v>
      </c>
      <c r="L1838">
        <f>Raw_Claims_Data!L1837</f>
        <v>16</v>
      </c>
      <c r="M1838" t="str">
        <f>IF(Raw_Claims_Data!M1837="","N/A",Raw_Claims_Data!M1837)</f>
        <v>VNDR00107</v>
      </c>
      <c r="N1838" t="str">
        <f>Raw_Claims_Data!N1837</f>
        <v>AGENT00007</v>
      </c>
      <c r="O1838">
        <f>IF(Raw_Claims_Data!G1837="D",1,0)</f>
        <v>0</v>
      </c>
    </row>
    <row r="1839" spans="1:15" x14ac:dyDescent="0.35">
      <c r="A1839" t="str">
        <f>Raw_Claims_Data!A1838</f>
        <v>TXN00001835</v>
      </c>
      <c r="B1839" t="str">
        <f>TRIM(Raw_Claims_Data!B1838)</f>
        <v>Denise Lemons</v>
      </c>
      <c r="C1839" t="str">
        <f>Raw_Claims_Data!C1838</f>
        <v>Travel</v>
      </c>
      <c r="D1839">
        <f>Raw_Claims_Data!D1838</f>
        <v>62.83</v>
      </c>
      <c r="E1839">
        <f>Raw_Claims_Data!E1838</f>
        <v>5000</v>
      </c>
      <c r="F1839" t="str">
        <f>Raw_Claims_Data!F1838</f>
        <v>CT</v>
      </c>
      <c r="G1839" t="str">
        <f>Raw_Claims_Data!G1838</f>
        <v>A</v>
      </c>
      <c r="H1839" t="str">
        <f>Raw_Claims_Data!H1838</f>
        <v>Total Loss</v>
      </c>
      <c r="I1839" t="str">
        <f>IF(Raw_Claims_Data!I1838="","None",Raw_Claims_Data!I1838)</f>
        <v>Other</v>
      </c>
      <c r="J1839" t="str">
        <f>Raw_Claims_Data!J1838</f>
        <v>Calhoun</v>
      </c>
      <c r="K1839" t="str">
        <f>Raw_Claims_Data!K1838</f>
        <v>GA</v>
      </c>
      <c r="L1839">
        <f>Raw_Claims_Data!L1838</f>
        <v>13</v>
      </c>
      <c r="M1839" t="str">
        <f>IF(Raw_Claims_Data!M1838="","N/A",Raw_Claims_Data!M1838)</f>
        <v>VNDR00075</v>
      </c>
      <c r="N1839" t="str">
        <f>Raw_Claims_Data!N1838</f>
        <v>AGENT00873</v>
      </c>
      <c r="O1839">
        <f>IF(Raw_Claims_Data!G1838="D",1,0)</f>
        <v>0</v>
      </c>
    </row>
    <row r="1840" spans="1:15" x14ac:dyDescent="0.35">
      <c r="A1840" t="str">
        <f>Raw_Claims_Data!A1839</f>
        <v>TXN00001836</v>
      </c>
      <c r="B1840" t="str">
        <f>TRIM(Raw_Claims_Data!B1839)</f>
        <v>Renee Stevens</v>
      </c>
      <c r="C1840" t="str">
        <f>Raw_Claims_Data!C1839</f>
        <v>Health</v>
      </c>
      <c r="D1840">
        <f>Raw_Claims_Data!D1839</f>
        <v>194.15</v>
      </c>
      <c r="E1840">
        <f>Raw_Claims_Data!E1839</f>
        <v>13000</v>
      </c>
      <c r="F1840" t="str">
        <f>Raw_Claims_Data!F1839</f>
        <v>AZ</v>
      </c>
      <c r="G1840" t="str">
        <f>Raw_Claims_Data!G1839</f>
        <v>A</v>
      </c>
      <c r="H1840" t="str">
        <f>Raw_Claims_Data!H1839</f>
        <v>Major Loss</v>
      </c>
      <c r="I1840" t="str">
        <f>IF(Raw_Claims_Data!I1839="","None",Raw_Claims_Data!I1839)</f>
        <v>None</v>
      </c>
      <c r="J1840" t="str">
        <f>Raw_Claims_Data!J1839</f>
        <v>Louisville</v>
      </c>
      <c r="K1840" t="str">
        <f>Raw_Claims_Data!K1839</f>
        <v>KY</v>
      </c>
      <c r="L1840">
        <f>Raw_Claims_Data!L1839</f>
        <v>8</v>
      </c>
      <c r="M1840" t="str">
        <f>IF(Raw_Claims_Data!M1839="","N/A",Raw_Claims_Data!M1839)</f>
        <v>VNDR00278</v>
      </c>
      <c r="N1840" t="str">
        <f>Raw_Claims_Data!N1839</f>
        <v>AGENT00970</v>
      </c>
      <c r="O1840">
        <f>IF(Raw_Claims_Data!G1839="D",1,0)</f>
        <v>0</v>
      </c>
    </row>
    <row r="1841" spans="1:15" x14ac:dyDescent="0.35">
      <c r="A1841" t="str">
        <f>Raw_Claims_Data!A1840</f>
        <v>TXN00001837</v>
      </c>
      <c r="B1841" t="str">
        <f>TRIM(Raw_Claims_Data!B1840)</f>
        <v>Tammy Poston</v>
      </c>
      <c r="C1841" t="str">
        <f>Raw_Claims_Data!C1840</f>
        <v>Property</v>
      </c>
      <c r="D1841">
        <f>Raw_Claims_Data!D1840</f>
        <v>116.92</v>
      </c>
      <c r="E1841">
        <f>Raw_Claims_Data!E1840</f>
        <v>11000</v>
      </c>
      <c r="F1841" t="str">
        <f>Raw_Claims_Data!F1840</f>
        <v>AZ</v>
      </c>
      <c r="G1841" t="str">
        <f>Raw_Claims_Data!G1840</f>
        <v>A</v>
      </c>
      <c r="H1841" t="str">
        <f>Raw_Claims_Data!H1840</f>
        <v>Minor Loss</v>
      </c>
      <c r="I1841" t="str">
        <f>IF(Raw_Claims_Data!I1840="","None",Raw_Claims_Data!I1840)</f>
        <v>Police</v>
      </c>
      <c r="J1841" t="str">
        <f>Raw_Claims_Data!J1840</f>
        <v>Washington</v>
      </c>
      <c r="K1841" t="str">
        <f>Raw_Claims_Data!K1840</f>
        <v>DC</v>
      </c>
      <c r="L1841">
        <f>Raw_Claims_Data!L1840</f>
        <v>22</v>
      </c>
      <c r="M1841" t="str">
        <f>IF(Raw_Claims_Data!M1840="","N/A",Raw_Claims_Data!M1840)</f>
        <v>N/A</v>
      </c>
      <c r="N1841" t="str">
        <f>Raw_Claims_Data!N1840</f>
        <v>AGENT00250</v>
      </c>
      <c r="O1841">
        <f>IF(Raw_Claims_Data!G1840="D",1,0)</f>
        <v>0</v>
      </c>
    </row>
    <row r="1842" spans="1:15" x14ac:dyDescent="0.35">
      <c r="A1842" t="str">
        <f>Raw_Claims_Data!A1841</f>
        <v>TXN00001838</v>
      </c>
      <c r="B1842" t="str">
        <f>TRIM(Raw_Claims_Data!B1841)</f>
        <v>Judy Biller</v>
      </c>
      <c r="C1842" t="str">
        <f>Raw_Claims_Data!C1841</f>
        <v>Mobile</v>
      </c>
      <c r="D1842">
        <f>Raw_Claims_Data!D1841</f>
        <v>9.57</v>
      </c>
      <c r="E1842">
        <f>Raw_Claims_Data!E1841</f>
        <v>600</v>
      </c>
      <c r="F1842" t="str">
        <f>Raw_Claims_Data!F1841</f>
        <v>AR</v>
      </c>
      <c r="G1842" t="str">
        <f>Raw_Claims_Data!G1841</f>
        <v>A</v>
      </c>
      <c r="H1842" t="str">
        <f>Raw_Claims_Data!H1841</f>
        <v>Total Loss</v>
      </c>
      <c r="I1842" t="str">
        <f>IF(Raw_Claims_Data!I1841="","None",Raw_Claims_Data!I1841)</f>
        <v>Ambulance</v>
      </c>
      <c r="J1842" t="str">
        <f>Raw_Claims_Data!J1841</f>
        <v>Panama City</v>
      </c>
      <c r="K1842" t="str">
        <f>Raw_Claims_Data!K1841</f>
        <v>FL</v>
      </c>
      <c r="L1842">
        <f>Raw_Claims_Data!L1841</f>
        <v>20</v>
      </c>
      <c r="M1842" t="str">
        <f>IF(Raw_Claims_Data!M1841="","N/A",Raw_Claims_Data!M1841)</f>
        <v>VNDR00589</v>
      </c>
      <c r="N1842" t="str">
        <f>Raw_Claims_Data!N1841</f>
        <v>AGENT01120</v>
      </c>
      <c r="O1842">
        <f>IF(Raw_Claims_Data!G1841="D",1,0)</f>
        <v>0</v>
      </c>
    </row>
    <row r="1843" spans="1:15" x14ac:dyDescent="0.35">
      <c r="A1843" t="str">
        <f>Raw_Claims_Data!A1842</f>
        <v>TXN00001839</v>
      </c>
      <c r="B1843" t="str">
        <f>TRIM(Raw_Claims_Data!B1842)</f>
        <v>Tony Merhar</v>
      </c>
      <c r="C1843" t="str">
        <f>Raw_Claims_Data!C1842</f>
        <v>Health</v>
      </c>
      <c r="D1843">
        <f>Raw_Claims_Data!D1842</f>
        <v>129.29</v>
      </c>
      <c r="E1843">
        <f>Raw_Claims_Data!E1842</f>
        <v>11000</v>
      </c>
      <c r="F1843" t="str">
        <f>Raw_Claims_Data!F1842</f>
        <v>CA</v>
      </c>
      <c r="G1843" t="str">
        <f>Raw_Claims_Data!G1842</f>
        <v>A</v>
      </c>
      <c r="H1843" t="str">
        <f>Raw_Claims_Data!H1842</f>
        <v>Minor Loss</v>
      </c>
      <c r="I1843" t="str">
        <f>IF(Raw_Claims_Data!I1842="","None",Raw_Claims_Data!I1842)</f>
        <v>Police</v>
      </c>
      <c r="J1843" t="str">
        <f>Raw_Claims_Data!J1842</f>
        <v>Fayetteville</v>
      </c>
      <c r="K1843" t="str">
        <f>Raw_Claims_Data!K1842</f>
        <v>AR</v>
      </c>
      <c r="L1843">
        <f>Raw_Claims_Data!L1842</f>
        <v>2</v>
      </c>
      <c r="M1843" t="str">
        <f>IF(Raw_Claims_Data!M1842="","N/A",Raw_Claims_Data!M1842)</f>
        <v>VNDR00232</v>
      </c>
      <c r="N1843" t="str">
        <f>Raw_Claims_Data!N1842</f>
        <v>AGENT00053</v>
      </c>
      <c r="O1843">
        <f>IF(Raw_Claims_Data!G1842="D",1,0)</f>
        <v>0</v>
      </c>
    </row>
    <row r="1844" spans="1:15" x14ac:dyDescent="0.35">
      <c r="A1844" t="str">
        <f>Raw_Claims_Data!A1843</f>
        <v>TXN00001840</v>
      </c>
      <c r="B1844" t="str">
        <f>TRIM(Raw_Claims_Data!B1843)</f>
        <v>Jill Aquino</v>
      </c>
      <c r="C1844" t="str">
        <f>Raw_Claims_Data!C1843</f>
        <v>Mobile</v>
      </c>
      <c r="D1844">
        <f>Raw_Claims_Data!D1843</f>
        <v>10.6</v>
      </c>
      <c r="E1844">
        <f>Raw_Claims_Data!E1843</f>
        <v>300</v>
      </c>
      <c r="F1844" t="str">
        <f>Raw_Claims_Data!F1843</f>
        <v>KY</v>
      </c>
      <c r="G1844" t="str">
        <f>Raw_Claims_Data!G1843</f>
        <v>A</v>
      </c>
      <c r="H1844" t="str">
        <f>Raw_Claims_Data!H1843</f>
        <v>Total Loss</v>
      </c>
      <c r="I1844" t="str">
        <f>IF(Raw_Claims_Data!I1843="","None",Raw_Claims_Data!I1843)</f>
        <v>Ambulance</v>
      </c>
      <c r="J1844" t="str">
        <f>Raw_Claims_Data!J1843</f>
        <v>Arvada</v>
      </c>
      <c r="K1844" t="str">
        <f>Raw_Claims_Data!K1843</f>
        <v>CO</v>
      </c>
      <c r="L1844">
        <f>Raw_Claims_Data!L1843</f>
        <v>16</v>
      </c>
      <c r="M1844" t="str">
        <f>IF(Raw_Claims_Data!M1843="","N/A",Raw_Claims_Data!M1843)</f>
        <v>N/A</v>
      </c>
      <c r="N1844" t="str">
        <f>Raw_Claims_Data!N1843</f>
        <v>AGENT00437</v>
      </c>
      <c r="O1844">
        <f>IF(Raw_Claims_Data!G1843="D",1,0)</f>
        <v>0</v>
      </c>
    </row>
    <row r="1845" spans="1:15" x14ac:dyDescent="0.35">
      <c r="A1845" t="str">
        <f>Raw_Claims_Data!A1844</f>
        <v>TXN00001841</v>
      </c>
      <c r="B1845" t="str">
        <f>TRIM(Raw_Claims_Data!B1844)</f>
        <v>Angela White</v>
      </c>
      <c r="C1845" t="str">
        <f>Raw_Claims_Data!C1844</f>
        <v>Property</v>
      </c>
      <c r="D1845">
        <f>Raw_Claims_Data!D1844</f>
        <v>119.91</v>
      </c>
      <c r="E1845">
        <f>Raw_Claims_Data!E1844</f>
        <v>34000</v>
      </c>
      <c r="F1845" t="str">
        <f>Raw_Claims_Data!F1844</f>
        <v>KY</v>
      </c>
      <c r="G1845" t="str">
        <f>Raw_Claims_Data!G1844</f>
        <v>A</v>
      </c>
      <c r="H1845" t="str">
        <f>Raw_Claims_Data!H1844</f>
        <v>Total Loss</v>
      </c>
      <c r="I1845" t="str">
        <f>IF(Raw_Claims_Data!I1844="","None",Raw_Claims_Data!I1844)</f>
        <v>Ambulance</v>
      </c>
      <c r="J1845" t="str">
        <f>Raw_Claims_Data!J1844</f>
        <v>Poultney</v>
      </c>
      <c r="K1845" t="str">
        <f>Raw_Claims_Data!K1844</f>
        <v>VT</v>
      </c>
      <c r="L1845">
        <f>Raw_Claims_Data!L1844</f>
        <v>15</v>
      </c>
      <c r="M1845" t="str">
        <f>IF(Raw_Claims_Data!M1844="","N/A",Raw_Claims_Data!M1844)</f>
        <v>VNDR00202</v>
      </c>
      <c r="N1845" t="str">
        <f>Raw_Claims_Data!N1844</f>
        <v>AGENT00505</v>
      </c>
      <c r="O1845">
        <f>IF(Raw_Claims_Data!G1844="D",1,0)</f>
        <v>0</v>
      </c>
    </row>
    <row r="1846" spans="1:15" x14ac:dyDescent="0.35">
      <c r="A1846" t="str">
        <f>Raw_Claims_Data!A1845</f>
        <v>TXN00001842</v>
      </c>
      <c r="B1846" t="str">
        <f>TRIM(Raw_Claims_Data!B1845)</f>
        <v>Jorge Mathews</v>
      </c>
      <c r="C1846" t="str">
        <f>Raw_Claims_Data!C1845</f>
        <v>Property</v>
      </c>
      <c r="D1846">
        <f>Raw_Claims_Data!D1845</f>
        <v>85.19</v>
      </c>
      <c r="E1846">
        <f>Raw_Claims_Data!E1845</f>
        <v>25000</v>
      </c>
      <c r="F1846" t="str">
        <f>Raw_Claims_Data!F1845</f>
        <v>CA</v>
      </c>
      <c r="G1846" t="str">
        <f>Raw_Claims_Data!G1845</f>
        <v>D</v>
      </c>
      <c r="H1846" t="str">
        <f>Raw_Claims_Data!H1845</f>
        <v>Total Loss</v>
      </c>
      <c r="I1846" t="str">
        <f>IF(Raw_Claims_Data!I1845="","None",Raw_Claims_Data!I1845)</f>
        <v>Ambulance</v>
      </c>
      <c r="J1846" t="str">
        <f>Raw_Claims_Data!J1845</f>
        <v>Thunderbolt</v>
      </c>
      <c r="K1846" t="str">
        <f>Raw_Claims_Data!K1845</f>
        <v>GA</v>
      </c>
      <c r="L1846">
        <f>Raw_Claims_Data!L1845</f>
        <v>10</v>
      </c>
      <c r="M1846" t="str">
        <f>IF(Raw_Claims_Data!M1845="","N/A",Raw_Claims_Data!M1845)</f>
        <v>N/A</v>
      </c>
      <c r="N1846" t="str">
        <f>Raw_Claims_Data!N1845</f>
        <v>AGENT00723</v>
      </c>
      <c r="O1846">
        <f>IF(Raw_Claims_Data!G1845="D",1,0)</f>
        <v>1</v>
      </c>
    </row>
    <row r="1847" spans="1:15" x14ac:dyDescent="0.35">
      <c r="A1847" t="str">
        <f>Raw_Claims_Data!A1846</f>
        <v>TXN00001843</v>
      </c>
      <c r="B1847" t="str">
        <f>TRIM(Raw_Claims_Data!B1846)</f>
        <v>Brenda Weske</v>
      </c>
      <c r="C1847" t="str">
        <f>Raw_Claims_Data!C1846</f>
        <v>Property</v>
      </c>
      <c r="D1847">
        <f>Raw_Claims_Data!D1846</f>
        <v>137.06</v>
      </c>
      <c r="E1847">
        <f>Raw_Claims_Data!E1846</f>
        <v>38000</v>
      </c>
      <c r="F1847" t="str">
        <f>Raw_Claims_Data!F1846</f>
        <v>AR</v>
      </c>
      <c r="G1847" t="str">
        <f>Raw_Claims_Data!G1846</f>
        <v>A</v>
      </c>
      <c r="H1847" t="str">
        <f>Raw_Claims_Data!H1846</f>
        <v>Total Loss</v>
      </c>
      <c r="I1847" t="str">
        <f>IF(Raw_Claims_Data!I1846="","None",Raw_Claims_Data!I1846)</f>
        <v>Ambulance</v>
      </c>
      <c r="J1847" t="str">
        <f>Raw_Claims_Data!J1846</f>
        <v>Nashville</v>
      </c>
      <c r="K1847" t="str">
        <f>Raw_Claims_Data!K1846</f>
        <v>TN</v>
      </c>
      <c r="L1847">
        <f>Raw_Claims_Data!L1846</f>
        <v>6</v>
      </c>
      <c r="M1847" t="str">
        <f>IF(Raw_Claims_Data!M1846="","N/A",Raw_Claims_Data!M1846)</f>
        <v>VNDR00393</v>
      </c>
      <c r="N1847" t="str">
        <f>Raw_Claims_Data!N1846</f>
        <v>AGENT00844</v>
      </c>
      <c r="O1847">
        <f>IF(Raw_Claims_Data!G1846="D",1,0)</f>
        <v>0</v>
      </c>
    </row>
    <row r="1848" spans="1:15" x14ac:dyDescent="0.35">
      <c r="A1848" t="str">
        <f>Raw_Claims_Data!A1847</f>
        <v>TXN00001844</v>
      </c>
      <c r="B1848" t="str">
        <f>TRIM(Raw_Claims_Data!B1847)</f>
        <v>Douglas Carrillo</v>
      </c>
      <c r="C1848" t="str">
        <f>Raw_Claims_Data!C1847</f>
        <v>Mobile</v>
      </c>
      <c r="D1848">
        <f>Raw_Claims_Data!D1847</f>
        <v>9.41</v>
      </c>
      <c r="E1848">
        <f>Raw_Claims_Data!E1847</f>
        <v>100</v>
      </c>
      <c r="F1848" t="str">
        <f>Raw_Claims_Data!F1847</f>
        <v>MD</v>
      </c>
      <c r="G1848" t="str">
        <f>Raw_Claims_Data!G1847</f>
        <v>A</v>
      </c>
      <c r="H1848" t="str">
        <f>Raw_Claims_Data!H1847</f>
        <v>Major Loss</v>
      </c>
      <c r="I1848" t="str">
        <f>IF(Raw_Claims_Data!I1847="","None",Raw_Claims_Data!I1847)</f>
        <v>Ambulance</v>
      </c>
      <c r="J1848" t="str">
        <f>Raw_Claims_Data!J1847</f>
        <v>Fayetteville</v>
      </c>
      <c r="K1848" t="str">
        <f>Raw_Claims_Data!K1847</f>
        <v>AR</v>
      </c>
      <c r="L1848">
        <f>Raw_Claims_Data!L1847</f>
        <v>1</v>
      </c>
      <c r="M1848" t="str">
        <f>IF(Raw_Claims_Data!M1847="","N/A",Raw_Claims_Data!M1847)</f>
        <v>VNDR00120</v>
      </c>
      <c r="N1848" t="str">
        <f>Raw_Claims_Data!N1847</f>
        <v>AGENT01004</v>
      </c>
      <c r="O1848">
        <f>IF(Raw_Claims_Data!G1847="D",1,0)</f>
        <v>0</v>
      </c>
    </row>
    <row r="1849" spans="1:15" x14ac:dyDescent="0.35">
      <c r="A1849" t="str">
        <f>Raw_Claims_Data!A1848</f>
        <v>TXN00001845</v>
      </c>
      <c r="B1849" t="str">
        <f>TRIM(Raw_Claims_Data!B1848)</f>
        <v>Ann Walks</v>
      </c>
      <c r="C1849" t="str">
        <f>Raw_Claims_Data!C1848</f>
        <v>Property</v>
      </c>
      <c r="D1849">
        <f>Raw_Claims_Data!D1848</f>
        <v>135.57</v>
      </c>
      <c r="E1849">
        <f>Raw_Claims_Data!E1848</f>
        <v>39000</v>
      </c>
      <c r="F1849" t="str">
        <f>Raw_Claims_Data!F1848</f>
        <v>TN</v>
      </c>
      <c r="G1849" t="str">
        <f>Raw_Claims_Data!G1848</f>
        <v>A</v>
      </c>
      <c r="H1849" t="str">
        <f>Raw_Claims_Data!H1848</f>
        <v>Total Loss</v>
      </c>
      <c r="I1849" t="str">
        <f>IF(Raw_Claims_Data!I1848="","None",Raw_Claims_Data!I1848)</f>
        <v>Ambulance</v>
      </c>
      <c r="J1849" t="str">
        <f>Raw_Claims_Data!J1848</f>
        <v>Anchorage</v>
      </c>
      <c r="K1849" t="str">
        <f>Raw_Claims_Data!K1848</f>
        <v>AK</v>
      </c>
      <c r="L1849">
        <f>Raw_Claims_Data!L1848</f>
        <v>8</v>
      </c>
      <c r="M1849" t="str">
        <f>IF(Raw_Claims_Data!M1848="","N/A",Raw_Claims_Data!M1848)</f>
        <v>N/A</v>
      </c>
      <c r="N1849" t="str">
        <f>Raw_Claims_Data!N1848</f>
        <v>AGENT00972</v>
      </c>
      <c r="O1849">
        <f>IF(Raw_Claims_Data!G1848="D",1,0)</f>
        <v>0</v>
      </c>
    </row>
    <row r="1850" spans="1:15" x14ac:dyDescent="0.35">
      <c r="A1850" t="str">
        <f>Raw_Claims_Data!A1849</f>
        <v>TXN00001846</v>
      </c>
      <c r="B1850" t="str">
        <f>TRIM(Raw_Claims_Data!B1849)</f>
        <v>Jeanne Shirley</v>
      </c>
      <c r="C1850" t="str">
        <f>Raw_Claims_Data!C1849</f>
        <v>Travel</v>
      </c>
      <c r="D1850">
        <f>Raw_Claims_Data!D1849</f>
        <v>73.13</v>
      </c>
      <c r="E1850">
        <f>Raw_Claims_Data!E1849</f>
        <v>2000</v>
      </c>
      <c r="F1850" t="str">
        <f>Raw_Claims_Data!F1849</f>
        <v>MA</v>
      </c>
      <c r="G1850" t="str">
        <f>Raw_Claims_Data!G1849</f>
        <v>A</v>
      </c>
      <c r="H1850" t="str">
        <f>Raw_Claims_Data!H1849</f>
        <v>Total Loss</v>
      </c>
      <c r="I1850" t="str">
        <f>IF(Raw_Claims_Data!I1849="","None",Raw_Claims_Data!I1849)</f>
        <v>Police</v>
      </c>
      <c r="J1850" t="str">
        <f>Raw_Claims_Data!J1849</f>
        <v>Oklahoma City</v>
      </c>
      <c r="K1850" t="str">
        <f>Raw_Claims_Data!K1849</f>
        <v>OK</v>
      </c>
      <c r="L1850">
        <f>Raw_Claims_Data!L1849</f>
        <v>5</v>
      </c>
      <c r="M1850" t="str">
        <f>IF(Raw_Claims_Data!M1849="","N/A",Raw_Claims_Data!M1849)</f>
        <v>VNDR00339</v>
      </c>
      <c r="N1850" t="str">
        <f>Raw_Claims_Data!N1849</f>
        <v>AGENT01146</v>
      </c>
      <c r="O1850">
        <f>IF(Raw_Claims_Data!G1849="D",1,0)</f>
        <v>0</v>
      </c>
    </row>
    <row r="1851" spans="1:15" x14ac:dyDescent="0.35">
      <c r="A1851" t="str">
        <f>Raw_Claims_Data!A1850</f>
        <v>TXN00001847</v>
      </c>
      <c r="B1851" t="str">
        <f>TRIM(Raw_Claims_Data!B1850)</f>
        <v>Jennifer Flynn</v>
      </c>
      <c r="C1851" t="str">
        <f>Raw_Claims_Data!C1850</f>
        <v>Mobile</v>
      </c>
      <c r="D1851">
        <f>Raw_Claims_Data!D1850</f>
        <v>7.09</v>
      </c>
      <c r="E1851">
        <f>Raw_Claims_Data!E1850</f>
        <v>400</v>
      </c>
      <c r="F1851" t="str">
        <f>Raw_Claims_Data!F1850</f>
        <v>CA</v>
      </c>
      <c r="G1851" t="str">
        <f>Raw_Claims_Data!G1850</f>
        <v>A</v>
      </c>
      <c r="H1851" t="str">
        <f>Raw_Claims_Data!H1850</f>
        <v>Major Loss</v>
      </c>
      <c r="I1851" t="str">
        <f>IF(Raw_Claims_Data!I1850="","None",Raw_Claims_Data!I1850)</f>
        <v>None</v>
      </c>
      <c r="J1851" t="str">
        <f>Raw_Claims_Data!J1850</f>
        <v>Berkeley</v>
      </c>
      <c r="K1851" t="str">
        <f>Raw_Claims_Data!K1850</f>
        <v>CA</v>
      </c>
      <c r="L1851">
        <f>Raw_Claims_Data!L1850</f>
        <v>2</v>
      </c>
      <c r="M1851" t="str">
        <f>IF(Raw_Claims_Data!M1850="","N/A",Raw_Claims_Data!M1850)</f>
        <v>VNDR00385</v>
      </c>
      <c r="N1851" t="str">
        <f>Raw_Claims_Data!N1850</f>
        <v>AGENT00795</v>
      </c>
      <c r="O1851">
        <f>IF(Raw_Claims_Data!G1850="D",1,0)</f>
        <v>0</v>
      </c>
    </row>
    <row r="1852" spans="1:15" x14ac:dyDescent="0.35">
      <c r="A1852" t="str">
        <f>Raw_Claims_Data!A1851</f>
        <v>TXN00001848</v>
      </c>
      <c r="B1852" t="str">
        <f>TRIM(Raw_Claims_Data!B1851)</f>
        <v>Wayne Kelley</v>
      </c>
      <c r="C1852" t="str">
        <f>Raw_Claims_Data!C1851</f>
        <v>Mobile</v>
      </c>
      <c r="D1852">
        <f>Raw_Claims_Data!D1851</f>
        <v>7.5</v>
      </c>
      <c r="E1852">
        <f>Raw_Claims_Data!E1851</f>
        <v>600</v>
      </c>
      <c r="F1852" t="str">
        <f>Raw_Claims_Data!F1851</f>
        <v>TN</v>
      </c>
      <c r="G1852" t="str">
        <f>Raw_Claims_Data!G1851</f>
        <v>A</v>
      </c>
      <c r="H1852" t="str">
        <f>Raw_Claims_Data!H1851</f>
        <v>Major Loss</v>
      </c>
      <c r="I1852" t="str">
        <f>IF(Raw_Claims_Data!I1851="","None",Raw_Claims_Data!I1851)</f>
        <v>Ambulance</v>
      </c>
      <c r="J1852" t="str">
        <f>Raw_Claims_Data!J1851</f>
        <v>Oklahoma City</v>
      </c>
      <c r="K1852" t="str">
        <f>Raw_Claims_Data!K1851</f>
        <v>OK</v>
      </c>
      <c r="L1852">
        <f>Raw_Claims_Data!L1851</f>
        <v>8</v>
      </c>
      <c r="M1852" t="str">
        <f>IF(Raw_Claims_Data!M1851="","N/A",Raw_Claims_Data!M1851)</f>
        <v>VNDR00283</v>
      </c>
      <c r="N1852" t="str">
        <f>Raw_Claims_Data!N1851</f>
        <v>AGENT00599</v>
      </c>
      <c r="O1852">
        <f>IF(Raw_Claims_Data!G1851="D",1,0)</f>
        <v>0</v>
      </c>
    </row>
    <row r="1853" spans="1:15" x14ac:dyDescent="0.35">
      <c r="A1853" t="str">
        <f>Raw_Claims_Data!A1852</f>
        <v>TXN00001849</v>
      </c>
      <c r="B1853" t="str">
        <f>TRIM(Raw_Claims_Data!B1852)</f>
        <v>Zola Chowenhill</v>
      </c>
      <c r="C1853" t="str">
        <f>Raw_Claims_Data!C1852</f>
        <v>Health</v>
      </c>
      <c r="D1853">
        <f>Raw_Claims_Data!D1852</f>
        <v>125.33</v>
      </c>
      <c r="E1853">
        <f>Raw_Claims_Data!E1852</f>
        <v>6000</v>
      </c>
      <c r="F1853" t="str">
        <f>Raw_Claims_Data!F1852</f>
        <v>CT</v>
      </c>
      <c r="G1853" t="str">
        <f>Raw_Claims_Data!G1852</f>
        <v>D</v>
      </c>
      <c r="H1853" t="str">
        <f>Raw_Claims_Data!H1852</f>
        <v>Total Loss</v>
      </c>
      <c r="I1853" t="str">
        <f>IF(Raw_Claims_Data!I1852="","None",Raw_Claims_Data!I1852)</f>
        <v>Police</v>
      </c>
      <c r="J1853" t="str">
        <f>Raw_Claims_Data!J1852</f>
        <v>Arvada</v>
      </c>
      <c r="K1853" t="str">
        <f>Raw_Claims_Data!K1852</f>
        <v>CO</v>
      </c>
      <c r="L1853">
        <f>Raw_Claims_Data!L1852</f>
        <v>21</v>
      </c>
      <c r="M1853" t="str">
        <f>IF(Raw_Claims_Data!M1852="","N/A",Raw_Claims_Data!M1852)</f>
        <v>N/A</v>
      </c>
      <c r="N1853" t="str">
        <f>Raw_Claims_Data!N1852</f>
        <v>AGENT00318</v>
      </c>
      <c r="O1853">
        <f>IF(Raw_Claims_Data!G1852="D",1,0)</f>
        <v>1</v>
      </c>
    </row>
    <row r="1854" spans="1:15" x14ac:dyDescent="0.35">
      <c r="A1854" t="str">
        <f>Raw_Claims_Data!A1853</f>
        <v>TXN00001850</v>
      </c>
      <c r="B1854" t="str">
        <f>TRIM(Raw_Claims_Data!B1853)</f>
        <v>Carol Gravel</v>
      </c>
      <c r="C1854" t="str">
        <f>Raw_Claims_Data!C1853</f>
        <v>Property</v>
      </c>
      <c r="D1854">
        <f>Raw_Claims_Data!D1853</f>
        <v>126.26</v>
      </c>
      <c r="E1854">
        <f>Raw_Claims_Data!E1853</f>
        <v>29000</v>
      </c>
      <c r="F1854" t="str">
        <f>Raw_Claims_Data!F1853</f>
        <v>VT</v>
      </c>
      <c r="G1854" t="str">
        <f>Raw_Claims_Data!G1853</f>
        <v>D</v>
      </c>
      <c r="H1854" t="str">
        <f>Raw_Claims_Data!H1853</f>
        <v>Total Loss</v>
      </c>
      <c r="I1854" t="str">
        <f>IF(Raw_Claims_Data!I1853="","None",Raw_Claims_Data!I1853)</f>
        <v>Police</v>
      </c>
      <c r="J1854" t="str">
        <f>Raw_Claims_Data!J1853</f>
        <v>Montgomery</v>
      </c>
      <c r="K1854" t="str">
        <f>Raw_Claims_Data!K1853</f>
        <v>AL</v>
      </c>
      <c r="L1854">
        <f>Raw_Claims_Data!L1853</f>
        <v>19</v>
      </c>
      <c r="M1854" t="str">
        <f>IF(Raw_Claims_Data!M1853="","N/A",Raw_Claims_Data!M1853)</f>
        <v>N/A</v>
      </c>
      <c r="N1854" t="str">
        <f>Raw_Claims_Data!N1853</f>
        <v>AGENT00387</v>
      </c>
      <c r="O1854">
        <f>IF(Raw_Claims_Data!G1853="D",1,0)</f>
        <v>1</v>
      </c>
    </row>
    <row r="1855" spans="1:15" x14ac:dyDescent="0.35">
      <c r="A1855" t="str">
        <f>Raw_Claims_Data!A1854</f>
        <v>TXN00001851</v>
      </c>
      <c r="B1855" t="str">
        <f>TRIM(Raw_Claims_Data!B1854)</f>
        <v>Robert Franciscus</v>
      </c>
      <c r="C1855" t="str">
        <f>Raw_Claims_Data!C1854</f>
        <v>Travel</v>
      </c>
      <c r="D1855">
        <f>Raw_Claims_Data!D1854</f>
        <v>99.66</v>
      </c>
      <c r="E1855">
        <f>Raw_Claims_Data!E1854</f>
        <v>3000</v>
      </c>
      <c r="F1855" t="str">
        <f>Raw_Claims_Data!F1854</f>
        <v>KY</v>
      </c>
      <c r="G1855" t="str">
        <f>Raw_Claims_Data!G1854</f>
        <v>A</v>
      </c>
      <c r="H1855" t="str">
        <f>Raw_Claims_Data!H1854</f>
        <v>Total Loss</v>
      </c>
      <c r="I1855" t="str">
        <f>IF(Raw_Claims_Data!I1854="","None",Raw_Claims_Data!I1854)</f>
        <v>Ambulance</v>
      </c>
      <c r="J1855" t="str">
        <f>Raw_Claims_Data!J1854</f>
        <v>Glendale</v>
      </c>
      <c r="K1855" t="str">
        <f>Raw_Claims_Data!K1854</f>
        <v>AZ</v>
      </c>
      <c r="L1855">
        <f>Raw_Claims_Data!L1854</f>
        <v>5</v>
      </c>
      <c r="M1855" t="str">
        <f>IF(Raw_Claims_Data!M1854="","N/A",Raw_Claims_Data!M1854)</f>
        <v>N/A</v>
      </c>
      <c r="N1855" t="str">
        <f>Raw_Claims_Data!N1854</f>
        <v>AGENT00225</v>
      </c>
      <c r="O1855">
        <f>IF(Raw_Claims_Data!G1854="D",1,0)</f>
        <v>0</v>
      </c>
    </row>
    <row r="1856" spans="1:15" x14ac:dyDescent="0.35">
      <c r="A1856" t="str">
        <f>Raw_Claims_Data!A1855</f>
        <v>TXN00001852</v>
      </c>
      <c r="B1856" t="str">
        <f>TRIM(Raw_Claims_Data!B1855)</f>
        <v>Alisha Sullivan</v>
      </c>
      <c r="C1856" t="str">
        <f>Raw_Claims_Data!C1855</f>
        <v>Health</v>
      </c>
      <c r="D1856">
        <f>Raw_Claims_Data!D1855</f>
        <v>143.22</v>
      </c>
      <c r="E1856">
        <f>Raw_Claims_Data!E1855</f>
        <v>19000</v>
      </c>
      <c r="F1856" t="str">
        <f>Raw_Claims_Data!F1855</f>
        <v>CA</v>
      </c>
      <c r="G1856" t="str">
        <f>Raw_Claims_Data!G1855</f>
        <v>A</v>
      </c>
      <c r="H1856" t="str">
        <f>Raw_Claims_Data!H1855</f>
        <v>Major Loss</v>
      </c>
      <c r="I1856" t="str">
        <f>IF(Raw_Claims_Data!I1855="","None",Raw_Claims_Data!I1855)</f>
        <v>Ambulance</v>
      </c>
      <c r="J1856" t="str">
        <f>Raw_Claims_Data!J1855</f>
        <v>Panama City</v>
      </c>
      <c r="K1856" t="str">
        <f>Raw_Claims_Data!K1855</f>
        <v>FL</v>
      </c>
      <c r="L1856">
        <f>Raw_Claims_Data!L1855</f>
        <v>11</v>
      </c>
      <c r="M1856" t="str">
        <f>IF(Raw_Claims_Data!M1855="","N/A",Raw_Claims_Data!M1855)</f>
        <v>VNDR00114</v>
      </c>
      <c r="N1856" t="str">
        <f>Raw_Claims_Data!N1855</f>
        <v>AGENT00398</v>
      </c>
      <c r="O1856">
        <f>IF(Raw_Claims_Data!G1855="D",1,0)</f>
        <v>0</v>
      </c>
    </row>
    <row r="1857" spans="1:15" x14ac:dyDescent="0.35">
      <c r="A1857" t="str">
        <f>Raw_Claims_Data!A1856</f>
        <v>TXN00001853</v>
      </c>
      <c r="B1857" t="str">
        <f>TRIM(Raw_Claims_Data!B1856)</f>
        <v>Sybil Lozon</v>
      </c>
      <c r="C1857" t="str">
        <f>Raw_Claims_Data!C1856</f>
        <v>Mobile</v>
      </c>
      <c r="D1857">
        <f>Raw_Claims_Data!D1856</f>
        <v>8.58</v>
      </c>
      <c r="E1857">
        <f>Raw_Claims_Data!E1856</f>
        <v>100</v>
      </c>
      <c r="F1857" t="str">
        <f>Raw_Claims_Data!F1856</f>
        <v>FL</v>
      </c>
      <c r="G1857" t="str">
        <f>Raw_Claims_Data!G1856</f>
        <v>A</v>
      </c>
      <c r="H1857" t="str">
        <f>Raw_Claims_Data!H1856</f>
        <v>Major Loss</v>
      </c>
      <c r="I1857" t="str">
        <f>IF(Raw_Claims_Data!I1856="","None",Raw_Claims_Data!I1856)</f>
        <v>Police</v>
      </c>
      <c r="J1857" t="str">
        <f>Raw_Claims_Data!J1856</f>
        <v>Glendale</v>
      </c>
      <c r="K1857" t="str">
        <f>Raw_Claims_Data!K1856</f>
        <v>AZ</v>
      </c>
      <c r="L1857">
        <f>Raw_Claims_Data!L1856</f>
        <v>17</v>
      </c>
      <c r="M1857" t="str">
        <f>IF(Raw_Claims_Data!M1856="","N/A",Raw_Claims_Data!M1856)</f>
        <v>VNDR00204</v>
      </c>
      <c r="N1857" t="str">
        <f>Raw_Claims_Data!N1856</f>
        <v>AGENT01064</v>
      </c>
      <c r="O1857">
        <f>IF(Raw_Claims_Data!G1856="D",1,0)</f>
        <v>0</v>
      </c>
    </row>
    <row r="1858" spans="1:15" x14ac:dyDescent="0.35">
      <c r="A1858" t="str">
        <f>Raw_Claims_Data!A1857</f>
        <v>TXN00001854</v>
      </c>
      <c r="B1858" t="str">
        <f>TRIM(Raw_Claims_Data!B1857)</f>
        <v>Charles Gaines</v>
      </c>
      <c r="C1858" t="str">
        <f>Raw_Claims_Data!C1857</f>
        <v>Travel</v>
      </c>
      <c r="D1858">
        <f>Raw_Claims_Data!D1857</f>
        <v>73.459999999999994</v>
      </c>
      <c r="E1858">
        <f>Raw_Claims_Data!E1857</f>
        <v>5000</v>
      </c>
      <c r="F1858" t="str">
        <f>Raw_Claims_Data!F1857</f>
        <v>AZ</v>
      </c>
      <c r="G1858" t="str">
        <f>Raw_Claims_Data!G1857</f>
        <v>A</v>
      </c>
      <c r="H1858" t="str">
        <f>Raw_Claims_Data!H1857</f>
        <v>Total Loss</v>
      </c>
      <c r="I1858" t="str">
        <f>IF(Raw_Claims_Data!I1857="","None",Raw_Claims_Data!I1857)</f>
        <v>Ambulance</v>
      </c>
      <c r="J1858" t="str">
        <f>Raw_Claims_Data!J1857</f>
        <v>Fremont</v>
      </c>
      <c r="K1858" t="str">
        <f>Raw_Claims_Data!K1857</f>
        <v>CA</v>
      </c>
      <c r="L1858">
        <f>Raw_Claims_Data!L1857</f>
        <v>23</v>
      </c>
      <c r="M1858" t="str">
        <f>IF(Raw_Claims_Data!M1857="","N/A",Raw_Claims_Data!M1857)</f>
        <v>VNDR00486</v>
      </c>
      <c r="N1858" t="str">
        <f>Raw_Claims_Data!N1857</f>
        <v>AGENT00919</v>
      </c>
      <c r="O1858">
        <f>IF(Raw_Claims_Data!G1857="D",1,0)</f>
        <v>0</v>
      </c>
    </row>
    <row r="1859" spans="1:15" x14ac:dyDescent="0.35">
      <c r="A1859" t="str">
        <f>Raw_Claims_Data!A1858</f>
        <v>TXN00001855</v>
      </c>
      <c r="B1859" t="str">
        <f>TRIM(Raw_Claims_Data!B1858)</f>
        <v>Jay Salley</v>
      </c>
      <c r="C1859" t="str">
        <f>Raw_Claims_Data!C1858</f>
        <v>Life</v>
      </c>
      <c r="D1859">
        <f>Raw_Claims_Data!D1858</f>
        <v>91.94</v>
      </c>
      <c r="E1859">
        <f>Raw_Claims_Data!E1858</f>
        <v>46000</v>
      </c>
      <c r="F1859" t="str">
        <f>Raw_Claims_Data!F1858</f>
        <v>CT</v>
      </c>
      <c r="G1859" t="str">
        <f>Raw_Claims_Data!G1858</f>
        <v>A</v>
      </c>
      <c r="H1859" t="str">
        <f>Raw_Claims_Data!H1858</f>
        <v>Major Loss</v>
      </c>
      <c r="I1859" t="str">
        <f>IF(Raw_Claims_Data!I1858="","None",Raw_Claims_Data!I1858)</f>
        <v>Ambulance</v>
      </c>
      <c r="J1859" t="str">
        <f>Raw_Claims_Data!J1858</f>
        <v>Panama City</v>
      </c>
      <c r="K1859" t="str">
        <f>Raw_Claims_Data!K1858</f>
        <v>FL</v>
      </c>
      <c r="L1859">
        <f>Raw_Claims_Data!L1858</f>
        <v>8</v>
      </c>
      <c r="M1859" t="str">
        <f>IF(Raw_Claims_Data!M1858="","N/A",Raw_Claims_Data!M1858)</f>
        <v>N/A</v>
      </c>
      <c r="N1859" t="str">
        <f>Raw_Claims_Data!N1858</f>
        <v>AGENT00977</v>
      </c>
      <c r="O1859">
        <f>IF(Raw_Claims_Data!G1858="D",1,0)</f>
        <v>0</v>
      </c>
    </row>
    <row r="1860" spans="1:15" x14ac:dyDescent="0.35">
      <c r="A1860" t="str">
        <f>Raw_Claims_Data!A1859</f>
        <v>TXN00001856</v>
      </c>
      <c r="B1860" t="str">
        <f>TRIM(Raw_Claims_Data!B1859)</f>
        <v>Robert Drake</v>
      </c>
      <c r="C1860" t="str">
        <f>Raw_Claims_Data!C1859</f>
        <v>Health</v>
      </c>
      <c r="D1860">
        <f>Raw_Claims_Data!D1859</f>
        <v>191.86</v>
      </c>
      <c r="E1860">
        <f>Raw_Claims_Data!E1859</f>
        <v>18000</v>
      </c>
      <c r="F1860" t="str">
        <f>Raw_Claims_Data!F1859</f>
        <v>CT</v>
      </c>
      <c r="G1860" t="str">
        <f>Raw_Claims_Data!G1859</f>
        <v>A</v>
      </c>
      <c r="H1860" t="str">
        <f>Raw_Claims_Data!H1859</f>
        <v>Total Loss</v>
      </c>
      <c r="I1860" t="str">
        <f>IF(Raw_Claims_Data!I1859="","None",Raw_Claims_Data!I1859)</f>
        <v>None</v>
      </c>
      <c r="J1860" t="str">
        <f>Raw_Claims_Data!J1859</f>
        <v>Nashville</v>
      </c>
      <c r="K1860" t="str">
        <f>Raw_Claims_Data!K1859</f>
        <v>TN</v>
      </c>
      <c r="L1860">
        <f>Raw_Claims_Data!L1859</f>
        <v>21</v>
      </c>
      <c r="M1860" t="str">
        <f>IF(Raw_Claims_Data!M1859="","N/A",Raw_Claims_Data!M1859)</f>
        <v>N/A</v>
      </c>
      <c r="N1860" t="str">
        <f>Raw_Claims_Data!N1859</f>
        <v>AGENT01198</v>
      </c>
      <c r="O1860">
        <f>IF(Raw_Claims_Data!G1859="D",1,0)</f>
        <v>0</v>
      </c>
    </row>
    <row r="1861" spans="1:15" x14ac:dyDescent="0.35">
      <c r="A1861" t="str">
        <f>Raw_Claims_Data!A1860</f>
        <v>TXN00001857</v>
      </c>
      <c r="B1861" t="str">
        <f>TRIM(Raw_Claims_Data!B1860)</f>
        <v>Timothy Fitzpatrick</v>
      </c>
      <c r="C1861" t="str">
        <f>Raw_Claims_Data!C1860</f>
        <v>Motor</v>
      </c>
      <c r="D1861">
        <f>Raw_Claims_Data!D1860</f>
        <v>118.25</v>
      </c>
      <c r="E1861">
        <f>Raw_Claims_Data!E1860</f>
        <v>1000</v>
      </c>
      <c r="F1861" t="str">
        <f>Raw_Claims_Data!F1860</f>
        <v>AK</v>
      </c>
      <c r="G1861" t="str">
        <f>Raw_Claims_Data!G1860</f>
        <v>A</v>
      </c>
      <c r="H1861" t="str">
        <f>Raw_Claims_Data!H1860</f>
        <v>Major Loss</v>
      </c>
      <c r="I1861" t="str">
        <f>IF(Raw_Claims_Data!I1860="","None",Raw_Claims_Data!I1860)</f>
        <v>Ambulance</v>
      </c>
      <c r="J1861" t="str">
        <f>Raw_Claims_Data!J1860</f>
        <v>Anchorage</v>
      </c>
      <c r="K1861" t="str">
        <f>Raw_Claims_Data!K1860</f>
        <v>AK</v>
      </c>
      <c r="L1861">
        <f>Raw_Claims_Data!L1860</f>
        <v>15</v>
      </c>
      <c r="M1861" t="str">
        <f>IF(Raw_Claims_Data!M1860="","N/A",Raw_Claims_Data!M1860)</f>
        <v>VNDR00239</v>
      </c>
      <c r="N1861" t="str">
        <f>Raw_Claims_Data!N1860</f>
        <v>AGENT01136</v>
      </c>
      <c r="O1861">
        <f>IF(Raw_Claims_Data!G1860="D",1,0)</f>
        <v>0</v>
      </c>
    </row>
    <row r="1862" spans="1:15" x14ac:dyDescent="0.35">
      <c r="A1862" t="str">
        <f>Raw_Claims_Data!A1861</f>
        <v>TXN00001858</v>
      </c>
      <c r="B1862" t="str">
        <f>TRIM(Raw_Claims_Data!B1861)</f>
        <v>Richard Barber</v>
      </c>
      <c r="C1862" t="str">
        <f>Raw_Claims_Data!C1861</f>
        <v>Mobile</v>
      </c>
      <c r="D1862">
        <f>Raw_Claims_Data!D1861</f>
        <v>11.19</v>
      </c>
      <c r="E1862">
        <f>Raw_Claims_Data!E1861</f>
        <v>100</v>
      </c>
      <c r="F1862" t="str">
        <f>Raw_Claims_Data!F1861</f>
        <v>CA</v>
      </c>
      <c r="G1862" t="str">
        <f>Raw_Claims_Data!G1861</f>
        <v>A</v>
      </c>
      <c r="H1862" t="str">
        <f>Raw_Claims_Data!H1861</f>
        <v>Total Loss</v>
      </c>
      <c r="I1862" t="str">
        <f>IF(Raw_Claims_Data!I1861="","None",Raw_Claims_Data!I1861)</f>
        <v>Ambulance</v>
      </c>
      <c r="J1862" t="str">
        <f>Raw_Claims_Data!J1861</f>
        <v>Glendale</v>
      </c>
      <c r="K1862" t="str">
        <f>Raw_Claims_Data!K1861</f>
        <v>AZ</v>
      </c>
      <c r="L1862">
        <f>Raw_Claims_Data!L1861</f>
        <v>16</v>
      </c>
      <c r="M1862" t="str">
        <f>IF(Raw_Claims_Data!M1861="","N/A",Raw_Claims_Data!M1861)</f>
        <v>N/A</v>
      </c>
      <c r="N1862" t="str">
        <f>Raw_Claims_Data!N1861</f>
        <v>AGENT00358</v>
      </c>
      <c r="O1862">
        <f>IF(Raw_Claims_Data!G1861="D",1,0)</f>
        <v>0</v>
      </c>
    </row>
    <row r="1863" spans="1:15" x14ac:dyDescent="0.35">
      <c r="A1863" t="str">
        <f>Raw_Claims_Data!A1862</f>
        <v>TXN00001859</v>
      </c>
      <c r="B1863" t="str">
        <f>TRIM(Raw_Claims_Data!B1862)</f>
        <v>Anthony Ayala</v>
      </c>
      <c r="C1863" t="str">
        <f>Raw_Claims_Data!C1862</f>
        <v>Motor</v>
      </c>
      <c r="D1863">
        <f>Raw_Claims_Data!D1862</f>
        <v>134.28</v>
      </c>
      <c r="E1863">
        <f>Raw_Claims_Data!E1862</f>
        <v>2000</v>
      </c>
      <c r="F1863" t="str">
        <f>Raw_Claims_Data!F1862</f>
        <v>CA</v>
      </c>
      <c r="G1863" t="str">
        <f>Raw_Claims_Data!G1862</f>
        <v>A</v>
      </c>
      <c r="H1863" t="str">
        <f>Raw_Claims_Data!H1862</f>
        <v>Major Loss</v>
      </c>
      <c r="I1863" t="str">
        <f>IF(Raw_Claims_Data!I1862="","None",Raw_Claims_Data!I1862)</f>
        <v>Ambulance</v>
      </c>
      <c r="J1863" t="str">
        <f>Raw_Claims_Data!J1862</f>
        <v>Anchorage</v>
      </c>
      <c r="K1863" t="str">
        <f>Raw_Claims_Data!K1862</f>
        <v>AK</v>
      </c>
      <c r="L1863">
        <f>Raw_Claims_Data!L1862</f>
        <v>20</v>
      </c>
      <c r="M1863" t="str">
        <f>IF(Raw_Claims_Data!M1862="","N/A",Raw_Claims_Data!M1862)</f>
        <v>N/A</v>
      </c>
      <c r="N1863" t="str">
        <f>Raw_Claims_Data!N1862</f>
        <v>AGENT00903</v>
      </c>
      <c r="O1863">
        <f>IF(Raw_Claims_Data!G1862="D",1,0)</f>
        <v>0</v>
      </c>
    </row>
    <row r="1864" spans="1:15" x14ac:dyDescent="0.35">
      <c r="A1864" t="str">
        <f>Raw_Claims_Data!A1863</f>
        <v>TXN00001860</v>
      </c>
      <c r="B1864" t="str">
        <f>TRIM(Raw_Claims_Data!B1863)</f>
        <v>Julie Hood</v>
      </c>
      <c r="C1864" t="str">
        <f>Raw_Claims_Data!C1863</f>
        <v>Mobile</v>
      </c>
      <c r="D1864">
        <f>Raw_Claims_Data!D1863</f>
        <v>7.25</v>
      </c>
      <c r="E1864">
        <f>Raw_Claims_Data!E1863</f>
        <v>600</v>
      </c>
      <c r="F1864" t="str">
        <f>Raw_Claims_Data!F1863</f>
        <v>OK</v>
      </c>
      <c r="G1864" t="str">
        <f>Raw_Claims_Data!G1863</f>
        <v>A</v>
      </c>
      <c r="H1864" t="str">
        <f>Raw_Claims_Data!H1863</f>
        <v>Major Loss</v>
      </c>
      <c r="I1864" t="str">
        <f>IF(Raw_Claims_Data!I1863="","None",Raw_Claims_Data!I1863)</f>
        <v>Police</v>
      </c>
      <c r="J1864" t="str">
        <f>Raw_Claims_Data!J1863</f>
        <v>Santa Clara</v>
      </c>
      <c r="K1864" t="str">
        <f>Raw_Claims_Data!K1863</f>
        <v>CA</v>
      </c>
      <c r="L1864">
        <f>Raw_Claims_Data!L1863</f>
        <v>15</v>
      </c>
      <c r="M1864" t="str">
        <f>IF(Raw_Claims_Data!M1863="","N/A",Raw_Claims_Data!M1863)</f>
        <v>VNDR00348</v>
      </c>
      <c r="N1864" t="str">
        <f>Raw_Claims_Data!N1863</f>
        <v>AGENT00576</v>
      </c>
      <c r="O1864">
        <f>IF(Raw_Claims_Data!G1863="D",1,0)</f>
        <v>0</v>
      </c>
    </row>
    <row r="1865" spans="1:15" x14ac:dyDescent="0.35">
      <c r="A1865" t="str">
        <f>Raw_Claims_Data!A1864</f>
        <v>TXN00001861</v>
      </c>
      <c r="B1865" t="str">
        <f>TRIM(Raw_Claims_Data!B1864)</f>
        <v>Matthew Clayton</v>
      </c>
      <c r="C1865" t="str">
        <f>Raw_Claims_Data!C1864</f>
        <v>Motor</v>
      </c>
      <c r="D1865">
        <f>Raw_Claims_Data!D1864</f>
        <v>109.4</v>
      </c>
      <c r="E1865">
        <f>Raw_Claims_Data!E1864</f>
        <v>8000</v>
      </c>
      <c r="F1865" t="str">
        <f>Raw_Claims_Data!F1864</f>
        <v>MA</v>
      </c>
      <c r="G1865" t="str">
        <f>Raw_Claims_Data!G1864</f>
        <v>A</v>
      </c>
      <c r="H1865" t="str">
        <f>Raw_Claims_Data!H1864</f>
        <v>Total Loss</v>
      </c>
      <c r="I1865" t="str">
        <f>IF(Raw_Claims_Data!I1864="","None",Raw_Claims_Data!I1864)</f>
        <v>Police</v>
      </c>
      <c r="J1865" t="str">
        <f>Raw_Claims_Data!J1864</f>
        <v>Brockton</v>
      </c>
      <c r="K1865" t="str">
        <f>Raw_Claims_Data!K1864</f>
        <v>MA</v>
      </c>
      <c r="L1865">
        <f>Raw_Claims_Data!L1864</f>
        <v>14</v>
      </c>
      <c r="M1865" t="str">
        <f>IF(Raw_Claims_Data!M1864="","N/A",Raw_Claims_Data!M1864)</f>
        <v>VNDR00544</v>
      </c>
      <c r="N1865" t="str">
        <f>Raw_Claims_Data!N1864</f>
        <v>AGENT00639</v>
      </c>
      <c r="O1865">
        <f>IF(Raw_Claims_Data!G1864="D",1,0)</f>
        <v>0</v>
      </c>
    </row>
    <row r="1866" spans="1:15" x14ac:dyDescent="0.35">
      <c r="A1866" t="str">
        <f>Raw_Claims_Data!A1865</f>
        <v>TXN00001862</v>
      </c>
      <c r="B1866" t="str">
        <f>TRIM(Raw_Claims_Data!B1865)</f>
        <v>Gordon Davis</v>
      </c>
      <c r="C1866" t="str">
        <f>Raw_Claims_Data!C1865</f>
        <v>Property</v>
      </c>
      <c r="D1866">
        <f>Raw_Claims_Data!D1865</f>
        <v>127.18</v>
      </c>
      <c r="E1866">
        <f>Raw_Claims_Data!E1865</f>
        <v>27000</v>
      </c>
      <c r="F1866" t="str">
        <f>Raw_Claims_Data!F1865</f>
        <v>CO</v>
      </c>
      <c r="G1866" t="str">
        <f>Raw_Claims_Data!G1865</f>
        <v>A</v>
      </c>
      <c r="H1866" t="str">
        <f>Raw_Claims_Data!H1865</f>
        <v>Major Loss</v>
      </c>
      <c r="I1866" t="str">
        <f>IF(Raw_Claims_Data!I1865="","None",Raw_Claims_Data!I1865)</f>
        <v>Police</v>
      </c>
      <c r="J1866" t="str">
        <f>Raw_Claims_Data!J1865</f>
        <v>Fayetteville</v>
      </c>
      <c r="K1866" t="str">
        <f>Raw_Claims_Data!K1865</f>
        <v>AR</v>
      </c>
      <c r="L1866">
        <f>Raw_Claims_Data!L1865</f>
        <v>5</v>
      </c>
      <c r="M1866" t="str">
        <f>IF(Raw_Claims_Data!M1865="","N/A",Raw_Claims_Data!M1865)</f>
        <v>VNDR00344</v>
      </c>
      <c r="N1866" t="str">
        <f>Raw_Claims_Data!N1865</f>
        <v>AGENT00722</v>
      </c>
      <c r="O1866">
        <f>IF(Raw_Claims_Data!G1865="D",1,0)</f>
        <v>0</v>
      </c>
    </row>
    <row r="1867" spans="1:15" x14ac:dyDescent="0.35">
      <c r="A1867" t="str">
        <f>Raw_Claims_Data!A1866</f>
        <v>TXN00001863</v>
      </c>
      <c r="B1867" t="str">
        <f>TRIM(Raw_Claims_Data!B1866)</f>
        <v>Lucia Santorelli</v>
      </c>
      <c r="C1867" t="str">
        <f>Raw_Claims_Data!C1866</f>
        <v>Travel</v>
      </c>
      <c r="D1867">
        <f>Raw_Claims_Data!D1866</f>
        <v>68.92</v>
      </c>
      <c r="E1867">
        <f>Raw_Claims_Data!E1866</f>
        <v>5000</v>
      </c>
      <c r="F1867" t="str">
        <f>Raw_Claims_Data!F1866</f>
        <v>AK</v>
      </c>
      <c r="G1867" t="str">
        <f>Raw_Claims_Data!G1866</f>
        <v>A</v>
      </c>
      <c r="H1867" t="str">
        <f>Raw_Claims_Data!H1866</f>
        <v>Major Loss</v>
      </c>
      <c r="I1867" t="str">
        <f>IF(Raw_Claims_Data!I1866="","None",Raw_Claims_Data!I1866)</f>
        <v>Ambulance</v>
      </c>
      <c r="J1867" t="str">
        <f>Raw_Claims_Data!J1866</f>
        <v>Glendale</v>
      </c>
      <c r="K1867" t="str">
        <f>Raw_Claims_Data!K1866</f>
        <v>AZ</v>
      </c>
      <c r="L1867">
        <f>Raw_Claims_Data!L1866</f>
        <v>7</v>
      </c>
      <c r="M1867" t="str">
        <f>IF(Raw_Claims_Data!M1866="","N/A",Raw_Claims_Data!M1866)</f>
        <v>VNDR00261</v>
      </c>
      <c r="N1867" t="str">
        <f>Raw_Claims_Data!N1866</f>
        <v>AGENT01092</v>
      </c>
      <c r="O1867">
        <f>IF(Raw_Claims_Data!G1866="D",1,0)</f>
        <v>0</v>
      </c>
    </row>
    <row r="1868" spans="1:15" x14ac:dyDescent="0.35">
      <c r="A1868" t="str">
        <f>Raw_Claims_Data!A1867</f>
        <v>TXN00001864</v>
      </c>
      <c r="B1868" t="str">
        <f>TRIM(Raw_Claims_Data!B1867)</f>
        <v>Donna Baines</v>
      </c>
      <c r="C1868" t="str">
        <f>Raw_Claims_Data!C1867</f>
        <v>Travel</v>
      </c>
      <c r="D1868">
        <f>Raw_Claims_Data!D1867</f>
        <v>70.400000000000006</v>
      </c>
      <c r="E1868">
        <f>Raw_Claims_Data!E1867</f>
        <v>1000</v>
      </c>
      <c r="F1868" t="str">
        <f>Raw_Claims_Data!F1867</f>
        <v>AK</v>
      </c>
      <c r="G1868" t="str">
        <f>Raw_Claims_Data!G1867</f>
        <v>A</v>
      </c>
      <c r="H1868" t="str">
        <f>Raw_Claims_Data!H1867</f>
        <v>Minor Loss</v>
      </c>
      <c r="I1868" t="str">
        <f>IF(Raw_Claims_Data!I1867="","None",Raw_Claims_Data!I1867)</f>
        <v>Other</v>
      </c>
      <c r="J1868" t="str">
        <f>Raw_Claims_Data!J1867</f>
        <v>Anchorage</v>
      </c>
      <c r="K1868" t="str">
        <f>Raw_Claims_Data!K1867</f>
        <v>AK</v>
      </c>
      <c r="L1868">
        <f>Raw_Claims_Data!L1867</f>
        <v>0</v>
      </c>
      <c r="M1868" t="str">
        <f>IF(Raw_Claims_Data!M1867="","N/A",Raw_Claims_Data!M1867)</f>
        <v>VNDR00115</v>
      </c>
      <c r="N1868" t="str">
        <f>Raw_Claims_Data!N1867</f>
        <v>AGENT00703</v>
      </c>
      <c r="O1868">
        <f>IF(Raw_Claims_Data!G1867="D",1,0)</f>
        <v>0</v>
      </c>
    </row>
    <row r="1869" spans="1:15" x14ac:dyDescent="0.35">
      <c r="A1869" t="str">
        <f>Raw_Claims_Data!A1868</f>
        <v>TXN00001865</v>
      </c>
      <c r="B1869" t="str">
        <f>TRIM(Raw_Claims_Data!B1868)</f>
        <v>Robert Torres</v>
      </c>
      <c r="C1869" t="str">
        <f>Raw_Claims_Data!C1868</f>
        <v>Property</v>
      </c>
      <c r="D1869">
        <f>Raw_Claims_Data!D1868</f>
        <v>86.19</v>
      </c>
      <c r="E1869">
        <f>Raw_Claims_Data!E1868</f>
        <v>39000</v>
      </c>
      <c r="F1869" t="str">
        <f>Raw_Claims_Data!F1868</f>
        <v>CA</v>
      </c>
      <c r="G1869" t="str">
        <f>Raw_Claims_Data!G1868</f>
        <v>A</v>
      </c>
      <c r="H1869" t="str">
        <f>Raw_Claims_Data!H1868</f>
        <v>Major Loss</v>
      </c>
      <c r="I1869" t="str">
        <f>IF(Raw_Claims_Data!I1868="","None",Raw_Claims_Data!I1868)</f>
        <v>Other</v>
      </c>
      <c r="J1869" t="str">
        <f>Raw_Claims_Data!J1868</f>
        <v>Manchester</v>
      </c>
      <c r="K1869" t="str">
        <f>Raw_Claims_Data!K1868</f>
        <v>CT</v>
      </c>
      <c r="L1869">
        <f>Raw_Claims_Data!L1868</f>
        <v>1</v>
      </c>
      <c r="M1869" t="str">
        <f>IF(Raw_Claims_Data!M1868="","N/A",Raw_Claims_Data!M1868)</f>
        <v>VNDR00545</v>
      </c>
      <c r="N1869" t="str">
        <f>Raw_Claims_Data!N1868</f>
        <v>AGENT00947</v>
      </c>
      <c r="O1869">
        <f>IF(Raw_Claims_Data!G1868="D",1,0)</f>
        <v>0</v>
      </c>
    </row>
    <row r="1870" spans="1:15" x14ac:dyDescent="0.35">
      <c r="A1870" t="str">
        <f>Raw_Claims_Data!A1869</f>
        <v>TXN00001866</v>
      </c>
      <c r="B1870" t="str">
        <f>TRIM(Raw_Claims_Data!B1869)</f>
        <v>Howard Grassi</v>
      </c>
      <c r="C1870" t="str">
        <f>Raw_Claims_Data!C1869</f>
        <v>Health</v>
      </c>
      <c r="D1870">
        <f>Raw_Claims_Data!D1869</f>
        <v>114.11</v>
      </c>
      <c r="E1870">
        <f>Raw_Claims_Data!E1869</f>
        <v>14000</v>
      </c>
      <c r="F1870" t="str">
        <f>Raw_Claims_Data!F1869</f>
        <v>KY</v>
      </c>
      <c r="G1870" t="str">
        <f>Raw_Claims_Data!G1869</f>
        <v>A</v>
      </c>
      <c r="H1870" t="str">
        <f>Raw_Claims_Data!H1869</f>
        <v>Total Loss</v>
      </c>
      <c r="I1870" t="str">
        <f>IF(Raw_Claims_Data!I1869="","None",Raw_Claims_Data!I1869)</f>
        <v>None</v>
      </c>
      <c r="J1870" t="str">
        <f>Raw_Claims_Data!J1869</f>
        <v>New Bedford</v>
      </c>
      <c r="K1870" t="str">
        <f>Raw_Claims_Data!K1869</f>
        <v>MA</v>
      </c>
      <c r="L1870">
        <f>Raw_Claims_Data!L1869</f>
        <v>7</v>
      </c>
      <c r="M1870" t="str">
        <f>IF(Raw_Claims_Data!M1869="","N/A",Raw_Claims_Data!M1869)</f>
        <v>VNDR00273</v>
      </c>
      <c r="N1870" t="str">
        <f>Raw_Claims_Data!N1869</f>
        <v>AGENT00945</v>
      </c>
      <c r="O1870">
        <f>IF(Raw_Claims_Data!G1869="D",1,0)</f>
        <v>0</v>
      </c>
    </row>
    <row r="1871" spans="1:15" x14ac:dyDescent="0.35">
      <c r="A1871" t="str">
        <f>Raw_Claims_Data!A1870</f>
        <v>TXN00001867</v>
      </c>
      <c r="B1871" t="str">
        <f>TRIM(Raw_Claims_Data!B1870)</f>
        <v>Raul Kilgallon</v>
      </c>
      <c r="C1871" t="str">
        <f>Raw_Claims_Data!C1870</f>
        <v>Travel</v>
      </c>
      <c r="D1871">
        <f>Raw_Claims_Data!D1870</f>
        <v>52.2</v>
      </c>
      <c r="E1871">
        <f>Raw_Claims_Data!E1870</f>
        <v>5000</v>
      </c>
      <c r="F1871" t="str">
        <f>Raw_Claims_Data!F1870</f>
        <v>FL</v>
      </c>
      <c r="G1871" t="str">
        <f>Raw_Claims_Data!G1870</f>
        <v>A</v>
      </c>
      <c r="H1871" t="str">
        <f>Raw_Claims_Data!H1870</f>
        <v>Major Loss</v>
      </c>
      <c r="I1871" t="str">
        <f>IF(Raw_Claims_Data!I1870="","None",Raw_Claims_Data!I1870)</f>
        <v>None</v>
      </c>
      <c r="J1871" t="str">
        <f>Raw_Claims_Data!J1870</f>
        <v>Louisville</v>
      </c>
      <c r="K1871" t="str">
        <f>Raw_Claims_Data!K1870</f>
        <v>KY</v>
      </c>
      <c r="L1871">
        <f>Raw_Claims_Data!L1870</f>
        <v>7</v>
      </c>
      <c r="M1871" t="str">
        <f>IF(Raw_Claims_Data!M1870="","N/A",Raw_Claims_Data!M1870)</f>
        <v>VNDR00192</v>
      </c>
      <c r="N1871" t="str">
        <f>Raw_Claims_Data!N1870</f>
        <v>AGENT01088</v>
      </c>
      <c r="O1871">
        <f>IF(Raw_Claims_Data!G1870="D",1,0)</f>
        <v>0</v>
      </c>
    </row>
    <row r="1872" spans="1:15" x14ac:dyDescent="0.35">
      <c r="A1872" t="str">
        <f>Raw_Claims_Data!A1871</f>
        <v>TXN00001868</v>
      </c>
      <c r="B1872" t="str">
        <f>TRIM(Raw_Claims_Data!B1871)</f>
        <v>Heidi Whaley</v>
      </c>
      <c r="C1872" t="str">
        <f>Raw_Claims_Data!C1871</f>
        <v>Life</v>
      </c>
      <c r="D1872">
        <f>Raw_Claims_Data!D1871</f>
        <v>89.14</v>
      </c>
      <c r="E1872">
        <f>Raw_Claims_Data!E1871</f>
        <v>49000</v>
      </c>
      <c r="F1872" t="str">
        <f>Raw_Claims_Data!F1871</f>
        <v>AL</v>
      </c>
      <c r="G1872" t="str">
        <f>Raw_Claims_Data!G1871</f>
        <v>A</v>
      </c>
      <c r="H1872" t="str">
        <f>Raw_Claims_Data!H1871</f>
        <v>Major Loss</v>
      </c>
      <c r="I1872" t="str">
        <f>IF(Raw_Claims_Data!I1871="","None",Raw_Claims_Data!I1871)</f>
        <v>Police</v>
      </c>
      <c r="J1872" t="str">
        <f>Raw_Claims_Data!J1871</f>
        <v>Fayetteville</v>
      </c>
      <c r="K1872" t="str">
        <f>Raw_Claims_Data!K1871</f>
        <v>AR</v>
      </c>
      <c r="L1872">
        <f>Raw_Claims_Data!L1871</f>
        <v>1</v>
      </c>
      <c r="M1872" t="str">
        <f>IF(Raw_Claims_Data!M1871="","N/A",Raw_Claims_Data!M1871)</f>
        <v>VNDR00450</v>
      </c>
      <c r="N1872" t="str">
        <f>Raw_Claims_Data!N1871</f>
        <v>AGENT00945</v>
      </c>
      <c r="O1872">
        <f>IF(Raw_Claims_Data!G1871="D",1,0)</f>
        <v>0</v>
      </c>
    </row>
    <row r="1873" spans="1:15" x14ac:dyDescent="0.35">
      <c r="A1873" t="str">
        <f>Raw_Claims_Data!A1872</f>
        <v>TXN00001869</v>
      </c>
      <c r="B1873" t="str">
        <f>TRIM(Raw_Claims_Data!B1872)</f>
        <v>William Castor</v>
      </c>
      <c r="C1873" t="str">
        <f>Raw_Claims_Data!C1872</f>
        <v>Property</v>
      </c>
      <c r="D1873">
        <f>Raw_Claims_Data!D1872</f>
        <v>118.75</v>
      </c>
      <c r="E1873">
        <f>Raw_Claims_Data!E1872</f>
        <v>38000</v>
      </c>
      <c r="F1873" t="str">
        <f>Raw_Claims_Data!F1872</f>
        <v>AK</v>
      </c>
      <c r="G1873" t="str">
        <f>Raw_Claims_Data!G1872</f>
        <v>A</v>
      </c>
      <c r="H1873" t="str">
        <f>Raw_Claims_Data!H1872</f>
        <v>Total Loss</v>
      </c>
      <c r="I1873" t="str">
        <f>IF(Raw_Claims_Data!I1872="","None",Raw_Claims_Data!I1872)</f>
        <v>Police</v>
      </c>
      <c r="J1873" t="str">
        <f>Raw_Claims_Data!J1872</f>
        <v>Anchorage</v>
      </c>
      <c r="K1873" t="str">
        <f>Raw_Claims_Data!K1872</f>
        <v>AK</v>
      </c>
      <c r="L1873">
        <f>Raw_Claims_Data!L1872</f>
        <v>8</v>
      </c>
      <c r="M1873" t="str">
        <f>IF(Raw_Claims_Data!M1872="","N/A",Raw_Claims_Data!M1872)</f>
        <v>N/A</v>
      </c>
      <c r="N1873" t="str">
        <f>Raw_Claims_Data!N1872</f>
        <v>AGENT00787</v>
      </c>
      <c r="O1873">
        <f>IF(Raw_Claims_Data!G1872="D",1,0)</f>
        <v>0</v>
      </c>
    </row>
    <row r="1874" spans="1:15" x14ac:dyDescent="0.35">
      <c r="A1874" t="str">
        <f>Raw_Claims_Data!A1873</f>
        <v>TXN00001870</v>
      </c>
      <c r="B1874" t="str">
        <f>TRIM(Raw_Claims_Data!B1873)</f>
        <v>Glenn Mckelvey</v>
      </c>
      <c r="C1874" t="str">
        <f>Raw_Claims_Data!C1873</f>
        <v>Property</v>
      </c>
      <c r="D1874">
        <f>Raw_Claims_Data!D1873</f>
        <v>105.43</v>
      </c>
      <c r="E1874">
        <f>Raw_Claims_Data!E1873</f>
        <v>10000</v>
      </c>
      <c r="F1874" t="str">
        <f>Raw_Claims_Data!F1873</f>
        <v>KY</v>
      </c>
      <c r="G1874" t="str">
        <f>Raw_Claims_Data!G1873</f>
        <v>A</v>
      </c>
      <c r="H1874" t="str">
        <f>Raw_Claims_Data!H1873</f>
        <v>Minor Loss</v>
      </c>
      <c r="I1874" t="str">
        <f>IF(Raw_Claims_Data!I1873="","None",Raw_Claims_Data!I1873)</f>
        <v>Ambulance</v>
      </c>
      <c r="J1874" t="str">
        <f>Raw_Claims_Data!J1873</f>
        <v>Vacaville</v>
      </c>
      <c r="K1874" t="str">
        <f>Raw_Claims_Data!K1873</f>
        <v>CA</v>
      </c>
      <c r="L1874">
        <f>Raw_Claims_Data!L1873</f>
        <v>17</v>
      </c>
      <c r="M1874" t="str">
        <f>IF(Raw_Claims_Data!M1873="","N/A",Raw_Claims_Data!M1873)</f>
        <v>N/A</v>
      </c>
      <c r="N1874" t="str">
        <f>Raw_Claims_Data!N1873</f>
        <v>AGENT00634</v>
      </c>
      <c r="O1874">
        <f>IF(Raw_Claims_Data!G1873="D",1,0)</f>
        <v>0</v>
      </c>
    </row>
    <row r="1875" spans="1:15" x14ac:dyDescent="0.35">
      <c r="A1875" t="str">
        <f>Raw_Claims_Data!A1874</f>
        <v>TXN00001871</v>
      </c>
      <c r="B1875" t="str">
        <f>TRIM(Raw_Claims_Data!B1874)</f>
        <v>Deanna Morris</v>
      </c>
      <c r="C1875" t="str">
        <f>Raw_Claims_Data!C1874</f>
        <v>Motor</v>
      </c>
      <c r="D1875">
        <f>Raw_Claims_Data!D1874</f>
        <v>123.54</v>
      </c>
      <c r="E1875">
        <f>Raw_Claims_Data!E1874</f>
        <v>1000</v>
      </c>
      <c r="F1875" t="str">
        <f>Raw_Claims_Data!F1874</f>
        <v>AR</v>
      </c>
      <c r="G1875" t="str">
        <f>Raw_Claims_Data!G1874</f>
        <v>A</v>
      </c>
      <c r="H1875" t="str">
        <f>Raw_Claims_Data!H1874</f>
        <v>Minor Loss</v>
      </c>
      <c r="I1875" t="str">
        <f>IF(Raw_Claims_Data!I1874="","None",Raw_Claims_Data!I1874)</f>
        <v>Police</v>
      </c>
      <c r="J1875" t="str">
        <f>Raw_Claims_Data!J1874</f>
        <v>Louisville</v>
      </c>
      <c r="K1875" t="str">
        <f>Raw_Claims_Data!K1874</f>
        <v>KY</v>
      </c>
      <c r="L1875">
        <f>Raw_Claims_Data!L1874</f>
        <v>13</v>
      </c>
      <c r="M1875" t="str">
        <f>IF(Raw_Claims_Data!M1874="","N/A",Raw_Claims_Data!M1874)</f>
        <v>N/A</v>
      </c>
      <c r="N1875" t="str">
        <f>Raw_Claims_Data!N1874</f>
        <v>AGENT00341</v>
      </c>
      <c r="O1875">
        <f>IF(Raw_Claims_Data!G1874="D",1,0)</f>
        <v>0</v>
      </c>
    </row>
    <row r="1876" spans="1:15" x14ac:dyDescent="0.35">
      <c r="A1876" t="str">
        <f>Raw_Claims_Data!A1875</f>
        <v>TXN00001872</v>
      </c>
      <c r="B1876" t="str">
        <f>TRIM(Raw_Claims_Data!B1875)</f>
        <v>Richard Deeds</v>
      </c>
      <c r="C1876" t="str">
        <f>Raw_Claims_Data!C1875</f>
        <v>Property</v>
      </c>
      <c r="D1876">
        <f>Raw_Claims_Data!D1875</f>
        <v>159.01</v>
      </c>
      <c r="E1876">
        <f>Raw_Claims_Data!E1875</f>
        <v>26000</v>
      </c>
      <c r="F1876" t="str">
        <f>Raw_Claims_Data!F1875</f>
        <v>VT</v>
      </c>
      <c r="G1876" t="str">
        <f>Raw_Claims_Data!G1875</f>
        <v>A</v>
      </c>
      <c r="H1876" t="str">
        <f>Raw_Claims_Data!H1875</f>
        <v>Total Loss</v>
      </c>
      <c r="I1876" t="str">
        <f>IF(Raw_Claims_Data!I1875="","None",Raw_Claims_Data!I1875)</f>
        <v>Police</v>
      </c>
      <c r="J1876" t="str">
        <f>Raw_Claims_Data!J1875</f>
        <v>Arvada</v>
      </c>
      <c r="K1876" t="str">
        <f>Raw_Claims_Data!K1875</f>
        <v>CO</v>
      </c>
      <c r="L1876">
        <f>Raw_Claims_Data!L1875</f>
        <v>11</v>
      </c>
      <c r="M1876" t="str">
        <f>IF(Raw_Claims_Data!M1875="","N/A",Raw_Claims_Data!M1875)</f>
        <v>VNDR00450</v>
      </c>
      <c r="N1876" t="str">
        <f>Raw_Claims_Data!N1875</f>
        <v>AGENT00878</v>
      </c>
      <c r="O1876">
        <f>IF(Raw_Claims_Data!G1875="D",1,0)</f>
        <v>0</v>
      </c>
    </row>
    <row r="1877" spans="1:15" x14ac:dyDescent="0.35">
      <c r="A1877" t="str">
        <f>Raw_Claims_Data!A1876</f>
        <v>TXN00001873</v>
      </c>
      <c r="B1877" t="str">
        <f>TRIM(Raw_Claims_Data!B1876)</f>
        <v>Brenna Arnold</v>
      </c>
      <c r="C1877" t="str">
        <f>Raw_Claims_Data!C1876</f>
        <v>Property</v>
      </c>
      <c r="D1877">
        <f>Raw_Claims_Data!D1876</f>
        <v>127.94</v>
      </c>
      <c r="E1877">
        <f>Raw_Claims_Data!E1876</f>
        <v>34000</v>
      </c>
      <c r="F1877" t="str">
        <f>Raw_Claims_Data!F1876</f>
        <v>AZ</v>
      </c>
      <c r="G1877" t="str">
        <f>Raw_Claims_Data!G1876</f>
        <v>A</v>
      </c>
      <c r="H1877" t="str">
        <f>Raw_Claims_Data!H1876</f>
        <v>Minor Loss</v>
      </c>
      <c r="I1877" t="str">
        <f>IF(Raw_Claims_Data!I1876="","None",Raw_Claims_Data!I1876)</f>
        <v>Ambulance</v>
      </c>
      <c r="J1877" t="str">
        <f>Raw_Claims_Data!J1876</f>
        <v>Union City</v>
      </c>
      <c r="K1877" t="str">
        <f>Raw_Claims_Data!K1876</f>
        <v>CA</v>
      </c>
      <c r="L1877">
        <f>Raw_Claims_Data!L1876</f>
        <v>19</v>
      </c>
      <c r="M1877" t="str">
        <f>IF(Raw_Claims_Data!M1876="","N/A",Raw_Claims_Data!M1876)</f>
        <v>VNDR00389</v>
      </c>
      <c r="N1877" t="str">
        <f>Raw_Claims_Data!N1876</f>
        <v>AGENT00807</v>
      </c>
      <c r="O1877">
        <f>IF(Raw_Claims_Data!G1876="D",1,0)</f>
        <v>0</v>
      </c>
    </row>
    <row r="1878" spans="1:15" x14ac:dyDescent="0.35">
      <c r="A1878" t="str">
        <f>Raw_Claims_Data!A1877</f>
        <v>TXN00001874</v>
      </c>
      <c r="B1878" t="str">
        <f>TRIM(Raw_Claims_Data!B1877)</f>
        <v>Teri Hunnings</v>
      </c>
      <c r="C1878" t="str">
        <f>Raw_Claims_Data!C1877</f>
        <v>Property</v>
      </c>
      <c r="D1878">
        <f>Raw_Claims_Data!D1877</f>
        <v>86.86</v>
      </c>
      <c r="E1878">
        <f>Raw_Claims_Data!E1877</f>
        <v>28000</v>
      </c>
      <c r="F1878" t="str">
        <f>Raw_Claims_Data!F1877</f>
        <v>OK</v>
      </c>
      <c r="G1878" t="str">
        <f>Raw_Claims_Data!G1877</f>
        <v>A</v>
      </c>
      <c r="H1878" t="str">
        <f>Raw_Claims_Data!H1877</f>
        <v>Total Loss</v>
      </c>
      <c r="I1878" t="str">
        <f>IF(Raw_Claims_Data!I1877="","None",Raw_Claims_Data!I1877)</f>
        <v>None</v>
      </c>
      <c r="J1878" t="str">
        <f>Raw_Claims_Data!J1877</f>
        <v>Nashville</v>
      </c>
      <c r="K1878" t="str">
        <f>Raw_Claims_Data!K1877</f>
        <v>TN</v>
      </c>
      <c r="L1878">
        <f>Raw_Claims_Data!L1877</f>
        <v>11</v>
      </c>
      <c r="M1878" t="str">
        <f>IF(Raw_Claims_Data!M1877="","N/A",Raw_Claims_Data!M1877)</f>
        <v>VNDR00075</v>
      </c>
      <c r="N1878" t="str">
        <f>Raw_Claims_Data!N1877</f>
        <v>AGENT00336</v>
      </c>
      <c r="O1878">
        <f>IF(Raw_Claims_Data!G1877="D",1,0)</f>
        <v>0</v>
      </c>
    </row>
    <row r="1879" spans="1:15" x14ac:dyDescent="0.35">
      <c r="A1879" t="str">
        <f>Raw_Claims_Data!A1878</f>
        <v>TXN00001875</v>
      </c>
      <c r="B1879" t="str">
        <f>TRIM(Raw_Claims_Data!B1878)</f>
        <v>Ryan Albrecht</v>
      </c>
      <c r="C1879" t="str">
        <f>Raw_Claims_Data!C1878</f>
        <v>Life</v>
      </c>
      <c r="D1879">
        <f>Raw_Claims_Data!D1878</f>
        <v>60.1</v>
      </c>
      <c r="E1879">
        <f>Raw_Claims_Data!E1878</f>
        <v>20000</v>
      </c>
      <c r="F1879" t="str">
        <f>Raw_Claims_Data!F1878</f>
        <v>GA</v>
      </c>
      <c r="G1879" t="str">
        <f>Raw_Claims_Data!G1878</f>
        <v>A</v>
      </c>
      <c r="H1879" t="str">
        <f>Raw_Claims_Data!H1878</f>
        <v>Minor Loss</v>
      </c>
      <c r="I1879" t="str">
        <f>IF(Raw_Claims_Data!I1878="","None",Raw_Claims_Data!I1878)</f>
        <v>Ambulance</v>
      </c>
      <c r="J1879" t="str">
        <f>Raw_Claims_Data!J1878</f>
        <v>Montgomery</v>
      </c>
      <c r="K1879" t="str">
        <f>Raw_Claims_Data!K1878</f>
        <v>AL</v>
      </c>
      <c r="L1879">
        <f>Raw_Claims_Data!L1878</f>
        <v>13</v>
      </c>
      <c r="M1879" t="str">
        <f>IF(Raw_Claims_Data!M1878="","N/A",Raw_Claims_Data!M1878)</f>
        <v>N/A</v>
      </c>
      <c r="N1879" t="str">
        <f>Raw_Claims_Data!N1878</f>
        <v>AGENT00479</v>
      </c>
      <c r="O1879">
        <f>IF(Raw_Claims_Data!G1878="D",1,0)</f>
        <v>0</v>
      </c>
    </row>
    <row r="1880" spans="1:15" x14ac:dyDescent="0.35">
      <c r="A1880" t="str">
        <f>Raw_Claims_Data!A1879</f>
        <v>TXN00001876</v>
      </c>
      <c r="B1880" t="str">
        <f>TRIM(Raw_Claims_Data!B1879)</f>
        <v>Lester Bullins</v>
      </c>
      <c r="C1880" t="str">
        <f>Raw_Claims_Data!C1879</f>
        <v>Motor</v>
      </c>
      <c r="D1880">
        <f>Raw_Claims_Data!D1879</f>
        <v>133.62</v>
      </c>
      <c r="E1880">
        <f>Raw_Claims_Data!E1879</f>
        <v>3000</v>
      </c>
      <c r="F1880" t="str">
        <f>Raw_Claims_Data!F1879</f>
        <v>GA</v>
      </c>
      <c r="G1880" t="str">
        <f>Raw_Claims_Data!G1879</f>
        <v>A</v>
      </c>
      <c r="H1880" t="str">
        <f>Raw_Claims_Data!H1879</f>
        <v>Total Loss</v>
      </c>
      <c r="I1880" t="str">
        <f>IF(Raw_Claims_Data!I1879="","None",Raw_Claims_Data!I1879)</f>
        <v>Other</v>
      </c>
      <c r="J1880" t="str">
        <f>Raw_Claims_Data!J1879</f>
        <v>Livermore</v>
      </c>
      <c r="K1880" t="str">
        <f>Raw_Claims_Data!K1879</f>
        <v>CA</v>
      </c>
      <c r="L1880">
        <f>Raw_Claims_Data!L1879</f>
        <v>11</v>
      </c>
      <c r="M1880" t="str">
        <f>IF(Raw_Claims_Data!M1879="","N/A",Raw_Claims_Data!M1879)</f>
        <v>N/A</v>
      </c>
      <c r="N1880" t="str">
        <f>Raw_Claims_Data!N1879</f>
        <v>AGENT00396</v>
      </c>
      <c r="O1880">
        <f>IF(Raw_Claims_Data!G1879="D",1,0)</f>
        <v>0</v>
      </c>
    </row>
    <row r="1881" spans="1:15" x14ac:dyDescent="0.35">
      <c r="A1881" t="str">
        <f>Raw_Claims_Data!A1880</f>
        <v>TXN00001877</v>
      </c>
      <c r="B1881" t="str">
        <f>TRIM(Raw_Claims_Data!B1880)</f>
        <v>Jay Louis</v>
      </c>
      <c r="C1881" t="str">
        <f>Raw_Claims_Data!C1880</f>
        <v>Health</v>
      </c>
      <c r="D1881">
        <f>Raw_Claims_Data!D1880</f>
        <v>186.6</v>
      </c>
      <c r="E1881">
        <f>Raw_Claims_Data!E1880</f>
        <v>8000</v>
      </c>
      <c r="F1881" t="str">
        <f>Raw_Claims_Data!F1880</f>
        <v>CO</v>
      </c>
      <c r="G1881" t="str">
        <f>Raw_Claims_Data!G1880</f>
        <v>A</v>
      </c>
      <c r="H1881" t="str">
        <f>Raw_Claims_Data!H1880</f>
        <v>Total Loss</v>
      </c>
      <c r="I1881" t="str">
        <f>IF(Raw_Claims_Data!I1880="","None",Raw_Claims_Data!I1880)</f>
        <v>Police</v>
      </c>
      <c r="J1881" t="str">
        <f>Raw_Claims_Data!J1880</f>
        <v>Fremont</v>
      </c>
      <c r="K1881" t="str">
        <f>Raw_Claims_Data!K1880</f>
        <v>CA</v>
      </c>
      <c r="L1881">
        <f>Raw_Claims_Data!L1880</f>
        <v>12</v>
      </c>
      <c r="M1881" t="str">
        <f>IF(Raw_Claims_Data!M1880="","N/A",Raw_Claims_Data!M1880)</f>
        <v>VNDR00511</v>
      </c>
      <c r="N1881" t="str">
        <f>Raw_Claims_Data!N1880</f>
        <v>AGENT00670</v>
      </c>
      <c r="O1881">
        <f>IF(Raw_Claims_Data!G1880="D",1,0)</f>
        <v>0</v>
      </c>
    </row>
    <row r="1882" spans="1:15" x14ac:dyDescent="0.35">
      <c r="A1882" t="str">
        <f>Raw_Claims_Data!A1881</f>
        <v>TXN00001878</v>
      </c>
      <c r="B1882" t="str">
        <f>TRIM(Raw_Claims_Data!B1881)</f>
        <v>Lynne Davis</v>
      </c>
      <c r="C1882" t="str">
        <f>Raw_Claims_Data!C1881</f>
        <v>Mobile</v>
      </c>
      <c r="D1882">
        <f>Raw_Claims_Data!D1881</f>
        <v>11.85</v>
      </c>
      <c r="E1882">
        <f>Raw_Claims_Data!E1881</f>
        <v>400</v>
      </c>
      <c r="F1882" t="str">
        <f>Raw_Claims_Data!F1881</f>
        <v>GA</v>
      </c>
      <c r="G1882" t="str">
        <f>Raw_Claims_Data!G1881</f>
        <v>A</v>
      </c>
      <c r="H1882" t="str">
        <f>Raw_Claims_Data!H1881</f>
        <v>Major Loss</v>
      </c>
      <c r="I1882" t="str">
        <f>IF(Raw_Claims_Data!I1881="","None",Raw_Claims_Data!I1881)</f>
        <v>None</v>
      </c>
      <c r="J1882" t="str">
        <f>Raw_Claims_Data!J1881</f>
        <v>Montgomery</v>
      </c>
      <c r="K1882" t="str">
        <f>Raw_Claims_Data!K1881</f>
        <v>AL</v>
      </c>
      <c r="L1882">
        <f>Raw_Claims_Data!L1881</f>
        <v>17</v>
      </c>
      <c r="M1882" t="str">
        <f>IF(Raw_Claims_Data!M1881="","N/A",Raw_Claims_Data!M1881)</f>
        <v>VNDR00540</v>
      </c>
      <c r="N1882" t="str">
        <f>Raw_Claims_Data!N1881</f>
        <v>AGENT00427</v>
      </c>
      <c r="O1882">
        <f>IF(Raw_Claims_Data!G1881="D",1,0)</f>
        <v>0</v>
      </c>
    </row>
    <row r="1883" spans="1:15" x14ac:dyDescent="0.35">
      <c r="A1883" t="str">
        <f>Raw_Claims_Data!A1882</f>
        <v>TXN00001879</v>
      </c>
      <c r="B1883" t="str">
        <f>TRIM(Raw_Claims_Data!B1882)</f>
        <v>Bobby Underwood</v>
      </c>
      <c r="C1883" t="str">
        <f>Raw_Claims_Data!C1882</f>
        <v>Travel</v>
      </c>
      <c r="D1883">
        <f>Raw_Claims_Data!D1882</f>
        <v>76.62</v>
      </c>
      <c r="E1883">
        <f>Raw_Claims_Data!E1882</f>
        <v>2000</v>
      </c>
      <c r="F1883" t="str">
        <f>Raw_Claims_Data!F1882</f>
        <v>CT</v>
      </c>
      <c r="G1883" t="str">
        <f>Raw_Claims_Data!G1882</f>
        <v>A</v>
      </c>
      <c r="H1883" t="str">
        <f>Raw_Claims_Data!H1882</f>
        <v>Major Loss</v>
      </c>
      <c r="I1883" t="str">
        <f>IF(Raw_Claims_Data!I1882="","None",Raw_Claims_Data!I1882)</f>
        <v>Ambulance</v>
      </c>
      <c r="J1883" t="str">
        <f>Raw_Claims_Data!J1882</f>
        <v>Hanover</v>
      </c>
      <c r="K1883" t="str">
        <f>Raw_Claims_Data!K1882</f>
        <v>MD</v>
      </c>
      <c r="L1883">
        <f>Raw_Claims_Data!L1882</f>
        <v>15</v>
      </c>
      <c r="M1883" t="str">
        <f>IF(Raw_Claims_Data!M1882="","N/A",Raw_Claims_Data!M1882)</f>
        <v>VNDR00524</v>
      </c>
      <c r="N1883" t="str">
        <f>Raw_Claims_Data!N1882</f>
        <v>AGENT00334</v>
      </c>
      <c r="O1883">
        <f>IF(Raw_Claims_Data!G1882="D",1,0)</f>
        <v>0</v>
      </c>
    </row>
    <row r="1884" spans="1:15" x14ac:dyDescent="0.35">
      <c r="A1884" t="str">
        <f>Raw_Claims_Data!A1883</f>
        <v>TXN00001880</v>
      </c>
      <c r="B1884" t="str">
        <f>TRIM(Raw_Claims_Data!B1883)</f>
        <v>Raymond Robertson</v>
      </c>
      <c r="C1884" t="str">
        <f>Raw_Claims_Data!C1883</f>
        <v>Health</v>
      </c>
      <c r="D1884">
        <f>Raw_Claims_Data!D1883</f>
        <v>186.8</v>
      </c>
      <c r="E1884">
        <f>Raw_Claims_Data!E1883</f>
        <v>15000</v>
      </c>
      <c r="F1884" t="str">
        <f>Raw_Claims_Data!F1883</f>
        <v>AZ</v>
      </c>
      <c r="G1884" t="str">
        <f>Raw_Claims_Data!G1883</f>
        <v>A</v>
      </c>
      <c r="H1884" t="str">
        <f>Raw_Claims_Data!H1883</f>
        <v>Minor Loss</v>
      </c>
      <c r="I1884" t="str">
        <f>IF(Raw_Claims_Data!I1883="","None",Raw_Claims_Data!I1883)</f>
        <v>Police</v>
      </c>
      <c r="J1884" t="str">
        <f>Raw_Claims_Data!J1883</f>
        <v>Washington</v>
      </c>
      <c r="K1884" t="str">
        <f>Raw_Claims_Data!K1883</f>
        <v>DC</v>
      </c>
      <c r="L1884">
        <f>Raw_Claims_Data!L1883</f>
        <v>18</v>
      </c>
      <c r="M1884" t="str">
        <f>IF(Raw_Claims_Data!M1883="","N/A",Raw_Claims_Data!M1883)</f>
        <v>VNDR00492</v>
      </c>
      <c r="N1884" t="str">
        <f>Raw_Claims_Data!N1883</f>
        <v>AGENT00381</v>
      </c>
      <c r="O1884">
        <f>IF(Raw_Claims_Data!G1883="D",1,0)</f>
        <v>0</v>
      </c>
    </row>
    <row r="1885" spans="1:15" x14ac:dyDescent="0.35">
      <c r="A1885" t="str">
        <f>Raw_Claims_Data!A1884</f>
        <v>TXN00001881</v>
      </c>
      <c r="B1885" t="str">
        <f>TRIM(Raw_Claims_Data!B1884)</f>
        <v>Lisa Miller</v>
      </c>
      <c r="C1885" t="str">
        <f>Raw_Claims_Data!C1884</f>
        <v>Health</v>
      </c>
      <c r="D1885">
        <f>Raw_Claims_Data!D1884</f>
        <v>176.04</v>
      </c>
      <c r="E1885">
        <f>Raw_Claims_Data!E1884</f>
        <v>14000</v>
      </c>
      <c r="F1885" t="str">
        <f>Raw_Claims_Data!F1884</f>
        <v>DC</v>
      </c>
      <c r="G1885" t="str">
        <f>Raw_Claims_Data!G1884</f>
        <v>A</v>
      </c>
      <c r="H1885" t="str">
        <f>Raw_Claims_Data!H1884</f>
        <v>Minor Loss</v>
      </c>
      <c r="I1885" t="str">
        <f>IF(Raw_Claims_Data!I1884="","None",Raw_Claims_Data!I1884)</f>
        <v>Ambulance</v>
      </c>
      <c r="J1885" t="str">
        <f>Raw_Claims_Data!J1884</f>
        <v>Berkeley</v>
      </c>
      <c r="K1885" t="str">
        <f>Raw_Claims_Data!K1884</f>
        <v>CA</v>
      </c>
      <c r="L1885">
        <f>Raw_Claims_Data!L1884</f>
        <v>1</v>
      </c>
      <c r="M1885" t="str">
        <f>IF(Raw_Claims_Data!M1884="","N/A",Raw_Claims_Data!M1884)</f>
        <v>N/A</v>
      </c>
      <c r="N1885" t="str">
        <f>Raw_Claims_Data!N1884</f>
        <v>AGENT00767</v>
      </c>
      <c r="O1885">
        <f>IF(Raw_Claims_Data!G1884="D",1,0)</f>
        <v>0</v>
      </c>
    </row>
    <row r="1886" spans="1:15" x14ac:dyDescent="0.35">
      <c r="A1886" t="str">
        <f>Raw_Claims_Data!A1885</f>
        <v>TXN00001882</v>
      </c>
      <c r="B1886" t="str">
        <f>TRIM(Raw_Claims_Data!B1885)</f>
        <v>Shae Edwards</v>
      </c>
      <c r="C1886" t="str">
        <f>Raw_Claims_Data!C1885</f>
        <v>Health</v>
      </c>
      <c r="D1886">
        <f>Raw_Claims_Data!D1885</f>
        <v>147.02000000000001</v>
      </c>
      <c r="E1886">
        <f>Raw_Claims_Data!E1885</f>
        <v>11000</v>
      </c>
      <c r="F1886" t="str">
        <f>Raw_Claims_Data!F1885</f>
        <v>CT</v>
      </c>
      <c r="G1886" t="str">
        <f>Raw_Claims_Data!G1885</f>
        <v>D</v>
      </c>
      <c r="H1886" t="str">
        <f>Raw_Claims_Data!H1885</f>
        <v>Minor Loss</v>
      </c>
      <c r="I1886" t="str">
        <f>IF(Raw_Claims_Data!I1885="","None",Raw_Claims_Data!I1885)</f>
        <v>Police</v>
      </c>
      <c r="J1886" t="str">
        <f>Raw_Claims_Data!J1885</f>
        <v>Brookline</v>
      </c>
      <c r="K1886" t="str">
        <f>Raw_Claims_Data!K1885</f>
        <v>MA</v>
      </c>
      <c r="L1886">
        <f>Raw_Claims_Data!L1885</f>
        <v>8</v>
      </c>
      <c r="M1886" t="str">
        <f>IF(Raw_Claims_Data!M1885="","N/A",Raw_Claims_Data!M1885)</f>
        <v>N/A</v>
      </c>
      <c r="N1886" t="str">
        <f>Raw_Claims_Data!N1885</f>
        <v>AGENT00938</v>
      </c>
      <c r="O1886">
        <f>IF(Raw_Claims_Data!G1885="D",1,0)</f>
        <v>1</v>
      </c>
    </row>
    <row r="1887" spans="1:15" x14ac:dyDescent="0.35">
      <c r="A1887" t="str">
        <f>Raw_Claims_Data!A1886</f>
        <v>TXN00001883</v>
      </c>
      <c r="B1887" t="str">
        <f>TRIM(Raw_Claims_Data!B1886)</f>
        <v>Keith Costa</v>
      </c>
      <c r="C1887" t="str">
        <f>Raw_Claims_Data!C1886</f>
        <v>Motor</v>
      </c>
      <c r="D1887">
        <f>Raw_Claims_Data!D1886</f>
        <v>103.88</v>
      </c>
      <c r="E1887">
        <f>Raw_Claims_Data!E1886</f>
        <v>9000</v>
      </c>
      <c r="F1887" t="str">
        <f>Raw_Claims_Data!F1886</f>
        <v>KY</v>
      </c>
      <c r="G1887" t="str">
        <f>Raw_Claims_Data!G1886</f>
        <v>A</v>
      </c>
      <c r="H1887" t="str">
        <f>Raw_Claims_Data!H1886</f>
        <v>Major Loss</v>
      </c>
      <c r="I1887" t="str">
        <f>IF(Raw_Claims_Data!I1886="","None",Raw_Claims_Data!I1886)</f>
        <v>Ambulance</v>
      </c>
      <c r="J1887" t="str">
        <f>Raw_Claims_Data!J1886</f>
        <v>Edmond</v>
      </c>
      <c r="K1887" t="str">
        <f>Raw_Claims_Data!K1886</f>
        <v>OK</v>
      </c>
      <c r="L1887">
        <f>Raw_Claims_Data!L1886</f>
        <v>0</v>
      </c>
      <c r="M1887" t="str">
        <f>IF(Raw_Claims_Data!M1886="","N/A",Raw_Claims_Data!M1886)</f>
        <v>VNDR00098</v>
      </c>
      <c r="N1887" t="str">
        <f>Raw_Claims_Data!N1886</f>
        <v>AGENT00421</v>
      </c>
      <c r="O1887">
        <f>IF(Raw_Claims_Data!G1886="D",1,0)</f>
        <v>0</v>
      </c>
    </row>
    <row r="1888" spans="1:15" x14ac:dyDescent="0.35">
      <c r="A1888" t="str">
        <f>Raw_Claims_Data!A1887</f>
        <v>TXN00001884</v>
      </c>
      <c r="B1888" t="str">
        <f>TRIM(Raw_Claims_Data!B1887)</f>
        <v>Nettie Davis</v>
      </c>
      <c r="C1888" t="str">
        <f>Raw_Claims_Data!C1887</f>
        <v>Travel</v>
      </c>
      <c r="D1888">
        <f>Raw_Claims_Data!D1887</f>
        <v>58.86</v>
      </c>
      <c r="E1888">
        <f>Raw_Claims_Data!E1887</f>
        <v>4000</v>
      </c>
      <c r="F1888" t="str">
        <f>Raw_Claims_Data!F1887</f>
        <v>MD</v>
      </c>
      <c r="G1888" t="str">
        <f>Raw_Claims_Data!G1887</f>
        <v>A</v>
      </c>
      <c r="H1888" t="str">
        <f>Raw_Claims_Data!H1887</f>
        <v>Major Loss</v>
      </c>
      <c r="I1888" t="str">
        <f>IF(Raw_Claims_Data!I1887="","None",Raw_Claims_Data!I1887)</f>
        <v>Police</v>
      </c>
      <c r="J1888" t="str">
        <f>Raw_Claims_Data!J1887</f>
        <v>Fayetteville</v>
      </c>
      <c r="K1888" t="str">
        <f>Raw_Claims_Data!K1887</f>
        <v>AR</v>
      </c>
      <c r="L1888">
        <f>Raw_Claims_Data!L1887</f>
        <v>6</v>
      </c>
      <c r="M1888" t="str">
        <f>IF(Raw_Claims_Data!M1887="","N/A",Raw_Claims_Data!M1887)</f>
        <v>N/A</v>
      </c>
      <c r="N1888" t="str">
        <f>Raw_Claims_Data!N1887</f>
        <v>AGENT00966</v>
      </c>
      <c r="O1888">
        <f>IF(Raw_Claims_Data!G1887="D",1,0)</f>
        <v>0</v>
      </c>
    </row>
    <row r="1889" spans="1:15" x14ac:dyDescent="0.35">
      <c r="A1889" t="str">
        <f>Raw_Claims_Data!A1888</f>
        <v>TXN00001885</v>
      </c>
      <c r="B1889" t="str">
        <f>TRIM(Raw_Claims_Data!B1888)</f>
        <v>Carol Harbin</v>
      </c>
      <c r="C1889" t="str">
        <f>Raw_Claims_Data!C1888</f>
        <v>Health</v>
      </c>
      <c r="D1889">
        <f>Raw_Claims_Data!D1888</f>
        <v>100.8</v>
      </c>
      <c r="E1889">
        <f>Raw_Claims_Data!E1888</f>
        <v>10000</v>
      </c>
      <c r="F1889" t="str">
        <f>Raw_Claims_Data!F1888</f>
        <v>CA</v>
      </c>
      <c r="G1889" t="str">
        <f>Raw_Claims_Data!G1888</f>
        <v>D</v>
      </c>
      <c r="H1889" t="str">
        <f>Raw_Claims_Data!H1888</f>
        <v>Minor Loss</v>
      </c>
      <c r="I1889" t="str">
        <f>IF(Raw_Claims_Data!I1888="","None",Raw_Claims_Data!I1888)</f>
        <v>Ambulance</v>
      </c>
      <c r="J1889" t="str">
        <f>Raw_Claims_Data!J1888</f>
        <v>Arvada</v>
      </c>
      <c r="K1889" t="str">
        <f>Raw_Claims_Data!K1888</f>
        <v>CO</v>
      </c>
      <c r="L1889">
        <f>Raw_Claims_Data!L1888</f>
        <v>8</v>
      </c>
      <c r="M1889" t="str">
        <f>IF(Raw_Claims_Data!M1888="","N/A",Raw_Claims_Data!M1888)</f>
        <v>VNDR00373</v>
      </c>
      <c r="N1889" t="str">
        <f>Raw_Claims_Data!N1888</f>
        <v>AGENT01065</v>
      </c>
      <c r="O1889">
        <f>IF(Raw_Claims_Data!G1888="D",1,0)</f>
        <v>1</v>
      </c>
    </row>
    <row r="1890" spans="1:15" x14ac:dyDescent="0.35">
      <c r="A1890" t="str">
        <f>Raw_Claims_Data!A1889</f>
        <v>TXN00001886</v>
      </c>
      <c r="B1890" t="str">
        <f>TRIM(Raw_Claims_Data!B1889)</f>
        <v>Maria Krajcer</v>
      </c>
      <c r="C1890" t="str">
        <f>Raw_Claims_Data!C1889</f>
        <v>Health</v>
      </c>
      <c r="D1890">
        <f>Raw_Claims_Data!D1889</f>
        <v>168.6</v>
      </c>
      <c r="E1890">
        <f>Raw_Claims_Data!E1889</f>
        <v>14000</v>
      </c>
      <c r="F1890" t="str">
        <f>Raw_Claims_Data!F1889</f>
        <v>TN</v>
      </c>
      <c r="G1890" t="str">
        <f>Raw_Claims_Data!G1889</f>
        <v>A</v>
      </c>
      <c r="H1890" t="str">
        <f>Raw_Claims_Data!H1889</f>
        <v>Major Loss</v>
      </c>
      <c r="I1890" t="str">
        <f>IF(Raw_Claims_Data!I1889="","None",Raw_Claims_Data!I1889)</f>
        <v>Ambulance</v>
      </c>
      <c r="J1890" t="str">
        <f>Raw_Claims_Data!J1889</f>
        <v>Quincy</v>
      </c>
      <c r="K1890" t="str">
        <f>Raw_Claims_Data!K1889</f>
        <v>MA</v>
      </c>
      <c r="L1890">
        <f>Raw_Claims_Data!L1889</f>
        <v>11</v>
      </c>
      <c r="M1890" t="str">
        <f>IF(Raw_Claims_Data!M1889="","N/A",Raw_Claims_Data!M1889)</f>
        <v>VNDR00461</v>
      </c>
      <c r="N1890" t="str">
        <f>Raw_Claims_Data!N1889</f>
        <v>AGENT01175</v>
      </c>
      <c r="O1890">
        <f>IF(Raw_Claims_Data!G1889="D",1,0)</f>
        <v>0</v>
      </c>
    </row>
    <row r="1891" spans="1:15" x14ac:dyDescent="0.35">
      <c r="A1891" t="str">
        <f>Raw_Claims_Data!A1890</f>
        <v>TXN00001887</v>
      </c>
      <c r="B1891" t="str">
        <f>TRIM(Raw_Claims_Data!B1890)</f>
        <v>Hanna Zeigler</v>
      </c>
      <c r="C1891" t="str">
        <f>Raw_Claims_Data!C1890</f>
        <v>Motor</v>
      </c>
      <c r="D1891">
        <f>Raw_Claims_Data!D1890</f>
        <v>81.12</v>
      </c>
      <c r="E1891">
        <f>Raw_Claims_Data!E1890</f>
        <v>2000</v>
      </c>
      <c r="F1891" t="str">
        <f>Raw_Claims_Data!F1890</f>
        <v>CT</v>
      </c>
      <c r="G1891" t="str">
        <f>Raw_Claims_Data!G1890</f>
        <v>A</v>
      </c>
      <c r="H1891" t="str">
        <f>Raw_Claims_Data!H1890</f>
        <v>Major Loss</v>
      </c>
      <c r="I1891" t="str">
        <f>IF(Raw_Claims_Data!I1890="","None",Raw_Claims_Data!I1890)</f>
        <v>Ambulance</v>
      </c>
      <c r="J1891" t="str">
        <f>Raw_Claims_Data!J1890</f>
        <v>Savannah</v>
      </c>
      <c r="K1891" t="str">
        <f>Raw_Claims_Data!K1890</f>
        <v>GA</v>
      </c>
      <c r="L1891">
        <f>Raw_Claims_Data!L1890</f>
        <v>0</v>
      </c>
      <c r="M1891" t="str">
        <f>IF(Raw_Claims_Data!M1890="","N/A",Raw_Claims_Data!M1890)</f>
        <v>VNDR00215</v>
      </c>
      <c r="N1891" t="str">
        <f>Raw_Claims_Data!N1890</f>
        <v>AGENT00715</v>
      </c>
      <c r="O1891">
        <f>IF(Raw_Claims_Data!G1890="D",1,0)</f>
        <v>0</v>
      </c>
    </row>
    <row r="1892" spans="1:15" x14ac:dyDescent="0.35">
      <c r="A1892" t="str">
        <f>Raw_Claims_Data!A1891</f>
        <v>TXN00001888</v>
      </c>
      <c r="B1892" t="str">
        <f>TRIM(Raw_Claims_Data!B1891)</f>
        <v>Keith Coombs</v>
      </c>
      <c r="C1892" t="str">
        <f>Raw_Claims_Data!C1891</f>
        <v>Health</v>
      </c>
      <c r="D1892">
        <f>Raw_Claims_Data!D1891</f>
        <v>170.45</v>
      </c>
      <c r="E1892">
        <f>Raw_Claims_Data!E1891</f>
        <v>5000</v>
      </c>
      <c r="F1892" t="str">
        <f>Raw_Claims_Data!F1891</f>
        <v>GA</v>
      </c>
      <c r="G1892" t="str">
        <f>Raw_Claims_Data!G1891</f>
        <v>A</v>
      </c>
      <c r="H1892" t="str">
        <f>Raw_Claims_Data!H1891</f>
        <v>Major Loss</v>
      </c>
      <c r="I1892" t="str">
        <f>IF(Raw_Claims_Data!I1891="","None",Raw_Claims_Data!I1891)</f>
        <v>Ambulance</v>
      </c>
      <c r="J1892" t="str">
        <f>Raw_Claims_Data!J1891</f>
        <v>Conway</v>
      </c>
      <c r="K1892" t="str">
        <f>Raw_Claims_Data!K1891</f>
        <v>AR</v>
      </c>
      <c r="L1892">
        <f>Raw_Claims_Data!L1891</f>
        <v>2</v>
      </c>
      <c r="M1892" t="str">
        <f>IF(Raw_Claims_Data!M1891="","N/A",Raw_Claims_Data!M1891)</f>
        <v>N/A</v>
      </c>
      <c r="N1892" t="str">
        <f>Raw_Claims_Data!N1891</f>
        <v>AGENT00464</v>
      </c>
      <c r="O1892">
        <f>IF(Raw_Claims_Data!G1891="D",1,0)</f>
        <v>0</v>
      </c>
    </row>
    <row r="1893" spans="1:15" x14ac:dyDescent="0.35">
      <c r="A1893" t="str">
        <f>Raw_Claims_Data!A1892</f>
        <v>TXN00001889</v>
      </c>
      <c r="B1893" t="str">
        <f>TRIM(Raw_Claims_Data!B1892)</f>
        <v>Kathy Dixon</v>
      </c>
      <c r="C1893" t="str">
        <f>Raw_Claims_Data!C1892</f>
        <v>Mobile</v>
      </c>
      <c r="D1893">
        <f>Raw_Claims_Data!D1892</f>
        <v>8.67</v>
      </c>
      <c r="E1893">
        <f>Raw_Claims_Data!E1892</f>
        <v>600</v>
      </c>
      <c r="F1893" t="str">
        <f>Raw_Claims_Data!F1892</f>
        <v>FL</v>
      </c>
      <c r="G1893" t="str">
        <f>Raw_Claims_Data!G1892</f>
        <v>A</v>
      </c>
      <c r="H1893" t="str">
        <f>Raw_Claims_Data!H1892</f>
        <v>Minor Loss</v>
      </c>
      <c r="I1893" t="str">
        <f>IF(Raw_Claims_Data!I1892="","None",Raw_Claims_Data!I1892)</f>
        <v>Police</v>
      </c>
      <c r="J1893" t="str">
        <f>Raw_Claims_Data!J1892</f>
        <v>Montgomery</v>
      </c>
      <c r="K1893" t="str">
        <f>Raw_Claims_Data!K1892</f>
        <v>AL</v>
      </c>
      <c r="L1893">
        <f>Raw_Claims_Data!L1892</f>
        <v>4</v>
      </c>
      <c r="M1893" t="str">
        <f>IF(Raw_Claims_Data!M1892="","N/A",Raw_Claims_Data!M1892)</f>
        <v>VNDR00170</v>
      </c>
      <c r="N1893" t="str">
        <f>Raw_Claims_Data!N1892</f>
        <v>AGENT00432</v>
      </c>
      <c r="O1893">
        <f>IF(Raw_Claims_Data!G1892="D",1,0)</f>
        <v>0</v>
      </c>
    </row>
    <row r="1894" spans="1:15" x14ac:dyDescent="0.35">
      <c r="A1894" t="str">
        <f>Raw_Claims_Data!A1893</f>
        <v>TXN00001890</v>
      </c>
      <c r="B1894" t="str">
        <f>TRIM(Raw_Claims_Data!B1893)</f>
        <v>Elizabeth Blaschke</v>
      </c>
      <c r="C1894" t="str">
        <f>Raw_Claims_Data!C1893</f>
        <v>Health</v>
      </c>
      <c r="D1894">
        <f>Raw_Claims_Data!D1893</f>
        <v>181.6</v>
      </c>
      <c r="E1894">
        <f>Raw_Claims_Data!E1893</f>
        <v>10000</v>
      </c>
      <c r="F1894" t="str">
        <f>Raw_Claims_Data!F1893</f>
        <v>AK</v>
      </c>
      <c r="G1894" t="str">
        <f>Raw_Claims_Data!G1893</f>
        <v>A</v>
      </c>
      <c r="H1894" t="str">
        <f>Raw_Claims_Data!H1893</f>
        <v>Major Loss</v>
      </c>
      <c r="I1894" t="str">
        <f>IF(Raw_Claims_Data!I1893="","None",Raw_Claims_Data!I1893)</f>
        <v>Ambulance</v>
      </c>
      <c r="J1894" t="str">
        <f>Raw_Claims_Data!J1893</f>
        <v>Savannah</v>
      </c>
      <c r="K1894" t="str">
        <f>Raw_Claims_Data!K1893</f>
        <v>GA</v>
      </c>
      <c r="L1894">
        <f>Raw_Claims_Data!L1893</f>
        <v>1</v>
      </c>
      <c r="M1894" t="str">
        <f>IF(Raw_Claims_Data!M1893="","N/A",Raw_Claims_Data!M1893)</f>
        <v>VNDR00470</v>
      </c>
      <c r="N1894" t="str">
        <f>Raw_Claims_Data!N1893</f>
        <v>AGENT00617</v>
      </c>
      <c r="O1894">
        <f>IF(Raw_Claims_Data!G1893="D",1,0)</f>
        <v>0</v>
      </c>
    </row>
    <row r="1895" spans="1:15" x14ac:dyDescent="0.35">
      <c r="A1895" t="str">
        <f>Raw_Claims_Data!A1894</f>
        <v>TXN00001891</v>
      </c>
      <c r="B1895" t="str">
        <f>TRIM(Raw_Claims_Data!B1894)</f>
        <v>Dwain Duncan</v>
      </c>
      <c r="C1895" t="str">
        <f>Raw_Claims_Data!C1894</f>
        <v>Motor</v>
      </c>
      <c r="D1895">
        <f>Raw_Claims_Data!D1894</f>
        <v>89.04</v>
      </c>
      <c r="E1895">
        <f>Raw_Claims_Data!E1894</f>
        <v>9000</v>
      </c>
      <c r="F1895" t="str">
        <f>Raw_Claims_Data!F1894</f>
        <v>AR</v>
      </c>
      <c r="G1895" t="str">
        <f>Raw_Claims_Data!G1894</f>
        <v>A</v>
      </c>
      <c r="H1895" t="str">
        <f>Raw_Claims_Data!H1894</f>
        <v>Major Loss</v>
      </c>
      <c r="I1895" t="str">
        <f>IF(Raw_Claims_Data!I1894="","None",Raw_Claims_Data!I1894)</f>
        <v>Other</v>
      </c>
      <c r="J1895" t="str">
        <f>Raw_Claims_Data!J1894</f>
        <v>Glendale</v>
      </c>
      <c r="K1895" t="str">
        <f>Raw_Claims_Data!K1894</f>
        <v>AZ</v>
      </c>
      <c r="L1895">
        <f>Raw_Claims_Data!L1894</f>
        <v>8</v>
      </c>
      <c r="M1895" t="str">
        <f>IF(Raw_Claims_Data!M1894="","N/A",Raw_Claims_Data!M1894)</f>
        <v>VNDR00548</v>
      </c>
      <c r="N1895" t="str">
        <f>Raw_Claims_Data!N1894</f>
        <v>AGENT00447</v>
      </c>
      <c r="O1895">
        <f>IF(Raw_Claims_Data!G1894="D",1,0)</f>
        <v>0</v>
      </c>
    </row>
    <row r="1896" spans="1:15" x14ac:dyDescent="0.35">
      <c r="A1896" t="str">
        <f>Raw_Claims_Data!A1895</f>
        <v>TXN00001892</v>
      </c>
      <c r="B1896" t="str">
        <f>TRIM(Raw_Claims_Data!B1895)</f>
        <v>Patty Hayward</v>
      </c>
      <c r="C1896" t="str">
        <f>Raw_Claims_Data!C1895</f>
        <v>Life</v>
      </c>
      <c r="D1896">
        <f>Raw_Claims_Data!D1895</f>
        <v>50.41</v>
      </c>
      <c r="E1896">
        <f>Raw_Claims_Data!E1895</f>
        <v>17000</v>
      </c>
      <c r="F1896" t="str">
        <f>Raw_Claims_Data!F1895</f>
        <v>TN</v>
      </c>
      <c r="G1896" t="str">
        <f>Raw_Claims_Data!G1895</f>
        <v>A</v>
      </c>
      <c r="H1896" t="str">
        <f>Raw_Claims_Data!H1895</f>
        <v>Total Loss</v>
      </c>
      <c r="I1896" t="str">
        <f>IF(Raw_Claims_Data!I1895="","None",Raw_Claims_Data!I1895)</f>
        <v>Ambulance</v>
      </c>
      <c r="J1896" t="str">
        <f>Raw_Claims_Data!J1895</f>
        <v>Burlington</v>
      </c>
      <c r="K1896" t="str">
        <f>Raw_Claims_Data!K1895</f>
        <v>VT</v>
      </c>
      <c r="L1896">
        <f>Raw_Claims_Data!L1895</f>
        <v>20</v>
      </c>
      <c r="M1896" t="str">
        <f>IF(Raw_Claims_Data!M1895="","N/A",Raw_Claims_Data!M1895)</f>
        <v>N/A</v>
      </c>
      <c r="N1896" t="str">
        <f>Raw_Claims_Data!N1895</f>
        <v>AGENT00154</v>
      </c>
      <c r="O1896">
        <f>IF(Raw_Claims_Data!G1895="D",1,0)</f>
        <v>0</v>
      </c>
    </row>
    <row r="1897" spans="1:15" x14ac:dyDescent="0.35">
      <c r="A1897" t="str">
        <f>Raw_Claims_Data!A1896</f>
        <v>TXN00001893</v>
      </c>
      <c r="B1897" t="str">
        <f>TRIM(Raw_Claims_Data!B1896)</f>
        <v>Deon Coulter</v>
      </c>
      <c r="C1897" t="str">
        <f>Raw_Claims_Data!C1896</f>
        <v>Motor</v>
      </c>
      <c r="D1897">
        <f>Raw_Claims_Data!D1896</f>
        <v>129.97999999999999</v>
      </c>
      <c r="E1897">
        <f>Raw_Claims_Data!E1896</f>
        <v>5000</v>
      </c>
      <c r="F1897" t="str">
        <f>Raw_Claims_Data!F1896</f>
        <v>CT</v>
      </c>
      <c r="G1897" t="str">
        <f>Raw_Claims_Data!G1896</f>
        <v>A</v>
      </c>
      <c r="H1897" t="str">
        <f>Raw_Claims_Data!H1896</f>
        <v>Minor Loss</v>
      </c>
      <c r="I1897" t="str">
        <f>IF(Raw_Claims_Data!I1896="","None",Raw_Claims_Data!I1896)</f>
        <v>Ambulance</v>
      </c>
      <c r="J1897" t="str">
        <f>Raw_Claims_Data!J1896</f>
        <v>Nashville</v>
      </c>
      <c r="K1897" t="str">
        <f>Raw_Claims_Data!K1896</f>
        <v>TN</v>
      </c>
      <c r="L1897">
        <f>Raw_Claims_Data!L1896</f>
        <v>17</v>
      </c>
      <c r="M1897" t="str">
        <f>IF(Raw_Claims_Data!M1896="","N/A",Raw_Claims_Data!M1896)</f>
        <v>VNDR00215</v>
      </c>
      <c r="N1897" t="str">
        <f>Raw_Claims_Data!N1896</f>
        <v>AGENT00434</v>
      </c>
      <c r="O1897">
        <f>IF(Raw_Claims_Data!G1896="D",1,0)</f>
        <v>0</v>
      </c>
    </row>
    <row r="1898" spans="1:15" x14ac:dyDescent="0.35">
      <c r="A1898" t="str">
        <f>Raw_Claims_Data!A1897</f>
        <v>TXN00001894</v>
      </c>
      <c r="B1898" t="str">
        <f>TRIM(Raw_Claims_Data!B1897)</f>
        <v>Tina Maruschak</v>
      </c>
      <c r="C1898" t="str">
        <f>Raw_Claims_Data!C1897</f>
        <v>Mobile</v>
      </c>
      <c r="D1898">
        <f>Raw_Claims_Data!D1897</f>
        <v>8.2100000000000009</v>
      </c>
      <c r="E1898">
        <f>Raw_Claims_Data!E1897</f>
        <v>500</v>
      </c>
      <c r="F1898" t="str">
        <f>Raw_Claims_Data!F1897</f>
        <v>CA</v>
      </c>
      <c r="G1898" t="str">
        <f>Raw_Claims_Data!G1897</f>
        <v>A</v>
      </c>
      <c r="H1898" t="str">
        <f>Raw_Claims_Data!H1897</f>
        <v>Minor Loss</v>
      </c>
      <c r="I1898" t="str">
        <f>IF(Raw_Claims_Data!I1897="","None",Raw_Claims_Data!I1897)</f>
        <v>Ambulance</v>
      </c>
      <c r="J1898" t="str">
        <f>Raw_Claims_Data!J1897</f>
        <v>Pooler</v>
      </c>
      <c r="K1898" t="str">
        <f>Raw_Claims_Data!K1897</f>
        <v>GA</v>
      </c>
      <c r="L1898">
        <f>Raw_Claims_Data!L1897</f>
        <v>22</v>
      </c>
      <c r="M1898" t="str">
        <f>IF(Raw_Claims_Data!M1897="","N/A",Raw_Claims_Data!M1897)</f>
        <v>N/A</v>
      </c>
      <c r="N1898" t="str">
        <f>Raw_Claims_Data!N1897</f>
        <v>AGENT00008</v>
      </c>
      <c r="O1898">
        <f>IF(Raw_Claims_Data!G1897="D",1,0)</f>
        <v>0</v>
      </c>
    </row>
    <row r="1899" spans="1:15" x14ac:dyDescent="0.35">
      <c r="A1899" t="str">
        <f>Raw_Claims_Data!A1898</f>
        <v>TXN00001895</v>
      </c>
      <c r="B1899" t="str">
        <f>TRIM(Raw_Claims_Data!B1898)</f>
        <v>Michael John</v>
      </c>
      <c r="C1899" t="str">
        <f>Raw_Claims_Data!C1898</f>
        <v>Mobile</v>
      </c>
      <c r="D1899">
        <f>Raw_Claims_Data!D1898</f>
        <v>8.25</v>
      </c>
      <c r="E1899">
        <f>Raw_Claims_Data!E1898</f>
        <v>400</v>
      </c>
      <c r="F1899" t="str">
        <f>Raw_Claims_Data!F1898</f>
        <v>VT</v>
      </c>
      <c r="G1899" t="str">
        <f>Raw_Claims_Data!G1898</f>
        <v>A</v>
      </c>
      <c r="H1899" t="str">
        <f>Raw_Claims_Data!H1898</f>
        <v>Major Loss</v>
      </c>
      <c r="I1899" t="str">
        <f>IF(Raw_Claims_Data!I1898="","None",Raw_Claims_Data!I1898)</f>
        <v>Ambulance</v>
      </c>
      <c r="J1899" t="str">
        <f>Raw_Claims_Data!J1898</f>
        <v>Oklahoma City</v>
      </c>
      <c r="K1899" t="str">
        <f>Raw_Claims_Data!K1898</f>
        <v>OK</v>
      </c>
      <c r="L1899">
        <f>Raw_Claims_Data!L1898</f>
        <v>17</v>
      </c>
      <c r="M1899" t="str">
        <f>IF(Raw_Claims_Data!M1898="","N/A",Raw_Claims_Data!M1898)</f>
        <v>VNDR00402</v>
      </c>
      <c r="N1899" t="str">
        <f>Raw_Claims_Data!N1898</f>
        <v>AGENT00310</v>
      </c>
      <c r="O1899">
        <f>IF(Raw_Claims_Data!G1898="D",1,0)</f>
        <v>0</v>
      </c>
    </row>
    <row r="1900" spans="1:15" x14ac:dyDescent="0.35">
      <c r="A1900" t="str">
        <f>Raw_Claims_Data!A1899</f>
        <v>TXN00001896</v>
      </c>
      <c r="B1900" t="str">
        <f>TRIM(Raw_Claims_Data!B1899)</f>
        <v>Charles Odom</v>
      </c>
      <c r="C1900" t="str">
        <f>Raw_Claims_Data!C1899</f>
        <v>Life</v>
      </c>
      <c r="D1900">
        <f>Raw_Claims_Data!D1899</f>
        <v>98.33</v>
      </c>
      <c r="E1900">
        <f>Raw_Claims_Data!E1899</f>
        <v>86000</v>
      </c>
      <c r="F1900" t="str">
        <f>Raw_Claims_Data!F1899</f>
        <v>OK</v>
      </c>
      <c r="G1900" t="str">
        <f>Raw_Claims_Data!G1899</f>
        <v>A</v>
      </c>
      <c r="H1900" t="str">
        <f>Raw_Claims_Data!H1899</f>
        <v>Major Loss</v>
      </c>
      <c r="I1900" t="str">
        <f>IF(Raw_Claims_Data!I1899="","None",Raw_Claims_Data!I1899)</f>
        <v>None</v>
      </c>
      <c r="J1900" t="str">
        <f>Raw_Claims_Data!J1899</f>
        <v>Nashville</v>
      </c>
      <c r="K1900" t="str">
        <f>Raw_Claims_Data!K1899</f>
        <v>TN</v>
      </c>
      <c r="L1900">
        <f>Raw_Claims_Data!L1899</f>
        <v>15</v>
      </c>
      <c r="M1900" t="str">
        <f>IF(Raw_Claims_Data!M1899="","N/A",Raw_Claims_Data!M1899)</f>
        <v>VNDR00226</v>
      </c>
      <c r="N1900" t="str">
        <f>Raw_Claims_Data!N1899</f>
        <v>AGENT00789</v>
      </c>
      <c r="O1900">
        <f>IF(Raw_Claims_Data!G1899="D",1,0)</f>
        <v>0</v>
      </c>
    </row>
    <row r="1901" spans="1:15" x14ac:dyDescent="0.35">
      <c r="A1901" t="str">
        <f>Raw_Claims_Data!A1900</f>
        <v>TXN00001897</v>
      </c>
      <c r="B1901" t="str">
        <f>TRIM(Raw_Claims_Data!B1900)</f>
        <v>Grace Barton</v>
      </c>
      <c r="C1901" t="str">
        <f>Raw_Claims_Data!C1900</f>
        <v>Motor</v>
      </c>
      <c r="D1901">
        <f>Raw_Claims_Data!D1900</f>
        <v>134.96</v>
      </c>
      <c r="E1901">
        <f>Raw_Claims_Data!E1900</f>
        <v>6000</v>
      </c>
      <c r="F1901" t="str">
        <f>Raw_Claims_Data!F1900</f>
        <v>DC</v>
      </c>
      <c r="G1901" t="str">
        <f>Raw_Claims_Data!G1900</f>
        <v>A</v>
      </c>
      <c r="H1901" t="str">
        <f>Raw_Claims_Data!H1900</f>
        <v>Minor Loss</v>
      </c>
      <c r="I1901" t="str">
        <f>IF(Raw_Claims_Data!I1900="","None",Raw_Claims_Data!I1900)</f>
        <v>Ambulance</v>
      </c>
      <c r="J1901" t="str">
        <f>Raw_Claims_Data!J1900</f>
        <v>Washington</v>
      </c>
      <c r="K1901" t="str">
        <f>Raw_Claims_Data!K1900</f>
        <v>DC</v>
      </c>
      <c r="L1901">
        <f>Raw_Claims_Data!L1900</f>
        <v>22</v>
      </c>
      <c r="M1901" t="str">
        <f>IF(Raw_Claims_Data!M1900="","N/A",Raw_Claims_Data!M1900)</f>
        <v>N/A</v>
      </c>
      <c r="N1901" t="str">
        <f>Raw_Claims_Data!N1900</f>
        <v>AGENT00505</v>
      </c>
      <c r="O1901">
        <f>IF(Raw_Claims_Data!G1900="D",1,0)</f>
        <v>0</v>
      </c>
    </row>
    <row r="1902" spans="1:15" x14ac:dyDescent="0.35">
      <c r="A1902" t="str">
        <f>Raw_Claims_Data!A1901</f>
        <v>TXN00001898</v>
      </c>
      <c r="B1902" t="str">
        <f>TRIM(Raw_Claims_Data!B1901)</f>
        <v>Patricia Wasilewski</v>
      </c>
      <c r="C1902" t="str">
        <f>Raw_Claims_Data!C1901</f>
        <v>Motor</v>
      </c>
      <c r="D1902">
        <f>Raw_Claims_Data!D1901</f>
        <v>126.05</v>
      </c>
      <c r="E1902">
        <f>Raw_Claims_Data!E1901</f>
        <v>6000</v>
      </c>
      <c r="F1902" t="str">
        <f>Raw_Claims_Data!F1901</f>
        <v>VT</v>
      </c>
      <c r="G1902" t="str">
        <f>Raw_Claims_Data!G1901</f>
        <v>A</v>
      </c>
      <c r="H1902" t="str">
        <f>Raw_Claims_Data!H1901</f>
        <v>Total Loss</v>
      </c>
      <c r="I1902" t="str">
        <f>IF(Raw_Claims_Data!I1901="","None",Raw_Claims_Data!I1901)</f>
        <v>Ambulance</v>
      </c>
      <c r="J1902" t="str">
        <f>Raw_Claims_Data!J1901</f>
        <v>Nashville</v>
      </c>
      <c r="K1902" t="str">
        <f>Raw_Claims_Data!K1901</f>
        <v>TN</v>
      </c>
      <c r="L1902">
        <f>Raw_Claims_Data!L1901</f>
        <v>12</v>
      </c>
      <c r="M1902" t="str">
        <f>IF(Raw_Claims_Data!M1901="","N/A",Raw_Claims_Data!M1901)</f>
        <v>VNDR00307</v>
      </c>
      <c r="N1902" t="str">
        <f>Raw_Claims_Data!N1901</f>
        <v>AGENT00503</v>
      </c>
      <c r="O1902">
        <f>IF(Raw_Claims_Data!G1901="D",1,0)</f>
        <v>0</v>
      </c>
    </row>
    <row r="1903" spans="1:15" x14ac:dyDescent="0.35">
      <c r="A1903" t="str">
        <f>Raw_Claims_Data!A1902</f>
        <v>TXN00001899</v>
      </c>
      <c r="B1903" t="str">
        <f>TRIM(Raw_Claims_Data!B1902)</f>
        <v>Harry Talbert</v>
      </c>
      <c r="C1903" t="str">
        <f>Raw_Claims_Data!C1902</f>
        <v>Travel</v>
      </c>
      <c r="D1903">
        <f>Raw_Claims_Data!D1902</f>
        <v>60.36</v>
      </c>
      <c r="E1903">
        <f>Raw_Claims_Data!E1902</f>
        <v>4000</v>
      </c>
      <c r="F1903" t="str">
        <f>Raw_Claims_Data!F1902</f>
        <v>GA</v>
      </c>
      <c r="G1903" t="str">
        <f>Raw_Claims_Data!G1902</f>
        <v>A</v>
      </c>
      <c r="H1903" t="str">
        <f>Raw_Claims_Data!H1902</f>
        <v>Major Loss</v>
      </c>
      <c r="I1903" t="str">
        <f>IF(Raw_Claims_Data!I1902="","None",Raw_Claims_Data!I1902)</f>
        <v>Ambulance</v>
      </c>
      <c r="J1903" t="str">
        <f>Raw_Claims_Data!J1902</f>
        <v>Boulder</v>
      </c>
      <c r="K1903" t="str">
        <f>Raw_Claims_Data!K1902</f>
        <v>CO</v>
      </c>
      <c r="L1903">
        <f>Raw_Claims_Data!L1902</f>
        <v>22</v>
      </c>
      <c r="M1903" t="str">
        <f>IF(Raw_Claims_Data!M1902="","N/A",Raw_Claims_Data!M1902)</f>
        <v>N/A</v>
      </c>
      <c r="N1903" t="str">
        <f>Raw_Claims_Data!N1902</f>
        <v>AGENT00424</v>
      </c>
      <c r="O1903">
        <f>IF(Raw_Claims_Data!G1902="D",1,0)</f>
        <v>0</v>
      </c>
    </row>
    <row r="1904" spans="1:15" x14ac:dyDescent="0.35">
      <c r="A1904" t="str">
        <f>Raw_Claims_Data!A1903</f>
        <v>TXN00001900</v>
      </c>
      <c r="B1904" t="str">
        <f>TRIM(Raw_Claims_Data!B1903)</f>
        <v>Richard Mondragon</v>
      </c>
      <c r="C1904" t="str">
        <f>Raw_Claims_Data!C1903</f>
        <v>Property</v>
      </c>
      <c r="D1904">
        <f>Raw_Claims_Data!D1903</f>
        <v>120.75</v>
      </c>
      <c r="E1904">
        <f>Raw_Claims_Data!E1903</f>
        <v>17000</v>
      </c>
      <c r="F1904" t="str">
        <f>Raw_Claims_Data!F1903</f>
        <v>FL</v>
      </c>
      <c r="G1904" t="str">
        <f>Raw_Claims_Data!G1903</f>
        <v>A</v>
      </c>
      <c r="H1904" t="str">
        <f>Raw_Claims_Data!H1903</f>
        <v>Total Loss</v>
      </c>
      <c r="I1904" t="str">
        <f>IF(Raw_Claims_Data!I1903="","None",Raw_Claims_Data!I1903)</f>
        <v>Other</v>
      </c>
      <c r="J1904" t="str">
        <f>Raw_Claims_Data!J1903</f>
        <v>South Lake Tahoe</v>
      </c>
      <c r="K1904" t="str">
        <f>Raw_Claims_Data!K1903</f>
        <v>CA</v>
      </c>
      <c r="L1904">
        <f>Raw_Claims_Data!L1903</f>
        <v>5</v>
      </c>
      <c r="M1904" t="str">
        <f>IF(Raw_Claims_Data!M1903="","N/A",Raw_Claims_Data!M1903)</f>
        <v>VNDR00398</v>
      </c>
      <c r="N1904" t="str">
        <f>Raw_Claims_Data!N1903</f>
        <v>AGENT01021</v>
      </c>
      <c r="O1904">
        <f>IF(Raw_Claims_Data!G1903="D",1,0)</f>
        <v>0</v>
      </c>
    </row>
    <row r="1905" spans="1:15" x14ac:dyDescent="0.35">
      <c r="A1905" t="str">
        <f>Raw_Claims_Data!A1904</f>
        <v>TXN00001901</v>
      </c>
      <c r="B1905" t="str">
        <f>TRIM(Raw_Claims_Data!B1904)</f>
        <v>Willie Kitchin</v>
      </c>
      <c r="C1905" t="str">
        <f>Raw_Claims_Data!C1904</f>
        <v>Property</v>
      </c>
      <c r="D1905">
        <f>Raw_Claims_Data!D1904</f>
        <v>95.21</v>
      </c>
      <c r="E1905">
        <f>Raw_Claims_Data!E1904</f>
        <v>14000</v>
      </c>
      <c r="F1905" t="str">
        <f>Raw_Claims_Data!F1904</f>
        <v>AK</v>
      </c>
      <c r="G1905" t="str">
        <f>Raw_Claims_Data!G1904</f>
        <v>A</v>
      </c>
      <c r="H1905" t="str">
        <f>Raw_Claims_Data!H1904</f>
        <v>Major Loss</v>
      </c>
      <c r="I1905" t="str">
        <f>IF(Raw_Claims_Data!I1904="","None",Raw_Claims_Data!I1904)</f>
        <v>Other</v>
      </c>
      <c r="J1905" t="str">
        <f>Raw_Claims_Data!J1904</f>
        <v>Louisville</v>
      </c>
      <c r="K1905" t="str">
        <f>Raw_Claims_Data!K1904</f>
        <v>KY</v>
      </c>
      <c r="L1905">
        <f>Raw_Claims_Data!L1904</f>
        <v>22</v>
      </c>
      <c r="M1905" t="str">
        <f>IF(Raw_Claims_Data!M1904="","N/A",Raw_Claims_Data!M1904)</f>
        <v>VNDR00150</v>
      </c>
      <c r="N1905" t="str">
        <f>Raw_Claims_Data!N1904</f>
        <v>AGENT00280</v>
      </c>
      <c r="O1905">
        <f>IF(Raw_Claims_Data!G1904="D",1,0)</f>
        <v>0</v>
      </c>
    </row>
    <row r="1906" spans="1:15" x14ac:dyDescent="0.35">
      <c r="A1906" t="str">
        <f>Raw_Claims_Data!A1905</f>
        <v>TXN00001902</v>
      </c>
      <c r="B1906" t="str">
        <f>TRIM(Raw_Claims_Data!B1905)</f>
        <v>Leanne Hanson</v>
      </c>
      <c r="C1906" t="str">
        <f>Raw_Claims_Data!C1905</f>
        <v>Life</v>
      </c>
      <c r="D1906">
        <f>Raw_Claims_Data!D1905</f>
        <v>75.87</v>
      </c>
      <c r="E1906">
        <f>Raw_Claims_Data!E1905</f>
        <v>69000</v>
      </c>
      <c r="F1906" t="str">
        <f>Raw_Claims_Data!F1905</f>
        <v>VT</v>
      </c>
      <c r="G1906" t="str">
        <f>Raw_Claims_Data!G1905</f>
        <v>D</v>
      </c>
      <c r="H1906" t="str">
        <f>Raw_Claims_Data!H1905</f>
        <v>Total Loss</v>
      </c>
      <c r="I1906" t="str">
        <f>IF(Raw_Claims_Data!I1905="","None",Raw_Claims_Data!I1905)</f>
        <v>None</v>
      </c>
      <c r="J1906" t="str">
        <f>Raw_Claims_Data!J1905</f>
        <v>Quincy</v>
      </c>
      <c r="K1906" t="str">
        <f>Raw_Claims_Data!K1905</f>
        <v>MA</v>
      </c>
      <c r="L1906">
        <f>Raw_Claims_Data!L1905</f>
        <v>13</v>
      </c>
      <c r="M1906" t="str">
        <f>IF(Raw_Claims_Data!M1905="","N/A",Raw_Claims_Data!M1905)</f>
        <v>VNDR00094</v>
      </c>
      <c r="N1906" t="str">
        <f>Raw_Claims_Data!N1905</f>
        <v>AGENT00618</v>
      </c>
      <c r="O1906">
        <f>IF(Raw_Claims_Data!G1905="D",1,0)</f>
        <v>1</v>
      </c>
    </row>
    <row r="1907" spans="1:15" x14ac:dyDescent="0.35">
      <c r="A1907" t="str">
        <f>Raw_Claims_Data!A1906</f>
        <v>TXN00001903</v>
      </c>
      <c r="B1907" t="str">
        <f>TRIM(Raw_Claims_Data!B1906)</f>
        <v>Loyd Cash</v>
      </c>
      <c r="C1907" t="str">
        <f>Raw_Claims_Data!C1906</f>
        <v>Health</v>
      </c>
      <c r="D1907">
        <f>Raw_Claims_Data!D1906</f>
        <v>109.46</v>
      </c>
      <c r="E1907">
        <f>Raw_Claims_Data!E1906</f>
        <v>4000</v>
      </c>
      <c r="F1907" t="str">
        <f>Raw_Claims_Data!F1906</f>
        <v>AR</v>
      </c>
      <c r="G1907" t="str">
        <f>Raw_Claims_Data!G1906</f>
        <v>A</v>
      </c>
      <c r="H1907" t="str">
        <f>Raw_Claims_Data!H1906</f>
        <v>Minor Loss</v>
      </c>
      <c r="I1907" t="str">
        <f>IF(Raw_Claims_Data!I1906="","None",Raw_Claims_Data!I1906)</f>
        <v>Ambulance</v>
      </c>
      <c r="J1907" t="str">
        <f>Raw_Claims_Data!J1906</f>
        <v>Oklahoma City</v>
      </c>
      <c r="K1907" t="str">
        <f>Raw_Claims_Data!K1906</f>
        <v>OK</v>
      </c>
      <c r="L1907">
        <f>Raw_Claims_Data!L1906</f>
        <v>23</v>
      </c>
      <c r="M1907" t="str">
        <f>IF(Raw_Claims_Data!M1906="","N/A",Raw_Claims_Data!M1906)</f>
        <v>VNDR00074</v>
      </c>
      <c r="N1907" t="str">
        <f>Raw_Claims_Data!N1906</f>
        <v>AGENT00601</v>
      </c>
      <c r="O1907">
        <f>IF(Raw_Claims_Data!G1906="D",1,0)</f>
        <v>0</v>
      </c>
    </row>
    <row r="1908" spans="1:15" x14ac:dyDescent="0.35">
      <c r="A1908" t="str">
        <f>Raw_Claims_Data!A1907</f>
        <v>TXN00001904</v>
      </c>
      <c r="B1908" t="str">
        <f>TRIM(Raw_Claims_Data!B1907)</f>
        <v>Melissa Sutton</v>
      </c>
      <c r="C1908" t="str">
        <f>Raw_Claims_Data!C1907</f>
        <v>Travel</v>
      </c>
      <c r="D1908">
        <f>Raw_Claims_Data!D1907</f>
        <v>87.39</v>
      </c>
      <c r="E1908">
        <f>Raw_Claims_Data!E1907</f>
        <v>3000</v>
      </c>
      <c r="F1908" t="str">
        <f>Raw_Claims_Data!F1907</f>
        <v>KY</v>
      </c>
      <c r="G1908" t="str">
        <f>Raw_Claims_Data!G1907</f>
        <v>A</v>
      </c>
      <c r="H1908" t="str">
        <f>Raw_Claims_Data!H1907</f>
        <v>Minor Loss</v>
      </c>
      <c r="I1908" t="str">
        <f>IF(Raw_Claims_Data!I1907="","None",Raw_Claims_Data!I1907)</f>
        <v>None</v>
      </c>
      <c r="J1908" t="str">
        <f>Raw_Claims_Data!J1907</f>
        <v>Louisville</v>
      </c>
      <c r="K1908" t="str">
        <f>Raw_Claims_Data!K1907</f>
        <v>KY</v>
      </c>
      <c r="L1908">
        <f>Raw_Claims_Data!L1907</f>
        <v>17</v>
      </c>
      <c r="M1908" t="str">
        <f>IF(Raw_Claims_Data!M1907="","N/A",Raw_Claims_Data!M1907)</f>
        <v>N/A</v>
      </c>
      <c r="N1908" t="str">
        <f>Raw_Claims_Data!N1907</f>
        <v>AGENT00730</v>
      </c>
      <c r="O1908">
        <f>IF(Raw_Claims_Data!G1907="D",1,0)</f>
        <v>0</v>
      </c>
    </row>
    <row r="1909" spans="1:15" x14ac:dyDescent="0.35">
      <c r="A1909" t="str">
        <f>Raw_Claims_Data!A1908</f>
        <v>TXN00001905</v>
      </c>
      <c r="B1909" t="str">
        <f>TRIM(Raw_Claims_Data!B1908)</f>
        <v>Brad Brasure</v>
      </c>
      <c r="C1909" t="str">
        <f>Raw_Claims_Data!C1908</f>
        <v>Health</v>
      </c>
      <c r="D1909">
        <f>Raw_Claims_Data!D1908</f>
        <v>145.33000000000001</v>
      </c>
      <c r="E1909">
        <f>Raw_Claims_Data!E1908</f>
        <v>13000</v>
      </c>
      <c r="F1909" t="str">
        <f>Raw_Claims_Data!F1908</f>
        <v>AR</v>
      </c>
      <c r="G1909" t="str">
        <f>Raw_Claims_Data!G1908</f>
        <v>A</v>
      </c>
      <c r="H1909" t="str">
        <f>Raw_Claims_Data!H1908</f>
        <v>Minor Loss</v>
      </c>
      <c r="I1909" t="str">
        <f>IF(Raw_Claims_Data!I1908="","None",Raw_Claims_Data!I1908)</f>
        <v>Police</v>
      </c>
      <c r="J1909" t="str">
        <f>Raw_Claims_Data!J1908</f>
        <v>Haverhill</v>
      </c>
      <c r="K1909" t="str">
        <f>Raw_Claims_Data!K1908</f>
        <v>MA</v>
      </c>
      <c r="L1909">
        <f>Raw_Claims_Data!L1908</f>
        <v>7</v>
      </c>
      <c r="M1909" t="str">
        <f>IF(Raw_Claims_Data!M1908="","N/A",Raw_Claims_Data!M1908)</f>
        <v>VNDR00415</v>
      </c>
      <c r="N1909" t="str">
        <f>Raw_Claims_Data!N1908</f>
        <v>AGENT00845</v>
      </c>
      <c r="O1909">
        <f>IF(Raw_Claims_Data!G1908="D",1,0)</f>
        <v>0</v>
      </c>
    </row>
    <row r="1910" spans="1:15" x14ac:dyDescent="0.35">
      <c r="A1910" t="str">
        <f>Raw_Claims_Data!A1909</f>
        <v>TXN00001906</v>
      </c>
      <c r="B1910" t="str">
        <f>TRIM(Raw_Claims_Data!B1909)</f>
        <v>Darryl Gandy</v>
      </c>
      <c r="C1910" t="str">
        <f>Raw_Claims_Data!C1909</f>
        <v>Health</v>
      </c>
      <c r="D1910">
        <f>Raw_Claims_Data!D1909</f>
        <v>100.99</v>
      </c>
      <c r="E1910">
        <f>Raw_Claims_Data!E1909</f>
        <v>17000</v>
      </c>
      <c r="F1910" t="str">
        <f>Raw_Claims_Data!F1909</f>
        <v>AZ</v>
      </c>
      <c r="G1910" t="str">
        <f>Raw_Claims_Data!G1909</f>
        <v>A</v>
      </c>
      <c r="H1910" t="str">
        <f>Raw_Claims_Data!H1909</f>
        <v>Minor Loss</v>
      </c>
      <c r="I1910" t="str">
        <f>IF(Raw_Claims_Data!I1909="","None",Raw_Claims_Data!I1909)</f>
        <v>Police</v>
      </c>
      <c r="J1910" t="str">
        <f>Raw_Claims_Data!J1909</f>
        <v>Nashville</v>
      </c>
      <c r="K1910" t="str">
        <f>Raw_Claims_Data!K1909</f>
        <v>TN</v>
      </c>
      <c r="L1910">
        <f>Raw_Claims_Data!L1909</f>
        <v>19</v>
      </c>
      <c r="M1910" t="str">
        <f>IF(Raw_Claims_Data!M1909="","N/A",Raw_Claims_Data!M1909)</f>
        <v>VNDR00058</v>
      </c>
      <c r="N1910" t="str">
        <f>Raw_Claims_Data!N1909</f>
        <v>AGENT00931</v>
      </c>
      <c r="O1910">
        <f>IF(Raw_Claims_Data!G1909="D",1,0)</f>
        <v>0</v>
      </c>
    </row>
    <row r="1911" spans="1:15" x14ac:dyDescent="0.35">
      <c r="A1911" t="str">
        <f>Raw_Claims_Data!A1910</f>
        <v>TXN00001907</v>
      </c>
      <c r="B1911" t="str">
        <f>TRIM(Raw_Claims_Data!B1910)</f>
        <v>Benjamin Essex</v>
      </c>
      <c r="C1911" t="str">
        <f>Raw_Claims_Data!C1910</f>
        <v>Health</v>
      </c>
      <c r="D1911">
        <f>Raw_Claims_Data!D1910</f>
        <v>177.72</v>
      </c>
      <c r="E1911">
        <f>Raw_Claims_Data!E1910</f>
        <v>8000</v>
      </c>
      <c r="F1911" t="str">
        <f>Raw_Claims_Data!F1910</f>
        <v>CA</v>
      </c>
      <c r="G1911" t="str">
        <f>Raw_Claims_Data!G1910</f>
        <v>A</v>
      </c>
      <c r="H1911" t="str">
        <f>Raw_Claims_Data!H1910</f>
        <v>Minor Loss</v>
      </c>
      <c r="I1911" t="str">
        <f>IF(Raw_Claims_Data!I1910="","None",Raw_Claims_Data!I1910)</f>
        <v>Police</v>
      </c>
      <c r="J1911" t="str">
        <f>Raw_Claims_Data!J1910</f>
        <v>Manchester</v>
      </c>
      <c r="K1911" t="str">
        <f>Raw_Claims_Data!K1910</f>
        <v>CT</v>
      </c>
      <c r="L1911">
        <f>Raw_Claims_Data!L1910</f>
        <v>23</v>
      </c>
      <c r="M1911" t="str">
        <f>IF(Raw_Claims_Data!M1910="","N/A",Raw_Claims_Data!M1910)</f>
        <v>N/A</v>
      </c>
      <c r="N1911" t="str">
        <f>Raw_Claims_Data!N1910</f>
        <v>AGENT00956</v>
      </c>
      <c r="O1911">
        <f>IF(Raw_Claims_Data!G1910="D",1,0)</f>
        <v>0</v>
      </c>
    </row>
    <row r="1912" spans="1:15" x14ac:dyDescent="0.35">
      <c r="A1912" t="str">
        <f>Raw_Claims_Data!A1911</f>
        <v>TXN00001908</v>
      </c>
      <c r="B1912" t="str">
        <f>TRIM(Raw_Claims_Data!B1911)</f>
        <v>Randall Baker</v>
      </c>
      <c r="C1912" t="str">
        <f>Raw_Claims_Data!C1911</f>
        <v>Travel</v>
      </c>
      <c r="D1912">
        <f>Raw_Claims_Data!D1911</f>
        <v>76.37</v>
      </c>
      <c r="E1912">
        <f>Raw_Claims_Data!E1911</f>
        <v>3000</v>
      </c>
      <c r="F1912" t="str">
        <f>Raw_Claims_Data!F1911</f>
        <v>AL</v>
      </c>
      <c r="G1912" t="str">
        <f>Raw_Claims_Data!G1911</f>
        <v>A</v>
      </c>
      <c r="H1912" t="str">
        <f>Raw_Claims_Data!H1911</f>
        <v>Total Loss</v>
      </c>
      <c r="I1912" t="str">
        <f>IF(Raw_Claims_Data!I1911="","None",Raw_Claims_Data!I1911)</f>
        <v>Ambulance</v>
      </c>
      <c r="J1912" t="str">
        <f>Raw_Claims_Data!J1911</f>
        <v>Boulder</v>
      </c>
      <c r="K1912" t="str">
        <f>Raw_Claims_Data!K1911</f>
        <v>CO</v>
      </c>
      <c r="L1912">
        <f>Raw_Claims_Data!L1911</f>
        <v>10</v>
      </c>
      <c r="M1912" t="str">
        <f>IF(Raw_Claims_Data!M1911="","N/A",Raw_Claims_Data!M1911)</f>
        <v>N/A</v>
      </c>
      <c r="N1912" t="str">
        <f>Raw_Claims_Data!N1911</f>
        <v>AGENT00990</v>
      </c>
      <c r="O1912">
        <f>IF(Raw_Claims_Data!G1911="D",1,0)</f>
        <v>0</v>
      </c>
    </row>
    <row r="1913" spans="1:15" x14ac:dyDescent="0.35">
      <c r="A1913" t="str">
        <f>Raw_Claims_Data!A1912</f>
        <v>TXN00001909</v>
      </c>
      <c r="B1913" t="str">
        <f>TRIM(Raw_Claims_Data!B1912)</f>
        <v>Michael Ricci</v>
      </c>
      <c r="C1913" t="str">
        <f>Raw_Claims_Data!C1912</f>
        <v>Mobile</v>
      </c>
      <c r="D1913">
        <f>Raw_Claims_Data!D1912</f>
        <v>11.49</v>
      </c>
      <c r="E1913">
        <f>Raw_Claims_Data!E1912</f>
        <v>700</v>
      </c>
      <c r="F1913" t="str">
        <f>Raw_Claims_Data!F1912</f>
        <v>DC</v>
      </c>
      <c r="G1913" t="str">
        <f>Raw_Claims_Data!G1912</f>
        <v>A</v>
      </c>
      <c r="H1913" t="str">
        <f>Raw_Claims_Data!H1912</f>
        <v>Major Loss</v>
      </c>
      <c r="I1913" t="str">
        <f>IF(Raw_Claims_Data!I1912="","None",Raw_Claims_Data!I1912)</f>
        <v>Ambulance</v>
      </c>
      <c r="J1913" t="str">
        <f>Raw_Claims_Data!J1912</f>
        <v>Fayetteville</v>
      </c>
      <c r="K1913" t="str">
        <f>Raw_Claims_Data!K1912</f>
        <v>AR</v>
      </c>
      <c r="L1913">
        <f>Raw_Claims_Data!L1912</f>
        <v>3</v>
      </c>
      <c r="M1913" t="str">
        <f>IF(Raw_Claims_Data!M1912="","N/A",Raw_Claims_Data!M1912)</f>
        <v>VNDR00010</v>
      </c>
      <c r="N1913" t="str">
        <f>Raw_Claims_Data!N1912</f>
        <v>AGENT00860</v>
      </c>
      <c r="O1913">
        <f>IF(Raw_Claims_Data!G1912="D",1,0)</f>
        <v>0</v>
      </c>
    </row>
    <row r="1914" spans="1:15" x14ac:dyDescent="0.35">
      <c r="A1914" t="str">
        <f>Raw_Claims_Data!A1913</f>
        <v>TXN00001910</v>
      </c>
      <c r="B1914" t="str">
        <f>TRIM(Raw_Claims_Data!B1913)</f>
        <v>David Mimaki</v>
      </c>
      <c r="C1914" t="str">
        <f>Raw_Claims_Data!C1913</f>
        <v>Health</v>
      </c>
      <c r="D1914">
        <f>Raw_Claims_Data!D1913</f>
        <v>193.2</v>
      </c>
      <c r="E1914">
        <f>Raw_Claims_Data!E1913</f>
        <v>16000</v>
      </c>
      <c r="F1914" t="str">
        <f>Raw_Claims_Data!F1913</f>
        <v>CA</v>
      </c>
      <c r="G1914" t="str">
        <f>Raw_Claims_Data!G1913</f>
        <v>D</v>
      </c>
      <c r="H1914" t="str">
        <f>Raw_Claims_Data!H1913</f>
        <v>Total Loss</v>
      </c>
      <c r="I1914" t="str">
        <f>IF(Raw_Claims_Data!I1913="","None",Raw_Claims_Data!I1913)</f>
        <v>None</v>
      </c>
      <c r="J1914" t="str">
        <f>Raw_Claims_Data!J1913</f>
        <v>Anchorage</v>
      </c>
      <c r="K1914" t="str">
        <f>Raw_Claims_Data!K1913</f>
        <v>AK</v>
      </c>
      <c r="L1914">
        <f>Raw_Claims_Data!L1913</f>
        <v>10</v>
      </c>
      <c r="M1914" t="str">
        <f>IF(Raw_Claims_Data!M1913="","N/A",Raw_Claims_Data!M1913)</f>
        <v>VNDR00052</v>
      </c>
      <c r="N1914" t="str">
        <f>Raw_Claims_Data!N1913</f>
        <v>AGENT00571</v>
      </c>
      <c r="O1914">
        <f>IF(Raw_Claims_Data!G1913="D",1,0)</f>
        <v>1</v>
      </c>
    </row>
    <row r="1915" spans="1:15" x14ac:dyDescent="0.35">
      <c r="A1915" t="str">
        <f>Raw_Claims_Data!A1914</f>
        <v>TXN00001911</v>
      </c>
      <c r="B1915" t="str">
        <f>TRIM(Raw_Claims_Data!B1914)</f>
        <v>Eddie Mcdonald</v>
      </c>
      <c r="C1915" t="str">
        <f>Raw_Claims_Data!C1914</f>
        <v>Mobile</v>
      </c>
      <c r="D1915">
        <f>Raw_Claims_Data!D1914</f>
        <v>10.4</v>
      </c>
      <c r="E1915">
        <f>Raw_Claims_Data!E1914</f>
        <v>700</v>
      </c>
      <c r="F1915" t="str">
        <f>Raw_Claims_Data!F1914</f>
        <v>FL</v>
      </c>
      <c r="G1915" t="str">
        <f>Raw_Claims_Data!G1914</f>
        <v>A</v>
      </c>
      <c r="H1915" t="str">
        <f>Raw_Claims_Data!H1914</f>
        <v>Major Loss</v>
      </c>
      <c r="I1915" t="str">
        <f>IF(Raw_Claims_Data!I1914="","None",Raw_Claims_Data!I1914)</f>
        <v>Police</v>
      </c>
      <c r="J1915" t="str">
        <f>Raw_Claims_Data!J1914</f>
        <v>Fayetteville</v>
      </c>
      <c r="K1915" t="str">
        <f>Raw_Claims_Data!K1914</f>
        <v>AR</v>
      </c>
      <c r="L1915">
        <f>Raw_Claims_Data!L1914</f>
        <v>16</v>
      </c>
      <c r="M1915" t="str">
        <f>IF(Raw_Claims_Data!M1914="","N/A",Raw_Claims_Data!M1914)</f>
        <v>N/A</v>
      </c>
      <c r="N1915" t="str">
        <f>Raw_Claims_Data!N1914</f>
        <v>AGENT00428</v>
      </c>
      <c r="O1915">
        <f>IF(Raw_Claims_Data!G1914="D",1,0)</f>
        <v>0</v>
      </c>
    </row>
    <row r="1916" spans="1:15" x14ac:dyDescent="0.35">
      <c r="A1916" t="str">
        <f>Raw_Claims_Data!A1915</f>
        <v>TXN00001912</v>
      </c>
      <c r="B1916" t="str">
        <f>TRIM(Raw_Claims_Data!B1915)</f>
        <v>Matthew Mahn</v>
      </c>
      <c r="C1916" t="str">
        <f>Raw_Claims_Data!C1915</f>
        <v>Travel</v>
      </c>
      <c r="D1916">
        <f>Raw_Claims_Data!D1915</f>
        <v>66.459999999999994</v>
      </c>
      <c r="E1916">
        <f>Raw_Claims_Data!E1915</f>
        <v>2000</v>
      </c>
      <c r="F1916" t="str">
        <f>Raw_Claims_Data!F1915</f>
        <v>CA</v>
      </c>
      <c r="G1916" t="str">
        <f>Raw_Claims_Data!G1915</f>
        <v>A</v>
      </c>
      <c r="H1916" t="str">
        <f>Raw_Claims_Data!H1915</f>
        <v>Minor Loss</v>
      </c>
      <c r="I1916" t="str">
        <f>IF(Raw_Claims_Data!I1915="","None",Raw_Claims_Data!I1915)</f>
        <v>None</v>
      </c>
      <c r="J1916" t="str">
        <f>Raw_Claims_Data!J1915</f>
        <v>Easton</v>
      </c>
      <c r="K1916" t="str">
        <f>Raw_Claims_Data!K1915</f>
        <v>MA</v>
      </c>
      <c r="L1916">
        <f>Raw_Claims_Data!L1915</f>
        <v>23</v>
      </c>
      <c r="M1916" t="str">
        <f>IF(Raw_Claims_Data!M1915="","N/A",Raw_Claims_Data!M1915)</f>
        <v>VNDR00319</v>
      </c>
      <c r="N1916" t="str">
        <f>Raw_Claims_Data!N1915</f>
        <v>AGENT00403</v>
      </c>
      <c r="O1916">
        <f>IF(Raw_Claims_Data!G1915="D",1,0)</f>
        <v>0</v>
      </c>
    </row>
    <row r="1917" spans="1:15" x14ac:dyDescent="0.35">
      <c r="A1917" t="str">
        <f>Raw_Claims_Data!A1916</f>
        <v>TXN00001913</v>
      </c>
      <c r="B1917" t="str">
        <f>TRIM(Raw_Claims_Data!B1916)</f>
        <v>Dorothy Mortimer</v>
      </c>
      <c r="C1917" t="str">
        <f>Raw_Claims_Data!C1916</f>
        <v>Travel</v>
      </c>
      <c r="D1917">
        <f>Raw_Claims_Data!D1916</f>
        <v>91.1</v>
      </c>
      <c r="E1917">
        <f>Raw_Claims_Data!E1916</f>
        <v>2000</v>
      </c>
      <c r="F1917" t="str">
        <f>Raw_Claims_Data!F1916</f>
        <v>OK</v>
      </c>
      <c r="G1917" t="str">
        <f>Raw_Claims_Data!G1916</f>
        <v>A</v>
      </c>
      <c r="H1917" t="str">
        <f>Raw_Claims_Data!H1916</f>
        <v>Minor Loss</v>
      </c>
      <c r="I1917" t="str">
        <f>IF(Raw_Claims_Data!I1916="","None",Raw_Claims_Data!I1916)</f>
        <v>Ambulance</v>
      </c>
      <c r="J1917" t="str">
        <f>Raw_Claims_Data!J1916</f>
        <v>Pooler</v>
      </c>
      <c r="K1917" t="str">
        <f>Raw_Claims_Data!K1916</f>
        <v>GA</v>
      </c>
      <c r="L1917">
        <f>Raw_Claims_Data!L1916</f>
        <v>14</v>
      </c>
      <c r="M1917" t="str">
        <f>IF(Raw_Claims_Data!M1916="","N/A",Raw_Claims_Data!M1916)</f>
        <v>VNDR00357</v>
      </c>
      <c r="N1917" t="str">
        <f>Raw_Claims_Data!N1916</f>
        <v>AGENT00158</v>
      </c>
      <c r="O1917">
        <f>IF(Raw_Claims_Data!G1916="D",1,0)</f>
        <v>0</v>
      </c>
    </row>
    <row r="1918" spans="1:15" x14ac:dyDescent="0.35">
      <c r="A1918" t="str">
        <f>Raw_Claims_Data!A1917</f>
        <v>TXN00001914</v>
      </c>
      <c r="B1918" t="str">
        <f>TRIM(Raw_Claims_Data!B1917)</f>
        <v>Matthew Burt</v>
      </c>
      <c r="C1918" t="str">
        <f>Raw_Claims_Data!C1917</f>
        <v>Property</v>
      </c>
      <c r="D1918">
        <f>Raw_Claims_Data!D1917</f>
        <v>95.93</v>
      </c>
      <c r="E1918">
        <f>Raw_Claims_Data!E1917</f>
        <v>37000</v>
      </c>
      <c r="F1918" t="str">
        <f>Raw_Claims_Data!F1917</f>
        <v>DC</v>
      </c>
      <c r="G1918" t="str">
        <f>Raw_Claims_Data!G1917</f>
        <v>A</v>
      </c>
      <c r="H1918" t="str">
        <f>Raw_Claims_Data!H1917</f>
        <v>Minor Loss</v>
      </c>
      <c r="I1918" t="str">
        <f>IF(Raw_Claims_Data!I1917="","None",Raw_Claims_Data!I1917)</f>
        <v>Police</v>
      </c>
      <c r="J1918" t="str">
        <f>Raw_Claims_Data!J1917</f>
        <v>Fayetteville</v>
      </c>
      <c r="K1918" t="str">
        <f>Raw_Claims_Data!K1917</f>
        <v>AR</v>
      </c>
      <c r="L1918">
        <f>Raw_Claims_Data!L1917</f>
        <v>14</v>
      </c>
      <c r="M1918" t="str">
        <f>IF(Raw_Claims_Data!M1917="","N/A",Raw_Claims_Data!M1917)</f>
        <v>N/A</v>
      </c>
      <c r="N1918" t="str">
        <f>Raw_Claims_Data!N1917</f>
        <v>AGENT00165</v>
      </c>
      <c r="O1918">
        <f>IF(Raw_Claims_Data!G1917="D",1,0)</f>
        <v>0</v>
      </c>
    </row>
    <row r="1919" spans="1:15" x14ac:dyDescent="0.35">
      <c r="A1919" t="str">
        <f>Raw_Claims_Data!A1918</f>
        <v>TXN00001915</v>
      </c>
      <c r="B1919" t="str">
        <f>TRIM(Raw_Claims_Data!B1918)</f>
        <v>Heidi Allison</v>
      </c>
      <c r="C1919" t="str">
        <f>Raw_Claims_Data!C1918</f>
        <v>Property</v>
      </c>
      <c r="D1919">
        <f>Raw_Claims_Data!D1918</f>
        <v>155.02000000000001</v>
      </c>
      <c r="E1919">
        <f>Raw_Claims_Data!E1918</f>
        <v>19000</v>
      </c>
      <c r="F1919" t="str">
        <f>Raw_Claims_Data!F1918</f>
        <v>VT</v>
      </c>
      <c r="G1919" t="str">
        <f>Raw_Claims_Data!G1918</f>
        <v>A</v>
      </c>
      <c r="H1919" t="str">
        <f>Raw_Claims_Data!H1918</f>
        <v>Major Loss</v>
      </c>
      <c r="I1919" t="str">
        <f>IF(Raw_Claims_Data!I1918="","None",Raw_Claims_Data!I1918)</f>
        <v>Ambulance</v>
      </c>
      <c r="J1919" t="str">
        <f>Raw_Claims_Data!J1918</f>
        <v>Manchester</v>
      </c>
      <c r="K1919" t="str">
        <f>Raw_Claims_Data!K1918</f>
        <v>CT</v>
      </c>
      <c r="L1919">
        <f>Raw_Claims_Data!L1918</f>
        <v>12</v>
      </c>
      <c r="M1919" t="str">
        <f>IF(Raw_Claims_Data!M1918="","N/A",Raw_Claims_Data!M1918)</f>
        <v>VNDR00240</v>
      </c>
      <c r="N1919" t="str">
        <f>Raw_Claims_Data!N1918</f>
        <v>AGENT00273</v>
      </c>
      <c r="O1919">
        <f>IF(Raw_Claims_Data!G1918="D",1,0)</f>
        <v>0</v>
      </c>
    </row>
    <row r="1920" spans="1:15" x14ac:dyDescent="0.35">
      <c r="A1920" t="str">
        <f>Raw_Claims_Data!A1919</f>
        <v>TXN00001916</v>
      </c>
      <c r="B1920" t="str">
        <f>TRIM(Raw_Claims_Data!B1919)</f>
        <v>Dorothy Wiggins</v>
      </c>
      <c r="C1920" t="str">
        <f>Raw_Claims_Data!C1919</f>
        <v>Health</v>
      </c>
      <c r="D1920">
        <f>Raw_Claims_Data!D1919</f>
        <v>194.94</v>
      </c>
      <c r="E1920">
        <f>Raw_Claims_Data!E1919</f>
        <v>9000</v>
      </c>
      <c r="F1920" t="str">
        <f>Raw_Claims_Data!F1919</f>
        <v>AK</v>
      </c>
      <c r="G1920" t="str">
        <f>Raw_Claims_Data!G1919</f>
        <v>A</v>
      </c>
      <c r="H1920" t="str">
        <f>Raw_Claims_Data!H1919</f>
        <v>Major Loss</v>
      </c>
      <c r="I1920" t="str">
        <f>IF(Raw_Claims_Data!I1919="","None",Raw_Claims_Data!I1919)</f>
        <v>Ambulance</v>
      </c>
      <c r="J1920" t="str">
        <f>Raw_Claims_Data!J1919</f>
        <v>Anchorage</v>
      </c>
      <c r="K1920" t="str">
        <f>Raw_Claims_Data!K1919</f>
        <v>AK</v>
      </c>
      <c r="L1920">
        <f>Raw_Claims_Data!L1919</f>
        <v>14</v>
      </c>
      <c r="M1920" t="str">
        <f>IF(Raw_Claims_Data!M1919="","N/A",Raw_Claims_Data!M1919)</f>
        <v>N/A</v>
      </c>
      <c r="N1920" t="str">
        <f>Raw_Claims_Data!N1919</f>
        <v>AGENT00057</v>
      </c>
      <c r="O1920">
        <f>IF(Raw_Claims_Data!G1919="D",1,0)</f>
        <v>0</v>
      </c>
    </row>
    <row r="1921" spans="1:15" x14ac:dyDescent="0.35">
      <c r="A1921" t="str">
        <f>Raw_Claims_Data!A1920</f>
        <v>TXN00001917</v>
      </c>
      <c r="B1921" t="str">
        <f>TRIM(Raw_Claims_Data!B1920)</f>
        <v>Elmer Padel</v>
      </c>
      <c r="C1921" t="str">
        <f>Raw_Claims_Data!C1920</f>
        <v>Life</v>
      </c>
      <c r="D1921">
        <f>Raw_Claims_Data!D1920</f>
        <v>77.42</v>
      </c>
      <c r="E1921">
        <f>Raw_Claims_Data!E1920</f>
        <v>79000</v>
      </c>
      <c r="F1921" t="str">
        <f>Raw_Claims_Data!F1920</f>
        <v>VT</v>
      </c>
      <c r="G1921" t="str">
        <f>Raw_Claims_Data!G1920</f>
        <v>A</v>
      </c>
      <c r="H1921" t="str">
        <f>Raw_Claims_Data!H1920</f>
        <v>Minor Loss</v>
      </c>
      <c r="I1921" t="str">
        <f>IF(Raw_Claims_Data!I1920="","None",Raw_Claims_Data!I1920)</f>
        <v>Ambulance</v>
      </c>
      <c r="J1921" t="str">
        <f>Raw_Claims_Data!J1920</f>
        <v>Edmond</v>
      </c>
      <c r="K1921" t="str">
        <f>Raw_Claims_Data!K1920</f>
        <v>OK</v>
      </c>
      <c r="L1921">
        <f>Raw_Claims_Data!L1920</f>
        <v>12</v>
      </c>
      <c r="M1921" t="str">
        <f>IF(Raw_Claims_Data!M1920="","N/A",Raw_Claims_Data!M1920)</f>
        <v>N/A</v>
      </c>
      <c r="N1921" t="str">
        <f>Raw_Claims_Data!N1920</f>
        <v>AGENT00002</v>
      </c>
      <c r="O1921">
        <f>IF(Raw_Claims_Data!G1920="D",1,0)</f>
        <v>0</v>
      </c>
    </row>
    <row r="1922" spans="1:15" x14ac:dyDescent="0.35">
      <c r="A1922" t="str">
        <f>Raw_Claims_Data!A1921</f>
        <v>TXN00001918</v>
      </c>
      <c r="B1922" t="str">
        <f>TRIM(Raw_Claims_Data!B1921)</f>
        <v>Alexander Shelby</v>
      </c>
      <c r="C1922" t="str">
        <f>Raw_Claims_Data!C1921</f>
        <v>Life</v>
      </c>
      <c r="D1922">
        <f>Raw_Claims_Data!D1921</f>
        <v>56.47</v>
      </c>
      <c r="E1922">
        <f>Raw_Claims_Data!E1921</f>
        <v>61000</v>
      </c>
      <c r="F1922" t="str">
        <f>Raw_Claims_Data!F1921</f>
        <v>CA</v>
      </c>
      <c r="G1922" t="str">
        <f>Raw_Claims_Data!G1921</f>
        <v>A</v>
      </c>
      <c r="H1922" t="str">
        <f>Raw_Claims_Data!H1921</f>
        <v>Total Loss</v>
      </c>
      <c r="I1922" t="str">
        <f>IF(Raw_Claims_Data!I1921="","None",Raw_Claims_Data!I1921)</f>
        <v>Ambulance</v>
      </c>
      <c r="J1922" t="str">
        <f>Raw_Claims_Data!J1921</f>
        <v>Oklahoma City</v>
      </c>
      <c r="K1922" t="str">
        <f>Raw_Claims_Data!K1921</f>
        <v>OK</v>
      </c>
      <c r="L1922">
        <f>Raw_Claims_Data!L1921</f>
        <v>21</v>
      </c>
      <c r="M1922" t="str">
        <f>IF(Raw_Claims_Data!M1921="","N/A",Raw_Claims_Data!M1921)</f>
        <v>N/A</v>
      </c>
      <c r="N1922" t="str">
        <f>Raw_Claims_Data!N1921</f>
        <v>AGENT01096</v>
      </c>
      <c r="O1922">
        <f>IF(Raw_Claims_Data!G1921="D",1,0)</f>
        <v>0</v>
      </c>
    </row>
    <row r="1923" spans="1:15" x14ac:dyDescent="0.35">
      <c r="A1923" t="str">
        <f>Raw_Claims_Data!A1922</f>
        <v>TXN00001919</v>
      </c>
      <c r="B1923" t="str">
        <f>TRIM(Raw_Claims_Data!B1922)</f>
        <v>Terrence Seaman</v>
      </c>
      <c r="C1923" t="str">
        <f>Raw_Claims_Data!C1922</f>
        <v>Mobile</v>
      </c>
      <c r="D1923">
        <f>Raw_Claims_Data!D1922</f>
        <v>11.76</v>
      </c>
      <c r="E1923">
        <f>Raw_Claims_Data!E1922</f>
        <v>200</v>
      </c>
      <c r="F1923" t="str">
        <f>Raw_Claims_Data!F1922</f>
        <v>AZ</v>
      </c>
      <c r="G1923" t="str">
        <f>Raw_Claims_Data!G1922</f>
        <v>A</v>
      </c>
      <c r="H1923" t="str">
        <f>Raw_Claims_Data!H1922</f>
        <v>Total Loss</v>
      </c>
      <c r="I1923" t="str">
        <f>IF(Raw_Claims_Data!I1922="","None",Raw_Claims_Data!I1922)</f>
        <v>Other</v>
      </c>
      <c r="J1923" t="str">
        <f>Raw_Claims_Data!J1922</f>
        <v>Woodbury</v>
      </c>
      <c r="K1923" t="str">
        <f>Raw_Claims_Data!K1922</f>
        <v>VT</v>
      </c>
      <c r="L1923">
        <f>Raw_Claims_Data!L1922</f>
        <v>11</v>
      </c>
      <c r="M1923" t="str">
        <f>IF(Raw_Claims_Data!M1922="","N/A",Raw_Claims_Data!M1922)</f>
        <v>VNDR00254</v>
      </c>
      <c r="N1923" t="str">
        <f>Raw_Claims_Data!N1922</f>
        <v>AGENT00114</v>
      </c>
      <c r="O1923">
        <f>IF(Raw_Claims_Data!G1922="D",1,0)</f>
        <v>0</v>
      </c>
    </row>
    <row r="1924" spans="1:15" x14ac:dyDescent="0.35">
      <c r="A1924" t="str">
        <f>Raw_Claims_Data!A1923</f>
        <v>TXN00001920</v>
      </c>
      <c r="B1924" t="str">
        <f>TRIM(Raw_Claims_Data!B1923)</f>
        <v>Fred Foret</v>
      </c>
      <c r="C1924" t="str">
        <f>Raw_Claims_Data!C1923</f>
        <v>Health</v>
      </c>
      <c r="D1924">
        <f>Raw_Claims_Data!D1923</f>
        <v>138.66999999999999</v>
      </c>
      <c r="E1924">
        <f>Raw_Claims_Data!E1923</f>
        <v>20000</v>
      </c>
      <c r="F1924" t="str">
        <f>Raw_Claims_Data!F1923</f>
        <v>AR</v>
      </c>
      <c r="G1924" t="str">
        <f>Raw_Claims_Data!G1923</f>
        <v>A</v>
      </c>
      <c r="H1924" t="str">
        <f>Raw_Claims_Data!H1923</f>
        <v>Minor Loss</v>
      </c>
      <c r="I1924" t="str">
        <f>IF(Raw_Claims_Data!I1923="","None",Raw_Claims_Data!I1923)</f>
        <v>None</v>
      </c>
      <c r="J1924" t="str">
        <f>Raw_Claims_Data!J1923</f>
        <v>Norman</v>
      </c>
      <c r="K1924" t="str">
        <f>Raw_Claims_Data!K1923</f>
        <v>OK</v>
      </c>
      <c r="L1924">
        <f>Raw_Claims_Data!L1923</f>
        <v>15</v>
      </c>
      <c r="M1924" t="str">
        <f>IF(Raw_Claims_Data!M1923="","N/A",Raw_Claims_Data!M1923)</f>
        <v>VNDR00303</v>
      </c>
      <c r="N1924" t="str">
        <f>Raw_Claims_Data!N1923</f>
        <v>AGENT00305</v>
      </c>
      <c r="O1924">
        <f>IF(Raw_Claims_Data!G1923="D",1,0)</f>
        <v>0</v>
      </c>
    </row>
    <row r="1925" spans="1:15" x14ac:dyDescent="0.35">
      <c r="A1925" t="str">
        <f>Raw_Claims_Data!A1924</f>
        <v>TXN00001921</v>
      </c>
      <c r="B1925" t="str">
        <f>TRIM(Raw_Claims_Data!B1924)</f>
        <v>Karl Petrie</v>
      </c>
      <c r="C1925" t="str">
        <f>Raw_Claims_Data!C1924</f>
        <v>Travel</v>
      </c>
      <c r="D1925">
        <f>Raw_Claims_Data!D1924</f>
        <v>71.12</v>
      </c>
      <c r="E1925">
        <f>Raw_Claims_Data!E1924</f>
        <v>1000</v>
      </c>
      <c r="F1925" t="str">
        <f>Raw_Claims_Data!F1924</f>
        <v>AR</v>
      </c>
      <c r="G1925" t="str">
        <f>Raw_Claims_Data!G1924</f>
        <v>A</v>
      </c>
      <c r="H1925" t="str">
        <f>Raw_Claims_Data!H1924</f>
        <v>Major Loss</v>
      </c>
      <c r="I1925" t="str">
        <f>IF(Raw_Claims_Data!I1924="","None",Raw_Claims_Data!I1924)</f>
        <v>Ambulance</v>
      </c>
      <c r="J1925" t="str">
        <f>Raw_Claims_Data!J1924</f>
        <v>Fremont</v>
      </c>
      <c r="K1925" t="str">
        <f>Raw_Claims_Data!K1924</f>
        <v>CA</v>
      </c>
      <c r="L1925">
        <f>Raw_Claims_Data!L1924</f>
        <v>10</v>
      </c>
      <c r="M1925" t="str">
        <f>IF(Raw_Claims_Data!M1924="","N/A",Raw_Claims_Data!M1924)</f>
        <v>VNDR00009</v>
      </c>
      <c r="N1925" t="str">
        <f>Raw_Claims_Data!N1924</f>
        <v>AGENT00212</v>
      </c>
      <c r="O1925">
        <f>IF(Raw_Claims_Data!G1924="D",1,0)</f>
        <v>0</v>
      </c>
    </row>
    <row r="1926" spans="1:15" x14ac:dyDescent="0.35">
      <c r="A1926" t="str">
        <f>Raw_Claims_Data!A1925</f>
        <v>TXN00001922</v>
      </c>
      <c r="B1926" t="str">
        <f>TRIM(Raw_Claims_Data!B1925)</f>
        <v>Arthur Cianflone</v>
      </c>
      <c r="C1926" t="str">
        <f>Raw_Claims_Data!C1925</f>
        <v>Mobile</v>
      </c>
      <c r="D1926">
        <f>Raw_Claims_Data!D1925</f>
        <v>11.47</v>
      </c>
      <c r="E1926">
        <f>Raw_Claims_Data!E1925</f>
        <v>400</v>
      </c>
      <c r="F1926" t="str">
        <f>Raw_Claims_Data!F1925</f>
        <v>MA</v>
      </c>
      <c r="G1926" t="str">
        <f>Raw_Claims_Data!G1925</f>
        <v>A</v>
      </c>
      <c r="H1926" t="str">
        <f>Raw_Claims_Data!H1925</f>
        <v>Total Loss</v>
      </c>
      <c r="I1926" t="str">
        <f>IF(Raw_Claims_Data!I1925="","None",Raw_Claims_Data!I1925)</f>
        <v>Police</v>
      </c>
      <c r="J1926" t="str">
        <f>Raw_Claims_Data!J1925</f>
        <v>Pasadena</v>
      </c>
      <c r="K1926" t="str">
        <f>Raw_Claims_Data!K1925</f>
        <v>MD</v>
      </c>
      <c r="L1926">
        <f>Raw_Claims_Data!L1925</f>
        <v>11</v>
      </c>
      <c r="M1926" t="str">
        <f>IF(Raw_Claims_Data!M1925="","N/A",Raw_Claims_Data!M1925)</f>
        <v>VNDR00482</v>
      </c>
      <c r="N1926" t="str">
        <f>Raw_Claims_Data!N1925</f>
        <v>AGENT00693</v>
      </c>
      <c r="O1926">
        <f>IF(Raw_Claims_Data!G1925="D",1,0)</f>
        <v>0</v>
      </c>
    </row>
    <row r="1927" spans="1:15" x14ac:dyDescent="0.35">
      <c r="A1927" t="str">
        <f>Raw_Claims_Data!A1926</f>
        <v>TXN00001923</v>
      </c>
      <c r="B1927" t="str">
        <f>TRIM(Raw_Claims_Data!B1926)</f>
        <v>Duane Watkins</v>
      </c>
      <c r="C1927" t="str">
        <f>Raw_Claims_Data!C1926</f>
        <v>Health</v>
      </c>
      <c r="D1927">
        <f>Raw_Claims_Data!D1926</f>
        <v>181.55</v>
      </c>
      <c r="E1927">
        <f>Raw_Claims_Data!E1926</f>
        <v>18000</v>
      </c>
      <c r="F1927" t="str">
        <f>Raw_Claims_Data!F1926</f>
        <v>GA</v>
      </c>
      <c r="G1927" t="str">
        <f>Raw_Claims_Data!G1926</f>
        <v>A</v>
      </c>
      <c r="H1927" t="str">
        <f>Raw_Claims_Data!H1926</f>
        <v>Minor Loss</v>
      </c>
      <c r="I1927" t="str">
        <f>IF(Raw_Claims_Data!I1926="","None",Raw_Claims_Data!I1926)</f>
        <v>Police</v>
      </c>
      <c r="J1927" t="str">
        <f>Raw_Claims_Data!J1926</f>
        <v>Pittsfield</v>
      </c>
      <c r="K1927" t="str">
        <f>Raw_Claims_Data!K1926</f>
        <v>MA</v>
      </c>
      <c r="L1927">
        <f>Raw_Claims_Data!L1926</f>
        <v>4</v>
      </c>
      <c r="M1927" t="str">
        <f>IF(Raw_Claims_Data!M1926="","N/A",Raw_Claims_Data!M1926)</f>
        <v>VNDR00358</v>
      </c>
      <c r="N1927" t="str">
        <f>Raw_Claims_Data!N1926</f>
        <v>AGENT01054</v>
      </c>
      <c r="O1927">
        <f>IF(Raw_Claims_Data!G1926="D",1,0)</f>
        <v>0</v>
      </c>
    </row>
    <row r="1928" spans="1:15" x14ac:dyDescent="0.35">
      <c r="A1928" t="str">
        <f>Raw_Claims_Data!A1927</f>
        <v>TXN00001924</v>
      </c>
      <c r="B1928" t="str">
        <f>TRIM(Raw_Claims_Data!B1927)</f>
        <v>Ralph Liu</v>
      </c>
      <c r="C1928" t="str">
        <f>Raw_Claims_Data!C1927</f>
        <v>Motor</v>
      </c>
      <c r="D1928">
        <f>Raw_Claims_Data!D1927</f>
        <v>83.61</v>
      </c>
      <c r="E1928">
        <f>Raw_Claims_Data!E1927</f>
        <v>5000</v>
      </c>
      <c r="F1928" t="str">
        <f>Raw_Claims_Data!F1927</f>
        <v>AL</v>
      </c>
      <c r="G1928" t="str">
        <f>Raw_Claims_Data!G1927</f>
        <v>A</v>
      </c>
      <c r="H1928" t="str">
        <f>Raw_Claims_Data!H1927</f>
        <v>Total Loss</v>
      </c>
      <c r="I1928" t="str">
        <f>IF(Raw_Claims_Data!I1927="","None",Raw_Claims_Data!I1927)</f>
        <v>Ambulance</v>
      </c>
      <c r="J1928" t="str">
        <f>Raw_Claims_Data!J1927</f>
        <v>Fall River</v>
      </c>
      <c r="K1928" t="str">
        <f>Raw_Claims_Data!K1927</f>
        <v>MA</v>
      </c>
      <c r="L1928">
        <f>Raw_Claims_Data!L1927</f>
        <v>4</v>
      </c>
      <c r="M1928" t="str">
        <f>IF(Raw_Claims_Data!M1927="","N/A",Raw_Claims_Data!M1927)</f>
        <v>VNDR00372</v>
      </c>
      <c r="N1928" t="str">
        <f>Raw_Claims_Data!N1927</f>
        <v>AGENT00555</v>
      </c>
      <c r="O1928">
        <f>IF(Raw_Claims_Data!G1927="D",1,0)</f>
        <v>0</v>
      </c>
    </row>
    <row r="1929" spans="1:15" x14ac:dyDescent="0.35">
      <c r="A1929" t="str">
        <f>Raw_Claims_Data!A1928</f>
        <v>TXN00001925</v>
      </c>
      <c r="B1929" t="str">
        <f>TRIM(Raw_Claims_Data!B1928)</f>
        <v>Roy Tedford</v>
      </c>
      <c r="C1929" t="str">
        <f>Raw_Claims_Data!C1928</f>
        <v>Property</v>
      </c>
      <c r="D1929">
        <f>Raw_Claims_Data!D1928</f>
        <v>122.57</v>
      </c>
      <c r="E1929">
        <f>Raw_Claims_Data!E1928</f>
        <v>27000</v>
      </c>
      <c r="F1929" t="str">
        <f>Raw_Claims_Data!F1928</f>
        <v>MD</v>
      </c>
      <c r="G1929" t="str">
        <f>Raw_Claims_Data!G1928</f>
        <v>A</v>
      </c>
      <c r="H1929" t="str">
        <f>Raw_Claims_Data!H1928</f>
        <v>Major Loss</v>
      </c>
      <c r="I1929" t="str">
        <f>IF(Raw_Claims_Data!I1928="","None",Raw_Claims_Data!I1928)</f>
        <v>None</v>
      </c>
      <c r="J1929" t="str">
        <f>Raw_Claims_Data!J1928</f>
        <v>Moore</v>
      </c>
      <c r="K1929" t="str">
        <f>Raw_Claims_Data!K1928</f>
        <v>OK</v>
      </c>
      <c r="L1929">
        <f>Raw_Claims_Data!L1928</f>
        <v>4</v>
      </c>
      <c r="M1929" t="str">
        <f>IF(Raw_Claims_Data!M1928="","N/A",Raw_Claims_Data!M1928)</f>
        <v>N/A</v>
      </c>
      <c r="N1929" t="str">
        <f>Raw_Claims_Data!N1928</f>
        <v>AGENT00834</v>
      </c>
      <c r="O1929">
        <f>IF(Raw_Claims_Data!G1928="D",1,0)</f>
        <v>0</v>
      </c>
    </row>
    <row r="1930" spans="1:15" x14ac:dyDescent="0.35">
      <c r="A1930" t="str">
        <f>Raw_Claims_Data!A1929</f>
        <v>TXN00001926</v>
      </c>
      <c r="B1930" t="str">
        <f>TRIM(Raw_Claims_Data!B1929)</f>
        <v>Patricia Spicer</v>
      </c>
      <c r="C1930" t="str">
        <f>Raw_Claims_Data!C1929</f>
        <v>Mobile</v>
      </c>
      <c r="D1930">
        <f>Raw_Claims_Data!D1929</f>
        <v>6.87</v>
      </c>
      <c r="E1930">
        <f>Raw_Claims_Data!E1929</f>
        <v>700</v>
      </c>
      <c r="F1930" t="str">
        <f>Raw_Claims_Data!F1929</f>
        <v>TN</v>
      </c>
      <c r="G1930" t="str">
        <f>Raw_Claims_Data!G1929</f>
        <v>A</v>
      </c>
      <c r="H1930" t="str">
        <f>Raw_Claims_Data!H1929</f>
        <v>Total Loss</v>
      </c>
      <c r="I1930" t="str">
        <f>IF(Raw_Claims_Data!I1929="","None",Raw_Claims_Data!I1929)</f>
        <v>Ambulance</v>
      </c>
      <c r="J1930" t="str">
        <f>Raw_Claims_Data!J1929</f>
        <v>Washington</v>
      </c>
      <c r="K1930" t="str">
        <f>Raw_Claims_Data!K1929</f>
        <v>DC</v>
      </c>
      <c r="L1930">
        <f>Raw_Claims_Data!L1929</f>
        <v>20</v>
      </c>
      <c r="M1930" t="str">
        <f>IF(Raw_Claims_Data!M1929="","N/A",Raw_Claims_Data!M1929)</f>
        <v>VNDR00354</v>
      </c>
      <c r="N1930" t="str">
        <f>Raw_Claims_Data!N1929</f>
        <v>AGENT00595</v>
      </c>
      <c r="O1930">
        <f>IF(Raw_Claims_Data!G1929="D",1,0)</f>
        <v>0</v>
      </c>
    </row>
    <row r="1931" spans="1:15" x14ac:dyDescent="0.35">
      <c r="A1931" t="str">
        <f>Raw_Claims_Data!A1930</f>
        <v>TXN00001927</v>
      </c>
      <c r="B1931" t="str">
        <f>TRIM(Raw_Claims_Data!B1930)</f>
        <v>Anna Steiner</v>
      </c>
      <c r="C1931" t="str">
        <f>Raw_Claims_Data!C1930</f>
        <v>Travel</v>
      </c>
      <c r="D1931">
        <f>Raw_Claims_Data!D1930</f>
        <v>83.69</v>
      </c>
      <c r="E1931">
        <f>Raw_Claims_Data!E1930</f>
        <v>5000</v>
      </c>
      <c r="F1931" t="str">
        <f>Raw_Claims_Data!F1930</f>
        <v>MA</v>
      </c>
      <c r="G1931" t="str">
        <f>Raw_Claims_Data!G1930</f>
        <v>A</v>
      </c>
      <c r="H1931" t="str">
        <f>Raw_Claims_Data!H1930</f>
        <v>Major Loss</v>
      </c>
      <c r="I1931" t="str">
        <f>IF(Raw_Claims_Data!I1930="","None",Raw_Claims_Data!I1930)</f>
        <v>Ambulance</v>
      </c>
      <c r="J1931" t="str">
        <f>Raw_Claims_Data!J1930</f>
        <v>Chelsea</v>
      </c>
      <c r="K1931" t="str">
        <f>Raw_Claims_Data!K1930</f>
        <v>MA</v>
      </c>
      <c r="L1931">
        <f>Raw_Claims_Data!L1930</f>
        <v>21</v>
      </c>
      <c r="M1931" t="str">
        <f>IF(Raw_Claims_Data!M1930="","N/A",Raw_Claims_Data!M1930)</f>
        <v>VNDR00018</v>
      </c>
      <c r="N1931" t="str">
        <f>Raw_Claims_Data!N1930</f>
        <v>AGENT00559</v>
      </c>
      <c r="O1931">
        <f>IF(Raw_Claims_Data!G1930="D",1,0)</f>
        <v>0</v>
      </c>
    </row>
    <row r="1932" spans="1:15" x14ac:dyDescent="0.35">
      <c r="A1932" t="str">
        <f>Raw_Claims_Data!A1931</f>
        <v>TXN00001928</v>
      </c>
      <c r="B1932" t="str">
        <f>TRIM(Raw_Claims_Data!B1931)</f>
        <v>John Gonzales</v>
      </c>
      <c r="C1932" t="str">
        <f>Raw_Claims_Data!C1931</f>
        <v>Mobile</v>
      </c>
      <c r="D1932">
        <f>Raw_Claims_Data!D1931</f>
        <v>11.54</v>
      </c>
      <c r="E1932">
        <f>Raw_Claims_Data!E1931</f>
        <v>300</v>
      </c>
      <c r="F1932" t="str">
        <f>Raw_Claims_Data!F1931</f>
        <v>CT</v>
      </c>
      <c r="G1932" t="str">
        <f>Raw_Claims_Data!G1931</f>
        <v>A</v>
      </c>
      <c r="H1932" t="str">
        <f>Raw_Claims_Data!H1931</f>
        <v>Minor Loss</v>
      </c>
      <c r="I1932" t="str">
        <f>IF(Raw_Claims_Data!I1931="","None",Raw_Claims_Data!I1931)</f>
        <v>Police</v>
      </c>
      <c r="J1932" t="str">
        <f>Raw_Claims_Data!J1931</f>
        <v>Livermore</v>
      </c>
      <c r="K1932" t="str">
        <f>Raw_Claims_Data!K1931</f>
        <v>CA</v>
      </c>
      <c r="L1932">
        <f>Raw_Claims_Data!L1931</f>
        <v>3</v>
      </c>
      <c r="M1932" t="str">
        <f>IF(Raw_Claims_Data!M1931="","N/A",Raw_Claims_Data!M1931)</f>
        <v>VNDR00486</v>
      </c>
      <c r="N1932" t="str">
        <f>Raw_Claims_Data!N1931</f>
        <v>AGENT00526</v>
      </c>
      <c r="O1932">
        <f>IF(Raw_Claims_Data!G1931="D",1,0)</f>
        <v>0</v>
      </c>
    </row>
    <row r="1933" spans="1:15" x14ac:dyDescent="0.35">
      <c r="A1933" t="str">
        <f>Raw_Claims_Data!A1932</f>
        <v>TXN00001929</v>
      </c>
      <c r="B1933" t="str">
        <f>TRIM(Raw_Claims_Data!B1932)</f>
        <v>Margaret Willier</v>
      </c>
      <c r="C1933" t="str">
        <f>Raw_Claims_Data!C1932</f>
        <v>Health</v>
      </c>
      <c r="D1933">
        <f>Raw_Claims_Data!D1932</f>
        <v>142.38</v>
      </c>
      <c r="E1933">
        <f>Raw_Claims_Data!E1932</f>
        <v>19000</v>
      </c>
      <c r="F1933" t="str">
        <f>Raw_Claims_Data!F1932</f>
        <v>CO</v>
      </c>
      <c r="G1933" t="str">
        <f>Raw_Claims_Data!G1932</f>
        <v>A</v>
      </c>
      <c r="H1933" t="str">
        <f>Raw_Claims_Data!H1932</f>
        <v>Minor Loss</v>
      </c>
      <c r="I1933" t="str">
        <f>IF(Raw_Claims_Data!I1932="","None",Raw_Claims_Data!I1932)</f>
        <v>Police</v>
      </c>
      <c r="J1933" t="str">
        <f>Raw_Claims_Data!J1932</f>
        <v>Greeley</v>
      </c>
      <c r="K1933" t="str">
        <f>Raw_Claims_Data!K1932</f>
        <v>CO</v>
      </c>
      <c r="L1933">
        <f>Raw_Claims_Data!L1932</f>
        <v>17</v>
      </c>
      <c r="M1933" t="str">
        <f>IF(Raw_Claims_Data!M1932="","N/A",Raw_Claims_Data!M1932)</f>
        <v>N/A</v>
      </c>
      <c r="N1933" t="str">
        <f>Raw_Claims_Data!N1932</f>
        <v>AGENT00267</v>
      </c>
      <c r="O1933">
        <f>IF(Raw_Claims_Data!G1932="D",1,0)</f>
        <v>0</v>
      </c>
    </row>
    <row r="1934" spans="1:15" x14ac:dyDescent="0.35">
      <c r="A1934" t="str">
        <f>Raw_Claims_Data!A1933</f>
        <v>TXN00001930</v>
      </c>
      <c r="B1934" t="str">
        <f>TRIM(Raw_Claims_Data!B1933)</f>
        <v>Randy Andrews</v>
      </c>
      <c r="C1934" t="str">
        <f>Raw_Claims_Data!C1933</f>
        <v>Life</v>
      </c>
      <c r="D1934">
        <f>Raw_Claims_Data!D1933</f>
        <v>90.35</v>
      </c>
      <c r="E1934">
        <f>Raw_Claims_Data!E1933</f>
        <v>25000</v>
      </c>
      <c r="F1934" t="str">
        <f>Raw_Claims_Data!F1933</f>
        <v>OK</v>
      </c>
      <c r="G1934" t="str">
        <f>Raw_Claims_Data!G1933</f>
        <v>A</v>
      </c>
      <c r="H1934" t="str">
        <f>Raw_Claims_Data!H1933</f>
        <v>Total Loss</v>
      </c>
      <c r="I1934" t="str">
        <f>IF(Raw_Claims_Data!I1933="","None",Raw_Claims_Data!I1933)</f>
        <v>Police</v>
      </c>
      <c r="J1934" t="str">
        <f>Raw_Claims_Data!J1933</f>
        <v>Glen Burnie</v>
      </c>
      <c r="K1934" t="str">
        <f>Raw_Claims_Data!K1933</f>
        <v>MD</v>
      </c>
      <c r="L1934">
        <f>Raw_Claims_Data!L1933</f>
        <v>22</v>
      </c>
      <c r="M1934" t="str">
        <f>IF(Raw_Claims_Data!M1933="","N/A",Raw_Claims_Data!M1933)</f>
        <v>VNDR00503</v>
      </c>
      <c r="N1934" t="str">
        <f>Raw_Claims_Data!N1933</f>
        <v>AGENT00779</v>
      </c>
      <c r="O1934">
        <f>IF(Raw_Claims_Data!G1933="D",1,0)</f>
        <v>0</v>
      </c>
    </row>
    <row r="1935" spans="1:15" x14ac:dyDescent="0.35">
      <c r="A1935" t="str">
        <f>Raw_Claims_Data!A1934</f>
        <v>TXN00001931</v>
      </c>
      <c r="B1935" t="str">
        <f>TRIM(Raw_Claims_Data!B1934)</f>
        <v>Gabriel Osmun</v>
      </c>
      <c r="C1935" t="str">
        <f>Raw_Claims_Data!C1934</f>
        <v>Travel</v>
      </c>
      <c r="D1935">
        <f>Raw_Claims_Data!D1934</f>
        <v>52.05</v>
      </c>
      <c r="E1935">
        <f>Raw_Claims_Data!E1934</f>
        <v>4000</v>
      </c>
      <c r="F1935" t="str">
        <f>Raw_Claims_Data!F1934</f>
        <v>CO</v>
      </c>
      <c r="G1935" t="str">
        <f>Raw_Claims_Data!G1934</f>
        <v>A</v>
      </c>
      <c r="H1935" t="str">
        <f>Raw_Claims_Data!H1934</f>
        <v>Major Loss</v>
      </c>
      <c r="I1935" t="str">
        <f>IF(Raw_Claims_Data!I1934="","None",Raw_Claims_Data!I1934)</f>
        <v>Police</v>
      </c>
      <c r="J1935" t="str">
        <f>Raw_Claims_Data!J1934</f>
        <v>Arvada</v>
      </c>
      <c r="K1935" t="str">
        <f>Raw_Claims_Data!K1934</f>
        <v>CO</v>
      </c>
      <c r="L1935">
        <f>Raw_Claims_Data!L1934</f>
        <v>19</v>
      </c>
      <c r="M1935" t="str">
        <f>IF(Raw_Claims_Data!M1934="","N/A",Raw_Claims_Data!M1934)</f>
        <v>VNDR00600</v>
      </c>
      <c r="N1935" t="str">
        <f>Raw_Claims_Data!N1934</f>
        <v>AGENT00266</v>
      </c>
      <c r="O1935">
        <f>IF(Raw_Claims_Data!G1934="D",1,0)</f>
        <v>0</v>
      </c>
    </row>
    <row r="1936" spans="1:15" x14ac:dyDescent="0.35">
      <c r="A1936" t="str">
        <f>Raw_Claims_Data!A1935</f>
        <v>TXN00001932</v>
      </c>
      <c r="B1936" t="str">
        <f>TRIM(Raw_Claims_Data!B1935)</f>
        <v>Nell Debarros</v>
      </c>
      <c r="C1936" t="str">
        <f>Raw_Claims_Data!C1935</f>
        <v>Life</v>
      </c>
      <c r="D1936">
        <f>Raw_Claims_Data!D1935</f>
        <v>58.26</v>
      </c>
      <c r="E1936">
        <f>Raw_Claims_Data!E1935</f>
        <v>42000</v>
      </c>
      <c r="F1936" t="str">
        <f>Raw_Claims_Data!F1935</f>
        <v>FL</v>
      </c>
      <c r="G1936" t="str">
        <f>Raw_Claims_Data!G1935</f>
        <v>A</v>
      </c>
      <c r="H1936" t="str">
        <f>Raw_Claims_Data!H1935</f>
        <v>Minor Loss</v>
      </c>
      <c r="I1936" t="str">
        <f>IF(Raw_Claims_Data!I1935="","None",Raw_Claims_Data!I1935)</f>
        <v>Ambulance</v>
      </c>
      <c r="J1936" t="str">
        <f>Raw_Claims_Data!J1935</f>
        <v>Arvada</v>
      </c>
      <c r="K1936" t="str">
        <f>Raw_Claims_Data!K1935</f>
        <v>CO</v>
      </c>
      <c r="L1936">
        <f>Raw_Claims_Data!L1935</f>
        <v>4</v>
      </c>
      <c r="M1936" t="str">
        <f>IF(Raw_Claims_Data!M1935="","N/A",Raw_Claims_Data!M1935)</f>
        <v>N/A</v>
      </c>
      <c r="N1936" t="str">
        <f>Raw_Claims_Data!N1935</f>
        <v>AGENT00958</v>
      </c>
      <c r="O1936">
        <f>IF(Raw_Claims_Data!G1935="D",1,0)</f>
        <v>0</v>
      </c>
    </row>
    <row r="1937" spans="1:15" x14ac:dyDescent="0.35">
      <c r="A1937" t="str">
        <f>Raw_Claims_Data!A1936</f>
        <v>TXN00001933</v>
      </c>
      <c r="B1937" t="str">
        <f>TRIM(Raw_Claims_Data!B1936)</f>
        <v>Yvonne Cooper</v>
      </c>
      <c r="C1937" t="str">
        <f>Raw_Claims_Data!C1936</f>
        <v>Life</v>
      </c>
      <c r="D1937">
        <f>Raw_Claims_Data!D1936</f>
        <v>65.83</v>
      </c>
      <c r="E1937">
        <f>Raw_Claims_Data!E1936</f>
        <v>31000</v>
      </c>
      <c r="F1937" t="str">
        <f>Raw_Claims_Data!F1936</f>
        <v>DC</v>
      </c>
      <c r="G1937" t="str">
        <f>Raw_Claims_Data!G1936</f>
        <v>A</v>
      </c>
      <c r="H1937" t="str">
        <f>Raw_Claims_Data!H1936</f>
        <v>Minor Loss</v>
      </c>
      <c r="I1937" t="str">
        <f>IF(Raw_Claims_Data!I1936="","None",Raw_Claims_Data!I1936)</f>
        <v>None</v>
      </c>
      <c r="J1937" t="str">
        <f>Raw_Claims_Data!J1936</f>
        <v>Edmond</v>
      </c>
      <c r="K1937" t="str">
        <f>Raw_Claims_Data!K1936</f>
        <v>OK</v>
      </c>
      <c r="L1937">
        <f>Raw_Claims_Data!L1936</f>
        <v>13</v>
      </c>
      <c r="M1937" t="str">
        <f>IF(Raw_Claims_Data!M1936="","N/A",Raw_Claims_Data!M1936)</f>
        <v>N/A</v>
      </c>
      <c r="N1937" t="str">
        <f>Raw_Claims_Data!N1936</f>
        <v>AGENT00495</v>
      </c>
      <c r="O1937">
        <f>IF(Raw_Claims_Data!G1936="D",1,0)</f>
        <v>0</v>
      </c>
    </row>
    <row r="1938" spans="1:15" x14ac:dyDescent="0.35">
      <c r="A1938" t="str">
        <f>Raw_Claims_Data!A1937</f>
        <v>TXN00001934</v>
      </c>
      <c r="B1938" t="str">
        <f>TRIM(Raw_Claims_Data!B1937)</f>
        <v>Cassi Cousin</v>
      </c>
      <c r="C1938" t="str">
        <f>Raw_Claims_Data!C1937</f>
        <v>Mobile</v>
      </c>
      <c r="D1938">
        <f>Raw_Claims_Data!D1937</f>
        <v>10.220000000000001</v>
      </c>
      <c r="E1938">
        <f>Raw_Claims_Data!E1937</f>
        <v>700</v>
      </c>
      <c r="F1938" t="str">
        <f>Raw_Claims_Data!F1937</f>
        <v>TN</v>
      </c>
      <c r="G1938" t="str">
        <f>Raw_Claims_Data!G1937</f>
        <v>A</v>
      </c>
      <c r="H1938" t="str">
        <f>Raw_Claims_Data!H1937</f>
        <v>Total Loss</v>
      </c>
      <c r="I1938" t="str">
        <f>IF(Raw_Claims_Data!I1937="","None",Raw_Claims_Data!I1937)</f>
        <v>None</v>
      </c>
      <c r="J1938" t="str">
        <f>Raw_Claims_Data!J1937</f>
        <v>Wolcott</v>
      </c>
      <c r="K1938" t="str">
        <f>Raw_Claims_Data!K1937</f>
        <v>VT</v>
      </c>
      <c r="L1938">
        <f>Raw_Claims_Data!L1937</f>
        <v>14</v>
      </c>
      <c r="M1938" t="str">
        <f>IF(Raw_Claims_Data!M1937="","N/A",Raw_Claims_Data!M1937)</f>
        <v>VNDR00289</v>
      </c>
      <c r="N1938" t="str">
        <f>Raw_Claims_Data!N1937</f>
        <v>AGENT00137</v>
      </c>
      <c r="O1938">
        <f>IF(Raw_Claims_Data!G1937="D",1,0)</f>
        <v>0</v>
      </c>
    </row>
    <row r="1939" spans="1:15" x14ac:dyDescent="0.35">
      <c r="A1939" t="str">
        <f>Raw_Claims_Data!A1938</f>
        <v>TXN00001935</v>
      </c>
      <c r="B1939" t="str">
        <f>TRIM(Raw_Claims_Data!B1938)</f>
        <v>Carol Reynolds</v>
      </c>
      <c r="C1939" t="str">
        <f>Raw_Claims_Data!C1938</f>
        <v>Motor</v>
      </c>
      <c r="D1939">
        <f>Raw_Claims_Data!D1938</f>
        <v>109.96</v>
      </c>
      <c r="E1939">
        <f>Raw_Claims_Data!E1938</f>
        <v>6000</v>
      </c>
      <c r="F1939" t="str">
        <f>Raw_Claims_Data!F1938</f>
        <v>KY</v>
      </c>
      <c r="G1939" t="str">
        <f>Raw_Claims_Data!G1938</f>
        <v>A</v>
      </c>
      <c r="H1939" t="str">
        <f>Raw_Claims_Data!H1938</f>
        <v>Minor Loss</v>
      </c>
      <c r="I1939" t="str">
        <f>IF(Raw_Claims_Data!I1938="","None",Raw_Claims_Data!I1938)</f>
        <v>Ambulance</v>
      </c>
      <c r="J1939" t="str">
        <f>Raw_Claims_Data!J1938</f>
        <v>Guilford</v>
      </c>
      <c r="K1939" t="str">
        <f>Raw_Claims_Data!K1938</f>
        <v>VT</v>
      </c>
      <c r="L1939">
        <f>Raw_Claims_Data!L1938</f>
        <v>5</v>
      </c>
      <c r="M1939" t="str">
        <f>IF(Raw_Claims_Data!M1938="","N/A",Raw_Claims_Data!M1938)</f>
        <v>VNDR00496</v>
      </c>
      <c r="N1939" t="str">
        <f>Raw_Claims_Data!N1938</f>
        <v>AGENT00794</v>
      </c>
      <c r="O1939">
        <f>IF(Raw_Claims_Data!G1938="D",1,0)</f>
        <v>0</v>
      </c>
    </row>
    <row r="1940" spans="1:15" x14ac:dyDescent="0.35">
      <c r="A1940" t="str">
        <f>Raw_Claims_Data!A1939</f>
        <v>TXN00001936</v>
      </c>
      <c r="B1940" t="str">
        <f>TRIM(Raw_Claims_Data!B1939)</f>
        <v>David Zabel</v>
      </c>
      <c r="C1940" t="str">
        <f>Raw_Claims_Data!C1939</f>
        <v>Property</v>
      </c>
      <c r="D1940">
        <f>Raw_Claims_Data!D1939</f>
        <v>102.24</v>
      </c>
      <c r="E1940">
        <f>Raw_Claims_Data!E1939</f>
        <v>13000</v>
      </c>
      <c r="F1940" t="str">
        <f>Raw_Claims_Data!F1939</f>
        <v>KY</v>
      </c>
      <c r="G1940" t="str">
        <f>Raw_Claims_Data!G1939</f>
        <v>A</v>
      </c>
      <c r="H1940" t="str">
        <f>Raw_Claims_Data!H1939</f>
        <v>Total Loss</v>
      </c>
      <c r="I1940" t="str">
        <f>IF(Raw_Claims_Data!I1939="","None",Raw_Claims_Data!I1939)</f>
        <v>Police</v>
      </c>
      <c r="J1940" t="str">
        <f>Raw_Claims_Data!J1939</f>
        <v>Hayward</v>
      </c>
      <c r="K1940" t="str">
        <f>Raw_Claims_Data!K1939</f>
        <v>CA</v>
      </c>
      <c r="L1940">
        <f>Raw_Claims_Data!L1939</f>
        <v>23</v>
      </c>
      <c r="M1940" t="str">
        <f>IF(Raw_Claims_Data!M1939="","N/A",Raw_Claims_Data!M1939)</f>
        <v>VNDR00392</v>
      </c>
      <c r="N1940" t="str">
        <f>Raw_Claims_Data!N1939</f>
        <v>AGENT00827</v>
      </c>
      <c r="O1940">
        <f>IF(Raw_Claims_Data!G1939="D",1,0)</f>
        <v>0</v>
      </c>
    </row>
    <row r="1941" spans="1:15" x14ac:dyDescent="0.35">
      <c r="A1941" t="str">
        <f>Raw_Claims_Data!A1940</f>
        <v>TXN00001937</v>
      </c>
      <c r="B1941" t="str">
        <f>TRIM(Raw_Claims_Data!B1940)</f>
        <v>Nicholas Conley</v>
      </c>
      <c r="C1941" t="str">
        <f>Raw_Claims_Data!C1940</f>
        <v>Property</v>
      </c>
      <c r="D1941">
        <f>Raw_Claims_Data!D1940</f>
        <v>86.92</v>
      </c>
      <c r="E1941">
        <f>Raw_Claims_Data!E1940</f>
        <v>26000</v>
      </c>
      <c r="F1941" t="str">
        <f>Raw_Claims_Data!F1940</f>
        <v>GA</v>
      </c>
      <c r="G1941" t="str">
        <f>Raw_Claims_Data!G1940</f>
        <v>A</v>
      </c>
      <c r="H1941" t="str">
        <f>Raw_Claims_Data!H1940</f>
        <v>Major Loss</v>
      </c>
      <c r="I1941" t="str">
        <f>IF(Raw_Claims_Data!I1940="","None",Raw_Claims_Data!I1940)</f>
        <v>Police</v>
      </c>
      <c r="J1941" t="str">
        <f>Raw_Claims_Data!J1940</f>
        <v>Fayetteville</v>
      </c>
      <c r="K1941" t="str">
        <f>Raw_Claims_Data!K1940</f>
        <v>AR</v>
      </c>
      <c r="L1941">
        <f>Raw_Claims_Data!L1940</f>
        <v>14</v>
      </c>
      <c r="M1941" t="str">
        <f>IF(Raw_Claims_Data!M1940="","N/A",Raw_Claims_Data!M1940)</f>
        <v>N/A</v>
      </c>
      <c r="N1941" t="str">
        <f>Raw_Claims_Data!N1940</f>
        <v>AGENT00400</v>
      </c>
      <c r="O1941">
        <f>IF(Raw_Claims_Data!G1940="D",1,0)</f>
        <v>0</v>
      </c>
    </row>
    <row r="1942" spans="1:15" x14ac:dyDescent="0.35">
      <c r="A1942" t="str">
        <f>Raw_Claims_Data!A1941</f>
        <v>TXN00001938</v>
      </c>
      <c r="B1942" t="str">
        <f>TRIM(Raw_Claims_Data!B1941)</f>
        <v>Julie Deal</v>
      </c>
      <c r="C1942" t="str">
        <f>Raw_Claims_Data!C1941</f>
        <v>Property</v>
      </c>
      <c r="D1942">
        <f>Raw_Claims_Data!D1941</f>
        <v>136.16</v>
      </c>
      <c r="E1942">
        <f>Raw_Claims_Data!E1941</f>
        <v>17000</v>
      </c>
      <c r="F1942" t="str">
        <f>Raw_Claims_Data!F1941</f>
        <v>OK</v>
      </c>
      <c r="G1942" t="str">
        <f>Raw_Claims_Data!G1941</f>
        <v>A</v>
      </c>
      <c r="H1942" t="str">
        <f>Raw_Claims_Data!H1941</f>
        <v>Total Loss</v>
      </c>
      <c r="I1942" t="str">
        <f>IF(Raw_Claims_Data!I1941="","None",Raw_Claims_Data!I1941)</f>
        <v>None</v>
      </c>
      <c r="J1942" t="str">
        <f>Raw_Claims_Data!J1941</f>
        <v>Glendale</v>
      </c>
      <c r="K1942" t="str">
        <f>Raw_Claims_Data!K1941</f>
        <v>AZ</v>
      </c>
      <c r="L1942">
        <f>Raw_Claims_Data!L1941</f>
        <v>21</v>
      </c>
      <c r="M1942" t="str">
        <f>IF(Raw_Claims_Data!M1941="","N/A",Raw_Claims_Data!M1941)</f>
        <v>VNDR00543</v>
      </c>
      <c r="N1942" t="str">
        <f>Raw_Claims_Data!N1941</f>
        <v>AGENT00163</v>
      </c>
      <c r="O1942">
        <f>IF(Raw_Claims_Data!G1941="D",1,0)</f>
        <v>0</v>
      </c>
    </row>
    <row r="1943" spans="1:15" x14ac:dyDescent="0.35">
      <c r="A1943" t="str">
        <f>Raw_Claims_Data!A1942</f>
        <v>TXN00001939</v>
      </c>
      <c r="B1943" t="str">
        <f>TRIM(Raw_Claims_Data!B1942)</f>
        <v>Kathleen Fields</v>
      </c>
      <c r="C1943" t="str">
        <f>Raw_Claims_Data!C1942</f>
        <v>Life</v>
      </c>
      <c r="D1943">
        <f>Raw_Claims_Data!D1942</f>
        <v>93.5</v>
      </c>
      <c r="E1943">
        <f>Raw_Claims_Data!E1942</f>
        <v>41000</v>
      </c>
      <c r="F1943" t="str">
        <f>Raw_Claims_Data!F1942</f>
        <v>CO</v>
      </c>
      <c r="G1943" t="str">
        <f>Raw_Claims_Data!G1942</f>
        <v>A</v>
      </c>
      <c r="H1943" t="str">
        <f>Raw_Claims_Data!H1942</f>
        <v>Major Loss</v>
      </c>
      <c r="I1943" t="str">
        <f>IF(Raw_Claims_Data!I1942="","None",Raw_Claims_Data!I1942)</f>
        <v>Police</v>
      </c>
      <c r="J1943" t="str">
        <f>Raw_Claims_Data!J1942</f>
        <v>Manchester</v>
      </c>
      <c r="K1943" t="str">
        <f>Raw_Claims_Data!K1942</f>
        <v>CT</v>
      </c>
      <c r="L1943">
        <f>Raw_Claims_Data!L1942</f>
        <v>23</v>
      </c>
      <c r="M1943" t="str">
        <f>IF(Raw_Claims_Data!M1942="","N/A",Raw_Claims_Data!M1942)</f>
        <v>VNDR00520</v>
      </c>
      <c r="N1943" t="str">
        <f>Raw_Claims_Data!N1942</f>
        <v>AGENT00720</v>
      </c>
      <c r="O1943">
        <f>IF(Raw_Claims_Data!G1942="D",1,0)</f>
        <v>0</v>
      </c>
    </row>
    <row r="1944" spans="1:15" x14ac:dyDescent="0.35">
      <c r="A1944" t="str">
        <f>Raw_Claims_Data!A1943</f>
        <v>TXN00001940</v>
      </c>
      <c r="B1944" t="str">
        <f>TRIM(Raw_Claims_Data!B1943)</f>
        <v>Cira Gaccione</v>
      </c>
      <c r="C1944" t="str">
        <f>Raw_Claims_Data!C1943</f>
        <v>Mobile</v>
      </c>
      <c r="D1944">
        <f>Raw_Claims_Data!D1943</f>
        <v>7.84</v>
      </c>
      <c r="E1944">
        <f>Raw_Claims_Data!E1943</f>
        <v>500</v>
      </c>
      <c r="F1944" t="str">
        <f>Raw_Claims_Data!F1943</f>
        <v>OK</v>
      </c>
      <c r="G1944" t="str">
        <f>Raw_Claims_Data!G1943</f>
        <v>A</v>
      </c>
      <c r="H1944" t="str">
        <f>Raw_Claims_Data!H1943</f>
        <v>Major Loss</v>
      </c>
      <c r="I1944" t="str">
        <f>IF(Raw_Claims_Data!I1943="","None",Raw_Claims_Data!I1943)</f>
        <v>Ambulance</v>
      </c>
      <c r="J1944" t="str">
        <f>Raw_Claims_Data!J1943</f>
        <v>Berkeley</v>
      </c>
      <c r="K1944" t="str">
        <f>Raw_Claims_Data!K1943</f>
        <v>CA</v>
      </c>
      <c r="L1944">
        <f>Raw_Claims_Data!L1943</f>
        <v>4</v>
      </c>
      <c r="M1944" t="str">
        <f>IF(Raw_Claims_Data!M1943="","N/A",Raw_Claims_Data!M1943)</f>
        <v>VNDR00167</v>
      </c>
      <c r="N1944" t="str">
        <f>Raw_Claims_Data!N1943</f>
        <v>AGENT01106</v>
      </c>
      <c r="O1944">
        <f>IF(Raw_Claims_Data!G1943="D",1,0)</f>
        <v>0</v>
      </c>
    </row>
    <row r="1945" spans="1:15" x14ac:dyDescent="0.35">
      <c r="A1945" t="str">
        <f>Raw_Claims_Data!A1944</f>
        <v>TXN00001941</v>
      </c>
      <c r="B1945" t="str">
        <f>TRIM(Raw_Claims_Data!B1944)</f>
        <v>Sarah Downs</v>
      </c>
      <c r="C1945" t="str">
        <f>Raw_Claims_Data!C1944</f>
        <v>Travel</v>
      </c>
      <c r="D1945">
        <f>Raw_Claims_Data!D1944</f>
        <v>55.93</v>
      </c>
      <c r="E1945">
        <f>Raw_Claims_Data!E1944</f>
        <v>2000</v>
      </c>
      <c r="F1945" t="str">
        <f>Raw_Claims_Data!F1944</f>
        <v>DC</v>
      </c>
      <c r="G1945" t="str">
        <f>Raw_Claims_Data!G1944</f>
        <v>A</v>
      </c>
      <c r="H1945" t="str">
        <f>Raw_Claims_Data!H1944</f>
        <v>Total Loss</v>
      </c>
      <c r="I1945" t="str">
        <f>IF(Raw_Claims_Data!I1944="","None",Raw_Claims_Data!I1944)</f>
        <v>Ambulance</v>
      </c>
      <c r="J1945" t="str">
        <f>Raw_Claims_Data!J1944</f>
        <v>Savannah</v>
      </c>
      <c r="K1945" t="str">
        <f>Raw_Claims_Data!K1944</f>
        <v>GA</v>
      </c>
      <c r="L1945">
        <f>Raw_Claims_Data!L1944</f>
        <v>10</v>
      </c>
      <c r="M1945" t="str">
        <f>IF(Raw_Claims_Data!M1944="","N/A",Raw_Claims_Data!M1944)</f>
        <v>VNDR00068</v>
      </c>
      <c r="N1945" t="str">
        <f>Raw_Claims_Data!N1944</f>
        <v>AGENT01118</v>
      </c>
      <c r="O1945">
        <f>IF(Raw_Claims_Data!G1944="D",1,0)</f>
        <v>0</v>
      </c>
    </row>
    <row r="1946" spans="1:15" x14ac:dyDescent="0.35">
      <c r="A1946" t="str">
        <f>Raw_Claims_Data!A1945</f>
        <v>TXN00001942</v>
      </c>
      <c r="B1946" t="str">
        <f>TRIM(Raw_Claims_Data!B1945)</f>
        <v>Fernando Neal</v>
      </c>
      <c r="C1946" t="str">
        <f>Raw_Claims_Data!C1945</f>
        <v>Health</v>
      </c>
      <c r="D1946">
        <f>Raw_Claims_Data!D1945</f>
        <v>192.88</v>
      </c>
      <c r="E1946">
        <f>Raw_Claims_Data!E1945</f>
        <v>17000</v>
      </c>
      <c r="F1946" t="str">
        <f>Raw_Claims_Data!F1945</f>
        <v>AL</v>
      </c>
      <c r="G1946" t="str">
        <f>Raw_Claims_Data!G1945</f>
        <v>A</v>
      </c>
      <c r="H1946" t="str">
        <f>Raw_Claims_Data!H1945</f>
        <v>Minor Loss</v>
      </c>
      <c r="I1946" t="str">
        <f>IF(Raw_Claims_Data!I1945="","None",Raw_Claims_Data!I1945)</f>
        <v>Police</v>
      </c>
      <c r="J1946" t="str">
        <f>Raw_Claims_Data!J1945</f>
        <v>Anchorage</v>
      </c>
      <c r="K1946" t="str">
        <f>Raw_Claims_Data!K1945</f>
        <v>AK</v>
      </c>
      <c r="L1946">
        <f>Raw_Claims_Data!L1945</f>
        <v>22</v>
      </c>
      <c r="M1946" t="str">
        <f>IF(Raw_Claims_Data!M1945="","N/A",Raw_Claims_Data!M1945)</f>
        <v>N/A</v>
      </c>
      <c r="N1946" t="str">
        <f>Raw_Claims_Data!N1945</f>
        <v>AGENT00124</v>
      </c>
      <c r="O1946">
        <f>IF(Raw_Claims_Data!G1945="D",1,0)</f>
        <v>0</v>
      </c>
    </row>
    <row r="1947" spans="1:15" x14ac:dyDescent="0.35">
      <c r="A1947" t="str">
        <f>Raw_Claims_Data!A1946</f>
        <v>TXN00001943</v>
      </c>
      <c r="B1947" t="str">
        <f>TRIM(Raw_Claims_Data!B1946)</f>
        <v>Eloise Thompson</v>
      </c>
      <c r="C1947" t="str">
        <f>Raw_Claims_Data!C1946</f>
        <v>Travel</v>
      </c>
      <c r="D1947">
        <f>Raw_Claims_Data!D1946</f>
        <v>63.27</v>
      </c>
      <c r="E1947">
        <f>Raw_Claims_Data!E1946</f>
        <v>2000</v>
      </c>
      <c r="F1947" t="str">
        <f>Raw_Claims_Data!F1946</f>
        <v>CA</v>
      </c>
      <c r="G1947" t="str">
        <f>Raw_Claims_Data!G1946</f>
        <v>A</v>
      </c>
      <c r="H1947" t="str">
        <f>Raw_Claims_Data!H1946</f>
        <v>Minor Loss</v>
      </c>
      <c r="I1947" t="str">
        <f>IF(Raw_Claims_Data!I1946="","None",Raw_Claims_Data!I1946)</f>
        <v>None</v>
      </c>
      <c r="J1947" t="str">
        <f>Raw_Claims_Data!J1946</f>
        <v>Washington</v>
      </c>
      <c r="K1947" t="str">
        <f>Raw_Claims_Data!K1946</f>
        <v>DC</v>
      </c>
      <c r="L1947">
        <f>Raw_Claims_Data!L1946</f>
        <v>20</v>
      </c>
      <c r="M1947" t="str">
        <f>IF(Raw_Claims_Data!M1946="","N/A",Raw_Claims_Data!M1946)</f>
        <v>N/A</v>
      </c>
      <c r="N1947" t="str">
        <f>Raw_Claims_Data!N1946</f>
        <v>AGENT00966</v>
      </c>
      <c r="O1947">
        <f>IF(Raw_Claims_Data!G1946="D",1,0)</f>
        <v>0</v>
      </c>
    </row>
    <row r="1948" spans="1:15" x14ac:dyDescent="0.35">
      <c r="A1948" t="str">
        <f>Raw_Claims_Data!A1947</f>
        <v>TXN00001944</v>
      </c>
      <c r="B1948" t="str">
        <f>TRIM(Raw_Claims_Data!B1947)</f>
        <v>Marlene Mcgill</v>
      </c>
      <c r="C1948" t="str">
        <f>Raw_Claims_Data!C1947</f>
        <v>Health</v>
      </c>
      <c r="D1948">
        <f>Raw_Claims_Data!D1947</f>
        <v>188.06</v>
      </c>
      <c r="E1948">
        <f>Raw_Claims_Data!E1947</f>
        <v>16000</v>
      </c>
      <c r="F1948" t="str">
        <f>Raw_Claims_Data!F1947</f>
        <v>TN</v>
      </c>
      <c r="G1948" t="str">
        <f>Raw_Claims_Data!G1947</f>
        <v>A</v>
      </c>
      <c r="H1948" t="str">
        <f>Raw_Claims_Data!H1947</f>
        <v>Minor Loss</v>
      </c>
      <c r="I1948" t="str">
        <f>IF(Raw_Claims_Data!I1947="","None",Raw_Claims_Data!I1947)</f>
        <v>Ambulance</v>
      </c>
      <c r="J1948" t="str">
        <f>Raw_Claims_Data!J1947</f>
        <v>Panama City Beach</v>
      </c>
      <c r="K1948" t="str">
        <f>Raw_Claims_Data!K1947</f>
        <v>FL</v>
      </c>
      <c r="L1948">
        <f>Raw_Claims_Data!L1947</f>
        <v>17</v>
      </c>
      <c r="M1948" t="str">
        <f>IF(Raw_Claims_Data!M1947="","N/A",Raw_Claims_Data!M1947)</f>
        <v>VNDR00119</v>
      </c>
      <c r="N1948" t="str">
        <f>Raw_Claims_Data!N1947</f>
        <v>AGENT01166</v>
      </c>
      <c r="O1948">
        <f>IF(Raw_Claims_Data!G1947="D",1,0)</f>
        <v>0</v>
      </c>
    </row>
    <row r="1949" spans="1:15" x14ac:dyDescent="0.35">
      <c r="A1949" t="str">
        <f>Raw_Claims_Data!A1948</f>
        <v>TXN00001945</v>
      </c>
      <c r="B1949" t="str">
        <f>TRIM(Raw_Claims_Data!B1948)</f>
        <v>Jennie Garnett</v>
      </c>
      <c r="C1949" t="str">
        <f>Raw_Claims_Data!C1948</f>
        <v>Travel</v>
      </c>
      <c r="D1949">
        <f>Raw_Claims_Data!D1948</f>
        <v>90.17</v>
      </c>
      <c r="E1949">
        <f>Raw_Claims_Data!E1948</f>
        <v>3000</v>
      </c>
      <c r="F1949" t="str">
        <f>Raw_Claims_Data!F1948</f>
        <v>AR</v>
      </c>
      <c r="G1949" t="str">
        <f>Raw_Claims_Data!G1948</f>
        <v>A</v>
      </c>
      <c r="H1949" t="str">
        <f>Raw_Claims_Data!H1948</f>
        <v>Minor Loss</v>
      </c>
      <c r="I1949" t="str">
        <f>IF(Raw_Claims_Data!I1948="","None",Raw_Claims_Data!I1948)</f>
        <v>Ambulance</v>
      </c>
      <c r="J1949" t="str">
        <f>Raw_Claims_Data!J1948</f>
        <v>Manchester</v>
      </c>
      <c r="K1949" t="str">
        <f>Raw_Claims_Data!K1948</f>
        <v>CT</v>
      </c>
      <c r="L1949">
        <f>Raw_Claims_Data!L1948</f>
        <v>12</v>
      </c>
      <c r="M1949" t="str">
        <f>IF(Raw_Claims_Data!M1948="","N/A",Raw_Claims_Data!M1948)</f>
        <v>VNDR00321</v>
      </c>
      <c r="N1949" t="str">
        <f>Raw_Claims_Data!N1948</f>
        <v>AGENT00954</v>
      </c>
      <c r="O1949">
        <f>IF(Raw_Claims_Data!G1948="D",1,0)</f>
        <v>0</v>
      </c>
    </row>
    <row r="1950" spans="1:15" x14ac:dyDescent="0.35">
      <c r="A1950" t="str">
        <f>Raw_Claims_Data!A1949</f>
        <v>TXN00001946</v>
      </c>
      <c r="B1950" t="str">
        <f>TRIM(Raw_Claims_Data!B1949)</f>
        <v>Shelton Sales</v>
      </c>
      <c r="C1950" t="str">
        <f>Raw_Claims_Data!C1949</f>
        <v>Mobile</v>
      </c>
      <c r="D1950">
        <f>Raw_Claims_Data!D1949</f>
        <v>11.19</v>
      </c>
      <c r="E1950">
        <f>Raw_Claims_Data!E1949</f>
        <v>300</v>
      </c>
      <c r="F1950" t="str">
        <f>Raw_Claims_Data!F1949</f>
        <v>AZ</v>
      </c>
      <c r="G1950" t="str">
        <f>Raw_Claims_Data!G1949</f>
        <v>A</v>
      </c>
      <c r="H1950" t="str">
        <f>Raw_Claims_Data!H1949</f>
        <v>Minor Loss</v>
      </c>
      <c r="I1950" t="str">
        <f>IF(Raw_Claims_Data!I1949="","None",Raw_Claims_Data!I1949)</f>
        <v>Ambulance</v>
      </c>
      <c r="J1950" t="str">
        <f>Raw_Claims_Data!J1949</f>
        <v>Washington</v>
      </c>
      <c r="K1950" t="str">
        <f>Raw_Claims_Data!K1949</f>
        <v>DC</v>
      </c>
      <c r="L1950">
        <f>Raw_Claims_Data!L1949</f>
        <v>15</v>
      </c>
      <c r="M1950" t="str">
        <f>IF(Raw_Claims_Data!M1949="","N/A",Raw_Claims_Data!M1949)</f>
        <v>VNDR00414</v>
      </c>
      <c r="N1950" t="str">
        <f>Raw_Claims_Data!N1949</f>
        <v>AGENT01090</v>
      </c>
      <c r="O1950">
        <f>IF(Raw_Claims_Data!G1949="D",1,0)</f>
        <v>0</v>
      </c>
    </row>
    <row r="1951" spans="1:15" x14ac:dyDescent="0.35">
      <c r="A1951" t="str">
        <f>Raw_Claims_Data!A1950</f>
        <v>TXN00001947</v>
      </c>
      <c r="B1951" t="str">
        <f>TRIM(Raw_Claims_Data!B1950)</f>
        <v>James Callen</v>
      </c>
      <c r="C1951" t="str">
        <f>Raw_Claims_Data!C1950</f>
        <v>Property</v>
      </c>
      <c r="D1951">
        <f>Raw_Claims_Data!D1950</f>
        <v>152.97999999999999</v>
      </c>
      <c r="E1951">
        <f>Raw_Claims_Data!E1950</f>
        <v>20000</v>
      </c>
      <c r="F1951" t="str">
        <f>Raw_Claims_Data!F1950</f>
        <v>AR</v>
      </c>
      <c r="G1951" t="str">
        <f>Raw_Claims_Data!G1950</f>
        <v>A</v>
      </c>
      <c r="H1951" t="str">
        <f>Raw_Claims_Data!H1950</f>
        <v>Total Loss</v>
      </c>
      <c r="I1951" t="str">
        <f>IF(Raw_Claims_Data!I1950="","None",Raw_Claims_Data!I1950)</f>
        <v>Police</v>
      </c>
      <c r="J1951" t="str">
        <f>Raw_Claims_Data!J1950</f>
        <v>Glendale</v>
      </c>
      <c r="K1951" t="str">
        <f>Raw_Claims_Data!K1950</f>
        <v>AZ</v>
      </c>
      <c r="L1951">
        <f>Raw_Claims_Data!L1950</f>
        <v>16</v>
      </c>
      <c r="M1951" t="str">
        <f>IF(Raw_Claims_Data!M1950="","N/A",Raw_Claims_Data!M1950)</f>
        <v>VNDR00023</v>
      </c>
      <c r="N1951" t="str">
        <f>Raw_Claims_Data!N1950</f>
        <v>AGENT00297</v>
      </c>
      <c r="O1951">
        <f>IF(Raw_Claims_Data!G1950="D",1,0)</f>
        <v>0</v>
      </c>
    </row>
    <row r="1952" spans="1:15" x14ac:dyDescent="0.35">
      <c r="A1952" t="str">
        <f>Raw_Claims_Data!A1951</f>
        <v>TXN00001948</v>
      </c>
      <c r="B1952" t="str">
        <f>TRIM(Raw_Claims_Data!B1951)</f>
        <v>Emile Autry</v>
      </c>
      <c r="C1952" t="str">
        <f>Raw_Claims_Data!C1951</f>
        <v>Mobile</v>
      </c>
      <c r="D1952">
        <f>Raw_Claims_Data!D1951</f>
        <v>6.65</v>
      </c>
      <c r="E1952">
        <f>Raw_Claims_Data!E1951</f>
        <v>500</v>
      </c>
      <c r="F1952" t="str">
        <f>Raw_Claims_Data!F1951</f>
        <v>CA</v>
      </c>
      <c r="G1952" t="str">
        <f>Raw_Claims_Data!G1951</f>
        <v>A</v>
      </c>
      <c r="H1952" t="str">
        <f>Raw_Claims_Data!H1951</f>
        <v>Minor Loss</v>
      </c>
      <c r="I1952" t="str">
        <f>IF(Raw_Claims_Data!I1951="","None",Raw_Claims_Data!I1951)</f>
        <v>Police</v>
      </c>
      <c r="J1952" t="str">
        <f>Raw_Claims_Data!J1951</f>
        <v>Annapolis</v>
      </c>
      <c r="K1952" t="str">
        <f>Raw_Claims_Data!K1951</f>
        <v>MD</v>
      </c>
      <c r="L1952">
        <f>Raw_Claims_Data!L1951</f>
        <v>5</v>
      </c>
      <c r="M1952" t="str">
        <f>IF(Raw_Claims_Data!M1951="","N/A",Raw_Claims_Data!M1951)</f>
        <v>VNDR00176</v>
      </c>
      <c r="N1952" t="str">
        <f>Raw_Claims_Data!N1951</f>
        <v>AGENT00319</v>
      </c>
      <c r="O1952">
        <f>IF(Raw_Claims_Data!G1951="D",1,0)</f>
        <v>0</v>
      </c>
    </row>
    <row r="1953" spans="1:15" x14ac:dyDescent="0.35">
      <c r="A1953" t="str">
        <f>Raw_Claims_Data!A1952</f>
        <v>TXN00001949</v>
      </c>
      <c r="B1953" t="str">
        <f>TRIM(Raw_Claims_Data!B1952)</f>
        <v>Jerry Hogan</v>
      </c>
      <c r="C1953" t="str">
        <f>Raw_Claims_Data!C1952</f>
        <v>Health</v>
      </c>
      <c r="D1953">
        <f>Raw_Claims_Data!D1952</f>
        <v>121.88</v>
      </c>
      <c r="E1953">
        <f>Raw_Claims_Data!E1952</f>
        <v>14000</v>
      </c>
      <c r="F1953" t="str">
        <f>Raw_Claims_Data!F1952</f>
        <v>GA</v>
      </c>
      <c r="G1953" t="str">
        <f>Raw_Claims_Data!G1952</f>
        <v>D</v>
      </c>
      <c r="H1953" t="str">
        <f>Raw_Claims_Data!H1952</f>
        <v>Major Loss</v>
      </c>
      <c r="I1953" t="str">
        <f>IF(Raw_Claims_Data!I1952="","None",Raw_Claims_Data!I1952)</f>
        <v>Ambulance</v>
      </c>
      <c r="J1953" t="str">
        <f>Raw_Claims_Data!J1952</f>
        <v>Montgomery</v>
      </c>
      <c r="K1953" t="str">
        <f>Raw_Claims_Data!K1952</f>
        <v>AL</v>
      </c>
      <c r="L1953">
        <f>Raw_Claims_Data!L1952</f>
        <v>19</v>
      </c>
      <c r="M1953" t="str">
        <f>IF(Raw_Claims_Data!M1952="","N/A",Raw_Claims_Data!M1952)</f>
        <v>VNDR00025</v>
      </c>
      <c r="N1953" t="str">
        <f>Raw_Claims_Data!N1952</f>
        <v>AGENT00834</v>
      </c>
      <c r="O1953">
        <f>IF(Raw_Claims_Data!G1952="D",1,0)</f>
        <v>1</v>
      </c>
    </row>
    <row r="1954" spans="1:15" x14ac:dyDescent="0.35">
      <c r="A1954" t="str">
        <f>Raw_Claims_Data!A1953</f>
        <v>TXN00001950</v>
      </c>
      <c r="B1954" t="str">
        <f>TRIM(Raw_Claims_Data!B1953)</f>
        <v>Judy Callaway</v>
      </c>
      <c r="C1954" t="str">
        <f>Raw_Claims_Data!C1953</f>
        <v>Life</v>
      </c>
      <c r="D1954">
        <f>Raw_Claims_Data!D1953</f>
        <v>69.650000000000006</v>
      </c>
      <c r="E1954">
        <f>Raw_Claims_Data!E1953</f>
        <v>80000</v>
      </c>
      <c r="F1954" t="str">
        <f>Raw_Claims_Data!F1953</f>
        <v>FL</v>
      </c>
      <c r="G1954" t="str">
        <f>Raw_Claims_Data!G1953</f>
        <v>A</v>
      </c>
      <c r="H1954" t="str">
        <f>Raw_Claims_Data!H1953</f>
        <v>Minor Loss</v>
      </c>
      <c r="I1954" t="str">
        <f>IF(Raw_Claims_Data!I1953="","None",Raw_Claims_Data!I1953)</f>
        <v>Ambulance</v>
      </c>
      <c r="J1954" t="str">
        <f>Raw_Claims_Data!J1953</f>
        <v>Louisville</v>
      </c>
      <c r="K1954" t="str">
        <f>Raw_Claims_Data!K1953</f>
        <v>KY</v>
      </c>
      <c r="L1954">
        <f>Raw_Claims_Data!L1953</f>
        <v>13</v>
      </c>
      <c r="M1954" t="str">
        <f>IF(Raw_Claims_Data!M1953="","N/A",Raw_Claims_Data!M1953)</f>
        <v>N/A</v>
      </c>
      <c r="N1954" t="str">
        <f>Raw_Claims_Data!N1953</f>
        <v>AGENT01019</v>
      </c>
      <c r="O1954">
        <f>IF(Raw_Claims_Data!G1953="D",1,0)</f>
        <v>0</v>
      </c>
    </row>
    <row r="1955" spans="1:15" x14ac:dyDescent="0.35">
      <c r="A1955" t="str">
        <f>Raw_Claims_Data!A1954</f>
        <v>TXN00001951</v>
      </c>
      <c r="B1955" t="str">
        <f>TRIM(Raw_Claims_Data!B1954)</f>
        <v>John Chambers</v>
      </c>
      <c r="C1955" t="str">
        <f>Raw_Claims_Data!C1954</f>
        <v>Mobile</v>
      </c>
      <c r="D1955">
        <f>Raw_Claims_Data!D1954</f>
        <v>9.16</v>
      </c>
      <c r="E1955">
        <f>Raw_Claims_Data!E1954</f>
        <v>500</v>
      </c>
      <c r="F1955" t="str">
        <f>Raw_Claims_Data!F1954</f>
        <v>VT</v>
      </c>
      <c r="G1955" t="str">
        <f>Raw_Claims_Data!G1954</f>
        <v>A</v>
      </c>
      <c r="H1955" t="str">
        <f>Raw_Claims_Data!H1954</f>
        <v>Minor Loss</v>
      </c>
      <c r="I1955" t="str">
        <f>IF(Raw_Claims_Data!I1954="","None",Raw_Claims_Data!I1954)</f>
        <v>None</v>
      </c>
      <c r="J1955" t="str">
        <f>Raw_Claims_Data!J1954</f>
        <v>North Little Rock</v>
      </c>
      <c r="K1955" t="str">
        <f>Raw_Claims_Data!K1954</f>
        <v>AR</v>
      </c>
      <c r="L1955">
        <f>Raw_Claims_Data!L1954</f>
        <v>4</v>
      </c>
      <c r="M1955" t="str">
        <f>IF(Raw_Claims_Data!M1954="","N/A",Raw_Claims_Data!M1954)</f>
        <v>VNDR00278</v>
      </c>
      <c r="N1955" t="str">
        <f>Raw_Claims_Data!N1954</f>
        <v>AGENT00687</v>
      </c>
      <c r="O1955">
        <f>IF(Raw_Claims_Data!G1954="D",1,0)</f>
        <v>0</v>
      </c>
    </row>
    <row r="1956" spans="1:15" x14ac:dyDescent="0.35">
      <c r="A1956" t="str">
        <f>Raw_Claims_Data!A1955</f>
        <v>TXN00001952</v>
      </c>
      <c r="B1956" t="str">
        <f>TRIM(Raw_Claims_Data!B1955)</f>
        <v>Ruth Comstock</v>
      </c>
      <c r="C1956" t="str">
        <f>Raw_Claims_Data!C1955</f>
        <v>Property</v>
      </c>
      <c r="D1956">
        <f>Raw_Claims_Data!D1955</f>
        <v>141.41</v>
      </c>
      <c r="E1956">
        <f>Raw_Claims_Data!E1955</f>
        <v>25000</v>
      </c>
      <c r="F1956" t="str">
        <f>Raw_Claims_Data!F1955</f>
        <v>CA</v>
      </c>
      <c r="G1956" t="str">
        <f>Raw_Claims_Data!G1955</f>
        <v>A</v>
      </c>
      <c r="H1956" t="str">
        <f>Raw_Claims_Data!H1955</f>
        <v>Total Loss</v>
      </c>
      <c r="I1956" t="str">
        <f>IF(Raw_Claims_Data!I1955="","None",Raw_Claims_Data!I1955)</f>
        <v>None</v>
      </c>
      <c r="J1956" t="str">
        <f>Raw_Claims_Data!J1955</f>
        <v>Pasadena</v>
      </c>
      <c r="K1956" t="str">
        <f>Raw_Claims_Data!K1955</f>
        <v>MD</v>
      </c>
      <c r="L1956">
        <f>Raw_Claims_Data!L1955</f>
        <v>3</v>
      </c>
      <c r="M1956" t="str">
        <f>IF(Raw_Claims_Data!M1955="","N/A",Raw_Claims_Data!M1955)</f>
        <v>N/A</v>
      </c>
      <c r="N1956" t="str">
        <f>Raw_Claims_Data!N1955</f>
        <v>AGENT00717</v>
      </c>
      <c r="O1956">
        <f>IF(Raw_Claims_Data!G1955="D",1,0)</f>
        <v>0</v>
      </c>
    </row>
    <row r="1957" spans="1:15" x14ac:dyDescent="0.35">
      <c r="A1957" t="str">
        <f>Raw_Claims_Data!A1956</f>
        <v>TXN00001953</v>
      </c>
      <c r="B1957" t="str">
        <f>TRIM(Raw_Claims_Data!B1956)</f>
        <v>Eura Bobo</v>
      </c>
      <c r="C1957" t="str">
        <f>Raw_Claims_Data!C1956</f>
        <v>Property</v>
      </c>
      <c r="D1957">
        <f>Raw_Claims_Data!D1956</f>
        <v>107.87</v>
      </c>
      <c r="E1957">
        <f>Raw_Claims_Data!E1956</f>
        <v>38000</v>
      </c>
      <c r="F1957" t="str">
        <f>Raw_Claims_Data!F1956</f>
        <v>MD</v>
      </c>
      <c r="G1957" t="str">
        <f>Raw_Claims_Data!G1956</f>
        <v>A</v>
      </c>
      <c r="H1957" t="str">
        <f>Raw_Claims_Data!H1956</f>
        <v>Total Loss</v>
      </c>
      <c r="I1957" t="str">
        <f>IF(Raw_Claims_Data!I1956="","None",Raw_Claims_Data!I1956)</f>
        <v>Police</v>
      </c>
      <c r="J1957" t="str">
        <f>Raw_Claims_Data!J1956</f>
        <v>Boulder</v>
      </c>
      <c r="K1957" t="str">
        <f>Raw_Claims_Data!K1956</f>
        <v>CO</v>
      </c>
      <c r="L1957">
        <f>Raw_Claims_Data!L1956</f>
        <v>14</v>
      </c>
      <c r="M1957" t="str">
        <f>IF(Raw_Claims_Data!M1956="","N/A",Raw_Claims_Data!M1956)</f>
        <v>VNDR00564</v>
      </c>
      <c r="N1957" t="str">
        <f>Raw_Claims_Data!N1956</f>
        <v>AGENT00991</v>
      </c>
      <c r="O1957">
        <f>IF(Raw_Claims_Data!G1956="D",1,0)</f>
        <v>0</v>
      </c>
    </row>
    <row r="1958" spans="1:15" x14ac:dyDescent="0.35">
      <c r="A1958" t="str">
        <f>Raw_Claims_Data!A1957</f>
        <v>TXN00001954</v>
      </c>
      <c r="B1958" t="str">
        <f>TRIM(Raw_Claims_Data!B1957)</f>
        <v>Graig Mcgraw</v>
      </c>
      <c r="C1958" t="str">
        <f>Raw_Claims_Data!C1957</f>
        <v>Property</v>
      </c>
      <c r="D1958">
        <f>Raw_Claims_Data!D1957</f>
        <v>113.43</v>
      </c>
      <c r="E1958">
        <f>Raw_Claims_Data!E1957</f>
        <v>13000</v>
      </c>
      <c r="F1958" t="str">
        <f>Raw_Claims_Data!F1957</f>
        <v>AL</v>
      </c>
      <c r="G1958" t="str">
        <f>Raw_Claims_Data!G1957</f>
        <v>A</v>
      </c>
      <c r="H1958" t="str">
        <f>Raw_Claims_Data!H1957</f>
        <v>Minor Loss</v>
      </c>
      <c r="I1958" t="str">
        <f>IF(Raw_Claims_Data!I1957="","None",Raw_Claims_Data!I1957)</f>
        <v>None</v>
      </c>
      <c r="J1958" t="str">
        <f>Raw_Claims_Data!J1957</f>
        <v>Savannah</v>
      </c>
      <c r="K1958" t="str">
        <f>Raw_Claims_Data!K1957</f>
        <v>GA</v>
      </c>
      <c r="L1958">
        <f>Raw_Claims_Data!L1957</f>
        <v>21</v>
      </c>
      <c r="M1958" t="str">
        <f>IF(Raw_Claims_Data!M1957="","N/A",Raw_Claims_Data!M1957)</f>
        <v>VNDR00295</v>
      </c>
      <c r="N1958" t="str">
        <f>Raw_Claims_Data!N1957</f>
        <v>AGENT00212</v>
      </c>
      <c r="O1958">
        <f>IF(Raw_Claims_Data!G1957="D",1,0)</f>
        <v>0</v>
      </c>
    </row>
    <row r="1959" spans="1:15" x14ac:dyDescent="0.35">
      <c r="A1959" t="str">
        <f>Raw_Claims_Data!A1958</f>
        <v>TXN00001955</v>
      </c>
      <c r="B1959" t="str">
        <f>TRIM(Raw_Claims_Data!B1958)</f>
        <v>Sheldon Henry</v>
      </c>
      <c r="C1959" t="str">
        <f>Raw_Claims_Data!C1958</f>
        <v>Life</v>
      </c>
      <c r="D1959">
        <f>Raw_Claims_Data!D1958</f>
        <v>81.489999999999995</v>
      </c>
      <c r="E1959">
        <f>Raw_Claims_Data!E1958</f>
        <v>16000</v>
      </c>
      <c r="F1959" t="str">
        <f>Raw_Claims_Data!F1958</f>
        <v>GA</v>
      </c>
      <c r="G1959" t="str">
        <f>Raw_Claims_Data!G1958</f>
        <v>A</v>
      </c>
      <c r="H1959" t="str">
        <f>Raw_Claims_Data!H1958</f>
        <v>Total Loss</v>
      </c>
      <c r="I1959" t="str">
        <f>IF(Raw_Claims_Data!I1958="","None",Raw_Claims_Data!I1958)</f>
        <v>Police</v>
      </c>
      <c r="J1959" t="str">
        <f>Raw_Claims_Data!J1958</f>
        <v>Savannah</v>
      </c>
      <c r="K1959" t="str">
        <f>Raw_Claims_Data!K1958</f>
        <v>GA</v>
      </c>
      <c r="L1959">
        <f>Raw_Claims_Data!L1958</f>
        <v>16</v>
      </c>
      <c r="M1959" t="str">
        <f>IF(Raw_Claims_Data!M1958="","N/A",Raw_Claims_Data!M1958)</f>
        <v>VNDR00474</v>
      </c>
      <c r="N1959" t="str">
        <f>Raw_Claims_Data!N1958</f>
        <v>AGENT00340</v>
      </c>
      <c r="O1959">
        <f>IF(Raw_Claims_Data!G1958="D",1,0)</f>
        <v>0</v>
      </c>
    </row>
    <row r="1960" spans="1:15" x14ac:dyDescent="0.35">
      <c r="A1960" t="str">
        <f>Raw_Claims_Data!A1959</f>
        <v>TXN00001956</v>
      </c>
      <c r="B1960" t="str">
        <f>TRIM(Raw_Claims_Data!B1959)</f>
        <v>Edward Jansen</v>
      </c>
      <c r="C1960" t="str">
        <f>Raw_Claims_Data!C1959</f>
        <v>Life</v>
      </c>
      <c r="D1960">
        <f>Raw_Claims_Data!D1959</f>
        <v>65.64</v>
      </c>
      <c r="E1960">
        <f>Raw_Claims_Data!E1959</f>
        <v>61000</v>
      </c>
      <c r="F1960" t="str">
        <f>Raw_Claims_Data!F1959</f>
        <v>FL</v>
      </c>
      <c r="G1960" t="str">
        <f>Raw_Claims_Data!G1959</f>
        <v>A</v>
      </c>
      <c r="H1960" t="str">
        <f>Raw_Claims_Data!H1959</f>
        <v>Minor Loss</v>
      </c>
      <c r="I1960" t="str">
        <f>IF(Raw_Claims_Data!I1959="","None",Raw_Claims_Data!I1959)</f>
        <v>Other</v>
      </c>
      <c r="J1960" t="str">
        <f>Raw_Claims_Data!J1959</f>
        <v>Quincy</v>
      </c>
      <c r="K1960" t="str">
        <f>Raw_Claims_Data!K1959</f>
        <v>MA</v>
      </c>
      <c r="L1960">
        <f>Raw_Claims_Data!L1959</f>
        <v>13</v>
      </c>
      <c r="M1960" t="str">
        <f>IF(Raw_Claims_Data!M1959="","N/A",Raw_Claims_Data!M1959)</f>
        <v>VNDR00419</v>
      </c>
      <c r="N1960" t="str">
        <f>Raw_Claims_Data!N1959</f>
        <v>AGENT00132</v>
      </c>
      <c r="O1960">
        <f>IF(Raw_Claims_Data!G1959="D",1,0)</f>
        <v>0</v>
      </c>
    </row>
    <row r="1961" spans="1:15" x14ac:dyDescent="0.35">
      <c r="A1961" t="str">
        <f>Raw_Claims_Data!A1960</f>
        <v>TXN00001957</v>
      </c>
      <c r="B1961" t="str">
        <f>TRIM(Raw_Claims_Data!B1960)</f>
        <v>Jason Collier</v>
      </c>
      <c r="C1961" t="str">
        <f>Raw_Claims_Data!C1960</f>
        <v>Travel</v>
      </c>
      <c r="D1961">
        <f>Raw_Claims_Data!D1960</f>
        <v>65.040000000000006</v>
      </c>
      <c r="E1961">
        <f>Raw_Claims_Data!E1960</f>
        <v>5000</v>
      </c>
      <c r="F1961" t="str">
        <f>Raw_Claims_Data!F1960</f>
        <v>AK</v>
      </c>
      <c r="G1961" t="str">
        <f>Raw_Claims_Data!G1960</f>
        <v>A</v>
      </c>
      <c r="H1961" t="str">
        <f>Raw_Claims_Data!H1960</f>
        <v>Major Loss</v>
      </c>
      <c r="I1961" t="str">
        <f>IF(Raw_Claims_Data!I1960="","None",Raw_Claims_Data!I1960)</f>
        <v>Police</v>
      </c>
      <c r="J1961" t="str">
        <f>Raw_Claims_Data!J1960</f>
        <v>Louisville</v>
      </c>
      <c r="K1961" t="str">
        <f>Raw_Claims_Data!K1960</f>
        <v>KY</v>
      </c>
      <c r="L1961">
        <f>Raw_Claims_Data!L1960</f>
        <v>23</v>
      </c>
      <c r="M1961" t="str">
        <f>IF(Raw_Claims_Data!M1960="","N/A",Raw_Claims_Data!M1960)</f>
        <v>VNDR00071</v>
      </c>
      <c r="N1961" t="str">
        <f>Raw_Claims_Data!N1960</f>
        <v>AGENT00211</v>
      </c>
      <c r="O1961">
        <f>IF(Raw_Claims_Data!G1960="D",1,0)</f>
        <v>0</v>
      </c>
    </row>
    <row r="1962" spans="1:15" x14ac:dyDescent="0.35">
      <c r="A1962" t="str">
        <f>Raw_Claims_Data!A1961</f>
        <v>TXN00001958</v>
      </c>
      <c r="B1962" t="str">
        <f>TRIM(Raw_Claims_Data!B1961)</f>
        <v>Johnathan Sheehan</v>
      </c>
      <c r="C1962" t="str">
        <f>Raw_Claims_Data!C1961</f>
        <v>Motor</v>
      </c>
      <c r="D1962">
        <f>Raw_Claims_Data!D1961</f>
        <v>116.64</v>
      </c>
      <c r="E1962">
        <f>Raw_Claims_Data!E1961</f>
        <v>7000</v>
      </c>
      <c r="F1962" t="str">
        <f>Raw_Claims_Data!F1961</f>
        <v>OK</v>
      </c>
      <c r="G1962" t="str">
        <f>Raw_Claims_Data!G1961</f>
        <v>A</v>
      </c>
      <c r="H1962" t="str">
        <f>Raw_Claims_Data!H1961</f>
        <v>Major Loss</v>
      </c>
      <c r="I1962" t="str">
        <f>IF(Raw_Claims_Data!I1961="","None",Raw_Claims_Data!I1961)</f>
        <v>Other</v>
      </c>
      <c r="J1962" t="str">
        <f>Raw_Claims_Data!J1961</f>
        <v>Fayetteville</v>
      </c>
      <c r="K1962" t="str">
        <f>Raw_Claims_Data!K1961</f>
        <v>AR</v>
      </c>
      <c r="L1962">
        <f>Raw_Claims_Data!L1961</f>
        <v>11</v>
      </c>
      <c r="M1962" t="str">
        <f>IF(Raw_Claims_Data!M1961="","N/A",Raw_Claims_Data!M1961)</f>
        <v>N/A</v>
      </c>
      <c r="N1962" t="str">
        <f>Raw_Claims_Data!N1961</f>
        <v>AGENT01033</v>
      </c>
      <c r="O1962">
        <f>IF(Raw_Claims_Data!G1961="D",1,0)</f>
        <v>0</v>
      </c>
    </row>
    <row r="1963" spans="1:15" x14ac:dyDescent="0.35">
      <c r="A1963" t="str">
        <f>Raw_Claims_Data!A1962</f>
        <v>TXN00001959</v>
      </c>
      <c r="B1963" t="str">
        <f>TRIM(Raw_Claims_Data!B1962)</f>
        <v>Ralph Smith</v>
      </c>
      <c r="C1963" t="str">
        <f>Raw_Claims_Data!C1962</f>
        <v>Life</v>
      </c>
      <c r="D1963">
        <f>Raw_Claims_Data!D1962</f>
        <v>53.99</v>
      </c>
      <c r="E1963">
        <f>Raw_Claims_Data!E1962</f>
        <v>83000</v>
      </c>
      <c r="F1963" t="str">
        <f>Raw_Claims_Data!F1962</f>
        <v>GA</v>
      </c>
      <c r="G1963" t="str">
        <f>Raw_Claims_Data!G1962</f>
        <v>A</v>
      </c>
      <c r="H1963" t="str">
        <f>Raw_Claims_Data!H1962</f>
        <v>Minor Loss</v>
      </c>
      <c r="I1963" t="str">
        <f>IF(Raw_Claims_Data!I1962="","None",Raw_Claims_Data!I1962)</f>
        <v>None</v>
      </c>
      <c r="J1963" t="str">
        <f>Raw_Claims_Data!J1962</f>
        <v>Nashville</v>
      </c>
      <c r="K1963" t="str">
        <f>Raw_Claims_Data!K1962</f>
        <v>TN</v>
      </c>
      <c r="L1963">
        <f>Raw_Claims_Data!L1962</f>
        <v>7</v>
      </c>
      <c r="M1963" t="str">
        <f>IF(Raw_Claims_Data!M1962="","N/A",Raw_Claims_Data!M1962)</f>
        <v>N/A</v>
      </c>
      <c r="N1963" t="str">
        <f>Raw_Claims_Data!N1962</f>
        <v>AGENT00204</v>
      </c>
      <c r="O1963">
        <f>IF(Raw_Claims_Data!G1962="D",1,0)</f>
        <v>0</v>
      </c>
    </row>
    <row r="1964" spans="1:15" x14ac:dyDescent="0.35">
      <c r="A1964" t="str">
        <f>Raw_Claims_Data!A1963</f>
        <v>TXN00001960</v>
      </c>
      <c r="B1964" t="str">
        <f>TRIM(Raw_Claims_Data!B1963)</f>
        <v>Joshua Goodman</v>
      </c>
      <c r="C1964" t="str">
        <f>Raw_Claims_Data!C1963</f>
        <v>Life</v>
      </c>
      <c r="D1964">
        <f>Raw_Claims_Data!D1963</f>
        <v>95.16</v>
      </c>
      <c r="E1964">
        <f>Raw_Claims_Data!E1963</f>
        <v>95000</v>
      </c>
      <c r="F1964" t="str">
        <f>Raw_Claims_Data!F1963</f>
        <v>DC</v>
      </c>
      <c r="G1964" t="str">
        <f>Raw_Claims_Data!G1963</f>
        <v>D</v>
      </c>
      <c r="H1964" t="str">
        <f>Raw_Claims_Data!H1963</f>
        <v>Total Loss</v>
      </c>
      <c r="I1964" t="str">
        <f>IF(Raw_Claims_Data!I1963="","None",Raw_Claims_Data!I1963)</f>
        <v>Police</v>
      </c>
      <c r="J1964" t="str">
        <f>Raw_Claims_Data!J1963</f>
        <v>Washington</v>
      </c>
      <c r="K1964" t="str">
        <f>Raw_Claims_Data!K1963</f>
        <v>DC</v>
      </c>
      <c r="L1964">
        <f>Raw_Claims_Data!L1963</f>
        <v>15</v>
      </c>
      <c r="M1964" t="str">
        <f>IF(Raw_Claims_Data!M1963="","N/A",Raw_Claims_Data!M1963)</f>
        <v>VNDR00520</v>
      </c>
      <c r="N1964" t="str">
        <f>Raw_Claims_Data!N1963</f>
        <v>AGENT00010</v>
      </c>
      <c r="O1964">
        <f>IF(Raw_Claims_Data!G1963="D",1,0)</f>
        <v>1</v>
      </c>
    </row>
    <row r="1965" spans="1:15" x14ac:dyDescent="0.35">
      <c r="A1965" t="str">
        <f>Raw_Claims_Data!A1964</f>
        <v>TXN00001961</v>
      </c>
      <c r="B1965" t="str">
        <f>TRIM(Raw_Claims_Data!B1964)</f>
        <v>Bennett Vinson</v>
      </c>
      <c r="C1965" t="str">
        <f>Raw_Claims_Data!C1964</f>
        <v>Mobile</v>
      </c>
      <c r="D1965">
        <f>Raw_Claims_Data!D1964</f>
        <v>10.51</v>
      </c>
      <c r="E1965">
        <f>Raw_Claims_Data!E1964</f>
        <v>200</v>
      </c>
      <c r="F1965" t="str">
        <f>Raw_Claims_Data!F1964</f>
        <v>GA</v>
      </c>
      <c r="G1965" t="str">
        <f>Raw_Claims_Data!G1964</f>
        <v>A</v>
      </c>
      <c r="H1965" t="str">
        <f>Raw_Claims_Data!H1964</f>
        <v>Minor Loss</v>
      </c>
      <c r="I1965" t="str">
        <f>IF(Raw_Claims_Data!I1964="","None",Raw_Claims_Data!I1964)</f>
        <v>Ambulance</v>
      </c>
      <c r="J1965" t="str">
        <f>Raw_Claims_Data!J1964</f>
        <v>Huntington</v>
      </c>
      <c r="K1965" t="str">
        <f>Raw_Claims_Data!K1964</f>
        <v>VT</v>
      </c>
      <c r="L1965">
        <f>Raw_Claims_Data!L1964</f>
        <v>21</v>
      </c>
      <c r="M1965" t="str">
        <f>IF(Raw_Claims_Data!M1964="","N/A",Raw_Claims_Data!M1964)</f>
        <v>VNDR00129</v>
      </c>
      <c r="N1965" t="str">
        <f>Raw_Claims_Data!N1964</f>
        <v>AGENT00251</v>
      </c>
      <c r="O1965">
        <f>IF(Raw_Claims_Data!G1964="D",1,0)</f>
        <v>0</v>
      </c>
    </row>
    <row r="1966" spans="1:15" x14ac:dyDescent="0.35">
      <c r="A1966" t="str">
        <f>Raw_Claims_Data!A1965</f>
        <v>TXN00001962</v>
      </c>
      <c r="B1966" t="str">
        <f>TRIM(Raw_Claims_Data!B1965)</f>
        <v>James Englert</v>
      </c>
      <c r="C1966" t="str">
        <f>Raw_Claims_Data!C1965</f>
        <v>Health</v>
      </c>
      <c r="D1966">
        <f>Raw_Claims_Data!D1965</f>
        <v>163.87</v>
      </c>
      <c r="E1966">
        <f>Raw_Claims_Data!E1965</f>
        <v>15000</v>
      </c>
      <c r="F1966" t="str">
        <f>Raw_Claims_Data!F1965</f>
        <v>AK</v>
      </c>
      <c r="G1966" t="str">
        <f>Raw_Claims_Data!G1965</f>
        <v>D</v>
      </c>
      <c r="H1966" t="str">
        <f>Raw_Claims_Data!H1965</f>
        <v>Minor Loss</v>
      </c>
      <c r="I1966" t="str">
        <f>IF(Raw_Claims_Data!I1965="","None",Raw_Claims_Data!I1965)</f>
        <v>Other</v>
      </c>
      <c r="J1966" t="str">
        <f>Raw_Claims_Data!J1965</f>
        <v>Pueblo</v>
      </c>
      <c r="K1966" t="str">
        <f>Raw_Claims_Data!K1965</f>
        <v>CO</v>
      </c>
      <c r="L1966">
        <f>Raw_Claims_Data!L1965</f>
        <v>20</v>
      </c>
      <c r="M1966" t="str">
        <f>IF(Raw_Claims_Data!M1965="","N/A",Raw_Claims_Data!M1965)</f>
        <v>VNDR00434</v>
      </c>
      <c r="N1966" t="str">
        <f>Raw_Claims_Data!N1965</f>
        <v>AGENT00893</v>
      </c>
      <c r="O1966">
        <f>IF(Raw_Claims_Data!G1965="D",1,0)</f>
        <v>1</v>
      </c>
    </row>
    <row r="1967" spans="1:15" x14ac:dyDescent="0.35">
      <c r="A1967" t="str">
        <f>Raw_Claims_Data!A1966</f>
        <v>TXN00001963</v>
      </c>
      <c r="B1967" t="str">
        <f>TRIM(Raw_Claims_Data!B1966)</f>
        <v>Frank Trudnowski</v>
      </c>
      <c r="C1967" t="str">
        <f>Raw_Claims_Data!C1966</f>
        <v>Travel</v>
      </c>
      <c r="D1967">
        <f>Raw_Claims_Data!D1966</f>
        <v>63.07</v>
      </c>
      <c r="E1967">
        <f>Raw_Claims_Data!E1966</f>
        <v>3000</v>
      </c>
      <c r="F1967" t="str">
        <f>Raw_Claims_Data!F1966</f>
        <v>GA</v>
      </c>
      <c r="G1967" t="str">
        <f>Raw_Claims_Data!G1966</f>
        <v>A</v>
      </c>
      <c r="H1967" t="str">
        <f>Raw_Claims_Data!H1966</f>
        <v>Major Loss</v>
      </c>
      <c r="I1967" t="str">
        <f>IF(Raw_Claims_Data!I1966="","None",Raw_Claims_Data!I1966)</f>
        <v>Police</v>
      </c>
      <c r="J1967" t="str">
        <f>Raw_Claims_Data!J1966</f>
        <v>Panama City</v>
      </c>
      <c r="K1967" t="str">
        <f>Raw_Claims_Data!K1966</f>
        <v>FL</v>
      </c>
      <c r="L1967">
        <f>Raw_Claims_Data!L1966</f>
        <v>2</v>
      </c>
      <c r="M1967" t="str">
        <f>IF(Raw_Claims_Data!M1966="","N/A",Raw_Claims_Data!M1966)</f>
        <v>N/A</v>
      </c>
      <c r="N1967" t="str">
        <f>Raw_Claims_Data!N1966</f>
        <v>AGENT00686</v>
      </c>
      <c r="O1967">
        <f>IF(Raw_Claims_Data!G1966="D",1,0)</f>
        <v>0</v>
      </c>
    </row>
    <row r="1968" spans="1:15" x14ac:dyDescent="0.35">
      <c r="A1968" t="str">
        <f>Raw_Claims_Data!A1967</f>
        <v>TXN00001964</v>
      </c>
      <c r="B1968" t="str">
        <f>TRIM(Raw_Claims_Data!B1967)</f>
        <v>Michael Mctaggart</v>
      </c>
      <c r="C1968" t="str">
        <f>Raw_Claims_Data!C1967</f>
        <v>Mobile</v>
      </c>
      <c r="D1968">
        <f>Raw_Claims_Data!D1967</f>
        <v>7.32</v>
      </c>
      <c r="E1968">
        <f>Raw_Claims_Data!E1967</f>
        <v>700</v>
      </c>
      <c r="F1968" t="str">
        <f>Raw_Claims_Data!F1967</f>
        <v>AK</v>
      </c>
      <c r="G1968" t="str">
        <f>Raw_Claims_Data!G1967</f>
        <v>A</v>
      </c>
      <c r="H1968" t="str">
        <f>Raw_Claims_Data!H1967</f>
        <v>Minor Loss</v>
      </c>
      <c r="I1968" t="str">
        <f>IF(Raw_Claims_Data!I1967="","None",Raw_Claims_Data!I1967)</f>
        <v>Police</v>
      </c>
      <c r="J1968" t="str">
        <f>Raw_Claims_Data!J1967</f>
        <v>Methuen</v>
      </c>
      <c r="K1968" t="str">
        <f>Raw_Claims_Data!K1967</f>
        <v>MA</v>
      </c>
      <c r="L1968">
        <f>Raw_Claims_Data!L1967</f>
        <v>4</v>
      </c>
      <c r="M1968" t="str">
        <f>IF(Raw_Claims_Data!M1967="","N/A",Raw_Claims_Data!M1967)</f>
        <v>VNDR00211</v>
      </c>
      <c r="N1968" t="str">
        <f>Raw_Claims_Data!N1967</f>
        <v>AGENT00224</v>
      </c>
      <c r="O1968">
        <f>IF(Raw_Claims_Data!G1967="D",1,0)</f>
        <v>0</v>
      </c>
    </row>
    <row r="1969" spans="1:15" x14ac:dyDescent="0.35">
      <c r="A1969" t="str">
        <f>Raw_Claims_Data!A1968</f>
        <v>TXN00001965</v>
      </c>
      <c r="B1969" t="str">
        <f>TRIM(Raw_Claims_Data!B1968)</f>
        <v>Derrick Balnis</v>
      </c>
      <c r="C1969" t="str">
        <f>Raw_Claims_Data!C1968</f>
        <v>Motor</v>
      </c>
      <c r="D1969">
        <f>Raw_Claims_Data!D1968</f>
        <v>101</v>
      </c>
      <c r="E1969">
        <f>Raw_Claims_Data!E1968</f>
        <v>7000</v>
      </c>
      <c r="F1969" t="str">
        <f>Raw_Claims_Data!F1968</f>
        <v>CA</v>
      </c>
      <c r="G1969" t="str">
        <f>Raw_Claims_Data!G1968</f>
        <v>D</v>
      </c>
      <c r="H1969" t="str">
        <f>Raw_Claims_Data!H1968</f>
        <v>Total Loss</v>
      </c>
      <c r="I1969" t="str">
        <f>IF(Raw_Claims_Data!I1968="","None",Raw_Claims_Data!I1968)</f>
        <v>Ambulance</v>
      </c>
      <c r="J1969" t="str">
        <f>Raw_Claims_Data!J1968</f>
        <v>Severna Park</v>
      </c>
      <c r="K1969" t="str">
        <f>Raw_Claims_Data!K1968</f>
        <v>MD</v>
      </c>
      <c r="L1969">
        <f>Raw_Claims_Data!L1968</f>
        <v>16</v>
      </c>
      <c r="M1969" t="str">
        <f>IF(Raw_Claims_Data!M1968="","N/A",Raw_Claims_Data!M1968)</f>
        <v>N/A</v>
      </c>
      <c r="N1969" t="str">
        <f>Raw_Claims_Data!N1968</f>
        <v>AGENT00976</v>
      </c>
      <c r="O1969">
        <f>IF(Raw_Claims_Data!G1968="D",1,0)</f>
        <v>1</v>
      </c>
    </row>
    <row r="1970" spans="1:15" x14ac:dyDescent="0.35">
      <c r="A1970" t="str">
        <f>Raw_Claims_Data!A1969</f>
        <v>TXN00001966</v>
      </c>
      <c r="B1970" t="str">
        <f>TRIM(Raw_Claims_Data!B1969)</f>
        <v>Virginia Rogers</v>
      </c>
      <c r="C1970" t="str">
        <f>Raw_Claims_Data!C1969</f>
        <v>Mobile</v>
      </c>
      <c r="D1970">
        <f>Raw_Claims_Data!D1969</f>
        <v>8.6199999999999992</v>
      </c>
      <c r="E1970">
        <f>Raw_Claims_Data!E1969</f>
        <v>200</v>
      </c>
      <c r="F1970" t="str">
        <f>Raw_Claims_Data!F1969</f>
        <v>TN</v>
      </c>
      <c r="G1970" t="str">
        <f>Raw_Claims_Data!G1969</f>
        <v>A</v>
      </c>
      <c r="H1970" t="str">
        <f>Raw_Claims_Data!H1969</f>
        <v>Major Loss</v>
      </c>
      <c r="I1970" t="str">
        <f>IF(Raw_Claims_Data!I1969="","None",Raw_Claims_Data!I1969)</f>
        <v>Ambulance</v>
      </c>
      <c r="J1970" t="str">
        <f>Raw_Claims_Data!J1969</f>
        <v>Nashville</v>
      </c>
      <c r="K1970" t="str">
        <f>Raw_Claims_Data!K1969</f>
        <v>TN</v>
      </c>
      <c r="L1970">
        <f>Raw_Claims_Data!L1969</f>
        <v>19</v>
      </c>
      <c r="M1970" t="str">
        <f>IF(Raw_Claims_Data!M1969="","N/A",Raw_Claims_Data!M1969)</f>
        <v>VNDR00358</v>
      </c>
      <c r="N1970" t="str">
        <f>Raw_Claims_Data!N1969</f>
        <v>AGENT00022</v>
      </c>
      <c r="O1970">
        <f>IF(Raw_Claims_Data!G1969="D",1,0)</f>
        <v>0</v>
      </c>
    </row>
    <row r="1971" spans="1:15" x14ac:dyDescent="0.35">
      <c r="A1971" t="str">
        <f>Raw_Claims_Data!A1970</f>
        <v>TXN00001967</v>
      </c>
      <c r="B1971" t="str">
        <f>TRIM(Raw_Claims_Data!B1970)</f>
        <v>Jonathan Garrett</v>
      </c>
      <c r="C1971" t="str">
        <f>Raw_Claims_Data!C1970</f>
        <v>Health</v>
      </c>
      <c r="D1971">
        <f>Raw_Claims_Data!D1970</f>
        <v>184.89</v>
      </c>
      <c r="E1971">
        <f>Raw_Claims_Data!E1970</f>
        <v>20000</v>
      </c>
      <c r="F1971" t="str">
        <f>Raw_Claims_Data!F1970</f>
        <v>KY</v>
      </c>
      <c r="G1971" t="str">
        <f>Raw_Claims_Data!G1970</f>
        <v>A</v>
      </c>
      <c r="H1971" t="str">
        <f>Raw_Claims_Data!H1970</f>
        <v>Total Loss</v>
      </c>
      <c r="I1971" t="str">
        <f>IF(Raw_Claims_Data!I1970="","None",Raw_Claims_Data!I1970)</f>
        <v>None</v>
      </c>
      <c r="J1971" t="str">
        <f>Raw_Claims_Data!J1970</f>
        <v>Methuen</v>
      </c>
      <c r="K1971" t="str">
        <f>Raw_Claims_Data!K1970</f>
        <v>MA</v>
      </c>
      <c r="L1971">
        <f>Raw_Claims_Data!L1970</f>
        <v>1</v>
      </c>
      <c r="M1971" t="str">
        <f>IF(Raw_Claims_Data!M1970="","N/A",Raw_Claims_Data!M1970)</f>
        <v>N/A</v>
      </c>
      <c r="N1971" t="str">
        <f>Raw_Claims_Data!N1970</f>
        <v>AGENT00306</v>
      </c>
      <c r="O1971">
        <f>IF(Raw_Claims_Data!G1970="D",1,0)</f>
        <v>0</v>
      </c>
    </row>
    <row r="1972" spans="1:15" x14ac:dyDescent="0.35">
      <c r="A1972" t="str">
        <f>Raw_Claims_Data!A1971</f>
        <v>TXN00001968</v>
      </c>
      <c r="B1972" t="str">
        <f>TRIM(Raw_Claims_Data!B1971)</f>
        <v>Ramona Brandt</v>
      </c>
      <c r="C1972" t="str">
        <f>Raw_Claims_Data!C1971</f>
        <v>Health</v>
      </c>
      <c r="D1972">
        <f>Raw_Claims_Data!D1971</f>
        <v>133.4</v>
      </c>
      <c r="E1972">
        <f>Raw_Claims_Data!E1971</f>
        <v>19000</v>
      </c>
      <c r="F1972" t="str">
        <f>Raw_Claims_Data!F1971</f>
        <v>TN</v>
      </c>
      <c r="G1972" t="str">
        <f>Raw_Claims_Data!G1971</f>
        <v>A</v>
      </c>
      <c r="H1972" t="str">
        <f>Raw_Claims_Data!H1971</f>
        <v>Minor Loss</v>
      </c>
      <c r="I1972" t="str">
        <f>IF(Raw_Claims_Data!I1971="","None",Raw_Claims_Data!I1971)</f>
        <v>Police</v>
      </c>
      <c r="J1972" t="str">
        <f>Raw_Claims_Data!J1971</f>
        <v>Del City</v>
      </c>
      <c r="K1972" t="str">
        <f>Raw_Claims_Data!K1971</f>
        <v>OK</v>
      </c>
      <c r="L1972">
        <f>Raw_Claims_Data!L1971</f>
        <v>15</v>
      </c>
      <c r="M1972" t="str">
        <f>IF(Raw_Claims_Data!M1971="","N/A",Raw_Claims_Data!M1971)</f>
        <v>N/A</v>
      </c>
      <c r="N1972" t="str">
        <f>Raw_Claims_Data!N1971</f>
        <v>AGENT01168</v>
      </c>
      <c r="O1972">
        <f>IF(Raw_Claims_Data!G1971="D",1,0)</f>
        <v>0</v>
      </c>
    </row>
    <row r="1973" spans="1:15" x14ac:dyDescent="0.35">
      <c r="A1973" t="str">
        <f>Raw_Claims_Data!A1972</f>
        <v>TXN00001969</v>
      </c>
      <c r="B1973" t="str">
        <f>TRIM(Raw_Claims_Data!B1972)</f>
        <v>Doris Whitacre</v>
      </c>
      <c r="C1973" t="str">
        <f>Raw_Claims_Data!C1972</f>
        <v>Motor</v>
      </c>
      <c r="D1973">
        <f>Raw_Claims_Data!D1972</f>
        <v>121.9</v>
      </c>
      <c r="E1973">
        <f>Raw_Claims_Data!E1972</f>
        <v>2000</v>
      </c>
      <c r="F1973" t="str">
        <f>Raw_Claims_Data!F1972</f>
        <v>GA</v>
      </c>
      <c r="G1973" t="str">
        <f>Raw_Claims_Data!G1972</f>
        <v>A</v>
      </c>
      <c r="H1973" t="str">
        <f>Raw_Claims_Data!H1972</f>
        <v>Total Loss</v>
      </c>
      <c r="I1973" t="str">
        <f>IF(Raw_Claims_Data!I1972="","None",Raw_Claims_Data!I1972)</f>
        <v>Police</v>
      </c>
      <c r="J1973" t="str">
        <f>Raw_Claims_Data!J1972</f>
        <v>Fayetteville</v>
      </c>
      <c r="K1973" t="str">
        <f>Raw_Claims_Data!K1972</f>
        <v>AR</v>
      </c>
      <c r="L1973">
        <f>Raw_Claims_Data!L1972</f>
        <v>11</v>
      </c>
      <c r="M1973" t="str">
        <f>IF(Raw_Claims_Data!M1972="","N/A",Raw_Claims_Data!M1972)</f>
        <v>VNDR00349</v>
      </c>
      <c r="N1973" t="str">
        <f>Raw_Claims_Data!N1972</f>
        <v>AGENT00006</v>
      </c>
      <c r="O1973">
        <f>IF(Raw_Claims_Data!G1972="D",1,0)</f>
        <v>0</v>
      </c>
    </row>
    <row r="1974" spans="1:15" x14ac:dyDescent="0.35">
      <c r="A1974" t="str">
        <f>Raw_Claims_Data!A1973</f>
        <v>TXN00001970</v>
      </c>
      <c r="B1974" t="str">
        <f>TRIM(Raw_Claims_Data!B1973)</f>
        <v>Clifton Fish</v>
      </c>
      <c r="C1974" t="str">
        <f>Raw_Claims_Data!C1973</f>
        <v>Travel</v>
      </c>
      <c r="D1974">
        <f>Raw_Claims_Data!D1973</f>
        <v>91.12</v>
      </c>
      <c r="E1974">
        <f>Raw_Claims_Data!E1973</f>
        <v>4000</v>
      </c>
      <c r="F1974" t="str">
        <f>Raw_Claims_Data!F1973</f>
        <v>AL</v>
      </c>
      <c r="G1974" t="str">
        <f>Raw_Claims_Data!G1973</f>
        <v>A</v>
      </c>
      <c r="H1974" t="str">
        <f>Raw_Claims_Data!H1973</f>
        <v>Major Loss</v>
      </c>
      <c r="I1974" t="str">
        <f>IF(Raw_Claims_Data!I1973="","None",Raw_Claims_Data!I1973)</f>
        <v>Other</v>
      </c>
      <c r="J1974" t="str">
        <f>Raw_Claims_Data!J1973</f>
        <v>Savannah</v>
      </c>
      <c r="K1974" t="str">
        <f>Raw_Claims_Data!K1973</f>
        <v>GA</v>
      </c>
      <c r="L1974">
        <f>Raw_Claims_Data!L1973</f>
        <v>0</v>
      </c>
      <c r="M1974" t="str">
        <f>IF(Raw_Claims_Data!M1973="","N/A",Raw_Claims_Data!M1973)</f>
        <v>N/A</v>
      </c>
      <c r="N1974" t="str">
        <f>Raw_Claims_Data!N1973</f>
        <v>AGENT01056</v>
      </c>
      <c r="O1974">
        <f>IF(Raw_Claims_Data!G1973="D",1,0)</f>
        <v>0</v>
      </c>
    </row>
    <row r="1975" spans="1:15" x14ac:dyDescent="0.35">
      <c r="A1975" t="str">
        <f>Raw_Claims_Data!A1974</f>
        <v>TXN00001971</v>
      </c>
      <c r="B1975" t="str">
        <f>TRIM(Raw_Claims_Data!B1974)</f>
        <v>Donald Carver</v>
      </c>
      <c r="C1975" t="str">
        <f>Raw_Claims_Data!C1974</f>
        <v>Life</v>
      </c>
      <c r="D1975">
        <f>Raw_Claims_Data!D1974</f>
        <v>67.27</v>
      </c>
      <c r="E1975">
        <f>Raw_Claims_Data!E1974</f>
        <v>82000</v>
      </c>
      <c r="F1975" t="str">
        <f>Raw_Claims_Data!F1974</f>
        <v>CA</v>
      </c>
      <c r="G1975" t="str">
        <f>Raw_Claims_Data!G1974</f>
        <v>A</v>
      </c>
      <c r="H1975" t="str">
        <f>Raw_Claims_Data!H1974</f>
        <v>Minor Loss</v>
      </c>
      <c r="I1975" t="str">
        <f>IF(Raw_Claims_Data!I1974="","None",Raw_Claims_Data!I1974)</f>
        <v>Police</v>
      </c>
      <c r="J1975" t="str">
        <f>Raw_Claims_Data!J1974</f>
        <v>Mexico Beach</v>
      </c>
      <c r="K1975" t="str">
        <f>Raw_Claims_Data!K1974</f>
        <v>FL</v>
      </c>
      <c r="L1975">
        <f>Raw_Claims_Data!L1974</f>
        <v>4</v>
      </c>
      <c r="M1975" t="str">
        <f>IF(Raw_Claims_Data!M1974="","N/A",Raw_Claims_Data!M1974)</f>
        <v>VNDR00412</v>
      </c>
      <c r="N1975" t="str">
        <f>Raw_Claims_Data!N1974</f>
        <v>AGENT00095</v>
      </c>
      <c r="O1975">
        <f>IF(Raw_Claims_Data!G1974="D",1,0)</f>
        <v>0</v>
      </c>
    </row>
    <row r="1976" spans="1:15" x14ac:dyDescent="0.35">
      <c r="A1976" t="str">
        <f>Raw_Claims_Data!A1975</f>
        <v>TXN00001972</v>
      </c>
      <c r="B1976" t="str">
        <f>TRIM(Raw_Claims_Data!B1975)</f>
        <v>James Willis</v>
      </c>
      <c r="C1976" t="str">
        <f>Raw_Claims_Data!C1975</f>
        <v>Mobile</v>
      </c>
      <c r="D1976">
        <f>Raw_Claims_Data!D1975</f>
        <v>7.41</v>
      </c>
      <c r="E1976">
        <f>Raw_Claims_Data!E1975</f>
        <v>600</v>
      </c>
      <c r="F1976" t="str">
        <f>Raw_Claims_Data!F1975</f>
        <v>MA</v>
      </c>
      <c r="G1976" t="str">
        <f>Raw_Claims_Data!G1975</f>
        <v>A</v>
      </c>
      <c r="H1976" t="str">
        <f>Raw_Claims_Data!H1975</f>
        <v>Minor Loss</v>
      </c>
      <c r="I1976" t="str">
        <f>IF(Raw_Claims_Data!I1975="","None",Raw_Claims_Data!I1975)</f>
        <v>Police</v>
      </c>
      <c r="J1976" t="str">
        <f>Raw_Claims_Data!J1975</f>
        <v>Pooler</v>
      </c>
      <c r="K1976" t="str">
        <f>Raw_Claims_Data!K1975</f>
        <v>GA</v>
      </c>
      <c r="L1976">
        <f>Raw_Claims_Data!L1975</f>
        <v>21</v>
      </c>
      <c r="M1976" t="str">
        <f>IF(Raw_Claims_Data!M1975="","N/A",Raw_Claims_Data!M1975)</f>
        <v>N/A</v>
      </c>
      <c r="N1976" t="str">
        <f>Raw_Claims_Data!N1975</f>
        <v>AGENT00726</v>
      </c>
      <c r="O1976">
        <f>IF(Raw_Claims_Data!G1975="D",1,0)</f>
        <v>0</v>
      </c>
    </row>
    <row r="1977" spans="1:15" x14ac:dyDescent="0.35">
      <c r="A1977" t="str">
        <f>Raw_Claims_Data!A1976</f>
        <v>TXN00001973</v>
      </c>
      <c r="B1977" t="str">
        <f>TRIM(Raw_Claims_Data!B1976)</f>
        <v>Ryann Cauterucci</v>
      </c>
      <c r="C1977" t="str">
        <f>Raw_Claims_Data!C1976</f>
        <v>Travel</v>
      </c>
      <c r="D1977">
        <f>Raw_Claims_Data!D1976</f>
        <v>74.67</v>
      </c>
      <c r="E1977">
        <f>Raw_Claims_Data!E1976</f>
        <v>1000</v>
      </c>
      <c r="F1977" t="str">
        <f>Raw_Claims_Data!F1976</f>
        <v>KY</v>
      </c>
      <c r="G1977" t="str">
        <f>Raw_Claims_Data!G1976</f>
        <v>A</v>
      </c>
      <c r="H1977" t="str">
        <f>Raw_Claims_Data!H1976</f>
        <v>Major Loss</v>
      </c>
      <c r="I1977" t="str">
        <f>IF(Raw_Claims_Data!I1976="","None",Raw_Claims_Data!I1976)</f>
        <v>Ambulance</v>
      </c>
      <c r="J1977" t="str">
        <f>Raw_Claims_Data!J1976</f>
        <v>Arvada</v>
      </c>
      <c r="K1977" t="str">
        <f>Raw_Claims_Data!K1976</f>
        <v>CO</v>
      </c>
      <c r="L1977">
        <f>Raw_Claims_Data!L1976</f>
        <v>5</v>
      </c>
      <c r="M1977" t="str">
        <f>IF(Raw_Claims_Data!M1976="","N/A",Raw_Claims_Data!M1976)</f>
        <v>VNDR00339</v>
      </c>
      <c r="N1977" t="str">
        <f>Raw_Claims_Data!N1976</f>
        <v>AGENT00655</v>
      </c>
      <c r="O1977">
        <f>IF(Raw_Claims_Data!G1976="D",1,0)</f>
        <v>0</v>
      </c>
    </row>
    <row r="1978" spans="1:15" x14ac:dyDescent="0.35">
      <c r="A1978" t="str">
        <f>Raw_Claims_Data!A1977</f>
        <v>TXN00001974</v>
      </c>
      <c r="B1978" t="str">
        <f>TRIM(Raw_Claims_Data!B1977)</f>
        <v>Vincent Graham</v>
      </c>
      <c r="C1978" t="str">
        <f>Raw_Claims_Data!C1977</f>
        <v>Life</v>
      </c>
      <c r="D1978">
        <f>Raw_Claims_Data!D1977</f>
        <v>58.53</v>
      </c>
      <c r="E1978">
        <f>Raw_Claims_Data!E1977</f>
        <v>42000</v>
      </c>
      <c r="F1978" t="str">
        <f>Raw_Claims_Data!F1977</f>
        <v>CT</v>
      </c>
      <c r="G1978" t="str">
        <f>Raw_Claims_Data!G1977</f>
        <v>A</v>
      </c>
      <c r="H1978" t="str">
        <f>Raw_Claims_Data!H1977</f>
        <v>Total Loss</v>
      </c>
      <c r="I1978" t="str">
        <f>IF(Raw_Claims_Data!I1977="","None",Raw_Claims_Data!I1977)</f>
        <v>Ambulance</v>
      </c>
      <c r="J1978" t="str">
        <f>Raw_Claims_Data!J1977</f>
        <v>Anchorage</v>
      </c>
      <c r="K1978" t="str">
        <f>Raw_Claims_Data!K1977</f>
        <v>AK</v>
      </c>
      <c r="L1978">
        <f>Raw_Claims_Data!L1977</f>
        <v>11</v>
      </c>
      <c r="M1978" t="str">
        <f>IF(Raw_Claims_Data!M1977="","N/A",Raw_Claims_Data!M1977)</f>
        <v>VNDR00583</v>
      </c>
      <c r="N1978" t="str">
        <f>Raw_Claims_Data!N1977</f>
        <v>AGENT01168</v>
      </c>
      <c r="O1978">
        <f>IF(Raw_Claims_Data!G1977="D",1,0)</f>
        <v>0</v>
      </c>
    </row>
    <row r="1979" spans="1:15" x14ac:dyDescent="0.35">
      <c r="A1979" t="str">
        <f>Raw_Claims_Data!A1978</f>
        <v>TXN00001975</v>
      </c>
      <c r="B1979" t="str">
        <f>TRIM(Raw_Claims_Data!B1978)</f>
        <v>John Clem</v>
      </c>
      <c r="C1979" t="str">
        <f>Raw_Claims_Data!C1978</f>
        <v>Mobile</v>
      </c>
      <c r="D1979">
        <f>Raw_Claims_Data!D1978</f>
        <v>8.44</v>
      </c>
      <c r="E1979">
        <f>Raw_Claims_Data!E1978</f>
        <v>200</v>
      </c>
      <c r="F1979" t="str">
        <f>Raw_Claims_Data!F1978</f>
        <v>CA</v>
      </c>
      <c r="G1979" t="str">
        <f>Raw_Claims_Data!G1978</f>
        <v>A</v>
      </c>
      <c r="H1979" t="str">
        <f>Raw_Claims_Data!H1978</f>
        <v>Major Loss</v>
      </c>
      <c r="I1979" t="str">
        <f>IF(Raw_Claims_Data!I1978="","None",Raw_Claims_Data!I1978)</f>
        <v>Ambulance</v>
      </c>
      <c r="J1979" t="str">
        <f>Raw_Claims_Data!J1978</f>
        <v>Severn</v>
      </c>
      <c r="K1979" t="str">
        <f>Raw_Claims_Data!K1978</f>
        <v>MD</v>
      </c>
      <c r="L1979">
        <f>Raw_Claims_Data!L1978</f>
        <v>10</v>
      </c>
      <c r="M1979" t="str">
        <f>IF(Raw_Claims_Data!M1978="","N/A",Raw_Claims_Data!M1978)</f>
        <v>VNDR00183</v>
      </c>
      <c r="N1979" t="str">
        <f>Raw_Claims_Data!N1978</f>
        <v>AGENT00333</v>
      </c>
      <c r="O1979">
        <f>IF(Raw_Claims_Data!G1978="D",1,0)</f>
        <v>0</v>
      </c>
    </row>
    <row r="1980" spans="1:15" x14ac:dyDescent="0.35">
      <c r="A1980" t="str">
        <f>Raw_Claims_Data!A1979</f>
        <v>TXN00001976</v>
      </c>
      <c r="B1980" t="str">
        <f>TRIM(Raw_Claims_Data!B1979)</f>
        <v>Donna Burns</v>
      </c>
      <c r="C1980" t="str">
        <f>Raw_Claims_Data!C1979</f>
        <v>Property</v>
      </c>
      <c r="D1980">
        <f>Raw_Claims_Data!D1979</f>
        <v>99.01</v>
      </c>
      <c r="E1980">
        <f>Raw_Claims_Data!E1979</f>
        <v>31000</v>
      </c>
      <c r="F1980" t="str">
        <f>Raw_Claims_Data!F1979</f>
        <v>AK</v>
      </c>
      <c r="G1980" t="str">
        <f>Raw_Claims_Data!G1979</f>
        <v>A</v>
      </c>
      <c r="H1980" t="str">
        <f>Raw_Claims_Data!H1979</f>
        <v>Total Loss</v>
      </c>
      <c r="I1980" t="str">
        <f>IF(Raw_Claims_Data!I1979="","None",Raw_Claims_Data!I1979)</f>
        <v>Ambulance</v>
      </c>
      <c r="J1980" t="str">
        <f>Raw_Claims_Data!J1979</f>
        <v>Panama City</v>
      </c>
      <c r="K1980" t="str">
        <f>Raw_Claims_Data!K1979</f>
        <v>FL</v>
      </c>
      <c r="L1980">
        <f>Raw_Claims_Data!L1979</f>
        <v>16</v>
      </c>
      <c r="M1980" t="str">
        <f>IF(Raw_Claims_Data!M1979="","N/A",Raw_Claims_Data!M1979)</f>
        <v>VNDR00183</v>
      </c>
      <c r="N1980" t="str">
        <f>Raw_Claims_Data!N1979</f>
        <v>AGENT00126</v>
      </c>
      <c r="O1980">
        <f>IF(Raw_Claims_Data!G1979="D",1,0)</f>
        <v>0</v>
      </c>
    </row>
    <row r="1981" spans="1:15" x14ac:dyDescent="0.35">
      <c r="A1981" t="str">
        <f>Raw_Claims_Data!A1980</f>
        <v>TXN00001977</v>
      </c>
      <c r="B1981" t="str">
        <f>TRIM(Raw_Claims_Data!B1980)</f>
        <v>Anthony Lee</v>
      </c>
      <c r="C1981" t="str">
        <f>Raw_Claims_Data!C1980</f>
        <v>Life</v>
      </c>
      <c r="D1981">
        <f>Raw_Claims_Data!D1980</f>
        <v>86.84</v>
      </c>
      <c r="E1981">
        <f>Raw_Claims_Data!E1980</f>
        <v>90000</v>
      </c>
      <c r="F1981" t="str">
        <f>Raw_Claims_Data!F1980</f>
        <v>CT</v>
      </c>
      <c r="G1981" t="str">
        <f>Raw_Claims_Data!G1980</f>
        <v>A</v>
      </c>
      <c r="H1981" t="str">
        <f>Raw_Claims_Data!H1980</f>
        <v>Total Loss</v>
      </c>
      <c r="I1981" t="str">
        <f>IF(Raw_Claims_Data!I1980="","None",Raw_Claims_Data!I1980)</f>
        <v>Ambulance</v>
      </c>
      <c r="J1981" t="str">
        <f>Raw_Claims_Data!J1980</f>
        <v>Norman</v>
      </c>
      <c r="K1981" t="str">
        <f>Raw_Claims_Data!K1980</f>
        <v>OK</v>
      </c>
      <c r="L1981">
        <f>Raw_Claims_Data!L1980</f>
        <v>22</v>
      </c>
      <c r="M1981" t="str">
        <f>IF(Raw_Claims_Data!M1980="","N/A",Raw_Claims_Data!M1980)</f>
        <v>VNDR00562</v>
      </c>
      <c r="N1981" t="str">
        <f>Raw_Claims_Data!N1980</f>
        <v>AGENT00039</v>
      </c>
      <c r="O1981">
        <f>IF(Raw_Claims_Data!G1980="D",1,0)</f>
        <v>0</v>
      </c>
    </row>
    <row r="1982" spans="1:15" x14ac:dyDescent="0.35">
      <c r="A1982" t="str">
        <f>Raw_Claims_Data!A1981</f>
        <v>TXN00001978</v>
      </c>
      <c r="B1982" t="str">
        <f>TRIM(Raw_Claims_Data!B1981)</f>
        <v>Andrew Crisp</v>
      </c>
      <c r="C1982" t="str">
        <f>Raw_Claims_Data!C1981</f>
        <v>Health</v>
      </c>
      <c r="D1982">
        <f>Raw_Claims_Data!D1981</f>
        <v>119.52</v>
      </c>
      <c r="E1982">
        <f>Raw_Claims_Data!E1981</f>
        <v>17000</v>
      </c>
      <c r="F1982" t="str">
        <f>Raw_Claims_Data!F1981</f>
        <v>AZ</v>
      </c>
      <c r="G1982" t="str">
        <f>Raw_Claims_Data!G1981</f>
        <v>D</v>
      </c>
      <c r="H1982" t="str">
        <f>Raw_Claims_Data!H1981</f>
        <v>Major Loss</v>
      </c>
      <c r="I1982" t="str">
        <f>IF(Raw_Claims_Data!I1981="","None",Raw_Claims_Data!I1981)</f>
        <v>Ambulance</v>
      </c>
      <c r="J1982" t="str">
        <f>Raw_Claims_Data!J1981</f>
        <v>Deale</v>
      </c>
      <c r="K1982" t="str">
        <f>Raw_Claims_Data!K1981</f>
        <v>MD</v>
      </c>
      <c r="L1982">
        <f>Raw_Claims_Data!L1981</f>
        <v>20</v>
      </c>
      <c r="M1982" t="str">
        <f>IF(Raw_Claims_Data!M1981="","N/A",Raw_Claims_Data!M1981)</f>
        <v>N/A</v>
      </c>
      <c r="N1982" t="str">
        <f>Raw_Claims_Data!N1981</f>
        <v>AGENT01023</v>
      </c>
      <c r="O1982">
        <f>IF(Raw_Claims_Data!G1981="D",1,0)</f>
        <v>1</v>
      </c>
    </row>
    <row r="1983" spans="1:15" x14ac:dyDescent="0.35">
      <c r="A1983" t="str">
        <f>Raw_Claims_Data!A1982</f>
        <v>TXN00001979</v>
      </c>
      <c r="B1983" t="str">
        <f>TRIM(Raw_Claims_Data!B1982)</f>
        <v>Melissa Cook</v>
      </c>
      <c r="C1983" t="str">
        <f>Raw_Claims_Data!C1982</f>
        <v>Mobile</v>
      </c>
      <c r="D1983">
        <f>Raw_Claims_Data!D1982</f>
        <v>8.6199999999999992</v>
      </c>
      <c r="E1983">
        <f>Raw_Claims_Data!E1982</f>
        <v>400</v>
      </c>
      <c r="F1983" t="str">
        <f>Raw_Claims_Data!F1982</f>
        <v>CT</v>
      </c>
      <c r="G1983" t="str">
        <f>Raw_Claims_Data!G1982</f>
        <v>A</v>
      </c>
      <c r="H1983" t="str">
        <f>Raw_Claims_Data!H1982</f>
        <v>Major Loss</v>
      </c>
      <c r="I1983" t="str">
        <f>IF(Raw_Claims_Data!I1982="","None",Raw_Claims_Data!I1982)</f>
        <v>Other</v>
      </c>
      <c r="J1983" t="str">
        <f>Raw_Claims_Data!J1982</f>
        <v>Panama City</v>
      </c>
      <c r="K1983" t="str">
        <f>Raw_Claims_Data!K1982</f>
        <v>FL</v>
      </c>
      <c r="L1983">
        <f>Raw_Claims_Data!L1982</f>
        <v>16</v>
      </c>
      <c r="M1983" t="str">
        <f>IF(Raw_Claims_Data!M1982="","N/A",Raw_Claims_Data!M1982)</f>
        <v>VNDR00034</v>
      </c>
      <c r="N1983" t="str">
        <f>Raw_Claims_Data!N1982</f>
        <v>AGENT00946</v>
      </c>
      <c r="O1983">
        <f>IF(Raw_Claims_Data!G1982="D",1,0)</f>
        <v>0</v>
      </c>
    </row>
    <row r="1984" spans="1:15" x14ac:dyDescent="0.35">
      <c r="A1984" t="str">
        <f>Raw_Claims_Data!A1983</f>
        <v>TXN00001980</v>
      </c>
      <c r="B1984" t="str">
        <f>TRIM(Raw_Claims_Data!B1983)</f>
        <v>Patricia Sjogren</v>
      </c>
      <c r="C1984" t="str">
        <f>Raw_Claims_Data!C1983</f>
        <v>Life</v>
      </c>
      <c r="D1984">
        <f>Raw_Claims_Data!D1983</f>
        <v>56.12</v>
      </c>
      <c r="E1984">
        <f>Raw_Claims_Data!E1983</f>
        <v>79000</v>
      </c>
      <c r="F1984" t="str">
        <f>Raw_Claims_Data!F1983</f>
        <v>TN</v>
      </c>
      <c r="G1984" t="str">
        <f>Raw_Claims_Data!G1983</f>
        <v>A</v>
      </c>
      <c r="H1984" t="str">
        <f>Raw_Claims_Data!H1983</f>
        <v>Minor Loss</v>
      </c>
      <c r="I1984" t="str">
        <f>IF(Raw_Claims_Data!I1983="","None",Raw_Claims_Data!I1983)</f>
        <v>None</v>
      </c>
      <c r="J1984" t="str">
        <f>Raw_Claims_Data!J1983</f>
        <v>Tybee Island</v>
      </c>
      <c r="K1984" t="str">
        <f>Raw_Claims_Data!K1983</f>
        <v>GA</v>
      </c>
      <c r="L1984">
        <f>Raw_Claims_Data!L1983</f>
        <v>13</v>
      </c>
      <c r="M1984" t="str">
        <f>IF(Raw_Claims_Data!M1983="","N/A",Raw_Claims_Data!M1983)</f>
        <v>VNDR00509</v>
      </c>
      <c r="N1984" t="str">
        <f>Raw_Claims_Data!N1983</f>
        <v>AGENT00692</v>
      </c>
      <c r="O1984">
        <f>IF(Raw_Claims_Data!G1983="D",1,0)</f>
        <v>0</v>
      </c>
    </row>
    <row r="1985" spans="1:15" x14ac:dyDescent="0.35">
      <c r="A1985" t="str">
        <f>Raw_Claims_Data!A1984</f>
        <v>TXN00001981</v>
      </c>
      <c r="B1985" t="str">
        <f>TRIM(Raw_Claims_Data!B1984)</f>
        <v>Jessica Waldren</v>
      </c>
      <c r="C1985" t="str">
        <f>Raw_Claims_Data!C1984</f>
        <v>Health</v>
      </c>
      <c r="D1985">
        <f>Raw_Claims_Data!D1984</f>
        <v>169.84</v>
      </c>
      <c r="E1985">
        <f>Raw_Claims_Data!E1984</f>
        <v>1000</v>
      </c>
      <c r="F1985" t="str">
        <f>Raw_Claims_Data!F1984</f>
        <v>TN</v>
      </c>
      <c r="G1985" t="str">
        <f>Raw_Claims_Data!G1984</f>
        <v>A</v>
      </c>
      <c r="H1985" t="str">
        <f>Raw_Claims_Data!H1984</f>
        <v>Total Loss</v>
      </c>
      <c r="I1985" t="str">
        <f>IF(Raw_Claims_Data!I1984="","None",Raw_Claims_Data!I1984)</f>
        <v>Ambulance</v>
      </c>
      <c r="J1985" t="str">
        <f>Raw_Claims_Data!J1984</f>
        <v>Anchorage</v>
      </c>
      <c r="K1985" t="str">
        <f>Raw_Claims_Data!K1984</f>
        <v>AK</v>
      </c>
      <c r="L1985">
        <f>Raw_Claims_Data!L1984</f>
        <v>10</v>
      </c>
      <c r="M1985" t="str">
        <f>IF(Raw_Claims_Data!M1984="","N/A",Raw_Claims_Data!M1984)</f>
        <v>VNDR00078</v>
      </c>
      <c r="N1985" t="str">
        <f>Raw_Claims_Data!N1984</f>
        <v>AGENT00322</v>
      </c>
      <c r="O1985">
        <f>IF(Raw_Claims_Data!G1984="D",1,0)</f>
        <v>0</v>
      </c>
    </row>
    <row r="1986" spans="1:15" x14ac:dyDescent="0.35">
      <c r="A1986" t="str">
        <f>Raw_Claims_Data!A1985</f>
        <v>TXN00001982</v>
      </c>
      <c r="B1986" t="str">
        <f>TRIM(Raw_Claims_Data!B1985)</f>
        <v>Sharon Dong</v>
      </c>
      <c r="C1986" t="str">
        <f>Raw_Claims_Data!C1985</f>
        <v>Mobile</v>
      </c>
      <c r="D1986">
        <f>Raw_Claims_Data!D1985</f>
        <v>6.35</v>
      </c>
      <c r="E1986">
        <f>Raw_Claims_Data!E1985</f>
        <v>300</v>
      </c>
      <c r="F1986" t="str">
        <f>Raw_Claims_Data!F1985</f>
        <v>VT</v>
      </c>
      <c r="G1986" t="str">
        <f>Raw_Claims_Data!G1985</f>
        <v>A</v>
      </c>
      <c r="H1986" t="str">
        <f>Raw_Claims_Data!H1985</f>
        <v>Minor Loss</v>
      </c>
      <c r="I1986" t="str">
        <f>IF(Raw_Claims_Data!I1985="","None",Raw_Claims_Data!I1985)</f>
        <v>Ambulance</v>
      </c>
      <c r="J1986" t="str">
        <f>Raw_Claims_Data!J1985</f>
        <v>Fall River</v>
      </c>
      <c r="K1986" t="str">
        <f>Raw_Claims_Data!K1985</f>
        <v>MA</v>
      </c>
      <c r="L1986">
        <f>Raw_Claims_Data!L1985</f>
        <v>10</v>
      </c>
      <c r="M1986" t="str">
        <f>IF(Raw_Claims_Data!M1985="","N/A",Raw_Claims_Data!M1985)</f>
        <v>VNDR00579</v>
      </c>
      <c r="N1986" t="str">
        <f>Raw_Claims_Data!N1985</f>
        <v>AGENT01188</v>
      </c>
      <c r="O1986">
        <f>IF(Raw_Claims_Data!G1985="D",1,0)</f>
        <v>0</v>
      </c>
    </row>
    <row r="1987" spans="1:15" x14ac:dyDescent="0.35">
      <c r="A1987" t="str">
        <f>Raw_Claims_Data!A1986</f>
        <v>TXN00001983</v>
      </c>
      <c r="B1987" t="str">
        <f>TRIM(Raw_Claims_Data!B1986)</f>
        <v>Terisa Renwick</v>
      </c>
      <c r="C1987" t="str">
        <f>Raw_Claims_Data!C1986</f>
        <v>Travel</v>
      </c>
      <c r="D1987">
        <f>Raw_Claims_Data!D1986</f>
        <v>58.85</v>
      </c>
      <c r="E1987">
        <f>Raw_Claims_Data!E1986</f>
        <v>4000</v>
      </c>
      <c r="F1987" t="str">
        <f>Raw_Claims_Data!F1986</f>
        <v>MA</v>
      </c>
      <c r="G1987" t="str">
        <f>Raw_Claims_Data!G1986</f>
        <v>D</v>
      </c>
      <c r="H1987" t="str">
        <f>Raw_Claims_Data!H1986</f>
        <v>Total Loss</v>
      </c>
      <c r="I1987" t="str">
        <f>IF(Raw_Claims_Data!I1986="","None",Raw_Claims_Data!I1986)</f>
        <v>Police</v>
      </c>
      <c r="J1987" t="str">
        <f>Raw_Claims_Data!J1986</f>
        <v>Glendale</v>
      </c>
      <c r="K1987" t="str">
        <f>Raw_Claims_Data!K1986</f>
        <v>AZ</v>
      </c>
      <c r="L1987">
        <f>Raw_Claims_Data!L1986</f>
        <v>14</v>
      </c>
      <c r="M1987" t="str">
        <f>IF(Raw_Claims_Data!M1986="","N/A",Raw_Claims_Data!M1986)</f>
        <v>VNDR00366</v>
      </c>
      <c r="N1987" t="str">
        <f>Raw_Claims_Data!N1986</f>
        <v>AGENT00530</v>
      </c>
      <c r="O1987">
        <f>IF(Raw_Claims_Data!G1986="D",1,0)</f>
        <v>1</v>
      </c>
    </row>
    <row r="1988" spans="1:15" x14ac:dyDescent="0.35">
      <c r="A1988" t="str">
        <f>Raw_Claims_Data!A1987</f>
        <v>TXN00001984</v>
      </c>
      <c r="B1988" t="str">
        <f>TRIM(Raw_Claims_Data!B1987)</f>
        <v>Misty Lopez</v>
      </c>
      <c r="C1988" t="str">
        <f>Raw_Claims_Data!C1987</f>
        <v>Mobile</v>
      </c>
      <c r="D1988">
        <f>Raw_Claims_Data!D1987</f>
        <v>10.69</v>
      </c>
      <c r="E1988">
        <f>Raw_Claims_Data!E1987</f>
        <v>200</v>
      </c>
      <c r="F1988" t="str">
        <f>Raw_Claims_Data!F1987</f>
        <v>FL</v>
      </c>
      <c r="G1988" t="str">
        <f>Raw_Claims_Data!G1987</f>
        <v>A</v>
      </c>
      <c r="H1988" t="str">
        <f>Raw_Claims_Data!H1987</f>
        <v>Minor Loss</v>
      </c>
      <c r="I1988" t="str">
        <f>IF(Raw_Claims_Data!I1987="","None",Raw_Claims_Data!I1987)</f>
        <v>Police</v>
      </c>
      <c r="J1988" t="str">
        <f>Raw_Claims_Data!J1987</f>
        <v>Arvada</v>
      </c>
      <c r="K1988" t="str">
        <f>Raw_Claims_Data!K1987</f>
        <v>CO</v>
      </c>
      <c r="L1988">
        <f>Raw_Claims_Data!L1987</f>
        <v>8</v>
      </c>
      <c r="M1988" t="str">
        <f>IF(Raw_Claims_Data!M1987="","N/A",Raw_Claims_Data!M1987)</f>
        <v>VNDR00186</v>
      </c>
      <c r="N1988" t="str">
        <f>Raw_Claims_Data!N1987</f>
        <v>AGENT00739</v>
      </c>
      <c r="O1988">
        <f>IF(Raw_Claims_Data!G1987="D",1,0)</f>
        <v>0</v>
      </c>
    </row>
    <row r="1989" spans="1:15" x14ac:dyDescent="0.35">
      <c r="A1989" t="str">
        <f>Raw_Claims_Data!A1988</f>
        <v>TXN00001985</v>
      </c>
      <c r="B1989" t="str">
        <f>TRIM(Raw_Claims_Data!B1988)</f>
        <v>Chanda Phillips</v>
      </c>
      <c r="C1989" t="str">
        <f>Raw_Claims_Data!C1988</f>
        <v>Travel</v>
      </c>
      <c r="D1989">
        <f>Raw_Claims_Data!D1988</f>
        <v>81.34</v>
      </c>
      <c r="E1989">
        <f>Raw_Claims_Data!E1988</f>
        <v>1000</v>
      </c>
      <c r="F1989" t="str">
        <f>Raw_Claims_Data!F1988</f>
        <v>DC</v>
      </c>
      <c r="G1989" t="str">
        <f>Raw_Claims_Data!G1988</f>
        <v>A</v>
      </c>
      <c r="H1989" t="str">
        <f>Raw_Claims_Data!H1988</f>
        <v>Total Loss</v>
      </c>
      <c r="I1989" t="str">
        <f>IF(Raw_Claims_Data!I1988="","None",Raw_Claims_Data!I1988)</f>
        <v>Other</v>
      </c>
      <c r="J1989" t="str">
        <f>Raw_Claims_Data!J1988</f>
        <v>Fremont</v>
      </c>
      <c r="K1989" t="str">
        <f>Raw_Claims_Data!K1988</f>
        <v>CA</v>
      </c>
      <c r="L1989">
        <f>Raw_Claims_Data!L1988</f>
        <v>8</v>
      </c>
      <c r="M1989" t="str">
        <f>IF(Raw_Claims_Data!M1988="","N/A",Raw_Claims_Data!M1988)</f>
        <v>VNDR00050</v>
      </c>
      <c r="N1989" t="str">
        <f>Raw_Claims_Data!N1988</f>
        <v>AGENT00390</v>
      </c>
      <c r="O1989">
        <f>IF(Raw_Claims_Data!G1988="D",1,0)</f>
        <v>0</v>
      </c>
    </row>
    <row r="1990" spans="1:15" x14ac:dyDescent="0.35">
      <c r="A1990" t="str">
        <f>Raw_Claims_Data!A1989</f>
        <v>TXN00001986</v>
      </c>
      <c r="B1990" t="str">
        <f>TRIM(Raw_Claims_Data!B1989)</f>
        <v>Marcus Leblanc</v>
      </c>
      <c r="C1990" t="str">
        <f>Raw_Claims_Data!C1989</f>
        <v>Health</v>
      </c>
      <c r="D1990">
        <f>Raw_Claims_Data!D1989</f>
        <v>190.78</v>
      </c>
      <c r="E1990">
        <f>Raw_Claims_Data!E1989</f>
        <v>3000</v>
      </c>
      <c r="F1990" t="str">
        <f>Raw_Claims_Data!F1989</f>
        <v>TN</v>
      </c>
      <c r="G1990" t="str">
        <f>Raw_Claims_Data!G1989</f>
        <v>A</v>
      </c>
      <c r="H1990" t="str">
        <f>Raw_Claims_Data!H1989</f>
        <v>Major Loss</v>
      </c>
      <c r="I1990" t="str">
        <f>IF(Raw_Claims_Data!I1989="","None",Raw_Claims_Data!I1989)</f>
        <v>Police</v>
      </c>
      <c r="J1990" t="str">
        <f>Raw_Claims_Data!J1989</f>
        <v>Alburgh</v>
      </c>
      <c r="K1990" t="str">
        <f>Raw_Claims_Data!K1989</f>
        <v>VT</v>
      </c>
      <c r="L1990">
        <f>Raw_Claims_Data!L1989</f>
        <v>9</v>
      </c>
      <c r="M1990" t="str">
        <f>IF(Raw_Claims_Data!M1989="","N/A",Raw_Claims_Data!M1989)</f>
        <v>VNDR00243</v>
      </c>
      <c r="N1990" t="str">
        <f>Raw_Claims_Data!N1989</f>
        <v>AGENT00266</v>
      </c>
      <c r="O1990">
        <f>IF(Raw_Claims_Data!G1989="D",1,0)</f>
        <v>0</v>
      </c>
    </row>
    <row r="1991" spans="1:15" x14ac:dyDescent="0.35">
      <c r="A1991" t="str">
        <f>Raw_Claims_Data!A1990</f>
        <v>TXN00001987</v>
      </c>
      <c r="B1991" t="str">
        <f>TRIM(Raw_Claims_Data!B1990)</f>
        <v>Heather Jackson</v>
      </c>
      <c r="C1991" t="str">
        <f>Raw_Claims_Data!C1990</f>
        <v>Life</v>
      </c>
      <c r="D1991">
        <f>Raw_Claims_Data!D1990</f>
        <v>70.75</v>
      </c>
      <c r="E1991">
        <f>Raw_Claims_Data!E1990</f>
        <v>95000</v>
      </c>
      <c r="F1991" t="str">
        <f>Raw_Claims_Data!F1990</f>
        <v>OK</v>
      </c>
      <c r="G1991" t="str">
        <f>Raw_Claims_Data!G1990</f>
        <v>A</v>
      </c>
      <c r="H1991" t="str">
        <f>Raw_Claims_Data!H1990</f>
        <v>Total Loss</v>
      </c>
      <c r="I1991" t="str">
        <f>IF(Raw_Claims_Data!I1990="","None",Raw_Claims_Data!I1990)</f>
        <v>Police</v>
      </c>
      <c r="J1991" t="str">
        <f>Raw_Claims_Data!J1990</f>
        <v>Washington</v>
      </c>
      <c r="K1991" t="str">
        <f>Raw_Claims_Data!K1990</f>
        <v>DC</v>
      </c>
      <c r="L1991">
        <f>Raw_Claims_Data!L1990</f>
        <v>0</v>
      </c>
      <c r="M1991" t="str">
        <f>IF(Raw_Claims_Data!M1990="","N/A",Raw_Claims_Data!M1990)</f>
        <v>VNDR00078</v>
      </c>
      <c r="N1991" t="str">
        <f>Raw_Claims_Data!N1990</f>
        <v>AGENT00518</v>
      </c>
      <c r="O1991">
        <f>IF(Raw_Claims_Data!G1990="D",1,0)</f>
        <v>0</v>
      </c>
    </row>
    <row r="1992" spans="1:15" x14ac:dyDescent="0.35">
      <c r="A1992" t="str">
        <f>Raw_Claims_Data!A1991</f>
        <v>TXN00001988</v>
      </c>
      <c r="B1992" t="str">
        <f>TRIM(Raw_Claims_Data!B1991)</f>
        <v>Jose Mcleod</v>
      </c>
      <c r="C1992" t="str">
        <f>Raw_Claims_Data!C1991</f>
        <v>Health</v>
      </c>
      <c r="D1992">
        <f>Raw_Claims_Data!D1991</f>
        <v>159.44</v>
      </c>
      <c r="E1992">
        <f>Raw_Claims_Data!E1991</f>
        <v>15000</v>
      </c>
      <c r="F1992" t="str">
        <f>Raw_Claims_Data!F1991</f>
        <v>AR</v>
      </c>
      <c r="G1992" t="str">
        <f>Raw_Claims_Data!G1991</f>
        <v>A</v>
      </c>
      <c r="H1992" t="str">
        <f>Raw_Claims_Data!H1991</f>
        <v>Minor Loss</v>
      </c>
      <c r="I1992" t="str">
        <f>IF(Raw_Claims_Data!I1991="","None",Raw_Claims_Data!I1991)</f>
        <v>Ambulance</v>
      </c>
      <c r="J1992" t="str">
        <f>Raw_Claims_Data!J1991</f>
        <v>Annapolis</v>
      </c>
      <c r="K1992" t="str">
        <f>Raw_Claims_Data!K1991</f>
        <v>MD</v>
      </c>
      <c r="L1992">
        <f>Raw_Claims_Data!L1991</f>
        <v>16</v>
      </c>
      <c r="M1992" t="str">
        <f>IF(Raw_Claims_Data!M1991="","N/A",Raw_Claims_Data!M1991)</f>
        <v>VNDR00545</v>
      </c>
      <c r="N1992" t="str">
        <f>Raw_Claims_Data!N1991</f>
        <v>AGENT01125</v>
      </c>
      <c r="O1992">
        <f>IF(Raw_Claims_Data!G1991="D",1,0)</f>
        <v>0</v>
      </c>
    </row>
    <row r="1993" spans="1:15" x14ac:dyDescent="0.35">
      <c r="A1993" t="str">
        <f>Raw_Claims_Data!A1992</f>
        <v>TXN00001989</v>
      </c>
      <c r="B1993" t="str">
        <f>TRIM(Raw_Claims_Data!B1992)</f>
        <v>Ronald Durbin</v>
      </c>
      <c r="C1993" t="str">
        <f>Raw_Claims_Data!C1992</f>
        <v>Motor</v>
      </c>
      <c r="D1993">
        <f>Raw_Claims_Data!D1992</f>
        <v>123.68</v>
      </c>
      <c r="E1993">
        <f>Raw_Claims_Data!E1992</f>
        <v>4000</v>
      </c>
      <c r="F1993" t="str">
        <f>Raw_Claims_Data!F1992</f>
        <v>MA</v>
      </c>
      <c r="G1993" t="str">
        <f>Raw_Claims_Data!G1992</f>
        <v>A</v>
      </c>
      <c r="H1993" t="str">
        <f>Raw_Claims_Data!H1992</f>
        <v>Total Loss</v>
      </c>
      <c r="I1993" t="str">
        <f>IF(Raw_Claims_Data!I1992="","None",Raw_Claims_Data!I1992)</f>
        <v>Police</v>
      </c>
      <c r="J1993" t="str">
        <f>Raw_Claims_Data!J1992</f>
        <v>Montgomery</v>
      </c>
      <c r="K1993" t="str">
        <f>Raw_Claims_Data!K1992</f>
        <v>AL</v>
      </c>
      <c r="L1993">
        <f>Raw_Claims_Data!L1992</f>
        <v>3</v>
      </c>
      <c r="M1993" t="str">
        <f>IF(Raw_Claims_Data!M1992="","N/A",Raw_Claims_Data!M1992)</f>
        <v>N/A</v>
      </c>
      <c r="N1993" t="str">
        <f>Raw_Claims_Data!N1992</f>
        <v>AGENT00336</v>
      </c>
      <c r="O1993">
        <f>IF(Raw_Claims_Data!G1992="D",1,0)</f>
        <v>0</v>
      </c>
    </row>
    <row r="1994" spans="1:15" x14ac:dyDescent="0.35">
      <c r="A1994" t="str">
        <f>Raw_Claims_Data!A1993</f>
        <v>TXN00001990</v>
      </c>
      <c r="B1994" t="str">
        <f>TRIM(Raw_Claims_Data!B1993)</f>
        <v>Robert Thompson</v>
      </c>
      <c r="C1994" t="str">
        <f>Raw_Claims_Data!C1993</f>
        <v>Health</v>
      </c>
      <c r="D1994">
        <f>Raw_Claims_Data!D1993</f>
        <v>120.44</v>
      </c>
      <c r="E1994">
        <f>Raw_Claims_Data!E1993</f>
        <v>6000</v>
      </c>
      <c r="F1994" t="str">
        <f>Raw_Claims_Data!F1993</f>
        <v>AL</v>
      </c>
      <c r="G1994" t="str">
        <f>Raw_Claims_Data!G1993</f>
        <v>A</v>
      </c>
      <c r="H1994" t="str">
        <f>Raw_Claims_Data!H1993</f>
        <v>Total Loss</v>
      </c>
      <c r="I1994" t="str">
        <f>IF(Raw_Claims_Data!I1993="","None",Raw_Claims_Data!I1993)</f>
        <v>None</v>
      </c>
      <c r="J1994" t="str">
        <f>Raw_Claims_Data!J1993</f>
        <v>Lynn Haven</v>
      </c>
      <c r="K1994" t="str">
        <f>Raw_Claims_Data!K1993</f>
        <v>FL</v>
      </c>
      <c r="L1994">
        <f>Raw_Claims_Data!L1993</f>
        <v>1</v>
      </c>
      <c r="M1994" t="str">
        <f>IF(Raw_Claims_Data!M1993="","N/A",Raw_Claims_Data!M1993)</f>
        <v>N/A</v>
      </c>
      <c r="N1994" t="str">
        <f>Raw_Claims_Data!N1993</f>
        <v>AGENT01078</v>
      </c>
      <c r="O1994">
        <f>IF(Raw_Claims_Data!G1993="D",1,0)</f>
        <v>0</v>
      </c>
    </row>
    <row r="1995" spans="1:15" x14ac:dyDescent="0.35">
      <c r="A1995" t="str">
        <f>Raw_Claims_Data!A1994</f>
        <v>TXN00001991</v>
      </c>
      <c r="B1995" t="str">
        <f>TRIM(Raw_Claims_Data!B1994)</f>
        <v>Cecilia Gustafson</v>
      </c>
      <c r="C1995" t="str">
        <f>Raw_Claims_Data!C1994</f>
        <v>Motor</v>
      </c>
      <c r="D1995">
        <f>Raw_Claims_Data!D1994</f>
        <v>116.5</v>
      </c>
      <c r="E1995">
        <f>Raw_Claims_Data!E1994</f>
        <v>9000</v>
      </c>
      <c r="F1995" t="str">
        <f>Raw_Claims_Data!F1994</f>
        <v>CA</v>
      </c>
      <c r="G1995" t="str">
        <f>Raw_Claims_Data!G1994</f>
        <v>A</v>
      </c>
      <c r="H1995" t="str">
        <f>Raw_Claims_Data!H1994</f>
        <v>Major Loss</v>
      </c>
      <c r="I1995" t="str">
        <f>IF(Raw_Claims_Data!I1994="","None",Raw_Claims_Data!I1994)</f>
        <v>Ambulance</v>
      </c>
      <c r="J1995" t="str">
        <f>Raw_Claims_Data!J1994</f>
        <v>Tyndall Air Force Base</v>
      </c>
      <c r="K1995" t="str">
        <f>Raw_Claims_Data!K1994</f>
        <v>FL</v>
      </c>
      <c r="L1995">
        <f>Raw_Claims_Data!L1994</f>
        <v>6</v>
      </c>
      <c r="M1995" t="str">
        <f>IF(Raw_Claims_Data!M1994="","N/A",Raw_Claims_Data!M1994)</f>
        <v>VNDR00434</v>
      </c>
      <c r="N1995" t="str">
        <f>Raw_Claims_Data!N1994</f>
        <v>AGENT00737</v>
      </c>
      <c r="O1995">
        <f>IF(Raw_Claims_Data!G1994="D",1,0)</f>
        <v>0</v>
      </c>
    </row>
    <row r="1996" spans="1:15" x14ac:dyDescent="0.35">
      <c r="A1996" t="str">
        <f>Raw_Claims_Data!A1995</f>
        <v>TXN00001992</v>
      </c>
      <c r="B1996" t="str">
        <f>TRIM(Raw_Claims_Data!B1995)</f>
        <v>Maria Swedenburg</v>
      </c>
      <c r="C1996" t="str">
        <f>Raw_Claims_Data!C1995</f>
        <v>Health</v>
      </c>
      <c r="D1996">
        <f>Raw_Claims_Data!D1995</f>
        <v>164.66</v>
      </c>
      <c r="E1996">
        <f>Raw_Claims_Data!E1995</f>
        <v>3000</v>
      </c>
      <c r="F1996" t="str">
        <f>Raw_Claims_Data!F1995</f>
        <v>AZ</v>
      </c>
      <c r="G1996" t="str">
        <f>Raw_Claims_Data!G1995</f>
        <v>A</v>
      </c>
      <c r="H1996" t="str">
        <f>Raw_Claims_Data!H1995</f>
        <v>Major Loss</v>
      </c>
      <c r="I1996" t="str">
        <f>IF(Raw_Claims_Data!I1995="","None",Raw_Claims_Data!I1995)</f>
        <v>Other</v>
      </c>
      <c r="J1996" t="str">
        <f>Raw_Claims_Data!J1995</f>
        <v>Farmington</v>
      </c>
      <c r="K1996" t="str">
        <f>Raw_Claims_Data!K1995</f>
        <v>AR</v>
      </c>
      <c r="L1996">
        <f>Raw_Claims_Data!L1995</f>
        <v>23</v>
      </c>
      <c r="M1996" t="str">
        <f>IF(Raw_Claims_Data!M1995="","N/A",Raw_Claims_Data!M1995)</f>
        <v>VNDR00301</v>
      </c>
      <c r="N1996" t="str">
        <f>Raw_Claims_Data!N1995</f>
        <v>AGENT00020</v>
      </c>
      <c r="O1996">
        <f>IF(Raw_Claims_Data!G1995="D",1,0)</f>
        <v>0</v>
      </c>
    </row>
    <row r="1997" spans="1:15" x14ac:dyDescent="0.35">
      <c r="A1997" t="str">
        <f>Raw_Claims_Data!A1996</f>
        <v>TXN00001993</v>
      </c>
      <c r="B1997" t="str">
        <f>TRIM(Raw_Claims_Data!B1996)</f>
        <v>Stacy Patel</v>
      </c>
      <c r="C1997" t="str">
        <f>Raw_Claims_Data!C1996</f>
        <v>Motor</v>
      </c>
      <c r="D1997">
        <f>Raw_Claims_Data!D1996</f>
        <v>123.35</v>
      </c>
      <c r="E1997">
        <f>Raw_Claims_Data!E1996</f>
        <v>6000</v>
      </c>
      <c r="F1997" t="str">
        <f>Raw_Claims_Data!F1996</f>
        <v>FL</v>
      </c>
      <c r="G1997" t="str">
        <f>Raw_Claims_Data!G1996</f>
        <v>A</v>
      </c>
      <c r="H1997" t="str">
        <f>Raw_Claims_Data!H1996</f>
        <v>Major Loss</v>
      </c>
      <c r="I1997" t="str">
        <f>IF(Raw_Claims_Data!I1996="","None",Raw_Claims_Data!I1996)</f>
        <v>Police</v>
      </c>
      <c r="J1997" t="str">
        <f>Raw_Claims_Data!J1996</f>
        <v>Fremont</v>
      </c>
      <c r="K1997" t="str">
        <f>Raw_Claims_Data!K1996</f>
        <v>CA</v>
      </c>
      <c r="L1997">
        <f>Raw_Claims_Data!L1996</f>
        <v>16</v>
      </c>
      <c r="M1997" t="str">
        <f>IF(Raw_Claims_Data!M1996="","N/A",Raw_Claims_Data!M1996)</f>
        <v>VNDR00192</v>
      </c>
      <c r="N1997" t="str">
        <f>Raw_Claims_Data!N1996</f>
        <v>AGENT00104</v>
      </c>
      <c r="O1997">
        <f>IF(Raw_Claims_Data!G1996="D",1,0)</f>
        <v>0</v>
      </c>
    </row>
    <row r="1998" spans="1:15" x14ac:dyDescent="0.35">
      <c r="A1998" t="str">
        <f>Raw_Claims_Data!A1997</f>
        <v>TXN00001994</v>
      </c>
      <c r="B1998" t="str">
        <f>TRIM(Raw_Claims_Data!B1997)</f>
        <v>Melissa Schmidt</v>
      </c>
      <c r="C1998" t="str">
        <f>Raw_Claims_Data!C1997</f>
        <v>Travel</v>
      </c>
      <c r="D1998">
        <f>Raw_Claims_Data!D1997</f>
        <v>52.36</v>
      </c>
      <c r="E1998">
        <f>Raw_Claims_Data!E1997</f>
        <v>1000</v>
      </c>
      <c r="F1998" t="str">
        <f>Raw_Claims_Data!F1997</f>
        <v>MA</v>
      </c>
      <c r="G1998" t="str">
        <f>Raw_Claims_Data!G1997</f>
        <v>A</v>
      </c>
      <c r="H1998" t="str">
        <f>Raw_Claims_Data!H1997</f>
        <v>Minor Loss</v>
      </c>
      <c r="I1998" t="str">
        <f>IF(Raw_Claims_Data!I1997="","None",Raw_Claims_Data!I1997)</f>
        <v>Police</v>
      </c>
      <c r="J1998" t="str">
        <f>Raw_Claims_Data!J1997</f>
        <v>Salinas</v>
      </c>
      <c r="K1998" t="str">
        <f>Raw_Claims_Data!K1997</f>
        <v>CA</v>
      </c>
      <c r="L1998">
        <f>Raw_Claims_Data!L1997</f>
        <v>6</v>
      </c>
      <c r="M1998" t="str">
        <f>IF(Raw_Claims_Data!M1997="","N/A",Raw_Claims_Data!M1997)</f>
        <v>N/A</v>
      </c>
      <c r="N1998" t="str">
        <f>Raw_Claims_Data!N1997</f>
        <v>AGENT00054</v>
      </c>
      <c r="O1998">
        <f>IF(Raw_Claims_Data!G1997="D",1,0)</f>
        <v>0</v>
      </c>
    </row>
    <row r="1999" spans="1:15" x14ac:dyDescent="0.35">
      <c r="A1999" t="str">
        <f>Raw_Claims_Data!A1998</f>
        <v>TXN00001995</v>
      </c>
      <c r="B1999" t="str">
        <f>TRIM(Raw_Claims_Data!B1998)</f>
        <v>Richard Durham</v>
      </c>
      <c r="C1999" t="str">
        <f>Raw_Claims_Data!C1998</f>
        <v>Life</v>
      </c>
      <c r="D1999">
        <f>Raw_Claims_Data!D1998</f>
        <v>66.52</v>
      </c>
      <c r="E1999">
        <f>Raw_Claims_Data!E1998</f>
        <v>89000</v>
      </c>
      <c r="F1999" t="str">
        <f>Raw_Claims_Data!F1998</f>
        <v>AZ</v>
      </c>
      <c r="G1999" t="str">
        <f>Raw_Claims_Data!G1998</f>
        <v>A</v>
      </c>
      <c r="H1999" t="str">
        <f>Raw_Claims_Data!H1998</f>
        <v>Major Loss</v>
      </c>
      <c r="I1999" t="str">
        <f>IF(Raw_Claims_Data!I1998="","None",Raw_Claims_Data!I1998)</f>
        <v>Other</v>
      </c>
      <c r="J1999" t="str">
        <f>Raw_Claims_Data!J1998</f>
        <v>Savannah</v>
      </c>
      <c r="K1999" t="str">
        <f>Raw_Claims_Data!K1998</f>
        <v>GA</v>
      </c>
      <c r="L1999">
        <f>Raw_Claims_Data!L1998</f>
        <v>19</v>
      </c>
      <c r="M1999" t="str">
        <f>IF(Raw_Claims_Data!M1998="","N/A",Raw_Claims_Data!M1998)</f>
        <v>VNDR00349</v>
      </c>
      <c r="N1999" t="str">
        <f>Raw_Claims_Data!N1998</f>
        <v>AGENT00636</v>
      </c>
      <c r="O1999">
        <f>IF(Raw_Claims_Data!G1998="D",1,0)</f>
        <v>0</v>
      </c>
    </row>
    <row r="2000" spans="1:15" x14ac:dyDescent="0.35">
      <c r="A2000" t="str">
        <f>Raw_Claims_Data!A1999</f>
        <v>TXN00001996</v>
      </c>
      <c r="B2000" t="str">
        <f>TRIM(Raw_Claims_Data!B1999)</f>
        <v>Addie Connor</v>
      </c>
      <c r="C2000" t="str">
        <f>Raw_Claims_Data!C1999</f>
        <v>Motor</v>
      </c>
      <c r="D2000">
        <f>Raw_Claims_Data!D1999</f>
        <v>117.49</v>
      </c>
      <c r="E2000">
        <f>Raw_Claims_Data!E1999</f>
        <v>10000</v>
      </c>
      <c r="F2000" t="str">
        <f>Raw_Claims_Data!F1999</f>
        <v>AL</v>
      </c>
      <c r="G2000" t="str">
        <f>Raw_Claims_Data!G1999</f>
        <v>D</v>
      </c>
      <c r="H2000" t="str">
        <f>Raw_Claims_Data!H1999</f>
        <v>Total Loss</v>
      </c>
      <c r="I2000" t="str">
        <f>IF(Raw_Claims_Data!I1999="","None",Raw_Claims_Data!I1999)</f>
        <v>Police</v>
      </c>
      <c r="J2000" t="str">
        <f>Raw_Claims_Data!J1999</f>
        <v>Washington</v>
      </c>
      <c r="K2000" t="str">
        <f>Raw_Claims_Data!K1999</f>
        <v>DC</v>
      </c>
      <c r="L2000">
        <f>Raw_Claims_Data!L1999</f>
        <v>3</v>
      </c>
      <c r="M2000" t="str">
        <f>IF(Raw_Claims_Data!M1999="","N/A",Raw_Claims_Data!M1999)</f>
        <v>N/A</v>
      </c>
      <c r="N2000" t="str">
        <f>Raw_Claims_Data!N1999</f>
        <v>AGENT01109</v>
      </c>
      <c r="O2000">
        <f>IF(Raw_Claims_Data!G1999="D",1,0)</f>
        <v>1</v>
      </c>
    </row>
    <row r="2001" spans="1:15" x14ac:dyDescent="0.35">
      <c r="A2001" t="str">
        <f>Raw_Claims_Data!A2000</f>
        <v>TXN00001997</v>
      </c>
      <c r="B2001" t="str">
        <f>TRIM(Raw_Claims_Data!B2000)</f>
        <v>Karen Harrington</v>
      </c>
      <c r="C2001" t="str">
        <f>Raw_Claims_Data!C2000</f>
        <v>Mobile</v>
      </c>
      <c r="D2001">
        <f>Raw_Claims_Data!D2000</f>
        <v>9.69</v>
      </c>
      <c r="E2001">
        <f>Raw_Claims_Data!E2000</f>
        <v>100</v>
      </c>
      <c r="F2001" t="str">
        <f>Raw_Claims_Data!F2000</f>
        <v>TN</v>
      </c>
      <c r="G2001" t="str">
        <f>Raw_Claims_Data!G2000</f>
        <v>A</v>
      </c>
      <c r="H2001" t="str">
        <f>Raw_Claims_Data!H2000</f>
        <v>Total Loss</v>
      </c>
      <c r="I2001" t="str">
        <f>IF(Raw_Claims_Data!I2000="","None",Raw_Claims_Data!I2000)</f>
        <v>Ambulance</v>
      </c>
      <c r="J2001" t="str">
        <f>Raw_Claims_Data!J2000</f>
        <v>Fayetteville</v>
      </c>
      <c r="K2001" t="str">
        <f>Raw_Claims_Data!K2000</f>
        <v>AR</v>
      </c>
      <c r="L2001">
        <f>Raw_Claims_Data!L2000</f>
        <v>14</v>
      </c>
      <c r="M2001" t="str">
        <f>IF(Raw_Claims_Data!M2000="","N/A",Raw_Claims_Data!M2000)</f>
        <v>VNDR00495</v>
      </c>
      <c r="N2001" t="str">
        <f>Raw_Claims_Data!N2000</f>
        <v>AGENT00154</v>
      </c>
      <c r="O2001">
        <f>IF(Raw_Claims_Data!G2000="D",1,0)</f>
        <v>0</v>
      </c>
    </row>
    <row r="2002" spans="1:15" x14ac:dyDescent="0.35">
      <c r="A2002" t="str">
        <f>Raw_Claims_Data!A2001</f>
        <v>TXN00001998</v>
      </c>
      <c r="B2002" t="str">
        <f>TRIM(Raw_Claims_Data!B2001)</f>
        <v>Alvaro Williams</v>
      </c>
      <c r="C2002" t="str">
        <f>Raw_Claims_Data!C2001</f>
        <v>Mobile</v>
      </c>
      <c r="D2002">
        <f>Raw_Claims_Data!D2001</f>
        <v>9.67</v>
      </c>
      <c r="E2002">
        <f>Raw_Claims_Data!E2001</f>
        <v>300</v>
      </c>
      <c r="F2002" t="str">
        <f>Raw_Claims_Data!F2001</f>
        <v>CA</v>
      </c>
      <c r="G2002" t="str">
        <f>Raw_Claims_Data!G2001</f>
        <v>A</v>
      </c>
      <c r="H2002" t="str">
        <f>Raw_Claims_Data!H2001</f>
        <v>Total Loss</v>
      </c>
      <c r="I2002" t="str">
        <f>IF(Raw_Claims_Data!I2001="","None",Raw_Claims_Data!I2001)</f>
        <v>None</v>
      </c>
      <c r="J2002" t="str">
        <f>Raw_Claims_Data!J2001</f>
        <v>Panama City</v>
      </c>
      <c r="K2002" t="str">
        <f>Raw_Claims_Data!K2001</f>
        <v>FL</v>
      </c>
      <c r="L2002">
        <f>Raw_Claims_Data!L2001</f>
        <v>20</v>
      </c>
      <c r="M2002" t="str">
        <f>IF(Raw_Claims_Data!M2001="","N/A",Raw_Claims_Data!M2001)</f>
        <v>N/A</v>
      </c>
      <c r="N2002" t="str">
        <f>Raw_Claims_Data!N2001</f>
        <v>AGENT00434</v>
      </c>
      <c r="O2002">
        <f>IF(Raw_Claims_Data!G2001="D",1,0)</f>
        <v>0</v>
      </c>
    </row>
    <row r="2003" spans="1:15" x14ac:dyDescent="0.35">
      <c r="A2003" t="str">
        <f>Raw_Claims_Data!A2002</f>
        <v>TXN00001999</v>
      </c>
      <c r="B2003" t="str">
        <f>TRIM(Raw_Claims_Data!B2002)</f>
        <v>Michael Quero</v>
      </c>
      <c r="C2003" t="str">
        <f>Raw_Claims_Data!C2002</f>
        <v>Motor</v>
      </c>
      <c r="D2003">
        <f>Raw_Claims_Data!D2002</f>
        <v>124.76</v>
      </c>
      <c r="E2003">
        <f>Raw_Claims_Data!E2002</f>
        <v>4000</v>
      </c>
      <c r="F2003" t="str">
        <f>Raw_Claims_Data!F2002</f>
        <v>CO</v>
      </c>
      <c r="G2003" t="str">
        <f>Raw_Claims_Data!G2002</f>
        <v>A</v>
      </c>
      <c r="H2003" t="str">
        <f>Raw_Claims_Data!H2002</f>
        <v>Major Loss</v>
      </c>
      <c r="I2003" t="str">
        <f>IF(Raw_Claims_Data!I2002="","None",Raw_Claims_Data!I2002)</f>
        <v>None</v>
      </c>
      <c r="J2003" t="str">
        <f>Raw_Claims_Data!J2002</f>
        <v>Fayetteville</v>
      </c>
      <c r="K2003" t="str">
        <f>Raw_Claims_Data!K2002</f>
        <v>AR</v>
      </c>
      <c r="L2003">
        <f>Raw_Claims_Data!L2002</f>
        <v>2</v>
      </c>
      <c r="M2003" t="str">
        <f>IF(Raw_Claims_Data!M2002="","N/A",Raw_Claims_Data!M2002)</f>
        <v>VNDR00156</v>
      </c>
      <c r="N2003" t="str">
        <f>Raw_Claims_Data!N2002</f>
        <v>AGENT00558</v>
      </c>
      <c r="O2003">
        <f>IF(Raw_Claims_Data!G2002="D",1,0)</f>
        <v>0</v>
      </c>
    </row>
    <row r="2004" spans="1:15" x14ac:dyDescent="0.35">
      <c r="A2004" t="str">
        <f>Raw_Claims_Data!A2003</f>
        <v>TXN00002000</v>
      </c>
      <c r="B2004" t="str">
        <f>TRIM(Raw_Claims_Data!B2003)</f>
        <v>Nell Suniga</v>
      </c>
      <c r="C2004" t="str">
        <f>Raw_Claims_Data!C2003</f>
        <v>Motor</v>
      </c>
      <c r="D2004">
        <f>Raw_Claims_Data!D2003</f>
        <v>117.9</v>
      </c>
      <c r="E2004">
        <f>Raw_Claims_Data!E2003</f>
        <v>7000</v>
      </c>
      <c r="F2004" t="str">
        <f>Raw_Claims_Data!F2003</f>
        <v>CO</v>
      </c>
      <c r="G2004" t="str">
        <f>Raw_Claims_Data!G2003</f>
        <v>A</v>
      </c>
      <c r="H2004" t="str">
        <f>Raw_Claims_Data!H2003</f>
        <v>Major Loss</v>
      </c>
      <c r="I2004" t="str">
        <f>IF(Raw_Claims_Data!I2003="","None",Raw_Claims_Data!I2003)</f>
        <v>None</v>
      </c>
      <c r="J2004" t="str">
        <f>Raw_Claims_Data!J2003</f>
        <v>Moore</v>
      </c>
      <c r="K2004" t="str">
        <f>Raw_Claims_Data!K2003</f>
        <v>OK</v>
      </c>
      <c r="L2004">
        <f>Raw_Claims_Data!L2003</f>
        <v>20</v>
      </c>
      <c r="M2004" t="str">
        <f>IF(Raw_Claims_Data!M2003="","N/A",Raw_Claims_Data!M2003)</f>
        <v>VNDR00031</v>
      </c>
      <c r="N2004" t="str">
        <f>Raw_Claims_Data!N2003</f>
        <v>AGENT00920</v>
      </c>
      <c r="O2004">
        <f>IF(Raw_Claims_Data!G2003="D",1,0)</f>
        <v>0</v>
      </c>
    </row>
    <row r="2005" spans="1:15" x14ac:dyDescent="0.35">
      <c r="A2005" t="str">
        <f>Raw_Claims_Data!A2004</f>
        <v>TXN00002001</v>
      </c>
      <c r="B2005" t="str">
        <f>TRIM(Raw_Claims_Data!B2004)</f>
        <v>Lawrence Williams</v>
      </c>
      <c r="C2005" t="str">
        <f>Raw_Claims_Data!C2004</f>
        <v>Health</v>
      </c>
      <c r="D2005">
        <f>Raw_Claims_Data!D2004</f>
        <v>182.84</v>
      </c>
      <c r="E2005">
        <f>Raw_Claims_Data!E2004</f>
        <v>20000</v>
      </c>
      <c r="F2005" t="str">
        <f>Raw_Claims_Data!F2004</f>
        <v>CA</v>
      </c>
      <c r="G2005" t="str">
        <f>Raw_Claims_Data!G2004</f>
        <v>A</v>
      </c>
      <c r="H2005" t="str">
        <f>Raw_Claims_Data!H2004</f>
        <v>Major Loss</v>
      </c>
      <c r="I2005" t="str">
        <f>IF(Raw_Claims_Data!I2004="","None",Raw_Claims_Data!I2004)</f>
        <v>Other</v>
      </c>
      <c r="J2005" t="str">
        <f>Raw_Claims_Data!J2004</f>
        <v>Littleton</v>
      </c>
      <c r="K2005" t="str">
        <f>Raw_Claims_Data!K2004</f>
        <v>CO</v>
      </c>
      <c r="L2005">
        <f>Raw_Claims_Data!L2004</f>
        <v>14</v>
      </c>
      <c r="M2005" t="str">
        <f>IF(Raw_Claims_Data!M2004="","N/A",Raw_Claims_Data!M2004)</f>
        <v>VNDR00229</v>
      </c>
      <c r="N2005" t="str">
        <f>Raw_Claims_Data!N2004</f>
        <v>AGENT00739</v>
      </c>
      <c r="O2005">
        <f>IF(Raw_Claims_Data!G2004="D",1,0)</f>
        <v>0</v>
      </c>
    </row>
    <row r="2006" spans="1:15" x14ac:dyDescent="0.35">
      <c r="A2006" t="str">
        <f>Raw_Claims_Data!A2005</f>
        <v>TXN00002002</v>
      </c>
      <c r="B2006" t="str">
        <f>TRIM(Raw_Claims_Data!B2005)</f>
        <v>Norman Easter</v>
      </c>
      <c r="C2006" t="str">
        <f>Raw_Claims_Data!C2005</f>
        <v>Travel</v>
      </c>
      <c r="D2006">
        <f>Raw_Claims_Data!D2005</f>
        <v>78.069999999999993</v>
      </c>
      <c r="E2006">
        <f>Raw_Claims_Data!E2005</f>
        <v>3000</v>
      </c>
      <c r="F2006" t="str">
        <f>Raw_Claims_Data!F2005</f>
        <v>FL</v>
      </c>
      <c r="G2006" t="str">
        <f>Raw_Claims_Data!G2005</f>
        <v>A</v>
      </c>
      <c r="H2006" t="str">
        <f>Raw_Claims_Data!H2005</f>
        <v>Minor Loss</v>
      </c>
      <c r="I2006" t="str">
        <f>IF(Raw_Claims_Data!I2005="","None",Raw_Claims_Data!I2005)</f>
        <v>Other</v>
      </c>
      <c r="J2006" t="str">
        <f>Raw_Claims_Data!J2005</f>
        <v>Edgewater</v>
      </c>
      <c r="K2006" t="str">
        <f>Raw_Claims_Data!K2005</f>
        <v>MD</v>
      </c>
      <c r="L2006">
        <f>Raw_Claims_Data!L2005</f>
        <v>19</v>
      </c>
      <c r="M2006" t="str">
        <f>IF(Raw_Claims_Data!M2005="","N/A",Raw_Claims_Data!M2005)</f>
        <v>VNDR00012</v>
      </c>
      <c r="N2006" t="str">
        <f>Raw_Claims_Data!N2005</f>
        <v>AGENT01128</v>
      </c>
      <c r="O2006">
        <f>IF(Raw_Claims_Data!G2005="D",1,0)</f>
        <v>0</v>
      </c>
    </row>
    <row r="2007" spans="1:15" x14ac:dyDescent="0.35">
      <c r="A2007" t="str">
        <f>Raw_Claims_Data!A2006</f>
        <v>TXN00002003</v>
      </c>
      <c r="B2007" t="str">
        <f>TRIM(Raw_Claims_Data!B2006)</f>
        <v>Gena Torres</v>
      </c>
      <c r="C2007" t="str">
        <f>Raw_Claims_Data!C2006</f>
        <v>Motor</v>
      </c>
      <c r="D2007">
        <f>Raw_Claims_Data!D2006</f>
        <v>130.84</v>
      </c>
      <c r="E2007">
        <f>Raw_Claims_Data!E2006</f>
        <v>9000</v>
      </c>
      <c r="F2007" t="str">
        <f>Raw_Claims_Data!F2006</f>
        <v>VT</v>
      </c>
      <c r="G2007" t="str">
        <f>Raw_Claims_Data!G2006</f>
        <v>A</v>
      </c>
      <c r="H2007" t="str">
        <f>Raw_Claims_Data!H2006</f>
        <v>Minor Loss</v>
      </c>
      <c r="I2007" t="str">
        <f>IF(Raw_Claims_Data!I2006="","None",Raw_Claims_Data!I2006)</f>
        <v>Police</v>
      </c>
      <c r="J2007" t="str">
        <f>Raw_Claims_Data!J2006</f>
        <v>Manchester</v>
      </c>
      <c r="K2007" t="str">
        <f>Raw_Claims_Data!K2006</f>
        <v>CT</v>
      </c>
      <c r="L2007">
        <f>Raw_Claims_Data!L2006</f>
        <v>18</v>
      </c>
      <c r="M2007" t="str">
        <f>IF(Raw_Claims_Data!M2006="","N/A",Raw_Claims_Data!M2006)</f>
        <v>N/A</v>
      </c>
      <c r="N2007" t="str">
        <f>Raw_Claims_Data!N2006</f>
        <v>AGENT00240</v>
      </c>
      <c r="O2007">
        <f>IF(Raw_Claims_Data!G2006="D",1,0)</f>
        <v>0</v>
      </c>
    </row>
    <row r="2008" spans="1:15" x14ac:dyDescent="0.35">
      <c r="A2008" t="str">
        <f>Raw_Claims_Data!A2007</f>
        <v>TXN00002004</v>
      </c>
      <c r="B2008" t="str">
        <f>TRIM(Raw_Claims_Data!B2007)</f>
        <v>Margaret Parker</v>
      </c>
      <c r="C2008" t="str">
        <f>Raw_Claims_Data!C2007</f>
        <v>Mobile</v>
      </c>
      <c r="D2008">
        <f>Raw_Claims_Data!D2007</f>
        <v>8.09</v>
      </c>
      <c r="E2008">
        <f>Raw_Claims_Data!E2007</f>
        <v>100</v>
      </c>
      <c r="F2008" t="str">
        <f>Raw_Claims_Data!F2007</f>
        <v>DC</v>
      </c>
      <c r="G2008" t="str">
        <f>Raw_Claims_Data!G2007</f>
        <v>A</v>
      </c>
      <c r="H2008" t="str">
        <f>Raw_Claims_Data!H2007</f>
        <v>Major Loss</v>
      </c>
      <c r="I2008" t="str">
        <f>IF(Raw_Claims_Data!I2007="","None",Raw_Claims_Data!I2007)</f>
        <v>Police</v>
      </c>
      <c r="J2008" t="str">
        <f>Raw_Claims_Data!J2007</f>
        <v>Savannah</v>
      </c>
      <c r="K2008" t="str">
        <f>Raw_Claims_Data!K2007</f>
        <v>GA</v>
      </c>
      <c r="L2008">
        <f>Raw_Claims_Data!L2007</f>
        <v>8</v>
      </c>
      <c r="M2008" t="str">
        <f>IF(Raw_Claims_Data!M2007="","N/A",Raw_Claims_Data!M2007)</f>
        <v>VNDR00564</v>
      </c>
      <c r="N2008" t="str">
        <f>Raw_Claims_Data!N2007</f>
        <v>AGENT01105</v>
      </c>
      <c r="O2008">
        <f>IF(Raw_Claims_Data!G2007="D",1,0)</f>
        <v>0</v>
      </c>
    </row>
    <row r="2009" spans="1:15" x14ac:dyDescent="0.35">
      <c r="A2009" t="str">
        <f>Raw_Claims_Data!A2008</f>
        <v>TXN00002005</v>
      </c>
      <c r="B2009" t="str">
        <f>TRIM(Raw_Claims_Data!B2008)</f>
        <v>Dale Dennison</v>
      </c>
      <c r="C2009" t="str">
        <f>Raw_Claims_Data!C2008</f>
        <v>Mobile</v>
      </c>
      <c r="D2009">
        <f>Raw_Claims_Data!D2008</f>
        <v>8.6</v>
      </c>
      <c r="E2009">
        <f>Raw_Claims_Data!E2008</f>
        <v>500</v>
      </c>
      <c r="F2009" t="str">
        <f>Raw_Claims_Data!F2008</f>
        <v>CO</v>
      </c>
      <c r="G2009" t="str">
        <f>Raw_Claims_Data!G2008</f>
        <v>A</v>
      </c>
      <c r="H2009" t="str">
        <f>Raw_Claims_Data!H2008</f>
        <v>Major Loss</v>
      </c>
      <c r="I2009" t="str">
        <f>IF(Raw_Claims_Data!I2008="","None",Raw_Claims_Data!I2008)</f>
        <v>Ambulance</v>
      </c>
      <c r="J2009" t="str">
        <f>Raw_Claims_Data!J2008</f>
        <v>Panama City Beach</v>
      </c>
      <c r="K2009" t="str">
        <f>Raw_Claims_Data!K2008</f>
        <v>FL</v>
      </c>
      <c r="L2009">
        <f>Raw_Claims_Data!L2008</f>
        <v>21</v>
      </c>
      <c r="M2009" t="str">
        <f>IF(Raw_Claims_Data!M2008="","N/A",Raw_Claims_Data!M2008)</f>
        <v>N/A</v>
      </c>
      <c r="N2009" t="str">
        <f>Raw_Claims_Data!N2008</f>
        <v>AGENT00764</v>
      </c>
      <c r="O2009">
        <f>IF(Raw_Claims_Data!G2008="D",1,0)</f>
        <v>0</v>
      </c>
    </row>
    <row r="2010" spans="1:15" x14ac:dyDescent="0.35">
      <c r="A2010" t="str">
        <f>Raw_Claims_Data!A2009</f>
        <v>TXN00002006</v>
      </c>
      <c r="B2010" t="str">
        <f>TRIM(Raw_Claims_Data!B2009)</f>
        <v>Marguerite Crow</v>
      </c>
      <c r="C2010" t="str">
        <f>Raw_Claims_Data!C2009</f>
        <v>Mobile</v>
      </c>
      <c r="D2010">
        <f>Raw_Claims_Data!D2009</f>
        <v>10.85</v>
      </c>
      <c r="E2010">
        <f>Raw_Claims_Data!E2009</f>
        <v>100</v>
      </c>
      <c r="F2010" t="str">
        <f>Raw_Claims_Data!F2009</f>
        <v>MD</v>
      </c>
      <c r="G2010" t="str">
        <f>Raw_Claims_Data!G2009</f>
        <v>A</v>
      </c>
      <c r="H2010" t="str">
        <f>Raw_Claims_Data!H2009</f>
        <v>Major Loss</v>
      </c>
      <c r="I2010" t="str">
        <f>IF(Raw_Claims_Data!I2009="","None",Raw_Claims_Data!I2009)</f>
        <v>Ambulance</v>
      </c>
      <c r="J2010" t="str">
        <f>Raw_Claims_Data!J2009</f>
        <v>Annapolis</v>
      </c>
      <c r="K2010" t="str">
        <f>Raw_Claims_Data!K2009</f>
        <v>MD</v>
      </c>
      <c r="L2010">
        <f>Raw_Claims_Data!L2009</f>
        <v>9</v>
      </c>
      <c r="M2010" t="str">
        <f>IF(Raw_Claims_Data!M2009="","N/A",Raw_Claims_Data!M2009)</f>
        <v>VNDR00106</v>
      </c>
      <c r="N2010" t="str">
        <f>Raw_Claims_Data!N2009</f>
        <v>AGENT00800</v>
      </c>
      <c r="O2010">
        <f>IF(Raw_Claims_Data!G2009="D",1,0)</f>
        <v>0</v>
      </c>
    </row>
    <row r="2011" spans="1:15" x14ac:dyDescent="0.35">
      <c r="A2011" t="str">
        <f>Raw_Claims_Data!A2010</f>
        <v>TXN00002007</v>
      </c>
      <c r="B2011" t="str">
        <f>TRIM(Raw_Claims_Data!B2010)</f>
        <v>Holly Arterbury</v>
      </c>
      <c r="C2011" t="str">
        <f>Raw_Claims_Data!C2010</f>
        <v>Travel</v>
      </c>
      <c r="D2011">
        <f>Raw_Claims_Data!D2010</f>
        <v>58.62</v>
      </c>
      <c r="E2011">
        <f>Raw_Claims_Data!E2010</f>
        <v>1000</v>
      </c>
      <c r="F2011" t="str">
        <f>Raw_Claims_Data!F2010</f>
        <v>AL</v>
      </c>
      <c r="G2011" t="str">
        <f>Raw_Claims_Data!G2010</f>
        <v>A</v>
      </c>
      <c r="H2011" t="str">
        <f>Raw_Claims_Data!H2010</f>
        <v>Minor Loss</v>
      </c>
      <c r="I2011" t="str">
        <f>IF(Raw_Claims_Data!I2010="","None",Raw_Claims_Data!I2010)</f>
        <v>Police</v>
      </c>
      <c r="J2011" t="str">
        <f>Raw_Claims_Data!J2010</f>
        <v>Montgomery</v>
      </c>
      <c r="K2011" t="str">
        <f>Raw_Claims_Data!K2010</f>
        <v>AL</v>
      </c>
      <c r="L2011">
        <f>Raw_Claims_Data!L2010</f>
        <v>11</v>
      </c>
      <c r="M2011" t="str">
        <f>IF(Raw_Claims_Data!M2010="","N/A",Raw_Claims_Data!M2010)</f>
        <v>N/A</v>
      </c>
      <c r="N2011" t="str">
        <f>Raw_Claims_Data!N2010</f>
        <v>AGENT00365</v>
      </c>
      <c r="O2011">
        <f>IF(Raw_Claims_Data!G2010="D",1,0)</f>
        <v>0</v>
      </c>
    </row>
    <row r="2012" spans="1:15" x14ac:dyDescent="0.35">
      <c r="A2012" t="str">
        <f>Raw_Claims_Data!A2011</f>
        <v>TXN00002008</v>
      </c>
      <c r="B2012" t="str">
        <f>TRIM(Raw_Claims_Data!B2011)</f>
        <v>Andrew Wilkerson</v>
      </c>
      <c r="C2012" t="str">
        <f>Raw_Claims_Data!C2011</f>
        <v>Motor</v>
      </c>
      <c r="D2012">
        <f>Raw_Claims_Data!D2011</f>
        <v>76.77</v>
      </c>
      <c r="E2012">
        <f>Raw_Claims_Data!E2011</f>
        <v>9000</v>
      </c>
      <c r="F2012" t="str">
        <f>Raw_Claims_Data!F2011</f>
        <v>CA</v>
      </c>
      <c r="G2012" t="str">
        <f>Raw_Claims_Data!G2011</f>
        <v>A</v>
      </c>
      <c r="H2012" t="str">
        <f>Raw_Claims_Data!H2011</f>
        <v>Minor Loss</v>
      </c>
      <c r="I2012" t="str">
        <f>IF(Raw_Claims_Data!I2011="","None",Raw_Claims_Data!I2011)</f>
        <v>Other</v>
      </c>
      <c r="J2012" t="str">
        <f>Raw_Claims_Data!J2011</f>
        <v>Nashville</v>
      </c>
      <c r="K2012" t="str">
        <f>Raw_Claims_Data!K2011</f>
        <v>TN</v>
      </c>
      <c r="L2012">
        <f>Raw_Claims_Data!L2011</f>
        <v>17</v>
      </c>
      <c r="M2012" t="str">
        <f>IF(Raw_Claims_Data!M2011="","N/A",Raw_Claims_Data!M2011)</f>
        <v>N/A</v>
      </c>
      <c r="N2012" t="str">
        <f>Raw_Claims_Data!N2011</f>
        <v>AGENT00847</v>
      </c>
      <c r="O2012">
        <f>IF(Raw_Claims_Data!G2011="D",1,0)</f>
        <v>0</v>
      </c>
    </row>
    <row r="2013" spans="1:15" x14ac:dyDescent="0.35">
      <c r="A2013" t="str">
        <f>Raw_Claims_Data!A2012</f>
        <v>TXN00002009</v>
      </c>
      <c r="B2013" t="str">
        <f>TRIM(Raw_Claims_Data!B2012)</f>
        <v>Michael Mayoka</v>
      </c>
      <c r="C2013" t="str">
        <f>Raw_Claims_Data!C2012</f>
        <v>Property</v>
      </c>
      <c r="D2013">
        <f>Raw_Claims_Data!D2012</f>
        <v>159.88</v>
      </c>
      <c r="E2013">
        <f>Raw_Claims_Data!E2012</f>
        <v>22000</v>
      </c>
      <c r="F2013" t="str">
        <f>Raw_Claims_Data!F2012</f>
        <v>KY</v>
      </c>
      <c r="G2013" t="str">
        <f>Raw_Claims_Data!G2012</f>
        <v>A</v>
      </c>
      <c r="H2013" t="str">
        <f>Raw_Claims_Data!H2012</f>
        <v>Total Loss</v>
      </c>
      <c r="I2013" t="str">
        <f>IF(Raw_Claims_Data!I2012="","None",Raw_Claims_Data!I2012)</f>
        <v>Police</v>
      </c>
      <c r="J2013" t="str">
        <f>Raw_Claims_Data!J2012</f>
        <v>Montgomery</v>
      </c>
      <c r="K2013" t="str">
        <f>Raw_Claims_Data!K2012</f>
        <v>AL</v>
      </c>
      <c r="L2013">
        <f>Raw_Claims_Data!L2012</f>
        <v>9</v>
      </c>
      <c r="M2013" t="str">
        <f>IF(Raw_Claims_Data!M2012="","N/A",Raw_Claims_Data!M2012)</f>
        <v>VNDR00463</v>
      </c>
      <c r="N2013" t="str">
        <f>Raw_Claims_Data!N2012</f>
        <v>AGENT00605</v>
      </c>
      <c r="O2013">
        <f>IF(Raw_Claims_Data!G2012="D",1,0)</f>
        <v>0</v>
      </c>
    </row>
    <row r="2014" spans="1:15" x14ac:dyDescent="0.35">
      <c r="A2014" t="str">
        <f>Raw_Claims_Data!A2013</f>
        <v>TXN00002010</v>
      </c>
      <c r="B2014" t="str">
        <f>TRIM(Raw_Claims_Data!B2013)</f>
        <v>Jackie Rowan</v>
      </c>
      <c r="C2014" t="str">
        <f>Raw_Claims_Data!C2013</f>
        <v>Health</v>
      </c>
      <c r="D2014">
        <f>Raw_Claims_Data!D2013</f>
        <v>101.15</v>
      </c>
      <c r="E2014">
        <f>Raw_Claims_Data!E2013</f>
        <v>15000</v>
      </c>
      <c r="F2014" t="str">
        <f>Raw_Claims_Data!F2013</f>
        <v>AZ</v>
      </c>
      <c r="G2014" t="str">
        <f>Raw_Claims_Data!G2013</f>
        <v>A</v>
      </c>
      <c r="H2014" t="str">
        <f>Raw_Claims_Data!H2013</f>
        <v>Major Loss</v>
      </c>
      <c r="I2014" t="str">
        <f>IF(Raw_Claims_Data!I2013="","None",Raw_Claims_Data!I2013)</f>
        <v>None</v>
      </c>
      <c r="J2014" t="str">
        <f>Raw_Claims_Data!J2013</f>
        <v>Crofton</v>
      </c>
      <c r="K2014" t="str">
        <f>Raw_Claims_Data!K2013</f>
        <v>MD</v>
      </c>
      <c r="L2014">
        <f>Raw_Claims_Data!L2013</f>
        <v>18</v>
      </c>
      <c r="M2014" t="str">
        <f>IF(Raw_Claims_Data!M2013="","N/A",Raw_Claims_Data!M2013)</f>
        <v>VNDR00560</v>
      </c>
      <c r="N2014" t="str">
        <f>Raw_Claims_Data!N2013</f>
        <v>AGENT00198</v>
      </c>
      <c r="O2014">
        <f>IF(Raw_Claims_Data!G2013="D",1,0)</f>
        <v>0</v>
      </c>
    </row>
    <row r="2015" spans="1:15" x14ac:dyDescent="0.35">
      <c r="A2015" t="str">
        <f>Raw_Claims_Data!A2014</f>
        <v>TXN00002011</v>
      </c>
      <c r="B2015" t="str">
        <f>TRIM(Raw_Claims_Data!B2014)</f>
        <v>Michael Foy</v>
      </c>
      <c r="C2015" t="str">
        <f>Raw_Claims_Data!C2014</f>
        <v>Mobile</v>
      </c>
      <c r="D2015">
        <f>Raw_Claims_Data!D2014</f>
        <v>6.23</v>
      </c>
      <c r="E2015">
        <f>Raw_Claims_Data!E2014</f>
        <v>300</v>
      </c>
      <c r="F2015" t="str">
        <f>Raw_Claims_Data!F2014</f>
        <v>AZ</v>
      </c>
      <c r="G2015" t="str">
        <f>Raw_Claims_Data!G2014</f>
        <v>A</v>
      </c>
      <c r="H2015" t="str">
        <f>Raw_Claims_Data!H2014</f>
        <v>Minor Loss</v>
      </c>
      <c r="I2015" t="str">
        <f>IF(Raw_Claims_Data!I2014="","None",Raw_Claims_Data!I2014)</f>
        <v>None</v>
      </c>
      <c r="J2015" t="str">
        <f>Raw_Claims_Data!J2014</f>
        <v>Anchorage</v>
      </c>
      <c r="K2015" t="str">
        <f>Raw_Claims_Data!K2014</f>
        <v>AK</v>
      </c>
      <c r="L2015">
        <f>Raw_Claims_Data!L2014</f>
        <v>6</v>
      </c>
      <c r="M2015" t="str">
        <f>IF(Raw_Claims_Data!M2014="","N/A",Raw_Claims_Data!M2014)</f>
        <v>VNDR00350</v>
      </c>
      <c r="N2015" t="str">
        <f>Raw_Claims_Data!N2014</f>
        <v>AGENT00499</v>
      </c>
      <c r="O2015">
        <f>IF(Raw_Claims_Data!G2014="D",1,0)</f>
        <v>0</v>
      </c>
    </row>
    <row r="2016" spans="1:15" x14ac:dyDescent="0.35">
      <c r="A2016" t="str">
        <f>Raw_Claims_Data!A2015</f>
        <v>TXN00002012</v>
      </c>
      <c r="B2016" t="str">
        <f>TRIM(Raw_Claims_Data!B2015)</f>
        <v>Ginger Gurnett</v>
      </c>
      <c r="C2016" t="str">
        <f>Raw_Claims_Data!C2015</f>
        <v>Travel</v>
      </c>
      <c r="D2016">
        <f>Raw_Claims_Data!D2015</f>
        <v>57.58</v>
      </c>
      <c r="E2016">
        <f>Raw_Claims_Data!E2015</f>
        <v>5000</v>
      </c>
      <c r="F2016" t="str">
        <f>Raw_Claims_Data!F2015</f>
        <v>KY</v>
      </c>
      <c r="G2016" t="str">
        <f>Raw_Claims_Data!G2015</f>
        <v>A</v>
      </c>
      <c r="H2016" t="str">
        <f>Raw_Claims_Data!H2015</f>
        <v>Major Loss</v>
      </c>
      <c r="I2016" t="str">
        <f>IF(Raw_Claims_Data!I2015="","None",Raw_Claims_Data!I2015)</f>
        <v>Police</v>
      </c>
      <c r="J2016" t="str">
        <f>Raw_Claims_Data!J2015</f>
        <v>Manchester</v>
      </c>
      <c r="K2016" t="str">
        <f>Raw_Claims_Data!K2015</f>
        <v>CT</v>
      </c>
      <c r="L2016">
        <f>Raw_Claims_Data!L2015</f>
        <v>23</v>
      </c>
      <c r="M2016" t="str">
        <f>IF(Raw_Claims_Data!M2015="","N/A",Raw_Claims_Data!M2015)</f>
        <v>VNDR00273</v>
      </c>
      <c r="N2016" t="str">
        <f>Raw_Claims_Data!N2015</f>
        <v>AGENT01119</v>
      </c>
      <c r="O2016">
        <f>IF(Raw_Claims_Data!G2015="D",1,0)</f>
        <v>0</v>
      </c>
    </row>
    <row r="2017" spans="1:15" x14ac:dyDescent="0.35">
      <c r="A2017" t="str">
        <f>Raw_Claims_Data!A2016</f>
        <v>TXN00002013</v>
      </c>
      <c r="B2017" t="str">
        <f>TRIM(Raw_Claims_Data!B2016)</f>
        <v>Richard Lawrence</v>
      </c>
      <c r="C2017" t="str">
        <f>Raw_Claims_Data!C2016</f>
        <v>Travel</v>
      </c>
      <c r="D2017">
        <f>Raw_Claims_Data!D2016</f>
        <v>56.46</v>
      </c>
      <c r="E2017">
        <f>Raw_Claims_Data!E2016</f>
        <v>3000</v>
      </c>
      <c r="F2017" t="str">
        <f>Raw_Claims_Data!F2016</f>
        <v>VT</v>
      </c>
      <c r="G2017" t="str">
        <f>Raw_Claims_Data!G2016</f>
        <v>A</v>
      </c>
      <c r="H2017" t="str">
        <f>Raw_Claims_Data!H2016</f>
        <v>Minor Loss</v>
      </c>
      <c r="I2017" t="str">
        <f>IF(Raw_Claims_Data!I2016="","None",Raw_Claims_Data!I2016)</f>
        <v>Police</v>
      </c>
      <c r="J2017" t="str">
        <f>Raw_Claims_Data!J2016</f>
        <v>Hanford</v>
      </c>
      <c r="K2017" t="str">
        <f>Raw_Claims_Data!K2016</f>
        <v>CA</v>
      </c>
      <c r="L2017">
        <f>Raw_Claims_Data!L2016</f>
        <v>15</v>
      </c>
      <c r="M2017" t="str">
        <f>IF(Raw_Claims_Data!M2016="","N/A",Raw_Claims_Data!M2016)</f>
        <v>N/A</v>
      </c>
      <c r="N2017" t="str">
        <f>Raw_Claims_Data!N2016</f>
        <v>AGENT00943</v>
      </c>
      <c r="O2017">
        <f>IF(Raw_Claims_Data!G2016="D",1,0)</f>
        <v>0</v>
      </c>
    </row>
    <row r="2018" spans="1:15" x14ac:dyDescent="0.35">
      <c r="A2018" t="str">
        <f>Raw_Claims_Data!A2017</f>
        <v>TXN00002014</v>
      </c>
      <c r="B2018" t="str">
        <f>TRIM(Raw_Claims_Data!B2017)</f>
        <v>Allan Fountain</v>
      </c>
      <c r="C2018" t="str">
        <f>Raw_Claims_Data!C2017</f>
        <v>Mobile</v>
      </c>
      <c r="D2018">
        <f>Raw_Claims_Data!D2017</f>
        <v>6.01</v>
      </c>
      <c r="E2018">
        <f>Raw_Claims_Data!E2017</f>
        <v>700</v>
      </c>
      <c r="F2018" t="str">
        <f>Raw_Claims_Data!F2017</f>
        <v>CT</v>
      </c>
      <c r="G2018" t="str">
        <f>Raw_Claims_Data!G2017</f>
        <v>D</v>
      </c>
      <c r="H2018" t="str">
        <f>Raw_Claims_Data!H2017</f>
        <v>Minor Loss</v>
      </c>
      <c r="I2018" t="str">
        <f>IF(Raw_Claims_Data!I2017="","None",Raw_Claims_Data!I2017)</f>
        <v>Ambulance</v>
      </c>
      <c r="J2018" t="str">
        <f>Raw_Claims_Data!J2017</f>
        <v>Port Charlotte</v>
      </c>
      <c r="K2018" t="str">
        <f>Raw_Claims_Data!K2017</f>
        <v>FL</v>
      </c>
      <c r="L2018">
        <f>Raw_Claims_Data!L2017</f>
        <v>13</v>
      </c>
      <c r="M2018" t="str">
        <f>IF(Raw_Claims_Data!M2017="","N/A",Raw_Claims_Data!M2017)</f>
        <v>N/A</v>
      </c>
      <c r="N2018" t="str">
        <f>Raw_Claims_Data!N2017</f>
        <v>AGENT00034</v>
      </c>
      <c r="O2018">
        <f>IF(Raw_Claims_Data!G2017="D",1,0)</f>
        <v>1</v>
      </c>
    </row>
    <row r="2019" spans="1:15" x14ac:dyDescent="0.35">
      <c r="A2019" t="str">
        <f>Raw_Claims_Data!A2018</f>
        <v>TXN00002015</v>
      </c>
      <c r="B2019" t="str">
        <f>TRIM(Raw_Claims_Data!B2018)</f>
        <v>Chloe Engle</v>
      </c>
      <c r="C2019" t="str">
        <f>Raw_Claims_Data!C2018</f>
        <v>Motor</v>
      </c>
      <c r="D2019">
        <f>Raw_Claims_Data!D2018</f>
        <v>139.71</v>
      </c>
      <c r="E2019">
        <f>Raw_Claims_Data!E2018</f>
        <v>8000</v>
      </c>
      <c r="F2019" t="str">
        <f>Raw_Claims_Data!F2018</f>
        <v>DC</v>
      </c>
      <c r="G2019" t="str">
        <f>Raw_Claims_Data!G2018</f>
        <v>A</v>
      </c>
      <c r="H2019" t="str">
        <f>Raw_Claims_Data!H2018</f>
        <v>Major Loss</v>
      </c>
      <c r="I2019" t="str">
        <f>IF(Raw_Claims_Data!I2018="","None",Raw_Claims_Data!I2018)</f>
        <v>None</v>
      </c>
      <c r="J2019" t="str">
        <f>Raw_Claims_Data!J2018</f>
        <v>Arvada</v>
      </c>
      <c r="K2019" t="str">
        <f>Raw_Claims_Data!K2018</f>
        <v>CO</v>
      </c>
      <c r="L2019">
        <f>Raw_Claims_Data!L2018</f>
        <v>8</v>
      </c>
      <c r="M2019" t="str">
        <f>IF(Raw_Claims_Data!M2018="","N/A",Raw_Claims_Data!M2018)</f>
        <v>N/A</v>
      </c>
      <c r="N2019" t="str">
        <f>Raw_Claims_Data!N2018</f>
        <v>AGENT00376</v>
      </c>
      <c r="O2019">
        <f>IF(Raw_Claims_Data!G2018="D",1,0)</f>
        <v>0</v>
      </c>
    </row>
    <row r="2020" spans="1:15" x14ac:dyDescent="0.35">
      <c r="A2020" t="str">
        <f>Raw_Claims_Data!A2019</f>
        <v>TXN00002016</v>
      </c>
      <c r="B2020" t="str">
        <f>TRIM(Raw_Claims_Data!B2019)</f>
        <v>Harold Hughes</v>
      </c>
      <c r="C2020" t="str">
        <f>Raw_Claims_Data!C2019</f>
        <v>Mobile</v>
      </c>
      <c r="D2020">
        <f>Raw_Claims_Data!D2019</f>
        <v>10.36</v>
      </c>
      <c r="E2020">
        <f>Raw_Claims_Data!E2019</f>
        <v>600</v>
      </c>
      <c r="F2020" t="str">
        <f>Raw_Claims_Data!F2019</f>
        <v>CA</v>
      </c>
      <c r="G2020" t="str">
        <f>Raw_Claims_Data!G2019</f>
        <v>A</v>
      </c>
      <c r="H2020" t="str">
        <f>Raw_Claims_Data!H2019</f>
        <v>Total Loss</v>
      </c>
      <c r="I2020" t="str">
        <f>IF(Raw_Claims_Data!I2019="","None",Raw_Claims_Data!I2019)</f>
        <v>Ambulance</v>
      </c>
      <c r="J2020" t="str">
        <f>Raw_Claims_Data!J2019</f>
        <v>Pooler</v>
      </c>
      <c r="K2020" t="str">
        <f>Raw_Claims_Data!K2019</f>
        <v>GA</v>
      </c>
      <c r="L2020">
        <f>Raw_Claims_Data!L2019</f>
        <v>5</v>
      </c>
      <c r="M2020" t="str">
        <f>IF(Raw_Claims_Data!M2019="","N/A",Raw_Claims_Data!M2019)</f>
        <v>VNDR00006</v>
      </c>
      <c r="N2020" t="str">
        <f>Raw_Claims_Data!N2019</f>
        <v>AGENT00367</v>
      </c>
      <c r="O2020">
        <f>IF(Raw_Claims_Data!G2019="D",1,0)</f>
        <v>0</v>
      </c>
    </row>
    <row r="2021" spans="1:15" x14ac:dyDescent="0.35">
      <c r="A2021" t="str">
        <f>Raw_Claims_Data!A2020</f>
        <v>TXN00002017</v>
      </c>
      <c r="B2021" t="str">
        <f>TRIM(Raw_Claims_Data!B2020)</f>
        <v>Marcia Willis</v>
      </c>
      <c r="C2021" t="str">
        <f>Raw_Claims_Data!C2020</f>
        <v>Life</v>
      </c>
      <c r="D2021">
        <f>Raw_Claims_Data!D2020</f>
        <v>63.05</v>
      </c>
      <c r="E2021">
        <f>Raw_Claims_Data!E2020</f>
        <v>23000</v>
      </c>
      <c r="F2021" t="str">
        <f>Raw_Claims_Data!F2020</f>
        <v>MA</v>
      </c>
      <c r="G2021" t="str">
        <f>Raw_Claims_Data!G2020</f>
        <v>A</v>
      </c>
      <c r="H2021" t="str">
        <f>Raw_Claims_Data!H2020</f>
        <v>Minor Loss</v>
      </c>
      <c r="I2021" t="str">
        <f>IF(Raw_Claims_Data!I2020="","None",Raw_Claims_Data!I2020)</f>
        <v>None</v>
      </c>
      <c r="J2021" t="str">
        <f>Raw_Claims_Data!J2020</f>
        <v>Savannah</v>
      </c>
      <c r="K2021" t="str">
        <f>Raw_Claims_Data!K2020</f>
        <v>GA</v>
      </c>
      <c r="L2021">
        <f>Raw_Claims_Data!L2020</f>
        <v>2</v>
      </c>
      <c r="M2021" t="str">
        <f>IF(Raw_Claims_Data!M2020="","N/A",Raw_Claims_Data!M2020)</f>
        <v>VNDR00161</v>
      </c>
      <c r="N2021" t="str">
        <f>Raw_Claims_Data!N2020</f>
        <v>AGENT00336</v>
      </c>
      <c r="O2021">
        <f>IF(Raw_Claims_Data!G2020="D",1,0)</f>
        <v>0</v>
      </c>
    </row>
    <row r="2022" spans="1:15" x14ac:dyDescent="0.35">
      <c r="A2022" t="str">
        <f>Raw_Claims_Data!A2021</f>
        <v>TXN00002018</v>
      </c>
      <c r="B2022" t="str">
        <f>TRIM(Raw_Claims_Data!B2021)</f>
        <v>Michelle Lanasa</v>
      </c>
      <c r="C2022" t="str">
        <f>Raw_Claims_Data!C2021</f>
        <v>Mobile</v>
      </c>
      <c r="D2022">
        <f>Raw_Claims_Data!D2021</f>
        <v>10.64</v>
      </c>
      <c r="E2022">
        <f>Raw_Claims_Data!E2021</f>
        <v>200</v>
      </c>
      <c r="F2022" t="str">
        <f>Raw_Claims_Data!F2021</f>
        <v>CO</v>
      </c>
      <c r="G2022" t="str">
        <f>Raw_Claims_Data!G2021</f>
        <v>A</v>
      </c>
      <c r="H2022" t="str">
        <f>Raw_Claims_Data!H2021</f>
        <v>Total Loss</v>
      </c>
      <c r="I2022" t="str">
        <f>IF(Raw_Claims_Data!I2021="","None",Raw_Claims_Data!I2021)</f>
        <v>Police</v>
      </c>
      <c r="J2022" t="str">
        <f>Raw_Claims_Data!J2021</f>
        <v>Louisville</v>
      </c>
      <c r="K2022" t="str">
        <f>Raw_Claims_Data!K2021</f>
        <v>KY</v>
      </c>
      <c r="L2022">
        <f>Raw_Claims_Data!L2021</f>
        <v>16</v>
      </c>
      <c r="M2022" t="str">
        <f>IF(Raw_Claims_Data!M2021="","N/A",Raw_Claims_Data!M2021)</f>
        <v>N/A</v>
      </c>
      <c r="N2022" t="str">
        <f>Raw_Claims_Data!N2021</f>
        <v>AGENT01178</v>
      </c>
      <c r="O2022">
        <f>IF(Raw_Claims_Data!G2021="D",1,0)</f>
        <v>0</v>
      </c>
    </row>
    <row r="2023" spans="1:15" x14ac:dyDescent="0.35">
      <c r="A2023" t="str">
        <f>Raw_Claims_Data!A2022</f>
        <v>TXN00002019</v>
      </c>
      <c r="B2023" t="str">
        <f>TRIM(Raw_Claims_Data!B2022)</f>
        <v>William Brown</v>
      </c>
      <c r="C2023" t="str">
        <f>Raw_Claims_Data!C2022</f>
        <v>Life</v>
      </c>
      <c r="D2023">
        <f>Raw_Claims_Data!D2022</f>
        <v>89.51</v>
      </c>
      <c r="E2023">
        <f>Raw_Claims_Data!E2022</f>
        <v>84000</v>
      </c>
      <c r="F2023" t="str">
        <f>Raw_Claims_Data!F2022</f>
        <v>AK</v>
      </c>
      <c r="G2023" t="str">
        <f>Raw_Claims_Data!G2022</f>
        <v>A</v>
      </c>
      <c r="H2023" t="str">
        <f>Raw_Claims_Data!H2022</f>
        <v>Total Loss</v>
      </c>
      <c r="I2023" t="str">
        <f>IF(Raw_Claims_Data!I2022="","None",Raw_Claims_Data!I2022)</f>
        <v>None</v>
      </c>
      <c r="J2023" t="str">
        <f>Raw_Claims_Data!J2022</f>
        <v>Oklahoma City</v>
      </c>
      <c r="K2023" t="str">
        <f>Raw_Claims_Data!K2022</f>
        <v>OK</v>
      </c>
      <c r="L2023">
        <f>Raw_Claims_Data!L2022</f>
        <v>10</v>
      </c>
      <c r="M2023" t="str">
        <f>IF(Raw_Claims_Data!M2022="","N/A",Raw_Claims_Data!M2022)</f>
        <v>N/A</v>
      </c>
      <c r="N2023" t="str">
        <f>Raw_Claims_Data!N2022</f>
        <v>AGENT00554</v>
      </c>
      <c r="O2023">
        <f>IF(Raw_Claims_Data!G2022="D",1,0)</f>
        <v>0</v>
      </c>
    </row>
    <row r="2024" spans="1:15" x14ac:dyDescent="0.35">
      <c r="A2024" t="str">
        <f>Raw_Claims_Data!A2023</f>
        <v>TXN00002020</v>
      </c>
      <c r="B2024" t="str">
        <f>TRIM(Raw_Claims_Data!B2023)</f>
        <v>Julie Ontiveros</v>
      </c>
      <c r="C2024" t="str">
        <f>Raw_Claims_Data!C2023</f>
        <v>Life</v>
      </c>
      <c r="D2024">
        <f>Raw_Claims_Data!D2023</f>
        <v>84.59</v>
      </c>
      <c r="E2024">
        <f>Raw_Claims_Data!E2023</f>
        <v>72000</v>
      </c>
      <c r="F2024" t="str">
        <f>Raw_Claims_Data!F2023</f>
        <v>AZ</v>
      </c>
      <c r="G2024" t="str">
        <f>Raw_Claims_Data!G2023</f>
        <v>A</v>
      </c>
      <c r="H2024" t="str">
        <f>Raw_Claims_Data!H2023</f>
        <v>Minor Loss</v>
      </c>
      <c r="I2024" t="str">
        <f>IF(Raw_Claims_Data!I2023="","None",Raw_Claims_Data!I2023)</f>
        <v>Ambulance</v>
      </c>
      <c r="J2024" t="str">
        <f>Raw_Claims_Data!J2023</f>
        <v>Fayetteville</v>
      </c>
      <c r="K2024" t="str">
        <f>Raw_Claims_Data!K2023</f>
        <v>AR</v>
      </c>
      <c r="L2024">
        <f>Raw_Claims_Data!L2023</f>
        <v>0</v>
      </c>
      <c r="M2024" t="str">
        <f>IF(Raw_Claims_Data!M2023="","N/A",Raw_Claims_Data!M2023)</f>
        <v>N/A</v>
      </c>
      <c r="N2024" t="str">
        <f>Raw_Claims_Data!N2023</f>
        <v>AGENT00925</v>
      </c>
      <c r="O2024">
        <f>IF(Raw_Claims_Data!G2023="D",1,0)</f>
        <v>0</v>
      </c>
    </row>
    <row r="2025" spans="1:15" x14ac:dyDescent="0.35">
      <c r="A2025" t="str">
        <f>Raw_Claims_Data!A2024</f>
        <v>TXN00002021</v>
      </c>
      <c r="B2025" t="str">
        <f>TRIM(Raw_Claims_Data!B2024)</f>
        <v>Daisy Olewine</v>
      </c>
      <c r="C2025" t="str">
        <f>Raw_Claims_Data!C2024</f>
        <v>Property</v>
      </c>
      <c r="D2025">
        <f>Raw_Claims_Data!D2024</f>
        <v>93.63</v>
      </c>
      <c r="E2025">
        <f>Raw_Claims_Data!E2024</f>
        <v>27000</v>
      </c>
      <c r="F2025" t="str">
        <f>Raw_Claims_Data!F2024</f>
        <v>CT</v>
      </c>
      <c r="G2025" t="str">
        <f>Raw_Claims_Data!G2024</f>
        <v>A</v>
      </c>
      <c r="H2025" t="str">
        <f>Raw_Claims_Data!H2024</f>
        <v>Minor Loss</v>
      </c>
      <c r="I2025" t="str">
        <f>IF(Raw_Claims_Data!I2024="","None",Raw_Claims_Data!I2024)</f>
        <v>Ambulance</v>
      </c>
      <c r="J2025" t="str">
        <f>Raw_Claims_Data!J2024</f>
        <v>Glendale</v>
      </c>
      <c r="K2025" t="str">
        <f>Raw_Claims_Data!K2024</f>
        <v>AZ</v>
      </c>
      <c r="L2025">
        <f>Raw_Claims_Data!L2024</f>
        <v>13</v>
      </c>
      <c r="M2025" t="str">
        <f>IF(Raw_Claims_Data!M2024="","N/A",Raw_Claims_Data!M2024)</f>
        <v>VNDR00188</v>
      </c>
      <c r="N2025" t="str">
        <f>Raw_Claims_Data!N2024</f>
        <v>AGENT00008</v>
      </c>
      <c r="O2025">
        <f>IF(Raw_Claims_Data!G2024="D",1,0)</f>
        <v>0</v>
      </c>
    </row>
    <row r="2026" spans="1:15" x14ac:dyDescent="0.35">
      <c r="A2026" t="str">
        <f>Raw_Claims_Data!A2025</f>
        <v>TXN00002022</v>
      </c>
      <c r="B2026" t="str">
        <f>TRIM(Raw_Claims_Data!B2025)</f>
        <v>Georgia Ikard</v>
      </c>
      <c r="C2026" t="str">
        <f>Raw_Claims_Data!C2025</f>
        <v>Life</v>
      </c>
      <c r="D2026">
        <f>Raw_Claims_Data!D2025</f>
        <v>78.150000000000006</v>
      </c>
      <c r="E2026">
        <f>Raw_Claims_Data!E2025</f>
        <v>98000</v>
      </c>
      <c r="F2026" t="str">
        <f>Raw_Claims_Data!F2025</f>
        <v>FL</v>
      </c>
      <c r="G2026" t="str">
        <f>Raw_Claims_Data!G2025</f>
        <v>A</v>
      </c>
      <c r="H2026" t="str">
        <f>Raw_Claims_Data!H2025</f>
        <v>Total Loss</v>
      </c>
      <c r="I2026" t="str">
        <f>IF(Raw_Claims_Data!I2025="","None",Raw_Claims_Data!I2025)</f>
        <v>Police</v>
      </c>
      <c r="J2026" t="str">
        <f>Raw_Claims_Data!J2025</f>
        <v>Pasadena</v>
      </c>
      <c r="K2026" t="str">
        <f>Raw_Claims_Data!K2025</f>
        <v>MD</v>
      </c>
      <c r="L2026">
        <f>Raw_Claims_Data!L2025</f>
        <v>10</v>
      </c>
      <c r="M2026" t="str">
        <f>IF(Raw_Claims_Data!M2025="","N/A",Raw_Claims_Data!M2025)</f>
        <v>VNDR00296</v>
      </c>
      <c r="N2026" t="str">
        <f>Raw_Claims_Data!N2025</f>
        <v>AGENT00710</v>
      </c>
      <c r="O2026">
        <f>IF(Raw_Claims_Data!G2025="D",1,0)</f>
        <v>0</v>
      </c>
    </row>
    <row r="2027" spans="1:15" x14ac:dyDescent="0.35">
      <c r="A2027" t="str">
        <f>Raw_Claims_Data!A2026</f>
        <v>TXN00002023</v>
      </c>
      <c r="B2027" t="str">
        <f>TRIM(Raw_Claims_Data!B2026)</f>
        <v>Nathan Morrow</v>
      </c>
      <c r="C2027" t="str">
        <f>Raw_Claims_Data!C2026</f>
        <v>Property</v>
      </c>
      <c r="D2027">
        <f>Raw_Claims_Data!D2026</f>
        <v>138.99</v>
      </c>
      <c r="E2027">
        <f>Raw_Claims_Data!E2026</f>
        <v>13000</v>
      </c>
      <c r="F2027" t="str">
        <f>Raw_Claims_Data!F2026</f>
        <v>AZ</v>
      </c>
      <c r="G2027" t="str">
        <f>Raw_Claims_Data!G2026</f>
        <v>A</v>
      </c>
      <c r="H2027" t="str">
        <f>Raw_Claims_Data!H2026</f>
        <v>Minor Loss</v>
      </c>
      <c r="I2027" t="str">
        <f>IF(Raw_Claims_Data!I2026="","None",Raw_Claims_Data!I2026)</f>
        <v>None</v>
      </c>
      <c r="J2027" t="str">
        <f>Raw_Claims_Data!J2026</f>
        <v>Washington</v>
      </c>
      <c r="K2027" t="str">
        <f>Raw_Claims_Data!K2026</f>
        <v>DC</v>
      </c>
      <c r="L2027">
        <f>Raw_Claims_Data!L2026</f>
        <v>23</v>
      </c>
      <c r="M2027" t="str">
        <f>IF(Raw_Claims_Data!M2026="","N/A",Raw_Claims_Data!M2026)</f>
        <v>N/A</v>
      </c>
      <c r="N2027" t="str">
        <f>Raw_Claims_Data!N2026</f>
        <v>AGENT00184</v>
      </c>
      <c r="O2027">
        <f>IF(Raw_Claims_Data!G2026="D",1,0)</f>
        <v>0</v>
      </c>
    </row>
    <row r="2028" spans="1:15" x14ac:dyDescent="0.35">
      <c r="A2028" t="str">
        <f>Raw_Claims_Data!A2027</f>
        <v>TXN00002024</v>
      </c>
      <c r="B2028" t="str">
        <f>TRIM(Raw_Claims_Data!B2027)</f>
        <v>William Mcclanahan</v>
      </c>
      <c r="C2028" t="str">
        <f>Raw_Claims_Data!C2027</f>
        <v>Health</v>
      </c>
      <c r="D2028">
        <f>Raw_Claims_Data!D2027</f>
        <v>188.44</v>
      </c>
      <c r="E2028">
        <f>Raw_Claims_Data!E2027</f>
        <v>3000</v>
      </c>
      <c r="F2028" t="str">
        <f>Raw_Claims_Data!F2027</f>
        <v>MA</v>
      </c>
      <c r="G2028" t="str">
        <f>Raw_Claims_Data!G2027</f>
        <v>A</v>
      </c>
      <c r="H2028" t="str">
        <f>Raw_Claims_Data!H2027</f>
        <v>Major Loss</v>
      </c>
      <c r="I2028" t="str">
        <f>IF(Raw_Claims_Data!I2027="","None",Raw_Claims_Data!I2027)</f>
        <v>None</v>
      </c>
      <c r="J2028" t="str">
        <f>Raw_Claims_Data!J2027</f>
        <v>Savannah</v>
      </c>
      <c r="K2028" t="str">
        <f>Raw_Claims_Data!K2027</f>
        <v>GA</v>
      </c>
      <c r="L2028">
        <f>Raw_Claims_Data!L2027</f>
        <v>5</v>
      </c>
      <c r="M2028" t="str">
        <f>IF(Raw_Claims_Data!M2027="","N/A",Raw_Claims_Data!M2027)</f>
        <v>N/A</v>
      </c>
      <c r="N2028" t="str">
        <f>Raw_Claims_Data!N2027</f>
        <v>AGENT01055</v>
      </c>
      <c r="O2028">
        <f>IF(Raw_Claims_Data!G2027="D",1,0)</f>
        <v>0</v>
      </c>
    </row>
    <row r="2029" spans="1:15" x14ac:dyDescent="0.35">
      <c r="A2029" t="str">
        <f>Raw_Claims_Data!A2028</f>
        <v>TXN00002025</v>
      </c>
      <c r="B2029" t="str">
        <f>TRIM(Raw_Claims_Data!B2028)</f>
        <v>Kathleen Lloyd</v>
      </c>
      <c r="C2029" t="str">
        <f>Raw_Claims_Data!C2028</f>
        <v>Property</v>
      </c>
      <c r="D2029">
        <f>Raw_Claims_Data!D2028</f>
        <v>94.52</v>
      </c>
      <c r="E2029">
        <f>Raw_Claims_Data!E2028</f>
        <v>39000</v>
      </c>
      <c r="F2029" t="str">
        <f>Raw_Claims_Data!F2028</f>
        <v>CA</v>
      </c>
      <c r="G2029" t="str">
        <f>Raw_Claims_Data!G2028</f>
        <v>A</v>
      </c>
      <c r="H2029" t="str">
        <f>Raw_Claims_Data!H2028</f>
        <v>Minor Loss</v>
      </c>
      <c r="I2029" t="str">
        <f>IF(Raw_Claims_Data!I2028="","None",Raw_Claims_Data!I2028)</f>
        <v>Ambulance</v>
      </c>
      <c r="J2029" t="str">
        <f>Raw_Claims_Data!J2028</f>
        <v>Moore</v>
      </c>
      <c r="K2029" t="str">
        <f>Raw_Claims_Data!K2028</f>
        <v>OK</v>
      </c>
      <c r="L2029">
        <f>Raw_Claims_Data!L2028</f>
        <v>2</v>
      </c>
      <c r="M2029" t="str">
        <f>IF(Raw_Claims_Data!M2028="","N/A",Raw_Claims_Data!M2028)</f>
        <v>VNDR00031</v>
      </c>
      <c r="N2029" t="str">
        <f>Raw_Claims_Data!N2028</f>
        <v>AGENT00761</v>
      </c>
      <c r="O2029">
        <f>IF(Raw_Claims_Data!G2028="D",1,0)</f>
        <v>0</v>
      </c>
    </row>
    <row r="2030" spans="1:15" x14ac:dyDescent="0.35">
      <c r="A2030" t="str">
        <f>Raw_Claims_Data!A2029</f>
        <v>TXN00002026</v>
      </c>
      <c r="B2030" t="str">
        <f>TRIM(Raw_Claims_Data!B2029)</f>
        <v>Ruth Clouser</v>
      </c>
      <c r="C2030" t="str">
        <f>Raw_Claims_Data!C2029</f>
        <v>Life</v>
      </c>
      <c r="D2030">
        <f>Raw_Claims_Data!D2029</f>
        <v>91.25</v>
      </c>
      <c r="E2030">
        <f>Raw_Claims_Data!E2029</f>
        <v>31000</v>
      </c>
      <c r="F2030" t="str">
        <f>Raw_Claims_Data!F2029</f>
        <v>FL</v>
      </c>
      <c r="G2030" t="str">
        <f>Raw_Claims_Data!G2029</f>
        <v>A</v>
      </c>
      <c r="H2030" t="str">
        <f>Raw_Claims_Data!H2029</f>
        <v>Major Loss</v>
      </c>
      <c r="I2030" t="str">
        <f>IF(Raw_Claims_Data!I2029="","None",Raw_Claims_Data!I2029)</f>
        <v>Ambulance</v>
      </c>
      <c r="J2030" t="str">
        <f>Raw_Claims_Data!J2029</f>
        <v>Greenfield</v>
      </c>
      <c r="K2030" t="str">
        <f>Raw_Claims_Data!K2029</f>
        <v>MA</v>
      </c>
      <c r="L2030">
        <f>Raw_Claims_Data!L2029</f>
        <v>6</v>
      </c>
      <c r="M2030" t="str">
        <f>IF(Raw_Claims_Data!M2029="","N/A",Raw_Claims_Data!M2029)</f>
        <v>VNDR00499</v>
      </c>
      <c r="N2030" t="str">
        <f>Raw_Claims_Data!N2029</f>
        <v>AGENT00989</v>
      </c>
      <c r="O2030">
        <f>IF(Raw_Claims_Data!G2029="D",1,0)</f>
        <v>0</v>
      </c>
    </row>
    <row r="2031" spans="1:15" x14ac:dyDescent="0.35">
      <c r="A2031" t="str">
        <f>Raw_Claims_Data!A2030</f>
        <v>TXN00002027</v>
      </c>
      <c r="B2031" t="str">
        <f>TRIM(Raw_Claims_Data!B2030)</f>
        <v>James Hill</v>
      </c>
      <c r="C2031" t="str">
        <f>Raw_Claims_Data!C2030</f>
        <v>Life</v>
      </c>
      <c r="D2031">
        <f>Raw_Claims_Data!D2030</f>
        <v>92.62</v>
      </c>
      <c r="E2031">
        <f>Raw_Claims_Data!E2030</f>
        <v>56000</v>
      </c>
      <c r="F2031" t="str">
        <f>Raw_Claims_Data!F2030</f>
        <v>FL</v>
      </c>
      <c r="G2031" t="str">
        <f>Raw_Claims_Data!G2030</f>
        <v>A</v>
      </c>
      <c r="H2031" t="str">
        <f>Raw_Claims_Data!H2030</f>
        <v>Major Loss</v>
      </c>
      <c r="I2031" t="str">
        <f>IF(Raw_Claims_Data!I2030="","None",Raw_Claims_Data!I2030)</f>
        <v>Ambulance</v>
      </c>
      <c r="J2031" t="str">
        <f>Raw_Claims_Data!J2030</f>
        <v>West Brattleboro</v>
      </c>
      <c r="K2031" t="str">
        <f>Raw_Claims_Data!K2030</f>
        <v>VT</v>
      </c>
      <c r="L2031">
        <f>Raw_Claims_Data!L2030</f>
        <v>15</v>
      </c>
      <c r="M2031" t="str">
        <f>IF(Raw_Claims_Data!M2030="","N/A",Raw_Claims_Data!M2030)</f>
        <v>VNDR00555</v>
      </c>
      <c r="N2031" t="str">
        <f>Raw_Claims_Data!N2030</f>
        <v>AGENT00766</v>
      </c>
      <c r="O2031">
        <f>IF(Raw_Claims_Data!G2030="D",1,0)</f>
        <v>0</v>
      </c>
    </row>
    <row r="2032" spans="1:15" x14ac:dyDescent="0.35">
      <c r="A2032" t="str">
        <f>Raw_Claims_Data!A2031</f>
        <v>TXN00002028</v>
      </c>
      <c r="B2032" t="str">
        <f>TRIM(Raw_Claims_Data!B2031)</f>
        <v>Jack Roy</v>
      </c>
      <c r="C2032" t="str">
        <f>Raw_Claims_Data!C2031</f>
        <v>Health</v>
      </c>
      <c r="D2032">
        <f>Raw_Claims_Data!D2031</f>
        <v>157.77000000000001</v>
      </c>
      <c r="E2032">
        <f>Raw_Claims_Data!E2031</f>
        <v>9000</v>
      </c>
      <c r="F2032" t="str">
        <f>Raw_Claims_Data!F2031</f>
        <v>AR</v>
      </c>
      <c r="G2032" t="str">
        <f>Raw_Claims_Data!G2031</f>
        <v>A</v>
      </c>
      <c r="H2032" t="str">
        <f>Raw_Claims_Data!H2031</f>
        <v>Minor Loss</v>
      </c>
      <c r="I2032" t="str">
        <f>IF(Raw_Claims_Data!I2031="","None",Raw_Claims_Data!I2031)</f>
        <v>Police</v>
      </c>
      <c r="J2032" t="str">
        <f>Raw_Claims_Data!J2031</f>
        <v>Farmington</v>
      </c>
      <c r="K2032" t="str">
        <f>Raw_Claims_Data!K2031</f>
        <v>AR</v>
      </c>
      <c r="L2032">
        <f>Raw_Claims_Data!L2031</f>
        <v>21</v>
      </c>
      <c r="M2032" t="str">
        <f>IF(Raw_Claims_Data!M2031="","N/A",Raw_Claims_Data!M2031)</f>
        <v>N/A</v>
      </c>
      <c r="N2032" t="str">
        <f>Raw_Claims_Data!N2031</f>
        <v>AGENT01112</v>
      </c>
      <c r="O2032">
        <f>IF(Raw_Claims_Data!G2031="D",1,0)</f>
        <v>0</v>
      </c>
    </row>
    <row r="2033" spans="1:15" x14ac:dyDescent="0.35">
      <c r="A2033" t="str">
        <f>Raw_Claims_Data!A2032</f>
        <v>TXN00002029</v>
      </c>
      <c r="B2033" t="str">
        <f>TRIM(Raw_Claims_Data!B2032)</f>
        <v>Christine Rubio</v>
      </c>
      <c r="C2033" t="str">
        <f>Raw_Claims_Data!C2032</f>
        <v>Travel</v>
      </c>
      <c r="D2033">
        <f>Raw_Claims_Data!D2032</f>
        <v>75.680000000000007</v>
      </c>
      <c r="E2033">
        <f>Raw_Claims_Data!E2032</f>
        <v>3000</v>
      </c>
      <c r="F2033" t="str">
        <f>Raw_Claims_Data!F2032</f>
        <v>CO</v>
      </c>
      <c r="G2033" t="str">
        <f>Raw_Claims_Data!G2032</f>
        <v>A</v>
      </c>
      <c r="H2033" t="str">
        <f>Raw_Claims_Data!H2032</f>
        <v>Total Loss</v>
      </c>
      <c r="I2033" t="str">
        <f>IF(Raw_Claims_Data!I2032="","None",Raw_Claims_Data!I2032)</f>
        <v>Ambulance</v>
      </c>
      <c r="J2033" t="str">
        <f>Raw_Claims_Data!J2032</f>
        <v>Nichols Hills</v>
      </c>
      <c r="K2033" t="str">
        <f>Raw_Claims_Data!K2032</f>
        <v>OK</v>
      </c>
      <c r="L2033">
        <f>Raw_Claims_Data!L2032</f>
        <v>19</v>
      </c>
      <c r="M2033" t="str">
        <f>IF(Raw_Claims_Data!M2032="","N/A",Raw_Claims_Data!M2032)</f>
        <v>N/A</v>
      </c>
      <c r="N2033" t="str">
        <f>Raw_Claims_Data!N2032</f>
        <v>AGENT00224</v>
      </c>
      <c r="O2033">
        <f>IF(Raw_Claims_Data!G2032="D",1,0)</f>
        <v>0</v>
      </c>
    </row>
    <row r="2034" spans="1:15" x14ac:dyDescent="0.35">
      <c r="A2034" t="str">
        <f>Raw_Claims_Data!A2033</f>
        <v>TXN00002030</v>
      </c>
      <c r="B2034" t="str">
        <f>TRIM(Raw_Claims_Data!B2033)</f>
        <v>Edna Drakes</v>
      </c>
      <c r="C2034" t="str">
        <f>Raw_Claims_Data!C2033</f>
        <v>Health</v>
      </c>
      <c r="D2034">
        <f>Raw_Claims_Data!D2033</f>
        <v>181.08</v>
      </c>
      <c r="E2034">
        <f>Raw_Claims_Data!E2033</f>
        <v>15000</v>
      </c>
      <c r="F2034" t="str">
        <f>Raw_Claims_Data!F2033</f>
        <v>KY</v>
      </c>
      <c r="G2034" t="str">
        <f>Raw_Claims_Data!G2033</f>
        <v>D</v>
      </c>
      <c r="H2034" t="str">
        <f>Raw_Claims_Data!H2033</f>
        <v>Major Loss</v>
      </c>
      <c r="I2034" t="str">
        <f>IF(Raw_Claims_Data!I2033="","None",Raw_Claims_Data!I2033)</f>
        <v>Ambulance</v>
      </c>
      <c r="J2034" t="str">
        <f>Raw_Claims_Data!J2033</f>
        <v>Savannah</v>
      </c>
      <c r="K2034" t="str">
        <f>Raw_Claims_Data!K2033</f>
        <v>GA</v>
      </c>
      <c r="L2034">
        <f>Raw_Claims_Data!L2033</f>
        <v>4</v>
      </c>
      <c r="M2034" t="str">
        <f>IF(Raw_Claims_Data!M2033="","N/A",Raw_Claims_Data!M2033)</f>
        <v>VNDR00162</v>
      </c>
      <c r="N2034" t="str">
        <f>Raw_Claims_Data!N2033</f>
        <v>AGENT00040</v>
      </c>
      <c r="O2034">
        <f>IF(Raw_Claims_Data!G2033="D",1,0)</f>
        <v>1</v>
      </c>
    </row>
    <row r="2035" spans="1:15" x14ac:dyDescent="0.35">
      <c r="A2035" t="str">
        <f>Raw_Claims_Data!A2034</f>
        <v>TXN00002031</v>
      </c>
      <c r="B2035" t="str">
        <f>TRIM(Raw_Claims_Data!B2034)</f>
        <v>Mary Romero</v>
      </c>
      <c r="C2035" t="str">
        <f>Raw_Claims_Data!C2034</f>
        <v>Motor</v>
      </c>
      <c r="D2035">
        <f>Raw_Claims_Data!D2034</f>
        <v>107.14</v>
      </c>
      <c r="E2035">
        <f>Raw_Claims_Data!E2034</f>
        <v>7000</v>
      </c>
      <c r="F2035" t="str">
        <f>Raw_Claims_Data!F2034</f>
        <v>CA</v>
      </c>
      <c r="G2035" t="str">
        <f>Raw_Claims_Data!G2034</f>
        <v>A</v>
      </c>
      <c r="H2035" t="str">
        <f>Raw_Claims_Data!H2034</f>
        <v>Major Loss</v>
      </c>
      <c r="I2035" t="str">
        <f>IF(Raw_Claims_Data!I2034="","None",Raw_Claims_Data!I2034)</f>
        <v>Police</v>
      </c>
      <c r="J2035" t="str">
        <f>Raw_Claims_Data!J2034</f>
        <v>Oakland</v>
      </c>
      <c r="K2035" t="str">
        <f>Raw_Claims_Data!K2034</f>
        <v>CA</v>
      </c>
      <c r="L2035">
        <f>Raw_Claims_Data!L2034</f>
        <v>21</v>
      </c>
      <c r="M2035" t="str">
        <f>IF(Raw_Claims_Data!M2034="","N/A",Raw_Claims_Data!M2034)</f>
        <v>N/A</v>
      </c>
      <c r="N2035" t="str">
        <f>Raw_Claims_Data!N2034</f>
        <v>AGENT00378</v>
      </c>
      <c r="O2035">
        <f>IF(Raw_Claims_Data!G2034="D",1,0)</f>
        <v>0</v>
      </c>
    </row>
    <row r="2036" spans="1:15" x14ac:dyDescent="0.35">
      <c r="A2036" t="str">
        <f>Raw_Claims_Data!A2035</f>
        <v>TXN00002032</v>
      </c>
      <c r="B2036" t="str">
        <f>TRIM(Raw_Claims_Data!B2035)</f>
        <v>Troy Bradley</v>
      </c>
      <c r="C2036" t="str">
        <f>Raw_Claims_Data!C2035</f>
        <v>Mobile</v>
      </c>
      <c r="D2036">
        <f>Raw_Claims_Data!D2035</f>
        <v>10.35</v>
      </c>
      <c r="E2036">
        <f>Raw_Claims_Data!E2035</f>
        <v>100</v>
      </c>
      <c r="F2036" t="str">
        <f>Raw_Claims_Data!F2035</f>
        <v>MD</v>
      </c>
      <c r="G2036" t="str">
        <f>Raw_Claims_Data!G2035</f>
        <v>A</v>
      </c>
      <c r="H2036" t="str">
        <f>Raw_Claims_Data!H2035</f>
        <v>Major Loss</v>
      </c>
      <c r="I2036" t="str">
        <f>IF(Raw_Claims_Data!I2035="","None",Raw_Claims_Data!I2035)</f>
        <v>Police</v>
      </c>
      <c r="J2036" t="str">
        <f>Raw_Claims_Data!J2035</f>
        <v>Panama City</v>
      </c>
      <c r="K2036" t="str">
        <f>Raw_Claims_Data!K2035</f>
        <v>FL</v>
      </c>
      <c r="L2036">
        <f>Raw_Claims_Data!L2035</f>
        <v>10</v>
      </c>
      <c r="M2036" t="str">
        <f>IF(Raw_Claims_Data!M2035="","N/A",Raw_Claims_Data!M2035)</f>
        <v>VNDR00463</v>
      </c>
      <c r="N2036" t="str">
        <f>Raw_Claims_Data!N2035</f>
        <v>AGENT00695</v>
      </c>
      <c r="O2036">
        <f>IF(Raw_Claims_Data!G2035="D",1,0)</f>
        <v>0</v>
      </c>
    </row>
    <row r="2037" spans="1:15" x14ac:dyDescent="0.35">
      <c r="A2037" t="str">
        <f>Raw_Claims_Data!A2036</f>
        <v>TXN00002033</v>
      </c>
      <c r="B2037" t="str">
        <f>TRIM(Raw_Claims_Data!B2036)</f>
        <v>Andrew Griffin</v>
      </c>
      <c r="C2037" t="str">
        <f>Raw_Claims_Data!C2036</f>
        <v>Travel</v>
      </c>
      <c r="D2037">
        <f>Raw_Claims_Data!D2036</f>
        <v>72.349999999999994</v>
      </c>
      <c r="E2037">
        <f>Raw_Claims_Data!E2036</f>
        <v>1000</v>
      </c>
      <c r="F2037" t="str">
        <f>Raw_Claims_Data!F2036</f>
        <v>KY</v>
      </c>
      <c r="G2037" t="str">
        <f>Raw_Claims_Data!G2036</f>
        <v>A</v>
      </c>
      <c r="H2037" t="str">
        <f>Raw_Claims_Data!H2036</f>
        <v>Minor Loss</v>
      </c>
      <c r="I2037" t="str">
        <f>IF(Raw_Claims_Data!I2036="","None",Raw_Claims_Data!I2036)</f>
        <v>Other</v>
      </c>
      <c r="J2037" t="str">
        <f>Raw_Claims_Data!J2036</f>
        <v>Fayetteville</v>
      </c>
      <c r="K2037" t="str">
        <f>Raw_Claims_Data!K2036</f>
        <v>AR</v>
      </c>
      <c r="L2037">
        <f>Raw_Claims_Data!L2036</f>
        <v>6</v>
      </c>
      <c r="M2037" t="str">
        <f>IF(Raw_Claims_Data!M2036="","N/A",Raw_Claims_Data!M2036)</f>
        <v>VNDR00508</v>
      </c>
      <c r="N2037" t="str">
        <f>Raw_Claims_Data!N2036</f>
        <v>AGENT00720</v>
      </c>
      <c r="O2037">
        <f>IF(Raw_Claims_Data!G2036="D",1,0)</f>
        <v>0</v>
      </c>
    </row>
    <row r="2038" spans="1:15" x14ac:dyDescent="0.35">
      <c r="A2038" t="str">
        <f>Raw_Claims_Data!A2037</f>
        <v>TXN00002034</v>
      </c>
      <c r="B2038" t="str">
        <f>TRIM(Raw_Claims_Data!B2037)</f>
        <v>Frank Walker</v>
      </c>
      <c r="C2038" t="str">
        <f>Raw_Claims_Data!C2037</f>
        <v>Life</v>
      </c>
      <c r="D2038">
        <f>Raw_Claims_Data!D2037</f>
        <v>81.91</v>
      </c>
      <c r="E2038">
        <f>Raw_Claims_Data!E2037</f>
        <v>36000</v>
      </c>
      <c r="F2038" t="str">
        <f>Raw_Claims_Data!F2037</f>
        <v>CA</v>
      </c>
      <c r="G2038" t="str">
        <f>Raw_Claims_Data!G2037</f>
        <v>A</v>
      </c>
      <c r="H2038" t="str">
        <f>Raw_Claims_Data!H2037</f>
        <v>Major Loss</v>
      </c>
      <c r="I2038" t="str">
        <f>IF(Raw_Claims_Data!I2037="","None",Raw_Claims_Data!I2037)</f>
        <v>Police</v>
      </c>
      <c r="J2038" t="str">
        <f>Raw_Claims_Data!J2037</f>
        <v>Anchorage</v>
      </c>
      <c r="K2038" t="str">
        <f>Raw_Claims_Data!K2037</f>
        <v>AK</v>
      </c>
      <c r="L2038">
        <f>Raw_Claims_Data!L2037</f>
        <v>4</v>
      </c>
      <c r="M2038" t="str">
        <f>IF(Raw_Claims_Data!M2037="","N/A",Raw_Claims_Data!M2037)</f>
        <v>N/A</v>
      </c>
      <c r="N2038" t="str">
        <f>Raw_Claims_Data!N2037</f>
        <v>AGENT01112</v>
      </c>
      <c r="O2038">
        <f>IF(Raw_Claims_Data!G2037="D",1,0)</f>
        <v>0</v>
      </c>
    </row>
    <row r="2039" spans="1:15" x14ac:dyDescent="0.35">
      <c r="A2039" t="str">
        <f>Raw_Claims_Data!A2038</f>
        <v>TXN00002035</v>
      </c>
      <c r="B2039" t="str">
        <f>TRIM(Raw_Claims_Data!B2038)</f>
        <v>Jean Anding</v>
      </c>
      <c r="C2039" t="str">
        <f>Raw_Claims_Data!C2038</f>
        <v>Mobile</v>
      </c>
      <c r="D2039">
        <f>Raw_Claims_Data!D2038</f>
        <v>8.65</v>
      </c>
      <c r="E2039">
        <f>Raw_Claims_Data!E2038</f>
        <v>500</v>
      </c>
      <c r="F2039" t="str">
        <f>Raw_Claims_Data!F2038</f>
        <v>VT</v>
      </c>
      <c r="G2039" t="str">
        <f>Raw_Claims_Data!G2038</f>
        <v>A</v>
      </c>
      <c r="H2039" t="str">
        <f>Raw_Claims_Data!H2038</f>
        <v>Total Loss</v>
      </c>
      <c r="I2039" t="str">
        <f>IF(Raw_Claims_Data!I2038="","None",Raw_Claims_Data!I2038)</f>
        <v>Police</v>
      </c>
      <c r="J2039" t="str">
        <f>Raw_Claims_Data!J2038</f>
        <v>Oklahoma City</v>
      </c>
      <c r="K2039" t="str">
        <f>Raw_Claims_Data!K2038</f>
        <v>OK</v>
      </c>
      <c r="L2039">
        <f>Raw_Claims_Data!L2038</f>
        <v>17</v>
      </c>
      <c r="M2039" t="str">
        <f>IF(Raw_Claims_Data!M2038="","N/A",Raw_Claims_Data!M2038)</f>
        <v>VNDR00412</v>
      </c>
      <c r="N2039" t="str">
        <f>Raw_Claims_Data!N2038</f>
        <v>AGENT00185</v>
      </c>
      <c r="O2039">
        <f>IF(Raw_Claims_Data!G2038="D",1,0)</f>
        <v>0</v>
      </c>
    </row>
    <row r="2040" spans="1:15" x14ac:dyDescent="0.35">
      <c r="A2040" t="str">
        <f>Raw_Claims_Data!A2039</f>
        <v>TXN00002036</v>
      </c>
      <c r="B2040" t="str">
        <f>TRIM(Raw_Claims_Data!B2039)</f>
        <v>Albert Thompson</v>
      </c>
      <c r="C2040" t="str">
        <f>Raw_Claims_Data!C2039</f>
        <v>Mobile</v>
      </c>
      <c r="D2040">
        <f>Raw_Claims_Data!D2039</f>
        <v>7.32</v>
      </c>
      <c r="E2040">
        <f>Raw_Claims_Data!E2039</f>
        <v>700</v>
      </c>
      <c r="F2040" t="str">
        <f>Raw_Claims_Data!F2039</f>
        <v>GA</v>
      </c>
      <c r="G2040" t="str">
        <f>Raw_Claims_Data!G2039</f>
        <v>A</v>
      </c>
      <c r="H2040" t="str">
        <f>Raw_Claims_Data!H2039</f>
        <v>Major Loss</v>
      </c>
      <c r="I2040" t="str">
        <f>IF(Raw_Claims_Data!I2039="","None",Raw_Claims_Data!I2039)</f>
        <v>Ambulance</v>
      </c>
      <c r="J2040" t="str">
        <f>Raw_Claims_Data!J2039</f>
        <v>Montgomery</v>
      </c>
      <c r="K2040" t="str">
        <f>Raw_Claims_Data!K2039</f>
        <v>AL</v>
      </c>
      <c r="L2040">
        <f>Raw_Claims_Data!L2039</f>
        <v>19</v>
      </c>
      <c r="M2040" t="str">
        <f>IF(Raw_Claims_Data!M2039="","N/A",Raw_Claims_Data!M2039)</f>
        <v>VNDR00120</v>
      </c>
      <c r="N2040" t="str">
        <f>Raw_Claims_Data!N2039</f>
        <v>AGENT00206</v>
      </c>
      <c r="O2040">
        <f>IF(Raw_Claims_Data!G2039="D",1,0)</f>
        <v>0</v>
      </c>
    </row>
    <row r="2041" spans="1:15" x14ac:dyDescent="0.35">
      <c r="A2041" t="str">
        <f>Raw_Claims_Data!A2040</f>
        <v>TXN00002037</v>
      </c>
      <c r="B2041" t="str">
        <f>TRIM(Raw_Claims_Data!B2040)</f>
        <v>Howard Johnson</v>
      </c>
      <c r="C2041" t="str">
        <f>Raw_Claims_Data!C2040</f>
        <v>Health</v>
      </c>
      <c r="D2041">
        <f>Raw_Claims_Data!D2040</f>
        <v>188.8</v>
      </c>
      <c r="E2041">
        <f>Raw_Claims_Data!E2040</f>
        <v>13000</v>
      </c>
      <c r="F2041" t="str">
        <f>Raw_Claims_Data!F2040</f>
        <v>OK</v>
      </c>
      <c r="G2041" t="str">
        <f>Raw_Claims_Data!G2040</f>
        <v>A</v>
      </c>
      <c r="H2041" t="str">
        <f>Raw_Claims_Data!H2040</f>
        <v>Minor Loss</v>
      </c>
      <c r="I2041" t="str">
        <f>IF(Raw_Claims_Data!I2040="","None",Raw_Claims_Data!I2040)</f>
        <v>None</v>
      </c>
      <c r="J2041" t="str">
        <f>Raw_Claims_Data!J2040</f>
        <v>Arvada</v>
      </c>
      <c r="K2041" t="str">
        <f>Raw_Claims_Data!K2040</f>
        <v>CO</v>
      </c>
      <c r="L2041">
        <f>Raw_Claims_Data!L2040</f>
        <v>15</v>
      </c>
      <c r="M2041" t="str">
        <f>IF(Raw_Claims_Data!M2040="","N/A",Raw_Claims_Data!M2040)</f>
        <v>VNDR00297</v>
      </c>
      <c r="N2041" t="str">
        <f>Raw_Claims_Data!N2040</f>
        <v>AGENT00947</v>
      </c>
      <c r="O2041">
        <f>IF(Raw_Claims_Data!G2040="D",1,0)</f>
        <v>0</v>
      </c>
    </row>
    <row r="2042" spans="1:15" x14ac:dyDescent="0.35">
      <c r="A2042" t="str">
        <f>Raw_Claims_Data!A2041</f>
        <v>TXN00002038</v>
      </c>
      <c r="B2042" t="str">
        <f>TRIM(Raw_Claims_Data!B2041)</f>
        <v>Carrie Long</v>
      </c>
      <c r="C2042" t="str">
        <f>Raw_Claims_Data!C2041</f>
        <v>Health</v>
      </c>
      <c r="D2042">
        <f>Raw_Claims_Data!D2041</f>
        <v>153.75</v>
      </c>
      <c r="E2042">
        <f>Raw_Claims_Data!E2041</f>
        <v>18000</v>
      </c>
      <c r="F2042" t="str">
        <f>Raw_Claims_Data!F2041</f>
        <v>CA</v>
      </c>
      <c r="G2042" t="str">
        <f>Raw_Claims_Data!G2041</f>
        <v>A</v>
      </c>
      <c r="H2042" t="str">
        <f>Raw_Claims_Data!H2041</f>
        <v>Major Loss</v>
      </c>
      <c r="I2042" t="str">
        <f>IF(Raw_Claims_Data!I2041="","None",Raw_Claims_Data!I2041)</f>
        <v>Ambulance</v>
      </c>
      <c r="J2042" t="str">
        <f>Raw_Claims_Data!J2041</f>
        <v>Glendale</v>
      </c>
      <c r="K2042" t="str">
        <f>Raw_Claims_Data!K2041</f>
        <v>AZ</v>
      </c>
      <c r="L2042">
        <f>Raw_Claims_Data!L2041</f>
        <v>21</v>
      </c>
      <c r="M2042" t="str">
        <f>IF(Raw_Claims_Data!M2041="","N/A",Raw_Claims_Data!M2041)</f>
        <v>VNDR00433</v>
      </c>
      <c r="N2042" t="str">
        <f>Raw_Claims_Data!N2041</f>
        <v>AGENT00730</v>
      </c>
      <c r="O2042">
        <f>IF(Raw_Claims_Data!G2041="D",1,0)</f>
        <v>0</v>
      </c>
    </row>
    <row r="2043" spans="1:15" x14ac:dyDescent="0.35">
      <c r="A2043" t="str">
        <f>Raw_Claims_Data!A2042</f>
        <v>TXN00002039</v>
      </c>
      <c r="B2043" t="str">
        <f>TRIM(Raw_Claims_Data!B2042)</f>
        <v>Kenneth Zellers</v>
      </c>
      <c r="C2043" t="str">
        <f>Raw_Claims_Data!C2042</f>
        <v>Life</v>
      </c>
      <c r="D2043">
        <f>Raw_Claims_Data!D2042</f>
        <v>85.07</v>
      </c>
      <c r="E2043">
        <f>Raw_Claims_Data!E2042</f>
        <v>35000</v>
      </c>
      <c r="F2043" t="str">
        <f>Raw_Claims_Data!F2042</f>
        <v>CA</v>
      </c>
      <c r="G2043" t="str">
        <f>Raw_Claims_Data!G2042</f>
        <v>A</v>
      </c>
      <c r="H2043" t="str">
        <f>Raw_Claims_Data!H2042</f>
        <v>Major Loss</v>
      </c>
      <c r="I2043" t="str">
        <f>IF(Raw_Claims_Data!I2042="","None",Raw_Claims_Data!I2042)</f>
        <v>None</v>
      </c>
      <c r="J2043" t="str">
        <f>Raw_Claims_Data!J2042</f>
        <v>Bakersfield</v>
      </c>
      <c r="K2043" t="str">
        <f>Raw_Claims_Data!K2042</f>
        <v>CA</v>
      </c>
      <c r="L2043">
        <f>Raw_Claims_Data!L2042</f>
        <v>23</v>
      </c>
      <c r="M2043" t="str">
        <f>IF(Raw_Claims_Data!M2042="","N/A",Raw_Claims_Data!M2042)</f>
        <v>VNDR00006</v>
      </c>
      <c r="N2043" t="str">
        <f>Raw_Claims_Data!N2042</f>
        <v>AGENT00276</v>
      </c>
      <c r="O2043">
        <f>IF(Raw_Claims_Data!G2042="D",1,0)</f>
        <v>0</v>
      </c>
    </row>
    <row r="2044" spans="1:15" x14ac:dyDescent="0.35">
      <c r="A2044" t="str">
        <f>Raw_Claims_Data!A2043</f>
        <v>TXN00002040</v>
      </c>
      <c r="B2044" t="str">
        <f>TRIM(Raw_Claims_Data!B2043)</f>
        <v>Dorothy Bosley</v>
      </c>
      <c r="C2044" t="str">
        <f>Raw_Claims_Data!C2043</f>
        <v>Property</v>
      </c>
      <c r="D2044">
        <f>Raw_Claims_Data!D2043</f>
        <v>100.56</v>
      </c>
      <c r="E2044">
        <f>Raw_Claims_Data!E2043</f>
        <v>32000</v>
      </c>
      <c r="F2044" t="str">
        <f>Raw_Claims_Data!F2043</f>
        <v>TN</v>
      </c>
      <c r="G2044" t="str">
        <f>Raw_Claims_Data!G2043</f>
        <v>A</v>
      </c>
      <c r="H2044" t="str">
        <f>Raw_Claims_Data!H2043</f>
        <v>Minor Loss</v>
      </c>
      <c r="I2044" t="str">
        <f>IF(Raw_Claims_Data!I2043="","None",Raw_Claims_Data!I2043)</f>
        <v>Ambulance</v>
      </c>
      <c r="J2044">
        <f>Raw_Claims_Data!J2043</f>
        <v>0</v>
      </c>
      <c r="K2044" t="str">
        <f>Raw_Claims_Data!K2043</f>
        <v>VT</v>
      </c>
      <c r="L2044">
        <f>Raw_Claims_Data!L2043</f>
        <v>11</v>
      </c>
      <c r="M2044" t="str">
        <f>IF(Raw_Claims_Data!M2043="","N/A",Raw_Claims_Data!M2043)</f>
        <v>VNDR00433</v>
      </c>
      <c r="N2044" t="str">
        <f>Raw_Claims_Data!N2043</f>
        <v>AGENT00082</v>
      </c>
      <c r="O2044">
        <f>IF(Raw_Claims_Data!G2043="D",1,0)</f>
        <v>0</v>
      </c>
    </row>
    <row r="2045" spans="1:15" x14ac:dyDescent="0.35">
      <c r="A2045" t="str">
        <f>Raw_Claims_Data!A2044</f>
        <v>TXN00002041</v>
      </c>
      <c r="B2045" t="str">
        <f>TRIM(Raw_Claims_Data!B2044)</f>
        <v>Glenda Hart</v>
      </c>
      <c r="C2045" t="str">
        <f>Raw_Claims_Data!C2044</f>
        <v>Travel</v>
      </c>
      <c r="D2045">
        <f>Raw_Claims_Data!D2044</f>
        <v>68.599999999999994</v>
      </c>
      <c r="E2045">
        <f>Raw_Claims_Data!E2044</f>
        <v>2000</v>
      </c>
      <c r="F2045" t="str">
        <f>Raw_Claims_Data!F2044</f>
        <v>AZ</v>
      </c>
      <c r="G2045" t="str">
        <f>Raw_Claims_Data!G2044</f>
        <v>A</v>
      </c>
      <c r="H2045" t="str">
        <f>Raw_Claims_Data!H2044</f>
        <v>Minor Loss</v>
      </c>
      <c r="I2045" t="str">
        <f>IF(Raw_Claims_Data!I2044="","None",Raw_Claims_Data!I2044)</f>
        <v>Ambulance</v>
      </c>
      <c r="J2045" t="str">
        <f>Raw_Claims_Data!J2044</f>
        <v>Nashville</v>
      </c>
      <c r="K2045" t="str">
        <f>Raw_Claims_Data!K2044</f>
        <v>TN</v>
      </c>
      <c r="L2045">
        <f>Raw_Claims_Data!L2044</f>
        <v>10</v>
      </c>
      <c r="M2045" t="str">
        <f>IF(Raw_Claims_Data!M2044="","N/A",Raw_Claims_Data!M2044)</f>
        <v>N/A</v>
      </c>
      <c r="N2045" t="str">
        <f>Raw_Claims_Data!N2044</f>
        <v>AGENT00827</v>
      </c>
      <c r="O2045">
        <f>IF(Raw_Claims_Data!G2044="D",1,0)</f>
        <v>0</v>
      </c>
    </row>
    <row r="2046" spans="1:15" x14ac:dyDescent="0.35">
      <c r="A2046" t="str">
        <f>Raw_Claims_Data!A2045</f>
        <v>TXN00002042</v>
      </c>
      <c r="B2046" t="str">
        <f>TRIM(Raw_Claims_Data!B2045)</f>
        <v>John Gonzales</v>
      </c>
      <c r="C2046" t="str">
        <f>Raw_Claims_Data!C2045</f>
        <v>Travel</v>
      </c>
      <c r="D2046">
        <f>Raw_Claims_Data!D2045</f>
        <v>93</v>
      </c>
      <c r="E2046">
        <f>Raw_Claims_Data!E2045</f>
        <v>3000</v>
      </c>
      <c r="F2046" t="str">
        <f>Raw_Claims_Data!F2045</f>
        <v>VT</v>
      </c>
      <c r="G2046" t="str">
        <f>Raw_Claims_Data!G2045</f>
        <v>A</v>
      </c>
      <c r="H2046" t="str">
        <f>Raw_Claims_Data!H2045</f>
        <v>Total Loss</v>
      </c>
      <c r="I2046" t="str">
        <f>IF(Raw_Claims_Data!I2045="","None",Raw_Claims_Data!I2045)</f>
        <v>Police</v>
      </c>
      <c r="J2046" t="str">
        <f>Raw_Claims_Data!J2045</f>
        <v>Severn</v>
      </c>
      <c r="K2046" t="str">
        <f>Raw_Claims_Data!K2045</f>
        <v>MD</v>
      </c>
      <c r="L2046">
        <f>Raw_Claims_Data!L2045</f>
        <v>12</v>
      </c>
      <c r="M2046" t="str">
        <f>IF(Raw_Claims_Data!M2045="","N/A",Raw_Claims_Data!M2045)</f>
        <v>N/A</v>
      </c>
      <c r="N2046" t="str">
        <f>Raw_Claims_Data!N2045</f>
        <v>AGENT00720</v>
      </c>
      <c r="O2046">
        <f>IF(Raw_Claims_Data!G2045="D",1,0)</f>
        <v>0</v>
      </c>
    </row>
    <row r="2047" spans="1:15" x14ac:dyDescent="0.35">
      <c r="A2047" t="str">
        <f>Raw_Claims_Data!A2046</f>
        <v>TXN00002043</v>
      </c>
      <c r="B2047" t="str">
        <f>TRIM(Raw_Claims_Data!B2046)</f>
        <v>Blake Diederich</v>
      </c>
      <c r="C2047" t="str">
        <f>Raw_Claims_Data!C2046</f>
        <v>Life</v>
      </c>
      <c r="D2047">
        <f>Raw_Claims_Data!D2046</f>
        <v>53.67</v>
      </c>
      <c r="E2047">
        <f>Raw_Claims_Data!E2046</f>
        <v>22000</v>
      </c>
      <c r="F2047" t="str">
        <f>Raw_Claims_Data!F2046</f>
        <v>CO</v>
      </c>
      <c r="G2047" t="str">
        <f>Raw_Claims_Data!G2046</f>
        <v>A</v>
      </c>
      <c r="H2047" t="str">
        <f>Raw_Claims_Data!H2046</f>
        <v>Total Loss</v>
      </c>
      <c r="I2047" t="str">
        <f>IF(Raw_Claims_Data!I2046="","None",Raw_Claims_Data!I2046)</f>
        <v>Other</v>
      </c>
      <c r="J2047" t="str">
        <f>Raw_Claims_Data!J2046</f>
        <v>Louisville</v>
      </c>
      <c r="K2047" t="str">
        <f>Raw_Claims_Data!K2046</f>
        <v>KY</v>
      </c>
      <c r="L2047">
        <f>Raw_Claims_Data!L2046</f>
        <v>5</v>
      </c>
      <c r="M2047" t="str">
        <f>IF(Raw_Claims_Data!M2046="","N/A",Raw_Claims_Data!M2046)</f>
        <v>N/A</v>
      </c>
      <c r="N2047" t="str">
        <f>Raw_Claims_Data!N2046</f>
        <v>AGENT00204</v>
      </c>
      <c r="O2047">
        <f>IF(Raw_Claims_Data!G2046="D",1,0)</f>
        <v>0</v>
      </c>
    </row>
    <row r="2048" spans="1:15" x14ac:dyDescent="0.35">
      <c r="A2048" t="str">
        <f>Raw_Claims_Data!A2047</f>
        <v>TXN00002044</v>
      </c>
      <c r="B2048" t="str">
        <f>TRIM(Raw_Claims_Data!B2047)</f>
        <v>Melinda Lappin</v>
      </c>
      <c r="C2048" t="str">
        <f>Raw_Claims_Data!C2047</f>
        <v>Property</v>
      </c>
      <c r="D2048">
        <f>Raw_Claims_Data!D2047</f>
        <v>97.24</v>
      </c>
      <c r="E2048">
        <f>Raw_Claims_Data!E2047</f>
        <v>25000</v>
      </c>
      <c r="F2048" t="str">
        <f>Raw_Claims_Data!F2047</f>
        <v>VT</v>
      </c>
      <c r="G2048" t="str">
        <f>Raw_Claims_Data!G2047</f>
        <v>A</v>
      </c>
      <c r="H2048" t="str">
        <f>Raw_Claims_Data!H2047</f>
        <v>Minor Loss</v>
      </c>
      <c r="I2048" t="str">
        <f>IF(Raw_Claims_Data!I2047="","None",Raw_Claims_Data!I2047)</f>
        <v>Ambulance</v>
      </c>
      <c r="J2048" t="str">
        <f>Raw_Claims_Data!J2047</f>
        <v>Oakland</v>
      </c>
      <c r="K2048" t="str">
        <f>Raw_Claims_Data!K2047</f>
        <v>CA</v>
      </c>
      <c r="L2048">
        <f>Raw_Claims_Data!L2047</f>
        <v>8</v>
      </c>
      <c r="M2048" t="str">
        <f>IF(Raw_Claims_Data!M2047="","N/A",Raw_Claims_Data!M2047)</f>
        <v>VNDR00571</v>
      </c>
      <c r="N2048" t="str">
        <f>Raw_Claims_Data!N2047</f>
        <v>AGENT00527</v>
      </c>
      <c r="O2048">
        <f>IF(Raw_Claims_Data!G2047="D",1,0)</f>
        <v>0</v>
      </c>
    </row>
    <row r="2049" spans="1:15" x14ac:dyDescent="0.35">
      <c r="A2049" t="str">
        <f>Raw_Claims_Data!A2048</f>
        <v>TXN00002045</v>
      </c>
      <c r="B2049" t="str">
        <f>TRIM(Raw_Claims_Data!B2048)</f>
        <v>William Montney</v>
      </c>
      <c r="C2049" t="str">
        <f>Raw_Claims_Data!C2048</f>
        <v>Health</v>
      </c>
      <c r="D2049">
        <f>Raw_Claims_Data!D2048</f>
        <v>117.22</v>
      </c>
      <c r="E2049">
        <f>Raw_Claims_Data!E2048</f>
        <v>14000</v>
      </c>
      <c r="F2049" t="str">
        <f>Raw_Claims_Data!F2048</f>
        <v>AR</v>
      </c>
      <c r="G2049" t="str">
        <f>Raw_Claims_Data!G2048</f>
        <v>D</v>
      </c>
      <c r="H2049" t="str">
        <f>Raw_Claims_Data!H2048</f>
        <v>Total Loss</v>
      </c>
      <c r="I2049" t="str">
        <f>IF(Raw_Claims_Data!I2048="","None",Raw_Claims_Data!I2048)</f>
        <v>Ambulance</v>
      </c>
      <c r="J2049" t="str">
        <f>Raw_Claims_Data!J2048</f>
        <v>Fayetteville</v>
      </c>
      <c r="K2049" t="str">
        <f>Raw_Claims_Data!K2048</f>
        <v>AR</v>
      </c>
      <c r="L2049">
        <f>Raw_Claims_Data!L2048</f>
        <v>14</v>
      </c>
      <c r="M2049" t="str">
        <f>IF(Raw_Claims_Data!M2048="","N/A",Raw_Claims_Data!M2048)</f>
        <v>VNDR00318</v>
      </c>
      <c r="N2049" t="str">
        <f>Raw_Claims_Data!N2048</f>
        <v>AGENT00735</v>
      </c>
      <c r="O2049">
        <f>IF(Raw_Claims_Data!G2048="D",1,0)</f>
        <v>1</v>
      </c>
    </row>
    <row r="2050" spans="1:15" x14ac:dyDescent="0.35">
      <c r="A2050" t="str">
        <f>Raw_Claims_Data!A2049</f>
        <v>TXN00002046</v>
      </c>
      <c r="B2050" t="str">
        <f>TRIM(Raw_Claims_Data!B2049)</f>
        <v>Gary Winter</v>
      </c>
      <c r="C2050" t="str">
        <f>Raw_Claims_Data!C2049</f>
        <v>Motor</v>
      </c>
      <c r="D2050">
        <f>Raw_Claims_Data!D2049</f>
        <v>138.04</v>
      </c>
      <c r="E2050">
        <f>Raw_Claims_Data!E2049</f>
        <v>7000</v>
      </c>
      <c r="F2050" t="str">
        <f>Raw_Claims_Data!F2049</f>
        <v>KY</v>
      </c>
      <c r="G2050" t="str">
        <f>Raw_Claims_Data!G2049</f>
        <v>A</v>
      </c>
      <c r="H2050" t="str">
        <f>Raw_Claims_Data!H2049</f>
        <v>Major Loss</v>
      </c>
      <c r="I2050" t="str">
        <f>IF(Raw_Claims_Data!I2049="","None",Raw_Claims_Data!I2049)</f>
        <v>Ambulance</v>
      </c>
      <c r="J2050" t="str">
        <f>Raw_Claims_Data!J2049</f>
        <v>Tyngsborough</v>
      </c>
      <c r="K2050" t="str">
        <f>Raw_Claims_Data!K2049</f>
        <v>MA</v>
      </c>
      <c r="L2050">
        <f>Raw_Claims_Data!L2049</f>
        <v>17</v>
      </c>
      <c r="M2050" t="str">
        <f>IF(Raw_Claims_Data!M2049="","N/A",Raw_Claims_Data!M2049)</f>
        <v>N/A</v>
      </c>
      <c r="N2050" t="str">
        <f>Raw_Claims_Data!N2049</f>
        <v>AGENT00638</v>
      </c>
      <c r="O2050">
        <f>IF(Raw_Claims_Data!G2049="D",1,0)</f>
        <v>0</v>
      </c>
    </row>
    <row r="2051" spans="1:15" x14ac:dyDescent="0.35">
      <c r="A2051" t="str">
        <f>Raw_Claims_Data!A2050</f>
        <v>TXN00002047</v>
      </c>
      <c r="B2051" t="str">
        <f>TRIM(Raw_Claims_Data!B2050)</f>
        <v>Janet Gietz</v>
      </c>
      <c r="C2051" t="str">
        <f>Raw_Claims_Data!C2050</f>
        <v>Property</v>
      </c>
      <c r="D2051">
        <f>Raw_Claims_Data!D2050</f>
        <v>104.05</v>
      </c>
      <c r="E2051">
        <f>Raw_Claims_Data!E2050</f>
        <v>15000</v>
      </c>
      <c r="F2051" t="str">
        <f>Raw_Claims_Data!F2050</f>
        <v>TN</v>
      </c>
      <c r="G2051" t="str">
        <f>Raw_Claims_Data!G2050</f>
        <v>A</v>
      </c>
      <c r="H2051" t="str">
        <f>Raw_Claims_Data!H2050</f>
        <v>Total Loss</v>
      </c>
      <c r="I2051" t="str">
        <f>IF(Raw_Claims_Data!I2050="","None",Raw_Claims_Data!I2050)</f>
        <v>Ambulance</v>
      </c>
      <c r="J2051" t="str">
        <f>Raw_Claims_Data!J2050</f>
        <v>Bristol</v>
      </c>
      <c r="K2051" t="str">
        <f>Raw_Claims_Data!K2050</f>
        <v>VT</v>
      </c>
      <c r="L2051">
        <f>Raw_Claims_Data!L2050</f>
        <v>12</v>
      </c>
      <c r="M2051" t="str">
        <f>IF(Raw_Claims_Data!M2050="","N/A",Raw_Claims_Data!M2050)</f>
        <v>N/A</v>
      </c>
      <c r="N2051" t="str">
        <f>Raw_Claims_Data!N2050</f>
        <v>AGENT00482</v>
      </c>
      <c r="O2051">
        <f>IF(Raw_Claims_Data!G2050="D",1,0)</f>
        <v>0</v>
      </c>
    </row>
    <row r="2052" spans="1:15" x14ac:dyDescent="0.35">
      <c r="A2052" t="str">
        <f>Raw_Claims_Data!A2051</f>
        <v>TXN00002048</v>
      </c>
      <c r="B2052" t="str">
        <f>TRIM(Raw_Claims_Data!B2051)</f>
        <v>Johnathan Medina</v>
      </c>
      <c r="C2052" t="str">
        <f>Raw_Claims_Data!C2051</f>
        <v>Health</v>
      </c>
      <c r="D2052">
        <f>Raw_Claims_Data!D2051</f>
        <v>153.07</v>
      </c>
      <c r="E2052">
        <f>Raw_Claims_Data!E2051</f>
        <v>2000</v>
      </c>
      <c r="F2052" t="str">
        <f>Raw_Claims_Data!F2051</f>
        <v>CA</v>
      </c>
      <c r="G2052" t="str">
        <f>Raw_Claims_Data!G2051</f>
        <v>A</v>
      </c>
      <c r="H2052" t="str">
        <f>Raw_Claims_Data!H2051</f>
        <v>Minor Loss</v>
      </c>
      <c r="I2052" t="str">
        <f>IF(Raw_Claims_Data!I2051="","None",Raw_Claims_Data!I2051)</f>
        <v>Ambulance</v>
      </c>
      <c r="J2052" t="str">
        <f>Raw_Claims_Data!J2051</f>
        <v>Nashville</v>
      </c>
      <c r="K2052" t="str">
        <f>Raw_Claims_Data!K2051</f>
        <v>TN</v>
      </c>
      <c r="L2052">
        <f>Raw_Claims_Data!L2051</f>
        <v>1</v>
      </c>
      <c r="M2052" t="str">
        <f>IF(Raw_Claims_Data!M2051="","N/A",Raw_Claims_Data!M2051)</f>
        <v>VNDR00478</v>
      </c>
      <c r="N2052" t="str">
        <f>Raw_Claims_Data!N2051</f>
        <v>AGENT00915</v>
      </c>
      <c r="O2052">
        <f>IF(Raw_Claims_Data!G2051="D",1,0)</f>
        <v>0</v>
      </c>
    </row>
    <row r="2053" spans="1:15" x14ac:dyDescent="0.35">
      <c r="A2053" t="str">
        <f>Raw_Claims_Data!A2052</f>
        <v>TXN00002049</v>
      </c>
      <c r="B2053" t="str">
        <f>TRIM(Raw_Claims_Data!B2052)</f>
        <v>Harold Kiffer</v>
      </c>
      <c r="C2053" t="str">
        <f>Raw_Claims_Data!C2052</f>
        <v>Mobile</v>
      </c>
      <c r="D2053">
        <f>Raw_Claims_Data!D2052</f>
        <v>8.91</v>
      </c>
      <c r="E2053">
        <f>Raw_Claims_Data!E2052</f>
        <v>500</v>
      </c>
      <c r="F2053" t="str">
        <f>Raw_Claims_Data!F2052</f>
        <v>AK</v>
      </c>
      <c r="G2053" t="str">
        <f>Raw_Claims_Data!G2052</f>
        <v>A</v>
      </c>
      <c r="H2053" t="str">
        <f>Raw_Claims_Data!H2052</f>
        <v>Minor Loss</v>
      </c>
      <c r="I2053" t="str">
        <f>IF(Raw_Claims_Data!I2052="","None",Raw_Claims_Data!I2052)</f>
        <v>None</v>
      </c>
      <c r="J2053" t="str">
        <f>Raw_Claims_Data!J2052</f>
        <v>Millersville</v>
      </c>
      <c r="K2053" t="str">
        <f>Raw_Claims_Data!K2052</f>
        <v>MD</v>
      </c>
      <c r="L2053">
        <f>Raw_Claims_Data!L2052</f>
        <v>21</v>
      </c>
      <c r="M2053" t="str">
        <f>IF(Raw_Claims_Data!M2052="","N/A",Raw_Claims_Data!M2052)</f>
        <v>VNDR00238</v>
      </c>
      <c r="N2053" t="str">
        <f>Raw_Claims_Data!N2052</f>
        <v>AGENT00906</v>
      </c>
      <c r="O2053">
        <f>IF(Raw_Claims_Data!G2052="D",1,0)</f>
        <v>0</v>
      </c>
    </row>
    <row r="2054" spans="1:15" x14ac:dyDescent="0.35">
      <c r="A2054" t="str">
        <f>Raw_Claims_Data!A2053</f>
        <v>TXN00002050</v>
      </c>
      <c r="B2054" t="str">
        <f>TRIM(Raw_Claims_Data!B2053)</f>
        <v>Russell Johnston</v>
      </c>
      <c r="C2054" t="str">
        <f>Raw_Claims_Data!C2053</f>
        <v>Mobile</v>
      </c>
      <c r="D2054">
        <f>Raw_Claims_Data!D2053</f>
        <v>9.7200000000000006</v>
      </c>
      <c r="E2054">
        <f>Raw_Claims_Data!E2053</f>
        <v>100</v>
      </c>
      <c r="F2054" t="str">
        <f>Raw_Claims_Data!F2053</f>
        <v>VT</v>
      </c>
      <c r="G2054" t="str">
        <f>Raw_Claims_Data!G2053</f>
        <v>A</v>
      </c>
      <c r="H2054" t="str">
        <f>Raw_Claims_Data!H2053</f>
        <v>Total Loss</v>
      </c>
      <c r="I2054" t="str">
        <f>IF(Raw_Claims_Data!I2053="","None",Raw_Claims_Data!I2053)</f>
        <v>None</v>
      </c>
      <c r="J2054" t="str">
        <f>Raw_Claims_Data!J2053</f>
        <v>Montgomery</v>
      </c>
      <c r="K2054" t="str">
        <f>Raw_Claims_Data!K2053</f>
        <v>AL</v>
      </c>
      <c r="L2054">
        <f>Raw_Claims_Data!L2053</f>
        <v>15</v>
      </c>
      <c r="M2054" t="str">
        <f>IF(Raw_Claims_Data!M2053="","N/A",Raw_Claims_Data!M2053)</f>
        <v>N/A</v>
      </c>
      <c r="N2054" t="str">
        <f>Raw_Claims_Data!N2053</f>
        <v>AGENT00409</v>
      </c>
      <c r="O2054">
        <f>IF(Raw_Claims_Data!G2053="D",1,0)</f>
        <v>0</v>
      </c>
    </row>
    <row r="2055" spans="1:15" x14ac:dyDescent="0.35">
      <c r="A2055" t="str">
        <f>Raw_Claims_Data!A2054</f>
        <v>TXN00002051</v>
      </c>
      <c r="B2055" t="str">
        <f>TRIM(Raw_Claims_Data!B2054)</f>
        <v>Dexter Steiner</v>
      </c>
      <c r="C2055" t="str">
        <f>Raw_Claims_Data!C2054</f>
        <v>Mobile</v>
      </c>
      <c r="D2055">
        <f>Raw_Claims_Data!D2054</f>
        <v>10.47</v>
      </c>
      <c r="E2055">
        <f>Raw_Claims_Data!E2054</f>
        <v>500</v>
      </c>
      <c r="F2055" t="str">
        <f>Raw_Claims_Data!F2054</f>
        <v>GA</v>
      </c>
      <c r="G2055" t="str">
        <f>Raw_Claims_Data!G2054</f>
        <v>A</v>
      </c>
      <c r="H2055" t="str">
        <f>Raw_Claims_Data!H2054</f>
        <v>Major Loss</v>
      </c>
      <c r="I2055" t="str">
        <f>IF(Raw_Claims_Data!I2054="","None",Raw_Claims_Data!I2054)</f>
        <v>Other</v>
      </c>
      <c r="J2055" t="str">
        <f>Raw_Claims_Data!J2054</f>
        <v>Rancho Palos Verdes</v>
      </c>
      <c r="K2055" t="str">
        <f>Raw_Claims_Data!K2054</f>
        <v>CA</v>
      </c>
      <c r="L2055">
        <f>Raw_Claims_Data!L2054</f>
        <v>20</v>
      </c>
      <c r="M2055" t="str">
        <f>IF(Raw_Claims_Data!M2054="","N/A",Raw_Claims_Data!M2054)</f>
        <v>VNDR00106</v>
      </c>
      <c r="N2055" t="str">
        <f>Raw_Claims_Data!N2054</f>
        <v>AGENT00101</v>
      </c>
      <c r="O2055">
        <f>IF(Raw_Claims_Data!G2054="D",1,0)</f>
        <v>0</v>
      </c>
    </row>
    <row r="2056" spans="1:15" x14ac:dyDescent="0.35">
      <c r="A2056" t="str">
        <f>Raw_Claims_Data!A2055</f>
        <v>TXN00002052</v>
      </c>
      <c r="B2056" t="str">
        <f>TRIM(Raw_Claims_Data!B2055)</f>
        <v>Mikki Miosky</v>
      </c>
      <c r="C2056" t="str">
        <f>Raw_Claims_Data!C2055</f>
        <v>Property</v>
      </c>
      <c r="D2056">
        <f>Raw_Claims_Data!D2055</f>
        <v>123.88</v>
      </c>
      <c r="E2056">
        <f>Raw_Claims_Data!E2055</f>
        <v>12000</v>
      </c>
      <c r="F2056" t="str">
        <f>Raw_Claims_Data!F2055</f>
        <v>MD</v>
      </c>
      <c r="G2056" t="str">
        <f>Raw_Claims_Data!G2055</f>
        <v>A</v>
      </c>
      <c r="H2056" t="str">
        <f>Raw_Claims_Data!H2055</f>
        <v>Major Loss</v>
      </c>
      <c r="I2056" t="str">
        <f>IF(Raw_Claims_Data!I2055="","None",Raw_Claims_Data!I2055)</f>
        <v>None</v>
      </c>
      <c r="J2056" t="str">
        <f>Raw_Claims_Data!J2055</f>
        <v>Washington</v>
      </c>
      <c r="K2056" t="str">
        <f>Raw_Claims_Data!K2055</f>
        <v>DC</v>
      </c>
      <c r="L2056">
        <f>Raw_Claims_Data!L2055</f>
        <v>16</v>
      </c>
      <c r="M2056" t="str">
        <f>IF(Raw_Claims_Data!M2055="","N/A",Raw_Claims_Data!M2055)</f>
        <v>VNDR00343</v>
      </c>
      <c r="N2056" t="str">
        <f>Raw_Claims_Data!N2055</f>
        <v>AGENT00339</v>
      </c>
      <c r="O2056">
        <f>IF(Raw_Claims_Data!G2055="D",1,0)</f>
        <v>0</v>
      </c>
    </row>
    <row r="2057" spans="1:15" x14ac:dyDescent="0.35">
      <c r="A2057" t="str">
        <f>Raw_Claims_Data!A2056</f>
        <v>TXN00002053</v>
      </c>
      <c r="B2057" t="str">
        <f>TRIM(Raw_Claims_Data!B2056)</f>
        <v>Charlotte Hayes</v>
      </c>
      <c r="C2057" t="str">
        <f>Raw_Claims_Data!C2056</f>
        <v>Health</v>
      </c>
      <c r="D2057">
        <f>Raw_Claims_Data!D2056</f>
        <v>165.69</v>
      </c>
      <c r="E2057">
        <f>Raw_Claims_Data!E2056</f>
        <v>16000</v>
      </c>
      <c r="F2057" t="str">
        <f>Raw_Claims_Data!F2056</f>
        <v>TN</v>
      </c>
      <c r="G2057" t="str">
        <f>Raw_Claims_Data!G2056</f>
        <v>A</v>
      </c>
      <c r="H2057" t="str">
        <f>Raw_Claims_Data!H2056</f>
        <v>Total Loss</v>
      </c>
      <c r="I2057" t="str">
        <f>IF(Raw_Claims_Data!I2056="","None",Raw_Claims_Data!I2056)</f>
        <v>Ambulance</v>
      </c>
      <c r="J2057" t="str">
        <f>Raw_Claims_Data!J2056</f>
        <v>Louisville</v>
      </c>
      <c r="K2057" t="str">
        <f>Raw_Claims_Data!K2056</f>
        <v>KY</v>
      </c>
      <c r="L2057">
        <f>Raw_Claims_Data!L2056</f>
        <v>7</v>
      </c>
      <c r="M2057" t="str">
        <f>IF(Raw_Claims_Data!M2056="","N/A",Raw_Claims_Data!M2056)</f>
        <v>VNDR00279</v>
      </c>
      <c r="N2057" t="str">
        <f>Raw_Claims_Data!N2056</f>
        <v>AGENT00902</v>
      </c>
      <c r="O2057">
        <f>IF(Raw_Claims_Data!G2056="D",1,0)</f>
        <v>0</v>
      </c>
    </row>
    <row r="2058" spans="1:15" x14ac:dyDescent="0.35">
      <c r="A2058" t="str">
        <f>Raw_Claims_Data!A2057</f>
        <v>TXN00002054</v>
      </c>
      <c r="B2058" t="str">
        <f>TRIM(Raw_Claims_Data!B2057)</f>
        <v>Luanne Heath</v>
      </c>
      <c r="C2058" t="str">
        <f>Raw_Claims_Data!C2057</f>
        <v>Motor</v>
      </c>
      <c r="D2058">
        <f>Raw_Claims_Data!D2057</f>
        <v>72.959999999999994</v>
      </c>
      <c r="E2058">
        <f>Raw_Claims_Data!E2057</f>
        <v>2000</v>
      </c>
      <c r="F2058" t="str">
        <f>Raw_Claims_Data!F2057</f>
        <v>VT</v>
      </c>
      <c r="G2058" t="str">
        <f>Raw_Claims_Data!G2057</f>
        <v>A</v>
      </c>
      <c r="H2058" t="str">
        <f>Raw_Claims_Data!H2057</f>
        <v>Minor Loss</v>
      </c>
      <c r="I2058" t="str">
        <f>IF(Raw_Claims_Data!I2057="","None",Raw_Claims_Data!I2057)</f>
        <v>Ambulance</v>
      </c>
      <c r="J2058" t="str">
        <f>Raw_Claims_Data!J2057</f>
        <v>Moore</v>
      </c>
      <c r="K2058" t="str">
        <f>Raw_Claims_Data!K2057</f>
        <v>OK</v>
      </c>
      <c r="L2058">
        <f>Raw_Claims_Data!L2057</f>
        <v>19</v>
      </c>
      <c r="M2058" t="str">
        <f>IF(Raw_Claims_Data!M2057="","N/A",Raw_Claims_Data!M2057)</f>
        <v>N/A</v>
      </c>
      <c r="N2058" t="str">
        <f>Raw_Claims_Data!N2057</f>
        <v>AGENT01074</v>
      </c>
      <c r="O2058">
        <f>IF(Raw_Claims_Data!G2057="D",1,0)</f>
        <v>0</v>
      </c>
    </row>
    <row r="2059" spans="1:15" x14ac:dyDescent="0.35">
      <c r="A2059" t="str">
        <f>Raw_Claims_Data!A2058</f>
        <v>TXN00002055</v>
      </c>
      <c r="B2059" t="str">
        <f>TRIM(Raw_Claims_Data!B2058)</f>
        <v>Bobby Jefferson</v>
      </c>
      <c r="C2059" t="str">
        <f>Raw_Claims_Data!C2058</f>
        <v>Travel</v>
      </c>
      <c r="D2059">
        <f>Raw_Claims_Data!D2058</f>
        <v>86.35</v>
      </c>
      <c r="E2059">
        <f>Raw_Claims_Data!E2058</f>
        <v>4000</v>
      </c>
      <c r="F2059" t="str">
        <f>Raw_Claims_Data!F2058</f>
        <v>KY</v>
      </c>
      <c r="G2059" t="str">
        <f>Raw_Claims_Data!G2058</f>
        <v>A</v>
      </c>
      <c r="H2059" t="str">
        <f>Raw_Claims_Data!H2058</f>
        <v>Minor Loss</v>
      </c>
      <c r="I2059" t="str">
        <f>IF(Raw_Claims_Data!I2058="","None",Raw_Claims_Data!I2058)</f>
        <v>Police</v>
      </c>
      <c r="J2059" t="str">
        <f>Raw_Claims_Data!J2058</f>
        <v>Anchorage</v>
      </c>
      <c r="K2059" t="str">
        <f>Raw_Claims_Data!K2058</f>
        <v>AK</v>
      </c>
      <c r="L2059">
        <f>Raw_Claims_Data!L2058</f>
        <v>4</v>
      </c>
      <c r="M2059" t="str">
        <f>IF(Raw_Claims_Data!M2058="","N/A",Raw_Claims_Data!M2058)</f>
        <v>N/A</v>
      </c>
      <c r="N2059" t="str">
        <f>Raw_Claims_Data!N2058</f>
        <v>AGENT00488</v>
      </c>
      <c r="O2059">
        <f>IF(Raw_Claims_Data!G2058="D",1,0)</f>
        <v>0</v>
      </c>
    </row>
    <row r="2060" spans="1:15" x14ac:dyDescent="0.35">
      <c r="A2060" t="str">
        <f>Raw_Claims_Data!A2059</f>
        <v>TXN00002056</v>
      </c>
      <c r="B2060" t="str">
        <f>TRIM(Raw_Claims_Data!B2059)</f>
        <v>George Hutt</v>
      </c>
      <c r="C2060" t="str">
        <f>Raw_Claims_Data!C2059</f>
        <v>Life</v>
      </c>
      <c r="D2060">
        <f>Raw_Claims_Data!D2059</f>
        <v>66.760000000000005</v>
      </c>
      <c r="E2060">
        <f>Raw_Claims_Data!E2059</f>
        <v>79000</v>
      </c>
      <c r="F2060" t="str">
        <f>Raw_Claims_Data!F2059</f>
        <v>CO</v>
      </c>
      <c r="G2060" t="str">
        <f>Raw_Claims_Data!G2059</f>
        <v>A</v>
      </c>
      <c r="H2060" t="str">
        <f>Raw_Claims_Data!H2059</f>
        <v>Minor Loss</v>
      </c>
      <c r="I2060" t="str">
        <f>IF(Raw_Claims_Data!I2059="","None",Raw_Claims_Data!I2059)</f>
        <v>Police</v>
      </c>
      <c r="J2060" t="str">
        <f>Raw_Claims_Data!J2059</f>
        <v>Fayetteville</v>
      </c>
      <c r="K2060" t="str">
        <f>Raw_Claims_Data!K2059</f>
        <v>AR</v>
      </c>
      <c r="L2060">
        <f>Raw_Claims_Data!L2059</f>
        <v>19</v>
      </c>
      <c r="M2060" t="str">
        <f>IF(Raw_Claims_Data!M2059="","N/A",Raw_Claims_Data!M2059)</f>
        <v>VNDR00344</v>
      </c>
      <c r="N2060" t="str">
        <f>Raw_Claims_Data!N2059</f>
        <v>AGENT00278</v>
      </c>
      <c r="O2060">
        <f>IF(Raw_Claims_Data!G2059="D",1,0)</f>
        <v>0</v>
      </c>
    </row>
    <row r="2061" spans="1:15" x14ac:dyDescent="0.35">
      <c r="A2061" t="str">
        <f>Raw_Claims_Data!A2060</f>
        <v>TXN00002057</v>
      </c>
      <c r="B2061" t="str">
        <f>TRIM(Raw_Claims_Data!B2060)</f>
        <v>Shirley Simmons</v>
      </c>
      <c r="C2061" t="str">
        <f>Raw_Claims_Data!C2060</f>
        <v>Mobile</v>
      </c>
      <c r="D2061">
        <f>Raw_Claims_Data!D2060</f>
        <v>11.17</v>
      </c>
      <c r="E2061">
        <f>Raw_Claims_Data!E2060</f>
        <v>700</v>
      </c>
      <c r="F2061" t="str">
        <f>Raw_Claims_Data!F2060</f>
        <v>AZ</v>
      </c>
      <c r="G2061" t="str">
        <f>Raw_Claims_Data!G2060</f>
        <v>A</v>
      </c>
      <c r="H2061" t="str">
        <f>Raw_Claims_Data!H2060</f>
        <v>Major Loss</v>
      </c>
      <c r="I2061" t="str">
        <f>IF(Raw_Claims_Data!I2060="","None",Raw_Claims_Data!I2060)</f>
        <v>None</v>
      </c>
      <c r="J2061" t="str">
        <f>Raw_Claims_Data!J2060</f>
        <v>Edmond</v>
      </c>
      <c r="K2061" t="str">
        <f>Raw_Claims_Data!K2060</f>
        <v>OK</v>
      </c>
      <c r="L2061">
        <f>Raw_Claims_Data!L2060</f>
        <v>20</v>
      </c>
      <c r="M2061" t="str">
        <f>IF(Raw_Claims_Data!M2060="","N/A",Raw_Claims_Data!M2060)</f>
        <v>VNDR00283</v>
      </c>
      <c r="N2061" t="str">
        <f>Raw_Claims_Data!N2060</f>
        <v>AGENT00613</v>
      </c>
      <c r="O2061">
        <f>IF(Raw_Claims_Data!G2060="D",1,0)</f>
        <v>0</v>
      </c>
    </row>
    <row r="2062" spans="1:15" x14ac:dyDescent="0.35">
      <c r="A2062" t="str">
        <f>Raw_Claims_Data!A2061</f>
        <v>TXN00002058</v>
      </c>
      <c r="B2062" t="str">
        <f>TRIM(Raw_Claims_Data!B2061)</f>
        <v>Carmine Gravitt</v>
      </c>
      <c r="C2062" t="str">
        <f>Raw_Claims_Data!C2061</f>
        <v>Travel</v>
      </c>
      <c r="D2062">
        <f>Raw_Claims_Data!D2061</f>
        <v>78.239999999999995</v>
      </c>
      <c r="E2062">
        <f>Raw_Claims_Data!E2061</f>
        <v>4000</v>
      </c>
      <c r="F2062" t="str">
        <f>Raw_Claims_Data!F2061</f>
        <v>TN</v>
      </c>
      <c r="G2062" t="str">
        <f>Raw_Claims_Data!G2061</f>
        <v>A</v>
      </c>
      <c r="H2062" t="str">
        <f>Raw_Claims_Data!H2061</f>
        <v>Minor Loss</v>
      </c>
      <c r="I2062" t="str">
        <f>IF(Raw_Claims_Data!I2061="","None",Raw_Claims_Data!I2061)</f>
        <v>None</v>
      </c>
      <c r="J2062" t="str">
        <f>Raw_Claims_Data!J2061</f>
        <v>Arvada</v>
      </c>
      <c r="K2062" t="str">
        <f>Raw_Claims_Data!K2061</f>
        <v>CO</v>
      </c>
      <c r="L2062">
        <f>Raw_Claims_Data!L2061</f>
        <v>12</v>
      </c>
      <c r="M2062" t="str">
        <f>IF(Raw_Claims_Data!M2061="","N/A",Raw_Claims_Data!M2061)</f>
        <v>VNDR00474</v>
      </c>
      <c r="N2062" t="str">
        <f>Raw_Claims_Data!N2061</f>
        <v>AGENT00624</v>
      </c>
      <c r="O2062">
        <f>IF(Raw_Claims_Data!G2061="D",1,0)</f>
        <v>0</v>
      </c>
    </row>
    <row r="2063" spans="1:15" x14ac:dyDescent="0.35">
      <c r="A2063" t="str">
        <f>Raw_Claims_Data!A2062</f>
        <v>TXN00002059</v>
      </c>
      <c r="B2063" t="str">
        <f>TRIM(Raw_Claims_Data!B2062)</f>
        <v>Stephanie Huerta</v>
      </c>
      <c r="C2063" t="str">
        <f>Raw_Claims_Data!C2062</f>
        <v>Mobile</v>
      </c>
      <c r="D2063">
        <f>Raw_Claims_Data!D2062</f>
        <v>8.98</v>
      </c>
      <c r="E2063">
        <f>Raw_Claims_Data!E2062</f>
        <v>500</v>
      </c>
      <c r="F2063" t="str">
        <f>Raw_Claims_Data!F2062</f>
        <v>DC</v>
      </c>
      <c r="G2063" t="str">
        <f>Raw_Claims_Data!G2062</f>
        <v>A</v>
      </c>
      <c r="H2063" t="str">
        <f>Raw_Claims_Data!H2062</f>
        <v>Minor Loss</v>
      </c>
      <c r="I2063" t="str">
        <f>IF(Raw_Claims_Data!I2062="","None",Raw_Claims_Data!I2062)</f>
        <v>None</v>
      </c>
      <c r="J2063" t="str">
        <f>Raw_Claims_Data!J2062</f>
        <v>Westfield</v>
      </c>
      <c r="K2063" t="str">
        <f>Raw_Claims_Data!K2062</f>
        <v>MA</v>
      </c>
      <c r="L2063">
        <f>Raw_Claims_Data!L2062</f>
        <v>9</v>
      </c>
      <c r="M2063" t="str">
        <f>IF(Raw_Claims_Data!M2062="","N/A",Raw_Claims_Data!M2062)</f>
        <v>N/A</v>
      </c>
      <c r="N2063" t="str">
        <f>Raw_Claims_Data!N2062</f>
        <v>AGENT00830</v>
      </c>
      <c r="O2063">
        <f>IF(Raw_Claims_Data!G2062="D",1,0)</f>
        <v>0</v>
      </c>
    </row>
    <row r="2064" spans="1:15" x14ac:dyDescent="0.35">
      <c r="A2064" t="str">
        <f>Raw_Claims_Data!A2063</f>
        <v>TXN00002060</v>
      </c>
      <c r="B2064" t="str">
        <f>TRIM(Raw_Claims_Data!B2063)</f>
        <v>Rob Alvarado</v>
      </c>
      <c r="C2064" t="str">
        <f>Raw_Claims_Data!C2063</f>
        <v>Property</v>
      </c>
      <c r="D2064">
        <f>Raw_Claims_Data!D2063</f>
        <v>116.41</v>
      </c>
      <c r="E2064">
        <f>Raw_Claims_Data!E2063</f>
        <v>28000</v>
      </c>
      <c r="F2064" t="str">
        <f>Raw_Claims_Data!F2063</f>
        <v>CO</v>
      </c>
      <c r="G2064" t="str">
        <f>Raw_Claims_Data!G2063</f>
        <v>A</v>
      </c>
      <c r="H2064" t="str">
        <f>Raw_Claims_Data!H2063</f>
        <v>Total Loss</v>
      </c>
      <c r="I2064" t="str">
        <f>IF(Raw_Claims_Data!I2063="","None",Raw_Claims_Data!I2063)</f>
        <v>Police</v>
      </c>
      <c r="J2064" t="str">
        <f>Raw_Claims_Data!J2063</f>
        <v>Pleasanton</v>
      </c>
      <c r="K2064" t="str">
        <f>Raw_Claims_Data!K2063</f>
        <v>CA</v>
      </c>
      <c r="L2064">
        <f>Raw_Claims_Data!L2063</f>
        <v>9</v>
      </c>
      <c r="M2064" t="str">
        <f>IF(Raw_Claims_Data!M2063="","N/A",Raw_Claims_Data!M2063)</f>
        <v>VNDR00122</v>
      </c>
      <c r="N2064" t="str">
        <f>Raw_Claims_Data!N2063</f>
        <v>AGENT00176</v>
      </c>
      <c r="O2064">
        <f>IF(Raw_Claims_Data!G2063="D",1,0)</f>
        <v>0</v>
      </c>
    </row>
    <row r="2065" spans="1:15" x14ac:dyDescent="0.35">
      <c r="A2065" t="str">
        <f>Raw_Claims_Data!A2064</f>
        <v>TXN00002061</v>
      </c>
      <c r="B2065" t="str">
        <f>TRIM(Raw_Claims_Data!B2064)</f>
        <v>Marcy Johnson</v>
      </c>
      <c r="C2065" t="str">
        <f>Raw_Claims_Data!C2064</f>
        <v>Health</v>
      </c>
      <c r="D2065">
        <f>Raw_Claims_Data!D2064</f>
        <v>142.93</v>
      </c>
      <c r="E2065">
        <f>Raw_Claims_Data!E2064</f>
        <v>18000</v>
      </c>
      <c r="F2065" t="str">
        <f>Raw_Claims_Data!F2064</f>
        <v>VT</v>
      </c>
      <c r="G2065" t="str">
        <f>Raw_Claims_Data!G2064</f>
        <v>A</v>
      </c>
      <c r="H2065" t="str">
        <f>Raw_Claims_Data!H2064</f>
        <v>Major Loss</v>
      </c>
      <c r="I2065" t="str">
        <f>IF(Raw_Claims_Data!I2064="","None",Raw_Claims_Data!I2064)</f>
        <v>Police</v>
      </c>
      <c r="J2065" t="str">
        <f>Raw_Claims_Data!J2064</f>
        <v>Louisville</v>
      </c>
      <c r="K2065" t="str">
        <f>Raw_Claims_Data!K2064</f>
        <v>KY</v>
      </c>
      <c r="L2065">
        <f>Raw_Claims_Data!L2064</f>
        <v>22</v>
      </c>
      <c r="M2065" t="str">
        <f>IF(Raw_Claims_Data!M2064="","N/A",Raw_Claims_Data!M2064)</f>
        <v>N/A</v>
      </c>
      <c r="N2065" t="str">
        <f>Raw_Claims_Data!N2064</f>
        <v>AGENT01166</v>
      </c>
      <c r="O2065">
        <f>IF(Raw_Claims_Data!G2064="D",1,0)</f>
        <v>0</v>
      </c>
    </row>
    <row r="2066" spans="1:15" x14ac:dyDescent="0.35">
      <c r="A2066" t="str">
        <f>Raw_Claims_Data!A2065</f>
        <v>TXN00002062</v>
      </c>
      <c r="B2066" t="str">
        <f>TRIM(Raw_Claims_Data!B2065)</f>
        <v>Howard Robinson</v>
      </c>
      <c r="C2066" t="str">
        <f>Raw_Claims_Data!C2065</f>
        <v>Health</v>
      </c>
      <c r="D2066">
        <f>Raw_Claims_Data!D2065</f>
        <v>126.63</v>
      </c>
      <c r="E2066">
        <f>Raw_Claims_Data!E2065</f>
        <v>10000</v>
      </c>
      <c r="F2066" t="str">
        <f>Raw_Claims_Data!F2065</f>
        <v>CT</v>
      </c>
      <c r="G2066" t="str">
        <f>Raw_Claims_Data!G2065</f>
        <v>A</v>
      </c>
      <c r="H2066" t="str">
        <f>Raw_Claims_Data!H2065</f>
        <v>Total Loss</v>
      </c>
      <c r="I2066" t="str">
        <f>IF(Raw_Claims_Data!I2065="","None",Raw_Claims_Data!I2065)</f>
        <v>Other</v>
      </c>
      <c r="J2066" t="str">
        <f>Raw_Claims_Data!J2065</f>
        <v>Washington</v>
      </c>
      <c r="K2066" t="str">
        <f>Raw_Claims_Data!K2065</f>
        <v>DC</v>
      </c>
      <c r="L2066">
        <f>Raw_Claims_Data!L2065</f>
        <v>16</v>
      </c>
      <c r="M2066" t="str">
        <f>IF(Raw_Claims_Data!M2065="","N/A",Raw_Claims_Data!M2065)</f>
        <v>VNDR00343</v>
      </c>
      <c r="N2066" t="str">
        <f>Raw_Claims_Data!N2065</f>
        <v>AGENT01019</v>
      </c>
      <c r="O2066">
        <f>IF(Raw_Claims_Data!G2065="D",1,0)</f>
        <v>0</v>
      </c>
    </row>
    <row r="2067" spans="1:15" x14ac:dyDescent="0.35">
      <c r="A2067" t="str">
        <f>Raw_Claims_Data!A2066</f>
        <v>TXN00002063</v>
      </c>
      <c r="B2067" t="str">
        <f>TRIM(Raw_Claims_Data!B2066)</f>
        <v>Carl Morgan</v>
      </c>
      <c r="C2067" t="str">
        <f>Raw_Claims_Data!C2066</f>
        <v>Property</v>
      </c>
      <c r="D2067">
        <f>Raw_Claims_Data!D2066</f>
        <v>113.07</v>
      </c>
      <c r="E2067">
        <f>Raw_Claims_Data!E2066</f>
        <v>33000</v>
      </c>
      <c r="F2067" t="str">
        <f>Raw_Claims_Data!F2066</f>
        <v>VT</v>
      </c>
      <c r="G2067" t="str">
        <f>Raw_Claims_Data!G2066</f>
        <v>A</v>
      </c>
      <c r="H2067" t="str">
        <f>Raw_Claims_Data!H2066</f>
        <v>Minor Loss</v>
      </c>
      <c r="I2067" t="str">
        <f>IF(Raw_Claims_Data!I2066="","None",Raw_Claims_Data!I2066)</f>
        <v>None</v>
      </c>
      <c r="J2067" t="str">
        <f>Raw_Claims_Data!J2066</f>
        <v>Brooklyn Park</v>
      </c>
      <c r="K2067" t="str">
        <f>Raw_Claims_Data!K2066</f>
        <v>MD</v>
      </c>
      <c r="L2067">
        <f>Raw_Claims_Data!L2066</f>
        <v>5</v>
      </c>
      <c r="M2067" t="str">
        <f>IF(Raw_Claims_Data!M2066="","N/A",Raw_Claims_Data!M2066)</f>
        <v>N/A</v>
      </c>
      <c r="N2067" t="str">
        <f>Raw_Claims_Data!N2066</f>
        <v>AGENT00021</v>
      </c>
      <c r="O2067">
        <f>IF(Raw_Claims_Data!G2066="D",1,0)</f>
        <v>0</v>
      </c>
    </row>
    <row r="2068" spans="1:15" x14ac:dyDescent="0.35">
      <c r="A2068" t="str">
        <f>Raw_Claims_Data!A2067</f>
        <v>TXN00002064</v>
      </c>
      <c r="B2068" t="str">
        <f>TRIM(Raw_Claims_Data!B2067)</f>
        <v>John Blakeney</v>
      </c>
      <c r="C2068" t="str">
        <f>Raw_Claims_Data!C2067</f>
        <v>Mobile</v>
      </c>
      <c r="D2068">
        <f>Raw_Claims_Data!D2067</f>
        <v>9.14</v>
      </c>
      <c r="E2068">
        <f>Raw_Claims_Data!E2067</f>
        <v>500</v>
      </c>
      <c r="F2068" t="str">
        <f>Raw_Claims_Data!F2067</f>
        <v>GA</v>
      </c>
      <c r="G2068" t="str">
        <f>Raw_Claims_Data!G2067</f>
        <v>A</v>
      </c>
      <c r="H2068" t="str">
        <f>Raw_Claims_Data!H2067</f>
        <v>Major Loss</v>
      </c>
      <c r="I2068" t="str">
        <f>IF(Raw_Claims_Data!I2067="","None",Raw_Claims_Data!I2067)</f>
        <v>Ambulance</v>
      </c>
      <c r="J2068" t="str">
        <f>Raw_Claims_Data!J2067</f>
        <v>Montgomery</v>
      </c>
      <c r="K2068" t="str">
        <f>Raw_Claims_Data!K2067</f>
        <v>AL</v>
      </c>
      <c r="L2068">
        <f>Raw_Claims_Data!L2067</f>
        <v>5</v>
      </c>
      <c r="M2068" t="str">
        <f>IF(Raw_Claims_Data!M2067="","N/A",Raw_Claims_Data!M2067)</f>
        <v>VNDR00530</v>
      </c>
      <c r="N2068" t="str">
        <f>Raw_Claims_Data!N2067</f>
        <v>AGENT00897</v>
      </c>
      <c r="O2068">
        <f>IF(Raw_Claims_Data!G2067="D",1,0)</f>
        <v>0</v>
      </c>
    </row>
    <row r="2069" spans="1:15" x14ac:dyDescent="0.35">
      <c r="A2069" t="str">
        <f>Raw_Claims_Data!A2068</f>
        <v>TXN00002065</v>
      </c>
      <c r="B2069" t="str">
        <f>TRIM(Raw_Claims_Data!B2068)</f>
        <v>Gary Richards</v>
      </c>
      <c r="C2069" t="str">
        <f>Raw_Claims_Data!C2068</f>
        <v>Life</v>
      </c>
      <c r="D2069">
        <f>Raw_Claims_Data!D2068</f>
        <v>71.319999999999993</v>
      </c>
      <c r="E2069">
        <f>Raw_Claims_Data!E2068</f>
        <v>26000</v>
      </c>
      <c r="F2069" t="str">
        <f>Raw_Claims_Data!F2068</f>
        <v>MD</v>
      </c>
      <c r="G2069" t="str">
        <f>Raw_Claims_Data!G2068</f>
        <v>A</v>
      </c>
      <c r="H2069" t="str">
        <f>Raw_Claims_Data!H2068</f>
        <v>Major Loss</v>
      </c>
      <c r="I2069" t="str">
        <f>IF(Raw_Claims_Data!I2068="","None",Raw_Claims_Data!I2068)</f>
        <v>Ambulance</v>
      </c>
      <c r="J2069" t="str">
        <f>Raw_Claims_Data!J2068</f>
        <v>Montgomery</v>
      </c>
      <c r="K2069" t="str">
        <f>Raw_Claims_Data!K2068</f>
        <v>AL</v>
      </c>
      <c r="L2069">
        <f>Raw_Claims_Data!L2068</f>
        <v>20</v>
      </c>
      <c r="M2069" t="str">
        <f>IF(Raw_Claims_Data!M2068="","N/A",Raw_Claims_Data!M2068)</f>
        <v>VNDR00466</v>
      </c>
      <c r="N2069" t="str">
        <f>Raw_Claims_Data!N2068</f>
        <v>AGENT00309</v>
      </c>
      <c r="O2069">
        <f>IF(Raw_Claims_Data!G2068="D",1,0)</f>
        <v>0</v>
      </c>
    </row>
    <row r="2070" spans="1:15" x14ac:dyDescent="0.35">
      <c r="A2070" t="str">
        <f>Raw_Claims_Data!A2069</f>
        <v>TXN00002066</v>
      </c>
      <c r="B2070" t="str">
        <f>TRIM(Raw_Claims_Data!B2069)</f>
        <v>Nina Mayse</v>
      </c>
      <c r="C2070" t="str">
        <f>Raw_Claims_Data!C2069</f>
        <v>Health</v>
      </c>
      <c r="D2070">
        <f>Raw_Claims_Data!D2069</f>
        <v>101.17</v>
      </c>
      <c r="E2070">
        <f>Raw_Claims_Data!E2069</f>
        <v>17000</v>
      </c>
      <c r="F2070" t="str">
        <f>Raw_Claims_Data!F2069</f>
        <v>OK</v>
      </c>
      <c r="G2070" t="str">
        <f>Raw_Claims_Data!G2069</f>
        <v>A</v>
      </c>
      <c r="H2070" t="str">
        <f>Raw_Claims_Data!H2069</f>
        <v>Minor Loss</v>
      </c>
      <c r="I2070" t="str">
        <f>IF(Raw_Claims_Data!I2069="","None",Raw_Claims_Data!I2069)</f>
        <v>Police</v>
      </c>
      <c r="J2070" t="str">
        <f>Raw_Claims_Data!J2069</f>
        <v>Montgomery</v>
      </c>
      <c r="K2070" t="str">
        <f>Raw_Claims_Data!K2069</f>
        <v>AL</v>
      </c>
      <c r="L2070">
        <f>Raw_Claims_Data!L2069</f>
        <v>3</v>
      </c>
      <c r="M2070" t="str">
        <f>IF(Raw_Claims_Data!M2069="","N/A",Raw_Claims_Data!M2069)</f>
        <v>N/A</v>
      </c>
      <c r="N2070" t="str">
        <f>Raw_Claims_Data!N2069</f>
        <v>AGENT00961</v>
      </c>
      <c r="O2070">
        <f>IF(Raw_Claims_Data!G2069="D",1,0)</f>
        <v>0</v>
      </c>
    </row>
    <row r="2071" spans="1:15" x14ac:dyDescent="0.35">
      <c r="A2071" t="str">
        <f>Raw_Claims_Data!A2070</f>
        <v>TXN00002067</v>
      </c>
      <c r="B2071" t="str">
        <f>TRIM(Raw_Claims_Data!B2070)</f>
        <v>Evelin Pecanty</v>
      </c>
      <c r="C2071" t="str">
        <f>Raw_Claims_Data!C2070</f>
        <v>Travel</v>
      </c>
      <c r="D2071">
        <f>Raw_Claims_Data!D2070</f>
        <v>67.97</v>
      </c>
      <c r="E2071">
        <f>Raw_Claims_Data!E2070</f>
        <v>1000</v>
      </c>
      <c r="F2071" t="str">
        <f>Raw_Claims_Data!F2070</f>
        <v>DC</v>
      </c>
      <c r="G2071" t="str">
        <f>Raw_Claims_Data!G2070</f>
        <v>A</v>
      </c>
      <c r="H2071" t="str">
        <f>Raw_Claims_Data!H2070</f>
        <v>Major Loss</v>
      </c>
      <c r="I2071" t="str">
        <f>IF(Raw_Claims_Data!I2070="","None",Raw_Claims_Data!I2070)</f>
        <v>Police</v>
      </c>
      <c r="J2071" t="str">
        <f>Raw_Claims_Data!J2070</f>
        <v>Savannah</v>
      </c>
      <c r="K2071" t="str">
        <f>Raw_Claims_Data!K2070</f>
        <v>GA</v>
      </c>
      <c r="L2071">
        <f>Raw_Claims_Data!L2070</f>
        <v>5</v>
      </c>
      <c r="M2071" t="str">
        <f>IF(Raw_Claims_Data!M2070="","N/A",Raw_Claims_Data!M2070)</f>
        <v>N/A</v>
      </c>
      <c r="N2071" t="str">
        <f>Raw_Claims_Data!N2070</f>
        <v>AGENT00558</v>
      </c>
      <c r="O2071">
        <f>IF(Raw_Claims_Data!G2070="D",1,0)</f>
        <v>0</v>
      </c>
    </row>
    <row r="2072" spans="1:15" x14ac:dyDescent="0.35">
      <c r="A2072" t="str">
        <f>Raw_Claims_Data!A2071</f>
        <v>TXN00002068</v>
      </c>
      <c r="B2072" t="str">
        <f>TRIM(Raw_Claims_Data!B2071)</f>
        <v>Sandra Johnson</v>
      </c>
      <c r="C2072" t="str">
        <f>Raw_Claims_Data!C2071</f>
        <v>Mobile</v>
      </c>
      <c r="D2072">
        <f>Raw_Claims_Data!D2071</f>
        <v>6.09</v>
      </c>
      <c r="E2072">
        <f>Raw_Claims_Data!E2071</f>
        <v>400</v>
      </c>
      <c r="F2072" t="str">
        <f>Raw_Claims_Data!F2071</f>
        <v>GA</v>
      </c>
      <c r="G2072" t="str">
        <f>Raw_Claims_Data!G2071</f>
        <v>A</v>
      </c>
      <c r="H2072" t="str">
        <f>Raw_Claims_Data!H2071</f>
        <v>Major Loss</v>
      </c>
      <c r="I2072" t="str">
        <f>IF(Raw_Claims_Data!I2071="","None",Raw_Claims_Data!I2071)</f>
        <v>Ambulance</v>
      </c>
      <c r="J2072" t="str">
        <f>Raw_Claims_Data!J2071</f>
        <v>Washington</v>
      </c>
      <c r="K2072" t="str">
        <f>Raw_Claims_Data!K2071</f>
        <v>DC</v>
      </c>
      <c r="L2072">
        <f>Raw_Claims_Data!L2071</f>
        <v>17</v>
      </c>
      <c r="M2072" t="str">
        <f>IF(Raw_Claims_Data!M2071="","N/A",Raw_Claims_Data!M2071)</f>
        <v>VNDR00303</v>
      </c>
      <c r="N2072" t="str">
        <f>Raw_Claims_Data!N2071</f>
        <v>AGENT00623</v>
      </c>
      <c r="O2072">
        <f>IF(Raw_Claims_Data!G2071="D",1,0)</f>
        <v>0</v>
      </c>
    </row>
    <row r="2073" spans="1:15" x14ac:dyDescent="0.35">
      <c r="A2073" t="str">
        <f>Raw_Claims_Data!A2072</f>
        <v>TXN00002069</v>
      </c>
      <c r="B2073" t="str">
        <f>TRIM(Raw_Claims_Data!B2072)</f>
        <v>Brandon Osmer</v>
      </c>
      <c r="C2073" t="str">
        <f>Raw_Claims_Data!C2072</f>
        <v>Life</v>
      </c>
      <c r="D2073">
        <f>Raw_Claims_Data!D2072</f>
        <v>80.58</v>
      </c>
      <c r="E2073">
        <f>Raw_Claims_Data!E2072</f>
        <v>82000</v>
      </c>
      <c r="F2073" t="str">
        <f>Raw_Claims_Data!F2072</f>
        <v>GA</v>
      </c>
      <c r="G2073" t="str">
        <f>Raw_Claims_Data!G2072</f>
        <v>A</v>
      </c>
      <c r="H2073" t="str">
        <f>Raw_Claims_Data!H2072</f>
        <v>Total Loss</v>
      </c>
      <c r="I2073" t="str">
        <f>IF(Raw_Claims_Data!I2072="","None",Raw_Claims_Data!I2072)</f>
        <v>Ambulance</v>
      </c>
      <c r="J2073" t="str">
        <f>Raw_Claims_Data!J2072</f>
        <v>Arvada</v>
      </c>
      <c r="K2073" t="str">
        <f>Raw_Claims_Data!K2072</f>
        <v>CO</v>
      </c>
      <c r="L2073">
        <f>Raw_Claims_Data!L2072</f>
        <v>22</v>
      </c>
      <c r="M2073" t="str">
        <f>IF(Raw_Claims_Data!M2072="","N/A",Raw_Claims_Data!M2072)</f>
        <v>VNDR00494</v>
      </c>
      <c r="N2073" t="str">
        <f>Raw_Claims_Data!N2072</f>
        <v>AGENT00696</v>
      </c>
      <c r="O2073">
        <f>IF(Raw_Claims_Data!G2072="D",1,0)</f>
        <v>0</v>
      </c>
    </row>
    <row r="2074" spans="1:15" x14ac:dyDescent="0.35">
      <c r="A2074" t="str">
        <f>Raw_Claims_Data!A2073</f>
        <v>TXN00002070</v>
      </c>
      <c r="B2074" t="str">
        <f>TRIM(Raw_Claims_Data!B2073)</f>
        <v>Marie Lank</v>
      </c>
      <c r="C2074" t="str">
        <f>Raw_Claims_Data!C2073</f>
        <v>Health</v>
      </c>
      <c r="D2074">
        <f>Raw_Claims_Data!D2073</f>
        <v>162.97</v>
      </c>
      <c r="E2074">
        <f>Raw_Claims_Data!E2073</f>
        <v>10000</v>
      </c>
      <c r="F2074" t="str">
        <f>Raw_Claims_Data!F2073</f>
        <v>FL</v>
      </c>
      <c r="G2074" t="str">
        <f>Raw_Claims_Data!G2073</f>
        <v>A</v>
      </c>
      <c r="H2074" t="str">
        <f>Raw_Claims_Data!H2073</f>
        <v>Minor Loss</v>
      </c>
      <c r="I2074" t="str">
        <f>IF(Raw_Claims_Data!I2073="","None",Raw_Claims_Data!I2073)</f>
        <v>Ambulance</v>
      </c>
      <c r="J2074" t="str">
        <f>Raw_Claims_Data!J2073</f>
        <v>Hayward</v>
      </c>
      <c r="K2074" t="str">
        <f>Raw_Claims_Data!K2073</f>
        <v>CA</v>
      </c>
      <c r="L2074">
        <f>Raw_Claims_Data!L2073</f>
        <v>11</v>
      </c>
      <c r="M2074" t="str">
        <f>IF(Raw_Claims_Data!M2073="","N/A",Raw_Claims_Data!M2073)</f>
        <v>VNDR00465</v>
      </c>
      <c r="N2074" t="str">
        <f>Raw_Claims_Data!N2073</f>
        <v>AGENT00083</v>
      </c>
      <c r="O2074">
        <f>IF(Raw_Claims_Data!G2073="D",1,0)</f>
        <v>0</v>
      </c>
    </row>
    <row r="2075" spans="1:15" x14ac:dyDescent="0.35">
      <c r="A2075" t="str">
        <f>Raw_Claims_Data!A2074</f>
        <v>TXN00002071</v>
      </c>
      <c r="B2075" t="str">
        <f>TRIM(Raw_Claims_Data!B2074)</f>
        <v>Shirley Wermers</v>
      </c>
      <c r="C2075" t="str">
        <f>Raw_Claims_Data!C2074</f>
        <v>Motor</v>
      </c>
      <c r="D2075">
        <f>Raw_Claims_Data!D2074</f>
        <v>117.4</v>
      </c>
      <c r="E2075">
        <f>Raw_Claims_Data!E2074</f>
        <v>6000</v>
      </c>
      <c r="F2075" t="str">
        <f>Raw_Claims_Data!F2074</f>
        <v>GA</v>
      </c>
      <c r="G2075" t="str">
        <f>Raw_Claims_Data!G2074</f>
        <v>D</v>
      </c>
      <c r="H2075" t="str">
        <f>Raw_Claims_Data!H2074</f>
        <v>Major Loss</v>
      </c>
      <c r="I2075" t="str">
        <f>IF(Raw_Claims_Data!I2074="","None",Raw_Claims_Data!I2074)</f>
        <v>Ambulance</v>
      </c>
      <c r="J2075" t="str">
        <f>Raw_Claims_Data!J2074</f>
        <v>Washington</v>
      </c>
      <c r="K2075" t="str">
        <f>Raw_Claims_Data!K2074</f>
        <v>VT</v>
      </c>
      <c r="L2075">
        <f>Raw_Claims_Data!L2074</f>
        <v>3</v>
      </c>
      <c r="M2075" t="str">
        <f>IF(Raw_Claims_Data!M2074="","N/A",Raw_Claims_Data!M2074)</f>
        <v>N/A</v>
      </c>
      <c r="N2075" t="str">
        <f>Raw_Claims_Data!N2074</f>
        <v>AGENT01061</v>
      </c>
      <c r="O2075">
        <f>IF(Raw_Claims_Data!G2074="D",1,0)</f>
        <v>1</v>
      </c>
    </row>
    <row r="2076" spans="1:15" x14ac:dyDescent="0.35">
      <c r="A2076" t="str">
        <f>Raw_Claims_Data!A2075</f>
        <v>TXN00002072</v>
      </c>
      <c r="B2076" t="str">
        <f>TRIM(Raw_Claims_Data!B2075)</f>
        <v>Chuck Tellez</v>
      </c>
      <c r="C2076" t="str">
        <f>Raw_Claims_Data!C2075</f>
        <v>Property</v>
      </c>
      <c r="D2076">
        <f>Raw_Claims_Data!D2075</f>
        <v>151.9</v>
      </c>
      <c r="E2076">
        <f>Raw_Claims_Data!E2075</f>
        <v>25000</v>
      </c>
      <c r="F2076" t="str">
        <f>Raw_Claims_Data!F2075</f>
        <v>DC</v>
      </c>
      <c r="G2076" t="str">
        <f>Raw_Claims_Data!G2075</f>
        <v>A</v>
      </c>
      <c r="H2076" t="str">
        <f>Raw_Claims_Data!H2075</f>
        <v>Total Loss</v>
      </c>
      <c r="I2076" t="str">
        <f>IF(Raw_Claims_Data!I2075="","None",Raw_Claims_Data!I2075)</f>
        <v>Ambulance</v>
      </c>
      <c r="J2076" t="str">
        <f>Raw_Claims_Data!J2075</f>
        <v>Litchfield Park</v>
      </c>
      <c r="K2076" t="str">
        <f>Raw_Claims_Data!K2075</f>
        <v>AZ</v>
      </c>
      <c r="L2076">
        <f>Raw_Claims_Data!L2075</f>
        <v>3</v>
      </c>
      <c r="M2076" t="str">
        <f>IF(Raw_Claims_Data!M2075="","N/A",Raw_Claims_Data!M2075)</f>
        <v>N/A</v>
      </c>
      <c r="N2076" t="str">
        <f>Raw_Claims_Data!N2075</f>
        <v>AGENT00297</v>
      </c>
      <c r="O2076">
        <f>IF(Raw_Claims_Data!G2075="D",1,0)</f>
        <v>0</v>
      </c>
    </row>
    <row r="2077" spans="1:15" x14ac:dyDescent="0.35">
      <c r="A2077" t="str">
        <f>Raw_Claims_Data!A2076</f>
        <v>TXN00002073</v>
      </c>
      <c r="B2077" t="str">
        <f>TRIM(Raw_Claims_Data!B2076)</f>
        <v>Melissa Burns</v>
      </c>
      <c r="C2077" t="str">
        <f>Raw_Claims_Data!C2076</f>
        <v>Health</v>
      </c>
      <c r="D2077">
        <f>Raw_Claims_Data!D2076</f>
        <v>154.29</v>
      </c>
      <c r="E2077">
        <f>Raw_Claims_Data!E2076</f>
        <v>19000</v>
      </c>
      <c r="F2077" t="str">
        <f>Raw_Claims_Data!F2076</f>
        <v>MA</v>
      </c>
      <c r="G2077" t="str">
        <f>Raw_Claims_Data!G2076</f>
        <v>A</v>
      </c>
      <c r="H2077" t="str">
        <f>Raw_Claims_Data!H2076</f>
        <v>Major Loss</v>
      </c>
      <c r="I2077" t="str">
        <f>IF(Raw_Claims_Data!I2076="","None",Raw_Claims_Data!I2076)</f>
        <v>None</v>
      </c>
      <c r="J2077" t="str">
        <f>Raw_Claims_Data!J2076</f>
        <v>Fremont</v>
      </c>
      <c r="K2077" t="str">
        <f>Raw_Claims_Data!K2076</f>
        <v>CA</v>
      </c>
      <c r="L2077">
        <f>Raw_Claims_Data!L2076</f>
        <v>1</v>
      </c>
      <c r="M2077" t="str">
        <f>IF(Raw_Claims_Data!M2076="","N/A",Raw_Claims_Data!M2076)</f>
        <v>N/A</v>
      </c>
      <c r="N2077" t="str">
        <f>Raw_Claims_Data!N2076</f>
        <v>AGENT00327</v>
      </c>
      <c r="O2077">
        <f>IF(Raw_Claims_Data!G2076="D",1,0)</f>
        <v>0</v>
      </c>
    </row>
    <row r="2078" spans="1:15" x14ac:dyDescent="0.35">
      <c r="A2078" t="str">
        <f>Raw_Claims_Data!A2077</f>
        <v>TXN00002074</v>
      </c>
      <c r="B2078" t="str">
        <f>TRIM(Raw_Claims_Data!B2077)</f>
        <v>Gloria Skinnen</v>
      </c>
      <c r="C2078" t="str">
        <f>Raw_Claims_Data!C2077</f>
        <v>Travel</v>
      </c>
      <c r="D2078">
        <f>Raw_Claims_Data!D2077</f>
        <v>57.57</v>
      </c>
      <c r="E2078">
        <f>Raw_Claims_Data!E2077</f>
        <v>5000</v>
      </c>
      <c r="F2078" t="str">
        <f>Raw_Claims_Data!F2077</f>
        <v>FL</v>
      </c>
      <c r="G2078" t="str">
        <f>Raw_Claims_Data!G2077</f>
        <v>A</v>
      </c>
      <c r="H2078" t="str">
        <f>Raw_Claims_Data!H2077</f>
        <v>Minor Loss</v>
      </c>
      <c r="I2078" t="str">
        <f>IF(Raw_Claims_Data!I2077="","None",Raw_Claims_Data!I2077)</f>
        <v>Ambulance</v>
      </c>
      <c r="J2078" t="str">
        <f>Raw_Claims_Data!J2077</f>
        <v>Nashville</v>
      </c>
      <c r="K2078" t="str">
        <f>Raw_Claims_Data!K2077</f>
        <v>TN</v>
      </c>
      <c r="L2078">
        <f>Raw_Claims_Data!L2077</f>
        <v>12</v>
      </c>
      <c r="M2078" t="str">
        <f>IF(Raw_Claims_Data!M2077="","N/A",Raw_Claims_Data!M2077)</f>
        <v>VNDR00008</v>
      </c>
      <c r="N2078" t="str">
        <f>Raw_Claims_Data!N2077</f>
        <v>AGENT00745</v>
      </c>
      <c r="O2078">
        <f>IF(Raw_Claims_Data!G2077="D",1,0)</f>
        <v>0</v>
      </c>
    </row>
    <row r="2079" spans="1:15" x14ac:dyDescent="0.35">
      <c r="A2079" t="str">
        <f>Raw_Claims_Data!A2078</f>
        <v>TXN00002075</v>
      </c>
      <c r="B2079" t="str">
        <f>TRIM(Raw_Claims_Data!B2078)</f>
        <v>Shane Newman</v>
      </c>
      <c r="C2079" t="str">
        <f>Raw_Claims_Data!C2078</f>
        <v>Mobile</v>
      </c>
      <c r="D2079">
        <f>Raw_Claims_Data!D2078</f>
        <v>9.9700000000000006</v>
      </c>
      <c r="E2079">
        <f>Raw_Claims_Data!E2078</f>
        <v>400</v>
      </c>
      <c r="F2079" t="str">
        <f>Raw_Claims_Data!F2078</f>
        <v>AL</v>
      </c>
      <c r="G2079" t="str">
        <f>Raw_Claims_Data!G2078</f>
        <v>A</v>
      </c>
      <c r="H2079" t="str">
        <f>Raw_Claims_Data!H2078</f>
        <v>Total Loss</v>
      </c>
      <c r="I2079" t="str">
        <f>IF(Raw_Claims_Data!I2078="","None",Raw_Claims_Data!I2078)</f>
        <v>Ambulance</v>
      </c>
      <c r="J2079" t="str">
        <f>Raw_Claims_Data!J2078</f>
        <v>Panama City</v>
      </c>
      <c r="K2079" t="str">
        <f>Raw_Claims_Data!K2078</f>
        <v>FL</v>
      </c>
      <c r="L2079">
        <f>Raw_Claims_Data!L2078</f>
        <v>2</v>
      </c>
      <c r="M2079" t="str">
        <f>IF(Raw_Claims_Data!M2078="","N/A",Raw_Claims_Data!M2078)</f>
        <v>VNDR00289</v>
      </c>
      <c r="N2079" t="str">
        <f>Raw_Claims_Data!N2078</f>
        <v>AGENT00449</v>
      </c>
      <c r="O2079">
        <f>IF(Raw_Claims_Data!G2078="D",1,0)</f>
        <v>0</v>
      </c>
    </row>
    <row r="2080" spans="1:15" x14ac:dyDescent="0.35">
      <c r="A2080" t="str">
        <f>Raw_Claims_Data!A2079</f>
        <v>TXN00002076</v>
      </c>
      <c r="B2080" t="str">
        <f>TRIM(Raw_Claims_Data!B2079)</f>
        <v>Kristi Nguyen</v>
      </c>
      <c r="C2080" t="str">
        <f>Raw_Claims_Data!C2079</f>
        <v>Health</v>
      </c>
      <c r="D2080">
        <f>Raw_Claims_Data!D2079</f>
        <v>184.97</v>
      </c>
      <c r="E2080">
        <f>Raw_Claims_Data!E2079</f>
        <v>3000</v>
      </c>
      <c r="F2080" t="str">
        <f>Raw_Claims_Data!F2079</f>
        <v>AL</v>
      </c>
      <c r="G2080" t="str">
        <f>Raw_Claims_Data!G2079</f>
        <v>A</v>
      </c>
      <c r="H2080" t="str">
        <f>Raw_Claims_Data!H2079</f>
        <v>Minor Loss</v>
      </c>
      <c r="I2080" t="str">
        <f>IF(Raw_Claims_Data!I2079="","None",Raw_Claims_Data!I2079)</f>
        <v>Ambulance</v>
      </c>
      <c r="J2080" t="str">
        <f>Raw_Claims_Data!J2079</f>
        <v>Montgomery</v>
      </c>
      <c r="K2080" t="str">
        <f>Raw_Claims_Data!K2079</f>
        <v>AL</v>
      </c>
      <c r="L2080">
        <f>Raw_Claims_Data!L2079</f>
        <v>14</v>
      </c>
      <c r="M2080" t="str">
        <f>IF(Raw_Claims_Data!M2079="","N/A",Raw_Claims_Data!M2079)</f>
        <v>N/A</v>
      </c>
      <c r="N2080" t="str">
        <f>Raw_Claims_Data!N2079</f>
        <v>AGENT00909</v>
      </c>
      <c r="O2080">
        <f>IF(Raw_Claims_Data!G2079="D",1,0)</f>
        <v>0</v>
      </c>
    </row>
    <row r="2081" spans="1:15" x14ac:dyDescent="0.35">
      <c r="A2081" t="str">
        <f>Raw_Claims_Data!A2080</f>
        <v>TXN00002077</v>
      </c>
      <c r="B2081" t="str">
        <f>TRIM(Raw_Claims_Data!B2080)</f>
        <v>Richard Cobb</v>
      </c>
      <c r="C2081" t="str">
        <f>Raw_Claims_Data!C2080</f>
        <v>Mobile</v>
      </c>
      <c r="D2081">
        <f>Raw_Claims_Data!D2080</f>
        <v>8.1300000000000008</v>
      </c>
      <c r="E2081">
        <f>Raw_Claims_Data!E2080</f>
        <v>200</v>
      </c>
      <c r="F2081" t="str">
        <f>Raw_Claims_Data!F2080</f>
        <v>VT</v>
      </c>
      <c r="G2081" t="str">
        <f>Raw_Claims_Data!G2080</f>
        <v>A</v>
      </c>
      <c r="H2081" t="str">
        <f>Raw_Claims_Data!H2080</f>
        <v>Minor Loss</v>
      </c>
      <c r="I2081" t="str">
        <f>IF(Raw_Claims_Data!I2080="","None",Raw_Claims_Data!I2080)</f>
        <v>None</v>
      </c>
      <c r="J2081" t="str">
        <f>Raw_Claims_Data!J2080</f>
        <v>Annapolis</v>
      </c>
      <c r="K2081" t="str">
        <f>Raw_Claims_Data!K2080</f>
        <v>MD</v>
      </c>
      <c r="L2081">
        <f>Raw_Claims_Data!L2080</f>
        <v>10</v>
      </c>
      <c r="M2081" t="str">
        <f>IF(Raw_Claims_Data!M2080="","N/A",Raw_Claims_Data!M2080)</f>
        <v>VNDR00397</v>
      </c>
      <c r="N2081" t="str">
        <f>Raw_Claims_Data!N2080</f>
        <v>AGENT00098</v>
      </c>
      <c r="O2081">
        <f>IF(Raw_Claims_Data!G2080="D",1,0)</f>
        <v>0</v>
      </c>
    </row>
    <row r="2082" spans="1:15" x14ac:dyDescent="0.35">
      <c r="A2082" t="str">
        <f>Raw_Claims_Data!A2081</f>
        <v>TXN00002078</v>
      </c>
      <c r="B2082" t="str">
        <f>TRIM(Raw_Claims_Data!B2081)</f>
        <v>Melanie Langlois</v>
      </c>
      <c r="C2082" t="str">
        <f>Raw_Claims_Data!C2081</f>
        <v>Life</v>
      </c>
      <c r="D2082">
        <f>Raw_Claims_Data!D2081</f>
        <v>96.07</v>
      </c>
      <c r="E2082">
        <f>Raw_Claims_Data!E2081</f>
        <v>58000</v>
      </c>
      <c r="F2082" t="str">
        <f>Raw_Claims_Data!F2081</f>
        <v>CO</v>
      </c>
      <c r="G2082" t="str">
        <f>Raw_Claims_Data!G2081</f>
        <v>A</v>
      </c>
      <c r="H2082" t="str">
        <f>Raw_Claims_Data!H2081</f>
        <v>Minor Loss</v>
      </c>
      <c r="I2082" t="str">
        <f>IF(Raw_Claims_Data!I2081="","None",Raw_Claims_Data!I2081)</f>
        <v>Ambulance</v>
      </c>
      <c r="J2082" t="str">
        <f>Raw_Claims_Data!J2081</f>
        <v>Washington</v>
      </c>
      <c r="K2082" t="str">
        <f>Raw_Claims_Data!K2081</f>
        <v>DC</v>
      </c>
      <c r="L2082">
        <f>Raw_Claims_Data!L2081</f>
        <v>10</v>
      </c>
      <c r="M2082" t="str">
        <f>IF(Raw_Claims_Data!M2081="","N/A",Raw_Claims_Data!M2081)</f>
        <v>VNDR00463</v>
      </c>
      <c r="N2082" t="str">
        <f>Raw_Claims_Data!N2081</f>
        <v>AGENT00181</v>
      </c>
      <c r="O2082">
        <f>IF(Raw_Claims_Data!G2081="D",1,0)</f>
        <v>0</v>
      </c>
    </row>
    <row r="2083" spans="1:15" x14ac:dyDescent="0.35">
      <c r="A2083" t="str">
        <f>Raw_Claims_Data!A2082</f>
        <v>TXN00002079</v>
      </c>
      <c r="B2083" t="str">
        <f>TRIM(Raw_Claims_Data!B2082)</f>
        <v>Janet Verduzco</v>
      </c>
      <c r="C2083" t="str">
        <f>Raw_Claims_Data!C2082</f>
        <v>Mobile</v>
      </c>
      <c r="D2083">
        <f>Raw_Claims_Data!D2082</f>
        <v>8.07</v>
      </c>
      <c r="E2083">
        <f>Raw_Claims_Data!E2082</f>
        <v>100</v>
      </c>
      <c r="F2083" t="str">
        <f>Raw_Claims_Data!F2082</f>
        <v>AL</v>
      </c>
      <c r="G2083" t="str">
        <f>Raw_Claims_Data!G2082</f>
        <v>D</v>
      </c>
      <c r="H2083" t="str">
        <f>Raw_Claims_Data!H2082</f>
        <v>Minor Loss</v>
      </c>
      <c r="I2083" t="str">
        <f>IF(Raw_Claims_Data!I2082="","None",Raw_Claims_Data!I2082)</f>
        <v>Ambulance</v>
      </c>
      <c r="J2083" t="str">
        <f>Raw_Claims_Data!J2082</f>
        <v>Manchester</v>
      </c>
      <c r="K2083" t="str">
        <f>Raw_Claims_Data!K2082</f>
        <v>CT</v>
      </c>
      <c r="L2083">
        <f>Raw_Claims_Data!L2082</f>
        <v>2</v>
      </c>
      <c r="M2083" t="str">
        <f>IF(Raw_Claims_Data!M2082="","N/A",Raw_Claims_Data!M2082)</f>
        <v>N/A</v>
      </c>
      <c r="N2083" t="str">
        <f>Raw_Claims_Data!N2082</f>
        <v>AGENT00995</v>
      </c>
      <c r="O2083">
        <f>IF(Raw_Claims_Data!G2082="D",1,0)</f>
        <v>1</v>
      </c>
    </row>
    <row r="2084" spans="1:15" x14ac:dyDescent="0.35">
      <c r="A2084" t="str">
        <f>Raw_Claims_Data!A2083</f>
        <v>TXN00002080</v>
      </c>
      <c r="B2084" t="str">
        <f>TRIM(Raw_Claims_Data!B2083)</f>
        <v>Harold Allen</v>
      </c>
      <c r="C2084" t="str">
        <f>Raw_Claims_Data!C2083</f>
        <v>Motor</v>
      </c>
      <c r="D2084">
        <f>Raw_Claims_Data!D2083</f>
        <v>126.71</v>
      </c>
      <c r="E2084">
        <f>Raw_Claims_Data!E2083</f>
        <v>10000</v>
      </c>
      <c r="F2084" t="str">
        <f>Raw_Claims_Data!F2083</f>
        <v>AL</v>
      </c>
      <c r="G2084" t="str">
        <f>Raw_Claims_Data!G2083</f>
        <v>A</v>
      </c>
      <c r="H2084" t="str">
        <f>Raw_Claims_Data!H2083</f>
        <v>Major Loss</v>
      </c>
      <c r="I2084" t="str">
        <f>IF(Raw_Claims_Data!I2083="","None",Raw_Claims_Data!I2083)</f>
        <v>Ambulance</v>
      </c>
      <c r="J2084" t="str">
        <f>Raw_Claims_Data!J2083</f>
        <v>Manchester</v>
      </c>
      <c r="K2084" t="str">
        <f>Raw_Claims_Data!K2083</f>
        <v>CT</v>
      </c>
      <c r="L2084">
        <f>Raw_Claims_Data!L2083</f>
        <v>9</v>
      </c>
      <c r="M2084" t="str">
        <f>IF(Raw_Claims_Data!M2083="","N/A",Raw_Claims_Data!M2083)</f>
        <v>N/A</v>
      </c>
      <c r="N2084" t="str">
        <f>Raw_Claims_Data!N2083</f>
        <v>AGENT00619</v>
      </c>
      <c r="O2084">
        <f>IF(Raw_Claims_Data!G2083="D",1,0)</f>
        <v>0</v>
      </c>
    </row>
    <row r="2085" spans="1:15" x14ac:dyDescent="0.35">
      <c r="A2085" t="str">
        <f>Raw_Claims_Data!A2084</f>
        <v>TXN00002081</v>
      </c>
      <c r="B2085" t="str">
        <f>TRIM(Raw_Claims_Data!B2084)</f>
        <v>James Jones</v>
      </c>
      <c r="C2085" t="str">
        <f>Raw_Claims_Data!C2084</f>
        <v>Property</v>
      </c>
      <c r="D2085">
        <f>Raw_Claims_Data!D2084</f>
        <v>155.66999999999999</v>
      </c>
      <c r="E2085">
        <f>Raw_Claims_Data!E2084</f>
        <v>32000</v>
      </c>
      <c r="F2085" t="str">
        <f>Raw_Claims_Data!F2084</f>
        <v>AK</v>
      </c>
      <c r="G2085" t="str">
        <f>Raw_Claims_Data!G2084</f>
        <v>A</v>
      </c>
      <c r="H2085" t="str">
        <f>Raw_Claims_Data!H2084</f>
        <v>Total Loss</v>
      </c>
      <c r="I2085" t="str">
        <f>IF(Raw_Claims_Data!I2084="","None",Raw_Claims_Data!I2084)</f>
        <v>Police</v>
      </c>
      <c r="J2085" t="str">
        <f>Raw_Claims_Data!J2084</f>
        <v>Pooler</v>
      </c>
      <c r="K2085" t="str">
        <f>Raw_Claims_Data!K2084</f>
        <v>GA</v>
      </c>
      <c r="L2085">
        <f>Raw_Claims_Data!L2084</f>
        <v>6</v>
      </c>
      <c r="M2085" t="str">
        <f>IF(Raw_Claims_Data!M2084="","N/A",Raw_Claims_Data!M2084)</f>
        <v>N/A</v>
      </c>
      <c r="N2085" t="str">
        <f>Raw_Claims_Data!N2084</f>
        <v>AGENT00984</v>
      </c>
      <c r="O2085">
        <f>IF(Raw_Claims_Data!G2084="D",1,0)</f>
        <v>0</v>
      </c>
    </row>
    <row r="2086" spans="1:15" x14ac:dyDescent="0.35">
      <c r="A2086" t="str">
        <f>Raw_Claims_Data!A2085</f>
        <v>TXN00002082</v>
      </c>
      <c r="B2086" t="str">
        <f>TRIM(Raw_Claims_Data!B2085)</f>
        <v>Lee Stone</v>
      </c>
      <c r="C2086" t="str">
        <f>Raw_Claims_Data!C2085</f>
        <v>Mobile</v>
      </c>
      <c r="D2086">
        <f>Raw_Claims_Data!D2085</f>
        <v>9.85</v>
      </c>
      <c r="E2086">
        <f>Raw_Claims_Data!E2085</f>
        <v>600</v>
      </c>
      <c r="F2086" t="str">
        <f>Raw_Claims_Data!F2085</f>
        <v>TN</v>
      </c>
      <c r="G2086" t="str">
        <f>Raw_Claims_Data!G2085</f>
        <v>A</v>
      </c>
      <c r="H2086" t="str">
        <f>Raw_Claims_Data!H2085</f>
        <v>Minor Loss</v>
      </c>
      <c r="I2086" t="str">
        <f>IF(Raw_Claims_Data!I2085="","None",Raw_Claims_Data!I2085)</f>
        <v>None</v>
      </c>
      <c r="J2086" t="str">
        <f>Raw_Claims_Data!J2085</f>
        <v>Manchester</v>
      </c>
      <c r="K2086" t="str">
        <f>Raw_Claims_Data!K2085</f>
        <v>CT</v>
      </c>
      <c r="L2086">
        <f>Raw_Claims_Data!L2085</f>
        <v>8</v>
      </c>
      <c r="M2086" t="str">
        <f>IF(Raw_Claims_Data!M2085="","N/A",Raw_Claims_Data!M2085)</f>
        <v>VNDR00403</v>
      </c>
      <c r="N2086" t="str">
        <f>Raw_Claims_Data!N2085</f>
        <v>AGENT00112</v>
      </c>
      <c r="O2086">
        <f>IF(Raw_Claims_Data!G2085="D",1,0)</f>
        <v>0</v>
      </c>
    </row>
    <row r="2087" spans="1:15" x14ac:dyDescent="0.35">
      <c r="A2087" t="str">
        <f>Raw_Claims_Data!A2086</f>
        <v>TXN00002083</v>
      </c>
      <c r="B2087" t="str">
        <f>TRIM(Raw_Claims_Data!B2086)</f>
        <v>Ernest Elletson</v>
      </c>
      <c r="C2087" t="str">
        <f>Raw_Claims_Data!C2086</f>
        <v>Health</v>
      </c>
      <c r="D2087">
        <f>Raw_Claims_Data!D2086</f>
        <v>115.56</v>
      </c>
      <c r="E2087">
        <f>Raw_Claims_Data!E2086</f>
        <v>11000</v>
      </c>
      <c r="F2087" t="str">
        <f>Raw_Claims_Data!F2086</f>
        <v>CA</v>
      </c>
      <c r="G2087" t="str">
        <f>Raw_Claims_Data!G2086</f>
        <v>A</v>
      </c>
      <c r="H2087" t="str">
        <f>Raw_Claims_Data!H2086</f>
        <v>Minor Loss</v>
      </c>
      <c r="I2087" t="str">
        <f>IF(Raw_Claims_Data!I2086="","None",Raw_Claims_Data!I2086)</f>
        <v>Police</v>
      </c>
      <c r="J2087" t="str">
        <f>Raw_Claims_Data!J2086</f>
        <v>Berkeley</v>
      </c>
      <c r="K2087" t="str">
        <f>Raw_Claims_Data!K2086</f>
        <v>CA</v>
      </c>
      <c r="L2087">
        <f>Raw_Claims_Data!L2086</f>
        <v>15</v>
      </c>
      <c r="M2087" t="str">
        <f>IF(Raw_Claims_Data!M2086="","N/A",Raw_Claims_Data!M2086)</f>
        <v>VNDR00067</v>
      </c>
      <c r="N2087" t="str">
        <f>Raw_Claims_Data!N2086</f>
        <v>AGENT00283</v>
      </c>
      <c r="O2087">
        <f>IF(Raw_Claims_Data!G2086="D",1,0)</f>
        <v>0</v>
      </c>
    </row>
    <row r="2088" spans="1:15" x14ac:dyDescent="0.35">
      <c r="A2088" t="str">
        <f>Raw_Claims_Data!A2087</f>
        <v>TXN00002084</v>
      </c>
      <c r="B2088" t="str">
        <f>TRIM(Raw_Claims_Data!B2087)</f>
        <v>Gregory Conner</v>
      </c>
      <c r="C2088" t="str">
        <f>Raw_Claims_Data!C2087</f>
        <v>Health</v>
      </c>
      <c r="D2088">
        <f>Raw_Claims_Data!D2087</f>
        <v>191.46</v>
      </c>
      <c r="E2088">
        <f>Raw_Claims_Data!E2087</f>
        <v>15000</v>
      </c>
      <c r="F2088" t="str">
        <f>Raw_Claims_Data!F2087</f>
        <v>CO</v>
      </c>
      <c r="G2088" t="str">
        <f>Raw_Claims_Data!G2087</f>
        <v>A</v>
      </c>
      <c r="H2088" t="str">
        <f>Raw_Claims_Data!H2087</f>
        <v>Major Loss</v>
      </c>
      <c r="I2088" t="str">
        <f>IF(Raw_Claims_Data!I2087="","None",Raw_Claims_Data!I2087)</f>
        <v>Police</v>
      </c>
      <c r="J2088" t="str">
        <f>Raw_Claims_Data!J2087</f>
        <v>Washington</v>
      </c>
      <c r="K2088" t="str">
        <f>Raw_Claims_Data!K2087</f>
        <v>DC</v>
      </c>
      <c r="L2088">
        <f>Raw_Claims_Data!L2087</f>
        <v>4</v>
      </c>
      <c r="M2088" t="str">
        <f>IF(Raw_Claims_Data!M2087="","N/A",Raw_Claims_Data!M2087)</f>
        <v>VNDR00256</v>
      </c>
      <c r="N2088" t="str">
        <f>Raw_Claims_Data!N2087</f>
        <v>AGENT00612</v>
      </c>
      <c r="O2088">
        <f>IF(Raw_Claims_Data!G2087="D",1,0)</f>
        <v>0</v>
      </c>
    </row>
    <row r="2089" spans="1:15" x14ac:dyDescent="0.35">
      <c r="A2089" t="str">
        <f>Raw_Claims_Data!A2088</f>
        <v>TXN00002085</v>
      </c>
      <c r="B2089" t="str">
        <f>TRIM(Raw_Claims_Data!B2088)</f>
        <v>Jeremy Ares</v>
      </c>
      <c r="C2089" t="str">
        <f>Raw_Claims_Data!C2088</f>
        <v>Property</v>
      </c>
      <c r="D2089">
        <f>Raw_Claims_Data!D2088</f>
        <v>128.25</v>
      </c>
      <c r="E2089">
        <f>Raw_Claims_Data!E2088</f>
        <v>30000</v>
      </c>
      <c r="F2089" t="str">
        <f>Raw_Claims_Data!F2088</f>
        <v>CT</v>
      </c>
      <c r="G2089" t="str">
        <f>Raw_Claims_Data!G2088</f>
        <v>A</v>
      </c>
      <c r="H2089" t="str">
        <f>Raw_Claims_Data!H2088</f>
        <v>Total Loss</v>
      </c>
      <c r="I2089" t="str">
        <f>IF(Raw_Claims_Data!I2088="","None",Raw_Claims_Data!I2088)</f>
        <v>Other</v>
      </c>
      <c r="J2089" t="str">
        <f>Raw_Claims_Data!J2088</f>
        <v>Louisville</v>
      </c>
      <c r="K2089" t="str">
        <f>Raw_Claims_Data!K2088</f>
        <v>KY</v>
      </c>
      <c r="L2089">
        <f>Raw_Claims_Data!L2088</f>
        <v>18</v>
      </c>
      <c r="M2089" t="str">
        <f>IF(Raw_Claims_Data!M2088="","N/A",Raw_Claims_Data!M2088)</f>
        <v>VNDR00167</v>
      </c>
      <c r="N2089" t="str">
        <f>Raw_Claims_Data!N2088</f>
        <v>AGENT00438</v>
      </c>
      <c r="O2089">
        <f>IF(Raw_Claims_Data!G2088="D",1,0)</f>
        <v>0</v>
      </c>
    </row>
    <row r="2090" spans="1:15" x14ac:dyDescent="0.35">
      <c r="A2090" t="str">
        <f>Raw_Claims_Data!A2089</f>
        <v>TXN00002086</v>
      </c>
      <c r="B2090" t="str">
        <f>TRIM(Raw_Claims_Data!B2089)</f>
        <v>Robert Welch</v>
      </c>
      <c r="C2090" t="str">
        <f>Raw_Claims_Data!C2089</f>
        <v>Mobile</v>
      </c>
      <c r="D2090">
        <f>Raw_Claims_Data!D2089</f>
        <v>10.76</v>
      </c>
      <c r="E2090">
        <f>Raw_Claims_Data!E2089</f>
        <v>400</v>
      </c>
      <c r="F2090" t="str">
        <f>Raw_Claims_Data!F2089</f>
        <v>KY</v>
      </c>
      <c r="G2090" t="str">
        <f>Raw_Claims_Data!G2089</f>
        <v>A</v>
      </c>
      <c r="H2090" t="str">
        <f>Raw_Claims_Data!H2089</f>
        <v>Major Loss</v>
      </c>
      <c r="I2090" t="str">
        <f>IF(Raw_Claims_Data!I2089="","None",Raw_Claims_Data!I2089)</f>
        <v>Police</v>
      </c>
      <c r="J2090" t="str">
        <f>Raw_Claims_Data!J2089</f>
        <v>Oklahoma City</v>
      </c>
      <c r="K2090" t="str">
        <f>Raw_Claims_Data!K2089</f>
        <v>OK</v>
      </c>
      <c r="L2090">
        <f>Raw_Claims_Data!L2089</f>
        <v>9</v>
      </c>
      <c r="M2090" t="str">
        <f>IF(Raw_Claims_Data!M2089="","N/A",Raw_Claims_Data!M2089)</f>
        <v>VNDR00584</v>
      </c>
      <c r="N2090" t="str">
        <f>Raw_Claims_Data!N2089</f>
        <v>AGENT01023</v>
      </c>
      <c r="O2090">
        <f>IF(Raw_Claims_Data!G2089="D",1,0)</f>
        <v>0</v>
      </c>
    </row>
    <row r="2091" spans="1:15" x14ac:dyDescent="0.35">
      <c r="A2091" t="str">
        <f>Raw_Claims_Data!A2090</f>
        <v>TXN00002087</v>
      </c>
      <c r="B2091" t="str">
        <f>TRIM(Raw_Claims_Data!B2090)</f>
        <v>Andre Barlett</v>
      </c>
      <c r="C2091" t="str">
        <f>Raw_Claims_Data!C2090</f>
        <v>Life</v>
      </c>
      <c r="D2091">
        <f>Raw_Claims_Data!D2090</f>
        <v>67.47</v>
      </c>
      <c r="E2091">
        <f>Raw_Claims_Data!E2090</f>
        <v>80000</v>
      </c>
      <c r="F2091" t="str">
        <f>Raw_Claims_Data!F2090</f>
        <v>CO</v>
      </c>
      <c r="G2091" t="str">
        <f>Raw_Claims_Data!G2090</f>
        <v>A</v>
      </c>
      <c r="H2091" t="str">
        <f>Raw_Claims_Data!H2090</f>
        <v>Minor Loss</v>
      </c>
      <c r="I2091" t="str">
        <f>IF(Raw_Claims_Data!I2090="","None",Raw_Claims_Data!I2090)</f>
        <v>Ambulance</v>
      </c>
      <c r="J2091" t="str">
        <f>Raw_Claims_Data!J2090</f>
        <v>Arvada</v>
      </c>
      <c r="K2091" t="str">
        <f>Raw_Claims_Data!K2090</f>
        <v>CO</v>
      </c>
      <c r="L2091">
        <f>Raw_Claims_Data!L2090</f>
        <v>0</v>
      </c>
      <c r="M2091" t="str">
        <f>IF(Raw_Claims_Data!M2090="","N/A",Raw_Claims_Data!M2090)</f>
        <v>VNDR00432</v>
      </c>
      <c r="N2091" t="str">
        <f>Raw_Claims_Data!N2090</f>
        <v>AGENT01005</v>
      </c>
      <c r="O2091">
        <f>IF(Raw_Claims_Data!G2090="D",1,0)</f>
        <v>0</v>
      </c>
    </row>
    <row r="2092" spans="1:15" x14ac:dyDescent="0.35">
      <c r="A2092" t="str">
        <f>Raw_Claims_Data!A2091</f>
        <v>TXN00002088</v>
      </c>
      <c r="B2092" t="str">
        <f>TRIM(Raw_Claims_Data!B2091)</f>
        <v>Mina Layman</v>
      </c>
      <c r="C2092" t="str">
        <f>Raw_Claims_Data!C2091</f>
        <v>Health</v>
      </c>
      <c r="D2092">
        <f>Raw_Claims_Data!D2091</f>
        <v>194.87</v>
      </c>
      <c r="E2092">
        <f>Raw_Claims_Data!E2091</f>
        <v>18000</v>
      </c>
      <c r="F2092" t="str">
        <f>Raw_Claims_Data!F2091</f>
        <v>AL</v>
      </c>
      <c r="G2092" t="str">
        <f>Raw_Claims_Data!G2091</f>
        <v>A</v>
      </c>
      <c r="H2092" t="str">
        <f>Raw_Claims_Data!H2091</f>
        <v>Major Loss</v>
      </c>
      <c r="I2092" t="str">
        <f>IF(Raw_Claims_Data!I2091="","None",Raw_Claims_Data!I2091)</f>
        <v>None</v>
      </c>
      <c r="J2092" t="str">
        <f>Raw_Claims_Data!J2091</f>
        <v>Washington</v>
      </c>
      <c r="K2092" t="str">
        <f>Raw_Claims_Data!K2091</f>
        <v>DC</v>
      </c>
      <c r="L2092">
        <f>Raw_Claims_Data!L2091</f>
        <v>14</v>
      </c>
      <c r="M2092" t="str">
        <f>IF(Raw_Claims_Data!M2091="","N/A",Raw_Claims_Data!M2091)</f>
        <v>N/A</v>
      </c>
      <c r="N2092" t="str">
        <f>Raw_Claims_Data!N2091</f>
        <v>AGENT00682</v>
      </c>
      <c r="O2092">
        <f>IF(Raw_Claims_Data!G2091="D",1,0)</f>
        <v>0</v>
      </c>
    </row>
    <row r="2093" spans="1:15" x14ac:dyDescent="0.35">
      <c r="A2093" t="str">
        <f>Raw_Claims_Data!A2092</f>
        <v>TXN00002089</v>
      </c>
      <c r="B2093" t="str">
        <f>TRIM(Raw_Claims_Data!B2092)</f>
        <v>Carlton Mccalla</v>
      </c>
      <c r="C2093" t="str">
        <f>Raw_Claims_Data!C2092</f>
        <v>Mobile</v>
      </c>
      <c r="D2093">
        <f>Raw_Claims_Data!D2092</f>
        <v>9.94</v>
      </c>
      <c r="E2093">
        <f>Raw_Claims_Data!E2092</f>
        <v>700</v>
      </c>
      <c r="F2093" t="str">
        <f>Raw_Claims_Data!F2092</f>
        <v>AR</v>
      </c>
      <c r="G2093" t="str">
        <f>Raw_Claims_Data!G2092</f>
        <v>A</v>
      </c>
      <c r="H2093" t="str">
        <f>Raw_Claims_Data!H2092</f>
        <v>Minor Loss</v>
      </c>
      <c r="I2093" t="str">
        <f>IF(Raw_Claims_Data!I2092="","None",Raw_Claims_Data!I2092)</f>
        <v>Ambulance</v>
      </c>
      <c r="J2093" t="str">
        <f>Raw_Claims_Data!J2092</f>
        <v>Panama City Beach</v>
      </c>
      <c r="K2093" t="str">
        <f>Raw_Claims_Data!K2092</f>
        <v>FL</v>
      </c>
      <c r="L2093">
        <f>Raw_Claims_Data!L2092</f>
        <v>15</v>
      </c>
      <c r="M2093" t="str">
        <f>IF(Raw_Claims_Data!M2092="","N/A",Raw_Claims_Data!M2092)</f>
        <v>N/A</v>
      </c>
      <c r="N2093" t="str">
        <f>Raw_Claims_Data!N2092</f>
        <v>AGENT00872</v>
      </c>
      <c r="O2093">
        <f>IF(Raw_Claims_Data!G2092="D",1,0)</f>
        <v>0</v>
      </c>
    </row>
    <row r="2094" spans="1:15" x14ac:dyDescent="0.35">
      <c r="A2094" t="str">
        <f>Raw_Claims_Data!A2093</f>
        <v>TXN00002090</v>
      </c>
      <c r="B2094" t="str">
        <f>TRIM(Raw_Claims_Data!B2093)</f>
        <v>Lyndsey Bernier</v>
      </c>
      <c r="C2094" t="str">
        <f>Raw_Claims_Data!C2093</f>
        <v>Property</v>
      </c>
      <c r="D2094">
        <f>Raw_Claims_Data!D2093</f>
        <v>129.93</v>
      </c>
      <c r="E2094">
        <f>Raw_Claims_Data!E2093</f>
        <v>28000</v>
      </c>
      <c r="F2094" t="str">
        <f>Raw_Claims_Data!F2093</f>
        <v>DC</v>
      </c>
      <c r="G2094" t="str">
        <f>Raw_Claims_Data!G2093</f>
        <v>A</v>
      </c>
      <c r="H2094" t="str">
        <f>Raw_Claims_Data!H2093</f>
        <v>Total Loss</v>
      </c>
      <c r="I2094" t="str">
        <f>IF(Raw_Claims_Data!I2093="","None",Raw_Claims_Data!I2093)</f>
        <v>Police</v>
      </c>
      <c r="J2094" t="str">
        <f>Raw_Claims_Data!J2093</f>
        <v>Berkeley</v>
      </c>
      <c r="K2094" t="str">
        <f>Raw_Claims_Data!K2093</f>
        <v>CA</v>
      </c>
      <c r="L2094">
        <f>Raw_Claims_Data!L2093</f>
        <v>12</v>
      </c>
      <c r="M2094" t="str">
        <f>IF(Raw_Claims_Data!M2093="","N/A",Raw_Claims_Data!M2093)</f>
        <v>VNDR00188</v>
      </c>
      <c r="N2094" t="str">
        <f>Raw_Claims_Data!N2093</f>
        <v>AGENT00740</v>
      </c>
      <c r="O2094">
        <f>IF(Raw_Claims_Data!G2093="D",1,0)</f>
        <v>0</v>
      </c>
    </row>
    <row r="2095" spans="1:15" x14ac:dyDescent="0.35">
      <c r="A2095" t="str">
        <f>Raw_Claims_Data!A2094</f>
        <v>TXN00002091</v>
      </c>
      <c r="B2095" t="str">
        <f>TRIM(Raw_Claims_Data!B2094)</f>
        <v>Margaret Palmer</v>
      </c>
      <c r="C2095" t="str">
        <f>Raw_Claims_Data!C2094</f>
        <v>Motor</v>
      </c>
      <c r="D2095">
        <f>Raw_Claims_Data!D2094</f>
        <v>98.94</v>
      </c>
      <c r="E2095">
        <f>Raw_Claims_Data!E2094</f>
        <v>2000</v>
      </c>
      <c r="F2095" t="str">
        <f>Raw_Claims_Data!F2094</f>
        <v>GA</v>
      </c>
      <c r="G2095" t="str">
        <f>Raw_Claims_Data!G2094</f>
        <v>A</v>
      </c>
      <c r="H2095" t="str">
        <f>Raw_Claims_Data!H2094</f>
        <v>Major Loss</v>
      </c>
      <c r="I2095" t="str">
        <f>IF(Raw_Claims_Data!I2094="","None",Raw_Claims_Data!I2094)</f>
        <v>None</v>
      </c>
      <c r="J2095" t="str">
        <f>Raw_Claims_Data!J2094</f>
        <v>Savannah</v>
      </c>
      <c r="K2095" t="str">
        <f>Raw_Claims_Data!K2094</f>
        <v>GA</v>
      </c>
      <c r="L2095">
        <f>Raw_Claims_Data!L2094</f>
        <v>10</v>
      </c>
      <c r="M2095" t="str">
        <f>IF(Raw_Claims_Data!M2094="","N/A",Raw_Claims_Data!M2094)</f>
        <v>VNDR00168</v>
      </c>
      <c r="N2095" t="str">
        <f>Raw_Claims_Data!N2094</f>
        <v>AGENT01132</v>
      </c>
      <c r="O2095">
        <f>IF(Raw_Claims_Data!G2094="D",1,0)</f>
        <v>0</v>
      </c>
    </row>
    <row r="2096" spans="1:15" x14ac:dyDescent="0.35">
      <c r="A2096" t="str">
        <f>Raw_Claims_Data!A2095</f>
        <v>TXN00002092</v>
      </c>
      <c r="B2096" t="str">
        <f>TRIM(Raw_Claims_Data!B2095)</f>
        <v>Arlene Perego</v>
      </c>
      <c r="C2096" t="str">
        <f>Raw_Claims_Data!C2095</f>
        <v>Travel</v>
      </c>
      <c r="D2096">
        <f>Raw_Claims_Data!D2095</f>
        <v>70.59</v>
      </c>
      <c r="E2096">
        <f>Raw_Claims_Data!E2095</f>
        <v>2000</v>
      </c>
      <c r="F2096" t="str">
        <f>Raw_Claims_Data!F2095</f>
        <v>KY</v>
      </c>
      <c r="G2096" t="str">
        <f>Raw_Claims_Data!G2095</f>
        <v>A</v>
      </c>
      <c r="H2096" t="str">
        <f>Raw_Claims_Data!H2095</f>
        <v>Total Loss</v>
      </c>
      <c r="I2096" t="str">
        <f>IF(Raw_Claims_Data!I2095="","None",Raw_Claims_Data!I2095)</f>
        <v>Ambulance</v>
      </c>
      <c r="J2096" t="str">
        <f>Raw_Claims_Data!J2095</f>
        <v>Arvada</v>
      </c>
      <c r="K2096" t="str">
        <f>Raw_Claims_Data!K2095</f>
        <v>CO</v>
      </c>
      <c r="L2096">
        <f>Raw_Claims_Data!L2095</f>
        <v>2</v>
      </c>
      <c r="M2096" t="str">
        <f>IF(Raw_Claims_Data!M2095="","N/A",Raw_Claims_Data!M2095)</f>
        <v>N/A</v>
      </c>
      <c r="N2096" t="str">
        <f>Raw_Claims_Data!N2095</f>
        <v>AGENT01200</v>
      </c>
      <c r="O2096">
        <f>IF(Raw_Claims_Data!G2095="D",1,0)</f>
        <v>0</v>
      </c>
    </row>
    <row r="2097" spans="1:15" x14ac:dyDescent="0.35">
      <c r="A2097" t="str">
        <f>Raw_Claims_Data!A2096</f>
        <v>TXN00002093</v>
      </c>
      <c r="B2097" t="str">
        <f>TRIM(Raw_Claims_Data!B2096)</f>
        <v>Luann Cox</v>
      </c>
      <c r="C2097" t="str">
        <f>Raw_Claims_Data!C2096</f>
        <v>Property</v>
      </c>
      <c r="D2097">
        <f>Raw_Claims_Data!D2096</f>
        <v>116.96</v>
      </c>
      <c r="E2097">
        <f>Raw_Claims_Data!E2096</f>
        <v>39000</v>
      </c>
      <c r="F2097" t="str">
        <f>Raw_Claims_Data!F2096</f>
        <v>CA</v>
      </c>
      <c r="G2097" t="str">
        <f>Raw_Claims_Data!G2096</f>
        <v>A</v>
      </c>
      <c r="H2097" t="str">
        <f>Raw_Claims_Data!H2096</f>
        <v>Total Loss</v>
      </c>
      <c r="I2097" t="str">
        <f>IF(Raw_Claims_Data!I2096="","None",Raw_Claims_Data!I2096)</f>
        <v>None</v>
      </c>
      <c r="J2097" t="str">
        <f>Raw_Claims_Data!J2096</f>
        <v>Fayetteville</v>
      </c>
      <c r="K2097" t="str">
        <f>Raw_Claims_Data!K2096</f>
        <v>AR</v>
      </c>
      <c r="L2097">
        <f>Raw_Claims_Data!L2096</f>
        <v>21</v>
      </c>
      <c r="M2097" t="str">
        <f>IF(Raw_Claims_Data!M2096="","N/A",Raw_Claims_Data!M2096)</f>
        <v>N/A</v>
      </c>
      <c r="N2097" t="str">
        <f>Raw_Claims_Data!N2096</f>
        <v>AGENT00031</v>
      </c>
      <c r="O2097">
        <f>IF(Raw_Claims_Data!G2096="D",1,0)</f>
        <v>0</v>
      </c>
    </row>
    <row r="2098" spans="1:15" x14ac:dyDescent="0.35">
      <c r="A2098" t="str">
        <f>Raw_Claims_Data!A2097</f>
        <v>TXN00002094</v>
      </c>
      <c r="B2098" t="str">
        <f>TRIM(Raw_Claims_Data!B2097)</f>
        <v>Allen Chandler</v>
      </c>
      <c r="C2098" t="str">
        <f>Raw_Claims_Data!C2097</f>
        <v>Travel</v>
      </c>
      <c r="D2098">
        <f>Raw_Claims_Data!D2097</f>
        <v>67.930000000000007</v>
      </c>
      <c r="E2098">
        <f>Raw_Claims_Data!E2097</f>
        <v>5000</v>
      </c>
      <c r="F2098" t="str">
        <f>Raw_Claims_Data!F2097</f>
        <v>FL</v>
      </c>
      <c r="G2098" t="str">
        <f>Raw_Claims_Data!G2097</f>
        <v>A</v>
      </c>
      <c r="H2098" t="str">
        <f>Raw_Claims_Data!H2097</f>
        <v>Total Loss</v>
      </c>
      <c r="I2098" t="str">
        <f>IF(Raw_Claims_Data!I2097="","None",Raw_Claims_Data!I2097)</f>
        <v>Police</v>
      </c>
      <c r="J2098" t="str">
        <f>Raw_Claims_Data!J2097</f>
        <v>Washington</v>
      </c>
      <c r="K2098" t="str">
        <f>Raw_Claims_Data!K2097</f>
        <v>DC</v>
      </c>
      <c r="L2098">
        <f>Raw_Claims_Data!L2097</f>
        <v>4</v>
      </c>
      <c r="M2098" t="str">
        <f>IF(Raw_Claims_Data!M2097="","N/A",Raw_Claims_Data!M2097)</f>
        <v>VNDR00473</v>
      </c>
      <c r="N2098" t="str">
        <f>Raw_Claims_Data!N2097</f>
        <v>AGENT00344</v>
      </c>
      <c r="O2098">
        <f>IF(Raw_Claims_Data!G2097="D",1,0)</f>
        <v>0</v>
      </c>
    </row>
    <row r="2099" spans="1:15" x14ac:dyDescent="0.35">
      <c r="A2099" t="str">
        <f>Raw_Claims_Data!A2098</f>
        <v>TXN00002095</v>
      </c>
      <c r="B2099" t="str">
        <f>TRIM(Raw_Claims_Data!B2098)</f>
        <v>Gary Perkins</v>
      </c>
      <c r="C2099" t="str">
        <f>Raw_Claims_Data!C2098</f>
        <v>Property</v>
      </c>
      <c r="D2099">
        <f>Raw_Claims_Data!D2098</f>
        <v>156.33000000000001</v>
      </c>
      <c r="E2099">
        <f>Raw_Claims_Data!E2098</f>
        <v>11000</v>
      </c>
      <c r="F2099" t="str">
        <f>Raw_Claims_Data!F2098</f>
        <v>AR</v>
      </c>
      <c r="G2099" t="str">
        <f>Raw_Claims_Data!G2098</f>
        <v>A</v>
      </c>
      <c r="H2099" t="str">
        <f>Raw_Claims_Data!H2098</f>
        <v>Major Loss</v>
      </c>
      <c r="I2099" t="str">
        <f>IF(Raw_Claims_Data!I2098="","None",Raw_Claims_Data!I2098)</f>
        <v>Ambulance</v>
      </c>
      <c r="J2099" t="str">
        <f>Raw_Claims_Data!J2098</f>
        <v>Nashville</v>
      </c>
      <c r="K2099" t="str">
        <f>Raw_Claims_Data!K2098</f>
        <v>TN</v>
      </c>
      <c r="L2099">
        <f>Raw_Claims_Data!L2098</f>
        <v>4</v>
      </c>
      <c r="M2099" t="str">
        <f>IF(Raw_Claims_Data!M2098="","N/A",Raw_Claims_Data!M2098)</f>
        <v>N/A</v>
      </c>
      <c r="N2099" t="str">
        <f>Raw_Claims_Data!N2098</f>
        <v>AGENT01177</v>
      </c>
      <c r="O2099">
        <f>IF(Raw_Claims_Data!G2098="D",1,0)</f>
        <v>0</v>
      </c>
    </row>
    <row r="2100" spans="1:15" x14ac:dyDescent="0.35">
      <c r="A2100" t="str">
        <f>Raw_Claims_Data!A2099</f>
        <v>TXN00002096</v>
      </c>
      <c r="B2100" t="str">
        <f>TRIM(Raw_Claims_Data!B2099)</f>
        <v>John Crumpton</v>
      </c>
      <c r="C2100" t="str">
        <f>Raw_Claims_Data!C2099</f>
        <v>Property</v>
      </c>
      <c r="D2100">
        <f>Raw_Claims_Data!D2099</f>
        <v>109.07</v>
      </c>
      <c r="E2100">
        <f>Raw_Claims_Data!E2099</f>
        <v>37000</v>
      </c>
      <c r="F2100" t="str">
        <f>Raw_Claims_Data!F2099</f>
        <v>DC</v>
      </c>
      <c r="G2100" t="str">
        <f>Raw_Claims_Data!G2099</f>
        <v>A</v>
      </c>
      <c r="H2100" t="str">
        <f>Raw_Claims_Data!H2099</f>
        <v>Minor Loss</v>
      </c>
      <c r="I2100" t="str">
        <f>IF(Raw_Claims_Data!I2099="","None",Raw_Claims_Data!I2099)</f>
        <v>Ambulance</v>
      </c>
      <c r="J2100" t="str">
        <f>Raw_Claims_Data!J2099</f>
        <v>Fayetteville</v>
      </c>
      <c r="K2100" t="str">
        <f>Raw_Claims_Data!K2099</f>
        <v>AR</v>
      </c>
      <c r="L2100">
        <f>Raw_Claims_Data!L2099</f>
        <v>8</v>
      </c>
      <c r="M2100" t="str">
        <f>IF(Raw_Claims_Data!M2099="","N/A",Raw_Claims_Data!M2099)</f>
        <v>N/A</v>
      </c>
      <c r="N2100" t="str">
        <f>Raw_Claims_Data!N2099</f>
        <v>AGENT00111</v>
      </c>
      <c r="O2100">
        <f>IF(Raw_Claims_Data!G2099="D",1,0)</f>
        <v>0</v>
      </c>
    </row>
    <row r="2101" spans="1:15" x14ac:dyDescent="0.35">
      <c r="A2101" t="str">
        <f>Raw_Claims_Data!A2100</f>
        <v>TXN00002097</v>
      </c>
      <c r="B2101" t="str">
        <f>TRIM(Raw_Claims_Data!B2100)</f>
        <v>Thomas Thomas</v>
      </c>
      <c r="C2101" t="str">
        <f>Raw_Claims_Data!C2100</f>
        <v>Life</v>
      </c>
      <c r="D2101">
        <f>Raw_Claims_Data!D2100</f>
        <v>92.74</v>
      </c>
      <c r="E2101">
        <f>Raw_Claims_Data!E2100</f>
        <v>36000</v>
      </c>
      <c r="F2101" t="str">
        <f>Raw_Claims_Data!F2100</f>
        <v>AZ</v>
      </c>
      <c r="G2101" t="str">
        <f>Raw_Claims_Data!G2100</f>
        <v>A</v>
      </c>
      <c r="H2101" t="str">
        <f>Raw_Claims_Data!H2100</f>
        <v>Total Loss</v>
      </c>
      <c r="I2101" t="str">
        <f>IF(Raw_Claims_Data!I2100="","None",Raw_Claims_Data!I2100)</f>
        <v>Other</v>
      </c>
      <c r="J2101" t="str">
        <f>Raw_Claims_Data!J2100</f>
        <v>Louisville</v>
      </c>
      <c r="K2101" t="str">
        <f>Raw_Claims_Data!K2100</f>
        <v>KY</v>
      </c>
      <c r="L2101">
        <f>Raw_Claims_Data!L2100</f>
        <v>11</v>
      </c>
      <c r="M2101" t="str">
        <f>IF(Raw_Claims_Data!M2100="","N/A",Raw_Claims_Data!M2100)</f>
        <v>N/A</v>
      </c>
      <c r="N2101" t="str">
        <f>Raw_Claims_Data!N2100</f>
        <v>AGENT00193</v>
      </c>
      <c r="O2101">
        <f>IF(Raw_Claims_Data!G2100="D",1,0)</f>
        <v>0</v>
      </c>
    </row>
    <row r="2102" spans="1:15" x14ac:dyDescent="0.35">
      <c r="A2102" t="str">
        <f>Raw_Claims_Data!A2101</f>
        <v>TXN00002098</v>
      </c>
      <c r="B2102" t="str">
        <f>TRIM(Raw_Claims_Data!B2101)</f>
        <v>Lauren Raymond</v>
      </c>
      <c r="C2102" t="str">
        <f>Raw_Claims_Data!C2101</f>
        <v>Mobile</v>
      </c>
      <c r="D2102">
        <f>Raw_Claims_Data!D2101</f>
        <v>10.26</v>
      </c>
      <c r="E2102">
        <f>Raw_Claims_Data!E2101</f>
        <v>600</v>
      </c>
      <c r="F2102" t="str">
        <f>Raw_Claims_Data!F2101</f>
        <v>VT</v>
      </c>
      <c r="G2102" t="str">
        <f>Raw_Claims_Data!G2101</f>
        <v>A</v>
      </c>
      <c r="H2102" t="str">
        <f>Raw_Claims_Data!H2101</f>
        <v>Total Loss</v>
      </c>
      <c r="I2102" t="str">
        <f>IF(Raw_Claims_Data!I2101="","None",Raw_Claims_Data!I2101)</f>
        <v>Ambulance</v>
      </c>
      <c r="J2102" t="str">
        <f>Raw_Claims_Data!J2101</f>
        <v>Glen Burnie</v>
      </c>
      <c r="K2102" t="str">
        <f>Raw_Claims_Data!K2101</f>
        <v>MD</v>
      </c>
      <c r="L2102">
        <f>Raw_Claims_Data!L2101</f>
        <v>13</v>
      </c>
      <c r="M2102" t="str">
        <f>IF(Raw_Claims_Data!M2101="","N/A",Raw_Claims_Data!M2101)</f>
        <v>VNDR00499</v>
      </c>
      <c r="N2102" t="str">
        <f>Raw_Claims_Data!N2101</f>
        <v>AGENT00944</v>
      </c>
      <c r="O2102">
        <f>IF(Raw_Claims_Data!G2101="D",1,0)</f>
        <v>0</v>
      </c>
    </row>
    <row r="2103" spans="1:15" x14ac:dyDescent="0.35">
      <c r="A2103" t="str">
        <f>Raw_Claims_Data!A2102</f>
        <v>TXN00002099</v>
      </c>
      <c r="B2103" t="str">
        <f>TRIM(Raw_Claims_Data!B2102)</f>
        <v>Katherine Dunn</v>
      </c>
      <c r="C2103" t="str">
        <f>Raw_Claims_Data!C2102</f>
        <v>Health</v>
      </c>
      <c r="D2103">
        <f>Raw_Claims_Data!D2102</f>
        <v>199.45</v>
      </c>
      <c r="E2103">
        <f>Raw_Claims_Data!E2102</f>
        <v>1000</v>
      </c>
      <c r="F2103" t="str">
        <f>Raw_Claims_Data!F2102</f>
        <v>GA</v>
      </c>
      <c r="G2103" t="str">
        <f>Raw_Claims_Data!G2102</f>
        <v>A</v>
      </c>
      <c r="H2103" t="str">
        <f>Raw_Claims_Data!H2102</f>
        <v>Minor Loss</v>
      </c>
      <c r="I2103" t="str">
        <f>IF(Raw_Claims_Data!I2102="","None",Raw_Claims_Data!I2102)</f>
        <v>None</v>
      </c>
      <c r="J2103" t="str">
        <f>Raw_Claims_Data!J2102</f>
        <v>Louisville</v>
      </c>
      <c r="K2103" t="str">
        <f>Raw_Claims_Data!K2102</f>
        <v>KY</v>
      </c>
      <c r="L2103">
        <f>Raw_Claims_Data!L2102</f>
        <v>4</v>
      </c>
      <c r="M2103" t="str">
        <f>IF(Raw_Claims_Data!M2102="","N/A",Raw_Claims_Data!M2102)</f>
        <v>N/A</v>
      </c>
      <c r="N2103" t="str">
        <f>Raw_Claims_Data!N2102</f>
        <v>AGENT00496</v>
      </c>
      <c r="O2103">
        <f>IF(Raw_Claims_Data!G2102="D",1,0)</f>
        <v>0</v>
      </c>
    </row>
    <row r="2104" spans="1:15" x14ac:dyDescent="0.35">
      <c r="A2104" t="str">
        <f>Raw_Claims_Data!A2103</f>
        <v>TXN00002100</v>
      </c>
      <c r="B2104" t="str">
        <f>TRIM(Raw_Claims_Data!B2103)</f>
        <v>Patrick Rasmussen</v>
      </c>
      <c r="C2104" t="str">
        <f>Raw_Claims_Data!C2103</f>
        <v>Property</v>
      </c>
      <c r="D2104">
        <f>Raw_Claims_Data!D2103</f>
        <v>130.93</v>
      </c>
      <c r="E2104">
        <f>Raw_Claims_Data!E2103</f>
        <v>20000</v>
      </c>
      <c r="F2104" t="str">
        <f>Raw_Claims_Data!F2103</f>
        <v>VT</v>
      </c>
      <c r="G2104" t="str">
        <f>Raw_Claims_Data!G2103</f>
        <v>A</v>
      </c>
      <c r="H2104" t="str">
        <f>Raw_Claims_Data!H2103</f>
        <v>Total Loss</v>
      </c>
      <c r="I2104" t="str">
        <f>IF(Raw_Claims_Data!I2103="","None",Raw_Claims_Data!I2103)</f>
        <v>Police</v>
      </c>
      <c r="J2104" t="str">
        <f>Raw_Claims_Data!J2103</f>
        <v>Hayward</v>
      </c>
      <c r="K2104" t="str">
        <f>Raw_Claims_Data!K2103</f>
        <v>CA</v>
      </c>
      <c r="L2104">
        <f>Raw_Claims_Data!L2103</f>
        <v>7</v>
      </c>
      <c r="M2104" t="str">
        <f>IF(Raw_Claims_Data!M2103="","N/A",Raw_Claims_Data!M2103)</f>
        <v>VNDR00107</v>
      </c>
      <c r="N2104" t="str">
        <f>Raw_Claims_Data!N2103</f>
        <v>AGENT00502</v>
      </c>
      <c r="O2104">
        <f>IF(Raw_Claims_Data!G2103="D",1,0)</f>
        <v>0</v>
      </c>
    </row>
    <row r="2105" spans="1:15" x14ac:dyDescent="0.35">
      <c r="A2105" t="str">
        <f>Raw_Claims_Data!A2104</f>
        <v>TXN00002101</v>
      </c>
      <c r="B2105" t="str">
        <f>TRIM(Raw_Claims_Data!B2104)</f>
        <v>Barbara Papp</v>
      </c>
      <c r="C2105" t="str">
        <f>Raw_Claims_Data!C2104</f>
        <v>Property</v>
      </c>
      <c r="D2105">
        <f>Raw_Claims_Data!D2104</f>
        <v>89.34</v>
      </c>
      <c r="E2105">
        <f>Raw_Claims_Data!E2104</f>
        <v>32000</v>
      </c>
      <c r="F2105" t="str">
        <f>Raw_Claims_Data!F2104</f>
        <v>AR</v>
      </c>
      <c r="G2105" t="str">
        <f>Raw_Claims_Data!G2104</f>
        <v>A</v>
      </c>
      <c r="H2105" t="str">
        <f>Raw_Claims_Data!H2104</f>
        <v>Minor Loss</v>
      </c>
      <c r="I2105" t="str">
        <f>IF(Raw_Claims_Data!I2104="","None",Raw_Claims_Data!I2104)</f>
        <v>Police</v>
      </c>
      <c r="J2105" t="str">
        <f>Raw_Claims_Data!J2104</f>
        <v>Mexico Beach</v>
      </c>
      <c r="K2105" t="str">
        <f>Raw_Claims_Data!K2104</f>
        <v>FL</v>
      </c>
      <c r="L2105">
        <f>Raw_Claims_Data!L2104</f>
        <v>15</v>
      </c>
      <c r="M2105" t="str">
        <f>IF(Raw_Claims_Data!M2104="","N/A",Raw_Claims_Data!M2104)</f>
        <v>VNDR00031</v>
      </c>
      <c r="N2105" t="str">
        <f>Raw_Claims_Data!N2104</f>
        <v>AGENT00299</v>
      </c>
      <c r="O2105">
        <f>IF(Raw_Claims_Data!G2104="D",1,0)</f>
        <v>0</v>
      </c>
    </row>
    <row r="2106" spans="1:15" x14ac:dyDescent="0.35">
      <c r="A2106" t="str">
        <f>Raw_Claims_Data!A2105</f>
        <v>TXN00002102</v>
      </c>
      <c r="B2106" t="str">
        <f>TRIM(Raw_Claims_Data!B2105)</f>
        <v>Roger Atkinson</v>
      </c>
      <c r="C2106" t="str">
        <f>Raw_Claims_Data!C2105</f>
        <v>Life</v>
      </c>
      <c r="D2106">
        <f>Raw_Claims_Data!D2105</f>
        <v>76.92</v>
      </c>
      <c r="E2106">
        <f>Raw_Claims_Data!E2105</f>
        <v>12000</v>
      </c>
      <c r="F2106" t="str">
        <f>Raw_Claims_Data!F2105</f>
        <v>TN</v>
      </c>
      <c r="G2106" t="str">
        <f>Raw_Claims_Data!G2105</f>
        <v>A</v>
      </c>
      <c r="H2106" t="str">
        <f>Raw_Claims_Data!H2105</f>
        <v>Minor Loss</v>
      </c>
      <c r="I2106" t="str">
        <f>IF(Raw_Claims_Data!I2105="","None",Raw_Claims_Data!I2105)</f>
        <v>Police</v>
      </c>
      <c r="J2106" t="str">
        <f>Raw_Claims_Data!J2105</f>
        <v>Oakland</v>
      </c>
      <c r="K2106" t="str">
        <f>Raw_Claims_Data!K2105</f>
        <v>CA</v>
      </c>
      <c r="L2106">
        <f>Raw_Claims_Data!L2105</f>
        <v>19</v>
      </c>
      <c r="M2106" t="str">
        <f>IF(Raw_Claims_Data!M2105="","N/A",Raw_Claims_Data!M2105)</f>
        <v>N/A</v>
      </c>
      <c r="N2106" t="str">
        <f>Raw_Claims_Data!N2105</f>
        <v>AGENT00356</v>
      </c>
      <c r="O2106">
        <f>IF(Raw_Claims_Data!G2105="D",1,0)</f>
        <v>0</v>
      </c>
    </row>
    <row r="2107" spans="1:15" x14ac:dyDescent="0.35">
      <c r="A2107" t="str">
        <f>Raw_Claims_Data!A2106</f>
        <v>TXN00002103</v>
      </c>
      <c r="B2107" t="str">
        <f>TRIM(Raw_Claims_Data!B2106)</f>
        <v>Christopher Cloutier</v>
      </c>
      <c r="C2107" t="str">
        <f>Raw_Claims_Data!C2106</f>
        <v>Motor</v>
      </c>
      <c r="D2107">
        <f>Raw_Claims_Data!D2106</f>
        <v>105.54</v>
      </c>
      <c r="E2107">
        <f>Raw_Claims_Data!E2106</f>
        <v>7000</v>
      </c>
      <c r="F2107" t="str">
        <f>Raw_Claims_Data!F2106</f>
        <v>VT</v>
      </c>
      <c r="G2107" t="str">
        <f>Raw_Claims_Data!G2106</f>
        <v>A</v>
      </c>
      <c r="H2107" t="str">
        <f>Raw_Claims_Data!H2106</f>
        <v>Major Loss</v>
      </c>
      <c r="I2107" t="str">
        <f>IF(Raw_Claims_Data!I2106="","None",Raw_Claims_Data!I2106)</f>
        <v>Ambulance</v>
      </c>
      <c r="J2107" t="str">
        <f>Raw_Claims_Data!J2106</f>
        <v>Savannah</v>
      </c>
      <c r="K2107" t="str">
        <f>Raw_Claims_Data!K2106</f>
        <v>GA</v>
      </c>
      <c r="L2107">
        <f>Raw_Claims_Data!L2106</f>
        <v>18</v>
      </c>
      <c r="M2107" t="str">
        <f>IF(Raw_Claims_Data!M2106="","N/A",Raw_Claims_Data!M2106)</f>
        <v>VNDR00263</v>
      </c>
      <c r="N2107" t="str">
        <f>Raw_Claims_Data!N2106</f>
        <v>AGENT00094</v>
      </c>
      <c r="O2107">
        <f>IF(Raw_Claims_Data!G2106="D",1,0)</f>
        <v>0</v>
      </c>
    </row>
    <row r="2108" spans="1:15" x14ac:dyDescent="0.35">
      <c r="A2108" t="str">
        <f>Raw_Claims_Data!A2107</f>
        <v>TXN00002104</v>
      </c>
      <c r="B2108" t="str">
        <f>TRIM(Raw_Claims_Data!B2107)</f>
        <v>Anthony Mayo</v>
      </c>
      <c r="C2108" t="str">
        <f>Raw_Claims_Data!C2107</f>
        <v>Motor</v>
      </c>
      <c r="D2108">
        <f>Raw_Claims_Data!D2107</f>
        <v>134.28</v>
      </c>
      <c r="E2108">
        <f>Raw_Claims_Data!E2107</f>
        <v>7000</v>
      </c>
      <c r="F2108" t="str">
        <f>Raw_Claims_Data!F2107</f>
        <v>OK</v>
      </c>
      <c r="G2108" t="str">
        <f>Raw_Claims_Data!G2107</f>
        <v>A</v>
      </c>
      <c r="H2108" t="str">
        <f>Raw_Claims_Data!H2107</f>
        <v>Minor Loss</v>
      </c>
      <c r="I2108" t="str">
        <f>IF(Raw_Claims_Data!I2107="","None",Raw_Claims_Data!I2107)</f>
        <v>None</v>
      </c>
      <c r="J2108" t="str">
        <f>Raw_Claims_Data!J2107</f>
        <v>Saint Matthews</v>
      </c>
      <c r="K2108" t="str">
        <f>Raw_Claims_Data!K2107</f>
        <v>KY</v>
      </c>
      <c r="L2108">
        <f>Raw_Claims_Data!L2107</f>
        <v>2</v>
      </c>
      <c r="M2108" t="str">
        <f>IF(Raw_Claims_Data!M2107="","N/A",Raw_Claims_Data!M2107)</f>
        <v>VNDR00033</v>
      </c>
      <c r="N2108" t="str">
        <f>Raw_Claims_Data!N2107</f>
        <v>AGENT00757</v>
      </c>
      <c r="O2108">
        <f>IF(Raw_Claims_Data!G2107="D",1,0)</f>
        <v>0</v>
      </c>
    </row>
    <row r="2109" spans="1:15" x14ac:dyDescent="0.35">
      <c r="A2109" t="str">
        <f>Raw_Claims_Data!A2108</f>
        <v>TXN00002105</v>
      </c>
      <c r="B2109" t="str">
        <f>TRIM(Raw_Claims_Data!B2108)</f>
        <v>Alma Charles</v>
      </c>
      <c r="C2109" t="str">
        <f>Raw_Claims_Data!C2108</f>
        <v>Health</v>
      </c>
      <c r="D2109">
        <f>Raw_Claims_Data!D2108</f>
        <v>111.17</v>
      </c>
      <c r="E2109">
        <f>Raw_Claims_Data!E2108</f>
        <v>18000</v>
      </c>
      <c r="F2109" t="str">
        <f>Raw_Claims_Data!F2108</f>
        <v>KY</v>
      </c>
      <c r="G2109" t="str">
        <f>Raw_Claims_Data!G2108</f>
        <v>A</v>
      </c>
      <c r="H2109" t="str">
        <f>Raw_Claims_Data!H2108</f>
        <v>Total Loss</v>
      </c>
      <c r="I2109" t="str">
        <f>IF(Raw_Claims_Data!I2108="","None",Raw_Claims_Data!I2108)</f>
        <v>Ambulance</v>
      </c>
      <c r="J2109" t="str">
        <f>Raw_Claims_Data!J2108</f>
        <v>Glen Burnie</v>
      </c>
      <c r="K2109" t="str">
        <f>Raw_Claims_Data!K2108</f>
        <v>MD</v>
      </c>
      <c r="L2109">
        <f>Raw_Claims_Data!L2108</f>
        <v>18</v>
      </c>
      <c r="M2109" t="str">
        <f>IF(Raw_Claims_Data!M2108="","N/A",Raw_Claims_Data!M2108)</f>
        <v>N/A</v>
      </c>
      <c r="N2109" t="str">
        <f>Raw_Claims_Data!N2108</f>
        <v>AGENT00258</v>
      </c>
      <c r="O2109">
        <f>IF(Raw_Claims_Data!G2108="D",1,0)</f>
        <v>0</v>
      </c>
    </row>
    <row r="2110" spans="1:15" x14ac:dyDescent="0.35">
      <c r="A2110" t="str">
        <f>Raw_Claims_Data!A2109</f>
        <v>TXN00002106</v>
      </c>
      <c r="B2110" t="str">
        <f>TRIM(Raw_Claims_Data!B2109)</f>
        <v>Frances Deluca</v>
      </c>
      <c r="C2110" t="str">
        <f>Raw_Claims_Data!C2109</f>
        <v>Mobile</v>
      </c>
      <c r="D2110">
        <f>Raw_Claims_Data!D2109</f>
        <v>8.6999999999999993</v>
      </c>
      <c r="E2110">
        <f>Raw_Claims_Data!E2109</f>
        <v>200</v>
      </c>
      <c r="F2110" t="str">
        <f>Raw_Claims_Data!F2109</f>
        <v>CT</v>
      </c>
      <c r="G2110" t="str">
        <f>Raw_Claims_Data!G2109</f>
        <v>A</v>
      </c>
      <c r="H2110" t="str">
        <f>Raw_Claims_Data!H2109</f>
        <v>Major Loss</v>
      </c>
      <c r="I2110" t="str">
        <f>IF(Raw_Claims_Data!I2109="","None",Raw_Claims_Data!I2109)</f>
        <v>Police</v>
      </c>
      <c r="J2110" t="str">
        <f>Raw_Claims_Data!J2109</f>
        <v>Fayetteville</v>
      </c>
      <c r="K2110" t="str">
        <f>Raw_Claims_Data!K2109</f>
        <v>AR</v>
      </c>
      <c r="L2110">
        <f>Raw_Claims_Data!L2109</f>
        <v>4</v>
      </c>
      <c r="M2110" t="str">
        <f>IF(Raw_Claims_Data!M2109="","N/A",Raw_Claims_Data!M2109)</f>
        <v>VNDR00009</v>
      </c>
      <c r="N2110" t="str">
        <f>Raw_Claims_Data!N2109</f>
        <v>AGENT00693</v>
      </c>
      <c r="O2110">
        <f>IF(Raw_Claims_Data!G2109="D",1,0)</f>
        <v>0</v>
      </c>
    </row>
    <row r="2111" spans="1:15" x14ac:dyDescent="0.35">
      <c r="A2111" t="str">
        <f>Raw_Claims_Data!A2110</f>
        <v>TXN00002107</v>
      </c>
      <c r="B2111" t="str">
        <f>TRIM(Raw_Claims_Data!B2110)</f>
        <v>Arthur Salmon</v>
      </c>
      <c r="C2111" t="str">
        <f>Raw_Claims_Data!C2110</f>
        <v>Travel</v>
      </c>
      <c r="D2111">
        <f>Raw_Claims_Data!D2110</f>
        <v>88.61</v>
      </c>
      <c r="E2111">
        <f>Raw_Claims_Data!E2110</f>
        <v>2000</v>
      </c>
      <c r="F2111" t="str">
        <f>Raw_Claims_Data!F2110</f>
        <v>TN</v>
      </c>
      <c r="G2111" t="str">
        <f>Raw_Claims_Data!G2110</f>
        <v>D</v>
      </c>
      <c r="H2111" t="str">
        <f>Raw_Claims_Data!H2110</f>
        <v>Total Loss</v>
      </c>
      <c r="I2111" t="str">
        <f>IF(Raw_Claims_Data!I2110="","None",Raw_Claims_Data!I2110)</f>
        <v>Police</v>
      </c>
      <c r="J2111" t="str">
        <f>Raw_Claims_Data!J2110</f>
        <v>Saint Albans Town</v>
      </c>
      <c r="K2111" t="str">
        <f>Raw_Claims_Data!K2110</f>
        <v>VT</v>
      </c>
      <c r="L2111">
        <f>Raw_Claims_Data!L2110</f>
        <v>21</v>
      </c>
      <c r="M2111" t="str">
        <f>IF(Raw_Claims_Data!M2110="","N/A",Raw_Claims_Data!M2110)</f>
        <v>VNDR00555</v>
      </c>
      <c r="N2111" t="str">
        <f>Raw_Claims_Data!N2110</f>
        <v>AGENT01084</v>
      </c>
      <c r="O2111">
        <f>IF(Raw_Claims_Data!G2110="D",1,0)</f>
        <v>1</v>
      </c>
    </row>
    <row r="2112" spans="1:15" x14ac:dyDescent="0.35">
      <c r="A2112" t="str">
        <f>Raw_Claims_Data!A2111</f>
        <v>TXN00002108</v>
      </c>
      <c r="B2112" t="str">
        <f>TRIM(Raw_Claims_Data!B2111)</f>
        <v>Tony Medina</v>
      </c>
      <c r="C2112" t="str">
        <f>Raw_Claims_Data!C2111</f>
        <v>Property</v>
      </c>
      <c r="D2112">
        <f>Raw_Claims_Data!D2111</f>
        <v>143.04</v>
      </c>
      <c r="E2112">
        <f>Raw_Claims_Data!E2111</f>
        <v>26000</v>
      </c>
      <c r="F2112" t="str">
        <f>Raw_Claims_Data!F2111</f>
        <v>OK</v>
      </c>
      <c r="G2112" t="str">
        <f>Raw_Claims_Data!G2111</f>
        <v>A</v>
      </c>
      <c r="H2112" t="str">
        <f>Raw_Claims_Data!H2111</f>
        <v>Major Loss</v>
      </c>
      <c r="I2112" t="str">
        <f>IF(Raw_Claims_Data!I2111="","None",Raw_Claims_Data!I2111)</f>
        <v>Police</v>
      </c>
      <c r="J2112" t="str">
        <f>Raw_Claims_Data!J2111</f>
        <v>Anchorage</v>
      </c>
      <c r="K2112" t="str">
        <f>Raw_Claims_Data!K2111</f>
        <v>AK</v>
      </c>
      <c r="L2112">
        <f>Raw_Claims_Data!L2111</f>
        <v>21</v>
      </c>
      <c r="M2112" t="str">
        <f>IF(Raw_Claims_Data!M2111="","N/A",Raw_Claims_Data!M2111)</f>
        <v>VNDR00415</v>
      </c>
      <c r="N2112" t="str">
        <f>Raw_Claims_Data!N2111</f>
        <v>AGENT00023</v>
      </c>
      <c r="O2112">
        <f>IF(Raw_Claims_Data!G2111="D",1,0)</f>
        <v>0</v>
      </c>
    </row>
    <row r="2113" spans="1:15" x14ac:dyDescent="0.35">
      <c r="A2113" t="str">
        <f>Raw_Claims_Data!A2112</f>
        <v>TXN00002109</v>
      </c>
      <c r="B2113" t="str">
        <f>TRIM(Raw_Claims_Data!B2112)</f>
        <v>Carl Dowling</v>
      </c>
      <c r="C2113" t="str">
        <f>Raw_Claims_Data!C2112</f>
        <v>Health</v>
      </c>
      <c r="D2113">
        <f>Raw_Claims_Data!D2112</f>
        <v>176.95</v>
      </c>
      <c r="E2113">
        <f>Raw_Claims_Data!E2112</f>
        <v>11000</v>
      </c>
      <c r="F2113" t="str">
        <f>Raw_Claims_Data!F2112</f>
        <v>FL</v>
      </c>
      <c r="G2113" t="str">
        <f>Raw_Claims_Data!G2112</f>
        <v>A</v>
      </c>
      <c r="H2113" t="str">
        <f>Raw_Claims_Data!H2112</f>
        <v>Minor Loss</v>
      </c>
      <c r="I2113" t="str">
        <f>IF(Raw_Claims_Data!I2112="","None",Raw_Claims_Data!I2112)</f>
        <v>None</v>
      </c>
      <c r="J2113" t="str">
        <f>Raw_Claims_Data!J2112</f>
        <v>Fayetteville</v>
      </c>
      <c r="K2113" t="str">
        <f>Raw_Claims_Data!K2112</f>
        <v>AR</v>
      </c>
      <c r="L2113">
        <f>Raw_Claims_Data!L2112</f>
        <v>0</v>
      </c>
      <c r="M2113" t="str">
        <f>IF(Raw_Claims_Data!M2112="","N/A",Raw_Claims_Data!M2112)</f>
        <v>VNDR00060</v>
      </c>
      <c r="N2113" t="str">
        <f>Raw_Claims_Data!N2112</f>
        <v>AGENT00789</v>
      </c>
      <c r="O2113">
        <f>IF(Raw_Claims_Data!G2112="D",1,0)</f>
        <v>0</v>
      </c>
    </row>
    <row r="2114" spans="1:15" x14ac:dyDescent="0.35">
      <c r="A2114" t="str">
        <f>Raw_Claims_Data!A2113</f>
        <v>TXN00002110</v>
      </c>
      <c r="B2114" t="str">
        <f>TRIM(Raw_Claims_Data!B2113)</f>
        <v>Ruth Elder</v>
      </c>
      <c r="C2114" t="str">
        <f>Raw_Claims_Data!C2113</f>
        <v>Travel</v>
      </c>
      <c r="D2114">
        <f>Raw_Claims_Data!D2113</f>
        <v>53.19</v>
      </c>
      <c r="E2114">
        <f>Raw_Claims_Data!E2113</f>
        <v>4000</v>
      </c>
      <c r="F2114" t="str">
        <f>Raw_Claims_Data!F2113</f>
        <v>CT</v>
      </c>
      <c r="G2114" t="str">
        <f>Raw_Claims_Data!G2113</f>
        <v>A</v>
      </c>
      <c r="H2114" t="str">
        <f>Raw_Claims_Data!H2113</f>
        <v>Major Loss</v>
      </c>
      <c r="I2114" t="str">
        <f>IF(Raw_Claims_Data!I2113="","None",Raw_Claims_Data!I2113)</f>
        <v>None</v>
      </c>
      <c r="J2114" t="str">
        <f>Raw_Claims_Data!J2113</f>
        <v>Montgomery</v>
      </c>
      <c r="K2114" t="str">
        <f>Raw_Claims_Data!K2113</f>
        <v>AL</v>
      </c>
      <c r="L2114">
        <f>Raw_Claims_Data!L2113</f>
        <v>14</v>
      </c>
      <c r="M2114" t="str">
        <f>IF(Raw_Claims_Data!M2113="","N/A",Raw_Claims_Data!M2113)</f>
        <v>VNDR00125</v>
      </c>
      <c r="N2114" t="str">
        <f>Raw_Claims_Data!N2113</f>
        <v>AGENT00285</v>
      </c>
      <c r="O2114">
        <f>IF(Raw_Claims_Data!G2113="D",1,0)</f>
        <v>0</v>
      </c>
    </row>
    <row r="2115" spans="1:15" x14ac:dyDescent="0.35">
      <c r="A2115" t="str">
        <f>Raw_Claims_Data!A2114</f>
        <v>TXN00002111</v>
      </c>
      <c r="B2115" t="str">
        <f>TRIM(Raw_Claims_Data!B2114)</f>
        <v>Graciela Flores</v>
      </c>
      <c r="C2115" t="str">
        <f>Raw_Claims_Data!C2114</f>
        <v>Life</v>
      </c>
      <c r="D2115">
        <f>Raw_Claims_Data!D2114</f>
        <v>66.37</v>
      </c>
      <c r="E2115">
        <f>Raw_Claims_Data!E2114</f>
        <v>32000</v>
      </c>
      <c r="F2115" t="str">
        <f>Raw_Claims_Data!F2114</f>
        <v>AR</v>
      </c>
      <c r="G2115" t="str">
        <f>Raw_Claims_Data!G2114</f>
        <v>A</v>
      </c>
      <c r="H2115" t="str">
        <f>Raw_Claims_Data!H2114</f>
        <v>Minor Loss</v>
      </c>
      <c r="I2115" t="str">
        <f>IF(Raw_Claims_Data!I2114="","None",Raw_Claims_Data!I2114)</f>
        <v>Ambulance</v>
      </c>
      <c r="J2115" t="str">
        <f>Raw_Claims_Data!J2114</f>
        <v>Fayetteville</v>
      </c>
      <c r="K2115" t="str">
        <f>Raw_Claims_Data!K2114</f>
        <v>AR</v>
      </c>
      <c r="L2115">
        <f>Raw_Claims_Data!L2114</f>
        <v>22</v>
      </c>
      <c r="M2115" t="str">
        <f>IF(Raw_Claims_Data!M2114="","N/A",Raw_Claims_Data!M2114)</f>
        <v>N/A</v>
      </c>
      <c r="N2115" t="str">
        <f>Raw_Claims_Data!N2114</f>
        <v>AGENT01033</v>
      </c>
      <c r="O2115">
        <f>IF(Raw_Claims_Data!G2114="D",1,0)</f>
        <v>0</v>
      </c>
    </row>
    <row r="2116" spans="1:15" x14ac:dyDescent="0.35">
      <c r="A2116" t="str">
        <f>Raw_Claims_Data!A2115</f>
        <v>TXN00002112</v>
      </c>
      <c r="B2116" t="str">
        <f>TRIM(Raw_Claims_Data!B2115)</f>
        <v>Jennifer Shupe</v>
      </c>
      <c r="C2116" t="str">
        <f>Raw_Claims_Data!C2115</f>
        <v>Health</v>
      </c>
      <c r="D2116">
        <f>Raw_Claims_Data!D2115</f>
        <v>161.18</v>
      </c>
      <c r="E2116">
        <f>Raw_Claims_Data!E2115</f>
        <v>4000</v>
      </c>
      <c r="F2116" t="str">
        <f>Raw_Claims_Data!F2115</f>
        <v>AL</v>
      </c>
      <c r="G2116" t="str">
        <f>Raw_Claims_Data!G2115</f>
        <v>A</v>
      </c>
      <c r="H2116" t="str">
        <f>Raw_Claims_Data!H2115</f>
        <v>Minor Loss</v>
      </c>
      <c r="I2116" t="str">
        <f>IF(Raw_Claims_Data!I2115="","None",Raw_Claims_Data!I2115)</f>
        <v>Police</v>
      </c>
      <c r="J2116" t="str">
        <f>Raw_Claims_Data!J2115</f>
        <v>Berkeley</v>
      </c>
      <c r="K2116" t="str">
        <f>Raw_Claims_Data!K2115</f>
        <v>CA</v>
      </c>
      <c r="L2116">
        <f>Raw_Claims_Data!L2115</f>
        <v>15</v>
      </c>
      <c r="M2116" t="str">
        <f>IF(Raw_Claims_Data!M2115="","N/A",Raw_Claims_Data!M2115)</f>
        <v>VNDR00429</v>
      </c>
      <c r="N2116" t="str">
        <f>Raw_Claims_Data!N2115</f>
        <v>AGENT00634</v>
      </c>
      <c r="O2116">
        <f>IF(Raw_Claims_Data!G2115="D",1,0)</f>
        <v>0</v>
      </c>
    </row>
    <row r="2117" spans="1:15" x14ac:dyDescent="0.35">
      <c r="A2117" t="str">
        <f>Raw_Claims_Data!A2116</f>
        <v>TXN00002113</v>
      </c>
      <c r="B2117" t="str">
        <f>TRIM(Raw_Claims_Data!B2116)</f>
        <v>Troy Stoddard</v>
      </c>
      <c r="C2117" t="str">
        <f>Raw_Claims_Data!C2116</f>
        <v>Travel</v>
      </c>
      <c r="D2117">
        <f>Raw_Claims_Data!D2116</f>
        <v>50.44</v>
      </c>
      <c r="E2117">
        <f>Raw_Claims_Data!E2116</f>
        <v>2000</v>
      </c>
      <c r="F2117" t="str">
        <f>Raw_Claims_Data!F2116</f>
        <v>AR</v>
      </c>
      <c r="G2117" t="str">
        <f>Raw_Claims_Data!G2116</f>
        <v>A</v>
      </c>
      <c r="H2117" t="str">
        <f>Raw_Claims_Data!H2116</f>
        <v>Total Loss</v>
      </c>
      <c r="I2117" t="str">
        <f>IF(Raw_Claims_Data!I2116="","None",Raw_Claims_Data!I2116)</f>
        <v>Ambulance</v>
      </c>
      <c r="J2117" t="str">
        <f>Raw_Claims_Data!J2116</f>
        <v>Panama City</v>
      </c>
      <c r="K2117" t="str">
        <f>Raw_Claims_Data!K2116</f>
        <v>FL</v>
      </c>
      <c r="L2117">
        <f>Raw_Claims_Data!L2116</f>
        <v>6</v>
      </c>
      <c r="M2117" t="str">
        <f>IF(Raw_Claims_Data!M2116="","N/A",Raw_Claims_Data!M2116)</f>
        <v>VNDR00451</v>
      </c>
      <c r="N2117" t="str">
        <f>Raw_Claims_Data!N2116</f>
        <v>AGENT00239</v>
      </c>
      <c r="O2117">
        <f>IF(Raw_Claims_Data!G2116="D",1,0)</f>
        <v>0</v>
      </c>
    </row>
    <row r="2118" spans="1:15" x14ac:dyDescent="0.35">
      <c r="A2118" t="str">
        <f>Raw_Claims_Data!A2117</f>
        <v>TXN00002114</v>
      </c>
      <c r="B2118" t="str">
        <f>TRIM(Raw_Claims_Data!B2117)</f>
        <v>Rebecca Wheaton</v>
      </c>
      <c r="C2118" t="str">
        <f>Raw_Claims_Data!C2117</f>
        <v>Life</v>
      </c>
      <c r="D2118">
        <f>Raw_Claims_Data!D2117</f>
        <v>84.33</v>
      </c>
      <c r="E2118">
        <f>Raw_Claims_Data!E2117</f>
        <v>77000</v>
      </c>
      <c r="F2118" t="str">
        <f>Raw_Claims_Data!F2117</f>
        <v>VT</v>
      </c>
      <c r="G2118" t="str">
        <f>Raw_Claims_Data!G2117</f>
        <v>A</v>
      </c>
      <c r="H2118" t="str">
        <f>Raw_Claims_Data!H2117</f>
        <v>Total Loss</v>
      </c>
      <c r="I2118" t="str">
        <f>IF(Raw_Claims_Data!I2117="","None",Raw_Claims_Data!I2117)</f>
        <v>Ambulance</v>
      </c>
      <c r="J2118" t="str">
        <f>Raw_Claims_Data!J2117</f>
        <v>Washington</v>
      </c>
      <c r="K2118" t="str">
        <f>Raw_Claims_Data!K2117</f>
        <v>DC</v>
      </c>
      <c r="L2118">
        <f>Raw_Claims_Data!L2117</f>
        <v>4</v>
      </c>
      <c r="M2118" t="str">
        <f>IF(Raw_Claims_Data!M2117="","N/A",Raw_Claims_Data!M2117)</f>
        <v>VNDR00094</v>
      </c>
      <c r="N2118" t="str">
        <f>Raw_Claims_Data!N2117</f>
        <v>AGENT00066</v>
      </c>
      <c r="O2118">
        <f>IF(Raw_Claims_Data!G2117="D",1,0)</f>
        <v>0</v>
      </c>
    </row>
    <row r="2119" spans="1:15" x14ac:dyDescent="0.35">
      <c r="A2119" t="str">
        <f>Raw_Claims_Data!A2118</f>
        <v>TXN00002115</v>
      </c>
      <c r="B2119" t="str">
        <f>TRIM(Raw_Claims_Data!B2118)</f>
        <v>Jessie Rose</v>
      </c>
      <c r="C2119" t="str">
        <f>Raw_Claims_Data!C2118</f>
        <v>Motor</v>
      </c>
      <c r="D2119">
        <f>Raw_Claims_Data!D2118</f>
        <v>95.9</v>
      </c>
      <c r="E2119">
        <f>Raw_Claims_Data!E2118</f>
        <v>5000</v>
      </c>
      <c r="F2119" t="str">
        <f>Raw_Claims_Data!F2118</f>
        <v>AL</v>
      </c>
      <c r="G2119" t="str">
        <f>Raw_Claims_Data!G2118</f>
        <v>A</v>
      </c>
      <c r="H2119" t="str">
        <f>Raw_Claims_Data!H2118</f>
        <v>Minor Loss</v>
      </c>
      <c r="I2119" t="str">
        <f>IF(Raw_Claims_Data!I2118="","None",Raw_Claims_Data!I2118)</f>
        <v>Ambulance</v>
      </c>
      <c r="J2119" t="str">
        <f>Raw_Claims_Data!J2118</f>
        <v>Oklahoma City</v>
      </c>
      <c r="K2119" t="str">
        <f>Raw_Claims_Data!K2118</f>
        <v>OK</v>
      </c>
      <c r="L2119">
        <f>Raw_Claims_Data!L2118</f>
        <v>11</v>
      </c>
      <c r="M2119" t="str">
        <f>IF(Raw_Claims_Data!M2118="","N/A",Raw_Claims_Data!M2118)</f>
        <v>VNDR00399</v>
      </c>
      <c r="N2119" t="str">
        <f>Raw_Claims_Data!N2118</f>
        <v>AGENT00347</v>
      </c>
      <c r="O2119">
        <f>IF(Raw_Claims_Data!G2118="D",1,0)</f>
        <v>0</v>
      </c>
    </row>
    <row r="2120" spans="1:15" x14ac:dyDescent="0.35">
      <c r="A2120" t="str">
        <f>Raw_Claims_Data!A2119</f>
        <v>TXN00002116</v>
      </c>
      <c r="B2120" t="str">
        <f>TRIM(Raw_Claims_Data!B2119)</f>
        <v>Louis Cooper</v>
      </c>
      <c r="C2120" t="str">
        <f>Raw_Claims_Data!C2119</f>
        <v>Health</v>
      </c>
      <c r="D2120">
        <f>Raw_Claims_Data!D2119</f>
        <v>198.37</v>
      </c>
      <c r="E2120">
        <f>Raw_Claims_Data!E2119</f>
        <v>9000</v>
      </c>
      <c r="F2120" t="str">
        <f>Raw_Claims_Data!F2119</f>
        <v>AR</v>
      </c>
      <c r="G2120" t="str">
        <f>Raw_Claims_Data!G2119</f>
        <v>A</v>
      </c>
      <c r="H2120" t="str">
        <f>Raw_Claims_Data!H2119</f>
        <v>Minor Loss</v>
      </c>
      <c r="I2120" t="str">
        <f>IF(Raw_Claims_Data!I2119="","None",Raw_Claims_Data!I2119)</f>
        <v>Ambulance</v>
      </c>
      <c r="J2120" t="str">
        <f>Raw_Claims_Data!J2119</f>
        <v>Fayetteville</v>
      </c>
      <c r="K2120" t="str">
        <f>Raw_Claims_Data!K2119</f>
        <v>AR</v>
      </c>
      <c r="L2120">
        <f>Raw_Claims_Data!L2119</f>
        <v>22</v>
      </c>
      <c r="M2120" t="str">
        <f>IF(Raw_Claims_Data!M2119="","N/A",Raw_Claims_Data!M2119)</f>
        <v>VNDR00164</v>
      </c>
      <c r="N2120" t="str">
        <f>Raw_Claims_Data!N2119</f>
        <v>AGENT00088</v>
      </c>
      <c r="O2120">
        <f>IF(Raw_Claims_Data!G2119="D",1,0)</f>
        <v>0</v>
      </c>
    </row>
    <row r="2121" spans="1:15" x14ac:dyDescent="0.35">
      <c r="A2121" t="str">
        <f>Raw_Claims_Data!A2120</f>
        <v>TXN00002117</v>
      </c>
      <c r="B2121" t="str">
        <f>TRIM(Raw_Claims_Data!B2120)</f>
        <v>Belinda Koopman</v>
      </c>
      <c r="C2121" t="str">
        <f>Raw_Claims_Data!C2120</f>
        <v>Mobile</v>
      </c>
      <c r="D2121">
        <f>Raw_Claims_Data!D2120</f>
        <v>6.62</v>
      </c>
      <c r="E2121">
        <f>Raw_Claims_Data!E2120</f>
        <v>100</v>
      </c>
      <c r="F2121" t="str">
        <f>Raw_Claims_Data!F2120</f>
        <v>DC</v>
      </c>
      <c r="G2121" t="str">
        <f>Raw_Claims_Data!G2120</f>
        <v>A</v>
      </c>
      <c r="H2121" t="str">
        <f>Raw_Claims_Data!H2120</f>
        <v>Major Loss</v>
      </c>
      <c r="I2121" t="str">
        <f>IF(Raw_Claims_Data!I2120="","None",Raw_Claims_Data!I2120)</f>
        <v>None</v>
      </c>
      <c r="J2121" t="str">
        <f>Raw_Claims_Data!J2120</f>
        <v>Manchester</v>
      </c>
      <c r="K2121" t="str">
        <f>Raw_Claims_Data!K2120</f>
        <v>CT</v>
      </c>
      <c r="L2121">
        <f>Raw_Claims_Data!L2120</f>
        <v>4</v>
      </c>
      <c r="M2121" t="str">
        <f>IF(Raw_Claims_Data!M2120="","N/A",Raw_Claims_Data!M2120)</f>
        <v>N/A</v>
      </c>
      <c r="N2121" t="str">
        <f>Raw_Claims_Data!N2120</f>
        <v>AGENT00188</v>
      </c>
      <c r="O2121">
        <f>IF(Raw_Claims_Data!G2120="D",1,0)</f>
        <v>0</v>
      </c>
    </row>
    <row r="2122" spans="1:15" x14ac:dyDescent="0.35">
      <c r="A2122" t="str">
        <f>Raw_Claims_Data!A2121</f>
        <v>TXN00002118</v>
      </c>
      <c r="B2122" t="str">
        <f>TRIM(Raw_Claims_Data!B2121)</f>
        <v>Peter Clark</v>
      </c>
      <c r="C2122" t="str">
        <f>Raw_Claims_Data!C2121</f>
        <v>Travel</v>
      </c>
      <c r="D2122">
        <f>Raw_Claims_Data!D2121</f>
        <v>84.85</v>
      </c>
      <c r="E2122">
        <f>Raw_Claims_Data!E2121</f>
        <v>5000</v>
      </c>
      <c r="F2122" t="str">
        <f>Raw_Claims_Data!F2121</f>
        <v>GA</v>
      </c>
      <c r="G2122" t="str">
        <f>Raw_Claims_Data!G2121</f>
        <v>A</v>
      </c>
      <c r="H2122" t="str">
        <f>Raw_Claims_Data!H2121</f>
        <v>Total Loss</v>
      </c>
      <c r="I2122" t="str">
        <f>IF(Raw_Claims_Data!I2121="","None",Raw_Claims_Data!I2121)</f>
        <v>None</v>
      </c>
      <c r="J2122" t="str">
        <f>Raw_Claims_Data!J2121</f>
        <v>Arnold</v>
      </c>
      <c r="K2122" t="str">
        <f>Raw_Claims_Data!K2121</f>
        <v>MD</v>
      </c>
      <c r="L2122">
        <f>Raw_Claims_Data!L2121</f>
        <v>2</v>
      </c>
      <c r="M2122" t="str">
        <f>IF(Raw_Claims_Data!M2121="","N/A",Raw_Claims_Data!M2121)</f>
        <v>VNDR00314</v>
      </c>
      <c r="N2122" t="str">
        <f>Raw_Claims_Data!N2121</f>
        <v>AGENT00767</v>
      </c>
      <c r="O2122">
        <f>IF(Raw_Claims_Data!G2121="D",1,0)</f>
        <v>0</v>
      </c>
    </row>
    <row r="2123" spans="1:15" x14ac:dyDescent="0.35">
      <c r="A2123" t="str">
        <f>Raw_Claims_Data!A2122</f>
        <v>TXN00002119</v>
      </c>
      <c r="B2123" t="str">
        <f>TRIM(Raw_Claims_Data!B2122)</f>
        <v>Ida Luna</v>
      </c>
      <c r="C2123" t="str">
        <f>Raw_Claims_Data!C2122</f>
        <v>Health</v>
      </c>
      <c r="D2123">
        <f>Raw_Claims_Data!D2122</f>
        <v>114.23</v>
      </c>
      <c r="E2123">
        <f>Raw_Claims_Data!E2122</f>
        <v>19000</v>
      </c>
      <c r="F2123" t="str">
        <f>Raw_Claims_Data!F2122</f>
        <v>CA</v>
      </c>
      <c r="G2123" t="str">
        <f>Raw_Claims_Data!G2122</f>
        <v>A</v>
      </c>
      <c r="H2123" t="str">
        <f>Raw_Claims_Data!H2122</f>
        <v>Total Loss</v>
      </c>
      <c r="I2123" t="str">
        <f>IF(Raw_Claims_Data!I2122="","None",Raw_Claims_Data!I2122)</f>
        <v>Ambulance</v>
      </c>
      <c r="J2123" t="str">
        <f>Raw_Claims_Data!J2122</f>
        <v>Fayetteville</v>
      </c>
      <c r="K2123" t="str">
        <f>Raw_Claims_Data!K2122</f>
        <v>AR</v>
      </c>
      <c r="L2123">
        <f>Raw_Claims_Data!L2122</f>
        <v>15</v>
      </c>
      <c r="M2123" t="str">
        <f>IF(Raw_Claims_Data!M2122="","N/A",Raw_Claims_Data!M2122)</f>
        <v>N/A</v>
      </c>
      <c r="N2123" t="str">
        <f>Raw_Claims_Data!N2122</f>
        <v>AGENT00354</v>
      </c>
      <c r="O2123">
        <f>IF(Raw_Claims_Data!G2122="D",1,0)</f>
        <v>0</v>
      </c>
    </row>
    <row r="2124" spans="1:15" x14ac:dyDescent="0.35">
      <c r="A2124" t="str">
        <f>Raw_Claims_Data!A2123</f>
        <v>TXN00002120</v>
      </c>
      <c r="B2124" t="str">
        <f>TRIM(Raw_Claims_Data!B2123)</f>
        <v>Ashley Fulkerson</v>
      </c>
      <c r="C2124" t="str">
        <f>Raw_Claims_Data!C2123</f>
        <v>Travel</v>
      </c>
      <c r="D2124">
        <f>Raw_Claims_Data!D2123</f>
        <v>94.87</v>
      </c>
      <c r="E2124">
        <f>Raw_Claims_Data!E2123</f>
        <v>1000</v>
      </c>
      <c r="F2124" t="str">
        <f>Raw_Claims_Data!F2123</f>
        <v>AR</v>
      </c>
      <c r="G2124" t="str">
        <f>Raw_Claims_Data!G2123</f>
        <v>A</v>
      </c>
      <c r="H2124" t="str">
        <f>Raw_Claims_Data!H2123</f>
        <v>Minor Loss</v>
      </c>
      <c r="I2124" t="str">
        <f>IF(Raw_Claims_Data!I2123="","None",Raw_Claims_Data!I2123)</f>
        <v>Police</v>
      </c>
      <c r="J2124" t="str">
        <f>Raw_Claims_Data!J2123</f>
        <v>Fremont</v>
      </c>
      <c r="K2124" t="str">
        <f>Raw_Claims_Data!K2123</f>
        <v>CA</v>
      </c>
      <c r="L2124">
        <f>Raw_Claims_Data!L2123</f>
        <v>12</v>
      </c>
      <c r="M2124" t="str">
        <f>IF(Raw_Claims_Data!M2123="","N/A",Raw_Claims_Data!M2123)</f>
        <v>N/A</v>
      </c>
      <c r="N2124" t="str">
        <f>Raw_Claims_Data!N2123</f>
        <v>AGENT00835</v>
      </c>
      <c r="O2124">
        <f>IF(Raw_Claims_Data!G2123="D",1,0)</f>
        <v>0</v>
      </c>
    </row>
    <row r="2125" spans="1:15" x14ac:dyDescent="0.35">
      <c r="A2125" t="str">
        <f>Raw_Claims_Data!A2124</f>
        <v>TXN00002121</v>
      </c>
      <c r="B2125" t="str">
        <f>TRIM(Raw_Claims_Data!B2124)</f>
        <v>Christine Knight</v>
      </c>
      <c r="C2125" t="str">
        <f>Raw_Claims_Data!C2124</f>
        <v>Motor</v>
      </c>
      <c r="D2125">
        <f>Raw_Claims_Data!D2124</f>
        <v>70.63</v>
      </c>
      <c r="E2125">
        <f>Raw_Claims_Data!E2124</f>
        <v>2000</v>
      </c>
      <c r="F2125" t="str">
        <f>Raw_Claims_Data!F2124</f>
        <v>VT</v>
      </c>
      <c r="G2125" t="str">
        <f>Raw_Claims_Data!G2124</f>
        <v>A</v>
      </c>
      <c r="H2125" t="str">
        <f>Raw_Claims_Data!H2124</f>
        <v>Total Loss</v>
      </c>
      <c r="I2125" t="str">
        <f>IF(Raw_Claims_Data!I2124="","None",Raw_Claims_Data!I2124)</f>
        <v>Ambulance</v>
      </c>
      <c r="J2125" t="str">
        <f>Raw_Claims_Data!J2124</f>
        <v>Washington</v>
      </c>
      <c r="K2125" t="str">
        <f>Raw_Claims_Data!K2124</f>
        <v>DC</v>
      </c>
      <c r="L2125">
        <f>Raw_Claims_Data!L2124</f>
        <v>17</v>
      </c>
      <c r="M2125" t="str">
        <f>IF(Raw_Claims_Data!M2124="","N/A",Raw_Claims_Data!M2124)</f>
        <v>VNDR00290</v>
      </c>
      <c r="N2125" t="str">
        <f>Raw_Claims_Data!N2124</f>
        <v>AGENT00027</v>
      </c>
      <c r="O2125">
        <f>IF(Raw_Claims_Data!G2124="D",1,0)</f>
        <v>0</v>
      </c>
    </row>
    <row r="2126" spans="1:15" x14ac:dyDescent="0.35">
      <c r="A2126" t="str">
        <f>Raw_Claims_Data!A2125</f>
        <v>TXN00002122</v>
      </c>
      <c r="B2126" t="str">
        <f>TRIM(Raw_Claims_Data!B2125)</f>
        <v>Hannelore Chidester</v>
      </c>
      <c r="C2126" t="str">
        <f>Raw_Claims_Data!C2125</f>
        <v>Motor</v>
      </c>
      <c r="D2126">
        <f>Raw_Claims_Data!D2125</f>
        <v>113.05</v>
      </c>
      <c r="E2126">
        <f>Raw_Claims_Data!E2125</f>
        <v>9000</v>
      </c>
      <c r="F2126" t="str">
        <f>Raw_Claims_Data!F2125</f>
        <v>AZ</v>
      </c>
      <c r="G2126" t="str">
        <f>Raw_Claims_Data!G2125</f>
        <v>A</v>
      </c>
      <c r="H2126" t="str">
        <f>Raw_Claims_Data!H2125</f>
        <v>Minor Loss</v>
      </c>
      <c r="I2126" t="str">
        <f>IF(Raw_Claims_Data!I2125="","None",Raw_Claims_Data!I2125)</f>
        <v>None</v>
      </c>
      <c r="J2126" t="str">
        <f>Raw_Claims_Data!J2125</f>
        <v>Washington</v>
      </c>
      <c r="K2126" t="str">
        <f>Raw_Claims_Data!K2125</f>
        <v>DC</v>
      </c>
      <c r="L2126">
        <f>Raw_Claims_Data!L2125</f>
        <v>4</v>
      </c>
      <c r="M2126" t="str">
        <f>IF(Raw_Claims_Data!M2125="","N/A",Raw_Claims_Data!M2125)</f>
        <v>N/A</v>
      </c>
      <c r="N2126" t="str">
        <f>Raw_Claims_Data!N2125</f>
        <v>AGENT00877</v>
      </c>
      <c r="O2126">
        <f>IF(Raw_Claims_Data!G2125="D",1,0)</f>
        <v>0</v>
      </c>
    </row>
    <row r="2127" spans="1:15" x14ac:dyDescent="0.35">
      <c r="A2127" t="str">
        <f>Raw_Claims_Data!A2126</f>
        <v>TXN00002123</v>
      </c>
      <c r="B2127" t="str">
        <f>TRIM(Raw_Claims_Data!B2126)</f>
        <v>David Handley</v>
      </c>
      <c r="C2127" t="str">
        <f>Raw_Claims_Data!C2126</f>
        <v>Property</v>
      </c>
      <c r="D2127">
        <f>Raw_Claims_Data!D2126</f>
        <v>113.68</v>
      </c>
      <c r="E2127">
        <f>Raw_Claims_Data!E2126</f>
        <v>27000</v>
      </c>
      <c r="F2127" t="str">
        <f>Raw_Claims_Data!F2126</f>
        <v>GA</v>
      </c>
      <c r="G2127" t="str">
        <f>Raw_Claims_Data!G2126</f>
        <v>A</v>
      </c>
      <c r="H2127" t="str">
        <f>Raw_Claims_Data!H2126</f>
        <v>Minor Loss</v>
      </c>
      <c r="I2127" t="str">
        <f>IF(Raw_Claims_Data!I2126="","None",Raw_Claims_Data!I2126)</f>
        <v>Police</v>
      </c>
      <c r="J2127" t="str">
        <f>Raw_Claims_Data!J2126</f>
        <v>Panama City</v>
      </c>
      <c r="K2127" t="str">
        <f>Raw_Claims_Data!K2126</f>
        <v>FL</v>
      </c>
      <c r="L2127">
        <f>Raw_Claims_Data!L2126</f>
        <v>3</v>
      </c>
      <c r="M2127" t="str">
        <f>IF(Raw_Claims_Data!M2126="","N/A",Raw_Claims_Data!M2126)</f>
        <v>N/A</v>
      </c>
      <c r="N2127" t="str">
        <f>Raw_Claims_Data!N2126</f>
        <v>AGENT00465</v>
      </c>
      <c r="O2127">
        <f>IF(Raw_Claims_Data!G2126="D",1,0)</f>
        <v>0</v>
      </c>
    </row>
    <row r="2128" spans="1:15" x14ac:dyDescent="0.35">
      <c r="A2128" t="str">
        <f>Raw_Claims_Data!A2127</f>
        <v>TXN00002124</v>
      </c>
      <c r="B2128" t="str">
        <f>TRIM(Raw_Claims_Data!B2127)</f>
        <v>Vickie Wallace</v>
      </c>
      <c r="C2128" t="str">
        <f>Raw_Claims_Data!C2127</f>
        <v>Life</v>
      </c>
      <c r="D2128">
        <f>Raw_Claims_Data!D2127</f>
        <v>88.29</v>
      </c>
      <c r="E2128">
        <f>Raw_Claims_Data!E2127</f>
        <v>35000</v>
      </c>
      <c r="F2128" t="str">
        <f>Raw_Claims_Data!F2127</f>
        <v>OK</v>
      </c>
      <c r="G2128" t="str">
        <f>Raw_Claims_Data!G2127</f>
        <v>A</v>
      </c>
      <c r="H2128" t="str">
        <f>Raw_Claims_Data!H2127</f>
        <v>Minor Loss</v>
      </c>
      <c r="I2128" t="str">
        <f>IF(Raw_Claims_Data!I2127="","None",Raw_Claims_Data!I2127)</f>
        <v>Ambulance</v>
      </c>
      <c r="J2128" t="str">
        <f>Raw_Claims_Data!J2127</f>
        <v>Oklahoma City</v>
      </c>
      <c r="K2128" t="str">
        <f>Raw_Claims_Data!K2127</f>
        <v>OK</v>
      </c>
      <c r="L2128">
        <f>Raw_Claims_Data!L2127</f>
        <v>11</v>
      </c>
      <c r="M2128" t="str">
        <f>IF(Raw_Claims_Data!M2127="","N/A",Raw_Claims_Data!M2127)</f>
        <v>N/A</v>
      </c>
      <c r="N2128" t="str">
        <f>Raw_Claims_Data!N2127</f>
        <v>AGENT00939</v>
      </c>
      <c r="O2128">
        <f>IF(Raw_Claims_Data!G2127="D",1,0)</f>
        <v>0</v>
      </c>
    </row>
    <row r="2129" spans="1:15" x14ac:dyDescent="0.35">
      <c r="A2129" t="str">
        <f>Raw_Claims_Data!A2128</f>
        <v>TXN00002125</v>
      </c>
      <c r="B2129" t="str">
        <f>TRIM(Raw_Claims_Data!B2128)</f>
        <v>Chad Weaver</v>
      </c>
      <c r="C2129" t="str">
        <f>Raw_Claims_Data!C2128</f>
        <v>Property</v>
      </c>
      <c r="D2129">
        <f>Raw_Claims_Data!D2128</f>
        <v>121.13</v>
      </c>
      <c r="E2129">
        <f>Raw_Claims_Data!E2128</f>
        <v>32000</v>
      </c>
      <c r="F2129" t="str">
        <f>Raw_Claims_Data!F2128</f>
        <v>TN</v>
      </c>
      <c r="G2129" t="str">
        <f>Raw_Claims_Data!G2128</f>
        <v>A</v>
      </c>
      <c r="H2129" t="str">
        <f>Raw_Claims_Data!H2128</f>
        <v>Total Loss</v>
      </c>
      <c r="I2129" t="str">
        <f>IF(Raw_Claims_Data!I2128="","None",Raw_Claims_Data!I2128)</f>
        <v>Police</v>
      </c>
      <c r="J2129" t="str">
        <f>Raw_Claims_Data!J2128</f>
        <v>Hesperia</v>
      </c>
      <c r="K2129" t="str">
        <f>Raw_Claims_Data!K2128</f>
        <v>CA</v>
      </c>
      <c r="L2129">
        <f>Raw_Claims_Data!L2128</f>
        <v>13</v>
      </c>
      <c r="M2129" t="str">
        <f>IF(Raw_Claims_Data!M2128="","N/A",Raw_Claims_Data!M2128)</f>
        <v>N/A</v>
      </c>
      <c r="N2129" t="str">
        <f>Raw_Claims_Data!N2128</f>
        <v>AGENT01065</v>
      </c>
      <c r="O2129">
        <f>IF(Raw_Claims_Data!G2128="D",1,0)</f>
        <v>0</v>
      </c>
    </row>
    <row r="2130" spans="1:15" x14ac:dyDescent="0.35">
      <c r="A2130" t="str">
        <f>Raw_Claims_Data!A2129</f>
        <v>TXN00002126</v>
      </c>
      <c r="B2130" t="str">
        <f>TRIM(Raw_Claims_Data!B2129)</f>
        <v>Rod Bolden</v>
      </c>
      <c r="C2130" t="str">
        <f>Raw_Claims_Data!C2129</f>
        <v>Health</v>
      </c>
      <c r="D2130">
        <f>Raw_Claims_Data!D2129</f>
        <v>185.57</v>
      </c>
      <c r="E2130">
        <f>Raw_Claims_Data!E2129</f>
        <v>20000</v>
      </c>
      <c r="F2130" t="str">
        <f>Raw_Claims_Data!F2129</f>
        <v>FL</v>
      </c>
      <c r="G2130" t="str">
        <f>Raw_Claims_Data!G2129</f>
        <v>A</v>
      </c>
      <c r="H2130" t="str">
        <f>Raw_Claims_Data!H2129</f>
        <v>Total Loss</v>
      </c>
      <c r="I2130" t="str">
        <f>IF(Raw_Claims_Data!I2129="","None",Raw_Claims_Data!I2129)</f>
        <v>Ambulance</v>
      </c>
      <c r="J2130" t="str">
        <f>Raw_Claims_Data!J2129</f>
        <v>Glendale</v>
      </c>
      <c r="K2130" t="str">
        <f>Raw_Claims_Data!K2129</f>
        <v>AZ</v>
      </c>
      <c r="L2130">
        <f>Raw_Claims_Data!L2129</f>
        <v>20</v>
      </c>
      <c r="M2130" t="str">
        <f>IF(Raw_Claims_Data!M2129="","N/A",Raw_Claims_Data!M2129)</f>
        <v>VNDR00276</v>
      </c>
      <c r="N2130" t="str">
        <f>Raw_Claims_Data!N2129</f>
        <v>AGENT00655</v>
      </c>
      <c r="O2130">
        <f>IF(Raw_Claims_Data!G2129="D",1,0)</f>
        <v>0</v>
      </c>
    </row>
    <row r="2131" spans="1:15" x14ac:dyDescent="0.35">
      <c r="A2131" t="str">
        <f>Raw_Claims_Data!A2130</f>
        <v>TXN00002127</v>
      </c>
      <c r="B2131" t="str">
        <f>TRIM(Raw_Claims_Data!B2130)</f>
        <v>Milagros Remis</v>
      </c>
      <c r="C2131" t="str">
        <f>Raw_Claims_Data!C2130</f>
        <v>Travel</v>
      </c>
      <c r="D2131">
        <f>Raw_Claims_Data!D2130</f>
        <v>65.23</v>
      </c>
      <c r="E2131">
        <f>Raw_Claims_Data!E2130</f>
        <v>4000</v>
      </c>
      <c r="F2131" t="str">
        <f>Raw_Claims_Data!F2130</f>
        <v>VT</v>
      </c>
      <c r="G2131" t="str">
        <f>Raw_Claims_Data!G2130</f>
        <v>D</v>
      </c>
      <c r="H2131" t="str">
        <f>Raw_Claims_Data!H2130</f>
        <v>Total Loss</v>
      </c>
      <c r="I2131" t="str">
        <f>IF(Raw_Claims_Data!I2130="","None",Raw_Claims_Data!I2130)</f>
        <v>Ambulance</v>
      </c>
      <c r="J2131" t="str">
        <f>Raw_Claims_Data!J2130</f>
        <v>Arvada</v>
      </c>
      <c r="K2131" t="str">
        <f>Raw_Claims_Data!K2130</f>
        <v>CO</v>
      </c>
      <c r="L2131">
        <f>Raw_Claims_Data!L2130</f>
        <v>0</v>
      </c>
      <c r="M2131" t="str">
        <f>IF(Raw_Claims_Data!M2130="","N/A",Raw_Claims_Data!M2130)</f>
        <v>VNDR00544</v>
      </c>
      <c r="N2131" t="str">
        <f>Raw_Claims_Data!N2130</f>
        <v>AGENT00258</v>
      </c>
      <c r="O2131">
        <f>IF(Raw_Claims_Data!G2130="D",1,0)</f>
        <v>1</v>
      </c>
    </row>
    <row r="2132" spans="1:15" x14ac:dyDescent="0.35">
      <c r="A2132" t="str">
        <f>Raw_Claims_Data!A2131</f>
        <v>TXN00002128</v>
      </c>
      <c r="B2132" t="str">
        <f>TRIM(Raw_Claims_Data!B2131)</f>
        <v>Rudolph Vickers</v>
      </c>
      <c r="C2132" t="str">
        <f>Raw_Claims_Data!C2131</f>
        <v>Motor</v>
      </c>
      <c r="D2132">
        <f>Raw_Claims_Data!D2131</f>
        <v>136.06</v>
      </c>
      <c r="E2132">
        <f>Raw_Claims_Data!E2131</f>
        <v>5000</v>
      </c>
      <c r="F2132" t="str">
        <f>Raw_Claims_Data!F2131</f>
        <v>CT</v>
      </c>
      <c r="G2132" t="str">
        <f>Raw_Claims_Data!G2131</f>
        <v>A</v>
      </c>
      <c r="H2132" t="str">
        <f>Raw_Claims_Data!H2131</f>
        <v>Total Loss</v>
      </c>
      <c r="I2132" t="str">
        <f>IF(Raw_Claims_Data!I2131="","None",Raw_Claims_Data!I2131)</f>
        <v>Ambulance</v>
      </c>
      <c r="J2132" t="str">
        <f>Raw_Claims_Data!J2131</f>
        <v>Nashville</v>
      </c>
      <c r="K2132" t="str">
        <f>Raw_Claims_Data!K2131</f>
        <v>TN</v>
      </c>
      <c r="L2132">
        <f>Raw_Claims_Data!L2131</f>
        <v>18</v>
      </c>
      <c r="M2132" t="str">
        <f>IF(Raw_Claims_Data!M2131="","N/A",Raw_Claims_Data!M2131)</f>
        <v>VNDR00493</v>
      </c>
      <c r="N2132" t="str">
        <f>Raw_Claims_Data!N2131</f>
        <v>AGENT00983</v>
      </c>
      <c r="O2132">
        <f>IF(Raw_Claims_Data!G2131="D",1,0)</f>
        <v>0</v>
      </c>
    </row>
    <row r="2133" spans="1:15" x14ac:dyDescent="0.35">
      <c r="A2133" t="str">
        <f>Raw_Claims_Data!A2132</f>
        <v>TXN00002129</v>
      </c>
      <c r="B2133" t="str">
        <f>TRIM(Raw_Claims_Data!B2132)</f>
        <v>Nicole Williams</v>
      </c>
      <c r="C2133" t="str">
        <f>Raw_Claims_Data!C2132</f>
        <v>Travel</v>
      </c>
      <c r="D2133">
        <f>Raw_Claims_Data!D2132</f>
        <v>83.03</v>
      </c>
      <c r="E2133">
        <f>Raw_Claims_Data!E2132</f>
        <v>5000</v>
      </c>
      <c r="F2133" t="str">
        <f>Raw_Claims_Data!F2132</f>
        <v>KY</v>
      </c>
      <c r="G2133" t="str">
        <f>Raw_Claims_Data!G2132</f>
        <v>A</v>
      </c>
      <c r="H2133" t="str">
        <f>Raw_Claims_Data!H2132</f>
        <v>Total Loss</v>
      </c>
      <c r="I2133" t="str">
        <f>IF(Raw_Claims_Data!I2132="","None",Raw_Claims_Data!I2132)</f>
        <v>Other</v>
      </c>
      <c r="J2133" t="str">
        <f>Raw_Claims_Data!J2132</f>
        <v>Nashville</v>
      </c>
      <c r="K2133" t="str">
        <f>Raw_Claims_Data!K2132</f>
        <v>TN</v>
      </c>
      <c r="L2133">
        <f>Raw_Claims_Data!L2132</f>
        <v>0</v>
      </c>
      <c r="M2133" t="str">
        <f>IF(Raw_Claims_Data!M2132="","N/A",Raw_Claims_Data!M2132)</f>
        <v>VNDR00221</v>
      </c>
      <c r="N2133" t="str">
        <f>Raw_Claims_Data!N2132</f>
        <v>AGENT00017</v>
      </c>
      <c r="O2133">
        <f>IF(Raw_Claims_Data!G2132="D",1,0)</f>
        <v>0</v>
      </c>
    </row>
    <row r="2134" spans="1:15" x14ac:dyDescent="0.35">
      <c r="A2134" t="str">
        <f>Raw_Claims_Data!A2133</f>
        <v>TXN00002130</v>
      </c>
      <c r="B2134" t="str">
        <f>TRIM(Raw_Claims_Data!B2133)</f>
        <v>Rachel Mcculough</v>
      </c>
      <c r="C2134" t="str">
        <f>Raw_Claims_Data!C2133</f>
        <v>Property</v>
      </c>
      <c r="D2134">
        <f>Raw_Claims_Data!D2133</f>
        <v>158.43</v>
      </c>
      <c r="E2134">
        <f>Raw_Claims_Data!E2133</f>
        <v>37000</v>
      </c>
      <c r="F2134" t="str">
        <f>Raw_Claims_Data!F2133</f>
        <v>DC</v>
      </c>
      <c r="G2134" t="str">
        <f>Raw_Claims_Data!G2133</f>
        <v>D</v>
      </c>
      <c r="H2134" t="str">
        <f>Raw_Claims_Data!H2133</f>
        <v>Total Loss</v>
      </c>
      <c r="I2134" t="str">
        <f>IF(Raw_Claims_Data!I2133="","None",Raw_Claims_Data!I2133)</f>
        <v>None</v>
      </c>
      <c r="J2134" t="str">
        <f>Raw_Claims_Data!J2133</f>
        <v>Washington</v>
      </c>
      <c r="K2134" t="str">
        <f>Raw_Claims_Data!K2133</f>
        <v>DC</v>
      </c>
      <c r="L2134">
        <f>Raw_Claims_Data!L2133</f>
        <v>10</v>
      </c>
      <c r="M2134" t="str">
        <f>IF(Raw_Claims_Data!M2133="","N/A",Raw_Claims_Data!M2133)</f>
        <v>N/A</v>
      </c>
      <c r="N2134" t="str">
        <f>Raw_Claims_Data!N2133</f>
        <v>AGENT00717</v>
      </c>
      <c r="O2134">
        <f>IF(Raw_Claims_Data!G2133="D",1,0)</f>
        <v>1</v>
      </c>
    </row>
    <row r="2135" spans="1:15" x14ac:dyDescent="0.35">
      <c r="A2135" t="str">
        <f>Raw_Claims_Data!A2134</f>
        <v>TXN00002131</v>
      </c>
      <c r="B2135" t="str">
        <f>TRIM(Raw_Claims_Data!B2134)</f>
        <v>Katrina Olive</v>
      </c>
      <c r="C2135" t="str">
        <f>Raw_Claims_Data!C2134</f>
        <v>Property</v>
      </c>
      <c r="D2135">
        <f>Raw_Claims_Data!D2134</f>
        <v>105.2</v>
      </c>
      <c r="E2135">
        <f>Raw_Claims_Data!E2134</f>
        <v>20000</v>
      </c>
      <c r="F2135" t="str">
        <f>Raw_Claims_Data!F2134</f>
        <v>CT</v>
      </c>
      <c r="G2135" t="str">
        <f>Raw_Claims_Data!G2134</f>
        <v>A</v>
      </c>
      <c r="H2135" t="str">
        <f>Raw_Claims_Data!H2134</f>
        <v>Total Loss</v>
      </c>
      <c r="I2135" t="str">
        <f>IF(Raw_Claims_Data!I2134="","None",Raw_Claims_Data!I2134)</f>
        <v>Ambulance</v>
      </c>
      <c r="J2135" t="str">
        <f>Raw_Claims_Data!J2134</f>
        <v>Panama City Beach</v>
      </c>
      <c r="K2135" t="str">
        <f>Raw_Claims_Data!K2134</f>
        <v>FL</v>
      </c>
      <c r="L2135">
        <f>Raw_Claims_Data!L2134</f>
        <v>16</v>
      </c>
      <c r="M2135" t="str">
        <f>IF(Raw_Claims_Data!M2134="","N/A",Raw_Claims_Data!M2134)</f>
        <v>N/A</v>
      </c>
      <c r="N2135" t="str">
        <f>Raw_Claims_Data!N2134</f>
        <v>AGENT00734</v>
      </c>
      <c r="O2135">
        <f>IF(Raw_Claims_Data!G2134="D",1,0)</f>
        <v>0</v>
      </c>
    </row>
    <row r="2136" spans="1:15" x14ac:dyDescent="0.35">
      <c r="A2136" t="str">
        <f>Raw_Claims_Data!A2135</f>
        <v>TXN00002132</v>
      </c>
      <c r="B2136" t="str">
        <f>TRIM(Raw_Claims_Data!B2135)</f>
        <v>Victor Bell</v>
      </c>
      <c r="C2136" t="str">
        <f>Raw_Claims_Data!C2135</f>
        <v>Motor</v>
      </c>
      <c r="D2136">
        <f>Raw_Claims_Data!D2135</f>
        <v>111.65</v>
      </c>
      <c r="E2136">
        <f>Raw_Claims_Data!E2135</f>
        <v>10000</v>
      </c>
      <c r="F2136" t="str">
        <f>Raw_Claims_Data!F2135</f>
        <v>CO</v>
      </c>
      <c r="G2136" t="str">
        <f>Raw_Claims_Data!G2135</f>
        <v>D</v>
      </c>
      <c r="H2136" t="str">
        <f>Raw_Claims_Data!H2135</f>
        <v>Minor Loss</v>
      </c>
      <c r="I2136" t="str">
        <f>IF(Raw_Claims_Data!I2135="","None",Raw_Claims_Data!I2135)</f>
        <v>Ambulance</v>
      </c>
      <c r="J2136" t="str">
        <f>Raw_Claims_Data!J2135</f>
        <v>Bloomingdale</v>
      </c>
      <c r="K2136" t="str">
        <f>Raw_Claims_Data!K2135</f>
        <v>GA</v>
      </c>
      <c r="L2136">
        <f>Raw_Claims_Data!L2135</f>
        <v>21</v>
      </c>
      <c r="M2136" t="str">
        <f>IF(Raw_Claims_Data!M2135="","N/A",Raw_Claims_Data!M2135)</f>
        <v>N/A</v>
      </c>
      <c r="N2136" t="str">
        <f>Raw_Claims_Data!N2135</f>
        <v>AGENT00135</v>
      </c>
      <c r="O2136">
        <f>IF(Raw_Claims_Data!G2135="D",1,0)</f>
        <v>1</v>
      </c>
    </row>
    <row r="2137" spans="1:15" x14ac:dyDescent="0.35">
      <c r="A2137" t="str">
        <f>Raw_Claims_Data!A2136</f>
        <v>TXN00002133</v>
      </c>
      <c r="B2137" t="str">
        <f>TRIM(Raw_Claims_Data!B2136)</f>
        <v>David Riddle</v>
      </c>
      <c r="C2137" t="str">
        <f>Raw_Claims_Data!C2136</f>
        <v>Mobile</v>
      </c>
      <c r="D2137">
        <f>Raw_Claims_Data!D2136</f>
        <v>7.07</v>
      </c>
      <c r="E2137">
        <f>Raw_Claims_Data!E2136</f>
        <v>200</v>
      </c>
      <c r="F2137" t="str">
        <f>Raw_Claims_Data!F2136</f>
        <v>DC</v>
      </c>
      <c r="G2137" t="str">
        <f>Raw_Claims_Data!G2136</f>
        <v>A</v>
      </c>
      <c r="H2137" t="str">
        <f>Raw_Claims_Data!H2136</f>
        <v>Minor Loss</v>
      </c>
      <c r="I2137" t="str">
        <f>IF(Raw_Claims_Data!I2136="","None",Raw_Claims_Data!I2136)</f>
        <v>Ambulance</v>
      </c>
      <c r="J2137" t="str">
        <f>Raw_Claims_Data!J2136</f>
        <v>Washington</v>
      </c>
      <c r="K2137" t="str">
        <f>Raw_Claims_Data!K2136</f>
        <v>DC</v>
      </c>
      <c r="L2137">
        <f>Raw_Claims_Data!L2136</f>
        <v>4</v>
      </c>
      <c r="M2137" t="str">
        <f>IF(Raw_Claims_Data!M2136="","N/A",Raw_Claims_Data!M2136)</f>
        <v>VNDR00506</v>
      </c>
      <c r="N2137" t="str">
        <f>Raw_Claims_Data!N2136</f>
        <v>AGENT00206</v>
      </c>
      <c r="O2137">
        <f>IF(Raw_Claims_Data!G2136="D",1,0)</f>
        <v>0</v>
      </c>
    </row>
    <row r="2138" spans="1:15" x14ac:dyDescent="0.35">
      <c r="A2138" t="str">
        <f>Raw_Claims_Data!A2137</f>
        <v>TXN00002134</v>
      </c>
      <c r="B2138" t="str">
        <f>TRIM(Raw_Claims_Data!B2137)</f>
        <v>Sean Fisher</v>
      </c>
      <c r="C2138" t="str">
        <f>Raw_Claims_Data!C2137</f>
        <v>Health</v>
      </c>
      <c r="D2138">
        <f>Raw_Claims_Data!D2137</f>
        <v>108.81</v>
      </c>
      <c r="E2138">
        <f>Raw_Claims_Data!E2137</f>
        <v>6000</v>
      </c>
      <c r="F2138" t="str">
        <f>Raw_Claims_Data!F2137</f>
        <v>TN</v>
      </c>
      <c r="G2138" t="str">
        <f>Raw_Claims_Data!G2137</f>
        <v>D</v>
      </c>
      <c r="H2138" t="str">
        <f>Raw_Claims_Data!H2137</f>
        <v>Minor Loss</v>
      </c>
      <c r="I2138" t="str">
        <f>IF(Raw_Claims_Data!I2137="","None",Raw_Claims_Data!I2137)</f>
        <v>None</v>
      </c>
      <c r="J2138" t="str">
        <f>Raw_Claims_Data!J2137</f>
        <v>Montgomery</v>
      </c>
      <c r="K2138" t="str">
        <f>Raw_Claims_Data!K2137</f>
        <v>AL</v>
      </c>
      <c r="L2138">
        <f>Raw_Claims_Data!L2137</f>
        <v>3</v>
      </c>
      <c r="M2138" t="str">
        <f>IF(Raw_Claims_Data!M2137="","N/A",Raw_Claims_Data!M2137)</f>
        <v>N/A</v>
      </c>
      <c r="N2138" t="str">
        <f>Raw_Claims_Data!N2137</f>
        <v>AGENT00631</v>
      </c>
      <c r="O2138">
        <f>IF(Raw_Claims_Data!G2137="D",1,0)</f>
        <v>1</v>
      </c>
    </row>
    <row r="2139" spans="1:15" x14ac:dyDescent="0.35">
      <c r="A2139" t="str">
        <f>Raw_Claims_Data!A2138</f>
        <v>TXN00002135</v>
      </c>
      <c r="B2139" t="str">
        <f>TRIM(Raw_Claims_Data!B2138)</f>
        <v>Sharon Greek</v>
      </c>
      <c r="C2139" t="str">
        <f>Raw_Claims_Data!C2138</f>
        <v>Travel</v>
      </c>
      <c r="D2139">
        <f>Raw_Claims_Data!D2138</f>
        <v>51.54</v>
      </c>
      <c r="E2139">
        <f>Raw_Claims_Data!E2138</f>
        <v>1000</v>
      </c>
      <c r="F2139" t="str">
        <f>Raw_Claims_Data!F2138</f>
        <v>FL</v>
      </c>
      <c r="G2139" t="str">
        <f>Raw_Claims_Data!G2138</f>
        <v>A</v>
      </c>
      <c r="H2139" t="str">
        <f>Raw_Claims_Data!H2138</f>
        <v>Total Loss</v>
      </c>
      <c r="I2139" t="str">
        <f>IF(Raw_Claims_Data!I2138="","None",Raw_Claims_Data!I2138)</f>
        <v>Other</v>
      </c>
      <c r="J2139" t="str">
        <f>Raw_Claims_Data!J2138</f>
        <v>Antioch</v>
      </c>
      <c r="K2139" t="str">
        <f>Raw_Claims_Data!K2138</f>
        <v>CA</v>
      </c>
      <c r="L2139">
        <f>Raw_Claims_Data!L2138</f>
        <v>14</v>
      </c>
      <c r="M2139" t="str">
        <f>IF(Raw_Claims_Data!M2138="","N/A",Raw_Claims_Data!M2138)</f>
        <v>VNDR00060</v>
      </c>
      <c r="N2139" t="str">
        <f>Raw_Claims_Data!N2138</f>
        <v>AGENT01141</v>
      </c>
      <c r="O2139">
        <f>IF(Raw_Claims_Data!G2138="D",1,0)</f>
        <v>0</v>
      </c>
    </row>
    <row r="2140" spans="1:15" x14ac:dyDescent="0.35">
      <c r="A2140" t="str">
        <f>Raw_Claims_Data!A2139</f>
        <v>TXN00002136</v>
      </c>
      <c r="B2140" t="str">
        <f>TRIM(Raw_Claims_Data!B2139)</f>
        <v>Myrtle Orabuena</v>
      </c>
      <c r="C2140" t="str">
        <f>Raw_Claims_Data!C2139</f>
        <v>Motor</v>
      </c>
      <c r="D2140">
        <f>Raw_Claims_Data!D2139</f>
        <v>98.3</v>
      </c>
      <c r="E2140">
        <f>Raw_Claims_Data!E2139</f>
        <v>7000</v>
      </c>
      <c r="F2140" t="str">
        <f>Raw_Claims_Data!F2139</f>
        <v>MA</v>
      </c>
      <c r="G2140" t="str">
        <f>Raw_Claims_Data!G2139</f>
        <v>A</v>
      </c>
      <c r="H2140" t="str">
        <f>Raw_Claims_Data!H2139</f>
        <v>Minor Loss</v>
      </c>
      <c r="I2140" t="str">
        <f>IF(Raw_Claims_Data!I2139="","None",Raw_Claims_Data!I2139)</f>
        <v>Ambulance</v>
      </c>
      <c r="J2140" t="str">
        <f>Raw_Claims_Data!J2139</f>
        <v>Manchester</v>
      </c>
      <c r="K2140" t="str">
        <f>Raw_Claims_Data!K2139</f>
        <v>CT</v>
      </c>
      <c r="L2140">
        <f>Raw_Claims_Data!L2139</f>
        <v>8</v>
      </c>
      <c r="M2140" t="str">
        <f>IF(Raw_Claims_Data!M2139="","N/A",Raw_Claims_Data!M2139)</f>
        <v>N/A</v>
      </c>
      <c r="N2140" t="str">
        <f>Raw_Claims_Data!N2139</f>
        <v>AGENT00671</v>
      </c>
      <c r="O2140">
        <f>IF(Raw_Claims_Data!G2139="D",1,0)</f>
        <v>0</v>
      </c>
    </row>
    <row r="2141" spans="1:15" x14ac:dyDescent="0.35">
      <c r="A2141" t="str">
        <f>Raw_Claims_Data!A2140</f>
        <v>TXN00002137</v>
      </c>
      <c r="B2141" t="str">
        <f>TRIM(Raw_Claims_Data!B2140)</f>
        <v>Samantha Neonakis</v>
      </c>
      <c r="C2141" t="str">
        <f>Raw_Claims_Data!C2140</f>
        <v>Health</v>
      </c>
      <c r="D2141">
        <f>Raw_Claims_Data!D2140</f>
        <v>121.86</v>
      </c>
      <c r="E2141">
        <f>Raw_Claims_Data!E2140</f>
        <v>11000</v>
      </c>
      <c r="F2141" t="str">
        <f>Raw_Claims_Data!F2140</f>
        <v>CA</v>
      </c>
      <c r="G2141" t="str">
        <f>Raw_Claims_Data!G2140</f>
        <v>A</v>
      </c>
      <c r="H2141" t="str">
        <f>Raw_Claims_Data!H2140</f>
        <v>Total Loss</v>
      </c>
      <c r="I2141" t="str">
        <f>IF(Raw_Claims_Data!I2140="","None",Raw_Claims_Data!I2140)</f>
        <v>Other</v>
      </c>
      <c r="J2141" t="str">
        <f>Raw_Claims_Data!J2140</f>
        <v>Mexico Beach</v>
      </c>
      <c r="K2141" t="str">
        <f>Raw_Claims_Data!K2140</f>
        <v>FL</v>
      </c>
      <c r="L2141">
        <f>Raw_Claims_Data!L2140</f>
        <v>11</v>
      </c>
      <c r="M2141" t="str">
        <f>IF(Raw_Claims_Data!M2140="","N/A",Raw_Claims_Data!M2140)</f>
        <v>N/A</v>
      </c>
      <c r="N2141" t="str">
        <f>Raw_Claims_Data!N2140</f>
        <v>AGENT00327</v>
      </c>
      <c r="O2141">
        <f>IF(Raw_Claims_Data!G2140="D",1,0)</f>
        <v>0</v>
      </c>
    </row>
    <row r="2142" spans="1:15" x14ac:dyDescent="0.35">
      <c r="A2142" t="str">
        <f>Raw_Claims_Data!A2141</f>
        <v>TXN00002138</v>
      </c>
      <c r="B2142" t="str">
        <f>TRIM(Raw_Claims_Data!B2141)</f>
        <v>Michael Veloz</v>
      </c>
      <c r="C2142" t="str">
        <f>Raw_Claims_Data!C2141</f>
        <v>Life</v>
      </c>
      <c r="D2142">
        <f>Raw_Claims_Data!D2141</f>
        <v>62.45</v>
      </c>
      <c r="E2142">
        <f>Raw_Claims_Data!E2141</f>
        <v>43000</v>
      </c>
      <c r="F2142" t="str">
        <f>Raw_Claims_Data!F2141</f>
        <v>AZ</v>
      </c>
      <c r="G2142" t="str">
        <f>Raw_Claims_Data!G2141</f>
        <v>A</v>
      </c>
      <c r="H2142" t="str">
        <f>Raw_Claims_Data!H2141</f>
        <v>Minor Loss</v>
      </c>
      <c r="I2142" t="str">
        <f>IF(Raw_Claims_Data!I2141="","None",Raw_Claims_Data!I2141)</f>
        <v>Police</v>
      </c>
      <c r="J2142" t="str">
        <f>Raw_Claims_Data!J2141</f>
        <v>Oklahoma City</v>
      </c>
      <c r="K2142" t="str">
        <f>Raw_Claims_Data!K2141</f>
        <v>OK</v>
      </c>
      <c r="L2142">
        <f>Raw_Claims_Data!L2141</f>
        <v>8</v>
      </c>
      <c r="M2142" t="str">
        <f>IF(Raw_Claims_Data!M2141="","N/A",Raw_Claims_Data!M2141)</f>
        <v>VNDR00120</v>
      </c>
      <c r="N2142" t="str">
        <f>Raw_Claims_Data!N2141</f>
        <v>AGENT00153</v>
      </c>
      <c r="O2142">
        <f>IF(Raw_Claims_Data!G2141="D",1,0)</f>
        <v>0</v>
      </c>
    </row>
    <row r="2143" spans="1:15" x14ac:dyDescent="0.35">
      <c r="A2143" t="str">
        <f>Raw_Claims_Data!A2142</f>
        <v>TXN00002139</v>
      </c>
      <c r="B2143" t="str">
        <f>TRIM(Raw_Claims_Data!B2142)</f>
        <v>Margaret Abbott</v>
      </c>
      <c r="C2143" t="str">
        <f>Raw_Claims_Data!C2142</f>
        <v>Life</v>
      </c>
      <c r="D2143">
        <f>Raw_Claims_Data!D2142</f>
        <v>64.709999999999994</v>
      </c>
      <c r="E2143">
        <f>Raw_Claims_Data!E2142</f>
        <v>61000</v>
      </c>
      <c r="F2143" t="str">
        <f>Raw_Claims_Data!F2142</f>
        <v>MA</v>
      </c>
      <c r="G2143" t="str">
        <f>Raw_Claims_Data!G2142</f>
        <v>A</v>
      </c>
      <c r="H2143" t="str">
        <f>Raw_Claims_Data!H2142</f>
        <v>Minor Loss</v>
      </c>
      <c r="I2143" t="str">
        <f>IF(Raw_Claims_Data!I2142="","None",Raw_Claims_Data!I2142)</f>
        <v>Ambulance</v>
      </c>
      <c r="J2143" t="str">
        <f>Raw_Claims_Data!J2142</f>
        <v>Anchorage</v>
      </c>
      <c r="K2143" t="str">
        <f>Raw_Claims_Data!K2142</f>
        <v>AK</v>
      </c>
      <c r="L2143">
        <f>Raw_Claims_Data!L2142</f>
        <v>19</v>
      </c>
      <c r="M2143" t="str">
        <f>IF(Raw_Claims_Data!M2142="","N/A",Raw_Claims_Data!M2142)</f>
        <v>VNDR00312</v>
      </c>
      <c r="N2143" t="str">
        <f>Raw_Claims_Data!N2142</f>
        <v>AGENT00648</v>
      </c>
      <c r="O2143">
        <f>IF(Raw_Claims_Data!G2142="D",1,0)</f>
        <v>0</v>
      </c>
    </row>
    <row r="2144" spans="1:15" x14ac:dyDescent="0.35">
      <c r="A2144" t="str">
        <f>Raw_Claims_Data!A2143</f>
        <v>TXN00002140</v>
      </c>
      <c r="B2144" t="str">
        <f>TRIM(Raw_Claims_Data!B2143)</f>
        <v>Chris Jackson</v>
      </c>
      <c r="C2144" t="str">
        <f>Raw_Claims_Data!C2143</f>
        <v>Mobile</v>
      </c>
      <c r="D2144">
        <f>Raw_Claims_Data!D2143</f>
        <v>11.05</v>
      </c>
      <c r="E2144">
        <f>Raw_Claims_Data!E2143</f>
        <v>400</v>
      </c>
      <c r="F2144" t="str">
        <f>Raw_Claims_Data!F2143</f>
        <v>CA</v>
      </c>
      <c r="G2144" t="str">
        <f>Raw_Claims_Data!G2143</f>
        <v>D</v>
      </c>
      <c r="H2144" t="str">
        <f>Raw_Claims_Data!H2143</f>
        <v>Total Loss</v>
      </c>
      <c r="I2144" t="str">
        <f>IF(Raw_Claims_Data!I2143="","None",Raw_Claims_Data!I2143)</f>
        <v>None</v>
      </c>
      <c r="J2144" t="str">
        <f>Raw_Claims_Data!J2143</f>
        <v>Montgomery</v>
      </c>
      <c r="K2144" t="str">
        <f>Raw_Claims_Data!K2143</f>
        <v>AL</v>
      </c>
      <c r="L2144">
        <f>Raw_Claims_Data!L2143</f>
        <v>6</v>
      </c>
      <c r="M2144" t="str">
        <f>IF(Raw_Claims_Data!M2143="","N/A",Raw_Claims_Data!M2143)</f>
        <v>N/A</v>
      </c>
      <c r="N2144" t="str">
        <f>Raw_Claims_Data!N2143</f>
        <v>AGENT00501</v>
      </c>
      <c r="O2144">
        <f>IF(Raw_Claims_Data!G2143="D",1,0)</f>
        <v>1</v>
      </c>
    </row>
    <row r="2145" spans="1:15" x14ac:dyDescent="0.35">
      <c r="A2145" t="str">
        <f>Raw_Claims_Data!A2144</f>
        <v>TXN00002141</v>
      </c>
      <c r="B2145" t="str">
        <f>TRIM(Raw_Claims_Data!B2144)</f>
        <v>Suzanne Torres</v>
      </c>
      <c r="C2145" t="str">
        <f>Raw_Claims_Data!C2144</f>
        <v>Property</v>
      </c>
      <c r="D2145">
        <f>Raw_Claims_Data!D2144</f>
        <v>149.44</v>
      </c>
      <c r="E2145">
        <f>Raw_Claims_Data!E2144</f>
        <v>12000</v>
      </c>
      <c r="F2145" t="str">
        <f>Raw_Claims_Data!F2144</f>
        <v>AR</v>
      </c>
      <c r="G2145" t="str">
        <f>Raw_Claims_Data!G2144</f>
        <v>A</v>
      </c>
      <c r="H2145" t="str">
        <f>Raw_Claims_Data!H2144</f>
        <v>Major Loss</v>
      </c>
      <c r="I2145" t="str">
        <f>IF(Raw_Claims_Data!I2144="","None",Raw_Claims_Data!I2144)</f>
        <v>Other</v>
      </c>
      <c r="J2145" t="str">
        <f>Raw_Claims_Data!J2144</f>
        <v>Manchester</v>
      </c>
      <c r="K2145" t="str">
        <f>Raw_Claims_Data!K2144</f>
        <v>CT</v>
      </c>
      <c r="L2145">
        <f>Raw_Claims_Data!L2144</f>
        <v>7</v>
      </c>
      <c r="M2145" t="str">
        <f>IF(Raw_Claims_Data!M2144="","N/A",Raw_Claims_Data!M2144)</f>
        <v>VNDR00211</v>
      </c>
      <c r="N2145" t="str">
        <f>Raw_Claims_Data!N2144</f>
        <v>AGENT00038</v>
      </c>
      <c r="O2145">
        <f>IF(Raw_Claims_Data!G2144="D",1,0)</f>
        <v>0</v>
      </c>
    </row>
    <row r="2146" spans="1:15" x14ac:dyDescent="0.35">
      <c r="A2146" t="str">
        <f>Raw_Claims_Data!A2145</f>
        <v>TXN00002142</v>
      </c>
      <c r="B2146" t="str">
        <f>TRIM(Raw_Claims_Data!B2145)</f>
        <v>Anne Dempsey</v>
      </c>
      <c r="C2146" t="str">
        <f>Raw_Claims_Data!C2145</f>
        <v>Mobile</v>
      </c>
      <c r="D2146">
        <f>Raw_Claims_Data!D2145</f>
        <v>9.68</v>
      </c>
      <c r="E2146">
        <f>Raw_Claims_Data!E2145</f>
        <v>700</v>
      </c>
      <c r="F2146" t="str">
        <f>Raw_Claims_Data!F2145</f>
        <v>CO</v>
      </c>
      <c r="G2146" t="str">
        <f>Raw_Claims_Data!G2145</f>
        <v>A</v>
      </c>
      <c r="H2146" t="str">
        <f>Raw_Claims_Data!H2145</f>
        <v>Major Loss</v>
      </c>
      <c r="I2146" t="str">
        <f>IF(Raw_Claims_Data!I2145="","None",Raw_Claims_Data!I2145)</f>
        <v>Ambulance</v>
      </c>
      <c r="J2146" t="str">
        <f>Raw_Claims_Data!J2145</f>
        <v>Oklahoma City</v>
      </c>
      <c r="K2146" t="str">
        <f>Raw_Claims_Data!K2145</f>
        <v>OK</v>
      </c>
      <c r="L2146">
        <f>Raw_Claims_Data!L2145</f>
        <v>12</v>
      </c>
      <c r="M2146" t="str">
        <f>IF(Raw_Claims_Data!M2145="","N/A",Raw_Claims_Data!M2145)</f>
        <v>VNDR00587</v>
      </c>
      <c r="N2146" t="str">
        <f>Raw_Claims_Data!N2145</f>
        <v>AGENT00571</v>
      </c>
      <c r="O2146">
        <f>IF(Raw_Claims_Data!G2145="D",1,0)</f>
        <v>0</v>
      </c>
    </row>
    <row r="2147" spans="1:15" x14ac:dyDescent="0.35">
      <c r="A2147" t="str">
        <f>Raw_Claims_Data!A2146</f>
        <v>TXN00002143</v>
      </c>
      <c r="B2147" t="str">
        <f>TRIM(Raw_Claims_Data!B2146)</f>
        <v>Douglas Sneeden</v>
      </c>
      <c r="C2147" t="str">
        <f>Raw_Claims_Data!C2146</f>
        <v>Life</v>
      </c>
      <c r="D2147">
        <f>Raw_Claims_Data!D2146</f>
        <v>98.45</v>
      </c>
      <c r="E2147">
        <f>Raw_Claims_Data!E2146</f>
        <v>20000</v>
      </c>
      <c r="F2147" t="str">
        <f>Raw_Claims_Data!F2146</f>
        <v>AL</v>
      </c>
      <c r="G2147" t="str">
        <f>Raw_Claims_Data!G2146</f>
        <v>A</v>
      </c>
      <c r="H2147" t="str">
        <f>Raw_Claims_Data!H2146</f>
        <v>Major Loss</v>
      </c>
      <c r="I2147" t="str">
        <f>IF(Raw_Claims_Data!I2146="","None",Raw_Claims_Data!I2146)</f>
        <v>Ambulance</v>
      </c>
      <c r="J2147" t="str">
        <f>Raw_Claims_Data!J2146</f>
        <v>Santa Cruz</v>
      </c>
      <c r="K2147" t="str">
        <f>Raw_Claims_Data!K2146</f>
        <v>CA</v>
      </c>
      <c r="L2147">
        <f>Raw_Claims_Data!L2146</f>
        <v>11</v>
      </c>
      <c r="M2147" t="str">
        <f>IF(Raw_Claims_Data!M2146="","N/A",Raw_Claims_Data!M2146)</f>
        <v>VNDR00453</v>
      </c>
      <c r="N2147" t="str">
        <f>Raw_Claims_Data!N2146</f>
        <v>AGENT00150</v>
      </c>
      <c r="O2147">
        <f>IF(Raw_Claims_Data!G2146="D",1,0)</f>
        <v>0</v>
      </c>
    </row>
    <row r="2148" spans="1:15" x14ac:dyDescent="0.35">
      <c r="A2148" t="str">
        <f>Raw_Claims_Data!A2147</f>
        <v>TXN00002144</v>
      </c>
      <c r="B2148" t="str">
        <f>TRIM(Raw_Claims_Data!B2147)</f>
        <v>Oliver Scott</v>
      </c>
      <c r="C2148" t="str">
        <f>Raw_Claims_Data!C2147</f>
        <v>Property</v>
      </c>
      <c r="D2148">
        <f>Raw_Claims_Data!D2147</f>
        <v>125.32</v>
      </c>
      <c r="E2148">
        <f>Raw_Claims_Data!E2147</f>
        <v>33000</v>
      </c>
      <c r="F2148" t="str">
        <f>Raw_Claims_Data!F2147</f>
        <v>CA</v>
      </c>
      <c r="G2148" t="str">
        <f>Raw_Claims_Data!G2147</f>
        <v>A</v>
      </c>
      <c r="H2148" t="str">
        <f>Raw_Claims_Data!H2147</f>
        <v>Major Loss</v>
      </c>
      <c r="I2148" t="str">
        <f>IF(Raw_Claims_Data!I2147="","None",Raw_Claims_Data!I2147)</f>
        <v>Other</v>
      </c>
      <c r="J2148" t="str">
        <f>Raw_Claims_Data!J2147</f>
        <v>Montgomery</v>
      </c>
      <c r="K2148" t="str">
        <f>Raw_Claims_Data!K2147</f>
        <v>AL</v>
      </c>
      <c r="L2148">
        <f>Raw_Claims_Data!L2147</f>
        <v>21</v>
      </c>
      <c r="M2148" t="str">
        <f>IF(Raw_Claims_Data!M2147="","N/A",Raw_Claims_Data!M2147)</f>
        <v>VNDR00209</v>
      </c>
      <c r="N2148" t="str">
        <f>Raw_Claims_Data!N2147</f>
        <v>AGENT00470</v>
      </c>
      <c r="O2148">
        <f>IF(Raw_Claims_Data!G2147="D",1,0)</f>
        <v>0</v>
      </c>
    </row>
    <row r="2149" spans="1:15" x14ac:dyDescent="0.35">
      <c r="A2149" t="str">
        <f>Raw_Claims_Data!A2148</f>
        <v>TXN00002145</v>
      </c>
      <c r="B2149" t="str">
        <f>TRIM(Raw_Claims_Data!B2148)</f>
        <v>Cynthia Perales</v>
      </c>
      <c r="C2149" t="str">
        <f>Raw_Claims_Data!C2148</f>
        <v>Mobile</v>
      </c>
      <c r="D2149">
        <f>Raw_Claims_Data!D2148</f>
        <v>10.35</v>
      </c>
      <c r="E2149">
        <f>Raw_Claims_Data!E2148</f>
        <v>600</v>
      </c>
      <c r="F2149" t="str">
        <f>Raw_Claims_Data!F2148</f>
        <v>CO</v>
      </c>
      <c r="G2149" t="str">
        <f>Raw_Claims_Data!G2148</f>
        <v>A</v>
      </c>
      <c r="H2149" t="str">
        <f>Raw_Claims_Data!H2148</f>
        <v>Minor Loss</v>
      </c>
      <c r="I2149" t="str">
        <f>IF(Raw_Claims_Data!I2148="","None",Raw_Claims_Data!I2148)</f>
        <v>Police</v>
      </c>
      <c r="J2149" t="str">
        <f>Raw_Claims_Data!J2148</f>
        <v>Oakland</v>
      </c>
      <c r="K2149" t="str">
        <f>Raw_Claims_Data!K2148</f>
        <v>CA</v>
      </c>
      <c r="L2149">
        <f>Raw_Claims_Data!L2148</f>
        <v>23</v>
      </c>
      <c r="M2149" t="str">
        <f>IF(Raw_Claims_Data!M2148="","N/A",Raw_Claims_Data!M2148)</f>
        <v>VNDR00025</v>
      </c>
      <c r="N2149" t="str">
        <f>Raw_Claims_Data!N2148</f>
        <v>AGENT00388</v>
      </c>
      <c r="O2149">
        <f>IF(Raw_Claims_Data!G2148="D",1,0)</f>
        <v>0</v>
      </c>
    </row>
    <row r="2150" spans="1:15" x14ac:dyDescent="0.35">
      <c r="A2150" t="str">
        <f>Raw_Claims_Data!A2149</f>
        <v>TXN00002146</v>
      </c>
      <c r="B2150" t="str">
        <f>TRIM(Raw_Claims_Data!B2149)</f>
        <v>Carolyn Preciado</v>
      </c>
      <c r="C2150" t="str">
        <f>Raw_Claims_Data!C2149</f>
        <v>Life</v>
      </c>
      <c r="D2150">
        <f>Raw_Claims_Data!D2149</f>
        <v>59.62</v>
      </c>
      <c r="E2150">
        <f>Raw_Claims_Data!E2149</f>
        <v>39000</v>
      </c>
      <c r="F2150" t="str">
        <f>Raw_Claims_Data!F2149</f>
        <v>TN</v>
      </c>
      <c r="G2150" t="str">
        <f>Raw_Claims_Data!G2149</f>
        <v>A</v>
      </c>
      <c r="H2150" t="str">
        <f>Raw_Claims_Data!H2149</f>
        <v>Minor Loss</v>
      </c>
      <c r="I2150" t="str">
        <f>IF(Raw_Claims_Data!I2149="","None",Raw_Claims_Data!I2149)</f>
        <v>Other</v>
      </c>
      <c r="J2150" t="str">
        <f>Raw_Claims_Data!J2149</f>
        <v>Pasadena</v>
      </c>
      <c r="K2150" t="str">
        <f>Raw_Claims_Data!K2149</f>
        <v>MD</v>
      </c>
      <c r="L2150">
        <f>Raw_Claims_Data!L2149</f>
        <v>19</v>
      </c>
      <c r="M2150" t="str">
        <f>IF(Raw_Claims_Data!M2149="","N/A",Raw_Claims_Data!M2149)</f>
        <v>VNDR00319</v>
      </c>
      <c r="N2150" t="str">
        <f>Raw_Claims_Data!N2149</f>
        <v>AGENT00719</v>
      </c>
      <c r="O2150">
        <f>IF(Raw_Claims_Data!G2149="D",1,0)</f>
        <v>0</v>
      </c>
    </row>
    <row r="2151" spans="1:15" x14ac:dyDescent="0.35">
      <c r="A2151" t="str">
        <f>Raw_Claims_Data!A2150</f>
        <v>TXN00002147</v>
      </c>
      <c r="B2151" t="str">
        <f>TRIM(Raw_Claims_Data!B2150)</f>
        <v>Elaine Barrett</v>
      </c>
      <c r="C2151" t="str">
        <f>Raw_Claims_Data!C2150</f>
        <v>Health</v>
      </c>
      <c r="D2151">
        <f>Raw_Claims_Data!D2150</f>
        <v>111.28</v>
      </c>
      <c r="E2151">
        <f>Raw_Claims_Data!E2150</f>
        <v>9000</v>
      </c>
      <c r="F2151" t="str">
        <f>Raw_Claims_Data!F2150</f>
        <v>AZ</v>
      </c>
      <c r="G2151" t="str">
        <f>Raw_Claims_Data!G2150</f>
        <v>A</v>
      </c>
      <c r="H2151" t="str">
        <f>Raw_Claims_Data!H2150</f>
        <v>Minor Loss</v>
      </c>
      <c r="I2151" t="str">
        <f>IF(Raw_Claims_Data!I2150="","None",Raw_Claims_Data!I2150)</f>
        <v>Police</v>
      </c>
      <c r="J2151" t="str">
        <f>Raw_Claims_Data!J2150</f>
        <v>Athol</v>
      </c>
      <c r="K2151" t="str">
        <f>Raw_Claims_Data!K2150</f>
        <v>MA</v>
      </c>
      <c r="L2151">
        <f>Raw_Claims_Data!L2150</f>
        <v>14</v>
      </c>
      <c r="M2151" t="str">
        <f>IF(Raw_Claims_Data!M2150="","N/A",Raw_Claims_Data!M2150)</f>
        <v>N/A</v>
      </c>
      <c r="N2151" t="str">
        <f>Raw_Claims_Data!N2150</f>
        <v>AGENT00034</v>
      </c>
      <c r="O2151">
        <f>IF(Raw_Claims_Data!G2150="D",1,0)</f>
        <v>0</v>
      </c>
    </row>
    <row r="2152" spans="1:15" x14ac:dyDescent="0.35">
      <c r="A2152" t="str">
        <f>Raw_Claims_Data!A2151</f>
        <v>TXN00002148</v>
      </c>
      <c r="B2152" t="str">
        <f>TRIM(Raw_Claims_Data!B2151)</f>
        <v>Alfredo Antonio</v>
      </c>
      <c r="C2152" t="str">
        <f>Raw_Claims_Data!C2151</f>
        <v>Life</v>
      </c>
      <c r="D2152">
        <f>Raw_Claims_Data!D2151</f>
        <v>58.41</v>
      </c>
      <c r="E2152">
        <f>Raw_Claims_Data!E2151</f>
        <v>15000</v>
      </c>
      <c r="F2152" t="str">
        <f>Raw_Claims_Data!F2151</f>
        <v>GA</v>
      </c>
      <c r="G2152" t="str">
        <f>Raw_Claims_Data!G2151</f>
        <v>A</v>
      </c>
      <c r="H2152" t="str">
        <f>Raw_Claims_Data!H2151</f>
        <v>Minor Loss</v>
      </c>
      <c r="I2152" t="str">
        <f>IF(Raw_Claims_Data!I2151="","None",Raw_Claims_Data!I2151)</f>
        <v>Ambulance</v>
      </c>
      <c r="J2152" t="str">
        <f>Raw_Claims_Data!J2151</f>
        <v>Anchorage</v>
      </c>
      <c r="K2152" t="str">
        <f>Raw_Claims_Data!K2151</f>
        <v>AK</v>
      </c>
      <c r="L2152">
        <f>Raw_Claims_Data!L2151</f>
        <v>12</v>
      </c>
      <c r="M2152" t="str">
        <f>IF(Raw_Claims_Data!M2151="","N/A",Raw_Claims_Data!M2151)</f>
        <v>VNDR00397</v>
      </c>
      <c r="N2152" t="str">
        <f>Raw_Claims_Data!N2151</f>
        <v>AGENT00648</v>
      </c>
      <c r="O2152">
        <f>IF(Raw_Claims_Data!G2151="D",1,0)</f>
        <v>0</v>
      </c>
    </row>
    <row r="2153" spans="1:15" x14ac:dyDescent="0.35">
      <c r="A2153" t="str">
        <f>Raw_Claims_Data!A2152</f>
        <v>TXN00002149</v>
      </c>
      <c r="B2153" t="str">
        <f>TRIM(Raw_Claims_Data!B2152)</f>
        <v>Sandra Reynolds</v>
      </c>
      <c r="C2153" t="str">
        <f>Raw_Claims_Data!C2152</f>
        <v>Travel</v>
      </c>
      <c r="D2153">
        <f>Raw_Claims_Data!D2152</f>
        <v>85.77</v>
      </c>
      <c r="E2153">
        <f>Raw_Claims_Data!E2152</f>
        <v>5000</v>
      </c>
      <c r="F2153" t="str">
        <f>Raw_Claims_Data!F2152</f>
        <v>CA</v>
      </c>
      <c r="G2153" t="str">
        <f>Raw_Claims_Data!G2152</f>
        <v>A</v>
      </c>
      <c r="H2153" t="str">
        <f>Raw_Claims_Data!H2152</f>
        <v>Major Loss</v>
      </c>
      <c r="I2153" t="str">
        <f>IF(Raw_Claims_Data!I2152="","None",Raw_Claims_Data!I2152)</f>
        <v>Other</v>
      </c>
      <c r="J2153" t="str">
        <f>Raw_Claims_Data!J2152</f>
        <v>San Leandro</v>
      </c>
      <c r="K2153" t="str">
        <f>Raw_Claims_Data!K2152</f>
        <v>CA</v>
      </c>
      <c r="L2153">
        <f>Raw_Claims_Data!L2152</f>
        <v>9</v>
      </c>
      <c r="M2153" t="str">
        <f>IF(Raw_Claims_Data!M2152="","N/A",Raw_Claims_Data!M2152)</f>
        <v>VNDR00499</v>
      </c>
      <c r="N2153" t="str">
        <f>Raw_Claims_Data!N2152</f>
        <v>AGENT00355</v>
      </c>
      <c r="O2153">
        <f>IF(Raw_Claims_Data!G2152="D",1,0)</f>
        <v>0</v>
      </c>
    </row>
    <row r="2154" spans="1:15" x14ac:dyDescent="0.35">
      <c r="A2154" t="str">
        <f>Raw_Claims_Data!A2153</f>
        <v>TXN00002150</v>
      </c>
      <c r="B2154" t="str">
        <f>TRIM(Raw_Claims_Data!B2153)</f>
        <v>Dennis Pugh</v>
      </c>
      <c r="C2154" t="str">
        <f>Raw_Claims_Data!C2153</f>
        <v>Travel</v>
      </c>
      <c r="D2154">
        <f>Raw_Claims_Data!D2153</f>
        <v>97.39</v>
      </c>
      <c r="E2154">
        <f>Raw_Claims_Data!E2153</f>
        <v>4000</v>
      </c>
      <c r="F2154" t="str">
        <f>Raw_Claims_Data!F2153</f>
        <v>CA</v>
      </c>
      <c r="G2154" t="str">
        <f>Raw_Claims_Data!G2153</f>
        <v>A</v>
      </c>
      <c r="H2154" t="str">
        <f>Raw_Claims_Data!H2153</f>
        <v>Total Loss</v>
      </c>
      <c r="I2154" t="str">
        <f>IF(Raw_Claims_Data!I2153="","None",Raw_Claims_Data!I2153)</f>
        <v>Ambulance</v>
      </c>
      <c r="J2154" t="str">
        <f>Raw_Claims_Data!J2153</f>
        <v>Washington</v>
      </c>
      <c r="K2154" t="str">
        <f>Raw_Claims_Data!K2153</f>
        <v>DC</v>
      </c>
      <c r="L2154">
        <f>Raw_Claims_Data!L2153</f>
        <v>17</v>
      </c>
      <c r="M2154" t="str">
        <f>IF(Raw_Claims_Data!M2153="","N/A",Raw_Claims_Data!M2153)</f>
        <v>VNDR00052</v>
      </c>
      <c r="N2154" t="str">
        <f>Raw_Claims_Data!N2153</f>
        <v>AGENT01139</v>
      </c>
      <c r="O2154">
        <f>IF(Raw_Claims_Data!G2153="D",1,0)</f>
        <v>0</v>
      </c>
    </row>
    <row r="2155" spans="1:15" x14ac:dyDescent="0.35">
      <c r="A2155" t="str">
        <f>Raw_Claims_Data!A2154</f>
        <v>TXN00002151</v>
      </c>
      <c r="B2155" t="str">
        <f>TRIM(Raw_Claims_Data!B2154)</f>
        <v>Jonathan Couch</v>
      </c>
      <c r="C2155" t="str">
        <f>Raw_Claims_Data!C2154</f>
        <v>Motor</v>
      </c>
      <c r="D2155">
        <f>Raw_Claims_Data!D2154</f>
        <v>89.17</v>
      </c>
      <c r="E2155">
        <f>Raw_Claims_Data!E2154</f>
        <v>7000</v>
      </c>
      <c r="F2155" t="str">
        <f>Raw_Claims_Data!F2154</f>
        <v>MA</v>
      </c>
      <c r="G2155" t="str">
        <f>Raw_Claims_Data!G2154</f>
        <v>A</v>
      </c>
      <c r="H2155" t="str">
        <f>Raw_Claims_Data!H2154</f>
        <v>Minor Loss</v>
      </c>
      <c r="I2155" t="str">
        <f>IF(Raw_Claims_Data!I2154="","None",Raw_Claims_Data!I2154)</f>
        <v>Ambulance</v>
      </c>
      <c r="J2155" t="str">
        <f>Raw_Claims_Data!J2154</f>
        <v>Lynn Haven</v>
      </c>
      <c r="K2155" t="str">
        <f>Raw_Claims_Data!K2154</f>
        <v>FL</v>
      </c>
      <c r="L2155">
        <f>Raw_Claims_Data!L2154</f>
        <v>4</v>
      </c>
      <c r="M2155" t="str">
        <f>IF(Raw_Claims_Data!M2154="","N/A",Raw_Claims_Data!M2154)</f>
        <v>VNDR00019</v>
      </c>
      <c r="N2155" t="str">
        <f>Raw_Claims_Data!N2154</f>
        <v>AGENT00596</v>
      </c>
      <c r="O2155">
        <f>IF(Raw_Claims_Data!G2154="D",1,0)</f>
        <v>0</v>
      </c>
    </row>
    <row r="2156" spans="1:15" x14ac:dyDescent="0.35">
      <c r="A2156" t="str">
        <f>Raw_Claims_Data!A2155</f>
        <v>TXN00002152</v>
      </c>
      <c r="B2156" t="str">
        <f>TRIM(Raw_Claims_Data!B2155)</f>
        <v>Peggy Robinson</v>
      </c>
      <c r="C2156" t="str">
        <f>Raw_Claims_Data!C2155</f>
        <v>Mobile</v>
      </c>
      <c r="D2156">
        <f>Raw_Claims_Data!D2155</f>
        <v>10.87</v>
      </c>
      <c r="E2156">
        <f>Raw_Claims_Data!E2155</f>
        <v>200</v>
      </c>
      <c r="F2156" t="str">
        <f>Raw_Claims_Data!F2155</f>
        <v>VT</v>
      </c>
      <c r="G2156" t="str">
        <f>Raw_Claims_Data!G2155</f>
        <v>A</v>
      </c>
      <c r="H2156" t="str">
        <f>Raw_Claims_Data!H2155</f>
        <v>Minor Loss</v>
      </c>
      <c r="I2156" t="str">
        <f>IF(Raw_Claims_Data!I2155="","None",Raw_Claims_Data!I2155)</f>
        <v>None</v>
      </c>
      <c r="J2156" t="str">
        <f>Raw_Claims_Data!J2155</f>
        <v>Attleboro</v>
      </c>
      <c r="K2156" t="str">
        <f>Raw_Claims_Data!K2155</f>
        <v>MA</v>
      </c>
      <c r="L2156">
        <f>Raw_Claims_Data!L2155</f>
        <v>11</v>
      </c>
      <c r="M2156" t="str">
        <f>IF(Raw_Claims_Data!M2155="","N/A",Raw_Claims_Data!M2155)</f>
        <v>N/A</v>
      </c>
      <c r="N2156" t="str">
        <f>Raw_Claims_Data!N2155</f>
        <v>AGENT00809</v>
      </c>
      <c r="O2156">
        <f>IF(Raw_Claims_Data!G2155="D",1,0)</f>
        <v>0</v>
      </c>
    </row>
    <row r="2157" spans="1:15" x14ac:dyDescent="0.35">
      <c r="A2157" t="str">
        <f>Raw_Claims_Data!A2156</f>
        <v>TXN00002153</v>
      </c>
      <c r="B2157" t="str">
        <f>TRIM(Raw_Claims_Data!B2156)</f>
        <v>Rodney Fuhrman</v>
      </c>
      <c r="C2157" t="str">
        <f>Raw_Claims_Data!C2156</f>
        <v>Travel</v>
      </c>
      <c r="D2157">
        <f>Raw_Claims_Data!D2156</f>
        <v>89.26</v>
      </c>
      <c r="E2157">
        <f>Raw_Claims_Data!E2156</f>
        <v>2000</v>
      </c>
      <c r="F2157" t="str">
        <f>Raw_Claims_Data!F2156</f>
        <v>MA</v>
      </c>
      <c r="G2157" t="str">
        <f>Raw_Claims_Data!G2156</f>
        <v>A</v>
      </c>
      <c r="H2157" t="str">
        <f>Raw_Claims_Data!H2156</f>
        <v>Total Loss</v>
      </c>
      <c r="I2157" t="str">
        <f>IF(Raw_Claims_Data!I2156="","None",Raw_Claims_Data!I2156)</f>
        <v>Police</v>
      </c>
      <c r="J2157" t="str">
        <f>Raw_Claims_Data!J2156</f>
        <v>Arvada</v>
      </c>
      <c r="K2157" t="str">
        <f>Raw_Claims_Data!K2156</f>
        <v>CO</v>
      </c>
      <c r="L2157">
        <f>Raw_Claims_Data!L2156</f>
        <v>1</v>
      </c>
      <c r="M2157" t="str">
        <f>IF(Raw_Claims_Data!M2156="","N/A",Raw_Claims_Data!M2156)</f>
        <v>VNDR00254</v>
      </c>
      <c r="N2157" t="str">
        <f>Raw_Claims_Data!N2156</f>
        <v>AGENT01056</v>
      </c>
      <c r="O2157">
        <f>IF(Raw_Claims_Data!G2156="D",1,0)</f>
        <v>0</v>
      </c>
    </row>
    <row r="2158" spans="1:15" x14ac:dyDescent="0.35">
      <c r="A2158" t="str">
        <f>Raw_Claims_Data!A2157</f>
        <v>TXN00002154</v>
      </c>
      <c r="B2158" t="str">
        <f>TRIM(Raw_Claims_Data!B2157)</f>
        <v>Alejandro Mitchell</v>
      </c>
      <c r="C2158" t="str">
        <f>Raw_Claims_Data!C2157</f>
        <v>Motor</v>
      </c>
      <c r="D2158">
        <f>Raw_Claims_Data!D2157</f>
        <v>92.16</v>
      </c>
      <c r="E2158">
        <f>Raw_Claims_Data!E2157</f>
        <v>10000</v>
      </c>
      <c r="F2158" t="str">
        <f>Raw_Claims_Data!F2157</f>
        <v>CT</v>
      </c>
      <c r="G2158" t="str">
        <f>Raw_Claims_Data!G2157</f>
        <v>A</v>
      </c>
      <c r="H2158" t="str">
        <f>Raw_Claims_Data!H2157</f>
        <v>Total Loss</v>
      </c>
      <c r="I2158" t="str">
        <f>IF(Raw_Claims_Data!I2157="","None",Raw_Claims_Data!I2157)</f>
        <v>Police</v>
      </c>
      <c r="J2158" t="str">
        <f>Raw_Claims_Data!J2157</f>
        <v>Pueblo</v>
      </c>
      <c r="K2158" t="str">
        <f>Raw_Claims_Data!K2157</f>
        <v>CO</v>
      </c>
      <c r="L2158">
        <f>Raw_Claims_Data!L2157</f>
        <v>0</v>
      </c>
      <c r="M2158" t="str">
        <f>IF(Raw_Claims_Data!M2157="","N/A",Raw_Claims_Data!M2157)</f>
        <v>VNDR00440</v>
      </c>
      <c r="N2158" t="str">
        <f>Raw_Claims_Data!N2157</f>
        <v>AGENT00350</v>
      </c>
      <c r="O2158">
        <f>IF(Raw_Claims_Data!G2157="D",1,0)</f>
        <v>0</v>
      </c>
    </row>
    <row r="2159" spans="1:15" x14ac:dyDescent="0.35">
      <c r="A2159" t="str">
        <f>Raw_Claims_Data!A2158</f>
        <v>TXN00002155</v>
      </c>
      <c r="B2159" t="str">
        <f>TRIM(Raw_Claims_Data!B2158)</f>
        <v>Arthur Broughton</v>
      </c>
      <c r="C2159" t="str">
        <f>Raw_Claims_Data!C2158</f>
        <v>Mobile</v>
      </c>
      <c r="D2159">
        <f>Raw_Claims_Data!D2158</f>
        <v>10.78</v>
      </c>
      <c r="E2159">
        <f>Raw_Claims_Data!E2158</f>
        <v>400</v>
      </c>
      <c r="F2159" t="str">
        <f>Raw_Claims_Data!F2158</f>
        <v>MA</v>
      </c>
      <c r="G2159" t="str">
        <f>Raw_Claims_Data!G2158</f>
        <v>A</v>
      </c>
      <c r="H2159" t="str">
        <f>Raw_Claims_Data!H2158</f>
        <v>Major Loss</v>
      </c>
      <c r="I2159" t="str">
        <f>IF(Raw_Claims_Data!I2158="","None",Raw_Claims_Data!I2158)</f>
        <v>Police</v>
      </c>
      <c r="J2159" t="str">
        <f>Raw_Claims_Data!J2158</f>
        <v>Athol</v>
      </c>
      <c r="K2159" t="str">
        <f>Raw_Claims_Data!K2158</f>
        <v>MA</v>
      </c>
      <c r="L2159">
        <f>Raw_Claims_Data!L2158</f>
        <v>3</v>
      </c>
      <c r="M2159" t="str">
        <f>IF(Raw_Claims_Data!M2158="","N/A",Raw_Claims_Data!M2158)</f>
        <v>N/A</v>
      </c>
      <c r="N2159" t="str">
        <f>Raw_Claims_Data!N2158</f>
        <v>AGENT01113</v>
      </c>
      <c r="O2159">
        <f>IF(Raw_Claims_Data!G2158="D",1,0)</f>
        <v>0</v>
      </c>
    </row>
    <row r="2160" spans="1:15" x14ac:dyDescent="0.35">
      <c r="A2160" t="str">
        <f>Raw_Claims_Data!A2159</f>
        <v>TXN00002156</v>
      </c>
      <c r="B2160" t="str">
        <f>TRIM(Raw_Claims_Data!B2159)</f>
        <v>Clay Bracken</v>
      </c>
      <c r="C2160" t="str">
        <f>Raw_Claims_Data!C2159</f>
        <v>Health</v>
      </c>
      <c r="D2160">
        <f>Raw_Claims_Data!D2159</f>
        <v>189.17</v>
      </c>
      <c r="E2160">
        <f>Raw_Claims_Data!E2159</f>
        <v>18000</v>
      </c>
      <c r="F2160" t="str">
        <f>Raw_Claims_Data!F2159</f>
        <v>CA</v>
      </c>
      <c r="G2160" t="str">
        <f>Raw_Claims_Data!G2159</f>
        <v>A</v>
      </c>
      <c r="H2160" t="str">
        <f>Raw_Claims_Data!H2159</f>
        <v>Major Loss</v>
      </c>
      <c r="I2160" t="str">
        <f>IF(Raw_Claims_Data!I2159="","None",Raw_Claims_Data!I2159)</f>
        <v>None</v>
      </c>
      <c r="J2160" t="str">
        <f>Raw_Claims_Data!J2159</f>
        <v>Anchorage</v>
      </c>
      <c r="K2160" t="str">
        <f>Raw_Claims_Data!K2159</f>
        <v>AK</v>
      </c>
      <c r="L2160">
        <f>Raw_Claims_Data!L2159</f>
        <v>18</v>
      </c>
      <c r="M2160" t="str">
        <f>IF(Raw_Claims_Data!M2159="","N/A",Raw_Claims_Data!M2159)</f>
        <v>VNDR00273</v>
      </c>
      <c r="N2160" t="str">
        <f>Raw_Claims_Data!N2159</f>
        <v>AGENT00880</v>
      </c>
      <c r="O2160">
        <f>IF(Raw_Claims_Data!G2159="D",1,0)</f>
        <v>0</v>
      </c>
    </row>
    <row r="2161" spans="1:15" x14ac:dyDescent="0.35">
      <c r="A2161" t="str">
        <f>Raw_Claims_Data!A2160</f>
        <v>TXN00002157</v>
      </c>
      <c r="B2161" t="str">
        <f>TRIM(Raw_Claims_Data!B2160)</f>
        <v>William Waston</v>
      </c>
      <c r="C2161" t="str">
        <f>Raw_Claims_Data!C2160</f>
        <v>Mobile</v>
      </c>
      <c r="D2161">
        <f>Raw_Claims_Data!D2160</f>
        <v>7.83</v>
      </c>
      <c r="E2161">
        <f>Raw_Claims_Data!E2160</f>
        <v>300</v>
      </c>
      <c r="F2161" t="str">
        <f>Raw_Claims_Data!F2160</f>
        <v>CA</v>
      </c>
      <c r="G2161" t="str">
        <f>Raw_Claims_Data!G2160</f>
        <v>A</v>
      </c>
      <c r="H2161" t="str">
        <f>Raw_Claims_Data!H2160</f>
        <v>Major Loss</v>
      </c>
      <c r="I2161" t="str">
        <f>IF(Raw_Claims_Data!I2160="","None",Raw_Claims_Data!I2160)</f>
        <v>Ambulance</v>
      </c>
      <c r="J2161" t="str">
        <f>Raw_Claims_Data!J2160</f>
        <v>Poultney</v>
      </c>
      <c r="K2161" t="str">
        <f>Raw_Claims_Data!K2160</f>
        <v>VT</v>
      </c>
      <c r="L2161">
        <f>Raw_Claims_Data!L2160</f>
        <v>9</v>
      </c>
      <c r="M2161" t="str">
        <f>IF(Raw_Claims_Data!M2160="","N/A",Raw_Claims_Data!M2160)</f>
        <v>N/A</v>
      </c>
      <c r="N2161" t="str">
        <f>Raw_Claims_Data!N2160</f>
        <v>AGENT00879</v>
      </c>
      <c r="O2161">
        <f>IF(Raw_Claims_Data!G2160="D",1,0)</f>
        <v>0</v>
      </c>
    </row>
    <row r="2162" spans="1:15" x14ac:dyDescent="0.35">
      <c r="A2162" t="str">
        <f>Raw_Claims_Data!A2161</f>
        <v>TXN00002158</v>
      </c>
      <c r="B2162" t="str">
        <f>TRIM(Raw_Claims_Data!B2161)</f>
        <v>Edward Norris</v>
      </c>
      <c r="C2162" t="str">
        <f>Raw_Claims_Data!C2161</f>
        <v>Mobile</v>
      </c>
      <c r="D2162">
        <f>Raw_Claims_Data!D2161</f>
        <v>10.52</v>
      </c>
      <c r="E2162">
        <f>Raw_Claims_Data!E2161</f>
        <v>700</v>
      </c>
      <c r="F2162" t="str">
        <f>Raw_Claims_Data!F2161</f>
        <v>FL</v>
      </c>
      <c r="G2162" t="str">
        <f>Raw_Claims_Data!G2161</f>
        <v>A</v>
      </c>
      <c r="H2162" t="str">
        <f>Raw_Claims_Data!H2161</f>
        <v>Minor Loss</v>
      </c>
      <c r="I2162" t="str">
        <f>IF(Raw_Claims_Data!I2161="","None",Raw_Claims_Data!I2161)</f>
        <v>Police</v>
      </c>
      <c r="J2162" t="str">
        <f>Raw_Claims_Data!J2161</f>
        <v>Edmond</v>
      </c>
      <c r="K2162" t="str">
        <f>Raw_Claims_Data!K2161</f>
        <v>OK</v>
      </c>
      <c r="L2162">
        <f>Raw_Claims_Data!L2161</f>
        <v>4</v>
      </c>
      <c r="M2162" t="str">
        <f>IF(Raw_Claims_Data!M2161="","N/A",Raw_Claims_Data!M2161)</f>
        <v>VNDR00555</v>
      </c>
      <c r="N2162" t="str">
        <f>Raw_Claims_Data!N2161</f>
        <v>AGENT00424</v>
      </c>
      <c r="O2162">
        <f>IF(Raw_Claims_Data!G2161="D",1,0)</f>
        <v>0</v>
      </c>
    </row>
    <row r="2163" spans="1:15" x14ac:dyDescent="0.35">
      <c r="A2163" t="str">
        <f>Raw_Claims_Data!A2162</f>
        <v>TXN00002159</v>
      </c>
      <c r="B2163" t="str">
        <f>TRIM(Raw_Claims_Data!B2162)</f>
        <v>Matthew Nitz</v>
      </c>
      <c r="C2163" t="str">
        <f>Raw_Claims_Data!C2162</f>
        <v>Travel</v>
      </c>
      <c r="D2163">
        <f>Raw_Claims_Data!D2162</f>
        <v>97.59</v>
      </c>
      <c r="E2163">
        <f>Raw_Claims_Data!E2162</f>
        <v>3000</v>
      </c>
      <c r="F2163" t="str">
        <f>Raw_Claims_Data!F2162</f>
        <v>MA</v>
      </c>
      <c r="G2163" t="str">
        <f>Raw_Claims_Data!G2162</f>
        <v>A</v>
      </c>
      <c r="H2163" t="str">
        <f>Raw_Claims_Data!H2162</f>
        <v>Major Loss</v>
      </c>
      <c r="I2163" t="str">
        <f>IF(Raw_Claims_Data!I2162="","None",Raw_Claims_Data!I2162)</f>
        <v>Other</v>
      </c>
      <c r="J2163" t="str">
        <f>Raw_Claims_Data!J2162</f>
        <v>Southport</v>
      </c>
      <c r="K2163" t="str">
        <f>Raw_Claims_Data!K2162</f>
        <v>FL</v>
      </c>
      <c r="L2163">
        <f>Raw_Claims_Data!L2162</f>
        <v>18</v>
      </c>
      <c r="M2163" t="str">
        <f>IF(Raw_Claims_Data!M2162="","N/A",Raw_Claims_Data!M2162)</f>
        <v>N/A</v>
      </c>
      <c r="N2163" t="str">
        <f>Raw_Claims_Data!N2162</f>
        <v>AGENT01025</v>
      </c>
      <c r="O2163">
        <f>IF(Raw_Claims_Data!G2162="D",1,0)</f>
        <v>0</v>
      </c>
    </row>
    <row r="2164" spans="1:15" x14ac:dyDescent="0.35">
      <c r="A2164" t="str">
        <f>Raw_Claims_Data!A2163</f>
        <v>TXN00002160</v>
      </c>
      <c r="B2164" t="str">
        <f>TRIM(Raw_Claims_Data!B2163)</f>
        <v>Mary Bowlin</v>
      </c>
      <c r="C2164" t="str">
        <f>Raw_Claims_Data!C2163</f>
        <v>Health</v>
      </c>
      <c r="D2164">
        <f>Raw_Claims_Data!D2163</f>
        <v>159.96</v>
      </c>
      <c r="E2164">
        <f>Raw_Claims_Data!E2163</f>
        <v>8000</v>
      </c>
      <c r="F2164" t="str">
        <f>Raw_Claims_Data!F2163</f>
        <v>KY</v>
      </c>
      <c r="G2164" t="str">
        <f>Raw_Claims_Data!G2163</f>
        <v>A</v>
      </c>
      <c r="H2164" t="str">
        <f>Raw_Claims_Data!H2163</f>
        <v>Total Loss</v>
      </c>
      <c r="I2164" t="str">
        <f>IF(Raw_Claims_Data!I2163="","None",Raw_Claims_Data!I2163)</f>
        <v>Ambulance</v>
      </c>
      <c r="J2164" t="str">
        <f>Raw_Claims_Data!J2163</f>
        <v>Nashville</v>
      </c>
      <c r="K2164" t="str">
        <f>Raw_Claims_Data!K2163</f>
        <v>TN</v>
      </c>
      <c r="L2164">
        <f>Raw_Claims_Data!L2163</f>
        <v>23</v>
      </c>
      <c r="M2164" t="str">
        <f>IF(Raw_Claims_Data!M2163="","N/A",Raw_Claims_Data!M2163)</f>
        <v>VNDR00293</v>
      </c>
      <c r="N2164" t="str">
        <f>Raw_Claims_Data!N2163</f>
        <v>AGENT00891</v>
      </c>
      <c r="O2164">
        <f>IF(Raw_Claims_Data!G2163="D",1,0)</f>
        <v>0</v>
      </c>
    </row>
    <row r="2165" spans="1:15" x14ac:dyDescent="0.35">
      <c r="A2165" t="str">
        <f>Raw_Claims_Data!A2164</f>
        <v>TXN00002161</v>
      </c>
      <c r="B2165" t="str">
        <f>TRIM(Raw_Claims_Data!B2164)</f>
        <v>Kenneth Clemmons</v>
      </c>
      <c r="C2165" t="str">
        <f>Raw_Claims_Data!C2164</f>
        <v>Property</v>
      </c>
      <c r="D2165">
        <f>Raw_Claims_Data!D2164</f>
        <v>107.02</v>
      </c>
      <c r="E2165">
        <f>Raw_Claims_Data!E2164</f>
        <v>39000</v>
      </c>
      <c r="F2165" t="str">
        <f>Raw_Claims_Data!F2164</f>
        <v>KY</v>
      </c>
      <c r="G2165" t="str">
        <f>Raw_Claims_Data!G2164</f>
        <v>A</v>
      </c>
      <c r="H2165" t="str">
        <f>Raw_Claims_Data!H2164</f>
        <v>Major Loss</v>
      </c>
      <c r="I2165" t="str">
        <f>IF(Raw_Claims_Data!I2164="","None",Raw_Claims_Data!I2164)</f>
        <v>Ambulance</v>
      </c>
      <c r="J2165" t="str">
        <f>Raw_Claims_Data!J2164</f>
        <v>Thunderbolt</v>
      </c>
      <c r="K2165" t="str">
        <f>Raw_Claims_Data!K2164</f>
        <v>GA</v>
      </c>
      <c r="L2165">
        <f>Raw_Claims_Data!L2164</f>
        <v>10</v>
      </c>
      <c r="M2165" t="str">
        <f>IF(Raw_Claims_Data!M2164="","N/A",Raw_Claims_Data!M2164)</f>
        <v>VNDR00591</v>
      </c>
      <c r="N2165" t="str">
        <f>Raw_Claims_Data!N2164</f>
        <v>AGENT01007</v>
      </c>
      <c r="O2165">
        <f>IF(Raw_Claims_Data!G2164="D",1,0)</f>
        <v>0</v>
      </c>
    </row>
    <row r="2166" spans="1:15" x14ac:dyDescent="0.35">
      <c r="A2166" t="str">
        <f>Raw_Claims_Data!A2165</f>
        <v>TXN00002162</v>
      </c>
      <c r="B2166" t="str">
        <f>TRIM(Raw_Claims_Data!B2165)</f>
        <v>Dale Richey</v>
      </c>
      <c r="C2166" t="str">
        <f>Raw_Claims_Data!C2165</f>
        <v>Health</v>
      </c>
      <c r="D2166">
        <f>Raw_Claims_Data!D2165</f>
        <v>112.39</v>
      </c>
      <c r="E2166">
        <f>Raw_Claims_Data!E2165</f>
        <v>3000</v>
      </c>
      <c r="F2166" t="str">
        <f>Raw_Claims_Data!F2165</f>
        <v>KY</v>
      </c>
      <c r="G2166" t="str">
        <f>Raw_Claims_Data!G2165</f>
        <v>A</v>
      </c>
      <c r="H2166" t="str">
        <f>Raw_Claims_Data!H2165</f>
        <v>Total Loss</v>
      </c>
      <c r="I2166" t="str">
        <f>IF(Raw_Claims_Data!I2165="","None",Raw_Claims_Data!I2165)</f>
        <v>None</v>
      </c>
      <c r="J2166" t="str">
        <f>Raw_Claims_Data!J2165</f>
        <v>Nashville</v>
      </c>
      <c r="K2166" t="str">
        <f>Raw_Claims_Data!K2165</f>
        <v>TN</v>
      </c>
      <c r="L2166">
        <f>Raw_Claims_Data!L2165</f>
        <v>15</v>
      </c>
      <c r="M2166" t="str">
        <f>IF(Raw_Claims_Data!M2165="","N/A",Raw_Claims_Data!M2165)</f>
        <v>N/A</v>
      </c>
      <c r="N2166" t="str">
        <f>Raw_Claims_Data!N2165</f>
        <v>AGENT00508</v>
      </c>
      <c r="O2166">
        <f>IF(Raw_Claims_Data!G2165="D",1,0)</f>
        <v>0</v>
      </c>
    </row>
    <row r="2167" spans="1:15" x14ac:dyDescent="0.35">
      <c r="A2167" t="str">
        <f>Raw_Claims_Data!A2166</f>
        <v>TXN00002163</v>
      </c>
      <c r="B2167" t="str">
        <f>TRIM(Raw_Claims_Data!B2166)</f>
        <v>Colby Cervantez</v>
      </c>
      <c r="C2167" t="str">
        <f>Raw_Claims_Data!C2166</f>
        <v>Motor</v>
      </c>
      <c r="D2167">
        <f>Raw_Claims_Data!D2166</f>
        <v>99.11</v>
      </c>
      <c r="E2167">
        <f>Raw_Claims_Data!E2166</f>
        <v>8000</v>
      </c>
      <c r="F2167" t="str">
        <f>Raw_Claims_Data!F2166</f>
        <v>VT</v>
      </c>
      <c r="G2167" t="str">
        <f>Raw_Claims_Data!G2166</f>
        <v>A</v>
      </c>
      <c r="H2167" t="str">
        <f>Raw_Claims_Data!H2166</f>
        <v>Major Loss</v>
      </c>
      <c r="I2167" t="str">
        <f>IF(Raw_Claims_Data!I2166="","None",Raw_Claims_Data!I2166)</f>
        <v>Ambulance</v>
      </c>
      <c r="J2167" t="str">
        <f>Raw_Claims_Data!J2166</f>
        <v>Roseville</v>
      </c>
      <c r="K2167" t="str">
        <f>Raw_Claims_Data!K2166</f>
        <v>CA</v>
      </c>
      <c r="L2167">
        <f>Raw_Claims_Data!L2166</f>
        <v>12</v>
      </c>
      <c r="M2167" t="str">
        <f>IF(Raw_Claims_Data!M2166="","N/A",Raw_Claims_Data!M2166)</f>
        <v>N/A</v>
      </c>
      <c r="N2167" t="str">
        <f>Raw_Claims_Data!N2166</f>
        <v>AGENT00702</v>
      </c>
      <c r="O2167">
        <f>IF(Raw_Claims_Data!G2166="D",1,0)</f>
        <v>0</v>
      </c>
    </row>
    <row r="2168" spans="1:15" x14ac:dyDescent="0.35">
      <c r="A2168" t="str">
        <f>Raw_Claims_Data!A2167</f>
        <v>TXN00002164</v>
      </c>
      <c r="B2168" t="str">
        <f>TRIM(Raw_Claims_Data!B2167)</f>
        <v>Mildred Tower</v>
      </c>
      <c r="C2168" t="str">
        <f>Raw_Claims_Data!C2167</f>
        <v>Mobile</v>
      </c>
      <c r="D2168">
        <f>Raw_Claims_Data!D2167</f>
        <v>6.79</v>
      </c>
      <c r="E2168">
        <f>Raw_Claims_Data!E2167</f>
        <v>700</v>
      </c>
      <c r="F2168" t="str">
        <f>Raw_Claims_Data!F2167</f>
        <v>GA</v>
      </c>
      <c r="G2168" t="str">
        <f>Raw_Claims_Data!G2167</f>
        <v>A</v>
      </c>
      <c r="H2168" t="str">
        <f>Raw_Claims_Data!H2167</f>
        <v>Major Loss</v>
      </c>
      <c r="I2168" t="str">
        <f>IF(Raw_Claims_Data!I2167="","None",Raw_Claims_Data!I2167)</f>
        <v>Police</v>
      </c>
      <c r="J2168" t="str">
        <f>Raw_Claims_Data!J2167</f>
        <v>Warr Acres</v>
      </c>
      <c r="K2168" t="str">
        <f>Raw_Claims_Data!K2167</f>
        <v>OK</v>
      </c>
      <c r="L2168">
        <f>Raw_Claims_Data!L2167</f>
        <v>14</v>
      </c>
      <c r="M2168" t="str">
        <f>IF(Raw_Claims_Data!M2167="","N/A",Raw_Claims_Data!M2167)</f>
        <v>VNDR00039</v>
      </c>
      <c r="N2168" t="str">
        <f>Raw_Claims_Data!N2167</f>
        <v>AGENT00234</v>
      </c>
      <c r="O2168">
        <f>IF(Raw_Claims_Data!G2167="D",1,0)</f>
        <v>0</v>
      </c>
    </row>
    <row r="2169" spans="1:15" x14ac:dyDescent="0.35">
      <c r="A2169" t="str">
        <f>Raw_Claims_Data!A2168</f>
        <v>TXN00002165</v>
      </c>
      <c r="B2169" t="str">
        <f>TRIM(Raw_Claims_Data!B2168)</f>
        <v>Dewey Ortega</v>
      </c>
      <c r="C2169" t="str">
        <f>Raw_Claims_Data!C2168</f>
        <v>Mobile</v>
      </c>
      <c r="D2169">
        <f>Raw_Claims_Data!D2168</f>
        <v>8.3800000000000008</v>
      </c>
      <c r="E2169">
        <f>Raw_Claims_Data!E2168</f>
        <v>200</v>
      </c>
      <c r="F2169" t="str">
        <f>Raw_Claims_Data!F2168</f>
        <v>KY</v>
      </c>
      <c r="G2169" t="str">
        <f>Raw_Claims_Data!G2168</f>
        <v>A</v>
      </c>
      <c r="H2169" t="str">
        <f>Raw_Claims_Data!H2168</f>
        <v>Major Loss</v>
      </c>
      <c r="I2169" t="str">
        <f>IF(Raw_Claims_Data!I2168="","None",Raw_Claims_Data!I2168)</f>
        <v>Ambulance</v>
      </c>
      <c r="J2169" t="str">
        <f>Raw_Claims_Data!J2168</f>
        <v>Panama City Beach</v>
      </c>
      <c r="K2169" t="str">
        <f>Raw_Claims_Data!K2168</f>
        <v>FL</v>
      </c>
      <c r="L2169">
        <f>Raw_Claims_Data!L2168</f>
        <v>23</v>
      </c>
      <c r="M2169" t="str">
        <f>IF(Raw_Claims_Data!M2168="","N/A",Raw_Claims_Data!M2168)</f>
        <v>N/A</v>
      </c>
      <c r="N2169" t="str">
        <f>Raw_Claims_Data!N2168</f>
        <v>AGENT00414</v>
      </c>
      <c r="O2169">
        <f>IF(Raw_Claims_Data!G2168="D",1,0)</f>
        <v>0</v>
      </c>
    </row>
    <row r="2170" spans="1:15" x14ac:dyDescent="0.35">
      <c r="A2170" t="str">
        <f>Raw_Claims_Data!A2169</f>
        <v>TXN00002166</v>
      </c>
      <c r="B2170" t="str">
        <f>TRIM(Raw_Claims_Data!B2169)</f>
        <v>Tim Mello</v>
      </c>
      <c r="C2170" t="str">
        <f>Raw_Claims_Data!C2169</f>
        <v>Travel</v>
      </c>
      <c r="D2170">
        <f>Raw_Claims_Data!D2169</f>
        <v>79.739999999999995</v>
      </c>
      <c r="E2170">
        <f>Raw_Claims_Data!E2169</f>
        <v>1000</v>
      </c>
      <c r="F2170" t="str">
        <f>Raw_Claims_Data!F2169</f>
        <v>CO</v>
      </c>
      <c r="G2170" t="str">
        <f>Raw_Claims_Data!G2169</f>
        <v>A</v>
      </c>
      <c r="H2170" t="str">
        <f>Raw_Claims_Data!H2169</f>
        <v>Total Loss</v>
      </c>
      <c r="I2170" t="str">
        <f>IF(Raw_Claims_Data!I2169="","None",Raw_Claims_Data!I2169)</f>
        <v>Ambulance</v>
      </c>
      <c r="J2170" t="str">
        <f>Raw_Claims_Data!J2169</f>
        <v>Oklahoma City</v>
      </c>
      <c r="K2170" t="str">
        <f>Raw_Claims_Data!K2169</f>
        <v>OK</v>
      </c>
      <c r="L2170">
        <f>Raw_Claims_Data!L2169</f>
        <v>9</v>
      </c>
      <c r="M2170" t="str">
        <f>IF(Raw_Claims_Data!M2169="","N/A",Raw_Claims_Data!M2169)</f>
        <v>N/A</v>
      </c>
      <c r="N2170" t="str">
        <f>Raw_Claims_Data!N2169</f>
        <v>AGENT01189</v>
      </c>
      <c r="O2170">
        <f>IF(Raw_Claims_Data!G2169="D",1,0)</f>
        <v>0</v>
      </c>
    </row>
    <row r="2171" spans="1:15" x14ac:dyDescent="0.35">
      <c r="A2171" t="str">
        <f>Raw_Claims_Data!A2170</f>
        <v>TXN00002167</v>
      </c>
      <c r="B2171" t="str">
        <f>TRIM(Raw_Claims_Data!B2170)</f>
        <v>Laura Imperial</v>
      </c>
      <c r="C2171" t="str">
        <f>Raw_Claims_Data!C2170</f>
        <v>Health</v>
      </c>
      <c r="D2171">
        <f>Raw_Claims_Data!D2170</f>
        <v>184.38</v>
      </c>
      <c r="E2171">
        <f>Raw_Claims_Data!E2170</f>
        <v>20000</v>
      </c>
      <c r="F2171" t="str">
        <f>Raw_Claims_Data!F2170</f>
        <v>AR</v>
      </c>
      <c r="G2171" t="str">
        <f>Raw_Claims_Data!G2170</f>
        <v>A</v>
      </c>
      <c r="H2171" t="str">
        <f>Raw_Claims_Data!H2170</f>
        <v>Major Loss</v>
      </c>
      <c r="I2171" t="str">
        <f>IF(Raw_Claims_Data!I2170="","None",Raw_Claims_Data!I2170)</f>
        <v>Ambulance</v>
      </c>
      <c r="J2171" t="str">
        <f>Raw_Claims_Data!J2170</f>
        <v>Union City</v>
      </c>
      <c r="K2171" t="str">
        <f>Raw_Claims_Data!K2170</f>
        <v>CA</v>
      </c>
      <c r="L2171">
        <f>Raw_Claims_Data!L2170</f>
        <v>5</v>
      </c>
      <c r="M2171" t="str">
        <f>IF(Raw_Claims_Data!M2170="","N/A",Raw_Claims_Data!M2170)</f>
        <v>VNDR00568</v>
      </c>
      <c r="N2171" t="str">
        <f>Raw_Claims_Data!N2170</f>
        <v>AGENT00358</v>
      </c>
      <c r="O2171">
        <f>IF(Raw_Claims_Data!G2170="D",1,0)</f>
        <v>0</v>
      </c>
    </row>
    <row r="2172" spans="1:15" x14ac:dyDescent="0.35">
      <c r="A2172" t="str">
        <f>Raw_Claims_Data!A2171</f>
        <v>TXN00002168</v>
      </c>
      <c r="B2172" t="str">
        <f>TRIM(Raw_Claims_Data!B2171)</f>
        <v>Sharon Garcia</v>
      </c>
      <c r="C2172" t="str">
        <f>Raw_Claims_Data!C2171</f>
        <v>Motor</v>
      </c>
      <c r="D2172">
        <f>Raw_Claims_Data!D2171</f>
        <v>129.27000000000001</v>
      </c>
      <c r="E2172">
        <f>Raw_Claims_Data!E2171</f>
        <v>1000</v>
      </c>
      <c r="F2172" t="str">
        <f>Raw_Claims_Data!F2171</f>
        <v>TN</v>
      </c>
      <c r="G2172" t="str">
        <f>Raw_Claims_Data!G2171</f>
        <v>A</v>
      </c>
      <c r="H2172" t="str">
        <f>Raw_Claims_Data!H2171</f>
        <v>Minor Loss</v>
      </c>
      <c r="I2172" t="str">
        <f>IF(Raw_Claims_Data!I2171="","None",Raw_Claims_Data!I2171)</f>
        <v>Police</v>
      </c>
      <c r="J2172" t="str">
        <f>Raw_Claims_Data!J2171</f>
        <v>Fayetteville</v>
      </c>
      <c r="K2172" t="str">
        <f>Raw_Claims_Data!K2171</f>
        <v>AR</v>
      </c>
      <c r="L2172">
        <f>Raw_Claims_Data!L2171</f>
        <v>7</v>
      </c>
      <c r="M2172" t="str">
        <f>IF(Raw_Claims_Data!M2171="","N/A",Raw_Claims_Data!M2171)</f>
        <v>VNDR00115</v>
      </c>
      <c r="N2172" t="str">
        <f>Raw_Claims_Data!N2171</f>
        <v>AGENT00990</v>
      </c>
      <c r="O2172">
        <f>IF(Raw_Claims_Data!G2171="D",1,0)</f>
        <v>0</v>
      </c>
    </row>
    <row r="2173" spans="1:15" x14ac:dyDescent="0.35">
      <c r="A2173" t="str">
        <f>Raw_Claims_Data!A2172</f>
        <v>TXN00002169</v>
      </c>
      <c r="B2173" t="str">
        <f>TRIM(Raw_Claims_Data!B2172)</f>
        <v>Teresa Petitt</v>
      </c>
      <c r="C2173" t="str">
        <f>Raw_Claims_Data!C2172</f>
        <v>Travel</v>
      </c>
      <c r="D2173">
        <f>Raw_Claims_Data!D2172</f>
        <v>84.58</v>
      </c>
      <c r="E2173">
        <f>Raw_Claims_Data!E2172</f>
        <v>1000</v>
      </c>
      <c r="F2173" t="str">
        <f>Raw_Claims_Data!F2172</f>
        <v>DC</v>
      </c>
      <c r="G2173" t="str">
        <f>Raw_Claims_Data!G2172</f>
        <v>A</v>
      </c>
      <c r="H2173" t="str">
        <f>Raw_Claims_Data!H2172</f>
        <v>Major Loss</v>
      </c>
      <c r="I2173" t="str">
        <f>IF(Raw_Claims_Data!I2172="","None",Raw_Claims_Data!I2172)</f>
        <v>None</v>
      </c>
      <c r="J2173" t="str">
        <f>Raw_Claims_Data!J2172</f>
        <v>Arvada</v>
      </c>
      <c r="K2173" t="str">
        <f>Raw_Claims_Data!K2172</f>
        <v>CO</v>
      </c>
      <c r="L2173">
        <f>Raw_Claims_Data!L2172</f>
        <v>22</v>
      </c>
      <c r="M2173" t="str">
        <f>IF(Raw_Claims_Data!M2172="","N/A",Raw_Claims_Data!M2172)</f>
        <v>N/A</v>
      </c>
      <c r="N2173" t="str">
        <f>Raw_Claims_Data!N2172</f>
        <v>AGENT00202</v>
      </c>
      <c r="O2173">
        <f>IF(Raw_Claims_Data!G2172="D",1,0)</f>
        <v>0</v>
      </c>
    </row>
    <row r="2174" spans="1:15" x14ac:dyDescent="0.35">
      <c r="A2174" t="str">
        <f>Raw_Claims_Data!A2173</f>
        <v>TXN00002170</v>
      </c>
      <c r="B2174" t="str">
        <f>TRIM(Raw_Claims_Data!B2173)</f>
        <v>Lance Watson</v>
      </c>
      <c r="C2174" t="str">
        <f>Raw_Claims_Data!C2173</f>
        <v>Travel</v>
      </c>
      <c r="D2174">
        <f>Raw_Claims_Data!D2173</f>
        <v>85.68</v>
      </c>
      <c r="E2174">
        <f>Raw_Claims_Data!E2173</f>
        <v>5000</v>
      </c>
      <c r="F2174" t="str">
        <f>Raw_Claims_Data!F2173</f>
        <v>AR</v>
      </c>
      <c r="G2174" t="str">
        <f>Raw_Claims_Data!G2173</f>
        <v>A</v>
      </c>
      <c r="H2174" t="str">
        <f>Raw_Claims_Data!H2173</f>
        <v>Total Loss</v>
      </c>
      <c r="I2174" t="str">
        <f>IF(Raw_Claims_Data!I2173="","None",Raw_Claims_Data!I2173)</f>
        <v>Other</v>
      </c>
      <c r="J2174" t="str">
        <f>Raw_Claims_Data!J2173</f>
        <v>Greeley</v>
      </c>
      <c r="K2174" t="str">
        <f>Raw_Claims_Data!K2173</f>
        <v>CO</v>
      </c>
      <c r="L2174">
        <f>Raw_Claims_Data!L2173</f>
        <v>8</v>
      </c>
      <c r="M2174" t="str">
        <f>IF(Raw_Claims_Data!M2173="","N/A",Raw_Claims_Data!M2173)</f>
        <v>VNDR00260</v>
      </c>
      <c r="N2174" t="str">
        <f>Raw_Claims_Data!N2173</f>
        <v>AGENT00709</v>
      </c>
      <c r="O2174">
        <f>IF(Raw_Claims_Data!G2173="D",1,0)</f>
        <v>0</v>
      </c>
    </row>
    <row r="2175" spans="1:15" x14ac:dyDescent="0.35">
      <c r="A2175" t="str">
        <f>Raw_Claims_Data!A2174</f>
        <v>TXN00002171</v>
      </c>
      <c r="B2175" t="str">
        <f>TRIM(Raw_Claims_Data!B2174)</f>
        <v>Lillian Fruman</v>
      </c>
      <c r="C2175" t="str">
        <f>Raw_Claims_Data!C2174</f>
        <v>Motor</v>
      </c>
      <c r="D2175">
        <f>Raw_Claims_Data!D2174</f>
        <v>135.88999999999999</v>
      </c>
      <c r="E2175">
        <f>Raw_Claims_Data!E2174</f>
        <v>8000</v>
      </c>
      <c r="F2175" t="str">
        <f>Raw_Claims_Data!F2174</f>
        <v>AZ</v>
      </c>
      <c r="G2175" t="str">
        <f>Raw_Claims_Data!G2174</f>
        <v>A</v>
      </c>
      <c r="H2175" t="str">
        <f>Raw_Claims_Data!H2174</f>
        <v>Minor Loss</v>
      </c>
      <c r="I2175" t="str">
        <f>IF(Raw_Claims_Data!I2174="","None",Raw_Claims_Data!I2174)</f>
        <v>Police</v>
      </c>
      <c r="J2175" t="str">
        <f>Raw_Claims_Data!J2174</f>
        <v>Fayetteville</v>
      </c>
      <c r="K2175" t="str">
        <f>Raw_Claims_Data!K2174</f>
        <v>AR</v>
      </c>
      <c r="L2175">
        <f>Raw_Claims_Data!L2174</f>
        <v>0</v>
      </c>
      <c r="M2175" t="str">
        <f>IF(Raw_Claims_Data!M2174="","N/A",Raw_Claims_Data!M2174)</f>
        <v>VNDR00045</v>
      </c>
      <c r="N2175" t="str">
        <f>Raw_Claims_Data!N2174</f>
        <v>AGENT00696</v>
      </c>
      <c r="O2175">
        <f>IF(Raw_Claims_Data!G2174="D",1,0)</f>
        <v>0</v>
      </c>
    </row>
    <row r="2176" spans="1:15" x14ac:dyDescent="0.35">
      <c r="A2176" t="str">
        <f>Raw_Claims_Data!A2175</f>
        <v>TXN00002172</v>
      </c>
      <c r="B2176" t="str">
        <f>TRIM(Raw_Claims_Data!B2175)</f>
        <v>Grant Baugh</v>
      </c>
      <c r="C2176" t="str">
        <f>Raw_Claims_Data!C2175</f>
        <v>Property</v>
      </c>
      <c r="D2176">
        <f>Raw_Claims_Data!D2175</f>
        <v>152.75</v>
      </c>
      <c r="E2176">
        <f>Raw_Claims_Data!E2175</f>
        <v>23000</v>
      </c>
      <c r="F2176" t="str">
        <f>Raw_Claims_Data!F2175</f>
        <v>AZ</v>
      </c>
      <c r="G2176" t="str">
        <f>Raw_Claims_Data!G2175</f>
        <v>A</v>
      </c>
      <c r="H2176" t="str">
        <f>Raw_Claims_Data!H2175</f>
        <v>Total Loss</v>
      </c>
      <c r="I2176" t="str">
        <f>IF(Raw_Claims_Data!I2175="","None",Raw_Claims_Data!I2175)</f>
        <v>Ambulance</v>
      </c>
      <c r="J2176" t="str">
        <f>Raw_Claims_Data!J2175</f>
        <v>Montgomery</v>
      </c>
      <c r="K2176" t="str">
        <f>Raw_Claims_Data!K2175</f>
        <v>AL</v>
      </c>
      <c r="L2176">
        <f>Raw_Claims_Data!L2175</f>
        <v>23</v>
      </c>
      <c r="M2176" t="str">
        <f>IF(Raw_Claims_Data!M2175="","N/A",Raw_Claims_Data!M2175)</f>
        <v>VNDR00074</v>
      </c>
      <c r="N2176" t="str">
        <f>Raw_Claims_Data!N2175</f>
        <v>AGENT00683</v>
      </c>
      <c r="O2176">
        <f>IF(Raw_Claims_Data!G2175="D",1,0)</f>
        <v>0</v>
      </c>
    </row>
    <row r="2177" spans="1:15" x14ac:dyDescent="0.35">
      <c r="A2177" t="str">
        <f>Raw_Claims_Data!A2176</f>
        <v>TXN00002173</v>
      </c>
      <c r="B2177" t="str">
        <f>TRIM(Raw_Claims_Data!B2176)</f>
        <v>Erin Ribron</v>
      </c>
      <c r="C2177" t="str">
        <f>Raw_Claims_Data!C2176</f>
        <v>Travel</v>
      </c>
      <c r="D2177">
        <f>Raw_Claims_Data!D2176</f>
        <v>58.06</v>
      </c>
      <c r="E2177">
        <f>Raw_Claims_Data!E2176</f>
        <v>2000</v>
      </c>
      <c r="F2177" t="str">
        <f>Raw_Claims_Data!F2176</f>
        <v>DC</v>
      </c>
      <c r="G2177" t="str">
        <f>Raw_Claims_Data!G2176</f>
        <v>A</v>
      </c>
      <c r="H2177" t="str">
        <f>Raw_Claims_Data!H2176</f>
        <v>Minor Loss</v>
      </c>
      <c r="I2177" t="str">
        <f>IF(Raw_Claims_Data!I2176="","None",Raw_Claims_Data!I2176)</f>
        <v>Other</v>
      </c>
      <c r="J2177" t="str">
        <f>Raw_Claims_Data!J2176</f>
        <v>Arvada</v>
      </c>
      <c r="K2177" t="str">
        <f>Raw_Claims_Data!K2176</f>
        <v>CO</v>
      </c>
      <c r="L2177">
        <f>Raw_Claims_Data!L2176</f>
        <v>22</v>
      </c>
      <c r="M2177" t="str">
        <f>IF(Raw_Claims_Data!M2176="","N/A",Raw_Claims_Data!M2176)</f>
        <v>VNDR00250</v>
      </c>
      <c r="N2177" t="str">
        <f>Raw_Claims_Data!N2176</f>
        <v>AGENT00155</v>
      </c>
      <c r="O2177">
        <f>IF(Raw_Claims_Data!G2176="D",1,0)</f>
        <v>0</v>
      </c>
    </row>
    <row r="2178" spans="1:15" x14ac:dyDescent="0.35">
      <c r="A2178" t="str">
        <f>Raw_Claims_Data!A2177</f>
        <v>TXN00002174</v>
      </c>
      <c r="B2178" t="str">
        <f>TRIM(Raw_Claims_Data!B2177)</f>
        <v>Margaret Staples</v>
      </c>
      <c r="C2178" t="str">
        <f>Raw_Claims_Data!C2177</f>
        <v>Health</v>
      </c>
      <c r="D2178">
        <f>Raw_Claims_Data!D2177</f>
        <v>175.9</v>
      </c>
      <c r="E2178">
        <f>Raw_Claims_Data!E2177</f>
        <v>16000</v>
      </c>
      <c r="F2178" t="str">
        <f>Raw_Claims_Data!F2177</f>
        <v>CO</v>
      </c>
      <c r="G2178" t="str">
        <f>Raw_Claims_Data!G2177</f>
        <v>A</v>
      </c>
      <c r="H2178" t="str">
        <f>Raw_Claims_Data!H2177</f>
        <v>Minor Loss</v>
      </c>
      <c r="I2178" t="str">
        <f>IF(Raw_Claims_Data!I2177="","None",Raw_Claims_Data!I2177)</f>
        <v>Ambulance</v>
      </c>
      <c r="J2178" t="str">
        <f>Raw_Claims_Data!J2177</f>
        <v>Louisville</v>
      </c>
      <c r="K2178" t="str">
        <f>Raw_Claims_Data!K2177</f>
        <v>KY</v>
      </c>
      <c r="L2178">
        <f>Raw_Claims_Data!L2177</f>
        <v>22</v>
      </c>
      <c r="M2178" t="str">
        <f>IF(Raw_Claims_Data!M2177="","N/A",Raw_Claims_Data!M2177)</f>
        <v>N/A</v>
      </c>
      <c r="N2178" t="str">
        <f>Raw_Claims_Data!N2177</f>
        <v>AGENT00251</v>
      </c>
      <c r="O2178">
        <f>IF(Raw_Claims_Data!G2177="D",1,0)</f>
        <v>0</v>
      </c>
    </row>
    <row r="2179" spans="1:15" x14ac:dyDescent="0.35">
      <c r="A2179" t="str">
        <f>Raw_Claims_Data!A2178</f>
        <v>TXN00002175</v>
      </c>
      <c r="B2179" t="str">
        <f>TRIM(Raw_Claims_Data!B2178)</f>
        <v>Marie Hayes</v>
      </c>
      <c r="C2179" t="str">
        <f>Raw_Claims_Data!C2178</f>
        <v>Travel</v>
      </c>
      <c r="D2179">
        <f>Raw_Claims_Data!D2178</f>
        <v>64.83</v>
      </c>
      <c r="E2179">
        <f>Raw_Claims_Data!E2178</f>
        <v>2000</v>
      </c>
      <c r="F2179" t="str">
        <f>Raw_Claims_Data!F2178</f>
        <v>CA</v>
      </c>
      <c r="G2179" t="str">
        <f>Raw_Claims_Data!G2178</f>
        <v>A</v>
      </c>
      <c r="H2179" t="str">
        <f>Raw_Claims_Data!H2178</f>
        <v>Major Loss</v>
      </c>
      <c r="I2179" t="str">
        <f>IF(Raw_Claims_Data!I2178="","None",Raw_Claims_Data!I2178)</f>
        <v>Ambulance</v>
      </c>
      <c r="J2179" t="str">
        <f>Raw_Claims_Data!J2178</f>
        <v>Fayetteville</v>
      </c>
      <c r="K2179" t="str">
        <f>Raw_Claims_Data!K2178</f>
        <v>AR</v>
      </c>
      <c r="L2179">
        <f>Raw_Claims_Data!L2178</f>
        <v>22</v>
      </c>
      <c r="M2179" t="str">
        <f>IF(Raw_Claims_Data!M2178="","N/A",Raw_Claims_Data!M2178)</f>
        <v>N/A</v>
      </c>
      <c r="N2179" t="str">
        <f>Raw_Claims_Data!N2178</f>
        <v>AGENT01066</v>
      </c>
      <c r="O2179">
        <f>IF(Raw_Claims_Data!G2178="D",1,0)</f>
        <v>0</v>
      </c>
    </row>
    <row r="2180" spans="1:15" x14ac:dyDescent="0.35">
      <c r="A2180" t="str">
        <f>Raw_Claims_Data!A2179</f>
        <v>TXN00002176</v>
      </c>
      <c r="B2180" t="str">
        <f>TRIM(Raw_Claims_Data!B2179)</f>
        <v>Melanie Richardson</v>
      </c>
      <c r="C2180" t="str">
        <f>Raw_Claims_Data!C2179</f>
        <v>Health</v>
      </c>
      <c r="D2180">
        <f>Raw_Claims_Data!D2179</f>
        <v>150.88</v>
      </c>
      <c r="E2180">
        <f>Raw_Claims_Data!E2179</f>
        <v>7000</v>
      </c>
      <c r="F2180" t="str">
        <f>Raw_Claims_Data!F2179</f>
        <v>DC</v>
      </c>
      <c r="G2180" t="str">
        <f>Raw_Claims_Data!G2179</f>
        <v>A</v>
      </c>
      <c r="H2180" t="str">
        <f>Raw_Claims_Data!H2179</f>
        <v>Total Loss</v>
      </c>
      <c r="I2180" t="str">
        <f>IF(Raw_Claims_Data!I2179="","None",Raw_Claims_Data!I2179)</f>
        <v>Other</v>
      </c>
      <c r="J2180" t="str">
        <f>Raw_Claims_Data!J2179</f>
        <v>Oklahoma City</v>
      </c>
      <c r="K2180" t="str">
        <f>Raw_Claims_Data!K2179</f>
        <v>OK</v>
      </c>
      <c r="L2180">
        <f>Raw_Claims_Data!L2179</f>
        <v>17</v>
      </c>
      <c r="M2180" t="str">
        <f>IF(Raw_Claims_Data!M2179="","N/A",Raw_Claims_Data!M2179)</f>
        <v>N/A</v>
      </c>
      <c r="N2180" t="str">
        <f>Raw_Claims_Data!N2179</f>
        <v>AGENT00922</v>
      </c>
      <c r="O2180">
        <f>IF(Raw_Claims_Data!G2179="D",1,0)</f>
        <v>0</v>
      </c>
    </row>
    <row r="2181" spans="1:15" x14ac:dyDescent="0.35">
      <c r="A2181" t="str">
        <f>Raw_Claims_Data!A2180</f>
        <v>TXN00002177</v>
      </c>
      <c r="B2181" t="str">
        <f>TRIM(Raw_Claims_Data!B2180)</f>
        <v>Eugene Bonifer</v>
      </c>
      <c r="C2181" t="str">
        <f>Raw_Claims_Data!C2180</f>
        <v>Property</v>
      </c>
      <c r="D2181">
        <f>Raw_Claims_Data!D2180</f>
        <v>132.65</v>
      </c>
      <c r="E2181">
        <f>Raw_Claims_Data!E2180</f>
        <v>16000</v>
      </c>
      <c r="F2181" t="str">
        <f>Raw_Claims_Data!F2180</f>
        <v>DC</v>
      </c>
      <c r="G2181" t="str">
        <f>Raw_Claims_Data!G2180</f>
        <v>A</v>
      </c>
      <c r="H2181" t="str">
        <f>Raw_Claims_Data!H2180</f>
        <v>Minor Loss</v>
      </c>
      <c r="I2181" t="str">
        <f>IF(Raw_Claims_Data!I2180="","None",Raw_Claims_Data!I2180)</f>
        <v>Police</v>
      </c>
      <c r="J2181" t="str">
        <f>Raw_Claims_Data!J2180</f>
        <v>Medway</v>
      </c>
      <c r="K2181" t="str">
        <f>Raw_Claims_Data!K2180</f>
        <v>MA</v>
      </c>
      <c r="L2181">
        <f>Raw_Claims_Data!L2180</f>
        <v>13</v>
      </c>
      <c r="M2181" t="str">
        <f>IF(Raw_Claims_Data!M2180="","N/A",Raw_Claims_Data!M2180)</f>
        <v>N/A</v>
      </c>
      <c r="N2181" t="str">
        <f>Raw_Claims_Data!N2180</f>
        <v>AGENT01010</v>
      </c>
      <c r="O2181">
        <f>IF(Raw_Claims_Data!G2180="D",1,0)</f>
        <v>0</v>
      </c>
    </row>
    <row r="2182" spans="1:15" x14ac:dyDescent="0.35">
      <c r="A2182" t="str">
        <f>Raw_Claims_Data!A2181</f>
        <v>TXN00002178</v>
      </c>
      <c r="B2182" t="str">
        <f>TRIM(Raw_Claims_Data!B2181)</f>
        <v>Dorothy Winters</v>
      </c>
      <c r="C2182" t="str">
        <f>Raw_Claims_Data!C2181</f>
        <v>Travel</v>
      </c>
      <c r="D2182">
        <f>Raw_Claims_Data!D2181</f>
        <v>80.56</v>
      </c>
      <c r="E2182">
        <f>Raw_Claims_Data!E2181</f>
        <v>2000</v>
      </c>
      <c r="F2182" t="str">
        <f>Raw_Claims_Data!F2181</f>
        <v>DC</v>
      </c>
      <c r="G2182" t="str">
        <f>Raw_Claims_Data!G2181</f>
        <v>A</v>
      </c>
      <c r="H2182" t="str">
        <f>Raw_Claims_Data!H2181</f>
        <v>Major Loss</v>
      </c>
      <c r="I2182" t="str">
        <f>IF(Raw_Claims_Data!I2181="","None",Raw_Claims_Data!I2181)</f>
        <v>Ambulance</v>
      </c>
      <c r="J2182" t="str">
        <f>Raw_Claims_Data!J2181</f>
        <v>Oakland</v>
      </c>
      <c r="K2182" t="str">
        <f>Raw_Claims_Data!K2181</f>
        <v>CA</v>
      </c>
      <c r="L2182">
        <f>Raw_Claims_Data!L2181</f>
        <v>2</v>
      </c>
      <c r="M2182" t="str">
        <f>IF(Raw_Claims_Data!M2181="","N/A",Raw_Claims_Data!M2181)</f>
        <v>VNDR00326</v>
      </c>
      <c r="N2182" t="str">
        <f>Raw_Claims_Data!N2181</f>
        <v>AGENT01159</v>
      </c>
      <c r="O2182">
        <f>IF(Raw_Claims_Data!G2181="D",1,0)</f>
        <v>0</v>
      </c>
    </row>
    <row r="2183" spans="1:15" x14ac:dyDescent="0.35">
      <c r="A2183" t="str">
        <f>Raw_Claims_Data!A2182</f>
        <v>TXN00002179</v>
      </c>
      <c r="B2183" t="str">
        <f>TRIM(Raw_Claims_Data!B2182)</f>
        <v>Antoinette Morgan</v>
      </c>
      <c r="C2183" t="str">
        <f>Raw_Claims_Data!C2182</f>
        <v>Property</v>
      </c>
      <c r="D2183">
        <f>Raw_Claims_Data!D2182</f>
        <v>103.51</v>
      </c>
      <c r="E2183">
        <f>Raw_Claims_Data!E2182</f>
        <v>17000</v>
      </c>
      <c r="F2183" t="str">
        <f>Raw_Claims_Data!F2182</f>
        <v>KY</v>
      </c>
      <c r="G2183" t="str">
        <f>Raw_Claims_Data!G2182</f>
        <v>A</v>
      </c>
      <c r="H2183" t="str">
        <f>Raw_Claims_Data!H2182</f>
        <v>Total Loss</v>
      </c>
      <c r="I2183" t="str">
        <f>IF(Raw_Claims_Data!I2182="","None",Raw_Claims_Data!I2182)</f>
        <v>Police</v>
      </c>
      <c r="J2183" t="str">
        <f>Raw_Claims_Data!J2182</f>
        <v>Farmington</v>
      </c>
      <c r="K2183" t="str">
        <f>Raw_Claims_Data!K2182</f>
        <v>AR</v>
      </c>
      <c r="L2183">
        <f>Raw_Claims_Data!L2182</f>
        <v>18</v>
      </c>
      <c r="M2183" t="str">
        <f>IF(Raw_Claims_Data!M2182="","N/A",Raw_Claims_Data!M2182)</f>
        <v>VNDR00407</v>
      </c>
      <c r="N2183" t="str">
        <f>Raw_Claims_Data!N2182</f>
        <v>AGENT00258</v>
      </c>
      <c r="O2183">
        <f>IF(Raw_Claims_Data!G2182="D",1,0)</f>
        <v>0</v>
      </c>
    </row>
    <row r="2184" spans="1:15" x14ac:dyDescent="0.35">
      <c r="A2184" t="str">
        <f>Raw_Claims_Data!A2183</f>
        <v>TXN00002180</v>
      </c>
      <c r="B2184" t="str">
        <f>TRIM(Raw_Claims_Data!B2183)</f>
        <v>Carol Rowell</v>
      </c>
      <c r="C2184" t="str">
        <f>Raw_Claims_Data!C2183</f>
        <v>Health</v>
      </c>
      <c r="D2184">
        <f>Raw_Claims_Data!D2183</f>
        <v>113.03</v>
      </c>
      <c r="E2184">
        <f>Raw_Claims_Data!E2183</f>
        <v>14000</v>
      </c>
      <c r="F2184" t="str">
        <f>Raw_Claims_Data!F2183</f>
        <v>AZ</v>
      </c>
      <c r="G2184" t="str">
        <f>Raw_Claims_Data!G2183</f>
        <v>A</v>
      </c>
      <c r="H2184" t="str">
        <f>Raw_Claims_Data!H2183</f>
        <v>Total Loss</v>
      </c>
      <c r="I2184" t="str">
        <f>IF(Raw_Claims_Data!I2183="","None",Raw_Claims_Data!I2183)</f>
        <v>Other</v>
      </c>
      <c r="J2184" t="str">
        <f>Raw_Claims_Data!J2183</f>
        <v>Montgomery</v>
      </c>
      <c r="K2184" t="str">
        <f>Raw_Claims_Data!K2183</f>
        <v>AL</v>
      </c>
      <c r="L2184">
        <f>Raw_Claims_Data!L2183</f>
        <v>12</v>
      </c>
      <c r="M2184" t="str">
        <f>IF(Raw_Claims_Data!M2183="","N/A",Raw_Claims_Data!M2183)</f>
        <v>N/A</v>
      </c>
      <c r="N2184" t="str">
        <f>Raw_Claims_Data!N2183</f>
        <v>AGENT00962</v>
      </c>
      <c r="O2184">
        <f>IF(Raw_Claims_Data!G2183="D",1,0)</f>
        <v>0</v>
      </c>
    </row>
    <row r="2185" spans="1:15" x14ac:dyDescent="0.35">
      <c r="A2185" t="str">
        <f>Raw_Claims_Data!A2184</f>
        <v>TXN00002181</v>
      </c>
      <c r="B2185" t="str">
        <f>TRIM(Raw_Claims_Data!B2184)</f>
        <v>Clarence Pittman</v>
      </c>
      <c r="C2185" t="str">
        <f>Raw_Claims_Data!C2184</f>
        <v>Travel</v>
      </c>
      <c r="D2185">
        <f>Raw_Claims_Data!D2184</f>
        <v>74.98</v>
      </c>
      <c r="E2185">
        <f>Raw_Claims_Data!E2184</f>
        <v>2000</v>
      </c>
      <c r="F2185" t="str">
        <f>Raw_Claims_Data!F2184</f>
        <v>FL</v>
      </c>
      <c r="G2185" t="str">
        <f>Raw_Claims_Data!G2184</f>
        <v>A</v>
      </c>
      <c r="H2185" t="str">
        <f>Raw_Claims_Data!H2184</f>
        <v>Major Loss</v>
      </c>
      <c r="I2185" t="str">
        <f>IF(Raw_Claims_Data!I2184="","None",Raw_Claims_Data!I2184)</f>
        <v>Ambulance</v>
      </c>
      <c r="J2185" t="str">
        <f>Raw_Claims_Data!J2184</f>
        <v>Anchorage</v>
      </c>
      <c r="K2185" t="str">
        <f>Raw_Claims_Data!K2184</f>
        <v>AK</v>
      </c>
      <c r="L2185">
        <f>Raw_Claims_Data!L2184</f>
        <v>0</v>
      </c>
      <c r="M2185" t="str">
        <f>IF(Raw_Claims_Data!M2184="","N/A",Raw_Claims_Data!M2184)</f>
        <v>N/A</v>
      </c>
      <c r="N2185" t="str">
        <f>Raw_Claims_Data!N2184</f>
        <v>AGENT00055</v>
      </c>
      <c r="O2185">
        <f>IF(Raw_Claims_Data!G2184="D",1,0)</f>
        <v>0</v>
      </c>
    </row>
    <row r="2186" spans="1:15" x14ac:dyDescent="0.35">
      <c r="A2186" t="str">
        <f>Raw_Claims_Data!A2185</f>
        <v>TXN00002182</v>
      </c>
      <c r="B2186" t="str">
        <f>TRIM(Raw_Claims_Data!B2185)</f>
        <v>William Young</v>
      </c>
      <c r="C2186" t="str">
        <f>Raw_Claims_Data!C2185</f>
        <v>Property</v>
      </c>
      <c r="D2186">
        <f>Raw_Claims_Data!D2185</f>
        <v>157.41</v>
      </c>
      <c r="E2186">
        <f>Raw_Claims_Data!E2185</f>
        <v>13000</v>
      </c>
      <c r="F2186" t="str">
        <f>Raw_Claims_Data!F2185</f>
        <v>MD</v>
      </c>
      <c r="G2186" t="str">
        <f>Raw_Claims_Data!G2185</f>
        <v>D</v>
      </c>
      <c r="H2186" t="str">
        <f>Raw_Claims_Data!H2185</f>
        <v>Major Loss</v>
      </c>
      <c r="I2186" t="str">
        <f>IF(Raw_Claims_Data!I2185="","None",Raw_Claims_Data!I2185)</f>
        <v>Ambulance</v>
      </c>
      <c r="J2186" t="str">
        <f>Raw_Claims_Data!J2185</f>
        <v>Woodbury</v>
      </c>
      <c r="K2186" t="str">
        <f>Raw_Claims_Data!K2185</f>
        <v>VT</v>
      </c>
      <c r="L2186">
        <f>Raw_Claims_Data!L2185</f>
        <v>21</v>
      </c>
      <c r="M2186" t="str">
        <f>IF(Raw_Claims_Data!M2185="","N/A",Raw_Claims_Data!M2185)</f>
        <v>VNDR00211</v>
      </c>
      <c r="N2186" t="str">
        <f>Raw_Claims_Data!N2185</f>
        <v>AGENT00019</v>
      </c>
      <c r="O2186">
        <f>IF(Raw_Claims_Data!G2185="D",1,0)</f>
        <v>1</v>
      </c>
    </row>
    <row r="2187" spans="1:15" x14ac:dyDescent="0.35">
      <c r="A2187" t="str">
        <f>Raw_Claims_Data!A2186</f>
        <v>TXN00002183</v>
      </c>
      <c r="B2187" t="str">
        <f>TRIM(Raw_Claims_Data!B2186)</f>
        <v>Jessica Ecker</v>
      </c>
      <c r="C2187" t="str">
        <f>Raw_Claims_Data!C2186</f>
        <v>Property</v>
      </c>
      <c r="D2187">
        <f>Raw_Claims_Data!D2186</f>
        <v>136.69</v>
      </c>
      <c r="E2187">
        <f>Raw_Claims_Data!E2186</f>
        <v>30000</v>
      </c>
      <c r="F2187" t="str">
        <f>Raw_Claims_Data!F2186</f>
        <v>KY</v>
      </c>
      <c r="G2187" t="str">
        <f>Raw_Claims_Data!G2186</f>
        <v>A</v>
      </c>
      <c r="H2187" t="str">
        <f>Raw_Claims_Data!H2186</f>
        <v>Total Loss</v>
      </c>
      <c r="I2187" t="str">
        <f>IF(Raw_Claims_Data!I2186="","None",Raw_Claims_Data!I2186)</f>
        <v>Other</v>
      </c>
      <c r="J2187" t="str">
        <f>Raw_Claims_Data!J2186</f>
        <v>Glendale</v>
      </c>
      <c r="K2187" t="str">
        <f>Raw_Claims_Data!K2186</f>
        <v>AZ</v>
      </c>
      <c r="L2187">
        <f>Raw_Claims_Data!L2186</f>
        <v>2</v>
      </c>
      <c r="M2187" t="str">
        <f>IF(Raw_Claims_Data!M2186="","N/A",Raw_Claims_Data!M2186)</f>
        <v>N/A</v>
      </c>
      <c r="N2187" t="str">
        <f>Raw_Claims_Data!N2186</f>
        <v>AGENT00627</v>
      </c>
      <c r="O2187">
        <f>IF(Raw_Claims_Data!G2186="D",1,0)</f>
        <v>0</v>
      </c>
    </row>
    <row r="2188" spans="1:15" x14ac:dyDescent="0.35">
      <c r="A2188" t="str">
        <f>Raw_Claims_Data!A2187</f>
        <v>TXN00002184</v>
      </c>
      <c r="B2188" t="str">
        <f>TRIM(Raw_Claims_Data!B2187)</f>
        <v>Clarissa Brandwein</v>
      </c>
      <c r="C2188" t="str">
        <f>Raw_Claims_Data!C2187</f>
        <v>Travel</v>
      </c>
      <c r="D2188">
        <f>Raw_Claims_Data!D2187</f>
        <v>63.59</v>
      </c>
      <c r="E2188">
        <f>Raw_Claims_Data!E2187</f>
        <v>5000</v>
      </c>
      <c r="F2188" t="str">
        <f>Raw_Claims_Data!F2187</f>
        <v>VT</v>
      </c>
      <c r="G2188" t="str">
        <f>Raw_Claims_Data!G2187</f>
        <v>A</v>
      </c>
      <c r="H2188" t="str">
        <f>Raw_Claims_Data!H2187</f>
        <v>Major Loss</v>
      </c>
      <c r="I2188" t="str">
        <f>IF(Raw_Claims_Data!I2187="","None",Raw_Claims_Data!I2187)</f>
        <v>Ambulance</v>
      </c>
      <c r="J2188" t="str">
        <f>Raw_Claims_Data!J2187</f>
        <v>Dartmouth</v>
      </c>
      <c r="K2188" t="str">
        <f>Raw_Claims_Data!K2187</f>
        <v>MA</v>
      </c>
      <c r="L2188">
        <f>Raw_Claims_Data!L2187</f>
        <v>2</v>
      </c>
      <c r="M2188" t="str">
        <f>IF(Raw_Claims_Data!M2187="","N/A",Raw_Claims_Data!M2187)</f>
        <v>VNDR00416</v>
      </c>
      <c r="N2188" t="str">
        <f>Raw_Claims_Data!N2187</f>
        <v>AGENT00615</v>
      </c>
      <c r="O2188">
        <f>IF(Raw_Claims_Data!G2187="D",1,0)</f>
        <v>0</v>
      </c>
    </row>
    <row r="2189" spans="1:15" x14ac:dyDescent="0.35">
      <c r="A2189" t="str">
        <f>Raw_Claims_Data!A2188</f>
        <v>TXN00002185</v>
      </c>
      <c r="B2189" t="str">
        <f>TRIM(Raw_Claims_Data!B2188)</f>
        <v>Robert Wheeler</v>
      </c>
      <c r="C2189" t="str">
        <f>Raw_Claims_Data!C2188</f>
        <v>Life</v>
      </c>
      <c r="D2189">
        <f>Raw_Claims_Data!D2188</f>
        <v>58.52</v>
      </c>
      <c r="E2189">
        <f>Raw_Claims_Data!E2188</f>
        <v>18000</v>
      </c>
      <c r="F2189" t="str">
        <f>Raw_Claims_Data!F2188</f>
        <v>GA</v>
      </c>
      <c r="G2189" t="str">
        <f>Raw_Claims_Data!G2188</f>
        <v>A</v>
      </c>
      <c r="H2189" t="str">
        <f>Raw_Claims_Data!H2188</f>
        <v>Major Loss</v>
      </c>
      <c r="I2189" t="str">
        <f>IF(Raw_Claims_Data!I2188="","None",Raw_Claims_Data!I2188)</f>
        <v>None</v>
      </c>
      <c r="J2189" t="str">
        <f>Raw_Claims_Data!J2188</f>
        <v>Pioneer</v>
      </c>
      <c r="K2189" t="str">
        <f>Raw_Claims_Data!K2188</f>
        <v>CA</v>
      </c>
      <c r="L2189">
        <f>Raw_Claims_Data!L2188</f>
        <v>1</v>
      </c>
      <c r="M2189" t="str">
        <f>IF(Raw_Claims_Data!M2188="","N/A",Raw_Claims_Data!M2188)</f>
        <v>N/A</v>
      </c>
      <c r="N2189" t="str">
        <f>Raw_Claims_Data!N2188</f>
        <v>AGENT00633</v>
      </c>
      <c r="O2189">
        <f>IF(Raw_Claims_Data!G2188="D",1,0)</f>
        <v>0</v>
      </c>
    </row>
    <row r="2190" spans="1:15" x14ac:dyDescent="0.35">
      <c r="A2190" t="str">
        <f>Raw_Claims_Data!A2189</f>
        <v>TXN00002186</v>
      </c>
      <c r="B2190" t="str">
        <f>TRIM(Raw_Claims_Data!B2189)</f>
        <v>Jennifer Jonason</v>
      </c>
      <c r="C2190" t="str">
        <f>Raw_Claims_Data!C2189</f>
        <v>Life</v>
      </c>
      <c r="D2190">
        <f>Raw_Claims_Data!D2189</f>
        <v>57.6</v>
      </c>
      <c r="E2190">
        <f>Raw_Claims_Data!E2189</f>
        <v>66000</v>
      </c>
      <c r="F2190" t="str">
        <f>Raw_Claims_Data!F2189</f>
        <v>DC</v>
      </c>
      <c r="G2190" t="str">
        <f>Raw_Claims_Data!G2189</f>
        <v>A</v>
      </c>
      <c r="H2190" t="str">
        <f>Raw_Claims_Data!H2189</f>
        <v>Major Loss</v>
      </c>
      <c r="I2190" t="str">
        <f>IF(Raw_Claims_Data!I2189="","None",Raw_Claims_Data!I2189)</f>
        <v>Ambulance</v>
      </c>
      <c r="J2190" t="str">
        <f>Raw_Claims_Data!J2189</f>
        <v>Kenai</v>
      </c>
      <c r="K2190" t="str">
        <f>Raw_Claims_Data!K2189</f>
        <v>AK</v>
      </c>
      <c r="L2190">
        <f>Raw_Claims_Data!L2189</f>
        <v>1</v>
      </c>
      <c r="M2190" t="str">
        <f>IF(Raw_Claims_Data!M2189="","N/A",Raw_Claims_Data!M2189)</f>
        <v>N/A</v>
      </c>
      <c r="N2190" t="str">
        <f>Raw_Claims_Data!N2189</f>
        <v>AGENT00422</v>
      </c>
      <c r="O2190">
        <f>IF(Raw_Claims_Data!G2189="D",1,0)</f>
        <v>0</v>
      </c>
    </row>
    <row r="2191" spans="1:15" x14ac:dyDescent="0.35">
      <c r="A2191" t="str">
        <f>Raw_Claims_Data!A2190</f>
        <v>TXN00002187</v>
      </c>
      <c r="B2191" t="str">
        <f>TRIM(Raw_Claims_Data!B2190)</f>
        <v>Brenda Dell</v>
      </c>
      <c r="C2191" t="str">
        <f>Raw_Claims_Data!C2190</f>
        <v>Property</v>
      </c>
      <c r="D2191">
        <f>Raw_Claims_Data!D2190</f>
        <v>159.38</v>
      </c>
      <c r="E2191">
        <f>Raw_Claims_Data!E2190</f>
        <v>14000</v>
      </c>
      <c r="F2191" t="str">
        <f>Raw_Claims_Data!F2190</f>
        <v>AR</v>
      </c>
      <c r="G2191" t="str">
        <f>Raw_Claims_Data!G2190</f>
        <v>A</v>
      </c>
      <c r="H2191" t="str">
        <f>Raw_Claims_Data!H2190</f>
        <v>Major Loss</v>
      </c>
      <c r="I2191" t="str">
        <f>IF(Raw_Claims_Data!I2190="","None",Raw_Claims_Data!I2190)</f>
        <v>Ambulance</v>
      </c>
      <c r="J2191" t="str">
        <f>Raw_Claims_Data!J2190</f>
        <v>Roseville</v>
      </c>
      <c r="K2191" t="str">
        <f>Raw_Claims_Data!K2190</f>
        <v>CA</v>
      </c>
      <c r="L2191">
        <f>Raw_Claims_Data!L2190</f>
        <v>16</v>
      </c>
      <c r="M2191" t="str">
        <f>IF(Raw_Claims_Data!M2190="","N/A",Raw_Claims_Data!M2190)</f>
        <v>VNDR00001</v>
      </c>
      <c r="N2191" t="str">
        <f>Raw_Claims_Data!N2190</f>
        <v>AGENT01076</v>
      </c>
      <c r="O2191">
        <f>IF(Raw_Claims_Data!G2190="D",1,0)</f>
        <v>0</v>
      </c>
    </row>
    <row r="2192" spans="1:15" x14ac:dyDescent="0.35">
      <c r="A2192" t="str">
        <f>Raw_Claims_Data!A2191</f>
        <v>TXN00002188</v>
      </c>
      <c r="B2192" t="str">
        <f>TRIM(Raw_Claims_Data!B2191)</f>
        <v>Jeffery Johnson</v>
      </c>
      <c r="C2192" t="str">
        <f>Raw_Claims_Data!C2191</f>
        <v>Health</v>
      </c>
      <c r="D2192">
        <f>Raw_Claims_Data!D2191</f>
        <v>132.69</v>
      </c>
      <c r="E2192">
        <f>Raw_Claims_Data!E2191</f>
        <v>8000</v>
      </c>
      <c r="F2192" t="str">
        <f>Raw_Claims_Data!F2191</f>
        <v>GA</v>
      </c>
      <c r="G2192" t="str">
        <f>Raw_Claims_Data!G2191</f>
        <v>A</v>
      </c>
      <c r="H2192" t="str">
        <f>Raw_Claims_Data!H2191</f>
        <v>Minor Loss</v>
      </c>
      <c r="I2192" t="str">
        <f>IF(Raw_Claims_Data!I2191="","None",Raw_Claims_Data!I2191)</f>
        <v>None</v>
      </c>
      <c r="J2192" t="str">
        <f>Raw_Claims_Data!J2191</f>
        <v>Glendale</v>
      </c>
      <c r="K2192" t="str">
        <f>Raw_Claims_Data!K2191</f>
        <v>AZ</v>
      </c>
      <c r="L2192">
        <f>Raw_Claims_Data!L2191</f>
        <v>23</v>
      </c>
      <c r="M2192" t="str">
        <f>IF(Raw_Claims_Data!M2191="","N/A",Raw_Claims_Data!M2191)</f>
        <v>N/A</v>
      </c>
      <c r="N2192" t="str">
        <f>Raw_Claims_Data!N2191</f>
        <v>AGENT00004</v>
      </c>
      <c r="O2192">
        <f>IF(Raw_Claims_Data!G2191="D",1,0)</f>
        <v>0</v>
      </c>
    </row>
    <row r="2193" spans="1:15" x14ac:dyDescent="0.35">
      <c r="A2193" t="str">
        <f>Raw_Claims_Data!A2192</f>
        <v>TXN00002189</v>
      </c>
      <c r="B2193" t="str">
        <f>TRIM(Raw_Claims_Data!B2192)</f>
        <v>Terry Miller</v>
      </c>
      <c r="C2193" t="str">
        <f>Raw_Claims_Data!C2192</f>
        <v>Life</v>
      </c>
      <c r="D2193">
        <f>Raw_Claims_Data!D2192</f>
        <v>54.53</v>
      </c>
      <c r="E2193">
        <f>Raw_Claims_Data!E2192</f>
        <v>76000</v>
      </c>
      <c r="F2193" t="str">
        <f>Raw_Claims_Data!F2192</f>
        <v>CO</v>
      </c>
      <c r="G2193" t="str">
        <f>Raw_Claims_Data!G2192</f>
        <v>A</v>
      </c>
      <c r="H2193" t="str">
        <f>Raw_Claims_Data!H2192</f>
        <v>Minor Loss</v>
      </c>
      <c r="I2193" t="str">
        <f>IF(Raw_Claims_Data!I2192="","None",Raw_Claims_Data!I2192)</f>
        <v>Other</v>
      </c>
      <c r="J2193" t="str">
        <f>Raw_Claims_Data!J2192</f>
        <v>Lynn Haven</v>
      </c>
      <c r="K2193" t="str">
        <f>Raw_Claims_Data!K2192</f>
        <v>FL</v>
      </c>
      <c r="L2193">
        <f>Raw_Claims_Data!L2192</f>
        <v>12</v>
      </c>
      <c r="M2193" t="str">
        <f>IF(Raw_Claims_Data!M2192="","N/A",Raw_Claims_Data!M2192)</f>
        <v>VNDR00312</v>
      </c>
      <c r="N2193" t="str">
        <f>Raw_Claims_Data!N2192</f>
        <v>AGENT00675</v>
      </c>
      <c r="O2193">
        <f>IF(Raw_Claims_Data!G2192="D",1,0)</f>
        <v>0</v>
      </c>
    </row>
    <row r="2194" spans="1:15" x14ac:dyDescent="0.35">
      <c r="A2194" t="str">
        <f>Raw_Claims_Data!A2193</f>
        <v>TXN00002190</v>
      </c>
      <c r="B2194" t="str">
        <f>TRIM(Raw_Claims_Data!B2193)</f>
        <v>Robert Young</v>
      </c>
      <c r="C2194" t="str">
        <f>Raw_Claims_Data!C2193</f>
        <v>Mobile</v>
      </c>
      <c r="D2194">
        <f>Raw_Claims_Data!D2193</f>
        <v>8.23</v>
      </c>
      <c r="E2194">
        <f>Raw_Claims_Data!E2193</f>
        <v>600</v>
      </c>
      <c r="F2194" t="str">
        <f>Raw_Claims_Data!F2193</f>
        <v>MA</v>
      </c>
      <c r="G2194" t="str">
        <f>Raw_Claims_Data!G2193</f>
        <v>A</v>
      </c>
      <c r="H2194" t="str">
        <f>Raw_Claims_Data!H2193</f>
        <v>Major Loss</v>
      </c>
      <c r="I2194" t="str">
        <f>IF(Raw_Claims_Data!I2193="","None",Raw_Claims_Data!I2193)</f>
        <v>None</v>
      </c>
      <c r="J2194" t="str">
        <f>Raw_Claims_Data!J2193</f>
        <v>Pueblo</v>
      </c>
      <c r="K2194" t="str">
        <f>Raw_Claims_Data!K2193</f>
        <v>CO</v>
      </c>
      <c r="L2194">
        <f>Raw_Claims_Data!L2193</f>
        <v>7</v>
      </c>
      <c r="M2194" t="str">
        <f>IF(Raw_Claims_Data!M2193="","N/A",Raw_Claims_Data!M2193)</f>
        <v>VNDR00422</v>
      </c>
      <c r="N2194" t="str">
        <f>Raw_Claims_Data!N2193</f>
        <v>AGENT00719</v>
      </c>
      <c r="O2194">
        <f>IF(Raw_Claims_Data!G2193="D",1,0)</f>
        <v>0</v>
      </c>
    </row>
    <row r="2195" spans="1:15" x14ac:dyDescent="0.35">
      <c r="A2195" t="str">
        <f>Raw_Claims_Data!A2194</f>
        <v>TXN00002191</v>
      </c>
      <c r="B2195" t="str">
        <f>TRIM(Raw_Claims_Data!B2194)</f>
        <v>Timothy Parks</v>
      </c>
      <c r="C2195" t="str">
        <f>Raw_Claims_Data!C2194</f>
        <v>Health</v>
      </c>
      <c r="D2195">
        <f>Raw_Claims_Data!D2194</f>
        <v>147.02000000000001</v>
      </c>
      <c r="E2195">
        <f>Raw_Claims_Data!E2194</f>
        <v>16000</v>
      </c>
      <c r="F2195" t="str">
        <f>Raw_Claims_Data!F2194</f>
        <v>FL</v>
      </c>
      <c r="G2195" t="str">
        <f>Raw_Claims_Data!G2194</f>
        <v>A</v>
      </c>
      <c r="H2195" t="str">
        <f>Raw_Claims_Data!H2194</f>
        <v>Major Loss</v>
      </c>
      <c r="I2195" t="str">
        <f>IF(Raw_Claims_Data!I2194="","None",Raw_Claims_Data!I2194)</f>
        <v>Other</v>
      </c>
      <c r="J2195" t="str">
        <f>Raw_Claims_Data!J2194</f>
        <v>Essex</v>
      </c>
      <c r="K2195" t="str">
        <f>Raw_Claims_Data!K2194</f>
        <v>VT</v>
      </c>
      <c r="L2195">
        <f>Raw_Claims_Data!L2194</f>
        <v>23</v>
      </c>
      <c r="M2195" t="str">
        <f>IF(Raw_Claims_Data!M2194="","N/A",Raw_Claims_Data!M2194)</f>
        <v>N/A</v>
      </c>
      <c r="N2195" t="str">
        <f>Raw_Claims_Data!N2194</f>
        <v>AGENT00886</v>
      </c>
      <c r="O2195">
        <f>IF(Raw_Claims_Data!G2194="D",1,0)</f>
        <v>0</v>
      </c>
    </row>
    <row r="2196" spans="1:15" x14ac:dyDescent="0.35">
      <c r="A2196" t="str">
        <f>Raw_Claims_Data!A2195</f>
        <v>TXN00002192</v>
      </c>
      <c r="B2196" t="str">
        <f>TRIM(Raw_Claims_Data!B2195)</f>
        <v>Carol Bronk</v>
      </c>
      <c r="C2196" t="str">
        <f>Raw_Claims_Data!C2195</f>
        <v>Health</v>
      </c>
      <c r="D2196">
        <f>Raw_Claims_Data!D2195</f>
        <v>183.45</v>
      </c>
      <c r="E2196">
        <f>Raw_Claims_Data!E2195</f>
        <v>13000</v>
      </c>
      <c r="F2196" t="str">
        <f>Raw_Claims_Data!F2195</f>
        <v>AK</v>
      </c>
      <c r="G2196" t="str">
        <f>Raw_Claims_Data!G2195</f>
        <v>A</v>
      </c>
      <c r="H2196" t="str">
        <f>Raw_Claims_Data!H2195</f>
        <v>Major Loss</v>
      </c>
      <c r="I2196" t="str">
        <f>IF(Raw_Claims_Data!I2195="","None",Raw_Claims_Data!I2195)</f>
        <v>Ambulance</v>
      </c>
      <c r="J2196" t="str">
        <f>Raw_Claims_Data!J2195</f>
        <v>Quincy</v>
      </c>
      <c r="K2196" t="str">
        <f>Raw_Claims_Data!K2195</f>
        <v>MA</v>
      </c>
      <c r="L2196">
        <f>Raw_Claims_Data!L2195</f>
        <v>17</v>
      </c>
      <c r="M2196" t="str">
        <f>IF(Raw_Claims_Data!M2195="","N/A",Raw_Claims_Data!M2195)</f>
        <v>VNDR00327</v>
      </c>
      <c r="N2196" t="str">
        <f>Raw_Claims_Data!N2195</f>
        <v>AGENT00915</v>
      </c>
      <c r="O2196">
        <f>IF(Raw_Claims_Data!G2195="D",1,0)</f>
        <v>0</v>
      </c>
    </row>
    <row r="2197" spans="1:15" x14ac:dyDescent="0.35">
      <c r="A2197" t="str">
        <f>Raw_Claims_Data!A2196</f>
        <v>TXN00002193</v>
      </c>
      <c r="B2197" t="str">
        <f>TRIM(Raw_Claims_Data!B2196)</f>
        <v>Edward Mendez</v>
      </c>
      <c r="C2197" t="str">
        <f>Raw_Claims_Data!C2196</f>
        <v>Travel</v>
      </c>
      <c r="D2197">
        <f>Raw_Claims_Data!D2196</f>
        <v>96.04</v>
      </c>
      <c r="E2197">
        <f>Raw_Claims_Data!E2196</f>
        <v>5000</v>
      </c>
      <c r="F2197" t="str">
        <f>Raw_Claims_Data!F2196</f>
        <v>AR</v>
      </c>
      <c r="G2197" t="str">
        <f>Raw_Claims_Data!G2196</f>
        <v>A</v>
      </c>
      <c r="H2197" t="str">
        <f>Raw_Claims_Data!H2196</f>
        <v>Major Loss</v>
      </c>
      <c r="I2197" t="str">
        <f>IF(Raw_Claims_Data!I2196="","None",Raw_Claims_Data!I2196)</f>
        <v>Other</v>
      </c>
      <c r="J2197" t="str">
        <f>Raw_Claims_Data!J2196</f>
        <v>Louisville</v>
      </c>
      <c r="K2197" t="str">
        <f>Raw_Claims_Data!K2196</f>
        <v>KY</v>
      </c>
      <c r="L2197">
        <f>Raw_Claims_Data!L2196</f>
        <v>14</v>
      </c>
      <c r="M2197" t="str">
        <f>IF(Raw_Claims_Data!M2196="","N/A",Raw_Claims_Data!M2196)</f>
        <v>VNDR00280</v>
      </c>
      <c r="N2197" t="str">
        <f>Raw_Claims_Data!N2196</f>
        <v>AGENT00622</v>
      </c>
      <c r="O2197">
        <f>IF(Raw_Claims_Data!G2196="D",1,0)</f>
        <v>0</v>
      </c>
    </row>
    <row r="2198" spans="1:15" x14ac:dyDescent="0.35">
      <c r="A2198" t="str">
        <f>Raw_Claims_Data!A2197</f>
        <v>TXN00002194</v>
      </c>
      <c r="B2198" t="str">
        <f>TRIM(Raw_Claims_Data!B2197)</f>
        <v>Randall Thompson</v>
      </c>
      <c r="C2198" t="str">
        <f>Raw_Claims_Data!C2197</f>
        <v>Mobile</v>
      </c>
      <c r="D2198">
        <f>Raw_Claims_Data!D2197</f>
        <v>8.19</v>
      </c>
      <c r="E2198">
        <f>Raw_Claims_Data!E2197</f>
        <v>400</v>
      </c>
      <c r="F2198" t="str">
        <f>Raw_Claims_Data!F2197</f>
        <v>MA</v>
      </c>
      <c r="G2198" t="str">
        <f>Raw_Claims_Data!G2197</f>
        <v>A</v>
      </c>
      <c r="H2198" t="str">
        <f>Raw_Claims_Data!H2197</f>
        <v>Total Loss</v>
      </c>
      <c r="I2198" t="str">
        <f>IF(Raw_Claims_Data!I2197="","None",Raw_Claims_Data!I2197)</f>
        <v>Ambulance</v>
      </c>
      <c r="J2198" t="str">
        <f>Raw_Claims_Data!J2197</f>
        <v>Panama City</v>
      </c>
      <c r="K2198" t="str">
        <f>Raw_Claims_Data!K2197</f>
        <v>FL</v>
      </c>
      <c r="L2198">
        <f>Raw_Claims_Data!L2197</f>
        <v>11</v>
      </c>
      <c r="M2198" t="str">
        <f>IF(Raw_Claims_Data!M2197="","N/A",Raw_Claims_Data!M2197)</f>
        <v>VNDR00518</v>
      </c>
      <c r="N2198" t="str">
        <f>Raw_Claims_Data!N2197</f>
        <v>AGENT00895</v>
      </c>
      <c r="O2198">
        <f>IF(Raw_Claims_Data!G2197="D",1,0)</f>
        <v>0</v>
      </c>
    </row>
    <row r="2199" spans="1:15" x14ac:dyDescent="0.35">
      <c r="A2199" t="str">
        <f>Raw_Claims_Data!A2198</f>
        <v>TXN00002195</v>
      </c>
      <c r="B2199" t="str">
        <f>TRIM(Raw_Claims_Data!B2198)</f>
        <v>Josephine Saldana</v>
      </c>
      <c r="C2199" t="str">
        <f>Raw_Claims_Data!C2198</f>
        <v>Travel</v>
      </c>
      <c r="D2199">
        <f>Raw_Claims_Data!D2198</f>
        <v>70.78</v>
      </c>
      <c r="E2199">
        <f>Raw_Claims_Data!E2198</f>
        <v>1000</v>
      </c>
      <c r="F2199" t="str">
        <f>Raw_Claims_Data!F2198</f>
        <v>FL</v>
      </c>
      <c r="G2199" t="str">
        <f>Raw_Claims_Data!G2198</f>
        <v>D</v>
      </c>
      <c r="H2199" t="str">
        <f>Raw_Claims_Data!H2198</f>
        <v>Total Loss</v>
      </c>
      <c r="I2199" t="str">
        <f>IF(Raw_Claims_Data!I2198="","None",Raw_Claims_Data!I2198)</f>
        <v>Police</v>
      </c>
      <c r="J2199" t="str">
        <f>Raw_Claims_Data!J2198</f>
        <v>Oklahoma City</v>
      </c>
      <c r="K2199" t="str">
        <f>Raw_Claims_Data!K2198</f>
        <v>OK</v>
      </c>
      <c r="L2199">
        <f>Raw_Claims_Data!L2198</f>
        <v>9</v>
      </c>
      <c r="M2199" t="str">
        <f>IF(Raw_Claims_Data!M2198="","N/A",Raw_Claims_Data!M2198)</f>
        <v>N/A</v>
      </c>
      <c r="N2199" t="str">
        <f>Raw_Claims_Data!N2198</f>
        <v>AGENT00845</v>
      </c>
      <c r="O2199">
        <f>IF(Raw_Claims_Data!G2198="D",1,0)</f>
        <v>1</v>
      </c>
    </row>
    <row r="2200" spans="1:15" x14ac:dyDescent="0.35">
      <c r="A2200" t="str">
        <f>Raw_Claims_Data!A2199</f>
        <v>TXN00002196</v>
      </c>
      <c r="B2200" t="str">
        <f>TRIM(Raw_Claims_Data!B2199)</f>
        <v>Larry Reyes</v>
      </c>
      <c r="C2200" t="str">
        <f>Raw_Claims_Data!C2199</f>
        <v>Health</v>
      </c>
      <c r="D2200">
        <f>Raw_Claims_Data!D2199</f>
        <v>116.95</v>
      </c>
      <c r="E2200">
        <f>Raw_Claims_Data!E2199</f>
        <v>2000</v>
      </c>
      <c r="F2200" t="str">
        <f>Raw_Claims_Data!F2199</f>
        <v>FL</v>
      </c>
      <c r="G2200" t="str">
        <f>Raw_Claims_Data!G2199</f>
        <v>A</v>
      </c>
      <c r="H2200" t="str">
        <f>Raw_Claims_Data!H2199</f>
        <v>Total Loss</v>
      </c>
      <c r="I2200" t="str">
        <f>IF(Raw_Claims_Data!I2199="","None",Raw_Claims_Data!I2199)</f>
        <v>Ambulance</v>
      </c>
      <c r="J2200" t="str">
        <f>Raw_Claims_Data!J2199</f>
        <v>Goodlettsville</v>
      </c>
      <c r="K2200" t="str">
        <f>Raw_Claims_Data!K2199</f>
        <v>TN</v>
      </c>
      <c r="L2200">
        <f>Raw_Claims_Data!L2199</f>
        <v>6</v>
      </c>
      <c r="M2200" t="str">
        <f>IF(Raw_Claims_Data!M2199="","N/A",Raw_Claims_Data!M2199)</f>
        <v>VNDR00410</v>
      </c>
      <c r="N2200" t="str">
        <f>Raw_Claims_Data!N2199</f>
        <v>AGENT00161</v>
      </c>
      <c r="O2200">
        <f>IF(Raw_Claims_Data!G2199="D",1,0)</f>
        <v>0</v>
      </c>
    </row>
    <row r="2201" spans="1:15" x14ac:dyDescent="0.35">
      <c r="A2201" t="str">
        <f>Raw_Claims_Data!A2200</f>
        <v>TXN00002197</v>
      </c>
      <c r="B2201" t="str">
        <f>TRIM(Raw_Claims_Data!B2200)</f>
        <v>Suzan Rector</v>
      </c>
      <c r="C2201" t="str">
        <f>Raw_Claims_Data!C2200</f>
        <v>Health</v>
      </c>
      <c r="D2201">
        <f>Raw_Claims_Data!D2200</f>
        <v>191.42</v>
      </c>
      <c r="E2201">
        <f>Raw_Claims_Data!E2200</f>
        <v>4000</v>
      </c>
      <c r="F2201" t="str">
        <f>Raw_Claims_Data!F2200</f>
        <v>AZ</v>
      </c>
      <c r="G2201" t="str">
        <f>Raw_Claims_Data!G2200</f>
        <v>A</v>
      </c>
      <c r="H2201" t="str">
        <f>Raw_Claims_Data!H2200</f>
        <v>Total Loss</v>
      </c>
      <c r="I2201" t="str">
        <f>IF(Raw_Claims_Data!I2200="","None",Raw_Claims_Data!I2200)</f>
        <v>Ambulance</v>
      </c>
      <c r="J2201" t="str">
        <f>Raw_Claims_Data!J2200</f>
        <v>Washington</v>
      </c>
      <c r="K2201" t="str">
        <f>Raw_Claims_Data!K2200</f>
        <v>DC</v>
      </c>
      <c r="L2201">
        <f>Raw_Claims_Data!L2200</f>
        <v>16</v>
      </c>
      <c r="M2201" t="str">
        <f>IF(Raw_Claims_Data!M2200="","N/A",Raw_Claims_Data!M2200)</f>
        <v>VNDR00488</v>
      </c>
      <c r="N2201" t="str">
        <f>Raw_Claims_Data!N2200</f>
        <v>AGENT01157</v>
      </c>
      <c r="O2201">
        <f>IF(Raw_Claims_Data!G2200="D",1,0)</f>
        <v>0</v>
      </c>
    </row>
    <row r="2202" spans="1:15" x14ac:dyDescent="0.35">
      <c r="A2202" t="str">
        <f>Raw_Claims_Data!A2201</f>
        <v>TXN00002198</v>
      </c>
      <c r="B2202" t="str">
        <f>TRIM(Raw_Claims_Data!B2201)</f>
        <v>Gloria Samons</v>
      </c>
      <c r="C2202" t="str">
        <f>Raw_Claims_Data!C2201</f>
        <v>Health</v>
      </c>
      <c r="D2202">
        <f>Raw_Claims_Data!D2201</f>
        <v>192.21</v>
      </c>
      <c r="E2202">
        <f>Raw_Claims_Data!E2201</f>
        <v>19000</v>
      </c>
      <c r="F2202" t="str">
        <f>Raw_Claims_Data!F2201</f>
        <v>MD</v>
      </c>
      <c r="G2202" t="str">
        <f>Raw_Claims_Data!G2201</f>
        <v>A</v>
      </c>
      <c r="H2202" t="str">
        <f>Raw_Claims_Data!H2201</f>
        <v>Total Loss</v>
      </c>
      <c r="I2202" t="str">
        <f>IF(Raw_Claims_Data!I2201="","None",Raw_Claims_Data!I2201)</f>
        <v>None</v>
      </c>
      <c r="J2202" t="str">
        <f>Raw_Claims_Data!J2201</f>
        <v>Merritt Island</v>
      </c>
      <c r="K2202" t="str">
        <f>Raw_Claims_Data!K2201</f>
        <v>FL</v>
      </c>
      <c r="L2202">
        <f>Raw_Claims_Data!L2201</f>
        <v>11</v>
      </c>
      <c r="M2202" t="str">
        <f>IF(Raw_Claims_Data!M2201="","N/A",Raw_Claims_Data!M2201)</f>
        <v>N/A</v>
      </c>
      <c r="N2202" t="str">
        <f>Raw_Claims_Data!N2201</f>
        <v>AGENT00516</v>
      </c>
      <c r="O2202">
        <f>IF(Raw_Claims_Data!G2201="D",1,0)</f>
        <v>0</v>
      </c>
    </row>
    <row r="2203" spans="1:15" x14ac:dyDescent="0.35">
      <c r="A2203" t="str">
        <f>Raw_Claims_Data!A2202</f>
        <v>TXN00002199</v>
      </c>
      <c r="B2203" t="str">
        <f>TRIM(Raw_Claims_Data!B2202)</f>
        <v>Juanita Vogler</v>
      </c>
      <c r="C2203" t="str">
        <f>Raw_Claims_Data!C2202</f>
        <v>Travel</v>
      </c>
      <c r="D2203">
        <f>Raw_Claims_Data!D2202</f>
        <v>60.69</v>
      </c>
      <c r="E2203">
        <f>Raw_Claims_Data!E2202</f>
        <v>4000</v>
      </c>
      <c r="F2203" t="str">
        <f>Raw_Claims_Data!F2202</f>
        <v>KY</v>
      </c>
      <c r="G2203" t="str">
        <f>Raw_Claims_Data!G2202</f>
        <v>A</v>
      </c>
      <c r="H2203" t="str">
        <f>Raw_Claims_Data!H2202</f>
        <v>Minor Loss</v>
      </c>
      <c r="I2203" t="str">
        <f>IF(Raw_Claims_Data!I2202="","None",Raw_Claims_Data!I2202)</f>
        <v>None</v>
      </c>
      <c r="J2203" t="str">
        <f>Raw_Claims_Data!J2202</f>
        <v>Townshend</v>
      </c>
      <c r="K2203" t="str">
        <f>Raw_Claims_Data!K2202</f>
        <v>VT</v>
      </c>
      <c r="L2203">
        <f>Raw_Claims_Data!L2202</f>
        <v>12</v>
      </c>
      <c r="M2203" t="str">
        <f>IF(Raw_Claims_Data!M2202="","N/A",Raw_Claims_Data!M2202)</f>
        <v>VNDR00406</v>
      </c>
      <c r="N2203" t="str">
        <f>Raw_Claims_Data!N2202</f>
        <v>AGENT00190</v>
      </c>
      <c r="O2203">
        <f>IF(Raw_Claims_Data!G2202="D",1,0)</f>
        <v>0</v>
      </c>
    </row>
    <row r="2204" spans="1:15" x14ac:dyDescent="0.35">
      <c r="A2204" t="str">
        <f>Raw_Claims_Data!A2203</f>
        <v>TXN00002200</v>
      </c>
      <c r="B2204" t="str">
        <f>TRIM(Raw_Claims_Data!B2203)</f>
        <v>Raymond Ramos</v>
      </c>
      <c r="C2204" t="str">
        <f>Raw_Claims_Data!C2203</f>
        <v>Property</v>
      </c>
      <c r="D2204">
        <f>Raw_Claims_Data!D2203</f>
        <v>134.61000000000001</v>
      </c>
      <c r="E2204">
        <f>Raw_Claims_Data!E2203</f>
        <v>26000</v>
      </c>
      <c r="F2204" t="str">
        <f>Raw_Claims_Data!F2203</f>
        <v>MA</v>
      </c>
      <c r="G2204" t="str">
        <f>Raw_Claims_Data!G2203</f>
        <v>A</v>
      </c>
      <c r="H2204" t="str">
        <f>Raw_Claims_Data!H2203</f>
        <v>Major Loss</v>
      </c>
      <c r="I2204" t="str">
        <f>IF(Raw_Claims_Data!I2203="","None",Raw_Claims_Data!I2203)</f>
        <v>Other</v>
      </c>
      <c r="J2204" t="str">
        <f>Raw_Claims_Data!J2203</f>
        <v>Panama City</v>
      </c>
      <c r="K2204" t="str">
        <f>Raw_Claims_Data!K2203</f>
        <v>FL</v>
      </c>
      <c r="L2204">
        <f>Raw_Claims_Data!L2203</f>
        <v>18</v>
      </c>
      <c r="M2204" t="str">
        <f>IF(Raw_Claims_Data!M2203="","N/A",Raw_Claims_Data!M2203)</f>
        <v>VNDR00077</v>
      </c>
      <c r="N2204" t="str">
        <f>Raw_Claims_Data!N2203</f>
        <v>AGENT00742</v>
      </c>
      <c r="O2204">
        <f>IF(Raw_Claims_Data!G2203="D",1,0)</f>
        <v>0</v>
      </c>
    </row>
    <row r="2205" spans="1:15" x14ac:dyDescent="0.35">
      <c r="A2205" t="str">
        <f>Raw_Claims_Data!A2204</f>
        <v>TXN00002201</v>
      </c>
      <c r="B2205" t="str">
        <f>TRIM(Raw_Claims_Data!B2204)</f>
        <v>Jennifer Nutt</v>
      </c>
      <c r="C2205" t="str">
        <f>Raw_Claims_Data!C2204</f>
        <v>Life</v>
      </c>
      <c r="D2205">
        <f>Raw_Claims_Data!D2204</f>
        <v>75.73</v>
      </c>
      <c r="E2205">
        <f>Raw_Claims_Data!E2204</f>
        <v>34000</v>
      </c>
      <c r="F2205" t="str">
        <f>Raw_Claims_Data!F2204</f>
        <v>CT</v>
      </c>
      <c r="G2205" t="str">
        <f>Raw_Claims_Data!G2204</f>
        <v>A</v>
      </c>
      <c r="H2205" t="str">
        <f>Raw_Claims_Data!H2204</f>
        <v>Major Loss</v>
      </c>
      <c r="I2205" t="str">
        <f>IF(Raw_Claims_Data!I2204="","None",Raw_Claims_Data!I2204)</f>
        <v>Police</v>
      </c>
      <c r="J2205" t="str">
        <f>Raw_Claims_Data!J2204</f>
        <v>Washington</v>
      </c>
      <c r="K2205" t="str">
        <f>Raw_Claims_Data!K2204</f>
        <v>DC</v>
      </c>
      <c r="L2205">
        <f>Raw_Claims_Data!L2204</f>
        <v>0</v>
      </c>
      <c r="M2205" t="str">
        <f>IF(Raw_Claims_Data!M2204="","N/A",Raw_Claims_Data!M2204)</f>
        <v>N/A</v>
      </c>
      <c r="N2205" t="str">
        <f>Raw_Claims_Data!N2204</f>
        <v>AGENT00253</v>
      </c>
      <c r="O2205">
        <f>IF(Raw_Claims_Data!G2204="D",1,0)</f>
        <v>0</v>
      </c>
    </row>
    <row r="2206" spans="1:15" x14ac:dyDescent="0.35">
      <c r="A2206" t="str">
        <f>Raw_Claims_Data!A2205</f>
        <v>TXN00002202</v>
      </c>
      <c r="B2206" t="str">
        <f>TRIM(Raw_Claims_Data!B2205)</f>
        <v>David Minter</v>
      </c>
      <c r="C2206" t="str">
        <f>Raw_Claims_Data!C2205</f>
        <v>Property</v>
      </c>
      <c r="D2206">
        <f>Raw_Claims_Data!D2205</f>
        <v>103.97</v>
      </c>
      <c r="E2206">
        <f>Raw_Claims_Data!E2205</f>
        <v>40000</v>
      </c>
      <c r="F2206" t="str">
        <f>Raw_Claims_Data!F2205</f>
        <v>VT</v>
      </c>
      <c r="G2206" t="str">
        <f>Raw_Claims_Data!G2205</f>
        <v>A</v>
      </c>
      <c r="H2206" t="str">
        <f>Raw_Claims_Data!H2205</f>
        <v>Total Loss</v>
      </c>
      <c r="I2206" t="str">
        <f>IF(Raw_Claims_Data!I2205="","None",Raw_Claims_Data!I2205)</f>
        <v>Police</v>
      </c>
      <c r="J2206" t="str">
        <f>Raw_Claims_Data!J2205</f>
        <v>Crofton</v>
      </c>
      <c r="K2206" t="str">
        <f>Raw_Claims_Data!K2205</f>
        <v>MD</v>
      </c>
      <c r="L2206">
        <f>Raw_Claims_Data!L2205</f>
        <v>6</v>
      </c>
      <c r="M2206" t="str">
        <f>IF(Raw_Claims_Data!M2205="","N/A",Raw_Claims_Data!M2205)</f>
        <v>VNDR00068</v>
      </c>
      <c r="N2206" t="str">
        <f>Raw_Claims_Data!N2205</f>
        <v>AGENT01089</v>
      </c>
      <c r="O2206">
        <f>IF(Raw_Claims_Data!G2205="D",1,0)</f>
        <v>0</v>
      </c>
    </row>
    <row r="2207" spans="1:15" x14ac:dyDescent="0.35">
      <c r="A2207" t="str">
        <f>Raw_Claims_Data!A2206</f>
        <v>TXN00002203</v>
      </c>
      <c r="B2207" t="str">
        <f>TRIM(Raw_Claims_Data!B2206)</f>
        <v>Barbara Williams</v>
      </c>
      <c r="C2207" t="str">
        <f>Raw_Claims_Data!C2206</f>
        <v>Mobile</v>
      </c>
      <c r="D2207">
        <f>Raw_Claims_Data!D2206</f>
        <v>6.56</v>
      </c>
      <c r="E2207">
        <f>Raw_Claims_Data!E2206</f>
        <v>300</v>
      </c>
      <c r="F2207" t="str">
        <f>Raw_Claims_Data!F2206</f>
        <v>CA</v>
      </c>
      <c r="G2207" t="str">
        <f>Raw_Claims_Data!G2206</f>
        <v>A</v>
      </c>
      <c r="H2207" t="str">
        <f>Raw_Claims_Data!H2206</f>
        <v>Major Loss</v>
      </c>
      <c r="I2207" t="str">
        <f>IF(Raw_Claims_Data!I2206="","None",Raw_Claims_Data!I2206)</f>
        <v>Ambulance</v>
      </c>
      <c r="J2207" t="str">
        <f>Raw_Claims_Data!J2206</f>
        <v>Anchorage</v>
      </c>
      <c r="K2207" t="str">
        <f>Raw_Claims_Data!K2206</f>
        <v>AK</v>
      </c>
      <c r="L2207">
        <f>Raw_Claims_Data!L2206</f>
        <v>2</v>
      </c>
      <c r="M2207" t="str">
        <f>IF(Raw_Claims_Data!M2206="","N/A",Raw_Claims_Data!M2206)</f>
        <v>VNDR00486</v>
      </c>
      <c r="N2207" t="str">
        <f>Raw_Claims_Data!N2206</f>
        <v>AGENT00440</v>
      </c>
      <c r="O2207">
        <f>IF(Raw_Claims_Data!G2206="D",1,0)</f>
        <v>0</v>
      </c>
    </row>
    <row r="2208" spans="1:15" x14ac:dyDescent="0.35">
      <c r="A2208" t="str">
        <f>Raw_Claims_Data!A2207</f>
        <v>TXN00002204</v>
      </c>
      <c r="B2208" t="str">
        <f>TRIM(Raw_Claims_Data!B2207)</f>
        <v>Guy Bouchard</v>
      </c>
      <c r="C2208" t="str">
        <f>Raw_Claims_Data!C2207</f>
        <v>Travel</v>
      </c>
      <c r="D2208">
        <f>Raw_Claims_Data!D2207</f>
        <v>68.56</v>
      </c>
      <c r="E2208">
        <f>Raw_Claims_Data!E2207</f>
        <v>1000</v>
      </c>
      <c r="F2208" t="str">
        <f>Raw_Claims_Data!F2207</f>
        <v>CA</v>
      </c>
      <c r="G2208" t="str">
        <f>Raw_Claims_Data!G2207</f>
        <v>A</v>
      </c>
      <c r="H2208" t="str">
        <f>Raw_Claims_Data!H2207</f>
        <v>Total Loss</v>
      </c>
      <c r="I2208" t="str">
        <f>IF(Raw_Claims_Data!I2207="","None",Raw_Claims_Data!I2207)</f>
        <v>Police</v>
      </c>
      <c r="J2208" t="str">
        <f>Raw_Claims_Data!J2207</f>
        <v>Montgomery</v>
      </c>
      <c r="K2208" t="str">
        <f>Raw_Claims_Data!K2207</f>
        <v>AL</v>
      </c>
      <c r="L2208">
        <f>Raw_Claims_Data!L2207</f>
        <v>4</v>
      </c>
      <c r="M2208" t="str">
        <f>IF(Raw_Claims_Data!M2207="","N/A",Raw_Claims_Data!M2207)</f>
        <v>N/A</v>
      </c>
      <c r="N2208" t="str">
        <f>Raw_Claims_Data!N2207</f>
        <v>AGENT00769</v>
      </c>
      <c r="O2208">
        <f>IF(Raw_Claims_Data!G2207="D",1,0)</f>
        <v>0</v>
      </c>
    </row>
    <row r="2209" spans="1:15" x14ac:dyDescent="0.35">
      <c r="A2209" t="str">
        <f>Raw_Claims_Data!A2208</f>
        <v>TXN00002205</v>
      </c>
      <c r="B2209" t="str">
        <f>TRIM(Raw_Claims_Data!B2208)</f>
        <v>Erica Rasmussen</v>
      </c>
      <c r="C2209" t="str">
        <f>Raw_Claims_Data!C2208</f>
        <v>Health</v>
      </c>
      <c r="D2209">
        <f>Raw_Claims_Data!D2208</f>
        <v>189.16</v>
      </c>
      <c r="E2209">
        <f>Raw_Claims_Data!E2208</f>
        <v>19000</v>
      </c>
      <c r="F2209" t="str">
        <f>Raw_Claims_Data!F2208</f>
        <v>AL</v>
      </c>
      <c r="G2209" t="str">
        <f>Raw_Claims_Data!G2208</f>
        <v>A</v>
      </c>
      <c r="H2209" t="str">
        <f>Raw_Claims_Data!H2208</f>
        <v>Minor Loss</v>
      </c>
      <c r="I2209" t="str">
        <f>IF(Raw_Claims_Data!I2208="","None",Raw_Claims_Data!I2208)</f>
        <v>Police</v>
      </c>
      <c r="J2209" t="str">
        <f>Raw_Claims_Data!J2208</f>
        <v>Savannah</v>
      </c>
      <c r="K2209" t="str">
        <f>Raw_Claims_Data!K2208</f>
        <v>GA</v>
      </c>
      <c r="L2209">
        <f>Raw_Claims_Data!L2208</f>
        <v>23</v>
      </c>
      <c r="M2209" t="str">
        <f>IF(Raw_Claims_Data!M2208="","N/A",Raw_Claims_Data!M2208)</f>
        <v>N/A</v>
      </c>
      <c r="N2209" t="str">
        <f>Raw_Claims_Data!N2208</f>
        <v>AGENT00023</v>
      </c>
      <c r="O2209">
        <f>IF(Raw_Claims_Data!G2208="D",1,0)</f>
        <v>0</v>
      </c>
    </row>
    <row r="2210" spans="1:15" x14ac:dyDescent="0.35">
      <c r="A2210" t="str">
        <f>Raw_Claims_Data!A2209</f>
        <v>TXN00002206</v>
      </c>
      <c r="B2210" t="str">
        <f>TRIM(Raw_Claims_Data!B2209)</f>
        <v>Ross Vaden</v>
      </c>
      <c r="C2210" t="str">
        <f>Raw_Claims_Data!C2209</f>
        <v>Life</v>
      </c>
      <c r="D2210">
        <f>Raw_Claims_Data!D2209</f>
        <v>74.66</v>
      </c>
      <c r="E2210">
        <f>Raw_Claims_Data!E2209</f>
        <v>87000</v>
      </c>
      <c r="F2210" t="str">
        <f>Raw_Claims_Data!F2209</f>
        <v>CO</v>
      </c>
      <c r="G2210" t="str">
        <f>Raw_Claims_Data!G2209</f>
        <v>A</v>
      </c>
      <c r="H2210" t="str">
        <f>Raw_Claims_Data!H2209</f>
        <v>Minor Loss</v>
      </c>
      <c r="I2210" t="str">
        <f>IF(Raw_Claims_Data!I2209="","None",Raw_Claims_Data!I2209)</f>
        <v>Ambulance</v>
      </c>
      <c r="J2210" t="str">
        <f>Raw_Claims_Data!J2209</f>
        <v>Washington</v>
      </c>
      <c r="K2210" t="str">
        <f>Raw_Claims_Data!K2209</f>
        <v>DC</v>
      </c>
      <c r="L2210">
        <f>Raw_Claims_Data!L2209</f>
        <v>4</v>
      </c>
      <c r="M2210" t="str">
        <f>IF(Raw_Claims_Data!M2209="","N/A",Raw_Claims_Data!M2209)</f>
        <v>VNDR00006</v>
      </c>
      <c r="N2210" t="str">
        <f>Raw_Claims_Data!N2209</f>
        <v>AGENT00136</v>
      </c>
      <c r="O2210">
        <f>IF(Raw_Claims_Data!G2209="D",1,0)</f>
        <v>0</v>
      </c>
    </row>
    <row r="2211" spans="1:15" x14ac:dyDescent="0.35">
      <c r="A2211" t="str">
        <f>Raw_Claims_Data!A2210</f>
        <v>TXN00002207</v>
      </c>
      <c r="B2211" t="str">
        <f>TRIM(Raw_Claims_Data!B2210)</f>
        <v>Tina Parrish</v>
      </c>
      <c r="C2211" t="str">
        <f>Raw_Claims_Data!C2210</f>
        <v>Property</v>
      </c>
      <c r="D2211">
        <f>Raw_Claims_Data!D2210</f>
        <v>127.68</v>
      </c>
      <c r="E2211">
        <f>Raw_Claims_Data!E2210</f>
        <v>11000</v>
      </c>
      <c r="F2211" t="str">
        <f>Raw_Claims_Data!F2210</f>
        <v>VT</v>
      </c>
      <c r="G2211" t="str">
        <f>Raw_Claims_Data!G2210</f>
        <v>A</v>
      </c>
      <c r="H2211" t="str">
        <f>Raw_Claims_Data!H2210</f>
        <v>Major Loss</v>
      </c>
      <c r="I2211" t="str">
        <f>IF(Raw_Claims_Data!I2210="","None",Raw_Claims_Data!I2210)</f>
        <v>Ambulance</v>
      </c>
      <c r="J2211" t="str">
        <f>Raw_Claims_Data!J2210</f>
        <v>Montgomery</v>
      </c>
      <c r="K2211" t="str">
        <f>Raw_Claims_Data!K2210</f>
        <v>AL</v>
      </c>
      <c r="L2211">
        <f>Raw_Claims_Data!L2210</f>
        <v>12</v>
      </c>
      <c r="M2211" t="str">
        <f>IF(Raw_Claims_Data!M2210="","N/A",Raw_Claims_Data!M2210)</f>
        <v>VNDR00488</v>
      </c>
      <c r="N2211" t="str">
        <f>Raw_Claims_Data!N2210</f>
        <v>AGENT00026</v>
      </c>
      <c r="O2211">
        <f>IF(Raw_Claims_Data!G2210="D",1,0)</f>
        <v>0</v>
      </c>
    </row>
    <row r="2212" spans="1:15" x14ac:dyDescent="0.35">
      <c r="A2212" t="str">
        <f>Raw_Claims_Data!A2211</f>
        <v>TXN00002208</v>
      </c>
      <c r="B2212" t="str">
        <f>TRIM(Raw_Claims_Data!B2211)</f>
        <v>Michele Lumpkin</v>
      </c>
      <c r="C2212" t="str">
        <f>Raw_Claims_Data!C2211</f>
        <v>Life</v>
      </c>
      <c r="D2212">
        <f>Raw_Claims_Data!D2211</f>
        <v>77.87</v>
      </c>
      <c r="E2212">
        <f>Raw_Claims_Data!E2211</f>
        <v>89000</v>
      </c>
      <c r="F2212" t="str">
        <f>Raw_Claims_Data!F2211</f>
        <v>KY</v>
      </c>
      <c r="G2212" t="str">
        <f>Raw_Claims_Data!G2211</f>
        <v>A</v>
      </c>
      <c r="H2212" t="str">
        <f>Raw_Claims_Data!H2211</f>
        <v>Minor Loss</v>
      </c>
      <c r="I2212" t="str">
        <f>IF(Raw_Claims_Data!I2211="","None",Raw_Claims_Data!I2211)</f>
        <v>Ambulance</v>
      </c>
      <c r="J2212" t="str">
        <f>Raw_Claims_Data!J2211</f>
        <v>Glen Burnie</v>
      </c>
      <c r="K2212" t="str">
        <f>Raw_Claims_Data!K2211</f>
        <v>MD</v>
      </c>
      <c r="L2212">
        <f>Raw_Claims_Data!L2211</f>
        <v>6</v>
      </c>
      <c r="M2212" t="str">
        <f>IF(Raw_Claims_Data!M2211="","N/A",Raw_Claims_Data!M2211)</f>
        <v>VNDR00529</v>
      </c>
      <c r="N2212" t="str">
        <f>Raw_Claims_Data!N2211</f>
        <v>AGENT01146</v>
      </c>
      <c r="O2212">
        <f>IF(Raw_Claims_Data!G2211="D",1,0)</f>
        <v>0</v>
      </c>
    </row>
    <row r="2213" spans="1:15" x14ac:dyDescent="0.35">
      <c r="A2213" t="str">
        <f>Raw_Claims_Data!A2212</f>
        <v>TXN00002209</v>
      </c>
      <c r="B2213" t="str">
        <f>TRIM(Raw_Claims_Data!B2212)</f>
        <v>Elizabeth Morgan</v>
      </c>
      <c r="C2213" t="str">
        <f>Raw_Claims_Data!C2212</f>
        <v>Health</v>
      </c>
      <c r="D2213">
        <f>Raw_Claims_Data!D2212</f>
        <v>171.83</v>
      </c>
      <c r="E2213">
        <f>Raw_Claims_Data!E2212</f>
        <v>11000</v>
      </c>
      <c r="F2213" t="str">
        <f>Raw_Claims_Data!F2212</f>
        <v>KY</v>
      </c>
      <c r="G2213" t="str">
        <f>Raw_Claims_Data!G2212</f>
        <v>A</v>
      </c>
      <c r="H2213" t="str">
        <f>Raw_Claims_Data!H2212</f>
        <v>Major Loss</v>
      </c>
      <c r="I2213" t="str">
        <f>IF(Raw_Claims_Data!I2212="","None",Raw_Claims_Data!I2212)</f>
        <v>Police</v>
      </c>
      <c r="J2213" t="str">
        <f>Raw_Claims_Data!J2212</f>
        <v>Wheelock</v>
      </c>
      <c r="K2213" t="str">
        <f>Raw_Claims_Data!K2212</f>
        <v>VT</v>
      </c>
      <c r="L2213">
        <f>Raw_Claims_Data!L2212</f>
        <v>3</v>
      </c>
      <c r="M2213" t="str">
        <f>IF(Raw_Claims_Data!M2212="","N/A",Raw_Claims_Data!M2212)</f>
        <v>N/A</v>
      </c>
      <c r="N2213" t="str">
        <f>Raw_Claims_Data!N2212</f>
        <v>AGENT00479</v>
      </c>
      <c r="O2213">
        <f>IF(Raw_Claims_Data!G2212="D",1,0)</f>
        <v>0</v>
      </c>
    </row>
    <row r="2214" spans="1:15" x14ac:dyDescent="0.35">
      <c r="A2214" t="str">
        <f>Raw_Claims_Data!A2213</f>
        <v>TXN00002210</v>
      </c>
      <c r="B2214" t="str">
        <f>TRIM(Raw_Claims_Data!B2213)</f>
        <v>Timothy Shippy</v>
      </c>
      <c r="C2214" t="str">
        <f>Raw_Claims_Data!C2213</f>
        <v>Property</v>
      </c>
      <c r="D2214">
        <f>Raw_Claims_Data!D2213</f>
        <v>95.57</v>
      </c>
      <c r="E2214">
        <f>Raw_Claims_Data!E2213</f>
        <v>23000</v>
      </c>
      <c r="F2214" t="str">
        <f>Raw_Claims_Data!F2213</f>
        <v>DC</v>
      </c>
      <c r="G2214" t="str">
        <f>Raw_Claims_Data!G2213</f>
        <v>A</v>
      </c>
      <c r="H2214" t="str">
        <f>Raw_Claims_Data!H2213</f>
        <v>Major Loss</v>
      </c>
      <c r="I2214" t="str">
        <f>IF(Raw_Claims_Data!I2213="","None",Raw_Claims_Data!I2213)</f>
        <v>Police</v>
      </c>
      <c r="J2214" t="str">
        <f>Raw_Claims_Data!J2213</f>
        <v>Colchester</v>
      </c>
      <c r="K2214" t="str">
        <f>Raw_Claims_Data!K2213</f>
        <v>VT</v>
      </c>
      <c r="L2214">
        <f>Raw_Claims_Data!L2213</f>
        <v>4</v>
      </c>
      <c r="M2214" t="str">
        <f>IF(Raw_Claims_Data!M2213="","N/A",Raw_Claims_Data!M2213)</f>
        <v>VNDR00314</v>
      </c>
      <c r="N2214" t="str">
        <f>Raw_Claims_Data!N2213</f>
        <v>AGENT00125</v>
      </c>
      <c r="O2214">
        <f>IF(Raw_Claims_Data!G2213="D",1,0)</f>
        <v>0</v>
      </c>
    </row>
    <row r="2215" spans="1:15" x14ac:dyDescent="0.35">
      <c r="A2215" t="str">
        <f>Raw_Claims_Data!A2214</f>
        <v>TXN00002211</v>
      </c>
      <c r="B2215" t="str">
        <f>TRIM(Raw_Claims_Data!B2214)</f>
        <v>Earl Masse</v>
      </c>
      <c r="C2215" t="str">
        <f>Raw_Claims_Data!C2214</f>
        <v>Life</v>
      </c>
      <c r="D2215">
        <f>Raw_Claims_Data!D2214</f>
        <v>93.81</v>
      </c>
      <c r="E2215">
        <f>Raw_Claims_Data!E2214</f>
        <v>60000</v>
      </c>
      <c r="F2215" t="str">
        <f>Raw_Claims_Data!F2214</f>
        <v>CT</v>
      </c>
      <c r="G2215" t="str">
        <f>Raw_Claims_Data!G2214</f>
        <v>A</v>
      </c>
      <c r="H2215" t="str">
        <f>Raw_Claims_Data!H2214</f>
        <v>Total Loss</v>
      </c>
      <c r="I2215" t="str">
        <f>IF(Raw_Claims_Data!I2214="","None",Raw_Claims_Data!I2214)</f>
        <v>Police</v>
      </c>
      <c r="J2215" t="str">
        <f>Raw_Claims_Data!J2214</f>
        <v>Annapolis</v>
      </c>
      <c r="K2215" t="str">
        <f>Raw_Claims_Data!K2214</f>
        <v>MD</v>
      </c>
      <c r="L2215">
        <f>Raw_Claims_Data!L2214</f>
        <v>1</v>
      </c>
      <c r="M2215" t="str">
        <f>IF(Raw_Claims_Data!M2214="","N/A",Raw_Claims_Data!M2214)</f>
        <v>VNDR00057</v>
      </c>
      <c r="N2215" t="str">
        <f>Raw_Claims_Data!N2214</f>
        <v>AGENT01164</v>
      </c>
      <c r="O2215">
        <f>IF(Raw_Claims_Data!G2214="D",1,0)</f>
        <v>0</v>
      </c>
    </row>
    <row r="2216" spans="1:15" x14ac:dyDescent="0.35">
      <c r="A2216" t="str">
        <f>Raw_Claims_Data!A2215</f>
        <v>TXN00002212</v>
      </c>
      <c r="B2216" t="str">
        <f>TRIM(Raw_Claims_Data!B2215)</f>
        <v>Ana Stecklein</v>
      </c>
      <c r="C2216" t="str">
        <f>Raw_Claims_Data!C2215</f>
        <v>Motor</v>
      </c>
      <c r="D2216">
        <f>Raw_Claims_Data!D2215</f>
        <v>110.36</v>
      </c>
      <c r="E2216">
        <f>Raw_Claims_Data!E2215</f>
        <v>10000</v>
      </c>
      <c r="F2216" t="str">
        <f>Raw_Claims_Data!F2215</f>
        <v>CA</v>
      </c>
      <c r="G2216" t="str">
        <f>Raw_Claims_Data!G2215</f>
        <v>A</v>
      </c>
      <c r="H2216" t="str">
        <f>Raw_Claims_Data!H2215</f>
        <v>Minor Loss</v>
      </c>
      <c r="I2216" t="str">
        <f>IF(Raw_Claims_Data!I2215="","None",Raw_Claims_Data!I2215)</f>
        <v>Other</v>
      </c>
      <c r="J2216" t="str">
        <f>Raw_Claims_Data!J2215</f>
        <v>Shelburne</v>
      </c>
      <c r="K2216" t="str">
        <f>Raw_Claims_Data!K2215</f>
        <v>VT</v>
      </c>
      <c r="L2216">
        <f>Raw_Claims_Data!L2215</f>
        <v>3</v>
      </c>
      <c r="M2216" t="str">
        <f>IF(Raw_Claims_Data!M2215="","N/A",Raw_Claims_Data!M2215)</f>
        <v>VNDR00106</v>
      </c>
      <c r="N2216" t="str">
        <f>Raw_Claims_Data!N2215</f>
        <v>AGENT00141</v>
      </c>
      <c r="O2216">
        <f>IF(Raw_Claims_Data!G2215="D",1,0)</f>
        <v>0</v>
      </c>
    </row>
    <row r="2217" spans="1:15" x14ac:dyDescent="0.35">
      <c r="A2217" t="str">
        <f>Raw_Claims_Data!A2216</f>
        <v>TXN00002213</v>
      </c>
      <c r="B2217" t="str">
        <f>TRIM(Raw_Claims_Data!B2216)</f>
        <v>Jose Sullivan</v>
      </c>
      <c r="C2217" t="str">
        <f>Raw_Claims_Data!C2216</f>
        <v>Travel</v>
      </c>
      <c r="D2217">
        <f>Raw_Claims_Data!D2216</f>
        <v>57.97</v>
      </c>
      <c r="E2217">
        <f>Raw_Claims_Data!E2216</f>
        <v>4000</v>
      </c>
      <c r="F2217" t="str">
        <f>Raw_Claims_Data!F2216</f>
        <v>GA</v>
      </c>
      <c r="G2217" t="str">
        <f>Raw_Claims_Data!G2216</f>
        <v>A</v>
      </c>
      <c r="H2217" t="str">
        <f>Raw_Claims_Data!H2216</f>
        <v>Major Loss</v>
      </c>
      <c r="I2217" t="str">
        <f>IF(Raw_Claims_Data!I2216="","None",Raw_Claims_Data!I2216)</f>
        <v>None</v>
      </c>
      <c r="J2217" t="str">
        <f>Raw_Claims_Data!J2216</f>
        <v>Glendale</v>
      </c>
      <c r="K2217" t="str">
        <f>Raw_Claims_Data!K2216</f>
        <v>AZ</v>
      </c>
      <c r="L2217">
        <f>Raw_Claims_Data!L2216</f>
        <v>0</v>
      </c>
      <c r="M2217" t="str">
        <f>IF(Raw_Claims_Data!M2216="","N/A",Raw_Claims_Data!M2216)</f>
        <v>N/A</v>
      </c>
      <c r="N2217" t="str">
        <f>Raw_Claims_Data!N2216</f>
        <v>AGENT00632</v>
      </c>
      <c r="O2217">
        <f>IF(Raw_Claims_Data!G2216="D",1,0)</f>
        <v>0</v>
      </c>
    </row>
    <row r="2218" spans="1:15" x14ac:dyDescent="0.35">
      <c r="A2218" t="str">
        <f>Raw_Claims_Data!A2217</f>
        <v>TXN00002214</v>
      </c>
      <c r="B2218" t="str">
        <f>TRIM(Raw_Claims_Data!B2217)</f>
        <v>Robert Holder</v>
      </c>
      <c r="C2218" t="str">
        <f>Raw_Claims_Data!C2217</f>
        <v>Mobile</v>
      </c>
      <c r="D2218">
        <f>Raw_Claims_Data!D2217</f>
        <v>6.11</v>
      </c>
      <c r="E2218">
        <f>Raw_Claims_Data!E2217</f>
        <v>600</v>
      </c>
      <c r="F2218" t="str">
        <f>Raw_Claims_Data!F2217</f>
        <v>AZ</v>
      </c>
      <c r="G2218" t="str">
        <f>Raw_Claims_Data!G2217</f>
        <v>A</v>
      </c>
      <c r="H2218" t="str">
        <f>Raw_Claims_Data!H2217</f>
        <v>Major Loss</v>
      </c>
      <c r="I2218" t="str">
        <f>IF(Raw_Claims_Data!I2217="","None",Raw_Claims_Data!I2217)</f>
        <v>Police</v>
      </c>
      <c r="J2218" t="str">
        <f>Raw_Claims_Data!J2217</f>
        <v>Washington</v>
      </c>
      <c r="K2218" t="str">
        <f>Raw_Claims_Data!K2217</f>
        <v>DC</v>
      </c>
      <c r="L2218">
        <f>Raw_Claims_Data!L2217</f>
        <v>0</v>
      </c>
      <c r="M2218" t="str">
        <f>IF(Raw_Claims_Data!M2217="","N/A",Raw_Claims_Data!M2217)</f>
        <v>VNDR00256</v>
      </c>
      <c r="N2218" t="str">
        <f>Raw_Claims_Data!N2217</f>
        <v>AGENT00036</v>
      </c>
      <c r="O2218">
        <f>IF(Raw_Claims_Data!G2217="D",1,0)</f>
        <v>0</v>
      </c>
    </row>
    <row r="2219" spans="1:15" x14ac:dyDescent="0.35">
      <c r="A2219" t="str">
        <f>Raw_Claims_Data!A2218</f>
        <v>TXN00002215</v>
      </c>
      <c r="B2219" t="str">
        <f>TRIM(Raw_Claims_Data!B2218)</f>
        <v>Ronald Doane</v>
      </c>
      <c r="C2219" t="str">
        <f>Raw_Claims_Data!C2218</f>
        <v>Property</v>
      </c>
      <c r="D2219">
        <f>Raw_Claims_Data!D2218</f>
        <v>83.4</v>
      </c>
      <c r="E2219">
        <f>Raw_Claims_Data!E2218</f>
        <v>17000</v>
      </c>
      <c r="F2219" t="str">
        <f>Raw_Claims_Data!F2218</f>
        <v>VT</v>
      </c>
      <c r="G2219" t="str">
        <f>Raw_Claims_Data!G2218</f>
        <v>A</v>
      </c>
      <c r="H2219" t="str">
        <f>Raw_Claims_Data!H2218</f>
        <v>Minor Loss</v>
      </c>
      <c r="I2219" t="str">
        <f>IF(Raw_Claims_Data!I2218="","None",Raw_Claims_Data!I2218)</f>
        <v>Ambulance</v>
      </c>
      <c r="J2219" t="str">
        <f>Raw_Claims_Data!J2218</f>
        <v>Newport</v>
      </c>
      <c r="K2219" t="str">
        <f>Raw_Claims_Data!K2218</f>
        <v>VT</v>
      </c>
      <c r="L2219">
        <f>Raw_Claims_Data!L2218</f>
        <v>20</v>
      </c>
      <c r="M2219" t="str">
        <f>IF(Raw_Claims_Data!M2218="","N/A",Raw_Claims_Data!M2218)</f>
        <v>VNDR00394</v>
      </c>
      <c r="N2219" t="str">
        <f>Raw_Claims_Data!N2218</f>
        <v>AGENT00475</v>
      </c>
      <c r="O2219">
        <f>IF(Raw_Claims_Data!G2218="D",1,0)</f>
        <v>0</v>
      </c>
    </row>
    <row r="2220" spans="1:15" x14ac:dyDescent="0.35">
      <c r="A2220" t="str">
        <f>Raw_Claims_Data!A2219</f>
        <v>TXN00002216</v>
      </c>
      <c r="B2220" t="str">
        <f>TRIM(Raw_Claims_Data!B2219)</f>
        <v>Dylan Sarracino</v>
      </c>
      <c r="C2220" t="str">
        <f>Raw_Claims_Data!C2219</f>
        <v>Health</v>
      </c>
      <c r="D2220">
        <f>Raw_Claims_Data!D2219</f>
        <v>140.88999999999999</v>
      </c>
      <c r="E2220">
        <f>Raw_Claims_Data!E2219</f>
        <v>3000</v>
      </c>
      <c r="F2220" t="str">
        <f>Raw_Claims_Data!F2219</f>
        <v>CA</v>
      </c>
      <c r="G2220" t="str">
        <f>Raw_Claims_Data!G2219</f>
        <v>A</v>
      </c>
      <c r="H2220" t="str">
        <f>Raw_Claims_Data!H2219</f>
        <v>Total Loss</v>
      </c>
      <c r="I2220" t="str">
        <f>IF(Raw_Claims_Data!I2219="","None",Raw_Claims_Data!I2219)</f>
        <v>Police</v>
      </c>
      <c r="J2220" t="str">
        <f>Raw_Claims_Data!J2219</f>
        <v>Barnard</v>
      </c>
      <c r="K2220" t="str">
        <f>Raw_Claims_Data!K2219</f>
        <v>VT</v>
      </c>
      <c r="L2220">
        <f>Raw_Claims_Data!L2219</f>
        <v>16</v>
      </c>
      <c r="M2220" t="str">
        <f>IF(Raw_Claims_Data!M2219="","N/A",Raw_Claims_Data!M2219)</f>
        <v>N/A</v>
      </c>
      <c r="N2220" t="str">
        <f>Raw_Claims_Data!N2219</f>
        <v>AGENT00399</v>
      </c>
      <c r="O2220">
        <f>IF(Raw_Claims_Data!G2219="D",1,0)</f>
        <v>0</v>
      </c>
    </row>
    <row r="2221" spans="1:15" x14ac:dyDescent="0.35">
      <c r="A2221" t="str">
        <f>Raw_Claims_Data!A2220</f>
        <v>TXN00002217</v>
      </c>
      <c r="B2221" t="str">
        <f>TRIM(Raw_Claims_Data!B2220)</f>
        <v>Steven Grilli</v>
      </c>
      <c r="C2221" t="str">
        <f>Raw_Claims_Data!C2220</f>
        <v>Property</v>
      </c>
      <c r="D2221">
        <f>Raw_Claims_Data!D2220</f>
        <v>153.37</v>
      </c>
      <c r="E2221">
        <f>Raw_Claims_Data!E2220</f>
        <v>37000</v>
      </c>
      <c r="F2221" t="str">
        <f>Raw_Claims_Data!F2220</f>
        <v>CA</v>
      </c>
      <c r="G2221" t="str">
        <f>Raw_Claims_Data!G2220</f>
        <v>A</v>
      </c>
      <c r="H2221" t="str">
        <f>Raw_Claims_Data!H2220</f>
        <v>Major Loss</v>
      </c>
      <c r="I2221" t="str">
        <f>IF(Raw_Claims_Data!I2220="","None",Raw_Claims_Data!I2220)</f>
        <v>Other</v>
      </c>
      <c r="J2221" t="str">
        <f>Raw_Claims_Data!J2220</f>
        <v>Manchester</v>
      </c>
      <c r="K2221" t="str">
        <f>Raw_Claims_Data!K2220</f>
        <v>CT</v>
      </c>
      <c r="L2221">
        <f>Raw_Claims_Data!L2220</f>
        <v>15</v>
      </c>
      <c r="M2221" t="str">
        <f>IF(Raw_Claims_Data!M2220="","N/A",Raw_Claims_Data!M2220)</f>
        <v>VNDR00283</v>
      </c>
      <c r="N2221" t="str">
        <f>Raw_Claims_Data!N2220</f>
        <v>AGENT00845</v>
      </c>
      <c r="O2221">
        <f>IF(Raw_Claims_Data!G2220="D",1,0)</f>
        <v>0</v>
      </c>
    </row>
    <row r="2222" spans="1:15" x14ac:dyDescent="0.35">
      <c r="A2222" t="str">
        <f>Raw_Claims_Data!A2221</f>
        <v>TXN00002218</v>
      </c>
      <c r="B2222" t="str">
        <f>TRIM(Raw_Claims_Data!B2221)</f>
        <v>Joyce Acosta</v>
      </c>
      <c r="C2222" t="str">
        <f>Raw_Claims_Data!C2221</f>
        <v>Life</v>
      </c>
      <c r="D2222">
        <f>Raw_Claims_Data!D2221</f>
        <v>52.27</v>
      </c>
      <c r="E2222">
        <f>Raw_Claims_Data!E2221</f>
        <v>88000</v>
      </c>
      <c r="F2222" t="str">
        <f>Raw_Claims_Data!F2221</f>
        <v>VT</v>
      </c>
      <c r="G2222" t="str">
        <f>Raw_Claims_Data!G2221</f>
        <v>A</v>
      </c>
      <c r="H2222" t="str">
        <f>Raw_Claims_Data!H2221</f>
        <v>Minor Loss</v>
      </c>
      <c r="I2222" t="str">
        <f>IF(Raw_Claims_Data!I2221="","None",Raw_Claims_Data!I2221)</f>
        <v>Police</v>
      </c>
      <c r="J2222" t="str">
        <f>Raw_Claims_Data!J2221</f>
        <v>Savannah</v>
      </c>
      <c r="K2222" t="str">
        <f>Raw_Claims_Data!K2221</f>
        <v>GA</v>
      </c>
      <c r="L2222">
        <f>Raw_Claims_Data!L2221</f>
        <v>19</v>
      </c>
      <c r="M2222" t="str">
        <f>IF(Raw_Claims_Data!M2221="","N/A",Raw_Claims_Data!M2221)</f>
        <v>VNDR00325</v>
      </c>
      <c r="N2222" t="str">
        <f>Raw_Claims_Data!N2221</f>
        <v>AGENT00822</v>
      </c>
      <c r="O2222">
        <f>IF(Raw_Claims_Data!G2221="D",1,0)</f>
        <v>0</v>
      </c>
    </row>
    <row r="2223" spans="1:15" x14ac:dyDescent="0.35">
      <c r="A2223" t="str">
        <f>Raw_Claims_Data!A2222</f>
        <v>TXN00002219</v>
      </c>
      <c r="B2223" t="str">
        <f>TRIM(Raw_Claims_Data!B2222)</f>
        <v>Charlotte Audia</v>
      </c>
      <c r="C2223" t="str">
        <f>Raw_Claims_Data!C2222</f>
        <v>Travel</v>
      </c>
      <c r="D2223">
        <f>Raw_Claims_Data!D2222</f>
        <v>54.73</v>
      </c>
      <c r="E2223">
        <f>Raw_Claims_Data!E2222</f>
        <v>5000</v>
      </c>
      <c r="F2223" t="str">
        <f>Raw_Claims_Data!F2222</f>
        <v>OK</v>
      </c>
      <c r="G2223" t="str">
        <f>Raw_Claims_Data!G2222</f>
        <v>A</v>
      </c>
      <c r="H2223" t="str">
        <f>Raw_Claims_Data!H2222</f>
        <v>Total Loss</v>
      </c>
      <c r="I2223" t="str">
        <f>IF(Raw_Claims_Data!I2222="","None",Raw_Claims_Data!I2222)</f>
        <v>Police</v>
      </c>
      <c r="J2223" t="str">
        <f>Raw_Claims_Data!J2222</f>
        <v>Louisville</v>
      </c>
      <c r="K2223" t="str">
        <f>Raw_Claims_Data!K2222</f>
        <v>KY</v>
      </c>
      <c r="L2223">
        <f>Raw_Claims_Data!L2222</f>
        <v>19</v>
      </c>
      <c r="M2223" t="str">
        <f>IF(Raw_Claims_Data!M2222="","N/A",Raw_Claims_Data!M2222)</f>
        <v>VNDR00425</v>
      </c>
      <c r="N2223" t="str">
        <f>Raw_Claims_Data!N2222</f>
        <v>AGENT00191</v>
      </c>
      <c r="O2223">
        <f>IF(Raw_Claims_Data!G2222="D",1,0)</f>
        <v>0</v>
      </c>
    </row>
    <row r="2224" spans="1:15" x14ac:dyDescent="0.35">
      <c r="A2224" t="str">
        <f>Raw_Claims_Data!A2223</f>
        <v>TXN00002220</v>
      </c>
      <c r="B2224" t="str">
        <f>TRIM(Raw_Claims_Data!B2223)</f>
        <v>Octavio Woods</v>
      </c>
      <c r="C2224" t="str">
        <f>Raw_Claims_Data!C2223</f>
        <v>Health</v>
      </c>
      <c r="D2224">
        <f>Raw_Claims_Data!D2223</f>
        <v>148.9</v>
      </c>
      <c r="E2224">
        <f>Raw_Claims_Data!E2223</f>
        <v>16000</v>
      </c>
      <c r="F2224" t="str">
        <f>Raw_Claims_Data!F2223</f>
        <v>VT</v>
      </c>
      <c r="G2224" t="str">
        <f>Raw_Claims_Data!G2223</f>
        <v>A</v>
      </c>
      <c r="H2224" t="str">
        <f>Raw_Claims_Data!H2223</f>
        <v>Minor Loss</v>
      </c>
      <c r="I2224" t="str">
        <f>IF(Raw_Claims_Data!I2223="","None",Raw_Claims_Data!I2223)</f>
        <v>Ambulance</v>
      </c>
      <c r="J2224" t="str">
        <f>Raw_Claims_Data!J2223</f>
        <v>Washington</v>
      </c>
      <c r="K2224" t="str">
        <f>Raw_Claims_Data!K2223</f>
        <v>DC</v>
      </c>
      <c r="L2224">
        <f>Raw_Claims_Data!L2223</f>
        <v>9</v>
      </c>
      <c r="M2224" t="str">
        <f>IF(Raw_Claims_Data!M2223="","N/A",Raw_Claims_Data!M2223)</f>
        <v>VNDR00276</v>
      </c>
      <c r="N2224" t="str">
        <f>Raw_Claims_Data!N2223</f>
        <v>AGENT00303</v>
      </c>
      <c r="O2224">
        <f>IF(Raw_Claims_Data!G2223="D",1,0)</f>
        <v>0</v>
      </c>
    </row>
    <row r="2225" spans="1:15" x14ac:dyDescent="0.35">
      <c r="A2225" t="str">
        <f>Raw_Claims_Data!A2224</f>
        <v>TXN00002221</v>
      </c>
      <c r="B2225" t="str">
        <f>TRIM(Raw_Claims_Data!B2224)</f>
        <v>Deborah Le</v>
      </c>
      <c r="C2225" t="str">
        <f>Raw_Claims_Data!C2224</f>
        <v>Life</v>
      </c>
      <c r="D2225">
        <f>Raw_Claims_Data!D2224</f>
        <v>62.04</v>
      </c>
      <c r="E2225">
        <f>Raw_Claims_Data!E2224</f>
        <v>40000</v>
      </c>
      <c r="F2225" t="str">
        <f>Raw_Claims_Data!F2224</f>
        <v>AZ</v>
      </c>
      <c r="G2225" t="str">
        <f>Raw_Claims_Data!G2224</f>
        <v>A</v>
      </c>
      <c r="H2225" t="str">
        <f>Raw_Claims_Data!H2224</f>
        <v>Total Loss</v>
      </c>
      <c r="I2225" t="str">
        <f>IF(Raw_Claims_Data!I2224="","None",Raw_Claims_Data!I2224)</f>
        <v>None</v>
      </c>
      <c r="J2225" t="str">
        <f>Raw_Claims_Data!J2224</f>
        <v>Williston</v>
      </c>
      <c r="K2225" t="str">
        <f>Raw_Claims_Data!K2224</f>
        <v>VT</v>
      </c>
      <c r="L2225">
        <f>Raw_Claims_Data!L2224</f>
        <v>17</v>
      </c>
      <c r="M2225" t="str">
        <f>IF(Raw_Claims_Data!M2224="","N/A",Raw_Claims_Data!M2224)</f>
        <v>N/A</v>
      </c>
      <c r="N2225" t="str">
        <f>Raw_Claims_Data!N2224</f>
        <v>AGENT00285</v>
      </c>
      <c r="O2225">
        <f>IF(Raw_Claims_Data!G2224="D",1,0)</f>
        <v>0</v>
      </c>
    </row>
    <row r="2226" spans="1:15" x14ac:dyDescent="0.35">
      <c r="A2226" t="str">
        <f>Raw_Claims_Data!A2225</f>
        <v>TXN00002222</v>
      </c>
      <c r="B2226" t="str">
        <f>TRIM(Raw_Claims_Data!B2225)</f>
        <v>George Angulo</v>
      </c>
      <c r="C2226" t="str">
        <f>Raw_Claims_Data!C2225</f>
        <v>Mobile</v>
      </c>
      <c r="D2226">
        <f>Raw_Claims_Data!D2225</f>
        <v>10.29</v>
      </c>
      <c r="E2226">
        <f>Raw_Claims_Data!E2225</f>
        <v>600</v>
      </c>
      <c r="F2226" t="str">
        <f>Raw_Claims_Data!F2225</f>
        <v>MD</v>
      </c>
      <c r="G2226" t="str">
        <f>Raw_Claims_Data!G2225</f>
        <v>A</v>
      </c>
      <c r="H2226" t="str">
        <f>Raw_Claims_Data!H2225</f>
        <v>Major Loss</v>
      </c>
      <c r="I2226" t="str">
        <f>IF(Raw_Claims_Data!I2225="","None",Raw_Claims_Data!I2225)</f>
        <v>None</v>
      </c>
      <c r="J2226" t="str">
        <f>Raw_Claims_Data!J2225</f>
        <v>Washington</v>
      </c>
      <c r="K2226" t="str">
        <f>Raw_Claims_Data!K2225</f>
        <v>DC</v>
      </c>
      <c r="L2226">
        <f>Raw_Claims_Data!L2225</f>
        <v>9</v>
      </c>
      <c r="M2226" t="str">
        <f>IF(Raw_Claims_Data!M2225="","N/A",Raw_Claims_Data!M2225)</f>
        <v>VNDR00152</v>
      </c>
      <c r="N2226" t="str">
        <f>Raw_Claims_Data!N2225</f>
        <v>AGENT00926</v>
      </c>
      <c r="O2226">
        <f>IF(Raw_Claims_Data!G2225="D",1,0)</f>
        <v>0</v>
      </c>
    </row>
    <row r="2227" spans="1:15" x14ac:dyDescent="0.35">
      <c r="A2227" t="str">
        <f>Raw_Claims_Data!A2226</f>
        <v>TXN00002223</v>
      </c>
      <c r="B2227" t="str">
        <f>TRIM(Raw_Claims_Data!B2226)</f>
        <v>Kevin Metz</v>
      </c>
      <c r="C2227" t="str">
        <f>Raw_Claims_Data!C2226</f>
        <v>Travel</v>
      </c>
      <c r="D2227">
        <f>Raw_Claims_Data!D2226</f>
        <v>65.19</v>
      </c>
      <c r="E2227">
        <f>Raw_Claims_Data!E2226</f>
        <v>5000</v>
      </c>
      <c r="F2227" t="str">
        <f>Raw_Claims_Data!F2226</f>
        <v>OK</v>
      </c>
      <c r="G2227" t="str">
        <f>Raw_Claims_Data!G2226</f>
        <v>A</v>
      </c>
      <c r="H2227" t="str">
        <f>Raw_Claims_Data!H2226</f>
        <v>Major Loss</v>
      </c>
      <c r="I2227" t="str">
        <f>IF(Raw_Claims_Data!I2226="","None",Raw_Claims_Data!I2226)</f>
        <v>Other</v>
      </c>
      <c r="J2227" t="str">
        <f>Raw_Claims_Data!J2226</f>
        <v>Hesperia</v>
      </c>
      <c r="K2227" t="str">
        <f>Raw_Claims_Data!K2226</f>
        <v>CA</v>
      </c>
      <c r="L2227">
        <f>Raw_Claims_Data!L2226</f>
        <v>20</v>
      </c>
      <c r="M2227" t="str">
        <f>IF(Raw_Claims_Data!M2226="","N/A",Raw_Claims_Data!M2226)</f>
        <v>VNDR00176</v>
      </c>
      <c r="N2227" t="str">
        <f>Raw_Claims_Data!N2226</f>
        <v>AGENT01183</v>
      </c>
      <c r="O2227">
        <f>IF(Raw_Claims_Data!G2226="D",1,0)</f>
        <v>0</v>
      </c>
    </row>
    <row r="2228" spans="1:15" x14ac:dyDescent="0.35">
      <c r="A2228" t="str">
        <f>Raw_Claims_Data!A2227</f>
        <v>TXN00002224</v>
      </c>
      <c r="B2228" t="str">
        <f>TRIM(Raw_Claims_Data!B2227)</f>
        <v>Tammy Gales</v>
      </c>
      <c r="C2228" t="str">
        <f>Raw_Claims_Data!C2227</f>
        <v>Life</v>
      </c>
      <c r="D2228">
        <f>Raw_Claims_Data!D2227</f>
        <v>89.74</v>
      </c>
      <c r="E2228">
        <f>Raw_Claims_Data!E2227</f>
        <v>20000</v>
      </c>
      <c r="F2228" t="str">
        <f>Raw_Claims_Data!F2227</f>
        <v>GA</v>
      </c>
      <c r="G2228" t="str">
        <f>Raw_Claims_Data!G2227</f>
        <v>A</v>
      </c>
      <c r="H2228" t="str">
        <f>Raw_Claims_Data!H2227</f>
        <v>Minor Loss</v>
      </c>
      <c r="I2228" t="str">
        <f>IF(Raw_Claims_Data!I2227="","None",Raw_Claims_Data!I2227)</f>
        <v>Other</v>
      </c>
      <c r="J2228" t="str">
        <f>Raw_Claims_Data!J2227</f>
        <v>Marlborough</v>
      </c>
      <c r="K2228" t="str">
        <f>Raw_Claims_Data!K2227</f>
        <v>MA</v>
      </c>
      <c r="L2228">
        <f>Raw_Claims_Data!L2227</f>
        <v>21</v>
      </c>
      <c r="M2228" t="str">
        <f>IF(Raw_Claims_Data!M2227="","N/A",Raw_Claims_Data!M2227)</f>
        <v>VNDR00591</v>
      </c>
      <c r="N2228" t="str">
        <f>Raw_Claims_Data!N2227</f>
        <v>AGENT01112</v>
      </c>
      <c r="O2228">
        <f>IF(Raw_Claims_Data!G2227="D",1,0)</f>
        <v>0</v>
      </c>
    </row>
    <row r="2229" spans="1:15" x14ac:dyDescent="0.35">
      <c r="A2229" t="str">
        <f>Raw_Claims_Data!A2228</f>
        <v>TXN00002225</v>
      </c>
      <c r="B2229" t="str">
        <f>TRIM(Raw_Claims_Data!B2228)</f>
        <v>John Ordonez</v>
      </c>
      <c r="C2229" t="str">
        <f>Raw_Claims_Data!C2228</f>
        <v>Motor</v>
      </c>
      <c r="D2229">
        <f>Raw_Claims_Data!D2228</f>
        <v>117.55</v>
      </c>
      <c r="E2229">
        <f>Raw_Claims_Data!E2228</f>
        <v>1000</v>
      </c>
      <c r="F2229" t="str">
        <f>Raw_Claims_Data!F2228</f>
        <v>MD</v>
      </c>
      <c r="G2229" t="str">
        <f>Raw_Claims_Data!G2228</f>
        <v>A</v>
      </c>
      <c r="H2229" t="str">
        <f>Raw_Claims_Data!H2228</f>
        <v>Minor Loss</v>
      </c>
      <c r="I2229" t="str">
        <f>IF(Raw_Claims_Data!I2228="","None",Raw_Claims_Data!I2228)</f>
        <v>Ambulance</v>
      </c>
      <c r="J2229" t="str">
        <f>Raw_Claims_Data!J2228</f>
        <v>Savannah</v>
      </c>
      <c r="K2229" t="str">
        <f>Raw_Claims_Data!K2228</f>
        <v>GA</v>
      </c>
      <c r="L2229">
        <f>Raw_Claims_Data!L2228</f>
        <v>5</v>
      </c>
      <c r="M2229" t="str">
        <f>IF(Raw_Claims_Data!M2228="","N/A",Raw_Claims_Data!M2228)</f>
        <v>VNDR00046</v>
      </c>
      <c r="N2229" t="str">
        <f>Raw_Claims_Data!N2228</f>
        <v>AGENT00566</v>
      </c>
      <c r="O2229">
        <f>IF(Raw_Claims_Data!G2228="D",1,0)</f>
        <v>0</v>
      </c>
    </row>
    <row r="2230" spans="1:15" x14ac:dyDescent="0.35">
      <c r="A2230" t="str">
        <f>Raw_Claims_Data!A2229</f>
        <v>TXN00002226</v>
      </c>
      <c r="B2230" t="str">
        <f>TRIM(Raw_Claims_Data!B2229)</f>
        <v>Buford Taylor</v>
      </c>
      <c r="C2230" t="str">
        <f>Raw_Claims_Data!C2229</f>
        <v>Mobile</v>
      </c>
      <c r="D2230">
        <f>Raw_Claims_Data!D2229</f>
        <v>9.86</v>
      </c>
      <c r="E2230">
        <f>Raw_Claims_Data!E2229</f>
        <v>600</v>
      </c>
      <c r="F2230" t="str">
        <f>Raw_Claims_Data!F2229</f>
        <v>MD</v>
      </c>
      <c r="G2230" t="str">
        <f>Raw_Claims_Data!G2229</f>
        <v>A</v>
      </c>
      <c r="H2230" t="str">
        <f>Raw_Claims_Data!H2229</f>
        <v>Total Loss</v>
      </c>
      <c r="I2230" t="str">
        <f>IF(Raw_Claims_Data!I2229="","None",Raw_Claims_Data!I2229)</f>
        <v>Ambulance</v>
      </c>
      <c r="J2230" t="str">
        <f>Raw_Claims_Data!J2229</f>
        <v>Boulder</v>
      </c>
      <c r="K2230" t="str">
        <f>Raw_Claims_Data!K2229</f>
        <v>CO</v>
      </c>
      <c r="L2230">
        <f>Raw_Claims_Data!L2229</f>
        <v>10</v>
      </c>
      <c r="M2230" t="str">
        <f>IF(Raw_Claims_Data!M2229="","N/A",Raw_Claims_Data!M2229)</f>
        <v>N/A</v>
      </c>
      <c r="N2230" t="str">
        <f>Raw_Claims_Data!N2229</f>
        <v>AGENT00516</v>
      </c>
      <c r="O2230">
        <f>IF(Raw_Claims_Data!G2229="D",1,0)</f>
        <v>0</v>
      </c>
    </row>
    <row r="2231" spans="1:15" x14ac:dyDescent="0.35">
      <c r="A2231" t="str">
        <f>Raw_Claims_Data!A2230</f>
        <v>TXN00002227</v>
      </c>
      <c r="B2231" t="str">
        <f>TRIM(Raw_Claims_Data!B2230)</f>
        <v>Edward Hamons</v>
      </c>
      <c r="C2231" t="str">
        <f>Raw_Claims_Data!C2230</f>
        <v>Life</v>
      </c>
      <c r="D2231">
        <f>Raw_Claims_Data!D2230</f>
        <v>90.88</v>
      </c>
      <c r="E2231">
        <f>Raw_Claims_Data!E2230</f>
        <v>32000</v>
      </c>
      <c r="F2231" t="str">
        <f>Raw_Claims_Data!F2230</f>
        <v>AL</v>
      </c>
      <c r="G2231" t="str">
        <f>Raw_Claims_Data!G2230</f>
        <v>A</v>
      </c>
      <c r="H2231" t="str">
        <f>Raw_Claims_Data!H2230</f>
        <v>Minor Loss</v>
      </c>
      <c r="I2231" t="str">
        <f>IF(Raw_Claims_Data!I2230="","None",Raw_Claims_Data!I2230)</f>
        <v>Ambulance</v>
      </c>
      <c r="J2231" t="str">
        <f>Raw_Claims_Data!J2230</f>
        <v>Arvada</v>
      </c>
      <c r="K2231" t="str">
        <f>Raw_Claims_Data!K2230</f>
        <v>CO</v>
      </c>
      <c r="L2231">
        <f>Raw_Claims_Data!L2230</f>
        <v>21</v>
      </c>
      <c r="M2231" t="str">
        <f>IF(Raw_Claims_Data!M2230="","N/A",Raw_Claims_Data!M2230)</f>
        <v>N/A</v>
      </c>
      <c r="N2231" t="str">
        <f>Raw_Claims_Data!N2230</f>
        <v>AGENT00749</v>
      </c>
      <c r="O2231">
        <f>IF(Raw_Claims_Data!G2230="D",1,0)</f>
        <v>0</v>
      </c>
    </row>
    <row r="2232" spans="1:15" x14ac:dyDescent="0.35">
      <c r="A2232" t="str">
        <f>Raw_Claims_Data!A2231</f>
        <v>TXN00002228</v>
      </c>
      <c r="B2232" t="str">
        <f>TRIM(Raw_Claims_Data!B2231)</f>
        <v>James Culver</v>
      </c>
      <c r="C2232" t="str">
        <f>Raw_Claims_Data!C2231</f>
        <v>Property</v>
      </c>
      <c r="D2232">
        <f>Raw_Claims_Data!D2231</f>
        <v>106.87</v>
      </c>
      <c r="E2232">
        <f>Raw_Claims_Data!E2231</f>
        <v>17000</v>
      </c>
      <c r="F2232" t="str">
        <f>Raw_Claims_Data!F2231</f>
        <v>AK</v>
      </c>
      <c r="G2232" t="str">
        <f>Raw_Claims_Data!G2231</f>
        <v>A</v>
      </c>
      <c r="H2232" t="str">
        <f>Raw_Claims_Data!H2231</f>
        <v>Minor Loss</v>
      </c>
      <c r="I2232" t="str">
        <f>IF(Raw_Claims_Data!I2231="","None",Raw_Claims_Data!I2231)</f>
        <v>Police</v>
      </c>
      <c r="J2232" t="str">
        <f>Raw_Claims_Data!J2231</f>
        <v>Louisville</v>
      </c>
      <c r="K2232" t="str">
        <f>Raw_Claims_Data!K2231</f>
        <v>KY</v>
      </c>
      <c r="L2232">
        <f>Raw_Claims_Data!L2231</f>
        <v>14</v>
      </c>
      <c r="M2232" t="str">
        <f>IF(Raw_Claims_Data!M2231="","N/A",Raw_Claims_Data!M2231)</f>
        <v>VNDR00553</v>
      </c>
      <c r="N2232" t="str">
        <f>Raw_Claims_Data!N2231</f>
        <v>AGENT00038</v>
      </c>
      <c r="O2232">
        <f>IF(Raw_Claims_Data!G2231="D",1,0)</f>
        <v>0</v>
      </c>
    </row>
    <row r="2233" spans="1:15" x14ac:dyDescent="0.35">
      <c r="A2233" t="str">
        <f>Raw_Claims_Data!A2232</f>
        <v>TXN00002229</v>
      </c>
      <c r="B2233" t="str">
        <f>TRIM(Raw_Claims_Data!B2232)</f>
        <v>George Robinson</v>
      </c>
      <c r="C2233" t="str">
        <f>Raw_Claims_Data!C2232</f>
        <v>Mobile</v>
      </c>
      <c r="D2233">
        <f>Raw_Claims_Data!D2232</f>
        <v>11.22</v>
      </c>
      <c r="E2233">
        <f>Raw_Claims_Data!E2232</f>
        <v>200</v>
      </c>
      <c r="F2233" t="str">
        <f>Raw_Claims_Data!F2232</f>
        <v>MD</v>
      </c>
      <c r="G2233" t="str">
        <f>Raw_Claims_Data!G2232</f>
        <v>A</v>
      </c>
      <c r="H2233" t="str">
        <f>Raw_Claims_Data!H2232</f>
        <v>Total Loss</v>
      </c>
      <c r="I2233" t="str">
        <f>IF(Raw_Claims_Data!I2232="","None",Raw_Claims_Data!I2232)</f>
        <v>Ambulance</v>
      </c>
      <c r="J2233" t="str">
        <f>Raw_Claims_Data!J2232</f>
        <v>Glendale</v>
      </c>
      <c r="K2233" t="str">
        <f>Raw_Claims_Data!K2232</f>
        <v>AZ</v>
      </c>
      <c r="L2233">
        <f>Raw_Claims_Data!L2232</f>
        <v>22</v>
      </c>
      <c r="M2233" t="str">
        <f>IF(Raw_Claims_Data!M2232="","N/A",Raw_Claims_Data!M2232)</f>
        <v>VNDR00357</v>
      </c>
      <c r="N2233" t="str">
        <f>Raw_Claims_Data!N2232</f>
        <v>AGENT00955</v>
      </c>
      <c r="O2233">
        <f>IF(Raw_Claims_Data!G2232="D",1,0)</f>
        <v>0</v>
      </c>
    </row>
    <row r="2234" spans="1:15" x14ac:dyDescent="0.35">
      <c r="A2234" t="str">
        <f>Raw_Claims_Data!A2233</f>
        <v>TXN00002230</v>
      </c>
      <c r="B2234" t="str">
        <f>TRIM(Raw_Claims_Data!B2233)</f>
        <v>Jacqueline Castillo</v>
      </c>
      <c r="C2234" t="str">
        <f>Raw_Claims_Data!C2233</f>
        <v>Life</v>
      </c>
      <c r="D2234">
        <f>Raw_Claims_Data!D2233</f>
        <v>79.34</v>
      </c>
      <c r="E2234">
        <f>Raw_Claims_Data!E2233</f>
        <v>52000</v>
      </c>
      <c r="F2234" t="str">
        <f>Raw_Claims_Data!F2233</f>
        <v>AL</v>
      </c>
      <c r="G2234" t="str">
        <f>Raw_Claims_Data!G2233</f>
        <v>A</v>
      </c>
      <c r="H2234" t="str">
        <f>Raw_Claims_Data!H2233</f>
        <v>Minor Loss</v>
      </c>
      <c r="I2234" t="str">
        <f>IF(Raw_Claims_Data!I2233="","None",Raw_Claims_Data!I2233)</f>
        <v>Ambulance</v>
      </c>
      <c r="J2234" t="str">
        <f>Raw_Claims_Data!J2233</f>
        <v>Greensboro</v>
      </c>
      <c r="K2234" t="str">
        <f>Raw_Claims_Data!K2233</f>
        <v>VT</v>
      </c>
      <c r="L2234">
        <f>Raw_Claims_Data!L2233</f>
        <v>1</v>
      </c>
      <c r="M2234" t="str">
        <f>IF(Raw_Claims_Data!M2233="","N/A",Raw_Claims_Data!M2233)</f>
        <v>N/A</v>
      </c>
      <c r="N2234" t="str">
        <f>Raw_Claims_Data!N2233</f>
        <v>AGENT00635</v>
      </c>
      <c r="O2234">
        <f>IF(Raw_Claims_Data!G2233="D",1,0)</f>
        <v>0</v>
      </c>
    </row>
    <row r="2235" spans="1:15" x14ac:dyDescent="0.35">
      <c r="A2235" t="str">
        <f>Raw_Claims_Data!A2234</f>
        <v>TXN00002231</v>
      </c>
      <c r="B2235" t="str">
        <f>TRIM(Raw_Claims_Data!B2234)</f>
        <v>Terry Lohr</v>
      </c>
      <c r="C2235" t="str">
        <f>Raw_Claims_Data!C2234</f>
        <v>Property</v>
      </c>
      <c r="D2235">
        <f>Raw_Claims_Data!D2234</f>
        <v>82.14</v>
      </c>
      <c r="E2235">
        <f>Raw_Claims_Data!E2234</f>
        <v>16000</v>
      </c>
      <c r="F2235" t="str">
        <f>Raw_Claims_Data!F2234</f>
        <v>OK</v>
      </c>
      <c r="G2235" t="str">
        <f>Raw_Claims_Data!G2234</f>
        <v>A</v>
      </c>
      <c r="H2235" t="str">
        <f>Raw_Claims_Data!H2234</f>
        <v>Minor Loss</v>
      </c>
      <c r="I2235" t="str">
        <f>IF(Raw_Claims_Data!I2234="","None",Raw_Claims_Data!I2234)</f>
        <v>Police</v>
      </c>
      <c r="J2235" t="str">
        <f>Raw_Claims_Data!J2234</f>
        <v>Washington</v>
      </c>
      <c r="K2235" t="str">
        <f>Raw_Claims_Data!K2234</f>
        <v>DC</v>
      </c>
      <c r="L2235">
        <f>Raw_Claims_Data!L2234</f>
        <v>7</v>
      </c>
      <c r="M2235" t="str">
        <f>IF(Raw_Claims_Data!M2234="","N/A",Raw_Claims_Data!M2234)</f>
        <v>VNDR00332</v>
      </c>
      <c r="N2235" t="str">
        <f>Raw_Claims_Data!N2234</f>
        <v>AGENT00808</v>
      </c>
      <c r="O2235">
        <f>IF(Raw_Claims_Data!G2234="D",1,0)</f>
        <v>0</v>
      </c>
    </row>
    <row r="2236" spans="1:15" x14ac:dyDescent="0.35">
      <c r="A2236" t="str">
        <f>Raw_Claims_Data!A2235</f>
        <v>TXN00002232</v>
      </c>
      <c r="B2236" t="str">
        <f>TRIM(Raw_Claims_Data!B2235)</f>
        <v>Michele Isham</v>
      </c>
      <c r="C2236" t="str">
        <f>Raw_Claims_Data!C2235</f>
        <v>Mobile</v>
      </c>
      <c r="D2236">
        <f>Raw_Claims_Data!D2235</f>
        <v>9.4</v>
      </c>
      <c r="E2236">
        <f>Raw_Claims_Data!E2235</f>
        <v>700</v>
      </c>
      <c r="F2236" t="str">
        <f>Raw_Claims_Data!F2235</f>
        <v>AL</v>
      </c>
      <c r="G2236" t="str">
        <f>Raw_Claims_Data!G2235</f>
        <v>A</v>
      </c>
      <c r="H2236" t="str">
        <f>Raw_Claims_Data!H2235</f>
        <v>Major Loss</v>
      </c>
      <c r="I2236" t="str">
        <f>IF(Raw_Claims_Data!I2235="","None",Raw_Claims_Data!I2235)</f>
        <v>Ambulance</v>
      </c>
      <c r="J2236" t="str">
        <f>Raw_Claims_Data!J2235</f>
        <v>Essex</v>
      </c>
      <c r="K2236" t="str">
        <f>Raw_Claims_Data!K2235</f>
        <v>VT</v>
      </c>
      <c r="L2236">
        <f>Raw_Claims_Data!L2235</f>
        <v>15</v>
      </c>
      <c r="M2236" t="str">
        <f>IF(Raw_Claims_Data!M2235="","N/A",Raw_Claims_Data!M2235)</f>
        <v>N/A</v>
      </c>
      <c r="N2236" t="str">
        <f>Raw_Claims_Data!N2235</f>
        <v>AGENT00271</v>
      </c>
      <c r="O2236">
        <f>IF(Raw_Claims_Data!G2235="D",1,0)</f>
        <v>0</v>
      </c>
    </row>
    <row r="2237" spans="1:15" x14ac:dyDescent="0.35">
      <c r="A2237" t="str">
        <f>Raw_Claims_Data!A2236</f>
        <v>TXN00002233</v>
      </c>
      <c r="B2237" t="str">
        <f>TRIM(Raw_Claims_Data!B2236)</f>
        <v>Richard Kintner</v>
      </c>
      <c r="C2237" t="str">
        <f>Raw_Claims_Data!C2236</f>
        <v>Motor</v>
      </c>
      <c r="D2237">
        <f>Raw_Claims_Data!D2236</f>
        <v>104.57</v>
      </c>
      <c r="E2237">
        <f>Raw_Claims_Data!E2236</f>
        <v>10000</v>
      </c>
      <c r="F2237" t="str">
        <f>Raw_Claims_Data!F2236</f>
        <v>AZ</v>
      </c>
      <c r="G2237" t="str">
        <f>Raw_Claims_Data!G2236</f>
        <v>A</v>
      </c>
      <c r="H2237" t="str">
        <f>Raw_Claims_Data!H2236</f>
        <v>Major Loss</v>
      </c>
      <c r="I2237" t="str">
        <f>IF(Raw_Claims_Data!I2236="","None",Raw_Claims_Data!I2236)</f>
        <v>Ambulance</v>
      </c>
      <c r="J2237" t="str">
        <f>Raw_Claims_Data!J2236</f>
        <v>Essex</v>
      </c>
      <c r="K2237" t="str">
        <f>Raw_Claims_Data!K2236</f>
        <v>VT</v>
      </c>
      <c r="L2237">
        <f>Raw_Claims_Data!L2236</f>
        <v>8</v>
      </c>
      <c r="M2237" t="str">
        <f>IF(Raw_Claims_Data!M2236="","N/A",Raw_Claims_Data!M2236)</f>
        <v>VNDR00034</v>
      </c>
      <c r="N2237" t="str">
        <f>Raw_Claims_Data!N2236</f>
        <v>AGENT00827</v>
      </c>
      <c r="O2237">
        <f>IF(Raw_Claims_Data!G2236="D",1,0)</f>
        <v>0</v>
      </c>
    </row>
    <row r="2238" spans="1:15" x14ac:dyDescent="0.35">
      <c r="A2238" t="str">
        <f>Raw_Claims_Data!A2237</f>
        <v>TXN00002234</v>
      </c>
      <c r="B2238" t="str">
        <f>TRIM(Raw_Claims_Data!B2237)</f>
        <v>William Adams</v>
      </c>
      <c r="C2238" t="str">
        <f>Raw_Claims_Data!C2237</f>
        <v>Mobile</v>
      </c>
      <c r="D2238">
        <f>Raw_Claims_Data!D2237</f>
        <v>7.8</v>
      </c>
      <c r="E2238">
        <f>Raw_Claims_Data!E2237</f>
        <v>600</v>
      </c>
      <c r="F2238" t="str">
        <f>Raw_Claims_Data!F2237</f>
        <v>OK</v>
      </c>
      <c r="G2238" t="str">
        <f>Raw_Claims_Data!G2237</f>
        <v>A</v>
      </c>
      <c r="H2238" t="str">
        <f>Raw_Claims_Data!H2237</f>
        <v>Total Loss</v>
      </c>
      <c r="I2238" t="str">
        <f>IF(Raw_Claims_Data!I2237="","None",Raw_Claims_Data!I2237)</f>
        <v>Police</v>
      </c>
      <c r="J2238" t="str">
        <f>Raw_Claims_Data!J2237</f>
        <v>Ardmore</v>
      </c>
      <c r="K2238" t="str">
        <f>Raw_Claims_Data!K2237</f>
        <v>OK</v>
      </c>
      <c r="L2238">
        <f>Raw_Claims_Data!L2237</f>
        <v>7</v>
      </c>
      <c r="M2238" t="str">
        <f>IF(Raw_Claims_Data!M2237="","N/A",Raw_Claims_Data!M2237)</f>
        <v>VNDR00457</v>
      </c>
      <c r="N2238" t="str">
        <f>Raw_Claims_Data!N2237</f>
        <v>AGENT01070</v>
      </c>
      <c r="O2238">
        <f>IF(Raw_Claims_Data!G2237="D",1,0)</f>
        <v>0</v>
      </c>
    </row>
    <row r="2239" spans="1:15" x14ac:dyDescent="0.35">
      <c r="A2239" t="str">
        <f>Raw_Claims_Data!A2238</f>
        <v>TXN00002235</v>
      </c>
      <c r="B2239" t="str">
        <f>TRIM(Raw_Claims_Data!B2238)</f>
        <v>Alejandro Haggard</v>
      </c>
      <c r="C2239" t="str">
        <f>Raw_Claims_Data!C2238</f>
        <v>Property</v>
      </c>
      <c r="D2239">
        <f>Raw_Claims_Data!D2238</f>
        <v>154.04</v>
      </c>
      <c r="E2239">
        <f>Raw_Claims_Data!E2238</f>
        <v>13000</v>
      </c>
      <c r="F2239" t="str">
        <f>Raw_Claims_Data!F2238</f>
        <v>CA</v>
      </c>
      <c r="G2239" t="str">
        <f>Raw_Claims_Data!G2238</f>
        <v>A</v>
      </c>
      <c r="H2239" t="str">
        <f>Raw_Claims_Data!H2238</f>
        <v>Total Loss</v>
      </c>
      <c r="I2239" t="str">
        <f>IF(Raw_Claims_Data!I2238="","None",Raw_Claims_Data!I2238)</f>
        <v>Ambulance</v>
      </c>
      <c r="J2239" t="str">
        <f>Raw_Claims_Data!J2238</f>
        <v>Washington</v>
      </c>
      <c r="K2239" t="str">
        <f>Raw_Claims_Data!K2238</f>
        <v>DC</v>
      </c>
      <c r="L2239">
        <f>Raw_Claims_Data!L2238</f>
        <v>6</v>
      </c>
      <c r="M2239" t="str">
        <f>IF(Raw_Claims_Data!M2238="","N/A",Raw_Claims_Data!M2238)</f>
        <v>VNDR00354</v>
      </c>
      <c r="N2239" t="str">
        <f>Raw_Claims_Data!N2238</f>
        <v>AGENT00565</v>
      </c>
      <c r="O2239">
        <f>IF(Raw_Claims_Data!G2238="D",1,0)</f>
        <v>0</v>
      </c>
    </row>
    <row r="2240" spans="1:15" x14ac:dyDescent="0.35">
      <c r="A2240" t="str">
        <f>Raw_Claims_Data!A2239</f>
        <v>TXN00002236</v>
      </c>
      <c r="B2240" t="str">
        <f>TRIM(Raw_Claims_Data!B2239)</f>
        <v>Lawrence Testa</v>
      </c>
      <c r="C2240" t="str">
        <f>Raw_Claims_Data!C2239</f>
        <v>Mobile</v>
      </c>
      <c r="D2240">
        <f>Raw_Claims_Data!D2239</f>
        <v>10.16</v>
      </c>
      <c r="E2240">
        <f>Raw_Claims_Data!E2239</f>
        <v>200</v>
      </c>
      <c r="F2240" t="str">
        <f>Raw_Claims_Data!F2239</f>
        <v>DC</v>
      </c>
      <c r="G2240" t="str">
        <f>Raw_Claims_Data!G2239</f>
        <v>A</v>
      </c>
      <c r="H2240" t="str">
        <f>Raw_Claims_Data!H2239</f>
        <v>Total Loss</v>
      </c>
      <c r="I2240" t="str">
        <f>IF(Raw_Claims_Data!I2239="","None",Raw_Claims_Data!I2239)</f>
        <v>None</v>
      </c>
      <c r="J2240" t="str">
        <f>Raw_Claims_Data!J2239</f>
        <v>Edmond</v>
      </c>
      <c r="K2240" t="str">
        <f>Raw_Claims_Data!K2239</f>
        <v>OK</v>
      </c>
      <c r="L2240">
        <f>Raw_Claims_Data!L2239</f>
        <v>13</v>
      </c>
      <c r="M2240" t="str">
        <f>IF(Raw_Claims_Data!M2239="","N/A",Raw_Claims_Data!M2239)</f>
        <v>VNDR00327</v>
      </c>
      <c r="N2240" t="str">
        <f>Raw_Claims_Data!N2239</f>
        <v>AGENT00677</v>
      </c>
      <c r="O2240">
        <f>IF(Raw_Claims_Data!G2239="D",1,0)</f>
        <v>0</v>
      </c>
    </row>
    <row r="2241" spans="1:15" x14ac:dyDescent="0.35">
      <c r="A2241" t="str">
        <f>Raw_Claims_Data!A2240</f>
        <v>TXN00002237</v>
      </c>
      <c r="B2241" t="str">
        <f>TRIM(Raw_Claims_Data!B2240)</f>
        <v>Richard Coleman</v>
      </c>
      <c r="C2241" t="str">
        <f>Raw_Claims_Data!C2240</f>
        <v>Property</v>
      </c>
      <c r="D2241">
        <f>Raw_Claims_Data!D2240</f>
        <v>130.01</v>
      </c>
      <c r="E2241">
        <f>Raw_Claims_Data!E2240</f>
        <v>35000</v>
      </c>
      <c r="F2241" t="str">
        <f>Raw_Claims_Data!F2240</f>
        <v>CT</v>
      </c>
      <c r="G2241" t="str">
        <f>Raw_Claims_Data!G2240</f>
        <v>A</v>
      </c>
      <c r="H2241" t="str">
        <f>Raw_Claims_Data!H2240</f>
        <v>Major Loss</v>
      </c>
      <c r="I2241" t="str">
        <f>IF(Raw_Claims_Data!I2240="","None",Raw_Claims_Data!I2240)</f>
        <v>None</v>
      </c>
      <c r="J2241" t="str">
        <f>Raw_Claims_Data!J2240</f>
        <v>Redding</v>
      </c>
      <c r="K2241" t="str">
        <f>Raw_Claims_Data!K2240</f>
        <v>CA</v>
      </c>
      <c r="L2241">
        <f>Raw_Claims_Data!L2240</f>
        <v>16</v>
      </c>
      <c r="M2241" t="str">
        <f>IF(Raw_Claims_Data!M2240="","N/A",Raw_Claims_Data!M2240)</f>
        <v>VNDR00151</v>
      </c>
      <c r="N2241" t="str">
        <f>Raw_Claims_Data!N2240</f>
        <v>AGENT01102</v>
      </c>
      <c r="O2241">
        <f>IF(Raw_Claims_Data!G2240="D",1,0)</f>
        <v>0</v>
      </c>
    </row>
    <row r="2242" spans="1:15" x14ac:dyDescent="0.35">
      <c r="A2242" t="str">
        <f>Raw_Claims_Data!A2241</f>
        <v>TXN00002238</v>
      </c>
      <c r="B2242" t="str">
        <f>TRIM(Raw_Claims_Data!B2241)</f>
        <v>James Wilcox</v>
      </c>
      <c r="C2242" t="str">
        <f>Raw_Claims_Data!C2241</f>
        <v>Health</v>
      </c>
      <c r="D2242">
        <f>Raw_Claims_Data!D2241</f>
        <v>159.02000000000001</v>
      </c>
      <c r="E2242">
        <f>Raw_Claims_Data!E2241</f>
        <v>14000</v>
      </c>
      <c r="F2242" t="str">
        <f>Raw_Claims_Data!F2241</f>
        <v>AR</v>
      </c>
      <c r="G2242" t="str">
        <f>Raw_Claims_Data!G2241</f>
        <v>A</v>
      </c>
      <c r="H2242" t="str">
        <f>Raw_Claims_Data!H2241</f>
        <v>Minor Loss</v>
      </c>
      <c r="I2242" t="str">
        <f>IF(Raw_Claims_Data!I2241="","None",Raw_Claims_Data!I2241)</f>
        <v>Ambulance</v>
      </c>
      <c r="J2242" t="str">
        <f>Raw_Claims_Data!J2241</f>
        <v>Greenfield</v>
      </c>
      <c r="K2242" t="str">
        <f>Raw_Claims_Data!K2241</f>
        <v>MA</v>
      </c>
      <c r="L2242">
        <f>Raw_Claims_Data!L2241</f>
        <v>19</v>
      </c>
      <c r="M2242" t="str">
        <f>IF(Raw_Claims_Data!M2241="","N/A",Raw_Claims_Data!M2241)</f>
        <v>N/A</v>
      </c>
      <c r="N2242" t="str">
        <f>Raw_Claims_Data!N2241</f>
        <v>AGENT00681</v>
      </c>
      <c r="O2242">
        <f>IF(Raw_Claims_Data!G2241="D",1,0)</f>
        <v>0</v>
      </c>
    </row>
    <row r="2243" spans="1:15" x14ac:dyDescent="0.35">
      <c r="A2243" t="str">
        <f>Raw_Claims_Data!A2242</f>
        <v>TXN00002239</v>
      </c>
      <c r="B2243" t="str">
        <f>TRIM(Raw_Claims_Data!B2242)</f>
        <v>Daniel Marsh</v>
      </c>
      <c r="C2243" t="str">
        <f>Raw_Claims_Data!C2242</f>
        <v>Travel</v>
      </c>
      <c r="D2243">
        <f>Raw_Claims_Data!D2242</f>
        <v>69.11</v>
      </c>
      <c r="E2243">
        <f>Raw_Claims_Data!E2242</f>
        <v>5000</v>
      </c>
      <c r="F2243" t="str">
        <f>Raw_Claims_Data!F2242</f>
        <v>TN</v>
      </c>
      <c r="G2243" t="str">
        <f>Raw_Claims_Data!G2242</f>
        <v>A</v>
      </c>
      <c r="H2243" t="str">
        <f>Raw_Claims_Data!H2242</f>
        <v>Major Loss</v>
      </c>
      <c r="I2243" t="str">
        <f>IF(Raw_Claims_Data!I2242="","None",Raw_Claims_Data!I2242)</f>
        <v>Police</v>
      </c>
      <c r="J2243" t="str">
        <f>Raw_Claims_Data!J2242</f>
        <v>Annapolis</v>
      </c>
      <c r="K2243" t="str">
        <f>Raw_Claims_Data!K2242</f>
        <v>MD</v>
      </c>
      <c r="L2243">
        <f>Raw_Claims_Data!L2242</f>
        <v>12</v>
      </c>
      <c r="M2243" t="str">
        <f>IF(Raw_Claims_Data!M2242="","N/A",Raw_Claims_Data!M2242)</f>
        <v>VNDR00364</v>
      </c>
      <c r="N2243" t="str">
        <f>Raw_Claims_Data!N2242</f>
        <v>AGENT00636</v>
      </c>
      <c r="O2243">
        <f>IF(Raw_Claims_Data!G2242="D",1,0)</f>
        <v>0</v>
      </c>
    </row>
    <row r="2244" spans="1:15" x14ac:dyDescent="0.35">
      <c r="A2244" t="str">
        <f>Raw_Claims_Data!A2243</f>
        <v>TXN00002240</v>
      </c>
      <c r="B2244" t="str">
        <f>TRIM(Raw_Claims_Data!B2243)</f>
        <v>Mandi Delgado</v>
      </c>
      <c r="C2244" t="str">
        <f>Raw_Claims_Data!C2243</f>
        <v>Life</v>
      </c>
      <c r="D2244">
        <f>Raw_Claims_Data!D2243</f>
        <v>68.3</v>
      </c>
      <c r="E2244">
        <f>Raw_Claims_Data!E2243</f>
        <v>15000</v>
      </c>
      <c r="F2244" t="str">
        <f>Raw_Claims_Data!F2243</f>
        <v>DC</v>
      </c>
      <c r="G2244" t="str">
        <f>Raw_Claims_Data!G2243</f>
        <v>A</v>
      </c>
      <c r="H2244" t="str">
        <f>Raw_Claims_Data!H2243</f>
        <v>Minor Loss</v>
      </c>
      <c r="I2244" t="str">
        <f>IF(Raw_Claims_Data!I2243="","None",Raw_Claims_Data!I2243)</f>
        <v>Ambulance</v>
      </c>
      <c r="J2244" t="str">
        <f>Raw_Claims_Data!J2243</f>
        <v>Arvada</v>
      </c>
      <c r="K2244" t="str">
        <f>Raw_Claims_Data!K2243</f>
        <v>CO</v>
      </c>
      <c r="L2244">
        <f>Raw_Claims_Data!L2243</f>
        <v>16</v>
      </c>
      <c r="M2244" t="str">
        <f>IF(Raw_Claims_Data!M2243="","N/A",Raw_Claims_Data!M2243)</f>
        <v>VNDR00383</v>
      </c>
      <c r="N2244" t="str">
        <f>Raw_Claims_Data!N2243</f>
        <v>AGENT00811</v>
      </c>
      <c r="O2244">
        <f>IF(Raw_Claims_Data!G2243="D",1,0)</f>
        <v>0</v>
      </c>
    </row>
    <row r="2245" spans="1:15" x14ac:dyDescent="0.35">
      <c r="A2245" t="str">
        <f>Raw_Claims_Data!A2244</f>
        <v>TXN00002241</v>
      </c>
      <c r="B2245" t="str">
        <f>TRIM(Raw_Claims_Data!B2244)</f>
        <v>Darla Clark</v>
      </c>
      <c r="C2245" t="str">
        <f>Raw_Claims_Data!C2244</f>
        <v>Motor</v>
      </c>
      <c r="D2245">
        <f>Raw_Claims_Data!D2244</f>
        <v>96.48</v>
      </c>
      <c r="E2245">
        <f>Raw_Claims_Data!E2244</f>
        <v>4000</v>
      </c>
      <c r="F2245" t="str">
        <f>Raw_Claims_Data!F2244</f>
        <v>GA</v>
      </c>
      <c r="G2245" t="str">
        <f>Raw_Claims_Data!G2244</f>
        <v>A</v>
      </c>
      <c r="H2245" t="str">
        <f>Raw_Claims_Data!H2244</f>
        <v>Minor Loss</v>
      </c>
      <c r="I2245" t="str">
        <f>IF(Raw_Claims_Data!I2244="","None",Raw_Claims_Data!I2244)</f>
        <v>Ambulance</v>
      </c>
      <c r="J2245" t="str">
        <f>Raw_Claims_Data!J2244</f>
        <v>Hayward</v>
      </c>
      <c r="K2245" t="str">
        <f>Raw_Claims_Data!K2244</f>
        <v>CA</v>
      </c>
      <c r="L2245">
        <f>Raw_Claims_Data!L2244</f>
        <v>15</v>
      </c>
      <c r="M2245" t="str">
        <f>IF(Raw_Claims_Data!M2244="","N/A",Raw_Claims_Data!M2244)</f>
        <v>VNDR00509</v>
      </c>
      <c r="N2245" t="str">
        <f>Raw_Claims_Data!N2244</f>
        <v>AGENT00254</v>
      </c>
      <c r="O2245">
        <f>IF(Raw_Claims_Data!G2244="D",1,0)</f>
        <v>0</v>
      </c>
    </row>
    <row r="2246" spans="1:15" x14ac:dyDescent="0.35">
      <c r="A2246" t="str">
        <f>Raw_Claims_Data!A2245</f>
        <v>TXN00002242</v>
      </c>
      <c r="B2246" t="str">
        <f>TRIM(Raw_Claims_Data!B2245)</f>
        <v>James Wireman</v>
      </c>
      <c r="C2246" t="str">
        <f>Raw_Claims_Data!C2245</f>
        <v>Life</v>
      </c>
      <c r="D2246">
        <f>Raw_Claims_Data!D2245</f>
        <v>74.010000000000005</v>
      </c>
      <c r="E2246">
        <f>Raw_Claims_Data!E2245</f>
        <v>32000</v>
      </c>
      <c r="F2246" t="str">
        <f>Raw_Claims_Data!F2245</f>
        <v>FL</v>
      </c>
      <c r="G2246" t="str">
        <f>Raw_Claims_Data!G2245</f>
        <v>A</v>
      </c>
      <c r="H2246" t="str">
        <f>Raw_Claims_Data!H2245</f>
        <v>Minor Loss</v>
      </c>
      <c r="I2246" t="str">
        <f>IF(Raw_Claims_Data!I2245="","None",Raw_Claims_Data!I2245)</f>
        <v>Police</v>
      </c>
      <c r="J2246" t="str">
        <f>Raw_Claims_Data!J2245</f>
        <v>Panama City Beach</v>
      </c>
      <c r="K2246" t="str">
        <f>Raw_Claims_Data!K2245</f>
        <v>FL</v>
      </c>
      <c r="L2246">
        <f>Raw_Claims_Data!L2245</f>
        <v>6</v>
      </c>
      <c r="M2246" t="str">
        <f>IF(Raw_Claims_Data!M2245="","N/A",Raw_Claims_Data!M2245)</f>
        <v>N/A</v>
      </c>
      <c r="N2246" t="str">
        <f>Raw_Claims_Data!N2245</f>
        <v>AGENT01137</v>
      </c>
      <c r="O2246">
        <f>IF(Raw_Claims_Data!G2245="D",1,0)</f>
        <v>0</v>
      </c>
    </row>
    <row r="2247" spans="1:15" x14ac:dyDescent="0.35">
      <c r="A2247" t="str">
        <f>Raw_Claims_Data!A2246</f>
        <v>TXN00002243</v>
      </c>
      <c r="B2247" t="str">
        <f>TRIM(Raw_Claims_Data!B2246)</f>
        <v>James Hobbs</v>
      </c>
      <c r="C2247" t="str">
        <f>Raw_Claims_Data!C2246</f>
        <v>Travel</v>
      </c>
      <c r="D2247">
        <f>Raw_Claims_Data!D2246</f>
        <v>77.180000000000007</v>
      </c>
      <c r="E2247">
        <f>Raw_Claims_Data!E2246</f>
        <v>5000</v>
      </c>
      <c r="F2247" t="str">
        <f>Raw_Claims_Data!F2246</f>
        <v>DC</v>
      </c>
      <c r="G2247" t="str">
        <f>Raw_Claims_Data!G2246</f>
        <v>A</v>
      </c>
      <c r="H2247" t="str">
        <f>Raw_Claims_Data!H2246</f>
        <v>Major Loss</v>
      </c>
      <c r="I2247" t="str">
        <f>IF(Raw_Claims_Data!I2246="","None",Raw_Claims_Data!I2246)</f>
        <v>Ambulance</v>
      </c>
      <c r="J2247" t="str">
        <f>Raw_Claims_Data!J2246</f>
        <v>Montgomery</v>
      </c>
      <c r="K2247" t="str">
        <f>Raw_Claims_Data!K2246</f>
        <v>AL</v>
      </c>
      <c r="L2247">
        <f>Raw_Claims_Data!L2246</f>
        <v>1</v>
      </c>
      <c r="M2247" t="str">
        <f>IF(Raw_Claims_Data!M2246="","N/A",Raw_Claims_Data!M2246)</f>
        <v>VNDR00453</v>
      </c>
      <c r="N2247" t="str">
        <f>Raw_Claims_Data!N2246</f>
        <v>AGENT00095</v>
      </c>
      <c r="O2247">
        <f>IF(Raw_Claims_Data!G2246="D",1,0)</f>
        <v>0</v>
      </c>
    </row>
    <row r="2248" spans="1:15" x14ac:dyDescent="0.35">
      <c r="A2248" t="str">
        <f>Raw_Claims_Data!A2247</f>
        <v>TXN00002244</v>
      </c>
      <c r="B2248" t="str">
        <f>TRIM(Raw_Claims_Data!B2247)</f>
        <v>Jason Coyle</v>
      </c>
      <c r="C2248" t="str">
        <f>Raw_Claims_Data!C2247</f>
        <v>Travel</v>
      </c>
      <c r="D2248">
        <f>Raw_Claims_Data!D2247</f>
        <v>57.7</v>
      </c>
      <c r="E2248">
        <f>Raw_Claims_Data!E2247</f>
        <v>4000</v>
      </c>
      <c r="F2248" t="str">
        <f>Raw_Claims_Data!F2247</f>
        <v>AR</v>
      </c>
      <c r="G2248" t="str">
        <f>Raw_Claims_Data!G2247</f>
        <v>A</v>
      </c>
      <c r="H2248" t="str">
        <f>Raw_Claims_Data!H2247</f>
        <v>Major Loss</v>
      </c>
      <c r="I2248" t="str">
        <f>IF(Raw_Claims_Data!I2247="","None",Raw_Claims_Data!I2247)</f>
        <v>Ambulance</v>
      </c>
      <c r="J2248" t="str">
        <f>Raw_Claims_Data!J2247</f>
        <v>Panama City</v>
      </c>
      <c r="K2248" t="str">
        <f>Raw_Claims_Data!K2247</f>
        <v>FL</v>
      </c>
      <c r="L2248">
        <f>Raw_Claims_Data!L2247</f>
        <v>23</v>
      </c>
      <c r="M2248" t="str">
        <f>IF(Raw_Claims_Data!M2247="","N/A",Raw_Claims_Data!M2247)</f>
        <v>VNDR00068</v>
      </c>
      <c r="N2248" t="str">
        <f>Raw_Claims_Data!N2247</f>
        <v>AGENT00383</v>
      </c>
      <c r="O2248">
        <f>IF(Raw_Claims_Data!G2247="D",1,0)</f>
        <v>0</v>
      </c>
    </row>
    <row r="2249" spans="1:15" x14ac:dyDescent="0.35">
      <c r="A2249" t="str">
        <f>Raw_Claims_Data!A2248</f>
        <v>TXN00002245</v>
      </c>
      <c r="B2249" t="str">
        <f>TRIM(Raw_Claims_Data!B2248)</f>
        <v>John Harley</v>
      </c>
      <c r="C2249" t="str">
        <f>Raw_Claims_Data!C2248</f>
        <v>Life</v>
      </c>
      <c r="D2249">
        <f>Raw_Claims_Data!D2248</f>
        <v>95.74</v>
      </c>
      <c r="E2249">
        <f>Raw_Claims_Data!E2248</f>
        <v>18000</v>
      </c>
      <c r="F2249" t="str">
        <f>Raw_Claims_Data!F2248</f>
        <v>KY</v>
      </c>
      <c r="G2249" t="str">
        <f>Raw_Claims_Data!G2248</f>
        <v>A</v>
      </c>
      <c r="H2249" t="str">
        <f>Raw_Claims_Data!H2248</f>
        <v>Total Loss</v>
      </c>
      <c r="I2249" t="str">
        <f>IF(Raw_Claims_Data!I2248="","None",Raw_Claims_Data!I2248)</f>
        <v>Ambulance</v>
      </c>
      <c r="J2249" t="str">
        <f>Raw_Claims_Data!J2248</f>
        <v>Manchester</v>
      </c>
      <c r="K2249" t="str">
        <f>Raw_Claims_Data!K2248</f>
        <v>CT</v>
      </c>
      <c r="L2249">
        <f>Raw_Claims_Data!L2248</f>
        <v>19</v>
      </c>
      <c r="M2249" t="str">
        <f>IF(Raw_Claims_Data!M2248="","N/A",Raw_Claims_Data!M2248)</f>
        <v>VNDR00401</v>
      </c>
      <c r="N2249" t="str">
        <f>Raw_Claims_Data!N2248</f>
        <v>AGENT00302</v>
      </c>
      <c r="O2249">
        <f>IF(Raw_Claims_Data!G2248="D",1,0)</f>
        <v>0</v>
      </c>
    </row>
    <row r="2250" spans="1:15" x14ac:dyDescent="0.35">
      <c r="A2250" t="str">
        <f>Raw_Claims_Data!A2249</f>
        <v>TXN00002246</v>
      </c>
      <c r="B2250" t="str">
        <f>TRIM(Raw_Claims_Data!B2249)</f>
        <v>Patricia Humann</v>
      </c>
      <c r="C2250" t="str">
        <f>Raw_Claims_Data!C2249</f>
        <v>Life</v>
      </c>
      <c r="D2250">
        <f>Raw_Claims_Data!D2249</f>
        <v>88.02</v>
      </c>
      <c r="E2250">
        <f>Raw_Claims_Data!E2249</f>
        <v>72000</v>
      </c>
      <c r="F2250" t="str">
        <f>Raw_Claims_Data!F2249</f>
        <v>AR</v>
      </c>
      <c r="G2250" t="str">
        <f>Raw_Claims_Data!G2249</f>
        <v>A</v>
      </c>
      <c r="H2250" t="str">
        <f>Raw_Claims_Data!H2249</f>
        <v>Total Loss</v>
      </c>
      <c r="I2250" t="str">
        <f>IF(Raw_Claims_Data!I2249="","None",Raw_Claims_Data!I2249)</f>
        <v>Police</v>
      </c>
      <c r="J2250" t="str">
        <f>Raw_Claims_Data!J2249</f>
        <v>Manchester</v>
      </c>
      <c r="K2250" t="str">
        <f>Raw_Claims_Data!K2249</f>
        <v>CT</v>
      </c>
      <c r="L2250">
        <f>Raw_Claims_Data!L2249</f>
        <v>10</v>
      </c>
      <c r="M2250" t="str">
        <f>IF(Raw_Claims_Data!M2249="","N/A",Raw_Claims_Data!M2249)</f>
        <v>VNDR00287</v>
      </c>
      <c r="N2250" t="str">
        <f>Raw_Claims_Data!N2249</f>
        <v>AGENT00116</v>
      </c>
      <c r="O2250">
        <f>IF(Raw_Claims_Data!G2249="D",1,0)</f>
        <v>0</v>
      </c>
    </row>
    <row r="2251" spans="1:15" x14ac:dyDescent="0.35">
      <c r="A2251" t="str">
        <f>Raw_Claims_Data!A2250</f>
        <v>TXN00002247</v>
      </c>
      <c r="B2251" t="str">
        <f>TRIM(Raw_Claims_Data!B2250)</f>
        <v>Ralph Warren</v>
      </c>
      <c r="C2251" t="str">
        <f>Raw_Claims_Data!C2250</f>
        <v>Health</v>
      </c>
      <c r="D2251">
        <f>Raw_Claims_Data!D2250</f>
        <v>106.51</v>
      </c>
      <c r="E2251">
        <f>Raw_Claims_Data!E2250</f>
        <v>8000</v>
      </c>
      <c r="F2251" t="str">
        <f>Raw_Claims_Data!F2250</f>
        <v>AZ</v>
      </c>
      <c r="G2251" t="str">
        <f>Raw_Claims_Data!G2250</f>
        <v>A</v>
      </c>
      <c r="H2251" t="str">
        <f>Raw_Claims_Data!H2250</f>
        <v>Total Loss</v>
      </c>
      <c r="I2251" t="str">
        <f>IF(Raw_Claims_Data!I2250="","None",Raw_Claims_Data!I2250)</f>
        <v>Other</v>
      </c>
      <c r="J2251" t="str">
        <f>Raw_Claims_Data!J2250</f>
        <v>Manchester</v>
      </c>
      <c r="K2251" t="str">
        <f>Raw_Claims_Data!K2250</f>
        <v>CT</v>
      </c>
      <c r="L2251">
        <f>Raw_Claims_Data!L2250</f>
        <v>13</v>
      </c>
      <c r="M2251" t="str">
        <f>IF(Raw_Claims_Data!M2250="","N/A",Raw_Claims_Data!M2250)</f>
        <v>VNDR00314</v>
      </c>
      <c r="N2251" t="str">
        <f>Raw_Claims_Data!N2250</f>
        <v>AGENT00735</v>
      </c>
      <c r="O2251">
        <f>IF(Raw_Claims_Data!G2250="D",1,0)</f>
        <v>0</v>
      </c>
    </row>
    <row r="2252" spans="1:15" x14ac:dyDescent="0.35">
      <c r="A2252" t="str">
        <f>Raw_Claims_Data!A2251</f>
        <v>TXN00002248</v>
      </c>
      <c r="B2252" t="str">
        <f>TRIM(Raw_Claims_Data!B2251)</f>
        <v>Herlinda Damelio</v>
      </c>
      <c r="C2252" t="str">
        <f>Raw_Claims_Data!C2251</f>
        <v>Travel</v>
      </c>
      <c r="D2252">
        <f>Raw_Claims_Data!D2251</f>
        <v>62.53</v>
      </c>
      <c r="E2252">
        <f>Raw_Claims_Data!E2251</f>
        <v>5000</v>
      </c>
      <c r="F2252" t="str">
        <f>Raw_Claims_Data!F2251</f>
        <v>CA</v>
      </c>
      <c r="G2252" t="str">
        <f>Raw_Claims_Data!G2251</f>
        <v>A</v>
      </c>
      <c r="H2252" t="str">
        <f>Raw_Claims_Data!H2251</f>
        <v>Minor Loss</v>
      </c>
      <c r="I2252" t="str">
        <f>IF(Raw_Claims_Data!I2251="","None",Raw_Claims_Data!I2251)</f>
        <v>Police</v>
      </c>
      <c r="J2252" t="str">
        <f>Raw_Claims_Data!J2251</f>
        <v>Anchorage</v>
      </c>
      <c r="K2252" t="str">
        <f>Raw_Claims_Data!K2251</f>
        <v>AK</v>
      </c>
      <c r="L2252">
        <f>Raw_Claims_Data!L2251</f>
        <v>7</v>
      </c>
      <c r="M2252" t="str">
        <f>IF(Raw_Claims_Data!M2251="","N/A",Raw_Claims_Data!M2251)</f>
        <v>VNDR00074</v>
      </c>
      <c r="N2252" t="str">
        <f>Raw_Claims_Data!N2251</f>
        <v>AGENT00728</v>
      </c>
      <c r="O2252">
        <f>IF(Raw_Claims_Data!G2251="D",1,0)</f>
        <v>0</v>
      </c>
    </row>
    <row r="2253" spans="1:15" x14ac:dyDescent="0.35">
      <c r="A2253" t="str">
        <f>Raw_Claims_Data!A2252</f>
        <v>TXN00002249</v>
      </c>
      <c r="B2253" t="str">
        <f>TRIM(Raw_Claims_Data!B2252)</f>
        <v>Anne Forsythe</v>
      </c>
      <c r="C2253" t="str">
        <f>Raw_Claims_Data!C2252</f>
        <v>Health</v>
      </c>
      <c r="D2253">
        <f>Raw_Claims_Data!D2252</f>
        <v>151.5</v>
      </c>
      <c r="E2253">
        <f>Raw_Claims_Data!E2252</f>
        <v>8000</v>
      </c>
      <c r="F2253" t="str">
        <f>Raw_Claims_Data!F2252</f>
        <v>AL</v>
      </c>
      <c r="G2253" t="str">
        <f>Raw_Claims_Data!G2252</f>
        <v>A</v>
      </c>
      <c r="H2253" t="str">
        <f>Raw_Claims_Data!H2252</f>
        <v>Major Loss</v>
      </c>
      <c r="I2253" t="str">
        <f>IF(Raw_Claims_Data!I2252="","None",Raw_Claims_Data!I2252)</f>
        <v>Other</v>
      </c>
      <c r="J2253" t="str">
        <f>Raw_Claims_Data!J2252</f>
        <v>Palm Bay</v>
      </c>
      <c r="K2253" t="str">
        <f>Raw_Claims_Data!K2252</f>
        <v>FL</v>
      </c>
      <c r="L2253">
        <f>Raw_Claims_Data!L2252</f>
        <v>4</v>
      </c>
      <c r="M2253" t="str">
        <f>IF(Raw_Claims_Data!M2252="","N/A",Raw_Claims_Data!M2252)</f>
        <v>VNDR00077</v>
      </c>
      <c r="N2253" t="str">
        <f>Raw_Claims_Data!N2252</f>
        <v>AGENT01103</v>
      </c>
      <c r="O2253">
        <f>IF(Raw_Claims_Data!G2252="D",1,0)</f>
        <v>0</v>
      </c>
    </row>
    <row r="2254" spans="1:15" x14ac:dyDescent="0.35">
      <c r="A2254" t="str">
        <f>Raw_Claims_Data!A2253</f>
        <v>TXN00002250</v>
      </c>
      <c r="B2254" t="str">
        <f>TRIM(Raw_Claims_Data!B2253)</f>
        <v>Danny White</v>
      </c>
      <c r="C2254" t="str">
        <f>Raw_Claims_Data!C2253</f>
        <v>Health</v>
      </c>
      <c r="D2254">
        <f>Raw_Claims_Data!D2253</f>
        <v>121.98</v>
      </c>
      <c r="E2254">
        <f>Raw_Claims_Data!E2253</f>
        <v>1000</v>
      </c>
      <c r="F2254" t="str">
        <f>Raw_Claims_Data!F2253</f>
        <v>TN</v>
      </c>
      <c r="G2254" t="str">
        <f>Raw_Claims_Data!G2253</f>
        <v>A</v>
      </c>
      <c r="H2254" t="str">
        <f>Raw_Claims_Data!H2253</f>
        <v>Major Loss</v>
      </c>
      <c r="I2254" t="str">
        <f>IF(Raw_Claims_Data!I2253="","None",Raw_Claims_Data!I2253)</f>
        <v>Ambulance</v>
      </c>
      <c r="J2254" t="str">
        <f>Raw_Claims_Data!J2253</f>
        <v>Stratton</v>
      </c>
      <c r="K2254" t="str">
        <f>Raw_Claims_Data!K2253</f>
        <v>VT</v>
      </c>
      <c r="L2254">
        <f>Raw_Claims_Data!L2253</f>
        <v>20</v>
      </c>
      <c r="M2254" t="str">
        <f>IF(Raw_Claims_Data!M2253="","N/A",Raw_Claims_Data!M2253)</f>
        <v>VNDR00282</v>
      </c>
      <c r="N2254" t="str">
        <f>Raw_Claims_Data!N2253</f>
        <v>AGENT01141</v>
      </c>
      <c r="O2254">
        <f>IF(Raw_Claims_Data!G2253="D",1,0)</f>
        <v>0</v>
      </c>
    </row>
    <row r="2255" spans="1:15" x14ac:dyDescent="0.35">
      <c r="A2255" t="str">
        <f>Raw_Claims_Data!A2254</f>
        <v>TXN00002251</v>
      </c>
      <c r="B2255" t="str">
        <f>TRIM(Raw_Claims_Data!B2254)</f>
        <v>Teresa Romero</v>
      </c>
      <c r="C2255" t="str">
        <f>Raw_Claims_Data!C2254</f>
        <v>Life</v>
      </c>
      <c r="D2255">
        <f>Raw_Claims_Data!D2254</f>
        <v>55.2</v>
      </c>
      <c r="E2255">
        <f>Raw_Claims_Data!E2254</f>
        <v>41000</v>
      </c>
      <c r="F2255" t="str">
        <f>Raw_Claims_Data!F2254</f>
        <v>KY</v>
      </c>
      <c r="G2255" t="str">
        <f>Raw_Claims_Data!G2254</f>
        <v>A</v>
      </c>
      <c r="H2255" t="str">
        <f>Raw_Claims_Data!H2254</f>
        <v>Total Loss</v>
      </c>
      <c r="I2255" t="str">
        <f>IF(Raw_Claims_Data!I2254="","None",Raw_Claims_Data!I2254)</f>
        <v>None</v>
      </c>
      <c r="J2255" t="str">
        <f>Raw_Claims_Data!J2254</f>
        <v>Fayetteville</v>
      </c>
      <c r="K2255" t="str">
        <f>Raw_Claims_Data!K2254</f>
        <v>AR</v>
      </c>
      <c r="L2255">
        <f>Raw_Claims_Data!L2254</f>
        <v>16</v>
      </c>
      <c r="M2255" t="str">
        <f>IF(Raw_Claims_Data!M2254="","N/A",Raw_Claims_Data!M2254)</f>
        <v>VNDR00387</v>
      </c>
      <c r="N2255" t="str">
        <f>Raw_Claims_Data!N2254</f>
        <v>AGENT00859</v>
      </c>
      <c r="O2255">
        <f>IF(Raw_Claims_Data!G2254="D",1,0)</f>
        <v>0</v>
      </c>
    </row>
    <row r="2256" spans="1:15" x14ac:dyDescent="0.35">
      <c r="A2256" t="str">
        <f>Raw_Claims_Data!A2255</f>
        <v>TXN00002252</v>
      </c>
      <c r="B2256" t="str">
        <f>TRIM(Raw_Claims_Data!B2255)</f>
        <v>Corine Bergquist</v>
      </c>
      <c r="C2256" t="str">
        <f>Raw_Claims_Data!C2255</f>
        <v>Life</v>
      </c>
      <c r="D2256">
        <f>Raw_Claims_Data!D2255</f>
        <v>92.23</v>
      </c>
      <c r="E2256">
        <f>Raw_Claims_Data!E2255</f>
        <v>94000</v>
      </c>
      <c r="F2256" t="str">
        <f>Raw_Claims_Data!F2255</f>
        <v>AK</v>
      </c>
      <c r="G2256" t="str">
        <f>Raw_Claims_Data!G2255</f>
        <v>A</v>
      </c>
      <c r="H2256" t="str">
        <f>Raw_Claims_Data!H2255</f>
        <v>Major Loss</v>
      </c>
      <c r="I2256" t="str">
        <f>IF(Raw_Claims_Data!I2255="","None",Raw_Claims_Data!I2255)</f>
        <v>None</v>
      </c>
      <c r="J2256" t="str">
        <f>Raw_Claims_Data!J2255</f>
        <v>Burlington</v>
      </c>
      <c r="K2256" t="str">
        <f>Raw_Claims_Data!K2255</f>
        <v>MA</v>
      </c>
      <c r="L2256">
        <f>Raw_Claims_Data!L2255</f>
        <v>5</v>
      </c>
      <c r="M2256" t="str">
        <f>IF(Raw_Claims_Data!M2255="","N/A",Raw_Claims_Data!M2255)</f>
        <v>VNDR00585</v>
      </c>
      <c r="N2256" t="str">
        <f>Raw_Claims_Data!N2255</f>
        <v>AGENT00649</v>
      </c>
      <c r="O2256">
        <f>IF(Raw_Claims_Data!G2255="D",1,0)</f>
        <v>0</v>
      </c>
    </row>
    <row r="2257" spans="1:15" x14ac:dyDescent="0.35">
      <c r="A2257" t="str">
        <f>Raw_Claims_Data!A2256</f>
        <v>TXN00002253</v>
      </c>
      <c r="B2257" t="str">
        <f>TRIM(Raw_Claims_Data!B2256)</f>
        <v>Kyle Mcbride</v>
      </c>
      <c r="C2257" t="str">
        <f>Raw_Claims_Data!C2256</f>
        <v>Property</v>
      </c>
      <c r="D2257">
        <f>Raw_Claims_Data!D2256</f>
        <v>129.28</v>
      </c>
      <c r="E2257">
        <f>Raw_Claims_Data!E2256</f>
        <v>30000</v>
      </c>
      <c r="F2257" t="str">
        <f>Raw_Claims_Data!F2256</f>
        <v>AR</v>
      </c>
      <c r="G2257" t="str">
        <f>Raw_Claims_Data!G2256</f>
        <v>A</v>
      </c>
      <c r="H2257" t="str">
        <f>Raw_Claims_Data!H2256</f>
        <v>Major Loss</v>
      </c>
      <c r="I2257" t="str">
        <f>IF(Raw_Claims_Data!I2256="","None",Raw_Claims_Data!I2256)</f>
        <v>None</v>
      </c>
      <c r="J2257" t="str">
        <f>Raw_Claims_Data!J2256</f>
        <v>Montgomery</v>
      </c>
      <c r="K2257" t="str">
        <f>Raw_Claims_Data!K2256</f>
        <v>AL</v>
      </c>
      <c r="L2257">
        <f>Raw_Claims_Data!L2256</f>
        <v>7</v>
      </c>
      <c r="M2257" t="str">
        <f>IF(Raw_Claims_Data!M2256="","N/A",Raw_Claims_Data!M2256)</f>
        <v>VNDR00344</v>
      </c>
      <c r="N2257" t="str">
        <f>Raw_Claims_Data!N2256</f>
        <v>AGENT00652</v>
      </c>
      <c r="O2257">
        <f>IF(Raw_Claims_Data!G2256="D",1,0)</f>
        <v>0</v>
      </c>
    </row>
    <row r="2258" spans="1:15" x14ac:dyDescent="0.35">
      <c r="A2258" t="str">
        <f>Raw_Claims_Data!A2257</f>
        <v>TXN00002254</v>
      </c>
      <c r="B2258" t="str">
        <f>TRIM(Raw_Claims_Data!B2257)</f>
        <v>Wilbert Rifenbark</v>
      </c>
      <c r="C2258" t="str">
        <f>Raw_Claims_Data!C2257</f>
        <v>Life</v>
      </c>
      <c r="D2258">
        <f>Raw_Claims_Data!D2257</f>
        <v>53.11</v>
      </c>
      <c r="E2258">
        <f>Raw_Claims_Data!E2257</f>
        <v>43000</v>
      </c>
      <c r="F2258" t="str">
        <f>Raw_Claims_Data!F2257</f>
        <v>MD</v>
      </c>
      <c r="G2258" t="str">
        <f>Raw_Claims_Data!G2257</f>
        <v>A</v>
      </c>
      <c r="H2258" t="str">
        <f>Raw_Claims_Data!H2257</f>
        <v>Total Loss</v>
      </c>
      <c r="I2258" t="str">
        <f>IF(Raw_Claims_Data!I2257="","None",Raw_Claims_Data!I2257)</f>
        <v>Police</v>
      </c>
      <c r="J2258" t="str">
        <f>Raw_Claims_Data!J2257</f>
        <v>Panama City</v>
      </c>
      <c r="K2258" t="str">
        <f>Raw_Claims_Data!K2257</f>
        <v>FL</v>
      </c>
      <c r="L2258">
        <f>Raw_Claims_Data!L2257</f>
        <v>20</v>
      </c>
      <c r="M2258" t="str">
        <f>IF(Raw_Claims_Data!M2257="","N/A",Raw_Claims_Data!M2257)</f>
        <v>VNDR00249</v>
      </c>
      <c r="N2258" t="str">
        <f>Raw_Claims_Data!N2257</f>
        <v>AGENT01173</v>
      </c>
      <c r="O2258">
        <f>IF(Raw_Claims_Data!G2257="D",1,0)</f>
        <v>0</v>
      </c>
    </row>
    <row r="2259" spans="1:15" x14ac:dyDescent="0.35">
      <c r="A2259" t="str">
        <f>Raw_Claims_Data!A2258</f>
        <v>TXN00002255</v>
      </c>
      <c r="B2259" t="str">
        <f>TRIM(Raw_Claims_Data!B2258)</f>
        <v>Harry Alexander</v>
      </c>
      <c r="C2259" t="str">
        <f>Raw_Claims_Data!C2258</f>
        <v>Health</v>
      </c>
      <c r="D2259">
        <f>Raw_Claims_Data!D2258</f>
        <v>157.79</v>
      </c>
      <c r="E2259">
        <f>Raw_Claims_Data!E2258</f>
        <v>15000</v>
      </c>
      <c r="F2259" t="str">
        <f>Raw_Claims_Data!F2258</f>
        <v>CA</v>
      </c>
      <c r="G2259" t="str">
        <f>Raw_Claims_Data!G2258</f>
        <v>A</v>
      </c>
      <c r="H2259" t="str">
        <f>Raw_Claims_Data!H2258</f>
        <v>Major Loss</v>
      </c>
      <c r="I2259" t="str">
        <f>IF(Raw_Claims_Data!I2258="","None",Raw_Claims_Data!I2258)</f>
        <v>Ambulance</v>
      </c>
      <c r="J2259" t="str">
        <f>Raw_Claims_Data!J2258</f>
        <v>Glendale</v>
      </c>
      <c r="K2259" t="str">
        <f>Raw_Claims_Data!K2258</f>
        <v>AZ</v>
      </c>
      <c r="L2259">
        <f>Raw_Claims_Data!L2258</f>
        <v>0</v>
      </c>
      <c r="M2259" t="str">
        <f>IF(Raw_Claims_Data!M2258="","N/A",Raw_Claims_Data!M2258)</f>
        <v>N/A</v>
      </c>
      <c r="N2259" t="str">
        <f>Raw_Claims_Data!N2258</f>
        <v>AGENT01060</v>
      </c>
      <c r="O2259">
        <f>IF(Raw_Claims_Data!G2258="D",1,0)</f>
        <v>0</v>
      </c>
    </row>
    <row r="2260" spans="1:15" x14ac:dyDescent="0.35">
      <c r="A2260" t="str">
        <f>Raw_Claims_Data!A2259</f>
        <v>TXN00002256</v>
      </c>
      <c r="B2260" t="str">
        <f>TRIM(Raw_Claims_Data!B2259)</f>
        <v>Patrick Williams</v>
      </c>
      <c r="C2260" t="str">
        <f>Raw_Claims_Data!C2259</f>
        <v>Travel</v>
      </c>
      <c r="D2260">
        <f>Raw_Claims_Data!D2259</f>
        <v>67.959999999999994</v>
      </c>
      <c r="E2260">
        <f>Raw_Claims_Data!E2259</f>
        <v>3000</v>
      </c>
      <c r="F2260" t="str">
        <f>Raw_Claims_Data!F2259</f>
        <v>FL</v>
      </c>
      <c r="G2260" t="str">
        <f>Raw_Claims_Data!G2259</f>
        <v>A</v>
      </c>
      <c r="H2260" t="str">
        <f>Raw_Claims_Data!H2259</f>
        <v>Major Loss</v>
      </c>
      <c r="I2260" t="str">
        <f>IF(Raw_Claims_Data!I2259="","None",Raw_Claims_Data!I2259)</f>
        <v>Police</v>
      </c>
      <c r="J2260" t="str">
        <f>Raw_Claims_Data!J2259</f>
        <v>Port Charlotte</v>
      </c>
      <c r="K2260" t="str">
        <f>Raw_Claims_Data!K2259</f>
        <v>FL</v>
      </c>
      <c r="L2260">
        <f>Raw_Claims_Data!L2259</f>
        <v>23</v>
      </c>
      <c r="M2260" t="str">
        <f>IF(Raw_Claims_Data!M2259="","N/A",Raw_Claims_Data!M2259)</f>
        <v>N/A</v>
      </c>
      <c r="N2260" t="str">
        <f>Raw_Claims_Data!N2259</f>
        <v>AGENT00442</v>
      </c>
      <c r="O2260">
        <f>IF(Raw_Claims_Data!G2259="D",1,0)</f>
        <v>0</v>
      </c>
    </row>
    <row r="2261" spans="1:15" x14ac:dyDescent="0.35">
      <c r="A2261" t="str">
        <f>Raw_Claims_Data!A2260</f>
        <v>TXN00002257</v>
      </c>
      <c r="B2261" t="str">
        <f>TRIM(Raw_Claims_Data!B2260)</f>
        <v>Deborah Stephens</v>
      </c>
      <c r="C2261" t="str">
        <f>Raw_Claims_Data!C2260</f>
        <v>Property</v>
      </c>
      <c r="D2261">
        <f>Raw_Claims_Data!D2260</f>
        <v>123.6</v>
      </c>
      <c r="E2261">
        <f>Raw_Claims_Data!E2260</f>
        <v>13000</v>
      </c>
      <c r="F2261" t="str">
        <f>Raw_Claims_Data!F2260</f>
        <v>CA</v>
      </c>
      <c r="G2261" t="str">
        <f>Raw_Claims_Data!G2260</f>
        <v>A</v>
      </c>
      <c r="H2261" t="str">
        <f>Raw_Claims_Data!H2260</f>
        <v>Minor Loss</v>
      </c>
      <c r="I2261" t="str">
        <f>IF(Raw_Claims_Data!I2260="","None",Raw_Claims_Data!I2260)</f>
        <v>Ambulance</v>
      </c>
      <c r="J2261" t="str">
        <f>Raw_Claims_Data!J2260</f>
        <v>Oklahoma City</v>
      </c>
      <c r="K2261" t="str">
        <f>Raw_Claims_Data!K2260</f>
        <v>OK</v>
      </c>
      <c r="L2261">
        <f>Raw_Claims_Data!L2260</f>
        <v>13</v>
      </c>
      <c r="M2261" t="str">
        <f>IF(Raw_Claims_Data!M2260="","N/A",Raw_Claims_Data!M2260)</f>
        <v>VNDR00189</v>
      </c>
      <c r="N2261" t="str">
        <f>Raw_Claims_Data!N2260</f>
        <v>AGENT00234</v>
      </c>
      <c r="O2261">
        <f>IF(Raw_Claims_Data!G2260="D",1,0)</f>
        <v>0</v>
      </c>
    </row>
    <row r="2262" spans="1:15" x14ac:dyDescent="0.35">
      <c r="A2262" t="str">
        <f>Raw_Claims_Data!A2261</f>
        <v>TXN00002258</v>
      </c>
      <c r="B2262" t="str">
        <f>TRIM(Raw_Claims_Data!B2261)</f>
        <v>Deborah Demaria</v>
      </c>
      <c r="C2262" t="str">
        <f>Raw_Claims_Data!C2261</f>
        <v>Travel</v>
      </c>
      <c r="D2262">
        <f>Raw_Claims_Data!D2261</f>
        <v>83.07</v>
      </c>
      <c r="E2262">
        <f>Raw_Claims_Data!E2261</f>
        <v>4000</v>
      </c>
      <c r="F2262" t="str">
        <f>Raw_Claims_Data!F2261</f>
        <v>GA</v>
      </c>
      <c r="G2262" t="str">
        <f>Raw_Claims_Data!G2261</f>
        <v>A</v>
      </c>
      <c r="H2262" t="str">
        <f>Raw_Claims_Data!H2261</f>
        <v>Total Loss</v>
      </c>
      <c r="I2262" t="str">
        <f>IF(Raw_Claims_Data!I2261="","None",Raw_Claims_Data!I2261)</f>
        <v>Police</v>
      </c>
      <c r="J2262" t="str">
        <f>Raw_Claims_Data!J2261</f>
        <v>Washington</v>
      </c>
      <c r="K2262" t="str">
        <f>Raw_Claims_Data!K2261</f>
        <v>DC</v>
      </c>
      <c r="L2262">
        <f>Raw_Claims_Data!L2261</f>
        <v>11</v>
      </c>
      <c r="M2262" t="str">
        <f>IF(Raw_Claims_Data!M2261="","N/A",Raw_Claims_Data!M2261)</f>
        <v>VNDR00232</v>
      </c>
      <c r="N2262" t="str">
        <f>Raw_Claims_Data!N2261</f>
        <v>AGENT00694</v>
      </c>
      <c r="O2262">
        <f>IF(Raw_Claims_Data!G2261="D",1,0)</f>
        <v>0</v>
      </c>
    </row>
    <row r="2263" spans="1:15" x14ac:dyDescent="0.35">
      <c r="A2263" t="str">
        <f>Raw_Claims_Data!A2262</f>
        <v>TXN00002259</v>
      </c>
      <c r="B2263" t="str">
        <f>TRIM(Raw_Claims_Data!B2262)</f>
        <v>Anthony Lane</v>
      </c>
      <c r="C2263" t="str">
        <f>Raw_Claims_Data!C2262</f>
        <v>Travel</v>
      </c>
      <c r="D2263">
        <f>Raw_Claims_Data!D2262</f>
        <v>55.79</v>
      </c>
      <c r="E2263">
        <f>Raw_Claims_Data!E2262</f>
        <v>4000</v>
      </c>
      <c r="F2263" t="str">
        <f>Raw_Claims_Data!F2262</f>
        <v>CO</v>
      </c>
      <c r="G2263" t="str">
        <f>Raw_Claims_Data!G2262</f>
        <v>A</v>
      </c>
      <c r="H2263" t="str">
        <f>Raw_Claims_Data!H2262</f>
        <v>Major Loss</v>
      </c>
      <c r="I2263" t="str">
        <f>IF(Raw_Claims_Data!I2262="","None",Raw_Claims_Data!I2262)</f>
        <v>Police</v>
      </c>
      <c r="J2263" t="str">
        <f>Raw_Claims_Data!J2262</f>
        <v>Washington</v>
      </c>
      <c r="K2263" t="str">
        <f>Raw_Claims_Data!K2262</f>
        <v>DC</v>
      </c>
      <c r="L2263">
        <f>Raw_Claims_Data!L2262</f>
        <v>11</v>
      </c>
      <c r="M2263" t="str">
        <f>IF(Raw_Claims_Data!M2262="","N/A",Raw_Claims_Data!M2262)</f>
        <v>VNDR00584</v>
      </c>
      <c r="N2263" t="str">
        <f>Raw_Claims_Data!N2262</f>
        <v>AGENT00653</v>
      </c>
      <c r="O2263">
        <f>IF(Raw_Claims_Data!G2262="D",1,0)</f>
        <v>0</v>
      </c>
    </row>
    <row r="2264" spans="1:15" x14ac:dyDescent="0.35">
      <c r="A2264" t="str">
        <f>Raw_Claims_Data!A2263</f>
        <v>TXN00002260</v>
      </c>
      <c r="B2264" t="str">
        <f>TRIM(Raw_Claims_Data!B2263)</f>
        <v>Mary Lane</v>
      </c>
      <c r="C2264" t="str">
        <f>Raw_Claims_Data!C2263</f>
        <v>Property</v>
      </c>
      <c r="D2264">
        <f>Raw_Claims_Data!D2263</f>
        <v>84.22</v>
      </c>
      <c r="E2264">
        <f>Raw_Claims_Data!E2263</f>
        <v>30000</v>
      </c>
      <c r="F2264" t="str">
        <f>Raw_Claims_Data!F2263</f>
        <v>OK</v>
      </c>
      <c r="G2264" t="str">
        <f>Raw_Claims_Data!G2263</f>
        <v>A</v>
      </c>
      <c r="H2264" t="str">
        <f>Raw_Claims_Data!H2263</f>
        <v>Total Loss</v>
      </c>
      <c r="I2264" t="str">
        <f>IF(Raw_Claims_Data!I2263="","None",Raw_Claims_Data!I2263)</f>
        <v>None</v>
      </c>
      <c r="J2264" t="str">
        <f>Raw_Claims_Data!J2263</f>
        <v>Chico</v>
      </c>
      <c r="K2264" t="str">
        <f>Raw_Claims_Data!K2263</f>
        <v>CA</v>
      </c>
      <c r="L2264">
        <f>Raw_Claims_Data!L2263</f>
        <v>6</v>
      </c>
      <c r="M2264" t="str">
        <f>IF(Raw_Claims_Data!M2263="","N/A",Raw_Claims_Data!M2263)</f>
        <v>N/A</v>
      </c>
      <c r="N2264" t="str">
        <f>Raw_Claims_Data!N2263</f>
        <v>AGENT00433</v>
      </c>
      <c r="O2264">
        <f>IF(Raw_Claims_Data!G2263="D",1,0)</f>
        <v>0</v>
      </c>
    </row>
    <row r="2265" spans="1:15" x14ac:dyDescent="0.35">
      <c r="A2265" t="str">
        <f>Raw_Claims_Data!A2264</f>
        <v>TXN00002261</v>
      </c>
      <c r="B2265" t="str">
        <f>TRIM(Raw_Claims_Data!B2264)</f>
        <v>Kathleen Oconnor</v>
      </c>
      <c r="C2265" t="str">
        <f>Raw_Claims_Data!C2264</f>
        <v>Motor</v>
      </c>
      <c r="D2265">
        <f>Raw_Claims_Data!D2264</f>
        <v>82.49</v>
      </c>
      <c r="E2265">
        <f>Raw_Claims_Data!E2264</f>
        <v>10000</v>
      </c>
      <c r="F2265" t="str">
        <f>Raw_Claims_Data!F2264</f>
        <v>OK</v>
      </c>
      <c r="G2265" t="str">
        <f>Raw_Claims_Data!G2264</f>
        <v>A</v>
      </c>
      <c r="H2265" t="str">
        <f>Raw_Claims_Data!H2264</f>
        <v>Total Loss</v>
      </c>
      <c r="I2265" t="str">
        <f>IF(Raw_Claims_Data!I2264="","None",Raw_Claims_Data!I2264)</f>
        <v>Ambulance</v>
      </c>
      <c r="J2265" t="str">
        <f>Raw_Claims_Data!J2264</f>
        <v>Arvada</v>
      </c>
      <c r="K2265" t="str">
        <f>Raw_Claims_Data!K2264</f>
        <v>CO</v>
      </c>
      <c r="L2265">
        <f>Raw_Claims_Data!L2264</f>
        <v>21</v>
      </c>
      <c r="M2265" t="str">
        <f>IF(Raw_Claims_Data!M2264="","N/A",Raw_Claims_Data!M2264)</f>
        <v>VNDR00152</v>
      </c>
      <c r="N2265" t="str">
        <f>Raw_Claims_Data!N2264</f>
        <v>AGENT00921</v>
      </c>
      <c r="O2265">
        <f>IF(Raw_Claims_Data!G2264="D",1,0)</f>
        <v>0</v>
      </c>
    </row>
    <row r="2266" spans="1:15" x14ac:dyDescent="0.35">
      <c r="A2266" t="str">
        <f>Raw_Claims_Data!A2265</f>
        <v>TXN00002262</v>
      </c>
      <c r="B2266" t="str">
        <f>TRIM(Raw_Claims_Data!B2265)</f>
        <v>Jennifer Beebe</v>
      </c>
      <c r="C2266" t="str">
        <f>Raw_Claims_Data!C2265</f>
        <v>Travel</v>
      </c>
      <c r="D2266">
        <f>Raw_Claims_Data!D2265</f>
        <v>77.66</v>
      </c>
      <c r="E2266">
        <f>Raw_Claims_Data!E2265</f>
        <v>4000</v>
      </c>
      <c r="F2266" t="str">
        <f>Raw_Claims_Data!F2265</f>
        <v>OK</v>
      </c>
      <c r="G2266" t="str">
        <f>Raw_Claims_Data!G2265</f>
        <v>A</v>
      </c>
      <c r="H2266" t="str">
        <f>Raw_Claims_Data!H2265</f>
        <v>Minor Loss</v>
      </c>
      <c r="I2266" t="str">
        <f>IF(Raw_Claims_Data!I2265="","None",Raw_Claims_Data!I2265)</f>
        <v>Ambulance</v>
      </c>
      <c r="J2266" t="str">
        <f>Raw_Claims_Data!J2265</f>
        <v>Nashville</v>
      </c>
      <c r="K2266" t="str">
        <f>Raw_Claims_Data!K2265</f>
        <v>TN</v>
      </c>
      <c r="L2266">
        <f>Raw_Claims_Data!L2265</f>
        <v>12</v>
      </c>
      <c r="M2266" t="str">
        <f>IF(Raw_Claims_Data!M2265="","N/A",Raw_Claims_Data!M2265)</f>
        <v>VNDR00541</v>
      </c>
      <c r="N2266" t="str">
        <f>Raw_Claims_Data!N2265</f>
        <v>AGENT00922</v>
      </c>
      <c r="O2266">
        <f>IF(Raw_Claims_Data!G2265="D",1,0)</f>
        <v>0</v>
      </c>
    </row>
    <row r="2267" spans="1:15" x14ac:dyDescent="0.35">
      <c r="A2267" t="str">
        <f>Raw_Claims_Data!A2266</f>
        <v>TXN00002263</v>
      </c>
      <c r="B2267" t="str">
        <f>TRIM(Raw_Claims_Data!B2266)</f>
        <v>Rachel Whittaker</v>
      </c>
      <c r="C2267" t="str">
        <f>Raw_Claims_Data!C2266</f>
        <v>Life</v>
      </c>
      <c r="D2267">
        <f>Raw_Claims_Data!D2266</f>
        <v>96.01</v>
      </c>
      <c r="E2267">
        <f>Raw_Claims_Data!E2266</f>
        <v>92000</v>
      </c>
      <c r="F2267" t="str">
        <f>Raw_Claims_Data!F2266</f>
        <v>FL</v>
      </c>
      <c r="G2267" t="str">
        <f>Raw_Claims_Data!G2266</f>
        <v>A</v>
      </c>
      <c r="H2267" t="str">
        <f>Raw_Claims_Data!H2266</f>
        <v>Major Loss</v>
      </c>
      <c r="I2267" t="str">
        <f>IF(Raw_Claims_Data!I2266="","None",Raw_Claims_Data!I2266)</f>
        <v>Police</v>
      </c>
      <c r="J2267" t="str">
        <f>Raw_Claims_Data!J2266</f>
        <v>Nashville</v>
      </c>
      <c r="K2267" t="str">
        <f>Raw_Claims_Data!K2266</f>
        <v>TN</v>
      </c>
      <c r="L2267">
        <f>Raw_Claims_Data!L2266</f>
        <v>23</v>
      </c>
      <c r="M2267" t="str">
        <f>IF(Raw_Claims_Data!M2266="","N/A",Raw_Claims_Data!M2266)</f>
        <v>N/A</v>
      </c>
      <c r="N2267" t="str">
        <f>Raw_Claims_Data!N2266</f>
        <v>AGENT01001</v>
      </c>
      <c r="O2267">
        <f>IF(Raw_Claims_Data!G2266="D",1,0)</f>
        <v>0</v>
      </c>
    </row>
    <row r="2268" spans="1:15" x14ac:dyDescent="0.35">
      <c r="A2268" t="str">
        <f>Raw_Claims_Data!A2267</f>
        <v>TXN00002264</v>
      </c>
      <c r="B2268" t="str">
        <f>TRIM(Raw_Claims_Data!B2267)</f>
        <v>Jonathan Kaufman</v>
      </c>
      <c r="C2268" t="str">
        <f>Raw_Claims_Data!C2267</f>
        <v>Health</v>
      </c>
      <c r="D2268">
        <f>Raw_Claims_Data!D2267</f>
        <v>115.5</v>
      </c>
      <c r="E2268">
        <f>Raw_Claims_Data!E2267</f>
        <v>5000</v>
      </c>
      <c r="F2268" t="str">
        <f>Raw_Claims_Data!F2267</f>
        <v>MA</v>
      </c>
      <c r="G2268" t="str">
        <f>Raw_Claims_Data!G2267</f>
        <v>A</v>
      </c>
      <c r="H2268" t="str">
        <f>Raw_Claims_Data!H2267</f>
        <v>Minor Loss</v>
      </c>
      <c r="I2268" t="str">
        <f>IF(Raw_Claims_Data!I2267="","None",Raw_Claims_Data!I2267)</f>
        <v>Police</v>
      </c>
      <c r="J2268" t="str">
        <f>Raw_Claims_Data!J2267</f>
        <v>Panama City</v>
      </c>
      <c r="K2268" t="str">
        <f>Raw_Claims_Data!K2267</f>
        <v>FL</v>
      </c>
      <c r="L2268">
        <f>Raw_Claims_Data!L2267</f>
        <v>0</v>
      </c>
      <c r="M2268" t="str">
        <f>IF(Raw_Claims_Data!M2267="","N/A",Raw_Claims_Data!M2267)</f>
        <v>N/A</v>
      </c>
      <c r="N2268" t="str">
        <f>Raw_Claims_Data!N2267</f>
        <v>AGENT00414</v>
      </c>
      <c r="O2268">
        <f>IF(Raw_Claims_Data!G2267="D",1,0)</f>
        <v>0</v>
      </c>
    </row>
    <row r="2269" spans="1:15" x14ac:dyDescent="0.35">
      <c r="A2269" t="str">
        <f>Raw_Claims_Data!A2268</f>
        <v>TXN00002265</v>
      </c>
      <c r="B2269" t="str">
        <f>TRIM(Raw_Claims_Data!B2268)</f>
        <v>Cathy Bain</v>
      </c>
      <c r="C2269" t="str">
        <f>Raw_Claims_Data!C2268</f>
        <v>Mobile</v>
      </c>
      <c r="D2269">
        <f>Raw_Claims_Data!D2268</f>
        <v>9.1300000000000008</v>
      </c>
      <c r="E2269">
        <f>Raw_Claims_Data!E2268</f>
        <v>100</v>
      </c>
      <c r="F2269" t="str">
        <f>Raw_Claims_Data!F2268</f>
        <v>FL</v>
      </c>
      <c r="G2269" t="str">
        <f>Raw_Claims_Data!G2268</f>
        <v>A</v>
      </c>
      <c r="H2269" t="str">
        <f>Raw_Claims_Data!H2268</f>
        <v>Minor Loss</v>
      </c>
      <c r="I2269" t="str">
        <f>IF(Raw_Claims_Data!I2268="","None",Raw_Claims_Data!I2268)</f>
        <v>Ambulance</v>
      </c>
      <c r="J2269" t="str">
        <f>Raw_Claims_Data!J2268</f>
        <v>Oakland</v>
      </c>
      <c r="K2269" t="str">
        <f>Raw_Claims_Data!K2268</f>
        <v>CA</v>
      </c>
      <c r="L2269">
        <f>Raw_Claims_Data!L2268</f>
        <v>1</v>
      </c>
      <c r="M2269" t="str">
        <f>IF(Raw_Claims_Data!M2268="","N/A",Raw_Claims_Data!M2268)</f>
        <v>VNDR00129</v>
      </c>
      <c r="N2269" t="str">
        <f>Raw_Claims_Data!N2268</f>
        <v>AGENT00307</v>
      </c>
      <c r="O2269">
        <f>IF(Raw_Claims_Data!G2268="D",1,0)</f>
        <v>0</v>
      </c>
    </row>
    <row r="2270" spans="1:15" x14ac:dyDescent="0.35">
      <c r="A2270" t="str">
        <f>Raw_Claims_Data!A2269</f>
        <v>TXN00002266</v>
      </c>
      <c r="B2270" t="str">
        <f>TRIM(Raw_Claims_Data!B2269)</f>
        <v>Grace Munyon</v>
      </c>
      <c r="C2270" t="str">
        <f>Raw_Claims_Data!C2269</f>
        <v>Life</v>
      </c>
      <c r="D2270">
        <f>Raw_Claims_Data!D2269</f>
        <v>84.67</v>
      </c>
      <c r="E2270">
        <f>Raw_Claims_Data!E2269</f>
        <v>55000</v>
      </c>
      <c r="F2270" t="str">
        <f>Raw_Claims_Data!F2269</f>
        <v>GA</v>
      </c>
      <c r="G2270" t="str">
        <f>Raw_Claims_Data!G2269</f>
        <v>A</v>
      </c>
      <c r="H2270" t="str">
        <f>Raw_Claims_Data!H2269</f>
        <v>Minor Loss</v>
      </c>
      <c r="I2270" t="str">
        <f>IF(Raw_Claims_Data!I2269="","None",Raw_Claims_Data!I2269)</f>
        <v>Other</v>
      </c>
      <c r="J2270" t="str">
        <f>Raw_Claims_Data!J2269</f>
        <v>Glendale</v>
      </c>
      <c r="K2270" t="str">
        <f>Raw_Claims_Data!K2269</f>
        <v>AZ</v>
      </c>
      <c r="L2270">
        <f>Raw_Claims_Data!L2269</f>
        <v>13</v>
      </c>
      <c r="M2270" t="str">
        <f>IF(Raw_Claims_Data!M2269="","N/A",Raw_Claims_Data!M2269)</f>
        <v>VNDR00238</v>
      </c>
      <c r="N2270" t="str">
        <f>Raw_Claims_Data!N2269</f>
        <v>AGENT01032</v>
      </c>
      <c r="O2270">
        <f>IF(Raw_Claims_Data!G2269="D",1,0)</f>
        <v>0</v>
      </c>
    </row>
    <row r="2271" spans="1:15" x14ac:dyDescent="0.35">
      <c r="A2271" t="str">
        <f>Raw_Claims_Data!A2270</f>
        <v>TXN00002267</v>
      </c>
      <c r="B2271" t="str">
        <f>TRIM(Raw_Claims_Data!B2270)</f>
        <v>Alan Hernandez</v>
      </c>
      <c r="C2271" t="str">
        <f>Raw_Claims_Data!C2270</f>
        <v>Health</v>
      </c>
      <c r="D2271">
        <f>Raw_Claims_Data!D2270</f>
        <v>169.87</v>
      </c>
      <c r="E2271">
        <f>Raw_Claims_Data!E2270</f>
        <v>5000</v>
      </c>
      <c r="F2271" t="str">
        <f>Raw_Claims_Data!F2270</f>
        <v>AL</v>
      </c>
      <c r="G2271" t="str">
        <f>Raw_Claims_Data!G2270</f>
        <v>A</v>
      </c>
      <c r="H2271" t="str">
        <f>Raw_Claims_Data!H2270</f>
        <v>Minor Loss</v>
      </c>
      <c r="I2271" t="str">
        <f>IF(Raw_Claims_Data!I2270="","None",Raw_Claims_Data!I2270)</f>
        <v>Other</v>
      </c>
      <c r="J2271" t="str">
        <f>Raw_Claims_Data!J2270</f>
        <v>Arvada</v>
      </c>
      <c r="K2271" t="str">
        <f>Raw_Claims_Data!K2270</f>
        <v>CO</v>
      </c>
      <c r="L2271">
        <f>Raw_Claims_Data!L2270</f>
        <v>8</v>
      </c>
      <c r="M2271" t="str">
        <f>IF(Raw_Claims_Data!M2270="","N/A",Raw_Claims_Data!M2270)</f>
        <v>VNDR00006</v>
      </c>
      <c r="N2271" t="str">
        <f>Raw_Claims_Data!N2270</f>
        <v>AGENT00123</v>
      </c>
      <c r="O2271">
        <f>IF(Raw_Claims_Data!G2270="D",1,0)</f>
        <v>0</v>
      </c>
    </row>
    <row r="2272" spans="1:15" x14ac:dyDescent="0.35">
      <c r="A2272" t="str">
        <f>Raw_Claims_Data!A2271</f>
        <v>TXN00002268</v>
      </c>
      <c r="B2272" t="str">
        <f>TRIM(Raw_Claims_Data!B2271)</f>
        <v>Earlene Mclean</v>
      </c>
      <c r="C2272" t="str">
        <f>Raw_Claims_Data!C2271</f>
        <v>Life</v>
      </c>
      <c r="D2272">
        <f>Raw_Claims_Data!D2271</f>
        <v>86.08</v>
      </c>
      <c r="E2272">
        <f>Raw_Claims_Data!E2271</f>
        <v>43000</v>
      </c>
      <c r="F2272" t="str">
        <f>Raw_Claims_Data!F2271</f>
        <v>GA</v>
      </c>
      <c r="G2272" t="str">
        <f>Raw_Claims_Data!G2271</f>
        <v>A</v>
      </c>
      <c r="H2272" t="str">
        <f>Raw_Claims_Data!H2271</f>
        <v>Minor Loss</v>
      </c>
      <c r="I2272" t="str">
        <f>IF(Raw_Claims_Data!I2271="","None",Raw_Claims_Data!I2271)</f>
        <v>Ambulance</v>
      </c>
      <c r="J2272" t="str">
        <f>Raw_Claims_Data!J2271</f>
        <v>Crofton</v>
      </c>
      <c r="K2272" t="str">
        <f>Raw_Claims_Data!K2271</f>
        <v>MD</v>
      </c>
      <c r="L2272">
        <f>Raw_Claims_Data!L2271</f>
        <v>9</v>
      </c>
      <c r="M2272" t="str">
        <f>IF(Raw_Claims_Data!M2271="","N/A",Raw_Claims_Data!M2271)</f>
        <v>VNDR00072</v>
      </c>
      <c r="N2272" t="str">
        <f>Raw_Claims_Data!N2271</f>
        <v>AGENT00076</v>
      </c>
      <c r="O2272">
        <f>IF(Raw_Claims_Data!G2271="D",1,0)</f>
        <v>0</v>
      </c>
    </row>
    <row r="2273" spans="1:15" x14ac:dyDescent="0.35">
      <c r="A2273" t="str">
        <f>Raw_Claims_Data!A2272</f>
        <v>TXN00002269</v>
      </c>
      <c r="B2273" t="str">
        <f>TRIM(Raw_Claims_Data!B2272)</f>
        <v>Doris Ray</v>
      </c>
      <c r="C2273" t="str">
        <f>Raw_Claims_Data!C2272</f>
        <v>Travel</v>
      </c>
      <c r="D2273">
        <f>Raw_Claims_Data!D2272</f>
        <v>63.85</v>
      </c>
      <c r="E2273">
        <f>Raw_Claims_Data!E2272</f>
        <v>3000</v>
      </c>
      <c r="F2273" t="str">
        <f>Raw_Claims_Data!F2272</f>
        <v>OK</v>
      </c>
      <c r="G2273" t="str">
        <f>Raw_Claims_Data!G2272</f>
        <v>A</v>
      </c>
      <c r="H2273" t="str">
        <f>Raw_Claims_Data!H2272</f>
        <v>Major Loss</v>
      </c>
      <c r="I2273" t="str">
        <f>IF(Raw_Claims_Data!I2272="","None",Raw_Claims_Data!I2272)</f>
        <v>Police</v>
      </c>
      <c r="J2273" t="str">
        <f>Raw_Claims_Data!J2272</f>
        <v>Louisville</v>
      </c>
      <c r="K2273" t="str">
        <f>Raw_Claims_Data!K2272</f>
        <v>KY</v>
      </c>
      <c r="L2273">
        <f>Raw_Claims_Data!L2272</f>
        <v>4</v>
      </c>
      <c r="M2273" t="str">
        <f>IF(Raw_Claims_Data!M2272="","N/A",Raw_Claims_Data!M2272)</f>
        <v>VNDR00150</v>
      </c>
      <c r="N2273" t="str">
        <f>Raw_Claims_Data!N2272</f>
        <v>AGENT00386</v>
      </c>
      <c r="O2273">
        <f>IF(Raw_Claims_Data!G2272="D",1,0)</f>
        <v>0</v>
      </c>
    </row>
    <row r="2274" spans="1:15" x14ac:dyDescent="0.35">
      <c r="A2274" t="str">
        <f>Raw_Claims_Data!A2273</f>
        <v>TXN00002270</v>
      </c>
      <c r="B2274" t="str">
        <f>TRIM(Raw_Claims_Data!B2273)</f>
        <v>Blanche Hedrick</v>
      </c>
      <c r="C2274" t="str">
        <f>Raw_Claims_Data!C2273</f>
        <v>Life</v>
      </c>
      <c r="D2274">
        <f>Raw_Claims_Data!D2273</f>
        <v>76.05</v>
      </c>
      <c r="E2274">
        <f>Raw_Claims_Data!E2273</f>
        <v>22000</v>
      </c>
      <c r="F2274" t="str">
        <f>Raw_Claims_Data!F2273</f>
        <v>CO</v>
      </c>
      <c r="G2274" t="str">
        <f>Raw_Claims_Data!G2273</f>
        <v>A</v>
      </c>
      <c r="H2274" t="str">
        <f>Raw_Claims_Data!H2273</f>
        <v>Minor Loss</v>
      </c>
      <c r="I2274" t="str">
        <f>IF(Raw_Claims_Data!I2273="","None",Raw_Claims_Data!I2273)</f>
        <v>None</v>
      </c>
      <c r="J2274" t="str">
        <f>Raw_Claims_Data!J2273</f>
        <v>Montgomery</v>
      </c>
      <c r="K2274" t="str">
        <f>Raw_Claims_Data!K2273</f>
        <v>AL</v>
      </c>
      <c r="L2274">
        <f>Raw_Claims_Data!L2273</f>
        <v>2</v>
      </c>
      <c r="M2274" t="str">
        <f>IF(Raw_Claims_Data!M2273="","N/A",Raw_Claims_Data!M2273)</f>
        <v>VNDR00261</v>
      </c>
      <c r="N2274" t="str">
        <f>Raw_Claims_Data!N2273</f>
        <v>AGENT00128</v>
      </c>
      <c r="O2274">
        <f>IF(Raw_Claims_Data!G2273="D",1,0)</f>
        <v>0</v>
      </c>
    </row>
    <row r="2275" spans="1:15" x14ac:dyDescent="0.35">
      <c r="A2275" t="str">
        <f>Raw_Claims_Data!A2274</f>
        <v>TXN00002271</v>
      </c>
      <c r="B2275" t="str">
        <f>TRIM(Raw_Claims_Data!B2274)</f>
        <v>Courtney Hodges</v>
      </c>
      <c r="C2275" t="str">
        <f>Raw_Claims_Data!C2274</f>
        <v>Mobile</v>
      </c>
      <c r="D2275">
        <f>Raw_Claims_Data!D2274</f>
        <v>11.12</v>
      </c>
      <c r="E2275">
        <f>Raw_Claims_Data!E2274</f>
        <v>600</v>
      </c>
      <c r="F2275" t="str">
        <f>Raw_Claims_Data!F2274</f>
        <v>DC</v>
      </c>
      <c r="G2275" t="str">
        <f>Raw_Claims_Data!G2274</f>
        <v>A</v>
      </c>
      <c r="H2275" t="str">
        <f>Raw_Claims_Data!H2274</f>
        <v>Minor Loss</v>
      </c>
      <c r="I2275" t="str">
        <f>IF(Raw_Claims_Data!I2274="","None",Raw_Claims_Data!I2274)</f>
        <v>Police</v>
      </c>
      <c r="J2275" t="str">
        <f>Raw_Claims_Data!J2274</f>
        <v>Williston</v>
      </c>
      <c r="K2275" t="str">
        <f>Raw_Claims_Data!K2274</f>
        <v>VT</v>
      </c>
      <c r="L2275">
        <f>Raw_Claims_Data!L2274</f>
        <v>11</v>
      </c>
      <c r="M2275" t="str">
        <f>IF(Raw_Claims_Data!M2274="","N/A",Raw_Claims_Data!M2274)</f>
        <v>N/A</v>
      </c>
      <c r="N2275" t="str">
        <f>Raw_Claims_Data!N2274</f>
        <v>AGENT00968</v>
      </c>
      <c r="O2275">
        <f>IF(Raw_Claims_Data!G2274="D",1,0)</f>
        <v>0</v>
      </c>
    </row>
    <row r="2276" spans="1:15" x14ac:dyDescent="0.35">
      <c r="A2276" t="str">
        <f>Raw_Claims_Data!A2275</f>
        <v>TXN00002272</v>
      </c>
      <c r="B2276" t="str">
        <f>TRIM(Raw_Claims_Data!B2275)</f>
        <v>Mack Esparza</v>
      </c>
      <c r="C2276" t="str">
        <f>Raw_Claims_Data!C2275</f>
        <v>Mobile</v>
      </c>
      <c r="D2276">
        <f>Raw_Claims_Data!D2275</f>
        <v>11.98</v>
      </c>
      <c r="E2276">
        <f>Raw_Claims_Data!E2275</f>
        <v>400</v>
      </c>
      <c r="F2276" t="str">
        <f>Raw_Claims_Data!F2275</f>
        <v>AZ</v>
      </c>
      <c r="G2276" t="str">
        <f>Raw_Claims_Data!G2275</f>
        <v>A</v>
      </c>
      <c r="H2276" t="str">
        <f>Raw_Claims_Data!H2275</f>
        <v>Minor Loss</v>
      </c>
      <c r="I2276" t="str">
        <f>IF(Raw_Claims_Data!I2275="","None",Raw_Claims_Data!I2275)</f>
        <v>Ambulance</v>
      </c>
      <c r="J2276" t="str">
        <f>Raw_Claims_Data!J2275</f>
        <v>Underhill</v>
      </c>
      <c r="K2276" t="str">
        <f>Raw_Claims_Data!K2275</f>
        <v>VT</v>
      </c>
      <c r="L2276">
        <f>Raw_Claims_Data!L2275</f>
        <v>8</v>
      </c>
      <c r="M2276" t="str">
        <f>IF(Raw_Claims_Data!M2275="","N/A",Raw_Claims_Data!M2275)</f>
        <v>VNDR00279</v>
      </c>
      <c r="N2276" t="str">
        <f>Raw_Claims_Data!N2275</f>
        <v>AGENT01004</v>
      </c>
      <c r="O2276">
        <f>IF(Raw_Claims_Data!G2275="D",1,0)</f>
        <v>0</v>
      </c>
    </row>
    <row r="2277" spans="1:15" x14ac:dyDescent="0.35">
      <c r="A2277" t="str">
        <f>Raw_Claims_Data!A2276</f>
        <v>TXN00002273</v>
      </c>
      <c r="B2277" t="str">
        <f>TRIM(Raw_Claims_Data!B2276)</f>
        <v>Wade Petersen</v>
      </c>
      <c r="C2277" t="str">
        <f>Raw_Claims_Data!C2276</f>
        <v>Travel</v>
      </c>
      <c r="D2277">
        <f>Raw_Claims_Data!D2276</f>
        <v>86.84</v>
      </c>
      <c r="E2277">
        <f>Raw_Claims_Data!E2276</f>
        <v>1000</v>
      </c>
      <c r="F2277" t="str">
        <f>Raw_Claims_Data!F2276</f>
        <v>FL</v>
      </c>
      <c r="G2277" t="str">
        <f>Raw_Claims_Data!G2276</f>
        <v>A</v>
      </c>
      <c r="H2277" t="str">
        <f>Raw_Claims_Data!H2276</f>
        <v>Minor Loss</v>
      </c>
      <c r="I2277" t="str">
        <f>IF(Raw_Claims_Data!I2276="","None",Raw_Claims_Data!I2276)</f>
        <v>None</v>
      </c>
      <c r="J2277" t="str">
        <f>Raw_Claims_Data!J2276</f>
        <v>Randolph</v>
      </c>
      <c r="K2277" t="str">
        <f>Raw_Claims_Data!K2276</f>
        <v>VT</v>
      </c>
      <c r="L2277">
        <f>Raw_Claims_Data!L2276</f>
        <v>4</v>
      </c>
      <c r="M2277" t="str">
        <f>IF(Raw_Claims_Data!M2276="","N/A",Raw_Claims_Data!M2276)</f>
        <v>VNDR00274</v>
      </c>
      <c r="N2277" t="str">
        <f>Raw_Claims_Data!N2276</f>
        <v>AGENT00109</v>
      </c>
      <c r="O2277">
        <f>IF(Raw_Claims_Data!G2276="D",1,0)</f>
        <v>0</v>
      </c>
    </row>
    <row r="2278" spans="1:15" x14ac:dyDescent="0.35">
      <c r="A2278" t="str">
        <f>Raw_Claims_Data!A2277</f>
        <v>TXN00002274</v>
      </c>
      <c r="B2278" t="str">
        <f>TRIM(Raw_Claims_Data!B2277)</f>
        <v>David Short</v>
      </c>
      <c r="C2278" t="str">
        <f>Raw_Claims_Data!C2277</f>
        <v>Property</v>
      </c>
      <c r="D2278">
        <f>Raw_Claims_Data!D2277</f>
        <v>97.82</v>
      </c>
      <c r="E2278">
        <f>Raw_Claims_Data!E2277</f>
        <v>34000</v>
      </c>
      <c r="F2278" t="str">
        <f>Raw_Claims_Data!F2277</f>
        <v>CA</v>
      </c>
      <c r="G2278" t="str">
        <f>Raw_Claims_Data!G2277</f>
        <v>A</v>
      </c>
      <c r="H2278" t="str">
        <f>Raw_Claims_Data!H2277</f>
        <v>Major Loss</v>
      </c>
      <c r="I2278" t="str">
        <f>IF(Raw_Claims_Data!I2277="","None",Raw_Claims_Data!I2277)</f>
        <v>Police</v>
      </c>
      <c r="J2278" t="str">
        <f>Raw_Claims_Data!J2277</f>
        <v>San Gabriel</v>
      </c>
      <c r="K2278" t="str">
        <f>Raw_Claims_Data!K2277</f>
        <v>CA</v>
      </c>
      <c r="L2278">
        <f>Raw_Claims_Data!L2277</f>
        <v>9</v>
      </c>
      <c r="M2278" t="str">
        <f>IF(Raw_Claims_Data!M2277="","N/A",Raw_Claims_Data!M2277)</f>
        <v>VNDR00397</v>
      </c>
      <c r="N2278" t="str">
        <f>Raw_Claims_Data!N2277</f>
        <v>AGENT00322</v>
      </c>
      <c r="O2278">
        <f>IF(Raw_Claims_Data!G2277="D",1,0)</f>
        <v>0</v>
      </c>
    </row>
    <row r="2279" spans="1:15" x14ac:dyDescent="0.35">
      <c r="A2279" t="str">
        <f>Raw_Claims_Data!A2278</f>
        <v>TXN00002275</v>
      </c>
      <c r="B2279" t="str">
        <f>TRIM(Raw_Claims_Data!B2278)</f>
        <v>Charles Hernandez</v>
      </c>
      <c r="C2279" t="str">
        <f>Raw_Claims_Data!C2278</f>
        <v>Travel</v>
      </c>
      <c r="D2279">
        <f>Raw_Claims_Data!D2278</f>
        <v>71.150000000000006</v>
      </c>
      <c r="E2279">
        <f>Raw_Claims_Data!E2278</f>
        <v>3000</v>
      </c>
      <c r="F2279" t="str">
        <f>Raw_Claims_Data!F2278</f>
        <v>AZ</v>
      </c>
      <c r="G2279" t="str">
        <f>Raw_Claims_Data!G2278</f>
        <v>D</v>
      </c>
      <c r="H2279" t="str">
        <f>Raw_Claims_Data!H2278</f>
        <v>Minor Loss</v>
      </c>
      <c r="I2279" t="str">
        <f>IF(Raw_Claims_Data!I2278="","None",Raw_Claims_Data!I2278)</f>
        <v>None</v>
      </c>
      <c r="J2279" t="str">
        <f>Raw_Claims_Data!J2278</f>
        <v>Oklahoma City</v>
      </c>
      <c r="K2279" t="str">
        <f>Raw_Claims_Data!K2278</f>
        <v>OK</v>
      </c>
      <c r="L2279">
        <f>Raw_Claims_Data!L2278</f>
        <v>18</v>
      </c>
      <c r="M2279" t="str">
        <f>IF(Raw_Claims_Data!M2278="","N/A",Raw_Claims_Data!M2278)</f>
        <v>VNDR00583</v>
      </c>
      <c r="N2279" t="str">
        <f>Raw_Claims_Data!N2278</f>
        <v>AGENT00451</v>
      </c>
      <c r="O2279">
        <f>IF(Raw_Claims_Data!G2278="D",1,0)</f>
        <v>1</v>
      </c>
    </row>
    <row r="2280" spans="1:15" x14ac:dyDescent="0.35">
      <c r="A2280" t="str">
        <f>Raw_Claims_Data!A2279</f>
        <v>TXN00002276</v>
      </c>
      <c r="B2280" t="str">
        <f>TRIM(Raw_Claims_Data!B2279)</f>
        <v>Sabrina Mara</v>
      </c>
      <c r="C2280" t="str">
        <f>Raw_Claims_Data!C2279</f>
        <v>Property</v>
      </c>
      <c r="D2280">
        <f>Raw_Claims_Data!D2279</f>
        <v>145.07</v>
      </c>
      <c r="E2280">
        <f>Raw_Claims_Data!E2279</f>
        <v>12000</v>
      </c>
      <c r="F2280" t="str">
        <f>Raw_Claims_Data!F2279</f>
        <v>CT</v>
      </c>
      <c r="G2280" t="str">
        <f>Raw_Claims_Data!G2279</f>
        <v>A</v>
      </c>
      <c r="H2280" t="str">
        <f>Raw_Claims_Data!H2279</f>
        <v>Total Loss</v>
      </c>
      <c r="I2280" t="str">
        <f>IF(Raw_Claims_Data!I2279="","None",Raw_Claims_Data!I2279)</f>
        <v>Ambulance</v>
      </c>
      <c r="J2280" t="str">
        <f>Raw_Claims_Data!J2279</f>
        <v>Louisville</v>
      </c>
      <c r="K2280" t="str">
        <f>Raw_Claims_Data!K2279</f>
        <v>KY</v>
      </c>
      <c r="L2280">
        <f>Raw_Claims_Data!L2279</f>
        <v>12</v>
      </c>
      <c r="M2280" t="str">
        <f>IF(Raw_Claims_Data!M2279="","N/A",Raw_Claims_Data!M2279)</f>
        <v>VNDR00589</v>
      </c>
      <c r="N2280" t="str">
        <f>Raw_Claims_Data!N2279</f>
        <v>AGENT00383</v>
      </c>
      <c r="O2280">
        <f>IF(Raw_Claims_Data!G2279="D",1,0)</f>
        <v>0</v>
      </c>
    </row>
    <row r="2281" spans="1:15" x14ac:dyDescent="0.35">
      <c r="A2281" t="str">
        <f>Raw_Claims_Data!A2280</f>
        <v>TXN00002277</v>
      </c>
      <c r="B2281" t="str">
        <f>TRIM(Raw_Claims_Data!B2280)</f>
        <v>Alice Arguelles</v>
      </c>
      <c r="C2281" t="str">
        <f>Raw_Claims_Data!C2280</f>
        <v>Motor</v>
      </c>
      <c r="D2281">
        <f>Raw_Claims_Data!D2280</f>
        <v>74.459999999999994</v>
      </c>
      <c r="E2281">
        <f>Raw_Claims_Data!E2280</f>
        <v>5000</v>
      </c>
      <c r="F2281" t="str">
        <f>Raw_Claims_Data!F2280</f>
        <v>AK</v>
      </c>
      <c r="G2281" t="str">
        <f>Raw_Claims_Data!G2280</f>
        <v>A</v>
      </c>
      <c r="H2281" t="str">
        <f>Raw_Claims_Data!H2280</f>
        <v>Total Loss</v>
      </c>
      <c r="I2281" t="str">
        <f>IF(Raw_Claims_Data!I2280="","None",Raw_Claims_Data!I2280)</f>
        <v>Police</v>
      </c>
      <c r="J2281" t="str">
        <f>Raw_Claims_Data!J2280</f>
        <v>Nashville</v>
      </c>
      <c r="K2281" t="str">
        <f>Raw_Claims_Data!K2280</f>
        <v>TN</v>
      </c>
      <c r="L2281">
        <f>Raw_Claims_Data!L2280</f>
        <v>19</v>
      </c>
      <c r="M2281" t="str">
        <f>IF(Raw_Claims_Data!M2280="","N/A",Raw_Claims_Data!M2280)</f>
        <v>N/A</v>
      </c>
      <c r="N2281" t="str">
        <f>Raw_Claims_Data!N2280</f>
        <v>AGENT00152</v>
      </c>
      <c r="O2281">
        <f>IF(Raw_Claims_Data!G2280="D",1,0)</f>
        <v>0</v>
      </c>
    </row>
    <row r="2282" spans="1:15" x14ac:dyDescent="0.35">
      <c r="A2282" t="str">
        <f>Raw_Claims_Data!A2281</f>
        <v>TXN00002278</v>
      </c>
      <c r="B2282" t="str">
        <f>TRIM(Raw_Claims_Data!B2281)</f>
        <v>Donald Villarreal</v>
      </c>
      <c r="C2282" t="str">
        <f>Raw_Claims_Data!C2281</f>
        <v>Property</v>
      </c>
      <c r="D2282">
        <f>Raw_Claims_Data!D2281</f>
        <v>119.07</v>
      </c>
      <c r="E2282">
        <f>Raw_Claims_Data!E2281</f>
        <v>39000</v>
      </c>
      <c r="F2282" t="str">
        <f>Raw_Claims_Data!F2281</f>
        <v>KY</v>
      </c>
      <c r="G2282" t="str">
        <f>Raw_Claims_Data!G2281</f>
        <v>A</v>
      </c>
      <c r="H2282" t="str">
        <f>Raw_Claims_Data!H2281</f>
        <v>Major Loss</v>
      </c>
      <c r="I2282" t="str">
        <f>IF(Raw_Claims_Data!I2281="","None",Raw_Claims_Data!I2281)</f>
        <v>Ambulance</v>
      </c>
      <c r="J2282" t="str">
        <f>Raw_Claims_Data!J2281</f>
        <v>Glendale</v>
      </c>
      <c r="K2282" t="str">
        <f>Raw_Claims_Data!K2281</f>
        <v>AZ</v>
      </c>
      <c r="L2282">
        <f>Raw_Claims_Data!L2281</f>
        <v>3</v>
      </c>
      <c r="M2282" t="str">
        <f>IF(Raw_Claims_Data!M2281="","N/A",Raw_Claims_Data!M2281)</f>
        <v>VNDR00530</v>
      </c>
      <c r="N2282" t="str">
        <f>Raw_Claims_Data!N2281</f>
        <v>AGENT00576</v>
      </c>
      <c r="O2282">
        <f>IF(Raw_Claims_Data!G2281="D",1,0)</f>
        <v>0</v>
      </c>
    </row>
    <row r="2283" spans="1:15" x14ac:dyDescent="0.35">
      <c r="A2283" t="str">
        <f>Raw_Claims_Data!A2282</f>
        <v>TXN00002279</v>
      </c>
      <c r="B2283" t="str">
        <f>TRIM(Raw_Claims_Data!B2282)</f>
        <v>John Ellis</v>
      </c>
      <c r="C2283" t="str">
        <f>Raw_Claims_Data!C2282</f>
        <v>Health</v>
      </c>
      <c r="D2283">
        <f>Raw_Claims_Data!D2282</f>
        <v>157.26</v>
      </c>
      <c r="E2283">
        <f>Raw_Claims_Data!E2282</f>
        <v>14000</v>
      </c>
      <c r="F2283" t="str">
        <f>Raw_Claims_Data!F2282</f>
        <v>AK</v>
      </c>
      <c r="G2283" t="str">
        <f>Raw_Claims_Data!G2282</f>
        <v>A</v>
      </c>
      <c r="H2283" t="str">
        <f>Raw_Claims_Data!H2282</f>
        <v>Major Loss</v>
      </c>
      <c r="I2283" t="str">
        <f>IF(Raw_Claims_Data!I2282="","None",Raw_Claims_Data!I2282)</f>
        <v>Police</v>
      </c>
      <c r="J2283" t="str">
        <f>Raw_Claims_Data!J2282</f>
        <v>San Leandro</v>
      </c>
      <c r="K2283" t="str">
        <f>Raw_Claims_Data!K2282</f>
        <v>CA</v>
      </c>
      <c r="L2283">
        <f>Raw_Claims_Data!L2282</f>
        <v>6</v>
      </c>
      <c r="M2283" t="str">
        <f>IF(Raw_Claims_Data!M2282="","N/A",Raw_Claims_Data!M2282)</f>
        <v>VNDR00385</v>
      </c>
      <c r="N2283" t="str">
        <f>Raw_Claims_Data!N2282</f>
        <v>AGENT01086</v>
      </c>
      <c r="O2283">
        <f>IF(Raw_Claims_Data!G2282="D",1,0)</f>
        <v>0</v>
      </c>
    </row>
    <row r="2284" spans="1:15" x14ac:dyDescent="0.35">
      <c r="A2284" t="str">
        <f>Raw_Claims_Data!A2283</f>
        <v>TXN00002280</v>
      </c>
      <c r="B2284" t="str">
        <f>TRIM(Raw_Claims_Data!B2283)</f>
        <v>Joan Alford</v>
      </c>
      <c r="C2284" t="str">
        <f>Raw_Claims_Data!C2283</f>
        <v>Health</v>
      </c>
      <c r="D2284">
        <f>Raw_Claims_Data!D2283</f>
        <v>174.04</v>
      </c>
      <c r="E2284">
        <f>Raw_Claims_Data!E2283</f>
        <v>11000</v>
      </c>
      <c r="F2284" t="str">
        <f>Raw_Claims_Data!F2283</f>
        <v>FL</v>
      </c>
      <c r="G2284" t="str">
        <f>Raw_Claims_Data!G2283</f>
        <v>A</v>
      </c>
      <c r="H2284" t="str">
        <f>Raw_Claims_Data!H2283</f>
        <v>Total Loss</v>
      </c>
      <c r="I2284" t="str">
        <f>IF(Raw_Claims_Data!I2283="","None",Raw_Claims_Data!I2283)</f>
        <v>None</v>
      </c>
      <c r="J2284" t="str">
        <f>Raw_Claims_Data!J2283</f>
        <v>West Sacramento</v>
      </c>
      <c r="K2284" t="str">
        <f>Raw_Claims_Data!K2283</f>
        <v>CA</v>
      </c>
      <c r="L2284">
        <f>Raw_Claims_Data!L2283</f>
        <v>1</v>
      </c>
      <c r="M2284" t="str">
        <f>IF(Raw_Claims_Data!M2283="","N/A",Raw_Claims_Data!M2283)</f>
        <v>VNDR00535</v>
      </c>
      <c r="N2284" t="str">
        <f>Raw_Claims_Data!N2283</f>
        <v>AGENT00241</v>
      </c>
      <c r="O2284">
        <f>IF(Raw_Claims_Data!G2283="D",1,0)</f>
        <v>0</v>
      </c>
    </row>
    <row r="2285" spans="1:15" x14ac:dyDescent="0.35">
      <c r="A2285" t="str">
        <f>Raw_Claims_Data!A2284</f>
        <v>TXN00002281</v>
      </c>
      <c r="B2285" t="str">
        <f>TRIM(Raw_Claims_Data!B2284)</f>
        <v>Ladonna Bohne</v>
      </c>
      <c r="C2285" t="str">
        <f>Raw_Claims_Data!C2284</f>
        <v>Mobile</v>
      </c>
      <c r="D2285">
        <f>Raw_Claims_Data!D2284</f>
        <v>7.86</v>
      </c>
      <c r="E2285">
        <f>Raw_Claims_Data!E2284</f>
        <v>200</v>
      </c>
      <c r="F2285" t="str">
        <f>Raw_Claims_Data!F2284</f>
        <v>CA</v>
      </c>
      <c r="G2285" t="str">
        <f>Raw_Claims_Data!G2284</f>
        <v>A</v>
      </c>
      <c r="H2285" t="str">
        <f>Raw_Claims_Data!H2284</f>
        <v>Major Loss</v>
      </c>
      <c r="I2285" t="str">
        <f>IF(Raw_Claims_Data!I2284="","None",Raw_Claims_Data!I2284)</f>
        <v>Ambulance</v>
      </c>
      <c r="J2285" t="str">
        <f>Raw_Claims_Data!J2284</f>
        <v>Glendale</v>
      </c>
      <c r="K2285" t="str">
        <f>Raw_Claims_Data!K2284</f>
        <v>AZ</v>
      </c>
      <c r="L2285">
        <f>Raw_Claims_Data!L2284</f>
        <v>6</v>
      </c>
      <c r="M2285" t="str">
        <f>IF(Raw_Claims_Data!M2284="","N/A",Raw_Claims_Data!M2284)</f>
        <v>VNDR00118</v>
      </c>
      <c r="N2285" t="str">
        <f>Raw_Claims_Data!N2284</f>
        <v>AGENT00571</v>
      </c>
      <c r="O2285">
        <f>IF(Raw_Claims_Data!G2284="D",1,0)</f>
        <v>0</v>
      </c>
    </row>
    <row r="2286" spans="1:15" x14ac:dyDescent="0.35">
      <c r="A2286" t="str">
        <f>Raw_Claims_Data!A2285</f>
        <v>TXN00002282</v>
      </c>
      <c r="B2286" t="str">
        <f>TRIM(Raw_Claims_Data!B2285)</f>
        <v>Thaddeus Mishar</v>
      </c>
      <c r="C2286" t="str">
        <f>Raw_Claims_Data!C2285</f>
        <v>Life</v>
      </c>
      <c r="D2286">
        <f>Raw_Claims_Data!D2285</f>
        <v>90.23</v>
      </c>
      <c r="E2286">
        <f>Raw_Claims_Data!E2285</f>
        <v>81000</v>
      </c>
      <c r="F2286" t="str">
        <f>Raw_Claims_Data!F2285</f>
        <v>MA</v>
      </c>
      <c r="G2286" t="str">
        <f>Raw_Claims_Data!G2285</f>
        <v>A</v>
      </c>
      <c r="H2286" t="str">
        <f>Raw_Claims_Data!H2285</f>
        <v>Minor Loss</v>
      </c>
      <c r="I2286" t="str">
        <f>IF(Raw_Claims_Data!I2285="","None",Raw_Claims_Data!I2285)</f>
        <v>None</v>
      </c>
      <c r="J2286" t="str">
        <f>Raw_Claims_Data!J2285</f>
        <v>Anchorage</v>
      </c>
      <c r="K2286" t="str">
        <f>Raw_Claims_Data!K2285</f>
        <v>AK</v>
      </c>
      <c r="L2286">
        <f>Raw_Claims_Data!L2285</f>
        <v>0</v>
      </c>
      <c r="M2286" t="str">
        <f>IF(Raw_Claims_Data!M2285="","N/A",Raw_Claims_Data!M2285)</f>
        <v>VNDR00357</v>
      </c>
      <c r="N2286" t="str">
        <f>Raw_Claims_Data!N2285</f>
        <v>AGENT00250</v>
      </c>
      <c r="O2286">
        <f>IF(Raw_Claims_Data!G2285="D",1,0)</f>
        <v>0</v>
      </c>
    </row>
    <row r="2287" spans="1:15" x14ac:dyDescent="0.35">
      <c r="A2287" t="str">
        <f>Raw_Claims_Data!A2286</f>
        <v>TXN00002283</v>
      </c>
      <c r="B2287" t="str">
        <f>TRIM(Raw_Claims_Data!B2286)</f>
        <v>Ivan Tobin</v>
      </c>
      <c r="C2287" t="str">
        <f>Raw_Claims_Data!C2286</f>
        <v>Mobile</v>
      </c>
      <c r="D2287">
        <f>Raw_Claims_Data!D2286</f>
        <v>8.7200000000000006</v>
      </c>
      <c r="E2287">
        <f>Raw_Claims_Data!E2286</f>
        <v>400</v>
      </c>
      <c r="F2287" t="str">
        <f>Raw_Claims_Data!F2286</f>
        <v>OK</v>
      </c>
      <c r="G2287" t="str">
        <f>Raw_Claims_Data!G2286</f>
        <v>A</v>
      </c>
      <c r="H2287" t="str">
        <f>Raw_Claims_Data!H2286</f>
        <v>Major Loss</v>
      </c>
      <c r="I2287" t="str">
        <f>IF(Raw_Claims_Data!I2286="","None",Raw_Claims_Data!I2286)</f>
        <v>Ambulance</v>
      </c>
      <c r="J2287" t="str">
        <f>Raw_Claims_Data!J2286</f>
        <v>Hinesburg</v>
      </c>
      <c r="K2287" t="str">
        <f>Raw_Claims_Data!K2286</f>
        <v>VT</v>
      </c>
      <c r="L2287">
        <f>Raw_Claims_Data!L2286</f>
        <v>6</v>
      </c>
      <c r="M2287" t="str">
        <f>IF(Raw_Claims_Data!M2286="","N/A",Raw_Claims_Data!M2286)</f>
        <v>N/A</v>
      </c>
      <c r="N2287" t="str">
        <f>Raw_Claims_Data!N2286</f>
        <v>AGENT00317</v>
      </c>
      <c r="O2287">
        <f>IF(Raw_Claims_Data!G2286="D",1,0)</f>
        <v>0</v>
      </c>
    </row>
    <row r="2288" spans="1:15" x14ac:dyDescent="0.35">
      <c r="A2288" t="str">
        <f>Raw_Claims_Data!A2287</f>
        <v>TXN00002284</v>
      </c>
      <c r="B2288" t="str">
        <f>TRIM(Raw_Claims_Data!B2287)</f>
        <v>Oscar Reza</v>
      </c>
      <c r="C2288" t="str">
        <f>Raw_Claims_Data!C2287</f>
        <v>Travel</v>
      </c>
      <c r="D2288">
        <f>Raw_Claims_Data!D2287</f>
        <v>57.89</v>
      </c>
      <c r="E2288">
        <f>Raw_Claims_Data!E2287</f>
        <v>4000</v>
      </c>
      <c r="F2288" t="str">
        <f>Raw_Claims_Data!F2287</f>
        <v>DC</v>
      </c>
      <c r="G2288" t="str">
        <f>Raw_Claims_Data!G2287</f>
        <v>A</v>
      </c>
      <c r="H2288" t="str">
        <f>Raw_Claims_Data!H2287</f>
        <v>Total Loss</v>
      </c>
      <c r="I2288" t="str">
        <f>IF(Raw_Claims_Data!I2287="","None",Raw_Claims_Data!I2287)</f>
        <v>Ambulance</v>
      </c>
      <c r="J2288" t="str">
        <f>Raw_Claims_Data!J2287</f>
        <v>Arvada</v>
      </c>
      <c r="K2288" t="str">
        <f>Raw_Claims_Data!K2287</f>
        <v>CO</v>
      </c>
      <c r="L2288">
        <f>Raw_Claims_Data!L2287</f>
        <v>13</v>
      </c>
      <c r="M2288" t="str">
        <f>IF(Raw_Claims_Data!M2287="","N/A",Raw_Claims_Data!M2287)</f>
        <v>VNDR00139</v>
      </c>
      <c r="N2288" t="str">
        <f>Raw_Claims_Data!N2287</f>
        <v>AGENT00146</v>
      </c>
      <c r="O2288">
        <f>IF(Raw_Claims_Data!G2287="D",1,0)</f>
        <v>0</v>
      </c>
    </row>
    <row r="2289" spans="1:15" x14ac:dyDescent="0.35">
      <c r="A2289" t="str">
        <f>Raw_Claims_Data!A2288</f>
        <v>TXN00002285</v>
      </c>
      <c r="B2289" t="str">
        <f>TRIM(Raw_Claims_Data!B2288)</f>
        <v>Chris Smith</v>
      </c>
      <c r="C2289" t="str">
        <f>Raw_Claims_Data!C2288</f>
        <v>Life</v>
      </c>
      <c r="D2289">
        <f>Raw_Claims_Data!D2288</f>
        <v>76.66</v>
      </c>
      <c r="E2289">
        <f>Raw_Claims_Data!E2288</f>
        <v>23000</v>
      </c>
      <c r="F2289" t="str">
        <f>Raw_Claims_Data!F2288</f>
        <v>CO</v>
      </c>
      <c r="G2289" t="str">
        <f>Raw_Claims_Data!G2288</f>
        <v>A</v>
      </c>
      <c r="H2289" t="str">
        <f>Raw_Claims_Data!H2288</f>
        <v>Minor Loss</v>
      </c>
      <c r="I2289" t="str">
        <f>IF(Raw_Claims_Data!I2288="","None",Raw_Claims_Data!I2288)</f>
        <v>Ambulance</v>
      </c>
      <c r="J2289" t="str">
        <f>Raw_Claims_Data!J2288</f>
        <v>Berkeley</v>
      </c>
      <c r="K2289" t="str">
        <f>Raw_Claims_Data!K2288</f>
        <v>CA</v>
      </c>
      <c r="L2289">
        <f>Raw_Claims_Data!L2288</f>
        <v>22</v>
      </c>
      <c r="M2289" t="str">
        <f>IF(Raw_Claims_Data!M2288="","N/A",Raw_Claims_Data!M2288)</f>
        <v>VNDR00232</v>
      </c>
      <c r="N2289" t="str">
        <f>Raw_Claims_Data!N2288</f>
        <v>AGENT00249</v>
      </c>
      <c r="O2289">
        <f>IF(Raw_Claims_Data!G2288="D",1,0)</f>
        <v>0</v>
      </c>
    </row>
    <row r="2290" spans="1:15" x14ac:dyDescent="0.35">
      <c r="A2290" t="str">
        <f>Raw_Claims_Data!A2289</f>
        <v>TXN00002286</v>
      </c>
      <c r="B2290" t="str">
        <f>TRIM(Raw_Claims_Data!B2289)</f>
        <v>Trisha Samuels</v>
      </c>
      <c r="C2290" t="str">
        <f>Raw_Claims_Data!C2289</f>
        <v>Travel</v>
      </c>
      <c r="D2290">
        <f>Raw_Claims_Data!D2289</f>
        <v>65.930000000000007</v>
      </c>
      <c r="E2290">
        <f>Raw_Claims_Data!E2289</f>
        <v>3000</v>
      </c>
      <c r="F2290" t="str">
        <f>Raw_Claims_Data!F2289</f>
        <v>FL</v>
      </c>
      <c r="G2290" t="str">
        <f>Raw_Claims_Data!G2289</f>
        <v>A</v>
      </c>
      <c r="H2290" t="str">
        <f>Raw_Claims_Data!H2289</f>
        <v>Minor Loss</v>
      </c>
      <c r="I2290" t="str">
        <f>IF(Raw_Claims_Data!I2289="","None",Raw_Claims_Data!I2289)</f>
        <v>None</v>
      </c>
      <c r="J2290" t="str">
        <f>Raw_Claims_Data!J2289</f>
        <v>Mesa</v>
      </c>
      <c r="K2290" t="str">
        <f>Raw_Claims_Data!K2289</f>
        <v>AZ</v>
      </c>
      <c r="L2290">
        <f>Raw_Claims_Data!L2289</f>
        <v>18</v>
      </c>
      <c r="M2290" t="str">
        <f>IF(Raw_Claims_Data!M2289="","N/A",Raw_Claims_Data!M2289)</f>
        <v>N/A</v>
      </c>
      <c r="N2290" t="str">
        <f>Raw_Claims_Data!N2289</f>
        <v>AGENT00238</v>
      </c>
      <c r="O2290">
        <f>IF(Raw_Claims_Data!G2289="D",1,0)</f>
        <v>0</v>
      </c>
    </row>
    <row r="2291" spans="1:15" x14ac:dyDescent="0.35">
      <c r="A2291" t="str">
        <f>Raw_Claims_Data!A2290</f>
        <v>TXN00002287</v>
      </c>
      <c r="B2291" t="str">
        <f>TRIM(Raw_Claims_Data!B2290)</f>
        <v>Heather Casey</v>
      </c>
      <c r="C2291" t="str">
        <f>Raw_Claims_Data!C2290</f>
        <v>Mobile</v>
      </c>
      <c r="D2291">
        <f>Raw_Claims_Data!D2290</f>
        <v>7.02</v>
      </c>
      <c r="E2291">
        <f>Raw_Claims_Data!E2290</f>
        <v>600</v>
      </c>
      <c r="F2291" t="str">
        <f>Raw_Claims_Data!F2290</f>
        <v>AL</v>
      </c>
      <c r="G2291" t="str">
        <f>Raw_Claims_Data!G2290</f>
        <v>A</v>
      </c>
      <c r="H2291" t="str">
        <f>Raw_Claims_Data!H2290</f>
        <v>Major Loss</v>
      </c>
      <c r="I2291" t="str">
        <f>IF(Raw_Claims_Data!I2290="","None",Raw_Claims_Data!I2290)</f>
        <v>Police</v>
      </c>
      <c r="J2291" t="str">
        <f>Raw_Claims_Data!J2290</f>
        <v>Arvada</v>
      </c>
      <c r="K2291" t="str">
        <f>Raw_Claims_Data!K2290</f>
        <v>CO</v>
      </c>
      <c r="L2291">
        <f>Raw_Claims_Data!L2290</f>
        <v>19</v>
      </c>
      <c r="M2291" t="str">
        <f>IF(Raw_Claims_Data!M2290="","N/A",Raw_Claims_Data!M2290)</f>
        <v>VNDR00077</v>
      </c>
      <c r="N2291" t="str">
        <f>Raw_Claims_Data!N2290</f>
        <v>AGENT00143</v>
      </c>
      <c r="O2291">
        <f>IF(Raw_Claims_Data!G2290="D",1,0)</f>
        <v>0</v>
      </c>
    </row>
    <row r="2292" spans="1:15" x14ac:dyDescent="0.35">
      <c r="A2292" t="str">
        <f>Raw_Claims_Data!A2291</f>
        <v>TXN00002288</v>
      </c>
      <c r="B2292" t="str">
        <f>TRIM(Raw_Claims_Data!B2291)</f>
        <v>Ken Kirker</v>
      </c>
      <c r="C2292" t="str">
        <f>Raw_Claims_Data!C2291</f>
        <v>Travel</v>
      </c>
      <c r="D2292">
        <f>Raw_Claims_Data!D2291</f>
        <v>78.459999999999994</v>
      </c>
      <c r="E2292">
        <f>Raw_Claims_Data!E2291</f>
        <v>3000</v>
      </c>
      <c r="F2292" t="str">
        <f>Raw_Claims_Data!F2291</f>
        <v>AL</v>
      </c>
      <c r="G2292" t="str">
        <f>Raw_Claims_Data!G2291</f>
        <v>A</v>
      </c>
      <c r="H2292" t="str">
        <f>Raw_Claims_Data!H2291</f>
        <v>Total Loss</v>
      </c>
      <c r="I2292" t="str">
        <f>IF(Raw_Claims_Data!I2291="","None",Raw_Claims_Data!I2291)</f>
        <v>None</v>
      </c>
      <c r="J2292" t="str">
        <f>Raw_Claims_Data!J2291</f>
        <v>Louisville</v>
      </c>
      <c r="K2292" t="str">
        <f>Raw_Claims_Data!K2291</f>
        <v>KY</v>
      </c>
      <c r="L2292">
        <f>Raw_Claims_Data!L2291</f>
        <v>20</v>
      </c>
      <c r="M2292" t="str">
        <f>IF(Raw_Claims_Data!M2291="","N/A",Raw_Claims_Data!M2291)</f>
        <v>VNDR00540</v>
      </c>
      <c r="N2292" t="str">
        <f>Raw_Claims_Data!N2291</f>
        <v>AGENT00396</v>
      </c>
      <c r="O2292">
        <f>IF(Raw_Claims_Data!G2291="D",1,0)</f>
        <v>0</v>
      </c>
    </row>
    <row r="2293" spans="1:15" x14ac:dyDescent="0.35">
      <c r="A2293" t="str">
        <f>Raw_Claims_Data!A2292</f>
        <v>TXN00002289</v>
      </c>
      <c r="B2293" t="str">
        <f>TRIM(Raw_Claims_Data!B2292)</f>
        <v>Kenneth Duffield</v>
      </c>
      <c r="C2293" t="str">
        <f>Raw_Claims_Data!C2292</f>
        <v>Motor</v>
      </c>
      <c r="D2293">
        <f>Raw_Claims_Data!D2292</f>
        <v>133.97999999999999</v>
      </c>
      <c r="E2293">
        <f>Raw_Claims_Data!E2292</f>
        <v>8000</v>
      </c>
      <c r="F2293" t="str">
        <f>Raw_Claims_Data!F2292</f>
        <v>KY</v>
      </c>
      <c r="G2293" t="str">
        <f>Raw_Claims_Data!G2292</f>
        <v>A</v>
      </c>
      <c r="H2293" t="str">
        <f>Raw_Claims_Data!H2292</f>
        <v>Major Loss</v>
      </c>
      <c r="I2293" t="str">
        <f>IF(Raw_Claims_Data!I2292="","None",Raw_Claims_Data!I2292)</f>
        <v>Ambulance</v>
      </c>
      <c r="J2293" t="str">
        <f>Raw_Claims_Data!J2292</f>
        <v>Savannah</v>
      </c>
      <c r="K2293" t="str">
        <f>Raw_Claims_Data!K2292</f>
        <v>GA</v>
      </c>
      <c r="L2293">
        <f>Raw_Claims_Data!L2292</f>
        <v>15</v>
      </c>
      <c r="M2293" t="str">
        <f>IF(Raw_Claims_Data!M2292="","N/A",Raw_Claims_Data!M2292)</f>
        <v>VNDR00597</v>
      </c>
      <c r="N2293" t="str">
        <f>Raw_Claims_Data!N2292</f>
        <v>AGENT00174</v>
      </c>
      <c r="O2293">
        <f>IF(Raw_Claims_Data!G2292="D",1,0)</f>
        <v>0</v>
      </c>
    </row>
    <row r="2294" spans="1:15" x14ac:dyDescent="0.35">
      <c r="A2294" t="str">
        <f>Raw_Claims_Data!A2293</f>
        <v>TXN00002290</v>
      </c>
      <c r="B2294" t="str">
        <f>TRIM(Raw_Claims_Data!B2293)</f>
        <v>Luis Blair</v>
      </c>
      <c r="C2294" t="str">
        <f>Raw_Claims_Data!C2293</f>
        <v>Motor</v>
      </c>
      <c r="D2294">
        <f>Raw_Claims_Data!D2293</f>
        <v>100.26</v>
      </c>
      <c r="E2294">
        <f>Raw_Claims_Data!E2293</f>
        <v>4000</v>
      </c>
      <c r="F2294" t="str">
        <f>Raw_Claims_Data!F2293</f>
        <v>FL</v>
      </c>
      <c r="G2294" t="str">
        <f>Raw_Claims_Data!G2293</f>
        <v>A</v>
      </c>
      <c r="H2294" t="str">
        <f>Raw_Claims_Data!H2293</f>
        <v>Minor Loss</v>
      </c>
      <c r="I2294" t="str">
        <f>IF(Raw_Claims_Data!I2293="","None",Raw_Claims_Data!I2293)</f>
        <v>Ambulance</v>
      </c>
      <c r="J2294" t="str">
        <f>Raw_Claims_Data!J2293</f>
        <v>Annapolis</v>
      </c>
      <c r="K2294" t="str">
        <f>Raw_Claims_Data!K2293</f>
        <v>MD</v>
      </c>
      <c r="L2294">
        <f>Raw_Claims_Data!L2293</f>
        <v>17</v>
      </c>
      <c r="M2294" t="str">
        <f>IF(Raw_Claims_Data!M2293="","N/A",Raw_Claims_Data!M2293)</f>
        <v>N/A</v>
      </c>
      <c r="N2294" t="str">
        <f>Raw_Claims_Data!N2293</f>
        <v>AGENT00075</v>
      </c>
      <c r="O2294">
        <f>IF(Raw_Claims_Data!G2293="D",1,0)</f>
        <v>0</v>
      </c>
    </row>
    <row r="2295" spans="1:15" x14ac:dyDescent="0.35">
      <c r="A2295" t="str">
        <f>Raw_Claims_Data!A2294</f>
        <v>TXN00002291</v>
      </c>
      <c r="B2295" t="str">
        <f>TRIM(Raw_Claims_Data!B2294)</f>
        <v>James Bird</v>
      </c>
      <c r="C2295" t="str">
        <f>Raw_Claims_Data!C2294</f>
        <v>Property</v>
      </c>
      <c r="D2295">
        <f>Raw_Claims_Data!D2294</f>
        <v>83.88</v>
      </c>
      <c r="E2295">
        <f>Raw_Claims_Data!E2294</f>
        <v>33000</v>
      </c>
      <c r="F2295" t="str">
        <f>Raw_Claims_Data!F2294</f>
        <v>KY</v>
      </c>
      <c r="G2295" t="str">
        <f>Raw_Claims_Data!G2294</f>
        <v>A</v>
      </c>
      <c r="H2295" t="str">
        <f>Raw_Claims_Data!H2294</f>
        <v>Total Loss</v>
      </c>
      <c r="I2295" t="str">
        <f>IF(Raw_Claims_Data!I2294="","None",Raw_Claims_Data!I2294)</f>
        <v>Police</v>
      </c>
      <c r="J2295" t="str">
        <f>Raw_Claims_Data!J2294</f>
        <v>Westport</v>
      </c>
      <c r="K2295" t="str">
        <f>Raw_Claims_Data!K2294</f>
        <v>MA</v>
      </c>
      <c r="L2295">
        <f>Raw_Claims_Data!L2294</f>
        <v>17</v>
      </c>
      <c r="M2295" t="str">
        <f>IF(Raw_Claims_Data!M2294="","N/A",Raw_Claims_Data!M2294)</f>
        <v>N/A</v>
      </c>
      <c r="N2295" t="str">
        <f>Raw_Claims_Data!N2294</f>
        <v>AGENT00725</v>
      </c>
      <c r="O2295">
        <f>IF(Raw_Claims_Data!G2294="D",1,0)</f>
        <v>0</v>
      </c>
    </row>
    <row r="2296" spans="1:15" x14ac:dyDescent="0.35">
      <c r="A2296" t="str">
        <f>Raw_Claims_Data!A2295</f>
        <v>TXN00002292</v>
      </c>
      <c r="B2296" t="str">
        <f>TRIM(Raw_Claims_Data!B2295)</f>
        <v>James Hatfield</v>
      </c>
      <c r="C2296" t="str">
        <f>Raw_Claims_Data!C2295</f>
        <v>Life</v>
      </c>
      <c r="D2296">
        <f>Raw_Claims_Data!D2295</f>
        <v>92.73</v>
      </c>
      <c r="E2296">
        <f>Raw_Claims_Data!E2295</f>
        <v>28000</v>
      </c>
      <c r="F2296" t="str">
        <f>Raw_Claims_Data!F2295</f>
        <v>OK</v>
      </c>
      <c r="G2296" t="str">
        <f>Raw_Claims_Data!G2295</f>
        <v>A</v>
      </c>
      <c r="H2296" t="str">
        <f>Raw_Claims_Data!H2295</f>
        <v>Total Loss</v>
      </c>
      <c r="I2296" t="str">
        <f>IF(Raw_Claims_Data!I2295="","None",Raw_Claims_Data!I2295)</f>
        <v>Police</v>
      </c>
      <c r="J2296" t="str">
        <f>Raw_Claims_Data!J2295</f>
        <v>Olivehurst</v>
      </c>
      <c r="K2296" t="str">
        <f>Raw_Claims_Data!K2295</f>
        <v>CA</v>
      </c>
      <c r="L2296">
        <f>Raw_Claims_Data!L2295</f>
        <v>9</v>
      </c>
      <c r="M2296" t="str">
        <f>IF(Raw_Claims_Data!M2295="","N/A",Raw_Claims_Data!M2295)</f>
        <v>VNDR00582</v>
      </c>
      <c r="N2296" t="str">
        <f>Raw_Claims_Data!N2295</f>
        <v>AGENT00596</v>
      </c>
      <c r="O2296">
        <f>IF(Raw_Claims_Data!G2295="D",1,0)</f>
        <v>0</v>
      </c>
    </row>
    <row r="2297" spans="1:15" x14ac:dyDescent="0.35">
      <c r="A2297" t="str">
        <f>Raw_Claims_Data!A2296</f>
        <v>TXN00002293</v>
      </c>
      <c r="B2297" t="str">
        <f>TRIM(Raw_Claims_Data!B2296)</f>
        <v>Anthony Johnston</v>
      </c>
      <c r="C2297" t="str">
        <f>Raw_Claims_Data!C2296</f>
        <v>Life</v>
      </c>
      <c r="D2297">
        <f>Raw_Claims_Data!D2296</f>
        <v>85.53</v>
      </c>
      <c r="E2297">
        <f>Raw_Claims_Data!E2296</f>
        <v>92000</v>
      </c>
      <c r="F2297" t="str">
        <f>Raw_Claims_Data!F2296</f>
        <v>FL</v>
      </c>
      <c r="G2297" t="str">
        <f>Raw_Claims_Data!G2296</f>
        <v>A</v>
      </c>
      <c r="H2297" t="str">
        <f>Raw_Claims_Data!H2296</f>
        <v>Major Loss</v>
      </c>
      <c r="I2297" t="str">
        <f>IF(Raw_Claims_Data!I2296="","None",Raw_Claims_Data!I2296)</f>
        <v>None</v>
      </c>
      <c r="J2297" t="str">
        <f>Raw_Claims_Data!J2296</f>
        <v>Savannah</v>
      </c>
      <c r="K2297" t="str">
        <f>Raw_Claims_Data!K2296</f>
        <v>GA</v>
      </c>
      <c r="L2297">
        <f>Raw_Claims_Data!L2296</f>
        <v>14</v>
      </c>
      <c r="M2297" t="str">
        <f>IF(Raw_Claims_Data!M2296="","N/A",Raw_Claims_Data!M2296)</f>
        <v>VNDR00543</v>
      </c>
      <c r="N2297" t="str">
        <f>Raw_Claims_Data!N2296</f>
        <v>AGENT00667</v>
      </c>
      <c r="O2297">
        <f>IF(Raw_Claims_Data!G2296="D",1,0)</f>
        <v>0</v>
      </c>
    </row>
    <row r="2298" spans="1:15" x14ac:dyDescent="0.35">
      <c r="A2298" t="str">
        <f>Raw_Claims_Data!A2297</f>
        <v>TXN00002294</v>
      </c>
      <c r="B2298" t="str">
        <f>TRIM(Raw_Claims_Data!B2297)</f>
        <v>Brian Oberpriller</v>
      </c>
      <c r="C2298" t="str">
        <f>Raw_Claims_Data!C2297</f>
        <v>Health</v>
      </c>
      <c r="D2298">
        <f>Raw_Claims_Data!D2297</f>
        <v>190.47</v>
      </c>
      <c r="E2298">
        <f>Raw_Claims_Data!E2297</f>
        <v>8000</v>
      </c>
      <c r="F2298" t="str">
        <f>Raw_Claims_Data!F2297</f>
        <v>VT</v>
      </c>
      <c r="G2298" t="str">
        <f>Raw_Claims_Data!G2297</f>
        <v>A</v>
      </c>
      <c r="H2298" t="str">
        <f>Raw_Claims_Data!H2297</f>
        <v>Major Loss</v>
      </c>
      <c r="I2298" t="str">
        <f>IF(Raw_Claims_Data!I2297="","None",Raw_Claims_Data!I2297)</f>
        <v>Ambulance</v>
      </c>
      <c r="J2298" t="str">
        <f>Raw_Claims_Data!J2297</f>
        <v>Fayetteville</v>
      </c>
      <c r="K2298" t="str">
        <f>Raw_Claims_Data!K2297</f>
        <v>AR</v>
      </c>
      <c r="L2298">
        <f>Raw_Claims_Data!L2297</f>
        <v>16</v>
      </c>
      <c r="M2298" t="str">
        <f>IF(Raw_Claims_Data!M2297="","N/A",Raw_Claims_Data!M2297)</f>
        <v>N/A</v>
      </c>
      <c r="N2298" t="str">
        <f>Raw_Claims_Data!N2297</f>
        <v>AGENT00502</v>
      </c>
      <c r="O2298">
        <f>IF(Raw_Claims_Data!G2297="D",1,0)</f>
        <v>0</v>
      </c>
    </row>
    <row r="2299" spans="1:15" x14ac:dyDescent="0.35">
      <c r="A2299" t="str">
        <f>Raw_Claims_Data!A2298</f>
        <v>TXN00002295</v>
      </c>
      <c r="B2299" t="str">
        <f>TRIM(Raw_Claims_Data!B2298)</f>
        <v>Kathryn Batiste</v>
      </c>
      <c r="C2299" t="str">
        <f>Raw_Claims_Data!C2298</f>
        <v>Mobile</v>
      </c>
      <c r="D2299">
        <f>Raw_Claims_Data!D2298</f>
        <v>9</v>
      </c>
      <c r="E2299">
        <f>Raw_Claims_Data!E2298</f>
        <v>700</v>
      </c>
      <c r="F2299" t="str">
        <f>Raw_Claims_Data!F2298</f>
        <v>TN</v>
      </c>
      <c r="G2299" t="str">
        <f>Raw_Claims_Data!G2298</f>
        <v>A</v>
      </c>
      <c r="H2299" t="str">
        <f>Raw_Claims_Data!H2298</f>
        <v>Minor Loss</v>
      </c>
      <c r="I2299" t="str">
        <f>IF(Raw_Claims_Data!I2298="","None",Raw_Claims_Data!I2298)</f>
        <v>Ambulance</v>
      </c>
      <c r="J2299" t="str">
        <f>Raw_Claims_Data!J2298</f>
        <v>San Leandro</v>
      </c>
      <c r="K2299" t="str">
        <f>Raw_Claims_Data!K2298</f>
        <v>CA</v>
      </c>
      <c r="L2299">
        <f>Raw_Claims_Data!L2298</f>
        <v>22</v>
      </c>
      <c r="M2299" t="str">
        <f>IF(Raw_Claims_Data!M2298="","N/A",Raw_Claims_Data!M2298)</f>
        <v>VNDR00004</v>
      </c>
      <c r="N2299" t="str">
        <f>Raw_Claims_Data!N2298</f>
        <v>AGENT00338</v>
      </c>
      <c r="O2299">
        <f>IF(Raw_Claims_Data!G2298="D",1,0)</f>
        <v>0</v>
      </c>
    </row>
    <row r="2300" spans="1:15" x14ac:dyDescent="0.35">
      <c r="A2300" t="str">
        <f>Raw_Claims_Data!A2299</f>
        <v>TXN00002296</v>
      </c>
      <c r="B2300" t="str">
        <f>TRIM(Raw_Claims_Data!B2299)</f>
        <v>Jasmin Neville</v>
      </c>
      <c r="C2300" t="str">
        <f>Raw_Claims_Data!C2299</f>
        <v>Life</v>
      </c>
      <c r="D2300">
        <f>Raw_Claims_Data!D2299</f>
        <v>52.59</v>
      </c>
      <c r="E2300">
        <f>Raw_Claims_Data!E2299</f>
        <v>78000</v>
      </c>
      <c r="F2300" t="str">
        <f>Raw_Claims_Data!F2299</f>
        <v>AL</v>
      </c>
      <c r="G2300" t="str">
        <f>Raw_Claims_Data!G2299</f>
        <v>A</v>
      </c>
      <c r="H2300" t="str">
        <f>Raw_Claims_Data!H2299</f>
        <v>Major Loss</v>
      </c>
      <c r="I2300" t="str">
        <f>IF(Raw_Claims_Data!I2299="","None",Raw_Claims_Data!I2299)</f>
        <v>Other</v>
      </c>
      <c r="J2300" t="str">
        <f>Raw_Claims_Data!J2299</f>
        <v>Savannah</v>
      </c>
      <c r="K2300" t="str">
        <f>Raw_Claims_Data!K2299</f>
        <v>GA</v>
      </c>
      <c r="L2300">
        <f>Raw_Claims_Data!L2299</f>
        <v>20</v>
      </c>
      <c r="M2300" t="str">
        <f>IF(Raw_Claims_Data!M2299="","N/A",Raw_Claims_Data!M2299)</f>
        <v>VNDR00057</v>
      </c>
      <c r="N2300" t="str">
        <f>Raw_Claims_Data!N2299</f>
        <v>AGENT00951</v>
      </c>
      <c r="O2300">
        <f>IF(Raw_Claims_Data!G2299="D",1,0)</f>
        <v>0</v>
      </c>
    </row>
    <row r="2301" spans="1:15" x14ac:dyDescent="0.35">
      <c r="A2301" t="str">
        <f>Raw_Claims_Data!A2300</f>
        <v>TXN00002297</v>
      </c>
      <c r="B2301" t="str">
        <f>TRIM(Raw_Claims_Data!B2300)</f>
        <v>Henry Fritsch</v>
      </c>
      <c r="C2301" t="str">
        <f>Raw_Claims_Data!C2300</f>
        <v>Property</v>
      </c>
      <c r="D2301">
        <f>Raw_Claims_Data!D2300</f>
        <v>153.46</v>
      </c>
      <c r="E2301">
        <f>Raw_Claims_Data!E2300</f>
        <v>12000</v>
      </c>
      <c r="F2301" t="str">
        <f>Raw_Claims_Data!F2300</f>
        <v>MA</v>
      </c>
      <c r="G2301" t="str">
        <f>Raw_Claims_Data!G2300</f>
        <v>A</v>
      </c>
      <c r="H2301" t="str">
        <f>Raw_Claims_Data!H2300</f>
        <v>Minor Loss</v>
      </c>
      <c r="I2301" t="str">
        <f>IF(Raw_Claims_Data!I2300="","None",Raw_Claims_Data!I2300)</f>
        <v>Police</v>
      </c>
      <c r="J2301" t="str">
        <f>Raw_Claims_Data!J2300</f>
        <v>Hayward</v>
      </c>
      <c r="K2301" t="str">
        <f>Raw_Claims_Data!K2300</f>
        <v>CA</v>
      </c>
      <c r="L2301">
        <f>Raw_Claims_Data!L2300</f>
        <v>15</v>
      </c>
      <c r="M2301" t="str">
        <f>IF(Raw_Claims_Data!M2300="","N/A",Raw_Claims_Data!M2300)</f>
        <v>N/A</v>
      </c>
      <c r="N2301" t="str">
        <f>Raw_Claims_Data!N2300</f>
        <v>AGENT00875</v>
      </c>
      <c r="O2301">
        <f>IF(Raw_Claims_Data!G2300="D",1,0)</f>
        <v>0</v>
      </c>
    </row>
    <row r="2302" spans="1:15" x14ac:dyDescent="0.35">
      <c r="A2302" t="str">
        <f>Raw_Claims_Data!A2301</f>
        <v>TXN00002298</v>
      </c>
      <c r="B2302" t="str">
        <f>TRIM(Raw_Claims_Data!B2301)</f>
        <v>Terrence Shipps</v>
      </c>
      <c r="C2302" t="str">
        <f>Raw_Claims_Data!C2301</f>
        <v>Motor</v>
      </c>
      <c r="D2302">
        <f>Raw_Claims_Data!D2301</f>
        <v>70.930000000000007</v>
      </c>
      <c r="E2302">
        <f>Raw_Claims_Data!E2301</f>
        <v>9000</v>
      </c>
      <c r="F2302" t="str">
        <f>Raw_Claims_Data!F2301</f>
        <v>AR</v>
      </c>
      <c r="G2302" t="str">
        <f>Raw_Claims_Data!G2301</f>
        <v>A</v>
      </c>
      <c r="H2302" t="str">
        <f>Raw_Claims_Data!H2301</f>
        <v>Major Loss</v>
      </c>
      <c r="I2302" t="str">
        <f>IF(Raw_Claims_Data!I2301="","None",Raw_Claims_Data!I2301)</f>
        <v>Police</v>
      </c>
      <c r="J2302" t="str">
        <f>Raw_Claims_Data!J2301</f>
        <v>Glendale</v>
      </c>
      <c r="K2302" t="str">
        <f>Raw_Claims_Data!K2301</f>
        <v>AZ</v>
      </c>
      <c r="L2302">
        <f>Raw_Claims_Data!L2301</f>
        <v>11</v>
      </c>
      <c r="M2302" t="str">
        <f>IF(Raw_Claims_Data!M2301="","N/A",Raw_Claims_Data!M2301)</f>
        <v>N/A</v>
      </c>
      <c r="N2302" t="str">
        <f>Raw_Claims_Data!N2301</f>
        <v>AGENT00812</v>
      </c>
      <c r="O2302">
        <f>IF(Raw_Claims_Data!G2301="D",1,0)</f>
        <v>0</v>
      </c>
    </row>
    <row r="2303" spans="1:15" x14ac:dyDescent="0.35">
      <c r="A2303" t="str">
        <f>Raw_Claims_Data!A2302</f>
        <v>TXN00002299</v>
      </c>
      <c r="B2303" t="str">
        <f>TRIM(Raw_Claims_Data!B2302)</f>
        <v>Mona Avery</v>
      </c>
      <c r="C2303" t="str">
        <f>Raw_Claims_Data!C2302</f>
        <v>Health</v>
      </c>
      <c r="D2303">
        <f>Raw_Claims_Data!D2302</f>
        <v>121.44</v>
      </c>
      <c r="E2303">
        <f>Raw_Claims_Data!E2302</f>
        <v>20000</v>
      </c>
      <c r="F2303" t="str">
        <f>Raw_Claims_Data!F2302</f>
        <v>CA</v>
      </c>
      <c r="G2303" t="str">
        <f>Raw_Claims_Data!G2302</f>
        <v>A</v>
      </c>
      <c r="H2303" t="str">
        <f>Raw_Claims_Data!H2302</f>
        <v>Major Loss</v>
      </c>
      <c r="I2303" t="str">
        <f>IF(Raw_Claims_Data!I2302="","None",Raw_Claims_Data!I2302)</f>
        <v>Police</v>
      </c>
      <c r="J2303" t="str">
        <f>Raw_Claims_Data!J2302</f>
        <v>Manchester</v>
      </c>
      <c r="K2303" t="str">
        <f>Raw_Claims_Data!K2302</f>
        <v>CT</v>
      </c>
      <c r="L2303">
        <f>Raw_Claims_Data!L2302</f>
        <v>13</v>
      </c>
      <c r="M2303" t="str">
        <f>IF(Raw_Claims_Data!M2302="","N/A",Raw_Claims_Data!M2302)</f>
        <v>N/A</v>
      </c>
      <c r="N2303" t="str">
        <f>Raw_Claims_Data!N2302</f>
        <v>AGENT00411</v>
      </c>
      <c r="O2303">
        <f>IF(Raw_Claims_Data!G2302="D",1,0)</f>
        <v>0</v>
      </c>
    </row>
    <row r="2304" spans="1:15" x14ac:dyDescent="0.35">
      <c r="A2304" t="str">
        <f>Raw_Claims_Data!A2303</f>
        <v>TXN00002300</v>
      </c>
      <c r="B2304" t="str">
        <f>TRIM(Raw_Claims_Data!B2303)</f>
        <v>Richard Brown</v>
      </c>
      <c r="C2304" t="str">
        <f>Raw_Claims_Data!C2303</f>
        <v>Health</v>
      </c>
      <c r="D2304">
        <f>Raw_Claims_Data!D2303</f>
        <v>124.56</v>
      </c>
      <c r="E2304">
        <f>Raw_Claims_Data!E2303</f>
        <v>13000</v>
      </c>
      <c r="F2304" t="str">
        <f>Raw_Claims_Data!F2303</f>
        <v>GA</v>
      </c>
      <c r="G2304" t="str">
        <f>Raw_Claims_Data!G2303</f>
        <v>A</v>
      </c>
      <c r="H2304" t="str">
        <f>Raw_Claims_Data!H2303</f>
        <v>Minor Loss</v>
      </c>
      <c r="I2304" t="str">
        <f>IF(Raw_Claims_Data!I2303="","None",Raw_Claims_Data!I2303)</f>
        <v>Ambulance</v>
      </c>
      <c r="J2304" t="str">
        <f>Raw_Claims_Data!J2303</f>
        <v>Burlington</v>
      </c>
      <c r="K2304" t="str">
        <f>Raw_Claims_Data!K2303</f>
        <v>VT</v>
      </c>
      <c r="L2304">
        <f>Raw_Claims_Data!L2303</f>
        <v>1</v>
      </c>
      <c r="M2304" t="str">
        <f>IF(Raw_Claims_Data!M2303="","N/A",Raw_Claims_Data!M2303)</f>
        <v>VNDR00482</v>
      </c>
      <c r="N2304" t="str">
        <f>Raw_Claims_Data!N2303</f>
        <v>AGENT01044</v>
      </c>
      <c r="O2304">
        <f>IF(Raw_Claims_Data!G2303="D",1,0)</f>
        <v>0</v>
      </c>
    </row>
    <row r="2305" spans="1:15" x14ac:dyDescent="0.35">
      <c r="A2305" t="str">
        <f>Raw_Claims_Data!A2304</f>
        <v>TXN00002301</v>
      </c>
      <c r="B2305" t="str">
        <f>TRIM(Raw_Claims_Data!B2304)</f>
        <v>Natasha Coe</v>
      </c>
      <c r="C2305" t="str">
        <f>Raw_Claims_Data!C2304</f>
        <v>Travel</v>
      </c>
      <c r="D2305">
        <f>Raw_Claims_Data!D2304</f>
        <v>78.45</v>
      </c>
      <c r="E2305">
        <f>Raw_Claims_Data!E2304</f>
        <v>2000</v>
      </c>
      <c r="F2305" t="str">
        <f>Raw_Claims_Data!F2304</f>
        <v>MA</v>
      </c>
      <c r="G2305" t="str">
        <f>Raw_Claims_Data!G2304</f>
        <v>A</v>
      </c>
      <c r="H2305" t="str">
        <f>Raw_Claims_Data!H2304</f>
        <v>Major Loss</v>
      </c>
      <c r="I2305" t="str">
        <f>IF(Raw_Claims_Data!I2304="","None",Raw_Claims_Data!I2304)</f>
        <v>Other</v>
      </c>
      <c r="J2305" t="str">
        <f>Raw_Claims_Data!J2304</f>
        <v>Panama City</v>
      </c>
      <c r="K2305" t="str">
        <f>Raw_Claims_Data!K2304</f>
        <v>FL</v>
      </c>
      <c r="L2305">
        <f>Raw_Claims_Data!L2304</f>
        <v>0</v>
      </c>
      <c r="M2305" t="str">
        <f>IF(Raw_Claims_Data!M2304="","N/A",Raw_Claims_Data!M2304)</f>
        <v>VNDR00511</v>
      </c>
      <c r="N2305" t="str">
        <f>Raw_Claims_Data!N2304</f>
        <v>AGENT00529</v>
      </c>
      <c r="O2305">
        <f>IF(Raw_Claims_Data!G2304="D",1,0)</f>
        <v>0</v>
      </c>
    </row>
    <row r="2306" spans="1:15" x14ac:dyDescent="0.35">
      <c r="A2306" t="str">
        <f>Raw_Claims_Data!A2305</f>
        <v>TXN00002302</v>
      </c>
      <c r="B2306" t="str">
        <f>TRIM(Raw_Claims_Data!B2305)</f>
        <v>Frank Fields</v>
      </c>
      <c r="C2306" t="str">
        <f>Raw_Claims_Data!C2305</f>
        <v>Health</v>
      </c>
      <c r="D2306">
        <f>Raw_Claims_Data!D2305</f>
        <v>198.05</v>
      </c>
      <c r="E2306">
        <f>Raw_Claims_Data!E2305</f>
        <v>13000</v>
      </c>
      <c r="F2306" t="str">
        <f>Raw_Claims_Data!F2305</f>
        <v>TN</v>
      </c>
      <c r="G2306" t="str">
        <f>Raw_Claims_Data!G2305</f>
        <v>A</v>
      </c>
      <c r="H2306" t="str">
        <f>Raw_Claims_Data!H2305</f>
        <v>Minor Loss</v>
      </c>
      <c r="I2306" t="str">
        <f>IF(Raw_Claims_Data!I2305="","None",Raw_Claims_Data!I2305)</f>
        <v>None</v>
      </c>
      <c r="J2306" t="str">
        <f>Raw_Claims_Data!J2305</f>
        <v>Vallejo</v>
      </c>
      <c r="K2306" t="str">
        <f>Raw_Claims_Data!K2305</f>
        <v>CA</v>
      </c>
      <c r="L2306">
        <f>Raw_Claims_Data!L2305</f>
        <v>8</v>
      </c>
      <c r="M2306" t="str">
        <f>IF(Raw_Claims_Data!M2305="","N/A",Raw_Claims_Data!M2305)</f>
        <v>N/A</v>
      </c>
      <c r="N2306" t="str">
        <f>Raw_Claims_Data!N2305</f>
        <v>AGENT00782</v>
      </c>
      <c r="O2306">
        <f>IF(Raw_Claims_Data!G2305="D",1,0)</f>
        <v>0</v>
      </c>
    </row>
    <row r="2307" spans="1:15" x14ac:dyDescent="0.35">
      <c r="A2307" t="str">
        <f>Raw_Claims_Data!A2306</f>
        <v>TXN00002303</v>
      </c>
      <c r="B2307" t="str">
        <f>TRIM(Raw_Claims_Data!B2306)</f>
        <v>Flora Chamberlain</v>
      </c>
      <c r="C2307" t="str">
        <f>Raw_Claims_Data!C2306</f>
        <v>Health</v>
      </c>
      <c r="D2307">
        <f>Raw_Claims_Data!D2306</f>
        <v>122.83</v>
      </c>
      <c r="E2307">
        <f>Raw_Claims_Data!E2306</f>
        <v>11000</v>
      </c>
      <c r="F2307" t="str">
        <f>Raw_Claims_Data!F2306</f>
        <v>DC</v>
      </c>
      <c r="G2307" t="str">
        <f>Raw_Claims_Data!G2306</f>
        <v>A</v>
      </c>
      <c r="H2307" t="str">
        <f>Raw_Claims_Data!H2306</f>
        <v>Major Loss</v>
      </c>
      <c r="I2307" t="str">
        <f>IF(Raw_Claims_Data!I2306="","None",Raw_Claims_Data!I2306)</f>
        <v>Police</v>
      </c>
      <c r="J2307" t="str">
        <f>Raw_Claims_Data!J2306</f>
        <v>Chelsea</v>
      </c>
      <c r="K2307" t="str">
        <f>Raw_Claims_Data!K2306</f>
        <v>MA</v>
      </c>
      <c r="L2307">
        <f>Raw_Claims_Data!L2306</f>
        <v>7</v>
      </c>
      <c r="M2307" t="str">
        <f>IF(Raw_Claims_Data!M2306="","N/A",Raw_Claims_Data!M2306)</f>
        <v>N/A</v>
      </c>
      <c r="N2307" t="str">
        <f>Raw_Claims_Data!N2306</f>
        <v>AGENT00091</v>
      </c>
      <c r="O2307">
        <f>IF(Raw_Claims_Data!G2306="D",1,0)</f>
        <v>0</v>
      </c>
    </row>
    <row r="2308" spans="1:15" x14ac:dyDescent="0.35">
      <c r="A2308" t="str">
        <f>Raw_Claims_Data!A2307</f>
        <v>TXN00002304</v>
      </c>
      <c r="B2308" t="str">
        <f>TRIM(Raw_Claims_Data!B2307)</f>
        <v>Betty Harper</v>
      </c>
      <c r="C2308" t="str">
        <f>Raw_Claims_Data!C2307</f>
        <v>Mobile</v>
      </c>
      <c r="D2308">
        <f>Raw_Claims_Data!D2307</f>
        <v>8.82</v>
      </c>
      <c r="E2308">
        <f>Raw_Claims_Data!E2307</f>
        <v>100</v>
      </c>
      <c r="F2308" t="str">
        <f>Raw_Claims_Data!F2307</f>
        <v>MA</v>
      </c>
      <c r="G2308" t="str">
        <f>Raw_Claims_Data!G2307</f>
        <v>A</v>
      </c>
      <c r="H2308" t="str">
        <f>Raw_Claims_Data!H2307</f>
        <v>Total Loss</v>
      </c>
      <c r="I2308" t="str">
        <f>IF(Raw_Claims_Data!I2307="","None",Raw_Claims_Data!I2307)</f>
        <v>Police</v>
      </c>
      <c r="J2308" t="str">
        <f>Raw_Claims_Data!J2307</f>
        <v>Manchester</v>
      </c>
      <c r="K2308" t="str">
        <f>Raw_Claims_Data!K2307</f>
        <v>CT</v>
      </c>
      <c r="L2308">
        <f>Raw_Claims_Data!L2307</f>
        <v>6</v>
      </c>
      <c r="M2308" t="str">
        <f>IF(Raw_Claims_Data!M2307="","N/A",Raw_Claims_Data!M2307)</f>
        <v>N/A</v>
      </c>
      <c r="N2308" t="str">
        <f>Raw_Claims_Data!N2307</f>
        <v>AGENT00231</v>
      </c>
      <c r="O2308">
        <f>IF(Raw_Claims_Data!G2307="D",1,0)</f>
        <v>0</v>
      </c>
    </row>
    <row r="2309" spans="1:15" x14ac:dyDescent="0.35">
      <c r="A2309" t="str">
        <f>Raw_Claims_Data!A2308</f>
        <v>TXN00002305</v>
      </c>
      <c r="B2309" t="str">
        <f>TRIM(Raw_Claims_Data!B2308)</f>
        <v>Jacob Jones</v>
      </c>
      <c r="C2309" t="str">
        <f>Raw_Claims_Data!C2308</f>
        <v>Travel</v>
      </c>
      <c r="D2309">
        <f>Raw_Claims_Data!D2308</f>
        <v>81.52</v>
      </c>
      <c r="E2309">
        <f>Raw_Claims_Data!E2308</f>
        <v>4000</v>
      </c>
      <c r="F2309" t="str">
        <f>Raw_Claims_Data!F2308</f>
        <v>AK</v>
      </c>
      <c r="G2309" t="str">
        <f>Raw_Claims_Data!G2308</f>
        <v>A</v>
      </c>
      <c r="H2309" t="str">
        <f>Raw_Claims_Data!H2308</f>
        <v>Major Loss</v>
      </c>
      <c r="I2309" t="str">
        <f>IF(Raw_Claims_Data!I2308="","None",Raw_Claims_Data!I2308)</f>
        <v>Police</v>
      </c>
      <c r="J2309" t="str">
        <f>Raw_Claims_Data!J2308</f>
        <v>Hayward</v>
      </c>
      <c r="K2309" t="str">
        <f>Raw_Claims_Data!K2308</f>
        <v>CA</v>
      </c>
      <c r="L2309">
        <f>Raw_Claims_Data!L2308</f>
        <v>11</v>
      </c>
      <c r="M2309" t="str">
        <f>IF(Raw_Claims_Data!M2308="","N/A",Raw_Claims_Data!M2308)</f>
        <v>VNDR00562</v>
      </c>
      <c r="N2309" t="str">
        <f>Raw_Claims_Data!N2308</f>
        <v>AGENT00238</v>
      </c>
      <c r="O2309">
        <f>IF(Raw_Claims_Data!G2308="D",1,0)</f>
        <v>0</v>
      </c>
    </row>
    <row r="2310" spans="1:15" x14ac:dyDescent="0.35">
      <c r="A2310" t="str">
        <f>Raw_Claims_Data!A2309</f>
        <v>TXN00002306</v>
      </c>
      <c r="B2310" t="str">
        <f>TRIM(Raw_Claims_Data!B2309)</f>
        <v>Misty Fanney</v>
      </c>
      <c r="C2310" t="str">
        <f>Raw_Claims_Data!C2309</f>
        <v>Property</v>
      </c>
      <c r="D2310">
        <f>Raw_Claims_Data!D2309</f>
        <v>129.35</v>
      </c>
      <c r="E2310">
        <f>Raw_Claims_Data!E2309</f>
        <v>14000</v>
      </c>
      <c r="F2310" t="str">
        <f>Raw_Claims_Data!F2309</f>
        <v>CO</v>
      </c>
      <c r="G2310" t="str">
        <f>Raw_Claims_Data!G2309</f>
        <v>A</v>
      </c>
      <c r="H2310" t="str">
        <f>Raw_Claims_Data!H2309</f>
        <v>Major Loss</v>
      </c>
      <c r="I2310" t="str">
        <f>IF(Raw_Claims_Data!I2309="","None",Raw_Claims_Data!I2309)</f>
        <v>None</v>
      </c>
      <c r="J2310" t="str">
        <f>Raw_Claims_Data!J2309</f>
        <v>Laurel</v>
      </c>
      <c r="K2310" t="str">
        <f>Raw_Claims_Data!K2309</f>
        <v>MD</v>
      </c>
      <c r="L2310">
        <f>Raw_Claims_Data!L2309</f>
        <v>10</v>
      </c>
      <c r="M2310" t="str">
        <f>IF(Raw_Claims_Data!M2309="","N/A",Raw_Claims_Data!M2309)</f>
        <v>N/A</v>
      </c>
      <c r="N2310" t="str">
        <f>Raw_Claims_Data!N2309</f>
        <v>AGENT01024</v>
      </c>
      <c r="O2310">
        <f>IF(Raw_Claims_Data!G2309="D",1,0)</f>
        <v>0</v>
      </c>
    </row>
    <row r="2311" spans="1:15" x14ac:dyDescent="0.35">
      <c r="A2311" t="str">
        <f>Raw_Claims_Data!A2310</f>
        <v>TXN00002307</v>
      </c>
      <c r="B2311" t="str">
        <f>TRIM(Raw_Claims_Data!B2310)</f>
        <v>Natashia Jeune</v>
      </c>
      <c r="C2311" t="str">
        <f>Raw_Claims_Data!C2310</f>
        <v>Life</v>
      </c>
      <c r="D2311">
        <f>Raw_Claims_Data!D2310</f>
        <v>80.010000000000005</v>
      </c>
      <c r="E2311">
        <f>Raw_Claims_Data!E2310</f>
        <v>13000</v>
      </c>
      <c r="F2311" t="str">
        <f>Raw_Claims_Data!F2310</f>
        <v>AZ</v>
      </c>
      <c r="G2311" t="str">
        <f>Raw_Claims_Data!G2310</f>
        <v>A</v>
      </c>
      <c r="H2311" t="str">
        <f>Raw_Claims_Data!H2310</f>
        <v>Major Loss</v>
      </c>
      <c r="I2311" t="str">
        <f>IF(Raw_Claims_Data!I2310="","None",Raw_Claims_Data!I2310)</f>
        <v>Ambulance</v>
      </c>
      <c r="J2311" t="str">
        <f>Raw_Claims_Data!J2310</f>
        <v>Moore</v>
      </c>
      <c r="K2311" t="str">
        <f>Raw_Claims_Data!K2310</f>
        <v>OK</v>
      </c>
      <c r="L2311">
        <f>Raw_Claims_Data!L2310</f>
        <v>18</v>
      </c>
      <c r="M2311" t="str">
        <f>IF(Raw_Claims_Data!M2310="","N/A",Raw_Claims_Data!M2310)</f>
        <v>VNDR00498</v>
      </c>
      <c r="N2311" t="str">
        <f>Raw_Claims_Data!N2310</f>
        <v>AGENT00590</v>
      </c>
      <c r="O2311">
        <f>IF(Raw_Claims_Data!G2310="D",1,0)</f>
        <v>0</v>
      </c>
    </row>
    <row r="2312" spans="1:15" x14ac:dyDescent="0.35">
      <c r="A2312" t="str">
        <f>Raw_Claims_Data!A2311</f>
        <v>TXN00002308</v>
      </c>
      <c r="B2312" t="str">
        <f>TRIM(Raw_Claims_Data!B2311)</f>
        <v>Gladys Perry</v>
      </c>
      <c r="C2312" t="str">
        <f>Raw_Claims_Data!C2311</f>
        <v>Motor</v>
      </c>
      <c r="D2312">
        <f>Raw_Claims_Data!D2311</f>
        <v>101.65</v>
      </c>
      <c r="E2312">
        <f>Raw_Claims_Data!E2311</f>
        <v>6000</v>
      </c>
      <c r="F2312" t="str">
        <f>Raw_Claims_Data!F2311</f>
        <v>VT</v>
      </c>
      <c r="G2312" t="str">
        <f>Raw_Claims_Data!G2311</f>
        <v>A</v>
      </c>
      <c r="H2312" t="str">
        <f>Raw_Claims_Data!H2311</f>
        <v>Major Loss</v>
      </c>
      <c r="I2312" t="str">
        <f>IF(Raw_Claims_Data!I2311="","None",Raw_Claims_Data!I2311)</f>
        <v>Ambulance</v>
      </c>
      <c r="J2312" t="str">
        <f>Raw_Claims_Data!J2311</f>
        <v>Washington</v>
      </c>
      <c r="K2312" t="str">
        <f>Raw_Claims_Data!K2311</f>
        <v>DC</v>
      </c>
      <c r="L2312">
        <f>Raw_Claims_Data!L2311</f>
        <v>15</v>
      </c>
      <c r="M2312" t="str">
        <f>IF(Raw_Claims_Data!M2311="","N/A",Raw_Claims_Data!M2311)</f>
        <v>VNDR00361</v>
      </c>
      <c r="N2312" t="str">
        <f>Raw_Claims_Data!N2311</f>
        <v>AGENT00713</v>
      </c>
      <c r="O2312">
        <f>IF(Raw_Claims_Data!G2311="D",1,0)</f>
        <v>0</v>
      </c>
    </row>
    <row r="2313" spans="1:15" x14ac:dyDescent="0.35">
      <c r="A2313" t="str">
        <f>Raw_Claims_Data!A2312</f>
        <v>TXN00002309</v>
      </c>
      <c r="B2313" t="str">
        <f>TRIM(Raw_Claims_Data!B2312)</f>
        <v>Jack Allison</v>
      </c>
      <c r="C2313" t="str">
        <f>Raw_Claims_Data!C2312</f>
        <v>Travel</v>
      </c>
      <c r="D2313">
        <f>Raw_Claims_Data!D2312</f>
        <v>83.75</v>
      </c>
      <c r="E2313">
        <f>Raw_Claims_Data!E2312</f>
        <v>1000</v>
      </c>
      <c r="F2313" t="str">
        <f>Raw_Claims_Data!F2312</f>
        <v>AL</v>
      </c>
      <c r="G2313" t="str">
        <f>Raw_Claims_Data!G2312</f>
        <v>A</v>
      </c>
      <c r="H2313" t="str">
        <f>Raw_Claims_Data!H2312</f>
        <v>Minor Loss</v>
      </c>
      <c r="I2313" t="str">
        <f>IF(Raw_Claims_Data!I2312="","None",Raw_Claims_Data!I2312)</f>
        <v>None</v>
      </c>
      <c r="J2313" t="str">
        <f>Raw_Claims_Data!J2312</f>
        <v>Fayetteville</v>
      </c>
      <c r="K2313" t="str">
        <f>Raw_Claims_Data!K2312</f>
        <v>AR</v>
      </c>
      <c r="L2313">
        <f>Raw_Claims_Data!L2312</f>
        <v>8</v>
      </c>
      <c r="M2313" t="str">
        <f>IF(Raw_Claims_Data!M2312="","N/A",Raw_Claims_Data!M2312)</f>
        <v>N/A</v>
      </c>
      <c r="N2313" t="str">
        <f>Raw_Claims_Data!N2312</f>
        <v>AGENT00320</v>
      </c>
      <c r="O2313">
        <f>IF(Raw_Claims_Data!G2312="D",1,0)</f>
        <v>0</v>
      </c>
    </row>
    <row r="2314" spans="1:15" x14ac:dyDescent="0.35">
      <c r="A2314" t="str">
        <f>Raw_Claims_Data!A2313</f>
        <v>TXN00002310</v>
      </c>
      <c r="B2314" t="str">
        <f>TRIM(Raw_Claims_Data!B2313)</f>
        <v>Boyd Trajillo</v>
      </c>
      <c r="C2314" t="str">
        <f>Raw_Claims_Data!C2313</f>
        <v>Property</v>
      </c>
      <c r="D2314">
        <f>Raw_Claims_Data!D2313</f>
        <v>112.5</v>
      </c>
      <c r="E2314">
        <f>Raw_Claims_Data!E2313</f>
        <v>14000</v>
      </c>
      <c r="F2314" t="str">
        <f>Raw_Claims_Data!F2313</f>
        <v>FL</v>
      </c>
      <c r="G2314" t="str">
        <f>Raw_Claims_Data!G2313</f>
        <v>A</v>
      </c>
      <c r="H2314" t="str">
        <f>Raw_Claims_Data!H2313</f>
        <v>Total Loss</v>
      </c>
      <c r="I2314" t="str">
        <f>IF(Raw_Claims_Data!I2313="","None",Raw_Claims_Data!I2313)</f>
        <v>Other</v>
      </c>
      <c r="J2314" t="str">
        <f>Raw_Claims_Data!J2313</f>
        <v>Manchester</v>
      </c>
      <c r="K2314" t="str">
        <f>Raw_Claims_Data!K2313</f>
        <v>CT</v>
      </c>
      <c r="L2314">
        <f>Raw_Claims_Data!L2313</f>
        <v>0</v>
      </c>
      <c r="M2314" t="str">
        <f>IF(Raw_Claims_Data!M2313="","N/A",Raw_Claims_Data!M2313)</f>
        <v>VNDR00361</v>
      </c>
      <c r="N2314" t="str">
        <f>Raw_Claims_Data!N2313</f>
        <v>AGENT00237</v>
      </c>
      <c r="O2314">
        <f>IF(Raw_Claims_Data!G2313="D",1,0)</f>
        <v>0</v>
      </c>
    </row>
    <row r="2315" spans="1:15" x14ac:dyDescent="0.35">
      <c r="A2315" t="str">
        <f>Raw_Claims_Data!A2314</f>
        <v>TXN00002311</v>
      </c>
      <c r="B2315" t="str">
        <f>TRIM(Raw_Claims_Data!B2314)</f>
        <v>Jo Larson</v>
      </c>
      <c r="C2315" t="str">
        <f>Raw_Claims_Data!C2314</f>
        <v>Life</v>
      </c>
      <c r="D2315">
        <f>Raw_Claims_Data!D2314</f>
        <v>80.55</v>
      </c>
      <c r="E2315">
        <f>Raw_Claims_Data!E2314</f>
        <v>96000</v>
      </c>
      <c r="F2315" t="str">
        <f>Raw_Claims_Data!F2314</f>
        <v>FL</v>
      </c>
      <c r="G2315" t="str">
        <f>Raw_Claims_Data!G2314</f>
        <v>A</v>
      </c>
      <c r="H2315" t="str">
        <f>Raw_Claims_Data!H2314</f>
        <v>Total Loss</v>
      </c>
      <c r="I2315" t="str">
        <f>IF(Raw_Claims_Data!I2314="","None",Raw_Claims_Data!I2314)</f>
        <v>None</v>
      </c>
      <c r="J2315" t="str">
        <f>Raw_Claims_Data!J2314</f>
        <v>Nashville</v>
      </c>
      <c r="K2315" t="str">
        <f>Raw_Claims_Data!K2314</f>
        <v>TN</v>
      </c>
      <c r="L2315">
        <f>Raw_Claims_Data!L2314</f>
        <v>23</v>
      </c>
      <c r="M2315" t="str">
        <f>IF(Raw_Claims_Data!M2314="","N/A",Raw_Claims_Data!M2314)</f>
        <v>VNDR00100</v>
      </c>
      <c r="N2315" t="str">
        <f>Raw_Claims_Data!N2314</f>
        <v>AGENT00219</v>
      </c>
      <c r="O2315">
        <f>IF(Raw_Claims_Data!G2314="D",1,0)</f>
        <v>0</v>
      </c>
    </row>
    <row r="2316" spans="1:15" x14ac:dyDescent="0.35">
      <c r="A2316" t="str">
        <f>Raw_Claims_Data!A2315</f>
        <v>TXN00002312</v>
      </c>
      <c r="B2316" t="str">
        <f>TRIM(Raw_Claims_Data!B2315)</f>
        <v>Terry Glover</v>
      </c>
      <c r="C2316" t="str">
        <f>Raw_Claims_Data!C2315</f>
        <v>Property</v>
      </c>
      <c r="D2316">
        <f>Raw_Claims_Data!D2315</f>
        <v>115.38</v>
      </c>
      <c r="E2316">
        <f>Raw_Claims_Data!E2315</f>
        <v>34000</v>
      </c>
      <c r="F2316" t="str">
        <f>Raw_Claims_Data!F2315</f>
        <v>KY</v>
      </c>
      <c r="G2316" t="str">
        <f>Raw_Claims_Data!G2315</f>
        <v>D</v>
      </c>
      <c r="H2316" t="str">
        <f>Raw_Claims_Data!H2315</f>
        <v>Major Loss</v>
      </c>
      <c r="I2316" t="str">
        <f>IF(Raw_Claims_Data!I2315="","None",Raw_Claims_Data!I2315)</f>
        <v>Other</v>
      </c>
      <c r="J2316" t="str">
        <f>Raw_Claims_Data!J2315</f>
        <v>Southport</v>
      </c>
      <c r="K2316" t="str">
        <f>Raw_Claims_Data!K2315</f>
        <v>FL</v>
      </c>
      <c r="L2316">
        <f>Raw_Claims_Data!L2315</f>
        <v>22</v>
      </c>
      <c r="M2316" t="str">
        <f>IF(Raw_Claims_Data!M2315="","N/A",Raw_Claims_Data!M2315)</f>
        <v>N/A</v>
      </c>
      <c r="N2316" t="str">
        <f>Raw_Claims_Data!N2315</f>
        <v>AGENT00526</v>
      </c>
      <c r="O2316">
        <f>IF(Raw_Claims_Data!G2315="D",1,0)</f>
        <v>1</v>
      </c>
    </row>
    <row r="2317" spans="1:15" x14ac:dyDescent="0.35">
      <c r="A2317" t="str">
        <f>Raw_Claims_Data!A2316</f>
        <v>TXN00002313</v>
      </c>
      <c r="B2317" t="str">
        <f>TRIM(Raw_Claims_Data!B2316)</f>
        <v>Dorothy Nalley</v>
      </c>
      <c r="C2317" t="str">
        <f>Raw_Claims_Data!C2316</f>
        <v>Mobile</v>
      </c>
      <c r="D2317">
        <f>Raw_Claims_Data!D2316</f>
        <v>8.68</v>
      </c>
      <c r="E2317">
        <f>Raw_Claims_Data!E2316</f>
        <v>600</v>
      </c>
      <c r="F2317" t="str">
        <f>Raw_Claims_Data!F2316</f>
        <v>CA</v>
      </c>
      <c r="G2317" t="str">
        <f>Raw_Claims_Data!G2316</f>
        <v>A</v>
      </c>
      <c r="H2317" t="str">
        <f>Raw_Claims_Data!H2316</f>
        <v>Minor Loss</v>
      </c>
      <c r="I2317" t="str">
        <f>IF(Raw_Claims_Data!I2316="","None",Raw_Claims_Data!I2316)</f>
        <v>Ambulance</v>
      </c>
      <c r="J2317" t="str">
        <f>Raw_Claims_Data!J2316</f>
        <v>Panama City Beach</v>
      </c>
      <c r="K2317" t="str">
        <f>Raw_Claims_Data!K2316</f>
        <v>FL</v>
      </c>
      <c r="L2317">
        <f>Raw_Claims_Data!L2316</f>
        <v>20</v>
      </c>
      <c r="M2317" t="str">
        <f>IF(Raw_Claims_Data!M2316="","N/A",Raw_Claims_Data!M2316)</f>
        <v>VNDR00550</v>
      </c>
      <c r="N2317" t="str">
        <f>Raw_Claims_Data!N2316</f>
        <v>AGENT00206</v>
      </c>
      <c r="O2317">
        <f>IF(Raw_Claims_Data!G2316="D",1,0)</f>
        <v>0</v>
      </c>
    </row>
    <row r="2318" spans="1:15" x14ac:dyDescent="0.35">
      <c r="A2318" t="str">
        <f>Raw_Claims_Data!A2317</f>
        <v>TXN00002314</v>
      </c>
      <c r="B2318" t="str">
        <f>TRIM(Raw_Claims_Data!B2317)</f>
        <v>Nancy Whittle</v>
      </c>
      <c r="C2318" t="str">
        <f>Raw_Claims_Data!C2317</f>
        <v>Mobile</v>
      </c>
      <c r="D2318">
        <f>Raw_Claims_Data!D2317</f>
        <v>7.16</v>
      </c>
      <c r="E2318">
        <f>Raw_Claims_Data!E2317</f>
        <v>600</v>
      </c>
      <c r="F2318" t="str">
        <f>Raw_Claims_Data!F2317</f>
        <v>AR</v>
      </c>
      <c r="G2318" t="str">
        <f>Raw_Claims_Data!G2317</f>
        <v>A</v>
      </c>
      <c r="H2318" t="str">
        <f>Raw_Claims_Data!H2317</f>
        <v>Total Loss</v>
      </c>
      <c r="I2318" t="str">
        <f>IF(Raw_Claims_Data!I2317="","None",Raw_Claims_Data!I2317)</f>
        <v>Police</v>
      </c>
      <c r="J2318" t="str">
        <f>Raw_Claims_Data!J2317</f>
        <v>Hayward</v>
      </c>
      <c r="K2318" t="str">
        <f>Raw_Claims_Data!K2317</f>
        <v>CA</v>
      </c>
      <c r="L2318">
        <f>Raw_Claims_Data!L2317</f>
        <v>12</v>
      </c>
      <c r="M2318" t="str">
        <f>IF(Raw_Claims_Data!M2317="","N/A",Raw_Claims_Data!M2317)</f>
        <v>VNDR00592</v>
      </c>
      <c r="N2318" t="str">
        <f>Raw_Claims_Data!N2317</f>
        <v>AGENT00011</v>
      </c>
      <c r="O2318">
        <f>IF(Raw_Claims_Data!G2317="D",1,0)</f>
        <v>0</v>
      </c>
    </row>
    <row r="2319" spans="1:15" x14ac:dyDescent="0.35">
      <c r="A2319" t="str">
        <f>Raw_Claims_Data!A2318</f>
        <v>TXN00002315</v>
      </c>
      <c r="B2319" t="str">
        <f>TRIM(Raw_Claims_Data!B2318)</f>
        <v>Mitchell Vineyard</v>
      </c>
      <c r="C2319" t="str">
        <f>Raw_Claims_Data!C2318</f>
        <v>Travel</v>
      </c>
      <c r="D2319">
        <f>Raw_Claims_Data!D2318</f>
        <v>82.31</v>
      </c>
      <c r="E2319">
        <f>Raw_Claims_Data!E2318</f>
        <v>5000</v>
      </c>
      <c r="F2319" t="str">
        <f>Raw_Claims_Data!F2318</f>
        <v>CT</v>
      </c>
      <c r="G2319" t="str">
        <f>Raw_Claims_Data!G2318</f>
        <v>A</v>
      </c>
      <c r="H2319" t="str">
        <f>Raw_Claims_Data!H2318</f>
        <v>Total Loss</v>
      </c>
      <c r="I2319" t="str">
        <f>IF(Raw_Claims_Data!I2318="","None",Raw_Claims_Data!I2318)</f>
        <v>Police</v>
      </c>
      <c r="J2319" t="str">
        <f>Raw_Claims_Data!J2318</f>
        <v>Nashville</v>
      </c>
      <c r="K2319" t="str">
        <f>Raw_Claims_Data!K2318</f>
        <v>TN</v>
      </c>
      <c r="L2319">
        <f>Raw_Claims_Data!L2318</f>
        <v>19</v>
      </c>
      <c r="M2319" t="str">
        <f>IF(Raw_Claims_Data!M2318="","N/A",Raw_Claims_Data!M2318)</f>
        <v>VNDR00250</v>
      </c>
      <c r="N2319" t="str">
        <f>Raw_Claims_Data!N2318</f>
        <v>AGENT01061</v>
      </c>
      <c r="O2319">
        <f>IF(Raw_Claims_Data!G2318="D",1,0)</f>
        <v>0</v>
      </c>
    </row>
    <row r="2320" spans="1:15" x14ac:dyDescent="0.35">
      <c r="A2320" t="str">
        <f>Raw_Claims_Data!A2319</f>
        <v>TXN00002316</v>
      </c>
      <c r="B2320" t="str">
        <f>TRIM(Raw_Claims_Data!B2319)</f>
        <v>Karen Duffey</v>
      </c>
      <c r="C2320" t="str">
        <f>Raw_Claims_Data!C2319</f>
        <v>Travel</v>
      </c>
      <c r="D2320">
        <f>Raw_Claims_Data!D2319</f>
        <v>93.17</v>
      </c>
      <c r="E2320">
        <f>Raw_Claims_Data!E2319</f>
        <v>4000</v>
      </c>
      <c r="F2320" t="str">
        <f>Raw_Claims_Data!F2319</f>
        <v>OK</v>
      </c>
      <c r="G2320" t="str">
        <f>Raw_Claims_Data!G2319</f>
        <v>A</v>
      </c>
      <c r="H2320" t="str">
        <f>Raw_Claims_Data!H2319</f>
        <v>Major Loss</v>
      </c>
      <c r="I2320" t="str">
        <f>IF(Raw_Claims_Data!I2319="","None",Raw_Claims_Data!I2319)</f>
        <v>Ambulance</v>
      </c>
      <c r="J2320" t="str">
        <f>Raw_Claims_Data!J2319</f>
        <v>Grand Junction</v>
      </c>
      <c r="K2320" t="str">
        <f>Raw_Claims_Data!K2319</f>
        <v>CO</v>
      </c>
      <c r="L2320">
        <f>Raw_Claims_Data!L2319</f>
        <v>16</v>
      </c>
      <c r="M2320" t="str">
        <f>IF(Raw_Claims_Data!M2319="","N/A",Raw_Claims_Data!M2319)</f>
        <v>VNDR00293</v>
      </c>
      <c r="N2320" t="str">
        <f>Raw_Claims_Data!N2319</f>
        <v>AGENT00169</v>
      </c>
      <c r="O2320">
        <f>IF(Raw_Claims_Data!G2319="D",1,0)</f>
        <v>0</v>
      </c>
    </row>
    <row r="2321" spans="1:15" x14ac:dyDescent="0.35">
      <c r="A2321" t="str">
        <f>Raw_Claims_Data!A2320</f>
        <v>TXN00002317</v>
      </c>
      <c r="B2321" t="str">
        <f>TRIM(Raw_Claims_Data!B2320)</f>
        <v>Whitney Byers</v>
      </c>
      <c r="C2321" t="str">
        <f>Raw_Claims_Data!C2320</f>
        <v>Motor</v>
      </c>
      <c r="D2321">
        <f>Raw_Claims_Data!D2320</f>
        <v>121.14</v>
      </c>
      <c r="E2321">
        <f>Raw_Claims_Data!E2320</f>
        <v>8000</v>
      </c>
      <c r="F2321" t="str">
        <f>Raw_Claims_Data!F2320</f>
        <v>OK</v>
      </c>
      <c r="G2321" t="str">
        <f>Raw_Claims_Data!G2320</f>
        <v>A</v>
      </c>
      <c r="H2321" t="str">
        <f>Raw_Claims_Data!H2320</f>
        <v>Minor Loss</v>
      </c>
      <c r="I2321" t="str">
        <f>IF(Raw_Claims_Data!I2320="","None",Raw_Claims_Data!I2320)</f>
        <v>Police</v>
      </c>
      <c r="J2321" t="str">
        <f>Raw_Claims_Data!J2320</f>
        <v>Quincy</v>
      </c>
      <c r="K2321" t="str">
        <f>Raw_Claims_Data!K2320</f>
        <v>MA</v>
      </c>
      <c r="L2321">
        <f>Raw_Claims_Data!L2320</f>
        <v>11</v>
      </c>
      <c r="M2321" t="str">
        <f>IF(Raw_Claims_Data!M2320="","N/A",Raw_Claims_Data!M2320)</f>
        <v>VNDR00210</v>
      </c>
      <c r="N2321" t="str">
        <f>Raw_Claims_Data!N2320</f>
        <v>AGENT00889</v>
      </c>
      <c r="O2321">
        <f>IF(Raw_Claims_Data!G2320="D",1,0)</f>
        <v>0</v>
      </c>
    </row>
    <row r="2322" spans="1:15" x14ac:dyDescent="0.35">
      <c r="A2322" t="str">
        <f>Raw_Claims_Data!A2321</f>
        <v>TXN00002318</v>
      </c>
      <c r="B2322" t="str">
        <f>TRIM(Raw_Claims_Data!B2321)</f>
        <v>Robert Paul</v>
      </c>
      <c r="C2322" t="str">
        <f>Raw_Claims_Data!C2321</f>
        <v>Mobile</v>
      </c>
      <c r="D2322">
        <f>Raw_Claims_Data!D2321</f>
        <v>11.55</v>
      </c>
      <c r="E2322">
        <f>Raw_Claims_Data!E2321</f>
        <v>400</v>
      </c>
      <c r="F2322" t="str">
        <f>Raw_Claims_Data!F2321</f>
        <v>GA</v>
      </c>
      <c r="G2322" t="str">
        <f>Raw_Claims_Data!G2321</f>
        <v>A</v>
      </c>
      <c r="H2322" t="str">
        <f>Raw_Claims_Data!H2321</f>
        <v>Major Loss</v>
      </c>
      <c r="I2322" t="str">
        <f>IF(Raw_Claims_Data!I2321="","None",Raw_Claims_Data!I2321)</f>
        <v>Police</v>
      </c>
      <c r="J2322" t="str">
        <f>Raw_Claims_Data!J2321</f>
        <v>Montgomery</v>
      </c>
      <c r="K2322" t="str">
        <f>Raw_Claims_Data!K2321</f>
        <v>AL</v>
      </c>
      <c r="L2322">
        <f>Raw_Claims_Data!L2321</f>
        <v>1</v>
      </c>
      <c r="M2322" t="str">
        <f>IF(Raw_Claims_Data!M2321="","N/A",Raw_Claims_Data!M2321)</f>
        <v>VNDR00598</v>
      </c>
      <c r="N2322" t="str">
        <f>Raw_Claims_Data!N2321</f>
        <v>AGENT00140</v>
      </c>
      <c r="O2322">
        <f>IF(Raw_Claims_Data!G2321="D",1,0)</f>
        <v>0</v>
      </c>
    </row>
    <row r="2323" spans="1:15" x14ac:dyDescent="0.35">
      <c r="A2323" t="str">
        <f>Raw_Claims_Data!A2322</f>
        <v>TXN00002319</v>
      </c>
      <c r="B2323" t="str">
        <f>TRIM(Raw_Claims_Data!B2322)</f>
        <v>Shannon Burton</v>
      </c>
      <c r="C2323" t="str">
        <f>Raw_Claims_Data!C2322</f>
        <v>Property</v>
      </c>
      <c r="D2323">
        <f>Raw_Claims_Data!D2322</f>
        <v>153.02000000000001</v>
      </c>
      <c r="E2323">
        <f>Raw_Claims_Data!E2322</f>
        <v>17000</v>
      </c>
      <c r="F2323" t="str">
        <f>Raw_Claims_Data!F2322</f>
        <v>GA</v>
      </c>
      <c r="G2323" t="str">
        <f>Raw_Claims_Data!G2322</f>
        <v>A</v>
      </c>
      <c r="H2323" t="str">
        <f>Raw_Claims_Data!H2322</f>
        <v>Total Loss</v>
      </c>
      <c r="I2323" t="str">
        <f>IF(Raw_Claims_Data!I2322="","None",Raw_Claims_Data!I2322)</f>
        <v>None</v>
      </c>
      <c r="J2323" t="str">
        <f>Raw_Claims_Data!J2322</f>
        <v>Glen Burnie</v>
      </c>
      <c r="K2323" t="str">
        <f>Raw_Claims_Data!K2322</f>
        <v>MD</v>
      </c>
      <c r="L2323">
        <f>Raw_Claims_Data!L2322</f>
        <v>17</v>
      </c>
      <c r="M2323" t="str">
        <f>IF(Raw_Claims_Data!M2322="","N/A",Raw_Claims_Data!M2322)</f>
        <v>VNDR00357</v>
      </c>
      <c r="N2323" t="str">
        <f>Raw_Claims_Data!N2322</f>
        <v>AGENT00330</v>
      </c>
      <c r="O2323">
        <f>IF(Raw_Claims_Data!G2322="D",1,0)</f>
        <v>0</v>
      </c>
    </row>
    <row r="2324" spans="1:15" x14ac:dyDescent="0.35">
      <c r="A2324" t="str">
        <f>Raw_Claims_Data!A2323</f>
        <v>TXN00002320</v>
      </c>
      <c r="B2324" t="str">
        <f>TRIM(Raw_Claims_Data!B2323)</f>
        <v>Luisa Marshall</v>
      </c>
      <c r="C2324" t="str">
        <f>Raw_Claims_Data!C2323</f>
        <v>Motor</v>
      </c>
      <c r="D2324">
        <f>Raw_Claims_Data!D2323</f>
        <v>112.77</v>
      </c>
      <c r="E2324">
        <f>Raw_Claims_Data!E2323</f>
        <v>6000</v>
      </c>
      <c r="F2324" t="str">
        <f>Raw_Claims_Data!F2323</f>
        <v>MD</v>
      </c>
      <c r="G2324" t="str">
        <f>Raw_Claims_Data!G2323</f>
        <v>A</v>
      </c>
      <c r="H2324" t="str">
        <f>Raw_Claims_Data!H2323</f>
        <v>Total Loss</v>
      </c>
      <c r="I2324" t="str">
        <f>IF(Raw_Claims_Data!I2323="","None",Raw_Claims_Data!I2323)</f>
        <v>Ambulance</v>
      </c>
      <c r="J2324" t="str">
        <f>Raw_Claims_Data!J2323</f>
        <v>Bakersfield</v>
      </c>
      <c r="K2324" t="str">
        <f>Raw_Claims_Data!K2323</f>
        <v>CA</v>
      </c>
      <c r="L2324">
        <f>Raw_Claims_Data!L2323</f>
        <v>11</v>
      </c>
      <c r="M2324" t="str">
        <f>IF(Raw_Claims_Data!M2323="","N/A",Raw_Claims_Data!M2323)</f>
        <v>N/A</v>
      </c>
      <c r="N2324" t="str">
        <f>Raw_Claims_Data!N2323</f>
        <v>AGENT01117</v>
      </c>
      <c r="O2324">
        <f>IF(Raw_Claims_Data!G2323="D",1,0)</f>
        <v>0</v>
      </c>
    </row>
    <row r="2325" spans="1:15" x14ac:dyDescent="0.35">
      <c r="A2325" t="str">
        <f>Raw_Claims_Data!A2324</f>
        <v>TXN00002321</v>
      </c>
      <c r="B2325" t="str">
        <f>TRIM(Raw_Claims_Data!B2324)</f>
        <v>Katelyn Cianciola</v>
      </c>
      <c r="C2325" t="str">
        <f>Raw_Claims_Data!C2324</f>
        <v>Life</v>
      </c>
      <c r="D2325">
        <f>Raw_Claims_Data!D2324</f>
        <v>64.42</v>
      </c>
      <c r="E2325">
        <f>Raw_Claims_Data!E2324</f>
        <v>24000</v>
      </c>
      <c r="F2325" t="str">
        <f>Raw_Claims_Data!F2324</f>
        <v>AL</v>
      </c>
      <c r="G2325" t="str">
        <f>Raw_Claims_Data!G2324</f>
        <v>A</v>
      </c>
      <c r="H2325" t="str">
        <f>Raw_Claims_Data!H2324</f>
        <v>Total Loss</v>
      </c>
      <c r="I2325" t="str">
        <f>IF(Raw_Claims_Data!I2324="","None",Raw_Claims_Data!I2324)</f>
        <v>None</v>
      </c>
      <c r="J2325" t="str">
        <f>Raw_Claims_Data!J2324</f>
        <v>Montgomery</v>
      </c>
      <c r="K2325" t="str">
        <f>Raw_Claims_Data!K2324</f>
        <v>AL</v>
      </c>
      <c r="L2325">
        <f>Raw_Claims_Data!L2324</f>
        <v>0</v>
      </c>
      <c r="M2325" t="str">
        <f>IF(Raw_Claims_Data!M2324="","N/A",Raw_Claims_Data!M2324)</f>
        <v>N/A</v>
      </c>
      <c r="N2325" t="str">
        <f>Raw_Claims_Data!N2324</f>
        <v>AGENT00019</v>
      </c>
      <c r="O2325">
        <f>IF(Raw_Claims_Data!G2324="D",1,0)</f>
        <v>0</v>
      </c>
    </row>
    <row r="2326" spans="1:15" x14ac:dyDescent="0.35">
      <c r="A2326" t="str">
        <f>Raw_Claims_Data!A2325</f>
        <v>TXN00002322</v>
      </c>
      <c r="B2326" t="str">
        <f>TRIM(Raw_Claims_Data!B2325)</f>
        <v>Lan Eoff</v>
      </c>
      <c r="C2326" t="str">
        <f>Raw_Claims_Data!C2325</f>
        <v>Property</v>
      </c>
      <c r="D2326">
        <f>Raw_Claims_Data!D2325</f>
        <v>116</v>
      </c>
      <c r="E2326">
        <f>Raw_Claims_Data!E2325</f>
        <v>37000</v>
      </c>
      <c r="F2326" t="str">
        <f>Raw_Claims_Data!F2325</f>
        <v>CA</v>
      </c>
      <c r="G2326" t="str">
        <f>Raw_Claims_Data!G2325</f>
        <v>A</v>
      </c>
      <c r="H2326" t="str">
        <f>Raw_Claims_Data!H2325</f>
        <v>Minor Loss</v>
      </c>
      <c r="I2326" t="str">
        <f>IF(Raw_Claims_Data!I2325="","None",Raw_Claims_Data!I2325)</f>
        <v>Ambulance</v>
      </c>
      <c r="J2326" t="str">
        <f>Raw_Claims_Data!J2325</f>
        <v>Manchester</v>
      </c>
      <c r="K2326" t="str">
        <f>Raw_Claims_Data!K2325</f>
        <v>CT</v>
      </c>
      <c r="L2326">
        <f>Raw_Claims_Data!L2325</f>
        <v>1</v>
      </c>
      <c r="M2326" t="str">
        <f>IF(Raw_Claims_Data!M2325="","N/A",Raw_Claims_Data!M2325)</f>
        <v>VNDR00418</v>
      </c>
      <c r="N2326" t="str">
        <f>Raw_Claims_Data!N2325</f>
        <v>AGENT00699</v>
      </c>
      <c r="O2326">
        <f>IF(Raw_Claims_Data!G2325="D",1,0)</f>
        <v>0</v>
      </c>
    </row>
    <row r="2327" spans="1:15" x14ac:dyDescent="0.35">
      <c r="A2327" t="str">
        <f>Raw_Claims_Data!A2326</f>
        <v>TXN00002323</v>
      </c>
      <c r="B2327" t="str">
        <f>TRIM(Raw_Claims_Data!B2326)</f>
        <v>Charles Wadley</v>
      </c>
      <c r="C2327" t="str">
        <f>Raw_Claims_Data!C2326</f>
        <v>Mobile</v>
      </c>
      <c r="D2327">
        <f>Raw_Claims_Data!D2326</f>
        <v>9.76</v>
      </c>
      <c r="E2327">
        <f>Raw_Claims_Data!E2326</f>
        <v>500</v>
      </c>
      <c r="F2327" t="str">
        <f>Raw_Claims_Data!F2326</f>
        <v>CA</v>
      </c>
      <c r="G2327" t="str">
        <f>Raw_Claims_Data!G2326</f>
        <v>A</v>
      </c>
      <c r="H2327" t="str">
        <f>Raw_Claims_Data!H2326</f>
        <v>Major Loss</v>
      </c>
      <c r="I2327" t="str">
        <f>IF(Raw_Claims_Data!I2326="","None",Raw_Claims_Data!I2326)</f>
        <v>Ambulance</v>
      </c>
      <c r="J2327" t="str">
        <f>Raw_Claims_Data!J2326</f>
        <v>Glen Burnie</v>
      </c>
      <c r="K2327" t="str">
        <f>Raw_Claims_Data!K2326</f>
        <v>MD</v>
      </c>
      <c r="L2327">
        <f>Raw_Claims_Data!L2326</f>
        <v>8</v>
      </c>
      <c r="M2327" t="str">
        <f>IF(Raw_Claims_Data!M2326="","N/A",Raw_Claims_Data!M2326)</f>
        <v>VNDR00115</v>
      </c>
      <c r="N2327" t="str">
        <f>Raw_Claims_Data!N2326</f>
        <v>AGENT01047</v>
      </c>
      <c r="O2327">
        <f>IF(Raw_Claims_Data!G2326="D",1,0)</f>
        <v>0</v>
      </c>
    </row>
    <row r="2328" spans="1:15" x14ac:dyDescent="0.35">
      <c r="A2328" t="str">
        <f>Raw_Claims_Data!A2327</f>
        <v>TXN00002324</v>
      </c>
      <c r="B2328" t="str">
        <f>TRIM(Raw_Claims_Data!B2327)</f>
        <v>Tony Mcandrew</v>
      </c>
      <c r="C2328" t="str">
        <f>Raw_Claims_Data!C2327</f>
        <v>Travel</v>
      </c>
      <c r="D2328">
        <f>Raw_Claims_Data!D2327</f>
        <v>96.6</v>
      </c>
      <c r="E2328">
        <f>Raw_Claims_Data!E2327</f>
        <v>3000</v>
      </c>
      <c r="F2328" t="str">
        <f>Raw_Claims_Data!F2327</f>
        <v>DC</v>
      </c>
      <c r="G2328" t="str">
        <f>Raw_Claims_Data!G2327</f>
        <v>A</v>
      </c>
      <c r="H2328" t="str">
        <f>Raw_Claims_Data!H2327</f>
        <v>Minor Loss</v>
      </c>
      <c r="I2328" t="str">
        <f>IF(Raw_Claims_Data!I2327="","None",Raw_Claims_Data!I2327)</f>
        <v>Police</v>
      </c>
      <c r="J2328" t="str">
        <f>Raw_Claims_Data!J2327</f>
        <v>Oklahoma City</v>
      </c>
      <c r="K2328" t="str">
        <f>Raw_Claims_Data!K2327</f>
        <v>OK</v>
      </c>
      <c r="L2328">
        <f>Raw_Claims_Data!L2327</f>
        <v>5</v>
      </c>
      <c r="M2328" t="str">
        <f>IF(Raw_Claims_Data!M2327="","N/A",Raw_Claims_Data!M2327)</f>
        <v>VNDR00454</v>
      </c>
      <c r="N2328" t="str">
        <f>Raw_Claims_Data!N2327</f>
        <v>AGENT00029</v>
      </c>
      <c r="O2328">
        <f>IF(Raw_Claims_Data!G2327="D",1,0)</f>
        <v>0</v>
      </c>
    </row>
    <row r="2329" spans="1:15" x14ac:dyDescent="0.35">
      <c r="A2329" t="str">
        <f>Raw_Claims_Data!A2328</f>
        <v>TXN00002325</v>
      </c>
      <c r="B2329" t="str">
        <f>TRIM(Raw_Claims_Data!B2328)</f>
        <v>Samuel Lind</v>
      </c>
      <c r="C2329" t="str">
        <f>Raw_Claims_Data!C2328</f>
        <v>Motor</v>
      </c>
      <c r="D2329">
        <f>Raw_Claims_Data!D2328</f>
        <v>131.22999999999999</v>
      </c>
      <c r="E2329">
        <f>Raw_Claims_Data!E2328</f>
        <v>2000</v>
      </c>
      <c r="F2329" t="str">
        <f>Raw_Claims_Data!F2328</f>
        <v>DC</v>
      </c>
      <c r="G2329" t="str">
        <f>Raw_Claims_Data!G2328</f>
        <v>A</v>
      </c>
      <c r="H2329" t="str">
        <f>Raw_Claims_Data!H2328</f>
        <v>Total Loss</v>
      </c>
      <c r="I2329" t="str">
        <f>IF(Raw_Claims_Data!I2328="","None",Raw_Claims_Data!I2328)</f>
        <v>Other</v>
      </c>
      <c r="J2329" t="str">
        <f>Raw_Claims_Data!J2328</f>
        <v>Groton</v>
      </c>
      <c r="K2329" t="str">
        <f>Raw_Claims_Data!K2328</f>
        <v>CT</v>
      </c>
      <c r="L2329">
        <f>Raw_Claims_Data!L2328</f>
        <v>15</v>
      </c>
      <c r="M2329" t="str">
        <f>IF(Raw_Claims_Data!M2328="","N/A",Raw_Claims_Data!M2328)</f>
        <v>VNDR00094</v>
      </c>
      <c r="N2329" t="str">
        <f>Raw_Claims_Data!N2328</f>
        <v>AGENT00170</v>
      </c>
      <c r="O2329">
        <f>IF(Raw_Claims_Data!G2328="D",1,0)</f>
        <v>0</v>
      </c>
    </row>
    <row r="2330" spans="1:15" x14ac:dyDescent="0.35">
      <c r="A2330" t="str">
        <f>Raw_Claims_Data!A2329</f>
        <v>TXN00002326</v>
      </c>
      <c r="B2330" t="str">
        <f>TRIM(Raw_Claims_Data!B2329)</f>
        <v>Clora Anderson</v>
      </c>
      <c r="C2330" t="str">
        <f>Raw_Claims_Data!C2329</f>
        <v>Health</v>
      </c>
      <c r="D2330">
        <f>Raw_Claims_Data!D2329</f>
        <v>189.77</v>
      </c>
      <c r="E2330">
        <f>Raw_Claims_Data!E2329</f>
        <v>9000</v>
      </c>
      <c r="F2330" t="str">
        <f>Raw_Claims_Data!F2329</f>
        <v>DC</v>
      </c>
      <c r="G2330" t="str">
        <f>Raw_Claims_Data!G2329</f>
        <v>A</v>
      </c>
      <c r="H2330" t="str">
        <f>Raw_Claims_Data!H2329</f>
        <v>Minor Loss</v>
      </c>
      <c r="I2330" t="str">
        <f>IF(Raw_Claims_Data!I2329="","None",Raw_Claims_Data!I2329)</f>
        <v>Ambulance</v>
      </c>
      <c r="J2330" t="str">
        <f>Raw_Claims_Data!J2329</f>
        <v>Montgomery</v>
      </c>
      <c r="K2330" t="str">
        <f>Raw_Claims_Data!K2329</f>
        <v>AL</v>
      </c>
      <c r="L2330">
        <f>Raw_Claims_Data!L2329</f>
        <v>21</v>
      </c>
      <c r="M2330" t="str">
        <f>IF(Raw_Claims_Data!M2329="","N/A",Raw_Claims_Data!M2329)</f>
        <v>N/A</v>
      </c>
      <c r="N2330" t="str">
        <f>Raw_Claims_Data!N2329</f>
        <v>AGENT00768</v>
      </c>
      <c r="O2330">
        <f>IF(Raw_Claims_Data!G2329="D",1,0)</f>
        <v>0</v>
      </c>
    </row>
    <row r="2331" spans="1:15" x14ac:dyDescent="0.35">
      <c r="A2331" t="str">
        <f>Raw_Claims_Data!A2330</f>
        <v>TXN00002327</v>
      </c>
      <c r="B2331" t="str">
        <f>TRIM(Raw_Claims_Data!B2330)</f>
        <v>Monica Jarvis</v>
      </c>
      <c r="C2331" t="str">
        <f>Raw_Claims_Data!C2330</f>
        <v>Life</v>
      </c>
      <c r="D2331">
        <f>Raw_Claims_Data!D2330</f>
        <v>79.34</v>
      </c>
      <c r="E2331">
        <f>Raw_Claims_Data!E2330</f>
        <v>50000</v>
      </c>
      <c r="F2331" t="str">
        <f>Raw_Claims_Data!F2330</f>
        <v>DC</v>
      </c>
      <c r="G2331" t="str">
        <f>Raw_Claims_Data!G2330</f>
        <v>A</v>
      </c>
      <c r="H2331" t="str">
        <f>Raw_Claims_Data!H2330</f>
        <v>Minor Loss</v>
      </c>
      <c r="I2331" t="str">
        <f>IF(Raw_Claims_Data!I2330="","None",Raw_Claims_Data!I2330)</f>
        <v>Ambulance</v>
      </c>
      <c r="J2331" t="str">
        <f>Raw_Claims_Data!J2330</f>
        <v>Saint Albans City</v>
      </c>
      <c r="K2331" t="str">
        <f>Raw_Claims_Data!K2330</f>
        <v>VT</v>
      </c>
      <c r="L2331">
        <f>Raw_Claims_Data!L2330</f>
        <v>22</v>
      </c>
      <c r="M2331" t="str">
        <f>IF(Raw_Claims_Data!M2330="","N/A",Raw_Claims_Data!M2330)</f>
        <v>N/A</v>
      </c>
      <c r="N2331" t="str">
        <f>Raw_Claims_Data!N2330</f>
        <v>AGENT00480</v>
      </c>
      <c r="O2331">
        <f>IF(Raw_Claims_Data!G2330="D",1,0)</f>
        <v>0</v>
      </c>
    </row>
    <row r="2332" spans="1:15" x14ac:dyDescent="0.35">
      <c r="A2332" t="str">
        <f>Raw_Claims_Data!A2331</f>
        <v>TXN00002328</v>
      </c>
      <c r="B2332" t="str">
        <f>TRIM(Raw_Claims_Data!B2331)</f>
        <v>Goldie Iraheta</v>
      </c>
      <c r="C2332" t="str">
        <f>Raw_Claims_Data!C2331</f>
        <v>Mobile</v>
      </c>
      <c r="D2332">
        <f>Raw_Claims_Data!D2331</f>
        <v>8.84</v>
      </c>
      <c r="E2332">
        <f>Raw_Claims_Data!E2331</f>
        <v>400</v>
      </c>
      <c r="F2332" t="str">
        <f>Raw_Claims_Data!F2331</f>
        <v>MA</v>
      </c>
      <c r="G2332" t="str">
        <f>Raw_Claims_Data!G2331</f>
        <v>A</v>
      </c>
      <c r="H2332" t="str">
        <f>Raw_Claims_Data!H2331</f>
        <v>Major Loss</v>
      </c>
      <c r="I2332" t="str">
        <f>IF(Raw_Claims_Data!I2331="","None",Raw_Claims_Data!I2331)</f>
        <v>Ambulance</v>
      </c>
      <c r="J2332" t="str">
        <f>Raw_Claims_Data!J2331</f>
        <v>Savannah</v>
      </c>
      <c r="K2332" t="str">
        <f>Raw_Claims_Data!K2331</f>
        <v>GA</v>
      </c>
      <c r="L2332">
        <f>Raw_Claims_Data!L2331</f>
        <v>6</v>
      </c>
      <c r="M2332" t="str">
        <f>IF(Raw_Claims_Data!M2331="","N/A",Raw_Claims_Data!M2331)</f>
        <v>VNDR00532</v>
      </c>
      <c r="N2332" t="str">
        <f>Raw_Claims_Data!N2331</f>
        <v>AGENT00067</v>
      </c>
      <c r="O2332">
        <f>IF(Raw_Claims_Data!G2331="D",1,0)</f>
        <v>0</v>
      </c>
    </row>
    <row r="2333" spans="1:15" x14ac:dyDescent="0.35">
      <c r="A2333" t="str">
        <f>Raw_Claims_Data!A2332</f>
        <v>TXN00002329</v>
      </c>
      <c r="B2333" t="str">
        <f>TRIM(Raw_Claims_Data!B2332)</f>
        <v>Amanda Fletcher</v>
      </c>
      <c r="C2333" t="str">
        <f>Raw_Claims_Data!C2332</f>
        <v>Travel</v>
      </c>
      <c r="D2333">
        <f>Raw_Claims_Data!D2332</f>
        <v>71.27</v>
      </c>
      <c r="E2333">
        <f>Raw_Claims_Data!E2332</f>
        <v>5000</v>
      </c>
      <c r="F2333" t="str">
        <f>Raw_Claims_Data!F2332</f>
        <v>MD</v>
      </c>
      <c r="G2333" t="str">
        <f>Raw_Claims_Data!G2332</f>
        <v>A</v>
      </c>
      <c r="H2333" t="str">
        <f>Raw_Claims_Data!H2332</f>
        <v>Minor Loss</v>
      </c>
      <c r="I2333" t="str">
        <f>IF(Raw_Claims_Data!I2332="","None",Raw_Claims_Data!I2332)</f>
        <v>Other</v>
      </c>
      <c r="J2333" t="str">
        <f>Raw_Claims_Data!J2332</f>
        <v>Anchorage</v>
      </c>
      <c r="K2333" t="str">
        <f>Raw_Claims_Data!K2332</f>
        <v>AK</v>
      </c>
      <c r="L2333">
        <f>Raw_Claims_Data!L2332</f>
        <v>5</v>
      </c>
      <c r="M2333" t="str">
        <f>IF(Raw_Claims_Data!M2332="","N/A",Raw_Claims_Data!M2332)</f>
        <v>VNDR00018</v>
      </c>
      <c r="N2333" t="str">
        <f>Raw_Claims_Data!N2332</f>
        <v>AGENT00390</v>
      </c>
      <c r="O2333">
        <f>IF(Raw_Claims_Data!G2332="D",1,0)</f>
        <v>0</v>
      </c>
    </row>
    <row r="2334" spans="1:15" x14ac:dyDescent="0.35">
      <c r="A2334" t="str">
        <f>Raw_Claims_Data!A2333</f>
        <v>TXN00002330</v>
      </c>
      <c r="B2334" t="str">
        <f>TRIM(Raw_Claims_Data!B2333)</f>
        <v>Colleen Johnson</v>
      </c>
      <c r="C2334" t="str">
        <f>Raw_Claims_Data!C2333</f>
        <v>Motor</v>
      </c>
      <c r="D2334">
        <f>Raw_Claims_Data!D2333</f>
        <v>114.51</v>
      </c>
      <c r="E2334">
        <f>Raw_Claims_Data!E2333</f>
        <v>6000</v>
      </c>
      <c r="F2334" t="str">
        <f>Raw_Claims_Data!F2333</f>
        <v>MA</v>
      </c>
      <c r="G2334" t="str">
        <f>Raw_Claims_Data!G2333</f>
        <v>A</v>
      </c>
      <c r="H2334" t="str">
        <f>Raw_Claims_Data!H2333</f>
        <v>Major Loss</v>
      </c>
      <c r="I2334" t="str">
        <f>IF(Raw_Claims_Data!I2333="","None",Raw_Claims_Data!I2333)</f>
        <v>Police</v>
      </c>
      <c r="J2334" t="str">
        <f>Raw_Claims_Data!J2333</f>
        <v>Nashville</v>
      </c>
      <c r="K2334" t="str">
        <f>Raw_Claims_Data!K2333</f>
        <v>TN</v>
      </c>
      <c r="L2334">
        <f>Raw_Claims_Data!L2333</f>
        <v>19</v>
      </c>
      <c r="M2334" t="str">
        <f>IF(Raw_Claims_Data!M2333="","N/A",Raw_Claims_Data!M2333)</f>
        <v>VNDR00282</v>
      </c>
      <c r="N2334" t="str">
        <f>Raw_Claims_Data!N2333</f>
        <v>AGENT00468</v>
      </c>
      <c r="O2334">
        <f>IF(Raw_Claims_Data!G2333="D",1,0)</f>
        <v>0</v>
      </c>
    </row>
    <row r="2335" spans="1:15" x14ac:dyDescent="0.35">
      <c r="A2335" t="str">
        <f>Raw_Claims_Data!A2334</f>
        <v>TXN00002331</v>
      </c>
      <c r="B2335" t="str">
        <f>TRIM(Raw_Claims_Data!B2334)</f>
        <v>Chester George</v>
      </c>
      <c r="C2335" t="str">
        <f>Raw_Claims_Data!C2334</f>
        <v>Health</v>
      </c>
      <c r="D2335">
        <f>Raw_Claims_Data!D2334</f>
        <v>124.4</v>
      </c>
      <c r="E2335">
        <f>Raw_Claims_Data!E2334</f>
        <v>13000</v>
      </c>
      <c r="F2335" t="str">
        <f>Raw_Claims_Data!F2334</f>
        <v>CA</v>
      </c>
      <c r="G2335" t="str">
        <f>Raw_Claims_Data!G2334</f>
        <v>A</v>
      </c>
      <c r="H2335" t="str">
        <f>Raw_Claims_Data!H2334</f>
        <v>Total Loss</v>
      </c>
      <c r="I2335" t="str">
        <f>IF(Raw_Claims_Data!I2334="","None",Raw_Claims_Data!I2334)</f>
        <v>None</v>
      </c>
      <c r="J2335" t="str">
        <f>Raw_Claims_Data!J2334</f>
        <v>Manchester</v>
      </c>
      <c r="K2335" t="str">
        <f>Raw_Claims_Data!K2334</f>
        <v>CT</v>
      </c>
      <c r="L2335">
        <f>Raw_Claims_Data!L2334</f>
        <v>12</v>
      </c>
      <c r="M2335" t="str">
        <f>IF(Raw_Claims_Data!M2334="","N/A",Raw_Claims_Data!M2334)</f>
        <v>VNDR00579</v>
      </c>
      <c r="N2335" t="str">
        <f>Raw_Claims_Data!N2334</f>
        <v>AGENT00496</v>
      </c>
      <c r="O2335">
        <f>IF(Raw_Claims_Data!G2334="D",1,0)</f>
        <v>0</v>
      </c>
    </row>
    <row r="2336" spans="1:15" x14ac:dyDescent="0.35">
      <c r="A2336" t="str">
        <f>Raw_Claims_Data!A2335</f>
        <v>TXN00002332</v>
      </c>
      <c r="B2336" t="str">
        <f>TRIM(Raw_Claims_Data!B2335)</f>
        <v>Erika Bottone</v>
      </c>
      <c r="C2336" t="str">
        <f>Raw_Claims_Data!C2335</f>
        <v>Property</v>
      </c>
      <c r="D2336">
        <f>Raw_Claims_Data!D2335</f>
        <v>149.34</v>
      </c>
      <c r="E2336">
        <f>Raw_Claims_Data!E2335</f>
        <v>10000</v>
      </c>
      <c r="F2336" t="str">
        <f>Raw_Claims_Data!F2335</f>
        <v>VT</v>
      </c>
      <c r="G2336" t="str">
        <f>Raw_Claims_Data!G2335</f>
        <v>A</v>
      </c>
      <c r="H2336" t="str">
        <f>Raw_Claims_Data!H2335</f>
        <v>Minor Loss</v>
      </c>
      <c r="I2336" t="str">
        <f>IF(Raw_Claims_Data!I2335="","None",Raw_Claims_Data!I2335)</f>
        <v>Police</v>
      </c>
      <c r="J2336" t="str">
        <f>Raw_Claims_Data!J2335</f>
        <v>Glendale</v>
      </c>
      <c r="K2336" t="str">
        <f>Raw_Claims_Data!K2335</f>
        <v>AZ</v>
      </c>
      <c r="L2336">
        <f>Raw_Claims_Data!L2335</f>
        <v>17</v>
      </c>
      <c r="M2336" t="str">
        <f>IF(Raw_Claims_Data!M2335="","N/A",Raw_Claims_Data!M2335)</f>
        <v>N/A</v>
      </c>
      <c r="N2336" t="str">
        <f>Raw_Claims_Data!N2335</f>
        <v>AGENT00426</v>
      </c>
      <c r="O2336">
        <f>IF(Raw_Claims_Data!G2335="D",1,0)</f>
        <v>0</v>
      </c>
    </row>
    <row r="2337" spans="1:15" x14ac:dyDescent="0.35">
      <c r="A2337" t="str">
        <f>Raw_Claims_Data!A2336</f>
        <v>TXN00002333</v>
      </c>
      <c r="B2337" t="str">
        <f>TRIM(Raw_Claims_Data!B2336)</f>
        <v>Steven Carmack</v>
      </c>
      <c r="C2337" t="str">
        <f>Raw_Claims_Data!C2336</f>
        <v>Mobile</v>
      </c>
      <c r="D2337">
        <f>Raw_Claims_Data!D2336</f>
        <v>11.91</v>
      </c>
      <c r="E2337">
        <f>Raw_Claims_Data!E2336</f>
        <v>700</v>
      </c>
      <c r="F2337" t="str">
        <f>Raw_Claims_Data!F2336</f>
        <v>AL</v>
      </c>
      <c r="G2337" t="str">
        <f>Raw_Claims_Data!G2336</f>
        <v>A</v>
      </c>
      <c r="H2337" t="str">
        <f>Raw_Claims_Data!H2336</f>
        <v>Minor Loss</v>
      </c>
      <c r="I2337" t="str">
        <f>IF(Raw_Claims_Data!I2336="","None",Raw_Claims_Data!I2336)</f>
        <v>None</v>
      </c>
      <c r="J2337" t="str">
        <f>Raw_Claims_Data!J2336</f>
        <v>Nashville</v>
      </c>
      <c r="K2337" t="str">
        <f>Raw_Claims_Data!K2336</f>
        <v>TN</v>
      </c>
      <c r="L2337">
        <f>Raw_Claims_Data!L2336</f>
        <v>16</v>
      </c>
      <c r="M2337" t="str">
        <f>IF(Raw_Claims_Data!M2336="","N/A",Raw_Claims_Data!M2336)</f>
        <v>VNDR00166</v>
      </c>
      <c r="N2337" t="str">
        <f>Raw_Claims_Data!N2336</f>
        <v>AGENT00617</v>
      </c>
      <c r="O2337">
        <f>IF(Raw_Claims_Data!G2336="D",1,0)</f>
        <v>0</v>
      </c>
    </row>
    <row r="2338" spans="1:15" x14ac:dyDescent="0.35">
      <c r="A2338" t="str">
        <f>Raw_Claims_Data!A2337</f>
        <v>TXN00002334</v>
      </c>
      <c r="B2338" t="str">
        <f>TRIM(Raw_Claims_Data!B2337)</f>
        <v>Shelly Benson</v>
      </c>
      <c r="C2338" t="str">
        <f>Raw_Claims_Data!C2337</f>
        <v>Travel</v>
      </c>
      <c r="D2338">
        <f>Raw_Claims_Data!D2337</f>
        <v>79.73</v>
      </c>
      <c r="E2338">
        <f>Raw_Claims_Data!E2337</f>
        <v>5000</v>
      </c>
      <c r="F2338" t="str">
        <f>Raw_Claims_Data!F2337</f>
        <v>OK</v>
      </c>
      <c r="G2338" t="str">
        <f>Raw_Claims_Data!G2337</f>
        <v>A</v>
      </c>
      <c r="H2338" t="str">
        <f>Raw_Claims_Data!H2337</f>
        <v>Minor Loss</v>
      </c>
      <c r="I2338" t="str">
        <f>IF(Raw_Claims_Data!I2337="","None",Raw_Claims_Data!I2337)</f>
        <v>Police</v>
      </c>
      <c r="J2338" t="str">
        <f>Raw_Claims_Data!J2337</f>
        <v>Laurel</v>
      </c>
      <c r="K2338" t="str">
        <f>Raw_Claims_Data!K2337</f>
        <v>MD</v>
      </c>
      <c r="L2338">
        <f>Raw_Claims_Data!L2337</f>
        <v>18</v>
      </c>
      <c r="M2338" t="str">
        <f>IF(Raw_Claims_Data!M2337="","N/A",Raw_Claims_Data!M2337)</f>
        <v>VNDR00084</v>
      </c>
      <c r="N2338" t="str">
        <f>Raw_Claims_Data!N2337</f>
        <v>AGENT00050</v>
      </c>
      <c r="O2338">
        <f>IF(Raw_Claims_Data!G2337="D",1,0)</f>
        <v>0</v>
      </c>
    </row>
    <row r="2339" spans="1:15" x14ac:dyDescent="0.35">
      <c r="A2339" t="str">
        <f>Raw_Claims_Data!A2338</f>
        <v>TXN00002335</v>
      </c>
      <c r="B2339" t="str">
        <f>TRIM(Raw_Claims_Data!B2338)</f>
        <v>Garland Macdougall</v>
      </c>
      <c r="C2339" t="str">
        <f>Raw_Claims_Data!C2338</f>
        <v>Mobile</v>
      </c>
      <c r="D2339">
        <f>Raw_Claims_Data!D2338</f>
        <v>9.5500000000000007</v>
      </c>
      <c r="E2339">
        <f>Raw_Claims_Data!E2338</f>
        <v>600</v>
      </c>
      <c r="F2339" t="str">
        <f>Raw_Claims_Data!F2338</f>
        <v>AZ</v>
      </c>
      <c r="G2339" t="str">
        <f>Raw_Claims_Data!G2338</f>
        <v>D</v>
      </c>
      <c r="H2339" t="str">
        <f>Raw_Claims_Data!H2338</f>
        <v>Total Loss</v>
      </c>
      <c r="I2339" t="str">
        <f>IF(Raw_Claims_Data!I2338="","None",Raw_Claims_Data!I2338)</f>
        <v>Ambulance</v>
      </c>
      <c r="J2339" t="str">
        <f>Raw_Claims_Data!J2338</f>
        <v>Louisville</v>
      </c>
      <c r="K2339" t="str">
        <f>Raw_Claims_Data!K2338</f>
        <v>KY</v>
      </c>
      <c r="L2339">
        <f>Raw_Claims_Data!L2338</f>
        <v>17</v>
      </c>
      <c r="M2339" t="str">
        <f>IF(Raw_Claims_Data!M2338="","N/A",Raw_Claims_Data!M2338)</f>
        <v>VNDR00307</v>
      </c>
      <c r="N2339" t="str">
        <f>Raw_Claims_Data!N2338</f>
        <v>AGENT00823</v>
      </c>
      <c r="O2339">
        <f>IF(Raw_Claims_Data!G2338="D",1,0)</f>
        <v>1</v>
      </c>
    </row>
    <row r="2340" spans="1:15" x14ac:dyDescent="0.35">
      <c r="A2340" t="str">
        <f>Raw_Claims_Data!A2339</f>
        <v>TXN00002336</v>
      </c>
      <c r="B2340" t="str">
        <f>TRIM(Raw_Claims_Data!B2339)</f>
        <v>Clifton Deluca</v>
      </c>
      <c r="C2340" t="str">
        <f>Raw_Claims_Data!C2339</f>
        <v>Motor</v>
      </c>
      <c r="D2340">
        <f>Raw_Claims_Data!D2339</f>
        <v>97.45</v>
      </c>
      <c r="E2340">
        <f>Raw_Claims_Data!E2339</f>
        <v>3000</v>
      </c>
      <c r="F2340" t="str">
        <f>Raw_Claims_Data!F2339</f>
        <v>CT</v>
      </c>
      <c r="G2340" t="str">
        <f>Raw_Claims_Data!G2339</f>
        <v>A</v>
      </c>
      <c r="H2340" t="str">
        <f>Raw_Claims_Data!H2339</f>
        <v>Major Loss</v>
      </c>
      <c r="I2340" t="str">
        <f>IF(Raw_Claims_Data!I2339="","None",Raw_Claims_Data!I2339)</f>
        <v>Ambulance</v>
      </c>
      <c r="J2340" t="str">
        <f>Raw_Claims_Data!J2339</f>
        <v>Arvada</v>
      </c>
      <c r="K2340" t="str">
        <f>Raw_Claims_Data!K2339</f>
        <v>CO</v>
      </c>
      <c r="L2340">
        <f>Raw_Claims_Data!L2339</f>
        <v>19</v>
      </c>
      <c r="M2340" t="str">
        <f>IF(Raw_Claims_Data!M2339="","N/A",Raw_Claims_Data!M2339)</f>
        <v>N/A</v>
      </c>
      <c r="N2340" t="str">
        <f>Raw_Claims_Data!N2339</f>
        <v>AGENT01080</v>
      </c>
      <c r="O2340">
        <f>IF(Raw_Claims_Data!G2339="D",1,0)</f>
        <v>0</v>
      </c>
    </row>
    <row r="2341" spans="1:15" x14ac:dyDescent="0.35">
      <c r="A2341" t="str">
        <f>Raw_Claims_Data!A2340</f>
        <v>TXN00002337</v>
      </c>
      <c r="B2341" t="str">
        <f>TRIM(Raw_Claims_Data!B2340)</f>
        <v>Ron Morrison</v>
      </c>
      <c r="C2341" t="str">
        <f>Raw_Claims_Data!C2340</f>
        <v>Travel</v>
      </c>
      <c r="D2341">
        <f>Raw_Claims_Data!D2340</f>
        <v>64.08</v>
      </c>
      <c r="E2341">
        <f>Raw_Claims_Data!E2340</f>
        <v>1000</v>
      </c>
      <c r="F2341" t="str">
        <f>Raw_Claims_Data!F2340</f>
        <v>CO</v>
      </c>
      <c r="G2341" t="str">
        <f>Raw_Claims_Data!G2340</f>
        <v>A</v>
      </c>
      <c r="H2341" t="str">
        <f>Raw_Claims_Data!H2340</f>
        <v>Total Loss</v>
      </c>
      <c r="I2341" t="str">
        <f>IF(Raw_Claims_Data!I2340="","None",Raw_Claims_Data!I2340)</f>
        <v>Ambulance</v>
      </c>
      <c r="J2341" t="str">
        <f>Raw_Claims_Data!J2340</f>
        <v>Derby</v>
      </c>
      <c r="K2341" t="str">
        <f>Raw_Claims_Data!K2340</f>
        <v>VT</v>
      </c>
      <c r="L2341">
        <f>Raw_Claims_Data!L2340</f>
        <v>4</v>
      </c>
      <c r="M2341" t="str">
        <f>IF(Raw_Claims_Data!M2340="","N/A",Raw_Claims_Data!M2340)</f>
        <v>N/A</v>
      </c>
      <c r="N2341" t="str">
        <f>Raw_Claims_Data!N2340</f>
        <v>AGENT01047</v>
      </c>
      <c r="O2341">
        <f>IF(Raw_Claims_Data!G2340="D",1,0)</f>
        <v>0</v>
      </c>
    </row>
    <row r="2342" spans="1:15" x14ac:dyDescent="0.35">
      <c r="A2342" t="str">
        <f>Raw_Claims_Data!A2341</f>
        <v>TXN00002338</v>
      </c>
      <c r="B2342" t="str">
        <f>TRIM(Raw_Claims_Data!B2341)</f>
        <v>John Park</v>
      </c>
      <c r="C2342" t="str">
        <f>Raw_Claims_Data!C2341</f>
        <v>Motor</v>
      </c>
      <c r="D2342">
        <f>Raw_Claims_Data!D2341</f>
        <v>75.84</v>
      </c>
      <c r="E2342">
        <f>Raw_Claims_Data!E2341</f>
        <v>4000</v>
      </c>
      <c r="F2342" t="str">
        <f>Raw_Claims_Data!F2341</f>
        <v>VT</v>
      </c>
      <c r="G2342" t="str">
        <f>Raw_Claims_Data!G2341</f>
        <v>A</v>
      </c>
      <c r="H2342" t="str">
        <f>Raw_Claims_Data!H2341</f>
        <v>Total Loss</v>
      </c>
      <c r="I2342" t="str">
        <f>IF(Raw_Claims_Data!I2341="","None",Raw_Claims_Data!I2341)</f>
        <v>None</v>
      </c>
      <c r="J2342" t="str">
        <f>Raw_Claims_Data!J2341</f>
        <v>Nashville</v>
      </c>
      <c r="K2342" t="str">
        <f>Raw_Claims_Data!K2341</f>
        <v>TN</v>
      </c>
      <c r="L2342">
        <f>Raw_Claims_Data!L2341</f>
        <v>6</v>
      </c>
      <c r="M2342" t="str">
        <f>IF(Raw_Claims_Data!M2341="","N/A",Raw_Claims_Data!M2341)</f>
        <v>N/A</v>
      </c>
      <c r="N2342" t="str">
        <f>Raw_Claims_Data!N2341</f>
        <v>AGENT01013</v>
      </c>
      <c r="O2342">
        <f>IF(Raw_Claims_Data!G2341="D",1,0)</f>
        <v>0</v>
      </c>
    </row>
    <row r="2343" spans="1:15" x14ac:dyDescent="0.35">
      <c r="A2343" t="str">
        <f>Raw_Claims_Data!A2342</f>
        <v>TXN00002339</v>
      </c>
      <c r="B2343" t="str">
        <f>TRIM(Raw_Claims_Data!B2342)</f>
        <v>Melvin Newlon</v>
      </c>
      <c r="C2343" t="str">
        <f>Raw_Claims_Data!C2342</f>
        <v>Property</v>
      </c>
      <c r="D2343">
        <f>Raw_Claims_Data!D2342</f>
        <v>133.19</v>
      </c>
      <c r="E2343">
        <f>Raw_Claims_Data!E2342</f>
        <v>24000</v>
      </c>
      <c r="F2343" t="str">
        <f>Raw_Claims_Data!F2342</f>
        <v>VT</v>
      </c>
      <c r="G2343" t="str">
        <f>Raw_Claims_Data!G2342</f>
        <v>A</v>
      </c>
      <c r="H2343" t="str">
        <f>Raw_Claims_Data!H2342</f>
        <v>Major Loss</v>
      </c>
      <c r="I2343" t="str">
        <f>IF(Raw_Claims_Data!I2342="","None",Raw_Claims_Data!I2342)</f>
        <v>Ambulance</v>
      </c>
      <c r="J2343" t="str">
        <f>Raw_Claims_Data!J2342</f>
        <v>Rancho Cordova</v>
      </c>
      <c r="K2343" t="str">
        <f>Raw_Claims_Data!K2342</f>
        <v>CA</v>
      </c>
      <c r="L2343">
        <f>Raw_Claims_Data!L2342</f>
        <v>13</v>
      </c>
      <c r="M2343" t="str">
        <f>IF(Raw_Claims_Data!M2342="","N/A",Raw_Claims_Data!M2342)</f>
        <v>VNDR00448</v>
      </c>
      <c r="N2343" t="str">
        <f>Raw_Claims_Data!N2342</f>
        <v>AGENT00755</v>
      </c>
      <c r="O2343">
        <f>IF(Raw_Claims_Data!G2342="D",1,0)</f>
        <v>0</v>
      </c>
    </row>
    <row r="2344" spans="1:15" x14ac:dyDescent="0.35">
      <c r="A2344" t="str">
        <f>Raw_Claims_Data!A2343</f>
        <v>TXN00002340</v>
      </c>
      <c r="B2344" t="str">
        <f>TRIM(Raw_Claims_Data!B2343)</f>
        <v>Danny Lawrence</v>
      </c>
      <c r="C2344" t="str">
        <f>Raw_Claims_Data!C2343</f>
        <v>Life</v>
      </c>
      <c r="D2344">
        <f>Raw_Claims_Data!D2343</f>
        <v>84.32</v>
      </c>
      <c r="E2344">
        <f>Raw_Claims_Data!E2343</f>
        <v>22000</v>
      </c>
      <c r="F2344" t="str">
        <f>Raw_Claims_Data!F2343</f>
        <v>CA</v>
      </c>
      <c r="G2344" t="str">
        <f>Raw_Claims_Data!G2343</f>
        <v>A</v>
      </c>
      <c r="H2344" t="str">
        <f>Raw_Claims_Data!H2343</f>
        <v>Minor Loss</v>
      </c>
      <c r="I2344" t="str">
        <f>IF(Raw_Claims_Data!I2343="","None",Raw_Claims_Data!I2343)</f>
        <v>Police</v>
      </c>
      <c r="J2344" t="str">
        <f>Raw_Claims_Data!J2343</f>
        <v>Manchester</v>
      </c>
      <c r="K2344" t="str">
        <f>Raw_Claims_Data!K2343</f>
        <v>CT</v>
      </c>
      <c r="L2344">
        <f>Raw_Claims_Data!L2343</f>
        <v>7</v>
      </c>
      <c r="M2344" t="str">
        <f>IF(Raw_Claims_Data!M2343="","N/A",Raw_Claims_Data!M2343)</f>
        <v>N/A</v>
      </c>
      <c r="N2344" t="str">
        <f>Raw_Claims_Data!N2343</f>
        <v>AGENT00629</v>
      </c>
      <c r="O2344">
        <f>IF(Raw_Claims_Data!G2343="D",1,0)</f>
        <v>0</v>
      </c>
    </row>
    <row r="2345" spans="1:15" x14ac:dyDescent="0.35">
      <c r="A2345" t="str">
        <f>Raw_Claims_Data!A2344</f>
        <v>TXN00002341</v>
      </c>
      <c r="B2345" t="str">
        <f>TRIM(Raw_Claims_Data!B2344)</f>
        <v>Christa Nance</v>
      </c>
      <c r="C2345" t="str">
        <f>Raw_Claims_Data!C2344</f>
        <v>Mobile</v>
      </c>
      <c r="D2345">
        <f>Raw_Claims_Data!D2344</f>
        <v>11.93</v>
      </c>
      <c r="E2345">
        <f>Raw_Claims_Data!E2344</f>
        <v>600</v>
      </c>
      <c r="F2345" t="str">
        <f>Raw_Claims_Data!F2344</f>
        <v>GA</v>
      </c>
      <c r="G2345" t="str">
        <f>Raw_Claims_Data!G2344</f>
        <v>D</v>
      </c>
      <c r="H2345" t="str">
        <f>Raw_Claims_Data!H2344</f>
        <v>Minor Loss</v>
      </c>
      <c r="I2345" t="str">
        <f>IF(Raw_Claims_Data!I2344="","None",Raw_Claims_Data!I2344)</f>
        <v>Police</v>
      </c>
      <c r="J2345" t="str">
        <f>Raw_Claims_Data!J2344</f>
        <v>Berkeley</v>
      </c>
      <c r="K2345" t="str">
        <f>Raw_Claims_Data!K2344</f>
        <v>CA</v>
      </c>
      <c r="L2345">
        <f>Raw_Claims_Data!L2344</f>
        <v>21</v>
      </c>
      <c r="M2345" t="str">
        <f>IF(Raw_Claims_Data!M2344="","N/A",Raw_Claims_Data!M2344)</f>
        <v>N/A</v>
      </c>
      <c r="N2345" t="str">
        <f>Raw_Claims_Data!N2344</f>
        <v>AGENT00780</v>
      </c>
      <c r="O2345">
        <f>IF(Raw_Claims_Data!G2344="D",1,0)</f>
        <v>1</v>
      </c>
    </row>
    <row r="2346" spans="1:15" x14ac:dyDescent="0.35">
      <c r="A2346" t="str">
        <f>Raw_Claims_Data!A2345</f>
        <v>TXN00002342</v>
      </c>
      <c r="B2346" t="str">
        <f>TRIM(Raw_Claims_Data!B2345)</f>
        <v>Daniel Thornton</v>
      </c>
      <c r="C2346" t="str">
        <f>Raw_Claims_Data!C2345</f>
        <v>Motor</v>
      </c>
      <c r="D2346">
        <f>Raw_Claims_Data!D2345</f>
        <v>123.61</v>
      </c>
      <c r="E2346">
        <f>Raw_Claims_Data!E2345</f>
        <v>6000</v>
      </c>
      <c r="F2346" t="str">
        <f>Raw_Claims_Data!F2345</f>
        <v>CA</v>
      </c>
      <c r="G2346" t="str">
        <f>Raw_Claims_Data!G2345</f>
        <v>A</v>
      </c>
      <c r="H2346" t="str">
        <f>Raw_Claims_Data!H2345</f>
        <v>Minor Loss</v>
      </c>
      <c r="I2346" t="str">
        <f>IF(Raw_Claims_Data!I2345="","None",Raw_Claims_Data!I2345)</f>
        <v>None</v>
      </c>
      <c r="J2346" t="str">
        <f>Raw_Claims_Data!J2345</f>
        <v>Fremont</v>
      </c>
      <c r="K2346" t="str">
        <f>Raw_Claims_Data!K2345</f>
        <v>CA</v>
      </c>
      <c r="L2346">
        <f>Raw_Claims_Data!L2345</f>
        <v>5</v>
      </c>
      <c r="M2346" t="str">
        <f>IF(Raw_Claims_Data!M2345="","N/A",Raw_Claims_Data!M2345)</f>
        <v>VNDR00456</v>
      </c>
      <c r="N2346" t="str">
        <f>Raw_Claims_Data!N2345</f>
        <v>AGENT00623</v>
      </c>
      <c r="O2346">
        <f>IF(Raw_Claims_Data!G2345="D",1,0)</f>
        <v>0</v>
      </c>
    </row>
    <row r="2347" spans="1:15" x14ac:dyDescent="0.35">
      <c r="A2347" t="str">
        <f>Raw_Claims_Data!A2346</f>
        <v>TXN00002343</v>
      </c>
      <c r="B2347" t="str">
        <f>TRIM(Raw_Claims_Data!B2346)</f>
        <v>Tracey Miner</v>
      </c>
      <c r="C2347" t="str">
        <f>Raw_Claims_Data!C2346</f>
        <v>Life</v>
      </c>
      <c r="D2347">
        <f>Raw_Claims_Data!D2346</f>
        <v>70.97</v>
      </c>
      <c r="E2347">
        <f>Raw_Claims_Data!E2346</f>
        <v>76000</v>
      </c>
      <c r="F2347" t="str">
        <f>Raw_Claims_Data!F2346</f>
        <v>AK</v>
      </c>
      <c r="G2347" t="str">
        <f>Raw_Claims_Data!G2346</f>
        <v>A</v>
      </c>
      <c r="H2347" t="str">
        <f>Raw_Claims_Data!H2346</f>
        <v>Total Loss</v>
      </c>
      <c r="I2347" t="str">
        <f>IF(Raw_Claims_Data!I2346="","None",Raw_Claims_Data!I2346)</f>
        <v>Other</v>
      </c>
      <c r="J2347" t="str">
        <f>Raw_Claims_Data!J2346</f>
        <v>Nashville</v>
      </c>
      <c r="K2347" t="str">
        <f>Raw_Claims_Data!K2346</f>
        <v>TN</v>
      </c>
      <c r="L2347">
        <f>Raw_Claims_Data!L2346</f>
        <v>12</v>
      </c>
      <c r="M2347" t="str">
        <f>IF(Raw_Claims_Data!M2346="","N/A",Raw_Claims_Data!M2346)</f>
        <v>VNDR00499</v>
      </c>
      <c r="N2347" t="str">
        <f>Raw_Claims_Data!N2346</f>
        <v>AGENT00528</v>
      </c>
      <c r="O2347">
        <f>IF(Raw_Claims_Data!G2346="D",1,0)</f>
        <v>0</v>
      </c>
    </row>
    <row r="2348" spans="1:15" x14ac:dyDescent="0.35">
      <c r="A2348" t="str">
        <f>Raw_Claims_Data!A2347</f>
        <v>TXN00002344</v>
      </c>
      <c r="B2348" t="str">
        <f>TRIM(Raw_Claims_Data!B2347)</f>
        <v>Garnet Williamson</v>
      </c>
      <c r="C2348" t="str">
        <f>Raw_Claims_Data!C2347</f>
        <v>Travel</v>
      </c>
      <c r="D2348">
        <f>Raw_Claims_Data!D2347</f>
        <v>90.86</v>
      </c>
      <c r="E2348">
        <f>Raw_Claims_Data!E2347</f>
        <v>1000</v>
      </c>
      <c r="F2348" t="str">
        <f>Raw_Claims_Data!F2347</f>
        <v>AZ</v>
      </c>
      <c r="G2348" t="str">
        <f>Raw_Claims_Data!G2347</f>
        <v>A</v>
      </c>
      <c r="H2348" t="str">
        <f>Raw_Claims_Data!H2347</f>
        <v>Minor Loss</v>
      </c>
      <c r="I2348" t="str">
        <f>IF(Raw_Claims_Data!I2347="","None",Raw_Claims_Data!I2347)</f>
        <v>Police</v>
      </c>
      <c r="J2348" t="str">
        <f>Raw_Claims_Data!J2347</f>
        <v>Norman</v>
      </c>
      <c r="K2348" t="str">
        <f>Raw_Claims_Data!K2347</f>
        <v>OK</v>
      </c>
      <c r="L2348">
        <f>Raw_Claims_Data!L2347</f>
        <v>19</v>
      </c>
      <c r="M2348" t="str">
        <f>IF(Raw_Claims_Data!M2347="","N/A",Raw_Claims_Data!M2347)</f>
        <v>VNDR00443</v>
      </c>
      <c r="N2348" t="str">
        <f>Raw_Claims_Data!N2347</f>
        <v>AGENT01100</v>
      </c>
      <c r="O2348">
        <f>IF(Raw_Claims_Data!G2347="D",1,0)</f>
        <v>0</v>
      </c>
    </row>
    <row r="2349" spans="1:15" x14ac:dyDescent="0.35">
      <c r="A2349" t="str">
        <f>Raw_Claims_Data!A2348</f>
        <v>TXN00002345</v>
      </c>
      <c r="B2349" t="str">
        <f>TRIM(Raw_Claims_Data!B2348)</f>
        <v>Michele Longbrake</v>
      </c>
      <c r="C2349" t="str">
        <f>Raw_Claims_Data!C2348</f>
        <v>Travel</v>
      </c>
      <c r="D2349">
        <f>Raw_Claims_Data!D2348</f>
        <v>50.97</v>
      </c>
      <c r="E2349">
        <f>Raw_Claims_Data!E2348</f>
        <v>1000</v>
      </c>
      <c r="F2349" t="str">
        <f>Raw_Claims_Data!F2348</f>
        <v>GA</v>
      </c>
      <c r="G2349" t="str">
        <f>Raw_Claims_Data!G2348</f>
        <v>A</v>
      </c>
      <c r="H2349" t="str">
        <f>Raw_Claims_Data!H2348</f>
        <v>Total Loss</v>
      </c>
      <c r="I2349" t="str">
        <f>IF(Raw_Claims_Data!I2348="","None",Raw_Claims_Data!I2348)</f>
        <v>Police</v>
      </c>
      <c r="J2349" t="str">
        <f>Raw_Claims_Data!J2348</f>
        <v>Nashville</v>
      </c>
      <c r="K2349" t="str">
        <f>Raw_Claims_Data!K2348</f>
        <v>TN</v>
      </c>
      <c r="L2349">
        <f>Raw_Claims_Data!L2348</f>
        <v>9</v>
      </c>
      <c r="M2349" t="str">
        <f>IF(Raw_Claims_Data!M2348="","N/A",Raw_Claims_Data!M2348)</f>
        <v>VNDR00330</v>
      </c>
      <c r="N2349" t="str">
        <f>Raw_Claims_Data!N2348</f>
        <v>AGENT00044</v>
      </c>
      <c r="O2349">
        <f>IF(Raw_Claims_Data!G2348="D",1,0)</f>
        <v>0</v>
      </c>
    </row>
    <row r="2350" spans="1:15" x14ac:dyDescent="0.35">
      <c r="A2350" t="str">
        <f>Raw_Claims_Data!A2349</f>
        <v>TXN00002346</v>
      </c>
      <c r="B2350" t="str">
        <f>TRIM(Raw_Claims_Data!B2349)</f>
        <v>Daniel Wong</v>
      </c>
      <c r="C2350" t="str">
        <f>Raw_Claims_Data!C2349</f>
        <v>Property</v>
      </c>
      <c r="D2350">
        <f>Raw_Claims_Data!D2349</f>
        <v>135.12</v>
      </c>
      <c r="E2350">
        <f>Raw_Claims_Data!E2349</f>
        <v>28000</v>
      </c>
      <c r="F2350" t="str">
        <f>Raw_Claims_Data!F2349</f>
        <v>CO</v>
      </c>
      <c r="G2350" t="str">
        <f>Raw_Claims_Data!G2349</f>
        <v>A</v>
      </c>
      <c r="H2350" t="str">
        <f>Raw_Claims_Data!H2349</f>
        <v>Minor Loss</v>
      </c>
      <c r="I2350" t="str">
        <f>IF(Raw_Claims_Data!I2349="","None",Raw_Claims_Data!I2349)</f>
        <v>None</v>
      </c>
      <c r="J2350" t="str">
        <f>Raw_Claims_Data!J2349</f>
        <v>Anchorage</v>
      </c>
      <c r="K2350" t="str">
        <f>Raw_Claims_Data!K2349</f>
        <v>AK</v>
      </c>
      <c r="L2350">
        <f>Raw_Claims_Data!L2349</f>
        <v>10</v>
      </c>
      <c r="M2350" t="str">
        <f>IF(Raw_Claims_Data!M2349="","N/A",Raw_Claims_Data!M2349)</f>
        <v>VNDR00586</v>
      </c>
      <c r="N2350" t="str">
        <f>Raw_Claims_Data!N2349</f>
        <v>AGENT00961</v>
      </c>
      <c r="O2350">
        <f>IF(Raw_Claims_Data!G2349="D",1,0)</f>
        <v>0</v>
      </c>
    </row>
    <row r="2351" spans="1:15" x14ac:dyDescent="0.35">
      <c r="A2351" t="str">
        <f>Raw_Claims_Data!A2350</f>
        <v>TXN00002347</v>
      </c>
      <c r="B2351" t="str">
        <f>TRIM(Raw_Claims_Data!B2350)</f>
        <v>Jack Linden</v>
      </c>
      <c r="C2351" t="str">
        <f>Raw_Claims_Data!C2350</f>
        <v>Motor</v>
      </c>
      <c r="D2351">
        <f>Raw_Claims_Data!D2350</f>
        <v>121.58</v>
      </c>
      <c r="E2351">
        <f>Raw_Claims_Data!E2350</f>
        <v>4000</v>
      </c>
      <c r="F2351" t="str">
        <f>Raw_Claims_Data!F2350</f>
        <v>CA</v>
      </c>
      <c r="G2351" t="str">
        <f>Raw_Claims_Data!G2350</f>
        <v>A</v>
      </c>
      <c r="H2351" t="str">
        <f>Raw_Claims_Data!H2350</f>
        <v>Total Loss</v>
      </c>
      <c r="I2351" t="str">
        <f>IF(Raw_Claims_Data!I2350="","None",Raw_Claims_Data!I2350)</f>
        <v>Ambulance</v>
      </c>
      <c r="J2351" t="str">
        <f>Raw_Claims_Data!J2350</f>
        <v>Anchorage</v>
      </c>
      <c r="K2351" t="str">
        <f>Raw_Claims_Data!K2350</f>
        <v>AK</v>
      </c>
      <c r="L2351">
        <f>Raw_Claims_Data!L2350</f>
        <v>22</v>
      </c>
      <c r="M2351" t="str">
        <f>IF(Raw_Claims_Data!M2350="","N/A",Raw_Claims_Data!M2350)</f>
        <v>VNDR00042</v>
      </c>
      <c r="N2351" t="str">
        <f>Raw_Claims_Data!N2350</f>
        <v>AGENT00054</v>
      </c>
      <c r="O2351">
        <f>IF(Raw_Claims_Data!G2350="D",1,0)</f>
        <v>0</v>
      </c>
    </row>
    <row r="2352" spans="1:15" x14ac:dyDescent="0.35">
      <c r="A2352" t="str">
        <f>Raw_Claims_Data!A2351</f>
        <v>TXN00002348</v>
      </c>
      <c r="B2352" t="str">
        <f>TRIM(Raw_Claims_Data!B2351)</f>
        <v>Gerardo Parker</v>
      </c>
      <c r="C2352" t="str">
        <f>Raw_Claims_Data!C2351</f>
        <v>Health</v>
      </c>
      <c r="D2352">
        <f>Raw_Claims_Data!D2351</f>
        <v>175.17</v>
      </c>
      <c r="E2352">
        <f>Raw_Claims_Data!E2351</f>
        <v>11000</v>
      </c>
      <c r="F2352" t="str">
        <f>Raw_Claims_Data!F2351</f>
        <v>TN</v>
      </c>
      <c r="G2352" t="str">
        <f>Raw_Claims_Data!G2351</f>
        <v>A</v>
      </c>
      <c r="H2352" t="str">
        <f>Raw_Claims_Data!H2351</f>
        <v>Total Loss</v>
      </c>
      <c r="I2352" t="str">
        <f>IF(Raw_Claims_Data!I2351="","None",Raw_Claims_Data!I2351)</f>
        <v>Ambulance</v>
      </c>
      <c r="J2352" t="str">
        <f>Raw_Claims_Data!J2351</f>
        <v>Pooler</v>
      </c>
      <c r="K2352" t="str">
        <f>Raw_Claims_Data!K2351</f>
        <v>GA</v>
      </c>
      <c r="L2352">
        <f>Raw_Claims_Data!L2351</f>
        <v>23</v>
      </c>
      <c r="M2352" t="str">
        <f>IF(Raw_Claims_Data!M2351="","N/A",Raw_Claims_Data!M2351)</f>
        <v>N/A</v>
      </c>
      <c r="N2352" t="str">
        <f>Raw_Claims_Data!N2351</f>
        <v>AGENT00589</v>
      </c>
      <c r="O2352">
        <f>IF(Raw_Claims_Data!G2351="D",1,0)</f>
        <v>0</v>
      </c>
    </row>
    <row r="2353" spans="1:15" x14ac:dyDescent="0.35">
      <c r="A2353" t="str">
        <f>Raw_Claims_Data!A2352</f>
        <v>TXN00002349</v>
      </c>
      <c r="B2353" t="str">
        <f>TRIM(Raw_Claims_Data!B2352)</f>
        <v>Houston Lemus</v>
      </c>
      <c r="C2353" t="str">
        <f>Raw_Claims_Data!C2352</f>
        <v>Motor</v>
      </c>
      <c r="D2353">
        <f>Raw_Claims_Data!D2352</f>
        <v>124.28</v>
      </c>
      <c r="E2353">
        <f>Raw_Claims_Data!E2352</f>
        <v>5000</v>
      </c>
      <c r="F2353" t="str">
        <f>Raw_Claims_Data!F2352</f>
        <v>FL</v>
      </c>
      <c r="G2353" t="str">
        <f>Raw_Claims_Data!G2352</f>
        <v>A</v>
      </c>
      <c r="H2353" t="str">
        <f>Raw_Claims_Data!H2352</f>
        <v>Total Loss</v>
      </c>
      <c r="I2353" t="str">
        <f>IF(Raw_Claims_Data!I2352="","None",Raw_Claims_Data!I2352)</f>
        <v>Other</v>
      </c>
      <c r="J2353" t="str">
        <f>Raw_Claims_Data!J2352</f>
        <v>Manchester</v>
      </c>
      <c r="K2353" t="str">
        <f>Raw_Claims_Data!K2352</f>
        <v>CT</v>
      </c>
      <c r="L2353">
        <f>Raw_Claims_Data!L2352</f>
        <v>12</v>
      </c>
      <c r="M2353" t="str">
        <f>IF(Raw_Claims_Data!M2352="","N/A",Raw_Claims_Data!M2352)</f>
        <v>VNDR00037</v>
      </c>
      <c r="N2353" t="str">
        <f>Raw_Claims_Data!N2352</f>
        <v>AGENT00644</v>
      </c>
      <c r="O2353">
        <f>IF(Raw_Claims_Data!G2352="D",1,0)</f>
        <v>0</v>
      </c>
    </row>
    <row r="2354" spans="1:15" x14ac:dyDescent="0.35">
      <c r="A2354" t="str">
        <f>Raw_Claims_Data!A2353</f>
        <v>TXN00002350</v>
      </c>
      <c r="B2354" t="str">
        <f>TRIM(Raw_Claims_Data!B2353)</f>
        <v>Michael Yokley</v>
      </c>
      <c r="C2354" t="str">
        <f>Raw_Claims_Data!C2353</f>
        <v>Health</v>
      </c>
      <c r="D2354">
        <f>Raw_Claims_Data!D2353</f>
        <v>111.21</v>
      </c>
      <c r="E2354">
        <f>Raw_Claims_Data!E2353</f>
        <v>6000</v>
      </c>
      <c r="F2354" t="str">
        <f>Raw_Claims_Data!F2353</f>
        <v>AR</v>
      </c>
      <c r="G2354" t="str">
        <f>Raw_Claims_Data!G2353</f>
        <v>A</v>
      </c>
      <c r="H2354" t="str">
        <f>Raw_Claims_Data!H2353</f>
        <v>Minor Loss</v>
      </c>
      <c r="I2354" t="str">
        <f>IF(Raw_Claims_Data!I2353="","None",Raw_Claims_Data!I2353)</f>
        <v>Ambulance</v>
      </c>
      <c r="J2354" t="str">
        <f>Raw_Claims_Data!J2353</f>
        <v>Washington</v>
      </c>
      <c r="K2354" t="str">
        <f>Raw_Claims_Data!K2353</f>
        <v>DC</v>
      </c>
      <c r="L2354">
        <f>Raw_Claims_Data!L2353</f>
        <v>12</v>
      </c>
      <c r="M2354" t="str">
        <f>IF(Raw_Claims_Data!M2353="","N/A",Raw_Claims_Data!M2353)</f>
        <v>N/A</v>
      </c>
      <c r="N2354" t="str">
        <f>Raw_Claims_Data!N2353</f>
        <v>AGENT00431</v>
      </c>
      <c r="O2354">
        <f>IF(Raw_Claims_Data!G2353="D",1,0)</f>
        <v>0</v>
      </c>
    </row>
    <row r="2355" spans="1:15" x14ac:dyDescent="0.35">
      <c r="A2355" t="str">
        <f>Raw_Claims_Data!A2354</f>
        <v>TXN00002351</v>
      </c>
      <c r="B2355" t="str">
        <f>TRIM(Raw_Claims_Data!B2354)</f>
        <v>Corey Monford</v>
      </c>
      <c r="C2355" t="str">
        <f>Raw_Claims_Data!C2354</f>
        <v>Mobile</v>
      </c>
      <c r="D2355">
        <f>Raw_Claims_Data!D2354</f>
        <v>9.1300000000000008</v>
      </c>
      <c r="E2355">
        <f>Raw_Claims_Data!E2354</f>
        <v>500</v>
      </c>
      <c r="F2355" t="str">
        <f>Raw_Claims_Data!F2354</f>
        <v>CT</v>
      </c>
      <c r="G2355" t="str">
        <f>Raw_Claims_Data!G2354</f>
        <v>A</v>
      </c>
      <c r="H2355" t="str">
        <f>Raw_Claims_Data!H2354</f>
        <v>Total Loss</v>
      </c>
      <c r="I2355" t="str">
        <f>IF(Raw_Claims_Data!I2354="","None",Raw_Claims_Data!I2354)</f>
        <v>Ambulance</v>
      </c>
      <c r="J2355" t="str">
        <f>Raw_Claims_Data!J2354</f>
        <v>Fayetteville</v>
      </c>
      <c r="K2355" t="str">
        <f>Raw_Claims_Data!K2354</f>
        <v>AR</v>
      </c>
      <c r="L2355">
        <f>Raw_Claims_Data!L2354</f>
        <v>17</v>
      </c>
      <c r="M2355" t="str">
        <f>IF(Raw_Claims_Data!M2354="","N/A",Raw_Claims_Data!M2354)</f>
        <v>N/A</v>
      </c>
      <c r="N2355" t="str">
        <f>Raw_Claims_Data!N2354</f>
        <v>AGENT00596</v>
      </c>
      <c r="O2355">
        <f>IF(Raw_Claims_Data!G2354="D",1,0)</f>
        <v>0</v>
      </c>
    </row>
    <row r="2356" spans="1:15" x14ac:dyDescent="0.35">
      <c r="A2356" t="str">
        <f>Raw_Claims_Data!A2355</f>
        <v>TXN00002352</v>
      </c>
      <c r="B2356" t="str">
        <f>TRIM(Raw_Claims_Data!B2355)</f>
        <v>Holly Herring</v>
      </c>
      <c r="C2356" t="str">
        <f>Raw_Claims_Data!C2355</f>
        <v>Travel</v>
      </c>
      <c r="D2356">
        <f>Raw_Claims_Data!D2355</f>
        <v>54.39</v>
      </c>
      <c r="E2356">
        <f>Raw_Claims_Data!E2355</f>
        <v>1000</v>
      </c>
      <c r="F2356" t="str">
        <f>Raw_Claims_Data!F2355</f>
        <v>AK</v>
      </c>
      <c r="G2356" t="str">
        <f>Raw_Claims_Data!G2355</f>
        <v>A</v>
      </c>
      <c r="H2356" t="str">
        <f>Raw_Claims_Data!H2355</f>
        <v>Major Loss</v>
      </c>
      <c r="I2356" t="str">
        <f>IF(Raw_Claims_Data!I2355="","None",Raw_Claims_Data!I2355)</f>
        <v>Ambulance</v>
      </c>
      <c r="J2356" t="str">
        <f>Raw_Claims_Data!J2355</f>
        <v>Washington</v>
      </c>
      <c r="K2356" t="str">
        <f>Raw_Claims_Data!K2355</f>
        <v>DC</v>
      </c>
      <c r="L2356">
        <f>Raw_Claims_Data!L2355</f>
        <v>17</v>
      </c>
      <c r="M2356" t="str">
        <f>IF(Raw_Claims_Data!M2355="","N/A",Raw_Claims_Data!M2355)</f>
        <v>N/A</v>
      </c>
      <c r="N2356" t="str">
        <f>Raw_Claims_Data!N2355</f>
        <v>AGENT00941</v>
      </c>
      <c r="O2356">
        <f>IF(Raw_Claims_Data!G2355="D",1,0)</f>
        <v>0</v>
      </c>
    </row>
    <row r="2357" spans="1:15" x14ac:dyDescent="0.35">
      <c r="A2357" t="str">
        <f>Raw_Claims_Data!A2356</f>
        <v>TXN00002353</v>
      </c>
      <c r="B2357" t="str">
        <f>TRIM(Raw_Claims_Data!B2356)</f>
        <v>Jennifer Carswell</v>
      </c>
      <c r="C2357" t="str">
        <f>Raw_Claims_Data!C2356</f>
        <v>Motor</v>
      </c>
      <c r="D2357">
        <f>Raw_Claims_Data!D2356</f>
        <v>120.32</v>
      </c>
      <c r="E2357">
        <f>Raw_Claims_Data!E2356</f>
        <v>6000</v>
      </c>
      <c r="F2357" t="str">
        <f>Raw_Claims_Data!F2356</f>
        <v>KY</v>
      </c>
      <c r="G2357" t="str">
        <f>Raw_Claims_Data!G2356</f>
        <v>A</v>
      </c>
      <c r="H2357" t="str">
        <f>Raw_Claims_Data!H2356</f>
        <v>Major Loss</v>
      </c>
      <c r="I2357" t="str">
        <f>IF(Raw_Claims_Data!I2356="","None",Raw_Claims_Data!I2356)</f>
        <v>Police</v>
      </c>
      <c r="J2357" t="str">
        <f>Raw_Claims_Data!J2356</f>
        <v>Brookfield</v>
      </c>
      <c r="K2357" t="str">
        <f>Raw_Claims_Data!K2356</f>
        <v>VT</v>
      </c>
      <c r="L2357">
        <f>Raw_Claims_Data!L2356</f>
        <v>23</v>
      </c>
      <c r="M2357" t="str">
        <f>IF(Raw_Claims_Data!M2356="","N/A",Raw_Claims_Data!M2356)</f>
        <v>VNDR00075</v>
      </c>
      <c r="N2357" t="str">
        <f>Raw_Claims_Data!N2356</f>
        <v>AGENT00818</v>
      </c>
      <c r="O2357">
        <f>IF(Raw_Claims_Data!G2356="D",1,0)</f>
        <v>0</v>
      </c>
    </row>
    <row r="2358" spans="1:15" x14ac:dyDescent="0.35">
      <c r="A2358" t="str">
        <f>Raw_Claims_Data!A2357</f>
        <v>TXN00002354</v>
      </c>
      <c r="B2358" t="str">
        <f>TRIM(Raw_Claims_Data!B2357)</f>
        <v>Cynthia Mcfarland</v>
      </c>
      <c r="C2358" t="str">
        <f>Raw_Claims_Data!C2357</f>
        <v>Mobile</v>
      </c>
      <c r="D2358">
        <f>Raw_Claims_Data!D2357</f>
        <v>11.66</v>
      </c>
      <c r="E2358">
        <f>Raw_Claims_Data!E2357</f>
        <v>500</v>
      </c>
      <c r="F2358" t="str">
        <f>Raw_Claims_Data!F2357</f>
        <v>FL</v>
      </c>
      <c r="G2358" t="str">
        <f>Raw_Claims_Data!G2357</f>
        <v>A</v>
      </c>
      <c r="H2358" t="str">
        <f>Raw_Claims_Data!H2357</f>
        <v>Minor Loss</v>
      </c>
      <c r="I2358" t="str">
        <f>IF(Raw_Claims_Data!I2357="","None",Raw_Claims_Data!I2357)</f>
        <v>Police</v>
      </c>
      <c r="J2358" t="str">
        <f>Raw_Claims_Data!J2357</f>
        <v>Fayetteville</v>
      </c>
      <c r="K2358" t="str">
        <f>Raw_Claims_Data!K2357</f>
        <v>AR</v>
      </c>
      <c r="L2358">
        <f>Raw_Claims_Data!L2357</f>
        <v>10</v>
      </c>
      <c r="M2358" t="str">
        <f>IF(Raw_Claims_Data!M2357="","N/A",Raw_Claims_Data!M2357)</f>
        <v>N/A</v>
      </c>
      <c r="N2358" t="str">
        <f>Raw_Claims_Data!N2357</f>
        <v>AGENT00976</v>
      </c>
      <c r="O2358">
        <f>IF(Raw_Claims_Data!G2357="D",1,0)</f>
        <v>0</v>
      </c>
    </row>
    <row r="2359" spans="1:15" x14ac:dyDescent="0.35">
      <c r="A2359" t="str">
        <f>Raw_Claims_Data!A2358</f>
        <v>TXN00002355</v>
      </c>
      <c r="B2359" t="str">
        <f>TRIM(Raw_Claims_Data!B2358)</f>
        <v>Melanie Cardona</v>
      </c>
      <c r="C2359" t="str">
        <f>Raw_Claims_Data!C2358</f>
        <v>Health</v>
      </c>
      <c r="D2359">
        <f>Raw_Claims_Data!D2358</f>
        <v>168.88</v>
      </c>
      <c r="E2359">
        <f>Raw_Claims_Data!E2358</f>
        <v>15000</v>
      </c>
      <c r="F2359" t="str">
        <f>Raw_Claims_Data!F2358</f>
        <v>GA</v>
      </c>
      <c r="G2359" t="str">
        <f>Raw_Claims_Data!G2358</f>
        <v>A</v>
      </c>
      <c r="H2359" t="str">
        <f>Raw_Claims_Data!H2358</f>
        <v>Total Loss</v>
      </c>
      <c r="I2359" t="str">
        <f>IF(Raw_Claims_Data!I2358="","None",Raw_Claims_Data!I2358)</f>
        <v>Other</v>
      </c>
      <c r="J2359" t="str">
        <f>Raw_Claims_Data!J2358</f>
        <v>Washington</v>
      </c>
      <c r="K2359" t="str">
        <f>Raw_Claims_Data!K2358</f>
        <v>DC</v>
      </c>
      <c r="L2359">
        <f>Raw_Claims_Data!L2358</f>
        <v>3</v>
      </c>
      <c r="M2359" t="str">
        <f>IF(Raw_Claims_Data!M2358="","N/A",Raw_Claims_Data!M2358)</f>
        <v>N/A</v>
      </c>
      <c r="N2359" t="str">
        <f>Raw_Claims_Data!N2358</f>
        <v>AGENT00381</v>
      </c>
      <c r="O2359">
        <f>IF(Raw_Claims_Data!G2358="D",1,0)</f>
        <v>0</v>
      </c>
    </row>
    <row r="2360" spans="1:15" x14ac:dyDescent="0.35">
      <c r="A2360" t="str">
        <f>Raw_Claims_Data!A2359</f>
        <v>TXN00002356</v>
      </c>
      <c r="B2360" t="str">
        <f>TRIM(Raw_Claims_Data!B2359)</f>
        <v>Lillian Bemis</v>
      </c>
      <c r="C2360" t="str">
        <f>Raw_Claims_Data!C2359</f>
        <v>Life</v>
      </c>
      <c r="D2360">
        <f>Raw_Claims_Data!D2359</f>
        <v>99.32</v>
      </c>
      <c r="E2360">
        <f>Raw_Claims_Data!E2359</f>
        <v>34000</v>
      </c>
      <c r="F2360" t="str">
        <f>Raw_Claims_Data!F2359</f>
        <v>CA</v>
      </c>
      <c r="G2360" t="str">
        <f>Raw_Claims_Data!G2359</f>
        <v>A</v>
      </c>
      <c r="H2360" t="str">
        <f>Raw_Claims_Data!H2359</f>
        <v>Total Loss</v>
      </c>
      <c r="I2360" t="str">
        <f>IF(Raw_Claims_Data!I2359="","None",Raw_Claims_Data!I2359)</f>
        <v>Police</v>
      </c>
      <c r="J2360" t="str">
        <f>Raw_Claims_Data!J2359</f>
        <v>Savannah</v>
      </c>
      <c r="K2360" t="str">
        <f>Raw_Claims_Data!K2359</f>
        <v>GA</v>
      </c>
      <c r="L2360">
        <f>Raw_Claims_Data!L2359</f>
        <v>13</v>
      </c>
      <c r="M2360" t="str">
        <f>IF(Raw_Claims_Data!M2359="","N/A",Raw_Claims_Data!M2359)</f>
        <v>N/A</v>
      </c>
      <c r="N2360" t="str">
        <f>Raw_Claims_Data!N2359</f>
        <v>AGENT01167</v>
      </c>
      <c r="O2360">
        <f>IF(Raw_Claims_Data!G2359="D",1,0)</f>
        <v>0</v>
      </c>
    </row>
    <row r="2361" spans="1:15" x14ac:dyDescent="0.35">
      <c r="A2361" t="str">
        <f>Raw_Claims_Data!A2360</f>
        <v>TXN00002357</v>
      </c>
      <c r="B2361" t="str">
        <f>TRIM(Raw_Claims_Data!B2360)</f>
        <v>Jean Jaime</v>
      </c>
      <c r="C2361" t="str">
        <f>Raw_Claims_Data!C2360</f>
        <v>Life</v>
      </c>
      <c r="D2361">
        <f>Raw_Claims_Data!D2360</f>
        <v>80.45</v>
      </c>
      <c r="E2361">
        <f>Raw_Claims_Data!E2360</f>
        <v>83000</v>
      </c>
      <c r="F2361" t="str">
        <f>Raw_Claims_Data!F2360</f>
        <v>CA</v>
      </c>
      <c r="G2361" t="str">
        <f>Raw_Claims_Data!G2360</f>
        <v>A</v>
      </c>
      <c r="H2361" t="str">
        <f>Raw_Claims_Data!H2360</f>
        <v>Total Loss</v>
      </c>
      <c r="I2361" t="str">
        <f>IF(Raw_Claims_Data!I2360="","None",Raw_Claims_Data!I2360)</f>
        <v>Other</v>
      </c>
      <c r="J2361" t="str">
        <f>Raw_Claims_Data!J2360</f>
        <v>Glendale</v>
      </c>
      <c r="K2361" t="str">
        <f>Raw_Claims_Data!K2360</f>
        <v>AZ</v>
      </c>
      <c r="L2361">
        <f>Raw_Claims_Data!L2360</f>
        <v>7</v>
      </c>
      <c r="M2361" t="str">
        <f>IF(Raw_Claims_Data!M2360="","N/A",Raw_Claims_Data!M2360)</f>
        <v>N/A</v>
      </c>
      <c r="N2361" t="str">
        <f>Raw_Claims_Data!N2360</f>
        <v>AGENT00679</v>
      </c>
      <c r="O2361">
        <f>IF(Raw_Claims_Data!G2360="D",1,0)</f>
        <v>0</v>
      </c>
    </row>
    <row r="2362" spans="1:15" x14ac:dyDescent="0.35">
      <c r="A2362" t="str">
        <f>Raw_Claims_Data!A2361</f>
        <v>TXN00002358</v>
      </c>
      <c r="B2362" t="str">
        <f>TRIM(Raw_Claims_Data!B2361)</f>
        <v>Wayne Timme</v>
      </c>
      <c r="C2362" t="str">
        <f>Raw_Claims_Data!C2361</f>
        <v>Mobile</v>
      </c>
      <c r="D2362">
        <f>Raw_Claims_Data!D2361</f>
        <v>7.22</v>
      </c>
      <c r="E2362">
        <f>Raw_Claims_Data!E2361</f>
        <v>200</v>
      </c>
      <c r="F2362" t="str">
        <f>Raw_Claims_Data!F2361</f>
        <v>MD</v>
      </c>
      <c r="G2362" t="str">
        <f>Raw_Claims_Data!G2361</f>
        <v>A</v>
      </c>
      <c r="H2362" t="str">
        <f>Raw_Claims_Data!H2361</f>
        <v>Total Loss</v>
      </c>
      <c r="I2362" t="str">
        <f>IF(Raw_Claims_Data!I2361="","None",Raw_Claims_Data!I2361)</f>
        <v>Ambulance</v>
      </c>
      <c r="J2362" t="str">
        <f>Raw_Claims_Data!J2361</f>
        <v>Madera</v>
      </c>
      <c r="K2362" t="str">
        <f>Raw_Claims_Data!K2361</f>
        <v>CA</v>
      </c>
      <c r="L2362">
        <f>Raw_Claims_Data!L2361</f>
        <v>21</v>
      </c>
      <c r="M2362" t="str">
        <f>IF(Raw_Claims_Data!M2361="","N/A",Raw_Claims_Data!M2361)</f>
        <v>VNDR00252</v>
      </c>
      <c r="N2362" t="str">
        <f>Raw_Claims_Data!N2361</f>
        <v>AGENT00916</v>
      </c>
      <c r="O2362">
        <f>IF(Raw_Claims_Data!G2361="D",1,0)</f>
        <v>0</v>
      </c>
    </row>
    <row r="2363" spans="1:15" x14ac:dyDescent="0.35">
      <c r="A2363" t="str">
        <f>Raw_Claims_Data!A2362</f>
        <v>TXN00002359</v>
      </c>
      <c r="B2363" t="str">
        <f>TRIM(Raw_Claims_Data!B2362)</f>
        <v>Lee Maldonado</v>
      </c>
      <c r="C2363" t="str">
        <f>Raw_Claims_Data!C2362</f>
        <v>Property</v>
      </c>
      <c r="D2363">
        <f>Raw_Claims_Data!D2362</f>
        <v>80.86</v>
      </c>
      <c r="E2363">
        <f>Raw_Claims_Data!E2362</f>
        <v>18000</v>
      </c>
      <c r="F2363" t="str">
        <f>Raw_Claims_Data!F2362</f>
        <v>MA</v>
      </c>
      <c r="G2363" t="str">
        <f>Raw_Claims_Data!G2362</f>
        <v>A</v>
      </c>
      <c r="H2363" t="str">
        <f>Raw_Claims_Data!H2362</f>
        <v>Minor Loss</v>
      </c>
      <c r="I2363" t="str">
        <f>IF(Raw_Claims_Data!I2362="","None",Raw_Claims_Data!I2362)</f>
        <v>Other</v>
      </c>
      <c r="J2363" t="str">
        <f>Raw_Claims_Data!J2362</f>
        <v>Savannah</v>
      </c>
      <c r="K2363" t="str">
        <f>Raw_Claims_Data!K2362</f>
        <v>GA</v>
      </c>
      <c r="L2363">
        <f>Raw_Claims_Data!L2362</f>
        <v>6</v>
      </c>
      <c r="M2363" t="str">
        <f>IF(Raw_Claims_Data!M2362="","N/A",Raw_Claims_Data!M2362)</f>
        <v>VNDR00418</v>
      </c>
      <c r="N2363" t="str">
        <f>Raw_Claims_Data!N2362</f>
        <v>AGENT00600</v>
      </c>
      <c r="O2363">
        <f>IF(Raw_Claims_Data!G2362="D",1,0)</f>
        <v>0</v>
      </c>
    </row>
    <row r="2364" spans="1:15" x14ac:dyDescent="0.35">
      <c r="A2364" t="str">
        <f>Raw_Claims_Data!A2363</f>
        <v>TXN00002360</v>
      </c>
      <c r="B2364" t="str">
        <f>TRIM(Raw_Claims_Data!B2363)</f>
        <v>Robert Golden</v>
      </c>
      <c r="C2364" t="str">
        <f>Raw_Claims_Data!C2363</f>
        <v>Health</v>
      </c>
      <c r="D2364">
        <f>Raw_Claims_Data!D2363</f>
        <v>130.24</v>
      </c>
      <c r="E2364">
        <f>Raw_Claims_Data!E2363</f>
        <v>2000</v>
      </c>
      <c r="F2364" t="str">
        <f>Raw_Claims_Data!F2363</f>
        <v>AL</v>
      </c>
      <c r="G2364" t="str">
        <f>Raw_Claims_Data!G2363</f>
        <v>A</v>
      </c>
      <c r="H2364" t="str">
        <f>Raw_Claims_Data!H2363</f>
        <v>Major Loss</v>
      </c>
      <c r="I2364" t="str">
        <f>IF(Raw_Claims_Data!I2363="","None",Raw_Claims_Data!I2363)</f>
        <v>Ambulance</v>
      </c>
      <c r="J2364" t="str">
        <f>Raw_Claims_Data!J2363</f>
        <v>Pooler</v>
      </c>
      <c r="K2364" t="str">
        <f>Raw_Claims_Data!K2363</f>
        <v>GA</v>
      </c>
      <c r="L2364">
        <f>Raw_Claims_Data!L2363</f>
        <v>22</v>
      </c>
      <c r="M2364" t="str">
        <f>IF(Raw_Claims_Data!M2363="","N/A",Raw_Claims_Data!M2363)</f>
        <v>N/A</v>
      </c>
      <c r="N2364" t="str">
        <f>Raw_Claims_Data!N2363</f>
        <v>AGENT00879</v>
      </c>
      <c r="O2364">
        <f>IF(Raw_Claims_Data!G2363="D",1,0)</f>
        <v>0</v>
      </c>
    </row>
    <row r="2365" spans="1:15" x14ac:dyDescent="0.35">
      <c r="A2365" t="str">
        <f>Raw_Claims_Data!A2364</f>
        <v>TXN00002361</v>
      </c>
      <c r="B2365" t="str">
        <f>TRIM(Raw_Claims_Data!B2364)</f>
        <v>Anna Solorio</v>
      </c>
      <c r="C2365" t="str">
        <f>Raw_Claims_Data!C2364</f>
        <v>Life</v>
      </c>
      <c r="D2365">
        <f>Raw_Claims_Data!D2364</f>
        <v>71.959999999999994</v>
      </c>
      <c r="E2365">
        <f>Raw_Claims_Data!E2364</f>
        <v>43000</v>
      </c>
      <c r="F2365" t="str">
        <f>Raw_Claims_Data!F2364</f>
        <v>TN</v>
      </c>
      <c r="G2365" t="str">
        <f>Raw_Claims_Data!G2364</f>
        <v>A</v>
      </c>
      <c r="H2365" t="str">
        <f>Raw_Claims_Data!H2364</f>
        <v>Minor Loss</v>
      </c>
      <c r="I2365" t="str">
        <f>IF(Raw_Claims_Data!I2364="","None",Raw_Claims_Data!I2364)</f>
        <v>Ambulance</v>
      </c>
      <c r="J2365" t="str">
        <f>Raw_Claims_Data!J2364</f>
        <v>Aspen</v>
      </c>
      <c r="K2365" t="str">
        <f>Raw_Claims_Data!K2364</f>
        <v>CO</v>
      </c>
      <c r="L2365">
        <f>Raw_Claims_Data!L2364</f>
        <v>18</v>
      </c>
      <c r="M2365" t="str">
        <f>IF(Raw_Claims_Data!M2364="","N/A",Raw_Claims_Data!M2364)</f>
        <v>N/A</v>
      </c>
      <c r="N2365" t="str">
        <f>Raw_Claims_Data!N2364</f>
        <v>AGENT00664</v>
      </c>
      <c r="O2365">
        <f>IF(Raw_Claims_Data!G2364="D",1,0)</f>
        <v>0</v>
      </c>
    </row>
    <row r="2366" spans="1:15" x14ac:dyDescent="0.35">
      <c r="A2366" t="str">
        <f>Raw_Claims_Data!A2365</f>
        <v>TXN00002362</v>
      </c>
      <c r="B2366" t="str">
        <f>TRIM(Raw_Claims_Data!B2365)</f>
        <v>David Hodge</v>
      </c>
      <c r="C2366" t="str">
        <f>Raw_Claims_Data!C2365</f>
        <v>Life</v>
      </c>
      <c r="D2366">
        <f>Raw_Claims_Data!D2365</f>
        <v>53.62</v>
      </c>
      <c r="E2366">
        <f>Raw_Claims_Data!E2365</f>
        <v>70000</v>
      </c>
      <c r="F2366" t="str">
        <f>Raw_Claims_Data!F2365</f>
        <v>AR</v>
      </c>
      <c r="G2366" t="str">
        <f>Raw_Claims_Data!G2365</f>
        <v>A</v>
      </c>
      <c r="H2366" t="str">
        <f>Raw_Claims_Data!H2365</f>
        <v>Minor Loss</v>
      </c>
      <c r="I2366" t="str">
        <f>IF(Raw_Claims_Data!I2365="","None",Raw_Claims_Data!I2365)</f>
        <v>Other</v>
      </c>
      <c r="J2366" t="str">
        <f>Raw_Claims_Data!J2365</f>
        <v>Nashville</v>
      </c>
      <c r="K2366" t="str">
        <f>Raw_Claims_Data!K2365</f>
        <v>TN</v>
      </c>
      <c r="L2366">
        <f>Raw_Claims_Data!L2365</f>
        <v>10</v>
      </c>
      <c r="M2366" t="str">
        <f>IF(Raw_Claims_Data!M2365="","N/A",Raw_Claims_Data!M2365)</f>
        <v>VNDR00296</v>
      </c>
      <c r="N2366" t="str">
        <f>Raw_Claims_Data!N2365</f>
        <v>AGENT01023</v>
      </c>
      <c r="O2366">
        <f>IF(Raw_Claims_Data!G2365="D",1,0)</f>
        <v>0</v>
      </c>
    </row>
    <row r="2367" spans="1:15" x14ac:dyDescent="0.35">
      <c r="A2367" t="str">
        <f>Raw_Claims_Data!A2366</f>
        <v>TXN00002363</v>
      </c>
      <c r="B2367" t="str">
        <f>TRIM(Raw_Claims_Data!B2366)</f>
        <v>Arnold Swelgart</v>
      </c>
      <c r="C2367" t="str">
        <f>Raw_Claims_Data!C2366</f>
        <v>Life</v>
      </c>
      <c r="D2367">
        <f>Raw_Claims_Data!D2366</f>
        <v>85.3</v>
      </c>
      <c r="E2367">
        <f>Raw_Claims_Data!E2366</f>
        <v>90000</v>
      </c>
      <c r="F2367" t="str">
        <f>Raw_Claims_Data!F2366</f>
        <v>CT</v>
      </c>
      <c r="G2367" t="str">
        <f>Raw_Claims_Data!G2366</f>
        <v>A</v>
      </c>
      <c r="H2367" t="str">
        <f>Raw_Claims_Data!H2366</f>
        <v>Total Loss</v>
      </c>
      <c r="I2367" t="str">
        <f>IF(Raw_Claims_Data!I2366="","None",Raw_Claims_Data!I2366)</f>
        <v>Police</v>
      </c>
      <c r="J2367" t="str">
        <f>Raw_Claims_Data!J2366</f>
        <v>Pueblo</v>
      </c>
      <c r="K2367" t="str">
        <f>Raw_Claims_Data!K2366</f>
        <v>CO</v>
      </c>
      <c r="L2367">
        <f>Raw_Claims_Data!L2366</f>
        <v>17</v>
      </c>
      <c r="M2367" t="str">
        <f>IF(Raw_Claims_Data!M2366="","N/A",Raw_Claims_Data!M2366)</f>
        <v>N/A</v>
      </c>
      <c r="N2367" t="str">
        <f>Raw_Claims_Data!N2366</f>
        <v>AGENT00537</v>
      </c>
      <c r="O2367">
        <f>IF(Raw_Claims_Data!G2366="D",1,0)</f>
        <v>0</v>
      </c>
    </row>
    <row r="2368" spans="1:15" x14ac:dyDescent="0.35">
      <c r="A2368" t="str">
        <f>Raw_Claims_Data!A2367</f>
        <v>TXN00002364</v>
      </c>
      <c r="B2368" t="str">
        <f>TRIM(Raw_Claims_Data!B2367)</f>
        <v>Virginia Morris</v>
      </c>
      <c r="C2368" t="str">
        <f>Raw_Claims_Data!C2367</f>
        <v>Mobile</v>
      </c>
      <c r="D2368">
        <f>Raw_Claims_Data!D2367</f>
        <v>7.19</v>
      </c>
      <c r="E2368">
        <f>Raw_Claims_Data!E2367</f>
        <v>700</v>
      </c>
      <c r="F2368" t="str">
        <f>Raw_Claims_Data!F2367</f>
        <v>CA</v>
      </c>
      <c r="G2368" t="str">
        <f>Raw_Claims_Data!G2367</f>
        <v>A</v>
      </c>
      <c r="H2368" t="str">
        <f>Raw_Claims_Data!H2367</f>
        <v>Minor Loss</v>
      </c>
      <c r="I2368" t="str">
        <f>IF(Raw_Claims_Data!I2367="","None",Raw_Claims_Data!I2367)</f>
        <v>Ambulance</v>
      </c>
      <c r="J2368" t="str">
        <f>Raw_Claims_Data!J2367</f>
        <v>Nashville</v>
      </c>
      <c r="K2368" t="str">
        <f>Raw_Claims_Data!K2367</f>
        <v>TN</v>
      </c>
      <c r="L2368">
        <f>Raw_Claims_Data!L2367</f>
        <v>15</v>
      </c>
      <c r="M2368" t="str">
        <f>IF(Raw_Claims_Data!M2367="","N/A",Raw_Claims_Data!M2367)</f>
        <v>VNDR00329</v>
      </c>
      <c r="N2368" t="str">
        <f>Raw_Claims_Data!N2367</f>
        <v>AGENT00782</v>
      </c>
      <c r="O2368">
        <f>IF(Raw_Claims_Data!G2367="D",1,0)</f>
        <v>0</v>
      </c>
    </row>
    <row r="2369" spans="1:15" x14ac:dyDescent="0.35">
      <c r="A2369" t="str">
        <f>Raw_Claims_Data!A2368</f>
        <v>TXN00002365</v>
      </c>
      <c r="B2369" t="str">
        <f>TRIM(Raw_Claims_Data!B2368)</f>
        <v>Ryan Beecher</v>
      </c>
      <c r="C2369" t="str">
        <f>Raw_Claims_Data!C2368</f>
        <v>Health</v>
      </c>
      <c r="D2369">
        <f>Raw_Claims_Data!D2368</f>
        <v>109.52</v>
      </c>
      <c r="E2369">
        <f>Raw_Claims_Data!E2368</f>
        <v>4000</v>
      </c>
      <c r="F2369" t="str">
        <f>Raw_Claims_Data!F2368</f>
        <v>CA</v>
      </c>
      <c r="G2369" t="str">
        <f>Raw_Claims_Data!G2368</f>
        <v>A</v>
      </c>
      <c r="H2369" t="str">
        <f>Raw_Claims_Data!H2368</f>
        <v>Minor Loss</v>
      </c>
      <c r="I2369" t="str">
        <f>IF(Raw_Claims_Data!I2368="","None",Raw_Claims_Data!I2368)</f>
        <v>None</v>
      </c>
      <c r="J2369" t="str">
        <f>Raw_Claims_Data!J2368</f>
        <v>Arvada</v>
      </c>
      <c r="K2369" t="str">
        <f>Raw_Claims_Data!K2368</f>
        <v>CO</v>
      </c>
      <c r="L2369">
        <f>Raw_Claims_Data!L2368</f>
        <v>5</v>
      </c>
      <c r="M2369" t="str">
        <f>IF(Raw_Claims_Data!M2368="","N/A",Raw_Claims_Data!M2368)</f>
        <v>VNDR00492</v>
      </c>
      <c r="N2369" t="str">
        <f>Raw_Claims_Data!N2368</f>
        <v>AGENT00944</v>
      </c>
      <c r="O2369">
        <f>IF(Raw_Claims_Data!G2368="D",1,0)</f>
        <v>0</v>
      </c>
    </row>
    <row r="2370" spans="1:15" x14ac:dyDescent="0.35">
      <c r="A2370" t="str">
        <f>Raw_Claims_Data!A2369</f>
        <v>TXN00002366</v>
      </c>
      <c r="B2370" t="str">
        <f>TRIM(Raw_Claims_Data!B2369)</f>
        <v>Isabelle Valencia</v>
      </c>
      <c r="C2370" t="str">
        <f>Raw_Claims_Data!C2369</f>
        <v>Life</v>
      </c>
      <c r="D2370">
        <f>Raw_Claims_Data!D2369</f>
        <v>85.92</v>
      </c>
      <c r="E2370">
        <f>Raw_Claims_Data!E2369</f>
        <v>76000</v>
      </c>
      <c r="F2370" t="str">
        <f>Raw_Claims_Data!F2369</f>
        <v>AL</v>
      </c>
      <c r="G2370" t="str">
        <f>Raw_Claims_Data!G2369</f>
        <v>A</v>
      </c>
      <c r="H2370" t="str">
        <f>Raw_Claims_Data!H2369</f>
        <v>Total Loss</v>
      </c>
      <c r="I2370" t="str">
        <f>IF(Raw_Claims_Data!I2369="","None",Raw_Claims_Data!I2369)</f>
        <v>Police</v>
      </c>
      <c r="J2370" t="str">
        <f>Raw_Claims_Data!J2369</f>
        <v>Montgomery</v>
      </c>
      <c r="K2370" t="str">
        <f>Raw_Claims_Data!K2369</f>
        <v>AL</v>
      </c>
      <c r="L2370">
        <f>Raw_Claims_Data!L2369</f>
        <v>17</v>
      </c>
      <c r="M2370" t="str">
        <f>IF(Raw_Claims_Data!M2369="","N/A",Raw_Claims_Data!M2369)</f>
        <v>N/A</v>
      </c>
      <c r="N2370" t="str">
        <f>Raw_Claims_Data!N2369</f>
        <v>AGENT01087</v>
      </c>
      <c r="O2370">
        <f>IF(Raw_Claims_Data!G2369="D",1,0)</f>
        <v>0</v>
      </c>
    </row>
    <row r="2371" spans="1:15" x14ac:dyDescent="0.35">
      <c r="A2371" t="str">
        <f>Raw_Claims_Data!A2370</f>
        <v>TXN00002367</v>
      </c>
      <c r="B2371" t="str">
        <f>TRIM(Raw_Claims_Data!B2370)</f>
        <v>Eliza Hall</v>
      </c>
      <c r="C2371" t="str">
        <f>Raw_Claims_Data!C2370</f>
        <v>Health</v>
      </c>
      <c r="D2371">
        <f>Raw_Claims_Data!D2370</f>
        <v>187.91</v>
      </c>
      <c r="E2371">
        <f>Raw_Claims_Data!E2370</f>
        <v>6000</v>
      </c>
      <c r="F2371" t="str">
        <f>Raw_Claims_Data!F2370</f>
        <v>KY</v>
      </c>
      <c r="G2371" t="str">
        <f>Raw_Claims_Data!G2370</f>
        <v>A</v>
      </c>
      <c r="H2371" t="str">
        <f>Raw_Claims_Data!H2370</f>
        <v>Minor Loss</v>
      </c>
      <c r="I2371" t="str">
        <f>IF(Raw_Claims_Data!I2370="","None",Raw_Claims_Data!I2370)</f>
        <v>Ambulance</v>
      </c>
      <c r="J2371" t="str">
        <f>Raw_Claims_Data!J2370</f>
        <v>Washington</v>
      </c>
      <c r="K2371" t="str">
        <f>Raw_Claims_Data!K2370</f>
        <v>DC</v>
      </c>
      <c r="L2371">
        <f>Raw_Claims_Data!L2370</f>
        <v>10</v>
      </c>
      <c r="M2371" t="str">
        <f>IF(Raw_Claims_Data!M2370="","N/A",Raw_Claims_Data!M2370)</f>
        <v>N/A</v>
      </c>
      <c r="N2371" t="str">
        <f>Raw_Claims_Data!N2370</f>
        <v>AGENT01054</v>
      </c>
      <c r="O2371">
        <f>IF(Raw_Claims_Data!G2370="D",1,0)</f>
        <v>0</v>
      </c>
    </row>
    <row r="2372" spans="1:15" x14ac:dyDescent="0.35">
      <c r="A2372" t="str">
        <f>Raw_Claims_Data!A2371</f>
        <v>TXN00002368</v>
      </c>
      <c r="B2372" t="str">
        <f>TRIM(Raw_Claims_Data!B2371)</f>
        <v>Christopher Nock</v>
      </c>
      <c r="C2372" t="str">
        <f>Raw_Claims_Data!C2371</f>
        <v>Travel</v>
      </c>
      <c r="D2372">
        <f>Raw_Claims_Data!D2371</f>
        <v>52.47</v>
      </c>
      <c r="E2372">
        <f>Raw_Claims_Data!E2371</f>
        <v>3000</v>
      </c>
      <c r="F2372" t="str">
        <f>Raw_Claims_Data!F2371</f>
        <v>AK</v>
      </c>
      <c r="G2372" t="str">
        <f>Raw_Claims_Data!G2371</f>
        <v>A</v>
      </c>
      <c r="H2372" t="str">
        <f>Raw_Claims_Data!H2371</f>
        <v>Total Loss</v>
      </c>
      <c r="I2372" t="str">
        <f>IF(Raw_Claims_Data!I2371="","None",Raw_Claims_Data!I2371)</f>
        <v>Ambulance</v>
      </c>
      <c r="J2372" t="str">
        <f>Raw_Claims_Data!J2371</f>
        <v>Louisville</v>
      </c>
      <c r="K2372" t="str">
        <f>Raw_Claims_Data!K2371</f>
        <v>KY</v>
      </c>
      <c r="L2372">
        <f>Raw_Claims_Data!L2371</f>
        <v>11</v>
      </c>
      <c r="M2372" t="str">
        <f>IF(Raw_Claims_Data!M2371="","N/A",Raw_Claims_Data!M2371)</f>
        <v>VNDR00555</v>
      </c>
      <c r="N2372" t="str">
        <f>Raw_Claims_Data!N2371</f>
        <v>AGENT00994</v>
      </c>
      <c r="O2372">
        <f>IF(Raw_Claims_Data!G2371="D",1,0)</f>
        <v>0</v>
      </c>
    </row>
    <row r="2373" spans="1:15" x14ac:dyDescent="0.35">
      <c r="A2373" t="str">
        <f>Raw_Claims_Data!A2372</f>
        <v>TXN00002369</v>
      </c>
      <c r="B2373" t="str">
        <f>TRIM(Raw_Claims_Data!B2372)</f>
        <v>Jerry Poblete</v>
      </c>
      <c r="C2373" t="str">
        <f>Raw_Claims_Data!C2372</f>
        <v>Motor</v>
      </c>
      <c r="D2373">
        <f>Raw_Claims_Data!D2372</f>
        <v>89.66</v>
      </c>
      <c r="E2373">
        <f>Raw_Claims_Data!E2372</f>
        <v>2000</v>
      </c>
      <c r="F2373" t="str">
        <f>Raw_Claims_Data!F2372</f>
        <v>CO</v>
      </c>
      <c r="G2373" t="str">
        <f>Raw_Claims_Data!G2372</f>
        <v>A</v>
      </c>
      <c r="H2373" t="str">
        <f>Raw_Claims_Data!H2372</f>
        <v>Minor Loss</v>
      </c>
      <c r="I2373" t="str">
        <f>IF(Raw_Claims_Data!I2372="","None",Raw_Claims_Data!I2372)</f>
        <v>Police</v>
      </c>
      <c r="J2373" t="str">
        <f>Raw_Claims_Data!J2372</f>
        <v>Montgomery</v>
      </c>
      <c r="K2373" t="str">
        <f>Raw_Claims_Data!K2372</f>
        <v>AL</v>
      </c>
      <c r="L2373">
        <f>Raw_Claims_Data!L2372</f>
        <v>19</v>
      </c>
      <c r="M2373" t="str">
        <f>IF(Raw_Claims_Data!M2372="","N/A",Raw_Claims_Data!M2372)</f>
        <v>N/A</v>
      </c>
      <c r="N2373" t="str">
        <f>Raw_Claims_Data!N2372</f>
        <v>AGENT00431</v>
      </c>
      <c r="O2373">
        <f>IF(Raw_Claims_Data!G2372="D",1,0)</f>
        <v>0</v>
      </c>
    </row>
    <row r="2374" spans="1:15" x14ac:dyDescent="0.35">
      <c r="A2374" t="str">
        <f>Raw_Claims_Data!A2373</f>
        <v>TXN00002370</v>
      </c>
      <c r="B2374" t="str">
        <f>TRIM(Raw_Claims_Data!B2373)</f>
        <v>Kathryn Blumenstock</v>
      </c>
      <c r="C2374" t="str">
        <f>Raw_Claims_Data!C2373</f>
        <v>Mobile</v>
      </c>
      <c r="D2374">
        <f>Raw_Claims_Data!D2373</f>
        <v>9.1199999999999992</v>
      </c>
      <c r="E2374">
        <f>Raw_Claims_Data!E2373</f>
        <v>300</v>
      </c>
      <c r="F2374" t="str">
        <f>Raw_Claims_Data!F2373</f>
        <v>TN</v>
      </c>
      <c r="G2374" t="str">
        <f>Raw_Claims_Data!G2373</f>
        <v>A</v>
      </c>
      <c r="H2374" t="str">
        <f>Raw_Claims_Data!H2373</f>
        <v>Total Loss</v>
      </c>
      <c r="I2374" t="str">
        <f>IF(Raw_Claims_Data!I2373="","None",Raw_Claims_Data!I2373)</f>
        <v>Other</v>
      </c>
      <c r="J2374" t="str">
        <f>Raw_Claims_Data!J2373</f>
        <v>Fairfax</v>
      </c>
      <c r="K2374" t="str">
        <f>Raw_Claims_Data!K2373</f>
        <v>VT</v>
      </c>
      <c r="L2374">
        <f>Raw_Claims_Data!L2373</f>
        <v>22</v>
      </c>
      <c r="M2374" t="str">
        <f>IF(Raw_Claims_Data!M2373="","N/A",Raw_Claims_Data!M2373)</f>
        <v>VNDR00279</v>
      </c>
      <c r="N2374" t="str">
        <f>Raw_Claims_Data!N2373</f>
        <v>AGENT00576</v>
      </c>
      <c r="O2374">
        <f>IF(Raw_Claims_Data!G2373="D",1,0)</f>
        <v>0</v>
      </c>
    </row>
    <row r="2375" spans="1:15" x14ac:dyDescent="0.35">
      <c r="A2375" t="str">
        <f>Raw_Claims_Data!A2374</f>
        <v>TXN00002371</v>
      </c>
      <c r="B2375" t="str">
        <f>TRIM(Raw_Claims_Data!B2374)</f>
        <v>Corinne Bundy</v>
      </c>
      <c r="C2375" t="str">
        <f>Raw_Claims_Data!C2374</f>
        <v>Property</v>
      </c>
      <c r="D2375">
        <f>Raw_Claims_Data!D2374</f>
        <v>127.56</v>
      </c>
      <c r="E2375">
        <f>Raw_Claims_Data!E2374</f>
        <v>21000</v>
      </c>
      <c r="F2375" t="str">
        <f>Raw_Claims_Data!F2374</f>
        <v>AL</v>
      </c>
      <c r="G2375" t="str">
        <f>Raw_Claims_Data!G2374</f>
        <v>A</v>
      </c>
      <c r="H2375" t="str">
        <f>Raw_Claims_Data!H2374</f>
        <v>Minor Loss</v>
      </c>
      <c r="I2375" t="str">
        <f>IF(Raw_Claims_Data!I2374="","None",Raw_Claims_Data!I2374)</f>
        <v>Ambulance</v>
      </c>
      <c r="J2375" t="str">
        <f>Raw_Claims_Data!J2374</f>
        <v>Glendale</v>
      </c>
      <c r="K2375" t="str">
        <f>Raw_Claims_Data!K2374</f>
        <v>AZ</v>
      </c>
      <c r="L2375">
        <f>Raw_Claims_Data!L2374</f>
        <v>15</v>
      </c>
      <c r="M2375" t="str">
        <f>IF(Raw_Claims_Data!M2374="","N/A",Raw_Claims_Data!M2374)</f>
        <v>VNDR00381</v>
      </c>
      <c r="N2375" t="str">
        <f>Raw_Claims_Data!N2374</f>
        <v>AGENT00923</v>
      </c>
      <c r="O2375">
        <f>IF(Raw_Claims_Data!G2374="D",1,0)</f>
        <v>0</v>
      </c>
    </row>
    <row r="2376" spans="1:15" x14ac:dyDescent="0.35">
      <c r="A2376" t="str">
        <f>Raw_Claims_Data!A2375</f>
        <v>TXN00002372</v>
      </c>
      <c r="B2376" t="str">
        <f>TRIM(Raw_Claims_Data!B2375)</f>
        <v>Myra Nunnally</v>
      </c>
      <c r="C2376" t="str">
        <f>Raw_Claims_Data!C2375</f>
        <v>Health</v>
      </c>
      <c r="D2376">
        <f>Raw_Claims_Data!D2375</f>
        <v>194.43</v>
      </c>
      <c r="E2376">
        <f>Raw_Claims_Data!E2375</f>
        <v>12000</v>
      </c>
      <c r="F2376" t="str">
        <f>Raw_Claims_Data!F2375</f>
        <v>AK</v>
      </c>
      <c r="G2376" t="str">
        <f>Raw_Claims_Data!G2375</f>
        <v>A</v>
      </c>
      <c r="H2376" t="str">
        <f>Raw_Claims_Data!H2375</f>
        <v>Minor Loss</v>
      </c>
      <c r="I2376" t="str">
        <f>IF(Raw_Claims_Data!I2375="","None",Raw_Claims_Data!I2375)</f>
        <v>Ambulance</v>
      </c>
      <c r="J2376" t="str">
        <f>Raw_Claims_Data!J2375</f>
        <v>Arvada</v>
      </c>
      <c r="K2376" t="str">
        <f>Raw_Claims_Data!K2375</f>
        <v>CO</v>
      </c>
      <c r="L2376">
        <f>Raw_Claims_Data!L2375</f>
        <v>5</v>
      </c>
      <c r="M2376" t="str">
        <f>IF(Raw_Claims_Data!M2375="","N/A",Raw_Claims_Data!M2375)</f>
        <v>N/A</v>
      </c>
      <c r="N2376" t="str">
        <f>Raw_Claims_Data!N2375</f>
        <v>AGENT00547</v>
      </c>
      <c r="O2376">
        <f>IF(Raw_Claims_Data!G2375="D",1,0)</f>
        <v>0</v>
      </c>
    </row>
    <row r="2377" spans="1:15" x14ac:dyDescent="0.35">
      <c r="A2377" t="str">
        <f>Raw_Claims_Data!A2376</f>
        <v>TXN00002373</v>
      </c>
      <c r="B2377" t="str">
        <f>TRIM(Raw_Claims_Data!B2376)</f>
        <v>Helen Acquaviva</v>
      </c>
      <c r="C2377" t="str">
        <f>Raw_Claims_Data!C2376</f>
        <v>Mobile</v>
      </c>
      <c r="D2377">
        <f>Raw_Claims_Data!D2376</f>
        <v>6.67</v>
      </c>
      <c r="E2377">
        <f>Raw_Claims_Data!E2376</f>
        <v>600</v>
      </c>
      <c r="F2377" t="str">
        <f>Raw_Claims_Data!F2376</f>
        <v>AR</v>
      </c>
      <c r="G2377" t="str">
        <f>Raw_Claims_Data!G2376</f>
        <v>A</v>
      </c>
      <c r="H2377" t="str">
        <f>Raw_Claims_Data!H2376</f>
        <v>Total Loss</v>
      </c>
      <c r="I2377" t="str">
        <f>IF(Raw_Claims_Data!I2376="","None",Raw_Claims_Data!I2376)</f>
        <v>Other</v>
      </c>
      <c r="J2377" t="str">
        <f>Raw_Claims_Data!J2376</f>
        <v>Saugus</v>
      </c>
      <c r="K2377" t="str">
        <f>Raw_Claims_Data!K2376</f>
        <v>MA</v>
      </c>
      <c r="L2377">
        <f>Raw_Claims_Data!L2376</f>
        <v>16</v>
      </c>
      <c r="M2377" t="str">
        <f>IF(Raw_Claims_Data!M2376="","N/A",Raw_Claims_Data!M2376)</f>
        <v>N/A</v>
      </c>
      <c r="N2377" t="str">
        <f>Raw_Claims_Data!N2376</f>
        <v>AGENT00911</v>
      </c>
      <c r="O2377">
        <f>IF(Raw_Claims_Data!G2376="D",1,0)</f>
        <v>0</v>
      </c>
    </row>
    <row r="2378" spans="1:15" x14ac:dyDescent="0.35">
      <c r="A2378" t="str">
        <f>Raw_Claims_Data!A2377</f>
        <v>TXN00002374</v>
      </c>
      <c r="B2378" t="str">
        <f>TRIM(Raw_Claims_Data!B2377)</f>
        <v>Joseph Chinn</v>
      </c>
      <c r="C2378" t="str">
        <f>Raw_Claims_Data!C2377</f>
        <v>Health</v>
      </c>
      <c r="D2378">
        <f>Raw_Claims_Data!D2377</f>
        <v>118.02</v>
      </c>
      <c r="E2378">
        <f>Raw_Claims_Data!E2377</f>
        <v>12000</v>
      </c>
      <c r="F2378" t="str">
        <f>Raw_Claims_Data!F2377</f>
        <v>FL</v>
      </c>
      <c r="G2378" t="str">
        <f>Raw_Claims_Data!G2377</f>
        <v>A</v>
      </c>
      <c r="H2378" t="str">
        <f>Raw_Claims_Data!H2377</f>
        <v>Minor Loss</v>
      </c>
      <c r="I2378" t="str">
        <f>IF(Raw_Claims_Data!I2377="","None",Raw_Claims_Data!I2377)</f>
        <v>Police</v>
      </c>
      <c r="J2378" t="str">
        <f>Raw_Claims_Data!J2377</f>
        <v>Oklahoma City</v>
      </c>
      <c r="K2378" t="str">
        <f>Raw_Claims_Data!K2377</f>
        <v>OK</v>
      </c>
      <c r="L2378">
        <f>Raw_Claims_Data!L2377</f>
        <v>8</v>
      </c>
      <c r="M2378" t="str">
        <f>IF(Raw_Claims_Data!M2377="","N/A",Raw_Claims_Data!M2377)</f>
        <v>VNDR00086</v>
      </c>
      <c r="N2378" t="str">
        <f>Raw_Claims_Data!N2377</f>
        <v>AGENT00052</v>
      </c>
      <c r="O2378">
        <f>IF(Raw_Claims_Data!G2377="D",1,0)</f>
        <v>0</v>
      </c>
    </row>
    <row r="2379" spans="1:15" x14ac:dyDescent="0.35">
      <c r="A2379" t="str">
        <f>Raw_Claims_Data!A2378</f>
        <v>TXN00002375</v>
      </c>
      <c r="B2379" t="str">
        <f>TRIM(Raw_Claims_Data!B2378)</f>
        <v>Manuel Barker</v>
      </c>
      <c r="C2379" t="str">
        <f>Raw_Claims_Data!C2378</f>
        <v>Motor</v>
      </c>
      <c r="D2379">
        <f>Raw_Claims_Data!D2378</f>
        <v>117.8</v>
      </c>
      <c r="E2379">
        <f>Raw_Claims_Data!E2378</f>
        <v>4000</v>
      </c>
      <c r="F2379" t="str">
        <f>Raw_Claims_Data!F2378</f>
        <v>AZ</v>
      </c>
      <c r="G2379" t="str">
        <f>Raw_Claims_Data!G2378</f>
        <v>A</v>
      </c>
      <c r="H2379" t="str">
        <f>Raw_Claims_Data!H2378</f>
        <v>Major Loss</v>
      </c>
      <c r="I2379" t="str">
        <f>IF(Raw_Claims_Data!I2378="","None",Raw_Claims_Data!I2378)</f>
        <v>Ambulance</v>
      </c>
      <c r="J2379" t="str">
        <f>Raw_Claims_Data!J2378</f>
        <v>Ardmore</v>
      </c>
      <c r="K2379" t="str">
        <f>Raw_Claims_Data!K2378</f>
        <v>OK</v>
      </c>
      <c r="L2379">
        <f>Raw_Claims_Data!L2378</f>
        <v>4</v>
      </c>
      <c r="M2379" t="str">
        <f>IF(Raw_Claims_Data!M2378="","N/A",Raw_Claims_Data!M2378)</f>
        <v>VNDR00431</v>
      </c>
      <c r="N2379" t="str">
        <f>Raw_Claims_Data!N2378</f>
        <v>AGENT00295</v>
      </c>
      <c r="O2379">
        <f>IF(Raw_Claims_Data!G2378="D",1,0)</f>
        <v>0</v>
      </c>
    </row>
    <row r="2380" spans="1:15" x14ac:dyDescent="0.35">
      <c r="A2380" t="str">
        <f>Raw_Claims_Data!A2379</f>
        <v>TXN00002376</v>
      </c>
      <c r="B2380" t="str">
        <f>TRIM(Raw_Claims_Data!B2379)</f>
        <v>Susan Wilson</v>
      </c>
      <c r="C2380" t="str">
        <f>Raw_Claims_Data!C2379</f>
        <v>Property</v>
      </c>
      <c r="D2380">
        <f>Raw_Claims_Data!D2379</f>
        <v>91.52</v>
      </c>
      <c r="E2380">
        <f>Raw_Claims_Data!E2379</f>
        <v>40000</v>
      </c>
      <c r="F2380" t="str">
        <f>Raw_Claims_Data!F2379</f>
        <v>AL</v>
      </c>
      <c r="G2380" t="str">
        <f>Raw_Claims_Data!G2379</f>
        <v>A</v>
      </c>
      <c r="H2380" t="str">
        <f>Raw_Claims_Data!H2379</f>
        <v>Total Loss</v>
      </c>
      <c r="I2380" t="str">
        <f>IF(Raw_Claims_Data!I2379="","None",Raw_Claims_Data!I2379)</f>
        <v>None</v>
      </c>
      <c r="J2380" t="str">
        <f>Raw_Claims_Data!J2379</f>
        <v>Lynn</v>
      </c>
      <c r="K2380" t="str">
        <f>Raw_Claims_Data!K2379</f>
        <v>MA</v>
      </c>
      <c r="L2380">
        <f>Raw_Claims_Data!L2379</f>
        <v>7</v>
      </c>
      <c r="M2380" t="str">
        <f>IF(Raw_Claims_Data!M2379="","N/A",Raw_Claims_Data!M2379)</f>
        <v>VNDR00135</v>
      </c>
      <c r="N2380" t="str">
        <f>Raw_Claims_Data!N2379</f>
        <v>AGENT00360</v>
      </c>
      <c r="O2380">
        <f>IF(Raw_Claims_Data!G2379="D",1,0)</f>
        <v>0</v>
      </c>
    </row>
    <row r="2381" spans="1:15" x14ac:dyDescent="0.35">
      <c r="A2381" t="str">
        <f>Raw_Claims_Data!A2380</f>
        <v>TXN00002377</v>
      </c>
      <c r="B2381" t="str">
        <f>TRIM(Raw_Claims_Data!B2380)</f>
        <v>Eric Melear</v>
      </c>
      <c r="C2381" t="str">
        <f>Raw_Claims_Data!C2380</f>
        <v>Motor</v>
      </c>
      <c r="D2381">
        <f>Raw_Claims_Data!D2380</f>
        <v>97.26</v>
      </c>
      <c r="E2381">
        <f>Raw_Claims_Data!E2380</f>
        <v>10000</v>
      </c>
      <c r="F2381" t="str">
        <f>Raw_Claims_Data!F2380</f>
        <v>CO</v>
      </c>
      <c r="G2381" t="str">
        <f>Raw_Claims_Data!G2380</f>
        <v>A</v>
      </c>
      <c r="H2381" t="str">
        <f>Raw_Claims_Data!H2380</f>
        <v>Major Loss</v>
      </c>
      <c r="I2381" t="str">
        <f>IF(Raw_Claims_Data!I2380="","None",Raw_Claims_Data!I2380)</f>
        <v>None</v>
      </c>
      <c r="J2381" t="str">
        <f>Raw_Claims_Data!J2380</f>
        <v>Oklahoma City</v>
      </c>
      <c r="K2381" t="str">
        <f>Raw_Claims_Data!K2380</f>
        <v>OK</v>
      </c>
      <c r="L2381">
        <f>Raw_Claims_Data!L2380</f>
        <v>19</v>
      </c>
      <c r="M2381" t="str">
        <f>IF(Raw_Claims_Data!M2380="","N/A",Raw_Claims_Data!M2380)</f>
        <v>VNDR00553</v>
      </c>
      <c r="N2381" t="str">
        <f>Raw_Claims_Data!N2380</f>
        <v>AGENT00308</v>
      </c>
      <c r="O2381">
        <f>IF(Raw_Claims_Data!G2380="D",1,0)</f>
        <v>0</v>
      </c>
    </row>
    <row r="2382" spans="1:15" x14ac:dyDescent="0.35">
      <c r="A2382" t="str">
        <f>Raw_Claims_Data!A2381</f>
        <v>TXN00002378</v>
      </c>
      <c r="B2382" t="str">
        <f>TRIM(Raw_Claims_Data!B2381)</f>
        <v>Rosalva Janson</v>
      </c>
      <c r="C2382" t="str">
        <f>Raw_Claims_Data!C2381</f>
        <v>Health</v>
      </c>
      <c r="D2382">
        <f>Raw_Claims_Data!D2381</f>
        <v>190.24</v>
      </c>
      <c r="E2382">
        <f>Raw_Claims_Data!E2381</f>
        <v>15000</v>
      </c>
      <c r="F2382" t="str">
        <f>Raw_Claims_Data!F2381</f>
        <v>FL</v>
      </c>
      <c r="G2382" t="str">
        <f>Raw_Claims_Data!G2381</f>
        <v>A</v>
      </c>
      <c r="H2382" t="str">
        <f>Raw_Claims_Data!H2381</f>
        <v>Major Loss</v>
      </c>
      <c r="I2382" t="str">
        <f>IF(Raw_Claims_Data!I2381="","None",Raw_Claims_Data!I2381)</f>
        <v>Police</v>
      </c>
      <c r="J2382" t="str">
        <f>Raw_Claims_Data!J2381</f>
        <v>Glendale</v>
      </c>
      <c r="K2382" t="str">
        <f>Raw_Claims_Data!K2381</f>
        <v>AZ</v>
      </c>
      <c r="L2382">
        <f>Raw_Claims_Data!L2381</f>
        <v>15</v>
      </c>
      <c r="M2382" t="str">
        <f>IF(Raw_Claims_Data!M2381="","N/A",Raw_Claims_Data!M2381)</f>
        <v>N/A</v>
      </c>
      <c r="N2382" t="str">
        <f>Raw_Claims_Data!N2381</f>
        <v>AGENT00302</v>
      </c>
      <c r="O2382">
        <f>IF(Raw_Claims_Data!G2381="D",1,0)</f>
        <v>0</v>
      </c>
    </row>
    <row r="2383" spans="1:15" x14ac:dyDescent="0.35">
      <c r="A2383" t="str">
        <f>Raw_Claims_Data!A2382</f>
        <v>TXN00002379</v>
      </c>
      <c r="B2383" t="str">
        <f>TRIM(Raw_Claims_Data!B2382)</f>
        <v>Robert Valdez</v>
      </c>
      <c r="C2383" t="str">
        <f>Raw_Claims_Data!C2382</f>
        <v>Motor</v>
      </c>
      <c r="D2383">
        <f>Raw_Claims_Data!D2382</f>
        <v>85.97</v>
      </c>
      <c r="E2383">
        <f>Raw_Claims_Data!E2382</f>
        <v>4000</v>
      </c>
      <c r="F2383" t="str">
        <f>Raw_Claims_Data!F2382</f>
        <v>AZ</v>
      </c>
      <c r="G2383" t="str">
        <f>Raw_Claims_Data!G2382</f>
        <v>D</v>
      </c>
      <c r="H2383" t="str">
        <f>Raw_Claims_Data!H2382</f>
        <v>Total Loss</v>
      </c>
      <c r="I2383" t="str">
        <f>IF(Raw_Claims_Data!I2382="","None",Raw_Claims_Data!I2382)</f>
        <v>Ambulance</v>
      </c>
      <c r="J2383" t="str">
        <f>Raw_Claims_Data!J2382</f>
        <v>New Haven</v>
      </c>
      <c r="K2383" t="str">
        <f>Raw_Claims_Data!K2382</f>
        <v>VT</v>
      </c>
      <c r="L2383">
        <f>Raw_Claims_Data!L2382</f>
        <v>20</v>
      </c>
      <c r="M2383" t="str">
        <f>IF(Raw_Claims_Data!M2382="","N/A",Raw_Claims_Data!M2382)</f>
        <v>N/A</v>
      </c>
      <c r="N2383" t="str">
        <f>Raw_Claims_Data!N2382</f>
        <v>AGENT00930</v>
      </c>
      <c r="O2383">
        <f>IF(Raw_Claims_Data!G2382="D",1,0)</f>
        <v>1</v>
      </c>
    </row>
    <row r="2384" spans="1:15" x14ac:dyDescent="0.35">
      <c r="A2384" t="str">
        <f>Raw_Claims_Data!A2383</f>
        <v>TXN00002380</v>
      </c>
      <c r="B2384" t="str">
        <f>TRIM(Raw_Claims_Data!B2383)</f>
        <v>Gregory Kelly</v>
      </c>
      <c r="C2384" t="str">
        <f>Raw_Claims_Data!C2383</f>
        <v>Health</v>
      </c>
      <c r="D2384">
        <f>Raw_Claims_Data!D2383</f>
        <v>117.83</v>
      </c>
      <c r="E2384">
        <f>Raw_Claims_Data!E2383</f>
        <v>19000</v>
      </c>
      <c r="F2384" t="str">
        <f>Raw_Claims_Data!F2383</f>
        <v>TN</v>
      </c>
      <c r="G2384" t="str">
        <f>Raw_Claims_Data!G2383</f>
        <v>A</v>
      </c>
      <c r="H2384" t="str">
        <f>Raw_Claims_Data!H2383</f>
        <v>Major Loss</v>
      </c>
      <c r="I2384" t="str">
        <f>IF(Raw_Claims_Data!I2383="","None",Raw_Claims_Data!I2383)</f>
        <v>Police</v>
      </c>
      <c r="J2384" t="str">
        <f>Raw_Claims_Data!J2383</f>
        <v>Manchester</v>
      </c>
      <c r="K2384" t="str">
        <f>Raw_Claims_Data!K2383</f>
        <v>CT</v>
      </c>
      <c r="L2384">
        <f>Raw_Claims_Data!L2383</f>
        <v>9</v>
      </c>
      <c r="M2384" t="str">
        <f>IF(Raw_Claims_Data!M2383="","N/A",Raw_Claims_Data!M2383)</f>
        <v>VNDR00210</v>
      </c>
      <c r="N2384" t="str">
        <f>Raw_Claims_Data!N2383</f>
        <v>AGENT01096</v>
      </c>
      <c r="O2384">
        <f>IF(Raw_Claims_Data!G2383="D",1,0)</f>
        <v>0</v>
      </c>
    </row>
    <row r="2385" spans="1:15" x14ac:dyDescent="0.35">
      <c r="A2385" t="str">
        <f>Raw_Claims_Data!A2384</f>
        <v>TXN00002381</v>
      </c>
      <c r="B2385" t="str">
        <f>TRIM(Raw_Claims_Data!B2384)</f>
        <v>Joseph Smith</v>
      </c>
      <c r="C2385" t="str">
        <f>Raw_Claims_Data!C2384</f>
        <v>Motor</v>
      </c>
      <c r="D2385">
        <f>Raw_Claims_Data!D2384</f>
        <v>138.43</v>
      </c>
      <c r="E2385">
        <f>Raw_Claims_Data!E2384</f>
        <v>5000</v>
      </c>
      <c r="F2385" t="str">
        <f>Raw_Claims_Data!F2384</f>
        <v>TN</v>
      </c>
      <c r="G2385" t="str">
        <f>Raw_Claims_Data!G2384</f>
        <v>A</v>
      </c>
      <c r="H2385" t="str">
        <f>Raw_Claims_Data!H2384</f>
        <v>Minor Loss</v>
      </c>
      <c r="I2385" t="str">
        <f>IF(Raw_Claims_Data!I2384="","None",Raw_Claims_Data!I2384)</f>
        <v>Ambulance</v>
      </c>
      <c r="J2385" t="str">
        <f>Raw_Claims_Data!J2384</f>
        <v>Springfield</v>
      </c>
      <c r="K2385" t="str">
        <f>Raw_Claims_Data!K2384</f>
        <v>VT</v>
      </c>
      <c r="L2385">
        <f>Raw_Claims_Data!L2384</f>
        <v>17</v>
      </c>
      <c r="M2385" t="str">
        <f>IF(Raw_Claims_Data!M2384="","N/A",Raw_Claims_Data!M2384)</f>
        <v>N/A</v>
      </c>
      <c r="N2385" t="str">
        <f>Raw_Claims_Data!N2384</f>
        <v>AGENT00986</v>
      </c>
      <c r="O2385">
        <f>IF(Raw_Claims_Data!G2384="D",1,0)</f>
        <v>0</v>
      </c>
    </row>
    <row r="2386" spans="1:15" x14ac:dyDescent="0.35">
      <c r="A2386" t="str">
        <f>Raw_Claims_Data!A2385</f>
        <v>TXN00002382</v>
      </c>
      <c r="B2386" t="str">
        <f>TRIM(Raw_Claims_Data!B2385)</f>
        <v>Timothy Stewart</v>
      </c>
      <c r="C2386" t="str">
        <f>Raw_Claims_Data!C2385</f>
        <v>Mobile</v>
      </c>
      <c r="D2386">
        <f>Raw_Claims_Data!D2385</f>
        <v>7.33</v>
      </c>
      <c r="E2386">
        <f>Raw_Claims_Data!E2385</f>
        <v>100</v>
      </c>
      <c r="F2386" t="str">
        <f>Raw_Claims_Data!F2385</f>
        <v>CT</v>
      </c>
      <c r="G2386" t="str">
        <f>Raw_Claims_Data!G2385</f>
        <v>A</v>
      </c>
      <c r="H2386" t="str">
        <f>Raw_Claims_Data!H2385</f>
        <v>Major Loss</v>
      </c>
      <c r="I2386" t="str">
        <f>IF(Raw_Claims_Data!I2385="","None",Raw_Claims_Data!I2385)</f>
        <v>Police</v>
      </c>
      <c r="J2386" t="str">
        <f>Raw_Claims_Data!J2385</f>
        <v>Fayetteville</v>
      </c>
      <c r="K2386" t="str">
        <f>Raw_Claims_Data!K2385</f>
        <v>AR</v>
      </c>
      <c r="L2386">
        <f>Raw_Claims_Data!L2385</f>
        <v>18</v>
      </c>
      <c r="M2386" t="str">
        <f>IF(Raw_Claims_Data!M2385="","N/A",Raw_Claims_Data!M2385)</f>
        <v>N/A</v>
      </c>
      <c r="N2386" t="str">
        <f>Raw_Claims_Data!N2385</f>
        <v>AGENT00377</v>
      </c>
      <c r="O2386">
        <f>IF(Raw_Claims_Data!G2385="D",1,0)</f>
        <v>0</v>
      </c>
    </row>
    <row r="2387" spans="1:15" x14ac:dyDescent="0.35">
      <c r="A2387" t="str">
        <f>Raw_Claims_Data!A2386</f>
        <v>TXN00002383</v>
      </c>
      <c r="B2387" t="str">
        <f>TRIM(Raw_Claims_Data!B2386)</f>
        <v>Ladonna Gray</v>
      </c>
      <c r="C2387" t="str">
        <f>Raw_Claims_Data!C2386</f>
        <v>Life</v>
      </c>
      <c r="D2387">
        <f>Raw_Claims_Data!D2386</f>
        <v>60.18</v>
      </c>
      <c r="E2387">
        <f>Raw_Claims_Data!E2386</f>
        <v>99000</v>
      </c>
      <c r="F2387" t="str">
        <f>Raw_Claims_Data!F2386</f>
        <v>OK</v>
      </c>
      <c r="G2387" t="str">
        <f>Raw_Claims_Data!G2386</f>
        <v>A</v>
      </c>
      <c r="H2387" t="str">
        <f>Raw_Claims_Data!H2386</f>
        <v>Total Loss</v>
      </c>
      <c r="I2387" t="str">
        <f>IF(Raw_Claims_Data!I2386="","None",Raw_Claims_Data!I2386)</f>
        <v>Other</v>
      </c>
      <c r="J2387" t="str">
        <f>Raw_Claims_Data!J2386</f>
        <v>Pasadena</v>
      </c>
      <c r="K2387" t="str">
        <f>Raw_Claims_Data!K2386</f>
        <v>MD</v>
      </c>
      <c r="L2387">
        <f>Raw_Claims_Data!L2386</f>
        <v>15</v>
      </c>
      <c r="M2387" t="str">
        <f>IF(Raw_Claims_Data!M2386="","N/A",Raw_Claims_Data!M2386)</f>
        <v>VNDR00325</v>
      </c>
      <c r="N2387" t="str">
        <f>Raw_Claims_Data!N2386</f>
        <v>AGENT00679</v>
      </c>
      <c r="O2387">
        <f>IF(Raw_Claims_Data!G2386="D",1,0)</f>
        <v>0</v>
      </c>
    </row>
    <row r="2388" spans="1:15" x14ac:dyDescent="0.35">
      <c r="A2388" t="str">
        <f>Raw_Claims_Data!A2387</f>
        <v>TXN00002384</v>
      </c>
      <c r="B2388" t="str">
        <f>TRIM(Raw_Claims_Data!B2387)</f>
        <v>Spencer Stewart</v>
      </c>
      <c r="C2388" t="str">
        <f>Raw_Claims_Data!C2387</f>
        <v>Travel</v>
      </c>
      <c r="D2388">
        <f>Raw_Claims_Data!D2387</f>
        <v>94.06</v>
      </c>
      <c r="E2388">
        <f>Raw_Claims_Data!E2387</f>
        <v>1000</v>
      </c>
      <c r="F2388" t="str">
        <f>Raw_Claims_Data!F2387</f>
        <v>CO</v>
      </c>
      <c r="G2388" t="str">
        <f>Raw_Claims_Data!G2387</f>
        <v>A</v>
      </c>
      <c r="H2388" t="str">
        <f>Raw_Claims_Data!H2387</f>
        <v>Total Loss</v>
      </c>
      <c r="I2388" t="str">
        <f>IF(Raw_Claims_Data!I2387="","None",Raw_Claims_Data!I2387)</f>
        <v>Ambulance</v>
      </c>
      <c r="J2388" t="str">
        <f>Raw_Claims_Data!J2387</f>
        <v>Anchorage</v>
      </c>
      <c r="K2388" t="str">
        <f>Raw_Claims_Data!K2387</f>
        <v>AK</v>
      </c>
      <c r="L2388">
        <f>Raw_Claims_Data!L2387</f>
        <v>16</v>
      </c>
      <c r="M2388" t="str">
        <f>IF(Raw_Claims_Data!M2387="","N/A",Raw_Claims_Data!M2387)</f>
        <v>VNDR00326</v>
      </c>
      <c r="N2388" t="str">
        <f>Raw_Claims_Data!N2387</f>
        <v>AGENT00524</v>
      </c>
      <c r="O2388">
        <f>IF(Raw_Claims_Data!G2387="D",1,0)</f>
        <v>0</v>
      </c>
    </row>
    <row r="2389" spans="1:15" x14ac:dyDescent="0.35">
      <c r="A2389" t="str">
        <f>Raw_Claims_Data!A2388</f>
        <v>TXN00002385</v>
      </c>
      <c r="B2389" t="str">
        <f>TRIM(Raw_Claims_Data!B2388)</f>
        <v>Theresa Jenkins</v>
      </c>
      <c r="C2389" t="str">
        <f>Raw_Claims_Data!C2388</f>
        <v>Health</v>
      </c>
      <c r="D2389">
        <f>Raw_Claims_Data!D2388</f>
        <v>118.53</v>
      </c>
      <c r="E2389">
        <f>Raw_Claims_Data!E2388</f>
        <v>14000</v>
      </c>
      <c r="F2389" t="str">
        <f>Raw_Claims_Data!F2388</f>
        <v>MD</v>
      </c>
      <c r="G2389" t="str">
        <f>Raw_Claims_Data!G2388</f>
        <v>A</v>
      </c>
      <c r="H2389" t="str">
        <f>Raw_Claims_Data!H2388</f>
        <v>Minor Loss</v>
      </c>
      <c r="I2389" t="str">
        <f>IF(Raw_Claims_Data!I2388="","None",Raw_Claims_Data!I2388)</f>
        <v>Police</v>
      </c>
      <c r="J2389" t="str">
        <f>Raw_Claims_Data!J2388</f>
        <v>Windsor</v>
      </c>
      <c r="K2389" t="str">
        <f>Raw_Claims_Data!K2388</f>
        <v>VT</v>
      </c>
      <c r="L2389">
        <f>Raw_Claims_Data!L2388</f>
        <v>22</v>
      </c>
      <c r="M2389" t="str">
        <f>IF(Raw_Claims_Data!M2388="","N/A",Raw_Claims_Data!M2388)</f>
        <v>VNDR00071</v>
      </c>
      <c r="N2389" t="str">
        <f>Raw_Claims_Data!N2388</f>
        <v>AGENT00992</v>
      </c>
      <c r="O2389">
        <f>IF(Raw_Claims_Data!G2388="D",1,0)</f>
        <v>0</v>
      </c>
    </row>
    <row r="2390" spans="1:15" x14ac:dyDescent="0.35">
      <c r="A2390" t="str">
        <f>Raw_Claims_Data!A2389</f>
        <v>TXN00002386</v>
      </c>
      <c r="B2390" t="str">
        <f>TRIM(Raw_Claims_Data!B2389)</f>
        <v>Jason Nelson</v>
      </c>
      <c r="C2390" t="str">
        <f>Raw_Claims_Data!C2389</f>
        <v>Property</v>
      </c>
      <c r="D2390">
        <f>Raw_Claims_Data!D2389</f>
        <v>119.41</v>
      </c>
      <c r="E2390">
        <f>Raw_Claims_Data!E2389</f>
        <v>21000</v>
      </c>
      <c r="F2390" t="str">
        <f>Raw_Claims_Data!F2389</f>
        <v>MD</v>
      </c>
      <c r="G2390" t="str">
        <f>Raw_Claims_Data!G2389</f>
        <v>A</v>
      </c>
      <c r="H2390" t="str">
        <f>Raw_Claims_Data!H2389</f>
        <v>Major Loss</v>
      </c>
      <c r="I2390" t="str">
        <f>IF(Raw_Claims_Data!I2389="","None",Raw_Claims_Data!I2389)</f>
        <v>Ambulance</v>
      </c>
      <c r="J2390">
        <f>Raw_Claims_Data!J2389</f>
        <v>0</v>
      </c>
      <c r="K2390" t="str">
        <f>Raw_Claims_Data!K2389</f>
        <v>CA</v>
      </c>
      <c r="L2390">
        <f>Raw_Claims_Data!L2389</f>
        <v>10</v>
      </c>
      <c r="M2390" t="str">
        <f>IF(Raw_Claims_Data!M2389="","N/A",Raw_Claims_Data!M2389)</f>
        <v>N/A</v>
      </c>
      <c r="N2390" t="str">
        <f>Raw_Claims_Data!N2389</f>
        <v>AGENT00725</v>
      </c>
      <c r="O2390">
        <f>IF(Raw_Claims_Data!G2389="D",1,0)</f>
        <v>0</v>
      </c>
    </row>
    <row r="2391" spans="1:15" x14ac:dyDescent="0.35">
      <c r="A2391" t="str">
        <f>Raw_Claims_Data!A2390</f>
        <v>TXN00002387</v>
      </c>
      <c r="B2391" t="str">
        <f>TRIM(Raw_Claims_Data!B2390)</f>
        <v>Willie Webb</v>
      </c>
      <c r="C2391" t="str">
        <f>Raw_Claims_Data!C2390</f>
        <v>Mobile</v>
      </c>
      <c r="D2391">
        <f>Raw_Claims_Data!D2390</f>
        <v>8.9700000000000006</v>
      </c>
      <c r="E2391">
        <f>Raw_Claims_Data!E2390</f>
        <v>100</v>
      </c>
      <c r="F2391" t="str">
        <f>Raw_Claims_Data!F2390</f>
        <v>FL</v>
      </c>
      <c r="G2391" t="str">
        <f>Raw_Claims_Data!G2390</f>
        <v>A</v>
      </c>
      <c r="H2391" t="str">
        <f>Raw_Claims_Data!H2390</f>
        <v>Major Loss</v>
      </c>
      <c r="I2391" t="str">
        <f>IF(Raw_Claims_Data!I2390="","None",Raw_Claims_Data!I2390)</f>
        <v>Police</v>
      </c>
      <c r="J2391" t="str">
        <f>Raw_Claims_Data!J2390</f>
        <v>Washington</v>
      </c>
      <c r="K2391" t="str">
        <f>Raw_Claims_Data!K2390</f>
        <v>DC</v>
      </c>
      <c r="L2391">
        <f>Raw_Claims_Data!L2390</f>
        <v>1</v>
      </c>
      <c r="M2391" t="str">
        <f>IF(Raw_Claims_Data!M2390="","N/A",Raw_Claims_Data!M2390)</f>
        <v>VNDR00419</v>
      </c>
      <c r="N2391" t="str">
        <f>Raw_Claims_Data!N2390</f>
        <v>AGENT00534</v>
      </c>
      <c r="O2391">
        <f>IF(Raw_Claims_Data!G2390="D",1,0)</f>
        <v>0</v>
      </c>
    </row>
    <row r="2392" spans="1:15" x14ac:dyDescent="0.35">
      <c r="A2392" t="str">
        <f>Raw_Claims_Data!A2391</f>
        <v>TXN00002388</v>
      </c>
      <c r="B2392" t="str">
        <f>TRIM(Raw_Claims_Data!B2391)</f>
        <v>Jeff Stengle</v>
      </c>
      <c r="C2392" t="str">
        <f>Raw_Claims_Data!C2391</f>
        <v>Motor</v>
      </c>
      <c r="D2392">
        <f>Raw_Claims_Data!D2391</f>
        <v>101.27</v>
      </c>
      <c r="E2392">
        <f>Raw_Claims_Data!E2391</f>
        <v>10000</v>
      </c>
      <c r="F2392" t="str">
        <f>Raw_Claims_Data!F2391</f>
        <v>AK</v>
      </c>
      <c r="G2392" t="str">
        <f>Raw_Claims_Data!G2391</f>
        <v>A</v>
      </c>
      <c r="H2392" t="str">
        <f>Raw_Claims_Data!H2391</f>
        <v>Total Loss</v>
      </c>
      <c r="I2392" t="str">
        <f>IF(Raw_Claims_Data!I2391="","None",Raw_Claims_Data!I2391)</f>
        <v>None</v>
      </c>
      <c r="J2392" t="str">
        <f>Raw_Claims_Data!J2391</f>
        <v>Glendale</v>
      </c>
      <c r="K2392" t="str">
        <f>Raw_Claims_Data!K2391</f>
        <v>AZ</v>
      </c>
      <c r="L2392">
        <f>Raw_Claims_Data!L2391</f>
        <v>14</v>
      </c>
      <c r="M2392" t="str">
        <f>IF(Raw_Claims_Data!M2391="","N/A",Raw_Claims_Data!M2391)</f>
        <v>N/A</v>
      </c>
      <c r="N2392" t="str">
        <f>Raw_Claims_Data!N2391</f>
        <v>AGENT00660</v>
      </c>
      <c r="O2392">
        <f>IF(Raw_Claims_Data!G2391="D",1,0)</f>
        <v>0</v>
      </c>
    </row>
    <row r="2393" spans="1:15" x14ac:dyDescent="0.35">
      <c r="A2393" t="str">
        <f>Raw_Claims_Data!A2392</f>
        <v>TXN00002389</v>
      </c>
      <c r="B2393" t="str">
        <f>TRIM(Raw_Claims_Data!B2392)</f>
        <v>Marcus Klopfer</v>
      </c>
      <c r="C2393" t="str">
        <f>Raw_Claims_Data!C2392</f>
        <v>Life</v>
      </c>
      <c r="D2393">
        <f>Raw_Claims_Data!D2392</f>
        <v>71.42</v>
      </c>
      <c r="E2393">
        <f>Raw_Claims_Data!E2392</f>
        <v>89000</v>
      </c>
      <c r="F2393" t="str">
        <f>Raw_Claims_Data!F2392</f>
        <v>CA</v>
      </c>
      <c r="G2393" t="str">
        <f>Raw_Claims_Data!G2392</f>
        <v>A</v>
      </c>
      <c r="H2393" t="str">
        <f>Raw_Claims_Data!H2392</f>
        <v>Major Loss</v>
      </c>
      <c r="I2393" t="str">
        <f>IF(Raw_Claims_Data!I2392="","None",Raw_Claims_Data!I2392)</f>
        <v>Police</v>
      </c>
      <c r="J2393" t="str">
        <f>Raw_Claims_Data!J2392</f>
        <v>Glen Burnie</v>
      </c>
      <c r="K2393" t="str">
        <f>Raw_Claims_Data!K2392</f>
        <v>MD</v>
      </c>
      <c r="L2393">
        <f>Raw_Claims_Data!L2392</f>
        <v>20</v>
      </c>
      <c r="M2393" t="str">
        <f>IF(Raw_Claims_Data!M2392="","N/A",Raw_Claims_Data!M2392)</f>
        <v>VNDR00275</v>
      </c>
      <c r="N2393" t="str">
        <f>Raw_Claims_Data!N2392</f>
        <v>AGENT00308</v>
      </c>
      <c r="O2393">
        <f>IF(Raw_Claims_Data!G2392="D",1,0)</f>
        <v>0</v>
      </c>
    </row>
    <row r="2394" spans="1:15" x14ac:dyDescent="0.35">
      <c r="A2394" t="str">
        <f>Raw_Claims_Data!A2393</f>
        <v>TXN00002390</v>
      </c>
      <c r="B2394" t="str">
        <f>TRIM(Raw_Claims_Data!B2393)</f>
        <v>Richard Stone</v>
      </c>
      <c r="C2394" t="str">
        <f>Raw_Claims_Data!C2393</f>
        <v>Property</v>
      </c>
      <c r="D2394">
        <f>Raw_Claims_Data!D2393</f>
        <v>132.54</v>
      </c>
      <c r="E2394">
        <f>Raw_Claims_Data!E2393</f>
        <v>39000</v>
      </c>
      <c r="F2394" t="str">
        <f>Raw_Claims_Data!F2393</f>
        <v>AZ</v>
      </c>
      <c r="G2394" t="str">
        <f>Raw_Claims_Data!G2393</f>
        <v>A</v>
      </c>
      <c r="H2394" t="str">
        <f>Raw_Claims_Data!H2393</f>
        <v>Minor Loss</v>
      </c>
      <c r="I2394" t="str">
        <f>IF(Raw_Claims_Data!I2393="","None",Raw_Claims_Data!I2393)</f>
        <v>Police</v>
      </c>
      <c r="J2394" t="str">
        <f>Raw_Claims_Data!J2393</f>
        <v>Moore</v>
      </c>
      <c r="K2394" t="str">
        <f>Raw_Claims_Data!K2393</f>
        <v>OK</v>
      </c>
      <c r="L2394">
        <f>Raw_Claims_Data!L2393</f>
        <v>8</v>
      </c>
      <c r="M2394" t="str">
        <f>IF(Raw_Claims_Data!M2393="","N/A",Raw_Claims_Data!M2393)</f>
        <v>VNDR00239</v>
      </c>
      <c r="N2394" t="str">
        <f>Raw_Claims_Data!N2393</f>
        <v>AGENT00402</v>
      </c>
      <c r="O2394">
        <f>IF(Raw_Claims_Data!G2393="D",1,0)</f>
        <v>0</v>
      </c>
    </row>
    <row r="2395" spans="1:15" x14ac:dyDescent="0.35">
      <c r="A2395" t="str">
        <f>Raw_Claims_Data!A2394</f>
        <v>TXN00002391</v>
      </c>
      <c r="B2395" t="str">
        <f>TRIM(Raw_Claims_Data!B2394)</f>
        <v>Mary Renaud</v>
      </c>
      <c r="C2395" t="str">
        <f>Raw_Claims_Data!C2394</f>
        <v>Motor</v>
      </c>
      <c r="D2395">
        <f>Raw_Claims_Data!D2394</f>
        <v>113.72</v>
      </c>
      <c r="E2395">
        <f>Raw_Claims_Data!E2394</f>
        <v>10000</v>
      </c>
      <c r="F2395" t="str">
        <f>Raw_Claims_Data!F2394</f>
        <v>CO</v>
      </c>
      <c r="G2395" t="str">
        <f>Raw_Claims_Data!G2394</f>
        <v>A</v>
      </c>
      <c r="H2395" t="str">
        <f>Raw_Claims_Data!H2394</f>
        <v>Major Loss</v>
      </c>
      <c r="I2395" t="str">
        <f>IF(Raw_Claims_Data!I2394="","None",Raw_Claims_Data!I2394)</f>
        <v>Police</v>
      </c>
      <c r="J2395" t="str">
        <f>Raw_Claims_Data!J2394</f>
        <v>Montgomery</v>
      </c>
      <c r="K2395" t="str">
        <f>Raw_Claims_Data!K2394</f>
        <v>AL</v>
      </c>
      <c r="L2395">
        <f>Raw_Claims_Data!L2394</f>
        <v>20</v>
      </c>
      <c r="M2395" t="str">
        <f>IF(Raw_Claims_Data!M2394="","N/A",Raw_Claims_Data!M2394)</f>
        <v>VNDR00006</v>
      </c>
      <c r="N2395" t="str">
        <f>Raw_Claims_Data!N2394</f>
        <v>AGENT00464</v>
      </c>
      <c r="O2395">
        <f>IF(Raw_Claims_Data!G2394="D",1,0)</f>
        <v>0</v>
      </c>
    </row>
    <row r="2396" spans="1:15" x14ac:dyDescent="0.35">
      <c r="A2396" t="str">
        <f>Raw_Claims_Data!A2395</f>
        <v>TXN00002392</v>
      </c>
      <c r="B2396" t="str">
        <f>TRIM(Raw_Claims_Data!B2395)</f>
        <v>Melody Pruzansky</v>
      </c>
      <c r="C2396" t="str">
        <f>Raw_Claims_Data!C2395</f>
        <v>Health</v>
      </c>
      <c r="D2396">
        <f>Raw_Claims_Data!D2395</f>
        <v>196.11</v>
      </c>
      <c r="E2396">
        <f>Raw_Claims_Data!E2395</f>
        <v>10000</v>
      </c>
      <c r="F2396" t="str">
        <f>Raw_Claims_Data!F2395</f>
        <v>AR</v>
      </c>
      <c r="G2396" t="str">
        <f>Raw_Claims_Data!G2395</f>
        <v>A</v>
      </c>
      <c r="H2396" t="str">
        <f>Raw_Claims_Data!H2395</f>
        <v>Major Loss</v>
      </c>
      <c r="I2396" t="str">
        <f>IF(Raw_Claims_Data!I2395="","None",Raw_Claims_Data!I2395)</f>
        <v>None</v>
      </c>
      <c r="J2396" t="str">
        <f>Raw_Claims_Data!J2395</f>
        <v>Mexico Beach</v>
      </c>
      <c r="K2396" t="str">
        <f>Raw_Claims_Data!K2395</f>
        <v>FL</v>
      </c>
      <c r="L2396">
        <f>Raw_Claims_Data!L2395</f>
        <v>12</v>
      </c>
      <c r="M2396" t="str">
        <f>IF(Raw_Claims_Data!M2395="","N/A",Raw_Claims_Data!M2395)</f>
        <v>VNDR00529</v>
      </c>
      <c r="N2396" t="str">
        <f>Raw_Claims_Data!N2395</f>
        <v>AGENT01004</v>
      </c>
      <c r="O2396">
        <f>IF(Raw_Claims_Data!G2395="D",1,0)</f>
        <v>0</v>
      </c>
    </row>
    <row r="2397" spans="1:15" x14ac:dyDescent="0.35">
      <c r="A2397" t="str">
        <f>Raw_Claims_Data!A2396</f>
        <v>TXN00002393</v>
      </c>
      <c r="B2397" t="str">
        <f>TRIM(Raw_Claims_Data!B2396)</f>
        <v>Emil Ryan</v>
      </c>
      <c r="C2397" t="str">
        <f>Raw_Claims_Data!C2396</f>
        <v>Health</v>
      </c>
      <c r="D2397">
        <f>Raw_Claims_Data!D2396</f>
        <v>137.55000000000001</v>
      </c>
      <c r="E2397">
        <f>Raw_Claims_Data!E2396</f>
        <v>20000</v>
      </c>
      <c r="F2397" t="str">
        <f>Raw_Claims_Data!F2396</f>
        <v>OK</v>
      </c>
      <c r="G2397" t="str">
        <f>Raw_Claims_Data!G2396</f>
        <v>A</v>
      </c>
      <c r="H2397" t="str">
        <f>Raw_Claims_Data!H2396</f>
        <v>Minor Loss</v>
      </c>
      <c r="I2397" t="str">
        <f>IF(Raw_Claims_Data!I2396="","None",Raw_Claims_Data!I2396)</f>
        <v>Police</v>
      </c>
      <c r="J2397" t="str">
        <f>Raw_Claims_Data!J2396</f>
        <v>Montgomery</v>
      </c>
      <c r="K2397" t="str">
        <f>Raw_Claims_Data!K2396</f>
        <v>AL</v>
      </c>
      <c r="L2397">
        <f>Raw_Claims_Data!L2396</f>
        <v>4</v>
      </c>
      <c r="M2397" t="str">
        <f>IF(Raw_Claims_Data!M2396="","N/A",Raw_Claims_Data!M2396)</f>
        <v>VNDR00539</v>
      </c>
      <c r="N2397" t="str">
        <f>Raw_Claims_Data!N2396</f>
        <v>AGENT00129</v>
      </c>
      <c r="O2397">
        <f>IF(Raw_Claims_Data!G2396="D",1,0)</f>
        <v>0</v>
      </c>
    </row>
    <row r="2398" spans="1:15" x14ac:dyDescent="0.35">
      <c r="A2398" t="str">
        <f>Raw_Claims_Data!A2397</f>
        <v>TXN00002394</v>
      </c>
      <c r="B2398" t="str">
        <f>TRIM(Raw_Claims_Data!B2397)</f>
        <v>Rodney Velarde</v>
      </c>
      <c r="C2398" t="str">
        <f>Raw_Claims_Data!C2397</f>
        <v>Mobile</v>
      </c>
      <c r="D2398">
        <f>Raw_Claims_Data!D2397</f>
        <v>7.63</v>
      </c>
      <c r="E2398">
        <f>Raw_Claims_Data!E2397</f>
        <v>600</v>
      </c>
      <c r="F2398" t="str">
        <f>Raw_Claims_Data!F2397</f>
        <v>CO</v>
      </c>
      <c r="G2398" t="str">
        <f>Raw_Claims_Data!G2397</f>
        <v>A</v>
      </c>
      <c r="H2398" t="str">
        <f>Raw_Claims_Data!H2397</f>
        <v>Total Loss</v>
      </c>
      <c r="I2398" t="str">
        <f>IF(Raw_Claims_Data!I2397="","None",Raw_Claims_Data!I2397)</f>
        <v>Police</v>
      </c>
      <c r="J2398" t="str">
        <f>Raw_Claims_Data!J2397</f>
        <v>Poultney</v>
      </c>
      <c r="K2398" t="str">
        <f>Raw_Claims_Data!K2397</f>
        <v>VT</v>
      </c>
      <c r="L2398">
        <f>Raw_Claims_Data!L2397</f>
        <v>11</v>
      </c>
      <c r="M2398" t="str">
        <f>IF(Raw_Claims_Data!M2397="","N/A",Raw_Claims_Data!M2397)</f>
        <v>VNDR00310</v>
      </c>
      <c r="N2398" t="str">
        <f>Raw_Claims_Data!N2397</f>
        <v>AGENT00291</v>
      </c>
      <c r="O2398">
        <f>IF(Raw_Claims_Data!G2397="D",1,0)</f>
        <v>0</v>
      </c>
    </row>
    <row r="2399" spans="1:15" x14ac:dyDescent="0.35">
      <c r="A2399" t="str">
        <f>Raw_Claims_Data!A2398</f>
        <v>TXN00002395</v>
      </c>
      <c r="B2399" t="str">
        <f>TRIM(Raw_Claims_Data!B2398)</f>
        <v>Kimberly Godine</v>
      </c>
      <c r="C2399" t="str">
        <f>Raw_Claims_Data!C2398</f>
        <v>Mobile</v>
      </c>
      <c r="D2399">
        <f>Raw_Claims_Data!D2398</f>
        <v>7.98</v>
      </c>
      <c r="E2399">
        <f>Raw_Claims_Data!E2398</f>
        <v>500</v>
      </c>
      <c r="F2399" t="str">
        <f>Raw_Claims_Data!F2398</f>
        <v>DC</v>
      </c>
      <c r="G2399" t="str">
        <f>Raw_Claims_Data!G2398</f>
        <v>D</v>
      </c>
      <c r="H2399" t="str">
        <f>Raw_Claims_Data!H2398</f>
        <v>Major Loss</v>
      </c>
      <c r="I2399" t="str">
        <f>IF(Raw_Claims_Data!I2398="","None",Raw_Claims_Data!I2398)</f>
        <v>Police</v>
      </c>
      <c r="J2399" t="str">
        <f>Raw_Claims_Data!J2398</f>
        <v>Burke</v>
      </c>
      <c r="K2399" t="str">
        <f>Raw_Claims_Data!K2398</f>
        <v>VT</v>
      </c>
      <c r="L2399">
        <f>Raw_Claims_Data!L2398</f>
        <v>2</v>
      </c>
      <c r="M2399" t="str">
        <f>IF(Raw_Claims_Data!M2398="","N/A",Raw_Claims_Data!M2398)</f>
        <v>N/A</v>
      </c>
      <c r="N2399" t="str">
        <f>Raw_Claims_Data!N2398</f>
        <v>AGENT00231</v>
      </c>
      <c r="O2399">
        <f>IF(Raw_Claims_Data!G2398="D",1,0)</f>
        <v>1</v>
      </c>
    </row>
    <row r="2400" spans="1:15" x14ac:dyDescent="0.35">
      <c r="A2400" t="str">
        <f>Raw_Claims_Data!A2399</f>
        <v>TXN00002396</v>
      </c>
      <c r="B2400" t="str">
        <f>TRIM(Raw_Claims_Data!B2399)</f>
        <v>Lindsey Johnson</v>
      </c>
      <c r="C2400" t="str">
        <f>Raw_Claims_Data!C2399</f>
        <v>Travel</v>
      </c>
      <c r="D2400">
        <f>Raw_Claims_Data!D2399</f>
        <v>73.97</v>
      </c>
      <c r="E2400">
        <f>Raw_Claims_Data!E2399</f>
        <v>2000</v>
      </c>
      <c r="F2400" t="str">
        <f>Raw_Claims_Data!F2399</f>
        <v>AZ</v>
      </c>
      <c r="G2400" t="str">
        <f>Raw_Claims_Data!G2399</f>
        <v>A</v>
      </c>
      <c r="H2400" t="str">
        <f>Raw_Claims_Data!H2399</f>
        <v>Minor Loss</v>
      </c>
      <c r="I2400" t="str">
        <f>IF(Raw_Claims_Data!I2399="","None",Raw_Claims_Data!I2399)</f>
        <v>Other</v>
      </c>
      <c r="J2400" t="str">
        <f>Raw_Claims_Data!J2399</f>
        <v>Louisville</v>
      </c>
      <c r="K2400" t="str">
        <f>Raw_Claims_Data!K2399</f>
        <v>KY</v>
      </c>
      <c r="L2400">
        <f>Raw_Claims_Data!L2399</f>
        <v>17</v>
      </c>
      <c r="M2400" t="str">
        <f>IF(Raw_Claims_Data!M2399="","N/A",Raw_Claims_Data!M2399)</f>
        <v>VNDR00585</v>
      </c>
      <c r="N2400" t="str">
        <f>Raw_Claims_Data!N2399</f>
        <v>AGENT00463</v>
      </c>
      <c r="O2400">
        <f>IF(Raw_Claims_Data!G2399="D",1,0)</f>
        <v>0</v>
      </c>
    </row>
    <row r="2401" spans="1:15" x14ac:dyDescent="0.35">
      <c r="A2401" t="str">
        <f>Raw_Claims_Data!A2400</f>
        <v>TXN00002397</v>
      </c>
      <c r="B2401" t="str">
        <f>TRIM(Raw_Claims_Data!B2400)</f>
        <v>David Price</v>
      </c>
      <c r="C2401" t="str">
        <f>Raw_Claims_Data!C2400</f>
        <v>Motor</v>
      </c>
      <c r="D2401">
        <f>Raw_Claims_Data!D2400</f>
        <v>73.48</v>
      </c>
      <c r="E2401">
        <f>Raw_Claims_Data!E2400</f>
        <v>4000</v>
      </c>
      <c r="F2401" t="str">
        <f>Raw_Claims_Data!F2400</f>
        <v>KY</v>
      </c>
      <c r="G2401" t="str">
        <f>Raw_Claims_Data!G2400</f>
        <v>A</v>
      </c>
      <c r="H2401" t="str">
        <f>Raw_Claims_Data!H2400</f>
        <v>Minor Loss</v>
      </c>
      <c r="I2401" t="str">
        <f>IF(Raw_Claims_Data!I2400="","None",Raw_Claims_Data!I2400)</f>
        <v>Ambulance</v>
      </c>
      <c r="J2401" t="str">
        <f>Raw_Claims_Data!J2400</f>
        <v>Panama City</v>
      </c>
      <c r="K2401" t="str">
        <f>Raw_Claims_Data!K2400</f>
        <v>FL</v>
      </c>
      <c r="L2401">
        <f>Raw_Claims_Data!L2400</f>
        <v>6</v>
      </c>
      <c r="M2401" t="str">
        <f>IF(Raw_Claims_Data!M2400="","N/A",Raw_Claims_Data!M2400)</f>
        <v>N/A</v>
      </c>
      <c r="N2401" t="str">
        <f>Raw_Claims_Data!N2400</f>
        <v>AGENT00550</v>
      </c>
      <c r="O2401">
        <f>IF(Raw_Claims_Data!G2400="D",1,0)</f>
        <v>0</v>
      </c>
    </row>
    <row r="2402" spans="1:15" x14ac:dyDescent="0.35">
      <c r="A2402" t="str">
        <f>Raw_Claims_Data!A2401</f>
        <v>TXN00002398</v>
      </c>
      <c r="B2402" t="str">
        <f>TRIM(Raw_Claims_Data!B2401)</f>
        <v>Sarah Bonner</v>
      </c>
      <c r="C2402" t="str">
        <f>Raw_Claims_Data!C2401</f>
        <v>Mobile</v>
      </c>
      <c r="D2402">
        <f>Raw_Claims_Data!D2401</f>
        <v>6.22</v>
      </c>
      <c r="E2402">
        <f>Raw_Claims_Data!E2401</f>
        <v>300</v>
      </c>
      <c r="F2402" t="str">
        <f>Raw_Claims_Data!F2401</f>
        <v>MA</v>
      </c>
      <c r="G2402" t="str">
        <f>Raw_Claims_Data!G2401</f>
        <v>A</v>
      </c>
      <c r="H2402" t="str">
        <f>Raw_Claims_Data!H2401</f>
        <v>Major Loss</v>
      </c>
      <c r="I2402" t="str">
        <f>IF(Raw_Claims_Data!I2401="","None",Raw_Claims_Data!I2401)</f>
        <v>Ambulance</v>
      </c>
      <c r="J2402" t="str">
        <f>Raw_Claims_Data!J2401</f>
        <v>Glendale</v>
      </c>
      <c r="K2402" t="str">
        <f>Raw_Claims_Data!K2401</f>
        <v>AZ</v>
      </c>
      <c r="L2402">
        <f>Raw_Claims_Data!L2401</f>
        <v>2</v>
      </c>
      <c r="M2402" t="str">
        <f>IF(Raw_Claims_Data!M2401="","N/A",Raw_Claims_Data!M2401)</f>
        <v>VNDR00366</v>
      </c>
      <c r="N2402" t="str">
        <f>Raw_Claims_Data!N2401</f>
        <v>AGENT00277</v>
      </c>
      <c r="O2402">
        <f>IF(Raw_Claims_Data!G2401="D",1,0)</f>
        <v>0</v>
      </c>
    </row>
    <row r="2403" spans="1:15" x14ac:dyDescent="0.35">
      <c r="A2403" t="str">
        <f>Raw_Claims_Data!A2402</f>
        <v>TXN00002399</v>
      </c>
      <c r="B2403" t="str">
        <f>TRIM(Raw_Claims_Data!B2402)</f>
        <v>Richard Trofholz</v>
      </c>
      <c r="C2403" t="str">
        <f>Raw_Claims_Data!C2402</f>
        <v>Property</v>
      </c>
      <c r="D2403">
        <f>Raw_Claims_Data!D2402</f>
        <v>133.58000000000001</v>
      </c>
      <c r="E2403">
        <f>Raw_Claims_Data!E2402</f>
        <v>33000</v>
      </c>
      <c r="F2403" t="str">
        <f>Raw_Claims_Data!F2402</f>
        <v>TN</v>
      </c>
      <c r="G2403" t="str">
        <f>Raw_Claims_Data!G2402</f>
        <v>A</v>
      </c>
      <c r="H2403" t="str">
        <f>Raw_Claims_Data!H2402</f>
        <v>Total Loss</v>
      </c>
      <c r="I2403" t="str">
        <f>IF(Raw_Claims_Data!I2402="","None",Raw_Claims_Data!I2402)</f>
        <v>None</v>
      </c>
      <c r="J2403" t="str">
        <f>Raw_Claims_Data!J2402</f>
        <v>Pasadena</v>
      </c>
      <c r="K2403" t="str">
        <f>Raw_Claims_Data!K2402</f>
        <v>MD</v>
      </c>
      <c r="L2403">
        <f>Raw_Claims_Data!L2402</f>
        <v>12</v>
      </c>
      <c r="M2403" t="str">
        <f>IF(Raw_Claims_Data!M2402="","N/A",Raw_Claims_Data!M2402)</f>
        <v>VNDR00381</v>
      </c>
      <c r="N2403" t="str">
        <f>Raw_Claims_Data!N2402</f>
        <v>AGENT01088</v>
      </c>
      <c r="O2403">
        <f>IF(Raw_Claims_Data!G2402="D",1,0)</f>
        <v>0</v>
      </c>
    </row>
    <row r="2404" spans="1:15" x14ac:dyDescent="0.35">
      <c r="A2404" t="str">
        <f>Raw_Claims_Data!A2403</f>
        <v>TXN00002400</v>
      </c>
      <c r="B2404" t="str">
        <f>TRIM(Raw_Claims_Data!B2403)</f>
        <v>Joseph Vierra</v>
      </c>
      <c r="C2404" t="str">
        <f>Raw_Claims_Data!C2403</f>
        <v>Life</v>
      </c>
      <c r="D2404">
        <f>Raw_Claims_Data!D2403</f>
        <v>82.4</v>
      </c>
      <c r="E2404">
        <f>Raw_Claims_Data!E2403</f>
        <v>74000</v>
      </c>
      <c r="F2404" t="str">
        <f>Raw_Claims_Data!F2403</f>
        <v>CT</v>
      </c>
      <c r="G2404" t="str">
        <f>Raw_Claims_Data!G2403</f>
        <v>A</v>
      </c>
      <c r="H2404" t="str">
        <f>Raw_Claims_Data!H2403</f>
        <v>Total Loss</v>
      </c>
      <c r="I2404" t="str">
        <f>IF(Raw_Claims_Data!I2403="","None",Raw_Claims_Data!I2403)</f>
        <v>Other</v>
      </c>
      <c r="J2404" t="str">
        <f>Raw_Claims_Data!J2403</f>
        <v>Barre</v>
      </c>
      <c r="K2404" t="str">
        <f>Raw_Claims_Data!K2403</f>
        <v>VT</v>
      </c>
      <c r="L2404">
        <f>Raw_Claims_Data!L2403</f>
        <v>20</v>
      </c>
      <c r="M2404" t="str">
        <f>IF(Raw_Claims_Data!M2403="","N/A",Raw_Claims_Data!M2403)</f>
        <v>VNDR00112</v>
      </c>
      <c r="N2404" t="str">
        <f>Raw_Claims_Data!N2403</f>
        <v>AGENT00895</v>
      </c>
      <c r="O2404">
        <f>IF(Raw_Claims_Data!G2403="D",1,0)</f>
        <v>0</v>
      </c>
    </row>
    <row r="2405" spans="1:15" x14ac:dyDescent="0.35">
      <c r="A2405" t="str">
        <f>Raw_Claims_Data!A2404</f>
        <v>TXN00002401</v>
      </c>
      <c r="B2405" t="str">
        <f>TRIM(Raw_Claims_Data!B2404)</f>
        <v>Ethel Conner</v>
      </c>
      <c r="C2405" t="str">
        <f>Raw_Claims_Data!C2404</f>
        <v>Travel</v>
      </c>
      <c r="D2405">
        <f>Raw_Claims_Data!D2404</f>
        <v>62.87</v>
      </c>
      <c r="E2405">
        <f>Raw_Claims_Data!E2404</f>
        <v>4000</v>
      </c>
      <c r="F2405" t="str">
        <f>Raw_Claims_Data!F2404</f>
        <v>CA</v>
      </c>
      <c r="G2405" t="str">
        <f>Raw_Claims_Data!G2404</f>
        <v>A</v>
      </c>
      <c r="H2405" t="str">
        <f>Raw_Claims_Data!H2404</f>
        <v>Minor Loss</v>
      </c>
      <c r="I2405" t="str">
        <f>IF(Raw_Claims_Data!I2404="","None",Raw_Claims_Data!I2404)</f>
        <v>Police</v>
      </c>
      <c r="J2405" t="str">
        <f>Raw_Claims_Data!J2404</f>
        <v>Midwest City</v>
      </c>
      <c r="K2405" t="str">
        <f>Raw_Claims_Data!K2404</f>
        <v>OK</v>
      </c>
      <c r="L2405">
        <f>Raw_Claims_Data!L2404</f>
        <v>7</v>
      </c>
      <c r="M2405" t="str">
        <f>IF(Raw_Claims_Data!M2404="","N/A",Raw_Claims_Data!M2404)</f>
        <v>VNDR00004</v>
      </c>
      <c r="N2405" t="str">
        <f>Raw_Claims_Data!N2404</f>
        <v>AGENT01070</v>
      </c>
      <c r="O2405">
        <f>IF(Raw_Claims_Data!G2404="D",1,0)</f>
        <v>0</v>
      </c>
    </row>
    <row r="2406" spans="1:15" x14ac:dyDescent="0.35">
      <c r="A2406" t="str">
        <f>Raw_Claims_Data!A2405</f>
        <v>TXN00002402</v>
      </c>
      <c r="B2406" t="str">
        <f>TRIM(Raw_Claims_Data!B2405)</f>
        <v>Corina Barnes</v>
      </c>
      <c r="C2406" t="str">
        <f>Raw_Claims_Data!C2405</f>
        <v>Life</v>
      </c>
      <c r="D2406">
        <f>Raw_Claims_Data!D2405</f>
        <v>52.32</v>
      </c>
      <c r="E2406">
        <f>Raw_Claims_Data!E2405</f>
        <v>20000</v>
      </c>
      <c r="F2406" t="str">
        <f>Raw_Claims_Data!F2405</f>
        <v>CA</v>
      </c>
      <c r="G2406" t="str">
        <f>Raw_Claims_Data!G2405</f>
        <v>A</v>
      </c>
      <c r="H2406" t="str">
        <f>Raw_Claims_Data!H2405</f>
        <v>Major Loss</v>
      </c>
      <c r="I2406" t="str">
        <f>IF(Raw_Claims_Data!I2405="","None",Raw_Claims_Data!I2405)</f>
        <v>Ambulance</v>
      </c>
      <c r="J2406" t="str">
        <f>Raw_Claims_Data!J2405</f>
        <v>Hayward</v>
      </c>
      <c r="K2406" t="str">
        <f>Raw_Claims_Data!K2405</f>
        <v>CA</v>
      </c>
      <c r="L2406">
        <f>Raw_Claims_Data!L2405</f>
        <v>14</v>
      </c>
      <c r="M2406" t="str">
        <f>IF(Raw_Claims_Data!M2405="","N/A",Raw_Claims_Data!M2405)</f>
        <v>VNDR00117</v>
      </c>
      <c r="N2406" t="str">
        <f>Raw_Claims_Data!N2405</f>
        <v>AGENT00777</v>
      </c>
      <c r="O2406">
        <f>IF(Raw_Claims_Data!G2405="D",1,0)</f>
        <v>0</v>
      </c>
    </row>
    <row r="2407" spans="1:15" x14ac:dyDescent="0.35">
      <c r="A2407" t="str">
        <f>Raw_Claims_Data!A2406</f>
        <v>TXN00002403</v>
      </c>
      <c r="B2407" t="str">
        <f>TRIM(Raw_Claims_Data!B2406)</f>
        <v>Dean Holder</v>
      </c>
      <c r="C2407" t="str">
        <f>Raw_Claims_Data!C2406</f>
        <v>Property</v>
      </c>
      <c r="D2407">
        <f>Raw_Claims_Data!D2406</f>
        <v>99.75</v>
      </c>
      <c r="E2407">
        <f>Raw_Claims_Data!E2406</f>
        <v>12000</v>
      </c>
      <c r="F2407" t="str">
        <f>Raw_Claims_Data!F2406</f>
        <v>OK</v>
      </c>
      <c r="G2407" t="str">
        <f>Raw_Claims_Data!G2406</f>
        <v>A</v>
      </c>
      <c r="H2407" t="str">
        <f>Raw_Claims_Data!H2406</f>
        <v>Major Loss</v>
      </c>
      <c r="I2407" t="str">
        <f>IF(Raw_Claims_Data!I2406="","None",Raw_Claims_Data!I2406)</f>
        <v>Ambulance</v>
      </c>
      <c r="J2407" t="str">
        <f>Raw_Claims_Data!J2406</f>
        <v>Barre</v>
      </c>
      <c r="K2407" t="str">
        <f>Raw_Claims_Data!K2406</f>
        <v>VT</v>
      </c>
      <c r="L2407">
        <f>Raw_Claims_Data!L2406</f>
        <v>18</v>
      </c>
      <c r="M2407" t="str">
        <f>IF(Raw_Claims_Data!M2406="","N/A",Raw_Claims_Data!M2406)</f>
        <v>N/A</v>
      </c>
      <c r="N2407" t="str">
        <f>Raw_Claims_Data!N2406</f>
        <v>AGENT01143</v>
      </c>
      <c r="O2407">
        <f>IF(Raw_Claims_Data!G2406="D",1,0)</f>
        <v>0</v>
      </c>
    </row>
    <row r="2408" spans="1:15" x14ac:dyDescent="0.35">
      <c r="A2408" t="str">
        <f>Raw_Claims_Data!A2407</f>
        <v>TXN00002404</v>
      </c>
      <c r="B2408" t="str">
        <f>TRIM(Raw_Claims_Data!B2407)</f>
        <v>Betty Price</v>
      </c>
      <c r="C2408" t="str">
        <f>Raw_Claims_Data!C2407</f>
        <v>Property</v>
      </c>
      <c r="D2408">
        <f>Raw_Claims_Data!D2407</f>
        <v>114.02</v>
      </c>
      <c r="E2408">
        <f>Raw_Claims_Data!E2407</f>
        <v>24000</v>
      </c>
      <c r="F2408" t="str">
        <f>Raw_Claims_Data!F2407</f>
        <v>CA</v>
      </c>
      <c r="G2408" t="str">
        <f>Raw_Claims_Data!G2407</f>
        <v>A</v>
      </c>
      <c r="H2408" t="str">
        <f>Raw_Claims_Data!H2407</f>
        <v>Total Loss</v>
      </c>
      <c r="I2408" t="str">
        <f>IF(Raw_Claims_Data!I2407="","None",Raw_Claims_Data!I2407)</f>
        <v>Ambulance</v>
      </c>
      <c r="J2408" t="str">
        <f>Raw_Claims_Data!J2407</f>
        <v>Washington</v>
      </c>
      <c r="K2408" t="str">
        <f>Raw_Claims_Data!K2407</f>
        <v>DC</v>
      </c>
      <c r="L2408">
        <f>Raw_Claims_Data!L2407</f>
        <v>15</v>
      </c>
      <c r="M2408" t="str">
        <f>IF(Raw_Claims_Data!M2407="","N/A",Raw_Claims_Data!M2407)</f>
        <v>VNDR00079</v>
      </c>
      <c r="N2408" t="str">
        <f>Raw_Claims_Data!N2407</f>
        <v>AGENT00955</v>
      </c>
      <c r="O2408">
        <f>IF(Raw_Claims_Data!G2407="D",1,0)</f>
        <v>0</v>
      </c>
    </row>
    <row r="2409" spans="1:15" x14ac:dyDescent="0.35">
      <c r="A2409" t="str">
        <f>Raw_Claims_Data!A2408</f>
        <v>TXN00002405</v>
      </c>
      <c r="B2409" t="str">
        <f>TRIM(Raw_Claims_Data!B2408)</f>
        <v>Sharon Vinton</v>
      </c>
      <c r="C2409" t="str">
        <f>Raw_Claims_Data!C2408</f>
        <v>Mobile</v>
      </c>
      <c r="D2409">
        <f>Raw_Claims_Data!D2408</f>
        <v>11.03</v>
      </c>
      <c r="E2409">
        <f>Raw_Claims_Data!E2408</f>
        <v>700</v>
      </c>
      <c r="F2409" t="str">
        <f>Raw_Claims_Data!F2408</f>
        <v>AK</v>
      </c>
      <c r="G2409" t="str">
        <f>Raw_Claims_Data!G2408</f>
        <v>D</v>
      </c>
      <c r="H2409" t="str">
        <f>Raw_Claims_Data!H2408</f>
        <v>Total Loss</v>
      </c>
      <c r="I2409" t="str">
        <f>IF(Raw_Claims_Data!I2408="","None",Raw_Claims_Data!I2408)</f>
        <v>Police</v>
      </c>
      <c r="J2409" t="str">
        <f>Raw_Claims_Data!J2408</f>
        <v>Fayetteville</v>
      </c>
      <c r="K2409" t="str">
        <f>Raw_Claims_Data!K2408</f>
        <v>AR</v>
      </c>
      <c r="L2409">
        <f>Raw_Claims_Data!L2408</f>
        <v>17</v>
      </c>
      <c r="M2409" t="str">
        <f>IF(Raw_Claims_Data!M2408="","N/A",Raw_Claims_Data!M2408)</f>
        <v>N/A</v>
      </c>
      <c r="N2409" t="str">
        <f>Raw_Claims_Data!N2408</f>
        <v>AGENT00323</v>
      </c>
      <c r="O2409">
        <f>IF(Raw_Claims_Data!G2408="D",1,0)</f>
        <v>1</v>
      </c>
    </row>
    <row r="2410" spans="1:15" x14ac:dyDescent="0.35">
      <c r="A2410" t="str">
        <f>Raw_Claims_Data!A2409</f>
        <v>TXN00002406</v>
      </c>
      <c r="B2410" t="str">
        <f>TRIM(Raw_Claims_Data!B2409)</f>
        <v>Ward Trantham</v>
      </c>
      <c r="C2410" t="str">
        <f>Raw_Claims_Data!C2409</f>
        <v>Property</v>
      </c>
      <c r="D2410">
        <f>Raw_Claims_Data!D2409</f>
        <v>112.69</v>
      </c>
      <c r="E2410">
        <f>Raw_Claims_Data!E2409</f>
        <v>19000</v>
      </c>
      <c r="F2410" t="str">
        <f>Raw_Claims_Data!F2409</f>
        <v>KY</v>
      </c>
      <c r="G2410" t="str">
        <f>Raw_Claims_Data!G2409</f>
        <v>A</v>
      </c>
      <c r="H2410" t="str">
        <f>Raw_Claims_Data!H2409</f>
        <v>Minor Loss</v>
      </c>
      <c r="I2410" t="str">
        <f>IF(Raw_Claims_Data!I2409="","None",Raw_Claims_Data!I2409)</f>
        <v>None</v>
      </c>
      <c r="J2410" t="str">
        <f>Raw_Claims_Data!J2409</f>
        <v>Montgomery</v>
      </c>
      <c r="K2410" t="str">
        <f>Raw_Claims_Data!K2409</f>
        <v>AL</v>
      </c>
      <c r="L2410">
        <f>Raw_Claims_Data!L2409</f>
        <v>14</v>
      </c>
      <c r="M2410" t="str">
        <f>IF(Raw_Claims_Data!M2409="","N/A",Raw_Claims_Data!M2409)</f>
        <v>N/A</v>
      </c>
      <c r="N2410" t="str">
        <f>Raw_Claims_Data!N2409</f>
        <v>AGENT00516</v>
      </c>
      <c r="O2410">
        <f>IF(Raw_Claims_Data!G2409="D",1,0)</f>
        <v>0</v>
      </c>
    </row>
    <row r="2411" spans="1:15" x14ac:dyDescent="0.35">
      <c r="A2411" t="str">
        <f>Raw_Claims_Data!A2410</f>
        <v>TXN00002407</v>
      </c>
      <c r="B2411" t="str">
        <f>TRIM(Raw_Claims_Data!B2410)</f>
        <v>Donna Ross</v>
      </c>
      <c r="C2411" t="str">
        <f>Raw_Claims_Data!C2410</f>
        <v>Travel</v>
      </c>
      <c r="D2411">
        <f>Raw_Claims_Data!D2410</f>
        <v>94.61</v>
      </c>
      <c r="E2411">
        <f>Raw_Claims_Data!E2410</f>
        <v>3000</v>
      </c>
      <c r="F2411" t="str">
        <f>Raw_Claims_Data!F2410</f>
        <v>CA</v>
      </c>
      <c r="G2411" t="str">
        <f>Raw_Claims_Data!G2410</f>
        <v>A</v>
      </c>
      <c r="H2411" t="str">
        <f>Raw_Claims_Data!H2410</f>
        <v>Minor Loss</v>
      </c>
      <c r="I2411" t="str">
        <f>IF(Raw_Claims_Data!I2410="","None",Raw_Claims_Data!I2410)</f>
        <v>Police</v>
      </c>
      <c r="J2411" t="str">
        <f>Raw_Claims_Data!J2410</f>
        <v>Manchester</v>
      </c>
      <c r="K2411" t="str">
        <f>Raw_Claims_Data!K2410</f>
        <v>CT</v>
      </c>
      <c r="L2411">
        <f>Raw_Claims_Data!L2410</f>
        <v>11</v>
      </c>
      <c r="M2411" t="str">
        <f>IF(Raw_Claims_Data!M2410="","N/A",Raw_Claims_Data!M2410)</f>
        <v>VNDR00403</v>
      </c>
      <c r="N2411" t="str">
        <f>Raw_Claims_Data!N2410</f>
        <v>AGENT00775</v>
      </c>
      <c r="O2411">
        <f>IF(Raw_Claims_Data!G2410="D",1,0)</f>
        <v>0</v>
      </c>
    </row>
    <row r="2412" spans="1:15" x14ac:dyDescent="0.35">
      <c r="A2412" t="str">
        <f>Raw_Claims_Data!A2411</f>
        <v>TXN00002408</v>
      </c>
      <c r="B2412" t="str">
        <f>TRIM(Raw_Claims_Data!B2411)</f>
        <v>Julie Lewis</v>
      </c>
      <c r="C2412" t="str">
        <f>Raw_Claims_Data!C2411</f>
        <v>Life</v>
      </c>
      <c r="D2412">
        <f>Raw_Claims_Data!D2411</f>
        <v>89.08</v>
      </c>
      <c r="E2412">
        <f>Raw_Claims_Data!E2411</f>
        <v>45000</v>
      </c>
      <c r="F2412" t="str">
        <f>Raw_Claims_Data!F2411</f>
        <v>DC</v>
      </c>
      <c r="G2412" t="str">
        <f>Raw_Claims_Data!G2411</f>
        <v>A</v>
      </c>
      <c r="H2412" t="str">
        <f>Raw_Claims_Data!H2411</f>
        <v>Total Loss</v>
      </c>
      <c r="I2412" t="str">
        <f>IF(Raw_Claims_Data!I2411="","None",Raw_Claims_Data!I2411)</f>
        <v>Other</v>
      </c>
      <c r="J2412" t="str">
        <f>Raw_Claims_Data!J2411</f>
        <v>Louisville</v>
      </c>
      <c r="K2412" t="str">
        <f>Raw_Claims_Data!K2411</f>
        <v>KY</v>
      </c>
      <c r="L2412">
        <f>Raw_Claims_Data!L2411</f>
        <v>15</v>
      </c>
      <c r="M2412" t="str">
        <f>IF(Raw_Claims_Data!M2411="","N/A",Raw_Claims_Data!M2411)</f>
        <v>VNDR00353</v>
      </c>
      <c r="N2412" t="str">
        <f>Raw_Claims_Data!N2411</f>
        <v>AGENT00843</v>
      </c>
      <c r="O2412">
        <f>IF(Raw_Claims_Data!G2411="D",1,0)</f>
        <v>0</v>
      </c>
    </row>
    <row r="2413" spans="1:15" x14ac:dyDescent="0.35">
      <c r="A2413" t="str">
        <f>Raw_Claims_Data!A2412</f>
        <v>TXN00002409</v>
      </c>
      <c r="B2413" t="str">
        <f>TRIM(Raw_Claims_Data!B2412)</f>
        <v>Mitchell Carter</v>
      </c>
      <c r="C2413" t="str">
        <f>Raw_Claims_Data!C2412</f>
        <v>Life</v>
      </c>
      <c r="D2413">
        <f>Raw_Claims_Data!D2412</f>
        <v>59.19</v>
      </c>
      <c r="E2413">
        <f>Raw_Claims_Data!E2412</f>
        <v>99000</v>
      </c>
      <c r="F2413" t="str">
        <f>Raw_Claims_Data!F2412</f>
        <v>CT</v>
      </c>
      <c r="G2413" t="str">
        <f>Raw_Claims_Data!G2412</f>
        <v>A</v>
      </c>
      <c r="H2413" t="str">
        <f>Raw_Claims_Data!H2412</f>
        <v>Major Loss</v>
      </c>
      <c r="I2413" t="str">
        <f>IF(Raw_Claims_Data!I2412="","None",Raw_Claims_Data!I2412)</f>
        <v>Ambulance</v>
      </c>
      <c r="J2413" t="str">
        <f>Raw_Claims_Data!J2412</f>
        <v>Savannah</v>
      </c>
      <c r="K2413" t="str">
        <f>Raw_Claims_Data!K2412</f>
        <v>GA</v>
      </c>
      <c r="L2413">
        <f>Raw_Claims_Data!L2412</f>
        <v>13</v>
      </c>
      <c r="M2413" t="str">
        <f>IF(Raw_Claims_Data!M2412="","N/A",Raw_Claims_Data!M2412)</f>
        <v>N/A</v>
      </c>
      <c r="N2413" t="str">
        <f>Raw_Claims_Data!N2412</f>
        <v>AGENT00196</v>
      </c>
      <c r="O2413">
        <f>IF(Raw_Claims_Data!G2412="D",1,0)</f>
        <v>0</v>
      </c>
    </row>
    <row r="2414" spans="1:15" x14ac:dyDescent="0.35">
      <c r="A2414" t="str">
        <f>Raw_Claims_Data!A2413</f>
        <v>TXN00002410</v>
      </c>
      <c r="B2414" t="str">
        <f>TRIM(Raw_Claims_Data!B2413)</f>
        <v>Jeffrey Gundlach</v>
      </c>
      <c r="C2414" t="str">
        <f>Raw_Claims_Data!C2413</f>
        <v>Life</v>
      </c>
      <c r="D2414">
        <f>Raw_Claims_Data!D2413</f>
        <v>94.17</v>
      </c>
      <c r="E2414">
        <f>Raw_Claims_Data!E2413</f>
        <v>82000</v>
      </c>
      <c r="F2414" t="str">
        <f>Raw_Claims_Data!F2413</f>
        <v>MD</v>
      </c>
      <c r="G2414" t="str">
        <f>Raw_Claims_Data!G2413</f>
        <v>A</v>
      </c>
      <c r="H2414" t="str">
        <f>Raw_Claims_Data!H2413</f>
        <v>Major Loss</v>
      </c>
      <c r="I2414" t="str">
        <f>IF(Raw_Claims_Data!I2413="","None",Raw_Claims_Data!I2413)</f>
        <v>Ambulance</v>
      </c>
      <c r="J2414" t="str">
        <f>Raw_Claims_Data!J2413</f>
        <v>Litchfield Park</v>
      </c>
      <c r="K2414" t="str">
        <f>Raw_Claims_Data!K2413</f>
        <v>AZ</v>
      </c>
      <c r="L2414">
        <f>Raw_Claims_Data!L2413</f>
        <v>5</v>
      </c>
      <c r="M2414" t="str">
        <f>IF(Raw_Claims_Data!M2413="","N/A",Raw_Claims_Data!M2413)</f>
        <v>N/A</v>
      </c>
      <c r="N2414" t="str">
        <f>Raw_Claims_Data!N2413</f>
        <v>AGENT00365</v>
      </c>
      <c r="O2414">
        <f>IF(Raw_Claims_Data!G2413="D",1,0)</f>
        <v>0</v>
      </c>
    </row>
    <row r="2415" spans="1:15" x14ac:dyDescent="0.35">
      <c r="A2415" t="str">
        <f>Raw_Claims_Data!A2414</f>
        <v>TXN00002411</v>
      </c>
      <c r="B2415" t="str">
        <f>TRIM(Raw_Claims_Data!B2414)</f>
        <v>Mark Ledford</v>
      </c>
      <c r="C2415" t="str">
        <f>Raw_Claims_Data!C2414</f>
        <v>Motor</v>
      </c>
      <c r="D2415">
        <f>Raw_Claims_Data!D2414</f>
        <v>104.33</v>
      </c>
      <c r="E2415">
        <f>Raw_Claims_Data!E2414</f>
        <v>6000</v>
      </c>
      <c r="F2415" t="str">
        <f>Raw_Claims_Data!F2414</f>
        <v>VT</v>
      </c>
      <c r="G2415" t="str">
        <f>Raw_Claims_Data!G2414</f>
        <v>A</v>
      </c>
      <c r="H2415" t="str">
        <f>Raw_Claims_Data!H2414</f>
        <v>Minor Loss</v>
      </c>
      <c r="I2415" t="str">
        <f>IF(Raw_Claims_Data!I2414="","None",Raw_Claims_Data!I2414)</f>
        <v>Police</v>
      </c>
      <c r="J2415" t="str">
        <f>Raw_Claims_Data!J2414</f>
        <v>Monte Rio</v>
      </c>
      <c r="K2415" t="str">
        <f>Raw_Claims_Data!K2414</f>
        <v>CA</v>
      </c>
      <c r="L2415">
        <f>Raw_Claims_Data!L2414</f>
        <v>15</v>
      </c>
      <c r="M2415" t="str">
        <f>IF(Raw_Claims_Data!M2414="","N/A",Raw_Claims_Data!M2414)</f>
        <v>VNDR00123</v>
      </c>
      <c r="N2415" t="str">
        <f>Raw_Claims_Data!N2414</f>
        <v>AGENT01056</v>
      </c>
      <c r="O2415">
        <f>IF(Raw_Claims_Data!G2414="D",1,0)</f>
        <v>0</v>
      </c>
    </row>
    <row r="2416" spans="1:15" x14ac:dyDescent="0.35">
      <c r="A2416" t="str">
        <f>Raw_Claims_Data!A2415</f>
        <v>TXN00002412</v>
      </c>
      <c r="B2416" t="str">
        <f>TRIM(Raw_Claims_Data!B2415)</f>
        <v>Jama Kressler</v>
      </c>
      <c r="C2416" t="str">
        <f>Raw_Claims_Data!C2415</f>
        <v>Motor</v>
      </c>
      <c r="D2416">
        <f>Raw_Claims_Data!D2415</f>
        <v>129.01</v>
      </c>
      <c r="E2416">
        <f>Raw_Claims_Data!E2415</f>
        <v>10000</v>
      </c>
      <c r="F2416" t="str">
        <f>Raw_Claims_Data!F2415</f>
        <v>CA</v>
      </c>
      <c r="G2416" t="str">
        <f>Raw_Claims_Data!G2415</f>
        <v>D</v>
      </c>
      <c r="H2416" t="str">
        <f>Raw_Claims_Data!H2415</f>
        <v>Total Loss</v>
      </c>
      <c r="I2416" t="str">
        <f>IF(Raw_Claims_Data!I2415="","None",Raw_Claims_Data!I2415)</f>
        <v>Ambulance</v>
      </c>
      <c r="J2416" t="str">
        <f>Raw_Claims_Data!J2415</f>
        <v>Savannah</v>
      </c>
      <c r="K2416" t="str">
        <f>Raw_Claims_Data!K2415</f>
        <v>GA</v>
      </c>
      <c r="L2416">
        <f>Raw_Claims_Data!L2415</f>
        <v>3</v>
      </c>
      <c r="M2416" t="str">
        <f>IF(Raw_Claims_Data!M2415="","N/A",Raw_Claims_Data!M2415)</f>
        <v>VNDR00142</v>
      </c>
      <c r="N2416" t="str">
        <f>Raw_Claims_Data!N2415</f>
        <v>AGENT00935</v>
      </c>
      <c r="O2416">
        <f>IF(Raw_Claims_Data!G2415="D",1,0)</f>
        <v>1</v>
      </c>
    </row>
    <row r="2417" spans="1:15" x14ac:dyDescent="0.35">
      <c r="A2417" t="str">
        <f>Raw_Claims_Data!A2416</f>
        <v>TXN00002413</v>
      </c>
      <c r="B2417" t="str">
        <f>TRIM(Raw_Claims_Data!B2416)</f>
        <v>Kathleen Boggs</v>
      </c>
      <c r="C2417" t="str">
        <f>Raw_Claims_Data!C2416</f>
        <v>Motor</v>
      </c>
      <c r="D2417">
        <f>Raw_Claims_Data!D2416</f>
        <v>121.21</v>
      </c>
      <c r="E2417">
        <f>Raw_Claims_Data!E2416</f>
        <v>1000</v>
      </c>
      <c r="F2417" t="str">
        <f>Raw_Claims_Data!F2416</f>
        <v>TN</v>
      </c>
      <c r="G2417" t="str">
        <f>Raw_Claims_Data!G2416</f>
        <v>A</v>
      </c>
      <c r="H2417" t="str">
        <f>Raw_Claims_Data!H2416</f>
        <v>Total Loss</v>
      </c>
      <c r="I2417" t="str">
        <f>IF(Raw_Claims_Data!I2416="","None",Raw_Claims_Data!I2416)</f>
        <v>Other</v>
      </c>
      <c r="J2417" t="str">
        <f>Raw_Claims_Data!J2416</f>
        <v>Fountain</v>
      </c>
      <c r="K2417" t="str">
        <f>Raw_Claims_Data!K2416</f>
        <v>FL</v>
      </c>
      <c r="L2417">
        <f>Raw_Claims_Data!L2416</f>
        <v>4</v>
      </c>
      <c r="M2417" t="str">
        <f>IF(Raw_Claims_Data!M2416="","N/A",Raw_Claims_Data!M2416)</f>
        <v>VNDR00103</v>
      </c>
      <c r="N2417" t="str">
        <f>Raw_Claims_Data!N2416</f>
        <v>AGENT00731</v>
      </c>
      <c r="O2417">
        <f>IF(Raw_Claims_Data!G2416="D",1,0)</f>
        <v>0</v>
      </c>
    </row>
    <row r="2418" spans="1:15" x14ac:dyDescent="0.35">
      <c r="A2418" t="str">
        <f>Raw_Claims_Data!A2417</f>
        <v>TXN00002414</v>
      </c>
      <c r="B2418" t="str">
        <f>TRIM(Raw_Claims_Data!B2417)</f>
        <v>Robert Flores</v>
      </c>
      <c r="C2418" t="str">
        <f>Raw_Claims_Data!C2417</f>
        <v>Life</v>
      </c>
      <c r="D2418">
        <f>Raw_Claims_Data!D2417</f>
        <v>98.24</v>
      </c>
      <c r="E2418">
        <f>Raw_Claims_Data!E2417</f>
        <v>100000</v>
      </c>
      <c r="F2418" t="str">
        <f>Raw_Claims_Data!F2417</f>
        <v>TN</v>
      </c>
      <c r="G2418" t="str">
        <f>Raw_Claims_Data!G2417</f>
        <v>A</v>
      </c>
      <c r="H2418" t="str">
        <f>Raw_Claims_Data!H2417</f>
        <v>Minor Loss</v>
      </c>
      <c r="I2418" t="str">
        <f>IF(Raw_Claims_Data!I2417="","None",Raw_Claims_Data!I2417)</f>
        <v>None</v>
      </c>
      <c r="J2418" t="str">
        <f>Raw_Claims_Data!J2417</f>
        <v>Louisville</v>
      </c>
      <c r="K2418" t="str">
        <f>Raw_Claims_Data!K2417</f>
        <v>KY</v>
      </c>
      <c r="L2418">
        <f>Raw_Claims_Data!L2417</f>
        <v>19</v>
      </c>
      <c r="M2418" t="str">
        <f>IF(Raw_Claims_Data!M2417="","N/A",Raw_Claims_Data!M2417)</f>
        <v>VNDR00046</v>
      </c>
      <c r="N2418" t="str">
        <f>Raw_Claims_Data!N2417</f>
        <v>AGENT00962</v>
      </c>
      <c r="O2418">
        <f>IF(Raw_Claims_Data!G2417="D",1,0)</f>
        <v>0</v>
      </c>
    </row>
    <row r="2419" spans="1:15" x14ac:dyDescent="0.35">
      <c r="A2419" t="str">
        <f>Raw_Claims_Data!A2418</f>
        <v>TXN00002415</v>
      </c>
      <c r="B2419" t="str">
        <f>TRIM(Raw_Claims_Data!B2418)</f>
        <v>Christina Musto</v>
      </c>
      <c r="C2419" t="str">
        <f>Raw_Claims_Data!C2418</f>
        <v>Life</v>
      </c>
      <c r="D2419">
        <f>Raw_Claims_Data!D2418</f>
        <v>75.209999999999994</v>
      </c>
      <c r="E2419">
        <f>Raw_Claims_Data!E2418</f>
        <v>80000</v>
      </c>
      <c r="F2419" t="str">
        <f>Raw_Claims_Data!F2418</f>
        <v>DC</v>
      </c>
      <c r="G2419" t="str">
        <f>Raw_Claims_Data!G2418</f>
        <v>A</v>
      </c>
      <c r="H2419" t="str">
        <f>Raw_Claims_Data!H2418</f>
        <v>Total Loss</v>
      </c>
      <c r="I2419" t="str">
        <f>IF(Raw_Claims_Data!I2418="","None",Raw_Claims_Data!I2418)</f>
        <v>Ambulance</v>
      </c>
      <c r="J2419" t="str">
        <f>Raw_Claims_Data!J2418</f>
        <v>Oakhurst</v>
      </c>
      <c r="K2419" t="str">
        <f>Raw_Claims_Data!K2418</f>
        <v>CA</v>
      </c>
      <c r="L2419">
        <f>Raw_Claims_Data!L2418</f>
        <v>9</v>
      </c>
      <c r="M2419" t="str">
        <f>IF(Raw_Claims_Data!M2418="","N/A",Raw_Claims_Data!M2418)</f>
        <v>VNDR00183</v>
      </c>
      <c r="N2419" t="str">
        <f>Raw_Claims_Data!N2418</f>
        <v>AGENT00146</v>
      </c>
      <c r="O2419">
        <f>IF(Raw_Claims_Data!G2418="D",1,0)</f>
        <v>0</v>
      </c>
    </row>
    <row r="2420" spans="1:15" x14ac:dyDescent="0.35">
      <c r="A2420" t="str">
        <f>Raw_Claims_Data!A2419</f>
        <v>TXN00002416</v>
      </c>
      <c r="B2420" t="str">
        <f>TRIM(Raw_Claims_Data!B2419)</f>
        <v>Penney Martinez</v>
      </c>
      <c r="C2420" t="str">
        <f>Raw_Claims_Data!C2419</f>
        <v>Property</v>
      </c>
      <c r="D2420">
        <f>Raw_Claims_Data!D2419</f>
        <v>133.25</v>
      </c>
      <c r="E2420">
        <f>Raw_Claims_Data!E2419</f>
        <v>33000</v>
      </c>
      <c r="F2420" t="str">
        <f>Raw_Claims_Data!F2419</f>
        <v>CT</v>
      </c>
      <c r="G2420" t="str">
        <f>Raw_Claims_Data!G2419</f>
        <v>A</v>
      </c>
      <c r="H2420" t="str">
        <f>Raw_Claims_Data!H2419</f>
        <v>Minor Loss</v>
      </c>
      <c r="I2420" t="str">
        <f>IF(Raw_Claims_Data!I2419="","None",Raw_Claims_Data!I2419)</f>
        <v>Ambulance</v>
      </c>
      <c r="J2420" t="str">
        <f>Raw_Claims_Data!J2419</f>
        <v>Louisville</v>
      </c>
      <c r="K2420" t="str">
        <f>Raw_Claims_Data!K2419</f>
        <v>KY</v>
      </c>
      <c r="L2420">
        <f>Raw_Claims_Data!L2419</f>
        <v>16</v>
      </c>
      <c r="M2420" t="str">
        <f>IF(Raw_Claims_Data!M2419="","N/A",Raw_Claims_Data!M2419)</f>
        <v>VNDR00448</v>
      </c>
      <c r="N2420" t="str">
        <f>Raw_Claims_Data!N2419</f>
        <v>AGENT00434</v>
      </c>
      <c r="O2420">
        <f>IF(Raw_Claims_Data!G2419="D",1,0)</f>
        <v>0</v>
      </c>
    </row>
    <row r="2421" spans="1:15" x14ac:dyDescent="0.35">
      <c r="A2421" t="str">
        <f>Raw_Claims_Data!A2420</f>
        <v>TXN00002417</v>
      </c>
      <c r="B2421" t="str">
        <f>TRIM(Raw_Claims_Data!B2420)</f>
        <v>Abbie Markley</v>
      </c>
      <c r="C2421" t="str">
        <f>Raw_Claims_Data!C2420</f>
        <v>Mobile</v>
      </c>
      <c r="D2421">
        <f>Raw_Claims_Data!D2420</f>
        <v>9.2799999999999994</v>
      </c>
      <c r="E2421">
        <f>Raw_Claims_Data!E2420</f>
        <v>700</v>
      </c>
      <c r="F2421" t="str">
        <f>Raw_Claims_Data!F2420</f>
        <v>OK</v>
      </c>
      <c r="G2421" t="str">
        <f>Raw_Claims_Data!G2420</f>
        <v>D</v>
      </c>
      <c r="H2421" t="str">
        <f>Raw_Claims_Data!H2420</f>
        <v>Major Loss</v>
      </c>
      <c r="I2421" t="str">
        <f>IF(Raw_Claims_Data!I2420="","None",Raw_Claims_Data!I2420)</f>
        <v>None</v>
      </c>
      <c r="J2421" t="str">
        <f>Raw_Claims_Data!J2420</f>
        <v>Panama City</v>
      </c>
      <c r="K2421" t="str">
        <f>Raw_Claims_Data!K2420</f>
        <v>FL</v>
      </c>
      <c r="L2421">
        <f>Raw_Claims_Data!L2420</f>
        <v>11</v>
      </c>
      <c r="M2421" t="str">
        <f>IF(Raw_Claims_Data!M2420="","N/A",Raw_Claims_Data!M2420)</f>
        <v>N/A</v>
      </c>
      <c r="N2421" t="str">
        <f>Raw_Claims_Data!N2420</f>
        <v>AGENT00767</v>
      </c>
      <c r="O2421">
        <f>IF(Raw_Claims_Data!G2420="D",1,0)</f>
        <v>1</v>
      </c>
    </row>
    <row r="2422" spans="1:15" x14ac:dyDescent="0.35">
      <c r="A2422" t="str">
        <f>Raw_Claims_Data!A2421</f>
        <v>TXN00002418</v>
      </c>
      <c r="B2422" t="str">
        <f>TRIM(Raw_Claims_Data!B2421)</f>
        <v>Amy Blakeman</v>
      </c>
      <c r="C2422" t="str">
        <f>Raw_Claims_Data!C2421</f>
        <v>Health</v>
      </c>
      <c r="D2422">
        <f>Raw_Claims_Data!D2421</f>
        <v>175.56</v>
      </c>
      <c r="E2422">
        <f>Raw_Claims_Data!E2421</f>
        <v>2000</v>
      </c>
      <c r="F2422" t="str">
        <f>Raw_Claims_Data!F2421</f>
        <v>KY</v>
      </c>
      <c r="G2422" t="str">
        <f>Raw_Claims_Data!G2421</f>
        <v>A</v>
      </c>
      <c r="H2422" t="str">
        <f>Raw_Claims_Data!H2421</f>
        <v>Total Loss</v>
      </c>
      <c r="I2422" t="str">
        <f>IF(Raw_Claims_Data!I2421="","None",Raw_Claims_Data!I2421)</f>
        <v>Ambulance</v>
      </c>
      <c r="J2422" t="str">
        <f>Raw_Claims_Data!J2421</f>
        <v>Moore</v>
      </c>
      <c r="K2422" t="str">
        <f>Raw_Claims_Data!K2421</f>
        <v>OK</v>
      </c>
      <c r="L2422">
        <f>Raw_Claims_Data!L2421</f>
        <v>17</v>
      </c>
      <c r="M2422" t="str">
        <f>IF(Raw_Claims_Data!M2421="","N/A",Raw_Claims_Data!M2421)</f>
        <v>VNDR00394</v>
      </c>
      <c r="N2422" t="str">
        <f>Raw_Claims_Data!N2421</f>
        <v>AGENT00017</v>
      </c>
      <c r="O2422">
        <f>IF(Raw_Claims_Data!G2421="D",1,0)</f>
        <v>0</v>
      </c>
    </row>
    <row r="2423" spans="1:15" x14ac:dyDescent="0.35">
      <c r="A2423" t="str">
        <f>Raw_Claims_Data!A2422</f>
        <v>TXN00002419</v>
      </c>
      <c r="B2423" t="str">
        <f>TRIM(Raw_Claims_Data!B2422)</f>
        <v>Rose Greer</v>
      </c>
      <c r="C2423" t="str">
        <f>Raw_Claims_Data!C2422</f>
        <v>Property</v>
      </c>
      <c r="D2423">
        <f>Raw_Claims_Data!D2422</f>
        <v>159.18</v>
      </c>
      <c r="E2423">
        <f>Raw_Claims_Data!E2422</f>
        <v>38000</v>
      </c>
      <c r="F2423" t="str">
        <f>Raw_Claims_Data!F2422</f>
        <v>CO</v>
      </c>
      <c r="G2423" t="str">
        <f>Raw_Claims_Data!G2422</f>
        <v>A</v>
      </c>
      <c r="H2423" t="str">
        <f>Raw_Claims_Data!H2422</f>
        <v>Minor Loss</v>
      </c>
      <c r="I2423" t="str">
        <f>IF(Raw_Claims_Data!I2422="","None",Raw_Claims_Data!I2422)</f>
        <v>Ambulance</v>
      </c>
      <c r="J2423" t="str">
        <f>Raw_Claims_Data!J2422</f>
        <v>O'Neals</v>
      </c>
      <c r="K2423" t="str">
        <f>Raw_Claims_Data!K2422</f>
        <v>CA</v>
      </c>
      <c r="L2423">
        <f>Raw_Claims_Data!L2422</f>
        <v>23</v>
      </c>
      <c r="M2423" t="str">
        <f>IF(Raw_Claims_Data!M2422="","N/A",Raw_Claims_Data!M2422)</f>
        <v>VNDR00415</v>
      </c>
      <c r="N2423" t="str">
        <f>Raw_Claims_Data!N2422</f>
        <v>AGENT00452</v>
      </c>
      <c r="O2423">
        <f>IF(Raw_Claims_Data!G2422="D",1,0)</f>
        <v>0</v>
      </c>
    </row>
    <row r="2424" spans="1:15" x14ac:dyDescent="0.35">
      <c r="A2424" t="str">
        <f>Raw_Claims_Data!A2423</f>
        <v>TXN00002420</v>
      </c>
      <c r="B2424" t="str">
        <f>TRIM(Raw_Claims_Data!B2423)</f>
        <v>Daryl Micale</v>
      </c>
      <c r="C2424" t="str">
        <f>Raw_Claims_Data!C2423</f>
        <v>Mobile</v>
      </c>
      <c r="D2424">
        <f>Raw_Claims_Data!D2423</f>
        <v>9.92</v>
      </c>
      <c r="E2424">
        <f>Raw_Claims_Data!E2423</f>
        <v>500</v>
      </c>
      <c r="F2424" t="str">
        <f>Raw_Claims_Data!F2423</f>
        <v>MA</v>
      </c>
      <c r="G2424" t="str">
        <f>Raw_Claims_Data!G2423</f>
        <v>A</v>
      </c>
      <c r="H2424" t="str">
        <f>Raw_Claims_Data!H2423</f>
        <v>Major Loss</v>
      </c>
      <c r="I2424" t="str">
        <f>IF(Raw_Claims_Data!I2423="","None",Raw_Claims_Data!I2423)</f>
        <v>Ambulance</v>
      </c>
      <c r="J2424" t="str">
        <f>Raw_Claims_Data!J2423</f>
        <v>Panama City</v>
      </c>
      <c r="K2424" t="str">
        <f>Raw_Claims_Data!K2423</f>
        <v>FL</v>
      </c>
      <c r="L2424">
        <f>Raw_Claims_Data!L2423</f>
        <v>21</v>
      </c>
      <c r="M2424" t="str">
        <f>IF(Raw_Claims_Data!M2423="","N/A",Raw_Claims_Data!M2423)</f>
        <v>VNDR00369</v>
      </c>
      <c r="N2424" t="str">
        <f>Raw_Claims_Data!N2423</f>
        <v>AGENT00751</v>
      </c>
      <c r="O2424">
        <f>IF(Raw_Claims_Data!G2423="D",1,0)</f>
        <v>0</v>
      </c>
    </row>
    <row r="2425" spans="1:15" x14ac:dyDescent="0.35">
      <c r="A2425" t="str">
        <f>Raw_Claims_Data!A2424</f>
        <v>TXN00002421</v>
      </c>
      <c r="B2425" t="str">
        <f>TRIM(Raw_Claims_Data!B2424)</f>
        <v>Karen Mcclain</v>
      </c>
      <c r="C2425" t="str">
        <f>Raw_Claims_Data!C2424</f>
        <v>Mobile</v>
      </c>
      <c r="D2425">
        <f>Raw_Claims_Data!D2424</f>
        <v>9.9499999999999993</v>
      </c>
      <c r="E2425">
        <f>Raw_Claims_Data!E2424</f>
        <v>100</v>
      </c>
      <c r="F2425" t="str">
        <f>Raw_Claims_Data!F2424</f>
        <v>VT</v>
      </c>
      <c r="G2425" t="str">
        <f>Raw_Claims_Data!G2424</f>
        <v>A</v>
      </c>
      <c r="H2425" t="str">
        <f>Raw_Claims_Data!H2424</f>
        <v>Minor Loss</v>
      </c>
      <c r="I2425" t="str">
        <f>IF(Raw_Claims_Data!I2424="","None",Raw_Claims_Data!I2424)</f>
        <v>Police</v>
      </c>
      <c r="J2425" t="str">
        <f>Raw_Claims_Data!J2424</f>
        <v>Louisville</v>
      </c>
      <c r="K2425" t="str">
        <f>Raw_Claims_Data!K2424</f>
        <v>KY</v>
      </c>
      <c r="L2425">
        <f>Raw_Claims_Data!L2424</f>
        <v>23</v>
      </c>
      <c r="M2425" t="str">
        <f>IF(Raw_Claims_Data!M2424="","N/A",Raw_Claims_Data!M2424)</f>
        <v>VNDR00319</v>
      </c>
      <c r="N2425" t="str">
        <f>Raw_Claims_Data!N2424</f>
        <v>AGENT00184</v>
      </c>
      <c r="O2425">
        <f>IF(Raw_Claims_Data!G2424="D",1,0)</f>
        <v>0</v>
      </c>
    </row>
    <row r="2426" spans="1:15" x14ac:dyDescent="0.35">
      <c r="A2426" t="str">
        <f>Raw_Claims_Data!A2425</f>
        <v>TXN00002422</v>
      </c>
      <c r="B2426" t="str">
        <f>TRIM(Raw_Claims_Data!B2425)</f>
        <v>Carlos Daley</v>
      </c>
      <c r="C2426" t="str">
        <f>Raw_Claims_Data!C2425</f>
        <v>Life</v>
      </c>
      <c r="D2426">
        <f>Raw_Claims_Data!D2425</f>
        <v>69.400000000000006</v>
      </c>
      <c r="E2426">
        <f>Raw_Claims_Data!E2425</f>
        <v>75000</v>
      </c>
      <c r="F2426" t="str">
        <f>Raw_Claims_Data!F2425</f>
        <v>VT</v>
      </c>
      <c r="G2426" t="str">
        <f>Raw_Claims_Data!G2425</f>
        <v>A</v>
      </c>
      <c r="H2426" t="str">
        <f>Raw_Claims_Data!H2425</f>
        <v>Major Loss</v>
      </c>
      <c r="I2426" t="str">
        <f>IF(Raw_Claims_Data!I2425="","None",Raw_Claims_Data!I2425)</f>
        <v>Ambulance</v>
      </c>
      <c r="J2426" t="str">
        <f>Raw_Claims_Data!J2425</f>
        <v>Oklahoma City</v>
      </c>
      <c r="K2426" t="str">
        <f>Raw_Claims_Data!K2425</f>
        <v>OK</v>
      </c>
      <c r="L2426">
        <f>Raw_Claims_Data!L2425</f>
        <v>19</v>
      </c>
      <c r="M2426" t="str">
        <f>IF(Raw_Claims_Data!M2425="","N/A",Raw_Claims_Data!M2425)</f>
        <v>VNDR00034</v>
      </c>
      <c r="N2426" t="str">
        <f>Raw_Claims_Data!N2425</f>
        <v>AGENT00664</v>
      </c>
      <c r="O2426">
        <f>IF(Raw_Claims_Data!G2425="D",1,0)</f>
        <v>0</v>
      </c>
    </row>
    <row r="2427" spans="1:15" x14ac:dyDescent="0.35">
      <c r="A2427" t="str">
        <f>Raw_Claims_Data!A2426</f>
        <v>TXN00002423</v>
      </c>
      <c r="B2427" t="str">
        <f>TRIM(Raw_Claims_Data!B2426)</f>
        <v>Martha Tuenge</v>
      </c>
      <c r="C2427" t="str">
        <f>Raw_Claims_Data!C2426</f>
        <v>Mobile</v>
      </c>
      <c r="D2427">
        <f>Raw_Claims_Data!D2426</f>
        <v>9.0399999999999991</v>
      </c>
      <c r="E2427">
        <f>Raw_Claims_Data!E2426</f>
        <v>500</v>
      </c>
      <c r="F2427" t="str">
        <f>Raw_Claims_Data!F2426</f>
        <v>MD</v>
      </c>
      <c r="G2427" t="str">
        <f>Raw_Claims_Data!G2426</f>
        <v>A</v>
      </c>
      <c r="H2427" t="str">
        <f>Raw_Claims_Data!H2426</f>
        <v>Total Loss</v>
      </c>
      <c r="I2427" t="str">
        <f>IF(Raw_Claims_Data!I2426="","None",Raw_Claims_Data!I2426)</f>
        <v>Ambulance</v>
      </c>
      <c r="J2427" t="str">
        <f>Raw_Claims_Data!J2426</f>
        <v>Union City</v>
      </c>
      <c r="K2427" t="str">
        <f>Raw_Claims_Data!K2426</f>
        <v>CA</v>
      </c>
      <c r="L2427">
        <f>Raw_Claims_Data!L2426</f>
        <v>0</v>
      </c>
      <c r="M2427" t="str">
        <f>IF(Raw_Claims_Data!M2426="","N/A",Raw_Claims_Data!M2426)</f>
        <v>N/A</v>
      </c>
      <c r="N2427" t="str">
        <f>Raw_Claims_Data!N2426</f>
        <v>AGENT00720</v>
      </c>
      <c r="O2427">
        <f>IF(Raw_Claims_Data!G2426="D",1,0)</f>
        <v>0</v>
      </c>
    </row>
    <row r="2428" spans="1:15" x14ac:dyDescent="0.35">
      <c r="A2428" t="str">
        <f>Raw_Claims_Data!A2427</f>
        <v>TXN00002424</v>
      </c>
      <c r="B2428" t="str">
        <f>TRIM(Raw_Claims_Data!B2427)</f>
        <v>Harry Rodriguez</v>
      </c>
      <c r="C2428" t="str">
        <f>Raw_Claims_Data!C2427</f>
        <v>Life</v>
      </c>
      <c r="D2428">
        <f>Raw_Claims_Data!D2427</f>
        <v>60.54</v>
      </c>
      <c r="E2428">
        <f>Raw_Claims_Data!E2427</f>
        <v>39000</v>
      </c>
      <c r="F2428" t="str">
        <f>Raw_Claims_Data!F2427</f>
        <v>VT</v>
      </c>
      <c r="G2428" t="str">
        <f>Raw_Claims_Data!G2427</f>
        <v>A</v>
      </c>
      <c r="H2428" t="str">
        <f>Raw_Claims_Data!H2427</f>
        <v>Minor Loss</v>
      </c>
      <c r="I2428" t="str">
        <f>IF(Raw_Claims_Data!I2427="","None",Raw_Claims_Data!I2427)</f>
        <v>Police</v>
      </c>
      <c r="J2428" t="str">
        <f>Raw_Claims_Data!J2427</f>
        <v>Oklahoma City</v>
      </c>
      <c r="K2428" t="str">
        <f>Raw_Claims_Data!K2427</f>
        <v>OK</v>
      </c>
      <c r="L2428">
        <f>Raw_Claims_Data!L2427</f>
        <v>1</v>
      </c>
      <c r="M2428" t="str">
        <f>IF(Raw_Claims_Data!M2427="","N/A",Raw_Claims_Data!M2427)</f>
        <v>N/A</v>
      </c>
      <c r="N2428" t="str">
        <f>Raw_Claims_Data!N2427</f>
        <v>AGENT00477</v>
      </c>
      <c r="O2428">
        <f>IF(Raw_Claims_Data!G2427="D",1,0)</f>
        <v>0</v>
      </c>
    </row>
    <row r="2429" spans="1:15" x14ac:dyDescent="0.35">
      <c r="A2429" t="str">
        <f>Raw_Claims_Data!A2428</f>
        <v>TXN00002425</v>
      </c>
      <c r="B2429" t="str">
        <f>TRIM(Raw_Claims_Data!B2428)</f>
        <v>Margaret Keith</v>
      </c>
      <c r="C2429" t="str">
        <f>Raw_Claims_Data!C2428</f>
        <v>Motor</v>
      </c>
      <c r="D2429">
        <f>Raw_Claims_Data!D2428</f>
        <v>85.03</v>
      </c>
      <c r="E2429">
        <f>Raw_Claims_Data!E2428</f>
        <v>1000</v>
      </c>
      <c r="F2429" t="str">
        <f>Raw_Claims_Data!F2428</f>
        <v>CA</v>
      </c>
      <c r="G2429" t="str">
        <f>Raw_Claims_Data!G2428</f>
        <v>A</v>
      </c>
      <c r="H2429" t="str">
        <f>Raw_Claims_Data!H2428</f>
        <v>Total Loss</v>
      </c>
      <c r="I2429" t="str">
        <f>IF(Raw_Claims_Data!I2428="","None",Raw_Claims_Data!I2428)</f>
        <v>Ambulance</v>
      </c>
      <c r="J2429" t="str">
        <f>Raw_Claims_Data!J2428</f>
        <v>Savannah</v>
      </c>
      <c r="K2429" t="str">
        <f>Raw_Claims_Data!K2428</f>
        <v>GA</v>
      </c>
      <c r="L2429">
        <f>Raw_Claims_Data!L2428</f>
        <v>19</v>
      </c>
      <c r="M2429" t="str">
        <f>IF(Raw_Claims_Data!M2428="","N/A",Raw_Claims_Data!M2428)</f>
        <v>VNDR00052</v>
      </c>
      <c r="N2429" t="str">
        <f>Raw_Claims_Data!N2428</f>
        <v>AGENT00245</v>
      </c>
      <c r="O2429">
        <f>IF(Raw_Claims_Data!G2428="D",1,0)</f>
        <v>0</v>
      </c>
    </row>
    <row r="2430" spans="1:15" x14ac:dyDescent="0.35">
      <c r="A2430" t="str">
        <f>Raw_Claims_Data!A2429</f>
        <v>TXN00002426</v>
      </c>
      <c r="B2430" t="str">
        <f>TRIM(Raw_Claims_Data!B2429)</f>
        <v>Steven Woods</v>
      </c>
      <c r="C2430" t="str">
        <f>Raw_Claims_Data!C2429</f>
        <v>Life</v>
      </c>
      <c r="D2430">
        <f>Raw_Claims_Data!D2429</f>
        <v>62.87</v>
      </c>
      <c r="E2430">
        <f>Raw_Claims_Data!E2429</f>
        <v>58000</v>
      </c>
      <c r="F2430" t="str">
        <f>Raw_Claims_Data!F2429</f>
        <v>CA</v>
      </c>
      <c r="G2430" t="str">
        <f>Raw_Claims_Data!G2429</f>
        <v>A</v>
      </c>
      <c r="H2430" t="str">
        <f>Raw_Claims_Data!H2429</f>
        <v>Minor Loss</v>
      </c>
      <c r="I2430" t="str">
        <f>IF(Raw_Claims_Data!I2429="","None",Raw_Claims_Data!I2429)</f>
        <v>Police</v>
      </c>
      <c r="J2430" t="str">
        <f>Raw_Claims_Data!J2429</f>
        <v>Paso Robles</v>
      </c>
      <c r="K2430" t="str">
        <f>Raw_Claims_Data!K2429</f>
        <v>CA</v>
      </c>
      <c r="L2430">
        <f>Raw_Claims_Data!L2429</f>
        <v>8</v>
      </c>
      <c r="M2430" t="str">
        <f>IF(Raw_Claims_Data!M2429="","N/A",Raw_Claims_Data!M2429)</f>
        <v>VNDR00527</v>
      </c>
      <c r="N2430" t="str">
        <f>Raw_Claims_Data!N2429</f>
        <v>AGENT00740</v>
      </c>
      <c r="O2430">
        <f>IF(Raw_Claims_Data!G2429="D",1,0)</f>
        <v>0</v>
      </c>
    </row>
    <row r="2431" spans="1:15" x14ac:dyDescent="0.35">
      <c r="A2431" t="str">
        <f>Raw_Claims_Data!A2430</f>
        <v>TXN00002427</v>
      </c>
      <c r="B2431" t="str">
        <f>TRIM(Raw_Claims_Data!B2430)</f>
        <v>Mindy Krumwiede</v>
      </c>
      <c r="C2431" t="str">
        <f>Raw_Claims_Data!C2430</f>
        <v>Property</v>
      </c>
      <c r="D2431">
        <f>Raw_Claims_Data!D2430</f>
        <v>104.21</v>
      </c>
      <c r="E2431">
        <f>Raw_Claims_Data!E2430</f>
        <v>19000</v>
      </c>
      <c r="F2431" t="str">
        <f>Raw_Claims_Data!F2430</f>
        <v>DC</v>
      </c>
      <c r="G2431" t="str">
        <f>Raw_Claims_Data!G2430</f>
        <v>A</v>
      </c>
      <c r="H2431" t="str">
        <f>Raw_Claims_Data!H2430</f>
        <v>Major Loss</v>
      </c>
      <c r="I2431" t="str">
        <f>IF(Raw_Claims_Data!I2430="","None",Raw_Claims_Data!I2430)</f>
        <v>Ambulance</v>
      </c>
      <c r="J2431" t="str">
        <f>Raw_Claims_Data!J2430</f>
        <v>Manchester</v>
      </c>
      <c r="K2431" t="str">
        <f>Raw_Claims_Data!K2430</f>
        <v>CT</v>
      </c>
      <c r="L2431">
        <f>Raw_Claims_Data!L2430</f>
        <v>18</v>
      </c>
      <c r="M2431" t="str">
        <f>IF(Raw_Claims_Data!M2430="","N/A",Raw_Claims_Data!M2430)</f>
        <v>VNDR00191</v>
      </c>
      <c r="N2431" t="str">
        <f>Raw_Claims_Data!N2430</f>
        <v>AGENT00076</v>
      </c>
      <c r="O2431">
        <f>IF(Raw_Claims_Data!G2430="D",1,0)</f>
        <v>0</v>
      </c>
    </row>
    <row r="2432" spans="1:15" x14ac:dyDescent="0.35">
      <c r="A2432" t="str">
        <f>Raw_Claims_Data!A2431</f>
        <v>TXN00002428</v>
      </c>
      <c r="B2432" t="str">
        <f>TRIM(Raw_Claims_Data!B2431)</f>
        <v>Kathy Keim</v>
      </c>
      <c r="C2432" t="str">
        <f>Raw_Claims_Data!C2431</f>
        <v>Life</v>
      </c>
      <c r="D2432">
        <f>Raw_Claims_Data!D2431</f>
        <v>65.06</v>
      </c>
      <c r="E2432">
        <f>Raw_Claims_Data!E2431</f>
        <v>13000</v>
      </c>
      <c r="F2432" t="str">
        <f>Raw_Claims_Data!F2431</f>
        <v>AL</v>
      </c>
      <c r="G2432" t="str">
        <f>Raw_Claims_Data!G2431</f>
        <v>A</v>
      </c>
      <c r="H2432" t="str">
        <f>Raw_Claims_Data!H2431</f>
        <v>Major Loss</v>
      </c>
      <c r="I2432" t="str">
        <f>IF(Raw_Claims_Data!I2431="","None",Raw_Claims_Data!I2431)</f>
        <v>Ambulance</v>
      </c>
      <c r="J2432" t="str">
        <f>Raw_Claims_Data!J2431</f>
        <v>Anchorage</v>
      </c>
      <c r="K2432" t="str">
        <f>Raw_Claims_Data!K2431</f>
        <v>AK</v>
      </c>
      <c r="L2432">
        <f>Raw_Claims_Data!L2431</f>
        <v>21</v>
      </c>
      <c r="M2432" t="str">
        <f>IF(Raw_Claims_Data!M2431="","N/A",Raw_Claims_Data!M2431)</f>
        <v>N/A</v>
      </c>
      <c r="N2432" t="str">
        <f>Raw_Claims_Data!N2431</f>
        <v>AGENT00413</v>
      </c>
      <c r="O2432">
        <f>IF(Raw_Claims_Data!G2431="D",1,0)</f>
        <v>0</v>
      </c>
    </row>
    <row r="2433" spans="1:15" x14ac:dyDescent="0.35">
      <c r="A2433" t="str">
        <f>Raw_Claims_Data!A2432</f>
        <v>TXN00002429</v>
      </c>
      <c r="B2433" t="str">
        <f>TRIM(Raw_Claims_Data!B2432)</f>
        <v>Robert Ramirez</v>
      </c>
      <c r="C2433" t="str">
        <f>Raw_Claims_Data!C2432</f>
        <v>Travel</v>
      </c>
      <c r="D2433">
        <f>Raw_Claims_Data!D2432</f>
        <v>69.94</v>
      </c>
      <c r="E2433">
        <f>Raw_Claims_Data!E2432</f>
        <v>5000</v>
      </c>
      <c r="F2433" t="str">
        <f>Raw_Claims_Data!F2432</f>
        <v>FL</v>
      </c>
      <c r="G2433" t="str">
        <f>Raw_Claims_Data!G2432</f>
        <v>A</v>
      </c>
      <c r="H2433" t="str">
        <f>Raw_Claims_Data!H2432</f>
        <v>Major Loss</v>
      </c>
      <c r="I2433" t="str">
        <f>IF(Raw_Claims_Data!I2432="","None",Raw_Claims_Data!I2432)</f>
        <v>Ambulance</v>
      </c>
      <c r="J2433" t="str">
        <f>Raw_Claims_Data!J2432</f>
        <v>Crofton</v>
      </c>
      <c r="K2433" t="str">
        <f>Raw_Claims_Data!K2432</f>
        <v>MD</v>
      </c>
      <c r="L2433">
        <f>Raw_Claims_Data!L2432</f>
        <v>17</v>
      </c>
      <c r="M2433" t="str">
        <f>IF(Raw_Claims_Data!M2432="","N/A",Raw_Claims_Data!M2432)</f>
        <v>VNDR00535</v>
      </c>
      <c r="N2433" t="str">
        <f>Raw_Claims_Data!N2432</f>
        <v>AGENT00853</v>
      </c>
      <c r="O2433">
        <f>IF(Raw_Claims_Data!G2432="D",1,0)</f>
        <v>0</v>
      </c>
    </row>
    <row r="2434" spans="1:15" x14ac:dyDescent="0.35">
      <c r="A2434" t="str">
        <f>Raw_Claims_Data!A2433</f>
        <v>TXN00002430</v>
      </c>
      <c r="B2434" t="str">
        <f>TRIM(Raw_Claims_Data!B2433)</f>
        <v>John Singer</v>
      </c>
      <c r="C2434" t="str">
        <f>Raw_Claims_Data!C2433</f>
        <v>Mobile</v>
      </c>
      <c r="D2434">
        <f>Raw_Claims_Data!D2433</f>
        <v>11.3</v>
      </c>
      <c r="E2434">
        <f>Raw_Claims_Data!E2433</f>
        <v>400</v>
      </c>
      <c r="F2434" t="str">
        <f>Raw_Claims_Data!F2433</f>
        <v>CT</v>
      </c>
      <c r="G2434" t="str">
        <f>Raw_Claims_Data!G2433</f>
        <v>A</v>
      </c>
      <c r="H2434" t="str">
        <f>Raw_Claims_Data!H2433</f>
        <v>Minor Loss</v>
      </c>
      <c r="I2434" t="str">
        <f>IF(Raw_Claims_Data!I2433="","None",Raw_Claims_Data!I2433)</f>
        <v>Ambulance</v>
      </c>
      <c r="J2434" t="str">
        <f>Raw_Claims_Data!J2433</f>
        <v>Savannah</v>
      </c>
      <c r="K2434" t="str">
        <f>Raw_Claims_Data!K2433</f>
        <v>GA</v>
      </c>
      <c r="L2434">
        <f>Raw_Claims_Data!L2433</f>
        <v>21</v>
      </c>
      <c r="M2434" t="str">
        <f>IF(Raw_Claims_Data!M2433="","N/A",Raw_Claims_Data!M2433)</f>
        <v>VNDR00301</v>
      </c>
      <c r="N2434" t="str">
        <f>Raw_Claims_Data!N2433</f>
        <v>AGENT00173</v>
      </c>
      <c r="O2434">
        <f>IF(Raw_Claims_Data!G2433="D",1,0)</f>
        <v>0</v>
      </c>
    </row>
    <row r="2435" spans="1:15" x14ac:dyDescent="0.35">
      <c r="A2435" t="str">
        <f>Raw_Claims_Data!A2434</f>
        <v>TXN00002431</v>
      </c>
      <c r="B2435" t="str">
        <f>TRIM(Raw_Claims_Data!B2434)</f>
        <v>Lauren Perine</v>
      </c>
      <c r="C2435" t="str">
        <f>Raw_Claims_Data!C2434</f>
        <v>Property</v>
      </c>
      <c r="D2435">
        <f>Raw_Claims_Data!D2434</f>
        <v>142.69999999999999</v>
      </c>
      <c r="E2435">
        <f>Raw_Claims_Data!E2434</f>
        <v>27000</v>
      </c>
      <c r="F2435" t="str">
        <f>Raw_Claims_Data!F2434</f>
        <v>OK</v>
      </c>
      <c r="G2435" t="str">
        <f>Raw_Claims_Data!G2434</f>
        <v>A</v>
      </c>
      <c r="H2435" t="str">
        <f>Raw_Claims_Data!H2434</f>
        <v>Minor Loss</v>
      </c>
      <c r="I2435" t="str">
        <f>IF(Raw_Claims_Data!I2434="","None",Raw_Claims_Data!I2434)</f>
        <v>Ambulance</v>
      </c>
      <c r="J2435" t="str">
        <f>Raw_Claims_Data!J2434</f>
        <v>Glen Burnie</v>
      </c>
      <c r="K2435" t="str">
        <f>Raw_Claims_Data!K2434</f>
        <v>MD</v>
      </c>
      <c r="L2435">
        <f>Raw_Claims_Data!L2434</f>
        <v>6</v>
      </c>
      <c r="M2435" t="str">
        <f>IF(Raw_Claims_Data!M2434="","N/A",Raw_Claims_Data!M2434)</f>
        <v>VNDR00123</v>
      </c>
      <c r="N2435" t="str">
        <f>Raw_Claims_Data!N2434</f>
        <v>AGENT01134</v>
      </c>
      <c r="O2435">
        <f>IF(Raw_Claims_Data!G2434="D",1,0)</f>
        <v>0</v>
      </c>
    </row>
    <row r="2436" spans="1:15" x14ac:dyDescent="0.35">
      <c r="A2436" t="str">
        <f>Raw_Claims_Data!A2435</f>
        <v>TXN00002432</v>
      </c>
      <c r="B2436" t="str">
        <f>TRIM(Raw_Claims_Data!B2435)</f>
        <v>John Racine</v>
      </c>
      <c r="C2436" t="str">
        <f>Raw_Claims_Data!C2435</f>
        <v>Life</v>
      </c>
      <c r="D2436">
        <f>Raw_Claims_Data!D2435</f>
        <v>84.44</v>
      </c>
      <c r="E2436">
        <f>Raw_Claims_Data!E2435</f>
        <v>83000</v>
      </c>
      <c r="F2436" t="str">
        <f>Raw_Claims_Data!F2435</f>
        <v>KY</v>
      </c>
      <c r="G2436" t="str">
        <f>Raw_Claims_Data!G2435</f>
        <v>A</v>
      </c>
      <c r="H2436" t="str">
        <f>Raw_Claims_Data!H2435</f>
        <v>Major Loss</v>
      </c>
      <c r="I2436" t="str">
        <f>IF(Raw_Claims_Data!I2435="","None",Raw_Claims_Data!I2435)</f>
        <v>Police</v>
      </c>
      <c r="J2436" t="str">
        <f>Raw_Claims_Data!J2435</f>
        <v>Arvada</v>
      </c>
      <c r="K2436" t="str">
        <f>Raw_Claims_Data!K2435</f>
        <v>CO</v>
      </c>
      <c r="L2436">
        <f>Raw_Claims_Data!L2435</f>
        <v>5</v>
      </c>
      <c r="M2436" t="str">
        <f>IF(Raw_Claims_Data!M2435="","N/A",Raw_Claims_Data!M2435)</f>
        <v>N/A</v>
      </c>
      <c r="N2436" t="str">
        <f>Raw_Claims_Data!N2435</f>
        <v>AGENT00171</v>
      </c>
      <c r="O2436">
        <f>IF(Raw_Claims_Data!G2435="D",1,0)</f>
        <v>0</v>
      </c>
    </row>
    <row r="2437" spans="1:15" x14ac:dyDescent="0.35">
      <c r="A2437" t="str">
        <f>Raw_Claims_Data!A2436</f>
        <v>TXN00002433</v>
      </c>
      <c r="B2437" t="str">
        <f>TRIM(Raw_Claims_Data!B2436)</f>
        <v>Adam Mauro</v>
      </c>
      <c r="C2437" t="str">
        <f>Raw_Claims_Data!C2436</f>
        <v>Property</v>
      </c>
      <c r="D2437">
        <f>Raw_Claims_Data!D2436</f>
        <v>137.32</v>
      </c>
      <c r="E2437">
        <f>Raw_Claims_Data!E2436</f>
        <v>30000</v>
      </c>
      <c r="F2437" t="str">
        <f>Raw_Claims_Data!F2436</f>
        <v>AK</v>
      </c>
      <c r="G2437" t="str">
        <f>Raw_Claims_Data!G2436</f>
        <v>A</v>
      </c>
      <c r="H2437" t="str">
        <f>Raw_Claims_Data!H2436</f>
        <v>Minor Loss</v>
      </c>
      <c r="I2437" t="str">
        <f>IF(Raw_Claims_Data!I2436="","None",Raw_Claims_Data!I2436)</f>
        <v>Ambulance</v>
      </c>
      <c r="J2437" t="str">
        <f>Raw_Claims_Data!J2436</f>
        <v>Oakland</v>
      </c>
      <c r="K2437" t="str">
        <f>Raw_Claims_Data!K2436</f>
        <v>CA</v>
      </c>
      <c r="L2437">
        <f>Raw_Claims_Data!L2436</f>
        <v>23</v>
      </c>
      <c r="M2437" t="str">
        <f>IF(Raw_Claims_Data!M2436="","N/A",Raw_Claims_Data!M2436)</f>
        <v>VNDR00374</v>
      </c>
      <c r="N2437" t="str">
        <f>Raw_Claims_Data!N2436</f>
        <v>AGENT00219</v>
      </c>
      <c r="O2437">
        <f>IF(Raw_Claims_Data!G2436="D",1,0)</f>
        <v>0</v>
      </c>
    </row>
    <row r="2438" spans="1:15" x14ac:dyDescent="0.35">
      <c r="A2438" t="str">
        <f>Raw_Claims_Data!A2437</f>
        <v>TXN00002434</v>
      </c>
      <c r="B2438" t="str">
        <f>TRIM(Raw_Claims_Data!B2437)</f>
        <v>Eugene Brown</v>
      </c>
      <c r="C2438" t="str">
        <f>Raw_Claims_Data!C2437</f>
        <v>Life</v>
      </c>
      <c r="D2438">
        <f>Raw_Claims_Data!D2437</f>
        <v>69.97</v>
      </c>
      <c r="E2438">
        <f>Raw_Claims_Data!E2437</f>
        <v>66000</v>
      </c>
      <c r="F2438" t="str">
        <f>Raw_Claims_Data!F2437</f>
        <v>AR</v>
      </c>
      <c r="G2438" t="str">
        <f>Raw_Claims_Data!G2437</f>
        <v>A</v>
      </c>
      <c r="H2438" t="str">
        <f>Raw_Claims_Data!H2437</f>
        <v>Minor Loss</v>
      </c>
      <c r="I2438" t="str">
        <f>IF(Raw_Claims_Data!I2437="","None",Raw_Claims_Data!I2437)</f>
        <v>Ambulance</v>
      </c>
      <c r="J2438" t="str">
        <f>Raw_Claims_Data!J2437</f>
        <v>Oklahoma City</v>
      </c>
      <c r="K2438" t="str">
        <f>Raw_Claims_Data!K2437</f>
        <v>OK</v>
      </c>
      <c r="L2438">
        <f>Raw_Claims_Data!L2437</f>
        <v>10</v>
      </c>
      <c r="M2438" t="str">
        <f>IF(Raw_Claims_Data!M2437="","N/A",Raw_Claims_Data!M2437)</f>
        <v>VNDR00458</v>
      </c>
      <c r="N2438" t="str">
        <f>Raw_Claims_Data!N2437</f>
        <v>AGENT01117</v>
      </c>
      <c r="O2438">
        <f>IF(Raw_Claims_Data!G2437="D",1,0)</f>
        <v>0</v>
      </c>
    </row>
    <row r="2439" spans="1:15" x14ac:dyDescent="0.35">
      <c r="A2439" t="str">
        <f>Raw_Claims_Data!A2438</f>
        <v>TXN00002435</v>
      </c>
      <c r="B2439" t="str">
        <f>TRIM(Raw_Claims_Data!B2438)</f>
        <v>Harold Garwood</v>
      </c>
      <c r="C2439" t="str">
        <f>Raw_Claims_Data!C2438</f>
        <v>Life</v>
      </c>
      <c r="D2439">
        <f>Raw_Claims_Data!D2438</f>
        <v>78.239999999999995</v>
      </c>
      <c r="E2439">
        <f>Raw_Claims_Data!E2438</f>
        <v>53000</v>
      </c>
      <c r="F2439" t="str">
        <f>Raw_Claims_Data!F2438</f>
        <v>MD</v>
      </c>
      <c r="G2439" t="str">
        <f>Raw_Claims_Data!G2438</f>
        <v>A</v>
      </c>
      <c r="H2439" t="str">
        <f>Raw_Claims_Data!H2438</f>
        <v>Major Loss</v>
      </c>
      <c r="I2439" t="str">
        <f>IF(Raw_Claims_Data!I2438="","None",Raw_Claims_Data!I2438)</f>
        <v>Police</v>
      </c>
      <c r="J2439" t="str">
        <f>Raw_Claims_Data!J2438</f>
        <v>Twentynine Palms</v>
      </c>
      <c r="K2439" t="str">
        <f>Raw_Claims_Data!K2438</f>
        <v>CA</v>
      </c>
      <c r="L2439">
        <f>Raw_Claims_Data!L2438</f>
        <v>23</v>
      </c>
      <c r="M2439" t="str">
        <f>IF(Raw_Claims_Data!M2438="","N/A",Raw_Claims_Data!M2438)</f>
        <v>VNDR00311</v>
      </c>
      <c r="N2439" t="str">
        <f>Raw_Claims_Data!N2438</f>
        <v>AGENT00284</v>
      </c>
      <c r="O2439">
        <f>IF(Raw_Claims_Data!G2438="D",1,0)</f>
        <v>0</v>
      </c>
    </row>
    <row r="2440" spans="1:15" x14ac:dyDescent="0.35">
      <c r="A2440" t="str">
        <f>Raw_Claims_Data!A2439</f>
        <v>TXN00002436</v>
      </c>
      <c r="B2440" t="str">
        <f>TRIM(Raw_Claims_Data!B2439)</f>
        <v>Sheilah Hargrove</v>
      </c>
      <c r="C2440" t="str">
        <f>Raw_Claims_Data!C2439</f>
        <v>Travel</v>
      </c>
      <c r="D2440">
        <f>Raw_Claims_Data!D2439</f>
        <v>51.81</v>
      </c>
      <c r="E2440">
        <f>Raw_Claims_Data!E2439</f>
        <v>1000</v>
      </c>
      <c r="F2440" t="str">
        <f>Raw_Claims_Data!F2439</f>
        <v>DC</v>
      </c>
      <c r="G2440" t="str">
        <f>Raw_Claims_Data!G2439</f>
        <v>A</v>
      </c>
      <c r="H2440" t="str">
        <f>Raw_Claims_Data!H2439</f>
        <v>Minor Loss</v>
      </c>
      <c r="I2440" t="str">
        <f>IF(Raw_Claims_Data!I2439="","None",Raw_Claims_Data!I2439)</f>
        <v>Police</v>
      </c>
      <c r="J2440" t="str">
        <f>Raw_Claims_Data!J2439</f>
        <v>Hayward</v>
      </c>
      <c r="K2440" t="str">
        <f>Raw_Claims_Data!K2439</f>
        <v>CA</v>
      </c>
      <c r="L2440">
        <f>Raw_Claims_Data!L2439</f>
        <v>6</v>
      </c>
      <c r="M2440" t="str">
        <f>IF(Raw_Claims_Data!M2439="","N/A",Raw_Claims_Data!M2439)</f>
        <v>VNDR00045</v>
      </c>
      <c r="N2440" t="str">
        <f>Raw_Claims_Data!N2439</f>
        <v>AGENT00590</v>
      </c>
      <c r="O2440">
        <f>IF(Raw_Claims_Data!G2439="D",1,0)</f>
        <v>0</v>
      </c>
    </row>
    <row r="2441" spans="1:15" x14ac:dyDescent="0.35">
      <c r="A2441" t="str">
        <f>Raw_Claims_Data!A2440</f>
        <v>TXN00002437</v>
      </c>
      <c r="B2441" t="str">
        <f>TRIM(Raw_Claims_Data!B2440)</f>
        <v>Richard Sieracki</v>
      </c>
      <c r="C2441" t="str">
        <f>Raw_Claims_Data!C2440</f>
        <v>Health</v>
      </c>
      <c r="D2441">
        <f>Raw_Claims_Data!D2440</f>
        <v>196.29</v>
      </c>
      <c r="E2441">
        <f>Raw_Claims_Data!E2440</f>
        <v>6000</v>
      </c>
      <c r="F2441" t="str">
        <f>Raw_Claims_Data!F2440</f>
        <v>VT</v>
      </c>
      <c r="G2441" t="str">
        <f>Raw_Claims_Data!G2440</f>
        <v>A</v>
      </c>
      <c r="H2441" t="str">
        <f>Raw_Claims_Data!H2440</f>
        <v>Total Loss</v>
      </c>
      <c r="I2441" t="str">
        <f>IF(Raw_Claims_Data!I2440="","None",Raw_Claims_Data!I2440)</f>
        <v>Police</v>
      </c>
      <c r="J2441" t="str">
        <f>Raw_Claims_Data!J2440</f>
        <v>Montgomery</v>
      </c>
      <c r="K2441" t="str">
        <f>Raw_Claims_Data!K2440</f>
        <v>AL</v>
      </c>
      <c r="L2441">
        <f>Raw_Claims_Data!L2440</f>
        <v>19</v>
      </c>
      <c r="M2441" t="str">
        <f>IF(Raw_Claims_Data!M2440="","N/A",Raw_Claims_Data!M2440)</f>
        <v>N/A</v>
      </c>
      <c r="N2441" t="str">
        <f>Raw_Claims_Data!N2440</f>
        <v>AGENT00856</v>
      </c>
      <c r="O2441">
        <f>IF(Raw_Claims_Data!G2440="D",1,0)</f>
        <v>0</v>
      </c>
    </row>
    <row r="2442" spans="1:15" x14ac:dyDescent="0.35">
      <c r="A2442" t="str">
        <f>Raw_Claims_Data!A2441</f>
        <v>TXN00002438</v>
      </c>
      <c r="B2442" t="str">
        <f>TRIM(Raw_Claims_Data!B2441)</f>
        <v>Adam Swindle</v>
      </c>
      <c r="C2442" t="str">
        <f>Raw_Claims_Data!C2441</f>
        <v>Mobile</v>
      </c>
      <c r="D2442">
        <f>Raw_Claims_Data!D2441</f>
        <v>7.78</v>
      </c>
      <c r="E2442">
        <f>Raw_Claims_Data!E2441</f>
        <v>200</v>
      </c>
      <c r="F2442" t="str">
        <f>Raw_Claims_Data!F2441</f>
        <v>MA</v>
      </c>
      <c r="G2442" t="str">
        <f>Raw_Claims_Data!G2441</f>
        <v>D</v>
      </c>
      <c r="H2442" t="str">
        <f>Raw_Claims_Data!H2441</f>
        <v>Major Loss</v>
      </c>
      <c r="I2442" t="str">
        <f>IF(Raw_Claims_Data!I2441="","None",Raw_Claims_Data!I2441)</f>
        <v>Ambulance</v>
      </c>
      <c r="J2442" t="str">
        <f>Raw_Claims_Data!J2441</f>
        <v>Glendale</v>
      </c>
      <c r="K2442" t="str">
        <f>Raw_Claims_Data!K2441</f>
        <v>AZ</v>
      </c>
      <c r="L2442">
        <f>Raw_Claims_Data!L2441</f>
        <v>21</v>
      </c>
      <c r="M2442" t="str">
        <f>IF(Raw_Claims_Data!M2441="","N/A",Raw_Claims_Data!M2441)</f>
        <v>VNDR00238</v>
      </c>
      <c r="N2442" t="str">
        <f>Raw_Claims_Data!N2441</f>
        <v>AGENT01016</v>
      </c>
      <c r="O2442">
        <f>IF(Raw_Claims_Data!G2441="D",1,0)</f>
        <v>1</v>
      </c>
    </row>
    <row r="2443" spans="1:15" x14ac:dyDescent="0.35">
      <c r="A2443" t="str">
        <f>Raw_Claims_Data!A2442</f>
        <v>TXN00002439</v>
      </c>
      <c r="B2443" t="str">
        <f>TRIM(Raw_Claims_Data!B2442)</f>
        <v>Bernadette Freeman</v>
      </c>
      <c r="C2443" t="str">
        <f>Raw_Claims_Data!C2442</f>
        <v>Travel</v>
      </c>
      <c r="D2443">
        <f>Raw_Claims_Data!D2442</f>
        <v>71.34</v>
      </c>
      <c r="E2443">
        <f>Raw_Claims_Data!E2442</f>
        <v>5000</v>
      </c>
      <c r="F2443" t="str">
        <f>Raw_Claims_Data!F2442</f>
        <v>CA</v>
      </c>
      <c r="G2443" t="str">
        <f>Raw_Claims_Data!G2442</f>
        <v>A</v>
      </c>
      <c r="H2443" t="str">
        <f>Raw_Claims_Data!H2442</f>
        <v>Minor Loss</v>
      </c>
      <c r="I2443" t="str">
        <f>IF(Raw_Claims_Data!I2442="","None",Raw_Claims_Data!I2442)</f>
        <v>Ambulance</v>
      </c>
      <c r="J2443" t="str">
        <f>Raw_Claims_Data!J2442</f>
        <v>Manchester</v>
      </c>
      <c r="K2443" t="str">
        <f>Raw_Claims_Data!K2442</f>
        <v>CT</v>
      </c>
      <c r="L2443">
        <f>Raw_Claims_Data!L2442</f>
        <v>21</v>
      </c>
      <c r="M2443" t="str">
        <f>IF(Raw_Claims_Data!M2442="","N/A",Raw_Claims_Data!M2442)</f>
        <v>VNDR00144</v>
      </c>
      <c r="N2443" t="str">
        <f>Raw_Claims_Data!N2442</f>
        <v>AGENT00814</v>
      </c>
      <c r="O2443">
        <f>IF(Raw_Claims_Data!G2442="D",1,0)</f>
        <v>0</v>
      </c>
    </row>
    <row r="2444" spans="1:15" x14ac:dyDescent="0.35">
      <c r="A2444" t="str">
        <f>Raw_Claims_Data!A2443</f>
        <v>TXN00002440</v>
      </c>
      <c r="B2444" t="str">
        <f>TRIM(Raw_Claims_Data!B2443)</f>
        <v>Percy Sarkis</v>
      </c>
      <c r="C2444" t="str">
        <f>Raw_Claims_Data!C2443</f>
        <v>Property</v>
      </c>
      <c r="D2444">
        <f>Raw_Claims_Data!D2443</f>
        <v>95.71</v>
      </c>
      <c r="E2444">
        <f>Raw_Claims_Data!E2443</f>
        <v>15000</v>
      </c>
      <c r="F2444" t="str">
        <f>Raw_Claims_Data!F2443</f>
        <v>CA</v>
      </c>
      <c r="G2444" t="str">
        <f>Raw_Claims_Data!G2443</f>
        <v>A</v>
      </c>
      <c r="H2444" t="str">
        <f>Raw_Claims_Data!H2443</f>
        <v>Major Loss</v>
      </c>
      <c r="I2444" t="str">
        <f>IF(Raw_Claims_Data!I2443="","None",Raw_Claims_Data!I2443)</f>
        <v>Ambulance</v>
      </c>
      <c r="J2444" t="str">
        <f>Raw_Claims_Data!J2443</f>
        <v>Arvada</v>
      </c>
      <c r="K2444" t="str">
        <f>Raw_Claims_Data!K2443</f>
        <v>CO</v>
      </c>
      <c r="L2444">
        <f>Raw_Claims_Data!L2443</f>
        <v>3</v>
      </c>
      <c r="M2444" t="str">
        <f>IF(Raw_Claims_Data!M2443="","N/A",Raw_Claims_Data!M2443)</f>
        <v>N/A</v>
      </c>
      <c r="N2444" t="str">
        <f>Raw_Claims_Data!N2443</f>
        <v>AGENT00030</v>
      </c>
      <c r="O2444">
        <f>IF(Raw_Claims_Data!G2443="D",1,0)</f>
        <v>0</v>
      </c>
    </row>
    <row r="2445" spans="1:15" x14ac:dyDescent="0.35">
      <c r="A2445" t="str">
        <f>Raw_Claims_Data!A2444</f>
        <v>TXN00002441</v>
      </c>
      <c r="B2445" t="str">
        <f>TRIM(Raw_Claims_Data!B2444)</f>
        <v>Jose Ecklund</v>
      </c>
      <c r="C2445" t="str">
        <f>Raw_Claims_Data!C2444</f>
        <v>Property</v>
      </c>
      <c r="D2445">
        <f>Raw_Claims_Data!D2444</f>
        <v>119</v>
      </c>
      <c r="E2445">
        <f>Raw_Claims_Data!E2444</f>
        <v>18000</v>
      </c>
      <c r="F2445" t="str">
        <f>Raw_Claims_Data!F2444</f>
        <v>TN</v>
      </c>
      <c r="G2445" t="str">
        <f>Raw_Claims_Data!G2444</f>
        <v>A</v>
      </c>
      <c r="H2445" t="str">
        <f>Raw_Claims_Data!H2444</f>
        <v>Minor Loss</v>
      </c>
      <c r="I2445" t="str">
        <f>IF(Raw_Claims_Data!I2444="","None",Raw_Claims_Data!I2444)</f>
        <v>Police</v>
      </c>
      <c r="J2445" t="str">
        <f>Raw_Claims_Data!J2444</f>
        <v>Lyndon</v>
      </c>
      <c r="K2445" t="str">
        <f>Raw_Claims_Data!K2444</f>
        <v>KY</v>
      </c>
      <c r="L2445">
        <f>Raw_Claims_Data!L2444</f>
        <v>18</v>
      </c>
      <c r="M2445" t="str">
        <f>IF(Raw_Claims_Data!M2444="","N/A",Raw_Claims_Data!M2444)</f>
        <v>VNDR00171</v>
      </c>
      <c r="N2445" t="str">
        <f>Raw_Claims_Data!N2444</f>
        <v>AGENT00776</v>
      </c>
      <c r="O2445">
        <f>IF(Raw_Claims_Data!G2444="D",1,0)</f>
        <v>0</v>
      </c>
    </row>
    <row r="2446" spans="1:15" x14ac:dyDescent="0.35">
      <c r="A2446" t="str">
        <f>Raw_Claims_Data!A2445</f>
        <v>TXN00002442</v>
      </c>
      <c r="B2446" t="str">
        <f>TRIM(Raw_Claims_Data!B2445)</f>
        <v>Wanda Byrd</v>
      </c>
      <c r="C2446" t="str">
        <f>Raw_Claims_Data!C2445</f>
        <v>Travel</v>
      </c>
      <c r="D2446">
        <f>Raw_Claims_Data!D2445</f>
        <v>66.8</v>
      </c>
      <c r="E2446">
        <f>Raw_Claims_Data!E2445</f>
        <v>3000</v>
      </c>
      <c r="F2446" t="str">
        <f>Raw_Claims_Data!F2445</f>
        <v>VT</v>
      </c>
      <c r="G2446" t="str">
        <f>Raw_Claims_Data!G2445</f>
        <v>A</v>
      </c>
      <c r="H2446" t="str">
        <f>Raw_Claims_Data!H2445</f>
        <v>Minor Loss</v>
      </c>
      <c r="I2446" t="str">
        <f>IF(Raw_Claims_Data!I2445="","None",Raw_Claims_Data!I2445)</f>
        <v>Ambulance</v>
      </c>
      <c r="J2446" t="str">
        <f>Raw_Claims_Data!J2445</f>
        <v>Pioneer</v>
      </c>
      <c r="K2446" t="str">
        <f>Raw_Claims_Data!K2445</f>
        <v>CA</v>
      </c>
      <c r="L2446">
        <f>Raw_Claims_Data!L2445</f>
        <v>0</v>
      </c>
      <c r="M2446" t="str">
        <f>IF(Raw_Claims_Data!M2445="","N/A",Raw_Claims_Data!M2445)</f>
        <v>N/A</v>
      </c>
      <c r="N2446" t="str">
        <f>Raw_Claims_Data!N2445</f>
        <v>AGENT01053</v>
      </c>
      <c r="O2446">
        <f>IF(Raw_Claims_Data!G2445="D",1,0)</f>
        <v>0</v>
      </c>
    </row>
    <row r="2447" spans="1:15" x14ac:dyDescent="0.35">
      <c r="A2447" t="str">
        <f>Raw_Claims_Data!A2446</f>
        <v>TXN00002443</v>
      </c>
      <c r="B2447" t="str">
        <f>TRIM(Raw_Claims_Data!B2446)</f>
        <v>Amanda Gotch</v>
      </c>
      <c r="C2447" t="str">
        <f>Raw_Claims_Data!C2446</f>
        <v>Travel</v>
      </c>
      <c r="D2447">
        <f>Raw_Claims_Data!D2446</f>
        <v>79.58</v>
      </c>
      <c r="E2447">
        <f>Raw_Claims_Data!E2446</f>
        <v>5000</v>
      </c>
      <c r="F2447" t="str">
        <f>Raw_Claims_Data!F2446</f>
        <v>CT</v>
      </c>
      <c r="G2447" t="str">
        <f>Raw_Claims_Data!G2446</f>
        <v>A</v>
      </c>
      <c r="H2447" t="str">
        <f>Raw_Claims_Data!H2446</f>
        <v>Total Loss</v>
      </c>
      <c r="I2447" t="str">
        <f>IF(Raw_Claims_Data!I2446="","None",Raw_Claims_Data!I2446)</f>
        <v>None</v>
      </c>
      <c r="J2447" t="str">
        <f>Raw_Claims_Data!J2446</f>
        <v>Nashville</v>
      </c>
      <c r="K2447" t="str">
        <f>Raw_Claims_Data!K2446</f>
        <v>TN</v>
      </c>
      <c r="L2447">
        <f>Raw_Claims_Data!L2446</f>
        <v>17</v>
      </c>
      <c r="M2447" t="str">
        <f>IF(Raw_Claims_Data!M2446="","N/A",Raw_Claims_Data!M2446)</f>
        <v>N/A</v>
      </c>
      <c r="N2447" t="str">
        <f>Raw_Claims_Data!N2446</f>
        <v>AGENT00430</v>
      </c>
      <c r="O2447">
        <f>IF(Raw_Claims_Data!G2446="D",1,0)</f>
        <v>0</v>
      </c>
    </row>
    <row r="2448" spans="1:15" x14ac:dyDescent="0.35">
      <c r="A2448" t="str">
        <f>Raw_Claims_Data!A2447</f>
        <v>TXN00002444</v>
      </c>
      <c r="B2448" t="str">
        <f>TRIM(Raw_Claims_Data!B2447)</f>
        <v>Kathy Miller</v>
      </c>
      <c r="C2448" t="str">
        <f>Raw_Claims_Data!C2447</f>
        <v>Property</v>
      </c>
      <c r="D2448">
        <f>Raw_Claims_Data!D2447</f>
        <v>93.5</v>
      </c>
      <c r="E2448">
        <f>Raw_Claims_Data!E2447</f>
        <v>35000</v>
      </c>
      <c r="F2448" t="str">
        <f>Raw_Claims_Data!F2447</f>
        <v>DC</v>
      </c>
      <c r="G2448" t="str">
        <f>Raw_Claims_Data!G2447</f>
        <v>A</v>
      </c>
      <c r="H2448" t="str">
        <f>Raw_Claims_Data!H2447</f>
        <v>Total Loss</v>
      </c>
      <c r="I2448" t="str">
        <f>IF(Raw_Claims_Data!I2447="","None",Raw_Claims_Data!I2447)</f>
        <v>Police</v>
      </c>
      <c r="J2448" t="str">
        <f>Raw_Claims_Data!J2447</f>
        <v>Athol</v>
      </c>
      <c r="K2448" t="str">
        <f>Raw_Claims_Data!K2447</f>
        <v>MA</v>
      </c>
      <c r="L2448">
        <f>Raw_Claims_Data!L2447</f>
        <v>1</v>
      </c>
      <c r="M2448" t="str">
        <f>IF(Raw_Claims_Data!M2447="","N/A",Raw_Claims_Data!M2447)</f>
        <v>VNDR00357</v>
      </c>
      <c r="N2448" t="str">
        <f>Raw_Claims_Data!N2447</f>
        <v>AGENT00782</v>
      </c>
      <c r="O2448">
        <f>IF(Raw_Claims_Data!G2447="D",1,0)</f>
        <v>0</v>
      </c>
    </row>
    <row r="2449" spans="1:15" x14ac:dyDescent="0.35">
      <c r="A2449" t="str">
        <f>Raw_Claims_Data!A2448</f>
        <v>TXN00002445</v>
      </c>
      <c r="B2449" t="str">
        <f>TRIM(Raw_Claims_Data!B2448)</f>
        <v>John Gasiewski</v>
      </c>
      <c r="C2449" t="str">
        <f>Raw_Claims_Data!C2448</f>
        <v>Health</v>
      </c>
      <c r="D2449">
        <f>Raw_Claims_Data!D2448</f>
        <v>179.68</v>
      </c>
      <c r="E2449">
        <f>Raw_Claims_Data!E2448</f>
        <v>9000</v>
      </c>
      <c r="F2449" t="str">
        <f>Raw_Claims_Data!F2448</f>
        <v>MA</v>
      </c>
      <c r="G2449" t="str">
        <f>Raw_Claims_Data!G2448</f>
        <v>A</v>
      </c>
      <c r="H2449" t="str">
        <f>Raw_Claims_Data!H2448</f>
        <v>Total Loss</v>
      </c>
      <c r="I2449" t="str">
        <f>IF(Raw_Claims_Data!I2448="","None",Raw_Claims_Data!I2448)</f>
        <v>Police</v>
      </c>
      <c r="J2449" t="str">
        <f>Raw_Claims_Data!J2448</f>
        <v>Oklahoma City</v>
      </c>
      <c r="K2449" t="str">
        <f>Raw_Claims_Data!K2448</f>
        <v>OK</v>
      </c>
      <c r="L2449">
        <f>Raw_Claims_Data!L2448</f>
        <v>23</v>
      </c>
      <c r="M2449" t="str">
        <f>IF(Raw_Claims_Data!M2448="","N/A",Raw_Claims_Data!M2448)</f>
        <v>VNDR00420</v>
      </c>
      <c r="N2449" t="str">
        <f>Raw_Claims_Data!N2448</f>
        <v>AGENT00593</v>
      </c>
      <c r="O2449">
        <f>IF(Raw_Claims_Data!G2448="D",1,0)</f>
        <v>0</v>
      </c>
    </row>
    <row r="2450" spans="1:15" x14ac:dyDescent="0.35">
      <c r="A2450" t="str">
        <f>Raw_Claims_Data!A2449</f>
        <v>TXN00002446</v>
      </c>
      <c r="B2450" t="str">
        <f>TRIM(Raw_Claims_Data!B2449)</f>
        <v>Joann Conn</v>
      </c>
      <c r="C2450" t="str">
        <f>Raw_Claims_Data!C2449</f>
        <v>Motor</v>
      </c>
      <c r="D2450">
        <f>Raw_Claims_Data!D2449</f>
        <v>133.22</v>
      </c>
      <c r="E2450">
        <f>Raw_Claims_Data!E2449</f>
        <v>8000</v>
      </c>
      <c r="F2450" t="str">
        <f>Raw_Claims_Data!F2449</f>
        <v>AL</v>
      </c>
      <c r="G2450" t="str">
        <f>Raw_Claims_Data!G2449</f>
        <v>A</v>
      </c>
      <c r="H2450" t="str">
        <f>Raw_Claims_Data!H2449</f>
        <v>Major Loss</v>
      </c>
      <c r="I2450" t="str">
        <f>IF(Raw_Claims_Data!I2449="","None",Raw_Claims_Data!I2449)</f>
        <v>None</v>
      </c>
      <c r="J2450" t="str">
        <f>Raw_Claims_Data!J2449</f>
        <v>Savannah</v>
      </c>
      <c r="K2450" t="str">
        <f>Raw_Claims_Data!K2449</f>
        <v>GA</v>
      </c>
      <c r="L2450">
        <f>Raw_Claims_Data!L2449</f>
        <v>16</v>
      </c>
      <c r="M2450" t="str">
        <f>IF(Raw_Claims_Data!M2449="","N/A",Raw_Claims_Data!M2449)</f>
        <v>VNDR00448</v>
      </c>
      <c r="N2450" t="str">
        <f>Raw_Claims_Data!N2449</f>
        <v>AGENT00405</v>
      </c>
      <c r="O2450">
        <f>IF(Raw_Claims_Data!G2449="D",1,0)</f>
        <v>0</v>
      </c>
    </row>
    <row r="2451" spans="1:15" x14ac:dyDescent="0.35">
      <c r="A2451" t="str">
        <f>Raw_Claims_Data!A2450</f>
        <v>TXN00002447</v>
      </c>
      <c r="B2451" t="str">
        <f>TRIM(Raw_Claims_Data!B2450)</f>
        <v>Carmen Grisham</v>
      </c>
      <c r="C2451" t="str">
        <f>Raw_Claims_Data!C2450</f>
        <v>Life</v>
      </c>
      <c r="D2451">
        <f>Raw_Claims_Data!D2450</f>
        <v>66.23</v>
      </c>
      <c r="E2451">
        <f>Raw_Claims_Data!E2450</f>
        <v>15000</v>
      </c>
      <c r="F2451" t="str">
        <f>Raw_Claims_Data!F2450</f>
        <v>VT</v>
      </c>
      <c r="G2451" t="str">
        <f>Raw_Claims_Data!G2450</f>
        <v>A</v>
      </c>
      <c r="H2451" t="str">
        <f>Raw_Claims_Data!H2450</f>
        <v>Minor Loss</v>
      </c>
      <c r="I2451" t="str">
        <f>IF(Raw_Claims_Data!I2450="","None",Raw_Claims_Data!I2450)</f>
        <v>Ambulance</v>
      </c>
      <c r="J2451" t="str">
        <f>Raw_Claims_Data!J2450</f>
        <v>Louisville</v>
      </c>
      <c r="K2451" t="str">
        <f>Raw_Claims_Data!K2450</f>
        <v>KY</v>
      </c>
      <c r="L2451">
        <f>Raw_Claims_Data!L2450</f>
        <v>2</v>
      </c>
      <c r="M2451" t="str">
        <f>IF(Raw_Claims_Data!M2450="","N/A",Raw_Claims_Data!M2450)</f>
        <v>VNDR00517</v>
      </c>
      <c r="N2451" t="str">
        <f>Raw_Claims_Data!N2450</f>
        <v>AGENT00403</v>
      </c>
      <c r="O2451">
        <f>IF(Raw_Claims_Data!G2450="D",1,0)</f>
        <v>0</v>
      </c>
    </row>
    <row r="2452" spans="1:15" x14ac:dyDescent="0.35">
      <c r="A2452" t="str">
        <f>Raw_Claims_Data!A2451</f>
        <v>TXN00002448</v>
      </c>
      <c r="B2452" t="str">
        <f>TRIM(Raw_Claims_Data!B2451)</f>
        <v>Sherry Goodson</v>
      </c>
      <c r="C2452" t="str">
        <f>Raw_Claims_Data!C2451</f>
        <v>Health</v>
      </c>
      <c r="D2452">
        <f>Raw_Claims_Data!D2451</f>
        <v>164.51</v>
      </c>
      <c r="E2452">
        <f>Raw_Claims_Data!E2451</f>
        <v>19000</v>
      </c>
      <c r="F2452" t="str">
        <f>Raw_Claims_Data!F2451</f>
        <v>GA</v>
      </c>
      <c r="G2452" t="str">
        <f>Raw_Claims_Data!G2451</f>
        <v>A</v>
      </c>
      <c r="H2452" t="str">
        <f>Raw_Claims_Data!H2451</f>
        <v>Minor Loss</v>
      </c>
      <c r="I2452" t="str">
        <f>IF(Raw_Claims_Data!I2451="","None",Raw_Claims_Data!I2451)</f>
        <v>Ambulance</v>
      </c>
      <c r="J2452" t="str">
        <f>Raw_Claims_Data!J2451</f>
        <v>Telluride</v>
      </c>
      <c r="K2452" t="str">
        <f>Raw_Claims_Data!K2451</f>
        <v>CO</v>
      </c>
      <c r="L2452">
        <f>Raw_Claims_Data!L2451</f>
        <v>22</v>
      </c>
      <c r="M2452" t="str">
        <f>IF(Raw_Claims_Data!M2451="","N/A",Raw_Claims_Data!M2451)</f>
        <v>VNDR00535</v>
      </c>
      <c r="N2452" t="str">
        <f>Raw_Claims_Data!N2451</f>
        <v>AGENT00065</v>
      </c>
      <c r="O2452">
        <f>IF(Raw_Claims_Data!G2451="D",1,0)</f>
        <v>0</v>
      </c>
    </row>
    <row r="2453" spans="1:15" x14ac:dyDescent="0.35">
      <c r="A2453" t="str">
        <f>Raw_Claims_Data!A2452</f>
        <v>TXN00002449</v>
      </c>
      <c r="B2453" t="str">
        <f>TRIM(Raw_Claims_Data!B2452)</f>
        <v>Erika Kimble</v>
      </c>
      <c r="C2453" t="str">
        <f>Raw_Claims_Data!C2452</f>
        <v>Motor</v>
      </c>
      <c r="D2453">
        <f>Raw_Claims_Data!D2452</f>
        <v>123.35</v>
      </c>
      <c r="E2453">
        <f>Raw_Claims_Data!E2452</f>
        <v>9000</v>
      </c>
      <c r="F2453" t="str">
        <f>Raw_Claims_Data!F2452</f>
        <v>MA</v>
      </c>
      <c r="G2453" t="str">
        <f>Raw_Claims_Data!G2452</f>
        <v>A</v>
      </c>
      <c r="H2453" t="str">
        <f>Raw_Claims_Data!H2452</f>
        <v>Total Loss</v>
      </c>
      <c r="I2453" t="str">
        <f>IF(Raw_Claims_Data!I2452="","None",Raw_Claims_Data!I2452)</f>
        <v>Ambulance</v>
      </c>
      <c r="J2453" t="str">
        <f>Raw_Claims_Data!J2452</f>
        <v>Panama City Beach</v>
      </c>
      <c r="K2453" t="str">
        <f>Raw_Claims_Data!K2452</f>
        <v>FL</v>
      </c>
      <c r="L2453">
        <f>Raw_Claims_Data!L2452</f>
        <v>23</v>
      </c>
      <c r="M2453" t="str">
        <f>IF(Raw_Claims_Data!M2452="","N/A",Raw_Claims_Data!M2452)</f>
        <v>N/A</v>
      </c>
      <c r="N2453" t="str">
        <f>Raw_Claims_Data!N2452</f>
        <v>AGENT00620</v>
      </c>
      <c r="O2453">
        <f>IF(Raw_Claims_Data!G2452="D",1,0)</f>
        <v>0</v>
      </c>
    </row>
    <row r="2454" spans="1:15" x14ac:dyDescent="0.35">
      <c r="A2454" t="str">
        <f>Raw_Claims_Data!A2453</f>
        <v>TXN00002450</v>
      </c>
      <c r="B2454" t="str">
        <f>TRIM(Raw_Claims_Data!B2453)</f>
        <v>John Martin</v>
      </c>
      <c r="C2454" t="str">
        <f>Raw_Claims_Data!C2453</f>
        <v>Mobile</v>
      </c>
      <c r="D2454">
        <f>Raw_Claims_Data!D2453</f>
        <v>9.93</v>
      </c>
      <c r="E2454">
        <f>Raw_Claims_Data!E2453</f>
        <v>400</v>
      </c>
      <c r="F2454" t="str">
        <f>Raw_Claims_Data!F2453</f>
        <v>VT</v>
      </c>
      <c r="G2454" t="str">
        <f>Raw_Claims_Data!G2453</f>
        <v>A</v>
      </c>
      <c r="H2454" t="str">
        <f>Raw_Claims_Data!H2453</f>
        <v>Total Loss</v>
      </c>
      <c r="I2454" t="str">
        <f>IF(Raw_Claims_Data!I2453="","None",Raw_Claims_Data!I2453)</f>
        <v>Ambulance</v>
      </c>
      <c r="J2454" t="str">
        <f>Raw_Claims_Data!J2453</f>
        <v>Manchester</v>
      </c>
      <c r="K2454" t="str">
        <f>Raw_Claims_Data!K2453</f>
        <v>CT</v>
      </c>
      <c r="L2454">
        <f>Raw_Claims_Data!L2453</f>
        <v>19</v>
      </c>
      <c r="M2454" t="str">
        <f>IF(Raw_Claims_Data!M2453="","N/A",Raw_Claims_Data!M2453)</f>
        <v>VNDR00451</v>
      </c>
      <c r="N2454" t="str">
        <f>Raw_Claims_Data!N2453</f>
        <v>AGENT01109</v>
      </c>
      <c r="O2454">
        <f>IF(Raw_Claims_Data!G2453="D",1,0)</f>
        <v>0</v>
      </c>
    </row>
    <row r="2455" spans="1:15" x14ac:dyDescent="0.35">
      <c r="A2455" t="str">
        <f>Raw_Claims_Data!A2454</f>
        <v>TXN00002451</v>
      </c>
      <c r="B2455" t="str">
        <f>TRIM(Raw_Claims_Data!B2454)</f>
        <v>Jason Brussel</v>
      </c>
      <c r="C2455" t="str">
        <f>Raw_Claims_Data!C2454</f>
        <v>Property</v>
      </c>
      <c r="D2455">
        <f>Raw_Claims_Data!D2454</f>
        <v>126.47</v>
      </c>
      <c r="E2455">
        <f>Raw_Claims_Data!E2454</f>
        <v>11000</v>
      </c>
      <c r="F2455" t="str">
        <f>Raw_Claims_Data!F2454</f>
        <v>AK</v>
      </c>
      <c r="G2455" t="str">
        <f>Raw_Claims_Data!G2454</f>
        <v>A</v>
      </c>
      <c r="H2455" t="str">
        <f>Raw_Claims_Data!H2454</f>
        <v>Minor Loss</v>
      </c>
      <c r="I2455" t="str">
        <f>IF(Raw_Claims_Data!I2454="","None",Raw_Claims_Data!I2454)</f>
        <v>None</v>
      </c>
      <c r="J2455" t="str">
        <f>Raw_Claims_Data!J2454</f>
        <v>Orange</v>
      </c>
      <c r="K2455" t="str">
        <f>Raw_Claims_Data!K2454</f>
        <v>CA</v>
      </c>
      <c r="L2455">
        <f>Raw_Claims_Data!L2454</f>
        <v>19</v>
      </c>
      <c r="M2455" t="str">
        <f>IF(Raw_Claims_Data!M2454="","N/A",Raw_Claims_Data!M2454)</f>
        <v>N/A</v>
      </c>
      <c r="N2455" t="str">
        <f>Raw_Claims_Data!N2454</f>
        <v>AGENT01122</v>
      </c>
      <c r="O2455">
        <f>IF(Raw_Claims_Data!G2454="D",1,0)</f>
        <v>0</v>
      </c>
    </row>
    <row r="2456" spans="1:15" x14ac:dyDescent="0.35">
      <c r="A2456" t="str">
        <f>Raw_Claims_Data!A2455</f>
        <v>TXN00002452</v>
      </c>
      <c r="B2456" t="str">
        <f>TRIM(Raw_Claims_Data!B2455)</f>
        <v>Edward Dees</v>
      </c>
      <c r="C2456" t="str">
        <f>Raw_Claims_Data!C2455</f>
        <v>Mobile</v>
      </c>
      <c r="D2456">
        <f>Raw_Claims_Data!D2455</f>
        <v>7.64</v>
      </c>
      <c r="E2456">
        <f>Raw_Claims_Data!E2455</f>
        <v>600</v>
      </c>
      <c r="F2456" t="str">
        <f>Raw_Claims_Data!F2455</f>
        <v>KY</v>
      </c>
      <c r="G2456" t="str">
        <f>Raw_Claims_Data!G2455</f>
        <v>A</v>
      </c>
      <c r="H2456" t="str">
        <f>Raw_Claims_Data!H2455</f>
        <v>Major Loss</v>
      </c>
      <c r="I2456" t="str">
        <f>IF(Raw_Claims_Data!I2455="","None",Raw_Claims_Data!I2455)</f>
        <v>Other</v>
      </c>
      <c r="J2456" t="str">
        <f>Raw_Claims_Data!J2455</f>
        <v>Pueblo</v>
      </c>
      <c r="K2456" t="str">
        <f>Raw_Claims_Data!K2455</f>
        <v>CO</v>
      </c>
      <c r="L2456">
        <f>Raw_Claims_Data!L2455</f>
        <v>9</v>
      </c>
      <c r="M2456" t="str">
        <f>IF(Raw_Claims_Data!M2455="","N/A",Raw_Claims_Data!M2455)</f>
        <v>VNDR00416</v>
      </c>
      <c r="N2456" t="str">
        <f>Raw_Claims_Data!N2455</f>
        <v>AGENT00232</v>
      </c>
      <c r="O2456">
        <f>IF(Raw_Claims_Data!G2455="D",1,0)</f>
        <v>0</v>
      </c>
    </row>
    <row r="2457" spans="1:15" x14ac:dyDescent="0.35">
      <c r="A2457" t="str">
        <f>Raw_Claims_Data!A2456</f>
        <v>TXN00002453</v>
      </c>
      <c r="B2457" t="str">
        <f>TRIM(Raw_Claims_Data!B2456)</f>
        <v>Patrick Smith</v>
      </c>
      <c r="C2457" t="str">
        <f>Raw_Claims_Data!C2456</f>
        <v>Health</v>
      </c>
      <c r="D2457">
        <f>Raw_Claims_Data!D2456</f>
        <v>108.84</v>
      </c>
      <c r="E2457">
        <f>Raw_Claims_Data!E2456</f>
        <v>13000</v>
      </c>
      <c r="F2457" t="str">
        <f>Raw_Claims_Data!F2456</f>
        <v>OK</v>
      </c>
      <c r="G2457" t="str">
        <f>Raw_Claims_Data!G2456</f>
        <v>A</v>
      </c>
      <c r="H2457" t="str">
        <f>Raw_Claims_Data!H2456</f>
        <v>Total Loss</v>
      </c>
      <c r="I2457" t="str">
        <f>IF(Raw_Claims_Data!I2456="","None",Raw_Claims_Data!I2456)</f>
        <v>Ambulance</v>
      </c>
      <c r="J2457" t="str">
        <f>Raw_Claims_Data!J2456</f>
        <v>Nashville</v>
      </c>
      <c r="K2457" t="str">
        <f>Raw_Claims_Data!K2456</f>
        <v>TN</v>
      </c>
      <c r="L2457">
        <f>Raw_Claims_Data!L2456</f>
        <v>13</v>
      </c>
      <c r="M2457" t="str">
        <f>IF(Raw_Claims_Data!M2456="","N/A",Raw_Claims_Data!M2456)</f>
        <v>N/A</v>
      </c>
      <c r="N2457" t="str">
        <f>Raw_Claims_Data!N2456</f>
        <v>AGENT00803</v>
      </c>
      <c r="O2457">
        <f>IF(Raw_Claims_Data!G2456="D",1,0)</f>
        <v>0</v>
      </c>
    </row>
    <row r="2458" spans="1:15" x14ac:dyDescent="0.35">
      <c r="A2458" t="str">
        <f>Raw_Claims_Data!A2457</f>
        <v>TXN00002454</v>
      </c>
      <c r="B2458" t="str">
        <f>TRIM(Raw_Claims_Data!B2457)</f>
        <v>Kimberly Krause</v>
      </c>
      <c r="C2458" t="str">
        <f>Raw_Claims_Data!C2457</f>
        <v>Travel</v>
      </c>
      <c r="D2458">
        <f>Raw_Claims_Data!D2457</f>
        <v>81.67</v>
      </c>
      <c r="E2458">
        <f>Raw_Claims_Data!E2457</f>
        <v>5000</v>
      </c>
      <c r="F2458" t="str">
        <f>Raw_Claims_Data!F2457</f>
        <v>CA</v>
      </c>
      <c r="G2458" t="str">
        <f>Raw_Claims_Data!G2457</f>
        <v>A</v>
      </c>
      <c r="H2458" t="str">
        <f>Raw_Claims_Data!H2457</f>
        <v>Total Loss</v>
      </c>
      <c r="I2458" t="str">
        <f>IF(Raw_Claims_Data!I2457="","None",Raw_Claims_Data!I2457)</f>
        <v>Ambulance</v>
      </c>
      <c r="J2458" t="str">
        <f>Raw_Claims_Data!J2457</f>
        <v>Oakland</v>
      </c>
      <c r="K2458" t="str">
        <f>Raw_Claims_Data!K2457</f>
        <v>CA</v>
      </c>
      <c r="L2458">
        <f>Raw_Claims_Data!L2457</f>
        <v>0</v>
      </c>
      <c r="M2458" t="str">
        <f>IF(Raw_Claims_Data!M2457="","N/A",Raw_Claims_Data!M2457)</f>
        <v>VNDR00261</v>
      </c>
      <c r="N2458" t="str">
        <f>Raw_Claims_Data!N2457</f>
        <v>AGENT00118</v>
      </c>
      <c r="O2458">
        <f>IF(Raw_Claims_Data!G2457="D",1,0)</f>
        <v>0</v>
      </c>
    </row>
    <row r="2459" spans="1:15" x14ac:dyDescent="0.35">
      <c r="A2459" t="str">
        <f>Raw_Claims_Data!A2458</f>
        <v>TXN00002455</v>
      </c>
      <c r="B2459" t="str">
        <f>TRIM(Raw_Claims_Data!B2458)</f>
        <v>Judy Adams</v>
      </c>
      <c r="C2459" t="str">
        <f>Raw_Claims_Data!C2458</f>
        <v>Motor</v>
      </c>
      <c r="D2459">
        <f>Raw_Claims_Data!D2458</f>
        <v>85</v>
      </c>
      <c r="E2459">
        <f>Raw_Claims_Data!E2458</f>
        <v>6000</v>
      </c>
      <c r="F2459" t="str">
        <f>Raw_Claims_Data!F2458</f>
        <v>GA</v>
      </c>
      <c r="G2459" t="str">
        <f>Raw_Claims_Data!G2458</f>
        <v>A</v>
      </c>
      <c r="H2459" t="str">
        <f>Raw_Claims_Data!H2458</f>
        <v>Major Loss</v>
      </c>
      <c r="I2459" t="str">
        <f>IF(Raw_Claims_Data!I2458="","None",Raw_Claims_Data!I2458)</f>
        <v>Ambulance</v>
      </c>
      <c r="J2459" t="str">
        <f>Raw_Claims_Data!J2458</f>
        <v>Fayetteville</v>
      </c>
      <c r="K2459" t="str">
        <f>Raw_Claims_Data!K2458</f>
        <v>AR</v>
      </c>
      <c r="L2459">
        <f>Raw_Claims_Data!L2458</f>
        <v>7</v>
      </c>
      <c r="M2459" t="str">
        <f>IF(Raw_Claims_Data!M2458="","N/A",Raw_Claims_Data!M2458)</f>
        <v>N/A</v>
      </c>
      <c r="N2459" t="str">
        <f>Raw_Claims_Data!N2458</f>
        <v>AGENT00256</v>
      </c>
      <c r="O2459">
        <f>IF(Raw_Claims_Data!G2458="D",1,0)</f>
        <v>0</v>
      </c>
    </row>
    <row r="2460" spans="1:15" x14ac:dyDescent="0.35">
      <c r="A2460" t="str">
        <f>Raw_Claims_Data!A2459</f>
        <v>TXN00002456</v>
      </c>
      <c r="B2460" t="str">
        <f>TRIM(Raw_Claims_Data!B2459)</f>
        <v>Shirley White</v>
      </c>
      <c r="C2460" t="str">
        <f>Raw_Claims_Data!C2459</f>
        <v>Health</v>
      </c>
      <c r="D2460">
        <f>Raw_Claims_Data!D2459</f>
        <v>190.71</v>
      </c>
      <c r="E2460">
        <f>Raw_Claims_Data!E2459</f>
        <v>11000</v>
      </c>
      <c r="F2460" t="str">
        <f>Raw_Claims_Data!F2459</f>
        <v>TN</v>
      </c>
      <c r="G2460" t="str">
        <f>Raw_Claims_Data!G2459</f>
        <v>A</v>
      </c>
      <c r="H2460" t="str">
        <f>Raw_Claims_Data!H2459</f>
        <v>Major Loss</v>
      </c>
      <c r="I2460" t="str">
        <f>IF(Raw_Claims_Data!I2459="","None",Raw_Claims_Data!I2459)</f>
        <v>None</v>
      </c>
      <c r="J2460" t="str">
        <f>Raw_Claims_Data!J2459</f>
        <v>Manchester</v>
      </c>
      <c r="K2460" t="str">
        <f>Raw_Claims_Data!K2459</f>
        <v>CT</v>
      </c>
      <c r="L2460">
        <f>Raw_Claims_Data!L2459</f>
        <v>16</v>
      </c>
      <c r="M2460" t="str">
        <f>IF(Raw_Claims_Data!M2459="","N/A",Raw_Claims_Data!M2459)</f>
        <v>N/A</v>
      </c>
      <c r="N2460" t="str">
        <f>Raw_Claims_Data!N2459</f>
        <v>AGENT01099</v>
      </c>
      <c r="O2460">
        <f>IF(Raw_Claims_Data!G2459="D",1,0)</f>
        <v>0</v>
      </c>
    </row>
    <row r="2461" spans="1:15" x14ac:dyDescent="0.35">
      <c r="A2461" t="str">
        <f>Raw_Claims_Data!A2460</f>
        <v>TXN00002457</v>
      </c>
      <c r="B2461" t="str">
        <f>TRIM(Raw_Claims_Data!B2460)</f>
        <v>Deborah Foster</v>
      </c>
      <c r="C2461" t="str">
        <f>Raw_Claims_Data!C2460</f>
        <v>Mobile</v>
      </c>
      <c r="D2461">
        <f>Raw_Claims_Data!D2460</f>
        <v>7.31</v>
      </c>
      <c r="E2461">
        <f>Raw_Claims_Data!E2460</f>
        <v>700</v>
      </c>
      <c r="F2461" t="str">
        <f>Raw_Claims_Data!F2460</f>
        <v>CO</v>
      </c>
      <c r="G2461" t="str">
        <f>Raw_Claims_Data!G2460</f>
        <v>A</v>
      </c>
      <c r="H2461" t="str">
        <f>Raw_Claims_Data!H2460</f>
        <v>Total Loss</v>
      </c>
      <c r="I2461" t="str">
        <f>IF(Raw_Claims_Data!I2460="","None",Raw_Claims_Data!I2460)</f>
        <v>Ambulance</v>
      </c>
      <c r="J2461" t="str">
        <f>Raw_Claims_Data!J2460</f>
        <v>Panama City</v>
      </c>
      <c r="K2461" t="str">
        <f>Raw_Claims_Data!K2460</f>
        <v>FL</v>
      </c>
      <c r="L2461">
        <f>Raw_Claims_Data!L2460</f>
        <v>14</v>
      </c>
      <c r="M2461" t="str">
        <f>IF(Raw_Claims_Data!M2460="","N/A",Raw_Claims_Data!M2460)</f>
        <v>VNDR00449</v>
      </c>
      <c r="N2461" t="str">
        <f>Raw_Claims_Data!N2460</f>
        <v>AGENT00111</v>
      </c>
      <c r="O2461">
        <f>IF(Raw_Claims_Data!G2460="D",1,0)</f>
        <v>0</v>
      </c>
    </row>
    <row r="2462" spans="1:15" x14ac:dyDescent="0.35">
      <c r="A2462" t="str">
        <f>Raw_Claims_Data!A2461</f>
        <v>TXN00002458</v>
      </c>
      <c r="B2462" t="str">
        <f>TRIM(Raw_Claims_Data!B2461)</f>
        <v>Bryan Mcphearson</v>
      </c>
      <c r="C2462" t="str">
        <f>Raw_Claims_Data!C2461</f>
        <v>Mobile</v>
      </c>
      <c r="D2462">
        <f>Raw_Claims_Data!D2461</f>
        <v>7.31</v>
      </c>
      <c r="E2462">
        <f>Raw_Claims_Data!E2461</f>
        <v>400</v>
      </c>
      <c r="F2462" t="str">
        <f>Raw_Claims_Data!F2461</f>
        <v>MD</v>
      </c>
      <c r="G2462" t="str">
        <f>Raw_Claims_Data!G2461</f>
        <v>A</v>
      </c>
      <c r="H2462" t="str">
        <f>Raw_Claims_Data!H2461</f>
        <v>Major Loss</v>
      </c>
      <c r="I2462" t="str">
        <f>IF(Raw_Claims_Data!I2461="","None",Raw_Claims_Data!I2461)</f>
        <v>Ambulance</v>
      </c>
      <c r="J2462" t="str">
        <f>Raw_Claims_Data!J2461</f>
        <v>Savannah</v>
      </c>
      <c r="K2462" t="str">
        <f>Raw_Claims_Data!K2461</f>
        <v>GA</v>
      </c>
      <c r="L2462">
        <f>Raw_Claims_Data!L2461</f>
        <v>6</v>
      </c>
      <c r="M2462" t="str">
        <f>IF(Raw_Claims_Data!M2461="","N/A",Raw_Claims_Data!M2461)</f>
        <v>VNDR00383</v>
      </c>
      <c r="N2462" t="str">
        <f>Raw_Claims_Data!N2461</f>
        <v>AGENT01143</v>
      </c>
      <c r="O2462">
        <f>IF(Raw_Claims_Data!G2461="D",1,0)</f>
        <v>0</v>
      </c>
    </row>
    <row r="2463" spans="1:15" x14ac:dyDescent="0.35">
      <c r="A2463" t="str">
        <f>Raw_Claims_Data!A2462</f>
        <v>TXN00002459</v>
      </c>
      <c r="B2463" t="str">
        <f>TRIM(Raw_Claims_Data!B2462)</f>
        <v>Dennis Twyman</v>
      </c>
      <c r="C2463" t="str">
        <f>Raw_Claims_Data!C2462</f>
        <v>Travel</v>
      </c>
      <c r="D2463">
        <f>Raw_Claims_Data!D2462</f>
        <v>70.900000000000006</v>
      </c>
      <c r="E2463">
        <f>Raw_Claims_Data!E2462</f>
        <v>3000</v>
      </c>
      <c r="F2463" t="str">
        <f>Raw_Claims_Data!F2462</f>
        <v>MD</v>
      </c>
      <c r="G2463" t="str">
        <f>Raw_Claims_Data!G2462</f>
        <v>A</v>
      </c>
      <c r="H2463" t="str">
        <f>Raw_Claims_Data!H2462</f>
        <v>Total Loss</v>
      </c>
      <c r="I2463" t="str">
        <f>IF(Raw_Claims_Data!I2462="","None",Raw_Claims_Data!I2462)</f>
        <v>Ambulance</v>
      </c>
      <c r="J2463" t="str">
        <f>Raw_Claims_Data!J2462</f>
        <v>Glendale</v>
      </c>
      <c r="K2463" t="str">
        <f>Raw_Claims_Data!K2462</f>
        <v>AZ</v>
      </c>
      <c r="L2463">
        <f>Raw_Claims_Data!L2462</f>
        <v>3</v>
      </c>
      <c r="M2463" t="str">
        <f>IF(Raw_Claims_Data!M2462="","N/A",Raw_Claims_Data!M2462)</f>
        <v>VNDR00360</v>
      </c>
      <c r="N2463" t="str">
        <f>Raw_Claims_Data!N2462</f>
        <v>AGENT00499</v>
      </c>
      <c r="O2463">
        <f>IF(Raw_Claims_Data!G2462="D",1,0)</f>
        <v>0</v>
      </c>
    </row>
    <row r="2464" spans="1:15" x14ac:dyDescent="0.35">
      <c r="A2464" t="str">
        <f>Raw_Claims_Data!A2463</f>
        <v>TXN00002460</v>
      </c>
      <c r="B2464" t="str">
        <f>TRIM(Raw_Claims_Data!B2463)</f>
        <v>Glen Douglas</v>
      </c>
      <c r="C2464" t="str">
        <f>Raw_Claims_Data!C2463</f>
        <v>Property</v>
      </c>
      <c r="D2464">
        <f>Raw_Claims_Data!D2463</f>
        <v>122.6</v>
      </c>
      <c r="E2464">
        <f>Raw_Claims_Data!E2463</f>
        <v>25000</v>
      </c>
      <c r="F2464" t="str">
        <f>Raw_Claims_Data!F2463</f>
        <v>CT</v>
      </c>
      <c r="G2464" t="str">
        <f>Raw_Claims_Data!G2463</f>
        <v>A</v>
      </c>
      <c r="H2464" t="str">
        <f>Raw_Claims_Data!H2463</f>
        <v>Major Loss</v>
      </c>
      <c r="I2464" t="str">
        <f>IF(Raw_Claims_Data!I2463="","None",Raw_Claims_Data!I2463)</f>
        <v>Police</v>
      </c>
      <c r="J2464" t="str">
        <f>Raw_Claims_Data!J2463</f>
        <v>Glendale</v>
      </c>
      <c r="K2464" t="str">
        <f>Raw_Claims_Data!K2463</f>
        <v>AZ</v>
      </c>
      <c r="L2464">
        <f>Raw_Claims_Data!L2463</f>
        <v>21</v>
      </c>
      <c r="M2464" t="str">
        <f>IF(Raw_Claims_Data!M2463="","N/A",Raw_Claims_Data!M2463)</f>
        <v>N/A</v>
      </c>
      <c r="N2464" t="str">
        <f>Raw_Claims_Data!N2463</f>
        <v>AGENT00529</v>
      </c>
      <c r="O2464">
        <f>IF(Raw_Claims_Data!G2463="D",1,0)</f>
        <v>0</v>
      </c>
    </row>
    <row r="2465" spans="1:15" x14ac:dyDescent="0.35">
      <c r="A2465" t="str">
        <f>Raw_Claims_Data!A2464</f>
        <v>TXN00002461</v>
      </c>
      <c r="B2465" t="str">
        <f>TRIM(Raw_Claims_Data!B2464)</f>
        <v>Jason Fishback</v>
      </c>
      <c r="C2465" t="str">
        <f>Raw_Claims_Data!C2464</f>
        <v>Life</v>
      </c>
      <c r="D2465">
        <f>Raw_Claims_Data!D2464</f>
        <v>79.23</v>
      </c>
      <c r="E2465">
        <f>Raw_Claims_Data!E2464</f>
        <v>64000</v>
      </c>
      <c r="F2465" t="str">
        <f>Raw_Claims_Data!F2464</f>
        <v>FL</v>
      </c>
      <c r="G2465" t="str">
        <f>Raw_Claims_Data!G2464</f>
        <v>A</v>
      </c>
      <c r="H2465" t="str">
        <f>Raw_Claims_Data!H2464</f>
        <v>Total Loss</v>
      </c>
      <c r="I2465" t="str">
        <f>IF(Raw_Claims_Data!I2464="","None",Raw_Claims_Data!I2464)</f>
        <v>Ambulance</v>
      </c>
      <c r="J2465" t="str">
        <f>Raw_Claims_Data!J2464</f>
        <v>Edmond</v>
      </c>
      <c r="K2465" t="str">
        <f>Raw_Claims_Data!K2464</f>
        <v>OK</v>
      </c>
      <c r="L2465">
        <f>Raw_Claims_Data!L2464</f>
        <v>16</v>
      </c>
      <c r="M2465" t="str">
        <f>IF(Raw_Claims_Data!M2464="","N/A",Raw_Claims_Data!M2464)</f>
        <v>VNDR00119</v>
      </c>
      <c r="N2465" t="str">
        <f>Raw_Claims_Data!N2464</f>
        <v>AGENT00746</v>
      </c>
      <c r="O2465">
        <f>IF(Raw_Claims_Data!G2464="D",1,0)</f>
        <v>0</v>
      </c>
    </row>
    <row r="2466" spans="1:15" x14ac:dyDescent="0.35">
      <c r="A2466" t="str">
        <f>Raw_Claims_Data!A2465</f>
        <v>TXN00002462</v>
      </c>
      <c r="B2466" t="str">
        <f>TRIM(Raw_Claims_Data!B2465)</f>
        <v>Roland Gilmore</v>
      </c>
      <c r="C2466" t="str">
        <f>Raw_Claims_Data!C2465</f>
        <v>Travel</v>
      </c>
      <c r="D2466">
        <f>Raw_Claims_Data!D2465</f>
        <v>62.59</v>
      </c>
      <c r="E2466">
        <f>Raw_Claims_Data!E2465</f>
        <v>4000</v>
      </c>
      <c r="F2466" t="str">
        <f>Raw_Claims_Data!F2465</f>
        <v>CO</v>
      </c>
      <c r="G2466" t="str">
        <f>Raw_Claims_Data!G2465</f>
        <v>A</v>
      </c>
      <c r="H2466" t="str">
        <f>Raw_Claims_Data!H2465</f>
        <v>Total Loss</v>
      </c>
      <c r="I2466" t="str">
        <f>IF(Raw_Claims_Data!I2465="","None",Raw_Claims_Data!I2465)</f>
        <v>Ambulance</v>
      </c>
      <c r="J2466" t="str">
        <f>Raw_Claims_Data!J2465</f>
        <v>Marlborough</v>
      </c>
      <c r="K2466" t="str">
        <f>Raw_Claims_Data!K2465</f>
        <v>MA</v>
      </c>
      <c r="L2466">
        <f>Raw_Claims_Data!L2465</f>
        <v>4</v>
      </c>
      <c r="M2466" t="str">
        <f>IF(Raw_Claims_Data!M2465="","N/A",Raw_Claims_Data!M2465)</f>
        <v>VNDR00375</v>
      </c>
      <c r="N2466" t="str">
        <f>Raw_Claims_Data!N2465</f>
        <v>AGENT00756</v>
      </c>
      <c r="O2466">
        <f>IF(Raw_Claims_Data!G2465="D",1,0)</f>
        <v>0</v>
      </c>
    </row>
    <row r="2467" spans="1:15" x14ac:dyDescent="0.35">
      <c r="A2467" t="str">
        <f>Raw_Claims_Data!A2466</f>
        <v>TXN00002463</v>
      </c>
      <c r="B2467" t="str">
        <f>TRIM(Raw_Claims_Data!B2466)</f>
        <v>Ramona Vacca</v>
      </c>
      <c r="C2467" t="str">
        <f>Raw_Claims_Data!C2466</f>
        <v>Mobile</v>
      </c>
      <c r="D2467">
        <f>Raw_Claims_Data!D2466</f>
        <v>8.52</v>
      </c>
      <c r="E2467">
        <f>Raw_Claims_Data!E2466</f>
        <v>500</v>
      </c>
      <c r="F2467" t="str">
        <f>Raw_Claims_Data!F2466</f>
        <v>AL</v>
      </c>
      <c r="G2467" t="str">
        <f>Raw_Claims_Data!G2466</f>
        <v>A</v>
      </c>
      <c r="H2467" t="str">
        <f>Raw_Claims_Data!H2466</f>
        <v>Total Loss</v>
      </c>
      <c r="I2467" t="str">
        <f>IF(Raw_Claims_Data!I2466="","None",Raw_Claims_Data!I2466)</f>
        <v>Ambulance</v>
      </c>
      <c r="J2467" t="str">
        <f>Raw_Claims_Data!J2466</f>
        <v>Louisville</v>
      </c>
      <c r="K2467" t="str">
        <f>Raw_Claims_Data!K2466</f>
        <v>KY</v>
      </c>
      <c r="L2467">
        <f>Raw_Claims_Data!L2466</f>
        <v>19</v>
      </c>
      <c r="M2467" t="str">
        <f>IF(Raw_Claims_Data!M2466="","N/A",Raw_Claims_Data!M2466)</f>
        <v>N/A</v>
      </c>
      <c r="N2467" t="str">
        <f>Raw_Claims_Data!N2466</f>
        <v>AGENT00606</v>
      </c>
      <c r="O2467">
        <f>IF(Raw_Claims_Data!G2466="D",1,0)</f>
        <v>0</v>
      </c>
    </row>
    <row r="2468" spans="1:15" x14ac:dyDescent="0.35">
      <c r="A2468" t="str">
        <f>Raw_Claims_Data!A2467</f>
        <v>TXN00002464</v>
      </c>
      <c r="B2468" t="str">
        <f>TRIM(Raw_Claims_Data!B2467)</f>
        <v>Margaret Corley</v>
      </c>
      <c r="C2468" t="str">
        <f>Raw_Claims_Data!C2467</f>
        <v>Health</v>
      </c>
      <c r="D2468">
        <f>Raw_Claims_Data!D2467</f>
        <v>112.92</v>
      </c>
      <c r="E2468">
        <f>Raw_Claims_Data!E2467</f>
        <v>7000</v>
      </c>
      <c r="F2468" t="str">
        <f>Raw_Claims_Data!F2467</f>
        <v>AZ</v>
      </c>
      <c r="G2468" t="str">
        <f>Raw_Claims_Data!G2467</f>
        <v>A</v>
      </c>
      <c r="H2468" t="str">
        <f>Raw_Claims_Data!H2467</f>
        <v>Major Loss</v>
      </c>
      <c r="I2468" t="str">
        <f>IF(Raw_Claims_Data!I2467="","None",Raw_Claims_Data!I2467)</f>
        <v>Ambulance</v>
      </c>
      <c r="J2468" t="str">
        <f>Raw_Claims_Data!J2467</f>
        <v>Glendale</v>
      </c>
      <c r="K2468" t="str">
        <f>Raw_Claims_Data!K2467</f>
        <v>AZ</v>
      </c>
      <c r="L2468">
        <f>Raw_Claims_Data!L2467</f>
        <v>9</v>
      </c>
      <c r="M2468" t="str">
        <f>IF(Raw_Claims_Data!M2467="","N/A",Raw_Claims_Data!M2467)</f>
        <v>VNDR00176</v>
      </c>
      <c r="N2468" t="str">
        <f>Raw_Claims_Data!N2467</f>
        <v>AGENT00077</v>
      </c>
      <c r="O2468">
        <f>IF(Raw_Claims_Data!G2467="D",1,0)</f>
        <v>0</v>
      </c>
    </row>
    <row r="2469" spans="1:15" x14ac:dyDescent="0.35">
      <c r="A2469" t="str">
        <f>Raw_Claims_Data!A2468</f>
        <v>TXN00002465</v>
      </c>
      <c r="B2469" t="str">
        <f>TRIM(Raw_Claims_Data!B2468)</f>
        <v>Art Eden</v>
      </c>
      <c r="C2469" t="str">
        <f>Raw_Claims_Data!C2468</f>
        <v>Health</v>
      </c>
      <c r="D2469">
        <f>Raw_Claims_Data!D2468</f>
        <v>108.15</v>
      </c>
      <c r="E2469">
        <f>Raw_Claims_Data!E2468</f>
        <v>15000</v>
      </c>
      <c r="F2469" t="str">
        <f>Raw_Claims_Data!F2468</f>
        <v>FL</v>
      </c>
      <c r="G2469" t="str">
        <f>Raw_Claims_Data!G2468</f>
        <v>A</v>
      </c>
      <c r="H2469" t="str">
        <f>Raw_Claims_Data!H2468</f>
        <v>Major Loss</v>
      </c>
      <c r="I2469" t="str">
        <f>IF(Raw_Claims_Data!I2468="","None",Raw_Claims_Data!I2468)</f>
        <v>None</v>
      </c>
      <c r="J2469" t="str">
        <f>Raw_Claims_Data!J2468</f>
        <v>Oakland</v>
      </c>
      <c r="K2469" t="str">
        <f>Raw_Claims_Data!K2468</f>
        <v>CA</v>
      </c>
      <c r="L2469">
        <f>Raw_Claims_Data!L2468</f>
        <v>9</v>
      </c>
      <c r="M2469" t="str">
        <f>IF(Raw_Claims_Data!M2468="","N/A",Raw_Claims_Data!M2468)</f>
        <v>VNDR00383</v>
      </c>
      <c r="N2469" t="str">
        <f>Raw_Claims_Data!N2468</f>
        <v>AGENT00907</v>
      </c>
      <c r="O2469">
        <f>IF(Raw_Claims_Data!G2468="D",1,0)</f>
        <v>0</v>
      </c>
    </row>
    <row r="2470" spans="1:15" x14ac:dyDescent="0.35">
      <c r="A2470" t="str">
        <f>Raw_Claims_Data!A2469</f>
        <v>TXN00002466</v>
      </c>
      <c r="B2470" t="str">
        <f>TRIM(Raw_Claims_Data!B2469)</f>
        <v>Janice Hoelscher</v>
      </c>
      <c r="C2470" t="str">
        <f>Raw_Claims_Data!C2469</f>
        <v>Life</v>
      </c>
      <c r="D2470">
        <f>Raw_Claims_Data!D2469</f>
        <v>66.2</v>
      </c>
      <c r="E2470">
        <f>Raw_Claims_Data!E2469</f>
        <v>67000</v>
      </c>
      <c r="F2470" t="str">
        <f>Raw_Claims_Data!F2469</f>
        <v>FL</v>
      </c>
      <c r="G2470" t="str">
        <f>Raw_Claims_Data!G2469</f>
        <v>A</v>
      </c>
      <c r="H2470" t="str">
        <f>Raw_Claims_Data!H2469</f>
        <v>Minor Loss</v>
      </c>
      <c r="I2470" t="str">
        <f>IF(Raw_Claims_Data!I2469="","None",Raw_Claims_Data!I2469)</f>
        <v>None</v>
      </c>
      <c r="J2470" t="str">
        <f>Raw_Claims_Data!J2469</f>
        <v>Pismo Beach</v>
      </c>
      <c r="K2470" t="str">
        <f>Raw_Claims_Data!K2469</f>
        <v>CA</v>
      </c>
      <c r="L2470">
        <f>Raw_Claims_Data!L2469</f>
        <v>16</v>
      </c>
      <c r="M2470" t="str">
        <f>IF(Raw_Claims_Data!M2469="","N/A",Raw_Claims_Data!M2469)</f>
        <v>VNDR00568</v>
      </c>
      <c r="N2470" t="str">
        <f>Raw_Claims_Data!N2469</f>
        <v>AGENT00478</v>
      </c>
      <c r="O2470">
        <f>IF(Raw_Claims_Data!G2469="D",1,0)</f>
        <v>0</v>
      </c>
    </row>
    <row r="2471" spans="1:15" x14ac:dyDescent="0.35">
      <c r="A2471" t="str">
        <f>Raw_Claims_Data!A2470</f>
        <v>TXN00002467</v>
      </c>
      <c r="B2471" t="str">
        <f>TRIM(Raw_Claims_Data!B2470)</f>
        <v>Florence Fowler</v>
      </c>
      <c r="C2471" t="str">
        <f>Raw_Claims_Data!C2470</f>
        <v>Life</v>
      </c>
      <c r="D2471">
        <f>Raw_Claims_Data!D2470</f>
        <v>53.02</v>
      </c>
      <c r="E2471">
        <f>Raw_Claims_Data!E2470</f>
        <v>28000</v>
      </c>
      <c r="F2471" t="str">
        <f>Raw_Claims_Data!F2470</f>
        <v>CA</v>
      </c>
      <c r="G2471" t="str">
        <f>Raw_Claims_Data!G2470</f>
        <v>A</v>
      </c>
      <c r="H2471" t="str">
        <f>Raw_Claims_Data!H2470</f>
        <v>Total Loss</v>
      </c>
      <c r="I2471" t="str">
        <f>IF(Raw_Claims_Data!I2470="","None",Raw_Claims_Data!I2470)</f>
        <v>Other</v>
      </c>
      <c r="J2471" t="str">
        <f>Raw_Claims_Data!J2470</f>
        <v>Anchorage</v>
      </c>
      <c r="K2471" t="str">
        <f>Raw_Claims_Data!K2470</f>
        <v>AK</v>
      </c>
      <c r="L2471">
        <f>Raw_Claims_Data!L2470</f>
        <v>6</v>
      </c>
      <c r="M2471" t="str">
        <f>IF(Raw_Claims_Data!M2470="","N/A",Raw_Claims_Data!M2470)</f>
        <v>N/A</v>
      </c>
      <c r="N2471" t="str">
        <f>Raw_Claims_Data!N2470</f>
        <v>AGENT01053</v>
      </c>
      <c r="O2471">
        <f>IF(Raw_Claims_Data!G2470="D",1,0)</f>
        <v>0</v>
      </c>
    </row>
    <row r="2472" spans="1:15" x14ac:dyDescent="0.35">
      <c r="A2472" t="str">
        <f>Raw_Claims_Data!A2471</f>
        <v>TXN00002468</v>
      </c>
      <c r="B2472" t="str">
        <f>TRIM(Raw_Claims_Data!B2471)</f>
        <v>Joseph Meadows</v>
      </c>
      <c r="C2472" t="str">
        <f>Raw_Claims_Data!C2471</f>
        <v>Mobile</v>
      </c>
      <c r="D2472">
        <f>Raw_Claims_Data!D2471</f>
        <v>9.2100000000000009</v>
      </c>
      <c r="E2472">
        <f>Raw_Claims_Data!E2471</f>
        <v>300</v>
      </c>
      <c r="F2472" t="str">
        <f>Raw_Claims_Data!F2471</f>
        <v>DC</v>
      </c>
      <c r="G2472" t="str">
        <f>Raw_Claims_Data!G2471</f>
        <v>A</v>
      </c>
      <c r="H2472" t="str">
        <f>Raw_Claims_Data!H2471</f>
        <v>Minor Loss</v>
      </c>
      <c r="I2472" t="str">
        <f>IF(Raw_Claims_Data!I2471="","None",Raw_Claims_Data!I2471)</f>
        <v>Ambulance</v>
      </c>
      <c r="J2472" t="str">
        <f>Raw_Claims_Data!J2471</f>
        <v>Fayetteville</v>
      </c>
      <c r="K2472" t="str">
        <f>Raw_Claims_Data!K2471</f>
        <v>AR</v>
      </c>
      <c r="L2472">
        <f>Raw_Claims_Data!L2471</f>
        <v>6</v>
      </c>
      <c r="M2472" t="str">
        <f>IF(Raw_Claims_Data!M2471="","N/A",Raw_Claims_Data!M2471)</f>
        <v>VNDR00461</v>
      </c>
      <c r="N2472" t="str">
        <f>Raw_Claims_Data!N2471</f>
        <v>AGENT00275</v>
      </c>
      <c r="O2472">
        <f>IF(Raw_Claims_Data!G2471="D",1,0)</f>
        <v>0</v>
      </c>
    </row>
    <row r="2473" spans="1:15" x14ac:dyDescent="0.35">
      <c r="A2473" t="str">
        <f>Raw_Claims_Data!A2472</f>
        <v>TXN00002469</v>
      </c>
      <c r="B2473" t="str">
        <f>TRIM(Raw_Claims_Data!B2472)</f>
        <v>Nancy Edwards</v>
      </c>
      <c r="C2473" t="str">
        <f>Raw_Claims_Data!C2472</f>
        <v>Life</v>
      </c>
      <c r="D2473">
        <f>Raw_Claims_Data!D2472</f>
        <v>83.59</v>
      </c>
      <c r="E2473">
        <f>Raw_Claims_Data!E2472</f>
        <v>12000</v>
      </c>
      <c r="F2473" t="str">
        <f>Raw_Claims_Data!F2472</f>
        <v>GA</v>
      </c>
      <c r="G2473" t="str">
        <f>Raw_Claims_Data!G2472</f>
        <v>A</v>
      </c>
      <c r="H2473" t="str">
        <f>Raw_Claims_Data!H2472</f>
        <v>Total Loss</v>
      </c>
      <c r="I2473" t="str">
        <f>IF(Raw_Claims_Data!I2472="","None",Raw_Claims_Data!I2472)</f>
        <v>Police</v>
      </c>
      <c r="J2473" t="str">
        <f>Raw_Claims_Data!J2472</f>
        <v>Washington</v>
      </c>
      <c r="K2473" t="str">
        <f>Raw_Claims_Data!K2472</f>
        <v>DC</v>
      </c>
      <c r="L2473">
        <f>Raw_Claims_Data!L2472</f>
        <v>14</v>
      </c>
      <c r="M2473" t="str">
        <f>IF(Raw_Claims_Data!M2472="","N/A",Raw_Claims_Data!M2472)</f>
        <v>VNDR00039</v>
      </c>
      <c r="N2473" t="str">
        <f>Raw_Claims_Data!N2472</f>
        <v>AGENT01172</v>
      </c>
      <c r="O2473">
        <f>IF(Raw_Claims_Data!G2472="D",1,0)</f>
        <v>0</v>
      </c>
    </row>
    <row r="2474" spans="1:15" x14ac:dyDescent="0.35">
      <c r="A2474" t="str">
        <f>Raw_Claims_Data!A2473</f>
        <v>TXN00002470</v>
      </c>
      <c r="B2474" t="str">
        <f>TRIM(Raw_Claims_Data!B2473)</f>
        <v>Katherine Hall</v>
      </c>
      <c r="C2474" t="str">
        <f>Raw_Claims_Data!C2473</f>
        <v>Mobile</v>
      </c>
      <c r="D2474">
        <f>Raw_Claims_Data!D2473</f>
        <v>8.64</v>
      </c>
      <c r="E2474">
        <f>Raw_Claims_Data!E2473</f>
        <v>600</v>
      </c>
      <c r="F2474" t="str">
        <f>Raw_Claims_Data!F2473</f>
        <v>AL</v>
      </c>
      <c r="G2474" t="str">
        <f>Raw_Claims_Data!G2473</f>
        <v>A</v>
      </c>
      <c r="H2474" t="str">
        <f>Raw_Claims_Data!H2473</f>
        <v>Total Loss</v>
      </c>
      <c r="I2474" t="str">
        <f>IF(Raw_Claims_Data!I2473="","None",Raw_Claims_Data!I2473)</f>
        <v>Police</v>
      </c>
      <c r="J2474" t="str">
        <f>Raw_Claims_Data!J2473</f>
        <v>Quincy</v>
      </c>
      <c r="K2474" t="str">
        <f>Raw_Claims_Data!K2473</f>
        <v>MA</v>
      </c>
      <c r="L2474">
        <f>Raw_Claims_Data!L2473</f>
        <v>21</v>
      </c>
      <c r="M2474" t="str">
        <f>IF(Raw_Claims_Data!M2473="","N/A",Raw_Claims_Data!M2473)</f>
        <v>VNDR00190</v>
      </c>
      <c r="N2474" t="str">
        <f>Raw_Claims_Data!N2473</f>
        <v>AGENT00543</v>
      </c>
      <c r="O2474">
        <f>IF(Raw_Claims_Data!G2473="D",1,0)</f>
        <v>0</v>
      </c>
    </row>
    <row r="2475" spans="1:15" x14ac:dyDescent="0.35">
      <c r="A2475" t="str">
        <f>Raw_Claims_Data!A2474</f>
        <v>TXN00002471</v>
      </c>
      <c r="B2475" t="str">
        <f>TRIM(Raw_Claims_Data!B2474)</f>
        <v>Shawnna Cortez</v>
      </c>
      <c r="C2475" t="str">
        <f>Raw_Claims_Data!C2474</f>
        <v>Health</v>
      </c>
      <c r="D2475">
        <f>Raw_Claims_Data!D2474</f>
        <v>186.35</v>
      </c>
      <c r="E2475">
        <f>Raw_Claims_Data!E2474</f>
        <v>2000</v>
      </c>
      <c r="F2475" t="str">
        <f>Raw_Claims_Data!F2474</f>
        <v>CO</v>
      </c>
      <c r="G2475" t="str">
        <f>Raw_Claims_Data!G2474</f>
        <v>A</v>
      </c>
      <c r="H2475" t="str">
        <f>Raw_Claims_Data!H2474</f>
        <v>Total Loss</v>
      </c>
      <c r="I2475" t="str">
        <f>IF(Raw_Claims_Data!I2474="","None",Raw_Claims_Data!I2474)</f>
        <v>None</v>
      </c>
      <c r="J2475" t="str">
        <f>Raw_Claims_Data!J2474</f>
        <v>Louisville</v>
      </c>
      <c r="K2475" t="str">
        <f>Raw_Claims_Data!K2474</f>
        <v>KY</v>
      </c>
      <c r="L2475">
        <f>Raw_Claims_Data!L2474</f>
        <v>22</v>
      </c>
      <c r="M2475" t="str">
        <f>IF(Raw_Claims_Data!M2474="","N/A",Raw_Claims_Data!M2474)</f>
        <v>N/A</v>
      </c>
      <c r="N2475" t="str">
        <f>Raw_Claims_Data!N2474</f>
        <v>AGENT00884</v>
      </c>
      <c r="O2475">
        <f>IF(Raw_Claims_Data!G2474="D",1,0)</f>
        <v>0</v>
      </c>
    </row>
    <row r="2476" spans="1:15" x14ac:dyDescent="0.35">
      <c r="A2476" t="str">
        <f>Raw_Claims_Data!A2475</f>
        <v>TXN00002472</v>
      </c>
      <c r="B2476" t="str">
        <f>TRIM(Raw_Claims_Data!B2475)</f>
        <v>Eileen Keys</v>
      </c>
      <c r="C2476" t="str">
        <f>Raw_Claims_Data!C2475</f>
        <v>Health</v>
      </c>
      <c r="D2476">
        <f>Raw_Claims_Data!D2475</f>
        <v>123.52</v>
      </c>
      <c r="E2476">
        <f>Raw_Claims_Data!E2475</f>
        <v>19000</v>
      </c>
      <c r="F2476" t="str">
        <f>Raw_Claims_Data!F2475</f>
        <v>MD</v>
      </c>
      <c r="G2476" t="str">
        <f>Raw_Claims_Data!G2475</f>
        <v>A</v>
      </c>
      <c r="H2476" t="str">
        <f>Raw_Claims_Data!H2475</f>
        <v>Major Loss</v>
      </c>
      <c r="I2476" t="str">
        <f>IF(Raw_Claims_Data!I2475="","None",Raw_Claims_Data!I2475)</f>
        <v>Ambulance</v>
      </c>
      <c r="J2476" t="str">
        <f>Raw_Claims_Data!J2475</f>
        <v>Savannah</v>
      </c>
      <c r="K2476" t="str">
        <f>Raw_Claims_Data!K2475</f>
        <v>GA</v>
      </c>
      <c r="L2476">
        <f>Raw_Claims_Data!L2475</f>
        <v>23</v>
      </c>
      <c r="M2476" t="str">
        <f>IF(Raw_Claims_Data!M2475="","N/A",Raw_Claims_Data!M2475)</f>
        <v>VNDR00597</v>
      </c>
      <c r="N2476" t="str">
        <f>Raw_Claims_Data!N2475</f>
        <v>AGENT01168</v>
      </c>
      <c r="O2476">
        <f>IF(Raw_Claims_Data!G2475="D",1,0)</f>
        <v>0</v>
      </c>
    </row>
    <row r="2477" spans="1:15" x14ac:dyDescent="0.35">
      <c r="A2477" t="str">
        <f>Raw_Claims_Data!A2476</f>
        <v>TXN00002473</v>
      </c>
      <c r="B2477" t="str">
        <f>TRIM(Raw_Claims_Data!B2476)</f>
        <v>Charlotte Riggleman</v>
      </c>
      <c r="C2477" t="str">
        <f>Raw_Claims_Data!C2476</f>
        <v>Property</v>
      </c>
      <c r="D2477">
        <f>Raw_Claims_Data!D2476</f>
        <v>98.86</v>
      </c>
      <c r="E2477">
        <f>Raw_Claims_Data!E2476</f>
        <v>36000</v>
      </c>
      <c r="F2477" t="str">
        <f>Raw_Claims_Data!F2476</f>
        <v>CT</v>
      </c>
      <c r="G2477" t="str">
        <f>Raw_Claims_Data!G2476</f>
        <v>A</v>
      </c>
      <c r="H2477" t="str">
        <f>Raw_Claims_Data!H2476</f>
        <v>Major Loss</v>
      </c>
      <c r="I2477" t="str">
        <f>IF(Raw_Claims_Data!I2476="","None",Raw_Claims_Data!I2476)</f>
        <v>Ambulance</v>
      </c>
      <c r="J2477" t="str">
        <f>Raw_Claims_Data!J2476</f>
        <v>Anchorage</v>
      </c>
      <c r="K2477" t="str">
        <f>Raw_Claims_Data!K2476</f>
        <v>AK</v>
      </c>
      <c r="L2477">
        <f>Raw_Claims_Data!L2476</f>
        <v>11</v>
      </c>
      <c r="M2477" t="str">
        <f>IF(Raw_Claims_Data!M2476="","N/A",Raw_Claims_Data!M2476)</f>
        <v>VNDR00202</v>
      </c>
      <c r="N2477" t="str">
        <f>Raw_Claims_Data!N2476</f>
        <v>AGENT00974</v>
      </c>
      <c r="O2477">
        <f>IF(Raw_Claims_Data!G2476="D",1,0)</f>
        <v>0</v>
      </c>
    </row>
    <row r="2478" spans="1:15" x14ac:dyDescent="0.35">
      <c r="A2478" t="str">
        <f>Raw_Claims_Data!A2477</f>
        <v>TXN00002474</v>
      </c>
      <c r="B2478" t="str">
        <f>TRIM(Raw_Claims_Data!B2477)</f>
        <v>Renee Cunningham</v>
      </c>
      <c r="C2478" t="str">
        <f>Raw_Claims_Data!C2477</f>
        <v>Life</v>
      </c>
      <c r="D2478">
        <f>Raw_Claims_Data!D2477</f>
        <v>50.28</v>
      </c>
      <c r="E2478">
        <f>Raw_Claims_Data!E2477</f>
        <v>14000</v>
      </c>
      <c r="F2478" t="str">
        <f>Raw_Claims_Data!F2477</f>
        <v>TN</v>
      </c>
      <c r="G2478" t="str">
        <f>Raw_Claims_Data!G2477</f>
        <v>A</v>
      </c>
      <c r="H2478" t="str">
        <f>Raw_Claims_Data!H2477</f>
        <v>Major Loss</v>
      </c>
      <c r="I2478" t="str">
        <f>IF(Raw_Claims_Data!I2477="","None",Raw_Claims_Data!I2477)</f>
        <v>Police</v>
      </c>
      <c r="J2478" t="str">
        <f>Raw_Claims_Data!J2477</f>
        <v>Arvada</v>
      </c>
      <c r="K2478" t="str">
        <f>Raw_Claims_Data!K2477</f>
        <v>CO</v>
      </c>
      <c r="L2478">
        <f>Raw_Claims_Data!L2477</f>
        <v>19</v>
      </c>
      <c r="M2478" t="str">
        <f>IF(Raw_Claims_Data!M2477="","N/A",Raw_Claims_Data!M2477)</f>
        <v>VNDR00472</v>
      </c>
      <c r="N2478" t="str">
        <f>Raw_Claims_Data!N2477</f>
        <v>AGENT00978</v>
      </c>
      <c r="O2478">
        <f>IF(Raw_Claims_Data!G2477="D",1,0)</f>
        <v>0</v>
      </c>
    </row>
    <row r="2479" spans="1:15" x14ac:dyDescent="0.35">
      <c r="A2479" t="str">
        <f>Raw_Claims_Data!A2478</f>
        <v>TXN00002475</v>
      </c>
      <c r="B2479" t="str">
        <f>TRIM(Raw_Claims_Data!B2478)</f>
        <v>Burton Hoyle</v>
      </c>
      <c r="C2479" t="str">
        <f>Raw_Claims_Data!C2478</f>
        <v>Property</v>
      </c>
      <c r="D2479">
        <f>Raw_Claims_Data!D2478</f>
        <v>158.07</v>
      </c>
      <c r="E2479">
        <f>Raw_Claims_Data!E2478</f>
        <v>23000</v>
      </c>
      <c r="F2479" t="str">
        <f>Raw_Claims_Data!F2478</f>
        <v>MA</v>
      </c>
      <c r="G2479" t="str">
        <f>Raw_Claims_Data!G2478</f>
        <v>A</v>
      </c>
      <c r="H2479" t="str">
        <f>Raw_Claims_Data!H2478</f>
        <v>Total Loss</v>
      </c>
      <c r="I2479" t="str">
        <f>IF(Raw_Claims_Data!I2478="","None",Raw_Claims_Data!I2478)</f>
        <v>Police</v>
      </c>
      <c r="J2479" t="str">
        <f>Raw_Claims_Data!J2478</f>
        <v>Louisville</v>
      </c>
      <c r="K2479" t="str">
        <f>Raw_Claims_Data!K2478</f>
        <v>KY</v>
      </c>
      <c r="L2479">
        <f>Raw_Claims_Data!L2478</f>
        <v>15</v>
      </c>
      <c r="M2479" t="str">
        <f>IF(Raw_Claims_Data!M2478="","N/A",Raw_Claims_Data!M2478)</f>
        <v>N/A</v>
      </c>
      <c r="N2479" t="str">
        <f>Raw_Claims_Data!N2478</f>
        <v>AGENT00770</v>
      </c>
      <c r="O2479">
        <f>IF(Raw_Claims_Data!G2478="D",1,0)</f>
        <v>0</v>
      </c>
    </row>
    <row r="2480" spans="1:15" x14ac:dyDescent="0.35">
      <c r="A2480" t="str">
        <f>Raw_Claims_Data!A2479</f>
        <v>TXN00002476</v>
      </c>
      <c r="B2480" t="str">
        <f>TRIM(Raw_Claims_Data!B2479)</f>
        <v>Jamie Blair</v>
      </c>
      <c r="C2480" t="str">
        <f>Raw_Claims_Data!C2479</f>
        <v>Travel</v>
      </c>
      <c r="D2480">
        <f>Raw_Claims_Data!D2479</f>
        <v>53.98</v>
      </c>
      <c r="E2480">
        <f>Raw_Claims_Data!E2479</f>
        <v>3000</v>
      </c>
      <c r="F2480" t="str">
        <f>Raw_Claims_Data!F2479</f>
        <v>CO</v>
      </c>
      <c r="G2480" t="str">
        <f>Raw_Claims_Data!G2479</f>
        <v>A</v>
      </c>
      <c r="H2480" t="str">
        <f>Raw_Claims_Data!H2479</f>
        <v>Major Loss</v>
      </c>
      <c r="I2480" t="str">
        <f>IF(Raw_Claims_Data!I2479="","None",Raw_Claims_Data!I2479)</f>
        <v>Other</v>
      </c>
      <c r="J2480" t="str">
        <f>Raw_Claims_Data!J2479</f>
        <v>Arvada</v>
      </c>
      <c r="K2480" t="str">
        <f>Raw_Claims_Data!K2479</f>
        <v>CO</v>
      </c>
      <c r="L2480">
        <f>Raw_Claims_Data!L2479</f>
        <v>7</v>
      </c>
      <c r="M2480" t="str">
        <f>IF(Raw_Claims_Data!M2479="","N/A",Raw_Claims_Data!M2479)</f>
        <v>N/A</v>
      </c>
      <c r="N2480" t="str">
        <f>Raw_Claims_Data!N2479</f>
        <v>AGENT01123</v>
      </c>
      <c r="O2480">
        <f>IF(Raw_Claims_Data!G2479="D",1,0)</f>
        <v>0</v>
      </c>
    </row>
    <row r="2481" spans="1:15" x14ac:dyDescent="0.35">
      <c r="A2481" t="str">
        <f>Raw_Claims_Data!A2480</f>
        <v>TXN00002477</v>
      </c>
      <c r="B2481" t="str">
        <f>TRIM(Raw_Claims_Data!B2480)</f>
        <v>Mary Staley</v>
      </c>
      <c r="C2481" t="str">
        <f>Raw_Claims_Data!C2480</f>
        <v>Health</v>
      </c>
      <c r="D2481">
        <f>Raw_Claims_Data!D2480</f>
        <v>160.88</v>
      </c>
      <c r="E2481">
        <f>Raw_Claims_Data!E2480</f>
        <v>9000</v>
      </c>
      <c r="F2481" t="str">
        <f>Raw_Claims_Data!F2480</f>
        <v>AR</v>
      </c>
      <c r="G2481" t="str">
        <f>Raw_Claims_Data!G2480</f>
        <v>A</v>
      </c>
      <c r="H2481" t="str">
        <f>Raw_Claims_Data!H2480</f>
        <v>Minor Loss</v>
      </c>
      <c r="I2481" t="str">
        <f>IF(Raw_Claims_Data!I2480="","None",Raw_Claims_Data!I2480)</f>
        <v>None</v>
      </c>
      <c r="J2481" t="str">
        <f>Raw_Claims_Data!J2480</f>
        <v>Barnstable</v>
      </c>
      <c r="K2481" t="str">
        <f>Raw_Claims_Data!K2480</f>
        <v>MA</v>
      </c>
      <c r="L2481">
        <f>Raw_Claims_Data!L2480</f>
        <v>4</v>
      </c>
      <c r="M2481" t="str">
        <f>IF(Raw_Claims_Data!M2480="","N/A",Raw_Claims_Data!M2480)</f>
        <v>VNDR00076</v>
      </c>
      <c r="N2481" t="str">
        <f>Raw_Claims_Data!N2480</f>
        <v>AGENT00962</v>
      </c>
      <c r="O2481">
        <f>IF(Raw_Claims_Data!G2480="D",1,0)</f>
        <v>0</v>
      </c>
    </row>
    <row r="2482" spans="1:15" x14ac:dyDescent="0.35">
      <c r="A2482" t="str">
        <f>Raw_Claims_Data!A2481</f>
        <v>TXN00002478</v>
      </c>
      <c r="B2482" t="str">
        <f>TRIM(Raw_Claims_Data!B2481)</f>
        <v>Jose Hatfield</v>
      </c>
      <c r="C2482" t="str">
        <f>Raw_Claims_Data!C2481</f>
        <v>Travel</v>
      </c>
      <c r="D2482">
        <f>Raw_Claims_Data!D2481</f>
        <v>68.959999999999994</v>
      </c>
      <c r="E2482">
        <f>Raw_Claims_Data!E2481</f>
        <v>2000</v>
      </c>
      <c r="F2482" t="str">
        <f>Raw_Claims_Data!F2481</f>
        <v>TN</v>
      </c>
      <c r="G2482" t="str">
        <f>Raw_Claims_Data!G2481</f>
        <v>A</v>
      </c>
      <c r="H2482" t="str">
        <f>Raw_Claims_Data!H2481</f>
        <v>Total Loss</v>
      </c>
      <c r="I2482" t="str">
        <f>IF(Raw_Claims_Data!I2481="","None",Raw_Claims_Data!I2481)</f>
        <v>Police</v>
      </c>
      <c r="J2482" t="str">
        <f>Raw_Claims_Data!J2481</f>
        <v>Nashville</v>
      </c>
      <c r="K2482" t="str">
        <f>Raw_Claims_Data!K2481</f>
        <v>TN</v>
      </c>
      <c r="L2482">
        <f>Raw_Claims_Data!L2481</f>
        <v>7</v>
      </c>
      <c r="M2482" t="str">
        <f>IF(Raw_Claims_Data!M2481="","N/A",Raw_Claims_Data!M2481)</f>
        <v>N/A</v>
      </c>
      <c r="N2482" t="str">
        <f>Raw_Claims_Data!N2481</f>
        <v>AGENT00028</v>
      </c>
      <c r="O2482">
        <f>IF(Raw_Claims_Data!G2481="D",1,0)</f>
        <v>0</v>
      </c>
    </row>
    <row r="2483" spans="1:15" x14ac:dyDescent="0.35">
      <c r="A2483" t="str">
        <f>Raw_Claims_Data!A2482</f>
        <v>TXN00002479</v>
      </c>
      <c r="B2483" t="str">
        <f>TRIM(Raw_Claims_Data!B2482)</f>
        <v>Bonnie Mangina</v>
      </c>
      <c r="C2483" t="str">
        <f>Raw_Claims_Data!C2482</f>
        <v>Health</v>
      </c>
      <c r="D2483">
        <f>Raw_Claims_Data!D2482</f>
        <v>138.80000000000001</v>
      </c>
      <c r="E2483">
        <f>Raw_Claims_Data!E2482</f>
        <v>16000</v>
      </c>
      <c r="F2483" t="str">
        <f>Raw_Claims_Data!F2482</f>
        <v>CA</v>
      </c>
      <c r="G2483" t="str">
        <f>Raw_Claims_Data!G2482</f>
        <v>A</v>
      </c>
      <c r="H2483" t="str">
        <f>Raw_Claims_Data!H2482</f>
        <v>Total Loss</v>
      </c>
      <c r="I2483" t="str">
        <f>IF(Raw_Claims_Data!I2482="","None",Raw_Claims_Data!I2482)</f>
        <v>Ambulance</v>
      </c>
      <c r="J2483" t="str">
        <f>Raw_Claims_Data!J2482</f>
        <v>Washington</v>
      </c>
      <c r="K2483" t="str">
        <f>Raw_Claims_Data!K2482</f>
        <v>DC</v>
      </c>
      <c r="L2483">
        <f>Raw_Claims_Data!L2482</f>
        <v>1</v>
      </c>
      <c r="M2483" t="str">
        <f>IF(Raw_Claims_Data!M2482="","N/A",Raw_Claims_Data!M2482)</f>
        <v>VNDR00311</v>
      </c>
      <c r="N2483" t="str">
        <f>Raw_Claims_Data!N2482</f>
        <v>AGENT00908</v>
      </c>
      <c r="O2483">
        <f>IF(Raw_Claims_Data!G2482="D",1,0)</f>
        <v>0</v>
      </c>
    </row>
    <row r="2484" spans="1:15" x14ac:dyDescent="0.35">
      <c r="A2484" t="str">
        <f>Raw_Claims_Data!A2483</f>
        <v>TXN00002480</v>
      </c>
      <c r="B2484" t="str">
        <f>TRIM(Raw_Claims_Data!B2483)</f>
        <v>Susan Shell</v>
      </c>
      <c r="C2484" t="str">
        <f>Raw_Claims_Data!C2483</f>
        <v>Property</v>
      </c>
      <c r="D2484">
        <f>Raw_Claims_Data!D2483</f>
        <v>85.38</v>
      </c>
      <c r="E2484">
        <f>Raw_Claims_Data!E2483</f>
        <v>30000</v>
      </c>
      <c r="F2484" t="str">
        <f>Raw_Claims_Data!F2483</f>
        <v>AR</v>
      </c>
      <c r="G2484" t="str">
        <f>Raw_Claims_Data!G2483</f>
        <v>A</v>
      </c>
      <c r="H2484" t="str">
        <f>Raw_Claims_Data!H2483</f>
        <v>Total Loss</v>
      </c>
      <c r="I2484" t="str">
        <f>IF(Raw_Claims_Data!I2483="","None",Raw_Claims_Data!I2483)</f>
        <v>Ambulance</v>
      </c>
      <c r="J2484" t="str">
        <f>Raw_Claims_Data!J2483</f>
        <v>Sutter Creek</v>
      </c>
      <c r="K2484" t="str">
        <f>Raw_Claims_Data!K2483</f>
        <v>CA</v>
      </c>
      <c r="L2484">
        <f>Raw_Claims_Data!L2483</f>
        <v>15</v>
      </c>
      <c r="M2484" t="str">
        <f>IF(Raw_Claims_Data!M2483="","N/A",Raw_Claims_Data!M2483)</f>
        <v>VNDR00387</v>
      </c>
      <c r="N2484" t="str">
        <f>Raw_Claims_Data!N2483</f>
        <v>AGENT00195</v>
      </c>
      <c r="O2484">
        <f>IF(Raw_Claims_Data!G2483="D",1,0)</f>
        <v>0</v>
      </c>
    </row>
    <row r="2485" spans="1:15" x14ac:dyDescent="0.35">
      <c r="A2485" t="str">
        <f>Raw_Claims_Data!A2484</f>
        <v>TXN00002481</v>
      </c>
      <c r="B2485" t="str">
        <f>TRIM(Raw_Claims_Data!B2484)</f>
        <v>Matilda Mcbryde</v>
      </c>
      <c r="C2485" t="str">
        <f>Raw_Claims_Data!C2484</f>
        <v>Motor</v>
      </c>
      <c r="D2485">
        <f>Raw_Claims_Data!D2484</f>
        <v>74.239999999999995</v>
      </c>
      <c r="E2485">
        <f>Raw_Claims_Data!E2484</f>
        <v>9000</v>
      </c>
      <c r="F2485" t="str">
        <f>Raw_Claims_Data!F2484</f>
        <v>VT</v>
      </c>
      <c r="G2485" t="str">
        <f>Raw_Claims_Data!G2484</f>
        <v>A</v>
      </c>
      <c r="H2485" t="str">
        <f>Raw_Claims_Data!H2484</f>
        <v>Minor Loss</v>
      </c>
      <c r="I2485" t="str">
        <f>IF(Raw_Claims_Data!I2484="","None",Raw_Claims_Data!I2484)</f>
        <v>Police</v>
      </c>
      <c r="J2485" t="str">
        <f>Raw_Claims_Data!J2484</f>
        <v>Baltimore</v>
      </c>
      <c r="K2485" t="str">
        <f>Raw_Claims_Data!K2484</f>
        <v>MD</v>
      </c>
      <c r="L2485">
        <f>Raw_Claims_Data!L2484</f>
        <v>14</v>
      </c>
      <c r="M2485" t="str">
        <f>IF(Raw_Claims_Data!M2484="","N/A",Raw_Claims_Data!M2484)</f>
        <v>VNDR00386</v>
      </c>
      <c r="N2485" t="str">
        <f>Raw_Claims_Data!N2484</f>
        <v>AGENT01141</v>
      </c>
      <c r="O2485">
        <f>IF(Raw_Claims_Data!G2484="D",1,0)</f>
        <v>0</v>
      </c>
    </row>
    <row r="2486" spans="1:15" x14ac:dyDescent="0.35">
      <c r="A2486" t="str">
        <f>Raw_Claims_Data!A2485</f>
        <v>TXN00002482</v>
      </c>
      <c r="B2486" t="str">
        <f>TRIM(Raw_Claims_Data!B2485)</f>
        <v>Lacey Barton</v>
      </c>
      <c r="C2486" t="str">
        <f>Raw_Claims_Data!C2485</f>
        <v>Property</v>
      </c>
      <c r="D2486">
        <f>Raw_Claims_Data!D2485</f>
        <v>81.97</v>
      </c>
      <c r="E2486">
        <f>Raw_Claims_Data!E2485</f>
        <v>31000</v>
      </c>
      <c r="F2486" t="str">
        <f>Raw_Claims_Data!F2485</f>
        <v>AR</v>
      </c>
      <c r="G2486" t="str">
        <f>Raw_Claims_Data!G2485</f>
        <v>A</v>
      </c>
      <c r="H2486" t="str">
        <f>Raw_Claims_Data!H2485</f>
        <v>Major Loss</v>
      </c>
      <c r="I2486" t="str">
        <f>IF(Raw_Claims_Data!I2485="","None",Raw_Claims_Data!I2485)</f>
        <v>Ambulance</v>
      </c>
      <c r="J2486" t="str">
        <f>Raw_Claims_Data!J2485</f>
        <v>Fayetteville</v>
      </c>
      <c r="K2486" t="str">
        <f>Raw_Claims_Data!K2485</f>
        <v>AR</v>
      </c>
      <c r="L2486">
        <f>Raw_Claims_Data!L2485</f>
        <v>1</v>
      </c>
      <c r="M2486" t="str">
        <f>IF(Raw_Claims_Data!M2485="","N/A",Raw_Claims_Data!M2485)</f>
        <v>VNDR00483</v>
      </c>
      <c r="N2486" t="str">
        <f>Raw_Claims_Data!N2485</f>
        <v>AGENT00676</v>
      </c>
      <c r="O2486">
        <f>IF(Raw_Claims_Data!G2485="D",1,0)</f>
        <v>0</v>
      </c>
    </row>
    <row r="2487" spans="1:15" x14ac:dyDescent="0.35">
      <c r="A2487" t="str">
        <f>Raw_Claims_Data!A2486</f>
        <v>TXN00002483</v>
      </c>
      <c r="B2487" t="str">
        <f>TRIM(Raw_Claims_Data!B2486)</f>
        <v>Nancy Peterson</v>
      </c>
      <c r="C2487" t="str">
        <f>Raw_Claims_Data!C2486</f>
        <v>Life</v>
      </c>
      <c r="D2487">
        <f>Raw_Claims_Data!D2486</f>
        <v>51.91</v>
      </c>
      <c r="E2487">
        <f>Raw_Claims_Data!E2486</f>
        <v>62000</v>
      </c>
      <c r="F2487" t="str">
        <f>Raw_Claims_Data!F2486</f>
        <v>AR</v>
      </c>
      <c r="G2487" t="str">
        <f>Raw_Claims_Data!G2486</f>
        <v>A</v>
      </c>
      <c r="H2487" t="str">
        <f>Raw_Claims_Data!H2486</f>
        <v>Minor Loss</v>
      </c>
      <c r="I2487" t="str">
        <f>IF(Raw_Claims_Data!I2486="","None",Raw_Claims_Data!I2486)</f>
        <v>Ambulance</v>
      </c>
      <c r="J2487" t="str">
        <f>Raw_Claims_Data!J2486</f>
        <v>Underhill</v>
      </c>
      <c r="K2487" t="str">
        <f>Raw_Claims_Data!K2486</f>
        <v>VT</v>
      </c>
      <c r="L2487">
        <f>Raw_Claims_Data!L2486</f>
        <v>10</v>
      </c>
      <c r="M2487" t="str">
        <f>IF(Raw_Claims_Data!M2486="","N/A",Raw_Claims_Data!M2486)</f>
        <v>VNDR00168</v>
      </c>
      <c r="N2487" t="str">
        <f>Raw_Claims_Data!N2486</f>
        <v>AGENT00255</v>
      </c>
      <c r="O2487">
        <f>IF(Raw_Claims_Data!G2486="D",1,0)</f>
        <v>0</v>
      </c>
    </row>
    <row r="2488" spans="1:15" x14ac:dyDescent="0.35">
      <c r="A2488" t="str">
        <f>Raw_Claims_Data!A2487</f>
        <v>TXN00002484</v>
      </c>
      <c r="B2488" t="str">
        <f>TRIM(Raw_Claims_Data!B2487)</f>
        <v>Richard Paredes</v>
      </c>
      <c r="C2488" t="str">
        <f>Raw_Claims_Data!C2487</f>
        <v>Mobile</v>
      </c>
      <c r="D2488">
        <f>Raw_Claims_Data!D2487</f>
        <v>8.33</v>
      </c>
      <c r="E2488">
        <f>Raw_Claims_Data!E2487</f>
        <v>200</v>
      </c>
      <c r="F2488" t="str">
        <f>Raw_Claims_Data!F2487</f>
        <v>CO</v>
      </c>
      <c r="G2488" t="str">
        <f>Raw_Claims_Data!G2487</f>
        <v>A</v>
      </c>
      <c r="H2488" t="str">
        <f>Raw_Claims_Data!H2487</f>
        <v>Total Loss</v>
      </c>
      <c r="I2488" t="str">
        <f>IF(Raw_Claims_Data!I2487="","None",Raw_Claims_Data!I2487)</f>
        <v>Ambulance</v>
      </c>
      <c r="J2488" t="str">
        <f>Raw_Claims_Data!J2487</f>
        <v>Cambridge</v>
      </c>
      <c r="K2488" t="str">
        <f>Raw_Claims_Data!K2487</f>
        <v>MA</v>
      </c>
      <c r="L2488">
        <f>Raw_Claims_Data!L2487</f>
        <v>4</v>
      </c>
      <c r="M2488" t="str">
        <f>IF(Raw_Claims_Data!M2487="","N/A",Raw_Claims_Data!M2487)</f>
        <v>VNDR00583</v>
      </c>
      <c r="N2488" t="str">
        <f>Raw_Claims_Data!N2487</f>
        <v>AGENT00682</v>
      </c>
      <c r="O2488">
        <f>IF(Raw_Claims_Data!G2487="D",1,0)</f>
        <v>0</v>
      </c>
    </row>
    <row r="2489" spans="1:15" x14ac:dyDescent="0.35">
      <c r="A2489" t="str">
        <f>Raw_Claims_Data!A2488</f>
        <v>TXN00002485</v>
      </c>
      <c r="B2489" t="str">
        <f>TRIM(Raw_Claims_Data!B2488)</f>
        <v>Carleen Eller</v>
      </c>
      <c r="C2489" t="str">
        <f>Raw_Claims_Data!C2488</f>
        <v>Life</v>
      </c>
      <c r="D2489">
        <f>Raw_Claims_Data!D2488</f>
        <v>68.099999999999994</v>
      </c>
      <c r="E2489">
        <f>Raw_Claims_Data!E2488</f>
        <v>89000</v>
      </c>
      <c r="F2489" t="str">
        <f>Raw_Claims_Data!F2488</f>
        <v>TN</v>
      </c>
      <c r="G2489" t="str">
        <f>Raw_Claims_Data!G2488</f>
        <v>A</v>
      </c>
      <c r="H2489" t="str">
        <f>Raw_Claims_Data!H2488</f>
        <v>Major Loss</v>
      </c>
      <c r="I2489" t="str">
        <f>IF(Raw_Claims_Data!I2488="","None",Raw_Claims_Data!I2488)</f>
        <v>Police</v>
      </c>
      <c r="J2489" t="str">
        <f>Raw_Claims_Data!J2488</f>
        <v>Edmond</v>
      </c>
      <c r="K2489" t="str">
        <f>Raw_Claims_Data!K2488</f>
        <v>OK</v>
      </c>
      <c r="L2489">
        <f>Raw_Claims_Data!L2488</f>
        <v>18</v>
      </c>
      <c r="M2489" t="str">
        <f>IF(Raw_Claims_Data!M2488="","N/A",Raw_Claims_Data!M2488)</f>
        <v>VNDR00361</v>
      </c>
      <c r="N2489" t="str">
        <f>Raw_Claims_Data!N2488</f>
        <v>AGENT00768</v>
      </c>
      <c r="O2489">
        <f>IF(Raw_Claims_Data!G2488="D",1,0)</f>
        <v>0</v>
      </c>
    </row>
    <row r="2490" spans="1:15" x14ac:dyDescent="0.35">
      <c r="A2490" t="str">
        <f>Raw_Claims_Data!A2489</f>
        <v>TXN00002486</v>
      </c>
      <c r="B2490" t="str">
        <f>TRIM(Raw_Claims_Data!B2489)</f>
        <v>Ernesto Weaver</v>
      </c>
      <c r="C2490" t="str">
        <f>Raw_Claims_Data!C2489</f>
        <v>Travel</v>
      </c>
      <c r="D2490">
        <f>Raw_Claims_Data!D2489</f>
        <v>98.25</v>
      </c>
      <c r="E2490">
        <f>Raw_Claims_Data!E2489</f>
        <v>1000</v>
      </c>
      <c r="F2490" t="str">
        <f>Raw_Claims_Data!F2489</f>
        <v>GA</v>
      </c>
      <c r="G2490" t="str">
        <f>Raw_Claims_Data!G2489</f>
        <v>A</v>
      </c>
      <c r="H2490" t="str">
        <f>Raw_Claims_Data!H2489</f>
        <v>Total Loss</v>
      </c>
      <c r="I2490" t="str">
        <f>IF(Raw_Claims_Data!I2489="","None",Raw_Claims_Data!I2489)</f>
        <v>None</v>
      </c>
      <c r="J2490" t="str">
        <f>Raw_Claims_Data!J2489</f>
        <v>New Bedford</v>
      </c>
      <c r="K2490" t="str">
        <f>Raw_Claims_Data!K2489</f>
        <v>MA</v>
      </c>
      <c r="L2490">
        <f>Raw_Claims_Data!L2489</f>
        <v>19</v>
      </c>
      <c r="M2490" t="str">
        <f>IF(Raw_Claims_Data!M2489="","N/A",Raw_Claims_Data!M2489)</f>
        <v>N/A</v>
      </c>
      <c r="N2490" t="str">
        <f>Raw_Claims_Data!N2489</f>
        <v>AGENT00022</v>
      </c>
      <c r="O2490">
        <f>IF(Raw_Claims_Data!G2489="D",1,0)</f>
        <v>0</v>
      </c>
    </row>
    <row r="2491" spans="1:15" x14ac:dyDescent="0.35">
      <c r="A2491" t="str">
        <f>Raw_Claims_Data!A2490</f>
        <v>TXN00002487</v>
      </c>
      <c r="B2491" t="str">
        <f>TRIM(Raw_Claims_Data!B2490)</f>
        <v>David Stubblefield</v>
      </c>
      <c r="C2491" t="str">
        <f>Raw_Claims_Data!C2490</f>
        <v>Mobile</v>
      </c>
      <c r="D2491">
        <f>Raw_Claims_Data!D2490</f>
        <v>11.81</v>
      </c>
      <c r="E2491">
        <f>Raw_Claims_Data!E2490</f>
        <v>100</v>
      </c>
      <c r="F2491" t="str">
        <f>Raw_Claims_Data!F2490</f>
        <v>TN</v>
      </c>
      <c r="G2491" t="str">
        <f>Raw_Claims_Data!G2490</f>
        <v>A</v>
      </c>
      <c r="H2491" t="str">
        <f>Raw_Claims_Data!H2490</f>
        <v>Major Loss</v>
      </c>
      <c r="I2491" t="str">
        <f>IF(Raw_Claims_Data!I2490="","None",Raw_Claims_Data!I2490)</f>
        <v>Police</v>
      </c>
      <c r="J2491" t="str">
        <f>Raw_Claims_Data!J2490</f>
        <v>Oklahoma City</v>
      </c>
      <c r="K2491" t="str">
        <f>Raw_Claims_Data!K2490</f>
        <v>OK</v>
      </c>
      <c r="L2491">
        <f>Raw_Claims_Data!L2490</f>
        <v>4</v>
      </c>
      <c r="M2491" t="str">
        <f>IF(Raw_Claims_Data!M2490="","N/A",Raw_Claims_Data!M2490)</f>
        <v>VNDR00192</v>
      </c>
      <c r="N2491" t="str">
        <f>Raw_Claims_Data!N2490</f>
        <v>AGENT00609</v>
      </c>
      <c r="O2491">
        <f>IF(Raw_Claims_Data!G2490="D",1,0)</f>
        <v>0</v>
      </c>
    </row>
    <row r="2492" spans="1:15" x14ac:dyDescent="0.35">
      <c r="A2492" t="str">
        <f>Raw_Claims_Data!A2491</f>
        <v>TXN00002488</v>
      </c>
      <c r="B2492" t="str">
        <f>TRIM(Raw_Claims_Data!B2491)</f>
        <v>Erin Smith</v>
      </c>
      <c r="C2492" t="str">
        <f>Raw_Claims_Data!C2491</f>
        <v>Motor</v>
      </c>
      <c r="D2492">
        <f>Raw_Claims_Data!D2491</f>
        <v>99.59</v>
      </c>
      <c r="E2492">
        <f>Raw_Claims_Data!E2491</f>
        <v>9000</v>
      </c>
      <c r="F2492" t="str">
        <f>Raw_Claims_Data!F2491</f>
        <v>KY</v>
      </c>
      <c r="G2492" t="str">
        <f>Raw_Claims_Data!G2491</f>
        <v>A</v>
      </c>
      <c r="H2492" t="str">
        <f>Raw_Claims_Data!H2491</f>
        <v>Minor Loss</v>
      </c>
      <c r="I2492" t="str">
        <f>IF(Raw_Claims_Data!I2491="","None",Raw_Claims_Data!I2491)</f>
        <v>None</v>
      </c>
      <c r="J2492" t="str">
        <f>Raw_Claims_Data!J2491</f>
        <v>Fayetteville</v>
      </c>
      <c r="K2492" t="str">
        <f>Raw_Claims_Data!K2491</f>
        <v>AR</v>
      </c>
      <c r="L2492">
        <f>Raw_Claims_Data!L2491</f>
        <v>1</v>
      </c>
      <c r="M2492" t="str">
        <f>IF(Raw_Claims_Data!M2491="","N/A",Raw_Claims_Data!M2491)</f>
        <v>VNDR00332</v>
      </c>
      <c r="N2492" t="str">
        <f>Raw_Claims_Data!N2491</f>
        <v>AGENT00687</v>
      </c>
      <c r="O2492">
        <f>IF(Raw_Claims_Data!G2491="D",1,0)</f>
        <v>0</v>
      </c>
    </row>
    <row r="2493" spans="1:15" x14ac:dyDescent="0.35">
      <c r="A2493" t="str">
        <f>Raw_Claims_Data!A2492</f>
        <v>TXN00002489</v>
      </c>
      <c r="B2493" t="str">
        <f>TRIM(Raw_Claims_Data!B2492)</f>
        <v>Maria Burney</v>
      </c>
      <c r="C2493" t="str">
        <f>Raw_Claims_Data!C2492</f>
        <v>Life</v>
      </c>
      <c r="D2493">
        <f>Raw_Claims_Data!D2492</f>
        <v>78.260000000000005</v>
      </c>
      <c r="E2493">
        <f>Raw_Claims_Data!E2492</f>
        <v>21000</v>
      </c>
      <c r="F2493" t="str">
        <f>Raw_Claims_Data!F2492</f>
        <v>GA</v>
      </c>
      <c r="G2493" t="str">
        <f>Raw_Claims_Data!G2492</f>
        <v>A</v>
      </c>
      <c r="H2493" t="str">
        <f>Raw_Claims_Data!H2492</f>
        <v>Total Loss</v>
      </c>
      <c r="I2493" t="str">
        <f>IF(Raw_Claims_Data!I2492="","None",Raw_Claims_Data!I2492)</f>
        <v>Ambulance</v>
      </c>
      <c r="J2493" t="str">
        <f>Raw_Claims_Data!J2492</f>
        <v>Glendale</v>
      </c>
      <c r="K2493" t="str">
        <f>Raw_Claims_Data!K2492</f>
        <v>AZ</v>
      </c>
      <c r="L2493">
        <f>Raw_Claims_Data!L2492</f>
        <v>21</v>
      </c>
      <c r="M2493" t="str">
        <f>IF(Raw_Claims_Data!M2492="","N/A",Raw_Claims_Data!M2492)</f>
        <v>N/A</v>
      </c>
      <c r="N2493" t="str">
        <f>Raw_Claims_Data!N2492</f>
        <v>AGENT00864</v>
      </c>
      <c r="O2493">
        <f>IF(Raw_Claims_Data!G2492="D",1,0)</f>
        <v>0</v>
      </c>
    </row>
    <row r="2494" spans="1:15" x14ac:dyDescent="0.35">
      <c r="A2494" t="str">
        <f>Raw_Claims_Data!A2493</f>
        <v>TXN00002490</v>
      </c>
      <c r="B2494" t="str">
        <f>TRIM(Raw_Claims_Data!B2493)</f>
        <v>Charles Kingery</v>
      </c>
      <c r="C2494" t="str">
        <f>Raw_Claims_Data!C2493</f>
        <v>Travel</v>
      </c>
      <c r="D2494">
        <f>Raw_Claims_Data!D2493</f>
        <v>82.21</v>
      </c>
      <c r="E2494">
        <f>Raw_Claims_Data!E2493</f>
        <v>4000</v>
      </c>
      <c r="F2494" t="str">
        <f>Raw_Claims_Data!F2493</f>
        <v>CA</v>
      </c>
      <c r="G2494" t="str">
        <f>Raw_Claims_Data!G2493</f>
        <v>A</v>
      </c>
      <c r="H2494" t="str">
        <f>Raw_Claims_Data!H2493</f>
        <v>Minor Loss</v>
      </c>
      <c r="I2494" t="str">
        <f>IF(Raw_Claims_Data!I2493="","None",Raw_Claims_Data!I2493)</f>
        <v>None</v>
      </c>
      <c r="J2494" t="str">
        <f>Raw_Claims_Data!J2493</f>
        <v>Washington</v>
      </c>
      <c r="K2494" t="str">
        <f>Raw_Claims_Data!K2493</f>
        <v>DC</v>
      </c>
      <c r="L2494">
        <f>Raw_Claims_Data!L2493</f>
        <v>0</v>
      </c>
      <c r="M2494" t="str">
        <f>IF(Raw_Claims_Data!M2493="","N/A",Raw_Claims_Data!M2493)</f>
        <v>VNDR00117</v>
      </c>
      <c r="N2494" t="str">
        <f>Raw_Claims_Data!N2493</f>
        <v>AGENT00125</v>
      </c>
      <c r="O2494">
        <f>IF(Raw_Claims_Data!G2493="D",1,0)</f>
        <v>0</v>
      </c>
    </row>
    <row r="2495" spans="1:15" x14ac:dyDescent="0.35">
      <c r="A2495" t="str">
        <f>Raw_Claims_Data!A2494</f>
        <v>TXN00002491</v>
      </c>
      <c r="B2495" t="str">
        <f>TRIM(Raw_Claims_Data!B2494)</f>
        <v>William Lamontagne</v>
      </c>
      <c r="C2495" t="str">
        <f>Raw_Claims_Data!C2494</f>
        <v>Mobile</v>
      </c>
      <c r="D2495">
        <f>Raw_Claims_Data!D2494</f>
        <v>9.81</v>
      </c>
      <c r="E2495">
        <f>Raw_Claims_Data!E2494</f>
        <v>300</v>
      </c>
      <c r="F2495" t="str">
        <f>Raw_Claims_Data!F2494</f>
        <v>AK</v>
      </c>
      <c r="G2495" t="str">
        <f>Raw_Claims_Data!G2494</f>
        <v>A</v>
      </c>
      <c r="H2495" t="str">
        <f>Raw_Claims_Data!H2494</f>
        <v>Major Loss</v>
      </c>
      <c r="I2495" t="str">
        <f>IF(Raw_Claims_Data!I2494="","None",Raw_Claims_Data!I2494)</f>
        <v>Ambulance</v>
      </c>
      <c r="J2495" t="str">
        <f>Raw_Claims_Data!J2494</f>
        <v>Norman</v>
      </c>
      <c r="K2495" t="str">
        <f>Raw_Claims_Data!K2494</f>
        <v>OK</v>
      </c>
      <c r="L2495">
        <f>Raw_Claims_Data!L2494</f>
        <v>5</v>
      </c>
      <c r="M2495" t="str">
        <f>IF(Raw_Claims_Data!M2494="","N/A",Raw_Claims_Data!M2494)</f>
        <v>VNDR00527</v>
      </c>
      <c r="N2495" t="str">
        <f>Raw_Claims_Data!N2494</f>
        <v>AGENT00498</v>
      </c>
      <c r="O2495">
        <f>IF(Raw_Claims_Data!G2494="D",1,0)</f>
        <v>0</v>
      </c>
    </row>
    <row r="2496" spans="1:15" x14ac:dyDescent="0.35">
      <c r="A2496" t="str">
        <f>Raw_Claims_Data!A2495</f>
        <v>TXN00002492</v>
      </c>
      <c r="B2496" t="str">
        <f>TRIM(Raw_Claims_Data!B2495)</f>
        <v>Edward Rogers</v>
      </c>
      <c r="C2496" t="str">
        <f>Raw_Claims_Data!C2495</f>
        <v>Motor</v>
      </c>
      <c r="D2496">
        <f>Raw_Claims_Data!D2495</f>
        <v>90.67</v>
      </c>
      <c r="E2496">
        <f>Raw_Claims_Data!E2495</f>
        <v>8000</v>
      </c>
      <c r="F2496" t="str">
        <f>Raw_Claims_Data!F2495</f>
        <v>KY</v>
      </c>
      <c r="G2496" t="str">
        <f>Raw_Claims_Data!G2495</f>
        <v>A</v>
      </c>
      <c r="H2496" t="str">
        <f>Raw_Claims_Data!H2495</f>
        <v>Minor Loss</v>
      </c>
      <c r="I2496" t="str">
        <f>IF(Raw_Claims_Data!I2495="","None",Raw_Claims_Data!I2495)</f>
        <v>Ambulance</v>
      </c>
      <c r="J2496" t="str">
        <f>Raw_Claims_Data!J2495</f>
        <v>Anchorage</v>
      </c>
      <c r="K2496" t="str">
        <f>Raw_Claims_Data!K2495</f>
        <v>AK</v>
      </c>
      <c r="L2496">
        <f>Raw_Claims_Data!L2495</f>
        <v>8</v>
      </c>
      <c r="M2496" t="str">
        <f>IF(Raw_Claims_Data!M2495="","N/A",Raw_Claims_Data!M2495)</f>
        <v>VNDR00552</v>
      </c>
      <c r="N2496" t="str">
        <f>Raw_Claims_Data!N2495</f>
        <v>AGENT00091</v>
      </c>
      <c r="O2496">
        <f>IF(Raw_Claims_Data!G2495="D",1,0)</f>
        <v>0</v>
      </c>
    </row>
    <row r="2497" spans="1:15" x14ac:dyDescent="0.35">
      <c r="A2497" t="str">
        <f>Raw_Claims_Data!A2496</f>
        <v>TXN00002493</v>
      </c>
      <c r="B2497" t="str">
        <f>TRIM(Raw_Claims_Data!B2496)</f>
        <v>Jessica Fusco</v>
      </c>
      <c r="C2497" t="str">
        <f>Raw_Claims_Data!C2496</f>
        <v>Property</v>
      </c>
      <c r="D2497">
        <f>Raw_Claims_Data!D2496</f>
        <v>106.22</v>
      </c>
      <c r="E2497">
        <f>Raw_Claims_Data!E2496</f>
        <v>20000</v>
      </c>
      <c r="F2497" t="str">
        <f>Raw_Claims_Data!F2496</f>
        <v>CO</v>
      </c>
      <c r="G2497" t="str">
        <f>Raw_Claims_Data!G2496</f>
        <v>A</v>
      </c>
      <c r="H2497" t="str">
        <f>Raw_Claims_Data!H2496</f>
        <v>Minor Loss</v>
      </c>
      <c r="I2497" t="str">
        <f>IF(Raw_Claims_Data!I2496="","None",Raw_Claims_Data!I2496)</f>
        <v>Police</v>
      </c>
      <c r="J2497" t="str">
        <f>Raw_Claims_Data!J2496</f>
        <v>Manchester</v>
      </c>
      <c r="K2497" t="str">
        <f>Raw_Claims_Data!K2496</f>
        <v>CT</v>
      </c>
      <c r="L2497">
        <f>Raw_Claims_Data!L2496</f>
        <v>10</v>
      </c>
      <c r="M2497" t="str">
        <f>IF(Raw_Claims_Data!M2496="","N/A",Raw_Claims_Data!M2496)</f>
        <v>VNDR00004</v>
      </c>
      <c r="N2497" t="str">
        <f>Raw_Claims_Data!N2496</f>
        <v>AGENT00180</v>
      </c>
      <c r="O2497">
        <f>IF(Raw_Claims_Data!G2496="D",1,0)</f>
        <v>0</v>
      </c>
    </row>
    <row r="2498" spans="1:15" x14ac:dyDescent="0.35">
      <c r="A2498" t="str">
        <f>Raw_Claims_Data!A2497</f>
        <v>TXN00002494</v>
      </c>
      <c r="B2498" t="str">
        <f>TRIM(Raw_Claims_Data!B2497)</f>
        <v>Joseph Mesta</v>
      </c>
      <c r="C2498" t="str">
        <f>Raw_Claims_Data!C2497</f>
        <v>Health</v>
      </c>
      <c r="D2498">
        <f>Raw_Claims_Data!D2497</f>
        <v>117.06</v>
      </c>
      <c r="E2498">
        <f>Raw_Claims_Data!E2497</f>
        <v>20000</v>
      </c>
      <c r="F2498" t="str">
        <f>Raw_Claims_Data!F2497</f>
        <v>MA</v>
      </c>
      <c r="G2498" t="str">
        <f>Raw_Claims_Data!G2497</f>
        <v>A</v>
      </c>
      <c r="H2498" t="str">
        <f>Raw_Claims_Data!H2497</f>
        <v>Major Loss</v>
      </c>
      <c r="I2498" t="str">
        <f>IF(Raw_Claims_Data!I2497="","None",Raw_Claims_Data!I2497)</f>
        <v>Ambulance</v>
      </c>
      <c r="J2498" t="str">
        <f>Raw_Claims_Data!J2497</f>
        <v>Fayetteville</v>
      </c>
      <c r="K2498" t="str">
        <f>Raw_Claims_Data!K2497</f>
        <v>AR</v>
      </c>
      <c r="L2498">
        <f>Raw_Claims_Data!L2497</f>
        <v>14</v>
      </c>
      <c r="M2498" t="str">
        <f>IF(Raw_Claims_Data!M2497="","N/A",Raw_Claims_Data!M2497)</f>
        <v>VNDR00519</v>
      </c>
      <c r="N2498" t="str">
        <f>Raw_Claims_Data!N2497</f>
        <v>AGENT00021</v>
      </c>
      <c r="O2498">
        <f>IF(Raw_Claims_Data!G2497="D",1,0)</f>
        <v>0</v>
      </c>
    </row>
    <row r="2499" spans="1:15" x14ac:dyDescent="0.35">
      <c r="A2499" t="str">
        <f>Raw_Claims_Data!A2498</f>
        <v>TXN00002495</v>
      </c>
      <c r="B2499" t="str">
        <f>TRIM(Raw_Claims_Data!B2498)</f>
        <v>Sherry Nunez</v>
      </c>
      <c r="C2499" t="str">
        <f>Raw_Claims_Data!C2498</f>
        <v>Property</v>
      </c>
      <c r="D2499">
        <f>Raw_Claims_Data!D2498</f>
        <v>124.27</v>
      </c>
      <c r="E2499">
        <f>Raw_Claims_Data!E2498</f>
        <v>35000</v>
      </c>
      <c r="F2499" t="str">
        <f>Raw_Claims_Data!F2498</f>
        <v>MD</v>
      </c>
      <c r="G2499" t="str">
        <f>Raw_Claims_Data!G2498</f>
        <v>A</v>
      </c>
      <c r="H2499" t="str">
        <f>Raw_Claims_Data!H2498</f>
        <v>Major Loss</v>
      </c>
      <c r="I2499" t="str">
        <f>IF(Raw_Claims_Data!I2498="","None",Raw_Claims_Data!I2498)</f>
        <v>Police</v>
      </c>
      <c r="J2499" t="str">
        <f>Raw_Claims_Data!J2498</f>
        <v>Glendale</v>
      </c>
      <c r="K2499" t="str">
        <f>Raw_Claims_Data!K2498</f>
        <v>AZ</v>
      </c>
      <c r="L2499">
        <f>Raw_Claims_Data!L2498</f>
        <v>4</v>
      </c>
      <c r="M2499" t="str">
        <f>IF(Raw_Claims_Data!M2498="","N/A",Raw_Claims_Data!M2498)</f>
        <v>N/A</v>
      </c>
      <c r="N2499" t="str">
        <f>Raw_Claims_Data!N2498</f>
        <v>AGENT00980</v>
      </c>
      <c r="O2499">
        <f>IF(Raw_Claims_Data!G2498="D",1,0)</f>
        <v>0</v>
      </c>
    </row>
    <row r="2500" spans="1:15" x14ac:dyDescent="0.35">
      <c r="A2500" t="str">
        <f>Raw_Claims_Data!A2499</f>
        <v>TXN00002496</v>
      </c>
      <c r="B2500" t="str">
        <f>TRIM(Raw_Claims_Data!B2499)</f>
        <v>Thomas Hall</v>
      </c>
      <c r="C2500" t="str">
        <f>Raw_Claims_Data!C2499</f>
        <v>Motor</v>
      </c>
      <c r="D2500">
        <f>Raw_Claims_Data!D2499</f>
        <v>124.81</v>
      </c>
      <c r="E2500">
        <f>Raw_Claims_Data!E2499</f>
        <v>4000</v>
      </c>
      <c r="F2500" t="str">
        <f>Raw_Claims_Data!F2499</f>
        <v>CT</v>
      </c>
      <c r="G2500" t="str">
        <f>Raw_Claims_Data!G2499</f>
        <v>D</v>
      </c>
      <c r="H2500" t="str">
        <f>Raw_Claims_Data!H2499</f>
        <v>Major Loss</v>
      </c>
      <c r="I2500" t="str">
        <f>IF(Raw_Claims_Data!I2499="","None",Raw_Claims_Data!I2499)</f>
        <v>Ambulance</v>
      </c>
      <c r="J2500" t="str">
        <f>Raw_Claims_Data!J2499</f>
        <v>Annapolis</v>
      </c>
      <c r="K2500" t="str">
        <f>Raw_Claims_Data!K2499</f>
        <v>MD</v>
      </c>
      <c r="L2500">
        <f>Raw_Claims_Data!L2499</f>
        <v>9</v>
      </c>
      <c r="M2500" t="str">
        <f>IF(Raw_Claims_Data!M2499="","N/A",Raw_Claims_Data!M2499)</f>
        <v>VNDR00210</v>
      </c>
      <c r="N2500" t="str">
        <f>Raw_Claims_Data!N2499</f>
        <v>AGENT01054</v>
      </c>
      <c r="O2500">
        <f>IF(Raw_Claims_Data!G2499="D",1,0)</f>
        <v>1</v>
      </c>
    </row>
    <row r="2501" spans="1:15" x14ac:dyDescent="0.35">
      <c r="A2501" t="str">
        <f>Raw_Claims_Data!A2500</f>
        <v>TXN00002497</v>
      </c>
      <c r="B2501" t="str">
        <f>TRIM(Raw_Claims_Data!B2500)</f>
        <v>Richard Stewart</v>
      </c>
      <c r="C2501" t="str">
        <f>Raw_Claims_Data!C2500</f>
        <v>Motor</v>
      </c>
      <c r="D2501">
        <f>Raw_Claims_Data!D2500</f>
        <v>111.94</v>
      </c>
      <c r="E2501">
        <f>Raw_Claims_Data!E2500</f>
        <v>7000</v>
      </c>
      <c r="F2501" t="str">
        <f>Raw_Claims_Data!F2500</f>
        <v>CT</v>
      </c>
      <c r="G2501" t="str">
        <f>Raw_Claims_Data!G2500</f>
        <v>A</v>
      </c>
      <c r="H2501" t="str">
        <f>Raw_Claims_Data!H2500</f>
        <v>Total Loss</v>
      </c>
      <c r="I2501" t="str">
        <f>IF(Raw_Claims_Data!I2500="","None",Raw_Claims_Data!I2500)</f>
        <v>None</v>
      </c>
      <c r="J2501" t="str">
        <f>Raw_Claims_Data!J2500</f>
        <v>Edmond</v>
      </c>
      <c r="K2501" t="str">
        <f>Raw_Claims_Data!K2500</f>
        <v>OK</v>
      </c>
      <c r="L2501">
        <f>Raw_Claims_Data!L2500</f>
        <v>12</v>
      </c>
      <c r="M2501" t="str">
        <f>IF(Raw_Claims_Data!M2500="","N/A",Raw_Claims_Data!M2500)</f>
        <v>N/A</v>
      </c>
      <c r="N2501" t="str">
        <f>Raw_Claims_Data!N2500</f>
        <v>AGENT00358</v>
      </c>
      <c r="O2501">
        <f>IF(Raw_Claims_Data!G2500="D",1,0)</f>
        <v>0</v>
      </c>
    </row>
    <row r="2502" spans="1:15" x14ac:dyDescent="0.35">
      <c r="A2502" t="str">
        <f>Raw_Claims_Data!A2501</f>
        <v>TXN00002498</v>
      </c>
      <c r="B2502" t="str">
        <f>TRIM(Raw_Claims_Data!B2501)</f>
        <v>Lakisha Reis</v>
      </c>
      <c r="C2502" t="str">
        <f>Raw_Claims_Data!C2501</f>
        <v>Mobile</v>
      </c>
      <c r="D2502">
        <f>Raw_Claims_Data!D2501</f>
        <v>7.18</v>
      </c>
      <c r="E2502">
        <f>Raw_Claims_Data!E2501</f>
        <v>600</v>
      </c>
      <c r="F2502" t="str">
        <f>Raw_Claims_Data!F2501</f>
        <v>CO</v>
      </c>
      <c r="G2502" t="str">
        <f>Raw_Claims_Data!G2501</f>
        <v>A</v>
      </c>
      <c r="H2502" t="str">
        <f>Raw_Claims_Data!H2501</f>
        <v>Total Loss</v>
      </c>
      <c r="I2502" t="str">
        <f>IF(Raw_Claims_Data!I2501="","None",Raw_Claims_Data!I2501)</f>
        <v>Police</v>
      </c>
      <c r="J2502" t="str">
        <f>Raw_Claims_Data!J2501</f>
        <v>Orange</v>
      </c>
      <c r="K2502" t="str">
        <f>Raw_Claims_Data!K2501</f>
        <v>CA</v>
      </c>
      <c r="L2502">
        <f>Raw_Claims_Data!L2501</f>
        <v>13</v>
      </c>
      <c r="M2502" t="str">
        <f>IF(Raw_Claims_Data!M2501="","N/A",Raw_Claims_Data!M2501)</f>
        <v>VNDR00074</v>
      </c>
      <c r="N2502" t="str">
        <f>Raw_Claims_Data!N2501</f>
        <v>AGENT00418</v>
      </c>
      <c r="O2502">
        <f>IF(Raw_Claims_Data!G2501="D",1,0)</f>
        <v>0</v>
      </c>
    </row>
    <row r="2503" spans="1:15" x14ac:dyDescent="0.35">
      <c r="A2503" t="str">
        <f>Raw_Claims_Data!A2502</f>
        <v>TXN00002499</v>
      </c>
      <c r="B2503" t="str">
        <f>TRIM(Raw_Claims_Data!B2502)</f>
        <v>Lisa Johnson</v>
      </c>
      <c r="C2503" t="str">
        <f>Raw_Claims_Data!C2502</f>
        <v>Property</v>
      </c>
      <c r="D2503">
        <f>Raw_Claims_Data!D2502</f>
        <v>91.98</v>
      </c>
      <c r="E2503">
        <f>Raw_Claims_Data!E2502</f>
        <v>29000</v>
      </c>
      <c r="F2503" t="str">
        <f>Raw_Claims_Data!F2502</f>
        <v>KY</v>
      </c>
      <c r="G2503" t="str">
        <f>Raw_Claims_Data!G2502</f>
        <v>A</v>
      </c>
      <c r="H2503" t="str">
        <f>Raw_Claims_Data!H2502</f>
        <v>Major Loss</v>
      </c>
      <c r="I2503" t="str">
        <f>IF(Raw_Claims_Data!I2502="","None",Raw_Claims_Data!I2502)</f>
        <v>Other</v>
      </c>
      <c r="J2503" t="str">
        <f>Raw_Claims_Data!J2502</f>
        <v>Oroville</v>
      </c>
      <c r="K2503" t="str">
        <f>Raw_Claims_Data!K2502</f>
        <v>CA</v>
      </c>
      <c r="L2503">
        <f>Raw_Claims_Data!L2502</f>
        <v>18</v>
      </c>
      <c r="M2503" t="str">
        <f>IF(Raw_Claims_Data!M2502="","N/A",Raw_Claims_Data!M2502)</f>
        <v>VNDR00372</v>
      </c>
      <c r="N2503" t="str">
        <f>Raw_Claims_Data!N2502</f>
        <v>AGENT00573</v>
      </c>
      <c r="O2503">
        <f>IF(Raw_Claims_Data!G2502="D",1,0)</f>
        <v>0</v>
      </c>
    </row>
    <row r="2504" spans="1:15" x14ac:dyDescent="0.35">
      <c r="A2504" t="str">
        <f>Raw_Claims_Data!A2503</f>
        <v>TXN00002500</v>
      </c>
      <c r="B2504" t="str">
        <f>TRIM(Raw_Claims_Data!B2503)</f>
        <v>Robert Acosta</v>
      </c>
      <c r="C2504" t="str">
        <f>Raw_Claims_Data!C2503</f>
        <v>Motor</v>
      </c>
      <c r="D2504">
        <f>Raw_Claims_Data!D2503</f>
        <v>126.84</v>
      </c>
      <c r="E2504">
        <f>Raw_Claims_Data!E2503</f>
        <v>3000</v>
      </c>
      <c r="F2504" t="str">
        <f>Raw_Claims_Data!F2503</f>
        <v>FL</v>
      </c>
      <c r="G2504" t="str">
        <f>Raw_Claims_Data!G2503</f>
        <v>A</v>
      </c>
      <c r="H2504" t="str">
        <f>Raw_Claims_Data!H2503</f>
        <v>Major Loss</v>
      </c>
      <c r="I2504" t="str">
        <f>IF(Raw_Claims_Data!I2503="","None",Raw_Claims_Data!I2503)</f>
        <v>Ambulance</v>
      </c>
      <c r="J2504" t="str">
        <f>Raw_Claims_Data!J2503</f>
        <v>Montgomery</v>
      </c>
      <c r="K2504" t="str">
        <f>Raw_Claims_Data!K2503</f>
        <v>AL</v>
      </c>
      <c r="L2504">
        <f>Raw_Claims_Data!L2503</f>
        <v>13</v>
      </c>
      <c r="M2504" t="str">
        <f>IF(Raw_Claims_Data!M2503="","N/A",Raw_Claims_Data!M2503)</f>
        <v>VNDR00074</v>
      </c>
      <c r="N2504" t="str">
        <f>Raw_Claims_Data!N2503</f>
        <v>AGENT01156</v>
      </c>
      <c r="O2504">
        <f>IF(Raw_Claims_Data!G2503="D",1,0)</f>
        <v>0</v>
      </c>
    </row>
    <row r="2505" spans="1:15" x14ac:dyDescent="0.35">
      <c r="A2505" t="str">
        <f>Raw_Claims_Data!A2504</f>
        <v>TXN00002501</v>
      </c>
      <c r="B2505" t="str">
        <f>TRIM(Raw_Claims_Data!B2504)</f>
        <v>Hortencia Bench</v>
      </c>
      <c r="C2505" t="str">
        <f>Raw_Claims_Data!C2504</f>
        <v>Property</v>
      </c>
      <c r="D2505">
        <f>Raw_Claims_Data!D2504</f>
        <v>92.43</v>
      </c>
      <c r="E2505">
        <f>Raw_Claims_Data!E2504</f>
        <v>37000</v>
      </c>
      <c r="F2505" t="str">
        <f>Raw_Claims_Data!F2504</f>
        <v>OK</v>
      </c>
      <c r="G2505" t="str">
        <f>Raw_Claims_Data!G2504</f>
        <v>A</v>
      </c>
      <c r="H2505" t="str">
        <f>Raw_Claims_Data!H2504</f>
        <v>Minor Loss</v>
      </c>
      <c r="I2505" t="str">
        <f>IF(Raw_Claims_Data!I2504="","None",Raw_Claims_Data!I2504)</f>
        <v>Police</v>
      </c>
      <c r="J2505" t="str">
        <f>Raw_Claims_Data!J2504</f>
        <v>Litchfield Park</v>
      </c>
      <c r="K2505" t="str">
        <f>Raw_Claims_Data!K2504</f>
        <v>AZ</v>
      </c>
      <c r="L2505">
        <f>Raw_Claims_Data!L2504</f>
        <v>10</v>
      </c>
      <c r="M2505" t="str">
        <f>IF(Raw_Claims_Data!M2504="","N/A",Raw_Claims_Data!M2504)</f>
        <v>VNDR00310</v>
      </c>
      <c r="N2505" t="str">
        <f>Raw_Claims_Data!N2504</f>
        <v>AGENT00976</v>
      </c>
      <c r="O2505">
        <f>IF(Raw_Claims_Data!G2504="D",1,0)</f>
        <v>0</v>
      </c>
    </row>
    <row r="2506" spans="1:15" x14ac:dyDescent="0.35">
      <c r="A2506" t="str">
        <f>Raw_Claims_Data!A2505</f>
        <v>TXN00002502</v>
      </c>
      <c r="B2506" t="str">
        <f>TRIM(Raw_Claims_Data!B2505)</f>
        <v>Samuel Jolley</v>
      </c>
      <c r="C2506" t="str">
        <f>Raw_Claims_Data!C2505</f>
        <v>Travel</v>
      </c>
      <c r="D2506">
        <f>Raw_Claims_Data!D2505</f>
        <v>56.27</v>
      </c>
      <c r="E2506">
        <f>Raw_Claims_Data!E2505</f>
        <v>1000</v>
      </c>
      <c r="F2506" t="str">
        <f>Raw_Claims_Data!F2505</f>
        <v>AZ</v>
      </c>
      <c r="G2506" t="str">
        <f>Raw_Claims_Data!G2505</f>
        <v>A</v>
      </c>
      <c r="H2506" t="str">
        <f>Raw_Claims_Data!H2505</f>
        <v>Minor Loss</v>
      </c>
      <c r="I2506" t="str">
        <f>IF(Raw_Claims_Data!I2505="","None",Raw_Claims_Data!I2505)</f>
        <v>Other</v>
      </c>
      <c r="J2506" t="str">
        <f>Raw_Claims_Data!J2505</f>
        <v>Hinesburg</v>
      </c>
      <c r="K2506" t="str">
        <f>Raw_Claims_Data!K2505</f>
        <v>VT</v>
      </c>
      <c r="L2506">
        <f>Raw_Claims_Data!L2505</f>
        <v>15</v>
      </c>
      <c r="M2506" t="str">
        <f>IF(Raw_Claims_Data!M2505="","N/A",Raw_Claims_Data!M2505)</f>
        <v>N/A</v>
      </c>
      <c r="N2506" t="str">
        <f>Raw_Claims_Data!N2505</f>
        <v>AGENT00403</v>
      </c>
      <c r="O2506">
        <f>IF(Raw_Claims_Data!G2505="D",1,0)</f>
        <v>0</v>
      </c>
    </row>
    <row r="2507" spans="1:15" x14ac:dyDescent="0.35">
      <c r="A2507" t="str">
        <f>Raw_Claims_Data!A2506</f>
        <v>TXN00002503</v>
      </c>
      <c r="B2507" t="str">
        <f>TRIM(Raw_Claims_Data!B2506)</f>
        <v>Ralph Oakden</v>
      </c>
      <c r="C2507" t="str">
        <f>Raw_Claims_Data!C2506</f>
        <v>Health</v>
      </c>
      <c r="D2507">
        <f>Raw_Claims_Data!D2506</f>
        <v>186.05</v>
      </c>
      <c r="E2507">
        <f>Raw_Claims_Data!E2506</f>
        <v>20000</v>
      </c>
      <c r="F2507" t="str">
        <f>Raw_Claims_Data!F2506</f>
        <v>AK</v>
      </c>
      <c r="G2507" t="str">
        <f>Raw_Claims_Data!G2506</f>
        <v>A</v>
      </c>
      <c r="H2507" t="str">
        <f>Raw_Claims_Data!H2506</f>
        <v>Total Loss</v>
      </c>
      <c r="I2507" t="str">
        <f>IF(Raw_Claims_Data!I2506="","None",Raw_Claims_Data!I2506)</f>
        <v>Police</v>
      </c>
      <c r="J2507" t="str">
        <f>Raw_Claims_Data!J2506</f>
        <v>Manchester</v>
      </c>
      <c r="K2507" t="str">
        <f>Raw_Claims_Data!K2506</f>
        <v>CT</v>
      </c>
      <c r="L2507">
        <f>Raw_Claims_Data!L2506</f>
        <v>18</v>
      </c>
      <c r="M2507" t="str">
        <f>IF(Raw_Claims_Data!M2506="","N/A",Raw_Claims_Data!M2506)</f>
        <v>VNDR00600</v>
      </c>
      <c r="N2507" t="str">
        <f>Raw_Claims_Data!N2506</f>
        <v>AGENT00460</v>
      </c>
      <c r="O2507">
        <f>IF(Raw_Claims_Data!G2506="D",1,0)</f>
        <v>0</v>
      </c>
    </row>
    <row r="2508" spans="1:15" x14ac:dyDescent="0.35">
      <c r="A2508" t="str">
        <f>Raw_Claims_Data!A2507</f>
        <v>TXN00002504</v>
      </c>
      <c r="B2508" t="str">
        <f>TRIM(Raw_Claims_Data!B2507)</f>
        <v>Mark Hernandez</v>
      </c>
      <c r="C2508" t="str">
        <f>Raw_Claims_Data!C2507</f>
        <v>Travel</v>
      </c>
      <c r="D2508">
        <f>Raw_Claims_Data!D2507</f>
        <v>84.31</v>
      </c>
      <c r="E2508">
        <f>Raw_Claims_Data!E2507</f>
        <v>5000</v>
      </c>
      <c r="F2508" t="str">
        <f>Raw_Claims_Data!F2507</f>
        <v>MA</v>
      </c>
      <c r="G2508" t="str">
        <f>Raw_Claims_Data!G2507</f>
        <v>A</v>
      </c>
      <c r="H2508" t="str">
        <f>Raw_Claims_Data!H2507</f>
        <v>Minor Loss</v>
      </c>
      <c r="I2508" t="str">
        <f>IF(Raw_Claims_Data!I2507="","None",Raw_Claims_Data!I2507)</f>
        <v>Ambulance</v>
      </c>
      <c r="J2508" t="str">
        <f>Raw_Claims_Data!J2507</f>
        <v>Montgomery</v>
      </c>
      <c r="K2508" t="str">
        <f>Raw_Claims_Data!K2507</f>
        <v>AL</v>
      </c>
      <c r="L2508">
        <f>Raw_Claims_Data!L2507</f>
        <v>22</v>
      </c>
      <c r="M2508" t="str">
        <f>IF(Raw_Claims_Data!M2507="","N/A",Raw_Claims_Data!M2507)</f>
        <v>VNDR00176</v>
      </c>
      <c r="N2508" t="str">
        <f>Raw_Claims_Data!N2507</f>
        <v>AGENT00966</v>
      </c>
      <c r="O2508">
        <f>IF(Raw_Claims_Data!G2507="D",1,0)</f>
        <v>0</v>
      </c>
    </row>
    <row r="2509" spans="1:15" x14ac:dyDescent="0.35">
      <c r="A2509" t="str">
        <f>Raw_Claims_Data!A2508</f>
        <v>TXN00002505</v>
      </c>
      <c r="B2509" t="str">
        <f>TRIM(Raw_Claims_Data!B2508)</f>
        <v>Henry Maize</v>
      </c>
      <c r="C2509" t="str">
        <f>Raw_Claims_Data!C2508</f>
        <v>Property</v>
      </c>
      <c r="D2509">
        <f>Raw_Claims_Data!D2508</f>
        <v>87.15</v>
      </c>
      <c r="E2509">
        <f>Raw_Claims_Data!E2508</f>
        <v>33000</v>
      </c>
      <c r="F2509" t="str">
        <f>Raw_Claims_Data!F2508</f>
        <v>AZ</v>
      </c>
      <c r="G2509" t="str">
        <f>Raw_Claims_Data!G2508</f>
        <v>A</v>
      </c>
      <c r="H2509" t="str">
        <f>Raw_Claims_Data!H2508</f>
        <v>Major Loss</v>
      </c>
      <c r="I2509" t="str">
        <f>IF(Raw_Claims_Data!I2508="","None",Raw_Claims_Data!I2508)</f>
        <v>Other</v>
      </c>
      <c r="J2509" t="str">
        <f>Raw_Claims_Data!J2508</f>
        <v>Panama City</v>
      </c>
      <c r="K2509" t="str">
        <f>Raw_Claims_Data!K2508</f>
        <v>FL</v>
      </c>
      <c r="L2509">
        <f>Raw_Claims_Data!L2508</f>
        <v>4</v>
      </c>
      <c r="M2509" t="str">
        <f>IF(Raw_Claims_Data!M2508="","N/A",Raw_Claims_Data!M2508)</f>
        <v>VNDR00332</v>
      </c>
      <c r="N2509" t="str">
        <f>Raw_Claims_Data!N2508</f>
        <v>AGENT01072</v>
      </c>
      <c r="O2509">
        <f>IF(Raw_Claims_Data!G2508="D",1,0)</f>
        <v>0</v>
      </c>
    </row>
    <row r="2510" spans="1:15" x14ac:dyDescent="0.35">
      <c r="A2510" t="str">
        <f>Raw_Claims_Data!A2509</f>
        <v>TXN00002506</v>
      </c>
      <c r="B2510" t="str">
        <f>TRIM(Raw_Claims_Data!B2509)</f>
        <v>Wiley Thomas</v>
      </c>
      <c r="C2510" t="str">
        <f>Raw_Claims_Data!C2509</f>
        <v>Property</v>
      </c>
      <c r="D2510">
        <f>Raw_Claims_Data!D2509</f>
        <v>146.80000000000001</v>
      </c>
      <c r="E2510">
        <f>Raw_Claims_Data!E2509</f>
        <v>34000</v>
      </c>
      <c r="F2510" t="str">
        <f>Raw_Claims_Data!F2509</f>
        <v>FL</v>
      </c>
      <c r="G2510" t="str">
        <f>Raw_Claims_Data!G2509</f>
        <v>A</v>
      </c>
      <c r="H2510" t="str">
        <f>Raw_Claims_Data!H2509</f>
        <v>Total Loss</v>
      </c>
      <c r="I2510" t="str">
        <f>IF(Raw_Claims_Data!I2509="","None",Raw_Claims_Data!I2509)</f>
        <v>Ambulance</v>
      </c>
      <c r="J2510" t="str">
        <f>Raw_Claims_Data!J2509</f>
        <v>Louisville</v>
      </c>
      <c r="K2510" t="str">
        <f>Raw_Claims_Data!K2509</f>
        <v>KY</v>
      </c>
      <c r="L2510">
        <f>Raw_Claims_Data!L2509</f>
        <v>23</v>
      </c>
      <c r="M2510" t="str">
        <f>IF(Raw_Claims_Data!M2509="","N/A",Raw_Claims_Data!M2509)</f>
        <v>VNDR00358</v>
      </c>
      <c r="N2510" t="str">
        <f>Raw_Claims_Data!N2509</f>
        <v>AGENT00455</v>
      </c>
      <c r="O2510">
        <f>IF(Raw_Claims_Data!G2509="D",1,0)</f>
        <v>0</v>
      </c>
    </row>
    <row r="2511" spans="1:15" x14ac:dyDescent="0.35">
      <c r="A2511" t="str">
        <f>Raw_Claims_Data!A2510</f>
        <v>TXN00002507</v>
      </c>
      <c r="B2511" t="str">
        <f>TRIM(Raw_Claims_Data!B2510)</f>
        <v>Anthony Quick</v>
      </c>
      <c r="C2511" t="str">
        <f>Raw_Claims_Data!C2510</f>
        <v>Life</v>
      </c>
      <c r="D2511">
        <f>Raw_Claims_Data!D2510</f>
        <v>98.15</v>
      </c>
      <c r="E2511">
        <f>Raw_Claims_Data!E2510</f>
        <v>10000</v>
      </c>
      <c r="F2511" t="str">
        <f>Raw_Claims_Data!F2510</f>
        <v>AK</v>
      </c>
      <c r="G2511" t="str">
        <f>Raw_Claims_Data!G2510</f>
        <v>A</v>
      </c>
      <c r="H2511" t="str">
        <f>Raw_Claims_Data!H2510</f>
        <v>Minor Loss</v>
      </c>
      <c r="I2511" t="str">
        <f>IF(Raw_Claims_Data!I2510="","None",Raw_Claims_Data!I2510)</f>
        <v>Police</v>
      </c>
      <c r="J2511" t="str">
        <f>Raw_Claims_Data!J2510</f>
        <v>Fayetteville</v>
      </c>
      <c r="K2511" t="str">
        <f>Raw_Claims_Data!K2510</f>
        <v>AR</v>
      </c>
      <c r="L2511">
        <f>Raw_Claims_Data!L2510</f>
        <v>17</v>
      </c>
      <c r="M2511" t="str">
        <f>IF(Raw_Claims_Data!M2510="","N/A",Raw_Claims_Data!M2510)</f>
        <v>N/A</v>
      </c>
      <c r="N2511" t="str">
        <f>Raw_Claims_Data!N2510</f>
        <v>AGENT00169</v>
      </c>
      <c r="O2511">
        <f>IF(Raw_Claims_Data!G2510="D",1,0)</f>
        <v>0</v>
      </c>
    </row>
    <row r="2512" spans="1:15" x14ac:dyDescent="0.35">
      <c r="A2512" t="str">
        <f>Raw_Claims_Data!A2511</f>
        <v>TXN00002508</v>
      </c>
      <c r="B2512" t="str">
        <f>TRIM(Raw_Claims_Data!B2511)</f>
        <v>John Chamblee</v>
      </c>
      <c r="C2512" t="str">
        <f>Raw_Claims_Data!C2511</f>
        <v>Mobile</v>
      </c>
      <c r="D2512">
        <f>Raw_Claims_Data!D2511</f>
        <v>9.98</v>
      </c>
      <c r="E2512">
        <f>Raw_Claims_Data!E2511</f>
        <v>200</v>
      </c>
      <c r="F2512" t="str">
        <f>Raw_Claims_Data!F2511</f>
        <v>OK</v>
      </c>
      <c r="G2512" t="str">
        <f>Raw_Claims_Data!G2511</f>
        <v>A</v>
      </c>
      <c r="H2512" t="str">
        <f>Raw_Claims_Data!H2511</f>
        <v>Major Loss</v>
      </c>
      <c r="I2512" t="str">
        <f>IF(Raw_Claims_Data!I2511="","None",Raw_Claims_Data!I2511)</f>
        <v>Ambulance</v>
      </c>
      <c r="J2512" t="str">
        <f>Raw_Claims_Data!J2511</f>
        <v>Fayetteville</v>
      </c>
      <c r="K2512" t="str">
        <f>Raw_Claims_Data!K2511</f>
        <v>AR</v>
      </c>
      <c r="L2512">
        <f>Raw_Claims_Data!L2511</f>
        <v>22</v>
      </c>
      <c r="M2512" t="str">
        <f>IF(Raw_Claims_Data!M2511="","N/A",Raw_Claims_Data!M2511)</f>
        <v>VNDR00046</v>
      </c>
      <c r="N2512" t="str">
        <f>Raw_Claims_Data!N2511</f>
        <v>AGENT00018</v>
      </c>
      <c r="O2512">
        <f>IF(Raw_Claims_Data!G2511="D",1,0)</f>
        <v>0</v>
      </c>
    </row>
    <row r="2513" spans="1:15" x14ac:dyDescent="0.35">
      <c r="A2513" t="str">
        <f>Raw_Claims_Data!A2512</f>
        <v>TXN00002509</v>
      </c>
      <c r="B2513" t="str">
        <f>TRIM(Raw_Claims_Data!B2512)</f>
        <v>Evelyn Mattera</v>
      </c>
      <c r="C2513" t="str">
        <f>Raw_Claims_Data!C2512</f>
        <v>Health</v>
      </c>
      <c r="D2513">
        <f>Raw_Claims_Data!D2512</f>
        <v>182.21</v>
      </c>
      <c r="E2513">
        <f>Raw_Claims_Data!E2512</f>
        <v>16000</v>
      </c>
      <c r="F2513" t="str">
        <f>Raw_Claims_Data!F2512</f>
        <v>AK</v>
      </c>
      <c r="G2513" t="str">
        <f>Raw_Claims_Data!G2512</f>
        <v>A</v>
      </c>
      <c r="H2513" t="str">
        <f>Raw_Claims_Data!H2512</f>
        <v>Total Loss</v>
      </c>
      <c r="I2513" t="str">
        <f>IF(Raw_Claims_Data!I2512="","None",Raw_Claims_Data!I2512)</f>
        <v>Ambulance</v>
      </c>
      <c r="J2513" t="str">
        <f>Raw_Claims_Data!J2512</f>
        <v>Montgomery</v>
      </c>
      <c r="K2513" t="str">
        <f>Raw_Claims_Data!K2512</f>
        <v>AL</v>
      </c>
      <c r="L2513">
        <f>Raw_Claims_Data!L2512</f>
        <v>19</v>
      </c>
      <c r="M2513" t="str">
        <f>IF(Raw_Claims_Data!M2512="","N/A",Raw_Claims_Data!M2512)</f>
        <v>N/A</v>
      </c>
      <c r="N2513" t="str">
        <f>Raw_Claims_Data!N2512</f>
        <v>AGENT01054</v>
      </c>
      <c r="O2513">
        <f>IF(Raw_Claims_Data!G2512="D",1,0)</f>
        <v>0</v>
      </c>
    </row>
    <row r="2514" spans="1:15" x14ac:dyDescent="0.35">
      <c r="A2514" t="str">
        <f>Raw_Claims_Data!A2513</f>
        <v>TXN00002510</v>
      </c>
      <c r="B2514" t="str">
        <f>TRIM(Raw_Claims_Data!B2513)</f>
        <v>Cecilia Newberry</v>
      </c>
      <c r="C2514" t="str">
        <f>Raw_Claims_Data!C2513</f>
        <v>Motor</v>
      </c>
      <c r="D2514">
        <f>Raw_Claims_Data!D2513</f>
        <v>83.78</v>
      </c>
      <c r="E2514">
        <f>Raw_Claims_Data!E2513</f>
        <v>9000</v>
      </c>
      <c r="F2514" t="str">
        <f>Raw_Claims_Data!F2513</f>
        <v>CA</v>
      </c>
      <c r="G2514" t="str">
        <f>Raw_Claims_Data!G2513</f>
        <v>A</v>
      </c>
      <c r="H2514" t="str">
        <f>Raw_Claims_Data!H2513</f>
        <v>Major Loss</v>
      </c>
      <c r="I2514" t="str">
        <f>IF(Raw_Claims_Data!I2513="","None",Raw_Claims_Data!I2513)</f>
        <v>Police</v>
      </c>
      <c r="J2514" t="str">
        <f>Raw_Claims_Data!J2513</f>
        <v>Pooler</v>
      </c>
      <c r="K2514" t="str">
        <f>Raw_Claims_Data!K2513</f>
        <v>GA</v>
      </c>
      <c r="L2514">
        <f>Raw_Claims_Data!L2513</f>
        <v>20</v>
      </c>
      <c r="M2514" t="str">
        <f>IF(Raw_Claims_Data!M2513="","N/A",Raw_Claims_Data!M2513)</f>
        <v>VNDR00009</v>
      </c>
      <c r="N2514" t="str">
        <f>Raw_Claims_Data!N2513</f>
        <v>AGENT00263</v>
      </c>
      <c r="O2514">
        <f>IF(Raw_Claims_Data!G2513="D",1,0)</f>
        <v>0</v>
      </c>
    </row>
    <row r="2515" spans="1:15" x14ac:dyDescent="0.35">
      <c r="A2515" t="str">
        <f>Raw_Claims_Data!A2514</f>
        <v>TXN00002511</v>
      </c>
      <c r="B2515" t="str">
        <f>TRIM(Raw_Claims_Data!B2514)</f>
        <v>Patricia Banks</v>
      </c>
      <c r="C2515" t="str">
        <f>Raw_Claims_Data!C2514</f>
        <v>Motor</v>
      </c>
      <c r="D2515">
        <f>Raw_Claims_Data!D2514</f>
        <v>139.47999999999999</v>
      </c>
      <c r="E2515">
        <f>Raw_Claims_Data!E2514</f>
        <v>9000</v>
      </c>
      <c r="F2515" t="str">
        <f>Raw_Claims_Data!F2514</f>
        <v>MA</v>
      </c>
      <c r="G2515" t="str">
        <f>Raw_Claims_Data!G2514</f>
        <v>A</v>
      </c>
      <c r="H2515" t="str">
        <f>Raw_Claims_Data!H2514</f>
        <v>Minor Loss</v>
      </c>
      <c r="I2515" t="str">
        <f>IF(Raw_Claims_Data!I2514="","None",Raw_Claims_Data!I2514)</f>
        <v>Police</v>
      </c>
      <c r="J2515" t="str">
        <f>Raw_Claims_Data!J2514</f>
        <v>Arvada</v>
      </c>
      <c r="K2515" t="str">
        <f>Raw_Claims_Data!K2514</f>
        <v>CO</v>
      </c>
      <c r="L2515">
        <f>Raw_Claims_Data!L2514</f>
        <v>6</v>
      </c>
      <c r="M2515" t="str">
        <f>IF(Raw_Claims_Data!M2514="","N/A",Raw_Claims_Data!M2514)</f>
        <v>VNDR00401</v>
      </c>
      <c r="N2515" t="str">
        <f>Raw_Claims_Data!N2514</f>
        <v>AGENT00957</v>
      </c>
      <c r="O2515">
        <f>IF(Raw_Claims_Data!G2514="D",1,0)</f>
        <v>0</v>
      </c>
    </row>
    <row r="2516" spans="1:15" x14ac:dyDescent="0.35">
      <c r="A2516" t="str">
        <f>Raw_Claims_Data!A2515</f>
        <v>TXN00002512</v>
      </c>
      <c r="B2516" t="str">
        <f>TRIM(Raw_Claims_Data!B2515)</f>
        <v>Geneva Ferraro</v>
      </c>
      <c r="C2516" t="str">
        <f>Raw_Claims_Data!C2515</f>
        <v>Mobile</v>
      </c>
      <c r="D2516">
        <f>Raw_Claims_Data!D2515</f>
        <v>7.79</v>
      </c>
      <c r="E2516">
        <f>Raw_Claims_Data!E2515</f>
        <v>600</v>
      </c>
      <c r="F2516" t="str">
        <f>Raw_Claims_Data!F2515</f>
        <v>KY</v>
      </c>
      <c r="G2516" t="str">
        <f>Raw_Claims_Data!G2515</f>
        <v>A</v>
      </c>
      <c r="H2516" t="str">
        <f>Raw_Claims_Data!H2515</f>
        <v>Total Loss</v>
      </c>
      <c r="I2516" t="str">
        <f>IF(Raw_Claims_Data!I2515="","None",Raw_Claims_Data!I2515)</f>
        <v>Police</v>
      </c>
      <c r="J2516" t="str">
        <f>Raw_Claims_Data!J2515</f>
        <v>Manchester</v>
      </c>
      <c r="K2516" t="str">
        <f>Raw_Claims_Data!K2515</f>
        <v>CT</v>
      </c>
      <c r="L2516">
        <f>Raw_Claims_Data!L2515</f>
        <v>16</v>
      </c>
      <c r="M2516" t="str">
        <f>IF(Raw_Claims_Data!M2515="","N/A",Raw_Claims_Data!M2515)</f>
        <v>VNDR00527</v>
      </c>
      <c r="N2516" t="str">
        <f>Raw_Claims_Data!N2515</f>
        <v>AGENT01150</v>
      </c>
      <c r="O2516">
        <f>IF(Raw_Claims_Data!G2515="D",1,0)</f>
        <v>0</v>
      </c>
    </row>
    <row r="2517" spans="1:15" x14ac:dyDescent="0.35">
      <c r="A2517" t="str">
        <f>Raw_Claims_Data!A2516</f>
        <v>TXN00002513</v>
      </c>
      <c r="B2517" t="str">
        <f>TRIM(Raw_Claims_Data!B2516)</f>
        <v>Annette Mccaslin</v>
      </c>
      <c r="C2517" t="str">
        <f>Raw_Claims_Data!C2516</f>
        <v>Travel</v>
      </c>
      <c r="D2517">
        <f>Raw_Claims_Data!D2516</f>
        <v>62.7</v>
      </c>
      <c r="E2517">
        <f>Raw_Claims_Data!E2516</f>
        <v>5000</v>
      </c>
      <c r="F2517" t="str">
        <f>Raw_Claims_Data!F2516</f>
        <v>OK</v>
      </c>
      <c r="G2517" t="str">
        <f>Raw_Claims_Data!G2516</f>
        <v>A</v>
      </c>
      <c r="H2517" t="str">
        <f>Raw_Claims_Data!H2516</f>
        <v>Total Loss</v>
      </c>
      <c r="I2517" t="str">
        <f>IF(Raw_Claims_Data!I2516="","None",Raw_Claims_Data!I2516)</f>
        <v>Other</v>
      </c>
      <c r="J2517" t="str">
        <f>Raw_Claims_Data!J2516</f>
        <v>Anchorage</v>
      </c>
      <c r="K2517" t="str">
        <f>Raw_Claims_Data!K2516</f>
        <v>AK</v>
      </c>
      <c r="L2517">
        <f>Raw_Claims_Data!L2516</f>
        <v>12</v>
      </c>
      <c r="M2517" t="str">
        <f>IF(Raw_Claims_Data!M2516="","N/A",Raw_Claims_Data!M2516)</f>
        <v>VNDR00462</v>
      </c>
      <c r="N2517" t="str">
        <f>Raw_Claims_Data!N2516</f>
        <v>AGENT00690</v>
      </c>
      <c r="O2517">
        <f>IF(Raw_Claims_Data!G2516="D",1,0)</f>
        <v>0</v>
      </c>
    </row>
    <row r="2518" spans="1:15" x14ac:dyDescent="0.35">
      <c r="A2518" t="str">
        <f>Raw_Claims_Data!A2517</f>
        <v>TXN00002514</v>
      </c>
      <c r="B2518" t="str">
        <f>TRIM(Raw_Claims_Data!B2517)</f>
        <v>Charles Rose</v>
      </c>
      <c r="C2518" t="str">
        <f>Raw_Claims_Data!C2517</f>
        <v>Life</v>
      </c>
      <c r="D2518">
        <f>Raw_Claims_Data!D2517</f>
        <v>92.89</v>
      </c>
      <c r="E2518">
        <f>Raw_Claims_Data!E2517</f>
        <v>69000</v>
      </c>
      <c r="F2518" t="str">
        <f>Raw_Claims_Data!F2517</f>
        <v>CA</v>
      </c>
      <c r="G2518" t="str">
        <f>Raw_Claims_Data!G2517</f>
        <v>A</v>
      </c>
      <c r="H2518" t="str">
        <f>Raw_Claims_Data!H2517</f>
        <v>Major Loss</v>
      </c>
      <c r="I2518" t="str">
        <f>IF(Raw_Claims_Data!I2517="","None",Raw_Claims_Data!I2517)</f>
        <v>Police</v>
      </c>
      <c r="J2518" t="str">
        <f>Raw_Claims_Data!J2517</f>
        <v>Annapolis</v>
      </c>
      <c r="K2518" t="str">
        <f>Raw_Claims_Data!K2517</f>
        <v>MD</v>
      </c>
      <c r="L2518">
        <f>Raw_Claims_Data!L2517</f>
        <v>18</v>
      </c>
      <c r="M2518" t="str">
        <f>IF(Raw_Claims_Data!M2517="","N/A",Raw_Claims_Data!M2517)</f>
        <v>VNDR00578</v>
      </c>
      <c r="N2518" t="str">
        <f>Raw_Claims_Data!N2517</f>
        <v>AGENT00513</v>
      </c>
      <c r="O2518">
        <f>IF(Raw_Claims_Data!G2517="D",1,0)</f>
        <v>0</v>
      </c>
    </row>
    <row r="2519" spans="1:15" x14ac:dyDescent="0.35">
      <c r="A2519" t="str">
        <f>Raw_Claims_Data!A2518</f>
        <v>TXN00002515</v>
      </c>
      <c r="B2519" t="str">
        <f>TRIM(Raw_Claims_Data!B2518)</f>
        <v>Jessie Beal</v>
      </c>
      <c r="C2519" t="str">
        <f>Raw_Claims_Data!C2518</f>
        <v>Mobile</v>
      </c>
      <c r="D2519">
        <f>Raw_Claims_Data!D2518</f>
        <v>8.7799999999999994</v>
      </c>
      <c r="E2519">
        <f>Raw_Claims_Data!E2518</f>
        <v>500</v>
      </c>
      <c r="F2519" t="str">
        <f>Raw_Claims_Data!F2518</f>
        <v>CT</v>
      </c>
      <c r="G2519" t="str">
        <f>Raw_Claims_Data!G2518</f>
        <v>A</v>
      </c>
      <c r="H2519" t="str">
        <f>Raw_Claims_Data!H2518</f>
        <v>Major Loss</v>
      </c>
      <c r="I2519" t="str">
        <f>IF(Raw_Claims_Data!I2518="","None",Raw_Claims_Data!I2518)</f>
        <v>Ambulance</v>
      </c>
      <c r="J2519" t="str">
        <f>Raw_Claims_Data!J2518</f>
        <v>Washington</v>
      </c>
      <c r="K2519" t="str">
        <f>Raw_Claims_Data!K2518</f>
        <v>DC</v>
      </c>
      <c r="L2519">
        <f>Raw_Claims_Data!L2518</f>
        <v>22</v>
      </c>
      <c r="M2519" t="str">
        <f>IF(Raw_Claims_Data!M2518="","N/A",Raw_Claims_Data!M2518)</f>
        <v>VNDR00465</v>
      </c>
      <c r="N2519" t="str">
        <f>Raw_Claims_Data!N2518</f>
        <v>AGENT00299</v>
      </c>
      <c r="O2519">
        <f>IF(Raw_Claims_Data!G2518="D",1,0)</f>
        <v>0</v>
      </c>
    </row>
    <row r="2520" spans="1:15" x14ac:dyDescent="0.35">
      <c r="A2520" t="str">
        <f>Raw_Claims_Data!A2519</f>
        <v>TXN00002516</v>
      </c>
      <c r="B2520" t="str">
        <f>TRIM(Raw_Claims_Data!B2519)</f>
        <v>Mary Osuna</v>
      </c>
      <c r="C2520" t="str">
        <f>Raw_Claims_Data!C2519</f>
        <v>Life</v>
      </c>
      <c r="D2520">
        <f>Raw_Claims_Data!D2519</f>
        <v>57.65</v>
      </c>
      <c r="E2520">
        <f>Raw_Claims_Data!E2519</f>
        <v>81000</v>
      </c>
      <c r="F2520" t="str">
        <f>Raw_Claims_Data!F2519</f>
        <v>GA</v>
      </c>
      <c r="G2520" t="str">
        <f>Raw_Claims_Data!G2519</f>
        <v>A</v>
      </c>
      <c r="H2520" t="str">
        <f>Raw_Claims_Data!H2519</f>
        <v>Minor Loss</v>
      </c>
      <c r="I2520" t="str">
        <f>IF(Raw_Claims_Data!I2519="","None",Raw_Claims_Data!I2519)</f>
        <v>Ambulance</v>
      </c>
      <c r="J2520" t="str">
        <f>Raw_Claims_Data!J2519</f>
        <v>Louisville</v>
      </c>
      <c r="K2520" t="str">
        <f>Raw_Claims_Data!K2519</f>
        <v>KY</v>
      </c>
      <c r="L2520">
        <f>Raw_Claims_Data!L2519</f>
        <v>23</v>
      </c>
      <c r="M2520" t="str">
        <f>IF(Raw_Claims_Data!M2519="","N/A",Raw_Claims_Data!M2519)</f>
        <v>VNDR00437</v>
      </c>
      <c r="N2520" t="str">
        <f>Raw_Claims_Data!N2519</f>
        <v>AGENT00815</v>
      </c>
      <c r="O2520">
        <f>IF(Raw_Claims_Data!G2519="D",1,0)</f>
        <v>0</v>
      </c>
    </row>
    <row r="2521" spans="1:15" x14ac:dyDescent="0.35">
      <c r="A2521" t="str">
        <f>Raw_Claims_Data!A2520</f>
        <v>TXN00002517</v>
      </c>
      <c r="B2521" t="str">
        <f>TRIM(Raw_Claims_Data!B2520)</f>
        <v>Tanika Yeiser</v>
      </c>
      <c r="C2521" t="str">
        <f>Raw_Claims_Data!C2520</f>
        <v>Life</v>
      </c>
      <c r="D2521">
        <f>Raw_Claims_Data!D2520</f>
        <v>92.46</v>
      </c>
      <c r="E2521">
        <f>Raw_Claims_Data!E2520</f>
        <v>81000</v>
      </c>
      <c r="F2521" t="str">
        <f>Raw_Claims_Data!F2520</f>
        <v>AL</v>
      </c>
      <c r="G2521" t="str">
        <f>Raw_Claims_Data!G2520</f>
        <v>D</v>
      </c>
      <c r="H2521" t="str">
        <f>Raw_Claims_Data!H2520</f>
        <v>Minor Loss</v>
      </c>
      <c r="I2521" t="str">
        <f>IF(Raw_Claims_Data!I2520="","None",Raw_Claims_Data!I2520)</f>
        <v>None</v>
      </c>
      <c r="J2521" t="str">
        <f>Raw_Claims_Data!J2520</f>
        <v>Glendale</v>
      </c>
      <c r="K2521" t="str">
        <f>Raw_Claims_Data!K2520</f>
        <v>AZ</v>
      </c>
      <c r="L2521">
        <f>Raw_Claims_Data!L2520</f>
        <v>22</v>
      </c>
      <c r="M2521" t="str">
        <f>IF(Raw_Claims_Data!M2520="","N/A",Raw_Claims_Data!M2520)</f>
        <v>VNDR00535</v>
      </c>
      <c r="N2521" t="str">
        <f>Raw_Claims_Data!N2520</f>
        <v>AGENT00576</v>
      </c>
      <c r="O2521">
        <f>IF(Raw_Claims_Data!G2520="D",1,0)</f>
        <v>1</v>
      </c>
    </row>
    <row r="2522" spans="1:15" x14ac:dyDescent="0.35">
      <c r="A2522" t="str">
        <f>Raw_Claims_Data!A2521</f>
        <v>TXN00002518</v>
      </c>
      <c r="B2522" t="str">
        <f>TRIM(Raw_Claims_Data!B2521)</f>
        <v>Jerry Thomas</v>
      </c>
      <c r="C2522" t="str">
        <f>Raw_Claims_Data!C2521</f>
        <v>Motor</v>
      </c>
      <c r="D2522">
        <f>Raw_Claims_Data!D2521</f>
        <v>78.67</v>
      </c>
      <c r="E2522">
        <f>Raw_Claims_Data!E2521</f>
        <v>1000</v>
      </c>
      <c r="F2522" t="str">
        <f>Raw_Claims_Data!F2521</f>
        <v>AL</v>
      </c>
      <c r="G2522" t="str">
        <f>Raw_Claims_Data!G2521</f>
        <v>A</v>
      </c>
      <c r="H2522" t="str">
        <f>Raw_Claims_Data!H2521</f>
        <v>Major Loss</v>
      </c>
      <c r="I2522" t="str">
        <f>IF(Raw_Claims_Data!I2521="","None",Raw_Claims_Data!I2521)</f>
        <v>Police</v>
      </c>
      <c r="J2522" t="str">
        <f>Raw_Claims_Data!J2521</f>
        <v>Oklahoma City</v>
      </c>
      <c r="K2522" t="str">
        <f>Raw_Claims_Data!K2521</f>
        <v>OK</v>
      </c>
      <c r="L2522">
        <f>Raw_Claims_Data!L2521</f>
        <v>22</v>
      </c>
      <c r="M2522" t="str">
        <f>IF(Raw_Claims_Data!M2521="","N/A",Raw_Claims_Data!M2521)</f>
        <v>N/A</v>
      </c>
      <c r="N2522" t="str">
        <f>Raw_Claims_Data!N2521</f>
        <v>AGENT00562</v>
      </c>
      <c r="O2522">
        <f>IF(Raw_Claims_Data!G2521="D",1,0)</f>
        <v>0</v>
      </c>
    </row>
    <row r="2523" spans="1:15" x14ac:dyDescent="0.35">
      <c r="A2523" t="str">
        <f>Raw_Claims_Data!A2522</f>
        <v>TXN00002519</v>
      </c>
      <c r="B2523" t="str">
        <f>TRIM(Raw_Claims_Data!B2522)</f>
        <v>Timothy Cage</v>
      </c>
      <c r="C2523" t="str">
        <f>Raw_Claims_Data!C2522</f>
        <v>Property</v>
      </c>
      <c r="D2523">
        <f>Raw_Claims_Data!D2522</f>
        <v>81.41</v>
      </c>
      <c r="E2523">
        <f>Raw_Claims_Data!E2522</f>
        <v>37000</v>
      </c>
      <c r="F2523" t="str">
        <f>Raw_Claims_Data!F2522</f>
        <v>CA</v>
      </c>
      <c r="G2523" t="str">
        <f>Raw_Claims_Data!G2522</f>
        <v>A</v>
      </c>
      <c r="H2523" t="str">
        <f>Raw_Claims_Data!H2522</f>
        <v>Major Loss</v>
      </c>
      <c r="I2523" t="str">
        <f>IF(Raw_Claims_Data!I2522="","None",Raw_Claims_Data!I2522)</f>
        <v>Police</v>
      </c>
      <c r="J2523" t="str">
        <f>Raw_Claims_Data!J2522</f>
        <v>Panama City</v>
      </c>
      <c r="K2523" t="str">
        <f>Raw_Claims_Data!K2522</f>
        <v>FL</v>
      </c>
      <c r="L2523">
        <f>Raw_Claims_Data!L2522</f>
        <v>14</v>
      </c>
      <c r="M2523" t="str">
        <f>IF(Raw_Claims_Data!M2522="","N/A",Raw_Claims_Data!M2522)</f>
        <v>VNDR00168</v>
      </c>
      <c r="N2523" t="str">
        <f>Raw_Claims_Data!N2522</f>
        <v>AGENT00850</v>
      </c>
      <c r="O2523">
        <f>IF(Raw_Claims_Data!G2522="D",1,0)</f>
        <v>0</v>
      </c>
    </row>
    <row r="2524" spans="1:15" x14ac:dyDescent="0.35">
      <c r="A2524" t="str">
        <f>Raw_Claims_Data!A2523</f>
        <v>TXN00002520</v>
      </c>
      <c r="B2524" t="str">
        <f>TRIM(Raw_Claims_Data!B2523)</f>
        <v>Linda Ament</v>
      </c>
      <c r="C2524" t="str">
        <f>Raw_Claims_Data!C2523</f>
        <v>Travel</v>
      </c>
      <c r="D2524">
        <f>Raw_Claims_Data!D2523</f>
        <v>56.79</v>
      </c>
      <c r="E2524">
        <f>Raw_Claims_Data!E2523</f>
        <v>4000</v>
      </c>
      <c r="F2524" t="str">
        <f>Raw_Claims_Data!F2523</f>
        <v>CA</v>
      </c>
      <c r="G2524" t="str">
        <f>Raw_Claims_Data!G2523</f>
        <v>A</v>
      </c>
      <c r="H2524" t="str">
        <f>Raw_Claims_Data!H2523</f>
        <v>Minor Loss</v>
      </c>
      <c r="I2524" t="str">
        <f>IF(Raw_Claims_Data!I2523="","None",Raw_Claims_Data!I2523)</f>
        <v>None</v>
      </c>
      <c r="J2524" t="str">
        <f>Raw_Claims_Data!J2523</f>
        <v>Glendale</v>
      </c>
      <c r="K2524" t="str">
        <f>Raw_Claims_Data!K2523</f>
        <v>AZ</v>
      </c>
      <c r="L2524">
        <f>Raw_Claims_Data!L2523</f>
        <v>20</v>
      </c>
      <c r="M2524" t="str">
        <f>IF(Raw_Claims_Data!M2523="","N/A",Raw_Claims_Data!M2523)</f>
        <v>N/A</v>
      </c>
      <c r="N2524" t="str">
        <f>Raw_Claims_Data!N2523</f>
        <v>AGENT00649</v>
      </c>
      <c r="O2524">
        <f>IF(Raw_Claims_Data!G2523="D",1,0)</f>
        <v>0</v>
      </c>
    </row>
    <row r="2525" spans="1:15" x14ac:dyDescent="0.35">
      <c r="A2525" t="str">
        <f>Raw_Claims_Data!A2524</f>
        <v>TXN00002521</v>
      </c>
      <c r="B2525" t="str">
        <f>TRIM(Raw_Claims_Data!B2524)</f>
        <v>Debra Jacob</v>
      </c>
      <c r="C2525" t="str">
        <f>Raw_Claims_Data!C2524</f>
        <v>Life</v>
      </c>
      <c r="D2525">
        <f>Raw_Claims_Data!D2524</f>
        <v>84.04</v>
      </c>
      <c r="E2525">
        <f>Raw_Claims_Data!E2524</f>
        <v>29000</v>
      </c>
      <c r="F2525" t="str">
        <f>Raw_Claims_Data!F2524</f>
        <v>TN</v>
      </c>
      <c r="G2525" t="str">
        <f>Raw_Claims_Data!G2524</f>
        <v>A</v>
      </c>
      <c r="H2525" t="str">
        <f>Raw_Claims_Data!H2524</f>
        <v>Major Loss</v>
      </c>
      <c r="I2525" t="str">
        <f>IF(Raw_Claims_Data!I2524="","None",Raw_Claims_Data!I2524)</f>
        <v>Other</v>
      </c>
      <c r="J2525" t="str">
        <f>Raw_Claims_Data!J2524</f>
        <v>Arvada</v>
      </c>
      <c r="K2525" t="str">
        <f>Raw_Claims_Data!K2524</f>
        <v>CO</v>
      </c>
      <c r="L2525">
        <f>Raw_Claims_Data!L2524</f>
        <v>16</v>
      </c>
      <c r="M2525" t="str">
        <f>IF(Raw_Claims_Data!M2524="","N/A",Raw_Claims_Data!M2524)</f>
        <v>VNDR00067</v>
      </c>
      <c r="N2525" t="str">
        <f>Raw_Claims_Data!N2524</f>
        <v>AGENT00560</v>
      </c>
      <c r="O2525">
        <f>IF(Raw_Claims_Data!G2524="D",1,0)</f>
        <v>0</v>
      </c>
    </row>
    <row r="2526" spans="1:15" x14ac:dyDescent="0.35">
      <c r="A2526" t="str">
        <f>Raw_Claims_Data!A2525</f>
        <v>TXN00002522</v>
      </c>
      <c r="B2526" t="str">
        <f>TRIM(Raw_Claims_Data!B2525)</f>
        <v>Tracey Sloan</v>
      </c>
      <c r="C2526" t="str">
        <f>Raw_Claims_Data!C2525</f>
        <v>Property</v>
      </c>
      <c r="D2526">
        <f>Raw_Claims_Data!D2525</f>
        <v>102.31</v>
      </c>
      <c r="E2526">
        <f>Raw_Claims_Data!E2525</f>
        <v>10000</v>
      </c>
      <c r="F2526" t="str">
        <f>Raw_Claims_Data!F2525</f>
        <v>CO</v>
      </c>
      <c r="G2526" t="str">
        <f>Raw_Claims_Data!G2525</f>
        <v>A</v>
      </c>
      <c r="H2526" t="str">
        <f>Raw_Claims_Data!H2525</f>
        <v>Major Loss</v>
      </c>
      <c r="I2526" t="str">
        <f>IF(Raw_Claims_Data!I2525="","None",Raw_Claims_Data!I2525)</f>
        <v>Ambulance</v>
      </c>
      <c r="J2526" t="str">
        <f>Raw_Claims_Data!J2525</f>
        <v>Nashville</v>
      </c>
      <c r="K2526" t="str">
        <f>Raw_Claims_Data!K2525</f>
        <v>TN</v>
      </c>
      <c r="L2526">
        <f>Raw_Claims_Data!L2525</f>
        <v>8</v>
      </c>
      <c r="M2526" t="str">
        <f>IF(Raw_Claims_Data!M2525="","N/A",Raw_Claims_Data!M2525)</f>
        <v>N/A</v>
      </c>
      <c r="N2526" t="str">
        <f>Raw_Claims_Data!N2525</f>
        <v>AGENT00032</v>
      </c>
      <c r="O2526">
        <f>IF(Raw_Claims_Data!G2525="D",1,0)</f>
        <v>0</v>
      </c>
    </row>
    <row r="2527" spans="1:15" x14ac:dyDescent="0.35">
      <c r="A2527" t="str">
        <f>Raw_Claims_Data!A2526</f>
        <v>TXN00002523</v>
      </c>
      <c r="B2527" t="str">
        <f>TRIM(Raw_Claims_Data!B2526)</f>
        <v>Lula Brooks</v>
      </c>
      <c r="C2527" t="str">
        <f>Raw_Claims_Data!C2526</f>
        <v>Mobile</v>
      </c>
      <c r="D2527">
        <f>Raw_Claims_Data!D2526</f>
        <v>9.24</v>
      </c>
      <c r="E2527">
        <f>Raw_Claims_Data!E2526</f>
        <v>100</v>
      </c>
      <c r="F2527" t="str">
        <f>Raw_Claims_Data!F2526</f>
        <v>OK</v>
      </c>
      <c r="G2527" t="str">
        <f>Raw_Claims_Data!G2526</f>
        <v>A</v>
      </c>
      <c r="H2527" t="str">
        <f>Raw_Claims_Data!H2526</f>
        <v>Minor Loss</v>
      </c>
      <c r="I2527" t="str">
        <f>IF(Raw_Claims_Data!I2526="","None",Raw_Claims_Data!I2526)</f>
        <v>Police</v>
      </c>
      <c r="J2527" t="str">
        <f>Raw_Claims_Data!J2526</f>
        <v>Indian Springs Village</v>
      </c>
      <c r="K2527" t="str">
        <f>Raw_Claims_Data!K2526</f>
        <v>AL</v>
      </c>
      <c r="L2527">
        <f>Raw_Claims_Data!L2526</f>
        <v>12</v>
      </c>
      <c r="M2527" t="str">
        <f>IF(Raw_Claims_Data!M2526="","N/A",Raw_Claims_Data!M2526)</f>
        <v>VNDR00287</v>
      </c>
      <c r="N2527" t="str">
        <f>Raw_Claims_Data!N2526</f>
        <v>AGENT00494</v>
      </c>
      <c r="O2527">
        <f>IF(Raw_Claims_Data!G2526="D",1,0)</f>
        <v>0</v>
      </c>
    </row>
    <row r="2528" spans="1:15" x14ac:dyDescent="0.35">
      <c r="A2528" t="str">
        <f>Raw_Claims_Data!A2527</f>
        <v>TXN00002524</v>
      </c>
      <c r="B2528" t="str">
        <f>TRIM(Raw_Claims_Data!B2527)</f>
        <v>Jesus Burton</v>
      </c>
      <c r="C2528" t="str">
        <f>Raw_Claims_Data!C2527</f>
        <v>Life</v>
      </c>
      <c r="D2528">
        <f>Raw_Claims_Data!D2527</f>
        <v>79.86</v>
      </c>
      <c r="E2528">
        <f>Raw_Claims_Data!E2527</f>
        <v>49000</v>
      </c>
      <c r="F2528" t="str">
        <f>Raw_Claims_Data!F2527</f>
        <v>OK</v>
      </c>
      <c r="G2528" t="str">
        <f>Raw_Claims_Data!G2527</f>
        <v>A</v>
      </c>
      <c r="H2528" t="str">
        <f>Raw_Claims_Data!H2527</f>
        <v>Major Loss</v>
      </c>
      <c r="I2528" t="str">
        <f>IF(Raw_Claims_Data!I2527="","None",Raw_Claims_Data!I2527)</f>
        <v>Police</v>
      </c>
      <c r="J2528" t="str">
        <f>Raw_Claims_Data!J2527</f>
        <v>Savannah</v>
      </c>
      <c r="K2528" t="str">
        <f>Raw_Claims_Data!K2527</f>
        <v>GA</v>
      </c>
      <c r="L2528">
        <f>Raw_Claims_Data!L2527</f>
        <v>0</v>
      </c>
      <c r="M2528" t="str">
        <f>IF(Raw_Claims_Data!M2527="","N/A",Raw_Claims_Data!M2527)</f>
        <v>N/A</v>
      </c>
      <c r="N2528" t="str">
        <f>Raw_Claims_Data!N2527</f>
        <v>AGENT00391</v>
      </c>
      <c r="O2528">
        <f>IF(Raw_Claims_Data!G2527="D",1,0)</f>
        <v>0</v>
      </c>
    </row>
    <row r="2529" spans="1:15" x14ac:dyDescent="0.35">
      <c r="A2529" t="str">
        <f>Raw_Claims_Data!A2528</f>
        <v>TXN00002525</v>
      </c>
      <c r="B2529" t="str">
        <f>TRIM(Raw_Claims_Data!B2528)</f>
        <v>Vincent Santos</v>
      </c>
      <c r="C2529" t="str">
        <f>Raw_Claims_Data!C2528</f>
        <v>Health</v>
      </c>
      <c r="D2529">
        <f>Raw_Claims_Data!D2528</f>
        <v>132.28</v>
      </c>
      <c r="E2529">
        <f>Raw_Claims_Data!E2528</f>
        <v>20000</v>
      </c>
      <c r="F2529" t="str">
        <f>Raw_Claims_Data!F2528</f>
        <v>KY</v>
      </c>
      <c r="G2529" t="str">
        <f>Raw_Claims_Data!G2528</f>
        <v>A</v>
      </c>
      <c r="H2529" t="str">
        <f>Raw_Claims_Data!H2528</f>
        <v>Total Loss</v>
      </c>
      <c r="I2529" t="str">
        <f>IF(Raw_Claims_Data!I2528="","None",Raw_Claims_Data!I2528)</f>
        <v>Police</v>
      </c>
      <c r="J2529" t="str">
        <f>Raw_Claims_Data!J2528</f>
        <v>Washington</v>
      </c>
      <c r="K2529" t="str">
        <f>Raw_Claims_Data!K2528</f>
        <v>DC</v>
      </c>
      <c r="L2529">
        <f>Raw_Claims_Data!L2528</f>
        <v>8</v>
      </c>
      <c r="M2529" t="str">
        <f>IF(Raw_Claims_Data!M2528="","N/A",Raw_Claims_Data!M2528)</f>
        <v>N/A</v>
      </c>
      <c r="N2529" t="str">
        <f>Raw_Claims_Data!N2528</f>
        <v>AGENT00794</v>
      </c>
      <c r="O2529">
        <f>IF(Raw_Claims_Data!G2528="D",1,0)</f>
        <v>0</v>
      </c>
    </row>
    <row r="2530" spans="1:15" x14ac:dyDescent="0.35">
      <c r="A2530" t="str">
        <f>Raw_Claims_Data!A2529</f>
        <v>TXN00002526</v>
      </c>
      <c r="B2530" t="str">
        <f>TRIM(Raw_Claims_Data!B2529)</f>
        <v>John Elliott</v>
      </c>
      <c r="C2530" t="str">
        <f>Raw_Claims_Data!C2529</f>
        <v>Property</v>
      </c>
      <c r="D2530">
        <f>Raw_Claims_Data!D2529</f>
        <v>156.96</v>
      </c>
      <c r="E2530">
        <f>Raw_Claims_Data!E2529</f>
        <v>21000</v>
      </c>
      <c r="F2530" t="str">
        <f>Raw_Claims_Data!F2529</f>
        <v>CT</v>
      </c>
      <c r="G2530" t="str">
        <f>Raw_Claims_Data!G2529</f>
        <v>A</v>
      </c>
      <c r="H2530" t="str">
        <f>Raw_Claims_Data!H2529</f>
        <v>Total Loss</v>
      </c>
      <c r="I2530" t="str">
        <f>IF(Raw_Claims_Data!I2529="","None",Raw_Claims_Data!I2529)</f>
        <v>Ambulance</v>
      </c>
      <c r="J2530" t="str">
        <f>Raw_Claims_Data!J2529</f>
        <v>Savannah</v>
      </c>
      <c r="K2530" t="str">
        <f>Raw_Claims_Data!K2529</f>
        <v>GA</v>
      </c>
      <c r="L2530">
        <f>Raw_Claims_Data!L2529</f>
        <v>11</v>
      </c>
      <c r="M2530" t="str">
        <f>IF(Raw_Claims_Data!M2529="","N/A",Raw_Claims_Data!M2529)</f>
        <v>VNDR00296</v>
      </c>
      <c r="N2530" t="str">
        <f>Raw_Claims_Data!N2529</f>
        <v>AGENT00420</v>
      </c>
      <c r="O2530">
        <f>IF(Raw_Claims_Data!G2529="D",1,0)</f>
        <v>0</v>
      </c>
    </row>
    <row r="2531" spans="1:15" x14ac:dyDescent="0.35">
      <c r="A2531" t="str">
        <f>Raw_Claims_Data!A2530</f>
        <v>TXN00002527</v>
      </c>
      <c r="B2531" t="str">
        <f>TRIM(Raw_Claims_Data!B2530)</f>
        <v>Danny Murphy</v>
      </c>
      <c r="C2531" t="str">
        <f>Raw_Claims_Data!C2530</f>
        <v>Health</v>
      </c>
      <c r="D2531">
        <f>Raw_Claims_Data!D2530</f>
        <v>111.35</v>
      </c>
      <c r="E2531">
        <f>Raw_Claims_Data!E2530</f>
        <v>5000</v>
      </c>
      <c r="F2531" t="str">
        <f>Raw_Claims_Data!F2530</f>
        <v>CT</v>
      </c>
      <c r="G2531" t="str">
        <f>Raw_Claims_Data!G2530</f>
        <v>A</v>
      </c>
      <c r="H2531" t="str">
        <f>Raw_Claims_Data!H2530</f>
        <v>Total Loss</v>
      </c>
      <c r="I2531" t="str">
        <f>IF(Raw_Claims_Data!I2530="","None",Raw_Claims_Data!I2530)</f>
        <v>Police</v>
      </c>
      <c r="J2531" t="str">
        <f>Raw_Claims_Data!J2530</f>
        <v>Glendale</v>
      </c>
      <c r="K2531" t="str">
        <f>Raw_Claims_Data!K2530</f>
        <v>AZ</v>
      </c>
      <c r="L2531">
        <f>Raw_Claims_Data!L2530</f>
        <v>3</v>
      </c>
      <c r="M2531" t="str">
        <f>IF(Raw_Claims_Data!M2530="","N/A",Raw_Claims_Data!M2530)</f>
        <v>N/A</v>
      </c>
      <c r="N2531" t="str">
        <f>Raw_Claims_Data!N2530</f>
        <v>AGENT00602</v>
      </c>
      <c r="O2531">
        <f>IF(Raw_Claims_Data!G2530="D",1,0)</f>
        <v>0</v>
      </c>
    </row>
    <row r="2532" spans="1:15" x14ac:dyDescent="0.35">
      <c r="A2532" t="str">
        <f>Raw_Claims_Data!A2531</f>
        <v>TXN00002528</v>
      </c>
      <c r="B2532" t="str">
        <f>TRIM(Raw_Claims_Data!B2531)</f>
        <v>Cynthia Backes</v>
      </c>
      <c r="C2532" t="str">
        <f>Raw_Claims_Data!C2531</f>
        <v>Motor</v>
      </c>
      <c r="D2532">
        <f>Raw_Claims_Data!D2531</f>
        <v>97.37</v>
      </c>
      <c r="E2532">
        <f>Raw_Claims_Data!E2531</f>
        <v>7000</v>
      </c>
      <c r="F2532" t="str">
        <f>Raw_Claims_Data!F2531</f>
        <v>GA</v>
      </c>
      <c r="G2532" t="str">
        <f>Raw_Claims_Data!G2531</f>
        <v>A</v>
      </c>
      <c r="H2532" t="str">
        <f>Raw_Claims_Data!H2531</f>
        <v>Minor Loss</v>
      </c>
      <c r="I2532" t="str">
        <f>IF(Raw_Claims_Data!I2531="","None",Raw_Claims_Data!I2531)</f>
        <v>None</v>
      </c>
      <c r="J2532" t="str">
        <f>Raw_Claims_Data!J2531</f>
        <v>Orange</v>
      </c>
      <c r="K2532" t="str">
        <f>Raw_Claims_Data!K2531</f>
        <v>CA</v>
      </c>
      <c r="L2532">
        <f>Raw_Claims_Data!L2531</f>
        <v>6</v>
      </c>
      <c r="M2532" t="str">
        <f>IF(Raw_Claims_Data!M2531="","N/A",Raw_Claims_Data!M2531)</f>
        <v>N/A</v>
      </c>
      <c r="N2532" t="str">
        <f>Raw_Claims_Data!N2531</f>
        <v>AGENT00243</v>
      </c>
      <c r="O2532">
        <f>IF(Raw_Claims_Data!G2531="D",1,0)</f>
        <v>0</v>
      </c>
    </row>
    <row r="2533" spans="1:15" x14ac:dyDescent="0.35">
      <c r="A2533" t="str">
        <f>Raw_Claims_Data!A2532</f>
        <v>TXN00002529</v>
      </c>
      <c r="B2533" t="str">
        <f>TRIM(Raw_Claims_Data!B2532)</f>
        <v>Rose Anspach</v>
      </c>
      <c r="C2533" t="str">
        <f>Raw_Claims_Data!C2532</f>
        <v>Life</v>
      </c>
      <c r="D2533">
        <f>Raw_Claims_Data!D2532</f>
        <v>85.42</v>
      </c>
      <c r="E2533">
        <f>Raw_Claims_Data!E2532</f>
        <v>45000</v>
      </c>
      <c r="F2533" t="str">
        <f>Raw_Claims_Data!F2532</f>
        <v>CA</v>
      </c>
      <c r="G2533" t="str">
        <f>Raw_Claims_Data!G2532</f>
        <v>A</v>
      </c>
      <c r="H2533" t="str">
        <f>Raw_Claims_Data!H2532</f>
        <v>Major Loss</v>
      </c>
      <c r="I2533" t="str">
        <f>IF(Raw_Claims_Data!I2532="","None",Raw_Claims_Data!I2532)</f>
        <v>Police</v>
      </c>
      <c r="J2533" t="str">
        <f>Raw_Claims_Data!J2532</f>
        <v>Easton</v>
      </c>
      <c r="K2533" t="str">
        <f>Raw_Claims_Data!K2532</f>
        <v>MA</v>
      </c>
      <c r="L2533">
        <f>Raw_Claims_Data!L2532</f>
        <v>14</v>
      </c>
      <c r="M2533" t="str">
        <f>IF(Raw_Claims_Data!M2532="","N/A",Raw_Claims_Data!M2532)</f>
        <v>VNDR00385</v>
      </c>
      <c r="N2533" t="str">
        <f>Raw_Claims_Data!N2532</f>
        <v>AGENT01143</v>
      </c>
      <c r="O2533">
        <f>IF(Raw_Claims_Data!G2532="D",1,0)</f>
        <v>0</v>
      </c>
    </row>
    <row r="2534" spans="1:15" x14ac:dyDescent="0.35">
      <c r="A2534" t="str">
        <f>Raw_Claims_Data!A2533</f>
        <v>TXN00002530</v>
      </c>
      <c r="B2534" t="str">
        <f>TRIM(Raw_Claims_Data!B2533)</f>
        <v>Bronwyn Wilbur</v>
      </c>
      <c r="C2534" t="str">
        <f>Raw_Claims_Data!C2533</f>
        <v>Life</v>
      </c>
      <c r="D2534">
        <f>Raw_Claims_Data!D2533</f>
        <v>65.33</v>
      </c>
      <c r="E2534">
        <f>Raw_Claims_Data!E2533</f>
        <v>14000</v>
      </c>
      <c r="F2534" t="str">
        <f>Raw_Claims_Data!F2533</f>
        <v>AL</v>
      </c>
      <c r="G2534" t="str">
        <f>Raw_Claims_Data!G2533</f>
        <v>A</v>
      </c>
      <c r="H2534" t="str">
        <f>Raw_Claims_Data!H2533</f>
        <v>Total Loss</v>
      </c>
      <c r="I2534" t="str">
        <f>IF(Raw_Claims_Data!I2533="","None",Raw_Claims_Data!I2533)</f>
        <v>Police</v>
      </c>
      <c r="J2534" t="str">
        <f>Raw_Claims_Data!J2533</f>
        <v>Washington</v>
      </c>
      <c r="K2534" t="str">
        <f>Raw_Claims_Data!K2533</f>
        <v>DC</v>
      </c>
      <c r="L2534">
        <f>Raw_Claims_Data!L2533</f>
        <v>12</v>
      </c>
      <c r="M2534" t="str">
        <f>IF(Raw_Claims_Data!M2533="","N/A",Raw_Claims_Data!M2533)</f>
        <v>VNDR00585</v>
      </c>
      <c r="N2534" t="str">
        <f>Raw_Claims_Data!N2533</f>
        <v>AGENT00120</v>
      </c>
      <c r="O2534">
        <f>IF(Raw_Claims_Data!G2533="D",1,0)</f>
        <v>0</v>
      </c>
    </row>
    <row r="2535" spans="1:15" x14ac:dyDescent="0.35">
      <c r="A2535" t="str">
        <f>Raw_Claims_Data!A2534</f>
        <v>TXN00002531</v>
      </c>
      <c r="B2535" t="str">
        <f>TRIM(Raw_Claims_Data!B2534)</f>
        <v>Timothy Rizzo</v>
      </c>
      <c r="C2535" t="str">
        <f>Raw_Claims_Data!C2534</f>
        <v>Motor</v>
      </c>
      <c r="D2535">
        <f>Raw_Claims_Data!D2534</f>
        <v>134.80000000000001</v>
      </c>
      <c r="E2535">
        <f>Raw_Claims_Data!E2534</f>
        <v>6000</v>
      </c>
      <c r="F2535" t="str">
        <f>Raw_Claims_Data!F2534</f>
        <v>MA</v>
      </c>
      <c r="G2535" t="str">
        <f>Raw_Claims_Data!G2534</f>
        <v>A</v>
      </c>
      <c r="H2535" t="str">
        <f>Raw_Claims_Data!H2534</f>
        <v>Total Loss</v>
      </c>
      <c r="I2535" t="str">
        <f>IF(Raw_Claims_Data!I2534="","None",Raw_Claims_Data!I2534)</f>
        <v>Ambulance</v>
      </c>
      <c r="J2535" t="str">
        <f>Raw_Claims_Data!J2534</f>
        <v>Panama City Beach</v>
      </c>
      <c r="K2535" t="str">
        <f>Raw_Claims_Data!K2534</f>
        <v>FL</v>
      </c>
      <c r="L2535">
        <f>Raw_Claims_Data!L2534</f>
        <v>20</v>
      </c>
      <c r="M2535" t="str">
        <f>IF(Raw_Claims_Data!M2534="","N/A",Raw_Claims_Data!M2534)</f>
        <v>VNDR00374</v>
      </c>
      <c r="N2535" t="str">
        <f>Raw_Claims_Data!N2534</f>
        <v>AGENT00179</v>
      </c>
      <c r="O2535">
        <f>IF(Raw_Claims_Data!G2534="D",1,0)</f>
        <v>0</v>
      </c>
    </row>
    <row r="2536" spans="1:15" x14ac:dyDescent="0.35">
      <c r="A2536" t="str">
        <f>Raw_Claims_Data!A2535</f>
        <v>TXN00002532</v>
      </c>
      <c r="B2536" t="str">
        <f>TRIM(Raw_Claims_Data!B2535)</f>
        <v>Julie Replogle</v>
      </c>
      <c r="C2536" t="str">
        <f>Raw_Claims_Data!C2535</f>
        <v>Motor</v>
      </c>
      <c r="D2536">
        <f>Raw_Claims_Data!D2535</f>
        <v>70.22</v>
      </c>
      <c r="E2536">
        <f>Raw_Claims_Data!E2535</f>
        <v>2000</v>
      </c>
      <c r="F2536" t="str">
        <f>Raw_Claims_Data!F2535</f>
        <v>MD</v>
      </c>
      <c r="G2536" t="str">
        <f>Raw_Claims_Data!G2535</f>
        <v>A</v>
      </c>
      <c r="H2536" t="str">
        <f>Raw_Claims_Data!H2535</f>
        <v>Total Loss</v>
      </c>
      <c r="I2536" t="str">
        <f>IF(Raw_Claims_Data!I2535="","None",Raw_Claims_Data!I2535)</f>
        <v>Police</v>
      </c>
      <c r="J2536" t="str">
        <f>Raw_Claims_Data!J2535</f>
        <v>Glendale</v>
      </c>
      <c r="K2536" t="str">
        <f>Raw_Claims_Data!K2535</f>
        <v>AZ</v>
      </c>
      <c r="L2536">
        <f>Raw_Claims_Data!L2535</f>
        <v>21</v>
      </c>
      <c r="M2536" t="str">
        <f>IF(Raw_Claims_Data!M2535="","N/A",Raw_Claims_Data!M2535)</f>
        <v>N/A</v>
      </c>
      <c r="N2536" t="str">
        <f>Raw_Claims_Data!N2535</f>
        <v>AGENT01039</v>
      </c>
      <c r="O2536">
        <f>IF(Raw_Claims_Data!G2535="D",1,0)</f>
        <v>0</v>
      </c>
    </row>
    <row r="2537" spans="1:15" x14ac:dyDescent="0.35">
      <c r="A2537" t="str">
        <f>Raw_Claims_Data!A2536</f>
        <v>TXN00002533</v>
      </c>
      <c r="B2537" t="str">
        <f>TRIM(Raw_Claims_Data!B2536)</f>
        <v>Mickey Myers</v>
      </c>
      <c r="C2537" t="str">
        <f>Raw_Claims_Data!C2536</f>
        <v>Travel</v>
      </c>
      <c r="D2537">
        <f>Raw_Claims_Data!D2536</f>
        <v>86.37</v>
      </c>
      <c r="E2537">
        <f>Raw_Claims_Data!E2536</f>
        <v>5000</v>
      </c>
      <c r="F2537" t="str">
        <f>Raw_Claims_Data!F2536</f>
        <v>CO</v>
      </c>
      <c r="G2537" t="str">
        <f>Raw_Claims_Data!G2536</f>
        <v>A</v>
      </c>
      <c r="H2537" t="str">
        <f>Raw_Claims_Data!H2536</f>
        <v>Major Loss</v>
      </c>
      <c r="I2537" t="str">
        <f>IF(Raw_Claims_Data!I2536="","None",Raw_Claims_Data!I2536)</f>
        <v>Ambulance</v>
      </c>
      <c r="J2537" t="str">
        <f>Raw_Claims_Data!J2536</f>
        <v>Hartford</v>
      </c>
      <c r="K2537" t="str">
        <f>Raw_Claims_Data!K2536</f>
        <v>VT</v>
      </c>
      <c r="L2537">
        <f>Raw_Claims_Data!L2536</f>
        <v>0</v>
      </c>
      <c r="M2537" t="str">
        <f>IF(Raw_Claims_Data!M2536="","N/A",Raw_Claims_Data!M2536)</f>
        <v>N/A</v>
      </c>
      <c r="N2537" t="str">
        <f>Raw_Claims_Data!N2536</f>
        <v>AGENT00319</v>
      </c>
      <c r="O2537">
        <f>IF(Raw_Claims_Data!G2536="D",1,0)</f>
        <v>0</v>
      </c>
    </row>
    <row r="2538" spans="1:15" x14ac:dyDescent="0.35">
      <c r="A2538" t="str">
        <f>Raw_Claims_Data!A2537</f>
        <v>TXN00002534</v>
      </c>
      <c r="B2538" t="str">
        <f>TRIM(Raw_Claims_Data!B2537)</f>
        <v>Shelley Adams</v>
      </c>
      <c r="C2538" t="str">
        <f>Raw_Claims_Data!C2537</f>
        <v>Travel</v>
      </c>
      <c r="D2538">
        <f>Raw_Claims_Data!D2537</f>
        <v>51.45</v>
      </c>
      <c r="E2538">
        <f>Raw_Claims_Data!E2537</f>
        <v>2000</v>
      </c>
      <c r="F2538" t="str">
        <f>Raw_Claims_Data!F2537</f>
        <v>AL</v>
      </c>
      <c r="G2538" t="str">
        <f>Raw_Claims_Data!G2537</f>
        <v>A</v>
      </c>
      <c r="H2538" t="str">
        <f>Raw_Claims_Data!H2537</f>
        <v>Total Loss</v>
      </c>
      <c r="I2538" t="str">
        <f>IF(Raw_Claims_Data!I2537="","None",Raw_Claims_Data!I2537)</f>
        <v>Ambulance</v>
      </c>
      <c r="J2538" t="str">
        <f>Raw_Claims_Data!J2537</f>
        <v>Washington</v>
      </c>
      <c r="K2538" t="str">
        <f>Raw_Claims_Data!K2537</f>
        <v>DC</v>
      </c>
      <c r="L2538">
        <f>Raw_Claims_Data!L2537</f>
        <v>1</v>
      </c>
      <c r="M2538" t="str">
        <f>IF(Raw_Claims_Data!M2537="","N/A",Raw_Claims_Data!M2537)</f>
        <v>VNDR00336</v>
      </c>
      <c r="N2538" t="str">
        <f>Raw_Claims_Data!N2537</f>
        <v>AGENT01019</v>
      </c>
      <c r="O2538">
        <f>IF(Raw_Claims_Data!G2537="D",1,0)</f>
        <v>0</v>
      </c>
    </row>
    <row r="2539" spans="1:15" x14ac:dyDescent="0.35">
      <c r="A2539" t="str">
        <f>Raw_Claims_Data!A2538</f>
        <v>TXN00002535</v>
      </c>
      <c r="B2539" t="str">
        <f>TRIM(Raw_Claims_Data!B2538)</f>
        <v>Joyce Maloney</v>
      </c>
      <c r="C2539" t="str">
        <f>Raw_Claims_Data!C2538</f>
        <v>Property</v>
      </c>
      <c r="D2539">
        <f>Raw_Claims_Data!D2538</f>
        <v>109.31</v>
      </c>
      <c r="E2539">
        <f>Raw_Claims_Data!E2538</f>
        <v>15000</v>
      </c>
      <c r="F2539" t="str">
        <f>Raw_Claims_Data!F2538</f>
        <v>AZ</v>
      </c>
      <c r="G2539" t="str">
        <f>Raw_Claims_Data!G2538</f>
        <v>A</v>
      </c>
      <c r="H2539" t="str">
        <f>Raw_Claims_Data!H2538</f>
        <v>Total Loss</v>
      </c>
      <c r="I2539" t="str">
        <f>IF(Raw_Claims_Data!I2538="","None",Raw_Claims_Data!I2538)</f>
        <v>None</v>
      </c>
      <c r="J2539" t="str">
        <f>Raw_Claims_Data!J2538</f>
        <v>Washington</v>
      </c>
      <c r="K2539" t="str">
        <f>Raw_Claims_Data!K2538</f>
        <v>DC</v>
      </c>
      <c r="L2539">
        <f>Raw_Claims_Data!L2538</f>
        <v>9</v>
      </c>
      <c r="M2539" t="str">
        <f>IF(Raw_Claims_Data!M2538="","N/A",Raw_Claims_Data!M2538)</f>
        <v>VNDR00393</v>
      </c>
      <c r="N2539" t="str">
        <f>Raw_Claims_Data!N2538</f>
        <v>AGENT00260</v>
      </c>
      <c r="O2539">
        <f>IF(Raw_Claims_Data!G2538="D",1,0)</f>
        <v>0</v>
      </c>
    </row>
    <row r="2540" spans="1:15" x14ac:dyDescent="0.35">
      <c r="A2540" t="str">
        <f>Raw_Claims_Data!A2539</f>
        <v>TXN00002536</v>
      </c>
      <c r="B2540" t="str">
        <f>TRIM(Raw_Claims_Data!B2539)</f>
        <v>Warren Sawyer</v>
      </c>
      <c r="C2540" t="str">
        <f>Raw_Claims_Data!C2539</f>
        <v>Life</v>
      </c>
      <c r="D2540">
        <f>Raw_Claims_Data!D2539</f>
        <v>82.54</v>
      </c>
      <c r="E2540">
        <f>Raw_Claims_Data!E2539</f>
        <v>16000</v>
      </c>
      <c r="F2540" t="str">
        <f>Raw_Claims_Data!F2539</f>
        <v>AL</v>
      </c>
      <c r="G2540" t="str">
        <f>Raw_Claims_Data!G2539</f>
        <v>A</v>
      </c>
      <c r="H2540" t="str">
        <f>Raw_Claims_Data!H2539</f>
        <v>Major Loss</v>
      </c>
      <c r="I2540" t="str">
        <f>IF(Raw_Claims_Data!I2539="","None",Raw_Claims_Data!I2539)</f>
        <v>Other</v>
      </c>
      <c r="J2540" t="str">
        <f>Raw_Claims_Data!J2539</f>
        <v>San Leandro</v>
      </c>
      <c r="K2540" t="str">
        <f>Raw_Claims_Data!K2539</f>
        <v>CA</v>
      </c>
      <c r="L2540">
        <f>Raw_Claims_Data!L2539</f>
        <v>9</v>
      </c>
      <c r="M2540" t="str">
        <f>IF(Raw_Claims_Data!M2539="","N/A",Raw_Claims_Data!M2539)</f>
        <v>VNDR00428</v>
      </c>
      <c r="N2540" t="str">
        <f>Raw_Claims_Data!N2539</f>
        <v>AGENT01086</v>
      </c>
      <c r="O2540">
        <f>IF(Raw_Claims_Data!G2539="D",1,0)</f>
        <v>0</v>
      </c>
    </row>
    <row r="2541" spans="1:15" x14ac:dyDescent="0.35">
      <c r="A2541" t="str">
        <f>Raw_Claims_Data!A2540</f>
        <v>TXN00002537</v>
      </c>
      <c r="B2541" t="str">
        <f>TRIM(Raw_Claims_Data!B2540)</f>
        <v>Elizabeth Trombly</v>
      </c>
      <c r="C2541" t="str">
        <f>Raw_Claims_Data!C2540</f>
        <v>Health</v>
      </c>
      <c r="D2541">
        <f>Raw_Claims_Data!D2540</f>
        <v>124.95</v>
      </c>
      <c r="E2541">
        <f>Raw_Claims_Data!E2540</f>
        <v>13000</v>
      </c>
      <c r="F2541" t="str">
        <f>Raw_Claims_Data!F2540</f>
        <v>CO</v>
      </c>
      <c r="G2541" t="str">
        <f>Raw_Claims_Data!G2540</f>
        <v>A</v>
      </c>
      <c r="H2541" t="str">
        <f>Raw_Claims_Data!H2540</f>
        <v>Minor Loss</v>
      </c>
      <c r="I2541" t="str">
        <f>IF(Raw_Claims_Data!I2540="","None",Raw_Claims_Data!I2540)</f>
        <v>None</v>
      </c>
      <c r="J2541" t="str">
        <f>Raw_Claims_Data!J2540</f>
        <v>Manchester</v>
      </c>
      <c r="K2541" t="str">
        <f>Raw_Claims_Data!K2540</f>
        <v>CT</v>
      </c>
      <c r="L2541">
        <f>Raw_Claims_Data!L2540</f>
        <v>21</v>
      </c>
      <c r="M2541" t="str">
        <f>IF(Raw_Claims_Data!M2540="","N/A",Raw_Claims_Data!M2540)</f>
        <v>VNDR00556</v>
      </c>
      <c r="N2541" t="str">
        <f>Raw_Claims_Data!N2540</f>
        <v>AGENT00626</v>
      </c>
      <c r="O2541">
        <f>IF(Raw_Claims_Data!G2540="D",1,0)</f>
        <v>0</v>
      </c>
    </row>
    <row r="2542" spans="1:15" x14ac:dyDescent="0.35">
      <c r="A2542" t="str">
        <f>Raw_Claims_Data!A2541</f>
        <v>TXN00002538</v>
      </c>
      <c r="B2542" t="str">
        <f>TRIM(Raw_Claims_Data!B2541)</f>
        <v>Marlene Simmons</v>
      </c>
      <c r="C2542" t="str">
        <f>Raw_Claims_Data!C2541</f>
        <v>Property</v>
      </c>
      <c r="D2542">
        <f>Raw_Claims_Data!D2541</f>
        <v>126.45</v>
      </c>
      <c r="E2542">
        <f>Raw_Claims_Data!E2541</f>
        <v>32000</v>
      </c>
      <c r="F2542" t="str">
        <f>Raw_Claims_Data!F2541</f>
        <v>TN</v>
      </c>
      <c r="G2542" t="str">
        <f>Raw_Claims_Data!G2541</f>
        <v>A</v>
      </c>
      <c r="H2542" t="str">
        <f>Raw_Claims_Data!H2541</f>
        <v>Minor Loss</v>
      </c>
      <c r="I2542" t="str">
        <f>IF(Raw_Claims_Data!I2541="","None",Raw_Claims_Data!I2541)</f>
        <v>Ambulance</v>
      </c>
      <c r="J2542" t="str">
        <f>Raw_Claims_Data!J2541</f>
        <v>Arvada</v>
      </c>
      <c r="K2542" t="str">
        <f>Raw_Claims_Data!K2541</f>
        <v>CO</v>
      </c>
      <c r="L2542">
        <f>Raw_Claims_Data!L2541</f>
        <v>9</v>
      </c>
      <c r="M2542" t="str">
        <f>IF(Raw_Claims_Data!M2541="","N/A",Raw_Claims_Data!M2541)</f>
        <v>VNDR00167</v>
      </c>
      <c r="N2542" t="str">
        <f>Raw_Claims_Data!N2541</f>
        <v>AGENT01073</v>
      </c>
      <c r="O2542">
        <f>IF(Raw_Claims_Data!G2541="D",1,0)</f>
        <v>0</v>
      </c>
    </row>
    <row r="2543" spans="1:15" x14ac:dyDescent="0.35">
      <c r="A2543" t="str">
        <f>Raw_Claims_Data!A2542</f>
        <v>TXN00002539</v>
      </c>
      <c r="B2543" t="str">
        <f>TRIM(Raw_Claims_Data!B2542)</f>
        <v>Nancy Luckett</v>
      </c>
      <c r="C2543" t="str">
        <f>Raw_Claims_Data!C2542</f>
        <v>Travel</v>
      </c>
      <c r="D2543">
        <f>Raw_Claims_Data!D2542</f>
        <v>55.32</v>
      </c>
      <c r="E2543">
        <f>Raw_Claims_Data!E2542</f>
        <v>2000</v>
      </c>
      <c r="F2543" t="str">
        <f>Raw_Claims_Data!F2542</f>
        <v>DC</v>
      </c>
      <c r="G2543" t="str">
        <f>Raw_Claims_Data!G2542</f>
        <v>D</v>
      </c>
      <c r="H2543" t="str">
        <f>Raw_Claims_Data!H2542</f>
        <v>Minor Loss</v>
      </c>
      <c r="I2543" t="str">
        <f>IF(Raw_Claims_Data!I2542="","None",Raw_Claims_Data!I2542)</f>
        <v>Ambulance</v>
      </c>
      <c r="J2543" t="str">
        <f>Raw_Claims_Data!J2542</f>
        <v>Arvada</v>
      </c>
      <c r="K2543" t="str">
        <f>Raw_Claims_Data!K2542</f>
        <v>CO</v>
      </c>
      <c r="L2543">
        <f>Raw_Claims_Data!L2542</f>
        <v>5</v>
      </c>
      <c r="M2543" t="str">
        <f>IF(Raw_Claims_Data!M2542="","N/A",Raw_Claims_Data!M2542)</f>
        <v>VNDR00350</v>
      </c>
      <c r="N2543" t="str">
        <f>Raw_Claims_Data!N2542</f>
        <v>AGENT00844</v>
      </c>
      <c r="O2543">
        <f>IF(Raw_Claims_Data!G2542="D",1,0)</f>
        <v>1</v>
      </c>
    </row>
    <row r="2544" spans="1:15" x14ac:dyDescent="0.35">
      <c r="A2544" t="str">
        <f>Raw_Claims_Data!A2543</f>
        <v>TXN00002540</v>
      </c>
      <c r="B2544" t="str">
        <f>TRIM(Raw_Claims_Data!B2543)</f>
        <v>Elaine Madigan</v>
      </c>
      <c r="C2544" t="str">
        <f>Raw_Claims_Data!C2543</f>
        <v>Health</v>
      </c>
      <c r="D2544">
        <f>Raw_Claims_Data!D2543</f>
        <v>144.88999999999999</v>
      </c>
      <c r="E2544">
        <f>Raw_Claims_Data!E2543</f>
        <v>19000</v>
      </c>
      <c r="F2544" t="str">
        <f>Raw_Claims_Data!F2543</f>
        <v>GA</v>
      </c>
      <c r="G2544" t="str">
        <f>Raw_Claims_Data!G2543</f>
        <v>A</v>
      </c>
      <c r="H2544" t="str">
        <f>Raw_Claims_Data!H2543</f>
        <v>Minor Loss</v>
      </c>
      <c r="I2544" t="str">
        <f>IF(Raw_Claims_Data!I2543="","None",Raw_Claims_Data!I2543)</f>
        <v>Ambulance</v>
      </c>
      <c r="J2544" t="str">
        <f>Raw_Claims_Data!J2543</f>
        <v>Panama City</v>
      </c>
      <c r="K2544" t="str">
        <f>Raw_Claims_Data!K2543</f>
        <v>FL</v>
      </c>
      <c r="L2544">
        <f>Raw_Claims_Data!L2543</f>
        <v>10</v>
      </c>
      <c r="M2544" t="str">
        <f>IF(Raw_Claims_Data!M2543="","N/A",Raw_Claims_Data!M2543)</f>
        <v>VNDR00137</v>
      </c>
      <c r="N2544" t="str">
        <f>Raw_Claims_Data!N2543</f>
        <v>AGENT00937</v>
      </c>
      <c r="O2544">
        <f>IF(Raw_Claims_Data!G2543="D",1,0)</f>
        <v>0</v>
      </c>
    </row>
    <row r="2545" spans="1:15" x14ac:dyDescent="0.35">
      <c r="A2545" t="str">
        <f>Raw_Claims_Data!A2544</f>
        <v>TXN00002541</v>
      </c>
      <c r="B2545" t="str">
        <f>TRIM(Raw_Claims_Data!B2544)</f>
        <v>Sarah Meagher</v>
      </c>
      <c r="C2545" t="str">
        <f>Raw_Claims_Data!C2544</f>
        <v>Life</v>
      </c>
      <c r="D2545">
        <f>Raw_Claims_Data!D2544</f>
        <v>55.03</v>
      </c>
      <c r="E2545">
        <f>Raw_Claims_Data!E2544</f>
        <v>24000</v>
      </c>
      <c r="F2545" t="str">
        <f>Raw_Claims_Data!F2544</f>
        <v>DC</v>
      </c>
      <c r="G2545" t="str">
        <f>Raw_Claims_Data!G2544</f>
        <v>A</v>
      </c>
      <c r="H2545" t="str">
        <f>Raw_Claims_Data!H2544</f>
        <v>Major Loss</v>
      </c>
      <c r="I2545" t="str">
        <f>IF(Raw_Claims_Data!I2544="","None",Raw_Claims_Data!I2544)</f>
        <v>Ambulance</v>
      </c>
      <c r="J2545" t="str">
        <f>Raw_Claims_Data!J2544</f>
        <v>Oklahoma City</v>
      </c>
      <c r="K2545" t="str">
        <f>Raw_Claims_Data!K2544</f>
        <v>OK</v>
      </c>
      <c r="L2545">
        <f>Raw_Claims_Data!L2544</f>
        <v>6</v>
      </c>
      <c r="M2545" t="str">
        <f>IF(Raw_Claims_Data!M2544="","N/A",Raw_Claims_Data!M2544)</f>
        <v>VNDR00008</v>
      </c>
      <c r="N2545" t="str">
        <f>Raw_Claims_Data!N2544</f>
        <v>AGENT00361</v>
      </c>
      <c r="O2545">
        <f>IF(Raw_Claims_Data!G2544="D",1,0)</f>
        <v>0</v>
      </c>
    </row>
    <row r="2546" spans="1:15" x14ac:dyDescent="0.35">
      <c r="A2546" t="str">
        <f>Raw_Claims_Data!A2545</f>
        <v>TXN00002542</v>
      </c>
      <c r="B2546" t="str">
        <f>TRIM(Raw_Claims_Data!B2545)</f>
        <v>Marie Curtis</v>
      </c>
      <c r="C2546" t="str">
        <f>Raw_Claims_Data!C2545</f>
        <v>Travel</v>
      </c>
      <c r="D2546">
        <f>Raw_Claims_Data!D2545</f>
        <v>85.74</v>
      </c>
      <c r="E2546">
        <f>Raw_Claims_Data!E2545</f>
        <v>2000</v>
      </c>
      <c r="F2546" t="str">
        <f>Raw_Claims_Data!F2545</f>
        <v>AL</v>
      </c>
      <c r="G2546" t="str">
        <f>Raw_Claims_Data!G2545</f>
        <v>D</v>
      </c>
      <c r="H2546" t="str">
        <f>Raw_Claims_Data!H2545</f>
        <v>Major Loss</v>
      </c>
      <c r="I2546" t="str">
        <f>IF(Raw_Claims_Data!I2545="","None",Raw_Claims_Data!I2545)</f>
        <v>Ambulance</v>
      </c>
      <c r="J2546" t="str">
        <f>Raw_Claims_Data!J2545</f>
        <v>Montgomery</v>
      </c>
      <c r="K2546" t="str">
        <f>Raw_Claims_Data!K2545</f>
        <v>AL</v>
      </c>
      <c r="L2546">
        <f>Raw_Claims_Data!L2545</f>
        <v>17</v>
      </c>
      <c r="M2546" t="str">
        <f>IF(Raw_Claims_Data!M2545="","N/A",Raw_Claims_Data!M2545)</f>
        <v>VNDR00252</v>
      </c>
      <c r="N2546" t="str">
        <f>Raw_Claims_Data!N2545</f>
        <v>AGENT00864</v>
      </c>
      <c r="O2546">
        <f>IF(Raw_Claims_Data!G2545="D",1,0)</f>
        <v>1</v>
      </c>
    </row>
    <row r="2547" spans="1:15" x14ac:dyDescent="0.35">
      <c r="A2547" t="str">
        <f>Raw_Claims_Data!A2546</f>
        <v>TXN00002543</v>
      </c>
      <c r="B2547" t="str">
        <f>TRIM(Raw_Claims_Data!B2546)</f>
        <v>Tracy Smith</v>
      </c>
      <c r="C2547" t="str">
        <f>Raw_Claims_Data!C2546</f>
        <v>Life</v>
      </c>
      <c r="D2547">
        <f>Raw_Claims_Data!D2546</f>
        <v>51</v>
      </c>
      <c r="E2547">
        <f>Raw_Claims_Data!E2546</f>
        <v>64000</v>
      </c>
      <c r="F2547" t="str">
        <f>Raw_Claims_Data!F2546</f>
        <v>CT</v>
      </c>
      <c r="G2547" t="str">
        <f>Raw_Claims_Data!G2546</f>
        <v>A</v>
      </c>
      <c r="H2547" t="str">
        <f>Raw_Claims_Data!H2546</f>
        <v>Minor Loss</v>
      </c>
      <c r="I2547" t="str">
        <f>IF(Raw_Claims_Data!I2546="","None",Raw_Claims_Data!I2546)</f>
        <v>Police</v>
      </c>
      <c r="J2547" t="str">
        <f>Raw_Claims_Data!J2546</f>
        <v>Edmond</v>
      </c>
      <c r="K2547" t="str">
        <f>Raw_Claims_Data!K2546</f>
        <v>OK</v>
      </c>
      <c r="L2547">
        <f>Raw_Claims_Data!L2546</f>
        <v>11</v>
      </c>
      <c r="M2547" t="str">
        <f>IF(Raw_Claims_Data!M2546="","N/A",Raw_Claims_Data!M2546)</f>
        <v>VNDR00473</v>
      </c>
      <c r="N2547" t="str">
        <f>Raw_Claims_Data!N2546</f>
        <v>AGENT00427</v>
      </c>
      <c r="O2547">
        <f>IF(Raw_Claims_Data!G2546="D",1,0)</f>
        <v>0</v>
      </c>
    </row>
    <row r="2548" spans="1:15" x14ac:dyDescent="0.35">
      <c r="A2548" t="str">
        <f>Raw_Claims_Data!A2547</f>
        <v>TXN00002544</v>
      </c>
      <c r="B2548" t="str">
        <f>TRIM(Raw_Claims_Data!B2547)</f>
        <v>Herbert Hannah</v>
      </c>
      <c r="C2548" t="str">
        <f>Raw_Claims_Data!C2547</f>
        <v>Travel</v>
      </c>
      <c r="D2548">
        <f>Raw_Claims_Data!D2547</f>
        <v>77.260000000000005</v>
      </c>
      <c r="E2548">
        <f>Raw_Claims_Data!E2547</f>
        <v>1000</v>
      </c>
      <c r="F2548" t="str">
        <f>Raw_Claims_Data!F2547</f>
        <v>FL</v>
      </c>
      <c r="G2548" t="str">
        <f>Raw_Claims_Data!G2547</f>
        <v>D</v>
      </c>
      <c r="H2548" t="str">
        <f>Raw_Claims_Data!H2547</f>
        <v>Minor Loss</v>
      </c>
      <c r="I2548" t="str">
        <f>IF(Raw_Claims_Data!I2547="","None",Raw_Claims_Data!I2547)</f>
        <v>Ambulance</v>
      </c>
      <c r="J2548" t="str">
        <f>Raw_Claims_Data!J2547</f>
        <v>Carson</v>
      </c>
      <c r="K2548" t="str">
        <f>Raw_Claims_Data!K2547</f>
        <v>CA</v>
      </c>
      <c r="L2548">
        <f>Raw_Claims_Data!L2547</f>
        <v>22</v>
      </c>
      <c r="M2548" t="str">
        <f>IF(Raw_Claims_Data!M2547="","N/A",Raw_Claims_Data!M2547)</f>
        <v>VNDR00400</v>
      </c>
      <c r="N2548" t="str">
        <f>Raw_Claims_Data!N2547</f>
        <v>AGENT00783</v>
      </c>
      <c r="O2548">
        <f>IF(Raw_Claims_Data!G2547="D",1,0)</f>
        <v>1</v>
      </c>
    </row>
    <row r="2549" spans="1:15" x14ac:dyDescent="0.35">
      <c r="A2549" t="str">
        <f>Raw_Claims_Data!A2548</f>
        <v>TXN00002545</v>
      </c>
      <c r="B2549" t="str">
        <f>TRIM(Raw_Claims_Data!B2548)</f>
        <v>Odell Hall</v>
      </c>
      <c r="C2549" t="str">
        <f>Raw_Claims_Data!C2548</f>
        <v>Travel</v>
      </c>
      <c r="D2549">
        <f>Raw_Claims_Data!D2548</f>
        <v>86.62</v>
      </c>
      <c r="E2549">
        <f>Raw_Claims_Data!E2548</f>
        <v>4000</v>
      </c>
      <c r="F2549" t="str">
        <f>Raw_Claims_Data!F2548</f>
        <v>MA</v>
      </c>
      <c r="G2549" t="str">
        <f>Raw_Claims_Data!G2548</f>
        <v>A</v>
      </c>
      <c r="H2549" t="str">
        <f>Raw_Claims_Data!H2548</f>
        <v>Major Loss</v>
      </c>
      <c r="I2549" t="str">
        <f>IF(Raw_Claims_Data!I2548="","None",Raw_Claims_Data!I2548)</f>
        <v>Ambulance</v>
      </c>
      <c r="J2549" t="str">
        <f>Raw_Claims_Data!J2548</f>
        <v>Manchester</v>
      </c>
      <c r="K2549" t="str">
        <f>Raw_Claims_Data!K2548</f>
        <v>CT</v>
      </c>
      <c r="L2549">
        <f>Raw_Claims_Data!L2548</f>
        <v>5</v>
      </c>
      <c r="M2549" t="str">
        <f>IF(Raw_Claims_Data!M2548="","N/A",Raw_Claims_Data!M2548)</f>
        <v>VNDR00398</v>
      </c>
      <c r="N2549" t="str">
        <f>Raw_Claims_Data!N2548</f>
        <v>AGENT00323</v>
      </c>
      <c r="O2549">
        <f>IF(Raw_Claims_Data!G2548="D",1,0)</f>
        <v>0</v>
      </c>
    </row>
    <row r="2550" spans="1:15" x14ac:dyDescent="0.35">
      <c r="A2550" t="str">
        <f>Raw_Claims_Data!A2549</f>
        <v>TXN00002546</v>
      </c>
      <c r="B2550" t="str">
        <f>TRIM(Raw_Claims_Data!B2549)</f>
        <v>Bradley Peterson</v>
      </c>
      <c r="C2550" t="str">
        <f>Raw_Claims_Data!C2549</f>
        <v>Life</v>
      </c>
      <c r="D2550">
        <f>Raw_Claims_Data!D2549</f>
        <v>80.94</v>
      </c>
      <c r="E2550">
        <f>Raw_Claims_Data!E2549</f>
        <v>48000</v>
      </c>
      <c r="F2550" t="str">
        <f>Raw_Claims_Data!F2549</f>
        <v>DC</v>
      </c>
      <c r="G2550" t="str">
        <f>Raw_Claims_Data!G2549</f>
        <v>A</v>
      </c>
      <c r="H2550" t="str">
        <f>Raw_Claims_Data!H2549</f>
        <v>Major Loss</v>
      </c>
      <c r="I2550" t="str">
        <f>IF(Raw_Claims_Data!I2549="","None",Raw_Claims_Data!I2549)</f>
        <v>None</v>
      </c>
      <c r="J2550" t="str">
        <f>Raw_Claims_Data!J2549</f>
        <v>Washington</v>
      </c>
      <c r="K2550" t="str">
        <f>Raw_Claims_Data!K2549</f>
        <v>DC</v>
      </c>
      <c r="L2550">
        <f>Raw_Claims_Data!L2549</f>
        <v>14</v>
      </c>
      <c r="M2550" t="str">
        <f>IF(Raw_Claims_Data!M2549="","N/A",Raw_Claims_Data!M2549)</f>
        <v>VNDR00031</v>
      </c>
      <c r="N2550" t="str">
        <f>Raw_Claims_Data!N2549</f>
        <v>AGENT00669</v>
      </c>
      <c r="O2550">
        <f>IF(Raw_Claims_Data!G2549="D",1,0)</f>
        <v>0</v>
      </c>
    </row>
    <row r="2551" spans="1:15" x14ac:dyDescent="0.35">
      <c r="A2551" t="str">
        <f>Raw_Claims_Data!A2550</f>
        <v>TXN00002547</v>
      </c>
      <c r="B2551" t="str">
        <f>TRIM(Raw_Claims_Data!B2550)</f>
        <v>Pearlie Betts</v>
      </c>
      <c r="C2551" t="str">
        <f>Raw_Claims_Data!C2550</f>
        <v>Mobile</v>
      </c>
      <c r="D2551">
        <f>Raw_Claims_Data!D2550</f>
        <v>6.75</v>
      </c>
      <c r="E2551">
        <f>Raw_Claims_Data!E2550</f>
        <v>500</v>
      </c>
      <c r="F2551" t="str">
        <f>Raw_Claims_Data!F2550</f>
        <v>MA</v>
      </c>
      <c r="G2551" t="str">
        <f>Raw_Claims_Data!G2550</f>
        <v>A</v>
      </c>
      <c r="H2551" t="str">
        <f>Raw_Claims_Data!H2550</f>
        <v>Minor Loss</v>
      </c>
      <c r="I2551" t="str">
        <f>IF(Raw_Claims_Data!I2550="","None",Raw_Claims_Data!I2550)</f>
        <v>Police</v>
      </c>
      <c r="J2551" t="str">
        <f>Raw_Claims_Data!J2550</f>
        <v>Savannah</v>
      </c>
      <c r="K2551" t="str">
        <f>Raw_Claims_Data!K2550</f>
        <v>GA</v>
      </c>
      <c r="L2551">
        <f>Raw_Claims_Data!L2550</f>
        <v>10</v>
      </c>
      <c r="M2551" t="str">
        <f>IF(Raw_Claims_Data!M2550="","N/A",Raw_Claims_Data!M2550)</f>
        <v>VNDR00392</v>
      </c>
      <c r="N2551" t="str">
        <f>Raw_Claims_Data!N2550</f>
        <v>AGENT00831</v>
      </c>
      <c r="O2551">
        <f>IF(Raw_Claims_Data!G2550="D",1,0)</f>
        <v>0</v>
      </c>
    </row>
    <row r="2552" spans="1:15" x14ac:dyDescent="0.35">
      <c r="A2552" t="str">
        <f>Raw_Claims_Data!A2551</f>
        <v>TXN00002548</v>
      </c>
      <c r="B2552" t="str">
        <f>TRIM(Raw_Claims_Data!B2551)</f>
        <v>Dolly Rutledge</v>
      </c>
      <c r="C2552" t="str">
        <f>Raw_Claims_Data!C2551</f>
        <v>Travel</v>
      </c>
      <c r="D2552">
        <f>Raw_Claims_Data!D2551</f>
        <v>84.82</v>
      </c>
      <c r="E2552">
        <f>Raw_Claims_Data!E2551</f>
        <v>3000</v>
      </c>
      <c r="F2552" t="str">
        <f>Raw_Claims_Data!F2551</f>
        <v>MD</v>
      </c>
      <c r="G2552" t="str">
        <f>Raw_Claims_Data!G2551</f>
        <v>A</v>
      </c>
      <c r="H2552" t="str">
        <f>Raw_Claims_Data!H2551</f>
        <v>Minor Loss</v>
      </c>
      <c r="I2552" t="str">
        <f>IF(Raw_Claims_Data!I2551="","None",Raw_Claims_Data!I2551)</f>
        <v>Police</v>
      </c>
      <c r="J2552" t="str">
        <f>Raw_Claims_Data!J2551</f>
        <v>Essex</v>
      </c>
      <c r="K2552" t="str">
        <f>Raw_Claims_Data!K2551</f>
        <v>VT</v>
      </c>
      <c r="L2552">
        <f>Raw_Claims_Data!L2551</f>
        <v>4</v>
      </c>
      <c r="M2552" t="str">
        <f>IF(Raw_Claims_Data!M2551="","N/A",Raw_Claims_Data!M2551)</f>
        <v>VNDR00365</v>
      </c>
      <c r="N2552" t="str">
        <f>Raw_Claims_Data!N2551</f>
        <v>AGENT00378</v>
      </c>
      <c r="O2552">
        <f>IF(Raw_Claims_Data!G2551="D",1,0)</f>
        <v>0</v>
      </c>
    </row>
    <row r="2553" spans="1:15" x14ac:dyDescent="0.35">
      <c r="A2553" t="str">
        <f>Raw_Claims_Data!A2552</f>
        <v>TXN00002549</v>
      </c>
      <c r="B2553" t="str">
        <f>TRIM(Raw_Claims_Data!B2552)</f>
        <v>Jason Clanton</v>
      </c>
      <c r="C2553" t="str">
        <f>Raw_Claims_Data!C2552</f>
        <v>Life</v>
      </c>
      <c r="D2553">
        <f>Raw_Claims_Data!D2552</f>
        <v>71.45</v>
      </c>
      <c r="E2553">
        <f>Raw_Claims_Data!E2552</f>
        <v>36000</v>
      </c>
      <c r="F2553" t="str">
        <f>Raw_Claims_Data!F2552</f>
        <v>AZ</v>
      </c>
      <c r="G2553" t="str">
        <f>Raw_Claims_Data!G2552</f>
        <v>A</v>
      </c>
      <c r="H2553" t="str">
        <f>Raw_Claims_Data!H2552</f>
        <v>Major Loss</v>
      </c>
      <c r="I2553" t="str">
        <f>IF(Raw_Claims_Data!I2552="","None",Raw_Claims_Data!I2552)</f>
        <v>Police</v>
      </c>
      <c r="J2553" t="str">
        <f>Raw_Claims_Data!J2552</f>
        <v>Arvada</v>
      </c>
      <c r="K2553" t="str">
        <f>Raw_Claims_Data!K2552</f>
        <v>CO</v>
      </c>
      <c r="L2553">
        <f>Raw_Claims_Data!L2552</f>
        <v>21</v>
      </c>
      <c r="M2553" t="str">
        <f>IF(Raw_Claims_Data!M2552="","N/A",Raw_Claims_Data!M2552)</f>
        <v>VNDR00546</v>
      </c>
      <c r="N2553" t="str">
        <f>Raw_Claims_Data!N2552</f>
        <v>AGENT00909</v>
      </c>
      <c r="O2553">
        <f>IF(Raw_Claims_Data!G2552="D",1,0)</f>
        <v>0</v>
      </c>
    </row>
    <row r="2554" spans="1:15" x14ac:dyDescent="0.35">
      <c r="A2554" t="str">
        <f>Raw_Claims_Data!A2553</f>
        <v>TXN00002550</v>
      </c>
      <c r="B2554" t="str">
        <f>TRIM(Raw_Claims_Data!B2553)</f>
        <v>Melanie Eastman</v>
      </c>
      <c r="C2554" t="str">
        <f>Raw_Claims_Data!C2553</f>
        <v>Property</v>
      </c>
      <c r="D2554">
        <f>Raw_Claims_Data!D2553</f>
        <v>145.15</v>
      </c>
      <c r="E2554">
        <f>Raw_Claims_Data!E2553</f>
        <v>39000</v>
      </c>
      <c r="F2554" t="str">
        <f>Raw_Claims_Data!F2553</f>
        <v>OK</v>
      </c>
      <c r="G2554" t="str">
        <f>Raw_Claims_Data!G2553</f>
        <v>A</v>
      </c>
      <c r="H2554" t="str">
        <f>Raw_Claims_Data!H2553</f>
        <v>Total Loss</v>
      </c>
      <c r="I2554" t="str">
        <f>IF(Raw_Claims_Data!I2553="","None",Raw_Claims_Data!I2553)</f>
        <v>Other</v>
      </c>
      <c r="J2554" t="str">
        <f>Raw_Claims_Data!J2553</f>
        <v>Lynn</v>
      </c>
      <c r="K2554" t="str">
        <f>Raw_Claims_Data!K2553</f>
        <v>MA</v>
      </c>
      <c r="L2554">
        <f>Raw_Claims_Data!L2553</f>
        <v>15</v>
      </c>
      <c r="M2554" t="str">
        <f>IF(Raw_Claims_Data!M2553="","N/A",Raw_Claims_Data!M2553)</f>
        <v>VNDR00378</v>
      </c>
      <c r="N2554" t="str">
        <f>Raw_Claims_Data!N2553</f>
        <v>AGENT00333</v>
      </c>
      <c r="O2554">
        <f>IF(Raw_Claims_Data!G2553="D",1,0)</f>
        <v>0</v>
      </c>
    </row>
    <row r="2555" spans="1:15" x14ac:dyDescent="0.35">
      <c r="A2555" t="str">
        <f>Raw_Claims_Data!A2554</f>
        <v>TXN00002551</v>
      </c>
      <c r="B2555" t="str">
        <f>TRIM(Raw_Claims_Data!B2554)</f>
        <v>Benjamin Wagner</v>
      </c>
      <c r="C2555" t="str">
        <f>Raw_Claims_Data!C2554</f>
        <v>Health</v>
      </c>
      <c r="D2555">
        <f>Raw_Claims_Data!D2554</f>
        <v>172.41</v>
      </c>
      <c r="E2555">
        <f>Raw_Claims_Data!E2554</f>
        <v>13000</v>
      </c>
      <c r="F2555" t="str">
        <f>Raw_Claims_Data!F2554</f>
        <v>MD</v>
      </c>
      <c r="G2555" t="str">
        <f>Raw_Claims_Data!G2554</f>
        <v>A</v>
      </c>
      <c r="H2555" t="str">
        <f>Raw_Claims_Data!H2554</f>
        <v>Major Loss</v>
      </c>
      <c r="I2555" t="str">
        <f>IF(Raw_Claims_Data!I2554="","None",Raw_Claims_Data!I2554)</f>
        <v>Ambulance</v>
      </c>
      <c r="J2555" t="str">
        <f>Raw_Claims_Data!J2554</f>
        <v>Washington</v>
      </c>
      <c r="K2555" t="str">
        <f>Raw_Claims_Data!K2554</f>
        <v>DC</v>
      </c>
      <c r="L2555">
        <f>Raw_Claims_Data!L2554</f>
        <v>22</v>
      </c>
      <c r="M2555" t="str">
        <f>IF(Raw_Claims_Data!M2554="","N/A",Raw_Claims_Data!M2554)</f>
        <v>N/A</v>
      </c>
      <c r="N2555" t="str">
        <f>Raw_Claims_Data!N2554</f>
        <v>AGENT00105</v>
      </c>
      <c r="O2555">
        <f>IF(Raw_Claims_Data!G2554="D",1,0)</f>
        <v>0</v>
      </c>
    </row>
    <row r="2556" spans="1:15" x14ac:dyDescent="0.35">
      <c r="A2556" t="str">
        <f>Raw_Claims_Data!A2555</f>
        <v>TXN00002552</v>
      </c>
      <c r="B2556" t="str">
        <f>TRIM(Raw_Claims_Data!B2555)</f>
        <v>Brooks Coughlin</v>
      </c>
      <c r="C2556" t="str">
        <f>Raw_Claims_Data!C2555</f>
        <v>Life</v>
      </c>
      <c r="D2556">
        <f>Raw_Claims_Data!D2555</f>
        <v>92.52</v>
      </c>
      <c r="E2556">
        <f>Raw_Claims_Data!E2555</f>
        <v>65000</v>
      </c>
      <c r="F2556" t="str">
        <f>Raw_Claims_Data!F2555</f>
        <v>DC</v>
      </c>
      <c r="G2556" t="str">
        <f>Raw_Claims_Data!G2555</f>
        <v>A</v>
      </c>
      <c r="H2556" t="str">
        <f>Raw_Claims_Data!H2555</f>
        <v>Total Loss</v>
      </c>
      <c r="I2556" t="str">
        <f>IF(Raw_Claims_Data!I2555="","None",Raw_Claims_Data!I2555)</f>
        <v>None</v>
      </c>
      <c r="J2556" t="str">
        <f>Raw_Claims_Data!J2555</f>
        <v>Lynn Haven</v>
      </c>
      <c r="K2556" t="str">
        <f>Raw_Claims_Data!K2555</f>
        <v>FL</v>
      </c>
      <c r="L2556">
        <f>Raw_Claims_Data!L2555</f>
        <v>15</v>
      </c>
      <c r="M2556" t="str">
        <f>IF(Raw_Claims_Data!M2555="","N/A",Raw_Claims_Data!M2555)</f>
        <v>VNDR00417</v>
      </c>
      <c r="N2556" t="str">
        <f>Raw_Claims_Data!N2555</f>
        <v>AGENT00512</v>
      </c>
      <c r="O2556">
        <f>IF(Raw_Claims_Data!G2555="D",1,0)</f>
        <v>0</v>
      </c>
    </row>
    <row r="2557" spans="1:15" x14ac:dyDescent="0.35">
      <c r="A2557" t="str">
        <f>Raw_Claims_Data!A2556</f>
        <v>TXN00002553</v>
      </c>
      <c r="B2557" t="str">
        <f>TRIM(Raw_Claims_Data!B2556)</f>
        <v>Timothy Pratt</v>
      </c>
      <c r="C2557" t="str">
        <f>Raw_Claims_Data!C2556</f>
        <v>Property</v>
      </c>
      <c r="D2557">
        <f>Raw_Claims_Data!D2556</f>
        <v>125</v>
      </c>
      <c r="E2557">
        <f>Raw_Claims_Data!E2556</f>
        <v>34000</v>
      </c>
      <c r="F2557" t="str">
        <f>Raw_Claims_Data!F2556</f>
        <v>AL</v>
      </c>
      <c r="G2557" t="str">
        <f>Raw_Claims_Data!G2556</f>
        <v>A</v>
      </c>
      <c r="H2557" t="str">
        <f>Raw_Claims_Data!H2556</f>
        <v>Total Loss</v>
      </c>
      <c r="I2557" t="str">
        <f>IF(Raw_Claims_Data!I2556="","None",Raw_Claims_Data!I2556)</f>
        <v>None</v>
      </c>
      <c r="J2557" t="str">
        <f>Raw_Claims_Data!J2556</f>
        <v>Manchester</v>
      </c>
      <c r="K2557" t="str">
        <f>Raw_Claims_Data!K2556</f>
        <v>CT</v>
      </c>
      <c r="L2557">
        <f>Raw_Claims_Data!L2556</f>
        <v>12</v>
      </c>
      <c r="M2557" t="str">
        <f>IF(Raw_Claims_Data!M2556="","N/A",Raw_Claims_Data!M2556)</f>
        <v>VNDR00282</v>
      </c>
      <c r="N2557" t="str">
        <f>Raw_Claims_Data!N2556</f>
        <v>AGENT00427</v>
      </c>
      <c r="O2557">
        <f>IF(Raw_Claims_Data!G2556="D",1,0)</f>
        <v>0</v>
      </c>
    </row>
    <row r="2558" spans="1:15" x14ac:dyDescent="0.35">
      <c r="A2558" t="str">
        <f>Raw_Claims_Data!A2557</f>
        <v>TXN00002554</v>
      </c>
      <c r="B2558" t="str">
        <f>TRIM(Raw_Claims_Data!B2557)</f>
        <v>Susannah Blaine</v>
      </c>
      <c r="C2558" t="str">
        <f>Raw_Claims_Data!C2557</f>
        <v>Travel</v>
      </c>
      <c r="D2558">
        <f>Raw_Claims_Data!D2557</f>
        <v>78.36</v>
      </c>
      <c r="E2558">
        <f>Raw_Claims_Data!E2557</f>
        <v>3000</v>
      </c>
      <c r="F2558" t="str">
        <f>Raw_Claims_Data!F2557</f>
        <v>TN</v>
      </c>
      <c r="G2558" t="str">
        <f>Raw_Claims_Data!G2557</f>
        <v>A</v>
      </c>
      <c r="H2558" t="str">
        <f>Raw_Claims_Data!H2557</f>
        <v>Major Loss</v>
      </c>
      <c r="I2558" t="str">
        <f>IF(Raw_Claims_Data!I2557="","None",Raw_Claims_Data!I2557)</f>
        <v>Police</v>
      </c>
      <c r="J2558" t="str">
        <f>Raw_Claims_Data!J2557</f>
        <v>Montgomery</v>
      </c>
      <c r="K2558" t="str">
        <f>Raw_Claims_Data!K2557</f>
        <v>AL</v>
      </c>
      <c r="L2558">
        <f>Raw_Claims_Data!L2557</f>
        <v>9</v>
      </c>
      <c r="M2558" t="str">
        <f>IF(Raw_Claims_Data!M2557="","N/A",Raw_Claims_Data!M2557)</f>
        <v>N/A</v>
      </c>
      <c r="N2558" t="str">
        <f>Raw_Claims_Data!N2557</f>
        <v>AGENT00221</v>
      </c>
      <c r="O2558">
        <f>IF(Raw_Claims_Data!G2557="D",1,0)</f>
        <v>0</v>
      </c>
    </row>
    <row r="2559" spans="1:15" x14ac:dyDescent="0.35">
      <c r="A2559" t="str">
        <f>Raw_Claims_Data!A2558</f>
        <v>TXN00002555</v>
      </c>
      <c r="B2559" t="str">
        <f>TRIM(Raw_Claims_Data!B2558)</f>
        <v>Evelyn Lummus</v>
      </c>
      <c r="C2559" t="str">
        <f>Raw_Claims_Data!C2558</f>
        <v>Motor</v>
      </c>
      <c r="D2559">
        <f>Raw_Claims_Data!D2558</f>
        <v>128.65</v>
      </c>
      <c r="E2559">
        <f>Raw_Claims_Data!E2558</f>
        <v>3000</v>
      </c>
      <c r="F2559" t="str">
        <f>Raw_Claims_Data!F2558</f>
        <v>TN</v>
      </c>
      <c r="G2559" t="str">
        <f>Raw_Claims_Data!G2558</f>
        <v>A</v>
      </c>
      <c r="H2559" t="str">
        <f>Raw_Claims_Data!H2558</f>
        <v>Total Loss</v>
      </c>
      <c r="I2559" t="str">
        <f>IF(Raw_Claims_Data!I2558="","None",Raw_Claims_Data!I2558)</f>
        <v>Ambulance</v>
      </c>
      <c r="J2559" t="str">
        <f>Raw_Claims_Data!J2558</f>
        <v>Selma</v>
      </c>
      <c r="K2559" t="str">
        <f>Raw_Claims_Data!K2558</f>
        <v>CA</v>
      </c>
      <c r="L2559">
        <f>Raw_Claims_Data!L2558</f>
        <v>19</v>
      </c>
      <c r="M2559" t="str">
        <f>IF(Raw_Claims_Data!M2558="","N/A",Raw_Claims_Data!M2558)</f>
        <v>VNDR00046</v>
      </c>
      <c r="N2559" t="str">
        <f>Raw_Claims_Data!N2558</f>
        <v>AGENT00849</v>
      </c>
      <c r="O2559">
        <f>IF(Raw_Claims_Data!G2558="D",1,0)</f>
        <v>0</v>
      </c>
    </row>
    <row r="2560" spans="1:15" x14ac:dyDescent="0.35">
      <c r="A2560" t="str">
        <f>Raw_Claims_Data!A2559</f>
        <v>TXN00002556</v>
      </c>
      <c r="B2560" t="str">
        <f>TRIM(Raw_Claims_Data!B2559)</f>
        <v>John Coleman</v>
      </c>
      <c r="C2560" t="str">
        <f>Raw_Claims_Data!C2559</f>
        <v>Travel</v>
      </c>
      <c r="D2560">
        <f>Raw_Claims_Data!D2559</f>
        <v>80.94</v>
      </c>
      <c r="E2560">
        <f>Raw_Claims_Data!E2559</f>
        <v>1000</v>
      </c>
      <c r="F2560" t="str">
        <f>Raw_Claims_Data!F2559</f>
        <v>CO</v>
      </c>
      <c r="G2560" t="str">
        <f>Raw_Claims_Data!G2559</f>
        <v>A</v>
      </c>
      <c r="H2560" t="str">
        <f>Raw_Claims_Data!H2559</f>
        <v>Major Loss</v>
      </c>
      <c r="I2560" t="str">
        <f>IF(Raw_Claims_Data!I2559="","None",Raw_Claims_Data!I2559)</f>
        <v>Ambulance</v>
      </c>
      <c r="J2560" t="str">
        <f>Raw_Claims_Data!J2559</f>
        <v>Manchester</v>
      </c>
      <c r="K2560" t="str">
        <f>Raw_Claims_Data!K2559</f>
        <v>CT</v>
      </c>
      <c r="L2560">
        <f>Raw_Claims_Data!L2559</f>
        <v>16</v>
      </c>
      <c r="M2560" t="str">
        <f>IF(Raw_Claims_Data!M2559="","N/A",Raw_Claims_Data!M2559)</f>
        <v>VNDR00466</v>
      </c>
      <c r="N2560" t="str">
        <f>Raw_Claims_Data!N2559</f>
        <v>AGENT00739</v>
      </c>
      <c r="O2560">
        <f>IF(Raw_Claims_Data!G2559="D",1,0)</f>
        <v>0</v>
      </c>
    </row>
    <row r="2561" spans="1:15" x14ac:dyDescent="0.35">
      <c r="A2561" t="str">
        <f>Raw_Claims_Data!A2560</f>
        <v>TXN00002557</v>
      </c>
      <c r="B2561" t="str">
        <f>TRIM(Raw_Claims_Data!B2560)</f>
        <v>Doris Morales</v>
      </c>
      <c r="C2561" t="str">
        <f>Raw_Claims_Data!C2560</f>
        <v>Motor</v>
      </c>
      <c r="D2561">
        <f>Raw_Claims_Data!D2560</f>
        <v>133.19</v>
      </c>
      <c r="E2561">
        <f>Raw_Claims_Data!E2560</f>
        <v>8000</v>
      </c>
      <c r="F2561" t="str">
        <f>Raw_Claims_Data!F2560</f>
        <v>CO</v>
      </c>
      <c r="G2561" t="str">
        <f>Raw_Claims_Data!G2560</f>
        <v>A</v>
      </c>
      <c r="H2561" t="str">
        <f>Raw_Claims_Data!H2560</f>
        <v>Minor Loss</v>
      </c>
      <c r="I2561" t="str">
        <f>IF(Raw_Claims_Data!I2560="","None",Raw_Claims_Data!I2560)</f>
        <v>Ambulance</v>
      </c>
      <c r="J2561" t="str">
        <f>Raw_Claims_Data!J2560</f>
        <v>Oakland</v>
      </c>
      <c r="K2561" t="str">
        <f>Raw_Claims_Data!K2560</f>
        <v>CA</v>
      </c>
      <c r="L2561">
        <f>Raw_Claims_Data!L2560</f>
        <v>19</v>
      </c>
      <c r="M2561" t="str">
        <f>IF(Raw_Claims_Data!M2560="","N/A",Raw_Claims_Data!M2560)</f>
        <v>N/A</v>
      </c>
      <c r="N2561" t="str">
        <f>Raw_Claims_Data!N2560</f>
        <v>AGENT00264</v>
      </c>
      <c r="O2561">
        <f>IF(Raw_Claims_Data!G2560="D",1,0)</f>
        <v>0</v>
      </c>
    </row>
    <row r="2562" spans="1:15" x14ac:dyDescent="0.35">
      <c r="A2562" t="str">
        <f>Raw_Claims_Data!A2561</f>
        <v>TXN00002558</v>
      </c>
      <c r="B2562" t="str">
        <f>TRIM(Raw_Claims_Data!B2561)</f>
        <v>Gloria Perkins</v>
      </c>
      <c r="C2562" t="str">
        <f>Raw_Claims_Data!C2561</f>
        <v>Property</v>
      </c>
      <c r="D2562">
        <f>Raw_Claims_Data!D2561</f>
        <v>149.29</v>
      </c>
      <c r="E2562">
        <f>Raw_Claims_Data!E2561</f>
        <v>19000</v>
      </c>
      <c r="F2562" t="str">
        <f>Raw_Claims_Data!F2561</f>
        <v>KY</v>
      </c>
      <c r="G2562" t="str">
        <f>Raw_Claims_Data!G2561</f>
        <v>A</v>
      </c>
      <c r="H2562" t="str">
        <f>Raw_Claims_Data!H2561</f>
        <v>Total Loss</v>
      </c>
      <c r="I2562" t="str">
        <f>IF(Raw_Claims_Data!I2561="","None",Raw_Claims_Data!I2561)</f>
        <v>Police</v>
      </c>
      <c r="J2562" t="str">
        <f>Raw_Claims_Data!J2561</f>
        <v>Glendale</v>
      </c>
      <c r="K2562" t="str">
        <f>Raw_Claims_Data!K2561</f>
        <v>AZ</v>
      </c>
      <c r="L2562">
        <f>Raw_Claims_Data!L2561</f>
        <v>19</v>
      </c>
      <c r="M2562" t="str">
        <f>IF(Raw_Claims_Data!M2561="","N/A",Raw_Claims_Data!M2561)</f>
        <v>VNDR00132</v>
      </c>
      <c r="N2562" t="str">
        <f>Raw_Claims_Data!N2561</f>
        <v>AGENT00123</v>
      </c>
      <c r="O2562">
        <f>IF(Raw_Claims_Data!G2561="D",1,0)</f>
        <v>0</v>
      </c>
    </row>
    <row r="2563" spans="1:15" x14ac:dyDescent="0.35">
      <c r="A2563" t="str">
        <f>Raw_Claims_Data!A2562</f>
        <v>TXN00002559</v>
      </c>
      <c r="B2563" t="str">
        <f>TRIM(Raw_Claims_Data!B2562)</f>
        <v>Russel Gonzales</v>
      </c>
      <c r="C2563" t="str">
        <f>Raw_Claims_Data!C2562</f>
        <v>Mobile</v>
      </c>
      <c r="D2563">
        <f>Raw_Claims_Data!D2562</f>
        <v>6.08</v>
      </c>
      <c r="E2563">
        <f>Raw_Claims_Data!E2562</f>
        <v>100</v>
      </c>
      <c r="F2563" t="str">
        <f>Raw_Claims_Data!F2562</f>
        <v>VT</v>
      </c>
      <c r="G2563" t="str">
        <f>Raw_Claims_Data!G2562</f>
        <v>A</v>
      </c>
      <c r="H2563" t="str">
        <f>Raw_Claims_Data!H2562</f>
        <v>Minor Loss</v>
      </c>
      <c r="I2563" t="str">
        <f>IF(Raw_Claims_Data!I2562="","None",Raw_Claims_Data!I2562)</f>
        <v>Police</v>
      </c>
      <c r="J2563" t="str">
        <f>Raw_Claims_Data!J2562</f>
        <v>Alameda</v>
      </c>
      <c r="K2563" t="str">
        <f>Raw_Claims_Data!K2562</f>
        <v>CA</v>
      </c>
      <c r="L2563">
        <f>Raw_Claims_Data!L2562</f>
        <v>23</v>
      </c>
      <c r="M2563" t="str">
        <f>IF(Raw_Claims_Data!M2562="","N/A",Raw_Claims_Data!M2562)</f>
        <v>VNDR00170</v>
      </c>
      <c r="N2563" t="str">
        <f>Raw_Claims_Data!N2562</f>
        <v>AGENT01149</v>
      </c>
      <c r="O2563">
        <f>IF(Raw_Claims_Data!G2562="D",1,0)</f>
        <v>0</v>
      </c>
    </row>
    <row r="2564" spans="1:15" x14ac:dyDescent="0.35">
      <c r="A2564" t="str">
        <f>Raw_Claims_Data!A2563</f>
        <v>TXN00002560</v>
      </c>
      <c r="B2564" t="str">
        <f>TRIM(Raw_Claims_Data!B2563)</f>
        <v>Gordon Casale</v>
      </c>
      <c r="C2564" t="str">
        <f>Raw_Claims_Data!C2563</f>
        <v>Health</v>
      </c>
      <c r="D2564">
        <f>Raw_Claims_Data!D2563</f>
        <v>184.93</v>
      </c>
      <c r="E2564">
        <f>Raw_Claims_Data!E2563</f>
        <v>9000</v>
      </c>
      <c r="F2564" t="str">
        <f>Raw_Claims_Data!F2563</f>
        <v>AK</v>
      </c>
      <c r="G2564" t="str">
        <f>Raw_Claims_Data!G2563</f>
        <v>A</v>
      </c>
      <c r="H2564" t="str">
        <f>Raw_Claims_Data!H2563</f>
        <v>Minor Loss</v>
      </c>
      <c r="I2564" t="str">
        <f>IF(Raw_Claims_Data!I2563="","None",Raw_Claims_Data!I2563)</f>
        <v>Ambulance</v>
      </c>
      <c r="J2564" t="str">
        <f>Raw_Claims_Data!J2563</f>
        <v>Washington</v>
      </c>
      <c r="K2564" t="str">
        <f>Raw_Claims_Data!K2563</f>
        <v>DC</v>
      </c>
      <c r="L2564">
        <f>Raw_Claims_Data!L2563</f>
        <v>8</v>
      </c>
      <c r="M2564" t="str">
        <f>IF(Raw_Claims_Data!M2563="","N/A",Raw_Claims_Data!M2563)</f>
        <v>VNDR00451</v>
      </c>
      <c r="N2564" t="str">
        <f>Raw_Claims_Data!N2563</f>
        <v>AGENT00534</v>
      </c>
      <c r="O2564">
        <f>IF(Raw_Claims_Data!G2563="D",1,0)</f>
        <v>0</v>
      </c>
    </row>
    <row r="2565" spans="1:15" x14ac:dyDescent="0.35">
      <c r="A2565" t="str">
        <f>Raw_Claims_Data!A2564</f>
        <v>TXN00002561</v>
      </c>
      <c r="B2565" t="str">
        <f>TRIM(Raw_Claims_Data!B2564)</f>
        <v>Joan Malm</v>
      </c>
      <c r="C2565" t="str">
        <f>Raw_Claims_Data!C2564</f>
        <v>Property</v>
      </c>
      <c r="D2565">
        <f>Raw_Claims_Data!D2564</f>
        <v>115.66</v>
      </c>
      <c r="E2565">
        <f>Raw_Claims_Data!E2564</f>
        <v>38000</v>
      </c>
      <c r="F2565" t="str">
        <f>Raw_Claims_Data!F2564</f>
        <v>AZ</v>
      </c>
      <c r="G2565" t="str">
        <f>Raw_Claims_Data!G2564</f>
        <v>A</v>
      </c>
      <c r="H2565" t="str">
        <f>Raw_Claims_Data!H2564</f>
        <v>Total Loss</v>
      </c>
      <c r="I2565" t="str">
        <f>IF(Raw_Claims_Data!I2564="","None",Raw_Claims_Data!I2564)</f>
        <v>Ambulance</v>
      </c>
      <c r="J2565" t="str">
        <f>Raw_Claims_Data!J2564</f>
        <v>Anchorage</v>
      </c>
      <c r="K2565" t="str">
        <f>Raw_Claims_Data!K2564</f>
        <v>AK</v>
      </c>
      <c r="L2565">
        <f>Raw_Claims_Data!L2564</f>
        <v>19</v>
      </c>
      <c r="M2565" t="str">
        <f>IF(Raw_Claims_Data!M2564="","N/A",Raw_Claims_Data!M2564)</f>
        <v>N/A</v>
      </c>
      <c r="N2565" t="str">
        <f>Raw_Claims_Data!N2564</f>
        <v>AGENT00337</v>
      </c>
      <c r="O2565">
        <f>IF(Raw_Claims_Data!G2564="D",1,0)</f>
        <v>0</v>
      </c>
    </row>
    <row r="2566" spans="1:15" x14ac:dyDescent="0.35">
      <c r="A2566" t="str">
        <f>Raw_Claims_Data!A2565</f>
        <v>TXN00002562</v>
      </c>
      <c r="B2566" t="str">
        <f>TRIM(Raw_Claims_Data!B2565)</f>
        <v>Margaret Sargent</v>
      </c>
      <c r="C2566" t="str">
        <f>Raw_Claims_Data!C2565</f>
        <v>Property</v>
      </c>
      <c r="D2566">
        <f>Raw_Claims_Data!D2565</f>
        <v>153.69999999999999</v>
      </c>
      <c r="E2566">
        <f>Raw_Claims_Data!E2565</f>
        <v>21000</v>
      </c>
      <c r="F2566" t="str">
        <f>Raw_Claims_Data!F2565</f>
        <v>AR</v>
      </c>
      <c r="G2566" t="str">
        <f>Raw_Claims_Data!G2565</f>
        <v>A</v>
      </c>
      <c r="H2566" t="str">
        <f>Raw_Claims_Data!H2565</f>
        <v>Total Loss</v>
      </c>
      <c r="I2566" t="str">
        <f>IF(Raw_Claims_Data!I2565="","None",Raw_Claims_Data!I2565)</f>
        <v>None</v>
      </c>
      <c r="J2566" t="str">
        <f>Raw_Claims_Data!J2565</f>
        <v>Montgomery</v>
      </c>
      <c r="K2566" t="str">
        <f>Raw_Claims_Data!K2565</f>
        <v>AL</v>
      </c>
      <c r="L2566">
        <f>Raw_Claims_Data!L2565</f>
        <v>17</v>
      </c>
      <c r="M2566" t="str">
        <f>IF(Raw_Claims_Data!M2565="","N/A",Raw_Claims_Data!M2565)</f>
        <v>VNDR00522</v>
      </c>
      <c r="N2566" t="str">
        <f>Raw_Claims_Data!N2565</f>
        <v>AGENT00084</v>
      </c>
      <c r="O2566">
        <f>IF(Raw_Claims_Data!G2565="D",1,0)</f>
        <v>0</v>
      </c>
    </row>
    <row r="2567" spans="1:15" x14ac:dyDescent="0.35">
      <c r="A2567" t="str">
        <f>Raw_Claims_Data!A2566</f>
        <v>TXN00002563</v>
      </c>
      <c r="B2567" t="str">
        <f>TRIM(Raw_Claims_Data!B2566)</f>
        <v>Louis Scheer</v>
      </c>
      <c r="C2567" t="str">
        <f>Raw_Claims_Data!C2566</f>
        <v>Health</v>
      </c>
      <c r="D2567">
        <f>Raw_Claims_Data!D2566</f>
        <v>131.75</v>
      </c>
      <c r="E2567">
        <f>Raw_Claims_Data!E2566</f>
        <v>17000</v>
      </c>
      <c r="F2567" t="str">
        <f>Raw_Claims_Data!F2566</f>
        <v>TN</v>
      </c>
      <c r="G2567" t="str">
        <f>Raw_Claims_Data!G2566</f>
        <v>A</v>
      </c>
      <c r="H2567" t="str">
        <f>Raw_Claims_Data!H2566</f>
        <v>Total Loss</v>
      </c>
      <c r="I2567" t="str">
        <f>IF(Raw_Claims_Data!I2566="","None",Raw_Claims_Data!I2566)</f>
        <v>Police</v>
      </c>
      <c r="J2567" t="str">
        <f>Raw_Claims_Data!J2566</f>
        <v>Louisville</v>
      </c>
      <c r="K2567" t="str">
        <f>Raw_Claims_Data!K2566</f>
        <v>KY</v>
      </c>
      <c r="L2567">
        <f>Raw_Claims_Data!L2566</f>
        <v>19</v>
      </c>
      <c r="M2567" t="str">
        <f>IF(Raw_Claims_Data!M2566="","N/A",Raw_Claims_Data!M2566)</f>
        <v>VNDR00431</v>
      </c>
      <c r="N2567" t="str">
        <f>Raw_Claims_Data!N2566</f>
        <v>AGENT01121</v>
      </c>
      <c r="O2567">
        <f>IF(Raw_Claims_Data!G2566="D",1,0)</f>
        <v>0</v>
      </c>
    </row>
    <row r="2568" spans="1:15" x14ac:dyDescent="0.35">
      <c r="A2568" t="str">
        <f>Raw_Claims_Data!A2567</f>
        <v>TXN00002564</v>
      </c>
      <c r="B2568" t="str">
        <f>TRIM(Raw_Claims_Data!B2567)</f>
        <v>Joan Dorsey</v>
      </c>
      <c r="C2568" t="str">
        <f>Raw_Claims_Data!C2567</f>
        <v>Life</v>
      </c>
      <c r="D2568">
        <f>Raw_Claims_Data!D2567</f>
        <v>72.61</v>
      </c>
      <c r="E2568">
        <f>Raw_Claims_Data!E2567</f>
        <v>85000</v>
      </c>
      <c r="F2568" t="str">
        <f>Raw_Claims_Data!F2567</f>
        <v>CT</v>
      </c>
      <c r="G2568" t="str">
        <f>Raw_Claims_Data!G2567</f>
        <v>A</v>
      </c>
      <c r="H2568" t="str">
        <f>Raw_Claims_Data!H2567</f>
        <v>Total Loss</v>
      </c>
      <c r="I2568" t="str">
        <f>IF(Raw_Claims_Data!I2567="","None",Raw_Claims_Data!I2567)</f>
        <v>Police</v>
      </c>
      <c r="J2568" t="str">
        <f>Raw_Claims_Data!J2567</f>
        <v>Nashville</v>
      </c>
      <c r="K2568" t="str">
        <f>Raw_Claims_Data!K2567</f>
        <v>TN</v>
      </c>
      <c r="L2568">
        <f>Raw_Claims_Data!L2567</f>
        <v>12</v>
      </c>
      <c r="M2568" t="str">
        <f>IF(Raw_Claims_Data!M2567="","N/A",Raw_Claims_Data!M2567)</f>
        <v>VNDR00209</v>
      </c>
      <c r="N2568" t="str">
        <f>Raw_Claims_Data!N2567</f>
        <v>AGENT00182</v>
      </c>
      <c r="O2568">
        <f>IF(Raw_Claims_Data!G2567="D",1,0)</f>
        <v>0</v>
      </c>
    </row>
    <row r="2569" spans="1:15" x14ac:dyDescent="0.35">
      <c r="A2569" t="str">
        <f>Raw_Claims_Data!A2568</f>
        <v>TXN00002565</v>
      </c>
      <c r="B2569" t="str">
        <f>TRIM(Raw_Claims_Data!B2568)</f>
        <v>Ellen Buck</v>
      </c>
      <c r="C2569" t="str">
        <f>Raw_Claims_Data!C2568</f>
        <v>Travel</v>
      </c>
      <c r="D2569">
        <f>Raw_Claims_Data!D2568</f>
        <v>54.62</v>
      </c>
      <c r="E2569">
        <f>Raw_Claims_Data!E2568</f>
        <v>3000</v>
      </c>
      <c r="F2569" t="str">
        <f>Raw_Claims_Data!F2568</f>
        <v>AZ</v>
      </c>
      <c r="G2569" t="str">
        <f>Raw_Claims_Data!G2568</f>
        <v>A</v>
      </c>
      <c r="H2569" t="str">
        <f>Raw_Claims_Data!H2568</f>
        <v>Major Loss</v>
      </c>
      <c r="I2569" t="str">
        <f>IF(Raw_Claims_Data!I2568="","None",Raw_Claims_Data!I2568)</f>
        <v>Police</v>
      </c>
      <c r="J2569" t="str">
        <f>Raw_Claims_Data!J2568</f>
        <v>Port Charlotte</v>
      </c>
      <c r="K2569" t="str">
        <f>Raw_Claims_Data!K2568</f>
        <v>FL</v>
      </c>
      <c r="L2569">
        <f>Raw_Claims_Data!L2568</f>
        <v>20</v>
      </c>
      <c r="M2569" t="str">
        <f>IF(Raw_Claims_Data!M2568="","N/A",Raw_Claims_Data!M2568)</f>
        <v>N/A</v>
      </c>
      <c r="N2569" t="str">
        <f>Raw_Claims_Data!N2568</f>
        <v>AGENT00127</v>
      </c>
      <c r="O2569">
        <f>IF(Raw_Claims_Data!G2568="D",1,0)</f>
        <v>0</v>
      </c>
    </row>
    <row r="2570" spans="1:15" x14ac:dyDescent="0.35">
      <c r="A2570" t="str">
        <f>Raw_Claims_Data!A2569</f>
        <v>TXN00002566</v>
      </c>
      <c r="B2570" t="str">
        <f>TRIM(Raw_Claims_Data!B2569)</f>
        <v>Alex Johnson</v>
      </c>
      <c r="C2570" t="str">
        <f>Raw_Claims_Data!C2569</f>
        <v>Health</v>
      </c>
      <c r="D2570">
        <f>Raw_Claims_Data!D2569</f>
        <v>117.32</v>
      </c>
      <c r="E2570">
        <f>Raw_Claims_Data!E2569</f>
        <v>7000</v>
      </c>
      <c r="F2570" t="str">
        <f>Raw_Claims_Data!F2569</f>
        <v>CO</v>
      </c>
      <c r="G2570" t="str">
        <f>Raw_Claims_Data!G2569</f>
        <v>D</v>
      </c>
      <c r="H2570" t="str">
        <f>Raw_Claims_Data!H2569</f>
        <v>Total Loss</v>
      </c>
      <c r="I2570" t="str">
        <f>IF(Raw_Claims_Data!I2569="","None",Raw_Claims_Data!I2569)</f>
        <v>Ambulance</v>
      </c>
      <c r="J2570" t="str">
        <f>Raw_Claims_Data!J2569</f>
        <v>Glendale</v>
      </c>
      <c r="K2570" t="str">
        <f>Raw_Claims_Data!K2569</f>
        <v>AZ</v>
      </c>
      <c r="L2570">
        <f>Raw_Claims_Data!L2569</f>
        <v>11</v>
      </c>
      <c r="M2570" t="str">
        <f>IF(Raw_Claims_Data!M2569="","N/A",Raw_Claims_Data!M2569)</f>
        <v>VNDR00305</v>
      </c>
      <c r="N2570" t="str">
        <f>Raw_Claims_Data!N2569</f>
        <v>AGENT00421</v>
      </c>
      <c r="O2570">
        <f>IF(Raw_Claims_Data!G2569="D",1,0)</f>
        <v>1</v>
      </c>
    </row>
    <row r="2571" spans="1:15" x14ac:dyDescent="0.35">
      <c r="A2571" t="str">
        <f>Raw_Claims_Data!A2570</f>
        <v>TXN00002567</v>
      </c>
      <c r="B2571" t="str">
        <f>TRIM(Raw_Claims_Data!B2570)</f>
        <v>Patricia Thomas</v>
      </c>
      <c r="C2571" t="str">
        <f>Raw_Claims_Data!C2570</f>
        <v>Life</v>
      </c>
      <c r="D2571">
        <f>Raw_Claims_Data!D2570</f>
        <v>58.26</v>
      </c>
      <c r="E2571">
        <f>Raw_Claims_Data!E2570</f>
        <v>58000</v>
      </c>
      <c r="F2571" t="str">
        <f>Raw_Claims_Data!F2570</f>
        <v>CT</v>
      </c>
      <c r="G2571" t="str">
        <f>Raw_Claims_Data!G2570</f>
        <v>A</v>
      </c>
      <c r="H2571" t="str">
        <f>Raw_Claims_Data!H2570</f>
        <v>Major Loss</v>
      </c>
      <c r="I2571" t="str">
        <f>IF(Raw_Claims_Data!I2570="","None",Raw_Claims_Data!I2570)</f>
        <v>Police</v>
      </c>
      <c r="J2571" t="str">
        <f>Raw_Claims_Data!J2570</f>
        <v>Lexington</v>
      </c>
      <c r="K2571" t="str">
        <f>Raw_Claims_Data!K2570</f>
        <v>MA</v>
      </c>
      <c r="L2571">
        <f>Raw_Claims_Data!L2570</f>
        <v>11</v>
      </c>
      <c r="M2571" t="str">
        <f>IF(Raw_Claims_Data!M2570="","N/A",Raw_Claims_Data!M2570)</f>
        <v>VNDR00269</v>
      </c>
      <c r="N2571" t="str">
        <f>Raw_Claims_Data!N2570</f>
        <v>AGENT00424</v>
      </c>
      <c r="O2571">
        <f>IF(Raw_Claims_Data!G2570="D",1,0)</f>
        <v>0</v>
      </c>
    </row>
    <row r="2572" spans="1:15" x14ac:dyDescent="0.35">
      <c r="A2572" t="str">
        <f>Raw_Claims_Data!A2571</f>
        <v>TXN00002568</v>
      </c>
      <c r="B2572" t="str">
        <f>TRIM(Raw_Claims_Data!B2571)</f>
        <v>Kevin Milton</v>
      </c>
      <c r="C2572" t="str">
        <f>Raw_Claims_Data!C2571</f>
        <v>Mobile</v>
      </c>
      <c r="D2572">
        <f>Raw_Claims_Data!D2571</f>
        <v>11.49</v>
      </c>
      <c r="E2572">
        <f>Raw_Claims_Data!E2571</f>
        <v>600</v>
      </c>
      <c r="F2572" t="str">
        <f>Raw_Claims_Data!F2571</f>
        <v>MD</v>
      </c>
      <c r="G2572" t="str">
        <f>Raw_Claims_Data!G2571</f>
        <v>A</v>
      </c>
      <c r="H2572" t="str">
        <f>Raw_Claims_Data!H2571</f>
        <v>Minor Loss</v>
      </c>
      <c r="I2572" t="str">
        <f>IF(Raw_Claims_Data!I2571="","None",Raw_Claims_Data!I2571)</f>
        <v>Ambulance</v>
      </c>
      <c r="J2572" t="str">
        <f>Raw_Claims_Data!J2571</f>
        <v>Glendale</v>
      </c>
      <c r="K2572" t="str">
        <f>Raw_Claims_Data!K2571</f>
        <v>AZ</v>
      </c>
      <c r="L2572">
        <f>Raw_Claims_Data!L2571</f>
        <v>20</v>
      </c>
      <c r="M2572" t="str">
        <f>IF(Raw_Claims_Data!M2571="","N/A",Raw_Claims_Data!M2571)</f>
        <v>N/A</v>
      </c>
      <c r="N2572" t="str">
        <f>Raw_Claims_Data!N2571</f>
        <v>AGENT01149</v>
      </c>
      <c r="O2572">
        <f>IF(Raw_Claims_Data!G2571="D",1,0)</f>
        <v>0</v>
      </c>
    </row>
    <row r="2573" spans="1:15" x14ac:dyDescent="0.35">
      <c r="A2573" t="str">
        <f>Raw_Claims_Data!A2572</f>
        <v>TXN00002569</v>
      </c>
      <c r="B2573" t="str">
        <f>TRIM(Raw_Claims_Data!B2572)</f>
        <v>John Darden</v>
      </c>
      <c r="C2573" t="str">
        <f>Raw_Claims_Data!C2572</f>
        <v>Property</v>
      </c>
      <c r="D2573">
        <f>Raw_Claims_Data!D2572</f>
        <v>127.12</v>
      </c>
      <c r="E2573">
        <f>Raw_Claims_Data!E2572</f>
        <v>34000</v>
      </c>
      <c r="F2573" t="str">
        <f>Raw_Claims_Data!F2572</f>
        <v>GA</v>
      </c>
      <c r="G2573" t="str">
        <f>Raw_Claims_Data!G2572</f>
        <v>A</v>
      </c>
      <c r="H2573" t="str">
        <f>Raw_Claims_Data!H2572</f>
        <v>Total Loss</v>
      </c>
      <c r="I2573" t="str">
        <f>IF(Raw_Claims_Data!I2572="","None",Raw_Claims_Data!I2572)</f>
        <v>Ambulance</v>
      </c>
      <c r="J2573" t="str">
        <f>Raw_Claims_Data!J2572</f>
        <v>Manchester</v>
      </c>
      <c r="K2573" t="str">
        <f>Raw_Claims_Data!K2572</f>
        <v>CT</v>
      </c>
      <c r="L2573">
        <f>Raw_Claims_Data!L2572</f>
        <v>5</v>
      </c>
      <c r="M2573" t="str">
        <f>IF(Raw_Claims_Data!M2572="","N/A",Raw_Claims_Data!M2572)</f>
        <v>VNDR00458</v>
      </c>
      <c r="N2573" t="str">
        <f>Raw_Claims_Data!N2572</f>
        <v>AGENT01099</v>
      </c>
      <c r="O2573">
        <f>IF(Raw_Claims_Data!G2572="D",1,0)</f>
        <v>0</v>
      </c>
    </row>
    <row r="2574" spans="1:15" x14ac:dyDescent="0.35">
      <c r="A2574" t="str">
        <f>Raw_Claims_Data!A2573</f>
        <v>TXN00002570</v>
      </c>
      <c r="B2574" t="str">
        <f>TRIM(Raw_Claims_Data!B2573)</f>
        <v>Margaret Bly</v>
      </c>
      <c r="C2574" t="str">
        <f>Raw_Claims_Data!C2573</f>
        <v>Travel</v>
      </c>
      <c r="D2574">
        <f>Raw_Claims_Data!D2573</f>
        <v>71.17</v>
      </c>
      <c r="E2574">
        <f>Raw_Claims_Data!E2573</f>
        <v>4000</v>
      </c>
      <c r="F2574" t="str">
        <f>Raw_Claims_Data!F2573</f>
        <v>FL</v>
      </c>
      <c r="G2574" t="str">
        <f>Raw_Claims_Data!G2573</f>
        <v>A</v>
      </c>
      <c r="H2574" t="str">
        <f>Raw_Claims_Data!H2573</f>
        <v>Minor Loss</v>
      </c>
      <c r="I2574" t="str">
        <f>IF(Raw_Claims_Data!I2573="","None",Raw_Claims_Data!I2573)</f>
        <v>None</v>
      </c>
      <c r="J2574" t="str">
        <f>Raw_Claims_Data!J2573</f>
        <v>Panama City Beach</v>
      </c>
      <c r="K2574" t="str">
        <f>Raw_Claims_Data!K2573</f>
        <v>FL</v>
      </c>
      <c r="L2574">
        <f>Raw_Claims_Data!L2573</f>
        <v>1</v>
      </c>
      <c r="M2574" t="str">
        <f>IF(Raw_Claims_Data!M2573="","N/A",Raw_Claims_Data!M2573)</f>
        <v>VNDR00513</v>
      </c>
      <c r="N2574" t="str">
        <f>Raw_Claims_Data!N2573</f>
        <v>AGENT01177</v>
      </c>
      <c r="O2574">
        <f>IF(Raw_Claims_Data!G2573="D",1,0)</f>
        <v>0</v>
      </c>
    </row>
    <row r="2575" spans="1:15" x14ac:dyDescent="0.35">
      <c r="A2575" t="str">
        <f>Raw_Claims_Data!A2574</f>
        <v>TXN00002571</v>
      </c>
      <c r="B2575" t="str">
        <f>TRIM(Raw_Claims_Data!B2574)</f>
        <v>Thomas Olvera</v>
      </c>
      <c r="C2575" t="str">
        <f>Raw_Claims_Data!C2574</f>
        <v>Mobile</v>
      </c>
      <c r="D2575">
        <f>Raw_Claims_Data!D2574</f>
        <v>7.4</v>
      </c>
      <c r="E2575">
        <f>Raw_Claims_Data!E2574</f>
        <v>500</v>
      </c>
      <c r="F2575" t="str">
        <f>Raw_Claims_Data!F2574</f>
        <v>CT</v>
      </c>
      <c r="G2575" t="str">
        <f>Raw_Claims_Data!G2574</f>
        <v>A</v>
      </c>
      <c r="H2575" t="str">
        <f>Raw_Claims_Data!H2574</f>
        <v>Minor Loss</v>
      </c>
      <c r="I2575" t="str">
        <f>IF(Raw_Claims_Data!I2574="","None",Raw_Claims_Data!I2574)</f>
        <v>Ambulance</v>
      </c>
      <c r="J2575" t="str">
        <f>Raw_Claims_Data!J2574</f>
        <v>Arvada</v>
      </c>
      <c r="K2575" t="str">
        <f>Raw_Claims_Data!K2574</f>
        <v>CO</v>
      </c>
      <c r="L2575">
        <f>Raw_Claims_Data!L2574</f>
        <v>10</v>
      </c>
      <c r="M2575" t="str">
        <f>IF(Raw_Claims_Data!M2574="","N/A",Raw_Claims_Data!M2574)</f>
        <v>N/A</v>
      </c>
      <c r="N2575" t="str">
        <f>Raw_Claims_Data!N2574</f>
        <v>AGENT00121</v>
      </c>
      <c r="O2575">
        <f>IF(Raw_Claims_Data!G2574="D",1,0)</f>
        <v>0</v>
      </c>
    </row>
    <row r="2576" spans="1:15" x14ac:dyDescent="0.35">
      <c r="A2576" t="str">
        <f>Raw_Claims_Data!A2575</f>
        <v>TXN00002572</v>
      </c>
      <c r="B2576" t="str">
        <f>TRIM(Raw_Claims_Data!B2575)</f>
        <v>Andrew Stewart</v>
      </c>
      <c r="C2576" t="str">
        <f>Raw_Claims_Data!C2575</f>
        <v>Travel</v>
      </c>
      <c r="D2576">
        <f>Raw_Claims_Data!D2575</f>
        <v>80.2</v>
      </c>
      <c r="E2576">
        <f>Raw_Claims_Data!E2575</f>
        <v>3000</v>
      </c>
      <c r="F2576" t="str">
        <f>Raw_Claims_Data!F2575</f>
        <v>MA</v>
      </c>
      <c r="G2576" t="str">
        <f>Raw_Claims_Data!G2575</f>
        <v>A</v>
      </c>
      <c r="H2576" t="str">
        <f>Raw_Claims_Data!H2575</f>
        <v>Total Loss</v>
      </c>
      <c r="I2576" t="str">
        <f>IF(Raw_Claims_Data!I2575="","None",Raw_Claims_Data!I2575)</f>
        <v>Ambulance</v>
      </c>
      <c r="J2576" t="str">
        <f>Raw_Claims_Data!J2575</f>
        <v>Washington</v>
      </c>
      <c r="K2576" t="str">
        <f>Raw_Claims_Data!K2575</f>
        <v>DC</v>
      </c>
      <c r="L2576">
        <f>Raw_Claims_Data!L2575</f>
        <v>11</v>
      </c>
      <c r="M2576" t="str">
        <f>IF(Raw_Claims_Data!M2575="","N/A",Raw_Claims_Data!M2575)</f>
        <v>VNDR00562</v>
      </c>
      <c r="N2576" t="str">
        <f>Raw_Claims_Data!N2575</f>
        <v>AGENT00437</v>
      </c>
      <c r="O2576">
        <f>IF(Raw_Claims_Data!G2575="D",1,0)</f>
        <v>0</v>
      </c>
    </row>
    <row r="2577" spans="1:15" x14ac:dyDescent="0.35">
      <c r="A2577" t="str">
        <f>Raw_Claims_Data!A2576</f>
        <v>TXN00002573</v>
      </c>
      <c r="B2577" t="str">
        <f>TRIM(Raw_Claims_Data!B2576)</f>
        <v>Manuel Stewart</v>
      </c>
      <c r="C2577" t="str">
        <f>Raw_Claims_Data!C2576</f>
        <v>Health</v>
      </c>
      <c r="D2577">
        <f>Raw_Claims_Data!D2576</f>
        <v>102.1</v>
      </c>
      <c r="E2577">
        <f>Raw_Claims_Data!E2576</f>
        <v>19000</v>
      </c>
      <c r="F2577" t="str">
        <f>Raw_Claims_Data!F2576</f>
        <v>CA</v>
      </c>
      <c r="G2577" t="str">
        <f>Raw_Claims_Data!G2576</f>
        <v>A</v>
      </c>
      <c r="H2577" t="str">
        <f>Raw_Claims_Data!H2576</f>
        <v>Total Loss</v>
      </c>
      <c r="I2577" t="str">
        <f>IF(Raw_Claims_Data!I2576="","None",Raw_Claims_Data!I2576)</f>
        <v>Other</v>
      </c>
      <c r="J2577" t="str">
        <f>Raw_Claims_Data!J2576</f>
        <v>Anchorage</v>
      </c>
      <c r="K2577" t="str">
        <f>Raw_Claims_Data!K2576</f>
        <v>AK</v>
      </c>
      <c r="L2577">
        <f>Raw_Claims_Data!L2576</f>
        <v>22</v>
      </c>
      <c r="M2577" t="str">
        <f>IF(Raw_Claims_Data!M2576="","N/A",Raw_Claims_Data!M2576)</f>
        <v>N/A</v>
      </c>
      <c r="N2577" t="str">
        <f>Raw_Claims_Data!N2576</f>
        <v>AGENT01045</v>
      </c>
      <c r="O2577">
        <f>IF(Raw_Claims_Data!G2576="D",1,0)</f>
        <v>0</v>
      </c>
    </row>
    <row r="2578" spans="1:15" x14ac:dyDescent="0.35">
      <c r="A2578" t="str">
        <f>Raw_Claims_Data!A2577</f>
        <v>TXN00002574</v>
      </c>
      <c r="B2578" t="str">
        <f>TRIM(Raw_Claims_Data!B2577)</f>
        <v>Matthew Anderson</v>
      </c>
      <c r="C2578" t="str">
        <f>Raw_Claims_Data!C2577</f>
        <v>Travel</v>
      </c>
      <c r="D2578">
        <f>Raw_Claims_Data!D2577</f>
        <v>50.1</v>
      </c>
      <c r="E2578">
        <f>Raw_Claims_Data!E2577</f>
        <v>5000</v>
      </c>
      <c r="F2578" t="str">
        <f>Raw_Claims_Data!F2577</f>
        <v>VT</v>
      </c>
      <c r="G2578" t="str">
        <f>Raw_Claims_Data!G2577</f>
        <v>A</v>
      </c>
      <c r="H2578" t="str">
        <f>Raw_Claims_Data!H2577</f>
        <v>Total Loss</v>
      </c>
      <c r="I2578" t="str">
        <f>IF(Raw_Claims_Data!I2577="","None",Raw_Claims_Data!I2577)</f>
        <v>Police</v>
      </c>
      <c r="J2578" t="str">
        <f>Raw_Claims_Data!J2577</f>
        <v>Manchester</v>
      </c>
      <c r="K2578" t="str">
        <f>Raw_Claims_Data!K2577</f>
        <v>CT</v>
      </c>
      <c r="L2578">
        <f>Raw_Claims_Data!L2577</f>
        <v>3</v>
      </c>
      <c r="M2578" t="str">
        <f>IF(Raw_Claims_Data!M2577="","N/A",Raw_Claims_Data!M2577)</f>
        <v>N/A</v>
      </c>
      <c r="N2578" t="str">
        <f>Raw_Claims_Data!N2577</f>
        <v>AGENT00271</v>
      </c>
      <c r="O2578">
        <f>IF(Raw_Claims_Data!G2577="D",1,0)</f>
        <v>0</v>
      </c>
    </row>
    <row r="2579" spans="1:15" x14ac:dyDescent="0.35">
      <c r="A2579" t="str">
        <f>Raw_Claims_Data!A2578</f>
        <v>TXN00002575</v>
      </c>
      <c r="B2579" t="str">
        <f>TRIM(Raw_Claims_Data!B2578)</f>
        <v>Jarrod Wells</v>
      </c>
      <c r="C2579" t="str">
        <f>Raw_Claims_Data!C2578</f>
        <v>Property</v>
      </c>
      <c r="D2579">
        <f>Raw_Claims_Data!D2578</f>
        <v>119.03</v>
      </c>
      <c r="E2579">
        <f>Raw_Claims_Data!E2578</f>
        <v>36000</v>
      </c>
      <c r="F2579" t="str">
        <f>Raw_Claims_Data!F2578</f>
        <v>TN</v>
      </c>
      <c r="G2579" t="str">
        <f>Raw_Claims_Data!G2578</f>
        <v>A</v>
      </c>
      <c r="H2579" t="str">
        <f>Raw_Claims_Data!H2578</f>
        <v>Major Loss</v>
      </c>
      <c r="I2579" t="str">
        <f>IF(Raw_Claims_Data!I2578="","None",Raw_Claims_Data!I2578)</f>
        <v>Other</v>
      </c>
      <c r="J2579" t="str">
        <f>Raw_Claims_Data!J2578</f>
        <v>Mountain View</v>
      </c>
      <c r="K2579" t="str">
        <f>Raw_Claims_Data!K2578</f>
        <v>CA</v>
      </c>
      <c r="L2579">
        <f>Raw_Claims_Data!L2578</f>
        <v>18</v>
      </c>
      <c r="M2579" t="str">
        <f>IF(Raw_Claims_Data!M2578="","N/A",Raw_Claims_Data!M2578)</f>
        <v>N/A</v>
      </c>
      <c r="N2579" t="str">
        <f>Raw_Claims_Data!N2578</f>
        <v>AGENT00540</v>
      </c>
      <c r="O2579">
        <f>IF(Raw_Claims_Data!G2578="D",1,0)</f>
        <v>0</v>
      </c>
    </row>
    <row r="2580" spans="1:15" x14ac:dyDescent="0.35">
      <c r="A2580" t="str">
        <f>Raw_Claims_Data!A2579</f>
        <v>TXN00002576</v>
      </c>
      <c r="B2580" t="str">
        <f>TRIM(Raw_Claims_Data!B2579)</f>
        <v>Robert Gochenour</v>
      </c>
      <c r="C2580" t="str">
        <f>Raw_Claims_Data!C2579</f>
        <v>Life</v>
      </c>
      <c r="D2580">
        <f>Raw_Claims_Data!D2579</f>
        <v>56.34</v>
      </c>
      <c r="E2580">
        <f>Raw_Claims_Data!E2579</f>
        <v>33000</v>
      </c>
      <c r="F2580" t="str">
        <f>Raw_Claims_Data!F2579</f>
        <v>TN</v>
      </c>
      <c r="G2580" t="str">
        <f>Raw_Claims_Data!G2579</f>
        <v>A</v>
      </c>
      <c r="H2580" t="str">
        <f>Raw_Claims_Data!H2579</f>
        <v>Major Loss</v>
      </c>
      <c r="I2580" t="str">
        <f>IF(Raw_Claims_Data!I2579="","None",Raw_Claims_Data!I2579)</f>
        <v>None</v>
      </c>
      <c r="J2580" t="str">
        <f>Raw_Claims_Data!J2579</f>
        <v>Anchorage</v>
      </c>
      <c r="K2580" t="str">
        <f>Raw_Claims_Data!K2579</f>
        <v>AK</v>
      </c>
      <c r="L2580">
        <f>Raw_Claims_Data!L2579</f>
        <v>3</v>
      </c>
      <c r="M2580" t="str">
        <f>IF(Raw_Claims_Data!M2579="","N/A",Raw_Claims_Data!M2579)</f>
        <v>VNDR00043</v>
      </c>
      <c r="N2580" t="str">
        <f>Raw_Claims_Data!N2579</f>
        <v>AGENT00376</v>
      </c>
      <c r="O2580">
        <f>IF(Raw_Claims_Data!G2579="D",1,0)</f>
        <v>0</v>
      </c>
    </row>
    <row r="2581" spans="1:15" x14ac:dyDescent="0.35">
      <c r="A2581" t="str">
        <f>Raw_Claims_Data!A2580</f>
        <v>TXN00002577</v>
      </c>
      <c r="B2581" t="str">
        <f>TRIM(Raw_Claims_Data!B2580)</f>
        <v>Leslie Allen</v>
      </c>
      <c r="C2581" t="str">
        <f>Raw_Claims_Data!C2580</f>
        <v>Travel</v>
      </c>
      <c r="D2581">
        <f>Raw_Claims_Data!D2580</f>
        <v>83.23</v>
      </c>
      <c r="E2581">
        <f>Raw_Claims_Data!E2580</f>
        <v>1000</v>
      </c>
      <c r="F2581" t="str">
        <f>Raw_Claims_Data!F2580</f>
        <v>CA</v>
      </c>
      <c r="G2581" t="str">
        <f>Raw_Claims_Data!G2580</f>
        <v>D</v>
      </c>
      <c r="H2581" t="str">
        <f>Raw_Claims_Data!H2580</f>
        <v>Total Loss</v>
      </c>
      <c r="I2581" t="str">
        <f>IF(Raw_Claims_Data!I2580="","None",Raw_Claims_Data!I2580)</f>
        <v>None</v>
      </c>
      <c r="J2581" t="str">
        <f>Raw_Claims_Data!J2580</f>
        <v>Fayetteville</v>
      </c>
      <c r="K2581" t="str">
        <f>Raw_Claims_Data!K2580</f>
        <v>AR</v>
      </c>
      <c r="L2581">
        <f>Raw_Claims_Data!L2580</f>
        <v>15</v>
      </c>
      <c r="M2581" t="str">
        <f>IF(Raw_Claims_Data!M2580="","N/A",Raw_Claims_Data!M2580)</f>
        <v>VNDR00202</v>
      </c>
      <c r="N2581" t="str">
        <f>Raw_Claims_Data!N2580</f>
        <v>AGENT00266</v>
      </c>
      <c r="O2581">
        <f>IF(Raw_Claims_Data!G2580="D",1,0)</f>
        <v>1</v>
      </c>
    </row>
    <row r="2582" spans="1:15" x14ac:dyDescent="0.35">
      <c r="A2582" t="str">
        <f>Raw_Claims_Data!A2581</f>
        <v>TXN00002578</v>
      </c>
      <c r="B2582" t="str">
        <f>TRIM(Raw_Claims_Data!B2581)</f>
        <v>Issac Bonn</v>
      </c>
      <c r="C2582" t="str">
        <f>Raw_Claims_Data!C2581</f>
        <v>Health</v>
      </c>
      <c r="D2582">
        <f>Raw_Claims_Data!D2581</f>
        <v>152.12</v>
      </c>
      <c r="E2582">
        <f>Raw_Claims_Data!E2581</f>
        <v>8000</v>
      </c>
      <c r="F2582" t="str">
        <f>Raw_Claims_Data!F2581</f>
        <v>MD</v>
      </c>
      <c r="G2582" t="str">
        <f>Raw_Claims_Data!G2581</f>
        <v>A</v>
      </c>
      <c r="H2582" t="str">
        <f>Raw_Claims_Data!H2581</f>
        <v>Minor Loss</v>
      </c>
      <c r="I2582" t="str">
        <f>IF(Raw_Claims_Data!I2581="","None",Raw_Claims_Data!I2581)</f>
        <v>None</v>
      </c>
      <c r="J2582" t="str">
        <f>Raw_Claims_Data!J2581</f>
        <v>Fayetteville</v>
      </c>
      <c r="K2582" t="str">
        <f>Raw_Claims_Data!K2581</f>
        <v>AR</v>
      </c>
      <c r="L2582">
        <f>Raw_Claims_Data!L2581</f>
        <v>3</v>
      </c>
      <c r="M2582" t="str">
        <f>IF(Raw_Claims_Data!M2581="","N/A",Raw_Claims_Data!M2581)</f>
        <v>N/A</v>
      </c>
      <c r="N2582" t="str">
        <f>Raw_Claims_Data!N2581</f>
        <v>AGENT00382</v>
      </c>
      <c r="O2582">
        <f>IF(Raw_Claims_Data!G2581="D",1,0)</f>
        <v>0</v>
      </c>
    </row>
    <row r="2583" spans="1:15" x14ac:dyDescent="0.35">
      <c r="A2583" t="str">
        <f>Raw_Claims_Data!A2582</f>
        <v>TXN00002579</v>
      </c>
      <c r="B2583" t="str">
        <f>TRIM(Raw_Claims_Data!B2582)</f>
        <v>Yolanda Beek</v>
      </c>
      <c r="C2583" t="str">
        <f>Raw_Claims_Data!C2582</f>
        <v>Life</v>
      </c>
      <c r="D2583">
        <f>Raw_Claims_Data!D2582</f>
        <v>84.62</v>
      </c>
      <c r="E2583">
        <f>Raw_Claims_Data!E2582</f>
        <v>55000</v>
      </c>
      <c r="F2583" t="str">
        <f>Raw_Claims_Data!F2582</f>
        <v>FL</v>
      </c>
      <c r="G2583" t="str">
        <f>Raw_Claims_Data!G2582</f>
        <v>A</v>
      </c>
      <c r="H2583" t="str">
        <f>Raw_Claims_Data!H2582</f>
        <v>Minor Loss</v>
      </c>
      <c r="I2583" t="str">
        <f>IF(Raw_Claims_Data!I2582="","None",Raw_Claims_Data!I2582)</f>
        <v>Ambulance</v>
      </c>
      <c r="J2583" t="str">
        <f>Raw_Claims_Data!J2582</f>
        <v>Plymouth</v>
      </c>
      <c r="K2583" t="str">
        <f>Raw_Claims_Data!K2582</f>
        <v>MA</v>
      </c>
      <c r="L2583">
        <f>Raw_Claims_Data!L2582</f>
        <v>11</v>
      </c>
      <c r="M2583" t="str">
        <f>IF(Raw_Claims_Data!M2582="","N/A",Raw_Claims_Data!M2582)</f>
        <v>N/A</v>
      </c>
      <c r="N2583" t="str">
        <f>Raw_Claims_Data!N2582</f>
        <v>AGENT00954</v>
      </c>
      <c r="O2583">
        <f>IF(Raw_Claims_Data!G2582="D",1,0)</f>
        <v>0</v>
      </c>
    </row>
    <row r="2584" spans="1:15" x14ac:dyDescent="0.35">
      <c r="A2584" t="str">
        <f>Raw_Claims_Data!A2583</f>
        <v>TXN00002580</v>
      </c>
      <c r="B2584" t="str">
        <f>TRIM(Raw_Claims_Data!B2583)</f>
        <v>Ryan Creason</v>
      </c>
      <c r="C2584" t="str">
        <f>Raw_Claims_Data!C2583</f>
        <v>Property</v>
      </c>
      <c r="D2584">
        <f>Raw_Claims_Data!D2583</f>
        <v>82.38</v>
      </c>
      <c r="E2584">
        <f>Raw_Claims_Data!E2583</f>
        <v>28000</v>
      </c>
      <c r="F2584" t="str">
        <f>Raw_Claims_Data!F2583</f>
        <v>CT</v>
      </c>
      <c r="G2584" t="str">
        <f>Raw_Claims_Data!G2583</f>
        <v>A</v>
      </c>
      <c r="H2584" t="str">
        <f>Raw_Claims_Data!H2583</f>
        <v>Major Loss</v>
      </c>
      <c r="I2584" t="str">
        <f>IF(Raw_Claims_Data!I2583="","None",Raw_Claims_Data!I2583)</f>
        <v>Ambulance</v>
      </c>
      <c r="J2584" t="str">
        <f>Raw_Claims_Data!J2583</f>
        <v>Fayetteville</v>
      </c>
      <c r="K2584" t="str">
        <f>Raw_Claims_Data!K2583</f>
        <v>AR</v>
      </c>
      <c r="L2584">
        <f>Raw_Claims_Data!L2583</f>
        <v>16</v>
      </c>
      <c r="M2584" t="str">
        <f>IF(Raw_Claims_Data!M2583="","N/A",Raw_Claims_Data!M2583)</f>
        <v>VNDR00381</v>
      </c>
      <c r="N2584" t="str">
        <f>Raw_Claims_Data!N2583</f>
        <v>AGENT00302</v>
      </c>
      <c r="O2584">
        <f>IF(Raw_Claims_Data!G2583="D",1,0)</f>
        <v>0</v>
      </c>
    </row>
    <row r="2585" spans="1:15" x14ac:dyDescent="0.35">
      <c r="A2585" t="str">
        <f>Raw_Claims_Data!A2584</f>
        <v>TXN00002581</v>
      </c>
      <c r="B2585" t="str">
        <f>TRIM(Raw_Claims_Data!B2584)</f>
        <v>Charles Roberts</v>
      </c>
      <c r="C2585" t="str">
        <f>Raw_Claims_Data!C2584</f>
        <v>Life</v>
      </c>
      <c r="D2585">
        <f>Raw_Claims_Data!D2584</f>
        <v>51.1</v>
      </c>
      <c r="E2585">
        <f>Raw_Claims_Data!E2584</f>
        <v>32000</v>
      </c>
      <c r="F2585" t="str">
        <f>Raw_Claims_Data!F2584</f>
        <v>GA</v>
      </c>
      <c r="G2585" t="str">
        <f>Raw_Claims_Data!G2584</f>
        <v>A</v>
      </c>
      <c r="H2585" t="str">
        <f>Raw_Claims_Data!H2584</f>
        <v>Minor Loss</v>
      </c>
      <c r="I2585" t="str">
        <f>IF(Raw_Claims_Data!I2584="","None",Raw_Claims_Data!I2584)</f>
        <v>Ambulance</v>
      </c>
      <c r="J2585" t="str">
        <f>Raw_Claims_Data!J2584</f>
        <v>Manchester</v>
      </c>
      <c r="K2585" t="str">
        <f>Raw_Claims_Data!K2584</f>
        <v>CT</v>
      </c>
      <c r="L2585">
        <f>Raw_Claims_Data!L2584</f>
        <v>3</v>
      </c>
      <c r="M2585" t="str">
        <f>IF(Raw_Claims_Data!M2584="","N/A",Raw_Claims_Data!M2584)</f>
        <v>VNDR00293</v>
      </c>
      <c r="N2585" t="str">
        <f>Raw_Claims_Data!N2584</f>
        <v>AGENT00361</v>
      </c>
      <c r="O2585">
        <f>IF(Raw_Claims_Data!G2584="D",1,0)</f>
        <v>0</v>
      </c>
    </row>
    <row r="2586" spans="1:15" x14ac:dyDescent="0.35">
      <c r="A2586" t="str">
        <f>Raw_Claims_Data!A2585</f>
        <v>TXN00002582</v>
      </c>
      <c r="B2586" t="str">
        <f>TRIM(Raw_Claims_Data!B2585)</f>
        <v>Diane Durkin</v>
      </c>
      <c r="C2586" t="str">
        <f>Raw_Claims_Data!C2585</f>
        <v>Property</v>
      </c>
      <c r="D2586">
        <f>Raw_Claims_Data!D2585</f>
        <v>152.91</v>
      </c>
      <c r="E2586">
        <f>Raw_Claims_Data!E2585</f>
        <v>16000</v>
      </c>
      <c r="F2586" t="str">
        <f>Raw_Claims_Data!F2585</f>
        <v>CA</v>
      </c>
      <c r="G2586" t="str">
        <f>Raw_Claims_Data!G2585</f>
        <v>A</v>
      </c>
      <c r="H2586" t="str">
        <f>Raw_Claims_Data!H2585</f>
        <v>Minor Loss</v>
      </c>
      <c r="I2586" t="str">
        <f>IF(Raw_Claims_Data!I2585="","None",Raw_Claims_Data!I2585)</f>
        <v>Police</v>
      </c>
      <c r="J2586" t="str">
        <f>Raw_Claims_Data!J2585</f>
        <v>Severn</v>
      </c>
      <c r="K2586" t="str">
        <f>Raw_Claims_Data!K2585</f>
        <v>MD</v>
      </c>
      <c r="L2586">
        <f>Raw_Claims_Data!L2585</f>
        <v>14</v>
      </c>
      <c r="M2586" t="str">
        <f>IF(Raw_Claims_Data!M2585="","N/A",Raw_Claims_Data!M2585)</f>
        <v>VNDR00495</v>
      </c>
      <c r="N2586" t="str">
        <f>Raw_Claims_Data!N2585</f>
        <v>AGENT00679</v>
      </c>
      <c r="O2586">
        <f>IF(Raw_Claims_Data!G2585="D",1,0)</f>
        <v>0</v>
      </c>
    </row>
    <row r="2587" spans="1:15" x14ac:dyDescent="0.35">
      <c r="A2587" t="str">
        <f>Raw_Claims_Data!A2586</f>
        <v>TXN00002583</v>
      </c>
      <c r="B2587" t="str">
        <f>TRIM(Raw_Claims_Data!B2586)</f>
        <v>Judith Frazier</v>
      </c>
      <c r="C2587" t="str">
        <f>Raw_Claims_Data!C2586</f>
        <v>Mobile</v>
      </c>
      <c r="D2587">
        <f>Raw_Claims_Data!D2586</f>
        <v>9.77</v>
      </c>
      <c r="E2587">
        <f>Raw_Claims_Data!E2586</f>
        <v>600</v>
      </c>
      <c r="F2587" t="str">
        <f>Raw_Claims_Data!F2586</f>
        <v>MA</v>
      </c>
      <c r="G2587" t="str">
        <f>Raw_Claims_Data!G2586</f>
        <v>A</v>
      </c>
      <c r="H2587" t="str">
        <f>Raw_Claims_Data!H2586</f>
        <v>Minor Loss</v>
      </c>
      <c r="I2587" t="str">
        <f>IF(Raw_Claims_Data!I2586="","None",Raw_Claims_Data!I2586)</f>
        <v>Other</v>
      </c>
      <c r="J2587" t="str">
        <f>Raw_Claims_Data!J2586</f>
        <v>Nashville</v>
      </c>
      <c r="K2587" t="str">
        <f>Raw_Claims_Data!K2586</f>
        <v>TN</v>
      </c>
      <c r="L2587">
        <f>Raw_Claims_Data!L2586</f>
        <v>3</v>
      </c>
      <c r="M2587" t="str">
        <f>IF(Raw_Claims_Data!M2586="","N/A",Raw_Claims_Data!M2586)</f>
        <v>N/A</v>
      </c>
      <c r="N2587" t="str">
        <f>Raw_Claims_Data!N2586</f>
        <v>AGENT00272</v>
      </c>
      <c r="O2587">
        <f>IF(Raw_Claims_Data!G2586="D",1,0)</f>
        <v>0</v>
      </c>
    </row>
    <row r="2588" spans="1:15" x14ac:dyDescent="0.35">
      <c r="A2588" t="str">
        <f>Raw_Claims_Data!A2587</f>
        <v>TXN00002584</v>
      </c>
      <c r="B2588" t="str">
        <f>TRIM(Raw_Claims_Data!B2587)</f>
        <v>Paulette Mcvay</v>
      </c>
      <c r="C2588" t="str">
        <f>Raw_Claims_Data!C2587</f>
        <v>Mobile</v>
      </c>
      <c r="D2588">
        <f>Raw_Claims_Data!D2587</f>
        <v>11.74</v>
      </c>
      <c r="E2588">
        <f>Raw_Claims_Data!E2587</f>
        <v>100</v>
      </c>
      <c r="F2588" t="str">
        <f>Raw_Claims_Data!F2587</f>
        <v>GA</v>
      </c>
      <c r="G2588" t="str">
        <f>Raw_Claims_Data!G2587</f>
        <v>A</v>
      </c>
      <c r="H2588" t="str">
        <f>Raw_Claims_Data!H2587</f>
        <v>Major Loss</v>
      </c>
      <c r="I2588" t="str">
        <f>IF(Raw_Claims_Data!I2587="","None",Raw_Claims_Data!I2587)</f>
        <v>Ambulance</v>
      </c>
      <c r="J2588" t="str">
        <f>Raw_Claims_Data!J2587</f>
        <v>Livermore</v>
      </c>
      <c r="K2588" t="str">
        <f>Raw_Claims_Data!K2587</f>
        <v>CA</v>
      </c>
      <c r="L2588">
        <f>Raw_Claims_Data!L2587</f>
        <v>22</v>
      </c>
      <c r="M2588" t="str">
        <f>IF(Raw_Claims_Data!M2587="","N/A",Raw_Claims_Data!M2587)</f>
        <v>N/A</v>
      </c>
      <c r="N2588" t="str">
        <f>Raw_Claims_Data!N2587</f>
        <v>AGENT00726</v>
      </c>
      <c r="O2588">
        <f>IF(Raw_Claims_Data!G2587="D",1,0)</f>
        <v>0</v>
      </c>
    </row>
    <row r="2589" spans="1:15" x14ac:dyDescent="0.35">
      <c r="A2589" t="str">
        <f>Raw_Claims_Data!A2588</f>
        <v>TXN00002585</v>
      </c>
      <c r="B2589" t="str">
        <f>TRIM(Raw_Claims_Data!B2588)</f>
        <v>Christopher Emery</v>
      </c>
      <c r="C2589" t="str">
        <f>Raw_Claims_Data!C2588</f>
        <v>Motor</v>
      </c>
      <c r="D2589">
        <f>Raw_Claims_Data!D2588</f>
        <v>138.28</v>
      </c>
      <c r="E2589">
        <f>Raw_Claims_Data!E2588</f>
        <v>8000</v>
      </c>
      <c r="F2589" t="str">
        <f>Raw_Claims_Data!F2588</f>
        <v>TN</v>
      </c>
      <c r="G2589" t="str">
        <f>Raw_Claims_Data!G2588</f>
        <v>A</v>
      </c>
      <c r="H2589" t="str">
        <f>Raw_Claims_Data!H2588</f>
        <v>Total Loss</v>
      </c>
      <c r="I2589" t="str">
        <f>IF(Raw_Claims_Data!I2588="","None",Raw_Claims_Data!I2588)</f>
        <v>Ambulance</v>
      </c>
      <c r="J2589" t="str">
        <f>Raw_Claims_Data!J2588</f>
        <v>Oakland</v>
      </c>
      <c r="K2589" t="str">
        <f>Raw_Claims_Data!K2588</f>
        <v>CA</v>
      </c>
      <c r="L2589">
        <f>Raw_Claims_Data!L2588</f>
        <v>15</v>
      </c>
      <c r="M2589" t="str">
        <f>IF(Raw_Claims_Data!M2588="","N/A",Raw_Claims_Data!M2588)</f>
        <v>N/A</v>
      </c>
      <c r="N2589" t="str">
        <f>Raw_Claims_Data!N2588</f>
        <v>AGENT00905</v>
      </c>
      <c r="O2589">
        <f>IF(Raw_Claims_Data!G2588="D",1,0)</f>
        <v>0</v>
      </c>
    </row>
    <row r="2590" spans="1:15" x14ac:dyDescent="0.35">
      <c r="A2590" t="str">
        <f>Raw_Claims_Data!A2589</f>
        <v>TXN00002586</v>
      </c>
      <c r="B2590" t="str">
        <f>TRIM(Raw_Claims_Data!B2589)</f>
        <v>Denise Shallenberger</v>
      </c>
      <c r="C2590" t="str">
        <f>Raw_Claims_Data!C2589</f>
        <v>Property</v>
      </c>
      <c r="D2590">
        <f>Raw_Claims_Data!D2589</f>
        <v>124.03</v>
      </c>
      <c r="E2590">
        <f>Raw_Claims_Data!E2589</f>
        <v>40000</v>
      </c>
      <c r="F2590" t="str">
        <f>Raw_Claims_Data!F2589</f>
        <v>GA</v>
      </c>
      <c r="G2590" t="str">
        <f>Raw_Claims_Data!G2589</f>
        <v>A</v>
      </c>
      <c r="H2590" t="str">
        <f>Raw_Claims_Data!H2589</f>
        <v>Minor Loss</v>
      </c>
      <c r="I2590" t="str">
        <f>IF(Raw_Claims_Data!I2589="","None",Raw_Claims_Data!I2589)</f>
        <v>Police</v>
      </c>
      <c r="J2590" t="str">
        <f>Raw_Claims_Data!J2589</f>
        <v>Manchester</v>
      </c>
      <c r="K2590" t="str">
        <f>Raw_Claims_Data!K2589</f>
        <v>CT</v>
      </c>
      <c r="L2590">
        <f>Raw_Claims_Data!L2589</f>
        <v>15</v>
      </c>
      <c r="M2590" t="str">
        <f>IF(Raw_Claims_Data!M2589="","N/A",Raw_Claims_Data!M2589)</f>
        <v>VNDR00200</v>
      </c>
      <c r="N2590" t="str">
        <f>Raw_Claims_Data!N2589</f>
        <v>AGENT00319</v>
      </c>
      <c r="O2590">
        <f>IF(Raw_Claims_Data!G2589="D",1,0)</f>
        <v>0</v>
      </c>
    </row>
    <row r="2591" spans="1:15" x14ac:dyDescent="0.35">
      <c r="A2591" t="str">
        <f>Raw_Claims_Data!A2590</f>
        <v>TXN00002587</v>
      </c>
      <c r="B2591" t="str">
        <f>TRIM(Raw_Claims_Data!B2590)</f>
        <v>George Haines</v>
      </c>
      <c r="C2591" t="str">
        <f>Raw_Claims_Data!C2590</f>
        <v>Life</v>
      </c>
      <c r="D2591">
        <f>Raw_Claims_Data!D2590</f>
        <v>55.32</v>
      </c>
      <c r="E2591">
        <f>Raw_Claims_Data!E2590</f>
        <v>18000</v>
      </c>
      <c r="F2591" t="str">
        <f>Raw_Claims_Data!F2590</f>
        <v>GA</v>
      </c>
      <c r="G2591" t="str">
        <f>Raw_Claims_Data!G2590</f>
        <v>A</v>
      </c>
      <c r="H2591" t="str">
        <f>Raw_Claims_Data!H2590</f>
        <v>Total Loss</v>
      </c>
      <c r="I2591" t="str">
        <f>IF(Raw_Claims_Data!I2590="","None",Raw_Claims_Data!I2590)</f>
        <v>None</v>
      </c>
      <c r="J2591" t="str">
        <f>Raw_Claims_Data!J2590</f>
        <v>Montgomery</v>
      </c>
      <c r="K2591" t="str">
        <f>Raw_Claims_Data!K2590</f>
        <v>AL</v>
      </c>
      <c r="L2591">
        <f>Raw_Claims_Data!L2590</f>
        <v>19</v>
      </c>
      <c r="M2591" t="str">
        <f>IF(Raw_Claims_Data!M2590="","N/A",Raw_Claims_Data!M2590)</f>
        <v>VNDR00222</v>
      </c>
      <c r="N2591" t="str">
        <f>Raw_Claims_Data!N2590</f>
        <v>AGENT01146</v>
      </c>
      <c r="O2591">
        <f>IF(Raw_Claims_Data!G2590="D",1,0)</f>
        <v>0</v>
      </c>
    </row>
    <row r="2592" spans="1:15" x14ac:dyDescent="0.35">
      <c r="A2592" t="str">
        <f>Raw_Claims_Data!A2591</f>
        <v>TXN00002588</v>
      </c>
      <c r="B2592" t="str">
        <f>TRIM(Raw_Claims_Data!B2591)</f>
        <v>Willie Laster</v>
      </c>
      <c r="C2592" t="str">
        <f>Raw_Claims_Data!C2591</f>
        <v>Health</v>
      </c>
      <c r="D2592">
        <f>Raw_Claims_Data!D2591</f>
        <v>109.52</v>
      </c>
      <c r="E2592">
        <f>Raw_Claims_Data!E2591</f>
        <v>16000</v>
      </c>
      <c r="F2592" t="str">
        <f>Raw_Claims_Data!F2591</f>
        <v>OK</v>
      </c>
      <c r="G2592" t="str">
        <f>Raw_Claims_Data!G2591</f>
        <v>A</v>
      </c>
      <c r="H2592" t="str">
        <f>Raw_Claims_Data!H2591</f>
        <v>Major Loss</v>
      </c>
      <c r="I2592" t="str">
        <f>IF(Raw_Claims_Data!I2591="","None",Raw_Claims_Data!I2591)</f>
        <v>Other</v>
      </c>
      <c r="J2592" t="str">
        <f>Raw_Claims_Data!J2591</f>
        <v>Glen Burnie</v>
      </c>
      <c r="K2592" t="str">
        <f>Raw_Claims_Data!K2591</f>
        <v>MD</v>
      </c>
      <c r="L2592">
        <f>Raw_Claims_Data!L2591</f>
        <v>13</v>
      </c>
      <c r="M2592" t="str">
        <f>IF(Raw_Claims_Data!M2591="","N/A",Raw_Claims_Data!M2591)</f>
        <v>VNDR00402</v>
      </c>
      <c r="N2592" t="str">
        <f>Raw_Claims_Data!N2591</f>
        <v>AGENT01052</v>
      </c>
      <c r="O2592">
        <f>IF(Raw_Claims_Data!G2591="D",1,0)</f>
        <v>0</v>
      </c>
    </row>
    <row r="2593" spans="1:15" x14ac:dyDescent="0.35">
      <c r="A2593" t="str">
        <f>Raw_Claims_Data!A2592</f>
        <v>TXN00002589</v>
      </c>
      <c r="B2593" t="str">
        <f>TRIM(Raw_Claims_Data!B2592)</f>
        <v>Ethel Chirino</v>
      </c>
      <c r="C2593" t="str">
        <f>Raw_Claims_Data!C2592</f>
        <v>Life</v>
      </c>
      <c r="D2593">
        <f>Raw_Claims_Data!D2592</f>
        <v>92.9</v>
      </c>
      <c r="E2593">
        <f>Raw_Claims_Data!E2592</f>
        <v>65000</v>
      </c>
      <c r="F2593" t="str">
        <f>Raw_Claims_Data!F2592</f>
        <v>CA</v>
      </c>
      <c r="G2593" t="str">
        <f>Raw_Claims_Data!G2592</f>
        <v>A</v>
      </c>
      <c r="H2593" t="str">
        <f>Raw_Claims_Data!H2592</f>
        <v>Total Loss</v>
      </c>
      <c r="I2593" t="str">
        <f>IF(Raw_Claims_Data!I2592="","None",Raw_Claims_Data!I2592)</f>
        <v>Police</v>
      </c>
      <c r="J2593" t="str">
        <f>Raw_Claims_Data!J2592</f>
        <v>Webster</v>
      </c>
      <c r="K2593" t="str">
        <f>Raw_Claims_Data!K2592</f>
        <v>MA</v>
      </c>
      <c r="L2593">
        <f>Raw_Claims_Data!L2592</f>
        <v>4</v>
      </c>
      <c r="M2593" t="str">
        <f>IF(Raw_Claims_Data!M2592="","N/A",Raw_Claims_Data!M2592)</f>
        <v>VNDR00579</v>
      </c>
      <c r="N2593" t="str">
        <f>Raw_Claims_Data!N2592</f>
        <v>AGENT00806</v>
      </c>
      <c r="O2593">
        <f>IF(Raw_Claims_Data!G2592="D",1,0)</f>
        <v>0</v>
      </c>
    </row>
    <row r="2594" spans="1:15" x14ac:dyDescent="0.35">
      <c r="A2594" t="str">
        <f>Raw_Claims_Data!A2593</f>
        <v>TXN00002590</v>
      </c>
      <c r="B2594" t="str">
        <f>TRIM(Raw_Claims_Data!B2593)</f>
        <v>Mary Jenkins</v>
      </c>
      <c r="C2594" t="str">
        <f>Raw_Claims_Data!C2593</f>
        <v>Health</v>
      </c>
      <c r="D2594">
        <f>Raw_Claims_Data!D2593</f>
        <v>197.92</v>
      </c>
      <c r="E2594">
        <f>Raw_Claims_Data!E2593</f>
        <v>10000</v>
      </c>
      <c r="F2594" t="str">
        <f>Raw_Claims_Data!F2593</f>
        <v>CT</v>
      </c>
      <c r="G2594" t="str">
        <f>Raw_Claims_Data!G2593</f>
        <v>A</v>
      </c>
      <c r="H2594" t="str">
        <f>Raw_Claims_Data!H2593</f>
        <v>Total Loss</v>
      </c>
      <c r="I2594" t="str">
        <f>IF(Raw_Claims_Data!I2593="","None",Raw_Claims_Data!I2593)</f>
        <v>Police</v>
      </c>
      <c r="J2594" t="str">
        <f>Raw_Claims_Data!J2593</f>
        <v>Fayetteville</v>
      </c>
      <c r="K2594" t="str">
        <f>Raw_Claims_Data!K2593</f>
        <v>AR</v>
      </c>
      <c r="L2594">
        <f>Raw_Claims_Data!L2593</f>
        <v>13</v>
      </c>
      <c r="M2594" t="str">
        <f>IF(Raw_Claims_Data!M2593="","N/A",Raw_Claims_Data!M2593)</f>
        <v>VNDR00074</v>
      </c>
      <c r="N2594" t="str">
        <f>Raw_Claims_Data!N2593</f>
        <v>AGENT01131</v>
      </c>
      <c r="O2594">
        <f>IF(Raw_Claims_Data!G2593="D",1,0)</f>
        <v>0</v>
      </c>
    </row>
    <row r="2595" spans="1:15" x14ac:dyDescent="0.35">
      <c r="A2595" t="str">
        <f>Raw_Claims_Data!A2594</f>
        <v>TXN00002591</v>
      </c>
      <c r="B2595" t="str">
        <f>TRIM(Raw_Claims_Data!B2594)</f>
        <v>Mark Champlin</v>
      </c>
      <c r="C2595" t="str">
        <f>Raw_Claims_Data!C2594</f>
        <v>Motor</v>
      </c>
      <c r="D2595">
        <f>Raw_Claims_Data!D2594</f>
        <v>84.1</v>
      </c>
      <c r="E2595">
        <f>Raw_Claims_Data!E2594</f>
        <v>6000</v>
      </c>
      <c r="F2595" t="str">
        <f>Raw_Claims_Data!F2594</f>
        <v>MA</v>
      </c>
      <c r="G2595" t="str">
        <f>Raw_Claims_Data!G2594</f>
        <v>A</v>
      </c>
      <c r="H2595" t="str">
        <f>Raw_Claims_Data!H2594</f>
        <v>Major Loss</v>
      </c>
      <c r="I2595" t="str">
        <f>IF(Raw_Claims_Data!I2594="","None",Raw_Claims_Data!I2594)</f>
        <v>Police</v>
      </c>
      <c r="J2595" t="str">
        <f>Raw_Claims_Data!J2594</f>
        <v>Montgomery</v>
      </c>
      <c r="K2595" t="str">
        <f>Raw_Claims_Data!K2594</f>
        <v>AL</v>
      </c>
      <c r="L2595">
        <f>Raw_Claims_Data!L2594</f>
        <v>12</v>
      </c>
      <c r="M2595" t="str">
        <f>IF(Raw_Claims_Data!M2594="","N/A",Raw_Claims_Data!M2594)</f>
        <v>VNDR00082</v>
      </c>
      <c r="N2595" t="str">
        <f>Raw_Claims_Data!N2594</f>
        <v>AGENT01047</v>
      </c>
      <c r="O2595">
        <f>IF(Raw_Claims_Data!G2594="D",1,0)</f>
        <v>0</v>
      </c>
    </row>
    <row r="2596" spans="1:15" x14ac:dyDescent="0.35">
      <c r="A2596" t="str">
        <f>Raw_Claims_Data!A2595</f>
        <v>TXN00002592</v>
      </c>
      <c r="B2596" t="str">
        <f>TRIM(Raw_Claims_Data!B2595)</f>
        <v>Rose Hane</v>
      </c>
      <c r="C2596" t="str">
        <f>Raw_Claims_Data!C2595</f>
        <v>Life</v>
      </c>
      <c r="D2596">
        <f>Raw_Claims_Data!D2595</f>
        <v>70.819999999999993</v>
      </c>
      <c r="E2596">
        <f>Raw_Claims_Data!E2595</f>
        <v>73000</v>
      </c>
      <c r="F2596" t="str">
        <f>Raw_Claims_Data!F2595</f>
        <v>DC</v>
      </c>
      <c r="G2596" t="str">
        <f>Raw_Claims_Data!G2595</f>
        <v>A</v>
      </c>
      <c r="H2596" t="str">
        <f>Raw_Claims_Data!H2595</f>
        <v>Total Loss</v>
      </c>
      <c r="I2596" t="str">
        <f>IF(Raw_Claims_Data!I2595="","None",Raw_Claims_Data!I2595)</f>
        <v>Police</v>
      </c>
      <c r="J2596" t="str">
        <f>Raw_Claims_Data!J2595</f>
        <v>Savannah</v>
      </c>
      <c r="K2596" t="str">
        <f>Raw_Claims_Data!K2595</f>
        <v>GA</v>
      </c>
      <c r="L2596">
        <f>Raw_Claims_Data!L2595</f>
        <v>2</v>
      </c>
      <c r="M2596" t="str">
        <f>IF(Raw_Claims_Data!M2595="","N/A",Raw_Claims_Data!M2595)</f>
        <v>VNDR00297</v>
      </c>
      <c r="N2596" t="str">
        <f>Raw_Claims_Data!N2595</f>
        <v>AGENT01162</v>
      </c>
      <c r="O2596">
        <f>IF(Raw_Claims_Data!G2595="D",1,0)</f>
        <v>0</v>
      </c>
    </row>
    <row r="2597" spans="1:15" x14ac:dyDescent="0.35">
      <c r="A2597" t="str">
        <f>Raw_Claims_Data!A2596</f>
        <v>TXN00002593</v>
      </c>
      <c r="B2597" t="str">
        <f>TRIM(Raw_Claims_Data!B2596)</f>
        <v>Kimberly Lewis</v>
      </c>
      <c r="C2597" t="str">
        <f>Raw_Claims_Data!C2596</f>
        <v>Health</v>
      </c>
      <c r="D2597">
        <f>Raw_Claims_Data!D2596</f>
        <v>168.01</v>
      </c>
      <c r="E2597">
        <f>Raw_Claims_Data!E2596</f>
        <v>1000</v>
      </c>
      <c r="F2597" t="str">
        <f>Raw_Claims_Data!F2596</f>
        <v>MD</v>
      </c>
      <c r="G2597" t="str">
        <f>Raw_Claims_Data!G2596</f>
        <v>A</v>
      </c>
      <c r="H2597" t="str">
        <f>Raw_Claims_Data!H2596</f>
        <v>Major Loss</v>
      </c>
      <c r="I2597" t="str">
        <f>IF(Raw_Claims_Data!I2596="","None",Raw_Claims_Data!I2596)</f>
        <v>None</v>
      </c>
      <c r="J2597" t="str">
        <f>Raw_Claims_Data!J2596</f>
        <v>Manchester</v>
      </c>
      <c r="K2597" t="str">
        <f>Raw_Claims_Data!K2596</f>
        <v>CT</v>
      </c>
      <c r="L2597">
        <f>Raw_Claims_Data!L2596</f>
        <v>1</v>
      </c>
      <c r="M2597" t="str">
        <f>IF(Raw_Claims_Data!M2596="","N/A",Raw_Claims_Data!M2596)</f>
        <v>N/A</v>
      </c>
      <c r="N2597" t="str">
        <f>Raw_Claims_Data!N2596</f>
        <v>AGENT00941</v>
      </c>
      <c r="O2597">
        <f>IF(Raw_Claims_Data!G2596="D",1,0)</f>
        <v>0</v>
      </c>
    </row>
    <row r="2598" spans="1:15" x14ac:dyDescent="0.35">
      <c r="A2598" t="str">
        <f>Raw_Claims_Data!A2597</f>
        <v>TXN00002594</v>
      </c>
      <c r="B2598" t="str">
        <f>TRIM(Raw_Claims_Data!B2597)</f>
        <v>Sharon Jackson</v>
      </c>
      <c r="C2598" t="str">
        <f>Raw_Claims_Data!C2597</f>
        <v>Mobile</v>
      </c>
      <c r="D2598">
        <f>Raw_Claims_Data!D2597</f>
        <v>6.88</v>
      </c>
      <c r="E2598">
        <f>Raw_Claims_Data!E2597</f>
        <v>400</v>
      </c>
      <c r="F2598" t="str">
        <f>Raw_Claims_Data!F2597</f>
        <v>DC</v>
      </c>
      <c r="G2598" t="str">
        <f>Raw_Claims_Data!G2597</f>
        <v>A</v>
      </c>
      <c r="H2598" t="str">
        <f>Raw_Claims_Data!H2597</f>
        <v>Minor Loss</v>
      </c>
      <c r="I2598" t="str">
        <f>IF(Raw_Claims_Data!I2597="","None",Raw_Claims_Data!I2597)</f>
        <v>Ambulance</v>
      </c>
      <c r="J2598" t="str">
        <f>Raw_Claims_Data!J2597</f>
        <v>Annapolis</v>
      </c>
      <c r="K2598" t="str">
        <f>Raw_Claims_Data!K2597</f>
        <v>MD</v>
      </c>
      <c r="L2598">
        <f>Raw_Claims_Data!L2597</f>
        <v>11</v>
      </c>
      <c r="M2598" t="str">
        <f>IF(Raw_Claims_Data!M2597="","N/A",Raw_Claims_Data!M2597)</f>
        <v>VNDR00189</v>
      </c>
      <c r="N2598" t="str">
        <f>Raw_Claims_Data!N2597</f>
        <v>AGENT00258</v>
      </c>
      <c r="O2598">
        <f>IF(Raw_Claims_Data!G2597="D",1,0)</f>
        <v>0</v>
      </c>
    </row>
    <row r="2599" spans="1:15" x14ac:dyDescent="0.35">
      <c r="A2599" t="str">
        <f>Raw_Claims_Data!A2598</f>
        <v>TXN00002595</v>
      </c>
      <c r="B2599" t="str">
        <f>TRIM(Raw_Claims_Data!B2598)</f>
        <v>Ezra Crews</v>
      </c>
      <c r="C2599" t="str">
        <f>Raw_Claims_Data!C2598</f>
        <v>Life</v>
      </c>
      <c r="D2599">
        <f>Raw_Claims_Data!D2598</f>
        <v>57.7</v>
      </c>
      <c r="E2599">
        <f>Raw_Claims_Data!E2598</f>
        <v>100000</v>
      </c>
      <c r="F2599" t="str">
        <f>Raw_Claims_Data!F2598</f>
        <v>TN</v>
      </c>
      <c r="G2599" t="str">
        <f>Raw_Claims_Data!G2598</f>
        <v>A</v>
      </c>
      <c r="H2599" t="str">
        <f>Raw_Claims_Data!H2598</f>
        <v>Minor Loss</v>
      </c>
      <c r="I2599" t="str">
        <f>IF(Raw_Claims_Data!I2598="","None",Raw_Claims_Data!I2598)</f>
        <v>None</v>
      </c>
      <c r="J2599" t="str">
        <f>Raw_Claims_Data!J2598</f>
        <v>Louisville</v>
      </c>
      <c r="K2599" t="str">
        <f>Raw_Claims_Data!K2598</f>
        <v>KY</v>
      </c>
      <c r="L2599">
        <f>Raw_Claims_Data!L2598</f>
        <v>11</v>
      </c>
      <c r="M2599" t="str">
        <f>IF(Raw_Claims_Data!M2598="","N/A",Raw_Claims_Data!M2598)</f>
        <v>VNDR00470</v>
      </c>
      <c r="N2599" t="str">
        <f>Raw_Claims_Data!N2598</f>
        <v>AGENT00056</v>
      </c>
      <c r="O2599">
        <f>IF(Raw_Claims_Data!G2598="D",1,0)</f>
        <v>0</v>
      </c>
    </row>
    <row r="2600" spans="1:15" x14ac:dyDescent="0.35">
      <c r="A2600" t="str">
        <f>Raw_Claims_Data!A2599</f>
        <v>TXN00002596</v>
      </c>
      <c r="B2600" t="str">
        <f>TRIM(Raw_Claims_Data!B2599)</f>
        <v>Earl Rodriguez</v>
      </c>
      <c r="C2600" t="str">
        <f>Raw_Claims_Data!C2599</f>
        <v>Property</v>
      </c>
      <c r="D2600">
        <f>Raw_Claims_Data!D2599</f>
        <v>154.93</v>
      </c>
      <c r="E2600">
        <f>Raw_Claims_Data!E2599</f>
        <v>29000</v>
      </c>
      <c r="F2600" t="str">
        <f>Raw_Claims_Data!F2599</f>
        <v>CO</v>
      </c>
      <c r="G2600" t="str">
        <f>Raw_Claims_Data!G2599</f>
        <v>A</v>
      </c>
      <c r="H2600" t="str">
        <f>Raw_Claims_Data!H2599</f>
        <v>Major Loss</v>
      </c>
      <c r="I2600" t="str">
        <f>IF(Raw_Claims_Data!I2599="","None",Raw_Claims_Data!I2599)</f>
        <v>None</v>
      </c>
      <c r="J2600" t="str">
        <f>Raw_Claims_Data!J2599</f>
        <v>Midwest City</v>
      </c>
      <c r="K2600" t="str">
        <f>Raw_Claims_Data!K2599</f>
        <v>OK</v>
      </c>
      <c r="L2600">
        <f>Raw_Claims_Data!L2599</f>
        <v>3</v>
      </c>
      <c r="M2600" t="str">
        <f>IF(Raw_Claims_Data!M2599="","N/A",Raw_Claims_Data!M2599)</f>
        <v>N/A</v>
      </c>
      <c r="N2600" t="str">
        <f>Raw_Claims_Data!N2599</f>
        <v>AGENT00695</v>
      </c>
      <c r="O2600">
        <f>IF(Raw_Claims_Data!G2599="D",1,0)</f>
        <v>0</v>
      </c>
    </row>
    <row r="2601" spans="1:15" x14ac:dyDescent="0.35">
      <c r="A2601" t="str">
        <f>Raw_Claims_Data!A2600</f>
        <v>TXN00002597</v>
      </c>
      <c r="B2601" t="str">
        <f>TRIM(Raw_Claims_Data!B2600)</f>
        <v>Paul Treadwell</v>
      </c>
      <c r="C2601" t="str">
        <f>Raw_Claims_Data!C2600</f>
        <v>Property</v>
      </c>
      <c r="D2601">
        <f>Raw_Claims_Data!D2600</f>
        <v>152.94999999999999</v>
      </c>
      <c r="E2601">
        <f>Raw_Claims_Data!E2600</f>
        <v>11000</v>
      </c>
      <c r="F2601" t="str">
        <f>Raw_Claims_Data!F2600</f>
        <v>KY</v>
      </c>
      <c r="G2601" t="str">
        <f>Raw_Claims_Data!G2600</f>
        <v>A</v>
      </c>
      <c r="H2601" t="str">
        <f>Raw_Claims_Data!H2600</f>
        <v>Minor Loss</v>
      </c>
      <c r="I2601" t="str">
        <f>IF(Raw_Claims_Data!I2600="","None",Raw_Claims_Data!I2600)</f>
        <v>None</v>
      </c>
      <c r="J2601" t="str">
        <f>Raw_Claims_Data!J2600</f>
        <v>Lincoln</v>
      </c>
      <c r="K2601" t="str">
        <f>Raw_Claims_Data!K2600</f>
        <v>CA</v>
      </c>
      <c r="L2601">
        <f>Raw_Claims_Data!L2600</f>
        <v>6</v>
      </c>
      <c r="M2601" t="str">
        <f>IF(Raw_Claims_Data!M2600="","N/A",Raw_Claims_Data!M2600)</f>
        <v>N/A</v>
      </c>
      <c r="N2601" t="str">
        <f>Raw_Claims_Data!N2600</f>
        <v>AGENT00211</v>
      </c>
      <c r="O2601">
        <f>IF(Raw_Claims_Data!G2600="D",1,0)</f>
        <v>0</v>
      </c>
    </row>
    <row r="2602" spans="1:15" x14ac:dyDescent="0.35">
      <c r="A2602" t="str">
        <f>Raw_Claims_Data!A2601</f>
        <v>TXN00002598</v>
      </c>
      <c r="B2602" t="str">
        <f>TRIM(Raw_Claims_Data!B2601)</f>
        <v>Claire Walker</v>
      </c>
      <c r="C2602" t="str">
        <f>Raw_Claims_Data!C2601</f>
        <v>Travel</v>
      </c>
      <c r="D2602">
        <f>Raw_Claims_Data!D2601</f>
        <v>71.89</v>
      </c>
      <c r="E2602">
        <f>Raw_Claims_Data!E2601</f>
        <v>4000</v>
      </c>
      <c r="F2602" t="str">
        <f>Raw_Claims_Data!F2601</f>
        <v>CO</v>
      </c>
      <c r="G2602" t="str">
        <f>Raw_Claims_Data!G2601</f>
        <v>A</v>
      </c>
      <c r="H2602" t="str">
        <f>Raw_Claims_Data!H2601</f>
        <v>Major Loss</v>
      </c>
      <c r="I2602" t="str">
        <f>IF(Raw_Claims_Data!I2601="","None",Raw_Claims_Data!I2601)</f>
        <v>Ambulance</v>
      </c>
      <c r="J2602" t="str">
        <f>Raw_Claims_Data!J2601</f>
        <v>Glendale</v>
      </c>
      <c r="K2602" t="str">
        <f>Raw_Claims_Data!K2601</f>
        <v>AZ</v>
      </c>
      <c r="L2602">
        <f>Raw_Claims_Data!L2601</f>
        <v>15</v>
      </c>
      <c r="M2602" t="str">
        <f>IF(Raw_Claims_Data!M2601="","N/A",Raw_Claims_Data!M2601)</f>
        <v>N/A</v>
      </c>
      <c r="N2602" t="str">
        <f>Raw_Claims_Data!N2601</f>
        <v>AGENT01149</v>
      </c>
      <c r="O2602">
        <f>IF(Raw_Claims_Data!G2601="D",1,0)</f>
        <v>0</v>
      </c>
    </row>
    <row r="2603" spans="1:15" x14ac:dyDescent="0.35">
      <c r="A2603" t="str">
        <f>Raw_Claims_Data!A2602</f>
        <v>TXN00002599</v>
      </c>
      <c r="B2603" t="str">
        <f>TRIM(Raw_Claims_Data!B2602)</f>
        <v>Sandra Waage</v>
      </c>
      <c r="C2603" t="str">
        <f>Raw_Claims_Data!C2602</f>
        <v>Life</v>
      </c>
      <c r="D2603">
        <f>Raw_Claims_Data!D2602</f>
        <v>80.36</v>
      </c>
      <c r="E2603">
        <f>Raw_Claims_Data!E2602</f>
        <v>46000</v>
      </c>
      <c r="F2603" t="str">
        <f>Raw_Claims_Data!F2602</f>
        <v>CT</v>
      </c>
      <c r="G2603" t="str">
        <f>Raw_Claims_Data!G2602</f>
        <v>A</v>
      </c>
      <c r="H2603" t="str">
        <f>Raw_Claims_Data!H2602</f>
        <v>Major Loss</v>
      </c>
      <c r="I2603" t="str">
        <f>IF(Raw_Claims_Data!I2602="","None",Raw_Claims_Data!I2602)</f>
        <v>Police</v>
      </c>
      <c r="J2603" t="str">
        <f>Raw_Claims_Data!J2602</f>
        <v>Glendale</v>
      </c>
      <c r="K2603" t="str">
        <f>Raw_Claims_Data!K2602</f>
        <v>AZ</v>
      </c>
      <c r="L2603">
        <f>Raw_Claims_Data!L2602</f>
        <v>20</v>
      </c>
      <c r="M2603" t="str">
        <f>IF(Raw_Claims_Data!M2602="","N/A",Raw_Claims_Data!M2602)</f>
        <v>N/A</v>
      </c>
      <c r="N2603" t="str">
        <f>Raw_Claims_Data!N2602</f>
        <v>AGENT00838</v>
      </c>
      <c r="O2603">
        <f>IF(Raw_Claims_Data!G2602="D",1,0)</f>
        <v>0</v>
      </c>
    </row>
    <row r="2604" spans="1:15" x14ac:dyDescent="0.35">
      <c r="A2604" t="str">
        <f>Raw_Claims_Data!A2603</f>
        <v>TXN00002600</v>
      </c>
      <c r="B2604" t="str">
        <f>TRIM(Raw_Claims_Data!B2603)</f>
        <v>Sherry Schaller</v>
      </c>
      <c r="C2604" t="str">
        <f>Raw_Claims_Data!C2603</f>
        <v>Mobile</v>
      </c>
      <c r="D2604">
        <f>Raw_Claims_Data!D2603</f>
        <v>7.73</v>
      </c>
      <c r="E2604">
        <f>Raw_Claims_Data!E2603</f>
        <v>400</v>
      </c>
      <c r="F2604" t="str">
        <f>Raw_Claims_Data!F2603</f>
        <v>OK</v>
      </c>
      <c r="G2604" t="str">
        <f>Raw_Claims_Data!G2603</f>
        <v>A</v>
      </c>
      <c r="H2604" t="str">
        <f>Raw_Claims_Data!H2603</f>
        <v>Major Loss</v>
      </c>
      <c r="I2604" t="str">
        <f>IF(Raw_Claims_Data!I2603="","None",Raw_Claims_Data!I2603)</f>
        <v>Police</v>
      </c>
      <c r="J2604" t="str">
        <f>Raw_Claims_Data!J2603</f>
        <v>Glendale</v>
      </c>
      <c r="K2604" t="str">
        <f>Raw_Claims_Data!K2603</f>
        <v>AZ</v>
      </c>
      <c r="L2604">
        <f>Raw_Claims_Data!L2603</f>
        <v>22</v>
      </c>
      <c r="M2604" t="str">
        <f>IF(Raw_Claims_Data!M2603="","N/A",Raw_Claims_Data!M2603)</f>
        <v>N/A</v>
      </c>
      <c r="N2604" t="str">
        <f>Raw_Claims_Data!N2603</f>
        <v>AGENT01015</v>
      </c>
      <c r="O2604">
        <f>IF(Raw_Claims_Data!G2603="D",1,0)</f>
        <v>0</v>
      </c>
    </row>
    <row r="2605" spans="1:15" x14ac:dyDescent="0.35">
      <c r="A2605" t="str">
        <f>Raw_Claims_Data!A2604</f>
        <v>TXN00002601</v>
      </c>
      <c r="B2605" t="str">
        <f>TRIM(Raw_Claims_Data!B2604)</f>
        <v>Cathy Dozier</v>
      </c>
      <c r="C2605" t="str">
        <f>Raw_Claims_Data!C2604</f>
        <v>Property</v>
      </c>
      <c r="D2605">
        <f>Raw_Claims_Data!D2604</f>
        <v>103.65</v>
      </c>
      <c r="E2605">
        <f>Raw_Claims_Data!E2604</f>
        <v>10000</v>
      </c>
      <c r="F2605" t="str">
        <f>Raw_Claims_Data!F2604</f>
        <v>CO</v>
      </c>
      <c r="G2605" t="str">
        <f>Raw_Claims_Data!G2604</f>
        <v>A</v>
      </c>
      <c r="H2605" t="str">
        <f>Raw_Claims_Data!H2604</f>
        <v>Total Loss</v>
      </c>
      <c r="I2605" t="str">
        <f>IF(Raw_Claims_Data!I2604="","None",Raw_Claims_Data!I2604)</f>
        <v>Other</v>
      </c>
      <c r="J2605" t="str">
        <f>Raw_Claims_Data!J2604</f>
        <v>Montgomery</v>
      </c>
      <c r="K2605" t="str">
        <f>Raw_Claims_Data!K2604</f>
        <v>AL</v>
      </c>
      <c r="L2605">
        <f>Raw_Claims_Data!L2604</f>
        <v>16</v>
      </c>
      <c r="M2605" t="str">
        <f>IF(Raw_Claims_Data!M2604="","N/A",Raw_Claims_Data!M2604)</f>
        <v>N/A</v>
      </c>
      <c r="N2605" t="str">
        <f>Raw_Claims_Data!N2604</f>
        <v>AGENT00458</v>
      </c>
      <c r="O2605">
        <f>IF(Raw_Claims_Data!G2604="D",1,0)</f>
        <v>0</v>
      </c>
    </row>
    <row r="2606" spans="1:15" x14ac:dyDescent="0.35">
      <c r="A2606" t="str">
        <f>Raw_Claims_Data!A2605</f>
        <v>TXN00002602</v>
      </c>
      <c r="B2606" t="str">
        <f>TRIM(Raw_Claims_Data!B2605)</f>
        <v>James Stover</v>
      </c>
      <c r="C2606" t="str">
        <f>Raw_Claims_Data!C2605</f>
        <v>Travel</v>
      </c>
      <c r="D2606">
        <f>Raw_Claims_Data!D2605</f>
        <v>61.86</v>
      </c>
      <c r="E2606">
        <f>Raw_Claims_Data!E2605</f>
        <v>4000</v>
      </c>
      <c r="F2606" t="str">
        <f>Raw_Claims_Data!F2605</f>
        <v>GA</v>
      </c>
      <c r="G2606" t="str">
        <f>Raw_Claims_Data!G2605</f>
        <v>A</v>
      </c>
      <c r="H2606" t="str">
        <f>Raw_Claims_Data!H2605</f>
        <v>Minor Loss</v>
      </c>
      <c r="I2606" t="str">
        <f>IF(Raw_Claims_Data!I2605="","None",Raw_Claims_Data!I2605)</f>
        <v>Police</v>
      </c>
      <c r="J2606" t="str">
        <f>Raw_Claims_Data!J2605</f>
        <v>Savannah</v>
      </c>
      <c r="K2606" t="str">
        <f>Raw_Claims_Data!K2605</f>
        <v>GA</v>
      </c>
      <c r="L2606">
        <f>Raw_Claims_Data!L2605</f>
        <v>7</v>
      </c>
      <c r="M2606" t="str">
        <f>IF(Raw_Claims_Data!M2605="","N/A",Raw_Claims_Data!M2605)</f>
        <v>N/A</v>
      </c>
      <c r="N2606" t="str">
        <f>Raw_Claims_Data!N2605</f>
        <v>AGENT00394</v>
      </c>
      <c r="O2606">
        <f>IF(Raw_Claims_Data!G2605="D",1,0)</f>
        <v>0</v>
      </c>
    </row>
    <row r="2607" spans="1:15" x14ac:dyDescent="0.35">
      <c r="A2607" t="str">
        <f>Raw_Claims_Data!A2606</f>
        <v>TXN00002603</v>
      </c>
      <c r="B2607" t="str">
        <f>TRIM(Raw_Claims_Data!B2606)</f>
        <v>Maribel Pratt</v>
      </c>
      <c r="C2607" t="str">
        <f>Raw_Claims_Data!C2606</f>
        <v>Life</v>
      </c>
      <c r="D2607">
        <f>Raw_Claims_Data!D2606</f>
        <v>78.83</v>
      </c>
      <c r="E2607">
        <f>Raw_Claims_Data!E2606</f>
        <v>77000</v>
      </c>
      <c r="F2607" t="str">
        <f>Raw_Claims_Data!F2606</f>
        <v>AL</v>
      </c>
      <c r="G2607" t="str">
        <f>Raw_Claims_Data!G2606</f>
        <v>A</v>
      </c>
      <c r="H2607" t="str">
        <f>Raw_Claims_Data!H2606</f>
        <v>Minor Loss</v>
      </c>
      <c r="I2607" t="str">
        <f>IF(Raw_Claims_Data!I2606="","None",Raw_Claims_Data!I2606)</f>
        <v>None</v>
      </c>
      <c r="J2607" t="str">
        <f>Raw_Claims_Data!J2606</f>
        <v>Montgomery</v>
      </c>
      <c r="K2607" t="str">
        <f>Raw_Claims_Data!K2606</f>
        <v>AL</v>
      </c>
      <c r="L2607">
        <f>Raw_Claims_Data!L2606</f>
        <v>21</v>
      </c>
      <c r="M2607" t="str">
        <f>IF(Raw_Claims_Data!M2606="","N/A",Raw_Claims_Data!M2606)</f>
        <v>VNDR00483</v>
      </c>
      <c r="N2607" t="str">
        <f>Raw_Claims_Data!N2606</f>
        <v>AGENT00157</v>
      </c>
      <c r="O2607">
        <f>IF(Raw_Claims_Data!G2606="D",1,0)</f>
        <v>0</v>
      </c>
    </row>
    <row r="2608" spans="1:15" x14ac:dyDescent="0.35">
      <c r="A2608" t="str">
        <f>Raw_Claims_Data!A2607</f>
        <v>TXN00002604</v>
      </c>
      <c r="B2608" t="str">
        <f>TRIM(Raw_Claims_Data!B2607)</f>
        <v>William Justiss</v>
      </c>
      <c r="C2608" t="str">
        <f>Raw_Claims_Data!C2607</f>
        <v>Life</v>
      </c>
      <c r="D2608">
        <f>Raw_Claims_Data!D2607</f>
        <v>70.53</v>
      </c>
      <c r="E2608">
        <f>Raw_Claims_Data!E2607</f>
        <v>84000</v>
      </c>
      <c r="F2608" t="str">
        <f>Raw_Claims_Data!F2607</f>
        <v>KY</v>
      </c>
      <c r="G2608" t="str">
        <f>Raw_Claims_Data!G2607</f>
        <v>A</v>
      </c>
      <c r="H2608" t="str">
        <f>Raw_Claims_Data!H2607</f>
        <v>Major Loss</v>
      </c>
      <c r="I2608" t="str">
        <f>IF(Raw_Claims_Data!I2607="","None",Raw_Claims_Data!I2607)</f>
        <v>Ambulance</v>
      </c>
      <c r="J2608" t="str">
        <f>Raw_Claims_Data!J2607</f>
        <v>Shaftsbury</v>
      </c>
      <c r="K2608" t="str">
        <f>Raw_Claims_Data!K2607</f>
        <v>VT</v>
      </c>
      <c r="L2608">
        <f>Raw_Claims_Data!L2607</f>
        <v>19</v>
      </c>
      <c r="M2608" t="str">
        <f>IF(Raw_Claims_Data!M2607="","N/A",Raw_Claims_Data!M2607)</f>
        <v>VNDR00023</v>
      </c>
      <c r="N2608" t="str">
        <f>Raw_Claims_Data!N2607</f>
        <v>AGENT00791</v>
      </c>
      <c r="O2608">
        <f>IF(Raw_Claims_Data!G2607="D",1,0)</f>
        <v>0</v>
      </c>
    </row>
    <row r="2609" spans="1:15" x14ac:dyDescent="0.35">
      <c r="A2609" t="str">
        <f>Raw_Claims_Data!A2608</f>
        <v>TXN00002605</v>
      </c>
      <c r="B2609" t="str">
        <f>TRIM(Raw_Claims_Data!B2608)</f>
        <v>Michael Ashpole</v>
      </c>
      <c r="C2609" t="str">
        <f>Raw_Claims_Data!C2608</f>
        <v>Travel</v>
      </c>
      <c r="D2609">
        <f>Raw_Claims_Data!D2608</f>
        <v>93.8</v>
      </c>
      <c r="E2609">
        <f>Raw_Claims_Data!E2608</f>
        <v>2000</v>
      </c>
      <c r="F2609" t="str">
        <f>Raw_Claims_Data!F2608</f>
        <v>MD</v>
      </c>
      <c r="G2609" t="str">
        <f>Raw_Claims_Data!G2608</f>
        <v>A</v>
      </c>
      <c r="H2609" t="str">
        <f>Raw_Claims_Data!H2608</f>
        <v>Total Loss</v>
      </c>
      <c r="I2609" t="str">
        <f>IF(Raw_Claims_Data!I2608="","None",Raw_Claims_Data!I2608)</f>
        <v>Police</v>
      </c>
      <c r="J2609" t="str">
        <f>Raw_Claims_Data!J2608</f>
        <v>Carson</v>
      </c>
      <c r="K2609" t="str">
        <f>Raw_Claims_Data!K2608</f>
        <v>CA</v>
      </c>
      <c r="L2609">
        <f>Raw_Claims_Data!L2608</f>
        <v>17</v>
      </c>
      <c r="M2609" t="str">
        <f>IF(Raw_Claims_Data!M2608="","N/A",Raw_Claims_Data!M2608)</f>
        <v>VNDR00555</v>
      </c>
      <c r="N2609" t="str">
        <f>Raw_Claims_Data!N2608</f>
        <v>AGENT00678</v>
      </c>
      <c r="O2609">
        <f>IF(Raw_Claims_Data!G2608="D",1,0)</f>
        <v>0</v>
      </c>
    </row>
    <row r="2610" spans="1:15" x14ac:dyDescent="0.35">
      <c r="A2610" t="str">
        <f>Raw_Claims_Data!A2609</f>
        <v>TXN00002606</v>
      </c>
      <c r="B2610" t="str">
        <f>TRIM(Raw_Claims_Data!B2609)</f>
        <v>Charles Ayala</v>
      </c>
      <c r="C2610" t="str">
        <f>Raw_Claims_Data!C2609</f>
        <v>Motor</v>
      </c>
      <c r="D2610">
        <f>Raw_Claims_Data!D2609</f>
        <v>121.94</v>
      </c>
      <c r="E2610">
        <f>Raw_Claims_Data!E2609</f>
        <v>2000</v>
      </c>
      <c r="F2610" t="str">
        <f>Raw_Claims_Data!F2609</f>
        <v>MD</v>
      </c>
      <c r="G2610" t="str">
        <f>Raw_Claims_Data!G2609</f>
        <v>A</v>
      </c>
      <c r="H2610" t="str">
        <f>Raw_Claims_Data!H2609</f>
        <v>Total Loss</v>
      </c>
      <c r="I2610" t="str">
        <f>IF(Raw_Claims_Data!I2609="","None",Raw_Claims_Data!I2609)</f>
        <v>None</v>
      </c>
      <c r="J2610" t="str">
        <f>Raw_Claims_Data!J2609</f>
        <v>Fayetteville</v>
      </c>
      <c r="K2610" t="str">
        <f>Raw_Claims_Data!K2609</f>
        <v>AR</v>
      </c>
      <c r="L2610">
        <f>Raw_Claims_Data!L2609</f>
        <v>8</v>
      </c>
      <c r="M2610" t="str">
        <f>IF(Raw_Claims_Data!M2609="","N/A",Raw_Claims_Data!M2609)</f>
        <v>VNDR00132</v>
      </c>
      <c r="N2610" t="str">
        <f>Raw_Claims_Data!N2609</f>
        <v>AGENT01083</v>
      </c>
      <c r="O2610">
        <f>IF(Raw_Claims_Data!G2609="D",1,0)</f>
        <v>0</v>
      </c>
    </row>
    <row r="2611" spans="1:15" x14ac:dyDescent="0.35">
      <c r="A2611" t="str">
        <f>Raw_Claims_Data!A2610</f>
        <v>TXN00002607</v>
      </c>
      <c r="B2611" t="str">
        <f>TRIM(Raw_Claims_Data!B2610)</f>
        <v>Irene Bone</v>
      </c>
      <c r="C2611" t="str">
        <f>Raw_Claims_Data!C2610</f>
        <v>Travel</v>
      </c>
      <c r="D2611">
        <f>Raw_Claims_Data!D2610</f>
        <v>52.27</v>
      </c>
      <c r="E2611">
        <f>Raw_Claims_Data!E2610</f>
        <v>3000</v>
      </c>
      <c r="F2611" t="str">
        <f>Raw_Claims_Data!F2610</f>
        <v>AZ</v>
      </c>
      <c r="G2611" t="str">
        <f>Raw_Claims_Data!G2610</f>
        <v>A</v>
      </c>
      <c r="H2611" t="str">
        <f>Raw_Claims_Data!H2610</f>
        <v>Total Loss</v>
      </c>
      <c r="I2611" t="str">
        <f>IF(Raw_Claims_Data!I2610="","None",Raw_Claims_Data!I2610)</f>
        <v>Ambulance</v>
      </c>
      <c r="J2611" t="str">
        <f>Raw_Claims_Data!J2610</f>
        <v>Glen Burnie</v>
      </c>
      <c r="K2611" t="str">
        <f>Raw_Claims_Data!K2610</f>
        <v>MD</v>
      </c>
      <c r="L2611">
        <f>Raw_Claims_Data!L2610</f>
        <v>16</v>
      </c>
      <c r="M2611" t="str">
        <f>IF(Raw_Claims_Data!M2610="","N/A",Raw_Claims_Data!M2610)</f>
        <v>VNDR00004</v>
      </c>
      <c r="N2611" t="str">
        <f>Raw_Claims_Data!N2610</f>
        <v>AGENT00380</v>
      </c>
      <c r="O2611">
        <f>IF(Raw_Claims_Data!G2610="D",1,0)</f>
        <v>0</v>
      </c>
    </row>
    <row r="2612" spans="1:15" x14ac:dyDescent="0.35">
      <c r="A2612" t="str">
        <f>Raw_Claims_Data!A2611</f>
        <v>TXN00002608</v>
      </c>
      <c r="B2612" t="str">
        <f>TRIM(Raw_Claims_Data!B2611)</f>
        <v>Debbra Gates</v>
      </c>
      <c r="C2612" t="str">
        <f>Raw_Claims_Data!C2611</f>
        <v>Life</v>
      </c>
      <c r="D2612">
        <f>Raw_Claims_Data!D2611</f>
        <v>77.53</v>
      </c>
      <c r="E2612">
        <f>Raw_Claims_Data!E2611</f>
        <v>81000</v>
      </c>
      <c r="F2612" t="str">
        <f>Raw_Claims_Data!F2611</f>
        <v>FL</v>
      </c>
      <c r="G2612" t="str">
        <f>Raw_Claims_Data!G2611</f>
        <v>A</v>
      </c>
      <c r="H2612" t="str">
        <f>Raw_Claims_Data!H2611</f>
        <v>Major Loss</v>
      </c>
      <c r="I2612" t="str">
        <f>IF(Raw_Claims_Data!I2611="","None",Raw_Claims_Data!I2611)</f>
        <v>Ambulance</v>
      </c>
      <c r="J2612" t="str">
        <f>Raw_Claims_Data!J2611</f>
        <v>Savannah</v>
      </c>
      <c r="K2612" t="str">
        <f>Raw_Claims_Data!K2611</f>
        <v>GA</v>
      </c>
      <c r="L2612">
        <f>Raw_Claims_Data!L2611</f>
        <v>3</v>
      </c>
      <c r="M2612" t="str">
        <f>IF(Raw_Claims_Data!M2611="","N/A",Raw_Claims_Data!M2611)</f>
        <v>VNDR00052</v>
      </c>
      <c r="N2612" t="str">
        <f>Raw_Claims_Data!N2611</f>
        <v>AGENT01079</v>
      </c>
      <c r="O2612">
        <f>IF(Raw_Claims_Data!G2611="D",1,0)</f>
        <v>0</v>
      </c>
    </row>
    <row r="2613" spans="1:15" x14ac:dyDescent="0.35">
      <c r="A2613" t="str">
        <f>Raw_Claims_Data!A2612</f>
        <v>TXN00002609</v>
      </c>
      <c r="B2613" t="str">
        <f>TRIM(Raw_Claims_Data!B2612)</f>
        <v>Matthew Castellucci</v>
      </c>
      <c r="C2613" t="str">
        <f>Raw_Claims_Data!C2612</f>
        <v>Motor</v>
      </c>
      <c r="D2613">
        <f>Raw_Claims_Data!D2612</f>
        <v>99.44</v>
      </c>
      <c r="E2613">
        <f>Raw_Claims_Data!E2612</f>
        <v>6000</v>
      </c>
      <c r="F2613" t="str">
        <f>Raw_Claims_Data!F2612</f>
        <v>AK</v>
      </c>
      <c r="G2613" t="str">
        <f>Raw_Claims_Data!G2612</f>
        <v>A</v>
      </c>
      <c r="H2613" t="str">
        <f>Raw_Claims_Data!H2612</f>
        <v>Major Loss</v>
      </c>
      <c r="I2613" t="str">
        <f>IF(Raw_Claims_Data!I2612="","None",Raw_Claims_Data!I2612)</f>
        <v>Ambulance</v>
      </c>
      <c r="J2613" t="str">
        <f>Raw_Claims_Data!J2612</f>
        <v>Arvada</v>
      </c>
      <c r="K2613" t="str">
        <f>Raw_Claims_Data!K2612</f>
        <v>CO</v>
      </c>
      <c r="L2613">
        <f>Raw_Claims_Data!L2612</f>
        <v>7</v>
      </c>
      <c r="M2613" t="str">
        <f>IF(Raw_Claims_Data!M2612="","N/A",Raw_Claims_Data!M2612)</f>
        <v>VNDR00535</v>
      </c>
      <c r="N2613" t="str">
        <f>Raw_Claims_Data!N2612</f>
        <v>AGENT00941</v>
      </c>
      <c r="O2613">
        <f>IF(Raw_Claims_Data!G2612="D",1,0)</f>
        <v>0</v>
      </c>
    </row>
    <row r="2614" spans="1:15" x14ac:dyDescent="0.35">
      <c r="A2614" t="str">
        <f>Raw_Claims_Data!A2613</f>
        <v>TXN00002610</v>
      </c>
      <c r="B2614" t="str">
        <f>TRIM(Raw_Claims_Data!B2613)</f>
        <v>Melanie Laxen</v>
      </c>
      <c r="C2614" t="str">
        <f>Raw_Claims_Data!C2613</f>
        <v>Property</v>
      </c>
      <c r="D2614">
        <f>Raw_Claims_Data!D2613</f>
        <v>123.35</v>
      </c>
      <c r="E2614">
        <f>Raw_Claims_Data!E2613</f>
        <v>24000</v>
      </c>
      <c r="F2614" t="str">
        <f>Raw_Claims_Data!F2613</f>
        <v>AZ</v>
      </c>
      <c r="G2614" t="str">
        <f>Raw_Claims_Data!G2613</f>
        <v>A</v>
      </c>
      <c r="H2614" t="str">
        <f>Raw_Claims_Data!H2613</f>
        <v>Major Loss</v>
      </c>
      <c r="I2614" t="str">
        <f>IF(Raw_Claims_Data!I2613="","None",Raw_Claims_Data!I2613)</f>
        <v>None</v>
      </c>
      <c r="J2614" t="str">
        <f>Raw_Claims_Data!J2613</f>
        <v>Louisville</v>
      </c>
      <c r="K2614" t="str">
        <f>Raw_Claims_Data!K2613</f>
        <v>KY</v>
      </c>
      <c r="L2614">
        <f>Raw_Claims_Data!L2613</f>
        <v>19</v>
      </c>
      <c r="M2614" t="str">
        <f>IF(Raw_Claims_Data!M2613="","N/A",Raw_Claims_Data!M2613)</f>
        <v>N/A</v>
      </c>
      <c r="N2614" t="str">
        <f>Raw_Claims_Data!N2613</f>
        <v>AGENT00617</v>
      </c>
      <c r="O2614">
        <f>IF(Raw_Claims_Data!G2613="D",1,0)</f>
        <v>0</v>
      </c>
    </row>
    <row r="2615" spans="1:15" x14ac:dyDescent="0.35">
      <c r="A2615" t="str">
        <f>Raw_Claims_Data!A2614</f>
        <v>TXN00002611</v>
      </c>
      <c r="B2615" t="str">
        <f>TRIM(Raw_Claims_Data!B2614)</f>
        <v>Carmen Brown</v>
      </c>
      <c r="C2615" t="str">
        <f>Raw_Claims_Data!C2614</f>
        <v>Property</v>
      </c>
      <c r="D2615">
        <f>Raw_Claims_Data!D2614</f>
        <v>156.36000000000001</v>
      </c>
      <c r="E2615">
        <f>Raw_Claims_Data!E2614</f>
        <v>31000</v>
      </c>
      <c r="F2615" t="str">
        <f>Raw_Claims_Data!F2614</f>
        <v>FL</v>
      </c>
      <c r="G2615" t="str">
        <f>Raw_Claims_Data!G2614</f>
        <v>A</v>
      </c>
      <c r="H2615" t="str">
        <f>Raw_Claims_Data!H2614</f>
        <v>Major Loss</v>
      </c>
      <c r="I2615" t="str">
        <f>IF(Raw_Claims_Data!I2614="","None",Raw_Claims_Data!I2614)</f>
        <v>Other</v>
      </c>
      <c r="J2615" t="str">
        <f>Raw_Claims_Data!J2614</f>
        <v>Louisville</v>
      </c>
      <c r="K2615" t="str">
        <f>Raw_Claims_Data!K2614</f>
        <v>KY</v>
      </c>
      <c r="L2615">
        <f>Raw_Claims_Data!L2614</f>
        <v>19</v>
      </c>
      <c r="M2615" t="str">
        <f>IF(Raw_Claims_Data!M2614="","N/A",Raw_Claims_Data!M2614)</f>
        <v>VNDR00137</v>
      </c>
      <c r="N2615" t="str">
        <f>Raw_Claims_Data!N2614</f>
        <v>AGENT00701</v>
      </c>
      <c r="O2615">
        <f>IF(Raw_Claims_Data!G2614="D",1,0)</f>
        <v>0</v>
      </c>
    </row>
    <row r="2616" spans="1:15" x14ac:dyDescent="0.35">
      <c r="A2616" t="str">
        <f>Raw_Claims_Data!A2615</f>
        <v>TXN00002612</v>
      </c>
      <c r="B2616" t="str">
        <f>TRIM(Raw_Claims_Data!B2615)</f>
        <v>Joshua Mccann</v>
      </c>
      <c r="C2616" t="str">
        <f>Raw_Claims_Data!C2615</f>
        <v>Property</v>
      </c>
      <c r="D2616">
        <f>Raw_Claims_Data!D2615</f>
        <v>145.9</v>
      </c>
      <c r="E2616">
        <f>Raw_Claims_Data!E2615</f>
        <v>17000</v>
      </c>
      <c r="F2616" t="str">
        <f>Raw_Claims_Data!F2615</f>
        <v>AK</v>
      </c>
      <c r="G2616" t="str">
        <f>Raw_Claims_Data!G2615</f>
        <v>A</v>
      </c>
      <c r="H2616" t="str">
        <f>Raw_Claims_Data!H2615</f>
        <v>Major Loss</v>
      </c>
      <c r="I2616" t="str">
        <f>IF(Raw_Claims_Data!I2615="","None",Raw_Claims_Data!I2615)</f>
        <v>Ambulance</v>
      </c>
      <c r="J2616" t="str">
        <f>Raw_Claims_Data!J2615</f>
        <v>Arvada</v>
      </c>
      <c r="K2616" t="str">
        <f>Raw_Claims_Data!K2615</f>
        <v>CO</v>
      </c>
      <c r="L2616">
        <f>Raw_Claims_Data!L2615</f>
        <v>11</v>
      </c>
      <c r="M2616" t="str">
        <f>IF(Raw_Claims_Data!M2615="","N/A",Raw_Claims_Data!M2615)</f>
        <v>N/A</v>
      </c>
      <c r="N2616" t="str">
        <f>Raw_Claims_Data!N2615</f>
        <v>AGENT00031</v>
      </c>
      <c r="O2616">
        <f>IF(Raw_Claims_Data!G2615="D",1,0)</f>
        <v>0</v>
      </c>
    </row>
    <row r="2617" spans="1:15" x14ac:dyDescent="0.35">
      <c r="A2617" t="str">
        <f>Raw_Claims_Data!A2616</f>
        <v>TXN00002613</v>
      </c>
      <c r="B2617" t="str">
        <f>TRIM(Raw_Claims_Data!B2616)</f>
        <v>Eric Hearn</v>
      </c>
      <c r="C2617" t="str">
        <f>Raw_Claims_Data!C2616</f>
        <v>Property</v>
      </c>
      <c r="D2617">
        <f>Raw_Claims_Data!D2616</f>
        <v>93.91</v>
      </c>
      <c r="E2617">
        <f>Raw_Claims_Data!E2616</f>
        <v>12000</v>
      </c>
      <c r="F2617" t="str">
        <f>Raw_Claims_Data!F2616</f>
        <v>DC</v>
      </c>
      <c r="G2617" t="str">
        <f>Raw_Claims_Data!G2616</f>
        <v>A</v>
      </c>
      <c r="H2617" t="str">
        <f>Raw_Claims_Data!H2616</f>
        <v>Total Loss</v>
      </c>
      <c r="I2617" t="str">
        <f>IF(Raw_Claims_Data!I2616="","None",Raw_Claims_Data!I2616)</f>
        <v>Other</v>
      </c>
      <c r="J2617" t="str">
        <f>Raw_Claims_Data!J2616</f>
        <v>Redlands</v>
      </c>
      <c r="K2617" t="str">
        <f>Raw_Claims_Data!K2616</f>
        <v>CA</v>
      </c>
      <c r="L2617">
        <f>Raw_Claims_Data!L2616</f>
        <v>4</v>
      </c>
      <c r="M2617" t="str">
        <f>IF(Raw_Claims_Data!M2616="","N/A",Raw_Claims_Data!M2616)</f>
        <v>VNDR00087</v>
      </c>
      <c r="N2617" t="str">
        <f>Raw_Claims_Data!N2616</f>
        <v>AGENT01153</v>
      </c>
      <c r="O2617">
        <f>IF(Raw_Claims_Data!G2616="D",1,0)</f>
        <v>0</v>
      </c>
    </row>
    <row r="2618" spans="1:15" x14ac:dyDescent="0.35">
      <c r="A2618" t="str">
        <f>Raw_Claims_Data!A2617</f>
        <v>TXN00002614</v>
      </c>
      <c r="B2618" t="str">
        <f>TRIM(Raw_Claims_Data!B2617)</f>
        <v>Brenda Carranza</v>
      </c>
      <c r="C2618" t="str">
        <f>Raw_Claims_Data!C2617</f>
        <v>Mobile</v>
      </c>
      <c r="D2618">
        <f>Raw_Claims_Data!D2617</f>
        <v>9.82</v>
      </c>
      <c r="E2618">
        <f>Raw_Claims_Data!E2617</f>
        <v>500</v>
      </c>
      <c r="F2618" t="str">
        <f>Raw_Claims_Data!F2617</f>
        <v>AR</v>
      </c>
      <c r="G2618" t="str">
        <f>Raw_Claims_Data!G2617</f>
        <v>A</v>
      </c>
      <c r="H2618" t="str">
        <f>Raw_Claims_Data!H2617</f>
        <v>Major Loss</v>
      </c>
      <c r="I2618" t="str">
        <f>IF(Raw_Claims_Data!I2617="","None",Raw_Claims_Data!I2617)</f>
        <v>Police</v>
      </c>
      <c r="J2618" t="str">
        <f>Raw_Claims_Data!J2617</f>
        <v>Washington</v>
      </c>
      <c r="K2618" t="str">
        <f>Raw_Claims_Data!K2617</f>
        <v>DC</v>
      </c>
      <c r="L2618">
        <f>Raw_Claims_Data!L2617</f>
        <v>23</v>
      </c>
      <c r="M2618" t="str">
        <f>IF(Raw_Claims_Data!M2617="","N/A",Raw_Claims_Data!M2617)</f>
        <v>VNDR00377</v>
      </c>
      <c r="N2618" t="str">
        <f>Raw_Claims_Data!N2617</f>
        <v>AGENT00666</v>
      </c>
      <c r="O2618">
        <f>IF(Raw_Claims_Data!G2617="D",1,0)</f>
        <v>0</v>
      </c>
    </row>
    <row r="2619" spans="1:15" x14ac:dyDescent="0.35">
      <c r="A2619" t="str">
        <f>Raw_Claims_Data!A2618</f>
        <v>TXN00002615</v>
      </c>
      <c r="B2619" t="str">
        <f>TRIM(Raw_Claims_Data!B2618)</f>
        <v>Randy Hoke</v>
      </c>
      <c r="C2619" t="str">
        <f>Raw_Claims_Data!C2618</f>
        <v>Health</v>
      </c>
      <c r="D2619">
        <f>Raw_Claims_Data!D2618</f>
        <v>113.42</v>
      </c>
      <c r="E2619">
        <f>Raw_Claims_Data!E2618</f>
        <v>14000</v>
      </c>
      <c r="F2619" t="str">
        <f>Raw_Claims_Data!F2618</f>
        <v>CA</v>
      </c>
      <c r="G2619" t="str">
        <f>Raw_Claims_Data!G2618</f>
        <v>A</v>
      </c>
      <c r="H2619" t="str">
        <f>Raw_Claims_Data!H2618</f>
        <v>Total Loss</v>
      </c>
      <c r="I2619" t="str">
        <f>IF(Raw_Claims_Data!I2618="","None",Raw_Claims_Data!I2618)</f>
        <v>Ambulance</v>
      </c>
      <c r="J2619" t="str">
        <f>Raw_Claims_Data!J2618</f>
        <v>Panama City</v>
      </c>
      <c r="K2619" t="str">
        <f>Raw_Claims_Data!K2618</f>
        <v>FL</v>
      </c>
      <c r="L2619">
        <f>Raw_Claims_Data!L2618</f>
        <v>18</v>
      </c>
      <c r="M2619" t="str">
        <f>IF(Raw_Claims_Data!M2618="","N/A",Raw_Claims_Data!M2618)</f>
        <v>VNDR00509</v>
      </c>
      <c r="N2619" t="str">
        <f>Raw_Claims_Data!N2618</f>
        <v>AGENT00207</v>
      </c>
      <c r="O2619">
        <f>IF(Raw_Claims_Data!G2618="D",1,0)</f>
        <v>0</v>
      </c>
    </row>
    <row r="2620" spans="1:15" x14ac:dyDescent="0.35">
      <c r="A2620" t="str">
        <f>Raw_Claims_Data!A2619</f>
        <v>TXN00002616</v>
      </c>
      <c r="B2620" t="str">
        <f>TRIM(Raw_Claims_Data!B2619)</f>
        <v>Margaret Scholler</v>
      </c>
      <c r="C2620" t="str">
        <f>Raw_Claims_Data!C2619</f>
        <v>Life</v>
      </c>
      <c r="D2620">
        <f>Raw_Claims_Data!D2619</f>
        <v>61.48</v>
      </c>
      <c r="E2620">
        <f>Raw_Claims_Data!E2619</f>
        <v>30000</v>
      </c>
      <c r="F2620" t="str">
        <f>Raw_Claims_Data!F2619</f>
        <v>FL</v>
      </c>
      <c r="G2620" t="str">
        <f>Raw_Claims_Data!G2619</f>
        <v>A</v>
      </c>
      <c r="H2620" t="str">
        <f>Raw_Claims_Data!H2619</f>
        <v>Major Loss</v>
      </c>
      <c r="I2620" t="str">
        <f>IF(Raw_Claims_Data!I2619="","None",Raw_Claims_Data!I2619)</f>
        <v>Police</v>
      </c>
      <c r="J2620" t="str">
        <f>Raw_Claims_Data!J2619</f>
        <v>Washington</v>
      </c>
      <c r="K2620" t="str">
        <f>Raw_Claims_Data!K2619</f>
        <v>DC</v>
      </c>
      <c r="L2620">
        <f>Raw_Claims_Data!L2619</f>
        <v>22</v>
      </c>
      <c r="M2620" t="str">
        <f>IF(Raw_Claims_Data!M2619="","N/A",Raw_Claims_Data!M2619)</f>
        <v>VNDR00358</v>
      </c>
      <c r="N2620" t="str">
        <f>Raw_Claims_Data!N2619</f>
        <v>AGENT00100</v>
      </c>
      <c r="O2620">
        <f>IF(Raw_Claims_Data!G2619="D",1,0)</f>
        <v>0</v>
      </c>
    </row>
    <row r="2621" spans="1:15" x14ac:dyDescent="0.35">
      <c r="A2621" t="str">
        <f>Raw_Claims_Data!A2620</f>
        <v>TXN00002617</v>
      </c>
      <c r="B2621" t="str">
        <f>TRIM(Raw_Claims_Data!B2620)</f>
        <v>Rick Hicks</v>
      </c>
      <c r="C2621" t="str">
        <f>Raw_Claims_Data!C2620</f>
        <v>Property</v>
      </c>
      <c r="D2621">
        <f>Raw_Claims_Data!D2620</f>
        <v>143.62</v>
      </c>
      <c r="E2621">
        <f>Raw_Claims_Data!E2620</f>
        <v>37000</v>
      </c>
      <c r="F2621" t="str">
        <f>Raw_Claims_Data!F2620</f>
        <v>CA</v>
      </c>
      <c r="G2621" t="str">
        <f>Raw_Claims_Data!G2620</f>
        <v>A</v>
      </c>
      <c r="H2621" t="str">
        <f>Raw_Claims_Data!H2620</f>
        <v>Total Loss</v>
      </c>
      <c r="I2621" t="str">
        <f>IF(Raw_Claims_Data!I2620="","None",Raw_Claims_Data!I2620)</f>
        <v>None</v>
      </c>
      <c r="J2621" t="str">
        <f>Raw_Claims_Data!J2620</f>
        <v>Louisville</v>
      </c>
      <c r="K2621" t="str">
        <f>Raw_Claims_Data!K2620</f>
        <v>KY</v>
      </c>
      <c r="L2621">
        <f>Raw_Claims_Data!L2620</f>
        <v>0</v>
      </c>
      <c r="M2621" t="str">
        <f>IF(Raw_Claims_Data!M2620="","N/A",Raw_Claims_Data!M2620)</f>
        <v>VNDR00355</v>
      </c>
      <c r="N2621" t="str">
        <f>Raw_Claims_Data!N2620</f>
        <v>AGENT00338</v>
      </c>
      <c r="O2621">
        <f>IF(Raw_Claims_Data!G2620="D",1,0)</f>
        <v>0</v>
      </c>
    </row>
    <row r="2622" spans="1:15" x14ac:dyDescent="0.35">
      <c r="A2622" t="str">
        <f>Raw_Claims_Data!A2621</f>
        <v>TXN00002618</v>
      </c>
      <c r="B2622" t="str">
        <f>TRIM(Raw_Claims_Data!B2621)</f>
        <v>Sylvia Fair</v>
      </c>
      <c r="C2622" t="str">
        <f>Raw_Claims_Data!C2621</f>
        <v>Mobile</v>
      </c>
      <c r="D2622">
        <f>Raw_Claims_Data!D2621</f>
        <v>6.82</v>
      </c>
      <c r="E2622">
        <f>Raw_Claims_Data!E2621</f>
        <v>700</v>
      </c>
      <c r="F2622" t="str">
        <f>Raw_Claims_Data!F2621</f>
        <v>OK</v>
      </c>
      <c r="G2622" t="str">
        <f>Raw_Claims_Data!G2621</f>
        <v>A</v>
      </c>
      <c r="H2622" t="str">
        <f>Raw_Claims_Data!H2621</f>
        <v>Major Loss</v>
      </c>
      <c r="I2622" t="str">
        <f>IF(Raw_Claims_Data!I2621="","None",Raw_Claims_Data!I2621)</f>
        <v>Police</v>
      </c>
      <c r="J2622" t="str">
        <f>Raw_Claims_Data!J2621</f>
        <v>Montgomery</v>
      </c>
      <c r="K2622" t="str">
        <f>Raw_Claims_Data!K2621</f>
        <v>AL</v>
      </c>
      <c r="L2622">
        <f>Raw_Claims_Data!L2621</f>
        <v>2</v>
      </c>
      <c r="M2622" t="str">
        <f>IF(Raw_Claims_Data!M2621="","N/A",Raw_Claims_Data!M2621)</f>
        <v>VNDR00076</v>
      </c>
      <c r="N2622" t="str">
        <f>Raw_Claims_Data!N2621</f>
        <v>AGENT00774</v>
      </c>
      <c r="O2622">
        <f>IF(Raw_Claims_Data!G2621="D",1,0)</f>
        <v>0</v>
      </c>
    </row>
    <row r="2623" spans="1:15" x14ac:dyDescent="0.35">
      <c r="A2623" t="str">
        <f>Raw_Claims_Data!A2622</f>
        <v>TXN00002619</v>
      </c>
      <c r="B2623" t="str">
        <f>TRIM(Raw_Claims_Data!B2622)</f>
        <v>William Garcia</v>
      </c>
      <c r="C2623" t="str">
        <f>Raw_Claims_Data!C2622</f>
        <v>Travel</v>
      </c>
      <c r="D2623">
        <f>Raw_Claims_Data!D2622</f>
        <v>91.67</v>
      </c>
      <c r="E2623">
        <f>Raw_Claims_Data!E2622</f>
        <v>1000</v>
      </c>
      <c r="F2623" t="str">
        <f>Raw_Claims_Data!F2622</f>
        <v>CO</v>
      </c>
      <c r="G2623" t="str">
        <f>Raw_Claims_Data!G2622</f>
        <v>A</v>
      </c>
      <c r="H2623" t="str">
        <f>Raw_Claims_Data!H2622</f>
        <v>Major Loss</v>
      </c>
      <c r="I2623" t="str">
        <f>IF(Raw_Claims_Data!I2622="","None",Raw_Claims_Data!I2622)</f>
        <v>Ambulance</v>
      </c>
      <c r="J2623" t="str">
        <f>Raw_Claims_Data!J2622</f>
        <v>Stowe</v>
      </c>
      <c r="K2623" t="str">
        <f>Raw_Claims_Data!K2622</f>
        <v>VT</v>
      </c>
      <c r="L2623">
        <f>Raw_Claims_Data!L2622</f>
        <v>21</v>
      </c>
      <c r="M2623" t="str">
        <f>IF(Raw_Claims_Data!M2622="","N/A",Raw_Claims_Data!M2622)</f>
        <v>N/A</v>
      </c>
      <c r="N2623" t="str">
        <f>Raw_Claims_Data!N2622</f>
        <v>AGENT00287</v>
      </c>
      <c r="O2623">
        <f>IF(Raw_Claims_Data!G2622="D",1,0)</f>
        <v>0</v>
      </c>
    </row>
    <row r="2624" spans="1:15" x14ac:dyDescent="0.35">
      <c r="A2624" t="str">
        <f>Raw_Claims_Data!A2623</f>
        <v>TXN00002620</v>
      </c>
      <c r="B2624" t="str">
        <f>TRIM(Raw_Claims_Data!B2623)</f>
        <v>Brandon Thomas</v>
      </c>
      <c r="C2624" t="str">
        <f>Raw_Claims_Data!C2623</f>
        <v>Mobile</v>
      </c>
      <c r="D2624">
        <f>Raw_Claims_Data!D2623</f>
        <v>8.1</v>
      </c>
      <c r="E2624">
        <f>Raw_Claims_Data!E2623</f>
        <v>300</v>
      </c>
      <c r="F2624" t="str">
        <f>Raw_Claims_Data!F2623</f>
        <v>CO</v>
      </c>
      <c r="G2624" t="str">
        <f>Raw_Claims_Data!G2623</f>
        <v>A</v>
      </c>
      <c r="H2624" t="str">
        <f>Raw_Claims_Data!H2623</f>
        <v>Major Loss</v>
      </c>
      <c r="I2624" t="str">
        <f>IF(Raw_Claims_Data!I2623="","None",Raw_Claims_Data!I2623)</f>
        <v>Ambulance</v>
      </c>
      <c r="J2624" t="str">
        <f>Raw_Claims_Data!J2623</f>
        <v>Montgomery</v>
      </c>
      <c r="K2624" t="str">
        <f>Raw_Claims_Data!K2623</f>
        <v>AL</v>
      </c>
      <c r="L2624">
        <f>Raw_Claims_Data!L2623</f>
        <v>2</v>
      </c>
      <c r="M2624" t="str">
        <f>IF(Raw_Claims_Data!M2623="","N/A",Raw_Claims_Data!M2623)</f>
        <v>VNDR00031</v>
      </c>
      <c r="N2624" t="str">
        <f>Raw_Claims_Data!N2623</f>
        <v>AGENT00524</v>
      </c>
      <c r="O2624">
        <f>IF(Raw_Claims_Data!G2623="D",1,0)</f>
        <v>0</v>
      </c>
    </row>
    <row r="2625" spans="1:15" x14ac:dyDescent="0.35">
      <c r="A2625" t="str">
        <f>Raw_Claims_Data!A2624</f>
        <v>TXN00002621</v>
      </c>
      <c r="B2625" t="str">
        <f>TRIM(Raw_Claims_Data!B2624)</f>
        <v>Lewis Smith</v>
      </c>
      <c r="C2625" t="str">
        <f>Raw_Claims_Data!C2624</f>
        <v>Motor</v>
      </c>
      <c r="D2625">
        <f>Raw_Claims_Data!D2624</f>
        <v>72.08</v>
      </c>
      <c r="E2625">
        <f>Raw_Claims_Data!E2624</f>
        <v>7000</v>
      </c>
      <c r="F2625" t="str">
        <f>Raw_Claims_Data!F2624</f>
        <v>CO</v>
      </c>
      <c r="G2625" t="str">
        <f>Raw_Claims_Data!G2624</f>
        <v>A</v>
      </c>
      <c r="H2625" t="str">
        <f>Raw_Claims_Data!H2624</f>
        <v>Minor Loss</v>
      </c>
      <c r="I2625" t="str">
        <f>IF(Raw_Claims_Data!I2624="","None",Raw_Claims_Data!I2624)</f>
        <v>Police</v>
      </c>
      <c r="J2625" t="str">
        <f>Raw_Claims_Data!J2624</f>
        <v>Montgomery</v>
      </c>
      <c r="K2625" t="str">
        <f>Raw_Claims_Data!K2624</f>
        <v>AL</v>
      </c>
      <c r="L2625">
        <f>Raw_Claims_Data!L2624</f>
        <v>4</v>
      </c>
      <c r="M2625" t="str">
        <f>IF(Raw_Claims_Data!M2624="","N/A",Raw_Claims_Data!M2624)</f>
        <v>VNDR00012</v>
      </c>
      <c r="N2625" t="str">
        <f>Raw_Claims_Data!N2624</f>
        <v>AGENT00843</v>
      </c>
      <c r="O2625">
        <f>IF(Raw_Claims_Data!G2624="D",1,0)</f>
        <v>0</v>
      </c>
    </row>
    <row r="2626" spans="1:15" x14ac:dyDescent="0.35">
      <c r="A2626" t="str">
        <f>Raw_Claims_Data!A2625</f>
        <v>TXN00002622</v>
      </c>
      <c r="B2626" t="str">
        <f>TRIM(Raw_Claims_Data!B2625)</f>
        <v>Richard Guiterrez</v>
      </c>
      <c r="C2626" t="str">
        <f>Raw_Claims_Data!C2625</f>
        <v>Mobile</v>
      </c>
      <c r="D2626">
        <f>Raw_Claims_Data!D2625</f>
        <v>10.34</v>
      </c>
      <c r="E2626">
        <f>Raw_Claims_Data!E2625</f>
        <v>700</v>
      </c>
      <c r="F2626" t="str">
        <f>Raw_Claims_Data!F2625</f>
        <v>CO</v>
      </c>
      <c r="G2626" t="str">
        <f>Raw_Claims_Data!G2625</f>
        <v>A</v>
      </c>
      <c r="H2626" t="str">
        <f>Raw_Claims_Data!H2625</f>
        <v>Total Loss</v>
      </c>
      <c r="I2626" t="str">
        <f>IF(Raw_Claims_Data!I2625="","None",Raw_Claims_Data!I2625)</f>
        <v>Ambulance</v>
      </c>
      <c r="J2626" t="str">
        <f>Raw_Claims_Data!J2625</f>
        <v>Brooklyn Park</v>
      </c>
      <c r="K2626" t="str">
        <f>Raw_Claims_Data!K2625</f>
        <v>MD</v>
      </c>
      <c r="L2626">
        <f>Raw_Claims_Data!L2625</f>
        <v>1</v>
      </c>
      <c r="M2626" t="str">
        <f>IF(Raw_Claims_Data!M2625="","N/A",Raw_Claims_Data!M2625)</f>
        <v>VNDR00137</v>
      </c>
      <c r="N2626" t="str">
        <f>Raw_Claims_Data!N2625</f>
        <v>AGENT00144</v>
      </c>
      <c r="O2626">
        <f>IF(Raw_Claims_Data!G2625="D",1,0)</f>
        <v>0</v>
      </c>
    </row>
    <row r="2627" spans="1:15" x14ac:dyDescent="0.35">
      <c r="A2627" t="str">
        <f>Raw_Claims_Data!A2626</f>
        <v>TXN00002623</v>
      </c>
      <c r="B2627" t="str">
        <f>TRIM(Raw_Claims_Data!B2626)</f>
        <v>Tina Marks</v>
      </c>
      <c r="C2627" t="str">
        <f>Raw_Claims_Data!C2626</f>
        <v>Property</v>
      </c>
      <c r="D2627">
        <f>Raw_Claims_Data!D2626</f>
        <v>142.66</v>
      </c>
      <c r="E2627">
        <f>Raw_Claims_Data!E2626</f>
        <v>37000</v>
      </c>
      <c r="F2627" t="str">
        <f>Raw_Claims_Data!F2626</f>
        <v>TN</v>
      </c>
      <c r="G2627" t="str">
        <f>Raw_Claims_Data!G2626</f>
        <v>A</v>
      </c>
      <c r="H2627" t="str">
        <f>Raw_Claims_Data!H2626</f>
        <v>Minor Loss</v>
      </c>
      <c r="I2627" t="str">
        <f>IF(Raw_Claims_Data!I2626="","None",Raw_Claims_Data!I2626)</f>
        <v>Police</v>
      </c>
      <c r="J2627" t="str">
        <f>Raw_Claims_Data!J2626</f>
        <v>Anchorage</v>
      </c>
      <c r="K2627" t="str">
        <f>Raw_Claims_Data!K2626</f>
        <v>AK</v>
      </c>
      <c r="L2627">
        <f>Raw_Claims_Data!L2626</f>
        <v>4</v>
      </c>
      <c r="M2627" t="str">
        <f>IF(Raw_Claims_Data!M2626="","N/A",Raw_Claims_Data!M2626)</f>
        <v>N/A</v>
      </c>
      <c r="N2627" t="str">
        <f>Raw_Claims_Data!N2626</f>
        <v>AGENT00485</v>
      </c>
      <c r="O2627">
        <f>IF(Raw_Claims_Data!G2626="D",1,0)</f>
        <v>0</v>
      </c>
    </row>
    <row r="2628" spans="1:15" x14ac:dyDescent="0.35">
      <c r="A2628" t="str">
        <f>Raw_Claims_Data!A2627</f>
        <v>TXN00002624</v>
      </c>
      <c r="B2628" t="str">
        <f>TRIM(Raw_Claims_Data!B2627)</f>
        <v>Wayne Burback</v>
      </c>
      <c r="C2628" t="str">
        <f>Raw_Claims_Data!C2627</f>
        <v>Mobile</v>
      </c>
      <c r="D2628">
        <f>Raw_Claims_Data!D2627</f>
        <v>9.5500000000000007</v>
      </c>
      <c r="E2628">
        <f>Raw_Claims_Data!E2627</f>
        <v>300</v>
      </c>
      <c r="F2628" t="str">
        <f>Raw_Claims_Data!F2627</f>
        <v>OK</v>
      </c>
      <c r="G2628" t="str">
        <f>Raw_Claims_Data!G2627</f>
        <v>A</v>
      </c>
      <c r="H2628" t="str">
        <f>Raw_Claims_Data!H2627</f>
        <v>Total Loss</v>
      </c>
      <c r="I2628" t="str">
        <f>IF(Raw_Claims_Data!I2627="","None",Raw_Claims_Data!I2627)</f>
        <v>Ambulance</v>
      </c>
      <c r="J2628" t="str">
        <f>Raw_Claims_Data!J2627</f>
        <v>Sutter Creek</v>
      </c>
      <c r="K2628" t="str">
        <f>Raw_Claims_Data!K2627</f>
        <v>CA</v>
      </c>
      <c r="L2628">
        <f>Raw_Claims_Data!L2627</f>
        <v>19</v>
      </c>
      <c r="M2628" t="str">
        <f>IF(Raw_Claims_Data!M2627="","N/A",Raw_Claims_Data!M2627)</f>
        <v>VNDR00517</v>
      </c>
      <c r="N2628" t="str">
        <f>Raw_Claims_Data!N2627</f>
        <v>AGENT00952</v>
      </c>
      <c r="O2628">
        <f>IF(Raw_Claims_Data!G2627="D",1,0)</f>
        <v>0</v>
      </c>
    </row>
    <row r="2629" spans="1:15" x14ac:dyDescent="0.35">
      <c r="A2629" t="str">
        <f>Raw_Claims_Data!A2628</f>
        <v>TXN00002625</v>
      </c>
      <c r="B2629" t="str">
        <f>TRIM(Raw_Claims_Data!B2628)</f>
        <v>Charles Crasco</v>
      </c>
      <c r="C2629" t="str">
        <f>Raw_Claims_Data!C2628</f>
        <v>Property</v>
      </c>
      <c r="D2629">
        <f>Raw_Claims_Data!D2628</f>
        <v>150.77000000000001</v>
      </c>
      <c r="E2629">
        <f>Raw_Claims_Data!E2628</f>
        <v>24000</v>
      </c>
      <c r="F2629" t="str">
        <f>Raw_Claims_Data!F2628</f>
        <v>MD</v>
      </c>
      <c r="G2629" t="str">
        <f>Raw_Claims_Data!G2628</f>
        <v>A</v>
      </c>
      <c r="H2629" t="str">
        <f>Raw_Claims_Data!H2628</f>
        <v>Total Loss</v>
      </c>
      <c r="I2629" t="str">
        <f>IF(Raw_Claims_Data!I2628="","None",Raw_Claims_Data!I2628)</f>
        <v>Police</v>
      </c>
      <c r="J2629" t="str">
        <f>Raw_Claims_Data!J2628</f>
        <v>Oklahoma City</v>
      </c>
      <c r="K2629" t="str">
        <f>Raw_Claims_Data!K2628</f>
        <v>OK</v>
      </c>
      <c r="L2629">
        <f>Raw_Claims_Data!L2628</f>
        <v>11</v>
      </c>
      <c r="M2629" t="str">
        <f>IF(Raw_Claims_Data!M2628="","N/A",Raw_Claims_Data!M2628)</f>
        <v>VNDR00586</v>
      </c>
      <c r="N2629" t="str">
        <f>Raw_Claims_Data!N2628</f>
        <v>AGENT01118</v>
      </c>
      <c r="O2629">
        <f>IF(Raw_Claims_Data!G2628="D",1,0)</f>
        <v>0</v>
      </c>
    </row>
    <row r="2630" spans="1:15" x14ac:dyDescent="0.35">
      <c r="A2630" t="str">
        <f>Raw_Claims_Data!A2629</f>
        <v>TXN00002626</v>
      </c>
      <c r="B2630" t="str">
        <f>TRIM(Raw_Claims_Data!B2629)</f>
        <v>Sarah Chadwick</v>
      </c>
      <c r="C2630" t="str">
        <f>Raw_Claims_Data!C2629</f>
        <v>Health</v>
      </c>
      <c r="D2630">
        <f>Raw_Claims_Data!D2629</f>
        <v>114.96</v>
      </c>
      <c r="E2630">
        <f>Raw_Claims_Data!E2629</f>
        <v>10000</v>
      </c>
      <c r="F2630" t="str">
        <f>Raw_Claims_Data!F2629</f>
        <v>OK</v>
      </c>
      <c r="G2630" t="str">
        <f>Raw_Claims_Data!G2629</f>
        <v>A</v>
      </c>
      <c r="H2630" t="str">
        <f>Raw_Claims_Data!H2629</f>
        <v>Minor Loss</v>
      </c>
      <c r="I2630" t="str">
        <f>IF(Raw_Claims_Data!I2629="","None",Raw_Claims_Data!I2629)</f>
        <v>Ambulance</v>
      </c>
      <c r="J2630" t="str">
        <f>Raw_Claims_Data!J2629</f>
        <v>Washington</v>
      </c>
      <c r="K2630" t="str">
        <f>Raw_Claims_Data!K2629</f>
        <v>DC</v>
      </c>
      <c r="L2630">
        <f>Raw_Claims_Data!L2629</f>
        <v>15</v>
      </c>
      <c r="M2630" t="str">
        <f>IF(Raw_Claims_Data!M2629="","N/A",Raw_Claims_Data!M2629)</f>
        <v>VNDR00289</v>
      </c>
      <c r="N2630" t="str">
        <f>Raw_Claims_Data!N2629</f>
        <v>AGENT00361</v>
      </c>
      <c r="O2630">
        <f>IF(Raw_Claims_Data!G2629="D",1,0)</f>
        <v>0</v>
      </c>
    </row>
    <row r="2631" spans="1:15" x14ac:dyDescent="0.35">
      <c r="A2631" t="str">
        <f>Raw_Claims_Data!A2630</f>
        <v>TXN00002627</v>
      </c>
      <c r="B2631" t="str">
        <f>TRIM(Raw_Claims_Data!B2630)</f>
        <v>Edward Eastman</v>
      </c>
      <c r="C2631" t="str">
        <f>Raw_Claims_Data!C2630</f>
        <v>Travel</v>
      </c>
      <c r="D2631">
        <f>Raw_Claims_Data!D2630</f>
        <v>68.790000000000006</v>
      </c>
      <c r="E2631">
        <f>Raw_Claims_Data!E2630</f>
        <v>2000</v>
      </c>
      <c r="F2631" t="str">
        <f>Raw_Claims_Data!F2630</f>
        <v>AK</v>
      </c>
      <c r="G2631" t="str">
        <f>Raw_Claims_Data!G2630</f>
        <v>A</v>
      </c>
      <c r="H2631" t="str">
        <f>Raw_Claims_Data!H2630</f>
        <v>Total Loss</v>
      </c>
      <c r="I2631" t="str">
        <f>IF(Raw_Claims_Data!I2630="","None",Raw_Claims_Data!I2630)</f>
        <v>Other</v>
      </c>
      <c r="J2631" t="str">
        <f>Raw_Claims_Data!J2630</f>
        <v>Aurora</v>
      </c>
      <c r="K2631" t="str">
        <f>Raw_Claims_Data!K2630</f>
        <v>CO</v>
      </c>
      <c r="L2631">
        <f>Raw_Claims_Data!L2630</f>
        <v>13</v>
      </c>
      <c r="M2631" t="str">
        <f>IF(Raw_Claims_Data!M2630="","N/A",Raw_Claims_Data!M2630)</f>
        <v>VNDR00580</v>
      </c>
      <c r="N2631" t="str">
        <f>Raw_Claims_Data!N2630</f>
        <v>AGENT00017</v>
      </c>
      <c r="O2631">
        <f>IF(Raw_Claims_Data!G2630="D",1,0)</f>
        <v>0</v>
      </c>
    </row>
    <row r="2632" spans="1:15" x14ac:dyDescent="0.35">
      <c r="A2632" t="str">
        <f>Raw_Claims_Data!A2631</f>
        <v>TXN00002628</v>
      </c>
      <c r="B2632" t="str">
        <f>TRIM(Raw_Claims_Data!B2631)</f>
        <v>Cynthia Osborn</v>
      </c>
      <c r="C2632" t="str">
        <f>Raw_Claims_Data!C2631</f>
        <v>Property</v>
      </c>
      <c r="D2632">
        <f>Raw_Claims_Data!D2631</f>
        <v>131.28</v>
      </c>
      <c r="E2632">
        <f>Raw_Claims_Data!E2631</f>
        <v>30000</v>
      </c>
      <c r="F2632" t="str">
        <f>Raw_Claims_Data!F2631</f>
        <v>GA</v>
      </c>
      <c r="G2632" t="str">
        <f>Raw_Claims_Data!G2631</f>
        <v>A</v>
      </c>
      <c r="H2632" t="str">
        <f>Raw_Claims_Data!H2631</f>
        <v>Major Loss</v>
      </c>
      <c r="I2632" t="str">
        <f>IF(Raw_Claims_Data!I2631="","None",Raw_Claims_Data!I2631)</f>
        <v>Police</v>
      </c>
      <c r="J2632" t="str">
        <f>Raw_Claims_Data!J2631</f>
        <v>Arvada</v>
      </c>
      <c r="K2632" t="str">
        <f>Raw_Claims_Data!K2631</f>
        <v>CO</v>
      </c>
      <c r="L2632">
        <f>Raw_Claims_Data!L2631</f>
        <v>17</v>
      </c>
      <c r="M2632" t="str">
        <f>IF(Raw_Claims_Data!M2631="","N/A",Raw_Claims_Data!M2631)</f>
        <v>VNDR00339</v>
      </c>
      <c r="N2632" t="str">
        <f>Raw_Claims_Data!N2631</f>
        <v>AGENT00975</v>
      </c>
      <c r="O2632">
        <f>IF(Raw_Claims_Data!G2631="D",1,0)</f>
        <v>0</v>
      </c>
    </row>
    <row r="2633" spans="1:15" x14ac:dyDescent="0.35">
      <c r="A2633" t="str">
        <f>Raw_Claims_Data!A2632</f>
        <v>TXN00002629</v>
      </c>
      <c r="B2633" t="str">
        <f>TRIM(Raw_Claims_Data!B2632)</f>
        <v>Bruce Scott</v>
      </c>
      <c r="C2633" t="str">
        <f>Raw_Claims_Data!C2632</f>
        <v>Health</v>
      </c>
      <c r="D2633">
        <f>Raw_Claims_Data!D2632</f>
        <v>165.96</v>
      </c>
      <c r="E2633">
        <f>Raw_Claims_Data!E2632</f>
        <v>13000</v>
      </c>
      <c r="F2633" t="str">
        <f>Raw_Claims_Data!F2632</f>
        <v>AK</v>
      </c>
      <c r="G2633" t="str">
        <f>Raw_Claims_Data!G2632</f>
        <v>A</v>
      </c>
      <c r="H2633" t="str">
        <f>Raw_Claims_Data!H2632</f>
        <v>Total Loss</v>
      </c>
      <c r="I2633" t="str">
        <f>IF(Raw_Claims_Data!I2632="","None",Raw_Claims_Data!I2632)</f>
        <v>None</v>
      </c>
      <c r="J2633" t="str">
        <f>Raw_Claims_Data!J2632</f>
        <v>Nashville</v>
      </c>
      <c r="K2633" t="str">
        <f>Raw_Claims_Data!K2632</f>
        <v>TN</v>
      </c>
      <c r="L2633">
        <f>Raw_Claims_Data!L2632</f>
        <v>18</v>
      </c>
      <c r="M2633" t="str">
        <f>IF(Raw_Claims_Data!M2632="","N/A",Raw_Claims_Data!M2632)</f>
        <v>VNDR00486</v>
      </c>
      <c r="N2633" t="str">
        <f>Raw_Claims_Data!N2632</f>
        <v>AGENT00169</v>
      </c>
      <c r="O2633">
        <f>IF(Raw_Claims_Data!G2632="D",1,0)</f>
        <v>0</v>
      </c>
    </row>
    <row r="2634" spans="1:15" x14ac:dyDescent="0.35">
      <c r="A2634" t="str">
        <f>Raw_Claims_Data!A2633</f>
        <v>TXN00002630</v>
      </c>
      <c r="B2634" t="str">
        <f>TRIM(Raw_Claims_Data!B2633)</f>
        <v>Catherine Stadler</v>
      </c>
      <c r="C2634" t="str">
        <f>Raw_Claims_Data!C2633</f>
        <v>Property</v>
      </c>
      <c r="D2634">
        <f>Raw_Claims_Data!D2633</f>
        <v>116.87</v>
      </c>
      <c r="E2634">
        <f>Raw_Claims_Data!E2633</f>
        <v>25000</v>
      </c>
      <c r="F2634" t="str">
        <f>Raw_Claims_Data!F2633</f>
        <v>AK</v>
      </c>
      <c r="G2634" t="str">
        <f>Raw_Claims_Data!G2633</f>
        <v>A</v>
      </c>
      <c r="H2634" t="str">
        <f>Raw_Claims_Data!H2633</f>
        <v>Minor Loss</v>
      </c>
      <c r="I2634" t="str">
        <f>IF(Raw_Claims_Data!I2633="","None",Raw_Claims_Data!I2633)</f>
        <v>Other</v>
      </c>
      <c r="J2634" t="str">
        <f>Raw_Claims_Data!J2633</f>
        <v>Severn</v>
      </c>
      <c r="K2634" t="str">
        <f>Raw_Claims_Data!K2633</f>
        <v>MD</v>
      </c>
      <c r="L2634">
        <f>Raw_Claims_Data!L2633</f>
        <v>0</v>
      </c>
      <c r="M2634" t="str">
        <f>IF(Raw_Claims_Data!M2633="","N/A",Raw_Claims_Data!M2633)</f>
        <v>VNDR00548</v>
      </c>
      <c r="N2634" t="str">
        <f>Raw_Claims_Data!N2633</f>
        <v>AGENT00213</v>
      </c>
      <c r="O2634">
        <f>IF(Raw_Claims_Data!G2633="D",1,0)</f>
        <v>0</v>
      </c>
    </row>
    <row r="2635" spans="1:15" x14ac:dyDescent="0.35">
      <c r="A2635" t="str">
        <f>Raw_Claims_Data!A2634</f>
        <v>TXN00002631</v>
      </c>
      <c r="B2635" t="str">
        <f>TRIM(Raw_Claims_Data!B2634)</f>
        <v>Martha Morris</v>
      </c>
      <c r="C2635" t="str">
        <f>Raw_Claims_Data!C2634</f>
        <v>Life</v>
      </c>
      <c r="D2635">
        <f>Raw_Claims_Data!D2634</f>
        <v>80</v>
      </c>
      <c r="E2635">
        <f>Raw_Claims_Data!E2634</f>
        <v>61000</v>
      </c>
      <c r="F2635" t="str">
        <f>Raw_Claims_Data!F2634</f>
        <v>TN</v>
      </c>
      <c r="G2635" t="str">
        <f>Raw_Claims_Data!G2634</f>
        <v>A</v>
      </c>
      <c r="H2635" t="str">
        <f>Raw_Claims_Data!H2634</f>
        <v>Total Loss</v>
      </c>
      <c r="I2635" t="str">
        <f>IF(Raw_Claims_Data!I2634="","None",Raw_Claims_Data!I2634)</f>
        <v>Ambulance</v>
      </c>
      <c r="J2635" t="str">
        <f>Raw_Claims_Data!J2634</f>
        <v>Fayetteville</v>
      </c>
      <c r="K2635" t="str">
        <f>Raw_Claims_Data!K2634</f>
        <v>AR</v>
      </c>
      <c r="L2635">
        <f>Raw_Claims_Data!L2634</f>
        <v>4</v>
      </c>
      <c r="M2635" t="str">
        <f>IF(Raw_Claims_Data!M2634="","N/A",Raw_Claims_Data!M2634)</f>
        <v>N/A</v>
      </c>
      <c r="N2635" t="str">
        <f>Raw_Claims_Data!N2634</f>
        <v>AGENT00294</v>
      </c>
      <c r="O2635">
        <f>IF(Raw_Claims_Data!G2634="D",1,0)</f>
        <v>0</v>
      </c>
    </row>
    <row r="2636" spans="1:15" x14ac:dyDescent="0.35">
      <c r="A2636" t="str">
        <f>Raw_Claims_Data!A2635</f>
        <v>TXN00002632</v>
      </c>
      <c r="B2636" t="str">
        <f>TRIM(Raw_Claims_Data!B2635)</f>
        <v>Benjamin Brocklehurst</v>
      </c>
      <c r="C2636" t="str">
        <f>Raw_Claims_Data!C2635</f>
        <v>Property</v>
      </c>
      <c r="D2636">
        <f>Raw_Claims_Data!D2635</f>
        <v>131.54</v>
      </c>
      <c r="E2636">
        <f>Raw_Claims_Data!E2635</f>
        <v>13000</v>
      </c>
      <c r="F2636" t="str">
        <f>Raw_Claims_Data!F2635</f>
        <v>FL</v>
      </c>
      <c r="G2636" t="str">
        <f>Raw_Claims_Data!G2635</f>
        <v>A</v>
      </c>
      <c r="H2636" t="str">
        <f>Raw_Claims_Data!H2635</f>
        <v>Major Loss</v>
      </c>
      <c r="I2636" t="str">
        <f>IF(Raw_Claims_Data!I2635="","None",Raw_Claims_Data!I2635)</f>
        <v>Police</v>
      </c>
      <c r="J2636" t="str">
        <f>Raw_Claims_Data!J2635</f>
        <v>Savannah</v>
      </c>
      <c r="K2636" t="str">
        <f>Raw_Claims_Data!K2635</f>
        <v>GA</v>
      </c>
      <c r="L2636">
        <f>Raw_Claims_Data!L2635</f>
        <v>13</v>
      </c>
      <c r="M2636" t="str">
        <f>IF(Raw_Claims_Data!M2635="","N/A",Raw_Claims_Data!M2635)</f>
        <v>VNDR00152</v>
      </c>
      <c r="N2636" t="str">
        <f>Raw_Claims_Data!N2635</f>
        <v>AGENT01106</v>
      </c>
      <c r="O2636">
        <f>IF(Raw_Claims_Data!G2635="D",1,0)</f>
        <v>0</v>
      </c>
    </row>
    <row r="2637" spans="1:15" x14ac:dyDescent="0.35">
      <c r="A2637" t="str">
        <f>Raw_Claims_Data!A2636</f>
        <v>TXN00002633</v>
      </c>
      <c r="B2637" t="str">
        <f>TRIM(Raw_Claims_Data!B2636)</f>
        <v>Robert Mensalvas</v>
      </c>
      <c r="C2637" t="str">
        <f>Raw_Claims_Data!C2636</f>
        <v>Life</v>
      </c>
      <c r="D2637">
        <f>Raw_Claims_Data!D2636</f>
        <v>83.71</v>
      </c>
      <c r="E2637">
        <f>Raw_Claims_Data!E2636</f>
        <v>37000</v>
      </c>
      <c r="F2637" t="str">
        <f>Raw_Claims_Data!F2636</f>
        <v>AR</v>
      </c>
      <c r="G2637" t="str">
        <f>Raw_Claims_Data!G2636</f>
        <v>A</v>
      </c>
      <c r="H2637" t="str">
        <f>Raw_Claims_Data!H2636</f>
        <v>Major Loss</v>
      </c>
      <c r="I2637" t="str">
        <f>IF(Raw_Claims_Data!I2636="","None",Raw_Claims_Data!I2636)</f>
        <v>None</v>
      </c>
      <c r="J2637" t="str">
        <f>Raw_Claims_Data!J2636</f>
        <v>Glendale</v>
      </c>
      <c r="K2637" t="str">
        <f>Raw_Claims_Data!K2636</f>
        <v>AZ</v>
      </c>
      <c r="L2637">
        <f>Raw_Claims_Data!L2636</f>
        <v>5</v>
      </c>
      <c r="M2637" t="str">
        <f>IF(Raw_Claims_Data!M2636="","N/A",Raw_Claims_Data!M2636)</f>
        <v>VNDR00067</v>
      </c>
      <c r="N2637" t="str">
        <f>Raw_Claims_Data!N2636</f>
        <v>AGENT00381</v>
      </c>
      <c r="O2637">
        <f>IF(Raw_Claims_Data!G2636="D",1,0)</f>
        <v>0</v>
      </c>
    </row>
    <row r="2638" spans="1:15" x14ac:dyDescent="0.35">
      <c r="A2638" t="str">
        <f>Raw_Claims_Data!A2637</f>
        <v>TXN00002634</v>
      </c>
      <c r="B2638" t="str">
        <f>TRIM(Raw_Claims_Data!B2637)</f>
        <v>Curtis Madina</v>
      </c>
      <c r="C2638" t="str">
        <f>Raw_Claims_Data!C2637</f>
        <v>Travel</v>
      </c>
      <c r="D2638">
        <f>Raw_Claims_Data!D2637</f>
        <v>62.68</v>
      </c>
      <c r="E2638">
        <f>Raw_Claims_Data!E2637</f>
        <v>3000</v>
      </c>
      <c r="F2638" t="str">
        <f>Raw_Claims_Data!F2637</f>
        <v>AL</v>
      </c>
      <c r="G2638" t="str">
        <f>Raw_Claims_Data!G2637</f>
        <v>D</v>
      </c>
      <c r="H2638" t="str">
        <f>Raw_Claims_Data!H2637</f>
        <v>Total Loss</v>
      </c>
      <c r="I2638" t="str">
        <f>IF(Raw_Claims_Data!I2637="","None",Raw_Claims_Data!I2637)</f>
        <v>Ambulance</v>
      </c>
      <c r="J2638" t="str">
        <f>Raw_Claims_Data!J2637</f>
        <v>Annapolis</v>
      </c>
      <c r="K2638" t="str">
        <f>Raw_Claims_Data!K2637</f>
        <v>MD</v>
      </c>
      <c r="L2638">
        <f>Raw_Claims_Data!L2637</f>
        <v>14</v>
      </c>
      <c r="M2638" t="str">
        <f>IF(Raw_Claims_Data!M2637="","N/A",Raw_Claims_Data!M2637)</f>
        <v>N/A</v>
      </c>
      <c r="N2638" t="str">
        <f>Raw_Claims_Data!N2637</f>
        <v>AGENT00456</v>
      </c>
      <c r="O2638">
        <f>IF(Raw_Claims_Data!G2637="D",1,0)</f>
        <v>1</v>
      </c>
    </row>
    <row r="2639" spans="1:15" x14ac:dyDescent="0.35">
      <c r="A2639" t="str">
        <f>Raw_Claims_Data!A2638</f>
        <v>TXN00002635</v>
      </c>
      <c r="B2639" t="str">
        <f>TRIM(Raw_Claims_Data!B2638)</f>
        <v>Joseph Castro</v>
      </c>
      <c r="C2639" t="str">
        <f>Raw_Claims_Data!C2638</f>
        <v>Travel</v>
      </c>
      <c r="D2639">
        <f>Raw_Claims_Data!D2638</f>
        <v>56.73</v>
      </c>
      <c r="E2639">
        <f>Raw_Claims_Data!E2638</f>
        <v>1000</v>
      </c>
      <c r="F2639" t="str">
        <f>Raw_Claims_Data!F2638</f>
        <v>AL</v>
      </c>
      <c r="G2639" t="str">
        <f>Raw_Claims_Data!G2638</f>
        <v>A</v>
      </c>
      <c r="H2639" t="str">
        <f>Raw_Claims_Data!H2638</f>
        <v>Total Loss</v>
      </c>
      <c r="I2639" t="str">
        <f>IF(Raw_Claims_Data!I2638="","None",Raw_Claims_Data!I2638)</f>
        <v>Ambulance</v>
      </c>
      <c r="J2639" t="str">
        <f>Raw_Claims_Data!J2638</f>
        <v>Fayetteville</v>
      </c>
      <c r="K2639" t="str">
        <f>Raw_Claims_Data!K2638</f>
        <v>AR</v>
      </c>
      <c r="L2639">
        <f>Raw_Claims_Data!L2638</f>
        <v>13</v>
      </c>
      <c r="M2639" t="str">
        <f>IF(Raw_Claims_Data!M2638="","N/A",Raw_Claims_Data!M2638)</f>
        <v>N/A</v>
      </c>
      <c r="N2639" t="str">
        <f>Raw_Claims_Data!N2638</f>
        <v>AGENT01182</v>
      </c>
      <c r="O2639">
        <f>IF(Raw_Claims_Data!G2638="D",1,0)</f>
        <v>0</v>
      </c>
    </row>
    <row r="2640" spans="1:15" x14ac:dyDescent="0.35">
      <c r="A2640" t="str">
        <f>Raw_Claims_Data!A2639</f>
        <v>TXN00002636</v>
      </c>
      <c r="B2640" t="str">
        <f>TRIM(Raw_Claims_Data!B2639)</f>
        <v>Sammy Curran</v>
      </c>
      <c r="C2640" t="str">
        <f>Raw_Claims_Data!C2639</f>
        <v>Property</v>
      </c>
      <c r="D2640">
        <f>Raw_Claims_Data!D2639</f>
        <v>130.97</v>
      </c>
      <c r="E2640">
        <f>Raw_Claims_Data!E2639</f>
        <v>31000</v>
      </c>
      <c r="F2640" t="str">
        <f>Raw_Claims_Data!F2639</f>
        <v>FL</v>
      </c>
      <c r="G2640" t="str">
        <f>Raw_Claims_Data!G2639</f>
        <v>A</v>
      </c>
      <c r="H2640" t="str">
        <f>Raw_Claims_Data!H2639</f>
        <v>Total Loss</v>
      </c>
      <c r="I2640" t="str">
        <f>IF(Raw_Claims_Data!I2639="","None",Raw_Claims_Data!I2639)</f>
        <v>None</v>
      </c>
      <c r="J2640" t="str">
        <f>Raw_Claims_Data!J2639</f>
        <v>Fayetteville</v>
      </c>
      <c r="K2640" t="str">
        <f>Raw_Claims_Data!K2639</f>
        <v>AR</v>
      </c>
      <c r="L2640">
        <f>Raw_Claims_Data!L2639</f>
        <v>8</v>
      </c>
      <c r="M2640" t="str">
        <f>IF(Raw_Claims_Data!M2639="","N/A",Raw_Claims_Data!M2639)</f>
        <v>VNDR00256</v>
      </c>
      <c r="N2640" t="str">
        <f>Raw_Claims_Data!N2639</f>
        <v>AGENT00078</v>
      </c>
      <c r="O2640">
        <f>IF(Raw_Claims_Data!G2639="D",1,0)</f>
        <v>0</v>
      </c>
    </row>
    <row r="2641" spans="1:15" x14ac:dyDescent="0.35">
      <c r="A2641" t="str">
        <f>Raw_Claims_Data!A2640</f>
        <v>TXN00002637</v>
      </c>
      <c r="B2641" t="str">
        <f>TRIM(Raw_Claims_Data!B2640)</f>
        <v>Matthew Contreras</v>
      </c>
      <c r="C2641" t="str">
        <f>Raw_Claims_Data!C2640</f>
        <v>Property</v>
      </c>
      <c r="D2641">
        <f>Raw_Claims_Data!D2640</f>
        <v>88.05</v>
      </c>
      <c r="E2641">
        <f>Raw_Claims_Data!E2640</f>
        <v>29000</v>
      </c>
      <c r="F2641" t="str">
        <f>Raw_Claims_Data!F2640</f>
        <v>CT</v>
      </c>
      <c r="G2641" t="str">
        <f>Raw_Claims_Data!G2640</f>
        <v>A</v>
      </c>
      <c r="H2641" t="str">
        <f>Raw_Claims_Data!H2640</f>
        <v>Minor Loss</v>
      </c>
      <c r="I2641" t="str">
        <f>IF(Raw_Claims_Data!I2640="","None",Raw_Claims_Data!I2640)</f>
        <v>Other</v>
      </c>
      <c r="J2641" t="str">
        <f>Raw_Claims_Data!J2640</f>
        <v>Baltimore</v>
      </c>
      <c r="K2641" t="str">
        <f>Raw_Claims_Data!K2640</f>
        <v>MD</v>
      </c>
      <c r="L2641">
        <f>Raw_Claims_Data!L2640</f>
        <v>6</v>
      </c>
      <c r="M2641" t="str">
        <f>IF(Raw_Claims_Data!M2640="","N/A",Raw_Claims_Data!M2640)</f>
        <v>VNDR00412</v>
      </c>
      <c r="N2641" t="str">
        <f>Raw_Claims_Data!N2640</f>
        <v>AGENT00924</v>
      </c>
      <c r="O2641">
        <f>IF(Raw_Claims_Data!G2640="D",1,0)</f>
        <v>0</v>
      </c>
    </row>
    <row r="2642" spans="1:15" x14ac:dyDescent="0.35">
      <c r="A2642" t="str">
        <f>Raw_Claims_Data!A2641</f>
        <v>TXN00002638</v>
      </c>
      <c r="B2642" t="str">
        <f>TRIM(Raw_Claims_Data!B2641)</f>
        <v>Monica Nimmons</v>
      </c>
      <c r="C2642" t="str">
        <f>Raw_Claims_Data!C2641</f>
        <v>Travel</v>
      </c>
      <c r="D2642">
        <f>Raw_Claims_Data!D2641</f>
        <v>53.33</v>
      </c>
      <c r="E2642">
        <f>Raw_Claims_Data!E2641</f>
        <v>1000</v>
      </c>
      <c r="F2642" t="str">
        <f>Raw_Claims_Data!F2641</f>
        <v>FL</v>
      </c>
      <c r="G2642" t="str">
        <f>Raw_Claims_Data!G2641</f>
        <v>A</v>
      </c>
      <c r="H2642" t="str">
        <f>Raw_Claims_Data!H2641</f>
        <v>Total Loss</v>
      </c>
      <c r="I2642" t="str">
        <f>IF(Raw_Claims_Data!I2641="","None",Raw_Claims_Data!I2641)</f>
        <v>Ambulance</v>
      </c>
      <c r="J2642" t="str">
        <f>Raw_Claims_Data!J2641</f>
        <v>Oklahoma City</v>
      </c>
      <c r="K2642" t="str">
        <f>Raw_Claims_Data!K2641</f>
        <v>OK</v>
      </c>
      <c r="L2642">
        <f>Raw_Claims_Data!L2641</f>
        <v>18</v>
      </c>
      <c r="M2642" t="str">
        <f>IF(Raw_Claims_Data!M2641="","N/A",Raw_Claims_Data!M2641)</f>
        <v>N/A</v>
      </c>
      <c r="N2642" t="str">
        <f>Raw_Claims_Data!N2641</f>
        <v>AGENT00317</v>
      </c>
      <c r="O2642">
        <f>IF(Raw_Claims_Data!G2641="D",1,0)</f>
        <v>0</v>
      </c>
    </row>
    <row r="2643" spans="1:15" x14ac:dyDescent="0.35">
      <c r="A2643" t="str">
        <f>Raw_Claims_Data!A2642</f>
        <v>TXN00002639</v>
      </c>
      <c r="B2643" t="str">
        <f>TRIM(Raw_Claims_Data!B2642)</f>
        <v>Troy Horne</v>
      </c>
      <c r="C2643" t="str">
        <f>Raw_Claims_Data!C2642</f>
        <v>Health</v>
      </c>
      <c r="D2643">
        <f>Raw_Claims_Data!D2642</f>
        <v>155.18</v>
      </c>
      <c r="E2643">
        <f>Raw_Claims_Data!E2642</f>
        <v>9000</v>
      </c>
      <c r="F2643" t="str">
        <f>Raw_Claims_Data!F2642</f>
        <v>FL</v>
      </c>
      <c r="G2643" t="str">
        <f>Raw_Claims_Data!G2642</f>
        <v>A</v>
      </c>
      <c r="H2643" t="str">
        <f>Raw_Claims_Data!H2642</f>
        <v>Major Loss</v>
      </c>
      <c r="I2643" t="str">
        <f>IF(Raw_Claims_Data!I2642="","None",Raw_Claims_Data!I2642)</f>
        <v>Ambulance</v>
      </c>
      <c r="J2643" t="str">
        <f>Raw_Claims_Data!J2642</f>
        <v>Nashville</v>
      </c>
      <c r="K2643" t="str">
        <f>Raw_Claims_Data!K2642</f>
        <v>TN</v>
      </c>
      <c r="L2643">
        <f>Raw_Claims_Data!L2642</f>
        <v>16</v>
      </c>
      <c r="M2643" t="str">
        <f>IF(Raw_Claims_Data!M2642="","N/A",Raw_Claims_Data!M2642)</f>
        <v>N/A</v>
      </c>
      <c r="N2643" t="str">
        <f>Raw_Claims_Data!N2642</f>
        <v>AGENT00872</v>
      </c>
      <c r="O2643">
        <f>IF(Raw_Claims_Data!G2642="D",1,0)</f>
        <v>0</v>
      </c>
    </row>
    <row r="2644" spans="1:15" x14ac:dyDescent="0.35">
      <c r="A2644" t="str">
        <f>Raw_Claims_Data!A2643</f>
        <v>TXN00002640</v>
      </c>
      <c r="B2644" t="str">
        <f>TRIM(Raw_Claims_Data!B2643)</f>
        <v>Jeremiah Thorpe</v>
      </c>
      <c r="C2644" t="str">
        <f>Raw_Claims_Data!C2643</f>
        <v>Travel</v>
      </c>
      <c r="D2644">
        <f>Raw_Claims_Data!D2643</f>
        <v>73.06</v>
      </c>
      <c r="E2644">
        <f>Raw_Claims_Data!E2643</f>
        <v>3000</v>
      </c>
      <c r="F2644" t="str">
        <f>Raw_Claims_Data!F2643</f>
        <v>GA</v>
      </c>
      <c r="G2644" t="str">
        <f>Raw_Claims_Data!G2643</f>
        <v>A</v>
      </c>
      <c r="H2644" t="str">
        <f>Raw_Claims_Data!H2643</f>
        <v>Minor Loss</v>
      </c>
      <c r="I2644" t="str">
        <f>IF(Raw_Claims_Data!I2643="","None",Raw_Claims_Data!I2643)</f>
        <v>Ambulance</v>
      </c>
      <c r="J2644" t="str">
        <f>Raw_Claims_Data!J2643</f>
        <v>Pleasanton</v>
      </c>
      <c r="K2644" t="str">
        <f>Raw_Claims_Data!K2643</f>
        <v>CA</v>
      </c>
      <c r="L2644">
        <f>Raw_Claims_Data!L2643</f>
        <v>9</v>
      </c>
      <c r="M2644" t="str">
        <f>IF(Raw_Claims_Data!M2643="","N/A",Raw_Claims_Data!M2643)</f>
        <v>N/A</v>
      </c>
      <c r="N2644" t="str">
        <f>Raw_Claims_Data!N2643</f>
        <v>AGENT00055</v>
      </c>
      <c r="O2644">
        <f>IF(Raw_Claims_Data!G2643="D",1,0)</f>
        <v>0</v>
      </c>
    </row>
    <row r="2645" spans="1:15" x14ac:dyDescent="0.35">
      <c r="A2645" t="str">
        <f>Raw_Claims_Data!A2644</f>
        <v>TXN00002641</v>
      </c>
      <c r="B2645" t="str">
        <f>TRIM(Raw_Claims_Data!B2644)</f>
        <v>Stacy Dellosso</v>
      </c>
      <c r="C2645" t="str">
        <f>Raw_Claims_Data!C2644</f>
        <v>Motor</v>
      </c>
      <c r="D2645">
        <f>Raw_Claims_Data!D2644</f>
        <v>131.82</v>
      </c>
      <c r="E2645">
        <f>Raw_Claims_Data!E2644</f>
        <v>1000</v>
      </c>
      <c r="F2645" t="str">
        <f>Raw_Claims_Data!F2644</f>
        <v>AZ</v>
      </c>
      <c r="G2645" t="str">
        <f>Raw_Claims_Data!G2644</f>
        <v>A</v>
      </c>
      <c r="H2645" t="str">
        <f>Raw_Claims_Data!H2644</f>
        <v>Minor Loss</v>
      </c>
      <c r="I2645" t="str">
        <f>IF(Raw_Claims_Data!I2644="","None",Raw_Claims_Data!I2644)</f>
        <v>None</v>
      </c>
      <c r="J2645" t="str">
        <f>Raw_Claims_Data!J2644</f>
        <v>Anchorage</v>
      </c>
      <c r="K2645" t="str">
        <f>Raw_Claims_Data!K2644</f>
        <v>AK</v>
      </c>
      <c r="L2645">
        <f>Raw_Claims_Data!L2644</f>
        <v>19</v>
      </c>
      <c r="M2645" t="str">
        <f>IF(Raw_Claims_Data!M2644="","N/A",Raw_Claims_Data!M2644)</f>
        <v>N/A</v>
      </c>
      <c r="N2645" t="str">
        <f>Raw_Claims_Data!N2644</f>
        <v>AGENT00766</v>
      </c>
      <c r="O2645">
        <f>IF(Raw_Claims_Data!G2644="D",1,0)</f>
        <v>0</v>
      </c>
    </row>
    <row r="2646" spans="1:15" x14ac:dyDescent="0.35">
      <c r="A2646" t="str">
        <f>Raw_Claims_Data!A2645</f>
        <v>TXN00002642</v>
      </c>
      <c r="B2646" t="str">
        <f>TRIM(Raw_Claims_Data!B2645)</f>
        <v>David Calnick</v>
      </c>
      <c r="C2646" t="str">
        <f>Raw_Claims_Data!C2645</f>
        <v>Property</v>
      </c>
      <c r="D2646">
        <f>Raw_Claims_Data!D2645</f>
        <v>109.97</v>
      </c>
      <c r="E2646">
        <f>Raw_Claims_Data!E2645</f>
        <v>25000</v>
      </c>
      <c r="F2646" t="str">
        <f>Raw_Claims_Data!F2645</f>
        <v>MD</v>
      </c>
      <c r="G2646" t="str">
        <f>Raw_Claims_Data!G2645</f>
        <v>A</v>
      </c>
      <c r="H2646" t="str">
        <f>Raw_Claims_Data!H2645</f>
        <v>Total Loss</v>
      </c>
      <c r="I2646" t="str">
        <f>IF(Raw_Claims_Data!I2645="","None",Raw_Claims_Data!I2645)</f>
        <v>Police</v>
      </c>
      <c r="J2646" t="str">
        <f>Raw_Claims_Data!J2645</f>
        <v>Arvada</v>
      </c>
      <c r="K2646" t="str">
        <f>Raw_Claims_Data!K2645</f>
        <v>CO</v>
      </c>
      <c r="L2646">
        <f>Raw_Claims_Data!L2645</f>
        <v>7</v>
      </c>
      <c r="M2646" t="str">
        <f>IF(Raw_Claims_Data!M2645="","N/A",Raw_Claims_Data!M2645)</f>
        <v>VNDR00229</v>
      </c>
      <c r="N2646" t="str">
        <f>Raw_Claims_Data!N2645</f>
        <v>AGENT00510</v>
      </c>
      <c r="O2646">
        <f>IF(Raw_Claims_Data!G2645="D",1,0)</f>
        <v>0</v>
      </c>
    </row>
    <row r="2647" spans="1:15" x14ac:dyDescent="0.35">
      <c r="A2647" t="str">
        <f>Raw_Claims_Data!A2646</f>
        <v>TXN00002643</v>
      </c>
      <c r="B2647" t="str">
        <f>TRIM(Raw_Claims_Data!B2646)</f>
        <v>Joshua Schroeder</v>
      </c>
      <c r="C2647" t="str">
        <f>Raw_Claims_Data!C2646</f>
        <v>Health</v>
      </c>
      <c r="D2647">
        <f>Raw_Claims_Data!D2646</f>
        <v>141.4</v>
      </c>
      <c r="E2647">
        <f>Raw_Claims_Data!E2646</f>
        <v>2000</v>
      </c>
      <c r="F2647" t="str">
        <f>Raw_Claims_Data!F2646</f>
        <v>DC</v>
      </c>
      <c r="G2647" t="str">
        <f>Raw_Claims_Data!G2646</f>
        <v>A</v>
      </c>
      <c r="H2647" t="str">
        <f>Raw_Claims_Data!H2646</f>
        <v>Minor Loss</v>
      </c>
      <c r="I2647" t="str">
        <f>IF(Raw_Claims_Data!I2646="","None",Raw_Claims_Data!I2646)</f>
        <v>Police</v>
      </c>
      <c r="J2647" t="str">
        <f>Raw_Claims_Data!J2646</f>
        <v>Rohnert Park</v>
      </c>
      <c r="K2647" t="str">
        <f>Raw_Claims_Data!K2646</f>
        <v>CA</v>
      </c>
      <c r="L2647">
        <f>Raw_Claims_Data!L2646</f>
        <v>2</v>
      </c>
      <c r="M2647" t="str">
        <f>IF(Raw_Claims_Data!M2646="","N/A",Raw_Claims_Data!M2646)</f>
        <v>VNDR00397</v>
      </c>
      <c r="N2647" t="str">
        <f>Raw_Claims_Data!N2646</f>
        <v>AGENT01073</v>
      </c>
      <c r="O2647">
        <f>IF(Raw_Claims_Data!G2646="D",1,0)</f>
        <v>0</v>
      </c>
    </row>
    <row r="2648" spans="1:15" x14ac:dyDescent="0.35">
      <c r="A2648" t="str">
        <f>Raw_Claims_Data!A2647</f>
        <v>TXN00002644</v>
      </c>
      <c r="B2648" t="str">
        <f>TRIM(Raw_Claims_Data!B2647)</f>
        <v>Rachel Mccoy</v>
      </c>
      <c r="C2648" t="str">
        <f>Raw_Claims_Data!C2647</f>
        <v>Health</v>
      </c>
      <c r="D2648">
        <f>Raw_Claims_Data!D2647</f>
        <v>179.15</v>
      </c>
      <c r="E2648">
        <f>Raw_Claims_Data!E2647</f>
        <v>17000</v>
      </c>
      <c r="F2648" t="str">
        <f>Raw_Claims_Data!F2647</f>
        <v>CO</v>
      </c>
      <c r="G2648" t="str">
        <f>Raw_Claims_Data!G2647</f>
        <v>A</v>
      </c>
      <c r="H2648" t="str">
        <f>Raw_Claims_Data!H2647</f>
        <v>Major Loss</v>
      </c>
      <c r="I2648" t="str">
        <f>IF(Raw_Claims_Data!I2647="","None",Raw_Claims_Data!I2647)</f>
        <v>Ambulance</v>
      </c>
      <c r="J2648" t="str">
        <f>Raw_Claims_Data!J2647</f>
        <v>Washington</v>
      </c>
      <c r="K2648" t="str">
        <f>Raw_Claims_Data!K2647</f>
        <v>DC</v>
      </c>
      <c r="L2648">
        <f>Raw_Claims_Data!L2647</f>
        <v>5</v>
      </c>
      <c r="M2648" t="str">
        <f>IF(Raw_Claims_Data!M2647="","N/A",Raw_Claims_Data!M2647)</f>
        <v>VNDR00472</v>
      </c>
      <c r="N2648" t="str">
        <f>Raw_Claims_Data!N2647</f>
        <v>AGENT00959</v>
      </c>
      <c r="O2648">
        <f>IF(Raw_Claims_Data!G2647="D",1,0)</f>
        <v>0</v>
      </c>
    </row>
    <row r="2649" spans="1:15" x14ac:dyDescent="0.35">
      <c r="A2649" t="str">
        <f>Raw_Claims_Data!A2648</f>
        <v>TXN00002645</v>
      </c>
      <c r="B2649" t="str">
        <f>TRIM(Raw_Claims_Data!B2648)</f>
        <v>Georgia Bates</v>
      </c>
      <c r="C2649" t="str">
        <f>Raw_Claims_Data!C2648</f>
        <v>Travel</v>
      </c>
      <c r="D2649">
        <f>Raw_Claims_Data!D2648</f>
        <v>98.23</v>
      </c>
      <c r="E2649">
        <f>Raw_Claims_Data!E2648</f>
        <v>3000</v>
      </c>
      <c r="F2649" t="str">
        <f>Raw_Claims_Data!F2648</f>
        <v>AR</v>
      </c>
      <c r="G2649" t="str">
        <f>Raw_Claims_Data!G2648</f>
        <v>A</v>
      </c>
      <c r="H2649" t="str">
        <f>Raw_Claims_Data!H2648</f>
        <v>Major Loss</v>
      </c>
      <c r="I2649" t="str">
        <f>IF(Raw_Claims_Data!I2648="","None",Raw_Claims_Data!I2648)</f>
        <v>Police</v>
      </c>
      <c r="J2649" t="str">
        <f>Raw_Claims_Data!J2648</f>
        <v>Fayetteville</v>
      </c>
      <c r="K2649" t="str">
        <f>Raw_Claims_Data!K2648</f>
        <v>AR</v>
      </c>
      <c r="L2649">
        <f>Raw_Claims_Data!L2648</f>
        <v>8</v>
      </c>
      <c r="M2649" t="str">
        <f>IF(Raw_Claims_Data!M2648="","N/A",Raw_Claims_Data!M2648)</f>
        <v>VNDR00193</v>
      </c>
      <c r="N2649" t="str">
        <f>Raw_Claims_Data!N2648</f>
        <v>AGENT00651</v>
      </c>
      <c r="O2649">
        <f>IF(Raw_Claims_Data!G2648="D",1,0)</f>
        <v>0</v>
      </c>
    </row>
    <row r="2650" spans="1:15" x14ac:dyDescent="0.35">
      <c r="A2650" t="str">
        <f>Raw_Claims_Data!A2649</f>
        <v>TXN00002646</v>
      </c>
      <c r="B2650" t="str">
        <f>TRIM(Raw_Claims_Data!B2649)</f>
        <v>Tara Sargent</v>
      </c>
      <c r="C2650" t="str">
        <f>Raw_Claims_Data!C2649</f>
        <v>Motor</v>
      </c>
      <c r="D2650">
        <f>Raw_Claims_Data!D2649</f>
        <v>73.62</v>
      </c>
      <c r="E2650">
        <f>Raw_Claims_Data!E2649</f>
        <v>6000</v>
      </c>
      <c r="F2650" t="str">
        <f>Raw_Claims_Data!F2649</f>
        <v>AL</v>
      </c>
      <c r="G2650" t="str">
        <f>Raw_Claims_Data!G2649</f>
        <v>A</v>
      </c>
      <c r="H2650" t="str">
        <f>Raw_Claims_Data!H2649</f>
        <v>Major Loss</v>
      </c>
      <c r="I2650" t="str">
        <f>IF(Raw_Claims_Data!I2649="","None",Raw_Claims_Data!I2649)</f>
        <v>Ambulance</v>
      </c>
      <c r="J2650" t="str">
        <f>Raw_Claims_Data!J2649</f>
        <v>Arvada</v>
      </c>
      <c r="K2650" t="str">
        <f>Raw_Claims_Data!K2649</f>
        <v>CO</v>
      </c>
      <c r="L2650">
        <f>Raw_Claims_Data!L2649</f>
        <v>15</v>
      </c>
      <c r="M2650" t="str">
        <f>IF(Raw_Claims_Data!M2649="","N/A",Raw_Claims_Data!M2649)</f>
        <v>VNDR00144</v>
      </c>
      <c r="N2650" t="str">
        <f>Raw_Claims_Data!N2649</f>
        <v>AGENT00456</v>
      </c>
      <c r="O2650">
        <f>IF(Raw_Claims_Data!G2649="D",1,0)</f>
        <v>0</v>
      </c>
    </row>
    <row r="2651" spans="1:15" x14ac:dyDescent="0.35">
      <c r="A2651" t="str">
        <f>Raw_Claims_Data!A2650</f>
        <v>TXN00002647</v>
      </c>
      <c r="B2651" t="str">
        <f>TRIM(Raw_Claims_Data!B2650)</f>
        <v>Ralph Friedman</v>
      </c>
      <c r="C2651" t="str">
        <f>Raw_Claims_Data!C2650</f>
        <v>Mobile</v>
      </c>
      <c r="D2651">
        <f>Raw_Claims_Data!D2650</f>
        <v>7.27</v>
      </c>
      <c r="E2651">
        <f>Raw_Claims_Data!E2650</f>
        <v>600</v>
      </c>
      <c r="F2651" t="str">
        <f>Raw_Claims_Data!F2650</f>
        <v>AL</v>
      </c>
      <c r="G2651" t="str">
        <f>Raw_Claims_Data!G2650</f>
        <v>A</v>
      </c>
      <c r="H2651" t="str">
        <f>Raw_Claims_Data!H2650</f>
        <v>Major Loss</v>
      </c>
      <c r="I2651" t="str">
        <f>IF(Raw_Claims_Data!I2650="","None",Raw_Claims_Data!I2650)</f>
        <v>None</v>
      </c>
      <c r="J2651" t="str">
        <f>Raw_Claims_Data!J2650</f>
        <v>Panama City</v>
      </c>
      <c r="K2651" t="str">
        <f>Raw_Claims_Data!K2650</f>
        <v>FL</v>
      </c>
      <c r="L2651">
        <f>Raw_Claims_Data!L2650</f>
        <v>12</v>
      </c>
      <c r="M2651" t="str">
        <f>IF(Raw_Claims_Data!M2650="","N/A",Raw_Claims_Data!M2650)</f>
        <v>VNDR00482</v>
      </c>
      <c r="N2651" t="str">
        <f>Raw_Claims_Data!N2650</f>
        <v>AGENT00246</v>
      </c>
      <c r="O2651">
        <f>IF(Raw_Claims_Data!G2650="D",1,0)</f>
        <v>0</v>
      </c>
    </row>
    <row r="2652" spans="1:15" x14ac:dyDescent="0.35">
      <c r="A2652" t="str">
        <f>Raw_Claims_Data!A2651</f>
        <v>TXN00002648</v>
      </c>
      <c r="B2652" t="str">
        <f>TRIM(Raw_Claims_Data!B2651)</f>
        <v>Laurie Murphy</v>
      </c>
      <c r="C2652" t="str">
        <f>Raw_Claims_Data!C2651</f>
        <v>Life</v>
      </c>
      <c r="D2652">
        <f>Raw_Claims_Data!D2651</f>
        <v>96.12</v>
      </c>
      <c r="E2652">
        <f>Raw_Claims_Data!E2651</f>
        <v>85000</v>
      </c>
      <c r="F2652" t="str">
        <f>Raw_Claims_Data!F2651</f>
        <v>AZ</v>
      </c>
      <c r="G2652" t="str">
        <f>Raw_Claims_Data!G2651</f>
        <v>A</v>
      </c>
      <c r="H2652" t="str">
        <f>Raw_Claims_Data!H2651</f>
        <v>Total Loss</v>
      </c>
      <c r="I2652" t="str">
        <f>IF(Raw_Claims_Data!I2651="","None",Raw_Claims_Data!I2651)</f>
        <v>Police</v>
      </c>
      <c r="J2652" t="str">
        <f>Raw_Claims_Data!J2651</f>
        <v>Essex</v>
      </c>
      <c r="K2652" t="str">
        <f>Raw_Claims_Data!K2651</f>
        <v>VT</v>
      </c>
      <c r="L2652">
        <f>Raw_Claims_Data!L2651</f>
        <v>20</v>
      </c>
      <c r="M2652" t="str">
        <f>IF(Raw_Claims_Data!M2651="","N/A",Raw_Claims_Data!M2651)</f>
        <v>VNDR00025</v>
      </c>
      <c r="N2652" t="str">
        <f>Raw_Claims_Data!N2651</f>
        <v>AGENT00671</v>
      </c>
      <c r="O2652">
        <f>IF(Raw_Claims_Data!G2651="D",1,0)</f>
        <v>0</v>
      </c>
    </row>
    <row r="2653" spans="1:15" x14ac:dyDescent="0.35">
      <c r="A2653" t="str">
        <f>Raw_Claims_Data!A2652</f>
        <v>TXN00002649</v>
      </c>
      <c r="B2653" t="str">
        <f>TRIM(Raw_Claims_Data!B2652)</f>
        <v>Karen Price</v>
      </c>
      <c r="C2653" t="str">
        <f>Raw_Claims_Data!C2652</f>
        <v>Life</v>
      </c>
      <c r="D2653">
        <f>Raw_Claims_Data!D2652</f>
        <v>50.1</v>
      </c>
      <c r="E2653">
        <f>Raw_Claims_Data!E2652</f>
        <v>33000</v>
      </c>
      <c r="F2653" t="str">
        <f>Raw_Claims_Data!F2652</f>
        <v>FL</v>
      </c>
      <c r="G2653" t="str">
        <f>Raw_Claims_Data!G2652</f>
        <v>A</v>
      </c>
      <c r="H2653" t="str">
        <f>Raw_Claims_Data!H2652</f>
        <v>Major Loss</v>
      </c>
      <c r="I2653" t="str">
        <f>IF(Raw_Claims_Data!I2652="","None",Raw_Claims_Data!I2652)</f>
        <v>Other</v>
      </c>
      <c r="J2653" t="str">
        <f>Raw_Claims_Data!J2652</f>
        <v>Crofton</v>
      </c>
      <c r="K2653" t="str">
        <f>Raw_Claims_Data!K2652</f>
        <v>MD</v>
      </c>
      <c r="L2653">
        <f>Raw_Claims_Data!L2652</f>
        <v>16</v>
      </c>
      <c r="M2653" t="str">
        <f>IF(Raw_Claims_Data!M2652="","N/A",Raw_Claims_Data!M2652)</f>
        <v>VNDR00143</v>
      </c>
      <c r="N2653" t="str">
        <f>Raw_Claims_Data!N2652</f>
        <v>AGENT00512</v>
      </c>
      <c r="O2653">
        <f>IF(Raw_Claims_Data!G2652="D",1,0)</f>
        <v>0</v>
      </c>
    </row>
    <row r="2654" spans="1:15" x14ac:dyDescent="0.35">
      <c r="A2654" t="str">
        <f>Raw_Claims_Data!A2653</f>
        <v>TXN00002650</v>
      </c>
      <c r="B2654" t="str">
        <f>TRIM(Raw_Claims_Data!B2653)</f>
        <v>Anthony Lindblad</v>
      </c>
      <c r="C2654" t="str">
        <f>Raw_Claims_Data!C2653</f>
        <v>Mobile</v>
      </c>
      <c r="D2654">
        <f>Raw_Claims_Data!D2653</f>
        <v>11.72</v>
      </c>
      <c r="E2654">
        <f>Raw_Claims_Data!E2653</f>
        <v>600</v>
      </c>
      <c r="F2654" t="str">
        <f>Raw_Claims_Data!F2653</f>
        <v>AK</v>
      </c>
      <c r="G2654" t="str">
        <f>Raw_Claims_Data!G2653</f>
        <v>A</v>
      </c>
      <c r="H2654" t="str">
        <f>Raw_Claims_Data!H2653</f>
        <v>Minor Loss</v>
      </c>
      <c r="I2654" t="str">
        <f>IF(Raw_Claims_Data!I2653="","None",Raw_Claims_Data!I2653)</f>
        <v>Ambulance</v>
      </c>
      <c r="J2654" t="str">
        <f>Raw_Claims_Data!J2653</f>
        <v>Arvada</v>
      </c>
      <c r="K2654" t="str">
        <f>Raw_Claims_Data!K2653</f>
        <v>CO</v>
      </c>
      <c r="L2654">
        <f>Raw_Claims_Data!L2653</f>
        <v>3</v>
      </c>
      <c r="M2654" t="str">
        <f>IF(Raw_Claims_Data!M2653="","N/A",Raw_Claims_Data!M2653)</f>
        <v>VNDR00002</v>
      </c>
      <c r="N2654" t="str">
        <f>Raw_Claims_Data!N2653</f>
        <v>AGENT00004</v>
      </c>
      <c r="O2654">
        <f>IF(Raw_Claims_Data!G2653="D",1,0)</f>
        <v>0</v>
      </c>
    </row>
    <row r="2655" spans="1:15" x14ac:dyDescent="0.35">
      <c r="A2655" t="str">
        <f>Raw_Claims_Data!A2654</f>
        <v>TXN00002651</v>
      </c>
      <c r="B2655" t="str">
        <f>TRIM(Raw_Claims_Data!B2654)</f>
        <v>Nick Kehoe</v>
      </c>
      <c r="C2655" t="str">
        <f>Raw_Claims_Data!C2654</f>
        <v>Travel</v>
      </c>
      <c r="D2655">
        <f>Raw_Claims_Data!D2654</f>
        <v>71</v>
      </c>
      <c r="E2655">
        <f>Raw_Claims_Data!E2654</f>
        <v>4000</v>
      </c>
      <c r="F2655" t="str">
        <f>Raw_Claims_Data!F2654</f>
        <v>AK</v>
      </c>
      <c r="G2655" t="str">
        <f>Raw_Claims_Data!G2654</f>
        <v>A</v>
      </c>
      <c r="H2655" t="str">
        <f>Raw_Claims_Data!H2654</f>
        <v>Total Loss</v>
      </c>
      <c r="I2655" t="str">
        <f>IF(Raw_Claims_Data!I2654="","None",Raw_Claims_Data!I2654)</f>
        <v>Ambulance</v>
      </c>
      <c r="J2655" t="str">
        <f>Raw_Claims_Data!J2654</f>
        <v>Savannah</v>
      </c>
      <c r="K2655" t="str">
        <f>Raw_Claims_Data!K2654</f>
        <v>GA</v>
      </c>
      <c r="L2655">
        <f>Raw_Claims_Data!L2654</f>
        <v>2</v>
      </c>
      <c r="M2655" t="str">
        <f>IF(Raw_Claims_Data!M2654="","N/A",Raw_Claims_Data!M2654)</f>
        <v>VNDR00243</v>
      </c>
      <c r="N2655" t="str">
        <f>Raw_Claims_Data!N2654</f>
        <v>AGENT00582</v>
      </c>
      <c r="O2655">
        <f>IF(Raw_Claims_Data!G2654="D",1,0)</f>
        <v>0</v>
      </c>
    </row>
    <row r="2656" spans="1:15" x14ac:dyDescent="0.35">
      <c r="A2656" t="str">
        <f>Raw_Claims_Data!A2655</f>
        <v>TXN00002652</v>
      </c>
      <c r="B2656" t="str">
        <f>TRIM(Raw_Claims_Data!B2655)</f>
        <v>Christian Daniels</v>
      </c>
      <c r="C2656" t="str">
        <f>Raw_Claims_Data!C2655</f>
        <v>Life</v>
      </c>
      <c r="D2656">
        <f>Raw_Claims_Data!D2655</f>
        <v>70.510000000000005</v>
      </c>
      <c r="E2656">
        <f>Raw_Claims_Data!E2655</f>
        <v>10000</v>
      </c>
      <c r="F2656" t="str">
        <f>Raw_Claims_Data!F2655</f>
        <v>MA</v>
      </c>
      <c r="G2656" t="str">
        <f>Raw_Claims_Data!G2655</f>
        <v>A</v>
      </c>
      <c r="H2656" t="str">
        <f>Raw_Claims_Data!H2655</f>
        <v>Minor Loss</v>
      </c>
      <c r="I2656" t="str">
        <f>IF(Raw_Claims_Data!I2655="","None",Raw_Claims_Data!I2655)</f>
        <v>Police</v>
      </c>
      <c r="J2656" t="str">
        <f>Raw_Claims_Data!J2655</f>
        <v>Washington</v>
      </c>
      <c r="K2656" t="str">
        <f>Raw_Claims_Data!K2655</f>
        <v>DC</v>
      </c>
      <c r="L2656">
        <f>Raw_Claims_Data!L2655</f>
        <v>1</v>
      </c>
      <c r="M2656" t="str">
        <f>IF(Raw_Claims_Data!M2655="","N/A",Raw_Claims_Data!M2655)</f>
        <v>VNDR00161</v>
      </c>
      <c r="N2656" t="str">
        <f>Raw_Claims_Data!N2655</f>
        <v>AGENT00145</v>
      </c>
      <c r="O2656">
        <f>IF(Raw_Claims_Data!G2655="D",1,0)</f>
        <v>0</v>
      </c>
    </row>
    <row r="2657" spans="1:15" x14ac:dyDescent="0.35">
      <c r="A2657" t="str">
        <f>Raw_Claims_Data!A2656</f>
        <v>TXN00002653</v>
      </c>
      <c r="B2657" t="str">
        <f>TRIM(Raw_Claims_Data!B2656)</f>
        <v>Brooke Lawrence</v>
      </c>
      <c r="C2657" t="str">
        <f>Raw_Claims_Data!C2656</f>
        <v>Travel</v>
      </c>
      <c r="D2657">
        <f>Raw_Claims_Data!D2656</f>
        <v>93.52</v>
      </c>
      <c r="E2657">
        <f>Raw_Claims_Data!E2656</f>
        <v>5000</v>
      </c>
      <c r="F2657" t="str">
        <f>Raw_Claims_Data!F2656</f>
        <v>CO</v>
      </c>
      <c r="G2657" t="str">
        <f>Raw_Claims_Data!G2656</f>
        <v>A</v>
      </c>
      <c r="H2657" t="str">
        <f>Raw_Claims_Data!H2656</f>
        <v>Minor Loss</v>
      </c>
      <c r="I2657" t="str">
        <f>IF(Raw_Claims_Data!I2656="","None",Raw_Claims_Data!I2656)</f>
        <v>Ambulance</v>
      </c>
      <c r="J2657" t="str">
        <f>Raw_Claims_Data!J2656</f>
        <v>Hayward</v>
      </c>
      <c r="K2657" t="str">
        <f>Raw_Claims_Data!K2656</f>
        <v>CA</v>
      </c>
      <c r="L2657">
        <f>Raw_Claims_Data!L2656</f>
        <v>20</v>
      </c>
      <c r="M2657" t="str">
        <f>IF(Raw_Claims_Data!M2656="","N/A",Raw_Claims_Data!M2656)</f>
        <v>VNDR00150</v>
      </c>
      <c r="N2657" t="str">
        <f>Raw_Claims_Data!N2656</f>
        <v>AGENT00323</v>
      </c>
      <c r="O2657">
        <f>IF(Raw_Claims_Data!G2656="D",1,0)</f>
        <v>0</v>
      </c>
    </row>
    <row r="2658" spans="1:15" x14ac:dyDescent="0.35">
      <c r="A2658" t="str">
        <f>Raw_Claims_Data!A2657</f>
        <v>TXN00002654</v>
      </c>
      <c r="B2658" t="str">
        <f>TRIM(Raw_Claims_Data!B2657)</f>
        <v>David Garcia</v>
      </c>
      <c r="C2658" t="str">
        <f>Raw_Claims_Data!C2657</f>
        <v>Motor</v>
      </c>
      <c r="D2658">
        <f>Raw_Claims_Data!D2657</f>
        <v>74.97</v>
      </c>
      <c r="E2658">
        <f>Raw_Claims_Data!E2657</f>
        <v>1000</v>
      </c>
      <c r="F2658" t="str">
        <f>Raw_Claims_Data!F2657</f>
        <v>AZ</v>
      </c>
      <c r="G2658" t="str">
        <f>Raw_Claims_Data!G2657</f>
        <v>A</v>
      </c>
      <c r="H2658" t="str">
        <f>Raw_Claims_Data!H2657</f>
        <v>Major Loss</v>
      </c>
      <c r="I2658" t="str">
        <f>IF(Raw_Claims_Data!I2657="","None",Raw_Claims_Data!I2657)</f>
        <v>Ambulance</v>
      </c>
      <c r="J2658" t="str">
        <f>Raw_Claims_Data!J2657</f>
        <v>Fayetteville</v>
      </c>
      <c r="K2658" t="str">
        <f>Raw_Claims_Data!K2657</f>
        <v>AR</v>
      </c>
      <c r="L2658">
        <f>Raw_Claims_Data!L2657</f>
        <v>20</v>
      </c>
      <c r="M2658" t="str">
        <f>IF(Raw_Claims_Data!M2657="","N/A",Raw_Claims_Data!M2657)</f>
        <v>VNDR00112</v>
      </c>
      <c r="N2658" t="str">
        <f>Raw_Claims_Data!N2657</f>
        <v>AGENT00888</v>
      </c>
      <c r="O2658">
        <f>IF(Raw_Claims_Data!G2657="D",1,0)</f>
        <v>0</v>
      </c>
    </row>
    <row r="2659" spans="1:15" x14ac:dyDescent="0.35">
      <c r="A2659" t="str">
        <f>Raw_Claims_Data!A2658</f>
        <v>TXN00002655</v>
      </c>
      <c r="B2659" t="str">
        <f>TRIM(Raw_Claims_Data!B2658)</f>
        <v>Roy Taylor</v>
      </c>
      <c r="C2659" t="str">
        <f>Raw_Claims_Data!C2658</f>
        <v>Property</v>
      </c>
      <c r="D2659">
        <f>Raw_Claims_Data!D2658</f>
        <v>84.38</v>
      </c>
      <c r="E2659">
        <f>Raw_Claims_Data!E2658</f>
        <v>27000</v>
      </c>
      <c r="F2659" t="str">
        <f>Raw_Claims_Data!F2658</f>
        <v>TN</v>
      </c>
      <c r="G2659" t="str">
        <f>Raw_Claims_Data!G2658</f>
        <v>A</v>
      </c>
      <c r="H2659" t="str">
        <f>Raw_Claims_Data!H2658</f>
        <v>Minor Loss</v>
      </c>
      <c r="I2659" t="str">
        <f>IF(Raw_Claims_Data!I2658="","None",Raw_Claims_Data!I2658)</f>
        <v>Police</v>
      </c>
      <c r="J2659" t="str">
        <f>Raw_Claims_Data!J2658</f>
        <v>Washington</v>
      </c>
      <c r="K2659" t="str">
        <f>Raw_Claims_Data!K2658</f>
        <v>DC</v>
      </c>
      <c r="L2659">
        <f>Raw_Claims_Data!L2658</f>
        <v>2</v>
      </c>
      <c r="M2659" t="str">
        <f>IF(Raw_Claims_Data!M2658="","N/A",Raw_Claims_Data!M2658)</f>
        <v>N/A</v>
      </c>
      <c r="N2659" t="str">
        <f>Raw_Claims_Data!N2658</f>
        <v>AGENT01185</v>
      </c>
      <c r="O2659">
        <f>IF(Raw_Claims_Data!G2658="D",1,0)</f>
        <v>0</v>
      </c>
    </row>
    <row r="2660" spans="1:15" x14ac:dyDescent="0.35">
      <c r="A2660" t="str">
        <f>Raw_Claims_Data!A2659</f>
        <v>TXN00002656</v>
      </c>
      <c r="B2660" t="str">
        <f>TRIM(Raw_Claims_Data!B2659)</f>
        <v>William Tollison</v>
      </c>
      <c r="C2660" t="str">
        <f>Raw_Claims_Data!C2659</f>
        <v>Motor</v>
      </c>
      <c r="D2660">
        <f>Raw_Claims_Data!D2659</f>
        <v>100.18</v>
      </c>
      <c r="E2660">
        <f>Raw_Claims_Data!E2659</f>
        <v>1000</v>
      </c>
      <c r="F2660" t="str">
        <f>Raw_Claims_Data!F2659</f>
        <v>TN</v>
      </c>
      <c r="G2660" t="str">
        <f>Raw_Claims_Data!G2659</f>
        <v>A</v>
      </c>
      <c r="H2660" t="str">
        <f>Raw_Claims_Data!H2659</f>
        <v>Minor Loss</v>
      </c>
      <c r="I2660" t="str">
        <f>IF(Raw_Claims_Data!I2659="","None",Raw_Claims_Data!I2659)</f>
        <v>Other</v>
      </c>
      <c r="J2660" t="str">
        <f>Raw_Claims_Data!J2659</f>
        <v>Montgomery</v>
      </c>
      <c r="K2660" t="str">
        <f>Raw_Claims_Data!K2659</f>
        <v>AL</v>
      </c>
      <c r="L2660">
        <f>Raw_Claims_Data!L2659</f>
        <v>5</v>
      </c>
      <c r="M2660" t="str">
        <f>IF(Raw_Claims_Data!M2659="","N/A",Raw_Claims_Data!M2659)</f>
        <v>N/A</v>
      </c>
      <c r="N2660" t="str">
        <f>Raw_Claims_Data!N2659</f>
        <v>AGENT00793</v>
      </c>
      <c r="O2660">
        <f>IF(Raw_Claims_Data!G2659="D",1,0)</f>
        <v>0</v>
      </c>
    </row>
    <row r="2661" spans="1:15" x14ac:dyDescent="0.35">
      <c r="A2661" t="str">
        <f>Raw_Claims_Data!A2660</f>
        <v>TXN00002657</v>
      </c>
      <c r="B2661" t="str">
        <f>TRIM(Raw_Claims_Data!B2660)</f>
        <v>George Denney</v>
      </c>
      <c r="C2661" t="str">
        <f>Raw_Claims_Data!C2660</f>
        <v>Property</v>
      </c>
      <c r="D2661">
        <f>Raw_Claims_Data!D2660</f>
        <v>113.42</v>
      </c>
      <c r="E2661">
        <f>Raw_Claims_Data!E2660</f>
        <v>23000</v>
      </c>
      <c r="F2661" t="str">
        <f>Raw_Claims_Data!F2660</f>
        <v>AZ</v>
      </c>
      <c r="G2661" t="str">
        <f>Raw_Claims_Data!G2660</f>
        <v>A</v>
      </c>
      <c r="H2661" t="str">
        <f>Raw_Claims_Data!H2660</f>
        <v>Minor Loss</v>
      </c>
      <c r="I2661" t="str">
        <f>IF(Raw_Claims_Data!I2660="","None",Raw_Claims_Data!I2660)</f>
        <v>Ambulance</v>
      </c>
      <c r="J2661" t="str">
        <f>Raw_Claims_Data!J2660</f>
        <v>Savannah</v>
      </c>
      <c r="K2661" t="str">
        <f>Raw_Claims_Data!K2660</f>
        <v>GA</v>
      </c>
      <c r="L2661">
        <f>Raw_Claims_Data!L2660</f>
        <v>9</v>
      </c>
      <c r="M2661" t="str">
        <f>IF(Raw_Claims_Data!M2660="","N/A",Raw_Claims_Data!M2660)</f>
        <v>N/A</v>
      </c>
      <c r="N2661" t="str">
        <f>Raw_Claims_Data!N2660</f>
        <v>AGENT00756</v>
      </c>
      <c r="O2661">
        <f>IF(Raw_Claims_Data!G2660="D",1,0)</f>
        <v>0</v>
      </c>
    </row>
    <row r="2662" spans="1:15" x14ac:dyDescent="0.35">
      <c r="A2662" t="str">
        <f>Raw_Claims_Data!A2661</f>
        <v>TXN00002658</v>
      </c>
      <c r="B2662" t="str">
        <f>TRIM(Raw_Claims_Data!B2661)</f>
        <v>Helena Newby</v>
      </c>
      <c r="C2662" t="str">
        <f>Raw_Claims_Data!C2661</f>
        <v>Property</v>
      </c>
      <c r="D2662">
        <f>Raw_Claims_Data!D2661</f>
        <v>119.18</v>
      </c>
      <c r="E2662">
        <f>Raw_Claims_Data!E2661</f>
        <v>37000</v>
      </c>
      <c r="F2662" t="str">
        <f>Raw_Claims_Data!F2661</f>
        <v>CO</v>
      </c>
      <c r="G2662" t="str">
        <f>Raw_Claims_Data!G2661</f>
        <v>A</v>
      </c>
      <c r="H2662" t="str">
        <f>Raw_Claims_Data!H2661</f>
        <v>Total Loss</v>
      </c>
      <c r="I2662" t="str">
        <f>IF(Raw_Claims_Data!I2661="","None",Raw_Claims_Data!I2661)</f>
        <v>None</v>
      </c>
      <c r="J2662" t="str">
        <f>Raw_Claims_Data!J2661</f>
        <v>Glendale</v>
      </c>
      <c r="K2662" t="str">
        <f>Raw_Claims_Data!K2661</f>
        <v>AZ</v>
      </c>
      <c r="L2662">
        <f>Raw_Claims_Data!L2661</f>
        <v>6</v>
      </c>
      <c r="M2662" t="str">
        <f>IF(Raw_Claims_Data!M2661="","N/A",Raw_Claims_Data!M2661)</f>
        <v>VNDR00001</v>
      </c>
      <c r="N2662" t="str">
        <f>Raw_Claims_Data!N2661</f>
        <v>AGENT01051</v>
      </c>
      <c r="O2662">
        <f>IF(Raw_Claims_Data!G2661="D",1,0)</f>
        <v>0</v>
      </c>
    </row>
    <row r="2663" spans="1:15" x14ac:dyDescent="0.35">
      <c r="A2663" t="str">
        <f>Raw_Claims_Data!A2662</f>
        <v>TXN00002659</v>
      </c>
      <c r="B2663" t="str">
        <f>TRIM(Raw_Claims_Data!B2662)</f>
        <v>Kevin Mann</v>
      </c>
      <c r="C2663" t="str">
        <f>Raw_Claims_Data!C2662</f>
        <v>Life</v>
      </c>
      <c r="D2663">
        <f>Raw_Claims_Data!D2662</f>
        <v>56.86</v>
      </c>
      <c r="E2663">
        <f>Raw_Claims_Data!E2662</f>
        <v>94000</v>
      </c>
      <c r="F2663" t="str">
        <f>Raw_Claims_Data!F2662</f>
        <v>AR</v>
      </c>
      <c r="G2663" t="str">
        <f>Raw_Claims_Data!G2662</f>
        <v>A</v>
      </c>
      <c r="H2663" t="str">
        <f>Raw_Claims_Data!H2662</f>
        <v>Total Loss</v>
      </c>
      <c r="I2663" t="str">
        <f>IF(Raw_Claims_Data!I2662="","None",Raw_Claims_Data!I2662)</f>
        <v>Ambulance</v>
      </c>
      <c r="J2663" t="str">
        <f>Raw_Claims_Data!J2662</f>
        <v>Tyndall Air Force Base</v>
      </c>
      <c r="K2663" t="str">
        <f>Raw_Claims_Data!K2662</f>
        <v>FL</v>
      </c>
      <c r="L2663">
        <f>Raw_Claims_Data!L2662</f>
        <v>12</v>
      </c>
      <c r="M2663" t="str">
        <f>IF(Raw_Claims_Data!M2662="","N/A",Raw_Claims_Data!M2662)</f>
        <v>VNDR00262</v>
      </c>
      <c r="N2663" t="str">
        <f>Raw_Claims_Data!N2662</f>
        <v>AGENT00035</v>
      </c>
      <c r="O2663">
        <f>IF(Raw_Claims_Data!G2662="D",1,0)</f>
        <v>0</v>
      </c>
    </row>
    <row r="2664" spans="1:15" x14ac:dyDescent="0.35">
      <c r="A2664" t="str">
        <f>Raw_Claims_Data!A2663</f>
        <v>TXN00002660</v>
      </c>
      <c r="B2664" t="str">
        <f>TRIM(Raw_Claims_Data!B2663)</f>
        <v>Darlene Griffin</v>
      </c>
      <c r="C2664" t="str">
        <f>Raw_Claims_Data!C2663</f>
        <v>Travel</v>
      </c>
      <c r="D2664">
        <f>Raw_Claims_Data!D2663</f>
        <v>70.47</v>
      </c>
      <c r="E2664">
        <f>Raw_Claims_Data!E2663</f>
        <v>4000</v>
      </c>
      <c r="F2664" t="str">
        <f>Raw_Claims_Data!F2663</f>
        <v>AL</v>
      </c>
      <c r="G2664" t="str">
        <f>Raw_Claims_Data!G2663</f>
        <v>A</v>
      </c>
      <c r="H2664" t="str">
        <f>Raw_Claims_Data!H2663</f>
        <v>Minor Loss</v>
      </c>
      <c r="I2664" t="str">
        <f>IF(Raw_Claims_Data!I2663="","None",Raw_Claims_Data!I2663)</f>
        <v>Police</v>
      </c>
      <c r="J2664" t="str">
        <f>Raw_Claims_Data!J2663</f>
        <v>Oklahoma City</v>
      </c>
      <c r="K2664" t="str">
        <f>Raw_Claims_Data!K2663</f>
        <v>OK</v>
      </c>
      <c r="L2664">
        <f>Raw_Claims_Data!L2663</f>
        <v>0</v>
      </c>
      <c r="M2664" t="str">
        <f>IF(Raw_Claims_Data!M2663="","N/A",Raw_Claims_Data!M2663)</f>
        <v>VNDR00494</v>
      </c>
      <c r="N2664" t="str">
        <f>Raw_Claims_Data!N2663</f>
        <v>AGENT00834</v>
      </c>
      <c r="O2664">
        <f>IF(Raw_Claims_Data!G2663="D",1,0)</f>
        <v>0</v>
      </c>
    </row>
    <row r="2665" spans="1:15" x14ac:dyDescent="0.35">
      <c r="A2665" t="str">
        <f>Raw_Claims_Data!A2664</f>
        <v>TXN00002661</v>
      </c>
      <c r="B2665" t="str">
        <f>TRIM(Raw_Claims_Data!B2664)</f>
        <v>Travis Porter</v>
      </c>
      <c r="C2665" t="str">
        <f>Raw_Claims_Data!C2664</f>
        <v>Motor</v>
      </c>
      <c r="D2665">
        <f>Raw_Claims_Data!D2664</f>
        <v>104.57</v>
      </c>
      <c r="E2665">
        <f>Raw_Claims_Data!E2664</f>
        <v>8000</v>
      </c>
      <c r="F2665" t="str">
        <f>Raw_Claims_Data!F2664</f>
        <v>DC</v>
      </c>
      <c r="G2665" t="str">
        <f>Raw_Claims_Data!G2664</f>
        <v>D</v>
      </c>
      <c r="H2665" t="str">
        <f>Raw_Claims_Data!H2664</f>
        <v>Major Loss</v>
      </c>
      <c r="I2665" t="str">
        <f>IF(Raw_Claims_Data!I2664="","None",Raw_Claims_Data!I2664)</f>
        <v>Police</v>
      </c>
      <c r="J2665" t="str">
        <f>Raw_Claims_Data!J2664</f>
        <v>Glendale</v>
      </c>
      <c r="K2665" t="str">
        <f>Raw_Claims_Data!K2664</f>
        <v>AZ</v>
      </c>
      <c r="L2665">
        <f>Raw_Claims_Data!L2664</f>
        <v>6</v>
      </c>
      <c r="M2665" t="str">
        <f>IF(Raw_Claims_Data!M2664="","N/A",Raw_Claims_Data!M2664)</f>
        <v>VNDR00138</v>
      </c>
      <c r="N2665" t="str">
        <f>Raw_Claims_Data!N2664</f>
        <v>AGENT00523</v>
      </c>
      <c r="O2665">
        <f>IF(Raw_Claims_Data!G2664="D",1,0)</f>
        <v>1</v>
      </c>
    </row>
    <row r="2666" spans="1:15" x14ac:dyDescent="0.35">
      <c r="A2666" t="str">
        <f>Raw_Claims_Data!A2665</f>
        <v>TXN00002662</v>
      </c>
      <c r="B2666" t="str">
        <f>TRIM(Raw_Claims_Data!B2665)</f>
        <v>Brad Bissonnette</v>
      </c>
      <c r="C2666" t="str">
        <f>Raw_Claims_Data!C2665</f>
        <v>Life</v>
      </c>
      <c r="D2666">
        <f>Raw_Claims_Data!D2665</f>
        <v>82.06</v>
      </c>
      <c r="E2666">
        <f>Raw_Claims_Data!E2665</f>
        <v>74000</v>
      </c>
      <c r="F2666" t="str">
        <f>Raw_Claims_Data!F2665</f>
        <v>CA</v>
      </c>
      <c r="G2666" t="str">
        <f>Raw_Claims_Data!G2665</f>
        <v>A</v>
      </c>
      <c r="H2666" t="str">
        <f>Raw_Claims_Data!H2665</f>
        <v>Total Loss</v>
      </c>
      <c r="I2666" t="str">
        <f>IF(Raw_Claims_Data!I2665="","None",Raw_Claims_Data!I2665)</f>
        <v>Ambulance</v>
      </c>
      <c r="J2666" t="str">
        <f>Raw_Claims_Data!J2665</f>
        <v>Telluride</v>
      </c>
      <c r="K2666" t="str">
        <f>Raw_Claims_Data!K2665</f>
        <v>CO</v>
      </c>
      <c r="L2666">
        <f>Raw_Claims_Data!L2665</f>
        <v>23</v>
      </c>
      <c r="M2666" t="str">
        <f>IF(Raw_Claims_Data!M2665="","N/A",Raw_Claims_Data!M2665)</f>
        <v>VNDR00047</v>
      </c>
      <c r="N2666" t="str">
        <f>Raw_Claims_Data!N2665</f>
        <v>AGENT00307</v>
      </c>
      <c r="O2666">
        <f>IF(Raw_Claims_Data!G2665="D",1,0)</f>
        <v>0</v>
      </c>
    </row>
    <row r="2667" spans="1:15" x14ac:dyDescent="0.35">
      <c r="A2667" t="str">
        <f>Raw_Claims_Data!A2666</f>
        <v>TXN00002663</v>
      </c>
      <c r="B2667" t="str">
        <f>TRIM(Raw_Claims_Data!B2666)</f>
        <v>Richard Kurth</v>
      </c>
      <c r="C2667" t="str">
        <f>Raw_Claims_Data!C2666</f>
        <v>Health</v>
      </c>
      <c r="D2667">
        <f>Raw_Claims_Data!D2666</f>
        <v>184.17</v>
      </c>
      <c r="E2667">
        <f>Raw_Claims_Data!E2666</f>
        <v>9000</v>
      </c>
      <c r="F2667" t="str">
        <f>Raw_Claims_Data!F2666</f>
        <v>AR</v>
      </c>
      <c r="G2667" t="str">
        <f>Raw_Claims_Data!G2666</f>
        <v>A</v>
      </c>
      <c r="H2667" t="str">
        <f>Raw_Claims_Data!H2666</f>
        <v>Total Loss</v>
      </c>
      <c r="I2667" t="str">
        <f>IF(Raw_Claims_Data!I2666="","None",Raw_Claims_Data!I2666)</f>
        <v>Other</v>
      </c>
      <c r="J2667" t="str">
        <f>Raw_Claims_Data!J2666</f>
        <v>Essex</v>
      </c>
      <c r="K2667" t="str">
        <f>Raw_Claims_Data!K2666</f>
        <v>VT</v>
      </c>
      <c r="L2667">
        <f>Raw_Claims_Data!L2666</f>
        <v>9</v>
      </c>
      <c r="M2667" t="str">
        <f>IF(Raw_Claims_Data!M2666="","N/A",Raw_Claims_Data!M2666)</f>
        <v>N/A</v>
      </c>
      <c r="N2667" t="str">
        <f>Raw_Claims_Data!N2666</f>
        <v>AGENT00438</v>
      </c>
      <c r="O2667">
        <f>IF(Raw_Claims_Data!G2666="D",1,0)</f>
        <v>0</v>
      </c>
    </row>
    <row r="2668" spans="1:15" x14ac:dyDescent="0.35">
      <c r="A2668" t="str">
        <f>Raw_Claims_Data!A2667</f>
        <v>TXN00002664</v>
      </c>
      <c r="B2668" t="str">
        <f>TRIM(Raw_Claims_Data!B2667)</f>
        <v>Anthony Webster</v>
      </c>
      <c r="C2668" t="str">
        <f>Raw_Claims_Data!C2667</f>
        <v>Health</v>
      </c>
      <c r="D2668">
        <f>Raw_Claims_Data!D2667</f>
        <v>108.81</v>
      </c>
      <c r="E2668">
        <f>Raw_Claims_Data!E2667</f>
        <v>3000</v>
      </c>
      <c r="F2668" t="str">
        <f>Raw_Claims_Data!F2667</f>
        <v>MD</v>
      </c>
      <c r="G2668" t="str">
        <f>Raw_Claims_Data!G2667</f>
        <v>A</v>
      </c>
      <c r="H2668" t="str">
        <f>Raw_Claims_Data!H2667</f>
        <v>Major Loss</v>
      </c>
      <c r="I2668" t="str">
        <f>IF(Raw_Claims_Data!I2667="","None",Raw_Claims_Data!I2667)</f>
        <v>None</v>
      </c>
      <c r="J2668" t="str">
        <f>Raw_Claims_Data!J2667</f>
        <v>Littleton</v>
      </c>
      <c r="K2668" t="str">
        <f>Raw_Claims_Data!K2667</f>
        <v>CO</v>
      </c>
      <c r="L2668">
        <f>Raw_Claims_Data!L2667</f>
        <v>3</v>
      </c>
      <c r="M2668" t="str">
        <f>IF(Raw_Claims_Data!M2667="","N/A",Raw_Claims_Data!M2667)</f>
        <v>N/A</v>
      </c>
      <c r="N2668" t="str">
        <f>Raw_Claims_Data!N2667</f>
        <v>AGENT00493</v>
      </c>
      <c r="O2668">
        <f>IF(Raw_Claims_Data!G2667="D",1,0)</f>
        <v>0</v>
      </c>
    </row>
    <row r="2669" spans="1:15" x14ac:dyDescent="0.35">
      <c r="A2669" t="str">
        <f>Raw_Claims_Data!A2668</f>
        <v>TXN00002665</v>
      </c>
      <c r="B2669" t="str">
        <f>TRIM(Raw_Claims_Data!B2668)</f>
        <v>Barbara Williams</v>
      </c>
      <c r="C2669" t="str">
        <f>Raw_Claims_Data!C2668</f>
        <v>Life</v>
      </c>
      <c r="D2669">
        <f>Raw_Claims_Data!D2668</f>
        <v>72.89</v>
      </c>
      <c r="E2669">
        <f>Raw_Claims_Data!E2668</f>
        <v>26000</v>
      </c>
      <c r="F2669" t="str">
        <f>Raw_Claims_Data!F2668</f>
        <v>KY</v>
      </c>
      <c r="G2669" t="str">
        <f>Raw_Claims_Data!G2668</f>
        <v>A</v>
      </c>
      <c r="H2669" t="str">
        <f>Raw_Claims_Data!H2668</f>
        <v>Major Loss</v>
      </c>
      <c r="I2669" t="str">
        <f>IF(Raw_Claims_Data!I2668="","None",Raw_Claims_Data!I2668)</f>
        <v>Ambulance</v>
      </c>
      <c r="J2669" t="str">
        <f>Raw_Claims_Data!J2668</f>
        <v>Washington</v>
      </c>
      <c r="K2669" t="str">
        <f>Raw_Claims_Data!K2668</f>
        <v>DC</v>
      </c>
      <c r="L2669">
        <f>Raw_Claims_Data!L2668</f>
        <v>23</v>
      </c>
      <c r="M2669" t="str">
        <f>IF(Raw_Claims_Data!M2668="","N/A",Raw_Claims_Data!M2668)</f>
        <v>VNDR00268</v>
      </c>
      <c r="N2669" t="str">
        <f>Raw_Claims_Data!N2668</f>
        <v>AGENT00624</v>
      </c>
      <c r="O2669">
        <f>IF(Raw_Claims_Data!G2668="D",1,0)</f>
        <v>0</v>
      </c>
    </row>
    <row r="2670" spans="1:15" x14ac:dyDescent="0.35">
      <c r="A2670" t="str">
        <f>Raw_Claims_Data!A2669</f>
        <v>TXN00002666</v>
      </c>
      <c r="B2670" t="str">
        <f>TRIM(Raw_Claims_Data!B2669)</f>
        <v>Linda Moore</v>
      </c>
      <c r="C2670" t="str">
        <f>Raw_Claims_Data!C2669</f>
        <v>Life</v>
      </c>
      <c r="D2670">
        <f>Raw_Claims_Data!D2669</f>
        <v>53.51</v>
      </c>
      <c r="E2670">
        <f>Raw_Claims_Data!E2669</f>
        <v>76000</v>
      </c>
      <c r="F2670" t="str">
        <f>Raw_Claims_Data!F2669</f>
        <v>AK</v>
      </c>
      <c r="G2670" t="str">
        <f>Raw_Claims_Data!G2669</f>
        <v>A</v>
      </c>
      <c r="H2670" t="str">
        <f>Raw_Claims_Data!H2669</f>
        <v>Major Loss</v>
      </c>
      <c r="I2670" t="str">
        <f>IF(Raw_Claims_Data!I2669="","None",Raw_Claims_Data!I2669)</f>
        <v>None</v>
      </c>
      <c r="J2670" t="str">
        <f>Raw_Claims_Data!J2669</f>
        <v>Savannah</v>
      </c>
      <c r="K2670" t="str">
        <f>Raw_Claims_Data!K2669</f>
        <v>GA</v>
      </c>
      <c r="L2670">
        <f>Raw_Claims_Data!L2669</f>
        <v>12</v>
      </c>
      <c r="M2670" t="str">
        <f>IF(Raw_Claims_Data!M2669="","N/A",Raw_Claims_Data!M2669)</f>
        <v>VNDR00009</v>
      </c>
      <c r="N2670" t="str">
        <f>Raw_Claims_Data!N2669</f>
        <v>AGENT00794</v>
      </c>
      <c r="O2670">
        <f>IF(Raw_Claims_Data!G2669="D",1,0)</f>
        <v>0</v>
      </c>
    </row>
    <row r="2671" spans="1:15" x14ac:dyDescent="0.35">
      <c r="A2671" t="str">
        <f>Raw_Claims_Data!A2670</f>
        <v>TXN00002667</v>
      </c>
      <c r="B2671" t="str">
        <f>TRIM(Raw_Claims_Data!B2670)</f>
        <v>David Patterson</v>
      </c>
      <c r="C2671" t="str">
        <f>Raw_Claims_Data!C2670</f>
        <v>Life</v>
      </c>
      <c r="D2671">
        <f>Raw_Claims_Data!D2670</f>
        <v>52.52</v>
      </c>
      <c r="E2671">
        <f>Raw_Claims_Data!E2670</f>
        <v>10000</v>
      </c>
      <c r="F2671" t="str">
        <f>Raw_Claims_Data!F2670</f>
        <v>FL</v>
      </c>
      <c r="G2671" t="str">
        <f>Raw_Claims_Data!G2670</f>
        <v>A</v>
      </c>
      <c r="H2671" t="str">
        <f>Raw_Claims_Data!H2670</f>
        <v>Major Loss</v>
      </c>
      <c r="I2671" t="str">
        <f>IF(Raw_Claims_Data!I2670="","None",Raw_Claims_Data!I2670)</f>
        <v>Ambulance</v>
      </c>
      <c r="J2671" t="str">
        <f>Raw_Claims_Data!J2670</f>
        <v>Fayetteville</v>
      </c>
      <c r="K2671" t="str">
        <f>Raw_Claims_Data!K2670</f>
        <v>AR</v>
      </c>
      <c r="L2671">
        <f>Raw_Claims_Data!L2670</f>
        <v>1</v>
      </c>
      <c r="M2671" t="str">
        <f>IF(Raw_Claims_Data!M2670="","N/A",Raw_Claims_Data!M2670)</f>
        <v>N/A</v>
      </c>
      <c r="N2671" t="str">
        <f>Raw_Claims_Data!N2670</f>
        <v>AGENT01200</v>
      </c>
      <c r="O2671">
        <f>IF(Raw_Claims_Data!G2670="D",1,0)</f>
        <v>0</v>
      </c>
    </row>
    <row r="2672" spans="1:15" x14ac:dyDescent="0.35">
      <c r="A2672" t="str">
        <f>Raw_Claims_Data!A2671</f>
        <v>TXN00002668</v>
      </c>
      <c r="B2672" t="str">
        <f>TRIM(Raw_Claims_Data!B2671)</f>
        <v>Charles Jordan</v>
      </c>
      <c r="C2672" t="str">
        <f>Raw_Claims_Data!C2671</f>
        <v>Property</v>
      </c>
      <c r="D2672">
        <f>Raw_Claims_Data!D2671</f>
        <v>158.03</v>
      </c>
      <c r="E2672">
        <f>Raw_Claims_Data!E2671</f>
        <v>35000</v>
      </c>
      <c r="F2672" t="str">
        <f>Raw_Claims_Data!F2671</f>
        <v>FL</v>
      </c>
      <c r="G2672" t="str">
        <f>Raw_Claims_Data!G2671</f>
        <v>D</v>
      </c>
      <c r="H2672" t="str">
        <f>Raw_Claims_Data!H2671</f>
        <v>Major Loss</v>
      </c>
      <c r="I2672" t="str">
        <f>IF(Raw_Claims_Data!I2671="","None",Raw_Claims_Data!I2671)</f>
        <v>None</v>
      </c>
      <c r="J2672" t="str">
        <f>Raw_Claims_Data!J2671</f>
        <v>Glendale</v>
      </c>
      <c r="K2672" t="str">
        <f>Raw_Claims_Data!K2671</f>
        <v>AZ</v>
      </c>
      <c r="L2672">
        <f>Raw_Claims_Data!L2671</f>
        <v>7</v>
      </c>
      <c r="M2672" t="str">
        <f>IF(Raw_Claims_Data!M2671="","N/A",Raw_Claims_Data!M2671)</f>
        <v>N/A</v>
      </c>
      <c r="N2672" t="str">
        <f>Raw_Claims_Data!N2671</f>
        <v>AGENT00439</v>
      </c>
      <c r="O2672">
        <f>IF(Raw_Claims_Data!G2671="D",1,0)</f>
        <v>1</v>
      </c>
    </row>
    <row r="2673" spans="1:15" x14ac:dyDescent="0.35">
      <c r="A2673" t="str">
        <f>Raw_Claims_Data!A2672</f>
        <v>TXN00002669</v>
      </c>
      <c r="B2673" t="str">
        <f>TRIM(Raw_Claims_Data!B2672)</f>
        <v>Lela Clark</v>
      </c>
      <c r="C2673" t="str">
        <f>Raw_Claims_Data!C2672</f>
        <v>Motor</v>
      </c>
      <c r="D2673">
        <f>Raw_Claims_Data!D2672</f>
        <v>124.37</v>
      </c>
      <c r="E2673">
        <f>Raw_Claims_Data!E2672</f>
        <v>3000</v>
      </c>
      <c r="F2673" t="str">
        <f>Raw_Claims_Data!F2672</f>
        <v>CA</v>
      </c>
      <c r="G2673" t="str">
        <f>Raw_Claims_Data!G2672</f>
        <v>A</v>
      </c>
      <c r="H2673" t="str">
        <f>Raw_Claims_Data!H2672</f>
        <v>Major Loss</v>
      </c>
      <c r="I2673" t="str">
        <f>IF(Raw_Claims_Data!I2672="","None",Raw_Claims_Data!I2672)</f>
        <v>Ambulance</v>
      </c>
      <c r="J2673" t="str">
        <f>Raw_Claims_Data!J2672</f>
        <v>Glendale</v>
      </c>
      <c r="K2673" t="str">
        <f>Raw_Claims_Data!K2672</f>
        <v>AZ</v>
      </c>
      <c r="L2673">
        <f>Raw_Claims_Data!L2672</f>
        <v>2</v>
      </c>
      <c r="M2673" t="str">
        <f>IF(Raw_Claims_Data!M2672="","N/A",Raw_Claims_Data!M2672)</f>
        <v>VNDR00102</v>
      </c>
      <c r="N2673" t="str">
        <f>Raw_Claims_Data!N2672</f>
        <v>AGENT00065</v>
      </c>
      <c r="O2673">
        <f>IF(Raw_Claims_Data!G2672="D",1,0)</f>
        <v>0</v>
      </c>
    </row>
    <row r="2674" spans="1:15" x14ac:dyDescent="0.35">
      <c r="A2674" t="str">
        <f>Raw_Claims_Data!A2673</f>
        <v>TXN00002670</v>
      </c>
      <c r="B2674" t="str">
        <f>TRIM(Raw_Claims_Data!B2673)</f>
        <v>Mary Geller</v>
      </c>
      <c r="C2674" t="str">
        <f>Raw_Claims_Data!C2673</f>
        <v>Health</v>
      </c>
      <c r="D2674">
        <f>Raw_Claims_Data!D2673</f>
        <v>191.87</v>
      </c>
      <c r="E2674">
        <f>Raw_Claims_Data!E2673</f>
        <v>9000</v>
      </c>
      <c r="F2674" t="str">
        <f>Raw_Claims_Data!F2673</f>
        <v>AR</v>
      </c>
      <c r="G2674" t="str">
        <f>Raw_Claims_Data!G2673</f>
        <v>A</v>
      </c>
      <c r="H2674" t="str">
        <f>Raw_Claims_Data!H2673</f>
        <v>Minor Loss</v>
      </c>
      <c r="I2674" t="str">
        <f>IF(Raw_Claims_Data!I2673="","None",Raw_Claims_Data!I2673)</f>
        <v>Police</v>
      </c>
      <c r="J2674" t="str">
        <f>Raw_Claims_Data!J2673</f>
        <v>Glendale</v>
      </c>
      <c r="K2674" t="str">
        <f>Raw_Claims_Data!K2673</f>
        <v>AZ</v>
      </c>
      <c r="L2674">
        <f>Raw_Claims_Data!L2673</f>
        <v>21</v>
      </c>
      <c r="M2674" t="str">
        <f>IF(Raw_Claims_Data!M2673="","N/A",Raw_Claims_Data!M2673)</f>
        <v>N/A</v>
      </c>
      <c r="N2674" t="str">
        <f>Raw_Claims_Data!N2673</f>
        <v>AGENT00970</v>
      </c>
      <c r="O2674">
        <f>IF(Raw_Claims_Data!G2673="D",1,0)</f>
        <v>0</v>
      </c>
    </row>
    <row r="2675" spans="1:15" x14ac:dyDescent="0.35">
      <c r="A2675" t="str">
        <f>Raw_Claims_Data!A2674</f>
        <v>TXN00002671</v>
      </c>
      <c r="B2675" t="str">
        <f>TRIM(Raw_Claims_Data!B2674)</f>
        <v>Betty Mendelson</v>
      </c>
      <c r="C2675" t="str">
        <f>Raw_Claims_Data!C2674</f>
        <v>Travel</v>
      </c>
      <c r="D2675">
        <f>Raw_Claims_Data!D2674</f>
        <v>85.19</v>
      </c>
      <c r="E2675">
        <f>Raw_Claims_Data!E2674</f>
        <v>2000</v>
      </c>
      <c r="F2675" t="str">
        <f>Raw_Claims_Data!F2674</f>
        <v>CO</v>
      </c>
      <c r="G2675" t="str">
        <f>Raw_Claims_Data!G2674</f>
        <v>A</v>
      </c>
      <c r="H2675" t="str">
        <f>Raw_Claims_Data!H2674</f>
        <v>Total Loss</v>
      </c>
      <c r="I2675" t="str">
        <f>IF(Raw_Claims_Data!I2674="","None",Raw_Claims_Data!I2674)</f>
        <v>Ambulance</v>
      </c>
      <c r="J2675" t="str">
        <f>Raw_Claims_Data!J2674</f>
        <v>Arvada</v>
      </c>
      <c r="K2675" t="str">
        <f>Raw_Claims_Data!K2674</f>
        <v>CO</v>
      </c>
      <c r="L2675">
        <f>Raw_Claims_Data!L2674</f>
        <v>23</v>
      </c>
      <c r="M2675" t="str">
        <f>IF(Raw_Claims_Data!M2674="","N/A",Raw_Claims_Data!M2674)</f>
        <v>VNDR00506</v>
      </c>
      <c r="N2675" t="str">
        <f>Raw_Claims_Data!N2674</f>
        <v>AGENT00997</v>
      </c>
      <c r="O2675">
        <f>IF(Raw_Claims_Data!G2674="D",1,0)</f>
        <v>0</v>
      </c>
    </row>
    <row r="2676" spans="1:15" x14ac:dyDescent="0.35">
      <c r="A2676" t="str">
        <f>Raw_Claims_Data!A2675</f>
        <v>TXN00002672</v>
      </c>
      <c r="B2676" t="str">
        <f>TRIM(Raw_Claims_Data!B2675)</f>
        <v>Genevieve White</v>
      </c>
      <c r="C2676" t="str">
        <f>Raw_Claims_Data!C2675</f>
        <v>Travel</v>
      </c>
      <c r="D2676">
        <f>Raw_Claims_Data!D2675</f>
        <v>89.12</v>
      </c>
      <c r="E2676">
        <f>Raw_Claims_Data!E2675</f>
        <v>5000</v>
      </c>
      <c r="F2676" t="str">
        <f>Raw_Claims_Data!F2675</f>
        <v>OK</v>
      </c>
      <c r="G2676" t="str">
        <f>Raw_Claims_Data!G2675</f>
        <v>A</v>
      </c>
      <c r="H2676" t="str">
        <f>Raw_Claims_Data!H2675</f>
        <v>Major Loss</v>
      </c>
      <c r="I2676" t="str">
        <f>IF(Raw_Claims_Data!I2675="","None",Raw_Claims_Data!I2675)</f>
        <v>None</v>
      </c>
      <c r="J2676" t="str">
        <f>Raw_Claims_Data!J2675</f>
        <v>Savannah</v>
      </c>
      <c r="K2676" t="str">
        <f>Raw_Claims_Data!K2675</f>
        <v>GA</v>
      </c>
      <c r="L2676">
        <f>Raw_Claims_Data!L2675</f>
        <v>12</v>
      </c>
      <c r="M2676" t="str">
        <f>IF(Raw_Claims_Data!M2675="","N/A",Raw_Claims_Data!M2675)</f>
        <v>VNDR00353</v>
      </c>
      <c r="N2676" t="str">
        <f>Raw_Claims_Data!N2675</f>
        <v>AGENT00328</v>
      </c>
      <c r="O2676">
        <f>IF(Raw_Claims_Data!G2675="D",1,0)</f>
        <v>0</v>
      </c>
    </row>
    <row r="2677" spans="1:15" x14ac:dyDescent="0.35">
      <c r="A2677" t="str">
        <f>Raw_Claims_Data!A2676</f>
        <v>TXN00002673</v>
      </c>
      <c r="B2677" t="str">
        <f>TRIM(Raw_Claims_Data!B2676)</f>
        <v>Kenneth Cobb</v>
      </c>
      <c r="C2677" t="str">
        <f>Raw_Claims_Data!C2676</f>
        <v>Property</v>
      </c>
      <c r="D2677">
        <f>Raw_Claims_Data!D2676</f>
        <v>155.58000000000001</v>
      </c>
      <c r="E2677">
        <f>Raw_Claims_Data!E2676</f>
        <v>32000</v>
      </c>
      <c r="F2677" t="str">
        <f>Raw_Claims_Data!F2676</f>
        <v>AL</v>
      </c>
      <c r="G2677" t="str">
        <f>Raw_Claims_Data!G2676</f>
        <v>D</v>
      </c>
      <c r="H2677" t="str">
        <f>Raw_Claims_Data!H2676</f>
        <v>Total Loss</v>
      </c>
      <c r="I2677" t="str">
        <f>IF(Raw_Claims_Data!I2676="","None",Raw_Claims_Data!I2676)</f>
        <v>Police</v>
      </c>
      <c r="J2677" t="str">
        <f>Raw_Claims_Data!J2676</f>
        <v>Nashville</v>
      </c>
      <c r="K2677" t="str">
        <f>Raw_Claims_Data!K2676</f>
        <v>TN</v>
      </c>
      <c r="L2677">
        <f>Raw_Claims_Data!L2676</f>
        <v>10</v>
      </c>
      <c r="M2677" t="str">
        <f>IF(Raw_Claims_Data!M2676="","N/A",Raw_Claims_Data!M2676)</f>
        <v>VNDR00303</v>
      </c>
      <c r="N2677" t="str">
        <f>Raw_Claims_Data!N2676</f>
        <v>AGENT00566</v>
      </c>
      <c r="O2677">
        <f>IF(Raw_Claims_Data!G2676="D",1,0)</f>
        <v>1</v>
      </c>
    </row>
    <row r="2678" spans="1:15" x14ac:dyDescent="0.35">
      <c r="A2678" t="str">
        <f>Raw_Claims_Data!A2677</f>
        <v>TXN00002674</v>
      </c>
      <c r="B2678" t="str">
        <f>TRIM(Raw_Claims_Data!B2677)</f>
        <v>Dawn Fulk</v>
      </c>
      <c r="C2678" t="str">
        <f>Raw_Claims_Data!C2677</f>
        <v>Mobile</v>
      </c>
      <c r="D2678">
        <f>Raw_Claims_Data!D2677</f>
        <v>9.23</v>
      </c>
      <c r="E2678">
        <f>Raw_Claims_Data!E2677</f>
        <v>700</v>
      </c>
      <c r="F2678" t="str">
        <f>Raw_Claims_Data!F2677</f>
        <v>AZ</v>
      </c>
      <c r="G2678" t="str">
        <f>Raw_Claims_Data!G2677</f>
        <v>A</v>
      </c>
      <c r="H2678" t="str">
        <f>Raw_Claims_Data!H2677</f>
        <v>Major Loss</v>
      </c>
      <c r="I2678" t="str">
        <f>IF(Raw_Claims_Data!I2677="","None",Raw_Claims_Data!I2677)</f>
        <v>None</v>
      </c>
      <c r="J2678" t="str">
        <f>Raw_Claims_Data!J2677</f>
        <v>Washington</v>
      </c>
      <c r="K2678" t="str">
        <f>Raw_Claims_Data!K2677</f>
        <v>DC</v>
      </c>
      <c r="L2678">
        <f>Raw_Claims_Data!L2677</f>
        <v>1</v>
      </c>
      <c r="M2678" t="str">
        <f>IF(Raw_Claims_Data!M2677="","N/A",Raw_Claims_Data!M2677)</f>
        <v>N/A</v>
      </c>
      <c r="N2678" t="str">
        <f>Raw_Claims_Data!N2677</f>
        <v>AGENT00330</v>
      </c>
      <c r="O2678">
        <f>IF(Raw_Claims_Data!G2677="D",1,0)</f>
        <v>0</v>
      </c>
    </row>
    <row r="2679" spans="1:15" x14ac:dyDescent="0.35">
      <c r="A2679" t="str">
        <f>Raw_Claims_Data!A2678</f>
        <v>TXN00002675</v>
      </c>
      <c r="B2679" t="str">
        <f>TRIM(Raw_Claims_Data!B2678)</f>
        <v>Barry Bell</v>
      </c>
      <c r="C2679" t="str">
        <f>Raw_Claims_Data!C2678</f>
        <v>Health</v>
      </c>
      <c r="D2679">
        <f>Raw_Claims_Data!D2678</f>
        <v>156.63999999999999</v>
      </c>
      <c r="E2679">
        <f>Raw_Claims_Data!E2678</f>
        <v>7000</v>
      </c>
      <c r="F2679" t="str">
        <f>Raw_Claims_Data!F2678</f>
        <v>GA</v>
      </c>
      <c r="G2679" t="str">
        <f>Raw_Claims_Data!G2678</f>
        <v>A</v>
      </c>
      <c r="H2679" t="str">
        <f>Raw_Claims_Data!H2678</f>
        <v>Major Loss</v>
      </c>
      <c r="I2679" t="str">
        <f>IF(Raw_Claims_Data!I2678="","None",Raw_Claims_Data!I2678)</f>
        <v>Ambulance</v>
      </c>
      <c r="J2679" t="str">
        <f>Raw_Claims_Data!J2678</f>
        <v>Manchester</v>
      </c>
      <c r="K2679" t="str">
        <f>Raw_Claims_Data!K2678</f>
        <v>CT</v>
      </c>
      <c r="L2679">
        <f>Raw_Claims_Data!L2678</f>
        <v>22</v>
      </c>
      <c r="M2679" t="str">
        <f>IF(Raw_Claims_Data!M2678="","N/A",Raw_Claims_Data!M2678)</f>
        <v>VNDR00381</v>
      </c>
      <c r="N2679" t="str">
        <f>Raw_Claims_Data!N2678</f>
        <v>AGENT00153</v>
      </c>
      <c r="O2679">
        <f>IF(Raw_Claims_Data!G2678="D",1,0)</f>
        <v>0</v>
      </c>
    </row>
    <row r="2680" spans="1:15" x14ac:dyDescent="0.35">
      <c r="A2680" t="str">
        <f>Raw_Claims_Data!A2679</f>
        <v>TXN00002676</v>
      </c>
      <c r="B2680" t="str">
        <f>TRIM(Raw_Claims_Data!B2679)</f>
        <v>Meghan Myers</v>
      </c>
      <c r="C2680" t="str">
        <f>Raw_Claims_Data!C2679</f>
        <v>Travel</v>
      </c>
      <c r="D2680">
        <f>Raw_Claims_Data!D2679</f>
        <v>66.63</v>
      </c>
      <c r="E2680">
        <f>Raw_Claims_Data!E2679</f>
        <v>1000</v>
      </c>
      <c r="F2680" t="str">
        <f>Raw_Claims_Data!F2679</f>
        <v>FL</v>
      </c>
      <c r="G2680" t="str">
        <f>Raw_Claims_Data!G2679</f>
        <v>A</v>
      </c>
      <c r="H2680" t="str">
        <f>Raw_Claims_Data!H2679</f>
        <v>Major Loss</v>
      </c>
      <c r="I2680" t="str">
        <f>IF(Raw_Claims_Data!I2679="","None",Raw_Claims_Data!I2679)</f>
        <v>Ambulance</v>
      </c>
      <c r="J2680" t="str">
        <f>Raw_Claims_Data!J2679</f>
        <v>Louisville</v>
      </c>
      <c r="K2680" t="str">
        <f>Raw_Claims_Data!K2679</f>
        <v>KY</v>
      </c>
      <c r="L2680">
        <f>Raw_Claims_Data!L2679</f>
        <v>0</v>
      </c>
      <c r="M2680" t="str">
        <f>IF(Raw_Claims_Data!M2679="","N/A",Raw_Claims_Data!M2679)</f>
        <v>VNDR00250</v>
      </c>
      <c r="N2680" t="str">
        <f>Raw_Claims_Data!N2679</f>
        <v>AGENT00090</v>
      </c>
      <c r="O2680">
        <f>IF(Raw_Claims_Data!G2679="D",1,0)</f>
        <v>0</v>
      </c>
    </row>
    <row r="2681" spans="1:15" x14ac:dyDescent="0.35">
      <c r="A2681" t="str">
        <f>Raw_Claims_Data!A2680</f>
        <v>TXN00002677</v>
      </c>
      <c r="B2681" t="str">
        <f>TRIM(Raw_Claims_Data!B2680)</f>
        <v>Ruth Blamer</v>
      </c>
      <c r="C2681" t="str">
        <f>Raw_Claims_Data!C2680</f>
        <v>Travel</v>
      </c>
      <c r="D2681">
        <f>Raw_Claims_Data!D2680</f>
        <v>51.44</v>
      </c>
      <c r="E2681">
        <f>Raw_Claims_Data!E2680</f>
        <v>3000</v>
      </c>
      <c r="F2681" t="str">
        <f>Raw_Claims_Data!F2680</f>
        <v>CT</v>
      </c>
      <c r="G2681" t="str">
        <f>Raw_Claims_Data!G2680</f>
        <v>A</v>
      </c>
      <c r="H2681" t="str">
        <f>Raw_Claims_Data!H2680</f>
        <v>Major Loss</v>
      </c>
      <c r="I2681" t="str">
        <f>IF(Raw_Claims_Data!I2680="","None",Raw_Claims_Data!I2680)</f>
        <v>Ambulance</v>
      </c>
      <c r="J2681" t="str">
        <f>Raw_Claims_Data!J2680</f>
        <v>Union City</v>
      </c>
      <c r="K2681" t="str">
        <f>Raw_Claims_Data!K2680</f>
        <v>CA</v>
      </c>
      <c r="L2681">
        <f>Raw_Claims_Data!L2680</f>
        <v>6</v>
      </c>
      <c r="M2681" t="str">
        <f>IF(Raw_Claims_Data!M2680="","N/A",Raw_Claims_Data!M2680)</f>
        <v>N/A</v>
      </c>
      <c r="N2681" t="str">
        <f>Raw_Claims_Data!N2680</f>
        <v>AGENT00849</v>
      </c>
      <c r="O2681">
        <f>IF(Raw_Claims_Data!G2680="D",1,0)</f>
        <v>0</v>
      </c>
    </row>
    <row r="2682" spans="1:15" x14ac:dyDescent="0.35">
      <c r="A2682" t="str">
        <f>Raw_Claims_Data!A2681</f>
        <v>TXN00002678</v>
      </c>
      <c r="B2682" t="str">
        <f>TRIM(Raw_Claims_Data!B2681)</f>
        <v>Daniel Keath</v>
      </c>
      <c r="C2682" t="str">
        <f>Raw_Claims_Data!C2681</f>
        <v>Health</v>
      </c>
      <c r="D2682">
        <f>Raw_Claims_Data!D2681</f>
        <v>106.64</v>
      </c>
      <c r="E2682">
        <f>Raw_Claims_Data!E2681</f>
        <v>5000</v>
      </c>
      <c r="F2682" t="str">
        <f>Raw_Claims_Data!F2681</f>
        <v>DC</v>
      </c>
      <c r="G2682" t="str">
        <f>Raw_Claims_Data!G2681</f>
        <v>A</v>
      </c>
      <c r="H2682" t="str">
        <f>Raw_Claims_Data!H2681</f>
        <v>Total Loss</v>
      </c>
      <c r="I2682" t="str">
        <f>IF(Raw_Claims_Data!I2681="","None",Raw_Claims_Data!I2681)</f>
        <v>Ambulance</v>
      </c>
      <c r="J2682" t="str">
        <f>Raw_Claims_Data!J2681</f>
        <v>Panama City Beach</v>
      </c>
      <c r="K2682" t="str">
        <f>Raw_Claims_Data!K2681</f>
        <v>FL</v>
      </c>
      <c r="L2682">
        <f>Raw_Claims_Data!L2681</f>
        <v>15</v>
      </c>
      <c r="M2682" t="str">
        <f>IF(Raw_Claims_Data!M2681="","N/A",Raw_Claims_Data!M2681)</f>
        <v>VNDR00238</v>
      </c>
      <c r="N2682" t="str">
        <f>Raw_Claims_Data!N2681</f>
        <v>AGENT00222</v>
      </c>
      <c r="O2682">
        <f>IF(Raw_Claims_Data!G2681="D",1,0)</f>
        <v>0</v>
      </c>
    </row>
    <row r="2683" spans="1:15" x14ac:dyDescent="0.35">
      <c r="A2683" t="str">
        <f>Raw_Claims_Data!A2682</f>
        <v>TXN00002679</v>
      </c>
      <c r="B2683" t="str">
        <f>TRIM(Raw_Claims_Data!B2682)</f>
        <v>Melissa Langston</v>
      </c>
      <c r="C2683" t="str">
        <f>Raw_Claims_Data!C2682</f>
        <v>Life</v>
      </c>
      <c r="D2683">
        <f>Raw_Claims_Data!D2682</f>
        <v>80.55</v>
      </c>
      <c r="E2683">
        <f>Raw_Claims_Data!E2682</f>
        <v>49000</v>
      </c>
      <c r="F2683" t="str">
        <f>Raw_Claims_Data!F2682</f>
        <v>AR</v>
      </c>
      <c r="G2683" t="str">
        <f>Raw_Claims_Data!G2682</f>
        <v>A</v>
      </c>
      <c r="H2683" t="str">
        <f>Raw_Claims_Data!H2682</f>
        <v>Major Loss</v>
      </c>
      <c r="I2683" t="str">
        <f>IF(Raw_Claims_Data!I2682="","None",Raw_Claims_Data!I2682)</f>
        <v>Ambulance</v>
      </c>
      <c r="J2683" t="str">
        <f>Raw_Claims_Data!J2682</f>
        <v>Montgomery</v>
      </c>
      <c r="K2683" t="str">
        <f>Raw_Claims_Data!K2682</f>
        <v>AL</v>
      </c>
      <c r="L2683">
        <f>Raw_Claims_Data!L2682</f>
        <v>2</v>
      </c>
      <c r="M2683" t="str">
        <f>IF(Raw_Claims_Data!M2682="","N/A",Raw_Claims_Data!M2682)</f>
        <v>VNDR00176</v>
      </c>
      <c r="N2683" t="str">
        <f>Raw_Claims_Data!N2682</f>
        <v>AGENT01098</v>
      </c>
      <c r="O2683">
        <f>IF(Raw_Claims_Data!G2682="D",1,0)</f>
        <v>0</v>
      </c>
    </row>
    <row r="2684" spans="1:15" x14ac:dyDescent="0.35">
      <c r="A2684" t="str">
        <f>Raw_Claims_Data!A2683</f>
        <v>TXN00002680</v>
      </c>
      <c r="B2684" t="str">
        <f>TRIM(Raw_Claims_Data!B2683)</f>
        <v>Doris Tongue</v>
      </c>
      <c r="C2684" t="str">
        <f>Raw_Claims_Data!C2683</f>
        <v>Life</v>
      </c>
      <c r="D2684">
        <f>Raw_Claims_Data!D2683</f>
        <v>55.02</v>
      </c>
      <c r="E2684">
        <f>Raw_Claims_Data!E2683</f>
        <v>23000</v>
      </c>
      <c r="F2684" t="str">
        <f>Raw_Claims_Data!F2683</f>
        <v>TN</v>
      </c>
      <c r="G2684" t="str">
        <f>Raw_Claims_Data!G2683</f>
        <v>D</v>
      </c>
      <c r="H2684" t="str">
        <f>Raw_Claims_Data!H2683</f>
        <v>Total Loss</v>
      </c>
      <c r="I2684" t="str">
        <f>IF(Raw_Claims_Data!I2683="","None",Raw_Claims_Data!I2683)</f>
        <v>None</v>
      </c>
      <c r="J2684" t="str">
        <f>Raw_Claims_Data!J2683</f>
        <v>Edmond</v>
      </c>
      <c r="K2684" t="str">
        <f>Raw_Claims_Data!K2683</f>
        <v>OK</v>
      </c>
      <c r="L2684">
        <f>Raw_Claims_Data!L2683</f>
        <v>14</v>
      </c>
      <c r="M2684" t="str">
        <f>IF(Raw_Claims_Data!M2683="","N/A",Raw_Claims_Data!M2683)</f>
        <v>N/A</v>
      </c>
      <c r="N2684" t="str">
        <f>Raw_Claims_Data!N2683</f>
        <v>AGENT00042</v>
      </c>
      <c r="O2684">
        <f>IF(Raw_Claims_Data!G2683="D",1,0)</f>
        <v>1</v>
      </c>
    </row>
    <row r="2685" spans="1:15" x14ac:dyDescent="0.35">
      <c r="A2685" t="str">
        <f>Raw_Claims_Data!A2684</f>
        <v>TXN00002681</v>
      </c>
      <c r="B2685" t="str">
        <f>TRIM(Raw_Claims_Data!B2684)</f>
        <v>Edna Mendoza</v>
      </c>
      <c r="C2685" t="str">
        <f>Raw_Claims_Data!C2684</f>
        <v>Mobile</v>
      </c>
      <c r="D2685">
        <f>Raw_Claims_Data!D2684</f>
        <v>8.31</v>
      </c>
      <c r="E2685">
        <f>Raw_Claims_Data!E2684</f>
        <v>300</v>
      </c>
      <c r="F2685" t="str">
        <f>Raw_Claims_Data!F2684</f>
        <v>CT</v>
      </c>
      <c r="G2685" t="str">
        <f>Raw_Claims_Data!G2684</f>
        <v>A</v>
      </c>
      <c r="H2685" t="str">
        <f>Raw_Claims_Data!H2684</f>
        <v>Total Loss</v>
      </c>
      <c r="I2685" t="str">
        <f>IF(Raw_Claims_Data!I2684="","None",Raw_Claims_Data!I2684)</f>
        <v>Police</v>
      </c>
      <c r="J2685" t="str">
        <f>Raw_Claims_Data!J2684</f>
        <v>Arnold</v>
      </c>
      <c r="K2685" t="str">
        <f>Raw_Claims_Data!K2684</f>
        <v>MD</v>
      </c>
      <c r="L2685">
        <f>Raw_Claims_Data!L2684</f>
        <v>16</v>
      </c>
      <c r="M2685" t="str">
        <f>IF(Raw_Claims_Data!M2684="","N/A",Raw_Claims_Data!M2684)</f>
        <v>VNDR00555</v>
      </c>
      <c r="N2685" t="str">
        <f>Raw_Claims_Data!N2684</f>
        <v>AGENT00251</v>
      </c>
      <c r="O2685">
        <f>IF(Raw_Claims_Data!G2684="D",1,0)</f>
        <v>0</v>
      </c>
    </row>
    <row r="2686" spans="1:15" x14ac:dyDescent="0.35">
      <c r="A2686" t="str">
        <f>Raw_Claims_Data!A2685</f>
        <v>TXN00002682</v>
      </c>
      <c r="B2686" t="str">
        <f>TRIM(Raw_Claims_Data!B2685)</f>
        <v>Florence Cooper</v>
      </c>
      <c r="C2686" t="str">
        <f>Raw_Claims_Data!C2685</f>
        <v>Property</v>
      </c>
      <c r="D2686">
        <f>Raw_Claims_Data!D2685</f>
        <v>146.62</v>
      </c>
      <c r="E2686">
        <f>Raw_Claims_Data!E2685</f>
        <v>17000</v>
      </c>
      <c r="F2686" t="str">
        <f>Raw_Claims_Data!F2685</f>
        <v>AK</v>
      </c>
      <c r="G2686" t="str">
        <f>Raw_Claims_Data!G2685</f>
        <v>A</v>
      </c>
      <c r="H2686" t="str">
        <f>Raw_Claims_Data!H2685</f>
        <v>Total Loss</v>
      </c>
      <c r="I2686" t="str">
        <f>IF(Raw_Claims_Data!I2685="","None",Raw_Claims_Data!I2685)</f>
        <v>Ambulance</v>
      </c>
      <c r="J2686" t="str">
        <f>Raw_Claims_Data!J2685</f>
        <v>Nashville</v>
      </c>
      <c r="K2686" t="str">
        <f>Raw_Claims_Data!K2685</f>
        <v>TN</v>
      </c>
      <c r="L2686">
        <f>Raw_Claims_Data!L2685</f>
        <v>14</v>
      </c>
      <c r="M2686" t="str">
        <f>IF(Raw_Claims_Data!M2685="","N/A",Raw_Claims_Data!M2685)</f>
        <v>N/A</v>
      </c>
      <c r="N2686" t="str">
        <f>Raw_Claims_Data!N2685</f>
        <v>AGENT00916</v>
      </c>
      <c r="O2686">
        <f>IF(Raw_Claims_Data!G2685="D",1,0)</f>
        <v>0</v>
      </c>
    </row>
    <row r="2687" spans="1:15" x14ac:dyDescent="0.35">
      <c r="A2687" t="str">
        <f>Raw_Claims_Data!A2686</f>
        <v>TXN00002683</v>
      </c>
      <c r="B2687" t="str">
        <f>TRIM(Raw_Claims_Data!B2686)</f>
        <v>Susan Odonnell</v>
      </c>
      <c r="C2687" t="str">
        <f>Raw_Claims_Data!C2686</f>
        <v>Health</v>
      </c>
      <c r="D2687">
        <f>Raw_Claims_Data!D2686</f>
        <v>189.4</v>
      </c>
      <c r="E2687">
        <f>Raw_Claims_Data!E2686</f>
        <v>12000</v>
      </c>
      <c r="F2687" t="str">
        <f>Raw_Claims_Data!F2686</f>
        <v>TN</v>
      </c>
      <c r="G2687" t="str">
        <f>Raw_Claims_Data!G2686</f>
        <v>A</v>
      </c>
      <c r="H2687" t="str">
        <f>Raw_Claims_Data!H2686</f>
        <v>Minor Loss</v>
      </c>
      <c r="I2687" t="str">
        <f>IF(Raw_Claims_Data!I2686="","None",Raw_Claims_Data!I2686)</f>
        <v>Police</v>
      </c>
      <c r="J2687" t="str">
        <f>Raw_Claims_Data!J2686</f>
        <v>Nashville</v>
      </c>
      <c r="K2687" t="str">
        <f>Raw_Claims_Data!K2686</f>
        <v>TN</v>
      </c>
      <c r="L2687">
        <f>Raw_Claims_Data!L2686</f>
        <v>19</v>
      </c>
      <c r="M2687" t="str">
        <f>IF(Raw_Claims_Data!M2686="","N/A",Raw_Claims_Data!M2686)</f>
        <v>VNDR00020</v>
      </c>
      <c r="N2687" t="str">
        <f>Raw_Claims_Data!N2686</f>
        <v>AGENT00994</v>
      </c>
      <c r="O2687">
        <f>IF(Raw_Claims_Data!G2686="D",1,0)</f>
        <v>0</v>
      </c>
    </row>
    <row r="2688" spans="1:15" x14ac:dyDescent="0.35">
      <c r="A2688" t="str">
        <f>Raw_Claims_Data!A2687</f>
        <v>TXN00002684</v>
      </c>
      <c r="B2688" t="str">
        <f>TRIM(Raw_Claims_Data!B2687)</f>
        <v>Anthony Miller</v>
      </c>
      <c r="C2688" t="str">
        <f>Raw_Claims_Data!C2687</f>
        <v>Mobile</v>
      </c>
      <c r="D2688">
        <f>Raw_Claims_Data!D2687</f>
        <v>10.53</v>
      </c>
      <c r="E2688">
        <f>Raw_Claims_Data!E2687</f>
        <v>100</v>
      </c>
      <c r="F2688" t="str">
        <f>Raw_Claims_Data!F2687</f>
        <v>AK</v>
      </c>
      <c r="G2688" t="str">
        <f>Raw_Claims_Data!G2687</f>
        <v>D</v>
      </c>
      <c r="H2688" t="str">
        <f>Raw_Claims_Data!H2687</f>
        <v>Minor Loss</v>
      </c>
      <c r="I2688" t="str">
        <f>IF(Raw_Claims_Data!I2687="","None",Raw_Claims_Data!I2687)</f>
        <v>Ambulance</v>
      </c>
      <c r="J2688" t="str">
        <f>Raw_Claims_Data!J2687</f>
        <v>Oklahoma City</v>
      </c>
      <c r="K2688" t="str">
        <f>Raw_Claims_Data!K2687</f>
        <v>OK</v>
      </c>
      <c r="L2688">
        <f>Raw_Claims_Data!L2687</f>
        <v>0</v>
      </c>
      <c r="M2688" t="str">
        <f>IF(Raw_Claims_Data!M2687="","N/A",Raw_Claims_Data!M2687)</f>
        <v>N/A</v>
      </c>
      <c r="N2688" t="str">
        <f>Raw_Claims_Data!N2687</f>
        <v>AGENT00935</v>
      </c>
      <c r="O2688">
        <f>IF(Raw_Claims_Data!G2687="D",1,0)</f>
        <v>1</v>
      </c>
    </row>
    <row r="2689" spans="1:15" x14ac:dyDescent="0.35">
      <c r="A2689" t="str">
        <f>Raw_Claims_Data!A2688</f>
        <v>TXN00002685</v>
      </c>
      <c r="B2689" t="str">
        <f>TRIM(Raw_Claims_Data!B2688)</f>
        <v>Brenda Mccarter</v>
      </c>
      <c r="C2689" t="str">
        <f>Raw_Claims_Data!C2688</f>
        <v>Property</v>
      </c>
      <c r="D2689">
        <f>Raw_Claims_Data!D2688</f>
        <v>138.41</v>
      </c>
      <c r="E2689">
        <f>Raw_Claims_Data!E2688</f>
        <v>12000</v>
      </c>
      <c r="F2689" t="str">
        <f>Raw_Claims_Data!F2688</f>
        <v>MA</v>
      </c>
      <c r="G2689" t="str">
        <f>Raw_Claims_Data!G2688</f>
        <v>A</v>
      </c>
      <c r="H2689" t="str">
        <f>Raw_Claims_Data!H2688</f>
        <v>Total Loss</v>
      </c>
      <c r="I2689" t="str">
        <f>IF(Raw_Claims_Data!I2688="","None",Raw_Claims_Data!I2688)</f>
        <v>Police</v>
      </c>
      <c r="J2689" t="str">
        <f>Raw_Claims_Data!J2688</f>
        <v>Fayetteville</v>
      </c>
      <c r="K2689" t="str">
        <f>Raw_Claims_Data!K2688</f>
        <v>AR</v>
      </c>
      <c r="L2689">
        <f>Raw_Claims_Data!L2688</f>
        <v>4</v>
      </c>
      <c r="M2689" t="str">
        <f>IF(Raw_Claims_Data!M2688="","N/A",Raw_Claims_Data!M2688)</f>
        <v>VNDR00479</v>
      </c>
      <c r="N2689" t="str">
        <f>Raw_Claims_Data!N2688</f>
        <v>AGENT00148</v>
      </c>
      <c r="O2689">
        <f>IF(Raw_Claims_Data!G2688="D",1,0)</f>
        <v>0</v>
      </c>
    </row>
    <row r="2690" spans="1:15" x14ac:dyDescent="0.35">
      <c r="A2690" t="str">
        <f>Raw_Claims_Data!A2689</f>
        <v>TXN00002686</v>
      </c>
      <c r="B2690" t="str">
        <f>TRIM(Raw_Claims_Data!B2689)</f>
        <v>Andy Williams</v>
      </c>
      <c r="C2690" t="str">
        <f>Raw_Claims_Data!C2689</f>
        <v>Health</v>
      </c>
      <c r="D2690">
        <f>Raw_Claims_Data!D2689</f>
        <v>187.55</v>
      </c>
      <c r="E2690">
        <f>Raw_Claims_Data!E2689</f>
        <v>7000</v>
      </c>
      <c r="F2690" t="str">
        <f>Raw_Claims_Data!F2689</f>
        <v>KY</v>
      </c>
      <c r="G2690" t="str">
        <f>Raw_Claims_Data!G2689</f>
        <v>A</v>
      </c>
      <c r="H2690" t="str">
        <f>Raw_Claims_Data!H2689</f>
        <v>Minor Loss</v>
      </c>
      <c r="I2690" t="str">
        <f>IF(Raw_Claims_Data!I2689="","None",Raw_Claims_Data!I2689)</f>
        <v>Police</v>
      </c>
      <c r="J2690" t="str">
        <f>Raw_Claims_Data!J2689</f>
        <v>Glendale</v>
      </c>
      <c r="K2690" t="str">
        <f>Raw_Claims_Data!K2689</f>
        <v>AZ</v>
      </c>
      <c r="L2690">
        <f>Raw_Claims_Data!L2689</f>
        <v>2</v>
      </c>
      <c r="M2690" t="str">
        <f>IF(Raw_Claims_Data!M2689="","N/A",Raw_Claims_Data!M2689)</f>
        <v>VNDR00012</v>
      </c>
      <c r="N2690" t="str">
        <f>Raw_Claims_Data!N2689</f>
        <v>AGENT01181</v>
      </c>
      <c r="O2690">
        <f>IF(Raw_Claims_Data!G2689="D",1,0)</f>
        <v>0</v>
      </c>
    </row>
    <row r="2691" spans="1:15" x14ac:dyDescent="0.35">
      <c r="A2691" t="str">
        <f>Raw_Claims_Data!A2690</f>
        <v>TXN00002687</v>
      </c>
      <c r="B2691" t="str">
        <f>TRIM(Raw_Claims_Data!B2690)</f>
        <v>Verna Leclaire</v>
      </c>
      <c r="C2691" t="str">
        <f>Raw_Claims_Data!C2690</f>
        <v>Travel</v>
      </c>
      <c r="D2691">
        <f>Raw_Claims_Data!D2690</f>
        <v>81.33</v>
      </c>
      <c r="E2691">
        <f>Raw_Claims_Data!E2690</f>
        <v>1000</v>
      </c>
      <c r="F2691" t="str">
        <f>Raw_Claims_Data!F2690</f>
        <v>VT</v>
      </c>
      <c r="G2691" t="str">
        <f>Raw_Claims_Data!G2690</f>
        <v>A</v>
      </c>
      <c r="H2691" t="str">
        <f>Raw_Claims_Data!H2690</f>
        <v>Minor Loss</v>
      </c>
      <c r="I2691" t="str">
        <f>IF(Raw_Claims_Data!I2690="","None",Raw_Claims_Data!I2690)</f>
        <v>Police</v>
      </c>
      <c r="J2691" t="str">
        <f>Raw_Claims_Data!J2690</f>
        <v>Annapolis</v>
      </c>
      <c r="K2691" t="str">
        <f>Raw_Claims_Data!K2690</f>
        <v>MD</v>
      </c>
      <c r="L2691">
        <f>Raw_Claims_Data!L2690</f>
        <v>3</v>
      </c>
      <c r="M2691" t="str">
        <f>IF(Raw_Claims_Data!M2690="","N/A",Raw_Claims_Data!M2690)</f>
        <v>N/A</v>
      </c>
      <c r="N2691" t="str">
        <f>Raw_Claims_Data!N2690</f>
        <v>AGENT01067</v>
      </c>
      <c r="O2691">
        <f>IF(Raw_Claims_Data!G2690="D",1,0)</f>
        <v>0</v>
      </c>
    </row>
    <row r="2692" spans="1:15" x14ac:dyDescent="0.35">
      <c r="A2692" t="str">
        <f>Raw_Claims_Data!A2691</f>
        <v>TXN00002688</v>
      </c>
      <c r="B2692" t="str">
        <f>TRIM(Raw_Claims_Data!B2691)</f>
        <v>Shirly Craine</v>
      </c>
      <c r="C2692" t="str">
        <f>Raw_Claims_Data!C2691</f>
        <v>Property</v>
      </c>
      <c r="D2692">
        <f>Raw_Claims_Data!D2691</f>
        <v>108.42</v>
      </c>
      <c r="E2692">
        <f>Raw_Claims_Data!E2691</f>
        <v>38000</v>
      </c>
      <c r="F2692" t="str">
        <f>Raw_Claims_Data!F2691</f>
        <v>AL</v>
      </c>
      <c r="G2692" t="str">
        <f>Raw_Claims_Data!G2691</f>
        <v>A</v>
      </c>
      <c r="H2692" t="str">
        <f>Raw_Claims_Data!H2691</f>
        <v>Minor Loss</v>
      </c>
      <c r="I2692" t="str">
        <f>IF(Raw_Claims_Data!I2691="","None",Raw_Claims_Data!I2691)</f>
        <v>Ambulance</v>
      </c>
      <c r="J2692" t="str">
        <f>Raw_Claims_Data!J2691</f>
        <v>Arvada</v>
      </c>
      <c r="K2692" t="str">
        <f>Raw_Claims_Data!K2691</f>
        <v>CO</v>
      </c>
      <c r="L2692">
        <f>Raw_Claims_Data!L2691</f>
        <v>23</v>
      </c>
      <c r="M2692" t="str">
        <f>IF(Raw_Claims_Data!M2691="","N/A",Raw_Claims_Data!M2691)</f>
        <v>VNDR00142</v>
      </c>
      <c r="N2692" t="str">
        <f>Raw_Claims_Data!N2691</f>
        <v>AGENT00033</v>
      </c>
      <c r="O2692">
        <f>IF(Raw_Claims_Data!G2691="D",1,0)</f>
        <v>0</v>
      </c>
    </row>
    <row r="2693" spans="1:15" x14ac:dyDescent="0.35">
      <c r="A2693" t="str">
        <f>Raw_Claims_Data!A2692</f>
        <v>TXN00002689</v>
      </c>
      <c r="B2693" t="str">
        <f>TRIM(Raw_Claims_Data!B2692)</f>
        <v>William Rivas</v>
      </c>
      <c r="C2693" t="str">
        <f>Raw_Claims_Data!C2692</f>
        <v>Motor</v>
      </c>
      <c r="D2693">
        <f>Raw_Claims_Data!D2692</f>
        <v>128.24</v>
      </c>
      <c r="E2693">
        <f>Raw_Claims_Data!E2692</f>
        <v>7000</v>
      </c>
      <c r="F2693" t="str">
        <f>Raw_Claims_Data!F2692</f>
        <v>AL</v>
      </c>
      <c r="G2693" t="str">
        <f>Raw_Claims_Data!G2692</f>
        <v>A</v>
      </c>
      <c r="H2693" t="str">
        <f>Raw_Claims_Data!H2692</f>
        <v>Total Loss</v>
      </c>
      <c r="I2693" t="str">
        <f>IF(Raw_Claims_Data!I2692="","None",Raw_Claims_Data!I2692)</f>
        <v>Police</v>
      </c>
      <c r="J2693" t="str">
        <f>Raw_Claims_Data!J2692</f>
        <v>Glendale</v>
      </c>
      <c r="K2693" t="str">
        <f>Raw_Claims_Data!K2692</f>
        <v>AZ</v>
      </c>
      <c r="L2693">
        <f>Raw_Claims_Data!L2692</f>
        <v>11</v>
      </c>
      <c r="M2693" t="str">
        <f>IF(Raw_Claims_Data!M2692="","N/A",Raw_Claims_Data!M2692)</f>
        <v>VNDR00589</v>
      </c>
      <c r="N2693" t="str">
        <f>Raw_Claims_Data!N2692</f>
        <v>AGENT00144</v>
      </c>
      <c r="O2693">
        <f>IF(Raw_Claims_Data!G2692="D",1,0)</f>
        <v>0</v>
      </c>
    </row>
    <row r="2694" spans="1:15" x14ac:dyDescent="0.35">
      <c r="A2694" t="str">
        <f>Raw_Claims_Data!A2693</f>
        <v>TXN00002690</v>
      </c>
      <c r="B2694" t="str">
        <f>TRIM(Raw_Claims_Data!B2693)</f>
        <v>Marjorie Alston</v>
      </c>
      <c r="C2694" t="str">
        <f>Raw_Claims_Data!C2693</f>
        <v>Travel</v>
      </c>
      <c r="D2694">
        <f>Raw_Claims_Data!D2693</f>
        <v>54.47</v>
      </c>
      <c r="E2694">
        <f>Raw_Claims_Data!E2693</f>
        <v>1000</v>
      </c>
      <c r="F2694" t="str">
        <f>Raw_Claims_Data!F2693</f>
        <v>FL</v>
      </c>
      <c r="G2694" t="str">
        <f>Raw_Claims_Data!G2693</f>
        <v>A</v>
      </c>
      <c r="H2694" t="str">
        <f>Raw_Claims_Data!H2693</f>
        <v>Minor Loss</v>
      </c>
      <c r="I2694" t="str">
        <f>IF(Raw_Claims_Data!I2693="","None",Raw_Claims_Data!I2693)</f>
        <v>None</v>
      </c>
      <c r="J2694" t="str">
        <f>Raw_Claims_Data!J2693</f>
        <v>Montgomery</v>
      </c>
      <c r="K2694" t="str">
        <f>Raw_Claims_Data!K2693</f>
        <v>AL</v>
      </c>
      <c r="L2694">
        <f>Raw_Claims_Data!L2693</f>
        <v>0</v>
      </c>
      <c r="M2694" t="str">
        <f>IF(Raw_Claims_Data!M2693="","N/A",Raw_Claims_Data!M2693)</f>
        <v>VNDR00243</v>
      </c>
      <c r="N2694" t="str">
        <f>Raw_Claims_Data!N2693</f>
        <v>AGENT00997</v>
      </c>
      <c r="O2694">
        <f>IF(Raw_Claims_Data!G2693="D",1,0)</f>
        <v>0</v>
      </c>
    </row>
    <row r="2695" spans="1:15" x14ac:dyDescent="0.35">
      <c r="A2695" t="str">
        <f>Raw_Claims_Data!A2694</f>
        <v>TXN00002691</v>
      </c>
      <c r="B2695" t="str">
        <f>TRIM(Raw_Claims_Data!B2694)</f>
        <v>Teri Enge</v>
      </c>
      <c r="C2695" t="str">
        <f>Raw_Claims_Data!C2694</f>
        <v>Motor</v>
      </c>
      <c r="D2695">
        <f>Raw_Claims_Data!D2694</f>
        <v>76.349999999999994</v>
      </c>
      <c r="E2695">
        <f>Raw_Claims_Data!E2694</f>
        <v>10000</v>
      </c>
      <c r="F2695" t="str">
        <f>Raw_Claims_Data!F2694</f>
        <v>TN</v>
      </c>
      <c r="G2695" t="str">
        <f>Raw_Claims_Data!G2694</f>
        <v>A</v>
      </c>
      <c r="H2695" t="str">
        <f>Raw_Claims_Data!H2694</f>
        <v>Minor Loss</v>
      </c>
      <c r="I2695" t="str">
        <f>IF(Raw_Claims_Data!I2694="","None",Raw_Claims_Data!I2694)</f>
        <v>Ambulance</v>
      </c>
      <c r="J2695" t="str">
        <f>Raw_Claims_Data!J2694</f>
        <v>Manchester</v>
      </c>
      <c r="K2695" t="str">
        <f>Raw_Claims_Data!K2694</f>
        <v>CT</v>
      </c>
      <c r="L2695">
        <f>Raw_Claims_Data!L2694</f>
        <v>16</v>
      </c>
      <c r="M2695" t="str">
        <f>IF(Raw_Claims_Data!M2694="","N/A",Raw_Claims_Data!M2694)</f>
        <v>N/A</v>
      </c>
      <c r="N2695" t="str">
        <f>Raw_Claims_Data!N2694</f>
        <v>AGENT00250</v>
      </c>
      <c r="O2695">
        <f>IF(Raw_Claims_Data!G2694="D",1,0)</f>
        <v>0</v>
      </c>
    </row>
    <row r="2696" spans="1:15" x14ac:dyDescent="0.35">
      <c r="A2696" t="str">
        <f>Raw_Claims_Data!A2695</f>
        <v>TXN00002692</v>
      </c>
      <c r="B2696" t="str">
        <f>TRIM(Raw_Claims_Data!B2695)</f>
        <v>William Evans</v>
      </c>
      <c r="C2696" t="str">
        <f>Raw_Claims_Data!C2695</f>
        <v>Life</v>
      </c>
      <c r="D2696">
        <f>Raw_Claims_Data!D2695</f>
        <v>72.58</v>
      </c>
      <c r="E2696">
        <f>Raw_Claims_Data!E2695</f>
        <v>29000</v>
      </c>
      <c r="F2696" t="str">
        <f>Raw_Claims_Data!F2695</f>
        <v>AZ</v>
      </c>
      <c r="G2696" t="str">
        <f>Raw_Claims_Data!G2695</f>
        <v>A</v>
      </c>
      <c r="H2696" t="str">
        <f>Raw_Claims_Data!H2695</f>
        <v>Total Loss</v>
      </c>
      <c r="I2696" t="str">
        <f>IF(Raw_Claims_Data!I2695="","None",Raw_Claims_Data!I2695)</f>
        <v>None</v>
      </c>
      <c r="J2696" t="str">
        <f>Raw_Claims_Data!J2695</f>
        <v>Fayetteville</v>
      </c>
      <c r="K2696" t="str">
        <f>Raw_Claims_Data!K2695</f>
        <v>AR</v>
      </c>
      <c r="L2696">
        <f>Raw_Claims_Data!L2695</f>
        <v>2</v>
      </c>
      <c r="M2696" t="str">
        <f>IF(Raw_Claims_Data!M2695="","N/A",Raw_Claims_Data!M2695)</f>
        <v>VNDR00349</v>
      </c>
      <c r="N2696" t="str">
        <f>Raw_Claims_Data!N2695</f>
        <v>AGENT00119</v>
      </c>
      <c r="O2696">
        <f>IF(Raw_Claims_Data!G2695="D",1,0)</f>
        <v>0</v>
      </c>
    </row>
    <row r="2697" spans="1:15" x14ac:dyDescent="0.35">
      <c r="A2697" t="str">
        <f>Raw_Claims_Data!A2696</f>
        <v>TXN00002693</v>
      </c>
      <c r="B2697" t="str">
        <f>TRIM(Raw_Claims_Data!B2696)</f>
        <v>Destiny Campbell</v>
      </c>
      <c r="C2697" t="str">
        <f>Raw_Claims_Data!C2696</f>
        <v>Property</v>
      </c>
      <c r="D2697">
        <f>Raw_Claims_Data!D2696</f>
        <v>115.26</v>
      </c>
      <c r="E2697">
        <f>Raw_Claims_Data!E2696</f>
        <v>28000</v>
      </c>
      <c r="F2697" t="str">
        <f>Raw_Claims_Data!F2696</f>
        <v>AL</v>
      </c>
      <c r="G2697" t="str">
        <f>Raw_Claims_Data!G2696</f>
        <v>A</v>
      </c>
      <c r="H2697" t="str">
        <f>Raw_Claims_Data!H2696</f>
        <v>Minor Loss</v>
      </c>
      <c r="I2697" t="str">
        <f>IF(Raw_Claims_Data!I2696="","None",Raw_Claims_Data!I2696)</f>
        <v>Ambulance</v>
      </c>
      <c r="J2697" t="str">
        <f>Raw_Claims_Data!J2696</f>
        <v>Danville</v>
      </c>
      <c r="K2697" t="str">
        <f>Raw_Claims_Data!K2696</f>
        <v>VT</v>
      </c>
      <c r="L2697">
        <f>Raw_Claims_Data!L2696</f>
        <v>3</v>
      </c>
      <c r="M2697" t="str">
        <f>IF(Raw_Claims_Data!M2696="","N/A",Raw_Claims_Data!M2696)</f>
        <v>N/A</v>
      </c>
      <c r="N2697" t="str">
        <f>Raw_Claims_Data!N2696</f>
        <v>AGENT00152</v>
      </c>
      <c r="O2697">
        <f>IF(Raw_Claims_Data!G2696="D",1,0)</f>
        <v>0</v>
      </c>
    </row>
    <row r="2698" spans="1:15" x14ac:dyDescent="0.35">
      <c r="A2698" t="str">
        <f>Raw_Claims_Data!A2697</f>
        <v>TXN00002694</v>
      </c>
      <c r="B2698" t="str">
        <f>TRIM(Raw_Claims_Data!B2697)</f>
        <v>Carrie Brooks</v>
      </c>
      <c r="C2698" t="str">
        <f>Raw_Claims_Data!C2697</f>
        <v>Motor</v>
      </c>
      <c r="D2698">
        <f>Raw_Claims_Data!D2697</f>
        <v>110.18</v>
      </c>
      <c r="E2698">
        <f>Raw_Claims_Data!E2697</f>
        <v>6000</v>
      </c>
      <c r="F2698" t="str">
        <f>Raw_Claims_Data!F2697</f>
        <v>CO</v>
      </c>
      <c r="G2698" t="str">
        <f>Raw_Claims_Data!G2697</f>
        <v>A</v>
      </c>
      <c r="H2698" t="str">
        <f>Raw_Claims_Data!H2697</f>
        <v>Total Loss</v>
      </c>
      <c r="I2698" t="str">
        <f>IF(Raw_Claims_Data!I2697="","None",Raw_Claims_Data!I2697)</f>
        <v>Other</v>
      </c>
      <c r="J2698" t="str">
        <f>Raw_Claims_Data!J2697</f>
        <v>Panama City</v>
      </c>
      <c r="K2698" t="str">
        <f>Raw_Claims_Data!K2697</f>
        <v>FL</v>
      </c>
      <c r="L2698">
        <f>Raw_Claims_Data!L2697</f>
        <v>14</v>
      </c>
      <c r="M2698" t="str">
        <f>IF(Raw_Claims_Data!M2697="","N/A",Raw_Claims_Data!M2697)</f>
        <v>VNDR00537</v>
      </c>
      <c r="N2698" t="str">
        <f>Raw_Claims_Data!N2697</f>
        <v>AGENT00633</v>
      </c>
      <c r="O2698">
        <f>IF(Raw_Claims_Data!G2697="D",1,0)</f>
        <v>0</v>
      </c>
    </row>
    <row r="2699" spans="1:15" x14ac:dyDescent="0.35">
      <c r="A2699" t="str">
        <f>Raw_Claims_Data!A2698</f>
        <v>TXN00002695</v>
      </c>
      <c r="B2699" t="str">
        <f>TRIM(Raw_Claims_Data!B2698)</f>
        <v>Susan Sterner</v>
      </c>
      <c r="C2699" t="str">
        <f>Raw_Claims_Data!C2698</f>
        <v>Mobile</v>
      </c>
      <c r="D2699">
        <f>Raw_Claims_Data!D2698</f>
        <v>8.98</v>
      </c>
      <c r="E2699">
        <f>Raw_Claims_Data!E2698</f>
        <v>600</v>
      </c>
      <c r="F2699" t="str">
        <f>Raw_Claims_Data!F2698</f>
        <v>AR</v>
      </c>
      <c r="G2699" t="str">
        <f>Raw_Claims_Data!G2698</f>
        <v>A</v>
      </c>
      <c r="H2699" t="str">
        <f>Raw_Claims_Data!H2698</f>
        <v>Major Loss</v>
      </c>
      <c r="I2699" t="str">
        <f>IF(Raw_Claims_Data!I2698="","None",Raw_Claims_Data!I2698)</f>
        <v>Ambulance</v>
      </c>
      <c r="J2699" t="str">
        <f>Raw_Claims_Data!J2698</f>
        <v>Everett</v>
      </c>
      <c r="K2699" t="str">
        <f>Raw_Claims_Data!K2698</f>
        <v>MA</v>
      </c>
      <c r="L2699">
        <f>Raw_Claims_Data!L2698</f>
        <v>12</v>
      </c>
      <c r="M2699" t="str">
        <f>IF(Raw_Claims_Data!M2698="","N/A",Raw_Claims_Data!M2698)</f>
        <v>VNDR00544</v>
      </c>
      <c r="N2699" t="str">
        <f>Raw_Claims_Data!N2698</f>
        <v>AGENT00738</v>
      </c>
      <c r="O2699">
        <f>IF(Raw_Claims_Data!G2698="D",1,0)</f>
        <v>0</v>
      </c>
    </row>
    <row r="2700" spans="1:15" x14ac:dyDescent="0.35">
      <c r="A2700" t="str">
        <f>Raw_Claims_Data!A2699</f>
        <v>TXN00002696</v>
      </c>
      <c r="B2700" t="str">
        <f>TRIM(Raw_Claims_Data!B2699)</f>
        <v>Manuel Tester</v>
      </c>
      <c r="C2700" t="str">
        <f>Raw_Claims_Data!C2699</f>
        <v>Travel</v>
      </c>
      <c r="D2700">
        <f>Raw_Claims_Data!D2699</f>
        <v>89.45</v>
      </c>
      <c r="E2700">
        <f>Raw_Claims_Data!E2699</f>
        <v>3000</v>
      </c>
      <c r="F2700" t="str">
        <f>Raw_Claims_Data!F2699</f>
        <v>CT</v>
      </c>
      <c r="G2700" t="str">
        <f>Raw_Claims_Data!G2699</f>
        <v>A</v>
      </c>
      <c r="H2700" t="str">
        <f>Raw_Claims_Data!H2699</f>
        <v>Total Loss</v>
      </c>
      <c r="I2700" t="str">
        <f>IF(Raw_Claims_Data!I2699="","None",Raw_Claims_Data!I2699)</f>
        <v>Ambulance</v>
      </c>
      <c r="J2700" t="str">
        <f>Raw_Claims_Data!J2699</f>
        <v>Annapolis</v>
      </c>
      <c r="K2700" t="str">
        <f>Raw_Claims_Data!K2699</f>
        <v>MD</v>
      </c>
      <c r="L2700">
        <f>Raw_Claims_Data!L2699</f>
        <v>14</v>
      </c>
      <c r="M2700" t="str">
        <f>IF(Raw_Claims_Data!M2699="","N/A",Raw_Claims_Data!M2699)</f>
        <v>VNDR00262</v>
      </c>
      <c r="N2700" t="str">
        <f>Raw_Claims_Data!N2699</f>
        <v>AGENT00313</v>
      </c>
      <c r="O2700">
        <f>IF(Raw_Claims_Data!G2699="D",1,0)</f>
        <v>0</v>
      </c>
    </row>
    <row r="2701" spans="1:15" x14ac:dyDescent="0.35">
      <c r="A2701" t="str">
        <f>Raw_Claims_Data!A2700</f>
        <v>TXN00002697</v>
      </c>
      <c r="B2701" t="str">
        <f>TRIM(Raw_Claims_Data!B2700)</f>
        <v>William Schaeffer</v>
      </c>
      <c r="C2701" t="str">
        <f>Raw_Claims_Data!C2700</f>
        <v>Property</v>
      </c>
      <c r="D2701">
        <f>Raw_Claims_Data!D2700</f>
        <v>132.18</v>
      </c>
      <c r="E2701">
        <f>Raw_Claims_Data!E2700</f>
        <v>11000</v>
      </c>
      <c r="F2701" t="str">
        <f>Raw_Claims_Data!F2700</f>
        <v>CA</v>
      </c>
      <c r="G2701" t="str">
        <f>Raw_Claims_Data!G2700</f>
        <v>A</v>
      </c>
      <c r="H2701" t="str">
        <f>Raw_Claims_Data!H2700</f>
        <v>Minor Loss</v>
      </c>
      <c r="I2701" t="str">
        <f>IF(Raw_Claims_Data!I2700="","None",Raw_Claims_Data!I2700)</f>
        <v>Police</v>
      </c>
      <c r="J2701" t="str">
        <f>Raw_Claims_Data!J2700</f>
        <v>Savannah</v>
      </c>
      <c r="K2701" t="str">
        <f>Raw_Claims_Data!K2700</f>
        <v>GA</v>
      </c>
      <c r="L2701">
        <f>Raw_Claims_Data!L2700</f>
        <v>7</v>
      </c>
      <c r="M2701" t="str">
        <f>IF(Raw_Claims_Data!M2700="","N/A",Raw_Claims_Data!M2700)</f>
        <v>N/A</v>
      </c>
      <c r="N2701" t="str">
        <f>Raw_Claims_Data!N2700</f>
        <v>AGENT01083</v>
      </c>
      <c r="O2701">
        <f>IF(Raw_Claims_Data!G2700="D",1,0)</f>
        <v>0</v>
      </c>
    </row>
    <row r="2702" spans="1:15" x14ac:dyDescent="0.35">
      <c r="A2702" t="str">
        <f>Raw_Claims_Data!A2701</f>
        <v>TXN00002698</v>
      </c>
      <c r="B2702" t="str">
        <f>TRIM(Raw_Claims_Data!B2701)</f>
        <v>Mary Kimes</v>
      </c>
      <c r="C2702" t="str">
        <f>Raw_Claims_Data!C2701</f>
        <v>Mobile</v>
      </c>
      <c r="D2702">
        <f>Raw_Claims_Data!D2701</f>
        <v>8.64</v>
      </c>
      <c r="E2702">
        <f>Raw_Claims_Data!E2701</f>
        <v>700</v>
      </c>
      <c r="F2702" t="str">
        <f>Raw_Claims_Data!F2701</f>
        <v>CA</v>
      </c>
      <c r="G2702" t="str">
        <f>Raw_Claims_Data!G2701</f>
        <v>D</v>
      </c>
      <c r="H2702" t="str">
        <f>Raw_Claims_Data!H2701</f>
        <v>Total Loss</v>
      </c>
      <c r="I2702" t="str">
        <f>IF(Raw_Claims_Data!I2701="","None",Raw_Claims_Data!I2701)</f>
        <v>None</v>
      </c>
      <c r="J2702" t="str">
        <f>Raw_Claims_Data!J2701</f>
        <v>Jackson</v>
      </c>
      <c r="K2702" t="str">
        <f>Raw_Claims_Data!K2701</f>
        <v>CA</v>
      </c>
      <c r="L2702">
        <f>Raw_Claims_Data!L2701</f>
        <v>20</v>
      </c>
      <c r="M2702" t="str">
        <f>IF(Raw_Claims_Data!M2701="","N/A",Raw_Claims_Data!M2701)</f>
        <v>VNDR00472</v>
      </c>
      <c r="N2702" t="str">
        <f>Raw_Claims_Data!N2701</f>
        <v>AGENT00089</v>
      </c>
      <c r="O2702">
        <f>IF(Raw_Claims_Data!G2701="D",1,0)</f>
        <v>1</v>
      </c>
    </row>
    <row r="2703" spans="1:15" x14ac:dyDescent="0.35">
      <c r="A2703" t="str">
        <f>Raw_Claims_Data!A2702</f>
        <v>TXN00002699</v>
      </c>
      <c r="B2703" t="str">
        <f>TRIM(Raw_Claims_Data!B2702)</f>
        <v>Rebecca Washburn</v>
      </c>
      <c r="C2703" t="str">
        <f>Raw_Claims_Data!C2702</f>
        <v>Life</v>
      </c>
      <c r="D2703">
        <f>Raw_Claims_Data!D2702</f>
        <v>54.59</v>
      </c>
      <c r="E2703">
        <f>Raw_Claims_Data!E2702</f>
        <v>90000</v>
      </c>
      <c r="F2703" t="str">
        <f>Raw_Claims_Data!F2702</f>
        <v>KY</v>
      </c>
      <c r="G2703" t="str">
        <f>Raw_Claims_Data!G2702</f>
        <v>A</v>
      </c>
      <c r="H2703" t="str">
        <f>Raw_Claims_Data!H2702</f>
        <v>Minor Loss</v>
      </c>
      <c r="I2703" t="str">
        <f>IF(Raw_Claims_Data!I2702="","None",Raw_Claims_Data!I2702)</f>
        <v>Other</v>
      </c>
      <c r="J2703" t="str">
        <f>Raw_Claims_Data!J2702</f>
        <v>Oklahoma City</v>
      </c>
      <c r="K2703" t="str">
        <f>Raw_Claims_Data!K2702</f>
        <v>OK</v>
      </c>
      <c r="L2703">
        <f>Raw_Claims_Data!L2702</f>
        <v>21</v>
      </c>
      <c r="M2703" t="str">
        <f>IF(Raw_Claims_Data!M2702="","N/A",Raw_Claims_Data!M2702)</f>
        <v>VNDR00403</v>
      </c>
      <c r="N2703" t="str">
        <f>Raw_Claims_Data!N2702</f>
        <v>AGENT00260</v>
      </c>
      <c r="O2703">
        <f>IF(Raw_Claims_Data!G2702="D",1,0)</f>
        <v>0</v>
      </c>
    </row>
    <row r="2704" spans="1:15" x14ac:dyDescent="0.35">
      <c r="A2704" t="str">
        <f>Raw_Claims_Data!A2703</f>
        <v>TXN00002700</v>
      </c>
      <c r="B2704" t="str">
        <f>TRIM(Raw_Claims_Data!B2703)</f>
        <v>Brian Maas</v>
      </c>
      <c r="C2704" t="str">
        <f>Raw_Claims_Data!C2703</f>
        <v>Travel</v>
      </c>
      <c r="D2704">
        <f>Raw_Claims_Data!D2703</f>
        <v>72.13</v>
      </c>
      <c r="E2704">
        <f>Raw_Claims_Data!E2703</f>
        <v>4000</v>
      </c>
      <c r="F2704" t="str">
        <f>Raw_Claims_Data!F2703</f>
        <v>CA</v>
      </c>
      <c r="G2704" t="str">
        <f>Raw_Claims_Data!G2703</f>
        <v>A</v>
      </c>
      <c r="H2704" t="str">
        <f>Raw_Claims_Data!H2703</f>
        <v>Minor Loss</v>
      </c>
      <c r="I2704" t="str">
        <f>IF(Raw_Claims_Data!I2703="","None",Raw_Claims_Data!I2703)</f>
        <v>Ambulance</v>
      </c>
      <c r="J2704" t="str">
        <f>Raw_Claims_Data!J2703</f>
        <v>Fremont</v>
      </c>
      <c r="K2704" t="str">
        <f>Raw_Claims_Data!K2703</f>
        <v>CA</v>
      </c>
      <c r="L2704">
        <f>Raw_Claims_Data!L2703</f>
        <v>16</v>
      </c>
      <c r="M2704" t="str">
        <f>IF(Raw_Claims_Data!M2703="","N/A",Raw_Claims_Data!M2703)</f>
        <v>VNDR00046</v>
      </c>
      <c r="N2704" t="str">
        <f>Raw_Claims_Data!N2703</f>
        <v>AGENT00287</v>
      </c>
      <c r="O2704">
        <f>IF(Raw_Claims_Data!G2703="D",1,0)</f>
        <v>0</v>
      </c>
    </row>
    <row r="2705" spans="1:15" x14ac:dyDescent="0.35">
      <c r="A2705" t="str">
        <f>Raw_Claims_Data!A2704</f>
        <v>TXN00002701</v>
      </c>
      <c r="B2705" t="str">
        <f>TRIM(Raw_Claims_Data!B2704)</f>
        <v>Cordia Bahl</v>
      </c>
      <c r="C2705" t="str">
        <f>Raw_Claims_Data!C2704</f>
        <v>Travel</v>
      </c>
      <c r="D2705">
        <f>Raw_Claims_Data!D2704</f>
        <v>87.15</v>
      </c>
      <c r="E2705">
        <f>Raw_Claims_Data!E2704</f>
        <v>1000</v>
      </c>
      <c r="F2705" t="str">
        <f>Raw_Claims_Data!F2704</f>
        <v>FL</v>
      </c>
      <c r="G2705" t="str">
        <f>Raw_Claims_Data!G2704</f>
        <v>D</v>
      </c>
      <c r="H2705" t="str">
        <f>Raw_Claims_Data!H2704</f>
        <v>Total Loss</v>
      </c>
      <c r="I2705" t="str">
        <f>IF(Raw_Claims_Data!I2704="","None",Raw_Claims_Data!I2704)</f>
        <v>Ambulance</v>
      </c>
      <c r="J2705" t="str">
        <f>Raw_Claims_Data!J2704</f>
        <v>Nashville</v>
      </c>
      <c r="K2705" t="str">
        <f>Raw_Claims_Data!K2704</f>
        <v>TN</v>
      </c>
      <c r="L2705">
        <f>Raw_Claims_Data!L2704</f>
        <v>10</v>
      </c>
      <c r="M2705" t="str">
        <f>IF(Raw_Claims_Data!M2704="","N/A",Raw_Claims_Data!M2704)</f>
        <v>VNDR00509</v>
      </c>
      <c r="N2705" t="str">
        <f>Raw_Claims_Data!N2704</f>
        <v>AGENT00557</v>
      </c>
      <c r="O2705">
        <f>IF(Raw_Claims_Data!G2704="D",1,0)</f>
        <v>1</v>
      </c>
    </row>
    <row r="2706" spans="1:15" x14ac:dyDescent="0.35">
      <c r="A2706" t="str">
        <f>Raw_Claims_Data!A2705</f>
        <v>TXN00002702</v>
      </c>
      <c r="B2706" t="str">
        <f>TRIM(Raw_Claims_Data!B2705)</f>
        <v>Terry Boston</v>
      </c>
      <c r="C2706" t="str">
        <f>Raw_Claims_Data!C2705</f>
        <v>Life</v>
      </c>
      <c r="D2706">
        <f>Raw_Claims_Data!D2705</f>
        <v>68.39</v>
      </c>
      <c r="E2706">
        <f>Raw_Claims_Data!E2705</f>
        <v>42000</v>
      </c>
      <c r="F2706" t="str">
        <f>Raw_Claims_Data!F2705</f>
        <v>MA</v>
      </c>
      <c r="G2706" t="str">
        <f>Raw_Claims_Data!G2705</f>
        <v>A</v>
      </c>
      <c r="H2706" t="str">
        <f>Raw_Claims_Data!H2705</f>
        <v>Major Loss</v>
      </c>
      <c r="I2706" t="str">
        <f>IF(Raw_Claims_Data!I2705="","None",Raw_Claims_Data!I2705)</f>
        <v>Police</v>
      </c>
      <c r="J2706" t="str">
        <f>Raw_Claims_Data!J2705</f>
        <v>Nashville</v>
      </c>
      <c r="K2706" t="str">
        <f>Raw_Claims_Data!K2705</f>
        <v>TN</v>
      </c>
      <c r="L2706">
        <f>Raw_Claims_Data!L2705</f>
        <v>23</v>
      </c>
      <c r="M2706" t="str">
        <f>IF(Raw_Claims_Data!M2705="","N/A",Raw_Claims_Data!M2705)</f>
        <v>VNDR00579</v>
      </c>
      <c r="N2706" t="str">
        <f>Raw_Claims_Data!N2705</f>
        <v>AGENT00980</v>
      </c>
      <c r="O2706">
        <f>IF(Raw_Claims_Data!G2705="D",1,0)</f>
        <v>0</v>
      </c>
    </row>
    <row r="2707" spans="1:15" x14ac:dyDescent="0.35">
      <c r="A2707" t="str">
        <f>Raw_Claims_Data!A2706</f>
        <v>TXN00002703</v>
      </c>
      <c r="B2707" t="str">
        <f>TRIM(Raw_Claims_Data!B2706)</f>
        <v>Phillip Alarcon</v>
      </c>
      <c r="C2707" t="str">
        <f>Raw_Claims_Data!C2706</f>
        <v>Mobile</v>
      </c>
      <c r="D2707">
        <f>Raw_Claims_Data!D2706</f>
        <v>10.15</v>
      </c>
      <c r="E2707">
        <f>Raw_Claims_Data!E2706</f>
        <v>600</v>
      </c>
      <c r="F2707" t="str">
        <f>Raw_Claims_Data!F2706</f>
        <v>TN</v>
      </c>
      <c r="G2707" t="str">
        <f>Raw_Claims_Data!G2706</f>
        <v>A</v>
      </c>
      <c r="H2707" t="str">
        <f>Raw_Claims_Data!H2706</f>
        <v>Major Loss</v>
      </c>
      <c r="I2707" t="str">
        <f>IF(Raw_Claims_Data!I2706="","None",Raw_Claims_Data!I2706)</f>
        <v>Ambulance</v>
      </c>
      <c r="J2707" t="str">
        <f>Raw_Claims_Data!J2706</f>
        <v>Plymouth</v>
      </c>
      <c r="K2707" t="str">
        <f>Raw_Claims_Data!K2706</f>
        <v>MA</v>
      </c>
      <c r="L2707">
        <f>Raw_Claims_Data!L2706</f>
        <v>18</v>
      </c>
      <c r="M2707" t="str">
        <f>IF(Raw_Claims_Data!M2706="","N/A",Raw_Claims_Data!M2706)</f>
        <v>VNDR00239</v>
      </c>
      <c r="N2707" t="str">
        <f>Raw_Claims_Data!N2706</f>
        <v>AGENT00325</v>
      </c>
      <c r="O2707">
        <f>IF(Raw_Claims_Data!G2706="D",1,0)</f>
        <v>0</v>
      </c>
    </row>
    <row r="2708" spans="1:15" x14ac:dyDescent="0.35">
      <c r="A2708" t="str">
        <f>Raw_Claims_Data!A2707</f>
        <v>TXN00002704</v>
      </c>
      <c r="B2708" t="str">
        <f>TRIM(Raw_Claims_Data!B2707)</f>
        <v>Georgia Seel</v>
      </c>
      <c r="C2708" t="str">
        <f>Raw_Claims_Data!C2707</f>
        <v>Mobile</v>
      </c>
      <c r="D2708">
        <f>Raw_Claims_Data!D2707</f>
        <v>8</v>
      </c>
      <c r="E2708">
        <f>Raw_Claims_Data!E2707</f>
        <v>400</v>
      </c>
      <c r="F2708" t="str">
        <f>Raw_Claims_Data!F2707</f>
        <v>OK</v>
      </c>
      <c r="G2708" t="str">
        <f>Raw_Claims_Data!G2707</f>
        <v>A</v>
      </c>
      <c r="H2708" t="str">
        <f>Raw_Claims_Data!H2707</f>
        <v>Total Loss</v>
      </c>
      <c r="I2708" t="str">
        <f>IF(Raw_Claims_Data!I2707="","None",Raw_Claims_Data!I2707)</f>
        <v>Ambulance</v>
      </c>
      <c r="J2708" t="str">
        <f>Raw_Claims_Data!J2707</f>
        <v>Washington</v>
      </c>
      <c r="K2708" t="str">
        <f>Raw_Claims_Data!K2707</f>
        <v>DC</v>
      </c>
      <c r="L2708">
        <f>Raw_Claims_Data!L2707</f>
        <v>6</v>
      </c>
      <c r="M2708" t="str">
        <f>IF(Raw_Claims_Data!M2707="","N/A",Raw_Claims_Data!M2707)</f>
        <v>N/A</v>
      </c>
      <c r="N2708" t="str">
        <f>Raw_Claims_Data!N2707</f>
        <v>AGENT00733</v>
      </c>
      <c r="O2708">
        <f>IF(Raw_Claims_Data!G2707="D",1,0)</f>
        <v>0</v>
      </c>
    </row>
    <row r="2709" spans="1:15" x14ac:dyDescent="0.35">
      <c r="A2709" t="str">
        <f>Raw_Claims_Data!A2708</f>
        <v>TXN00002705</v>
      </c>
      <c r="B2709" t="str">
        <f>TRIM(Raw_Claims_Data!B2708)</f>
        <v>George Halstead</v>
      </c>
      <c r="C2709" t="str">
        <f>Raw_Claims_Data!C2708</f>
        <v>Mobile</v>
      </c>
      <c r="D2709">
        <f>Raw_Claims_Data!D2708</f>
        <v>10.78</v>
      </c>
      <c r="E2709">
        <f>Raw_Claims_Data!E2708</f>
        <v>500</v>
      </c>
      <c r="F2709" t="str">
        <f>Raw_Claims_Data!F2708</f>
        <v>FL</v>
      </c>
      <c r="G2709" t="str">
        <f>Raw_Claims_Data!G2708</f>
        <v>A</v>
      </c>
      <c r="H2709" t="str">
        <f>Raw_Claims_Data!H2708</f>
        <v>Total Loss</v>
      </c>
      <c r="I2709" t="str">
        <f>IF(Raw_Claims_Data!I2708="","None",Raw_Claims_Data!I2708)</f>
        <v>Ambulance</v>
      </c>
      <c r="J2709" t="str">
        <f>Raw_Claims_Data!J2708</f>
        <v>Gambrills</v>
      </c>
      <c r="K2709" t="str">
        <f>Raw_Claims_Data!K2708</f>
        <v>MD</v>
      </c>
      <c r="L2709">
        <f>Raw_Claims_Data!L2708</f>
        <v>19</v>
      </c>
      <c r="M2709" t="str">
        <f>IF(Raw_Claims_Data!M2708="","N/A",Raw_Claims_Data!M2708)</f>
        <v>N/A</v>
      </c>
      <c r="N2709" t="str">
        <f>Raw_Claims_Data!N2708</f>
        <v>AGENT00737</v>
      </c>
      <c r="O2709">
        <f>IF(Raw_Claims_Data!G2708="D",1,0)</f>
        <v>0</v>
      </c>
    </row>
    <row r="2710" spans="1:15" x14ac:dyDescent="0.35">
      <c r="A2710" t="str">
        <f>Raw_Claims_Data!A2709</f>
        <v>TXN00002706</v>
      </c>
      <c r="B2710" t="str">
        <f>TRIM(Raw_Claims_Data!B2709)</f>
        <v>Heide Page</v>
      </c>
      <c r="C2710" t="str">
        <f>Raw_Claims_Data!C2709</f>
        <v>Property</v>
      </c>
      <c r="D2710">
        <f>Raw_Claims_Data!D2709</f>
        <v>97.8</v>
      </c>
      <c r="E2710">
        <f>Raw_Claims_Data!E2709</f>
        <v>34000</v>
      </c>
      <c r="F2710" t="str">
        <f>Raw_Claims_Data!F2709</f>
        <v>VT</v>
      </c>
      <c r="G2710" t="str">
        <f>Raw_Claims_Data!G2709</f>
        <v>A</v>
      </c>
      <c r="H2710" t="str">
        <f>Raw_Claims_Data!H2709</f>
        <v>Major Loss</v>
      </c>
      <c r="I2710" t="str">
        <f>IF(Raw_Claims_Data!I2709="","None",Raw_Claims_Data!I2709)</f>
        <v>Other</v>
      </c>
      <c r="J2710" t="str">
        <f>Raw_Claims_Data!J2709</f>
        <v>Panama City</v>
      </c>
      <c r="K2710" t="str">
        <f>Raw_Claims_Data!K2709</f>
        <v>FL</v>
      </c>
      <c r="L2710">
        <f>Raw_Claims_Data!L2709</f>
        <v>13</v>
      </c>
      <c r="M2710" t="str">
        <f>IF(Raw_Claims_Data!M2709="","N/A",Raw_Claims_Data!M2709)</f>
        <v>VNDR00454</v>
      </c>
      <c r="N2710" t="str">
        <f>Raw_Claims_Data!N2709</f>
        <v>AGENT01137</v>
      </c>
      <c r="O2710">
        <f>IF(Raw_Claims_Data!G2709="D",1,0)</f>
        <v>0</v>
      </c>
    </row>
    <row r="2711" spans="1:15" x14ac:dyDescent="0.35">
      <c r="A2711" t="str">
        <f>Raw_Claims_Data!A2710</f>
        <v>TXN00002707</v>
      </c>
      <c r="B2711" t="str">
        <f>TRIM(Raw_Claims_Data!B2710)</f>
        <v>Mark Casale</v>
      </c>
      <c r="C2711" t="str">
        <f>Raw_Claims_Data!C2710</f>
        <v>Travel</v>
      </c>
      <c r="D2711">
        <f>Raw_Claims_Data!D2710</f>
        <v>71.5</v>
      </c>
      <c r="E2711">
        <f>Raw_Claims_Data!E2710</f>
        <v>2000</v>
      </c>
      <c r="F2711" t="str">
        <f>Raw_Claims_Data!F2710</f>
        <v>CA</v>
      </c>
      <c r="G2711" t="str">
        <f>Raw_Claims_Data!G2710</f>
        <v>A</v>
      </c>
      <c r="H2711" t="str">
        <f>Raw_Claims_Data!H2710</f>
        <v>Major Loss</v>
      </c>
      <c r="I2711" t="str">
        <f>IF(Raw_Claims_Data!I2710="","None",Raw_Claims_Data!I2710)</f>
        <v>Other</v>
      </c>
      <c r="J2711" t="str">
        <f>Raw_Claims_Data!J2710</f>
        <v>Edmond</v>
      </c>
      <c r="K2711" t="str">
        <f>Raw_Claims_Data!K2710</f>
        <v>OK</v>
      </c>
      <c r="L2711">
        <f>Raw_Claims_Data!L2710</f>
        <v>0</v>
      </c>
      <c r="M2711" t="str">
        <f>IF(Raw_Claims_Data!M2710="","N/A",Raw_Claims_Data!M2710)</f>
        <v>VNDR00263</v>
      </c>
      <c r="N2711" t="str">
        <f>Raw_Claims_Data!N2710</f>
        <v>AGENT00203</v>
      </c>
      <c r="O2711">
        <f>IF(Raw_Claims_Data!G2710="D",1,0)</f>
        <v>0</v>
      </c>
    </row>
    <row r="2712" spans="1:15" x14ac:dyDescent="0.35">
      <c r="A2712" t="str">
        <f>Raw_Claims_Data!A2711</f>
        <v>TXN00002708</v>
      </c>
      <c r="B2712" t="str">
        <f>TRIM(Raw_Claims_Data!B2711)</f>
        <v>John Taylor</v>
      </c>
      <c r="C2712" t="str">
        <f>Raw_Claims_Data!C2711</f>
        <v>Mobile</v>
      </c>
      <c r="D2712">
        <f>Raw_Claims_Data!D2711</f>
        <v>8.86</v>
      </c>
      <c r="E2712">
        <f>Raw_Claims_Data!E2711</f>
        <v>500</v>
      </c>
      <c r="F2712" t="str">
        <f>Raw_Claims_Data!F2711</f>
        <v>CA</v>
      </c>
      <c r="G2712" t="str">
        <f>Raw_Claims_Data!G2711</f>
        <v>A</v>
      </c>
      <c r="H2712" t="str">
        <f>Raw_Claims_Data!H2711</f>
        <v>Major Loss</v>
      </c>
      <c r="I2712" t="str">
        <f>IF(Raw_Claims_Data!I2711="","None",Raw_Claims_Data!I2711)</f>
        <v>Other</v>
      </c>
      <c r="J2712" t="str">
        <f>Raw_Claims_Data!J2711</f>
        <v>Glendale</v>
      </c>
      <c r="K2712" t="str">
        <f>Raw_Claims_Data!K2711</f>
        <v>AZ</v>
      </c>
      <c r="L2712">
        <f>Raw_Claims_Data!L2711</f>
        <v>15</v>
      </c>
      <c r="M2712" t="str">
        <f>IF(Raw_Claims_Data!M2711="","N/A",Raw_Claims_Data!M2711)</f>
        <v>N/A</v>
      </c>
      <c r="N2712" t="str">
        <f>Raw_Claims_Data!N2711</f>
        <v>AGENT00927</v>
      </c>
      <c r="O2712">
        <f>IF(Raw_Claims_Data!G2711="D",1,0)</f>
        <v>0</v>
      </c>
    </row>
    <row r="2713" spans="1:15" x14ac:dyDescent="0.35">
      <c r="A2713" t="str">
        <f>Raw_Claims_Data!A2712</f>
        <v>TXN00002709</v>
      </c>
      <c r="B2713" t="str">
        <f>TRIM(Raw_Claims_Data!B2712)</f>
        <v>Dale Sweeney</v>
      </c>
      <c r="C2713" t="str">
        <f>Raw_Claims_Data!C2712</f>
        <v>Travel</v>
      </c>
      <c r="D2713">
        <f>Raw_Claims_Data!D2712</f>
        <v>52.7</v>
      </c>
      <c r="E2713">
        <f>Raw_Claims_Data!E2712</f>
        <v>4000</v>
      </c>
      <c r="F2713" t="str">
        <f>Raw_Claims_Data!F2712</f>
        <v>OK</v>
      </c>
      <c r="G2713" t="str">
        <f>Raw_Claims_Data!G2712</f>
        <v>A</v>
      </c>
      <c r="H2713" t="str">
        <f>Raw_Claims_Data!H2712</f>
        <v>Total Loss</v>
      </c>
      <c r="I2713" t="str">
        <f>IF(Raw_Claims_Data!I2712="","None",Raw_Claims_Data!I2712)</f>
        <v>Ambulance</v>
      </c>
      <c r="J2713" t="str">
        <f>Raw_Claims_Data!J2712</f>
        <v>Annapolis</v>
      </c>
      <c r="K2713" t="str">
        <f>Raw_Claims_Data!K2712</f>
        <v>MD</v>
      </c>
      <c r="L2713">
        <f>Raw_Claims_Data!L2712</f>
        <v>22</v>
      </c>
      <c r="M2713" t="str">
        <f>IF(Raw_Claims_Data!M2712="","N/A",Raw_Claims_Data!M2712)</f>
        <v>N/A</v>
      </c>
      <c r="N2713" t="str">
        <f>Raw_Claims_Data!N2712</f>
        <v>AGENT00002</v>
      </c>
      <c r="O2713">
        <f>IF(Raw_Claims_Data!G2712="D",1,0)</f>
        <v>0</v>
      </c>
    </row>
    <row r="2714" spans="1:15" x14ac:dyDescent="0.35">
      <c r="A2714" t="str">
        <f>Raw_Claims_Data!A2713</f>
        <v>TXN00002710</v>
      </c>
      <c r="B2714" t="str">
        <f>TRIM(Raw_Claims_Data!B2713)</f>
        <v>Barbara Arnold</v>
      </c>
      <c r="C2714" t="str">
        <f>Raw_Claims_Data!C2713</f>
        <v>Life</v>
      </c>
      <c r="D2714">
        <f>Raw_Claims_Data!D2713</f>
        <v>86.28</v>
      </c>
      <c r="E2714">
        <f>Raw_Claims_Data!E2713</f>
        <v>14000</v>
      </c>
      <c r="F2714" t="str">
        <f>Raw_Claims_Data!F2713</f>
        <v>CO</v>
      </c>
      <c r="G2714" t="str">
        <f>Raw_Claims_Data!G2713</f>
        <v>A</v>
      </c>
      <c r="H2714" t="str">
        <f>Raw_Claims_Data!H2713</f>
        <v>Minor Loss</v>
      </c>
      <c r="I2714" t="str">
        <f>IF(Raw_Claims_Data!I2713="","None",Raw_Claims_Data!I2713)</f>
        <v>Police</v>
      </c>
      <c r="J2714" t="str">
        <f>Raw_Claims_Data!J2713</f>
        <v>Montgomery</v>
      </c>
      <c r="K2714" t="str">
        <f>Raw_Claims_Data!K2713</f>
        <v>AL</v>
      </c>
      <c r="L2714">
        <f>Raw_Claims_Data!L2713</f>
        <v>21</v>
      </c>
      <c r="M2714" t="str">
        <f>IF(Raw_Claims_Data!M2713="","N/A",Raw_Claims_Data!M2713)</f>
        <v>N/A</v>
      </c>
      <c r="N2714" t="str">
        <f>Raw_Claims_Data!N2713</f>
        <v>AGENT00580</v>
      </c>
      <c r="O2714">
        <f>IF(Raw_Claims_Data!G2713="D",1,0)</f>
        <v>0</v>
      </c>
    </row>
    <row r="2715" spans="1:15" x14ac:dyDescent="0.35">
      <c r="A2715" t="str">
        <f>Raw_Claims_Data!A2714</f>
        <v>TXN00002711</v>
      </c>
      <c r="B2715" t="str">
        <f>TRIM(Raw_Claims_Data!B2714)</f>
        <v>Bertha Chen</v>
      </c>
      <c r="C2715" t="str">
        <f>Raw_Claims_Data!C2714</f>
        <v>Mobile</v>
      </c>
      <c r="D2715">
        <f>Raw_Claims_Data!D2714</f>
        <v>10.46</v>
      </c>
      <c r="E2715">
        <f>Raw_Claims_Data!E2714</f>
        <v>200</v>
      </c>
      <c r="F2715" t="str">
        <f>Raw_Claims_Data!F2714</f>
        <v>KY</v>
      </c>
      <c r="G2715" t="str">
        <f>Raw_Claims_Data!G2714</f>
        <v>A</v>
      </c>
      <c r="H2715" t="str">
        <f>Raw_Claims_Data!H2714</f>
        <v>Minor Loss</v>
      </c>
      <c r="I2715" t="str">
        <f>IF(Raw_Claims_Data!I2714="","None",Raw_Claims_Data!I2714)</f>
        <v>Other</v>
      </c>
      <c r="J2715" t="str">
        <f>Raw_Claims_Data!J2714</f>
        <v>Glendale</v>
      </c>
      <c r="K2715" t="str">
        <f>Raw_Claims_Data!K2714</f>
        <v>AZ</v>
      </c>
      <c r="L2715">
        <f>Raw_Claims_Data!L2714</f>
        <v>18</v>
      </c>
      <c r="M2715" t="str">
        <f>IF(Raw_Claims_Data!M2714="","N/A",Raw_Claims_Data!M2714)</f>
        <v>VNDR00415</v>
      </c>
      <c r="N2715" t="str">
        <f>Raw_Claims_Data!N2714</f>
        <v>AGENT00803</v>
      </c>
      <c r="O2715">
        <f>IF(Raw_Claims_Data!G2714="D",1,0)</f>
        <v>0</v>
      </c>
    </row>
    <row r="2716" spans="1:15" x14ac:dyDescent="0.35">
      <c r="A2716" t="str">
        <f>Raw_Claims_Data!A2715</f>
        <v>TXN00002712</v>
      </c>
      <c r="B2716" t="str">
        <f>TRIM(Raw_Claims_Data!B2715)</f>
        <v>Ryan Duffy</v>
      </c>
      <c r="C2716" t="str">
        <f>Raw_Claims_Data!C2715</f>
        <v>Mobile</v>
      </c>
      <c r="D2716">
        <f>Raw_Claims_Data!D2715</f>
        <v>10.72</v>
      </c>
      <c r="E2716">
        <f>Raw_Claims_Data!E2715</f>
        <v>400</v>
      </c>
      <c r="F2716" t="str">
        <f>Raw_Claims_Data!F2715</f>
        <v>MD</v>
      </c>
      <c r="G2716" t="str">
        <f>Raw_Claims_Data!G2715</f>
        <v>A</v>
      </c>
      <c r="H2716" t="str">
        <f>Raw_Claims_Data!H2715</f>
        <v>Minor Loss</v>
      </c>
      <c r="I2716" t="str">
        <f>IF(Raw_Claims_Data!I2715="","None",Raw_Claims_Data!I2715)</f>
        <v>Ambulance</v>
      </c>
      <c r="J2716" t="str">
        <f>Raw_Claims_Data!J2715</f>
        <v>Louisville</v>
      </c>
      <c r="K2716" t="str">
        <f>Raw_Claims_Data!K2715</f>
        <v>KY</v>
      </c>
      <c r="L2716">
        <f>Raw_Claims_Data!L2715</f>
        <v>19</v>
      </c>
      <c r="M2716" t="str">
        <f>IF(Raw_Claims_Data!M2715="","N/A",Raw_Claims_Data!M2715)</f>
        <v>VNDR00279</v>
      </c>
      <c r="N2716" t="str">
        <f>Raw_Claims_Data!N2715</f>
        <v>AGENT00297</v>
      </c>
      <c r="O2716">
        <f>IF(Raw_Claims_Data!G2715="D",1,0)</f>
        <v>0</v>
      </c>
    </row>
    <row r="2717" spans="1:15" x14ac:dyDescent="0.35">
      <c r="A2717" t="str">
        <f>Raw_Claims_Data!A2716</f>
        <v>TXN00002713</v>
      </c>
      <c r="B2717" t="str">
        <f>TRIM(Raw_Claims_Data!B2716)</f>
        <v>Patricia Clark</v>
      </c>
      <c r="C2717" t="str">
        <f>Raw_Claims_Data!C2716</f>
        <v>Mobile</v>
      </c>
      <c r="D2717">
        <f>Raw_Claims_Data!D2716</f>
        <v>10.81</v>
      </c>
      <c r="E2717">
        <f>Raw_Claims_Data!E2716</f>
        <v>200</v>
      </c>
      <c r="F2717" t="str">
        <f>Raw_Claims_Data!F2716</f>
        <v>AZ</v>
      </c>
      <c r="G2717" t="str">
        <f>Raw_Claims_Data!G2716</f>
        <v>A</v>
      </c>
      <c r="H2717" t="str">
        <f>Raw_Claims_Data!H2716</f>
        <v>Minor Loss</v>
      </c>
      <c r="I2717" t="str">
        <f>IF(Raw_Claims_Data!I2716="","None",Raw_Claims_Data!I2716)</f>
        <v>None</v>
      </c>
      <c r="J2717" t="str">
        <f>Raw_Claims_Data!J2716</f>
        <v>Oklahoma City</v>
      </c>
      <c r="K2717" t="str">
        <f>Raw_Claims_Data!K2716</f>
        <v>OK</v>
      </c>
      <c r="L2717">
        <f>Raw_Claims_Data!L2716</f>
        <v>10</v>
      </c>
      <c r="M2717" t="str">
        <f>IF(Raw_Claims_Data!M2716="","N/A",Raw_Claims_Data!M2716)</f>
        <v>VNDR00169</v>
      </c>
      <c r="N2717" t="str">
        <f>Raw_Claims_Data!N2716</f>
        <v>AGENT00819</v>
      </c>
      <c r="O2717">
        <f>IF(Raw_Claims_Data!G2716="D",1,0)</f>
        <v>0</v>
      </c>
    </row>
    <row r="2718" spans="1:15" x14ac:dyDescent="0.35">
      <c r="A2718" t="str">
        <f>Raw_Claims_Data!A2717</f>
        <v>TXN00002714</v>
      </c>
      <c r="B2718" t="str">
        <f>TRIM(Raw_Claims_Data!B2717)</f>
        <v>Phil Curtis</v>
      </c>
      <c r="C2718" t="str">
        <f>Raw_Claims_Data!C2717</f>
        <v>Health</v>
      </c>
      <c r="D2718">
        <f>Raw_Claims_Data!D2717</f>
        <v>112.32</v>
      </c>
      <c r="E2718">
        <f>Raw_Claims_Data!E2717</f>
        <v>15000</v>
      </c>
      <c r="F2718" t="str">
        <f>Raw_Claims_Data!F2717</f>
        <v>CA</v>
      </c>
      <c r="G2718" t="str">
        <f>Raw_Claims_Data!G2717</f>
        <v>A</v>
      </c>
      <c r="H2718" t="str">
        <f>Raw_Claims_Data!H2717</f>
        <v>Major Loss</v>
      </c>
      <c r="I2718" t="str">
        <f>IF(Raw_Claims_Data!I2717="","None",Raw_Claims_Data!I2717)</f>
        <v>None</v>
      </c>
      <c r="J2718" t="str">
        <f>Raw_Claims_Data!J2717</f>
        <v>Arvada</v>
      </c>
      <c r="K2718" t="str">
        <f>Raw_Claims_Data!K2717</f>
        <v>CO</v>
      </c>
      <c r="L2718">
        <f>Raw_Claims_Data!L2717</f>
        <v>9</v>
      </c>
      <c r="M2718" t="str">
        <f>IF(Raw_Claims_Data!M2717="","N/A",Raw_Claims_Data!M2717)</f>
        <v>VNDR00108</v>
      </c>
      <c r="N2718" t="str">
        <f>Raw_Claims_Data!N2717</f>
        <v>AGENT00501</v>
      </c>
      <c r="O2718">
        <f>IF(Raw_Claims_Data!G2717="D",1,0)</f>
        <v>0</v>
      </c>
    </row>
    <row r="2719" spans="1:15" x14ac:dyDescent="0.35">
      <c r="A2719" t="str">
        <f>Raw_Claims_Data!A2718</f>
        <v>TXN00002715</v>
      </c>
      <c r="B2719" t="str">
        <f>TRIM(Raw_Claims_Data!B2718)</f>
        <v>Tommy Mccollom</v>
      </c>
      <c r="C2719" t="str">
        <f>Raw_Claims_Data!C2718</f>
        <v>Health</v>
      </c>
      <c r="D2719">
        <f>Raw_Claims_Data!D2718</f>
        <v>114.89</v>
      </c>
      <c r="E2719">
        <f>Raw_Claims_Data!E2718</f>
        <v>17000</v>
      </c>
      <c r="F2719" t="str">
        <f>Raw_Claims_Data!F2718</f>
        <v>DC</v>
      </c>
      <c r="G2719" t="str">
        <f>Raw_Claims_Data!G2718</f>
        <v>A</v>
      </c>
      <c r="H2719" t="str">
        <f>Raw_Claims_Data!H2718</f>
        <v>Total Loss</v>
      </c>
      <c r="I2719" t="str">
        <f>IF(Raw_Claims_Data!I2718="","None",Raw_Claims_Data!I2718)</f>
        <v>Ambulance</v>
      </c>
      <c r="J2719" t="str">
        <f>Raw_Claims_Data!J2718</f>
        <v>Glendale</v>
      </c>
      <c r="K2719" t="str">
        <f>Raw_Claims_Data!K2718</f>
        <v>AZ</v>
      </c>
      <c r="L2719">
        <f>Raw_Claims_Data!L2718</f>
        <v>19</v>
      </c>
      <c r="M2719" t="str">
        <f>IF(Raw_Claims_Data!M2718="","N/A",Raw_Claims_Data!M2718)</f>
        <v>N/A</v>
      </c>
      <c r="N2719" t="str">
        <f>Raw_Claims_Data!N2718</f>
        <v>AGENT00223</v>
      </c>
      <c r="O2719">
        <f>IF(Raw_Claims_Data!G2718="D",1,0)</f>
        <v>0</v>
      </c>
    </row>
    <row r="2720" spans="1:15" x14ac:dyDescent="0.35">
      <c r="A2720" t="str">
        <f>Raw_Claims_Data!A2719</f>
        <v>TXN00002716</v>
      </c>
      <c r="B2720" t="str">
        <f>TRIM(Raw_Claims_Data!B2719)</f>
        <v>Francisca Baer</v>
      </c>
      <c r="C2720" t="str">
        <f>Raw_Claims_Data!C2719</f>
        <v>Travel</v>
      </c>
      <c r="D2720">
        <f>Raw_Claims_Data!D2719</f>
        <v>55.33</v>
      </c>
      <c r="E2720">
        <f>Raw_Claims_Data!E2719</f>
        <v>2000</v>
      </c>
      <c r="F2720" t="str">
        <f>Raw_Claims_Data!F2719</f>
        <v>KY</v>
      </c>
      <c r="G2720" t="str">
        <f>Raw_Claims_Data!G2719</f>
        <v>A</v>
      </c>
      <c r="H2720" t="str">
        <f>Raw_Claims_Data!H2719</f>
        <v>Major Loss</v>
      </c>
      <c r="I2720" t="str">
        <f>IF(Raw_Claims_Data!I2719="","None",Raw_Claims_Data!I2719)</f>
        <v>Police</v>
      </c>
      <c r="J2720" t="str">
        <f>Raw_Claims_Data!J2719</f>
        <v>Arvada</v>
      </c>
      <c r="K2720" t="str">
        <f>Raw_Claims_Data!K2719</f>
        <v>CO</v>
      </c>
      <c r="L2720">
        <f>Raw_Claims_Data!L2719</f>
        <v>0</v>
      </c>
      <c r="M2720" t="str">
        <f>IF(Raw_Claims_Data!M2719="","N/A",Raw_Claims_Data!M2719)</f>
        <v>VNDR00142</v>
      </c>
      <c r="N2720" t="str">
        <f>Raw_Claims_Data!N2719</f>
        <v>AGENT01061</v>
      </c>
      <c r="O2720">
        <f>IF(Raw_Claims_Data!G2719="D",1,0)</f>
        <v>0</v>
      </c>
    </row>
    <row r="2721" spans="1:15" x14ac:dyDescent="0.35">
      <c r="A2721" t="str">
        <f>Raw_Claims_Data!A2720</f>
        <v>TXN00002717</v>
      </c>
      <c r="B2721" t="str">
        <f>TRIM(Raw_Claims_Data!B2720)</f>
        <v>Thomas Fisher</v>
      </c>
      <c r="C2721" t="str">
        <f>Raw_Claims_Data!C2720</f>
        <v>Health</v>
      </c>
      <c r="D2721">
        <f>Raw_Claims_Data!D2720</f>
        <v>117.41</v>
      </c>
      <c r="E2721">
        <f>Raw_Claims_Data!E2720</f>
        <v>5000</v>
      </c>
      <c r="F2721" t="str">
        <f>Raw_Claims_Data!F2720</f>
        <v>AZ</v>
      </c>
      <c r="G2721" t="str">
        <f>Raw_Claims_Data!G2720</f>
        <v>A</v>
      </c>
      <c r="H2721" t="str">
        <f>Raw_Claims_Data!H2720</f>
        <v>Total Loss</v>
      </c>
      <c r="I2721" t="str">
        <f>IF(Raw_Claims_Data!I2720="","None",Raw_Claims_Data!I2720)</f>
        <v>None</v>
      </c>
      <c r="J2721" t="str">
        <f>Raw_Claims_Data!J2720</f>
        <v>Glendale</v>
      </c>
      <c r="K2721" t="str">
        <f>Raw_Claims_Data!K2720</f>
        <v>AZ</v>
      </c>
      <c r="L2721">
        <f>Raw_Claims_Data!L2720</f>
        <v>8</v>
      </c>
      <c r="M2721" t="str">
        <f>IF(Raw_Claims_Data!M2720="","N/A",Raw_Claims_Data!M2720)</f>
        <v>VNDR00533</v>
      </c>
      <c r="N2721" t="str">
        <f>Raw_Claims_Data!N2720</f>
        <v>AGENT01196</v>
      </c>
      <c r="O2721">
        <f>IF(Raw_Claims_Data!G2720="D",1,0)</f>
        <v>0</v>
      </c>
    </row>
    <row r="2722" spans="1:15" x14ac:dyDescent="0.35">
      <c r="A2722" t="str">
        <f>Raw_Claims_Data!A2721</f>
        <v>TXN00002718</v>
      </c>
      <c r="B2722" t="str">
        <f>TRIM(Raw_Claims_Data!B2721)</f>
        <v>Misty Bowman</v>
      </c>
      <c r="C2722" t="str">
        <f>Raw_Claims_Data!C2721</f>
        <v>Motor</v>
      </c>
      <c r="D2722">
        <f>Raw_Claims_Data!D2721</f>
        <v>129.16999999999999</v>
      </c>
      <c r="E2722">
        <f>Raw_Claims_Data!E2721</f>
        <v>5000</v>
      </c>
      <c r="F2722" t="str">
        <f>Raw_Claims_Data!F2721</f>
        <v>FL</v>
      </c>
      <c r="G2722" t="str">
        <f>Raw_Claims_Data!G2721</f>
        <v>A</v>
      </c>
      <c r="H2722" t="str">
        <f>Raw_Claims_Data!H2721</f>
        <v>Total Loss</v>
      </c>
      <c r="I2722" t="str">
        <f>IF(Raw_Claims_Data!I2721="","None",Raw_Claims_Data!I2721)</f>
        <v>Police</v>
      </c>
      <c r="J2722" t="str">
        <f>Raw_Claims_Data!J2721</f>
        <v>Fayetteville</v>
      </c>
      <c r="K2722" t="str">
        <f>Raw_Claims_Data!K2721</f>
        <v>AR</v>
      </c>
      <c r="L2722">
        <f>Raw_Claims_Data!L2721</f>
        <v>1</v>
      </c>
      <c r="M2722" t="str">
        <f>IF(Raw_Claims_Data!M2721="","N/A",Raw_Claims_Data!M2721)</f>
        <v>VNDR00387</v>
      </c>
      <c r="N2722" t="str">
        <f>Raw_Claims_Data!N2721</f>
        <v>AGENT00193</v>
      </c>
      <c r="O2722">
        <f>IF(Raw_Claims_Data!G2721="D",1,0)</f>
        <v>0</v>
      </c>
    </row>
    <row r="2723" spans="1:15" x14ac:dyDescent="0.35">
      <c r="A2723" t="str">
        <f>Raw_Claims_Data!A2722</f>
        <v>TXN00002719</v>
      </c>
      <c r="B2723" t="str">
        <f>TRIM(Raw_Claims_Data!B2722)</f>
        <v>Maria Couture</v>
      </c>
      <c r="C2723" t="str">
        <f>Raw_Claims_Data!C2722</f>
        <v>Travel</v>
      </c>
      <c r="D2723">
        <f>Raw_Claims_Data!D2722</f>
        <v>87.42</v>
      </c>
      <c r="E2723">
        <f>Raw_Claims_Data!E2722</f>
        <v>1000</v>
      </c>
      <c r="F2723" t="str">
        <f>Raw_Claims_Data!F2722</f>
        <v>TN</v>
      </c>
      <c r="G2723" t="str">
        <f>Raw_Claims_Data!G2722</f>
        <v>A</v>
      </c>
      <c r="H2723" t="str">
        <f>Raw_Claims_Data!H2722</f>
        <v>Total Loss</v>
      </c>
      <c r="I2723" t="str">
        <f>IF(Raw_Claims_Data!I2722="","None",Raw_Claims_Data!I2722)</f>
        <v>None</v>
      </c>
      <c r="J2723" t="str">
        <f>Raw_Claims_Data!J2722</f>
        <v>Louisville</v>
      </c>
      <c r="K2723" t="str">
        <f>Raw_Claims_Data!K2722</f>
        <v>KY</v>
      </c>
      <c r="L2723">
        <f>Raw_Claims_Data!L2722</f>
        <v>22</v>
      </c>
      <c r="M2723" t="str">
        <f>IF(Raw_Claims_Data!M2722="","N/A",Raw_Claims_Data!M2722)</f>
        <v>VNDR00043</v>
      </c>
      <c r="N2723" t="str">
        <f>Raw_Claims_Data!N2722</f>
        <v>AGENT01110</v>
      </c>
      <c r="O2723">
        <f>IF(Raw_Claims_Data!G2722="D",1,0)</f>
        <v>0</v>
      </c>
    </row>
    <row r="2724" spans="1:15" x14ac:dyDescent="0.35">
      <c r="A2724" t="str">
        <f>Raw_Claims_Data!A2723</f>
        <v>TXN00002720</v>
      </c>
      <c r="B2724" t="str">
        <f>TRIM(Raw_Claims_Data!B2723)</f>
        <v>Kathryn Smith</v>
      </c>
      <c r="C2724" t="str">
        <f>Raw_Claims_Data!C2723</f>
        <v>Travel</v>
      </c>
      <c r="D2724">
        <f>Raw_Claims_Data!D2723</f>
        <v>72.08</v>
      </c>
      <c r="E2724">
        <f>Raw_Claims_Data!E2723</f>
        <v>2000</v>
      </c>
      <c r="F2724" t="str">
        <f>Raw_Claims_Data!F2723</f>
        <v>MD</v>
      </c>
      <c r="G2724" t="str">
        <f>Raw_Claims_Data!G2723</f>
        <v>A</v>
      </c>
      <c r="H2724" t="str">
        <f>Raw_Claims_Data!H2723</f>
        <v>Major Loss</v>
      </c>
      <c r="I2724" t="str">
        <f>IF(Raw_Claims_Data!I2723="","None",Raw_Claims_Data!I2723)</f>
        <v>Other</v>
      </c>
      <c r="J2724" t="str">
        <f>Raw_Claims_Data!J2723</f>
        <v>Montgomery</v>
      </c>
      <c r="K2724" t="str">
        <f>Raw_Claims_Data!K2723</f>
        <v>AL</v>
      </c>
      <c r="L2724">
        <f>Raw_Claims_Data!L2723</f>
        <v>2</v>
      </c>
      <c r="M2724" t="str">
        <f>IF(Raw_Claims_Data!M2723="","N/A",Raw_Claims_Data!M2723)</f>
        <v>N/A</v>
      </c>
      <c r="N2724" t="str">
        <f>Raw_Claims_Data!N2723</f>
        <v>AGENT00712</v>
      </c>
      <c r="O2724">
        <f>IF(Raw_Claims_Data!G2723="D",1,0)</f>
        <v>0</v>
      </c>
    </row>
    <row r="2725" spans="1:15" x14ac:dyDescent="0.35">
      <c r="A2725" t="str">
        <f>Raw_Claims_Data!A2724</f>
        <v>TXN00002721</v>
      </c>
      <c r="B2725" t="str">
        <f>TRIM(Raw_Claims_Data!B2724)</f>
        <v>Richard Cottingham</v>
      </c>
      <c r="C2725" t="str">
        <f>Raw_Claims_Data!C2724</f>
        <v>Mobile</v>
      </c>
      <c r="D2725">
        <f>Raw_Claims_Data!D2724</f>
        <v>7.57</v>
      </c>
      <c r="E2725">
        <f>Raw_Claims_Data!E2724</f>
        <v>600</v>
      </c>
      <c r="F2725" t="str">
        <f>Raw_Claims_Data!F2724</f>
        <v>AZ</v>
      </c>
      <c r="G2725" t="str">
        <f>Raw_Claims_Data!G2724</f>
        <v>A</v>
      </c>
      <c r="H2725" t="str">
        <f>Raw_Claims_Data!H2724</f>
        <v>Minor Loss</v>
      </c>
      <c r="I2725" t="str">
        <f>IF(Raw_Claims_Data!I2724="","None",Raw_Claims_Data!I2724)</f>
        <v>Ambulance</v>
      </c>
      <c r="J2725" t="str">
        <f>Raw_Claims_Data!J2724</f>
        <v>Washington</v>
      </c>
      <c r="K2725" t="str">
        <f>Raw_Claims_Data!K2724</f>
        <v>DC</v>
      </c>
      <c r="L2725">
        <f>Raw_Claims_Data!L2724</f>
        <v>15</v>
      </c>
      <c r="M2725" t="str">
        <f>IF(Raw_Claims_Data!M2724="","N/A",Raw_Claims_Data!M2724)</f>
        <v>VNDR00454</v>
      </c>
      <c r="N2725" t="str">
        <f>Raw_Claims_Data!N2724</f>
        <v>AGENT00859</v>
      </c>
      <c r="O2725">
        <f>IF(Raw_Claims_Data!G2724="D",1,0)</f>
        <v>0</v>
      </c>
    </row>
    <row r="2726" spans="1:15" x14ac:dyDescent="0.35">
      <c r="A2726" t="str">
        <f>Raw_Claims_Data!A2725</f>
        <v>TXN00002722</v>
      </c>
      <c r="B2726" t="str">
        <f>TRIM(Raw_Claims_Data!B2725)</f>
        <v>Timothy Sills</v>
      </c>
      <c r="C2726" t="str">
        <f>Raw_Claims_Data!C2725</f>
        <v>Life</v>
      </c>
      <c r="D2726">
        <f>Raw_Claims_Data!D2725</f>
        <v>61.47</v>
      </c>
      <c r="E2726">
        <f>Raw_Claims_Data!E2725</f>
        <v>55000</v>
      </c>
      <c r="F2726" t="str">
        <f>Raw_Claims_Data!F2725</f>
        <v>VT</v>
      </c>
      <c r="G2726" t="str">
        <f>Raw_Claims_Data!G2725</f>
        <v>A</v>
      </c>
      <c r="H2726" t="str">
        <f>Raw_Claims_Data!H2725</f>
        <v>Minor Loss</v>
      </c>
      <c r="I2726" t="str">
        <f>IF(Raw_Claims_Data!I2725="","None",Raw_Claims_Data!I2725)</f>
        <v>Ambulance</v>
      </c>
      <c r="J2726" t="str">
        <f>Raw_Claims_Data!J2725</f>
        <v>Medway</v>
      </c>
      <c r="K2726" t="str">
        <f>Raw_Claims_Data!K2725</f>
        <v>MA</v>
      </c>
      <c r="L2726">
        <f>Raw_Claims_Data!L2725</f>
        <v>14</v>
      </c>
      <c r="M2726" t="str">
        <f>IF(Raw_Claims_Data!M2725="","N/A",Raw_Claims_Data!M2725)</f>
        <v>VNDR00054</v>
      </c>
      <c r="N2726" t="str">
        <f>Raw_Claims_Data!N2725</f>
        <v>AGENT00154</v>
      </c>
      <c r="O2726">
        <f>IF(Raw_Claims_Data!G2725="D",1,0)</f>
        <v>0</v>
      </c>
    </row>
    <row r="2727" spans="1:15" x14ac:dyDescent="0.35">
      <c r="A2727" t="str">
        <f>Raw_Claims_Data!A2726</f>
        <v>TXN00002723</v>
      </c>
      <c r="B2727" t="str">
        <f>TRIM(Raw_Claims_Data!B2726)</f>
        <v>Bill Meyer</v>
      </c>
      <c r="C2727" t="str">
        <f>Raw_Claims_Data!C2726</f>
        <v>Life</v>
      </c>
      <c r="D2727">
        <f>Raw_Claims_Data!D2726</f>
        <v>57.54</v>
      </c>
      <c r="E2727">
        <f>Raw_Claims_Data!E2726</f>
        <v>14000</v>
      </c>
      <c r="F2727" t="str">
        <f>Raw_Claims_Data!F2726</f>
        <v>AK</v>
      </c>
      <c r="G2727" t="str">
        <f>Raw_Claims_Data!G2726</f>
        <v>A</v>
      </c>
      <c r="H2727" t="str">
        <f>Raw_Claims_Data!H2726</f>
        <v>Major Loss</v>
      </c>
      <c r="I2727" t="str">
        <f>IF(Raw_Claims_Data!I2726="","None",Raw_Claims_Data!I2726)</f>
        <v>Ambulance</v>
      </c>
      <c r="J2727" t="str">
        <f>Raw_Claims_Data!J2726</f>
        <v>Arvada</v>
      </c>
      <c r="K2727" t="str">
        <f>Raw_Claims_Data!K2726</f>
        <v>CO</v>
      </c>
      <c r="L2727">
        <f>Raw_Claims_Data!L2726</f>
        <v>19</v>
      </c>
      <c r="M2727" t="str">
        <f>IF(Raw_Claims_Data!M2726="","N/A",Raw_Claims_Data!M2726)</f>
        <v>N/A</v>
      </c>
      <c r="N2727" t="str">
        <f>Raw_Claims_Data!N2726</f>
        <v>AGENT00968</v>
      </c>
      <c r="O2727">
        <f>IF(Raw_Claims_Data!G2726="D",1,0)</f>
        <v>0</v>
      </c>
    </row>
    <row r="2728" spans="1:15" x14ac:dyDescent="0.35">
      <c r="A2728" t="str">
        <f>Raw_Claims_Data!A2727</f>
        <v>TXN00002724</v>
      </c>
      <c r="B2728" t="str">
        <f>TRIM(Raw_Claims_Data!B2727)</f>
        <v>Luis Garcia</v>
      </c>
      <c r="C2728" t="str">
        <f>Raw_Claims_Data!C2727</f>
        <v>Property</v>
      </c>
      <c r="D2728">
        <f>Raw_Claims_Data!D2727</f>
        <v>116.35</v>
      </c>
      <c r="E2728">
        <f>Raw_Claims_Data!E2727</f>
        <v>12000</v>
      </c>
      <c r="F2728" t="str">
        <f>Raw_Claims_Data!F2727</f>
        <v>AZ</v>
      </c>
      <c r="G2728" t="str">
        <f>Raw_Claims_Data!G2727</f>
        <v>A</v>
      </c>
      <c r="H2728" t="str">
        <f>Raw_Claims_Data!H2727</f>
        <v>Major Loss</v>
      </c>
      <c r="I2728" t="str">
        <f>IF(Raw_Claims_Data!I2727="","None",Raw_Claims_Data!I2727)</f>
        <v>Police</v>
      </c>
      <c r="J2728" t="str">
        <f>Raw_Claims_Data!J2727</f>
        <v>Savannah</v>
      </c>
      <c r="K2728" t="str">
        <f>Raw_Claims_Data!K2727</f>
        <v>GA</v>
      </c>
      <c r="L2728">
        <f>Raw_Claims_Data!L2727</f>
        <v>9</v>
      </c>
      <c r="M2728" t="str">
        <f>IF(Raw_Claims_Data!M2727="","N/A",Raw_Claims_Data!M2727)</f>
        <v>VNDR00211</v>
      </c>
      <c r="N2728" t="str">
        <f>Raw_Claims_Data!N2727</f>
        <v>AGENT00849</v>
      </c>
      <c r="O2728">
        <f>IF(Raw_Claims_Data!G2727="D",1,0)</f>
        <v>0</v>
      </c>
    </row>
    <row r="2729" spans="1:15" x14ac:dyDescent="0.35">
      <c r="A2729" t="str">
        <f>Raw_Claims_Data!A2728</f>
        <v>TXN00002725</v>
      </c>
      <c r="B2729" t="str">
        <f>TRIM(Raw_Claims_Data!B2728)</f>
        <v>Nicole Barnes</v>
      </c>
      <c r="C2729" t="str">
        <f>Raw_Claims_Data!C2728</f>
        <v>Motor</v>
      </c>
      <c r="D2729">
        <f>Raw_Claims_Data!D2728</f>
        <v>119.44</v>
      </c>
      <c r="E2729">
        <f>Raw_Claims_Data!E2728</f>
        <v>4000</v>
      </c>
      <c r="F2729" t="str">
        <f>Raw_Claims_Data!F2728</f>
        <v>OK</v>
      </c>
      <c r="G2729" t="str">
        <f>Raw_Claims_Data!G2728</f>
        <v>D</v>
      </c>
      <c r="H2729" t="str">
        <f>Raw_Claims_Data!H2728</f>
        <v>Major Loss</v>
      </c>
      <c r="I2729" t="str">
        <f>IF(Raw_Claims_Data!I2728="","None",Raw_Claims_Data!I2728)</f>
        <v>Ambulance</v>
      </c>
      <c r="J2729" t="str">
        <f>Raw_Claims_Data!J2728</f>
        <v>Pleasanton</v>
      </c>
      <c r="K2729" t="str">
        <f>Raw_Claims_Data!K2728</f>
        <v>CA</v>
      </c>
      <c r="L2729">
        <f>Raw_Claims_Data!L2728</f>
        <v>2</v>
      </c>
      <c r="M2729" t="str">
        <f>IF(Raw_Claims_Data!M2728="","N/A",Raw_Claims_Data!M2728)</f>
        <v>VNDR00370</v>
      </c>
      <c r="N2729" t="str">
        <f>Raw_Claims_Data!N2728</f>
        <v>AGENT01073</v>
      </c>
      <c r="O2729">
        <f>IF(Raw_Claims_Data!G2728="D",1,0)</f>
        <v>1</v>
      </c>
    </row>
    <row r="2730" spans="1:15" x14ac:dyDescent="0.35">
      <c r="A2730" t="str">
        <f>Raw_Claims_Data!A2729</f>
        <v>TXN00002726</v>
      </c>
      <c r="B2730" t="str">
        <f>TRIM(Raw_Claims_Data!B2729)</f>
        <v>Rose Nolte</v>
      </c>
      <c r="C2730" t="str">
        <f>Raw_Claims_Data!C2729</f>
        <v>Travel</v>
      </c>
      <c r="D2730">
        <f>Raw_Claims_Data!D2729</f>
        <v>99.73</v>
      </c>
      <c r="E2730">
        <f>Raw_Claims_Data!E2729</f>
        <v>5000</v>
      </c>
      <c r="F2730" t="str">
        <f>Raw_Claims_Data!F2729</f>
        <v>AZ</v>
      </c>
      <c r="G2730" t="str">
        <f>Raw_Claims_Data!G2729</f>
        <v>A</v>
      </c>
      <c r="H2730" t="str">
        <f>Raw_Claims_Data!H2729</f>
        <v>Minor Loss</v>
      </c>
      <c r="I2730" t="str">
        <f>IF(Raw_Claims_Data!I2729="","None",Raw_Claims_Data!I2729)</f>
        <v>None</v>
      </c>
      <c r="J2730" t="str">
        <f>Raw_Claims_Data!J2729</f>
        <v>Nashville</v>
      </c>
      <c r="K2730" t="str">
        <f>Raw_Claims_Data!K2729</f>
        <v>TN</v>
      </c>
      <c r="L2730">
        <f>Raw_Claims_Data!L2729</f>
        <v>13</v>
      </c>
      <c r="M2730" t="str">
        <f>IF(Raw_Claims_Data!M2729="","N/A",Raw_Claims_Data!M2729)</f>
        <v>VNDR00508</v>
      </c>
      <c r="N2730" t="str">
        <f>Raw_Claims_Data!N2729</f>
        <v>AGENT00847</v>
      </c>
      <c r="O2730">
        <f>IF(Raw_Claims_Data!G2729="D",1,0)</f>
        <v>0</v>
      </c>
    </row>
    <row r="2731" spans="1:15" x14ac:dyDescent="0.35">
      <c r="A2731" t="str">
        <f>Raw_Claims_Data!A2730</f>
        <v>TXN00002727</v>
      </c>
      <c r="B2731" t="str">
        <f>TRIM(Raw_Claims_Data!B2730)</f>
        <v>Maurita Thomas</v>
      </c>
      <c r="C2731" t="str">
        <f>Raw_Claims_Data!C2730</f>
        <v>Life</v>
      </c>
      <c r="D2731">
        <f>Raw_Claims_Data!D2730</f>
        <v>53.21</v>
      </c>
      <c r="E2731">
        <f>Raw_Claims_Data!E2730</f>
        <v>74000</v>
      </c>
      <c r="F2731" t="str">
        <f>Raw_Claims_Data!F2730</f>
        <v>CA</v>
      </c>
      <c r="G2731" t="str">
        <f>Raw_Claims_Data!G2730</f>
        <v>A</v>
      </c>
      <c r="H2731" t="str">
        <f>Raw_Claims_Data!H2730</f>
        <v>Total Loss</v>
      </c>
      <c r="I2731" t="str">
        <f>IF(Raw_Claims_Data!I2730="","None",Raw_Claims_Data!I2730)</f>
        <v>None</v>
      </c>
      <c r="J2731" t="str">
        <f>Raw_Claims_Data!J2730</f>
        <v>Glendale</v>
      </c>
      <c r="K2731" t="str">
        <f>Raw_Claims_Data!K2730</f>
        <v>AZ</v>
      </c>
      <c r="L2731">
        <f>Raw_Claims_Data!L2730</f>
        <v>7</v>
      </c>
      <c r="M2731" t="str">
        <f>IF(Raw_Claims_Data!M2730="","N/A",Raw_Claims_Data!M2730)</f>
        <v>VNDR00589</v>
      </c>
      <c r="N2731" t="str">
        <f>Raw_Claims_Data!N2730</f>
        <v>AGENT01115</v>
      </c>
      <c r="O2731">
        <f>IF(Raw_Claims_Data!G2730="D",1,0)</f>
        <v>0</v>
      </c>
    </row>
    <row r="2732" spans="1:15" x14ac:dyDescent="0.35">
      <c r="A2732" t="str">
        <f>Raw_Claims_Data!A2731</f>
        <v>TXN00002728</v>
      </c>
      <c r="B2732" t="str">
        <f>TRIM(Raw_Claims_Data!B2731)</f>
        <v>Stephanie Honeycutt</v>
      </c>
      <c r="C2732" t="str">
        <f>Raw_Claims_Data!C2731</f>
        <v>Motor</v>
      </c>
      <c r="D2732">
        <f>Raw_Claims_Data!D2731</f>
        <v>136.35</v>
      </c>
      <c r="E2732">
        <f>Raw_Claims_Data!E2731</f>
        <v>7000</v>
      </c>
      <c r="F2732" t="str">
        <f>Raw_Claims_Data!F2731</f>
        <v>DC</v>
      </c>
      <c r="G2732" t="str">
        <f>Raw_Claims_Data!G2731</f>
        <v>A</v>
      </c>
      <c r="H2732" t="str">
        <f>Raw_Claims_Data!H2731</f>
        <v>Total Loss</v>
      </c>
      <c r="I2732" t="str">
        <f>IF(Raw_Claims_Data!I2731="","None",Raw_Claims_Data!I2731)</f>
        <v>Police</v>
      </c>
      <c r="J2732" t="str">
        <f>Raw_Claims_Data!J2731</f>
        <v>Montgomery</v>
      </c>
      <c r="K2732" t="str">
        <f>Raw_Claims_Data!K2731</f>
        <v>AL</v>
      </c>
      <c r="L2732">
        <f>Raw_Claims_Data!L2731</f>
        <v>3</v>
      </c>
      <c r="M2732" t="str">
        <f>IF(Raw_Claims_Data!M2731="","N/A",Raw_Claims_Data!M2731)</f>
        <v>VNDR00188</v>
      </c>
      <c r="N2732" t="str">
        <f>Raw_Claims_Data!N2731</f>
        <v>AGENT01028</v>
      </c>
      <c r="O2732">
        <f>IF(Raw_Claims_Data!G2731="D",1,0)</f>
        <v>0</v>
      </c>
    </row>
    <row r="2733" spans="1:15" x14ac:dyDescent="0.35">
      <c r="A2733" t="str">
        <f>Raw_Claims_Data!A2732</f>
        <v>TXN00002729</v>
      </c>
      <c r="B2733" t="str">
        <f>TRIM(Raw_Claims_Data!B2732)</f>
        <v>Connie Sequeira</v>
      </c>
      <c r="C2733" t="str">
        <f>Raw_Claims_Data!C2732</f>
        <v>Health</v>
      </c>
      <c r="D2733">
        <f>Raw_Claims_Data!D2732</f>
        <v>115.5</v>
      </c>
      <c r="E2733">
        <f>Raw_Claims_Data!E2732</f>
        <v>18000</v>
      </c>
      <c r="F2733" t="str">
        <f>Raw_Claims_Data!F2732</f>
        <v>AR</v>
      </c>
      <c r="G2733" t="str">
        <f>Raw_Claims_Data!G2732</f>
        <v>A</v>
      </c>
      <c r="H2733" t="str">
        <f>Raw_Claims_Data!H2732</f>
        <v>Total Loss</v>
      </c>
      <c r="I2733" t="str">
        <f>IF(Raw_Claims_Data!I2732="","None",Raw_Claims_Data!I2732)</f>
        <v>None</v>
      </c>
      <c r="J2733" t="str">
        <f>Raw_Claims_Data!J2732</f>
        <v>Anchorage</v>
      </c>
      <c r="K2733" t="str">
        <f>Raw_Claims_Data!K2732</f>
        <v>AK</v>
      </c>
      <c r="L2733">
        <f>Raw_Claims_Data!L2732</f>
        <v>2</v>
      </c>
      <c r="M2733" t="str">
        <f>IF(Raw_Claims_Data!M2732="","N/A",Raw_Claims_Data!M2732)</f>
        <v>N/A</v>
      </c>
      <c r="N2733" t="str">
        <f>Raw_Claims_Data!N2732</f>
        <v>AGENT01123</v>
      </c>
      <c r="O2733">
        <f>IF(Raw_Claims_Data!G2732="D",1,0)</f>
        <v>0</v>
      </c>
    </row>
    <row r="2734" spans="1:15" x14ac:dyDescent="0.35">
      <c r="A2734" t="str">
        <f>Raw_Claims_Data!A2733</f>
        <v>TXN00002730</v>
      </c>
      <c r="B2734" t="str">
        <f>TRIM(Raw_Claims_Data!B2733)</f>
        <v>Thomas Fuhrman</v>
      </c>
      <c r="C2734" t="str">
        <f>Raw_Claims_Data!C2733</f>
        <v>Mobile</v>
      </c>
      <c r="D2734">
        <f>Raw_Claims_Data!D2733</f>
        <v>11.36</v>
      </c>
      <c r="E2734">
        <f>Raw_Claims_Data!E2733</f>
        <v>300</v>
      </c>
      <c r="F2734" t="str">
        <f>Raw_Claims_Data!F2733</f>
        <v>KY</v>
      </c>
      <c r="G2734" t="str">
        <f>Raw_Claims_Data!G2733</f>
        <v>D</v>
      </c>
      <c r="H2734" t="str">
        <f>Raw_Claims_Data!H2733</f>
        <v>Minor Loss</v>
      </c>
      <c r="I2734" t="str">
        <f>IF(Raw_Claims_Data!I2733="","None",Raw_Claims_Data!I2733)</f>
        <v>Ambulance</v>
      </c>
      <c r="J2734" t="str">
        <f>Raw_Claims_Data!J2733</f>
        <v>Boulder</v>
      </c>
      <c r="K2734" t="str">
        <f>Raw_Claims_Data!K2733</f>
        <v>CO</v>
      </c>
      <c r="L2734">
        <f>Raw_Claims_Data!L2733</f>
        <v>13</v>
      </c>
      <c r="M2734" t="str">
        <f>IF(Raw_Claims_Data!M2733="","N/A",Raw_Claims_Data!M2733)</f>
        <v>VNDR00509</v>
      </c>
      <c r="N2734" t="str">
        <f>Raw_Claims_Data!N2733</f>
        <v>AGENT00187</v>
      </c>
      <c r="O2734">
        <f>IF(Raw_Claims_Data!G2733="D",1,0)</f>
        <v>1</v>
      </c>
    </row>
    <row r="2735" spans="1:15" x14ac:dyDescent="0.35">
      <c r="A2735" t="str">
        <f>Raw_Claims_Data!A2734</f>
        <v>TXN00002731</v>
      </c>
      <c r="B2735" t="str">
        <f>TRIM(Raw_Claims_Data!B2734)</f>
        <v>Chris Williams</v>
      </c>
      <c r="C2735" t="str">
        <f>Raw_Claims_Data!C2734</f>
        <v>Travel</v>
      </c>
      <c r="D2735">
        <f>Raw_Claims_Data!D2734</f>
        <v>65.739999999999995</v>
      </c>
      <c r="E2735">
        <f>Raw_Claims_Data!E2734</f>
        <v>2000</v>
      </c>
      <c r="F2735" t="str">
        <f>Raw_Claims_Data!F2734</f>
        <v>CA</v>
      </c>
      <c r="G2735" t="str">
        <f>Raw_Claims_Data!G2734</f>
        <v>A</v>
      </c>
      <c r="H2735" t="str">
        <f>Raw_Claims_Data!H2734</f>
        <v>Major Loss</v>
      </c>
      <c r="I2735" t="str">
        <f>IF(Raw_Claims_Data!I2734="","None",Raw_Claims_Data!I2734)</f>
        <v>Police</v>
      </c>
      <c r="J2735" t="str">
        <f>Raw_Claims_Data!J2734</f>
        <v>Washington</v>
      </c>
      <c r="K2735" t="str">
        <f>Raw_Claims_Data!K2734</f>
        <v>DC</v>
      </c>
      <c r="L2735">
        <f>Raw_Claims_Data!L2734</f>
        <v>4</v>
      </c>
      <c r="M2735" t="str">
        <f>IF(Raw_Claims_Data!M2734="","N/A",Raw_Claims_Data!M2734)</f>
        <v>VNDR00406</v>
      </c>
      <c r="N2735" t="str">
        <f>Raw_Claims_Data!N2734</f>
        <v>AGENT00368</v>
      </c>
      <c r="O2735">
        <f>IF(Raw_Claims_Data!G2734="D",1,0)</f>
        <v>0</v>
      </c>
    </row>
    <row r="2736" spans="1:15" x14ac:dyDescent="0.35">
      <c r="A2736" t="str">
        <f>Raw_Claims_Data!A2735</f>
        <v>TXN00002732</v>
      </c>
      <c r="B2736" t="str">
        <f>TRIM(Raw_Claims_Data!B2735)</f>
        <v>Karen Roberts</v>
      </c>
      <c r="C2736" t="str">
        <f>Raw_Claims_Data!C2735</f>
        <v>Mobile</v>
      </c>
      <c r="D2736">
        <f>Raw_Claims_Data!D2735</f>
        <v>11.71</v>
      </c>
      <c r="E2736">
        <f>Raw_Claims_Data!E2735</f>
        <v>200</v>
      </c>
      <c r="F2736" t="str">
        <f>Raw_Claims_Data!F2735</f>
        <v>AL</v>
      </c>
      <c r="G2736" t="str">
        <f>Raw_Claims_Data!G2735</f>
        <v>A</v>
      </c>
      <c r="H2736" t="str">
        <f>Raw_Claims_Data!H2735</f>
        <v>Total Loss</v>
      </c>
      <c r="I2736" t="str">
        <f>IF(Raw_Claims_Data!I2735="","None",Raw_Claims_Data!I2735)</f>
        <v>Ambulance</v>
      </c>
      <c r="J2736" t="str">
        <f>Raw_Claims_Data!J2735</f>
        <v>Montgomery</v>
      </c>
      <c r="K2736" t="str">
        <f>Raw_Claims_Data!K2735</f>
        <v>AL</v>
      </c>
      <c r="L2736">
        <f>Raw_Claims_Data!L2735</f>
        <v>1</v>
      </c>
      <c r="M2736" t="str">
        <f>IF(Raw_Claims_Data!M2735="","N/A",Raw_Claims_Data!M2735)</f>
        <v>VNDR00406</v>
      </c>
      <c r="N2736" t="str">
        <f>Raw_Claims_Data!N2735</f>
        <v>AGENT00514</v>
      </c>
      <c r="O2736">
        <f>IF(Raw_Claims_Data!G2735="D",1,0)</f>
        <v>0</v>
      </c>
    </row>
    <row r="2737" spans="1:15" x14ac:dyDescent="0.35">
      <c r="A2737" t="str">
        <f>Raw_Claims_Data!A2736</f>
        <v>TXN00002733</v>
      </c>
      <c r="B2737" t="str">
        <f>TRIM(Raw_Claims_Data!B2736)</f>
        <v>Miguel Luttrell</v>
      </c>
      <c r="C2737" t="str">
        <f>Raw_Claims_Data!C2736</f>
        <v>Health</v>
      </c>
      <c r="D2737">
        <f>Raw_Claims_Data!D2736</f>
        <v>149.22</v>
      </c>
      <c r="E2737">
        <f>Raw_Claims_Data!E2736</f>
        <v>14000</v>
      </c>
      <c r="F2737" t="str">
        <f>Raw_Claims_Data!F2736</f>
        <v>FL</v>
      </c>
      <c r="G2737" t="str">
        <f>Raw_Claims_Data!G2736</f>
        <v>A</v>
      </c>
      <c r="H2737" t="str">
        <f>Raw_Claims_Data!H2736</f>
        <v>Major Loss</v>
      </c>
      <c r="I2737" t="str">
        <f>IF(Raw_Claims_Data!I2736="","None",Raw_Claims_Data!I2736)</f>
        <v>Other</v>
      </c>
      <c r="J2737" t="str">
        <f>Raw_Claims_Data!J2736</f>
        <v>Anchorage</v>
      </c>
      <c r="K2737" t="str">
        <f>Raw_Claims_Data!K2736</f>
        <v>AK</v>
      </c>
      <c r="L2737">
        <f>Raw_Claims_Data!L2736</f>
        <v>5</v>
      </c>
      <c r="M2737" t="str">
        <f>IF(Raw_Claims_Data!M2736="","N/A",Raw_Claims_Data!M2736)</f>
        <v>VNDR00316</v>
      </c>
      <c r="N2737" t="str">
        <f>Raw_Claims_Data!N2736</f>
        <v>AGENT01134</v>
      </c>
      <c r="O2737">
        <f>IF(Raw_Claims_Data!G2736="D",1,0)</f>
        <v>0</v>
      </c>
    </row>
    <row r="2738" spans="1:15" x14ac:dyDescent="0.35">
      <c r="A2738" t="str">
        <f>Raw_Claims_Data!A2737</f>
        <v>TXN00002734</v>
      </c>
      <c r="B2738" t="str">
        <f>TRIM(Raw_Claims_Data!B2737)</f>
        <v>Donald Rush</v>
      </c>
      <c r="C2738" t="str">
        <f>Raw_Claims_Data!C2737</f>
        <v>Property</v>
      </c>
      <c r="D2738">
        <f>Raw_Claims_Data!D2737</f>
        <v>106.72</v>
      </c>
      <c r="E2738">
        <f>Raw_Claims_Data!E2737</f>
        <v>21000</v>
      </c>
      <c r="F2738" t="str">
        <f>Raw_Claims_Data!F2737</f>
        <v>KY</v>
      </c>
      <c r="G2738" t="str">
        <f>Raw_Claims_Data!G2737</f>
        <v>A</v>
      </c>
      <c r="H2738" t="str">
        <f>Raw_Claims_Data!H2737</f>
        <v>Total Loss</v>
      </c>
      <c r="I2738" t="str">
        <f>IF(Raw_Claims_Data!I2737="","None",Raw_Claims_Data!I2737)</f>
        <v>Ambulance</v>
      </c>
      <c r="J2738" t="str">
        <f>Raw_Claims_Data!J2737</f>
        <v>New Haven</v>
      </c>
      <c r="K2738" t="str">
        <f>Raw_Claims_Data!K2737</f>
        <v>VT</v>
      </c>
      <c r="L2738">
        <f>Raw_Claims_Data!L2737</f>
        <v>7</v>
      </c>
      <c r="M2738" t="str">
        <f>IF(Raw_Claims_Data!M2737="","N/A",Raw_Claims_Data!M2737)</f>
        <v>VNDR00023</v>
      </c>
      <c r="N2738" t="str">
        <f>Raw_Claims_Data!N2737</f>
        <v>AGENT00234</v>
      </c>
      <c r="O2738">
        <f>IF(Raw_Claims_Data!G2737="D",1,0)</f>
        <v>0</v>
      </c>
    </row>
    <row r="2739" spans="1:15" x14ac:dyDescent="0.35">
      <c r="A2739" t="str">
        <f>Raw_Claims_Data!A2738</f>
        <v>TXN00002735</v>
      </c>
      <c r="B2739" t="str">
        <f>TRIM(Raw_Claims_Data!B2738)</f>
        <v>Lisa Mcmurray</v>
      </c>
      <c r="C2739" t="str">
        <f>Raw_Claims_Data!C2738</f>
        <v>Travel</v>
      </c>
      <c r="D2739">
        <f>Raw_Claims_Data!D2738</f>
        <v>84.45</v>
      </c>
      <c r="E2739">
        <f>Raw_Claims_Data!E2738</f>
        <v>4000</v>
      </c>
      <c r="F2739" t="str">
        <f>Raw_Claims_Data!F2738</f>
        <v>TN</v>
      </c>
      <c r="G2739" t="str">
        <f>Raw_Claims_Data!G2738</f>
        <v>A</v>
      </c>
      <c r="H2739" t="str">
        <f>Raw_Claims_Data!H2738</f>
        <v>Total Loss</v>
      </c>
      <c r="I2739" t="str">
        <f>IF(Raw_Claims_Data!I2738="","None",Raw_Claims_Data!I2738)</f>
        <v>Police</v>
      </c>
      <c r="J2739" t="str">
        <f>Raw_Claims_Data!J2738</f>
        <v>Manchester</v>
      </c>
      <c r="K2739" t="str">
        <f>Raw_Claims_Data!K2738</f>
        <v>CT</v>
      </c>
      <c r="L2739">
        <f>Raw_Claims_Data!L2738</f>
        <v>9</v>
      </c>
      <c r="M2739" t="str">
        <f>IF(Raw_Claims_Data!M2738="","N/A",Raw_Claims_Data!M2738)</f>
        <v>N/A</v>
      </c>
      <c r="N2739" t="str">
        <f>Raw_Claims_Data!N2738</f>
        <v>AGENT00977</v>
      </c>
      <c r="O2739">
        <f>IF(Raw_Claims_Data!G2738="D",1,0)</f>
        <v>0</v>
      </c>
    </row>
    <row r="2740" spans="1:15" x14ac:dyDescent="0.35">
      <c r="A2740" t="str">
        <f>Raw_Claims_Data!A2739</f>
        <v>TXN00002736</v>
      </c>
      <c r="B2740" t="str">
        <f>TRIM(Raw_Claims_Data!B2739)</f>
        <v>Mary Whitmore</v>
      </c>
      <c r="C2740" t="str">
        <f>Raw_Claims_Data!C2739</f>
        <v>Mobile</v>
      </c>
      <c r="D2740">
        <f>Raw_Claims_Data!D2739</f>
        <v>6.56</v>
      </c>
      <c r="E2740">
        <f>Raw_Claims_Data!E2739</f>
        <v>700</v>
      </c>
      <c r="F2740" t="str">
        <f>Raw_Claims_Data!F2739</f>
        <v>CT</v>
      </c>
      <c r="G2740" t="str">
        <f>Raw_Claims_Data!G2739</f>
        <v>A</v>
      </c>
      <c r="H2740" t="str">
        <f>Raw_Claims_Data!H2739</f>
        <v>Total Loss</v>
      </c>
      <c r="I2740" t="str">
        <f>IF(Raw_Claims_Data!I2739="","None",Raw_Claims_Data!I2739)</f>
        <v>Police</v>
      </c>
      <c r="J2740" t="str">
        <f>Raw_Claims_Data!J2739</f>
        <v>Washington</v>
      </c>
      <c r="K2740" t="str">
        <f>Raw_Claims_Data!K2739</f>
        <v>DC</v>
      </c>
      <c r="L2740">
        <f>Raw_Claims_Data!L2739</f>
        <v>1</v>
      </c>
      <c r="M2740" t="str">
        <f>IF(Raw_Claims_Data!M2739="","N/A",Raw_Claims_Data!M2739)</f>
        <v>VNDR00588</v>
      </c>
      <c r="N2740" t="str">
        <f>Raw_Claims_Data!N2739</f>
        <v>AGENT00901</v>
      </c>
      <c r="O2740">
        <f>IF(Raw_Claims_Data!G2739="D",1,0)</f>
        <v>0</v>
      </c>
    </row>
    <row r="2741" spans="1:15" x14ac:dyDescent="0.35">
      <c r="A2741" t="str">
        <f>Raw_Claims_Data!A2740</f>
        <v>TXN00002737</v>
      </c>
      <c r="B2741" t="str">
        <f>TRIM(Raw_Claims_Data!B2740)</f>
        <v>Debra Heyne</v>
      </c>
      <c r="C2741" t="str">
        <f>Raw_Claims_Data!C2740</f>
        <v>Motor</v>
      </c>
      <c r="D2741">
        <f>Raw_Claims_Data!D2740</f>
        <v>82.39</v>
      </c>
      <c r="E2741">
        <f>Raw_Claims_Data!E2740</f>
        <v>7000</v>
      </c>
      <c r="F2741" t="str">
        <f>Raw_Claims_Data!F2740</f>
        <v>AL</v>
      </c>
      <c r="G2741" t="str">
        <f>Raw_Claims_Data!G2740</f>
        <v>A</v>
      </c>
      <c r="H2741" t="str">
        <f>Raw_Claims_Data!H2740</f>
        <v>Major Loss</v>
      </c>
      <c r="I2741" t="str">
        <f>IF(Raw_Claims_Data!I2740="","None",Raw_Claims_Data!I2740)</f>
        <v>Police</v>
      </c>
      <c r="J2741" t="str">
        <f>Raw_Claims_Data!J2740</f>
        <v>Manchester</v>
      </c>
      <c r="K2741" t="str">
        <f>Raw_Claims_Data!K2740</f>
        <v>CT</v>
      </c>
      <c r="L2741">
        <f>Raw_Claims_Data!L2740</f>
        <v>4</v>
      </c>
      <c r="M2741" t="str">
        <f>IF(Raw_Claims_Data!M2740="","N/A",Raw_Claims_Data!M2740)</f>
        <v>N/A</v>
      </c>
      <c r="N2741" t="str">
        <f>Raw_Claims_Data!N2740</f>
        <v>AGENT01141</v>
      </c>
      <c r="O2741">
        <f>IF(Raw_Claims_Data!G2740="D",1,0)</f>
        <v>0</v>
      </c>
    </row>
    <row r="2742" spans="1:15" x14ac:dyDescent="0.35">
      <c r="A2742" t="str">
        <f>Raw_Claims_Data!A2741</f>
        <v>TXN00002738</v>
      </c>
      <c r="B2742" t="str">
        <f>TRIM(Raw_Claims_Data!B2741)</f>
        <v>David Gambrel</v>
      </c>
      <c r="C2742" t="str">
        <f>Raw_Claims_Data!C2741</f>
        <v>Travel</v>
      </c>
      <c r="D2742">
        <f>Raw_Claims_Data!D2741</f>
        <v>96.88</v>
      </c>
      <c r="E2742">
        <f>Raw_Claims_Data!E2741</f>
        <v>1000</v>
      </c>
      <c r="F2742" t="str">
        <f>Raw_Claims_Data!F2741</f>
        <v>VT</v>
      </c>
      <c r="G2742" t="str">
        <f>Raw_Claims_Data!G2741</f>
        <v>A</v>
      </c>
      <c r="H2742" t="str">
        <f>Raw_Claims_Data!H2741</f>
        <v>Major Loss</v>
      </c>
      <c r="I2742" t="str">
        <f>IF(Raw_Claims_Data!I2741="","None",Raw_Claims_Data!I2741)</f>
        <v>None</v>
      </c>
      <c r="J2742" t="str">
        <f>Raw_Claims_Data!J2741</f>
        <v>Pleasanton</v>
      </c>
      <c r="K2742" t="str">
        <f>Raw_Claims_Data!K2741</f>
        <v>CA</v>
      </c>
      <c r="L2742">
        <f>Raw_Claims_Data!L2741</f>
        <v>2</v>
      </c>
      <c r="M2742" t="str">
        <f>IF(Raw_Claims_Data!M2741="","N/A",Raw_Claims_Data!M2741)</f>
        <v>VNDR00402</v>
      </c>
      <c r="N2742" t="str">
        <f>Raw_Claims_Data!N2741</f>
        <v>AGENT00368</v>
      </c>
      <c r="O2742">
        <f>IF(Raw_Claims_Data!G2741="D",1,0)</f>
        <v>0</v>
      </c>
    </row>
    <row r="2743" spans="1:15" x14ac:dyDescent="0.35">
      <c r="A2743" t="str">
        <f>Raw_Claims_Data!A2742</f>
        <v>TXN00002739</v>
      </c>
      <c r="B2743" t="str">
        <f>TRIM(Raw_Claims_Data!B2742)</f>
        <v>Johnson Bradway</v>
      </c>
      <c r="C2743" t="str">
        <f>Raw_Claims_Data!C2742</f>
        <v>Health</v>
      </c>
      <c r="D2743">
        <f>Raw_Claims_Data!D2742</f>
        <v>118.26</v>
      </c>
      <c r="E2743">
        <f>Raw_Claims_Data!E2742</f>
        <v>2000</v>
      </c>
      <c r="F2743" t="str">
        <f>Raw_Claims_Data!F2742</f>
        <v>MA</v>
      </c>
      <c r="G2743" t="str">
        <f>Raw_Claims_Data!G2742</f>
        <v>A</v>
      </c>
      <c r="H2743" t="str">
        <f>Raw_Claims_Data!H2742</f>
        <v>Total Loss</v>
      </c>
      <c r="I2743" t="str">
        <f>IF(Raw_Claims_Data!I2742="","None",Raw_Claims_Data!I2742)</f>
        <v>None</v>
      </c>
      <c r="J2743" t="str">
        <f>Raw_Claims_Data!J2742</f>
        <v>Washington</v>
      </c>
      <c r="K2743" t="str">
        <f>Raw_Claims_Data!K2742</f>
        <v>DC</v>
      </c>
      <c r="L2743">
        <f>Raw_Claims_Data!L2742</f>
        <v>2</v>
      </c>
      <c r="M2743" t="str">
        <f>IF(Raw_Claims_Data!M2742="","N/A",Raw_Claims_Data!M2742)</f>
        <v>VNDR00018</v>
      </c>
      <c r="N2743" t="str">
        <f>Raw_Claims_Data!N2742</f>
        <v>AGENT00776</v>
      </c>
      <c r="O2743">
        <f>IF(Raw_Claims_Data!G2742="D",1,0)</f>
        <v>0</v>
      </c>
    </row>
    <row r="2744" spans="1:15" x14ac:dyDescent="0.35">
      <c r="A2744" t="str">
        <f>Raw_Claims_Data!A2743</f>
        <v>TXN00002740</v>
      </c>
      <c r="B2744" t="str">
        <f>TRIM(Raw_Claims_Data!B2743)</f>
        <v>James Peters</v>
      </c>
      <c r="C2744" t="str">
        <f>Raw_Claims_Data!C2743</f>
        <v>Travel</v>
      </c>
      <c r="D2744">
        <f>Raw_Claims_Data!D2743</f>
        <v>61.3</v>
      </c>
      <c r="E2744">
        <f>Raw_Claims_Data!E2743</f>
        <v>2000</v>
      </c>
      <c r="F2744" t="str">
        <f>Raw_Claims_Data!F2743</f>
        <v>FL</v>
      </c>
      <c r="G2744" t="str">
        <f>Raw_Claims_Data!G2743</f>
        <v>A</v>
      </c>
      <c r="H2744" t="str">
        <f>Raw_Claims_Data!H2743</f>
        <v>Total Loss</v>
      </c>
      <c r="I2744" t="str">
        <f>IF(Raw_Claims_Data!I2743="","None",Raw_Claims_Data!I2743)</f>
        <v>Police</v>
      </c>
      <c r="J2744" t="str">
        <f>Raw_Claims_Data!J2743</f>
        <v>Arvada</v>
      </c>
      <c r="K2744" t="str">
        <f>Raw_Claims_Data!K2743</f>
        <v>CO</v>
      </c>
      <c r="L2744">
        <f>Raw_Claims_Data!L2743</f>
        <v>10</v>
      </c>
      <c r="M2744" t="str">
        <f>IF(Raw_Claims_Data!M2743="","N/A",Raw_Claims_Data!M2743)</f>
        <v>N/A</v>
      </c>
      <c r="N2744" t="str">
        <f>Raw_Claims_Data!N2743</f>
        <v>AGENT00504</v>
      </c>
      <c r="O2744">
        <f>IF(Raw_Claims_Data!G2743="D",1,0)</f>
        <v>0</v>
      </c>
    </row>
    <row r="2745" spans="1:15" x14ac:dyDescent="0.35">
      <c r="A2745" t="str">
        <f>Raw_Claims_Data!A2744</f>
        <v>TXN00002741</v>
      </c>
      <c r="B2745" t="str">
        <f>TRIM(Raw_Claims_Data!B2744)</f>
        <v>Rafael Nance</v>
      </c>
      <c r="C2745" t="str">
        <f>Raw_Claims_Data!C2744</f>
        <v>Property</v>
      </c>
      <c r="D2745">
        <f>Raw_Claims_Data!D2744</f>
        <v>130.65</v>
      </c>
      <c r="E2745">
        <f>Raw_Claims_Data!E2744</f>
        <v>37000</v>
      </c>
      <c r="F2745" t="str">
        <f>Raw_Claims_Data!F2744</f>
        <v>TN</v>
      </c>
      <c r="G2745" t="str">
        <f>Raw_Claims_Data!G2744</f>
        <v>A</v>
      </c>
      <c r="H2745" t="str">
        <f>Raw_Claims_Data!H2744</f>
        <v>Total Loss</v>
      </c>
      <c r="I2745" t="str">
        <f>IF(Raw_Claims_Data!I2744="","None",Raw_Claims_Data!I2744)</f>
        <v>None</v>
      </c>
      <c r="J2745" t="str">
        <f>Raw_Claims_Data!J2744</f>
        <v>Washington</v>
      </c>
      <c r="K2745" t="str">
        <f>Raw_Claims_Data!K2744</f>
        <v>DC</v>
      </c>
      <c r="L2745">
        <f>Raw_Claims_Data!L2744</f>
        <v>9</v>
      </c>
      <c r="M2745" t="str">
        <f>IF(Raw_Claims_Data!M2744="","N/A",Raw_Claims_Data!M2744)</f>
        <v>N/A</v>
      </c>
      <c r="N2745" t="str">
        <f>Raw_Claims_Data!N2744</f>
        <v>AGENT00610</v>
      </c>
      <c r="O2745">
        <f>IF(Raw_Claims_Data!G2744="D",1,0)</f>
        <v>0</v>
      </c>
    </row>
    <row r="2746" spans="1:15" x14ac:dyDescent="0.35">
      <c r="A2746" t="str">
        <f>Raw_Claims_Data!A2745</f>
        <v>TXN00002742</v>
      </c>
      <c r="B2746" t="str">
        <f>TRIM(Raw_Claims_Data!B2745)</f>
        <v>Ora Boyer</v>
      </c>
      <c r="C2746" t="str">
        <f>Raw_Claims_Data!C2745</f>
        <v>Health</v>
      </c>
      <c r="D2746">
        <f>Raw_Claims_Data!D2745</f>
        <v>183.75</v>
      </c>
      <c r="E2746">
        <f>Raw_Claims_Data!E2745</f>
        <v>14000</v>
      </c>
      <c r="F2746" t="str">
        <f>Raw_Claims_Data!F2745</f>
        <v>AZ</v>
      </c>
      <c r="G2746" t="str">
        <f>Raw_Claims_Data!G2745</f>
        <v>A</v>
      </c>
      <c r="H2746" t="str">
        <f>Raw_Claims_Data!H2745</f>
        <v>Minor Loss</v>
      </c>
      <c r="I2746" t="str">
        <f>IF(Raw_Claims_Data!I2745="","None",Raw_Claims_Data!I2745)</f>
        <v>Ambulance</v>
      </c>
      <c r="J2746" t="str">
        <f>Raw_Claims_Data!J2745</f>
        <v>Montgomery</v>
      </c>
      <c r="K2746" t="str">
        <f>Raw_Claims_Data!K2745</f>
        <v>AL</v>
      </c>
      <c r="L2746">
        <f>Raw_Claims_Data!L2745</f>
        <v>3</v>
      </c>
      <c r="M2746" t="str">
        <f>IF(Raw_Claims_Data!M2745="","N/A",Raw_Claims_Data!M2745)</f>
        <v>VNDR00275</v>
      </c>
      <c r="N2746" t="str">
        <f>Raw_Claims_Data!N2745</f>
        <v>AGENT00408</v>
      </c>
      <c r="O2746">
        <f>IF(Raw_Claims_Data!G2745="D",1,0)</f>
        <v>0</v>
      </c>
    </row>
    <row r="2747" spans="1:15" x14ac:dyDescent="0.35">
      <c r="A2747" t="str">
        <f>Raw_Claims_Data!A2746</f>
        <v>TXN00002743</v>
      </c>
      <c r="B2747" t="str">
        <f>TRIM(Raw_Claims_Data!B2746)</f>
        <v>Matthew Covey</v>
      </c>
      <c r="C2747" t="str">
        <f>Raw_Claims_Data!C2746</f>
        <v>Mobile</v>
      </c>
      <c r="D2747">
        <f>Raw_Claims_Data!D2746</f>
        <v>10.85</v>
      </c>
      <c r="E2747">
        <f>Raw_Claims_Data!E2746</f>
        <v>600</v>
      </c>
      <c r="F2747" t="str">
        <f>Raw_Claims_Data!F2746</f>
        <v>MA</v>
      </c>
      <c r="G2747" t="str">
        <f>Raw_Claims_Data!G2746</f>
        <v>D</v>
      </c>
      <c r="H2747" t="str">
        <f>Raw_Claims_Data!H2746</f>
        <v>Minor Loss</v>
      </c>
      <c r="I2747" t="str">
        <f>IF(Raw_Claims_Data!I2746="","None",Raw_Claims_Data!I2746)</f>
        <v>Ambulance</v>
      </c>
      <c r="J2747" t="str">
        <f>Raw_Claims_Data!J2746</f>
        <v>Louisville</v>
      </c>
      <c r="K2747" t="str">
        <f>Raw_Claims_Data!K2746</f>
        <v>KY</v>
      </c>
      <c r="L2747">
        <f>Raw_Claims_Data!L2746</f>
        <v>20</v>
      </c>
      <c r="M2747" t="str">
        <f>IF(Raw_Claims_Data!M2746="","N/A",Raw_Claims_Data!M2746)</f>
        <v>VNDR00169</v>
      </c>
      <c r="N2747" t="str">
        <f>Raw_Claims_Data!N2746</f>
        <v>AGENT00691</v>
      </c>
      <c r="O2747">
        <f>IF(Raw_Claims_Data!G2746="D",1,0)</f>
        <v>1</v>
      </c>
    </row>
    <row r="2748" spans="1:15" x14ac:dyDescent="0.35">
      <c r="A2748" t="str">
        <f>Raw_Claims_Data!A2747</f>
        <v>TXN00002744</v>
      </c>
      <c r="B2748" t="str">
        <f>TRIM(Raw_Claims_Data!B2747)</f>
        <v>David Sommer</v>
      </c>
      <c r="C2748" t="str">
        <f>Raw_Claims_Data!C2747</f>
        <v>Property</v>
      </c>
      <c r="D2748">
        <f>Raw_Claims_Data!D2747</f>
        <v>126.01</v>
      </c>
      <c r="E2748">
        <f>Raw_Claims_Data!E2747</f>
        <v>22000</v>
      </c>
      <c r="F2748" t="str">
        <f>Raw_Claims_Data!F2747</f>
        <v>DC</v>
      </c>
      <c r="G2748" t="str">
        <f>Raw_Claims_Data!G2747</f>
        <v>D</v>
      </c>
      <c r="H2748" t="str">
        <f>Raw_Claims_Data!H2747</f>
        <v>Total Loss</v>
      </c>
      <c r="I2748" t="str">
        <f>IF(Raw_Claims_Data!I2747="","None",Raw_Claims_Data!I2747)</f>
        <v>Ambulance</v>
      </c>
      <c r="J2748" t="str">
        <f>Raw_Claims_Data!J2747</f>
        <v>Panama City Beach</v>
      </c>
      <c r="K2748" t="str">
        <f>Raw_Claims_Data!K2747</f>
        <v>FL</v>
      </c>
      <c r="L2748">
        <f>Raw_Claims_Data!L2747</f>
        <v>3</v>
      </c>
      <c r="M2748" t="str">
        <f>IF(Raw_Claims_Data!M2747="","N/A",Raw_Claims_Data!M2747)</f>
        <v>VNDR00523</v>
      </c>
      <c r="N2748" t="str">
        <f>Raw_Claims_Data!N2747</f>
        <v>AGENT00686</v>
      </c>
      <c r="O2748">
        <f>IF(Raw_Claims_Data!G2747="D",1,0)</f>
        <v>1</v>
      </c>
    </row>
    <row r="2749" spans="1:15" x14ac:dyDescent="0.35">
      <c r="A2749" t="str">
        <f>Raw_Claims_Data!A2748</f>
        <v>TXN00002745</v>
      </c>
      <c r="B2749" t="str">
        <f>TRIM(Raw_Claims_Data!B2748)</f>
        <v>Diana Earl</v>
      </c>
      <c r="C2749" t="str">
        <f>Raw_Claims_Data!C2748</f>
        <v>Travel</v>
      </c>
      <c r="D2749">
        <f>Raw_Claims_Data!D2748</f>
        <v>55.12</v>
      </c>
      <c r="E2749">
        <f>Raw_Claims_Data!E2748</f>
        <v>2000</v>
      </c>
      <c r="F2749" t="str">
        <f>Raw_Claims_Data!F2748</f>
        <v>AR</v>
      </c>
      <c r="G2749" t="str">
        <f>Raw_Claims_Data!G2748</f>
        <v>A</v>
      </c>
      <c r="H2749" t="str">
        <f>Raw_Claims_Data!H2748</f>
        <v>Minor Loss</v>
      </c>
      <c r="I2749" t="str">
        <f>IF(Raw_Claims_Data!I2748="","None",Raw_Claims_Data!I2748)</f>
        <v>Police</v>
      </c>
      <c r="J2749" t="str">
        <f>Raw_Claims_Data!J2748</f>
        <v>Washington</v>
      </c>
      <c r="K2749" t="str">
        <f>Raw_Claims_Data!K2748</f>
        <v>DC</v>
      </c>
      <c r="L2749">
        <f>Raw_Claims_Data!L2748</f>
        <v>22</v>
      </c>
      <c r="M2749" t="str">
        <f>IF(Raw_Claims_Data!M2748="","N/A",Raw_Claims_Data!M2748)</f>
        <v>VNDR00086</v>
      </c>
      <c r="N2749" t="str">
        <f>Raw_Claims_Data!N2748</f>
        <v>AGENT00075</v>
      </c>
      <c r="O2749">
        <f>IF(Raw_Claims_Data!G2748="D",1,0)</f>
        <v>0</v>
      </c>
    </row>
    <row r="2750" spans="1:15" x14ac:dyDescent="0.35">
      <c r="A2750" t="str">
        <f>Raw_Claims_Data!A2749</f>
        <v>TXN00002746</v>
      </c>
      <c r="B2750" t="str">
        <f>TRIM(Raw_Claims_Data!B2749)</f>
        <v>Jennifer Snelgrove</v>
      </c>
      <c r="C2750" t="str">
        <f>Raw_Claims_Data!C2749</f>
        <v>Health</v>
      </c>
      <c r="D2750">
        <f>Raw_Claims_Data!D2749</f>
        <v>126.16</v>
      </c>
      <c r="E2750">
        <f>Raw_Claims_Data!E2749</f>
        <v>14000</v>
      </c>
      <c r="F2750" t="str">
        <f>Raw_Claims_Data!F2749</f>
        <v>DC</v>
      </c>
      <c r="G2750" t="str">
        <f>Raw_Claims_Data!G2749</f>
        <v>A</v>
      </c>
      <c r="H2750" t="str">
        <f>Raw_Claims_Data!H2749</f>
        <v>Minor Loss</v>
      </c>
      <c r="I2750" t="str">
        <f>IF(Raw_Claims_Data!I2749="","None",Raw_Claims_Data!I2749)</f>
        <v>Police</v>
      </c>
      <c r="J2750" t="str">
        <f>Raw_Claims_Data!J2749</f>
        <v>Nashville</v>
      </c>
      <c r="K2750" t="str">
        <f>Raw_Claims_Data!K2749</f>
        <v>TN</v>
      </c>
      <c r="L2750">
        <f>Raw_Claims_Data!L2749</f>
        <v>15</v>
      </c>
      <c r="M2750" t="str">
        <f>IF(Raw_Claims_Data!M2749="","N/A",Raw_Claims_Data!M2749)</f>
        <v>VNDR00183</v>
      </c>
      <c r="N2750" t="str">
        <f>Raw_Claims_Data!N2749</f>
        <v>AGENT01070</v>
      </c>
      <c r="O2750">
        <f>IF(Raw_Claims_Data!G2749="D",1,0)</f>
        <v>0</v>
      </c>
    </row>
    <row r="2751" spans="1:15" x14ac:dyDescent="0.35">
      <c r="A2751" t="str">
        <f>Raw_Claims_Data!A2750</f>
        <v>TXN00002747</v>
      </c>
      <c r="B2751" t="str">
        <f>TRIM(Raw_Claims_Data!B2750)</f>
        <v>Jeannette Harris</v>
      </c>
      <c r="C2751" t="str">
        <f>Raw_Claims_Data!C2750</f>
        <v>Health</v>
      </c>
      <c r="D2751">
        <f>Raw_Claims_Data!D2750</f>
        <v>183.63</v>
      </c>
      <c r="E2751">
        <f>Raw_Claims_Data!E2750</f>
        <v>6000</v>
      </c>
      <c r="F2751" t="str">
        <f>Raw_Claims_Data!F2750</f>
        <v>CO</v>
      </c>
      <c r="G2751" t="str">
        <f>Raw_Claims_Data!G2750</f>
        <v>A</v>
      </c>
      <c r="H2751" t="str">
        <f>Raw_Claims_Data!H2750</f>
        <v>Total Loss</v>
      </c>
      <c r="I2751" t="str">
        <f>IF(Raw_Claims_Data!I2750="","None",Raw_Claims_Data!I2750)</f>
        <v>Police</v>
      </c>
      <c r="J2751" t="str">
        <f>Raw_Claims_Data!J2750</f>
        <v>Montgomery</v>
      </c>
      <c r="K2751" t="str">
        <f>Raw_Claims_Data!K2750</f>
        <v>AL</v>
      </c>
      <c r="L2751">
        <f>Raw_Claims_Data!L2750</f>
        <v>8</v>
      </c>
      <c r="M2751" t="str">
        <f>IF(Raw_Claims_Data!M2750="","N/A",Raw_Claims_Data!M2750)</f>
        <v>N/A</v>
      </c>
      <c r="N2751" t="str">
        <f>Raw_Claims_Data!N2750</f>
        <v>AGENT00207</v>
      </c>
      <c r="O2751">
        <f>IF(Raw_Claims_Data!G2750="D",1,0)</f>
        <v>0</v>
      </c>
    </row>
    <row r="2752" spans="1:15" x14ac:dyDescent="0.35">
      <c r="A2752" t="str">
        <f>Raw_Claims_Data!A2751</f>
        <v>TXN00002748</v>
      </c>
      <c r="B2752" t="str">
        <f>TRIM(Raw_Claims_Data!B2751)</f>
        <v>Archie Semaan</v>
      </c>
      <c r="C2752" t="str">
        <f>Raw_Claims_Data!C2751</f>
        <v>Health</v>
      </c>
      <c r="D2752">
        <f>Raw_Claims_Data!D2751</f>
        <v>110.26</v>
      </c>
      <c r="E2752">
        <f>Raw_Claims_Data!E2751</f>
        <v>10000</v>
      </c>
      <c r="F2752" t="str">
        <f>Raw_Claims_Data!F2751</f>
        <v>DC</v>
      </c>
      <c r="G2752" t="str">
        <f>Raw_Claims_Data!G2751</f>
        <v>A</v>
      </c>
      <c r="H2752" t="str">
        <f>Raw_Claims_Data!H2751</f>
        <v>Total Loss</v>
      </c>
      <c r="I2752" t="str">
        <f>IF(Raw_Claims_Data!I2751="","None",Raw_Claims_Data!I2751)</f>
        <v>Police</v>
      </c>
      <c r="J2752" t="str">
        <f>Raw_Claims_Data!J2751</f>
        <v>Alameda</v>
      </c>
      <c r="K2752" t="str">
        <f>Raw_Claims_Data!K2751</f>
        <v>CA</v>
      </c>
      <c r="L2752">
        <f>Raw_Claims_Data!L2751</f>
        <v>7</v>
      </c>
      <c r="M2752" t="str">
        <f>IF(Raw_Claims_Data!M2751="","N/A",Raw_Claims_Data!M2751)</f>
        <v>N/A</v>
      </c>
      <c r="N2752" t="str">
        <f>Raw_Claims_Data!N2751</f>
        <v>AGENT01103</v>
      </c>
      <c r="O2752">
        <f>IF(Raw_Claims_Data!G2751="D",1,0)</f>
        <v>0</v>
      </c>
    </row>
    <row r="2753" spans="1:15" x14ac:dyDescent="0.35">
      <c r="A2753" t="str">
        <f>Raw_Claims_Data!A2752</f>
        <v>TXN00002749</v>
      </c>
      <c r="B2753" t="str">
        <f>TRIM(Raw_Claims_Data!B2752)</f>
        <v>Gerald Davila</v>
      </c>
      <c r="C2753" t="str">
        <f>Raw_Claims_Data!C2752</f>
        <v>Health</v>
      </c>
      <c r="D2753">
        <f>Raw_Claims_Data!D2752</f>
        <v>116.31</v>
      </c>
      <c r="E2753">
        <f>Raw_Claims_Data!E2752</f>
        <v>6000</v>
      </c>
      <c r="F2753" t="str">
        <f>Raw_Claims_Data!F2752</f>
        <v>CT</v>
      </c>
      <c r="G2753" t="str">
        <f>Raw_Claims_Data!G2752</f>
        <v>A</v>
      </c>
      <c r="H2753" t="str">
        <f>Raw_Claims_Data!H2752</f>
        <v>Total Loss</v>
      </c>
      <c r="I2753" t="str">
        <f>IF(Raw_Claims_Data!I2752="","None",Raw_Claims_Data!I2752)</f>
        <v>Police</v>
      </c>
      <c r="J2753" t="str">
        <f>Raw_Claims_Data!J2752</f>
        <v>Edmond</v>
      </c>
      <c r="K2753" t="str">
        <f>Raw_Claims_Data!K2752</f>
        <v>OK</v>
      </c>
      <c r="L2753">
        <f>Raw_Claims_Data!L2752</f>
        <v>14</v>
      </c>
      <c r="M2753" t="str">
        <f>IF(Raw_Claims_Data!M2752="","N/A",Raw_Claims_Data!M2752)</f>
        <v>N/A</v>
      </c>
      <c r="N2753" t="str">
        <f>Raw_Claims_Data!N2752</f>
        <v>AGENT00796</v>
      </c>
      <c r="O2753">
        <f>IF(Raw_Claims_Data!G2752="D",1,0)</f>
        <v>0</v>
      </c>
    </row>
    <row r="2754" spans="1:15" x14ac:dyDescent="0.35">
      <c r="A2754" t="str">
        <f>Raw_Claims_Data!A2753</f>
        <v>TXN00002750</v>
      </c>
      <c r="B2754" t="str">
        <f>TRIM(Raw_Claims_Data!B2753)</f>
        <v>Dianna Nieland</v>
      </c>
      <c r="C2754" t="str">
        <f>Raw_Claims_Data!C2753</f>
        <v>Property</v>
      </c>
      <c r="D2754">
        <f>Raw_Claims_Data!D2753</f>
        <v>92.58</v>
      </c>
      <c r="E2754">
        <f>Raw_Claims_Data!E2753</f>
        <v>19000</v>
      </c>
      <c r="F2754" t="str">
        <f>Raw_Claims_Data!F2753</f>
        <v>KY</v>
      </c>
      <c r="G2754" t="str">
        <f>Raw_Claims_Data!G2753</f>
        <v>A</v>
      </c>
      <c r="H2754" t="str">
        <f>Raw_Claims_Data!H2753</f>
        <v>Major Loss</v>
      </c>
      <c r="I2754" t="str">
        <f>IF(Raw_Claims_Data!I2753="","None",Raw_Claims_Data!I2753)</f>
        <v>Police</v>
      </c>
      <c r="J2754" t="str">
        <f>Raw_Claims_Data!J2753</f>
        <v>Manchester</v>
      </c>
      <c r="K2754" t="str">
        <f>Raw_Claims_Data!K2753</f>
        <v>CT</v>
      </c>
      <c r="L2754">
        <f>Raw_Claims_Data!L2753</f>
        <v>21</v>
      </c>
      <c r="M2754" t="str">
        <f>IF(Raw_Claims_Data!M2753="","N/A",Raw_Claims_Data!M2753)</f>
        <v>N/A</v>
      </c>
      <c r="N2754" t="str">
        <f>Raw_Claims_Data!N2753</f>
        <v>AGENT00398</v>
      </c>
      <c r="O2754">
        <f>IF(Raw_Claims_Data!G2753="D",1,0)</f>
        <v>0</v>
      </c>
    </row>
    <row r="2755" spans="1:15" x14ac:dyDescent="0.35">
      <c r="A2755" t="str">
        <f>Raw_Claims_Data!A2754</f>
        <v>TXN00002751</v>
      </c>
      <c r="B2755" t="str">
        <f>TRIM(Raw_Claims_Data!B2754)</f>
        <v>Miranda Masella</v>
      </c>
      <c r="C2755" t="str">
        <f>Raw_Claims_Data!C2754</f>
        <v>Mobile</v>
      </c>
      <c r="D2755">
        <f>Raw_Claims_Data!D2754</f>
        <v>7.48</v>
      </c>
      <c r="E2755">
        <f>Raw_Claims_Data!E2754</f>
        <v>700</v>
      </c>
      <c r="F2755" t="str">
        <f>Raw_Claims_Data!F2754</f>
        <v>CO</v>
      </c>
      <c r="G2755" t="str">
        <f>Raw_Claims_Data!G2754</f>
        <v>A</v>
      </c>
      <c r="H2755" t="str">
        <f>Raw_Claims_Data!H2754</f>
        <v>Total Loss</v>
      </c>
      <c r="I2755" t="str">
        <f>IF(Raw_Claims_Data!I2754="","None",Raw_Claims_Data!I2754)</f>
        <v>Police</v>
      </c>
      <c r="J2755" t="str">
        <f>Raw_Claims_Data!J2754</f>
        <v>Panama City</v>
      </c>
      <c r="K2755" t="str">
        <f>Raw_Claims_Data!K2754</f>
        <v>FL</v>
      </c>
      <c r="L2755">
        <f>Raw_Claims_Data!L2754</f>
        <v>5</v>
      </c>
      <c r="M2755" t="str">
        <f>IF(Raw_Claims_Data!M2754="","N/A",Raw_Claims_Data!M2754)</f>
        <v>VNDR00585</v>
      </c>
      <c r="N2755" t="str">
        <f>Raw_Claims_Data!N2754</f>
        <v>AGENT00280</v>
      </c>
      <c r="O2755">
        <f>IF(Raw_Claims_Data!G2754="D",1,0)</f>
        <v>0</v>
      </c>
    </row>
    <row r="2756" spans="1:15" x14ac:dyDescent="0.35">
      <c r="A2756" t="str">
        <f>Raw_Claims_Data!A2755</f>
        <v>TXN00002752</v>
      </c>
      <c r="B2756" t="str">
        <f>TRIM(Raw_Claims_Data!B2755)</f>
        <v>Michael Otoole</v>
      </c>
      <c r="C2756" t="str">
        <f>Raw_Claims_Data!C2755</f>
        <v>Travel</v>
      </c>
      <c r="D2756">
        <f>Raw_Claims_Data!D2755</f>
        <v>64.87</v>
      </c>
      <c r="E2756">
        <f>Raw_Claims_Data!E2755</f>
        <v>1000</v>
      </c>
      <c r="F2756" t="str">
        <f>Raw_Claims_Data!F2755</f>
        <v>TN</v>
      </c>
      <c r="G2756" t="str">
        <f>Raw_Claims_Data!G2755</f>
        <v>A</v>
      </c>
      <c r="H2756" t="str">
        <f>Raw_Claims_Data!H2755</f>
        <v>Total Loss</v>
      </c>
      <c r="I2756" t="str">
        <f>IF(Raw_Claims_Data!I2755="","None",Raw_Claims_Data!I2755)</f>
        <v>Ambulance</v>
      </c>
      <c r="J2756" t="str">
        <f>Raw_Claims_Data!J2755</f>
        <v>Nashville</v>
      </c>
      <c r="K2756" t="str">
        <f>Raw_Claims_Data!K2755</f>
        <v>TN</v>
      </c>
      <c r="L2756">
        <f>Raw_Claims_Data!L2755</f>
        <v>14</v>
      </c>
      <c r="M2756" t="str">
        <f>IF(Raw_Claims_Data!M2755="","N/A",Raw_Claims_Data!M2755)</f>
        <v>VNDR00343</v>
      </c>
      <c r="N2756" t="str">
        <f>Raw_Claims_Data!N2755</f>
        <v>AGENT01014</v>
      </c>
      <c r="O2756">
        <f>IF(Raw_Claims_Data!G2755="D",1,0)</f>
        <v>0</v>
      </c>
    </row>
    <row r="2757" spans="1:15" x14ac:dyDescent="0.35">
      <c r="A2757" t="str">
        <f>Raw_Claims_Data!A2756</f>
        <v>TXN00002753</v>
      </c>
      <c r="B2757" t="str">
        <f>TRIM(Raw_Claims_Data!B2756)</f>
        <v>Delores Spengler</v>
      </c>
      <c r="C2757" t="str">
        <f>Raw_Claims_Data!C2756</f>
        <v>Property</v>
      </c>
      <c r="D2757">
        <f>Raw_Claims_Data!D2756</f>
        <v>121.91</v>
      </c>
      <c r="E2757">
        <f>Raw_Claims_Data!E2756</f>
        <v>34000</v>
      </c>
      <c r="F2757" t="str">
        <f>Raw_Claims_Data!F2756</f>
        <v>AL</v>
      </c>
      <c r="G2757" t="str">
        <f>Raw_Claims_Data!G2756</f>
        <v>A</v>
      </c>
      <c r="H2757" t="str">
        <f>Raw_Claims_Data!H2756</f>
        <v>Major Loss</v>
      </c>
      <c r="I2757" t="str">
        <f>IF(Raw_Claims_Data!I2756="","None",Raw_Claims_Data!I2756)</f>
        <v>Police</v>
      </c>
      <c r="J2757" t="str">
        <f>Raw_Claims_Data!J2756</f>
        <v>Panama City Beach</v>
      </c>
      <c r="K2757" t="str">
        <f>Raw_Claims_Data!K2756</f>
        <v>FL</v>
      </c>
      <c r="L2757">
        <f>Raw_Claims_Data!L2756</f>
        <v>12</v>
      </c>
      <c r="M2757" t="str">
        <f>IF(Raw_Claims_Data!M2756="","N/A",Raw_Claims_Data!M2756)</f>
        <v>VNDR00427</v>
      </c>
      <c r="N2757" t="str">
        <f>Raw_Claims_Data!N2756</f>
        <v>AGENT00327</v>
      </c>
      <c r="O2757">
        <f>IF(Raw_Claims_Data!G2756="D",1,0)</f>
        <v>0</v>
      </c>
    </row>
    <row r="2758" spans="1:15" x14ac:dyDescent="0.35">
      <c r="A2758" t="str">
        <f>Raw_Claims_Data!A2757</f>
        <v>TXN00002754</v>
      </c>
      <c r="B2758" t="str">
        <f>TRIM(Raw_Claims_Data!B2757)</f>
        <v>Christine Washington</v>
      </c>
      <c r="C2758" t="str">
        <f>Raw_Claims_Data!C2757</f>
        <v>Property</v>
      </c>
      <c r="D2758">
        <f>Raw_Claims_Data!D2757</f>
        <v>156.38999999999999</v>
      </c>
      <c r="E2758">
        <f>Raw_Claims_Data!E2757</f>
        <v>19000</v>
      </c>
      <c r="F2758" t="str">
        <f>Raw_Claims_Data!F2757</f>
        <v>TN</v>
      </c>
      <c r="G2758" t="str">
        <f>Raw_Claims_Data!G2757</f>
        <v>A</v>
      </c>
      <c r="H2758" t="str">
        <f>Raw_Claims_Data!H2757</f>
        <v>Total Loss</v>
      </c>
      <c r="I2758" t="str">
        <f>IF(Raw_Claims_Data!I2757="","None",Raw_Claims_Data!I2757)</f>
        <v>Other</v>
      </c>
      <c r="J2758" t="str">
        <f>Raw_Claims_Data!J2757</f>
        <v>Glendale</v>
      </c>
      <c r="K2758" t="str">
        <f>Raw_Claims_Data!K2757</f>
        <v>AZ</v>
      </c>
      <c r="L2758">
        <f>Raw_Claims_Data!L2757</f>
        <v>16</v>
      </c>
      <c r="M2758" t="str">
        <f>IF(Raw_Claims_Data!M2757="","N/A",Raw_Claims_Data!M2757)</f>
        <v>VNDR00470</v>
      </c>
      <c r="N2758" t="str">
        <f>Raw_Claims_Data!N2757</f>
        <v>AGENT00359</v>
      </c>
      <c r="O2758">
        <f>IF(Raw_Claims_Data!G2757="D",1,0)</f>
        <v>0</v>
      </c>
    </row>
    <row r="2759" spans="1:15" x14ac:dyDescent="0.35">
      <c r="A2759" t="str">
        <f>Raw_Claims_Data!A2758</f>
        <v>TXN00002755</v>
      </c>
      <c r="B2759" t="str">
        <f>TRIM(Raw_Claims_Data!B2758)</f>
        <v>Alvaro Mcglade</v>
      </c>
      <c r="C2759" t="str">
        <f>Raw_Claims_Data!C2758</f>
        <v>Mobile</v>
      </c>
      <c r="D2759">
        <f>Raw_Claims_Data!D2758</f>
        <v>7.76</v>
      </c>
      <c r="E2759">
        <f>Raw_Claims_Data!E2758</f>
        <v>500</v>
      </c>
      <c r="F2759" t="str">
        <f>Raw_Claims_Data!F2758</f>
        <v>TN</v>
      </c>
      <c r="G2759" t="str">
        <f>Raw_Claims_Data!G2758</f>
        <v>A</v>
      </c>
      <c r="H2759" t="str">
        <f>Raw_Claims_Data!H2758</f>
        <v>Minor Loss</v>
      </c>
      <c r="I2759" t="str">
        <f>IF(Raw_Claims_Data!I2758="","None",Raw_Claims_Data!I2758)</f>
        <v>Police</v>
      </c>
      <c r="J2759" t="str">
        <f>Raw_Claims_Data!J2758</f>
        <v>Suisun City</v>
      </c>
      <c r="K2759" t="str">
        <f>Raw_Claims_Data!K2758</f>
        <v>CA</v>
      </c>
      <c r="L2759">
        <f>Raw_Claims_Data!L2758</f>
        <v>21</v>
      </c>
      <c r="M2759" t="str">
        <f>IF(Raw_Claims_Data!M2758="","N/A",Raw_Claims_Data!M2758)</f>
        <v>N/A</v>
      </c>
      <c r="N2759" t="str">
        <f>Raw_Claims_Data!N2758</f>
        <v>AGENT00662</v>
      </c>
      <c r="O2759">
        <f>IF(Raw_Claims_Data!G2758="D",1,0)</f>
        <v>0</v>
      </c>
    </row>
    <row r="2760" spans="1:15" x14ac:dyDescent="0.35">
      <c r="A2760" t="str">
        <f>Raw_Claims_Data!A2759</f>
        <v>TXN00002756</v>
      </c>
      <c r="B2760" t="str">
        <f>TRIM(Raw_Claims_Data!B2759)</f>
        <v>Ellen Bond</v>
      </c>
      <c r="C2760" t="str">
        <f>Raw_Claims_Data!C2759</f>
        <v>Property</v>
      </c>
      <c r="D2760">
        <f>Raw_Claims_Data!D2759</f>
        <v>135.25</v>
      </c>
      <c r="E2760">
        <f>Raw_Claims_Data!E2759</f>
        <v>18000</v>
      </c>
      <c r="F2760" t="str">
        <f>Raw_Claims_Data!F2759</f>
        <v>DC</v>
      </c>
      <c r="G2760" t="str">
        <f>Raw_Claims_Data!G2759</f>
        <v>A</v>
      </c>
      <c r="H2760" t="str">
        <f>Raw_Claims_Data!H2759</f>
        <v>Minor Loss</v>
      </c>
      <c r="I2760" t="str">
        <f>IF(Raw_Claims_Data!I2759="","None",Raw_Claims_Data!I2759)</f>
        <v>None</v>
      </c>
      <c r="J2760" t="str">
        <f>Raw_Claims_Data!J2759</f>
        <v>Linthicum Heights</v>
      </c>
      <c r="K2760" t="str">
        <f>Raw_Claims_Data!K2759</f>
        <v>MD</v>
      </c>
      <c r="L2760">
        <f>Raw_Claims_Data!L2759</f>
        <v>14</v>
      </c>
      <c r="M2760" t="str">
        <f>IF(Raw_Claims_Data!M2759="","N/A",Raw_Claims_Data!M2759)</f>
        <v>VNDR00168</v>
      </c>
      <c r="N2760" t="str">
        <f>Raw_Claims_Data!N2759</f>
        <v>AGENT00005</v>
      </c>
      <c r="O2760">
        <f>IF(Raw_Claims_Data!G2759="D",1,0)</f>
        <v>0</v>
      </c>
    </row>
    <row r="2761" spans="1:15" x14ac:dyDescent="0.35">
      <c r="A2761" t="str">
        <f>Raw_Claims_Data!A2760</f>
        <v>TXN00002757</v>
      </c>
      <c r="B2761" t="str">
        <f>TRIM(Raw_Claims_Data!B2760)</f>
        <v>Earl Barnett</v>
      </c>
      <c r="C2761" t="str">
        <f>Raw_Claims_Data!C2760</f>
        <v>Motor</v>
      </c>
      <c r="D2761">
        <f>Raw_Claims_Data!D2760</f>
        <v>88.91</v>
      </c>
      <c r="E2761">
        <f>Raw_Claims_Data!E2760</f>
        <v>6000</v>
      </c>
      <c r="F2761" t="str">
        <f>Raw_Claims_Data!F2760</f>
        <v>CT</v>
      </c>
      <c r="G2761" t="str">
        <f>Raw_Claims_Data!G2760</f>
        <v>A</v>
      </c>
      <c r="H2761" t="str">
        <f>Raw_Claims_Data!H2760</f>
        <v>Total Loss</v>
      </c>
      <c r="I2761" t="str">
        <f>IF(Raw_Claims_Data!I2760="","None",Raw_Claims_Data!I2760)</f>
        <v>Police</v>
      </c>
      <c r="J2761" t="str">
        <f>Raw_Claims_Data!J2760</f>
        <v>Nashville</v>
      </c>
      <c r="K2761" t="str">
        <f>Raw_Claims_Data!K2760</f>
        <v>TN</v>
      </c>
      <c r="L2761">
        <f>Raw_Claims_Data!L2760</f>
        <v>19</v>
      </c>
      <c r="M2761" t="str">
        <f>IF(Raw_Claims_Data!M2760="","N/A",Raw_Claims_Data!M2760)</f>
        <v>VNDR00593</v>
      </c>
      <c r="N2761" t="str">
        <f>Raw_Claims_Data!N2760</f>
        <v>AGENT01092</v>
      </c>
      <c r="O2761">
        <f>IF(Raw_Claims_Data!G2760="D",1,0)</f>
        <v>0</v>
      </c>
    </row>
    <row r="2762" spans="1:15" x14ac:dyDescent="0.35">
      <c r="A2762" t="str">
        <f>Raw_Claims_Data!A2761</f>
        <v>TXN00002758</v>
      </c>
      <c r="B2762" t="str">
        <f>TRIM(Raw_Claims_Data!B2761)</f>
        <v>Adelle Lizarraga</v>
      </c>
      <c r="C2762" t="str">
        <f>Raw_Claims_Data!C2761</f>
        <v>Life</v>
      </c>
      <c r="D2762">
        <f>Raw_Claims_Data!D2761</f>
        <v>99.58</v>
      </c>
      <c r="E2762">
        <f>Raw_Claims_Data!E2761</f>
        <v>69000</v>
      </c>
      <c r="F2762" t="str">
        <f>Raw_Claims_Data!F2761</f>
        <v>FL</v>
      </c>
      <c r="G2762" t="str">
        <f>Raw_Claims_Data!G2761</f>
        <v>A</v>
      </c>
      <c r="H2762" t="str">
        <f>Raw_Claims_Data!H2761</f>
        <v>Minor Loss</v>
      </c>
      <c r="I2762" t="str">
        <f>IF(Raw_Claims_Data!I2761="","None",Raw_Claims_Data!I2761)</f>
        <v>None</v>
      </c>
      <c r="J2762" t="str">
        <f>Raw_Claims_Data!J2761</f>
        <v>Watertown</v>
      </c>
      <c r="K2762" t="str">
        <f>Raw_Claims_Data!K2761</f>
        <v>MA</v>
      </c>
      <c r="L2762">
        <f>Raw_Claims_Data!L2761</f>
        <v>21</v>
      </c>
      <c r="M2762" t="str">
        <f>IF(Raw_Claims_Data!M2761="","N/A",Raw_Claims_Data!M2761)</f>
        <v>VNDR00579</v>
      </c>
      <c r="N2762" t="str">
        <f>Raw_Claims_Data!N2761</f>
        <v>AGENT00797</v>
      </c>
      <c r="O2762">
        <f>IF(Raw_Claims_Data!G2761="D",1,0)</f>
        <v>0</v>
      </c>
    </row>
    <row r="2763" spans="1:15" x14ac:dyDescent="0.35">
      <c r="A2763" t="str">
        <f>Raw_Claims_Data!A2762</f>
        <v>TXN00002759</v>
      </c>
      <c r="B2763" t="str">
        <f>TRIM(Raw_Claims_Data!B2762)</f>
        <v>Dominick Croom</v>
      </c>
      <c r="C2763" t="str">
        <f>Raw_Claims_Data!C2762</f>
        <v>Motor</v>
      </c>
      <c r="D2763">
        <f>Raw_Claims_Data!D2762</f>
        <v>125.98</v>
      </c>
      <c r="E2763">
        <f>Raw_Claims_Data!E2762</f>
        <v>10000</v>
      </c>
      <c r="F2763" t="str">
        <f>Raw_Claims_Data!F2762</f>
        <v>GA</v>
      </c>
      <c r="G2763" t="str">
        <f>Raw_Claims_Data!G2762</f>
        <v>A</v>
      </c>
      <c r="H2763" t="str">
        <f>Raw_Claims_Data!H2762</f>
        <v>Major Loss</v>
      </c>
      <c r="I2763" t="str">
        <f>IF(Raw_Claims_Data!I2762="","None",Raw_Claims_Data!I2762)</f>
        <v>Ambulance</v>
      </c>
      <c r="J2763" t="str">
        <f>Raw_Claims_Data!J2762</f>
        <v>Montgomery</v>
      </c>
      <c r="K2763" t="str">
        <f>Raw_Claims_Data!K2762</f>
        <v>AL</v>
      </c>
      <c r="L2763">
        <f>Raw_Claims_Data!L2762</f>
        <v>20</v>
      </c>
      <c r="M2763" t="str">
        <f>IF(Raw_Claims_Data!M2762="","N/A",Raw_Claims_Data!M2762)</f>
        <v>VNDR00549</v>
      </c>
      <c r="N2763" t="str">
        <f>Raw_Claims_Data!N2762</f>
        <v>AGENT00975</v>
      </c>
      <c r="O2763">
        <f>IF(Raw_Claims_Data!G2762="D",1,0)</f>
        <v>0</v>
      </c>
    </row>
    <row r="2764" spans="1:15" x14ac:dyDescent="0.35">
      <c r="A2764" t="str">
        <f>Raw_Claims_Data!A2763</f>
        <v>TXN00002760</v>
      </c>
      <c r="B2764" t="str">
        <f>TRIM(Raw_Claims_Data!B2763)</f>
        <v>Virginia Bennett</v>
      </c>
      <c r="C2764" t="str">
        <f>Raw_Claims_Data!C2763</f>
        <v>Travel</v>
      </c>
      <c r="D2764">
        <f>Raw_Claims_Data!D2763</f>
        <v>74.34</v>
      </c>
      <c r="E2764">
        <f>Raw_Claims_Data!E2763</f>
        <v>3000</v>
      </c>
      <c r="F2764" t="str">
        <f>Raw_Claims_Data!F2763</f>
        <v>VT</v>
      </c>
      <c r="G2764" t="str">
        <f>Raw_Claims_Data!G2763</f>
        <v>A</v>
      </c>
      <c r="H2764" t="str">
        <f>Raw_Claims_Data!H2763</f>
        <v>Minor Loss</v>
      </c>
      <c r="I2764" t="str">
        <f>IF(Raw_Claims_Data!I2763="","None",Raw_Claims_Data!I2763)</f>
        <v>Other</v>
      </c>
      <c r="J2764" t="str">
        <f>Raw_Claims_Data!J2763</f>
        <v>Panama City</v>
      </c>
      <c r="K2764" t="str">
        <f>Raw_Claims_Data!K2763</f>
        <v>FL</v>
      </c>
      <c r="L2764">
        <f>Raw_Claims_Data!L2763</f>
        <v>5</v>
      </c>
      <c r="M2764" t="str">
        <f>IF(Raw_Claims_Data!M2763="","N/A",Raw_Claims_Data!M2763)</f>
        <v>VNDR00520</v>
      </c>
      <c r="N2764" t="str">
        <f>Raw_Claims_Data!N2763</f>
        <v>AGENT00504</v>
      </c>
      <c r="O2764">
        <f>IF(Raw_Claims_Data!G2763="D",1,0)</f>
        <v>0</v>
      </c>
    </row>
    <row r="2765" spans="1:15" x14ac:dyDescent="0.35">
      <c r="A2765" t="str">
        <f>Raw_Claims_Data!A2764</f>
        <v>TXN00002761</v>
      </c>
      <c r="B2765" t="str">
        <f>TRIM(Raw_Claims_Data!B2764)</f>
        <v>Bernard Dillow</v>
      </c>
      <c r="C2765" t="str">
        <f>Raw_Claims_Data!C2764</f>
        <v>Property</v>
      </c>
      <c r="D2765">
        <f>Raw_Claims_Data!D2764</f>
        <v>135.93</v>
      </c>
      <c r="E2765">
        <f>Raw_Claims_Data!E2764</f>
        <v>26000</v>
      </c>
      <c r="F2765" t="str">
        <f>Raw_Claims_Data!F2764</f>
        <v>AR</v>
      </c>
      <c r="G2765" t="str">
        <f>Raw_Claims_Data!G2764</f>
        <v>D</v>
      </c>
      <c r="H2765" t="str">
        <f>Raw_Claims_Data!H2764</f>
        <v>Total Loss</v>
      </c>
      <c r="I2765" t="str">
        <f>IF(Raw_Claims_Data!I2764="","None",Raw_Claims_Data!I2764)</f>
        <v>Ambulance</v>
      </c>
      <c r="J2765" t="str">
        <f>Raw_Claims_Data!J2764</f>
        <v>Nashville</v>
      </c>
      <c r="K2765" t="str">
        <f>Raw_Claims_Data!K2764</f>
        <v>TN</v>
      </c>
      <c r="L2765">
        <f>Raw_Claims_Data!L2764</f>
        <v>23</v>
      </c>
      <c r="M2765" t="str">
        <f>IF(Raw_Claims_Data!M2764="","N/A",Raw_Claims_Data!M2764)</f>
        <v>VNDR00206</v>
      </c>
      <c r="N2765" t="str">
        <f>Raw_Claims_Data!N2764</f>
        <v>AGENT00703</v>
      </c>
      <c r="O2765">
        <f>IF(Raw_Claims_Data!G2764="D",1,0)</f>
        <v>1</v>
      </c>
    </row>
    <row r="2766" spans="1:15" x14ac:dyDescent="0.35">
      <c r="A2766" t="str">
        <f>Raw_Claims_Data!A2765</f>
        <v>TXN00002762</v>
      </c>
      <c r="B2766" t="str">
        <f>TRIM(Raw_Claims_Data!B2765)</f>
        <v>Beau Hayes</v>
      </c>
      <c r="C2766" t="str">
        <f>Raw_Claims_Data!C2765</f>
        <v>Travel</v>
      </c>
      <c r="D2766">
        <f>Raw_Claims_Data!D2765</f>
        <v>86.01</v>
      </c>
      <c r="E2766">
        <f>Raw_Claims_Data!E2765</f>
        <v>3000</v>
      </c>
      <c r="F2766" t="str">
        <f>Raw_Claims_Data!F2765</f>
        <v>MA</v>
      </c>
      <c r="G2766" t="str">
        <f>Raw_Claims_Data!G2765</f>
        <v>A</v>
      </c>
      <c r="H2766" t="str">
        <f>Raw_Claims_Data!H2765</f>
        <v>Major Loss</v>
      </c>
      <c r="I2766" t="str">
        <f>IF(Raw_Claims_Data!I2765="","None",Raw_Claims_Data!I2765)</f>
        <v>Ambulance</v>
      </c>
      <c r="J2766" t="str">
        <f>Raw_Claims_Data!J2765</f>
        <v>Nashville</v>
      </c>
      <c r="K2766" t="str">
        <f>Raw_Claims_Data!K2765</f>
        <v>TN</v>
      </c>
      <c r="L2766">
        <f>Raw_Claims_Data!L2765</f>
        <v>5</v>
      </c>
      <c r="M2766" t="str">
        <f>IF(Raw_Claims_Data!M2765="","N/A",Raw_Claims_Data!M2765)</f>
        <v>VNDR00382</v>
      </c>
      <c r="N2766" t="str">
        <f>Raw_Claims_Data!N2765</f>
        <v>AGENT00776</v>
      </c>
      <c r="O2766">
        <f>IF(Raw_Claims_Data!G2765="D",1,0)</f>
        <v>0</v>
      </c>
    </row>
    <row r="2767" spans="1:15" x14ac:dyDescent="0.35">
      <c r="A2767" t="str">
        <f>Raw_Claims_Data!A2766</f>
        <v>TXN00002763</v>
      </c>
      <c r="B2767" t="str">
        <f>TRIM(Raw_Claims_Data!B2766)</f>
        <v>John Saunders</v>
      </c>
      <c r="C2767" t="str">
        <f>Raw_Claims_Data!C2766</f>
        <v>Mobile</v>
      </c>
      <c r="D2767">
        <f>Raw_Claims_Data!D2766</f>
        <v>6.95</v>
      </c>
      <c r="E2767">
        <f>Raw_Claims_Data!E2766</f>
        <v>700</v>
      </c>
      <c r="F2767" t="str">
        <f>Raw_Claims_Data!F2766</f>
        <v>OK</v>
      </c>
      <c r="G2767" t="str">
        <f>Raw_Claims_Data!G2766</f>
        <v>A</v>
      </c>
      <c r="H2767" t="str">
        <f>Raw_Claims_Data!H2766</f>
        <v>Total Loss</v>
      </c>
      <c r="I2767" t="str">
        <f>IF(Raw_Claims_Data!I2766="","None",Raw_Claims_Data!I2766)</f>
        <v>Ambulance</v>
      </c>
      <c r="J2767" t="str">
        <f>Raw_Claims_Data!J2766</f>
        <v>Choctaw</v>
      </c>
      <c r="K2767" t="str">
        <f>Raw_Claims_Data!K2766</f>
        <v>OK</v>
      </c>
      <c r="L2767">
        <f>Raw_Claims_Data!L2766</f>
        <v>19</v>
      </c>
      <c r="M2767" t="str">
        <f>IF(Raw_Claims_Data!M2766="","N/A",Raw_Claims_Data!M2766)</f>
        <v>N/A</v>
      </c>
      <c r="N2767" t="str">
        <f>Raw_Claims_Data!N2766</f>
        <v>AGENT00845</v>
      </c>
      <c r="O2767">
        <f>IF(Raw_Claims_Data!G2766="D",1,0)</f>
        <v>0</v>
      </c>
    </row>
    <row r="2768" spans="1:15" x14ac:dyDescent="0.35">
      <c r="A2768" t="str">
        <f>Raw_Claims_Data!A2767</f>
        <v>TXN00002764</v>
      </c>
      <c r="B2768" t="str">
        <f>TRIM(Raw_Claims_Data!B2767)</f>
        <v>Elenore Campbell</v>
      </c>
      <c r="C2768" t="str">
        <f>Raw_Claims_Data!C2767</f>
        <v>Motor</v>
      </c>
      <c r="D2768">
        <f>Raw_Claims_Data!D2767</f>
        <v>78.430000000000007</v>
      </c>
      <c r="E2768">
        <f>Raw_Claims_Data!E2767</f>
        <v>8000</v>
      </c>
      <c r="F2768" t="str">
        <f>Raw_Claims_Data!F2767</f>
        <v>TN</v>
      </c>
      <c r="G2768" t="str">
        <f>Raw_Claims_Data!G2767</f>
        <v>A</v>
      </c>
      <c r="H2768" t="str">
        <f>Raw_Claims_Data!H2767</f>
        <v>Major Loss</v>
      </c>
      <c r="I2768" t="str">
        <f>IF(Raw_Claims_Data!I2767="","None",Raw_Claims_Data!I2767)</f>
        <v>Police</v>
      </c>
      <c r="J2768" t="str">
        <f>Raw_Claims_Data!J2767</f>
        <v>Anchorage</v>
      </c>
      <c r="K2768" t="str">
        <f>Raw_Claims_Data!K2767</f>
        <v>AK</v>
      </c>
      <c r="L2768">
        <f>Raw_Claims_Data!L2767</f>
        <v>14</v>
      </c>
      <c r="M2768" t="str">
        <f>IF(Raw_Claims_Data!M2767="","N/A",Raw_Claims_Data!M2767)</f>
        <v>N/A</v>
      </c>
      <c r="N2768" t="str">
        <f>Raw_Claims_Data!N2767</f>
        <v>AGENT00799</v>
      </c>
      <c r="O2768">
        <f>IF(Raw_Claims_Data!G2767="D",1,0)</f>
        <v>0</v>
      </c>
    </row>
    <row r="2769" spans="1:15" x14ac:dyDescent="0.35">
      <c r="A2769" t="str">
        <f>Raw_Claims_Data!A2768</f>
        <v>TXN00002765</v>
      </c>
      <c r="B2769" t="str">
        <f>TRIM(Raw_Claims_Data!B2768)</f>
        <v>Lydia Burden</v>
      </c>
      <c r="C2769" t="str">
        <f>Raw_Claims_Data!C2768</f>
        <v>Travel</v>
      </c>
      <c r="D2769">
        <f>Raw_Claims_Data!D2768</f>
        <v>82.54</v>
      </c>
      <c r="E2769">
        <f>Raw_Claims_Data!E2768</f>
        <v>4000</v>
      </c>
      <c r="F2769" t="str">
        <f>Raw_Claims_Data!F2768</f>
        <v>AL</v>
      </c>
      <c r="G2769" t="str">
        <f>Raw_Claims_Data!G2768</f>
        <v>A</v>
      </c>
      <c r="H2769" t="str">
        <f>Raw_Claims_Data!H2768</f>
        <v>Major Loss</v>
      </c>
      <c r="I2769" t="str">
        <f>IF(Raw_Claims_Data!I2768="","None",Raw_Claims_Data!I2768)</f>
        <v>Ambulance</v>
      </c>
      <c r="J2769" t="str">
        <f>Raw_Claims_Data!J2768</f>
        <v>Pooler</v>
      </c>
      <c r="K2769" t="str">
        <f>Raw_Claims_Data!K2768</f>
        <v>GA</v>
      </c>
      <c r="L2769">
        <f>Raw_Claims_Data!L2768</f>
        <v>19</v>
      </c>
      <c r="M2769" t="str">
        <f>IF(Raw_Claims_Data!M2768="","N/A",Raw_Claims_Data!M2768)</f>
        <v>N/A</v>
      </c>
      <c r="N2769" t="str">
        <f>Raw_Claims_Data!N2768</f>
        <v>AGENT00890</v>
      </c>
      <c r="O2769">
        <f>IF(Raw_Claims_Data!G2768="D",1,0)</f>
        <v>0</v>
      </c>
    </row>
    <row r="2770" spans="1:15" x14ac:dyDescent="0.35">
      <c r="A2770" t="str">
        <f>Raw_Claims_Data!A2769</f>
        <v>TXN00002766</v>
      </c>
      <c r="B2770" t="str">
        <f>TRIM(Raw_Claims_Data!B2769)</f>
        <v>Lisa Henriksen</v>
      </c>
      <c r="C2770" t="str">
        <f>Raw_Claims_Data!C2769</f>
        <v>Health</v>
      </c>
      <c r="D2770">
        <f>Raw_Claims_Data!D2769</f>
        <v>170.3</v>
      </c>
      <c r="E2770">
        <f>Raw_Claims_Data!E2769</f>
        <v>4000</v>
      </c>
      <c r="F2770" t="str">
        <f>Raw_Claims_Data!F2769</f>
        <v>FL</v>
      </c>
      <c r="G2770" t="str">
        <f>Raw_Claims_Data!G2769</f>
        <v>A</v>
      </c>
      <c r="H2770" t="str">
        <f>Raw_Claims_Data!H2769</f>
        <v>Minor Loss</v>
      </c>
      <c r="I2770" t="str">
        <f>IF(Raw_Claims_Data!I2769="","None",Raw_Claims_Data!I2769)</f>
        <v>Police</v>
      </c>
      <c r="J2770" t="str">
        <f>Raw_Claims_Data!J2769</f>
        <v>Tollhouse</v>
      </c>
      <c r="K2770" t="str">
        <f>Raw_Claims_Data!K2769</f>
        <v>CA</v>
      </c>
      <c r="L2770">
        <f>Raw_Claims_Data!L2769</f>
        <v>17</v>
      </c>
      <c r="M2770" t="str">
        <f>IF(Raw_Claims_Data!M2769="","N/A",Raw_Claims_Data!M2769)</f>
        <v>VNDR00323</v>
      </c>
      <c r="N2770" t="str">
        <f>Raw_Claims_Data!N2769</f>
        <v>AGENT01122</v>
      </c>
      <c r="O2770">
        <f>IF(Raw_Claims_Data!G2769="D",1,0)</f>
        <v>0</v>
      </c>
    </row>
    <row r="2771" spans="1:15" x14ac:dyDescent="0.35">
      <c r="A2771" t="str">
        <f>Raw_Claims_Data!A2770</f>
        <v>TXN00002767</v>
      </c>
      <c r="B2771" t="str">
        <f>TRIM(Raw_Claims_Data!B2770)</f>
        <v>Pamela Gossard</v>
      </c>
      <c r="C2771" t="str">
        <f>Raw_Claims_Data!C2770</f>
        <v>Motor</v>
      </c>
      <c r="D2771">
        <f>Raw_Claims_Data!D2770</f>
        <v>113.19</v>
      </c>
      <c r="E2771">
        <f>Raw_Claims_Data!E2770</f>
        <v>5000</v>
      </c>
      <c r="F2771" t="str">
        <f>Raw_Claims_Data!F2770</f>
        <v>CT</v>
      </c>
      <c r="G2771" t="str">
        <f>Raw_Claims_Data!G2770</f>
        <v>A</v>
      </c>
      <c r="H2771" t="str">
        <f>Raw_Claims_Data!H2770</f>
        <v>Total Loss</v>
      </c>
      <c r="I2771" t="str">
        <f>IF(Raw_Claims_Data!I2770="","None",Raw_Claims_Data!I2770)</f>
        <v>Police</v>
      </c>
      <c r="J2771" t="str">
        <f>Raw_Claims_Data!J2770</f>
        <v>Glen Burnie</v>
      </c>
      <c r="K2771" t="str">
        <f>Raw_Claims_Data!K2770</f>
        <v>MD</v>
      </c>
      <c r="L2771">
        <f>Raw_Claims_Data!L2770</f>
        <v>4</v>
      </c>
      <c r="M2771" t="str">
        <f>IF(Raw_Claims_Data!M2770="","N/A",Raw_Claims_Data!M2770)</f>
        <v>VNDR00179</v>
      </c>
      <c r="N2771" t="str">
        <f>Raw_Claims_Data!N2770</f>
        <v>AGENT00385</v>
      </c>
      <c r="O2771">
        <f>IF(Raw_Claims_Data!G2770="D",1,0)</f>
        <v>0</v>
      </c>
    </row>
    <row r="2772" spans="1:15" x14ac:dyDescent="0.35">
      <c r="A2772" t="str">
        <f>Raw_Claims_Data!A2771</f>
        <v>TXN00002768</v>
      </c>
      <c r="B2772" t="str">
        <f>TRIM(Raw_Claims_Data!B2771)</f>
        <v>James Monath</v>
      </c>
      <c r="C2772" t="str">
        <f>Raw_Claims_Data!C2771</f>
        <v>Property</v>
      </c>
      <c r="D2772">
        <f>Raw_Claims_Data!D2771</f>
        <v>159.12</v>
      </c>
      <c r="E2772">
        <f>Raw_Claims_Data!E2771</f>
        <v>40000</v>
      </c>
      <c r="F2772" t="str">
        <f>Raw_Claims_Data!F2771</f>
        <v>AL</v>
      </c>
      <c r="G2772" t="str">
        <f>Raw_Claims_Data!G2771</f>
        <v>A</v>
      </c>
      <c r="H2772" t="str">
        <f>Raw_Claims_Data!H2771</f>
        <v>Major Loss</v>
      </c>
      <c r="I2772" t="str">
        <f>IF(Raw_Claims_Data!I2771="","None",Raw_Claims_Data!I2771)</f>
        <v>Other</v>
      </c>
      <c r="J2772" t="str">
        <f>Raw_Claims_Data!J2771</f>
        <v>Pooler</v>
      </c>
      <c r="K2772" t="str">
        <f>Raw_Claims_Data!K2771</f>
        <v>GA</v>
      </c>
      <c r="L2772">
        <f>Raw_Claims_Data!L2771</f>
        <v>7</v>
      </c>
      <c r="M2772" t="str">
        <f>IF(Raw_Claims_Data!M2771="","N/A",Raw_Claims_Data!M2771)</f>
        <v>VNDR00037</v>
      </c>
      <c r="N2772" t="str">
        <f>Raw_Claims_Data!N2771</f>
        <v>AGENT00465</v>
      </c>
      <c r="O2772">
        <f>IF(Raw_Claims_Data!G2771="D",1,0)</f>
        <v>0</v>
      </c>
    </row>
    <row r="2773" spans="1:15" x14ac:dyDescent="0.35">
      <c r="A2773" t="str">
        <f>Raw_Claims_Data!A2772</f>
        <v>TXN00002769</v>
      </c>
      <c r="B2773" t="str">
        <f>TRIM(Raw_Claims_Data!B2772)</f>
        <v>Tommy Polk</v>
      </c>
      <c r="C2773" t="str">
        <f>Raw_Claims_Data!C2772</f>
        <v>Health</v>
      </c>
      <c r="D2773">
        <f>Raw_Claims_Data!D2772</f>
        <v>134.38999999999999</v>
      </c>
      <c r="E2773">
        <f>Raw_Claims_Data!E2772</f>
        <v>5000</v>
      </c>
      <c r="F2773" t="str">
        <f>Raw_Claims_Data!F2772</f>
        <v>AK</v>
      </c>
      <c r="G2773" t="str">
        <f>Raw_Claims_Data!G2772</f>
        <v>A</v>
      </c>
      <c r="H2773" t="str">
        <f>Raw_Claims_Data!H2772</f>
        <v>Minor Loss</v>
      </c>
      <c r="I2773" t="str">
        <f>IF(Raw_Claims_Data!I2772="","None",Raw_Claims_Data!I2772)</f>
        <v>None</v>
      </c>
      <c r="J2773" t="str">
        <f>Raw_Claims_Data!J2772</f>
        <v>Annapolis</v>
      </c>
      <c r="K2773" t="str">
        <f>Raw_Claims_Data!K2772</f>
        <v>MD</v>
      </c>
      <c r="L2773">
        <f>Raw_Claims_Data!L2772</f>
        <v>14</v>
      </c>
      <c r="M2773" t="str">
        <f>IF(Raw_Claims_Data!M2772="","N/A",Raw_Claims_Data!M2772)</f>
        <v>VNDR00066</v>
      </c>
      <c r="N2773" t="str">
        <f>Raw_Claims_Data!N2772</f>
        <v>AGENT01025</v>
      </c>
      <c r="O2773">
        <f>IF(Raw_Claims_Data!G2772="D",1,0)</f>
        <v>0</v>
      </c>
    </row>
    <row r="2774" spans="1:15" x14ac:dyDescent="0.35">
      <c r="A2774" t="str">
        <f>Raw_Claims_Data!A2773</f>
        <v>TXN00002770</v>
      </c>
      <c r="B2774" t="str">
        <f>TRIM(Raw_Claims_Data!B2773)</f>
        <v>Joseph Henderson</v>
      </c>
      <c r="C2774" t="str">
        <f>Raw_Claims_Data!C2773</f>
        <v>Property</v>
      </c>
      <c r="D2774">
        <f>Raw_Claims_Data!D2773</f>
        <v>86.61</v>
      </c>
      <c r="E2774">
        <f>Raw_Claims_Data!E2773</f>
        <v>22000</v>
      </c>
      <c r="F2774" t="str">
        <f>Raw_Claims_Data!F2773</f>
        <v>AR</v>
      </c>
      <c r="G2774" t="str">
        <f>Raw_Claims_Data!G2773</f>
        <v>A</v>
      </c>
      <c r="H2774" t="str">
        <f>Raw_Claims_Data!H2773</f>
        <v>Minor Loss</v>
      </c>
      <c r="I2774" t="str">
        <f>IF(Raw_Claims_Data!I2773="","None",Raw_Claims_Data!I2773)</f>
        <v>Police</v>
      </c>
      <c r="J2774" t="str">
        <f>Raw_Claims_Data!J2773</f>
        <v>Panama City</v>
      </c>
      <c r="K2774" t="str">
        <f>Raw_Claims_Data!K2773</f>
        <v>FL</v>
      </c>
      <c r="L2774">
        <f>Raw_Claims_Data!L2773</f>
        <v>7</v>
      </c>
      <c r="M2774" t="str">
        <f>IF(Raw_Claims_Data!M2773="","N/A",Raw_Claims_Data!M2773)</f>
        <v>VNDR00306</v>
      </c>
      <c r="N2774" t="str">
        <f>Raw_Claims_Data!N2773</f>
        <v>AGENT00835</v>
      </c>
      <c r="O2774">
        <f>IF(Raw_Claims_Data!G2773="D",1,0)</f>
        <v>0</v>
      </c>
    </row>
    <row r="2775" spans="1:15" x14ac:dyDescent="0.35">
      <c r="A2775" t="str">
        <f>Raw_Claims_Data!A2774</f>
        <v>TXN00002771</v>
      </c>
      <c r="B2775" t="str">
        <f>TRIM(Raw_Claims_Data!B2774)</f>
        <v>George Whitley</v>
      </c>
      <c r="C2775" t="str">
        <f>Raw_Claims_Data!C2774</f>
        <v>Travel</v>
      </c>
      <c r="D2775">
        <f>Raw_Claims_Data!D2774</f>
        <v>87.19</v>
      </c>
      <c r="E2775">
        <f>Raw_Claims_Data!E2774</f>
        <v>2000</v>
      </c>
      <c r="F2775" t="str">
        <f>Raw_Claims_Data!F2774</f>
        <v>MA</v>
      </c>
      <c r="G2775" t="str">
        <f>Raw_Claims_Data!G2774</f>
        <v>A</v>
      </c>
      <c r="H2775" t="str">
        <f>Raw_Claims_Data!H2774</f>
        <v>Minor Loss</v>
      </c>
      <c r="I2775" t="str">
        <f>IF(Raw_Claims_Data!I2774="","None",Raw_Claims_Data!I2774)</f>
        <v>Ambulance</v>
      </c>
      <c r="J2775" t="str">
        <f>Raw_Claims_Data!J2774</f>
        <v>Bloomingdale</v>
      </c>
      <c r="K2775" t="str">
        <f>Raw_Claims_Data!K2774</f>
        <v>GA</v>
      </c>
      <c r="L2775">
        <f>Raw_Claims_Data!L2774</f>
        <v>22</v>
      </c>
      <c r="M2775" t="str">
        <f>IF(Raw_Claims_Data!M2774="","N/A",Raw_Claims_Data!M2774)</f>
        <v>VNDR00492</v>
      </c>
      <c r="N2775" t="str">
        <f>Raw_Claims_Data!N2774</f>
        <v>AGENT00971</v>
      </c>
      <c r="O2775">
        <f>IF(Raw_Claims_Data!G2774="D",1,0)</f>
        <v>0</v>
      </c>
    </row>
    <row r="2776" spans="1:15" x14ac:dyDescent="0.35">
      <c r="A2776" t="str">
        <f>Raw_Claims_Data!A2775</f>
        <v>TXN00002772</v>
      </c>
      <c r="B2776" t="str">
        <f>TRIM(Raw_Claims_Data!B2775)</f>
        <v>Ashley Sweet</v>
      </c>
      <c r="C2776" t="str">
        <f>Raw_Claims_Data!C2775</f>
        <v>Life</v>
      </c>
      <c r="D2776">
        <f>Raw_Claims_Data!D2775</f>
        <v>51.44</v>
      </c>
      <c r="E2776">
        <f>Raw_Claims_Data!E2775</f>
        <v>69000</v>
      </c>
      <c r="F2776" t="str">
        <f>Raw_Claims_Data!F2775</f>
        <v>VT</v>
      </c>
      <c r="G2776" t="str">
        <f>Raw_Claims_Data!G2775</f>
        <v>A</v>
      </c>
      <c r="H2776" t="str">
        <f>Raw_Claims_Data!H2775</f>
        <v>Total Loss</v>
      </c>
      <c r="I2776" t="str">
        <f>IF(Raw_Claims_Data!I2775="","None",Raw_Claims_Data!I2775)</f>
        <v>Ambulance</v>
      </c>
      <c r="J2776" t="str">
        <f>Raw_Claims_Data!J2775</f>
        <v>Anchorage</v>
      </c>
      <c r="K2776" t="str">
        <f>Raw_Claims_Data!K2775</f>
        <v>AK</v>
      </c>
      <c r="L2776">
        <f>Raw_Claims_Data!L2775</f>
        <v>7</v>
      </c>
      <c r="M2776" t="str">
        <f>IF(Raw_Claims_Data!M2775="","N/A",Raw_Claims_Data!M2775)</f>
        <v>VNDR00286</v>
      </c>
      <c r="N2776" t="str">
        <f>Raw_Claims_Data!N2775</f>
        <v>AGENT00513</v>
      </c>
      <c r="O2776">
        <f>IF(Raw_Claims_Data!G2775="D",1,0)</f>
        <v>0</v>
      </c>
    </row>
    <row r="2777" spans="1:15" x14ac:dyDescent="0.35">
      <c r="A2777" t="str">
        <f>Raw_Claims_Data!A2776</f>
        <v>TXN00002773</v>
      </c>
      <c r="B2777" t="str">
        <f>TRIM(Raw_Claims_Data!B2776)</f>
        <v>Diane Hartly</v>
      </c>
      <c r="C2777" t="str">
        <f>Raw_Claims_Data!C2776</f>
        <v>Health</v>
      </c>
      <c r="D2777">
        <f>Raw_Claims_Data!D2776</f>
        <v>152.80000000000001</v>
      </c>
      <c r="E2777">
        <f>Raw_Claims_Data!E2776</f>
        <v>3000</v>
      </c>
      <c r="F2777" t="str">
        <f>Raw_Claims_Data!F2776</f>
        <v>AZ</v>
      </c>
      <c r="G2777" t="str">
        <f>Raw_Claims_Data!G2776</f>
        <v>A</v>
      </c>
      <c r="H2777" t="str">
        <f>Raw_Claims_Data!H2776</f>
        <v>Minor Loss</v>
      </c>
      <c r="I2777" t="str">
        <f>IF(Raw_Claims_Data!I2776="","None",Raw_Claims_Data!I2776)</f>
        <v>None</v>
      </c>
      <c r="J2777" t="str">
        <f>Raw_Claims_Data!J2776</f>
        <v>Anchorage</v>
      </c>
      <c r="K2777" t="str">
        <f>Raw_Claims_Data!K2776</f>
        <v>AK</v>
      </c>
      <c r="L2777">
        <f>Raw_Claims_Data!L2776</f>
        <v>12</v>
      </c>
      <c r="M2777" t="str">
        <f>IF(Raw_Claims_Data!M2776="","N/A",Raw_Claims_Data!M2776)</f>
        <v>VNDR00234</v>
      </c>
      <c r="N2777" t="str">
        <f>Raw_Claims_Data!N2776</f>
        <v>AGENT00728</v>
      </c>
      <c r="O2777">
        <f>IF(Raw_Claims_Data!G2776="D",1,0)</f>
        <v>0</v>
      </c>
    </row>
    <row r="2778" spans="1:15" x14ac:dyDescent="0.35">
      <c r="A2778" t="str">
        <f>Raw_Claims_Data!A2777</f>
        <v>TXN00002774</v>
      </c>
      <c r="B2778" t="str">
        <f>TRIM(Raw_Claims_Data!B2777)</f>
        <v>Jolanda Gaier</v>
      </c>
      <c r="C2778" t="str">
        <f>Raw_Claims_Data!C2777</f>
        <v>Health</v>
      </c>
      <c r="D2778">
        <f>Raw_Claims_Data!D2777</f>
        <v>182.67</v>
      </c>
      <c r="E2778">
        <f>Raw_Claims_Data!E2777</f>
        <v>16000</v>
      </c>
      <c r="F2778" t="str">
        <f>Raw_Claims_Data!F2777</f>
        <v>DC</v>
      </c>
      <c r="G2778" t="str">
        <f>Raw_Claims_Data!G2777</f>
        <v>A</v>
      </c>
      <c r="H2778" t="str">
        <f>Raw_Claims_Data!H2777</f>
        <v>Total Loss</v>
      </c>
      <c r="I2778" t="str">
        <f>IF(Raw_Claims_Data!I2777="","None",Raw_Claims_Data!I2777)</f>
        <v>Ambulance</v>
      </c>
      <c r="J2778" t="str">
        <f>Raw_Claims_Data!J2777</f>
        <v>Crofton</v>
      </c>
      <c r="K2778" t="str">
        <f>Raw_Claims_Data!K2777</f>
        <v>MD</v>
      </c>
      <c r="L2778">
        <f>Raw_Claims_Data!L2777</f>
        <v>2</v>
      </c>
      <c r="M2778" t="str">
        <f>IF(Raw_Claims_Data!M2777="","N/A",Raw_Claims_Data!M2777)</f>
        <v>VNDR00529</v>
      </c>
      <c r="N2778" t="str">
        <f>Raw_Claims_Data!N2777</f>
        <v>AGENT00859</v>
      </c>
      <c r="O2778">
        <f>IF(Raw_Claims_Data!G2777="D",1,0)</f>
        <v>0</v>
      </c>
    </row>
    <row r="2779" spans="1:15" x14ac:dyDescent="0.35">
      <c r="A2779" t="str">
        <f>Raw_Claims_Data!A2778</f>
        <v>TXN00002775</v>
      </c>
      <c r="B2779" t="str">
        <f>TRIM(Raw_Claims_Data!B2778)</f>
        <v>Hector Stuble</v>
      </c>
      <c r="C2779" t="str">
        <f>Raw_Claims_Data!C2778</f>
        <v>Travel</v>
      </c>
      <c r="D2779">
        <f>Raw_Claims_Data!D2778</f>
        <v>79.42</v>
      </c>
      <c r="E2779">
        <f>Raw_Claims_Data!E2778</f>
        <v>4000</v>
      </c>
      <c r="F2779" t="str">
        <f>Raw_Claims_Data!F2778</f>
        <v>CA</v>
      </c>
      <c r="G2779" t="str">
        <f>Raw_Claims_Data!G2778</f>
        <v>A</v>
      </c>
      <c r="H2779" t="str">
        <f>Raw_Claims_Data!H2778</f>
        <v>Total Loss</v>
      </c>
      <c r="I2779" t="str">
        <f>IF(Raw_Claims_Data!I2778="","None",Raw_Claims_Data!I2778)</f>
        <v>Ambulance</v>
      </c>
      <c r="J2779" t="str">
        <f>Raw_Claims_Data!J2778</f>
        <v>Arvada</v>
      </c>
      <c r="K2779" t="str">
        <f>Raw_Claims_Data!K2778</f>
        <v>CO</v>
      </c>
      <c r="L2779">
        <f>Raw_Claims_Data!L2778</f>
        <v>5</v>
      </c>
      <c r="M2779" t="str">
        <f>IF(Raw_Claims_Data!M2778="","N/A",Raw_Claims_Data!M2778)</f>
        <v>VNDR00071</v>
      </c>
      <c r="N2779" t="str">
        <f>Raw_Claims_Data!N2778</f>
        <v>AGENT00562</v>
      </c>
      <c r="O2779">
        <f>IF(Raw_Claims_Data!G2778="D",1,0)</f>
        <v>0</v>
      </c>
    </row>
    <row r="2780" spans="1:15" x14ac:dyDescent="0.35">
      <c r="A2780" t="str">
        <f>Raw_Claims_Data!A2779</f>
        <v>TXN00002776</v>
      </c>
      <c r="B2780" t="str">
        <f>TRIM(Raw_Claims_Data!B2779)</f>
        <v>Raymond Brock</v>
      </c>
      <c r="C2780" t="str">
        <f>Raw_Claims_Data!C2779</f>
        <v>Travel</v>
      </c>
      <c r="D2780">
        <f>Raw_Claims_Data!D2779</f>
        <v>96.62</v>
      </c>
      <c r="E2780">
        <f>Raw_Claims_Data!E2779</f>
        <v>3000</v>
      </c>
      <c r="F2780" t="str">
        <f>Raw_Claims_Data!F2779</f>
        <v>FL</v>
      </c>
      <c r="G2780" t="str">
        <f>Raw_Claims_Data!G2779</f>
        <v>A</v>
      </c>
      <c r="H2780" t="str">
        <f>Raw_Claims_Data!H2779</f>
        <v>Total Loss</v>
      </c>
      <c r="I2780" t="str">
        <f>IF(Raw_Claims_Data!I2779="","None",Raw_Claims_Data!I2779)</f>
        <v>Ambulance</v>
      </c>
      <c r="J2780" t="str">
        <f>Raw_Claims_Data!J2779</f>
        <v>Oakland</v>
      </c>
      <c r="K2780" t="str">
        <f>Raw_Claims_Data!K2779</f>
        <v>CA</v>
      </c>
      <c r="L2780">
        <f>Raw_Claims_Data!L2779</f>
        <v>10</v>
      </c>
      <c r="M2780" t="str">
        <f>IF(Raw_Claims_Data!M2779="","N/A",Raw_Claims_Data!M2779)</f>
        <v>VNDR00019</v>
      </c>
      <c r="N2780" t="str">
        <f>Raw_Claims_Data!N2779</f>
        <v>AGENT01130</v>
      </c>
      <c r="O2780">
        <f>IF(Raw_Claims_Data!G2779="D",1,0)</f>
        <v>0</v>
      </c>
    </row>
    <row r="2781" spans="1:15" x14ac:dyDescent="0.35">
      <c r="A2781" t="str">
        <f>Raw_Claims_Data!A2780</f>
        <v>TXN00002777</v>
      </c>
      <c r="B2781" t="str">
        <f>TRIM(Raw_Claims_Data!B2780)</f>
        <v>Grace Pierce</v>
      </c>
      <c r="C2781" t="str">
        <f>Raw_Claims_Data!C2780</f>
        <v>Mobile</v>
      </c>
      <c r="D2781">
        <f>Raw_Claims_Data!D2780</f>
        <v>9.17</v>
      </c>
      <c r="E2781">
        <f>Raw_Claims_Data!E2780</f>
        <v>500</v>
      </c>
      <c r="F2781" t="str">
        <f>Raw_Claims_Data!F2780</f>
        <v>VT</v>
      </c>
      <c r="G2781" t="str">
        <f>Raw_Claims_Data!G2780</f>
        <v>A</v>
      </c>
      <c r="H2781" t="str">
        <f>Raw_Claims_Data!H2780</f>
        <v>Major Loss</v>
      </c>
      <c r="I2781" t="str">
        <f>IF(Raw_Claims_Data!I2780="","None",Raw_Claims_Data!I2780)</f>
        <v>None</v>
      </c>
      <c r="J2781" t="str">
        <f>Raw_Claims_Data!J2780</f>
        <v>Glendale</v>
      </c>
      <c r="K2781" t="str">
        <f>Raw_Claims_Data!K2780</f>
        <v>AZ</v>
      </c>
      <c r="L2781">
        <f>Raw_Claims_Data!L2780</f>
        <v>0</v>
      </c>
      <c r="M2781" t="str">
        <f>IF(Raw_Claims_Data!M2780="","N/A",Raw_Claims_Data!M2780)</f>
        <v>VNDR00107</v>
      </c>
      <c r="N2781" t="str">
        <f>Raw_Claims_Data!N2780</f>
        <v>AGENT00142</v>
      </c>
      <c r="O2781">
        <f>IF(Raw_Claims_Data!G2780="D",1,0)</f>
        <v>0</v>
      </c>
    </row>
    <row r="2782" spans="1:15" x14ac:dyDescent="0.35">
      <c r="A2782" t="str">
        <f>Raw_Claims_Data!A2781</f>
        <v>TXN00002778</v>
      </c>
      <c r="B2782" t="str">
        <f>TRIM(Raw_Claims_Data!B2781)</f>
        <v>Victoria Sincell</v>
      </c>
      <c r="C2782" t="str">
        <f>Raw_Claims_Data!C2781</f>
        <v>Motor</v>
      </c>
      <c r="D2782">
        <f>Raw_Claims_Data!D2781</f>
        <v>93.16</v>
      </c>
      <c r="E2782">
        <f>Raw_Claims_Data!E2781</f>
        <v>2000</v>
      </c>
      <c r="F2782" t="str">
        <f>Raw_Claims_Data!F2781</f>
        <v>OK</v>
      </c>
      <c r="G2782" t="str">
        <f>Raw_Claims_Data!G2781</f>
        <v>D</v>
      </c>
      <c r="H2782" t="str">
        <f>Raw_Claims_Data!H2781</f>
        <v>Major Loss</v>
      </c>
      <c r="I2782" t="str">
        <f>IF(Raw_Claims_Data!I2781="","None",Raw_Claims_Data!I2781)</f>
        <v>None</v>
      </c>
      <c r="J2782" t="str">
        <f>Raw_Claims_Data!J2781</f>
        <v>Glendale</v>
      </c>
      <c r="K2782" t="str">
        <f>Raw_Claims_Data!K2781</f>
        <v>AZ</v>
      </c>
      <c r="L2782">
        <f>Raw_Claims_Data!L2781</f>
        <v>14</v>
      </c>
      <c r="M2782" t="str">
        <f>IF(Raw_Claims_Data!M2781="","N/A",Raw_Claims_Data!M2781)</f>
        <v>N/A</v>
      </c>
      <c r="N2782" t="str">
        <f>Raw_Claims_Data!N2781</f>
        <v>AGENT00029</v>
      </c>
      <c r="O2782">
        <f>IF(Raw_Claims_Data!G2781="D",1,0)</f>
        <v>1</v>
      </c>
    </row>
    <row r="2783" spans="1:15" x14ac:dyDescent="0.35">
      <c r="A2783" t="str">
        <f>Raw_Claims_Data!A2782</f>
        <v>TXN00002779</v>
      </c>
      <c r="B2783" t="str">
        <f>TRIM(Raw_Claims_Data!B2782)</f>
        <v>Valerie Mcdaniel</v>
      </c>
      <c r="C2783" t="str">
        <f>Raw_Claims_Data!C2782</f>
        <v>Life</v>
      </c>
      <c r="D2783">
        <f>Raw_Claims_Data!D2782</f>
        <v>84.96</v>
      </c>
      <c r="E2783">
        <f>Raw_Claims_Data!E2782</f>
        <v>92000</v>
      </c>
      <c r="F2783" t="str">
        <f>Raw_Claims_Data!F2782</f>
        <v>CA</v>
      </c>
      <c r="G2783" t="str">
        <f>Raw_Claims_Data!G2782</f>
        <v>A</v>
      </c>
      <c r="H2783" t="str">
        <f>Raw_Claims_Data!H2782</f>
        <v>Total Loss</v>
      </c>
      <c r="I2783" t="str">
        <f>IF(Raw_Claims_Data!I2782="","None",Raw_Claims_Data!I2782)</f>
        <v>Ambulance</v>
      </c>
      <c r="J2783" t="str">
        <f>Raw_Claims_Data!J2782</f>
        <v>Glendale</v>
      </c>
      <c r="K2783" t="str">
        <f>Raw_Claims_Data!K2782</f>
        <v>AZ</v>
      </c>
      <c r="L2783">
        <f>Raw_Claims_Data!L2782</f>
        <v>10</v>
      </c>
      <c r="M2783" t="str">
        <f>IF(Raw_Claims_Data!M2782="","N/A",Raw_Claims_Data!M2782)</f>
        <v>N/A</v>
      </c>
      <c r="N2783" t="str">
        <f>Raw_Claims_Data!N2782</f>
        <v>AGENT00031</v>
      </c>
      <c r="O2783">
        <f>IF(Raw_Claims_Data!G2782="D",1,0)</f>
        <v>0</v>
      </c>
    </row>
    <row r="2784" spans="1:15" x14ac:dyDescent="0.35">
      <c r="A2784" t="str">
        <f>Raw_Claims_Data!A2783</f>
        <v>TXN00002780</v>
      </c>
      <c r="B2784" t="str">
        <f>TRIM(Raw_Claims_Data!B2783)</f>
        <v>Patricia Mccullough</v>
      </c>
      <c r="C2784" t="str">
        <f>Raw_Claims_Data!C2783</f>
        <v>Health</v>
      </c>
      <c r="D2784">
        <f>Raw_Claims_Data!D2783</f>
        <v>195.36</v>
      </c>
      <c r="E2784">
        <f>Raw_Claims_Data!E2783</f>
        <v>2000</v>
      </c>
      <c r="F2784" t="str">
        <f>Raw_Claims_Data!F2783</f>
        <v>CT</v>
      </c>
      <c r="G2784" t="str">
        <f>Raw_Claims_Data!G2783</f>
        <v>A</v>
      </c>
      <c r="H2784" t="str">
        <f>Raw_Claims_Data!H2783</f>
        <v>Minor Loss</v>
      </c>
      <c r="I2784" t="str">
        <f>IF(Raw_Claims_Data!I2783="","None",Raw_Claims_Data!I2783)</f>
        <v>Police</v>
      </c>
      <c r="J2784" t="str">
        <f>Raw_Claims_Data!J2783</f>
        <v>Berkeley</v>
      </c>
      <c r="K2784" t="str">
        <f>Raw_Claims_Data!K2783</f>
        <v>CA</v>
      </c>
      <c r="L2784">
        <f>Raw_Claims_Data!L2783</f>
        <v>13</v>
      </c>
      <c r="M2784" t="str">
        <f>IF(Raw_Claims_Data!M2783="","N/A",Raw_Claims_Data!M2783)</f>
        <v>VNDR00004</v>
      </c>
      <c r="N2784" t="str">
        <f>Raw_Claims_Data!N2783</f>
        <v>AGENT00865</v>
      </c>
      <c r="O2784">
        <f>IF(Raw_Claims_Data!G2783="D",1,0)</f>
        <v>0</v>
      </c>
    </row>
    <row r="2785" spans="1:15" x14ac:dyDescent="0.35">
      <c r="A2785" t="str">
        <f>Raw_Claims_Data!A2784</f>
        <v>TXN00002781</v>
      </c>
      <c r="B2785" t="str">
        <f>TRIM(Raw_Claims_Data!B2784)</f>
        <v>Leah Gibson</v>
      </c>
      <c r="C2785" t="str">
        <f>Raw_Claims_Data!C2784</f>
        <v>Mobile</v>
      </c>
      <c r="D2785">
        <f>Raw_Claims_Data!D2784</f>
        <v>9.75</v>
      </c>
      <c r="E2785">
        <f>Raw_Claims_Data!E2784</f>
        <v>400</v>
      </c>
      <c r="F2785" t="str">
        <f>Raw_Claims_Data!F2784</f>
        <v>AL</v>
      </c>
      <c r="G2785" t="str">
        <f>Raw_Claims_Data!G2784</f>
        <v>A</v>
      </c>
      <c r="H2785" t="str">
        <f>Raw_Claims_Data!H2784</f>
        <v>Total Loss</v>
      </c>
      <c r="I2785" t="str">
        <f>IF(Raw_Claims_Data!I2784="","None",Raw_Claims_Data!I2784)</f>
        <v>Police</v>
      </c>
      <c r="J2785" t="str">
        <f>Raw_Claims_Data!J2784</f>
        <v>Savannah</v>
      </c>
      <c r="K2785" t="str">
        <f>Raw_Claims_Data!K2784</f>
        <v>GA</v>
      </c>
      <c r="L2785">
        <f>Raw_Claims_Data!L2784</f>
        <v>21</v>
      </c>
      <c r="M2785" t="str">
        <f>IF(Raw_Claims_Data!M2784="","N/A",Raw_Claims_Data!M2784)</f>
        <v>N/A</v>
      </c>
      <c r="N2785" t="str">
        <f>Raw_Claims_Data!N2784</f>
        <v>AGENT00779</v>
      </c>
      <c r="O2785">
        <f>IF(Raw_Claims_Data!G2784="D",1,0)</f>
        <v>0</v>
      </c>
    </row>
    <row r="2786" spans="1:15" x14ac:dyDescent="0.35">
      <c r="A2786" t="str">
        <f>Raw_Claims_Data!A2785</f>
        <v>TXN00002782</v>
      </c>
      <c r="B2786" t="str">
        <f>TRIM(Raw_Claims_Data!B2785)</f>
        <v>Charles Heard</v>
      </c>
      <c r="C2786" t="str">
        <f>Raw_Claims_Data!C2785</f>
        <v>Health</v>
      </c>
      <c r="D2786">
        <f>Raw_Claims_Data!D2785</f>
        <v>177.87</v>
      </c>
      <c r="E2786">
        <f>Raw_Claims_Data!E2785</f>
        <v>17000</v>
      </c>
      <c r="F2786" t="str">
        <f>Raw_Claims_Data!F2785</f>
        <v>DC</v>
      </c>
      <c r="G2786" t="str">
        <f>Raw_Claims_Data!G2785</f>
        <v>A</v>
      </c>
      <c r="H2786" t="str">
        <f>Raw_Claims_Data!H2785</f>
        <v>Minor Loss</v>
      </c>
      <c r="I2786" t="str">
        <f>IF(Raw_Claims_Data!I2785="","None",Raw_Claims_Data!I2785)</f>
        <v>None</v>
      </c>
      <c r="J2786" t="str">
        <f>Raw_Claims_Data!J2785</f>
        <v>Arvada</v>
      </c>
      <c r="K2786" t="str">
        <f>Raw_Claims_Data!K2785</f>
        <v>CO</v>
      </c>
      <c r="L2786">
        <f>Raw_Claims_Data!L2785</f>
        <v>4</v>
      </c>
      <c r="M2786" t="str">
        <f>IF(Raw_Claims_Data!M2785="","N/A",Raw_Claims_Data!M2785)</f>
        <v>N/A</v>
      </c>
      <c r="N2786" t="str">
        <f>Raw_Claims_Data!N2785</f>
        <v>AGENT00189</v>
      </c>
      <c r="O2786">
        <f>IF(Raw_Claims_Data!G2785="D",1,0)</f>
        <v>0</v>
      </c>
    </row>
    <row r="2787" spans="1:15" x14ac:dyDescent="0.35">
      <c r="A2787" t="str">
        <f>Raw_Claims_Data!A2786</f>
        <v>TXN00002783</v>
      </c>
      <c r="B2787" t="str">
        <f>TRIM(Raw_Claims_Data!B2786)</f>
        <v>Randy Thomas</v>
      </c>
      <c r="C2787" t="str">
        <f>Raw_Claims_Data!C2786</f>
        <v>Health</v>
      </c>
      <c r="D2787">
        <f>Raw_Claims_Data!D2786</f>
        <v>144.07</v>
      </c>
      <c r="E2787">
        <f>Raw_Claims_Data!E2786</f>
        <v>20000</v>
      </c>
      <c r="F2787" t="str">
        <f>Raw_Claims_Data!F2786</f>
        <v>CT</v>
      </c>
      <c r="G2787" t="str">
        <f>Raw_Claims_Data!G2786</f>
        <v>A</v>
      </c>
      <c r="H2787" t="str">
        <f>Raw_Claims_Data!H2786</f>
        <v>Total Loss</v>
      </c>
      <c r="I2787" t="str">
        <f>IF(Raw_Claims_Data!I2786="","None",Raw_Claims_Data!I2786)</f>
        <v>Police</v>
      </c>
      <c r="J2787" t="str">
        <f>Raw_Claims_Data!J2786</f>
        <v>Arvada</v>
      </c>
      <c r="K2787" t="str">
        <f>Raw_Claims_Data!K2786</f>
        <v>CO</v>
      </c>
      <c r="L2787">
        <f>Raw_Claims_Data!L2786</f>
        <v>13</v>
      </c>
      <c r="M2787" t="str">
        <f>IF(Raw_Claims_Data!M2786="","N/A",Raw_Claims_Data!M2786)</f>
        <v>VNDR00351</v>
      </c>
      <c r="N2787" t="str">
        <f>Raw_Claims_Data!N2786</f>
        <v>AGENT00315</v>
      </c>
      <c r="O2787">
        <f>IF(Raw_Claims_Data!G2786="D",1,0)</f>
        <v>0</v>
      </c>
    </row>
    <row r="2788" spans="1:15" x14ac:dyDescent="0.35">
      <c r="A2788" t="str">
        <f>Raw_Claims_Data!A2787</f>
        <v>TXN00002784</v>
      </c>
      <c r="B2788" t="str">
        <f>TRIM(Raw_Claims_Data!B2787)</f>
        <v>Virgil Buker</v>
      </c>
      <c r="C2788" t="str">
        <f>Raw_Claims_Data!C2787</f>
        <v>Health</v>
      </c>
      <c r="D2788">
        <f>Raw_Claims_Data!D2787</f>
        <v>168.41</v>
      </c>
      <c r="E2788">
        <f>Raw_Claims_Data!E2787</f>
        <v>2000</v>
      </c>
      <c r="F2788" t="str">
        <f>Raw_Claims_Data!F2787</f>
        <v>TN</v>
      </c>
      <c r="G2788" t="str">
        <f>Raw_Claims_Data!G2787</f>
        <v>A</v>
      </c>
      <c r="H2788" t="str">
        <f>Raw_Claims_Data!H2787</f>
        <v>Major Loss</v>
      </c>
      <c r="I2788" t="str">
        <f>IF(Raw_Claims_Data!I2787="","None",Raw_Claims_Data!I2787)</f>
        <v>Ambulance</v>
      </c>
      <c r="J2788" t="str">
        <f>Raw_Claims_Data!J2787</f>
        <v>Montgomery</v>
      </c>
      <c r="K2788" t="str">
        <f>Raw_Claims_Data!K2787</f>
        <v>AL</v>
      </c>
      <c r="L2788">
        <f>Raw_Claims_Data!L2787</f>
        <v>15</v>
      </c>
      <c r="M2788" t="str">
        <f>IF(Raw_Claims_Data!M2787="","N/A",Raw_Claims_Data!M2787)</f>
        <v>VNDR00101</v>
      </c>
      <c r="N2788" t="str">
        <f>Raw_Claims_Data!N2787</f>
        <v>AGENT01108</v>
      </c>
      <c r="O2788">
        <f>IF(Raw_Claims_Data!G2787="D",1,0)</f>
        <v>0</v>
      </c>
    </row>
    <row r="2789" spans="1:15" x14ac:dyDescent="0.35">
      <c r="A2789" t="str">
        <f>Raw_Claims_Data!A2788</f>
        <v>TXN00002785</v>
      </c>
      <c r="B2789" t="str">
        <f>TRIM(Raw_Claims_Data!B2788)</f>
        <v>Marie Wilson</v>
      </c>
      <c r="C2789" t="str">
        <f>Raw_Claims_Data!C2788</f>
        <v>Mobile</v>
      </c>
      <c r="D2789">
        <f>Raw_Claims_Data!D2788</f>
        <v>7.52</v>
      </c>
      <c r="E2789">
        <f>Raw_Claims_Data!E2788</f>
        <v>200</v>
      </c>
      <c r="F2789" t="str">
        <f>Raw_Claims_Data!F2788</f>
        <v>FL</v>
      </c>
      <c r="G2789" t="str">
        <f>Raw_Claims_Data!G2788</f>
        <v>A</v>
      </c>
      <c r="H2789" t="str">
        <f>Raw_Claims_Data!H2788</f>
        <v>Minor Loss</v>
      </c>
      <c r="I2789" t="str">
        <f>IF(Raw_Claims_Data!I2788="","None",Raw_Claims_Data!I2788)</f>
        <v>None</v>
      </c>
      <c r="J2789" t="str">
        <f>Raw_Claims_Data!J2788</f>
        <v>Edmond</v>
      </c>
      <c r="K2789" t="str">
        <f>Raw_Claims_Data!K2788</f>
        <v>OK</v>
      </c>
      <c r="L2789">
        <f>Raw_Claims_Data!L2788</f>
        <v>4</v>
      </c>
      <c r="M2789" t="str">
        <f>IF(Raw_Claims_Data!M2788="","N/A",Raw_Claims_Data!M2788)</f>
        <v>N/A</v>
      </c>
      <c r="N2789" t="str">
        <f>Raw_Claims_Data!N2788</f>
        <v>AGENT00080</v>
      </c>
      <c r="O2789">
        <f>IF(Raw_Claims_Data!G2788="D",1,0)</f>
        <v>0</v>
      </c>
    </row>
    <row r="2790" spans="1:15" x14ac:dyDescent="0.35">
      <c r="A2790" t="str">
        <f>Raw_Claims_Data!A2789</f>
        <v>TXN00002786</v>
      </c>
      <c r="B2790" t="str">
        <f>TRIM(Raw_Claims_Data!B2789)</f>
        <v>Francisca Alvarez</v>
      </c>
      <c r="C2790" t="str">
        <f>Raw_Claims_Data!C2789</f>
        <v>Motor</v>
      </c>
      <c r="D2790">
        <f>Raw_Claims_Data!D2789</f>
        <v>79.069999999999993</v>
      </c>
      <c r="E2790">
        <f>Raw_Claims_Data!E2789</f>
        <v>7000</v>
      </c>
      <c r="F2790" t="str">
        <f>Raw_Claims_Data!F2789</f>
        <v>MD</v>
      </c>
      <c r="G2790" t="str">
        <f>Raw_Claims_Data!G2789</f>
        <v>A</v>
      </c>
      <c r="H2790" t="str">
        <f>Raw_Claims_Data!H2789</f>
        <v>Total Loss</v>
      </c>
      <c r="I2790" t="str">
        <f>IF(Raw_Claims_Data!I2789="","None",Raw_Claims_Data!I2789)</f>
        <v>None</v>
      </c>
      <c r="J2790" t="str">
        <f>Raw_Claims_Data!J2789</f>
        <v>Crownsville</v>
      </c>
      <c r="K2790" t="str">
        <f>Raw_Claims_Data!K2789</f>
        <v>MD</v>
      </c>
      <c r="L2790">
        <f>Raw_Claims_Data!L2789</f>
        <v>1</v>
      </c>
      <c r="M2790" t="str">
        <f>IF(Raw_Claims_Data!M2789="","N/A",Raw_Claims_Data!M2789)</f>
        <v>VNDR00315</v>
      </c>
      <c r="N2790" t="str">
        <f>Raw_Claims_Data!N2789</f>
        <v>AGENT00917</v>
      </c>
      <c r="O2790">
        <f>IF(Raw_Claims_Data!G2789="D",1,0)</f>
        <v>0</v>
      </c>
    </row>
    <row r="2791" spans="1:15" x14ac:dyDescent="0.35">
      <c r="A2791" t="str">
        <f>Raw_Claims_Data!A2790</f>
        <v>TXN00002787</v>
      </c>
      <c r="B2791" t="str">
        <f>TRIM(Raw_Claims_Data!B2790)</f>
        <v>Homer Snellen</v>
      </c>
      <c r="C2791" t="str">
        <f>Raw_Claims_Data!C2790</f>
        <v>Mobile</v>
      </c>
      <c r="D2791">
        <f>Raw_Claims_Data!D2790</f>
        <v>11.24</v>
      </c>
      <c r="E2791">
        <f>Raw_Claims_Data!E2790</f>
        <v>700</v>
      </c>
      <c r="F2791" t="str">
        <f>Raw_Claims_Data!F2790</f>
        <v>AK</v>
      </c>
      <c r="G2791" t="str">
        <f>Raw_Claims_Data!G2790</f>
        <v>A</v>
      </c>
      <c r="H2791" t="str">
        <f>Raw_Claims_Data!H2790</f>
        <v>Total Loss</v>
      </c>
      <c r="I2791" t="str">
        <f>IF(Raw_Claims_Data!I2790="","None",Raw_Claims_Data!I2790)</f>
        <v>Other</v>
      </c>
      <c r="J2791" t="str">
        <f>Raw_Claims_Data!J2790</f>
        <v>Fayetteville</v>
      </c>
      <c r="K2791" t="str">
        <f>Raw_Claims_Data!K2790</f>
        <v>AR</v>
      </c>
      <c r="L2791">
        <f>Raw_Claims_Data!L2790</f>
        <v>8</v>
      </c>
      <c r="M2791" t="str">
        <f>IF(Raw_Claims_Data!M2790="","N/A",Raw_Claims_Data!M2790)</f>
        <v>N/A</v>
      </c>
      <c r="N2791" t="str">
        <f>Raw_Claims_Data!N2790</f>
        <v>AGENT00760</v>
      </c>
      <c r="O2791">
        <f>IF(Raw_Claims_Data!G2790="D",1,0)</f>
        <v>0</v>
      </c>
    </row>
    <row r="2792" spans="1:15" x14ac:dyDescent="0.35">
      <c r="A2792" t="str">
        <f>Raw_Claims_Data!A2791</f>
        <v>TXN00002788</v>
      </c>
      <c r="B2792" t="str">
        <f>TRIM(Raw_Claims_Data!B2791)</f>
        <v>June Dupree</v>
      </c>
      <c r="C2792" t="str">
        <f>Raw_Claims_Data!C2791</f>
        <v>Motor</v>
      </c>
      <c r="D2792">
        <f>Raw_Claims_Data!D2791</f>
        <v>110.54</v>
      </c>
      <c r="E2792">
        <f>Raw_Claims_Data!E2791</f>
        <v>7000</v>
      </c>
      <c r="F2792" t="str">
        <f>Raw_Claims_Data!F2791</f>
        <v>CT</v>
      </c>
      <c r="G2792" t="str">
        <f>Raw_Claims_Data!G2791</f>
        <v>A</v>
      </c>
      <c r="H2792" t="str">
        <f>Raw_Claims_Data!H2791</f>
        <v>Minor Loss</v>
      </c>
      <c r="I2792" t="str">
        <f>IF(Raw_Claims_Data!I2791="","None",Raw_Claims_Data!I2791)</f>
        <v>Police</v>
      </c>
      <c r="J2792" t="str">
        <f>Raw_Claims_Data!J2791</f>
        <v>Savannah</v>
      </c>
      <c r="K2792" t="str">
        <f>Raw_Claims_Data!K2791</f>
        <v>GA</v>
      </c>
      <c r="L2792">
        <f>Raw_Claims_Data!L2791</f>
        <v>15</v>
      </c>
      <c r="M2792" t="str">
        <f>IF(Raw_Claims_Data!M2791="","N/A",Raw_Claims_Data!M2791)</f>
        <v>N/A</v>
      </c>
      <c r="N2792" t="str">
        <f>Raw_Claims_Data!N2791</f>
        <v>AGENT00296</v>
      </c>
      <c r="O2792">
        <f>IF(Raw_Claims_Data!G2791="D",1,0)</f>
        <v>0</v>
      </c>
    </row>
    <row r="2793" spans="1:15" x14ac:dyDescent="0.35">
      <c r="A2793" t="str">
        <f>Raw_Claims_Data!A2792</f>
        <v>TXN00002789</v>
      </c>
      <c r="B2793" t="str">
        <f>TRIM(Raw_Claims_Data!B2792)</f>
        <v>Donna Ivey</v>
      </c>
      <c r="C2793" t="str">
        <f>Raw_Claims_Data!C2792</f>
        <v>Travel</v>
      </c>
      <c r="D2793">
        <f>Raw_Claims_Data!D2792</f>
        <v>96.41</v>
      </c>
      <c r="E2793">
        <f>Raw_Claims_Data!E2792</f>
        <v>1000</v>
      </c>
      <c r="F2793" t="str">
        <f>Raw_Claims_Data!F2792</f>
        <v>DC</v>
      </c>
      <c r="G2793" t="str">
        <f>Raw_Claims_Data!G2792</f>
        <v>A</v>
      </c>
      <c r="H2793" t="str">
        <f>Raw_Claims_Data!H2792</f>
        <v>Major Loss</v>
      </c>
      <c r="I2793" t="str">
        <f>IF(Raw_Claims_Data!I2792="","None",Raw_Claims_Data!I2792)</f>
        <v>Ambulance</v>
      </c>
      <c r="J2793" t="str">
        <f>Raw_Claims_Data!J2792</f>
        <v>Montgomery</v>
      </c>
      <c r="K2793" t="str">
        <f>Raw_Claims_Data!K2792</f>
        <v>AL</v>
      </c>
      <c r="L2793">
        <f>Raw_Claims_Data!L2792</f>
        <v>16</v>
      </c>
      <c r="M2793" t="str">
        <f>IF(Raw_Claims_Data!M2792="","N/A",Raw_Claims_Data!M2792)</f>
        <v>N/A</v>
      </c>
      <c r="N2793" t="str">
        <f>Raw_Claims_Data!N2792</f>
        <v>AGENT00627</v>
      </c>
      <c r="O2793">
        <f>IF(Raw_Claims_Data!G2792="D",1,0)</f>
        <v>0</v>
      </c>
    </row>
    <row r="2794" spans="1:15" x14ac:dyDescent="0.35">
      <c r="A2794" t="str">
        <f>Raw_Claims_Data!A2793</f>
        <v>TXN00002790</v>
      </c>
      <c r="B2794" t="str">
        <f>TRIM(Raw_Claims_Data!B2793)</f>
        <v>Carmen James</v>
      </c>
      <c r="C2794" t="str">
        <f>Raw_Claims_Data!C2793</f>
        <v>Property</v>
      </c>
      <c r="D2794">
        <f>Raw_Claims_Data!D2793</f>
        <v>116.14</v>
      </c>
      <c r="E2794">
        <f>Raw_Claims_Data!E2793</f>
        <v>24000</v>
      </c>
      <c r="F2794" t="str">
        <f>Raw_Claims_Data!F2793</f>
        <v>KY</v>
      </c>
      <c r="G2794" t="str">
        <f>Raw_Claims_Data!G2793</f>
        <v>A</v>
      </c>
      <c r="H2794" t="str">
        <f>Raw_Claims_Data!H2793</f>
        <v>Major Loss</v>
      </c>
      <c r="I2794" t="str">
        <f>IF(Raw_Claims_Data!I2793="","None",Raw_Claims_Data!I2793)</f>
        <v>Ambulance</v>
      </c>
      <c r="J2794" t="str">
        <f>Raw_Claims_Data!J2793</f>
        <v>Arvada</v>
      </c>
      <c r="K2794" t="str">
        <f>Raw_Claims_Data!K2793</f>
        <v>CO</v>
      </c>
      <c r="L2794">
        <f>Raw_Claims_Data!L2793</f>
        <v>10</v>
      </c>
      <c r="M2794" t="str">
        <f>IF(Raw_Claims_Data!M2793="","N/A",Raw_Claims_Data!M2793)</f>
        <v>N/A</v>
      </c>
      <c r="N2794" t="str">
        <f>Raw_Claims_Data!N2793</f>
        <v>AGENT00443</v>
      </c>
      <c r="O2794">
        <f>IF(Raw_Claims_Data!G2793="D",1,0)</f>
        <v>0</v>
      </c>
    </row>
    <row r="2795" spans="1:15" x14ac:dyDescent="0.35">
      <c r="A2795" t="str">
        <f>Raw_Claims_Data!A2794</f>
        <v>TXN00002791</v>
      </c>
      <c r="B2795" t="str">
        <f>TRIM(Raw_Claims_Data!B2794)</f>
        <v>Amy Sinclair</v>
      </c>
      <c r="C2795" t="str">
        <f>Raw_Claims_Data!C2794</f>
        <v>Property</v>
      </c>
      <c r="D2795">
        <f>Raw_Claims_Data!D2794</f>
        <v>140.94</v>
      </c>
      <c r="E2795">
        <f>Raw_Claims_Data!E2794</f>
        <v>29000</v>
      </c>
      <c r="F2795" t="str">
        <f>Raw_Claims_Data!F2794</f>
        <v>DC</v>
      </c>
      <c r="G2795" t="str">
        <f>Raw_Claims_Data!G2794</f>
        <v>A</v>
      </c>
      <c r="H2795" t="str">
        <f>Raw_Claims_Data!H2794</f>
        <v>Major Loss</v>
      </c>
      <c r="I2795" t="str">
        <f>IF(Raw_Claims_Data!I2794="","None",Raw_Claims_Data!I2794)</f>
        <v>Police</v>
      </c>
      <c r="J2795" t="str">
        <f>Raw_Claims_Data!J2794</f>
        <v>Eureka</v>
      </c>
      <c r="K2795" t="str">
        <f>Raw_Claims_Data!K2794</f>
        <v>CA</v>
      </c>
      <c r="L2795">
        <f>Raw_Claims_Data!L2794</f>
        <v>2</v>
      </c>
      <c r="M2795" t="str">
        <f>IF(Raw_Claims_Data!M2794="","N/A",Raw_Claims_Data!M2794)</f>
        <v>VNDR00087</v>
      </c>
      <c r="N2795" t="str">
        <f>Raw_Claims_Data!N2794</f>
        <v>AGENT00196</v>
      </c>
      <c r="O2795">
        <f>IF(Raw_Claims_Data!G2794="D",1,0)</f>
        <v>0</v>
      </c>
    </row>
    <row r="2796" spans="1:15" x14ac:dyDescent="0.35">
      <c r="A2796" t="str">
        <f>Raw_Claims_Data!A2795</f>
        <v>TXN00002792</v>
      </c>
      <c r="B2796" t="str">
        <f>TRIM(Raw_Claims_Data!B2795)</f>
        <v>Karlene Minucci</v>
      </c>
      <c r="C2796" t="str">
        <f>Raw_Claims_Data!C2795</f>
        <v>Property</v>
      </c>
      <c r="D2796">
        <f>Raw_Claims_Data!D2795</f>
        <v>113.75</v>
      </c>
      <c r="E2796">
        <f>Raw_Claims_Data!E2795</f>
        <v>30000</v>
      </c>
      <c r="F2796" t="str">
        <f>Raw_Claims_Data!F2795</f>
        <v>CA</v>
      </c>
      <c r="G2796" t="str">
        <f>Raw_Claims_Data!G2795</f>
        <v>A</v>
      </c>
      <c r="H2796" t="str">
        <f>Raw_Claims_Data!H2795</f>
        <v>Minor Loss</v>
      </c>
      <c r="I2796" t="str">
        <f>IF(Raw_Claims_Data!I2795="","None",Raw_Claims_Data!I2795)</f>
        <v>Police</v>
      </c>
      <c r="J2796" t="str">
        <f>Raw_Claims_Data!J2795</f>
        <v>Fayetteville</v>
      </c>
      <c r="K2796" t="str">
        <f>Raw_Claims_Data!K2795</f>
        <v>AR</v>
      </c>
      <c r="L2796">
        <f>Raw_Claims_Data!L2795</f>
        <v>13</v>
      </c>
      <c r="M2796" t="str">
        <f>IF(Raw_Claims_Data!M2795="","N/A",Raw_Claims_Data!M2795)</f>
        <v>VNDR00493</v>
      </c>
      <c r="N2796" t="str">
        <f>Raw_Claims_Data!N2795</f>
        <v>AGENT00363</v>
      </c>
      <c r="O2796">
        <f>IF(Raw_Claims_Data!G2795="D",1,0)</f>
        <v>0</v>
      </c>
    </row>
    <row r="2797" spans="1:15" x14ac:dyDescent="0.35">
      <c r="A2797" t="str">
        <f>Raw_Claims_Data!A2796</f>
        <v>TXN00002793</v>
      </c>
      <c r="B2797" t="str">
        <f>TRIM(Raw_Claims_Data!B2796)</f>
        <v>Patricia Kedzierski</v>
      </c>
      <c r="C2797" t="str">
        <f>Raw_Claims_Data!C2796</f>
        <v>Life</v>
      </c>
      <c r="D2797">
        <f>Raw_Claims_Data!D2796</f>
        <v>87.12</v>
      </c>
      <c r="E2797">
        <f>Raw_Claims_Data!E2796</f>
        <v>42000</v>
      </c>
      <c r="F2797" t="str">
        <f>Raw_Claims_Data!F2796</f>
        <v>MD</v>
      </c>
      <c r="G2797" t="str">
        <f>Raw_Claims_Data!G2796</f>
        <v>A</v>
      </c>
      <c r="H2797" t="str">
        <f>Raw_Claims_Data!H2796</f>
        <v>Minor Loss</v>
      </c>
      <c r="I2797" t="str">
        <f>IF(Raw_Claims_Data!I2796="","None",Raw_Claims_Data!I2796)</f>
        <v>Ambulance</v>
      </c>
      <c r="J2797" t="str">
        <f>Raw_Claims_Data!J2796</f>
        <v>Arvada</v>
      </c>
      <c r="K2797" t="str">
        <f>Raw_Claims_Data!K2796</f>
        <v>CO</v>
      </c>
      <c r="L2797">
        <f>Raw_Claims_Data!L2796</f>
        <v>14</v>
      </c>
      <c r="M2797" t="str">
        <f>IF(Raw_Claims_Data!M2796="","N/A",Raw_Claims_Data!M2796)</f>
        <v>VNDR00319</v>
      </c>
      <c r="N2797" t="str">
        <f>Raw_Claims_Data!N2796</f>
        <v>AGENT00734</v>
      </c>
      <c r="O2797">
        <f>IF(Raw_Claims_Data!G2796="D",1,0)</f>
        <v>0</v>
      </c>
    </row>
    <row r="2798" spans="1:15" x14ac:dyDescent="0.35">
      <c r="A2798" t="str">
        <f>Raw_Claims_Data!A2797</f>
        <v>TXN00002794</v>
      </c>
      <c r="B2798" t="str">
        <f>TRIM(Raw_Claims_Data!B2797)</f>
        <v>Gerardo Moore</v>
      </c>
      <c r="C2798" t="str">
        <f>Raw_Claims_Data!C2797</f>
        <v>Property</v>
      </c>
      <c r="D2798">
        <f>Raw_Claims_Data!D2797</f>
        <v>82.16</v>
      </c>
      <c r="E2798">
        <f>Raw_Claims_Data!E2797</f>
        <v>36000</v>
      </c>
      <c r="F2798" t="str">
        <f>Raw_Claims_Data!F2797</f>
        <v>CO</v>
      </c>
      <c r="G2798" t="str">
        <f>Raw_Claims_Data!G2797</f>
        <v>A</v>
      </c>
      <c r="H2798" t="str">
        <f>Raw_Claims_Data!H2797</f>
        <v>Major Loss</v>
      </c>
      <c r="I2798" t="str">
        <f>IF(Raw_Claims_Data!I2797="","None",Raw_Claims_Data!I2797)</f>
        <v>None</v>
      </c>
      <c r="J2798" t="str">
        <f>Raw_Claims_Data!J2797</f>
        <v>Arvada</v>
      </c>
      <c r="K2798" t="str">
        <f>Raw_Claims_Data!K2797</f>
        <v>CO</v>
      </c>
      <c r="L2798">
        <f>Raw_Claims_Data!L2797</f>
        <v>20</v>
      </c>
      <c r="M2798" t="str">
        <f>IF(Raw_Claims_Data!M2797="","N/A",Raw_Claims_Data!M2797)</f>
        <v>N/A</v>
      </c>
      <c r="N2798" t="str">
        <f>Raw_Claims_Data!N2797</f>
        <v>AGENT00358</v>
      </c>
      <c r="O2798">
        <f>IF(Raw_Claims_Data!G2797="D",1,0)</f>
        <v>0</v>
      </c>
    </row>
    <row r="2799" spans="1:15" x14ac:dyDescent="0.35">
      <c r="A2799" t="str">
        <f>Raw_Claims_Data!A2798</f>
        <v>TXN00002795</v>
      </c>
      <c r="B2799" t="str">
        <f>TRIM(Raw_Claims_Data!B2798)</f>
        <v>Pearl Nickles</v>
      </c>
      <c r="C2799" t="str">
        <f>Raw_Claims_Data!C2798</f>
        <v>Motor</v>
      </c>
      <c r="D2799">
        <f>Raw_Claims_Data!D2798</f>
        <v>77.81</v>
      </c>
      <c r="E2799">
        <f>Raw_Claims_Data!E2798</f>
        <v>3000</v>
      </c>
      <c r="F2799" t="str">
        <f>Raw_Claims_Data!F2798</f>
        <v>CT</v>
      </c>
      <c r="G2799" t="str">
        <f>Raw_Claims_Data!G2798</f>
        <v>A</v>
      </c>
      <c r="H2799" t="str">
        <f>Raw_Claims_Data!H2798</f>
        <v>Major Loss</v>
      </c>
      <c r="I2799" t="str">
        <f>IF(Raw_Claims_Data!I2798="","None",Raw_Claims_Data!I2798)</f>
        <v>Police</v>
      </c>
      <c r="J2799" t="str">
        <f>Raw_Claims_Data!J2798</f>
        <v>Arvada</v>
      </c>
      <c r="K2799" t="str">
        <f>Raw_Claims_Data!K2798</f>
        <v>CO</v>
      </c>
      <c r="L2799">
        <f>Raw_Claims_Data!L2798</f>
        <v>9</v>
      </c>
      <c r="M2799" t="str">
        <f>IF(Raw_Claims_Data!M2798="","N/A",Raw_Claims_Data!M2798)</f>
        <v>VNDR00460</v>
      </c>
      <c r="N2799" t="str">
        <f>Raw_Claims_Data!N2798</f>
        <v>AGENT00251</v>
      </c>
      <c r="O2799">
        <f>IF(Raw_Claims_Data!G2798="D",1,0)</f>
        <v>0</v>
      </c>
    </row>
    <row r="2800" spans="1:15" x14ac:dyDescent="0.35">
      <c r="A2800" t="str">
        <f>Raw_Claims_Data!A2799</f>
        <v>TXN00002796</v>
      </c>
      <c r="B2800" t="str">
        <f>TRIM(Raw_Claims_Data!B2799)</f>
        <v>John James</v>
      </c>
      <c r="C2800" t="str">
        <f>Raw_Claims_Data!C2799</f>
        <v>Mobile</v>
      </c>
      <c r="D2800">
        <f>Raw_Claims_Data!D2799</f>
        <v>8.75</v>
      </c>
      <c r="E2800">
        <f>Raw_Claims_Data!E2799</f>
        <v>600</v>
      </c>
      <c r="F2800" t="str">
        <f>Raw_Claims_Data!F2799</f>
        <v>AL</v>
      </c>
      <c r="G2800" t="str">
        <f>Raw_Claims_Data!G2799</f>
        <v>A</v>
      </c>
      <c r="H2800" t="str">
        <f>Raw_Claims_Data!H2799</f>
        <v>Total Loss</v>
      </c>
      <c r="I2800" t="str">
        <f>IF(Raw_Claims_Data!I2799="","None",Raw_Claims_Data!I2799)</f>
        <v>Ambulance</v>
      </c>
      <c r="J2800" t="str">
        <f>Raw_Claims_Data!J2799</f>
        <v>Panama City</v>
      </c>
      <c r="K2800" t="str">
        <f>Raw_Claims_Data!K2799</f>
        <v>FL</v>
      </c>
      <c r="L2800">
        <f>Raw_Claims_Data!L2799</f>
        <v>3</v>
      </c>
      <c r="M2800" t="str">
        <f>IF(Raw_Claims_Data!M2799="","N/A",Raw_Claims_Data!M2799)</f>
        <v>N/A</v>
      </c>
      <c r="N2800" t="str">
        <f>Raw_Claims_Data!N2799</f>
        <v>AGENT00618</v>
      </c>
      <c r="O2800">
        <f>IF(Raw_Claims_Data!G2799="D",1,0)</f>
        <v>0</v>
      </c>
    </row>
    <row r="2801" spans="1:15" x14ac:dyDescent="0.35">
      <c r="A2801" t="str">
        <f>Raw_Claims_Data!A2800</f>
        <v>TXN00002797</v>
      </c>
      <c r="B2801" t="str">
        <f>TRIM(Raw_Claims_Data!B2800)</f>
        <v>Allison Miller</v>
      </c>
      <c r="C2801" t="str">
        <f>Raw_Claims_Data!C2800</f>
        <v>Travel</v>
      </c>
      <c r="D2801">
        <f>Raw_Claims_Data!D2800</f>
        <v>94.75</v>
      </c>
      <c r="E2801">
        <f>Raw_Claims_Data!E2800</f>
        <v>2000</v>
      </c>
      <c r="F2801" t="str">
        <f>Raw_Claims_Data!F2800</f>
        <v>AK</v>
      </c>
      <c r="G2801" t="str">
        <f>Raw_Claims_Data!G2800</f>
        <v>A</v>
      </c>
      <c r="H2801" t="str">
        <f>Raw_Claims_Data!H2800</f>
        <v>Major Loss</v>
      </c>
      <c r="I2801" t="str">
        <f>IF(Raw_Claims_Data!I2800="","None",Raw_Claims_Data!I2800)</f>
        <v>Ambulance</v>
      </c>
      <c r="J2801" t="str">
        <f>Raw_Claims_Data!J2800</f>
        <v>Fayetteville</v>
      </c>
      <c r="K2801" t="str">
        <f>Raw_Claims_Data!K2800</f>
        <v>AR</v>
      </c>
      <c r="L2801">
        <f>Raw_Claims_Data!L2800</f>
        <v>6</v>
      </c>
      <c r="M2801" t="str">
        <f>IF(Raw_Claims_Data!M2800="","N/A",Raw_Claims_Data!M2800)</f>
        <v>VNDR00248</v>
      </c>
      <c r="N2801" t="str">
        <f>Raw_Claims_Data!N2800</f>
        <v>AGENT00996</v>
      </c>
      <c r="O2801">
        <f>IF(Raw_Claims_Data!G2800="D",1,0)</f>
        <v>0</v>
      </c>
    </row>
    <row r="2802" spans="1:15" x14ac:dyDescent="0.35">
      <c r="A2802" t="str">
        <f>Raw_Claims_Data!A2801</f>
        <v>TXN00002798</v>
      </c>
      <c r="B2802" t="str">
        <f>TRIM(Raw_Claims_Data!B2801)</f>
        <v>David Cerda</v>
      </c>
      <c r="C2802" t="str">
        <f>Raw_Claims_Data!C2801</f>
        <v>Mobile</v>
      </c>
      <c r="D2802">
        <f>Raw_Claims_Data!D2801</f>
        <v>8.9600000000000009</v>
      </c>
      <c r="E2802">
        <f>Raw_Claims_Data!E2801</f>
        <v>500</v>
      </c>
      <c r="F2802" t="str">
        <f>Raw_Claims_Data!F2801</f>
        <v>CA</v>
      </c>
      <c r="G2802" t="str">
        <f>Raw_Claims_Data!G2801</f>
        <v>A</v>
      </c>
      <c r="H2802" t="str">
        <f>Raw_Claims_Data!H2801</f>
        <v>Minor Loss</v>
      </c>
      <c r="I2802" t="str">
        <f>IF(Raw_Claims_Data!I2801="","None",Raw_Claims_Data!I2801)</f>
        <v>None</v>
      </c>
      <c r="J2802" t="str">
        <f>Raw_Claims_Data!J2801</f>
        <v>Oklahoma City</v>
      </c>
      <c r="K2802" t="str">
        <f>Raw_Claims_Data!K2801</f>
        <v>OK</v>
      </c>
      <c r="L2802">
        <f>Raw_Claims_Data!L2801</f>
        <v>16</v>
      </c>
      <c r="M2802" t="str">
        <f>IF(Raw_Claims_Data!M2801="","N/A",Raw_Claims_Data!M2801)</f>
        <v>VNDR00505</v>
      </c>
      <c r="N2802" t="str">
        <f>Raw_Claims_Data!N2801</f>
        <v>AGENT00238</v>
      </c>
      <c r="O2802">
        <f>IF(Raw_Claims_Data!G2801="D",1,0)</f>
        <v>0</v>
      </c>
    </row>
    <row r="2803" spans="1:15" x14ac:dyDescent="0.35">
      <c r="A2803" t="str">
        <f>Raw_Claims_Data!A2802</f>
        <v>TXN00002799</v>
      </c>
      <c r="B2803" t="str">
        <f>TRIM(Raw_Claims_Data!B2802)</f>
        <v>Guadalupe Mcintyre</v>
      </c>
      <c r="C2803" t="str">
        <f>Raw_Claims_Data!C2802</f>
        <v>Property</v>
      </c>
      <c r="D2803">
        <f>Raw_Claims_Data!D2802</f>
        <v>80.8</v>
      </c>
      <c r="E2803">
        <f>Raw_Claims_Data!E2802</f>
        <v>33000</v>
      </c>
      <c r="F2803" t="str">
        <f>Raw_Claims_Data!F2802</f>
        <v>AK</v>
      </c>
      <c r="G2803" t="str">
        <f>Raw_Claims_Data!G2802</f>
        <v>A</v>
      </c>
      <c r="H2803" t="str">
        <f>Raw_Claims_Data!H2802</f>
        <v>Major Loss</v>
      </c>
      <c r="I2803" t="str">
        <f>IF(Raw_Claims_Data!I2802="","None",Raw_Claims_Data!I2802)</f>
        <v>Ambulance</v>
      </c>
      <c r="J2803" t="str">
        <f>Raw_Claims_Data!J2802</f>
        <v>Manchester</v>
      </c>
      <c r="K2803" t="str">
        <f>Raw_Claims_Data!K2802</f>
        <v>CT</v>
      </c>
      <c r="L2803">
        <f>Raw_Claims_Data!L2802</f>
        <v>7</v>
      </c>
      <c r="M2803" t="str">
        <f>IF(Raw_Claims_Data!M2802="","N/A",Raw_Claims_Data!M2802)</f>
        <v>N/A</v>
      </c>
      <c r="N2803" t="str">
        <f>Raw_Claims_Data!N2802</f>
        <v>AGENT00981</v>
      </c>
      <c r="O2803">
        <f>IF(Raw_Claims_Data!G2802="D",1,0)</f>
        <v>0</v>
      </c>
    </row>
    <row r="2804" spans="1:15" x14ac:dyDescent="0.35">
      <c r="A2804" t="str">
        <f>Raw_Claims_Data!A2803</f>
        <v>TXN00002800</v>
      </c>
      <c r="B2804" t="str">
        <f>TRIM(Raw_Claims_Data!B2803)</f>
        <v>Nancy Dominquez</v>
      </c>
      <c r="C2804" t="str">
        <f>Raw_Claims_Data!C2803</f>
        <v>Health</v>
      </c>
      <c r="D2804">
        <f>Raw_Claims_Data!D2803</f>
        <v>134.85</v>
      </c>
      <c r="E2804">
        <f>Raw_Claims_Data!E2803</f>
        <v>2000</v>
      </c>
      <c r="F2804" t="str">
        <f>Raw_Claims_Data!F2803</f>
        <v>OK</v>
      </c>
      <c r="G2804" t="str">
        <f>Raw_Claims_Data!G2803</f>
        <v>A</v>
      </c>
      <c r="H2804" t="str">
        <f>Raw_Claims_Data!H2803</f>
        <v>Major Loss</v>
      </c>
      <c r="I2804" t="str">
        <f>IF(Raw_Claims_Data!I2803="","None",Raw_Claims_Data!I2803)</f>
        <v>Ambulance</v>
      </c>
      <c r="J2804" t="str">
        <f>Raw_Claims_Data!J2803</f>
        <v>Montgomery</v>
      </c>
      <c r="K2804" t="str">
        <f>Raw_Claims_Data!K2803</f>
        <v>AL</v>
      </c>
      <c r="L2804">
        <f>Raw_Claims_Data!L2803</f>
        <v>18</v>
      </c>
      <c r="M2804" t="str">
        <f>IF(Raw_Claims_Data!M2803="","N/A",Raw_Claims_Data!M2803)</f>
        <v>N/A</v>
      </c>
      <c r="N2804" t="str">
        <f>Raw_Claims_Data!N2803</f>
        <v>AGENT00733</v>
      </c>
      <c r="O2804">
        <f>IF(Raw_Claims_Data!G2803="D",1,0)</f>
        <v>0</v>
      </c>
    </row>
    <row r="2805" spans="1:15" x14ac:dyDescent="0.35">
      <c r="A2805" t="str">
        <f>Raw_Claims_Data!A2804</f>
        <v>TXN00002801</v>
      </c>
      <c r="B2805" t="str">
        <f>TRIM(Raw_Claims_Data!B2804)</f>
        <v>William Jackson</v>
      </c>
      <c r="C2805" t="str">
        <f>Raw_Claims_Data!C2804</f>
        <v>Health</v>
      </c>
      <c r="D2805">
        <f>Raw_Claims_Data!D2804</f>
        <v>146.9</v>
      </c>
      <c r="E2805">
        <f>Raw_Claims_Data!E2804</f>
        <v>5000</v>
      </c>
      <c r="F2805" t="str">
        <f>Raw_Claims_Data!F2804</f>
        <v>KY</v>
      </c>
      <c r="G2805" t="str">
        <f>Raw_Claims_Data!G2804</f>
        <v>A</v>
      </c>
      <c r="H2805" t="str">
        <f>Raw_Claims_Data!H2804</f>
        <v>Total Loss</v>
      </c>
      <c r="I2805" t="str">
        <f>IF(Raw_Claims_Data!I2804="","None",Raw_Claims_Data!I2804)</f>
        <v>Police</v>
      </c>
      <c r="J2805" t="str">
        <f>Raw_Claims_Data!J2804</f>
        <v>Brookline</v>
      </c>
      <c r="K2805" t="str">
        <f>Raw_Claims_Data!K2804</f>
        <v>MA</v>
      </c>
      <c r="L2805">
        <f>Raw_Claims_Data!L2804</f>
        <v>1</v>
      </c>
      <c r="M2805" t="str">
        <f>IF(Raw_Claims_Data!M2804="","N/A",Raw_Claims_Data!M2804)</f>
        <v>VNDR00113</v>
      </c>
      <c r="N2805" t="str">
        <f>Raw_Claims_Data!N2804</f>
        <v>AGENT00222</v>
      </c>
      <c r="O2805">
        <f>IF(Raw_Claims_Data!G2804="D",1,0)</f>
        <v>0</v>
      </c>
    </row>
    <row r="2806" spans="1:15" x14ac:dyDescent="0.35">
      <c r="A2806" t="str">
        <f>Raw_Claims_Data!A2805</f>
        <v>TXN00002802</v>
      </c>
      <c r="B2806" t="str">
        <f>TRIM(Raw_Claims_Data!B2805)</f>
        <v>Yolanda Lane</v>
      </c>
      <c r="C2806" t="str">
        <f>Raw_Claims_Data!C2805</f>
        <v>Mobile</v>
      </c>
      <c r="D2806">
        <f>Raw_Claims_Data!D2805</f>
        <v>8.07</v>
      </c>
      <c r="E2806">
        <f>Raw_Claims_Data!E2805</f>
        <v>700</v>
      </c>
      <c r="F2806" t="str">
        <f>Raw_Claims_Data!F2805</f>
        <v>CT</v>
      </c>
      <c r="G2806" t="str">
        <f>Raw_Claims_Data!G2805</f>
        <v>A</v>
      </c>
      <c r="H2806" t="str">
        <f>Raw_Claims_Data!H2805</f>
        <v>Major Loss</v>
      </c>
      <c r="I2806" t="str">
        <f>IF(Raw_Claims_Data!I2805="","None",Raw_Claims_Data!I2805)</f>
        <v>Ambulance</v>
      </c>
      <c r="J2806" t="str">
        <f>Raw_Claims_Data!J2805</f>
        <v>Pasadena</v>
      </c>
      <c r="K2806" t="str">
        <f>Raw_Claims_Data!K2805</f>
        <v>MD</v>
      </c>
      <c r="L2806">
        <f>Raw_Claims_Data!L2805</f>
        <v>19</v>
      </c>
      <c r="M2806" t="str">
        <f>IF(Raw_Claims_Data!M2805="","N/A",Raw_Claims_Data!M2805)</f>
        <v>VNDR00242</v>
      </c>
      <c r="N2806" t="str">
        <f>Raw_Claims_Data!N2805</f>
        <v>AGENT00909</v>
      </c>
      <c r="O2806">
        <f>IF(Raw_Claims_Data!G2805="D",1,0)</f>
        <v>0</v>
      </c>
    </row>
    <row r="2807" spans="1:15" x14ac:dyDescent="0.35">
      <c r="A2807" t="str">
        <f>Raw_Claims_Data!A2806</f>
        <v>TXN00002803</v>
      </c>
      <c r="B2807" t="str">
        <f>TRIM(Raw_Claims_Data!B2806)</f>
        <v>Kevin Barron</v>
      </c>
      <c r="C2807" t="str">
        <f>Raw_Claims_Data!C2806</f>
        <v>Mobile</v>
      </c>
      <c r="D2807">
        <f>Raw_Claims_Data!D2806</f>
        <v>8.4499999999999993</v>
      </c>
      <c r="E2807">
        <f>Raw_Claims_Data!E2806</f>
        <v>100</v>
      </c>
      <c r="F2807" t="str">
        <f>Raw_Claims_Data!F2806</f>
        <v>AR</v>
      </c>
      <c r="G2807" t="str">
        <f>Raw_Claims_Data!G2806</f>
        <v>A</v>
      </c>
      <c r="H2807" t="str">
        <f>Raw_Claims_Data!H2806</f>
        <v>Minor Loss</v>
      </c>
      <c r="I2807" t="str">
        <f>IF(Raw_Claims_Data!I2806="","None",Raw_Claims_Data!I2806)</f>
        <v>Ambulance</v>
      </c>
      <c r="J2807" t="str">
        <f>Raw_Claims_Data!J2806</f>
        <v>Savannah</v>
      </c>
      <c r="K2807" t="str">
        <f>Raw_Claims_Data!K2806</f>
        <v>GA</v>
      </c>
      <c r="L2807">
        <f>Raw_Claims_Data!L2806</f>
        <v>17</v>
      </c>
      <c r="M2807" t="str">
        <f>IF(Raw_Claims_Data!M2806="","N/A",Raw_Claims_Data!M2806)</f>
        <v>VNDR00108</v>
      </c>
      <c r="N2807" t="str">
        <f>Raw_Claims_Data!N2806</f>
        <v>AGENT01062</v>
      </c>
      <c r="O2807">
        <f>IF(Raw_Claims_Data!G2806="D",1,0)</f>
        <v>0</v>
      </c>
    </row>
    <row r="2808" spans="1:15" x14ac:dyDescent="0.35">
      <c r="A2808" t="str">
        <f>Raw_Claims_Data!A2807</f>
        <v>TXN00002804</v>
      </c>
      <c r="B2808" t="str">
        <f>TRIM(Raw_Claims_Data!B2807)</f>
        <v>Lourdes Jefferson</v>
      </c>
      <c r="C2808" t="str">
        <f>Raw_Claims_Data!C2807</f>
        <v>Life</v>
      </c>
      <c r="D2808">
        <f>Raw_Claims_Data!D2807</f>
        <v>70.5</v>
      </c>
      <c r="E2808">
        <f>Raw_Claims_Data!E2807</f>
        <v>93000</v>
      </c>
      <c r="F2808" t="str">
        <f>Raw_Claims_Data!F2807</f>
        <v>AR</v>
      </c>
      <c r="G2808" t="str">
        <f>Raw_Claims_Data!G2807</f>
        <v>A</v>
      </c>
      <c r="H2808" t="str">
        <f>Raw_Claims_Data!H2807</f>
        <v>Minor Loss</v>
      </c>
      <c r="I2808" t="str">
        <f>IF(Raw_Claims_Data!I2807="","None",Raw_Claims_Data!I2807)</f>
        <v>Police</v>
      </c>
      <c r="J2808" t="str">
        <f>Raw_Claims_Data!J2807</f>
        <v>Oklahoma City</v>
      </c>
      <c r="K2808" t="str">
        <f>Raw_Claims_Data!K2807</f>
        <v>OK</v>
      </c>
      <c r="L2808">
        <f>Raw_Claims_Data!L2807</f>
        <v>10</v>
      </c>
      <c r="M2808" t="str">
        <f>IF(Raw_Claims_Data!M2807="","N/A",Raw_Claims_Data!M2807)</f>
        <v>N/A</v>
      </c>
      <c r="N2808" t="str">
        <f>Raw_Claims_Data!N2807</f>
        <v>AGENT00902</v>
      </c>
      <c r="O2808">
        <f>IF(Raw_Claims_Data!G2807="D",1,0)</f>
        <v>0</v>
      </c>
    </row>
    <row r="2809" spans="1:15" x14ac:dyDescent="0.35">
      <c r="A2809" t="str">
        <f>Raw_Claims_Data!A2808</f>
        <v>TXN00002805</v>
      </c>
      <c r="B2809" t="str">
        <f>TRIM(Raw_Claims_Data!B2808)</f>
        <v>Mary Huss</v>
      </c>
      <c r="C2809" t="str">
        <f>Raw_Claims_Data!C2808</f>
        <v>Health</v>
      </c>
      <c r="D2809">
        <f>Raw_Claims_Data!D2808</f>
        <v>163.21</v>
      </c>
      <c r="E2809">
        <f>Raw_Claims_Data!E2808</f>
        <v>10000</v>
      </c>
      <c r="F2809" t="str">
        <f>Raw_Claims_Data!F2808</f>
        <v>KY</v>
      </c>
      <c r="G2809" t="str">
        <f>Raw_Claims_Data!G2808</f>
        <v>A</v>
      </c>
      <c r="H2809" t="str">
        <f>Raw_Claims_Data!H2808</f>
        <v>Major Loss</v>
      </c>
      <c r="I2809" t="str">
        <f>IF(Raw_Claims_Data!I2808="","None",Raw_Claims_Data!I2808)</f>
        <v>Ambulance</v>
      </c>
      <c r="J2809" t="str">
        <f>Raw_Claims_Data!J2808</f>
        <v>Manchester</v>
      </c>
      <c r="K2809" t="str">
        <f>Raw_Claims_Data!K2808</f>
        <v>CT</v>
      </c>
      <c r="L2809">
        <f>Raw_Claims_Data!L2808</f>
        <v>1</v>
      </c>
      <c r="M2809" t="str">
        <f>IF(Raw_Claims_Data!M2808="","N/A",Raw_Claims_Data!M2808)</f>
        <v>VNDR00330</v>
      </c>
      <c r="N2809" t="str">
        <f>Raw_Claims_Data!N2808</f>
        <v>AGENT00323</v>
      </c>
      <c r="O2809">
        <f>IF(Raw_Claims_Data!G2808="D",1,0)</f>
        <v>0</v>
      </c>
    </row>
    <row r="2810" spans="1:15" x14ac:dyDescent="0.35">
      <c r="A2810" t="str">
        <f>Raw_Claims_Data!A2809</f>
        <v>TXN00002806</v>
      </c>
      <c r="B2810" t="str">
        <f>TRIM(Raw_Claims_Data!B2809)</f>
        <v>Ronald Lalonde</v>
      </c>
      <c r="C2810" t="str">
        <f>Raw_Claims_Data!C2809</f>
        <v>Life</v>
      </c>
      <c r="D2810">
        <f>Raw_Claims_Data!D2809</f>
        <v>71.739999999999995</v>
      </c>
      <c r="E2810">
        <f>Raw_Claims_Data!E2809</f>
        <v>10000</v>
      </c>
      <c r="F2810" t="str">
        <f>Raw_Claims_Data!F2809</f>
        <v>AZ</v>
      </c>
      <c r="G2810" t="str">
        <f>Raw_Claims_Data!G2809</f>
        <v>A</v>
      </c>
      <c r="H2810" t="str">
        <f>Raw_Claims_Data!H2809</f>
        <v>Major Loss</v>
      </c>
      <c r="I2810" t="str">
        <f>IF(Raw_Claims_Data!I2809="","None",Raw_Claims_Data!I2809)</f>
        <v>Other</v>
      </c>
      <c r="J2810" t="str">
        <f>Raw_Claims_Data!J2809</f>
        <v>Manchester</v>
      </c>
      <c r="K2810" t="str">
        <f>Raw_Claims_Data!K2809</f>
        <v>CT</v>
      </c>
      <c r="L2810">
        <f>Raw_Claims_Data!L2809</f>
        <v>14</v>
      </c>
      <c r="M2810" t="str">
        <f>IF(Raw_Claims_Data!M2809="","N/A",Raw_Claims_Data!M2809)</f>
        <v>VNDR00162</v>
      </c>
      <c r="N2810" t="str">
        <f>Raw_Claims_Data!N2809</f>
        <v>AGENT00794</v>
      </c>
      <c r="O2810">
        <f>IF(Raw_Claims_Data!G2809="D",1,0)</f>
        <v>0</v>
      </c>
    </row>
    <row r="2811" spans="1:15" x14ac:dyDescent="0.35">
      <c r="A2811" t="str">
        <f>Raw_Claims_Data!A2810</f>
        <v>TXN00002807</v>
      </c>
      <c r="B2811" t="str">
        <f>TRIM(Raw_Claims_Data!B2810)</f>
        <v>Thomas Smith</v>
      </c>
      <c r="C2811" t="str">
        <f>Raw_Claims_Data!C2810</f>
        <v>Travel</v>
      </c>
      <c r="D2811">
        <f>Raw_Claims_Data!D2810</f>
        <v>79.099999999999994</v>
      </c>
      <c r="E2811">
        <f>Raw_Claims_Data!E2810</f>
        <v>4000</v>
      </c>
      <c r="F2811" t="str">
        <f>Raw_Claims_Data!F2810</f>
        <v>CT</v>
      </c>
      <c r="G2811" t="str">
        <f>Raw_Claims_Data!G2810</f>
        <v>A</v>
      </c>
      <c r="H2811" t="str">
        <f>Raw_Claims_Data!H2810</f>
        <v>Total Loss</v>
      </c>
      <c r="I2811" t="str">
        <f>IF(Raw_Claims_Data!I2810="","None",Raw_Claims_Data!I2810)</f>
        <v>Police</v>
      </c>
      <c r="J2811" t="str">
        <f>Raw_Claims_Data!J2810</f>
        <v>Thunderbolt</v>
      </c>
      <c r="K2811" t="str">
        <f>Raw_Claims_Data!K2810</f>
        <v>GA</v>
      </c>
      <c r="L2811">
        <f>Raw_Claims_Data!L2810</f>
        <v>1</v>
      </c>
      <c r="M2811" t="str">
        <f>IF(Raw_Claims_Data!M2810="","N/A",Raw_Claims_Data!M2810)</f>
        <v>N/A</v>
      </c>
      <c r="N2811" t="str">
        <f>Raw_Claims_Data!N2810</f>
        <v>AGENT00608</v>
      </c>
      <c r="O2811">
        <f>IF(Raw_Claims_Data!G2810="D",1,0)</f>
        <v>0</v>
      </c>
    </row>
    <row r="2812" spans="1:15" x14ac:dyDescent="0.35">
      <c r="A2812" t="str">
        <f>Raw_Claims_Data!A2811</f>
        <v>TXN00002808</v>
      </c>
      <c r="B2812" t="str">
        <f>TRIM(Raw_Claims_Data!B2811)</f>
        <v>Hien Ritchie</v>
      </c>
      <c r="C2812" t="str">
        <f>Raw_Claims_Data!C2811</f>
        <v>Life</v>
      </c>
      <c r="D2812">
        <f>Raw_Claims_Data!D2811</f>
        <v>52.45</v>
      </c>
      <c r="E2812">
        <f>Raw_Claims_Data!E2811</f>
        <v>43000</v>
      </c>
      <c r="F2812" t="str">
        <f>Raw_Claims_Data!F2811</f>
        <v>CA</v>
      </c>
      <c r="G2812" t="str">
        <f>Raw_Claims_Data!G2811</f>
        <v>A</v>
      </c>
      <c r="H2812" t="str">
        <f>Raw_Claims_Data!H2811</f>
        <v>Major Loss</v>
      </c>
      <c r="I2812" t="str">
        <f>IF(Raw_Claims_Data!I2811="","None",Raw_Claims_Data!I2811)</f>
        <v>None</v>
      </c>
      <c r="J2812" t="str">
        <f>Raw_Claims_Data!J2811</f>
        <v>Panama City</v>
      </c>
      <c r="K2812" t="str">
        <f>Raw_Claims_Data!K2811</f>
        <v>FL</v>
      </c>
      <c r="L2812">
        <f>Raw_Claims_Data!L2811</f>
        <v>17</v>
      </c>
      <c r="M2812" t="str">
        <f>IF(Raw_Claims_Data!M2811="","N/A",Raw_Claims_Data!M2811)</f>
        <v>N/A</v>
      </c>
      <c r="N2812" t="str">
        <f>Raw_Claims_Data!N2811</f>
        <v>AGENT00495</v>
      </c>
      <c r="O2812">
        <f>IF(Raw_Claims_Data!G2811="D",1,0)</f>
        <v>0</v>
      </c>
    </row>
    <row r="2813" spans="1:15" x14ac:dyDescent="0.35">
      <c r="A2813" t="str">
        <f>Raw_Claims_Data!A2812</f>
        <v>TXN00002809</v>
      </c>
      <c r="B2813" t="str">
        <f>TRIM(Raw_Claims_Data!B2812)</f>
        <v>Daniel King</v>
      </c>
      <c r="C2813" t="str">
        <f>Raw_Claims_Data!C2812</f>
        <v>Travel</v>
      </c>
      <c r="D2813">
        <f>Raw_Claims_Data!D2812</f>
        <v>57.75</v>
      </c>
      <c r="E2813">
        <f>Raw_Claims_Data!E2812</f>
        <v>1000</v>
      </c>
      <c r="F2813" t="str">
        <f>Raw_Claims_Data!F2812</f>
        <v>KY</v>
      </c>
      <c r="G2813" t="str">
        <f>Raw_Claims_Data!G2812</f>
        <v>A</v>
      </c>
      <c r="H2813" t="str">
        <f>Raw_Claims_Data!H2812</f>
        <v>Total Loss</v>
      </c>
      <c r="I2813" t="str">
        <f>IF(Raw_Claims_Data!I2812="","None",Raw_Claims_Data!I2812)</f>
        <v>Police</v>
      </c>
      <c r="J2813" t="str">
        <f>Raw_Claims_Data!J2812</f>
        <v>San Jose</v>
      </c>
      <c r="K2813" t="str">
        <f>Raw_Claims_Data!K2812</f>
        <v>CA</v>
      </c>
      <c r="L2813">
        <f>Raw_Claims_Data!L2812</f>
        <v>17</v>
      </c>
      <c r="M2813" t="str">
        <f>IF(Raw_Claims_Data!M2812="","N/A",Raw_Claims_Data!M2812)</f>
        <v>N/A</v>
      </c>
      <c r="N2813" t="str">
        <f>Raw_Claims_Data!N2812</f>
        <v>AGENT00552</v>
      </c>
      <c r="O2813">
        <f>IF(Raw_Claims_Data!G2812="D",1,0)</f>
        <v>0</v>
      </c>
    </row>
    <row r="2814" spans="1:15" x14ac:dyDescent="0.35">
      <c r="A2814" t="str">
        <f>Raw_Claims_Data!A2813</f>
        <v>TXN00002810</v>
      </c>
      <c r="B2814" t="str">
        <f>TRIM(Raw_Claims_Data!B2813)</f>
        <v>Ronny Swanson</v>
      </c>
      <c r="C2814" t="str">
        <f>Raw_Claims_Data!C2813</f>
        <v>Travel</v>
      </c>
      <c r="D2814">
        <f>Raw_Claims_Data!D2813</f>
        <v>63.53</v>
      </c>
      <c r="E2814">
        <f>Raw_Claims_Data!E2813</f>
        <v>3000</v>
      </c>
      <c r="F2814" t="str">
        <f>Raw_Claims_Data!F2813</f>
        <v>CO</v>
      </c>
      <c r="G2814" t="str">
        <f>Raw_Claims_Data!G2813</f>
        <v>A</v>
      </c>
      <c r="H2814" t="str">
        <f>Raw_Claims_Data!H2813</f>
        <v>Total Loss</v>
      </c>
      <c r="I2814" t="str">
        <f>IF(Raw_Claims_Data!I2813="","None",Raw_Claims_Data!I2813)</f>
        <v>Other</v>
      </c>
      <c r="J2814" t="str">
        <f>Raw_Claims_Data!J2813</f>
        <v>Tewksbury</v>
      </c>
      <c r="K2814" t="str">
        <f>Raw_Claims_Data!K2813</f>
        <v>MA</v>
      </c>
      <c r="L2814">
        <f>Raw_Claims_Data!L2813</f>
        <v>17</v>
      </c>
      <c r="M2814" t="str">
        <f>IF(Raw_Claims_Data!M2813="","N/A",Raw_Claims_Data!M2813)</f>
        <v>VNDR00267</v>
      </c>
      <c r="N2814" t="str">
        <f>Raw_Claims_Data!N2813</f>
        <v>AGENT00722</v>
      </c>
      <c r="O2814">
        <f>IF(Raw_Claims_Data!G2813="D",1,0)</f>
        <v>0</v>
      </c>
    </row>
    <row r="2815" spans="1:15" x14ac:dyDescent="0.35">
      <c r="A2815" t="str">
        <f>Raw_Claims_Data!A2814</f>
        <v>TXN00002811</v>
      </c>
      <c r="B2815" t="str">
        <f>TRIM(Raw_Claims_Data!B2814)</f>
        <v>George Schmidt</v>
      </c>
      <c r="C2815" t="str">
        <f>Raw_Claims_Data!C2814</f>
        <v>Life</v>
      </c>
      <c r="D2815">
        <f>Raw_Claims_Data!D2814</f>
        <v>87.16</v>
      </c>
      <c r="E2815">
        <f>Raw_Claims_Data!E2814</f>
        <v>42000</v>
      </c>
      <c r="F2815" t="str">
        <f>Raw_Claims_Data!F2814</f>
        <v>OK</v>
      </c>
      <c r="G2815" t="str">
        <f>Raw_Claims_Data!G2814</f>
        <v>D</v>
      </c>
      <c r="H2815" t="str">
        <f>Raw_Claims_Data!H2814</f>
        <v>Minor Loss</v>
      </c>
      <c r="I2815" t="str">
        <f>IF(Raw_Claims_Data!I2814="","None",Raw_Claims_Data!I2814)</f>
        <v>Ambulance</v>
      </c>
      <c r="J2815" t="str">
        <f>Raw_Claims_Data!J2814</f>
        <v>Anchorage</v>
      </c>
      <c r="K2815" t="str">
        <f>Raw_Claims_Data!K2814</f>
        <v>AK</v>
      </c>
      <c r="L2815">
        <f>Raw_Claims_Data!L2814</f>
        <v>6</v>
      </c>
      <c r="M2815" t="str">
        <f>IF(Raw_Claims_Data!M2814="","N/A",Raw_Claims_Data!M2814)</f>
        <v>N/A</v>
      </c>
      <c r="N2815" t="str">
        <f>Raw_Claims_Data!N2814</f>
        <v>AGENT00413</v>
      </c>
      <c r="O2815">
        <f>IF(Raw_Claims_Data!G2814="D",1,0)</f>
        <v>1</v>
      </c>
    </row>
    <row r="2816" spans="1:15" x14ac:dyDescent="0.35">
      <c r="A2816" t="str">
        <f>Raw_Claims_Data!A2815</f>
        <v>TXN00002812</v>
      </c>
      <c r="B2816" t="str">
        <f>TRIM(Raw_Claims_Data!B2815)</f>
        <v>Jeffrey Pullman</v>
      </c>
      <c r="C2816" t="str">
        <f>Raw_Claims_Data!C2815</f>
        <v>Property</v>
      </c>
      <c r="D2816">
        <f>Raw_Claims_Data!D2815</f>
        <v>128.12</v>
      </c>
      <c r="E2816">
        <f>Raw_Claims_Data!E2815</f>
        <v>11000</v>
      </c>
      <c r="F2816" t="str">
        <f>Raw_Claims_Data!F2815</f>
        <v>AR</v>
      </c>
      <c r="G2816" t="str">
        <f>Raw_Claims_Data!G2815</f>
        <v>A</v>
      </c>
      <c r="H2816" t="str">
        <f>Raw_Claims_Data!H2815</f>
        <v>Total Loss</v>
      </c>
      <c r="I2816" t="str">
        <f>IF(Raw_Claims_Data!I2815="","None",Raw_Claims_Data!I2815)</f>
        <v>Ambulance</v>
      </c>
      <c r="J2816" t="str">
        <f>Raw_Claims_Data!J2815</f>
        <v>Manchester</v>
      </c>
      <c r="K2816" t="str">
        <f>Raw_Claims_Data!K2815</f>
        <v>CT</v>
      </c>
      <c r="L2816">
        <f>Raw_Claims_Data!L2815</f>
        <v>0</v>
      </c>
      <c r="M2816" t="str">
        <f>IF(Raw_Claims_Data!M2815="","N/A",Raw_Claims_Data!M2815)</f>
        <v>N/A</v>
      </c>
      <c r="N2816" t="str">
        <f>Raw_Claims_Data!N2815</f>
        <v>AGENT00644</v>
      </c>
      <c r="O2816">
        <f>IF(Raw_Claims_Data!G2815="D",1,0)</f>
        <v>0</v>
      </c>
    </row>
    <row r="2817" spans="1:15" x14ac:dyDescent="0.35">
      <c r="A2817" t="str">
        <f>Raw_Claims_Data!A2816</f>
        <v>TXN00002813</v>
      </c>
      <c r="B2817" t="str">
        <f>TRIM(Raw_Claims_Data!B2816)</f>
        <v>Betty Kolb</v>
      </c>
      <c r="C2817" t="str">
        <f>Raw_Claims_Data!C2816</f>
        <v>Travel</v>
      </c>
      <c r="D2817">
        <f>Raw_Claims_Data!D2816</f>
        <v>86.4</v>
      </c>
      <c r="E2817">
        <f>Raw_Claims_Data!E2816</f>
        <v>4000</v>
      </c>
      <c r="F2817" t="str">
        <f>Raw_Claims_Data!F2816</f>
        <v>TN</v>
      </c>
      <c r="G2817" t="str">
        <f>Raw_Claims_Data!G2816</f>
        <v>A</v>
      </c>
      <c r="H2817" t="str">
        <f>Raw_Claims_Data!H2816</f>
        <v>Minor Loss</v>
      </c>
      <c r="I2817" t="str">
        <f>IF(Raw_Claims_Data!I2816="","None",Raw_Claims_Data!I2816)</f>
        <v>Ambulance</v>
      </c>
      <c r="J2817" t="str">
        <f>Raw_Claims_Data!J2816</f>
        <v>Littleton</v>
      </c>
      <c r="K2817" t="str">
        <f>Raw_Claims_Data!K2816</f>
        <v>CO</v>
      </c>
      <c r="L2817">
        <f>Raw_Claims_Data!L2816</f>
        <v>22</v>
      </c>
      <c r="M2817" t="str">
        <f>IF(Raw_Claims_Data!M2816="","N/A",Raw_Claims_Data!M2816)</f>
        <v>VNDR00562</v>
      </c>
      <c r="N2817" t="str">
        <f>Raw_Claims_Data!N2816</f>
        <v>AGENT00797</v>
      </c>
      <c r="O2817">
        <f>IF(Raw_Claims_Data!G2816="D",1,0)</f>
        <v>0</v>
      </c>
    </row>
    <row r="2818" spans="1:15" x14ac:dyDescent="0.35">
      <c r="A2818" t="str">
        <f>Raw_Claims_Data!A2817</f>
        <v>TXN00002814</v>
      </c>
      <c r="B2818" t="str">
        <f>TRIM(Raw_Claims_Data!B2817)</f>
        <v>Amy Alfonso</v>
      </c>
      <c r="C2818" t="str">
        <f>Raw_Claims_Data!C2817</f>
        <v>Motor</v>
      </c>
      <c r="D2818">
        <f>Raw_Claims_Data!D2817</f>
        <v>118.73</v>
      </c>
      <c r="E2818">
        <f>Raw_Claims_Data!E2817</f>
        <v>3000</v>
      </c>
      <c r="F2818" t="str">
        <f>Raw_Claims_Data!F2817</f>
        <v>CA</v>
      </c>
      <c r="G2818" t="str">
        <f>Raw_Claims_Data!G2817</f>
        <v>A</v>
      </c>
      <c r="H2818" t="str">
        <f>Raw_Claims_Data!H2817</f>
        <v>Major Loss</v>
      </c>
      <c r="I2818" t="str">
        <f>IF(Raw_Claims_Data!I2817="","None",Raw_Claims_Data!I2817)</f>
        <v>Ambulance</v>
      </c>
      <c r="J2818" t="str">
        <f>Raw_Claims_Data!J2817</f>
        <v>Oklahoma City</v>
      </c>
      <c r="K2818" t="str">
        <f>Raw_Claims_Data!K2817</f>
        <v>OK</v>
      </c>
      <c r="L2818">
        <f>Raw_Claims_Data!L2817</f>
        <v>21</v>
      </c>
      <c r="M2818" t="str">
        <f>IF(Raw_Claims_Data!M2817="","N/A",Raw_Claims_Data!M2817)</f>
        <v>VNDR00031</v>
      </c>
      <c r="N2818" t="str">
        <f>Raw_Claims_Data!N2817</f>
        <v>AGENT00357</v>
      </c>
      <c r="O2818">
        <f>IF(Raw_Claims_Data!G2817="D",1,0)</f>
        <v>0</v>
      </c>
    </row>
    <row r="2819" spans="1:15" x14ac:dyDescent="0.35">
      <c r="A2819" t="str">
        <f>Raw_Claims_Data!A2818</f>
        <v>TXN00002815</v>
      </c>
      <c r="B2819" t="str">
        <f>TRIM(Raw_Claims_Data!B2818)</f>
        <v>Barry Telschow</v>
      </c>
      <c r="C2819" t="str">
        <f>Raw_Claims_Data!C2818</f>
        <v>Travel</v>
      </c>
      <c r="D2819">
        <f>Raw_Claims_Data!D2818</f>
        <v>58.8</v>
      </c>
      <c r="E2819">
        <f>Raw_Claims_Data!E2818</f>
        <v>1000</v>
      </c>
      <c r="F2819" t="str">
        <f>Raw_Claims_Data!F2818</f>
        <v>MD</v>
      </c>
      <c r="G2819" t="str">
        <f>Raw_Claims_Data!G2818</f>
        <v>A</v>
      </c>
      <c r="H2819" t="str">
        <f>Raw_Claims_Data!H2818</f>
        <v>Major Loss</v>
      </c>
      <c r="I2819" t="str">
        <f>IF(Raw_Claims_Data!I2818="","None",Raw_Claims_Data!I2818)</f>
        <v>Ambulance</v>
      </c>
      <c r="J2819" t="str">
        <f>Raw_Claims_Data!J2818</f>
        <v>Louisville</v>
      </c>
      <c r="K2819" t="str">
        <f>Raw_Claims_Data!K2818</f>
        <v>KY</v>
      </c>
      <c r="L2819">
        <f>Raw_Claims_Data!L2818</f>
        <v>15</v>
      </c>
      <c r="M2819" t="str">
        <f>IF(Raw_Claims_Data!M2818="","N/A",Raw_Claims_Data!M2818)</f>
        <v>VNDR00289</v>
      </c>
      <c r="N2819" t="str">
        <f>Raw_Claims_Data!N2818</f>
        <v>AGENT00199</v>
      </c>
      <c r="O2819">
        <f>IF(Raw_Claims_Data!G2818="D",1,0)</f>
        <v>0</v>
      </c>
    </row>
    <row r="2820" spans="1:15" x14ac:dyDescent="0.35">
      <c r="A2820" t="str">
        <f>Raw_Claims_Data!A2819</f>
        <v>TXN00002816</v>
      </c>
      <c r="B2820" t="str">
        <f>TRIM(Raw_Claims_Data!B2819)</f>
        <v>Karen Mcclallen</v>
      </c>
      <c r="C2820" t="str">
        <f>Raw_Claims_Data!C2819</f>
        <v>Property</v>
      </c>
      <c r="D2820">
        <f>Raw_Claims_Data!D2819</f>
        <v>85.48</v>
      </c>
      <c r="E2820">
        <f>Raw_Claims_Data!E2819</f>
        <v>23000</v>
      </c>
      <c r="F2820" t="str">
        <f>Raw_Claims_Data!F2819</f>
        <v>CA</v>
      </c>
      <c r="G2820" t="str">
        <f>Raw_Claims_Data!G2819</f>
        <v>D</v>
      </c>
      <c r="H2820" t="str">
        <f>Raw_Claims_Data!H2819</f>
        <v>Minor Loss</v>
      </c>
      <c r="I2820" t="str">
        <f>IF(Raw_Claims_Data!I2819="","None",Raw_Claims_Data!I2819)</f>
        <v>Police</v>
      </c>
      <c r="J2820" t="str">
        <f>Raw_Claims_Data!J2819</f>
        <v>Fayetteville</v>
      </c>
      <c r="K2820" t="str">
        <f>Raw_Claims_Data!K2819</f>
        <v>AR</v>
      </c>
      <c r="L2820">
        <f>Raw_Claims_Data!L2819</f>
        <v>23</v>
      </c>
      <c r="M2820" t="str">
        <f>IF(Raw_Claims_Data!M2819="","N/A",Raw_Claims_Data!M2819)</f>
        <v>N/A</v>
      </c>
      <c r="N2820" t="str">
        <f>Raw_Claims_Data!N2819</f>
        <v>AGENT00632</v>
      </c>
      <c r="O2820">
        <f>IF(Raw_Claims_Data!G2819="D",1,0)</f>
        <v>1</v>
      </c>
    </row>
    <row r="2821" spans="1:15" x14ac:dyDescent="0.35">
      <c r="A2821" t="str">
        <f>Raw_Claims_Data!A2820</f>
        <v>TXN00002817</v>
      </c>
      <c r="B2821" t="str">
        <f>TRIM(Raw_Claims_Data!B2820)</f>
        <v>Troy Costa</v>
      </c>
      <c r="C2821" t="str">
        <f>Raw_Claims_Data!C2820</f>
        <v>Health</v>
      </c>
      <c r="D2821">
        <f>Raw_Claims_Data!D2820</f>
        <v>190.89</v>
      </c>
      <c r="E2821">
        <f>Raw_Claims_Data!E2820</f>
        <v>11000</v>
      </c>
      <c r="F2821" t="str">
        <f>Raw_Claims_Data!F2820</f>
        <v>AZ</v>
      </c>
      <c r="G2821" t="str">
        <f>Raw_Claims_Data!G2820</f>
        <v>A</v>
      </c>
      <c r="H2821" t="str">
        <f>Raw_Claims_Data!H2820</f>
        <v>Minor Loss</v>
      </c>
      <c r="I2821" t="str">
        <f>IF(Raw_Claims_Data!I2820="","None",Raw_Claims_Data!I2820)</f>
        <v>Police</v>
      </c>
      <c r="J2821" t="str">
        <f>Raw_Claims_Data!J2820</f>
        <v>Nashville</v>
      </c>
      <c r="K2821" t="str">
        <f>Raw_Claims_Data!K2820</f>
        <v>TN</v>
      </c>
      <c r="L2821">
        <f>Raw_Claims_Data!L2820</f>
        <v>6</v>
      </c>
      <c r="M2821" t="str">
        <f>IF(Raw_Claims_Data!M2820="","N/A",Raw_Claims_Data!M2820)</f>
        <v>N/A</v>
      </c>
      <c r="N2821" t="str">
        <f>Raw_Claims_Data!N2820</f>
        <v>AGENT00508</v>
      </c>
      <c r="O2821">
        <f>IF(Raw_Claims_Data!G2820="D",1,0)</f>
        <v>0</v>
      </c>
    </row>
    <row r="2822" spans="1:15" x14ac:dyDescent="0.35">
      <c r="A2822" t="str">
        <f>Raw_Claims_Data!A2821</f>
        <v>TXN00002818</v>
      </c>
      <c r="B2822" t="str">
        <f>TRIM(Raw_Claims_Data!B2821)</f>
        <v>Tim Hill</v>
      </c>
      <c r="C2822" t="str">
        <f>Raw_Claims_Data!C2821</f>
        <v>Property</v>
      </c>
      <c r="D2822">
        <f>Raw_Claims_Data!D2821</f>
        <v>123.94</v>
      </c>
      <c r="E2822">
        <f>Raw_Claims_Data!E2821</f>
        <v>17000</v>
      </c>
      <c r="F2822" t="str">
        <f>Raw_Claims_Data!F2821</f>
        <v>AL</v>
      </c>
      <c r="G2822" t="str">
        <f>Raw_Claims_Data!G2821</f>
        <v>A</v>
      </c>
      <c r="H2822" t="str">
        <f>Raw_Claims_Data!H2821</f>
        <v>Minor Loss</v>
      </c>
      <c r="I2822" t="str">
        <f>IF(Raw_Claims_Data!I2821="","None",Raw_Claims_Data!I2821)</f>
        <v>Police</v>
      </c>
      <c r="J2822" t="str">
        <f>Raw_Claims_Data!J2821</f>
        <v>Washington</v>
      </c>
      <c r="K2822" t="str">
        <f>Raw_Claims_Data!K2821</f>
        <v>DC</v>
      </c>
      <c r="L2822">
        <f>Raw_Claims_Data!L2821</f>
        <v>20</v>
      </c>
      <c r="M2822" t="str">
        <f>IF(Raw_Claims_Data!M2821="","N/A",Raw_Claims_Data!M2821)</f>
        <v>VNDR00137</v>
      </c>
      <c r="N2822" t="str">
        <f>Raw_Claims_Data!N2821</f>
        <v>AGENT00987</v>
      </c>
      <c r="O2822">
        <f>IF(Raw_Claims_Data!G2821="D",1,0)</f>
        <v>0</v>
      </c>
    </row>
    <row r="2823" spans="1:15" x14ac:dyDescent="0.35">
      <c r="A2823" t="str">
        <f>Raw_Claims_Data!A2822</f>
        <v>TXN00002819</v>
      </c>
      <c r="B2823" t="str">
        <f>TRIM(Raw_Claims_Data!B2822)</f>
        <v>Harold Jones</v>
      </c>
      <c r="C2823" t="str">
        <f>Raw_Claims_Data!C2822</f>
        <v>Life</v>
      </c>
      <c r="D2823">
        <f>Raw_Claims_Data!D2822</f>
        <v>74.930000000000007</v>
      </c>
      <c r="E2823">
        <f>Raw_Claims_Data!E2822</f>
        <v>96000</v>
      </c>
      <c r="F2823" t="str">
        <f>Raw_Claims_Data!F2822</f>
        <v>VT</v>
      </c>
      <c r="G2823" t="str">
        <f>Raw_Claims_Data!G2822</f>
        <v>A</v>
      </c>
      <c r="H2823" t="str">
        <f>Raw_Claims_Data!H2822</f>
        <v>Total Loss</v>
      </c>
      <c r="I2823" t="str">
        <f>IF(Raw_Claims_Data!I2822="","None",Raw_Claims_Data!I2822)</f>
        <v>Ambulance</v>
      </c>
      <c r="J2823" t="str">
        <f>Raw_Claims_Data!J2822</f>
        <v>Panama City</v>
      </c>
      <c r="K2823" t="str">
        <f>Raw_Claims_Data!K2822</f>
        <v>FL</v>
      </c>
      <c r="L2823">
        <f>Raw_Claims_Data!L2822</f>
        <v>15</v>
      </c>
      <c r="M2823" t="str">
        <f>IF(Raw_Claims_Data!M2822="","N/A",Raw_Claims_Data!M2822)</f>
        <v>VNDR00339</v>
      </c>
      <c r="N2823" t="str">
        <f>Raw_Claims_Data!N2822</f>
        <v>AGENT01072</v>
      </c>
      <c r="O2823">
        <f>IF(Raw_Claims_Data!G2822="D",1,0)</f>
        <v>0</v>
      </c>
    </row>
    <row r="2824" spans="1:15" x14ac:dyDescent="0.35">
      <c r="A2824" t="str">
        <f>Raw_Claims_Data!A2823</f>
        <v>TXN00002820</v>
      </c>
      <c r="B2824" t="str">
        <f>TRIM(Raw_Claims_Data!B2823)</f>
        <v>James Poling</v>
      </c>
      <c r="C2824" t="str">
        <f>Raw_Claims_Data!C2823</f>
        <v>Health</v>
      </c>
      <c r="D2824">
        <f>Raw_Claims_Data!D2823</f>
        <v>113.7</v>
      </c>
      <c r="E2824">
        <f>Raw_Claims_Data!E2823</f>
        <v>3000</v>
      </c>
      <c r="F2824" t="str">
        <f>Raw_Claims_Data!F2823</f>
        <v>AL</v>
      </c>
      <c r="G2824" t="str">
        <f>Raw_Claims_Data!G2823</f>
        <v>A</v>
      </c>
      <c r="H2824" t="str">
        <f>Raw_Claims_Data!H2823</f>
        <v>Major Loss</v>
      </c>
      <c r="I2824" t="str">
        <f>IF(Raw_Claims_Data!I2823="","None",Raw_Claims_Data!I2823)</f>
        <v>Ambulance</v>
      </c>
      <c r="J2824" t="str">
        <f>Raw_Claims_Data!J2823</f>
        <v>Fayetteville</v>
      </c>
      <c r="K2824" t="str">
        <f>Raw_Claims_Data!K2823</f>
        <v>AR</v>
      </c>
      <c r="L2824">
        <f>Raw_Claims_Data!L2823</f>
        <v>1</v>
      </c>
      <c r="M2824" t="str">
        <f>IF(Raw_Claims_Data!M2823="","N/A",Raw_Claims_Data!M2823)</f>
        <v>VNDR00098</v>
      </c>
      <c r="N2824" t="str">
        <f>Raw_Claims_Data!N2823</f>
        <v>AGENT01010</v>
      </c>
      <c r="O2824">
        <f>IF(Raw_Claims_Data!G2823="D",1,0)</f>
        <v>0</v>
      </c>
    </row>
    <row r="2825" spans="1:15" x14ac:dyDescent="0.35">
      <c r="A2825" t="str">
        <f>Raw_Claims_Data!A2824</f>
        <v>TXN00002821</v>
      </c>
      <c r="B2825" t="str">
        <f>TRIM(Raw_Claims_Data!B2824)</f>
        <v>Donna Chestnut</v>
      </c>
      <c r="C2825" t="str">
        <f>Raw_Claims_Data!C2824</f>
        <v>Mobile</v>
      </c>
      <c r="D2825">
        <f>Raw_Claims_Data!D2824</f>
        <v>7.16</v>
      </c>
      <c r="E2825">
        <f>Raw_Claims_Data!E2824</f>
        <v>300</v>
      </c>
      <c r="F2825" t="str">
        <f>Raw_Claims_Data!F2824</f>
        <v>CO</v>
      </c>
      <c r="G2825" t="str">
        <f>Raw_Claims_Data!G2824</f>
        <v>A</v>
      </c>
      <c r="H2825" t="str">
        <f>Raw_Claims_Data!H2824</f>
        <v>Major Loss</v>
      </c>
      <c r="I2825" t="str">
        <f>IF(Raw_Claims_Data!I2824="","None",Raw_Claims_Data!I2824)</f>
        <v>Ambulance</v>
      </c>
      <c r="J2825" t="str">
        <f>Raw_Claims_Data!J2824</f>
        <v>Garden City</v>
      </c>
      <c r="K2825" t="str">
        <f>Raw_Claims_Data!K2824</f>
        <v>GA</v>
      </c>
      <c r="L2825">
        <f>Raw_Claims_Data!L2824</f>
        <v>5</v>
      </c>
      <c r="M2825" t="str">
        <f>IF(Raw_Claims_Data!M2824="","N/A",Raw_Claims_Data!M2824)</f>
        <v>VNDR00012</v>
      </c>
      <c r="N2825" t="str">
        <f>Raw_Claims_Data!N2824</f>
        <v>AGENT00805</v>
      </c>
      <c r="O2825">
        <f>IF(Raw_Claims_Data!G2824="D",1,0)</f>
        <v>0</v>
      </c>
    </row>
    <row r="2826" spans="1:15" x14ac:dyDescent="0.35">
      <c r="A2826" t="str">
        <f>Raw_Claims_Data!A2825</f>
        <v>TXN00002822</v>
      </c>
      <c r="B2826" t="str">
        <f>TRIM(Raw_Claims_Data!B2825)</f>
        <v>Michael Holt</v>
      </c>
      <c r="C2826" t="str">
        <f>Raw_Claims_Data!C2825</f>
        <v>Motor</v>
      </c>
      <c r="D2826">
        <f>Raw_Claims_Data!D2825</f>
        <v>111.67</v>
      </c>
      <c r="E2826">
        <f>Raw_Claims_Data!E2825</f>
        <v>6000</v>
      </c>
      <c r="F2826" t="str">
        <f>Raw_Claims_Data!F2825</f>
        <v>TN</v>
      </c>
      <c r="G2826" t="str">
        <f>Raw_Claims_Data!G2825</f>
        <v>A</v>
      </c>
      <c r="H2826" t="str">
        <f>Raw_Claims_Data!H2825</f>
        <v>Total Loss</v>
      </c>
      <c r="I2826" t="str">
        <f>IF(Raw_Claims_Data!I2825="","None",Raw_Claims_Data!I2825)</f>
        <v>Ambulance</v>
      </c>
      <c r="J2826" t="str">
        <f>Raw_Claims_Data!J2825</f>
        <v>Manchester</v>
      </c>
      <c r="K2826" t="str">
        <f>Raw_Claims_Data!K2825</f>
        <v>CT</v>
      </c>
      <c r="L2826">
        <f>Raw_Claims_Data!L2825</f>
        <v>2</v>
      </c>
      <c r="M2826" t="str">
        <f>IF(Raw_Claims_Data!M2825="","N/A",Raw_Claims_Data!M2825)</f>
        <v>VNDR00117</v>
      </c>
      <c r="N2826" t="str">
        <f>Raw_Claims_Data!N2825</f>
        <v>AGENT00687</v>
      </c>
      <c r="O2826">
        <f>IF(Raw_Claims_Data!G2825="D",1,0)</f>
        <v>0</v>
      </c>
    </row>
    <row r="2827" spans="1:15" x14ac:dyDescent="0.35">
      <c r="A2827" t="str">
        <f>Raw_Claims_Data!A2826</f>
        <v>TXN00002823</v>
      </c>
      <c r="B2827" t="str">
        <f>TRIM(Raw_Claims_Data!B2826)</f>
        <v>Elizabeth Wilson</v>
      </c>
      <c r="C2827" t="str">
        <f>Raw_Claims_Data!C2826</f>
        <v>Life</v>
      </c>
      <c r="D2827">
        <f>Raw_Claims_Data!D2826</f>
        <v>54.4</v>
      </c>
      <c r="E2827">
        <f>Raw_Claims_Data!E2826</f>
        <v>22000</v>
      </c>
      <c r="F2827" t="str">
        <f>Raw_Claims_Data!F2826</f>
        <v>CO</v>
      </c>
      <c r="G2827" t="str">
        <f>Raw_Claims_Data!G2826</f>
        <v>A</v>
      </c>
      <c r="H2827" t="str">
        <f>Raw_Claims_Data!H2826</f>
        <v>Major Loss</v>
      </c>
      <c r="I2827" t="str">
        <f>IF(Raw_Claims_Data!I2826="","None",Raw_Claims_Data!I2826)</f>
        <v>Ambulance</v>
      </c>
      <c r="J2827" t="str">
        <f>Raw_Claims_Data!J2826</f>
        <v>Washington</v>
      </c>
      <c r="K2827" t="str">
        <f>Raw_Claims_Data!K2826</f>
        <v>DC</v>
      </c>
      <c r="L2827">
        <f>Raw_Claims_Data!L2826</f>
        <v>10</v>
      </c>
      <c r="M2827" t="str">
        <f>IF(Raw_Claims_Data!M2826="","N/A",Raw_Claims_Data!M2826)</f>
        <v>N/A</v>
      </c>
      <c r="N2827" t="str">
        <f>Raw_Claims_Data!N2826</f>
        <v>AGENT00003</v>
      </c>
      <c r="O2827">
        <f>IF(Raw_Claims_Data!G2826="D",1,0)</f>
        <v>0</v>
      </c>
    </row>
    <row r="2828" spans="1:15" x14ac:dyDescent="0.35">
      <c r="A2828" t="str">
        <f>Raw_Claims_Data!A2827</f>
        <v>TXN00002824</v>
      </c>
      <c r="B2828" t="str">
        <f>TRIM(Raw_Claims_Data!B2827)</f>
        <v>Marlen Wright</v>
      </c>
      <c r="C2828" t="str">
        <f>Raw_Claims_Data!C2827</f>
        <v>Health</v>
      </c>
      <c r="D2828">
        <f>Raw_Claims_Data!D2827</f>
        <v>196.89</v>
      </c>
      <c r="E2828">
        <f>Raw_Claims_Data!E2827</f>
        <v>11000</v>
      </c>
      <c r="F2828" t="str">
        <f>Raw_Claims_Data!F2827</f>
        <v>FL</v>
      </c>
      <c r="G2828" t="str">
        <f>Raw_Claims_Data!G2827</f>
        <v>A</v>
      </c>
      <c r="H2828" t="str">
        <f>Raw_Claims_Data!H2827</f>
        <v>Minor Loss</v>
      </c>
      <c r="I2828" t="str">
        <f>IF(Raw_Claims_Data!I2827="","None",Raw_Claims_Data!I2827)</f>
        <v>None</v>
      </c>
      <c r="J2828" t="str">
        <f>Raw_Claims_Data!J2827</f>
        <v>Washington</v>
      </c>
      <c r="K2828" t="str">
        <f>Raw_Claims_Data!K2827</f>
        <v>DC</v>
      </c>
      <c r="L2828">
        <f>Raw_Claims_Data!L2827</f>
        <v>21</v>
      </c>
      <c r="M2828" t="str">
        <f>IF(Raw_Claims_Data!M2827="","N/A",Raw_Claims_Data!M2827)</f>
        <v>VNDR00440</v>
      </c>
      <c r="N2828" t="str">
        <f>Raw_Claims_Data!N2827</f>
        <v>AGENT00622</v>
      </c>
      <c r="O2828">
        <f>IF(Raw_Claims_Data!G2827="D",1,0)</f>
        <v>0</v>
      </c>
    </row>
    <row r="2829" spans="1:15" x14ac:dyDescent="0.35">
      <c r="A2829" t="str">
        <f>Raw_Claims_Data!A2828</f>
        <v>TXN00002825</v>
      </c>
      <c r="B2829" t="str">
        <f>TRIM(Raw_Claims_Data!B2828)</f>
        <v>John Jeansonne</v>
      </c>
      <c r="C2829" t="str">
        <f>Raw_Claims_Data!C2828</f>
        <v>Life</v>
      </c>
      <c r="D2829">
        <f>Raw_Claims_Data!D2828</f>
        <v>98.97</v>
      </c>
      <c r="E2829">
        <f>Raw_Claims_Data!E2828</f>
        <v>54000</v>
      </c>
      <c r="F2829" t="str">
        <f>Raw_Claims_Data!F2828</f>
        <v>KY</v>
      </c>
      <c r="G2829" t="str">
        <f>Raw_Claims_Data!G2828</f>
        <v>A</v>
      </c>
      <c r="H2829" t="str">
        <f>Raw_Claims_Data!H2828</f>
        <v>Minor Loss</v>
      </c>
      <c r="I2829" t="str">
        <f>IF(Raw_Claims_Data!I2828="","None",Raw_Claims_Data!I2828)</f>
        <v>None</v>
      </c>
      <c r="J2829" t="str">
        <f>Raw_Claims_Data!J2828</f>
        <v>Glendale</v>
      </c>
      <c r="K2829" t="str">
        <f>Raw_Claims_Data!K2828</f>
        <v>AZ</v>
      </c>
      <c r="L2829">
        <f>Raw_Claims_Data!L2828</f>
        <v>2</v>
      </c>
      <c r="M2829" t="str">
        <f>IF(Raw_Claims_Data!M2828="","N/A",Raw_Claims_Data!M2828)</f>
        <v>VNDR00006</v>
      </c>
      <c r="N2829" t="str">
        <f>Raw_Claims_Data!N2828</f>
        <v>AGENT00110</v>
      </c>
      <c r="O2829">
        <f>IF(Raw_Claims_Data!G2828="D",1,0)</f>
        <v>0</v>
      </c>
    </row>
    <row r="2830" spans="1:15" x14ac:dyDescent="0.35">
      <c r="A2830" t="str">
        <f>Raw_Claims_Data!A2829</f>
        <v>TXN00002826</v>
      </c>
      <c r="B2830" t="str">
        <f>TRIM(Raw_Claims_Data!B2829)</f>
        <v>Timothy Romero</v>
      </c>
      <c r="C2830" t="str">
        <f>Raw_Claims_Data!C2829</f>
        <v>Travel</v>
      </c>
      <c r="D2830">
        <f>Raw_Claims_Data!D2829</f>
        <v>75.790000000000006</v>
      </c>
      <c r="E2830">
        <f>Raw_Claims_Data!E2829</f>
        <v>2000</v>
      </c>
      <c r="F2830" t="str">
        <f>Raw_Claims_Data!F2829</f>
        <v>KY</v>
      </c>
      <c r="G2830" t="str">
        <f>Raw_Claims_Data!G2829</f>
        <v>A</v>
      </c>
      <c r="H2830" t="str">
        <f>Raw_Claims_Data!H2829</f>
        <v>Minor Loss</v>
      </c>
      <c r="I2830" t="str">
        <f>IF(Raw_Claims_Data!I2829="","None",Raw_Claims_Data!I2829)</f>
        <v>None</v>
      </c>
      <c r="J2830" t="str">
        <f>Raw_Claims_Data!J2829</f>
        <v>Louisville</v>
      </c>
      <c r="K2830" t="str">
        <f>Raw_Claims_Data!K2829</f>
        <v>KY</v>
      </c>
      <c r="L2830">
        <f>Raw_Claims_Data!L2829</f>
        <v>6</v>
      </c>
      <c r="M2830" t="str">
        <f>IF(Raw_Claims_Data!M2829="","N/A",Raw_Claims_Data!M2829)</f>
        <v>VNDR00539</v>
      </c>
      <c r="N2830" t="str">
        <f>Raw_Claims_Data!N2829</f>
        <v>AGENT00282</v>
      </c>
      <c r="O2830">
        <f>IF(Raw_Claims_Data!G2829="D",1,0)</f>
        <v>0</v>
      </c>
    </row>
    <row r="2831" spans="1:15" x14ac:dyDescent="0.35">
      <c r="A2831" t="str">
        <f>Raw_Claims_Data!A2830</f>
        <v>TXN00002827</v>
      </c>
      <c r="B2831" t="str">
        <f>TRIM(Raw_Claims_Data!B2830)</f>
        <v>Ashley Emery</v>
      </c>
      <c r="C2831" t="str">
        <f>Raw_Claims_Data!C2830</f>
        <v>Motor</v>
      </c>
      <c r="D2831">
        <f>Raw_Claims_Data!D2830</f>
        <v>129.79</v>
      </c>
      <c r="E2831">
        <f>Raw_Claims_Data!E2830</f>
        <v>2000</v>
      </c>
      <c r="F2831" t="str">
        <f>Raw_Claims_Data!F2830</f>
        <v>KY</v>
      </c>
      <c r="G2831" t="str">
        <f>Raw_Claims_Data!G2830</f>
        <v>A</v>
      </c>
      <c r="H2831" t="str">
        <f>Raw_Claims_Data!H2830</f>
        <v>Major Loss</v>
      </c>
      <c r="I2831" t="str">
        <f>IF(Raw_Claims_Data!I2830="","None",Raw_Claims_Data!I2830)</f>
        <v>None</v>
      </c>
      <c r="J2831" t="str">
        <f>Raw_Claims_Data!J2830</f>
        <v>Fayetteville</v>
      </c>
      <c r="K2831" t="str">
        <f>Raw_Claims_Data!K2830</f>
        <v>AR</v>
      </c>
      <c r="L2831">
        <f>Raw_Claims_Data!L2830</f>
        <v>16</v>
      </c>
      <c r="M2831" t="str">
        <f>IF(Raw_Claims_Data!M2830="","N/A",Raw_Claims_Data!M2830)</f>
        <v>VNDR00067</v>
      </c>
      <c r="N2831" t="str">
        <f>Raw_Claims_Data!N2830</f>
        <v>AGENT01125</v>
      </c>
      <c r="O2831">
        <f>IF(Raw_Claims_Data!G2830="D",1,0)</f>
        <v>0</v>
      </c>
    </row>
    <row r="2832" spans="1:15" x14ac:dyDescent="0.35">
      <c r="A2832" t="str">
        <f>Raw_Claims_Data!A2831</f>
        <v>TXN00002828</v>
      </c>
      <c r="B2832" t="str">
        <f>TRIM(Raw_Claims_Data!B2831)</f>
        <v>Stephanie Welch</v>
      </c>
      <c r="C2832" t="str">
        <f>Raw_Claims_Data!C2831</f>
        <v>Motor</v>
      </c>
      <c r="D2832">
        <f>Raw_Claims_Data!D2831</f>
        <v>80.22</v>
      </c>
      <c r="E2832">
        <f>Raw_Claims_Data!E2831</f>
        <v>9000</v>
      </c>
      <c r="F2832" t="str">
        <f>Raw_Claims_Data!F2831</f>
        <v>OK</v>
      </c>
      <c r="G2832" t="str">
        <f>Raw_Claims_Data!G2831</f>
        <v>A</v>
      </c>
      <c r="H2832" t="str">
        <f>Raw_Claims_Data!H2831</f>
        <v>Total Loss</v>
      </c>
      <c r="I2832" t="str">
        <f>IF(Raw_Claims_Data!I2831="","None",Raw_Claims_Data!I2831)</f>
        <v>None</v>
      </c>
      <c r="J2832" t="str">
        <f>Raw_Claims_Data!J2831</f>
        <v>Fayetteville</v>
      </c>
      <c r="K2832" t="str">
        <f>Raw_Claims_Data!K2831</f>
        <v>AR</v>
      </c>
      <c r="L2832">
        <f>Raw_Claims_Data!L2831</f>
        <v>7</v>
      </c>
      <c r="M2832" t="str">
        <f>IF(Raw_Claims_Data!M2831="","N/A",Raw_Claims_Data!M2831)</f>
        <v>VNDR00545</v>
      </c>
      <c r="N2832" t="str">
        <f>Raw_Claims_Data!N2831</f>
        <v>AGENT00530</v>
      </c>
      <c r="O2832">
        <f>IF(Raw_Claims_Data!G2831="D",1,0)</f>
        <v>0</v>
      </c>
    </row>
    <row r="2833" spans="1:15" x14ac:dyDescent="0.35">
      <c r="A2833" t="str">
        <f>Raw_Claims_Data!A2832</f>
        <v>TXN00002829</v>
      </c>
      <c r="B2833" t="str">
        <f>TRIM(Raw_Claims_Data!B2832)</f>
        <v>Joseph Whitesel</v>
      </c>
      <c r="C2833" t="str">
        <f>Raw_Claims_Data!C2832</f>
        <v>Health</v>
      </c>
      <c r="D2833">
        <f>Raw_Claims_Data!D2832</f>
        <v>170.75</v>
      </c>
      <c r="E2833">
        <f>Raw_Claims_Data!E2832</f>
        <v>5000</v>
      </c>
      <c r="F2833" t="str">
        <f>Raw_Claims_Data!F2832</f>
        <v>GA</v>
      </c>
      <c r="G2833" t="str">
        <f>Raw_Claims_Data!G2832</f>
        <v>A</v>
      </c>
      <c r="H2833" t="str">
        <f>Raw_Claims_Data!H2832</f>
        <v>Minor Loss</v>
      </c>
      <c r="I2833" t="str">
        <f>IF(Raw_Claims_Data!I2832="","None",Raw_Claims_Data!I2832)</f>
        <v>Ambulance</v>
      </c>
      <c r="J2833" t="str">
        <f>Raw_Claims_Data!J2832</f>
        <v>Oakland</v>
      </c>
      <c r="K2833" t="str">
        <f>Raw_Claims_Data!K2832</f>
        <v>CA</v>
      </c>
      <c r="L2833">
        <f>Raw_Claims_Data!L2832</f>
        <v>11</v>
      </c>
      <c r="M2833" t="str">
        <f>IF(Raw_Claims_Data!M2832="","N/A",Raw_Claims_Data!M2832)</f>
        <v>VNDR00306</v>
      </c>
      <c r="N2833" t="str">
        <f>Raw_Claims_Data!N2832</f>
        <v>AGENT00987</v>
      </c>
      <c r="O2833">
        <f>IF(Raw_Claims_Data!G2832="D",1,0)</f>
        <v>0</v>
      </c>
    </row>
    <row r="2834" spans="1:15" x14ac:dyDescent="0.35">
      <c r="A2834" t="str">
        <f>Raw_Claims_Data!A2833</f>
        <v>TXN00002830</v>
      </c>
      <c r="B2834" t="str">
        <f>TRIM(Raw_Claims_Data!B2833)</f>
        <v>Anna Mcdonald</v>
      </c>
      <c r="C2834" t="str">
        <f>Raw_Claims_Data!C2833</f>
        <v>Mobile</v>
      </c>
      <c r="D2834">
        <f>Raw_Claims_Data!D2833</f>
        <v>9.33</v>
      </c>
      <c r="E2834">
        <f>Raw_Claims_Data!E2833</f>
        <v>600</v>
      </c>
      <c r="F2834" t="str">
        <f>Raw_Claims_Data!F2833</f>
        <v>TN</v>
      </c>
      <c r="G2834" t="str">
        <f>Raw_Claims_Data!G2833</f>
        <v>D</v>
      </c>
      <c r="H2834" t="str">
        <f>Raw_Claims_Data!H2833</f>
        <v>Minor Loss</v>
      </c>
      <c r="I2834" t="str">
        <f>IF(Raw_Claims_Data!I2833="","None",Raw_Claims_Data!I2833)</f>
        <v>Ambulance</v>
      </c>
      <c r="J2834" t="str">
        <f>Raw_Claims_Data!J2833</f>
        <v>Arvada</v>
      </c>
      <c r="K2834" t="str">
        <f>Raw_Claims_Data!K2833</f>
        <v>CO</v>
      </c>
      <c r="L2834">
        <f>Raw_Claims_Data!L2833</f>
        <v>3</v>
      </c>
      <c r="M2834" t="str">
        <f>IF(Raw_Claims_Data!M2833="","N/A",Raw_Claims_Data!M2833)</f>
        <v>N/A</v>
      </c>
      <c r="N2834" t="str">
        <f>Raw_Claims_Data!N2833</f>
        <v>AGENT00046</v>
      </c>
      <c r="O2834">
        <f>IF(Raw_Claims_Data!G2833="D",1,0)</f>
        <v>1</v>
      </c>
    </row>
    <row r="2835" spans="1:15" x14ac:dyDescent="0.35">
      <c r="A2835" t="str">
        <f>Raw_Claims_Data!A2834</f>
        <v>TXN00002831</v>
      </c>
      <c r="B2835" t="str">
        <f>TRIM(Raw_Claims_Data!B2834)</f>
        <v>Isabella Lotts</v>
      </c>
      <c r="C2835" t="str">
        <f>Raw_Claims_Data!C2834</f>
        <v>Motor</v>
      </c>
      <c r="D2835">
        <f>Raw_Claims_Data!D2834</f>
        <v>110.54</v>
      </c>
      <c r="E2835">
        <f>Raw_Claims_Data!E2834</f>
        <v>8000</v>
      </c>
      <c r="F2835" t="str">
        <f>Raw_Claims_Data!F2834</f>
        <v>AR</v>
      </c>
      <c r="G2835" t="str">
        <f>Raw_Claims_Data!G2834</f>
        <v>A</v>
      </c>
      <c r="H2835" t="str">
        <f>Raw_Claims_Data!H2834</f>
        <v>Minor Loss</v>
      </c>
      <c r="I2835" t="str">
        <f>IF(Raw_Claims_Data!I2834="","None",Raw_Claims_Data!I2834)</f>
        <v>Police</v>
      </c>
      <c r="J2835" t="str">
        <f>Raw_Claims_Data!J2834</f>
        <v>Oklahoma City</v>
      </c>
      <c r="K2835" t="str">
        <f>Raw_Claims_Data!K2834</f>
        <v>OK</v>
      </c>
      <c r="L2835">
        <f>Raw_Claims_Data!L2834</f>
        <v>8</v>
      </c>
      <c r="M2835" t="str">
        <f>IF(Raw_Claims_Data!M2834="","N/A",Raw_Claims_Data!M2834)</f>
        <v>VNDR00549</v>
      </c>
      <c r="N2835" t="str">
        <f>Raw_Claims_Data!N2834</f>
        <v>AGENT00735</v>
      </c>
      <c r="O2835">
        <f>IF(Raw_Claims_Data!G2834="D",1,0)</f>
        <v>0</v>
      </c>
    </row>
    <row r="2836" spans="1:15" x14ac:dyDescent="0.35">
      <c r="A2836" t="str">
        <f>Raw_Claims_Data!A2835</f>
        <v>TXN00002832</v>
      </c>
      <c r="B2836" t="str">
        <f>TRIM(Raw_Claims_Data!B2835)</f>
        <v>Kent Pate</v>
      </c>
      <c r="C2836" t="str">
        <f>Raw_Claims_Data!C2835</f>
        <v>Travel</v>
      </c>
      <c r="D2836">
        <f>Raw_Claims_Data!D2835</f>
        <v>51.07</v>
      </c>
      <c r="E2836">
        <f>Raw_Claims_Data!E2835</f>
        <v>2000</v>
      </c>
      <c r="F2836" t="str">
        <f>Raw_Claims_Data!F2835</f>
        <v>CO</v>
      </c>
      <c r="G2836" t="str">
        <f>Raw_Claims_Data!G2835</f>
        <v>A</v>
      </c>
      <c r="H2836" t="str">
        <f>Raw_Claims_Data!H2835</f>
        <v>Minor Loss</v>
      </c>
      <c r="I2836" t="str">
        <f>IF(Raw_Claims_Data!I2835="","None",Raw_Claims_Data!I2835)</f>
        <v>Police</v>
      </c>
      <c r="J2836" t="str">
        <f>Raw_Claims_Data!J2835</f>
        <v>Panama City Beach</v>
      </c>
      <c r="K2836" t="str">
        <f>Raw_Claims_Data!K2835</f>
        <v>FL</v>
      </c>
      <c r="L2836">
        <f>Raw_Claims_Data!L2835</f>
        <v>18</v>
      </c>
      <c r="M2836" t="str">
        <f>IF(Raw_Claims_Data!M2835="","N/A",Raw_Claims_Data!M2835)</f>
        <v>N/A</v>
      </c>
      <c r="N2836" t="str">
        <f>Raw_Claims_Data!N2835</f>
        <v>AGENT00354</v>
      </c>
      <c r="O2836">
        <f>IF(Raw_Claims_Data!G2835="D",1,0)</f>
        <v>0</v>
      </c>
    </row>
    <row r="2837" spans="1:15" x14ac:dyDescent="0.35">
      <c r="A2837" t="str">
        <f>Raw_Claims_Data!A2836</f>
        <v>TXN00002833</v>
      </c>
      <c r="B2837" t="str">
        <f>TRIM(Raw_Claims_Data!B2836)</f>
        <v>Tyler Callaway</v>
      </c>
      <c r="C2837" t="str">
        <f>Raw_Claims_Data!C2836</f>
        <v>Life</v>
      </c>
      <c r="D2837">
        <f>Raw_Claims_Data!D2836</f>
        <v>88.99</v>
      </c>
      <c r="E2837">
        <f>Raw_Claims_Data!E2836</f>
        <v>76000</v>
      </c>
      <c r="F2837" t="str">
        <f>Raw_Claims_Data!F2836</f>
        <v>DC</v>
      </c>
      <c r="G2837" t="str">
        <f>Raw_Claims_Data!G2836</f>
        <v>A</v>
      </c>
      <c r="H2837" t="str">
        <f>Raw_Claims_Data!H2836</f>
        <v>Total Loss</v>
      </c>
      <c r="I2837" t="str">
        <f>IF(Raw_Claims_Data!I2836="","None",Raw_Claims_Data!I2836)</f>
        <v>Other</v>
      </c>
      <c r="J2837" t="str">
        <f>Raw_Claims_Data!J2836</f>
        <v>Glendale</v>
      </c>
      <c r="K2837" t="str">
        <f>Raw_Claims_Data!K2836</f>
        <v>AZ</v>
      </c>
      <c r="L2837">
        <f>Raw_Claims_Data!L2836</f>
        <v>0</v>
      </c>
      <c r="M2837" t="str">
        <f>IF(Raw_Claims_Data!M2836="","N/A",Raw_Claims_Data!M2836)</f>
        <v>N/A</v>
      </c>
      <c r="N2837" t="str">
        <f>Raw_Claims_Data!N2836</f>
        <v>AGENT00321</v>
      </c>
      <c r="O2837">
        <f>IF(Raw_Claims_Data!G2836="D",1,0)</f>
        <v>0</v>
      </c>
    </row>
    <row r="2838" spans="1:15" x14ac:dyDescent="0.35">
      <c r="A2838" t="str">
        <f>Raw_Claims_Data!A2837</f>
        <v>TXN00002834</v>
      </c>
      <c r="B2838" t="str">
        <f>TRIM(Raw_Claims_Data!B2837)</f>
        <v>John Sledge</v>
      </c>
      <c r="C2838" t="str">
        <f>Raw_Claims_Data!C2837</f>
        <v>Health</v>
      </c>
      <c r="D2838">
        <f>Raw_Claims_Data!D2837</f>
        <v>197.5</v>
      </c>
      <c r="E2838">
        <f>Raw_Claims_Data!E2837</f>
        <v>15000</v>
      </c>
      <c r="F2838" t="str">
        <f>Raw_Claims_Data!F2837</f>
        <v>AR</v>
      </c>
      <c r="G2838" t="str">
        <f>Raw_Claims_Data!G2837</f>
        <v>A</v>
      </c>
      <c r="H2838" t="str">
        <f>Raw_Claims_Data!H2837</f>
        <v>Minor Loss</v>
      </c>
      <c r="I2838" t="str">
        <f>IF(Raw_Claims_Data!I2837="","None",Raw_Claims_Data!I2837)</f>
        <v>Ambulance</v>
      </c>
      <c r="J2838" t="str">
        <f>Raw_Claims_Data!J2837</f>
        <v>Glendale</v>
      </c>
      <c r="K2838" t="str">
        <f>Raw_Claims_Data!K2837</f>
        <v>AZ</v>
      </c>
      <c r="L2838">
        <f>Raw_Claims_Data!L2837</f>
        <v>6</v>
      </c>
      <c r="M2838" t="str">
        <f>IF(Raw_Claims_Data!M2837="","N/A",Raw_Claims_Data!M2837)</f>
        <v>N/A</v>
      </c>
      <c r="N2838" t="str">
        <f>Raw_Claims_Data!N2837</f>
        <v>AGENT00702</v>
      </c>
      <c r="O2838">
        <f>IF(Raw_Claims_Data!G2837="D",1,0)</f>
        <v>0</v>
      </c>
    </row>
    <row r="2839" spans="1:15" x14ac:dyDescent="0.35">
      <c r="A2839" t="str">
        <f>Raw_Claims_Data!A2838</f>
        <v>TXN00002835</v>
      </c>
      <c r="B2839" t="str">
        <f>TRIM(Raw_Claims_Data!B2838)</f>
        <v>Anabel Sayles</v>
      </c>
      <c r="C2839" t="str">
        <f>Raw_Claims_Data!C2838</f>
        <v>Life</v>
      </c>
      <c r="D2839">
        <f>Raw_Claims_Data!D2838</f>
        <v>94.69</v>
      </c>
      <c r="E2839">
        <f>Raw_Claims_Data!E2838</f>
        <v>56000</v>
      </c>
      <c r="F2839" t="str">
        <f>Raw_Claims_Data!F2838</f>
        <v>GA</v>
      </c>
      <c r="G2839" t="str">
        <f>Raw_Claims_Data!G2838</f>
        <v>A</v>
      </c>
      <c r="H2839" t="str">
        <f>Raw_Claims_Data!H2838</f>
        <v>Major Loss</v>
      </c>
      <c r="I2839" t="str">
        <f>IF(Raw_Claims_Data!I2838="","None",Raw_Claims_Data!I2838)</f>
        <v>Ambulance</v>
      </c>
      <c r="J2839" t="str">
        <f>Raw_Claims_Data!J2838</f>
        <v>Washington</v>
      </c>
      <c r="K2839" t="str">
        <f>Raw_Claims_Data!K2838</f>
        <v>DC</v>
      </c>
      <c r="L2839">
        <f>Raw_Claims_Data!L2838</f>
        <v>14</v>
      </c>
      <c r="M2839" t="str">
        <f>IF(Raw_Claims_Data!M2838="","N/A",Raw_Claims_Data!M2838)</f>
        <v>N/A</v>
      </c>
      <c r="N2839" t="str">
        <f>Raw_Claims_Data!N2838</f>
        <v>AGENT00360</v>
      </c>
      <c r="O2839">
        <f>IF(Raw_Claims_Data!G2838="D",1,0)</f>
        <v>0</v>
      </c>
    </row>
    <row r="2840" spans="1:15" x14ac:dyDescent="0.35">
      <c r="A2840" t="str">
        <f>Raw_Claims_Data!A2839</f>
        <v>TXN00002836</v>
      </c>
      <c r="B2840" t="str">
        <f>TRIM(Raw_Claims_Data!B2839)</f>
        <v>Shelley Rivera</v>
      </c>
      <c r="C2840" t="str">
        <f>Raw_Claims_Data!C2839</f>
        <v>Health</v>
      </c>
      <c r="D2840">
        <f>Raw_Claims_Data!D2839</f>
        <v>114.67</v>
      </c>
      <c r="E2840">
        <f>Raw_Claims_Data!E2839</f>
        <v>16000</v>
      </c>
      <c r="F2840" t="str">
        <f>Raw_Claims_Data!F2839</f>
        <v>AK</v>
      </c>
      <c r="G2840" t="str">
        <f>Raw_Claims_Data!G2839</f>
        <v>A</v>
      </c>
      <c r="H2840" t="str">
        <f>Raw_Claims_Data!H2839</f>
        <v>Major Loss</v>
      </c>
      <c r="I2840" t="str">
        <f>IF(Raw_Claims_Data!I2839="","None",Raw_Claims_Data!I2839)</f>
        <v>Police</v>
      </c>
      <c r="J2840" t="str">
        <f>Raw_Claims_Data!J2839</f>
        <v>Arvada</v>
      </c>
      <c r="K2840" t="str">
        <f>Raw_Claims_Data!K2839</f>
        <v>CO</v>
      </c>
      <c r="L2840">
        <f>Raw_Claims_Data!L2839</f>
        <v>15</v>
      </c>
      <c r="M2840" t="str">
        <f>IF(Raw_Claims_Data!M2839="","N/A",Raw_Claims_Data!M2839)</f>
        <v>N/A</v>
      </c>
      <c r="N2840" t="str">
        <f>Raw_Claims_Data!N2839</f>
        <v>AGENT00758</v>
      </c>
      <c r="O2840">
        <f>IF(Raw_Claims_Data!G2839="D",1,0)</f>
        <v>0</v>
      </c>
    </row>
    <row r="2841" spans="1:15" x14ac:dyDescent="0.35">
      <c r="A2841" t="str">
        <f>Raw_Claims_Data!A2840</f>
        <v>TXN00002837</v>
      </c>
      <c r="B2841" t="str">
        <f>TRIM(Raw_Claims_Data!B2840)</f>
        <v>Maryann Walter</v>
      </c>
      <c r="C2841" t="str">
        <f>Raw_Claims_Data!C2840</f>
        <v>Mobile</v>
      </c>
      <c r="D2841">
        <f>Raw_Claims_Data!D2840</f>
        <v>10.199999999999999</v>
      </c>
      <c r="E2841">
        <f>Raw_Claims_Data!E2840</f>
        <v>600</v>
      </c>
      <c r="F2841" t="str">
        <f>Raw_Claims_Data!F2840</f>
        <v>DC</v>
      </c>
      <c r="G2841" t="str">
        <f>Raw_Claims_Data!G2840</f>
        <v>A</v>
      </c>
      <c r="H2841" t="str">
        <f>Raw_Claims_Data!H2840</f>
        <v>Minor Loss</v>
      </c>
      <c r="I2841" t="str">
        <f>IF(Raw_Claims_Data!I2840="","None",Raw_Claims_Data!I2840)</f>
        <v>Police</v>
      </c>
      <c r="J2841" t="str">
        <f>Raw_Claims_Data!J2840</f>
        <v>Worcester</v>
      </c>
      <c r="K2841" t="str">
        <f>Raw_Claims_Data!K2840</f>
        <v>MA</v>
      </c>
      <c r="L2841">
        <f>Raw_Claims_Data!L2840</f>
        <v>6</v>
      </c>
      <c r="M2841" t="str">
        <f>IF(Raw_Claims_Data!M2840="","N/A",Raw_Claims_Data!M2840)</f>
        <v>VNDR00535</v>
      </c>
      <c r="N2841" t="str">
        <f>Raw_Claims_Data!N2840</f>
        <v>AGENT00997</v>
      </c>
      <c r="O2841">
        <f>IF(Raw_Claims_Data!G2840="D",1,0)</f>
        <v>0</v>
      </c>
    </row>
    <row r="2842" spans="1:15" x14ac:dyDescent="0.35">
      <c r="A2842" t="str">
        <f>Raw_Claims_Data!A2841</f>
        <v>TXN00002838</v>
      </c>
      <c r="B2842" t="str">
        <f>TRIM(Raw_Claims_Data!B2841)</f>
        <v>Lisa Bell</v>
      </c>
      <c r="C2842" t="str">
        <f>Raw_Claims_Data!C2841</f>
        <v>Mobile</v>
      </c>
      <c r="D2842">
        <f>Raw_Claims_Data!D2841</f>
        <v>6.18</v>
      </c>
      <c r="E2842">
        <f>Raw_Claims_Data!E2841</f>
        <v>500</v>
      </c>
      <c r="F2842" t="str">
        <f>Raw_Claims_Data!F2841</f>
        <v>MA</v>
      </c>
      <c r="G2842" t="str">
        <f>Raw_Claims_Data!G2841</f>
        <v>A</v>
      </c>
      <c r="H2842" t="str">
        <f>Raw_Claims_Data!H2841</f>
        <v>Major Loss</v>
      </c>
      <c r="I2842" t="str">
        <f>IF(Raw_Claims_Data!I2841="","None",Raw_Claims_Data!I2841)</f>
        <v>None</v>
      </c>
      <c r="J2842" t="str">
        <f>Raw_Claims_Data!J2841</f>
        <v>Livermore</v>
      </c>
      <c r="K2842" t="str">
        <f>Raw_Claims_Data!K2841</f>
        <v>CA</v>
      </c>
      <c r="L2842">
        <f>Raw_Claims_Data!L2841</f>
        <v>0</v>
      </c>
      <c r="M2842" t="str">
        <f>IF(Raw_Claims_Data!M2841="","N/A",Raw_Claims_Data!M2841)</f>
        <v>VNDR00508</v>
      </c>
      <c r="N2842" t="str">
        <f>Raw_Claims_Data!N2841</f>
        <v>AGENT00631</v>
      </c>
      <c r="O2842">
        <f>IF(Raw_Claims_Data!G2841="D",1,0)</f>
        <v>0</v>
      </c>
    </row>
    <row r="2843" spans="1:15" x14ac:dyDescent="0.35">
      <c r="A2843" t="str">
        <f>Raw_Claims_Data!A2842</f>
        <v>TXN00002839</v>
      </c>
      <c r="B2843" t="str">
        <f>TRIM(Raw_Claims_Data!B2842)</f>
        <v>Morgan Emry</v>
      </c>
      <c r="C2843" t="str">
        <f>Raw_Claims_Data!C2842</f>
        <v>Motor</v>
      </c>
      <c r="D2843">
        <f>Raw_Claims_Data!D2842</f>
        <v>81.88</v>
      </c>
      <c r="E2843">
        <f>Raw_Claims_Data!E2842</f>
        <v>3000</v>
      </c>
      <c r="F2843" t="str">
        <f>Raw_Claims_Data!F2842</f>
        <v>CT</v>
      </c>
      <c r="G2843" t="str">
        <f>Raw_Claims_Data!G2842</f>
        <v>A</v>
      </c>
      <c r="H2843" t="str">
        <f>Raw_Claims_Data!H2842</f>
        <v>Major Loss</v>
      </c>
      <c r="I2843" t="str">
        <f>IF(Raw_Claims_Data!I2842="","None",Raw_Claims_Data!I2842)</f>
        <v>None</v>
      </c>
      <c r="J2843" t="str">
        <f>Raw_Claims_Data!J2842</f>
        <v>Louisville</v>
      </c>
      <c r="K2843" t="str">
        <f>Raw_Claims_Data!K2842</f>
        <v>KY</v>
      </c>
      <c r="L2843">
        <f>Raw_Claims_Data!L2842</f>
        <v>20</v>
      </c>
      <c r="M2843" t="str">
        <f>IF(Raw_Claims_Data!M2842="","N/A",Raw_Claims_Data!M2842)</f>
        <v>VNDR00004</v>
      </c>
      <c r="N2843" t="str">
        <f>Raw_Claims_Data!N2842</f>
        <v>AGENT01062</v>
      </c>
      <c r="O2843">
        <f>IF(Raw_Claims_Data!G2842="D",1,0)</f>
        <v>0</v>
      </c>
    </row>
    <row r="2844" spans="1:15" x14ac:dyDescent="0.35">
      <c r="A2844" t="str">
        <f>Raw_Claims_Data!A2843</f>
        <v>TXN00002840</v>
      </c>
      <c r="B2844" t="str">
        <f>TRIM(Raw_Claims_Data!B2843)</f>
        <v>Angela Caminiti</v>
      </c>
      <c r="C2844" t="str">
        <f>Raw_Claims_Data!C2843</f>
        <v>Life</v>
      </c>
      <c r="D2844">
        <f>Raw_Claims_Data!D2843</f>
        <v>63.97</v>
      </c>
      <c r="E2844">
        <f>Raw_Claims_Data!E2843</f>
        <v>81000</v>
      </c>
      <c r="F2844" t="str">
        <f>Raw_Claims_Data!F2843</f>
        <v>DC</v>
      </c>
      <c r="G2844" t="str">
        <f>Raw_Claims_Data!G2843</f>
        <v>A</v>
      </c>
      <c r="H2844" t="str">
        <f>Raw_Claims_Data!H2843</f>
        <v>Major Loss</v>
      </c>
      <c r="I2844" t="str">
        <f>IF(Raw_Claims_Data!I2843="","None",Raw_Claims_Data!I2843)</f>
        <v>Ambulance</v>
      </c>
      <c r="J2844" t="str">
        <f>Raw_Claims_Data!J2843</f>
        <v>San Leandro</v>
      </c>
      <c r="K2844" t="str">
        <f>Raw_Claims_Data!K2843</f>
        <v>CA</v>
      </c>
      <c r="L2844">
        <f>Raw_Claims_Data!L2843</f>
        <v>12</v>
      </c>
      <c r="M2844" t="str">
        <f>IF(Raw_Claims_Data!M2843="","N/A",Raw_Claims_Data!M2843)</f>
        <v>VNDR00175</v>
      </c>
      <c r="N2844" t="str">
        <f>Raw_Claims_Data!N2843</f>
        <v>AGENT00999</v>
      </c>
      <c r="O2844">
        <f>IF(Raw_Claims_Data!G2843="D",1,0)</f>
        <v>0</v>
      </c>
    </row>
    <row r="2845" spans="1:15" x14ac:dyDescent="0.35">
      <c r="A2845" t="str">
        <f>Raw_Claims_Data!A2844</f>
        <v>TXN00002841</v>
      </c>
      <c r="B2845" t="str">
        <f>TRIM(Raw_Claims_Data!B2844)</f>
        <v>Evelyn Hill</v>
      </c>
      <c r="C2845" t="str">
        <f>Raw_Claims_Data!C2844</f>
        <v>Motor</v>
      </c>
      <c r="D2845">
        <f>Raw_Claims_Data!D2844</f>
        <v>75</v>
      </c>
      <c r="E2845">
        <f>Raw_Claims_Data!E2844</f>
        <v>1000</v>
      </c>
      <c r="F2845" t="str">
        <f>Raw_Claims_Data!F2844</f>
        <v>MD</v>
      </c>
      <c r="G2845" t="str">
        <f>Raw_Claims_Data!G2844</f>
        <v>A</v>
      </c>
      <c r="H2845" t="str">
        <f>Raw_Claims_Data!H2844</f>
        <v>Total Loss</v>
      </c>
      <c r="I2845" t="str">
        <f>IF(Raw_Claims_Data!I2844="","None",Raw_Claims_Data!I2844)</f>
        <v>Police</v>
      </c>
      <c r="J2845" t="str">
        <f>Raw_Claims_Data!J2844</f>
        <v>Savannah</v>
      </c>
      <c r="K2845" t="str">
        <f>Raw_Claims_Data!K2844</f>
        <v>GA</v>
      </c>
      <c r="L2845">
        <f>Raw_Claims_Data!L2844</f>
        <v>6</v>
      </c>
      <c r="M2845" t="str">
        <f>IF(Raw_Claims_Data!M2844="","N/A",Raw_Claims_Data!M2844)</f>
        <v>VNDR00448</v>
      </c>
      <c r="N2845" t="str">
        <f>Raw_Claims_Data!N2844</f>
        <v>AGENT00121</v>
      </c>
      <c r="O2845">
        <f>IF(Raw_Claims_Data!G2844="D",1,0)</f>
        <v>0</v>
      </c>
    </row>
    <row r="2846" spans="1:15" x14ac:dyDescent="0.35">
      <c r="A2846" t="str">
        <f>Raw_Claims_Data!A2845</f>
        <v>TXN00002842</v>
      </c>
      <c r="B2846" t="str">
        <f>TRIM(Raw_Claims_Data!B2845)</f>
        <v>Mary Cuadrado</v>
      </c>
      <c r="C2846" t="str">
        <f>Raw_Claims_Data!C2845</f>
        <v>Mobile</v>
      </c>
      <c r="D2846">
        <f>Raw_Claims_Data!D2845</f>
        <v>9.9</v>
      </c>
      <c r="E2846">
        <f>Raw_Claims_Data!E2845</f>
        <v>100</v>
      </c>
      <c r="F2846" t="str">
        <f>Raw_Claims_Data!F2845</f>
        <v>AR</v>
      </c>
      <c r="G2846" t="str">
        <f>Raw_Claims_Data!G2845</f>
        <v>A</v>
      </c>
      <c r="H2846" t="str">
        <f>Raw_Claims_Data!H2845</f>
        <v>Total Loss</v>
      </c>
      <c r="I2846" t="str">
        <f>IF(Raw_Claims_Data!I2845="","None",Raw_Claims_Data!I2845)</f>
        <v>Police</v>
      </c>
      <c r="J2846" t="str">
        <f>Raw_Claims_Data!J2845</f>
        <v>Manchester</v>
      </c>
      <c r="K2846" t="str">
        <f>Raw_Claims_Data!K2845</f>
        <v>CT</v>
      </c>
      <c r="L2846">
        <f>Raw_Claims_Data!L2845</f>
        <v>20</v>
      </c>
      <c r="M2846" t="str">
        <f>IF(Raw_Claims_Data!M2845="","N/A",Raw_Claims_Data!M2845)</f>
        <v>VNDR00113</v>
      </c>
      <c r="N2846" t="str">
        <f>Raw_Claims_Data!N2845</f>
        <v>AGENT00067</v>
      </c>
      <c r="O2846">
        <f>IF(Raw_Claims_Data!G2845="D",1,0)</f>
        <v>0</v>
      </c>
    </row>
    <row r="2847" spans="1:15" x14ac:dyDescent="0.35">
      <c r="A2847" t="str">
        <f>Raw_Claims_Data!A2846</f>
        <v>TXN00002843</v>
      </c>
      <c r="B2847" t="str">
        <f>TRIM(Raw_Claims_Data!B2846)</f>
        <v>Mary Dotson</v>
      </c>
      <c r="C2847" t="str">
        <f>Raw_Claims_Data!C2846</f>
        <v>Life</v>
      </c>
      <c r="D2847">
        <f>Raw_Claims_Data!D2846</f>
        <v>90.16</v>
      </c>
      <c r="E2847">
        <f>Raw_Claims_Data!E2846</f>
        <v>35000</v>
      </c>
      <c r="F2847" t="str">
        <f>Raw_Claims_Data!F2846</f>
        <v>AL</v>
      </c>
      <c r="G2847" t="str">
        <f>Raw_Claims_Data!G2846</f>
        <v>A</v>
      </c>
      <c r="H2847" t="str">
        <f>Raw_Claims_Data!H2846</f>
        <v>Minor Loss</v>
      </c>
      <c r="I2847" t="str">
        <f>IF(Raw_Claims_Data!I2846="","None",Raw_Claims_Data!I2846)</f>
        <v>None</v>
      </c>
      <c r="J2847" t="str">
        <f>Raw_Claims_Data!J2846</f>
        <v>Washington</v>
      </c>
      <c r="K2847" t="str">
        <f>Raw_Claims_Data!K2846</f>
        <v>DC</v>
      </c>
      <c r="L2847">
        <f>Raw_Claims_Data!L2846</f>
        <v>7</v>
      </c>
      <c r="M2847" t="str">
        <f>IF(Raw_Claims_Data!M2846="","N/A",Raw_Claims_Data!M2846)</f>
        <v>VNDR00103</v>
      </c>
      <c r="N2847" t="str">
        <f>Raw_Claims_Data!N2846</f>
        <v>AGENT00482</v>
      </c>
      <c r="O2847">
        <f>IF(Raw_Claims_Data!G2846="D",1,0)</f>
        <v>0</v>
      </c>
    </row>
    <row r="2848" spans="1:15" x14ac:dyDescent="0.35">
      <c r="A2848" t="str">
        <f>Raw_Claims_Data!A2847</f>
        <v>TXN00002844</v>
      </c>
      <c r="B2848" t="str">
        <f>TRIM(Raw_Claims_Data!B2847)</f>
        <v>James Bailey</v>
      </c>
      <c r="C2848" t="str">
        <f>Raw_Claims_Data!C2847</f>
        <v>Travel</v>
      </c>
      <c r="D2848">
        <f>Raw_Claims_Data!D2847</f>
        <v>89.39</v>
      </c>
      <c r="E2848">
        <f>Raw_Claims_Data!E2847</f>
        <v>5000</v>
      </c>
      <c r="F2848" t="str">
        <f>Raw_Claims_Data!F2847</f>
        <v>FL</v>
      </c>
      <c r="G2848" t="str">
        <f>Raw_Claims_Data!G2847</f>
        <v>A</v>
      </c>
      <c r="H2848" t="str">
        <f>Raw_Claims_Data!H2847</f>
        <v>Major Loss</v>
      </c>
      <c r="I2848" t="str">
        <f>IF(Raw_Claims_Data!I2847="","None",Raw_Claims_Data!I2847)</f>
        <v>Other</v>
      </c>
      <c r="J2848" t="str">
        <f>Raw_Claims_Data!J2847</f>
        <v>Quincy</v>
      </c>
      <c r="K2848" t="str">
        <f>Raw_Claims_Data!K2847</f>
        <v>MA</v>
      </c>
      <c r="L2848">
        <f>Raw_Claims_Data!L2847</f>
        <v>4</v>
      </c>
      <c r="M2848" t="str">
        <f>IF(Raw_Claims_Data!M2847="","N/A",Raw_Claims_Data!M2847)</f>
        <v>N/A</v>
      </c>
      <c r="N2848" t="str">
        <f>Raw_Claims_Data!N2847</f>
        <v>AGENT00414</v>
      </c>
      <c r="O2848">
        <f>IF(Raw_Claims_Data!G2847="D",1,0)</f>
        <v>0</v>
      </c>
    </row>
    <row r="2849" spans="1:15" x14ac:dyDescent="0.35">
      <c r="A2849" t="str">
        <f>Raw_Claims_Data!A2848</f>
        <v>TXN00002845</v>
      </c>
      <c r="B2849" t="str">
        <f>TRIM(Raw_Claims_Data!B2848)</f>
        <v>Bertha Natoli</v>
      </c>
      <c r="C2849" t="str">
        <f>Raw_Claims_Data!C2848</f>
        <v>Health</v>
      </c>
      <c r="D2849">
        <f>Raw_Claims_Data!D2848</f>
        <v>122.48</v>
      </c>
      <c r="E2849">
        <f>Raw_Claims_Data!E2848</f>
        <v>6000</v>
      </c>
      <c r="F2849" t="str">
        <f>Raw_Claims_Data!F2848</f>
        <v>TN</v>
      </c>
      <c r="G2849" t="str">
        <f>Raw_Claims_Data!G2848</f>
        <v>A</v>
      </c>
      <c r="H2849" t="str">
        <f>Raw_Claims_Data!H2848</f>
        <v>Minor Loss</v>
      </c>
      <c r="I2849" t="str">
        <f>IF(Raw_Claims_Data!I2848="","None",Raw_Claims_Data!I2848)</f>
        <v>Ambulance</v>
      </c>
      <c r="J2849" t="str">
        <f>Raw_Claims_Data!J2848</f>
        <v>Berkeley</v>
      </c>
      <c r="K2849" t="str">
        <f>Raw_Claims_Data!K2848</f>
        <v>CA</v>
      </c>
      <c r="L2849">
        <f>Raw_Claims_Data!L2848</f>
        <v>11</v>
      </c>
      <c r="M2849" t="str">
        <f>IF(Raw_Claims_Data!M2848="","N/A",Raw_Claims_Data!M2848)</f>
        <v>N/A</v>
      </c>
      <c r="N2849" t="str">
        <f>Raw_Claims_Data!N2848</f>
        <v>AGENT00752</v>
      </c>
      <c r="O2849">
        <f>IF(Raw_Claims_Data!G2848="D",1,0)</f>
        <v>0</v>
      </c>
    </row>
    <row r="2850" spans="1:15" x14ac:dyDescent="0.35">
      <c r="A2850" t="str">
        <f>Raw_Claims_Data!A2849</f>
        <v>TXN00002846</v>
      </c>
      <c r="B2850" t="str">
        <f>TRIM(Raw_Claims_Data!B2849)</f>
        <v>Stanley Young</v>
      </c>
      <c r="C2850" t="str">
        <f>Raw_Claims_Data!C2849</f>
        <v>Life</v>
      </c>
      <c r="D2850">
        <f>Raw_Claims_Data!D2849</f>
        <v>75.14</v>
      </c>
      <c r="E2850">
        <f>Raw_Claims_Data!E2849</f>
        <v>70000</v>
      </c>
      <c r="F2850" t="str">
        <f>Raw_Claims_Data!F2849</f>
        <v>MA</v>
      </c>
      <c r="G2850" t="str">
        <f>Raw_Claims_Data!G2849</f>
        <v>A</v>
      </c>
      <c r="H2850" t="str">
        <f>Raw_Claims_Data!H2849</f>
        <v>Minor Loss</v>
      </c>
      <c r="I2850" t="str">
        <f>IF(Raw_Claims_Data!I2849="","None",Raw_Claims_Data!I2849)</f>
        <v>Police</v>
      </c>
      <c r="J2850" t="str">
        <f>Raw_Claims_Data!J2849</f>
        <v>Youngstown</v>
      </c>
      <c r="K2850" t="str">
        <f>Raw_Claims_Data!K2849</f>
        <v>FL</v>
      </c>
      <c r="L2850">
        <f>Raw_Claims_Data!L2849</f>
        <v>7</v>
      </c>
      <c r="M2850" t="str">
        <f>IF(Raw_Claims_Data!M2849="","N/A",Raw_Claims_Data!M2849)</f>
        <v>N/A</v>
      </c>
      <c r="N2850" t="str">
        <f>Raw_Claims_Data!N2849</f>
        <v>AGENT00302</v>
      </c>
      <c r="O2850">
        <f>IF(Raw_Claims_Data!G2849="D",1,0)</f>
        <v>0</v>
      </c>
    </row>
    <row r="2851" spans="1:15" x14ac:dyDescent="0.35">
      <c r="A2851" t="str">
        <f>Raw_Claims_Data!A2850</f>
        <v>TXN00002847</v>
      </c>
      <c r="B2851" t="str">
        <f>TRIM(Raw_Claims_Data!B2850)</f>
        <v>Nancy Martens</v>
      </c>
      <c r="C2851" t="str">
        <f>Raw_Claims_Data!C2850</f>
        <v>Mobile</v>
      </c>
      <c r="D2851">
        <f>Raw_Claims_Data!D2850</f>
        <v>8.39</v>
      </c>
      <c r="E2851">
        <f>Raw_Claims_Data!E2850</f>
        <v>700</v>
      </c>
      <c r="F2851" t="str">
        <f>Raw_Claims_Data!F2850</f>
        <v>AK</v>
      </c>
      <c r="G2851" t="str">
        <f>Raw_Claims_Data!G2850</f>
        <v>A</v>
      </c>
      <c r="H2851" t="str">
        <f>Raw_Claims_Data!H2850</f>
        <v>Minor Loss</v>
      </c>
      <c r="I2851" t="str">
        <f>IF(Raw_Claims_Data!I2850="","None",Raw_Claims_Data!I2850)</f>
        <v>Other</v>
      </c>
      <c r="J2851" t="str">
        <f>Raw_Claims_Data!J2850</f>
        <v>Panama City Beach</v>
      </c>
      <c r="K2851" t="str">
        <f>Raw_Claims_Data!K2850</f>
        <v>FL</v>
      </c>
      <c r="L2851">
        <f>Raw_Claims_Data!L2850</f>
        <v>1</v>
      </c>
      <c r="M2851" t="str">
        <f>IF(Raw_Claims_Data!M2850="","N/A",Raw_Claims_Data!M2850)</f>
        <v>N/A</v>
      </c>
      <c r="N2851" t="str">
        <f>Raw_Claims_Data!N2850</f>
        <v>AGENT00540</v>
      </c>
      <c r="O2851">
        <f>IF(Raw_Claims_Data!G2850="D",1,0)</f>
        <v>0</v>
      </c>
    </row>
    <row r="2852" spans="1:15" x14ac:dyDescent="0.35">
      <c r="A2852" t="str">
        <f>Raw_Claims_Data!A2851</f>
        <v>TXN00002848</v>
      </c>
      <c r="B2852" t="str">
        <f>TRIM(Raw_Claims_Data!B2851)</f>
        <v>Roger Napier</v>
      </c>
      <c r="C2852" t="str">
        <f>Raw_Claims_Data!C2851</f>
        <v>Mobile</v>
      </c>
      <c r="D2852">
        <f>Raw_Claims_Data!D2851</f>
        <v>7.33</v>
      </c>
      <c r="E2852">
        <f>Raw_Claims_Data!E2851</f>
        <v>200</v>
      </c>
      <c r="F2852" t="str">
        <f>Raw_Claims_Data!F2851</f>
        <v>OK</v>
      </c>
      <c r="G2852" t="str">
        <f>Raw_Claims_Data!G2851</f>
        <v>A</v>
      </c>
      <c r="H2852" t="str">
        <f>Raw_Claims_Data!H2851</f>
        <v>Total Loss</v>
      </c>
      <c r="I2852" t="str">
        <f>IF(Raw_Claims_Data!I2851="","None",Raw_Claims_Data!I2851)</f>
        <v>Police</v>
      </c>
      <c r="J2852" t="str">
        <f>Raw_Claims_Data!J2851</f>
        <v>Fayetteville</v>
      </c>
      <c r="K2852" t="str">
        <f>Raw_Claims_Data!K2851</f>
        <v>AR</v>
      </c>
      <c r="L2852">
        <f>Raw_Claims_Data!L2851</f>
        <v>10</v>
      </c>
      <c r="M2852" t="str">
        <f>IF(Raw_Claims_Data!M2851="","N/A",Raw_Claims_Data!M2851)</f>
        <v>N/A</v>
      </c>
      <c r="N2852" t="str">
        <f>Raw_Claims_Data!N2851</f>
        <v>AGENT01181</v>
      </c>
      <c r="O2852">
        <f>IF(Raw_Claims_Data!G2851="D",1,0)</f>
        <v>0</v>
      </c>
    </row>
    <row r="2853" spans="1:15" x14ac:dyDescent="0.35">
      <c r="A2853" t="str">
        <f>Raw_Claims_Data!A2852</f>
        <v>TXN00002849</v>
      </c>
      <c r="B2853" t="str">
        <f>TRIM(Raw_Claims_Data!B2852)</f>
        <v>Linda Mcnair</v>
      </c>
      <c r="C2853" t="str">
        <f>Raw_Claims_Data!C2852</f>
        <v>Health</v>
      </c>
      <c r="D2853">
        <f>Raw_Claims_Data!D2852</f>
        <v>175.02</v>
      </c>
      <c r="E2853">
        <f>Raw_Claims_Data!E2852</f>
        <v>13000</v>
      </c>
      <c r="F2853" t="str">
        <f>Raw_Claims_Data!F2852</f>
        <v>CA</v>
      </c>
      <c r="G2853" t="str">
        <f>Raw_Claims_Data!G2852</f>
        <v>A</v>
      </c>
      <c r="H2853" t="str">
        <f>Raw_Claims_Data!H2852</f>
        <v>Total Loss</v>
      </c>
      <c r="I2853" t="str">
        <f>IF(Raw_Claims_Data!I2852="","None",Raw_Claims_Data!I2852)</f>
        <v>Ambulance</v>
      </c>
      <c r="J2853" t="str">
        <f>Raw_Claims_Data!J2852</f>
        <v>Nashville</v>
      </c>
      <c r="K2853" t="str">
        <f>Raw_Claims_Data!K2852</f>
        <v>TN</v>
      </c>
      <c r="L2853">
        <f>Raw_Claims_Data!L2852</f>
        <v>17</v>
      </c>
      <c r="M2853" t="str">
        <f>IF(Raw_Claims_Data!M2852="","N/A",Raw_Claims_Data!M2852)</f>
        <v>VNDR00403</v>
      </c>
      <c r="N2853" t="str">
        <f>Raw_Claims_Data!N2852</f>
        <v>AGENT00568</v>
      </c>
      <c r="O2853">
        <f>IF(Raw_Claims_Data!G2852="D",1,0)</f>
        <v>0</v>
      </c>
    </row>
    <row r="2854" spans="1:15" x14ac:dyDescent="0.35">
      <c r="A2854" t="str">
        <f>Raw_Claims_Data!A2853</f>
        <v>TXN00002850</v>
      </c>
      <c r="B2854" t="str">
        <f>TRIM(Raw_Claims_Data!B2853)</f>
        <v>Maria Johnson</v>
      </c>
      <c r="C2854" t="str">
        <f>Raw_Claims_Data!C2853</f>
        <v>Motor</v>
      </c>
      <c r="D2854">
        <f>Raw_Claims_Data!D2853</f>
        <v>99.44</v>
      </c>
      <c r="E2854">
        <f>Raw_Claims_Data!E2853</f>
        <v>7000</v>
      </c>
      <c r="F2854" t="str">
        <f>Raw_Claims_Data!F2853</f>
        <v>CO</v>
      </c>
      <c r="G2854" t="str">
        <f>Raw_Claims_Data!G2853</f>
        <v>A</v>
      </c>
      <c r="H2854" t="str">
        <f>Raw_Claims_Data!H2853</f>
        <v>Total Loss</v>
      </c>
      <c r="I2854" t="str">
        <f>IF(Raw_Claims_Data!I2853="","None",Raw_Claims_Data!I2853)</f>
        <v>Ambulance</v>
      </c>
      <c r="J2854" t="str">
        <f>Raw_Claims_Data!J2853</f>
        <v>Arvada</v>
      </c>
      <c r="K2854" t="str">
        <f>Raw_Claims_Data!K2853</f>
        <v>CO</v>
      </c>
      <c r="L2854">
        <f>Raw_Claims_Data!L2853</f>
        <v>21</v>
      </c>
      <c r="M2854" t="str">
        <f>IF(Raw_Claims_Data!M2853="","N/A",Raw_Claims_Data!M2853)</f>
        <v>VNDR00138</v>
      </c>
      <c r="N2854" t="str">
        <f>Raw_Claims_Data!N2853</f>
        <v>AGENT00704</v>
      </c>
      <c r="O2854">
        <f>IF(Raw_Claims_Data!G2853="D",1,0)</f>
        <v>0</v>
      </c>
    </row>
    <row r="2855" spans="1:15" x14ac:dyDescent="0.35">
      <c r="A2855" t="str">
        <f>Raw_Claims_Data!A2854</f>
        <v>TXN00002851</v>
      </c>
      <c r="B2855" t="str">
        <f>TRIM(Raw_Claims_Data!B2854)</f>
        <v>Kenneth Warfield</v>
      </c>
      <c r="C2855" t="str">
        <f>Raw_Claims_Data!C2854</f>
        <v>Health</v>
      </c>
      <c r="D2855">
        <f>Raw_Claims_Data!D2854</f>
        <v>119.4</v>
      </c>
      <c r="E2855">
        <f>Raw_Claims_Data!E2854</f>
        <v>14000</v>
      </c>
      <c r="F2855" t="str">
        <f>Raw_Claims_Data!F2854</f>
        <v>CO</v>
      </c>
      <c r="G2855" t="str">
        <f>Raw_Claims_Data!G2854</f>
        <v>A</v>
      </c>
      <c r="H2855" t="str">
        <f>Raw_Claims_Data!H2854</f>
        <v>Total Loss</v>
      </c>
      <c r="I2855" t="str">
        <f>IF(Raw_Claims_Data!I2854="","None",Raw_Claims_Data!I2854)</f>
        <v>Ambulance</v>
      </c>
      <c r="J2855" t="str">
        <f>Raw_Claims_Data!J2854</f>
        <v>Redding</v>
      </c>
      <c r="K2855" t="str">
        <f>Raw_Claims_Data!K2854</f>
        <v>CA</v>
      </c>
      <c r="L2855">
        <f>Raw_Claims_Data!L2854</f>
        <v>12</v>
      </c>
      <c r="M2855" t="str">
        <f>IF(Raw_Claims_Data!M2854="","N/A",Raw_Claims_Data!M2854)</f>
        <v>VNDR00090</v>
      </c>
      <c r="N2855" t="str">
        <f>Raw_Claims_Data!N2854</f>
        <v>AGENT00318</v>
      </c>
      <c r="O2855">
        <f>IF(Raw_Claims_Data!G2854="D",1,0)</f>
        <v>0</v>
      </c>
    </row>
    <row r="2856" spans="1:15" x14ac:dyDescent="0.35">
      <c r="A2856" t="str">
        <f>Raw_Claims_Data!A2855</f>
        <v>TXN00002852</v>
      </c>
      <c r="B2856" t="str">
        <f>TRIM(Raw_Claims_Data!B2855)</f>
        <v>Kim Hughes</v>
      </c>
      <c r="C2856" t="str">
        <f>Raw_Claims_Data!C2855</f>
        <v>Travel</v>
      </c>
      <c r="D2856">
        <f>Raw_Claims_Data!D2855</f>
        <v>72.849999999999994</v>
      </c>
      <c r="E2856">
        <f>Raw_Claims_Data!E2855</f>
        <v>2000</v>
      </c>
      <c r="F2856" t="str">
        <f>Raw_Claims_Data!F2855</f>
        <v>CT</v>
      </c>
      <c r="G2856" t="str">
        <f>Raw_Claims_Data!G2855</f>
        <v>A</v>
      </c>
      <c r="H2856" t="str">
        <f>Raw_Claims_Data!H2855</f>
        <v>Major Loss</v>
      </c>
      <c r="I2856" t="str">
        <f>IF(Raw_Claims_Data!I2855="","None",Raw_Claims_Data!I2855)</f>
        <v>Other</v>
      </c>
      <c r="J2856" t="str">
        <f>Raw_Claims_Data!J2855</f>
        <v>Glendale</v>
      </c>
      <c r="K2856" t="str">
        <f>Raw_Claims_Data!K2855</f>
        <v>AZ</v>
      </c>
      <c r="L2856">
        <f>Raw_Claims_Data!L2855</f>
        <v>15</v>
      </c>
      <c r="M2856" t="str">
        <f>IF(Raw_Claims_Data!M2855="","N/A",Raw_Claims_Data!M2855)</f>
        <v>N/A</v>
      </c>
      <c r="N2856" t="str">
        <f>Raw_Claims_Data!N2855</f>
        <v>AGENT00287</v>
      </c>
      <c r="O2856">
        <f>IF(Raw_Claims_Data!G2855="D",1,0)</f>
        <v>0</v>
      </c>
    </row>
    <row r="2857" spans="1:15" x14ac:dyDescent="0.35">
      <c r="A2857" t="str">
        <f>Raw_Claims_Data!A2856</f>
        <v>TXN00002853</v>
      </c>
      <c r="B2857" t="str">
        <f>TRIM(Raw_Claims_Data!B2856)</f>
        <v>Hope Pereira</v>
      </c>
      <c r="C2857" t="str">
        <f>Raw_Claims_Data!C2856</f>
        <v>Property</v>
      </c>
      <c r="D2857">
        <f>Raw_Claims_Data!D2856</f>
        <v>128.82</v>
      </c>
      <c r="E2857">
        <f>Raw_Claims_Data!E2856</f>
        <v>10000</v>
      </c>
      <c r="F2857" t="str">
        <f>Raw_Claims_Data!F2856</f>
        <v>AR</v>
      </c>
      <c r="G2857" t="str">
        <f>Raw_Claims_Data!G2856</f>
        <v>A</v>
      </c>
      <c r="H2857" t="str">
        <f>Raw_Claims_Data!H2856</f>
        <v>Total Loss</v>
      </c>
      <c r="I2857" t="str">
        <f>IF(Raw_Claims_Data!I2856="","None",Raw_Claims_Data!I2856)</f>
        <v>Ambulance</v>
      </c>
      <c r="J2857" t="str">
        <f>Raw_Claims_Data!J2856</f>
        <v>Athol</v>
      </c>
      <c r="K2857" t="str">
        <f>Raw_Claims_Data!K2856</f>
        <v>MA</v>
      </c>
      <c r="L2857">
        <f>Raw_Claims_Data!L2856</f>
        <v>6</v>
      </c>
      <c r="M2857" t="str">
        <f>IF(Raw_Claims_Data!M2856="","N/A",Raw_Claims_Data!M2856)</f>
        <v>VNDR00094</v>
      </c>
      <c r="N2857" t="str">
        <f>Raw_Claims_Data!N2856</f>
        <v>AGENT00516</v>
      </c>
      <c r="O2857">
        <f>IF(Raw_Claims_Data!G2856="D",1,0)</f>
        <v>0</v>
      </c>
    </row>
    <row r="2858" spans="1:15" x14ac:dyDescent="0.35">
      <c r="A2858" t="str">
        <f>Raw_Claims_Data!A2857</f>
        <v>TXN00002854</v>
      </c>
      <c r="B2858" t="str">
        <f>TRIM(Raw_Claims_Data!B2857)</f>
        <v>Julian Pool</v>
      </c>
      <c r="C2858" t="str">
        <f>Raw_Claims_Data!C2857</f>
        <v>Life</v>
      </c>
      <c r="D2858">
        <f>Raw_Claims_Data!D2857</f>
        <v>88.37</v>
      </c>
      <c r="E2858">
        <f>Raw_Claims_Data!E2857</f>
        <v>63000</v>
      </c>
      <c r="F2858" t="str">
        <f>Raw_Claims_Data!F2857</f>
        <v>CT</v>
      </c>
      <c r="G2858" t="str">
        <f>Raw_Claims_Data!G2857</f>
        <v>A</v>
      </c>
      <c r="H2858" t="str">
        <f>Raw_Claims_Data!H2857</f>
        <v>Minor Loss</v>
      </c>
      <c r="I2858" t="str">
        <f>IF(Raw_Claims_Data!I2857="","None",Raw_Claims_Data!I2857)</f>
        <v>Ambulance</v>
      </c>
      <c r="J2858" t="str">
        <f>Raw_Claims_Data!J2857</f>
        <v>Groton</v>
      </c>
      <c r="K2858" t="str">
        <f>Raw_Claims_Data!K2857</f>
        <v>VT</v>
      </c>
      <c r="L2858">
        <f>Raw_Claims_Data!L2857</f>
        <v>9</v>
      </c>
      <c r="M2858" t="str">
        <f>IF(Raw_Claims_Data!M2857="","N/A",Raw_Claims_Data!M2857)</f>
        <v>VNDR00075</v>
      </c>
      <c r="N2858" t="str">
        <f>Raw_Claims_Data!N2857</f>
        <v>AGENT01031</v>
      </c>
      <c r="O2858">
        <f>IF(Raw_Claims_Data!G2857="D",1,0)</f>
        <v>0</v>
      </c>
    </row>
    <row r="2859" spans="1:15" x14ac:dyDescent="0.35">
      <c r="A2859" t="str">
        <f>Raw_Claims_Data!A2858</f>
        <v>TXN00002855</v>
      </c>
      <c r="B2859" t="str">
        <f>TRIM(Raw_Claims_Data!B2858)</f>
        <v>Arielle Amburgey</v>
      </c>
      <c r="C2859" t="str">
        <f>Raw_Claims_Data!C2858</f>
        <v>Health</v>
      </c>
      <c r="D2859">
        <f>Raw_Claims_Data!D2858</f>
        <v>177.76</v>
      </c>
      <c r="E2859">
        <f>Raw_Claims_Data!E2858</f>
        <v>14000</v>
      </c>
      <c r="F2859" t="str">
        <f>Raw_Claims_Data!F2858</f>
        <v>FL</v>
      </c>
      <c r="G2859" t="str">
        <f>Raw_Claims_Data!G2858</f>
        <v>A</v>
      </c>
      <c r="H2859" t="str">
        <f>Raw_Claims_Data!H2858</f>
        <v>Major Loss</v>
      </c>
      <c r="I2859" t="str">
        <f>IF(Raw_Claims_Data!I2858="","None",Raw_Claims_Data!I2858)</f>
        <v>None</v>
      </c>
      <c r="J2859" t="str">
        <f>Raw_Claims_Data!J2858</f>
        <v>Arvada</v>
      </c>
      <c r="K2859" t="str">
        <f>Raw_Claims_Data!K2858</f>
        <v>CO</v>
      </c>
      <c r="L2859">
        <f>Raw_Claims_Data!L2858</f>
        <v>1</v>
      </c>
      <c r="M2859" t="str">
        <f>IF(Raw_Claims_Data!M2858="","N/A",Raw_Claims_Data!M2858)</f>
        <v>N/A</v>
      </c>
      <c r="N2859" t="str">
        <f>Raw_Claims_Data!N2858</f>
        <v>AGENT00358</v>
      </c>
      <c r="O2859">
        <f>IF(Raw_Claims_Data!G2858="D",1,0)</f>
        <v>0</v>
      </c>
    </row>
    <row r="2860" spans="1:15" x14ac:dyDescent="0.35">
      <c r="A2860" t="str">
        <f>Raw_Claims_Data!A2859</f>
        <v>TXN00002856</v>
      </c>
      <c r="B2860" t="str">
        <f>TRIM(Raw_Claims_Data!B2859)</f>
        <v>Jamie Vise</v>
      </c>
      <c r="C2860" t="str">
        <f>Raw_Claims_Data!C2859</f>
        <v>Property</v>
      </c>
      <c r="D2860">
        <f>Raw_Claims_Data!D2859</f>
        <v>92.38</v>
      </c>
      <c r="E2860">
        <f>Raw_Claims_Data!E2859</f>
        <v>20000</v>
      </c>
      <c r="F2860" t="str">
        <f>Raw_Claims_Data!F2859</f>
        <v>MD</v>
      </c>
      <c r="G2860" t="str">
        <f>Raw_Claims_Data!G2859</f>
        <v>A</v>
      </c>
      <c r="H2860" t="str">
        <f>Raw_Claims_Data!H2859</f>
        <v>Minor Loss</v>
      </c>
      <c r="I2860" t="str">
        <f>IF(Raw_Claims_Data!I2859="","None",Raw_Claims_Data!I2859)</f>
        <v>None</v>
      </c>
      <c r="J2860" t="str">
        <f>Raw_Claims_Data!J2859</f>
        <v>Litchfield Park</v>
      </c>
      <c r="K2860" t="str">
        <f>Raw_Claims_Data!K2859</f>
        <v>AZ</v>
      </c>
      <c r="L2860">
        <f>Raw_Claims_Data!L2859</f>
        <v>6</v>
      </c>
      <c r="M2860" t="str">
        <f>IF(Raw_Claims_Data!M2859="","N/A",Raw_Claims_Data!M2859)</f>
        <v>VNDR00209</v>
      </c>
      <c r="N2860" t="str">
        <f>Raw_Claims_Data!N2859</f>
        <v>AGENT01063</v>
      </c>
      <c r="O2860">
        <f>IF(Raw_Claims_Data!G2859="D",1,0)</f>
        <v>0</v>
      </c>
    </row>
    <row r="2861" spans="1:15" x14ac:dyDescent="0.35">
      <c r="A2861" t="str">
        <f>Raw_Claims_Data!A2860</f>
        <v>TXN00002857</v>
      </c>
      <c r="B2861" t="str">
        <f>TRIM(Raw_Claims_Data!B2860)</f>
        <v>Richard May</v>
      </c>
      <c r="C2861" t="str">
        <f>Raw_Claims_Data!C2860</f>
        <v>Travel</v>
      </c>
      <c r="D2861">
        <f>Raw_Claims_Data!D2860</f>
        <v>84.93</v>
      </c>
      <c r="E2861">
        <f>Raw_Claims_Data!E2860</f>
        <v>1000</v>
      </c>
      <c r="F2861" t="str">
        <f>Raw_Claims_Data!F2860</f>
        <v>AL</v>
      </c>
      <c r="G2861" t="str">
        <f>Raw_Claims_Data!G2860</f>
        <v>A</v>
      </c>
      <c r="H2861" t="str">
        <f>Raw_Claims_Data!H2860</f>
        <v>Total Loss</v>
      </c>
      <c r="I2861" t="str">
        <f>IF(Raw_Claims_Data!I2860="","None",Raw_Claims_Data!I2860)</f>
        <v>Ambulance</v>
      </c>
      <c r="J2861" t="str">
        <f>Raw_Claims_Data!J2860</f>
        <v>Montgomery</v>
      </c>
      <c r="K2861" t="str">
        <f>Raw_Claims_Data!K2860</f>
        <v>AL</v>
      </c>
      <c r="L2861">
        <f>Raw_Claims_Data!L2860</f>
        <v>21</v>
      </c>
      <c r="M2861" t="str">
        <f>IF(Raw_Claims_Data!M2860="","N/A",Raw_Claims_Data!M2860)</f>
        <v>N/A</v>
      </c>
      <c r="N2861" t="str">
        <f>Raw_Claims_Data!N2860</f>
        <v>AGENT00679</v>
      </c>
      <c r="O2861">
        <f>IF(Raw_Claims_Data!G2860="D",1,0)</f>
        <v>0</v>
      </c>
    </row>
    <row r="2862" spans="1:15" x14ac:dyDescent="0.35">
      <c r="A2862" t="str">
        <f>Raw_Claims_Data!A2861</f>
        <v>TXN00002858</v>
      </c>
      <c r="B2862" t="str">
        <f>TRIM(Raw_Claims_Data!B2861)</f>
        <v>James King</v>
      </c>
      <c r="C2862" t="str">
        <f>Raw_Claims_Data!C2861</f>
        <v>Motor</v>
      </c>
      <c r="D2862">
        <f>Raw_Claims_Data!D2861</f>
        <v>74.25</v>
      </c>
      <c r="E2862">
        <f>Raw_Claims_Data!E2861</f>
        <v>6000</v>
      </c>
      <c r="F2862" t="str">
        <f>Raw_Claims_Data!F2861</f>
        <v>CA</v>
      </c>
      <c r="G2862" t="str">
        <f>Raw_Claims_Data!G2861</f>
        <v>A</v>
      </c>
      <c r="H2862" t="str">
        <f>Raw_Claims_Data!H2861</f>
        <v>Total Loss</v>
      </c>
      <c r="I2862" t="str">
        <f>IF(Raw_Claims_Data!I2861="","None",Raw_Claims_Data!I2861)</f>
        <v>None</v>
      </c>
      <c r="J2862" t="str">
        <f>Raw_Claims_Data!J2861</f>
        <v>Fremont</v>
      </c>
      <c r="K2862" t="str">
        <f>Raw_Claims_Data!K2861</f>
        <v>CA</v>
      </c>
      <c r="L2862">
        <f>Raw_Claims_Data!L2861</f>
        <v>3</v>
      </c>
      <c r="M2862" t="str">
        <f>IF(Raw_Claims_Data!M2861="","N/A",Raw_Claims_Data!M2861)</f>
        <v>VNDR00120</v>
      </c>
      <c r="N2862" t="str">
        <f>Raw_Claims_Data!N2861</f>
        <v>AGENT00565</v>
      </c>
      <c r="O2862">
        <f>IF(Raw_Claims_Data!G2861="D",1,0)</f>
        <v>0</v>
      </c>
    </row>
    <row r="2863" spans="1:15" x14ac:dyDescent="0.35">
      <c r="A2863" t="str">
        <f>Raw_Claims_Data!A2862</f>
        <v>TXN00002859</v>
      </c>
      <c r="B2863" t="str">
        <f>TRIM(Raw_Claims_Data!B2862)</f>
        <v>Richard Scott</v>
      </c>
      <c r="C2863" t="str">
        <f>Raw_Claims_Data!C2862</f>
        <v>Property</v>
      </c>
      <c r="D2863">
        <f>Raw_Claims_Data!D2862</f>
        <v>127.49</v>
      </c>
      <c r="E2863">
        <f>Raw_Claims_Data!E2862</f>
        <v>20000</v>
      </c>
      <c r="F2863" t="str">
        <f>Raw_Claims_Data!F2862</f>
        <v>TN</v>
      </c>
      <c r="G2863" t="str">
        <f>Raw_Claims_Data!G2862</f>
        <v>A</v>
      </c>
      <c r="H2863" t="str">
        <f>Raw_Claims_Data!H2862</f>
        <v>Minor Loss</v>
      </c>
      <c r="I2863" t="str">
        <f>IF(Raw_Claims_Data!I2862="","None",Raw_Claims_Data!I2862)</f>
        <v>Ambulance</v>
      </c>
      <c r="J2863" t="str">
        <f>Raw_Claims_Data!J2862</f>
        <v>Arvada</v>
      </c>
      <c r="K2863" t="str">
        <f>Raw_Claims_Data!K2862</f>
        <v>CO</v>
      </c>
      <c r="L2863">
        <f>Raw_Claims_Data!L2862</f>
        <v>15</v>
      </c>
      <c r="M2863" t="str">
        <f>IF(Raw_Claims_Data!M2862="","N/A",Raw_Claims_Data!M2862)</f>
        <v>VNDR00266</v>
      </c>
      <c r="N2863" t="str">
        <f>Raw_Claims_Data!N2862</f>
        <v>AGENT00268</v>
      </c>
      <c r="O2863">
        <f>IF(Raw_Claims_Data!G2862="D",1,0)</f>
        <v>0</v>
      </c>
    </row>
    <row r="2864" spans="1:15" x14ac:dyDescent="0.35">
      <c r="A2864" t="str">
        <f>Raw_Claims_Data!A2863</f>
        <v>TXN00002860</v>
      </c>
      <c r="B2864" t="str">
        <f>TRIM(Raw_Claims_Data!B2863)</f>
        <v>Tracy Torres</v>
      </c>
      <c r="C2864" t="str">
        <f>Raw_Claims_Data!C2863</f>
        <v>Life</v>
      </c>
      <c r="D2864">
        <f>Raw_Claims_Data!D2863</f>
        <v>68.56</v>
      </c>
      <c r="E2864">
        <f>Raw_Claims_Data!E2863</f>
        <v>13000</v>
      </c>
      <c r="F2864" t="str">
        <f>Raw_Claims_Data!F2863</f>
        <v>CA</v>
      </c>
      <c r="G2864" t="str">
        <f>Raw_Claims_Data!G2863</f>
        <v>A</v>
      </c>
      <c r="H2864" t="str">
        <f>Raw_Claims_Data!H2863</f>
        <v>Minor Loss</v>
      </c>
      <c r="I2864" t="str">
        <f>IF(Raw_Claims_Data!I2863="","None",Raw_Claims_Data!I2863)</f>
        <v>Police</v>
      </c>
      <c r="J2864" t="str">
        <f>Raw_Claims_Data!J2863</f>
        <v>Huntington</v>
      </c>
      <c r="K2864" t="str">
        <f>Raw_Claims_Data!K2863</f>
        <v>VT</v>
      </c>
      <c r="L2864">
        <f>Raw_Claims_Data!L2863</f>
        <v>21</v>
      </c>
      <c r="M2864" t="str">
        <f>IF(Raw_Claims_Data!M2863="","N/A",Raw_Claims_Data!M2863)</f>
        <v>VNDR00545</v>
      </c>
      <c r="N2864" t="str">
        <f>Raw_Claims_Data!N2863</f>
        <v>AGENT00659</v>
      </c>
      <c r="O2864">
        <f>IF(Raw_Claims_Data!G2863="D",1,0)</f>
        <v>0</v>
      </c>
    </row>
    <row r="2865" spans="1:15" x14ac:dyDescent="0.35">
      <c r="A2865" t="str">
        <f>Raw_Claims_Data!A2864</f>
        <v>TXN00002861</v>
      </c>
      <c r="B2865" t="str">
        <f>TRIM(Raw_Claims_Data!B2864)</f>
        <v>Allan Baumeister</v>
      </c>
      <c r="C2865" t="str">
        <f>Raw_Claims_Data!C2864</f>
        <v>Mobile</v>
      </c>
      <c r="D2865">
        <f>Raw_Claims_Data!D2864</f>
        <v>11.85</v>
      </c>
      <c r="E2865">
        <f>Raw_Claims_Data!E2864</f>
        <v>500</v>
      </c>
      <c r="F2865" t="str">
        <f>Raw_Claims_Data!F2864</f>
        <v>AR</v>
      </c>
      <c r="G2865" t="str">
        <f>Raw_Claims_Data!G2864</f>
        <v>A</v>
      </c>
      <c r="H2865" t="str">
        <f>Raw_Claims_Data!H2864</f>
        <v>Total Loss</v>
      </c>
      <c r="I2865" t="str">
        <f>IF(Raw_Claims_Data!I2864="","None",Raw_Claims_Data!I2864)</f>
        <v>Other</v>
      </c>
      <c r="J2865" t="str">
        <f>Raw_Claims_Data!J2864</f>
        <v>Lynn Haven</v>
      </c>
      <c r="K2865" t="str">
        <f>Raw_Claims_Data!K2864</f>
        <v>FL</v>
      </c>
      <c r="L2865">
        <f>Raw_Claims_Data!L2864</f>
        <v>15</v>
      </c>
      <c r="M2865" t="str">
        <f>IF(Raw_Claims_Data!M2864="","N/A",Raw_Claims_Data!M2864)</f>
        <v>VNDR00344</v>
      </c>
      <c r="N2865" t="str">
        <f>Raw_Claims_Data!N2864</f>
        <v>AGENT00413</v>
      </c>
      <c r="O2865">
        <f>IF(Raw_Claims_Data!G2864="D",1,0)</f>
        <v>0</v>
      </c>
    </row>
    <row r="2866" spans="1:15" x14ac:dyDescent="0.35">
      <c r="A2866" t="str">
        <f>Raw_Claims_Data!A2865</f>
        <v>TXN00002862</v>
      </c>
      <c r="B2866" t="str">
        <f>TRIM(Raw_Claims_Data!B2865)</f>
        <v>Mary Landis</v>
      </c>
      <c r="C2866" t="str">
        <f>Raw_Claims_Data!C2865</f>
        <v>Life</v>
      </c>
      <c r="D2866">
        <f>Raw_Claims_Data!D2865</f>
        <v>66.34</v>
      </c>
      <c r="E2866">
        <f>Raw_Claims_Data!E2865</f>
        <v>75000</v>
      </c>
      <c r="F2866" t="str">
        <f>Raw_Claims_Data!F2865</f>
        <v>AR</v>
      </c>
      <c r="G2866" t="str">
        <f>Raw_Claims_Data!G2865</f>
        <v>A</v>
      </c>
      <c r="H2866" t="str">
        <f>Raw_Claims_Data!H2865</f>
        <v>Total Loss</v>
      </c>
      <c r="I2866" t="str">
        <f>IF(Raw_Claims_Data!I2865="","None",Raw_Claims_Data!I2865)</f>
        <v>Police</v>
      </c>
      <c r="J2866" t="str">
        <f>Raw_Claims_Data!J2865</f>
        <v>Springfield</v>
      </c>
      <c r="K2866" t="str">
        <f>Raw_Claims_Data!K2865</f>
        <v>MA</v>
      </c>
      <c r="L2866">
        <f>Raw_Claims_Data!L2865</f>
        <v>12</v>
      </c>
      <c r="M2866" t="str">
        <f>IF(Raw_Claims_Data!M2865="","N/A",Raw_Claims_Data!M2865)</f>
        <v>VNDR00003</v>
      </c>
      <c r="N2866" t="str">
        <f>Raw_Claims_Data!N2865</f>
        <v>AGENT00317</v>
      </c>
      <c r="O2866">
        <f>IF(Raw_Claims_Data!G2865="D",1,0)</f>
        <v>0</v>
      </c>
    </row>
    <row r="2867" spans="1:15" x14ac:dyDescent="0.35">
      <c r="A2867" t="str">
        <f>Raw_Claims_Data!A2866</f>
        <v>TXN00002863</v>
      </c>
      <c r="B2867" t="str">
        <f>TRIM(Raw_Claims_Data!B2866)</f>
        <v>Avery Nicholson</v>
      </c>
      <c r="C2867" t="str">
        <f>Raw_Claims_Data!C2866</f>
        <v>Property</v>
      </c>
      <c r="D2867">
        <f>Raw_Claims_Data!D2866</f>
        <v>98.85</v>
      </c>
      <c r="E2867">
        <f>Raw_Claims_Data!E2866</f>
        <v>35000</v>
      </c>
      <c r="F2867" t="str">
        <f>Raw_Claims_Data!F2866</f>
        <v>CA</v>
      </c>
      <c r="G2867" t="str">
        <f>Raw_Claims_Data!G2866</f>
        <v>A</v>
      </c>
      <c r="H2867" t="str">
        <f>Raw_Claims_Data!H2866</f>
        <v>Major Loss</v>
      </c>
      <c r="I2867" t="str">
        <f>IF(Raw_Claims_Data!I2866="","None",Raw_Claims_Data!I2866)</f>
        <v>None</v>
      </c>
      <c r="J2867" t="str">
        <f>Raw_Claims_Data!J2866</f>
        <v>Savannah</v>
      </c>
      <c r="K2867" t="str">
        <f>Raw_Claims_Data!K2866</f>
        <v>GA</v>
      </c>
      <c r="L2867">
        <f>Raw_Claims_Data!L2866</f>
        <v>15</v>
      </c>
      <c r="M2867" t="str">
        <f>IF(Raw_Claims_Data!M2866="","N/A",Raw_Claims_Data!M2866)</f>
        <v>VNDR00233</v>
      </c>
      <c r="N2867" t="str">
        <f>Raw_Claims_Data!N2866</f>
        <v>AGENT00284</v>
      </c>
      <c r="O2867">
        <f>IF(Raw_Claims_Data!G2866="D",1,0)</f>
        <v>0</v>
      </c>
    </row>
    <row r="2868" spans="1:15" x14ac:dyDescent="0.35">
      <c r="A2868" t="str">
        <f>Raw_Claims_Data!A2867</f>
        <v>TXN00002864</v>
      </c>
      <c r="B2868" t="str">
        <f>TRIM(Raw_Claims_Data!B2867)</f>
        <v>Lisa Everts</v>
      </c>
      <c r="C2868" t="str">
        <f>Raw_Claims_Data!C2867</f>
        <v>Mobile</v>
      </c>
      <c r="D2868">
        <f>Raw_Claims_Data!D2867</f>
        <v>7.67</v>
      </c>
      <c r="E2868">
        <f>Raw_Claims_Data!E2867</f>
        <v>200</v>
      </c>
      <c r="F2868" t="str">
        <f>Raw_Claims_Data!F2867</f>
        <v>VT</v>
      </c>
      <c r="G2868" t="str">
        <f>Raw_Claims_Data!G2867</f>
        <v>A</v>
      </c>
      <c r="H2868" t="str">
        <f>Raw_Claims_Data!H2867</f>
        <v>Total Loss</v>
      </c>
      <c r="I2868" t="str">
        <f>IF(Raw_Claims_Data!I2867="","None",Raw_Claims_Data!I2867)</f>
        <v>Ambulance</v>
      </c>
      <c r="J2868" t="str">
        <f>Raw_Claims_Data!J2867</f>
        <v>Arvada</v>
      </c>
      <c r="K2868" t="str">
        <f>Raw_Claims_Data!K2867</f>
        <v>CO</v>
      </c>
      <c r="L2868">
        <f>Raw_Claims_Data!L2867</f>
        <v>14</v>
      </c>
      <c r="M2868" t="str">
        <f>IF(Raw_Claims_Data!M2867="","N/A",Raw_Claims_Data!M2867)</f>
        <v>VNDR00469</v>
      </c>
      <c r="N2868" t="str">
        <f>Raw_Claims_Data!N2867</f>
        <v>AGENT00775</v>
      </c>
      <c r="O2868">
        <f>IF(Raw_Claims_Data!G2867="D",1,0)</f>
        <v>0</v>
      </c>
    </row>
    <row r="2869" spans="1:15" x14ac:dyDescent="0.35">
      <c r="A2869" t="str">
        <f>Raw_Claims_Data!A2868</f>
        <v>TXN00002865</v>
      </c>
      <c r="B2869" t="str">
        <f>TRIM(Raw_Claims_Data!B2868)</f>
        <v>Joan Shapiro</v>
      </c>
      <c r="C2869" t="str">
        <f>Raw_Claims_Data!C2868</f>
        <v>Health</v>
      </c>
      <c r="D2869">
        <f>Raw_Claims_Data!D2868</f>
        <v>163.69999999999999</v>
      </c>
      <c r="E2869">
        <f>Raw_Claims_Data!E2868</f>
        <v>10000</v>
      </c>
      <c r="F2869" t="str">
        <f>Raw_Claims_Data!F2868</f>
        <v>AK</v>
      </c>
      <c r="G2869" t="str">
        <f>Raw_Claims_Data!G2868</f>
        <v>A</v>
      </c>
      <c r="H2869" t="str">
        <f>Raw_Claims_Data!H2868</f>
        <v>Total Loss</v>
      </c>
      <c r="I2869" t="str">
        <f>IF(Raw_Claims_Data!I2868="","None",Raw_Claims_Data!I2868)</f>
        <v>Ambulance</v>
      </c>
      <c r="J2869" t="str">
        <f>Raw_Claims_Data!J2868</f>
        <v>Louisville</v>
      </c>
      <c r="K2869" t="str">
        <f>Raw_Claims_Data!K2868</f>
        <v>KY</v>
      </c>
      <c r="L2869">
        <f>Raw_Claims_Data!L2868</f>
        <v>12</v>
      </c>
      <c r="M2869" t="str">
        <f>IF(Raw_Claims_Data!M2868="","N/A",Raw_Claims_Data!M2868)</f>
        <v>N/A</v>
      </c>
      <c r="N2869" t="str">
        <f>Raw_Claims_Data!N2868</f>
        <v>AGENT01156</v>
      </c>
      <c r="O2869">
        <f>IF(Raw_Claims_Data!G2868="D",1,0)</f>
        <v>0</v>
      </c>
    </row>
    <row r="2870" spans="1:15" x14ac:dyDescent="0.35">
      <c r="A2870" t="str">
        <f>Raw_Claims_Data!A2869</f>
        <v>TXN00002866</v>
      </c>
      <c r="B2870" t="str">
        <f>TRIM(Raw_Claims_Data!B2869)</f>
        <v>Teresa Anderson</v>
      </c>
      <c r="C2870" t="str">
        <f>Raw_Claims_Data!C2869</f>
        <v>Health</v>
      </c>
      <c r="D2870">
        <f>Raw_Claims_Data!D2869</f>
        <v>187.12</v>
      </c>
      <c r="E2870">
        <f>Raw_Claims_Data!E2869</f>
        <v>2000</v>
      </c>
      <c r="F2870" t="str">
        <f>Raw_Claims_Data!F2869</f>
        <v>MA</v>
      </c>
      <c r="G2870" t="str">
        <f>Raw_Claims_Data!G2869</f>
        <v>A</v>
      </c>
      <c r="H2870" t="str">
        <f>Raw_Claims_Data!H2869</f>
        <v>Minor Loss</v>
      </c>
      <c r="I2870" t="str">
        <f>IF(Raw_Claims_Data!I2869="","None",Raw_Claims_Data!I2869)</f>
        <v>None</v>
      </c>
      <c r="J2870" t="str">
        <f>Raw_Claims_Data!J2869</f>
        <v>Washington</v>
      </c>
      <c r="K2870" t="str">
        <f>Raw_Claims_Data!K2869</f>
        <v>DC</v>
      </c>
      <c r="L2870">
        <f>Raw_Claims_Data!L2869</f>
        <v>4</v>
      </c>
      <c r="M2870" t="str">
        <f>IF(Raw_Claims_Data!M2869="","N/A",Raw_Claims_Data!M2869)</f>
        <v>VNDR00306</v>
      </c>
      <c r="N2870" t="str">
        <f>Raw_Claims_Data!N2869</f>
        <v>AGENT00650</v>
      </c>
      <c r="O2870">
        <f>IF(Raw_Claims_Data!G2869="D",1,0)</f>
        <v>0</v>
      </c>
    </row>
    <row r="2871" spans="1:15" x14ac:dyDescent="0.35">
      <c r="A2871" t="str">
        <f>Raw_Claims_Data!A2870</f>
        <v>TXN00002867</v>
      </c>
      <c r="B2871" t="str">
        <f>TRIM(Raw_Claims_Data!B2870)</f>
        <v>Mitchell Jackson</v>
      </c>
      <c r="C2871" t="str">
        <f>Raw_Claims_Data!C2870</f>
        <v>Mobile</v>
      </c>
      <c r="D2871">
        <f>Raw_Claims_Data!D2870</f>
        <v>11.41</v>
      </c>
      <c r="E2871">
        <f>Raw_Claims_Data!E2870</f>
        <v>100</v>
      </c>
      <c r="F2871" t="str">
        <f>Raw_Claims_Data!F2870</f>
        <v>FL</v>
      </c>
      <c r="G2871" t="str">
        <f>Raw_Claims_Data!G2870</f>
        <v>A</v>
      </c>
      <c r="H2871" t="str">
        <f>Raw_Claims_Data!H2870</f>
        <v>Minor Loss</v>
      </c>
      <c r="I2871" t="str">
        <f>IF(Raw_Claims_Data!I2870="","None",Raw_Claims_Data!I2870)</f>
        <v>Ambulance</v>
      </c>
      <c r="J2871" t="str">
        <f>Raw_Claims_Data!J2870</f>
        <v>Oklahoma City</v>
      </c>
      <c r="K2871" t="str">
        <f>Raw_Claims_Data!K2870</f>
        <v>OK</v>
      </c>
      <c r="L2871">
        <f>Raw_Claims_Data!L2870</f>
        <v>2</v>
      </c>
      <c r="M2871" t="str">
        <f>IF(Raw_Claims_Data!M2870="","N/A",Raw_Claims_Data!M2870)</f>
        <v>N/A</v>
      </c>
      <c r="N2871" t="str">
        <f>Raw_Claims_Data!N2870</f>
        <v>AGENT00571</v>
      </c>
      <c r="O2871">
        <f>IF(Raw_Claims_Data!G2870="D",1,0)</f>
        <v>0</v>
      </c>
    </row>
    <row r="2872" spans="1:15" x14ac:dyDescent="0.35">
      <c r="A2872" t="str">
        <f>Raw_Claims_Data!A2871</f>
        <v>TXN00002868</v>
      </c>
      <c r="B2872" t="str">
        <f>TRIM(Raw_Claims_Data!B2871)</f>
        <v>Barbara Landers</v>
      </c>
      <c r="C2872" t="str">
        <f>Raw_Claims_Data!C2871</f>
        <v>Motor</v>
      </c>
      <c r="D2872">
        <f>Raw_Claims_Data!D2871</f>
        <v>112.24</v>
      </c>
      <c r="E2872">
        <f>Raw_Claims_Data!E2871</f>
        <v>8000</v>
      </c>
      <c r="F2872" t="str">
        <f>Raw_Claims_Data!F2871</f>
        <v>MA</v>
      </c>
      <c r="G2872" t="str">
        <f>Raw_Claims_Data!G2871</f>
        <v>A</v>
      </c>
      <c r="H2872" t="str">
        <f>Raw_Claims_Data!H2871</f>
        <v>Minor Loss</v>
      </c>
      <c r="I2872" t="str">
        <f>IF(Raw_Claims_Data!I2871="","None",Raw_Claims_Data!I2871)</f>
        <v>None</v>
      </c>
      <c r="J2872" t="str">
        <f>Raw_Claims_Data!J2871</f>
        <v>Arvada</v>
      </c>
      <c r="K2872" t="str">
        <f>Raw_Claims_Data!K2871</f>
        <v>CO</v>
      </c>
      <c r="L2872">
        <f>Raw_Claims_Data!L2871</f>
        <v>6</v>
      </c>
      <c r="M2872" t="str">
        <f>IF(Raw_Claims_Data!M2871="","N/A",Raw_Claims_Data!M2871)</f>
        <v>VNDR00315</v>
      </c>
      <c r="N2872" t="str">
        <f>Raw_Claims_Data!N2871</f>
        <v>AGENT00332</v>
      </c>
      <c r="O2872">
        <f>IF(Raw_Claims_Data!G2871="D",1,0)</f>
        <v>0</v>
      </c>
    </row>
    <row r="2873" spans="1:15" x14ac:dyDescent="0.35">
      <c r="A2873" t="str">
        <f>Raw_Claims_Data!A2872</f>
        <v>TXN00002869</v>
      </c>
      <c r="B2873" t="str">
        <f>TRIM(Raw_Claims_Data!B2872)</f>
        <v>Henry Sousa</v>
      </c>
      <c r="C2873" t="str">
        <f>Raw_Claims_Data!C2872</f>
        <v>Health</v>
      </c>
      <c r="D2873">
        <f>Raw_Claims_Data!D2872</f>
        <v>105.13</v>
      </c>
      <c r="E2873">
        <f>Raw_Claims_Data!E2872</f>
        <v>6000</v>
      </c>
      <c r="F2873" t="str">
        <f>Raw_Claims_Data!F2872</f>
        <v>CA</v>
      </c>
      <c r="G2873" t="str">
        <f>Raw_Claims_Data!G2872</f>
        <v>A</v>
      </c>
      <c r="H2873" t="str">
        <f>Raw_Claims_Data!H2872</f>
        <v>Total Loss</v>
      </c>
      <c r="I2873" t="str">
        <f>IF(Raw_Claims_Data!I2872="","None",Raw_Claims_Data!I2872)</f>
        <v>Police</v>
      </c>
      <c r="J2873" t="str">
        <f>Raw_Claims_Data!J2872</f>
        <v>Annapolis</v>
      </c>
      <c r="K2873" t="str">
        <f>Raw_Claims_Data!K2872</f>
        <v>MD</v>
      </c>
      <c r="L2873">
        <f>Raw_Claims_Data!L2872</f>
        <v>11</v>
      </c>
      <c r="M2873" t="str">
        <f>IF(Raw_Claims_Data!M2872="","N/A",Raw_Claims_Data!M2872)</f>
        <v>N/A</v>
      </c>
      <c r="N2873" t="str">
        <f>Raw_Claims_Data!N2872</f>
        <v>AGENT00373</v>
      </c>
      <c r="O2873">
        <f>IF(Raw_Claims_Data!G2872="D",1,0)</f>
        <v>0</v>
      </c>
    </row>
    <row r="2874" spans="1:15" x14ac:dyDescent="0.35">
      <c r="A2874" t="str">
        <f>Raw_Claims_Data!A2873</f>
        <v>TXN00002870</v>
      </c>
      <c r="B2874" t="str">
        <f>TRIM(Raw_Claims_Data!B2873)</f>
        <v>Ben Smith</v>
      </c>
      <c r="C2874" t="str">
        <f>Raw_Claims_Data!C2873</f>
        <v>Life</v>
      </c>
      <c r="D2874">
        <f>Raw_Claims_Data!D2873</f>
        <v>93.37</v>
      </c>
      <c r="E2874">
        <f>Raw_Claims_Data!E2873</f>
        <v>63000</v>
      </c>
      <c r="F2874" t="str">
        <f>Raw_Claims_Data!F2873</f>
        <v>VT</v>
      </c>
      <c r="G2874" t="str">
        <f>Raw_Claims_Data!G2873</f>
        <v>A</v>
      </c>
      <c r="H2874" t="str">
        <f>Raw_Claims_Data!H2873</f>
        <v>Minor Loss</v>
      </c>
      <c r="I2874" t="str">
        <f>IF(Raw_Claims_Data!I2873="","None",Raw_Claims_Data!I2873)</f>
        <v>Ambulance</v>
      </c>
      <c r="J2874" t="str">
        <f>Raw_Claims_Data!J2873</f>
        <v>Arvada</v>
      </c>
      <c r="K2874" t="str">
        <f>Raw_Claims_Data!K2873</f>
        <v>CO</v>
      </c>
      <c r="L2874">
        <f>Raw_Claims_Data!L2873</f>
        <v>8</v>
      </c>
      <c r="M2874" t="str">
        <f>IF(Raw_Claims_Data!M2873="","N/A",Raw_Claims_Data!M2873)</f>
        <v>VNDR00122</v>
      </c>
      <c r="N2874" t="str">
        <f>Raw_Claims_Data!N2873</f>
        <v>AGENT01088</v>
      </c>
      <c r="O2874">
        <f>IF(Raw_Claims_Data!G2873="D",1,0)</f>
        <v>0</v>
      </c>
    </row>
    <row r="2875" spans="1:15" x14ac:dyDescent="0.35">
      <c r="A2875" t="str">
        <f>Raw_Claims_Data!A2874</f>
        <v>TXN00002871</v>
      </c>
      <c r="B2875" t="str">
        <f>TRIM(Raw_Claims_Data!B2874)</f>
        <v>Jeanne Neumeyer</v>
      </c>
      <c r="C2875" t="str">
        <f>Raw_Claims_Data!C2874</f>
        <v>Motor</v>
      </c>
      <c r="D2875">
        <f>Raw_Claims_Data!D2874</f>
        <v>86.06</v>
      </c>
      <c r="E2875">
        <f>Raw_Claims_Data!E2874</f>
        <v>4000</v>
      </c>
      <c r="F2875" t="str">
        <f>Raw_Claims_Data!F2874</f>
        <v>CA</v>
      </c>
      <c r="G2875" t="str">
        <f>Raw_Claims_Data!G2874</f>
        <v>A</v>
      </c>
      <c r="H2875" t="str">
        <f>Raw_Claims_Data!H2874</f>
        <v>Minor Loss</v>
      </c>
      <c r="I2875" t="str">
        <f>IF(Raw_Claims_Data!I2874="","None",Raw_Claims_Data!I2874)</f>
        <v>Ambulance</v>
      </c>
      <c r="J2875" t="str">
        <f>Raw_Claims_Data!J2874</f>
        <v>Manchester</v>
      </c>
      <c r="K2875" t="str">
        <f>Raw_Claims_Data!K2874</f>
        <v>CT</v>
      </c>
      <c r="L2875">
        <f>Raw_Claims_Data!L2874</f>
        <v>9</v>
      </c>
      <c r="M2875" t="str">
        <f>IF(Raw_Claims_Data!M2874="","N/A",Raw_Claims_Data!M2874)</f>
        <v>VNDR00307</v>
      </c>
      <c r="N2875" t="str">
        <f>Raw_Claims_Data!N2874</f>
        <v>AGENT00067</v>
      </c>
      <c r="O2875">
        <f>IF(Raw_Claims_Data!G2874="D",1,0)</f>
        <v>0</v>
      </c>
    </row>
    <row r="2876" spans="1:15" x14ac:dyDescent="0.35">
      <c r="A2876" t="str">
        <f>Raw_Claims_Data!A2875</f>
        <v>TXN00002872</v>
      </c>
      <c r="B2876" t="str">
        <f>TRIM(Raw_Claims_Data!B2875)</f>
        <v>Dennis Collier</v>
      </c>
      <c r="C2876" t="str">
        <f>Raw_Claims_Data!C2875</f>
        <v>Health</v>
      </c>
      <c r="D2876">
        <f>Raw_Claims_Data!D2875</f>
        <v>166.78</v>
      </c>
      <c r="E2876">
        <f>Raw_Claims_Data!E2875</f>
        <v>18000</v>
      </c>
      <c r="F2876" t="str">
        <f>Raw_Claims_Data!F2875</f>
        <v>KY</v>
      </c>
      <c r="G2876" t="str">
        <f>Raw_Claims_Data!G2875</f>
        <v>A</v>
      </c>
      <c r="H2876" t="str">
        <f>Raw_Claims_Data!H2875</f>
        <v>Minor Loss</v>
      </c>
      <c r="I2876" t="str">
        <f>IF(Raw_Claims_Data!I2875="","None",Raw_Claims_Data!I2875)</f>
        <v>Ambulance</v>
      </c>
      <c r="J2876" t="str">
        <f>Raw_Claims_Data!J2875</f>
        <v>Louisville</v>
      </c>
      <c r="K2876" t="str">
        <f>Raw_Claims_Data!K2875</f>
        <v>KY</v>
      </c>
      <c r="L2876">
        <f>Raw_Claims_Data!L2875</f>
        <v>10</v>
      </c>
      <c r="M2876" t="str">
        <f>IF(Raw_Claims_Data!M2875="","N/A",Raw_Claims_Data!M2875)</f>
        <v>N/A</v>
      </c>
      <c r="N2876" t="str">
        <f>Raw_Claims_Data!N2875</f>
        <v>AGENT00181</v>
      </c>
      <c r="O2876">
        <f>IF(Raw_Claims_Data!G2875="D",1,0)</f>
        <v>0</v>
      </c>
    </row>
    <row r="2877" spans="1:15" x14ac:dyDescent="0.35">
      <c r="A2877" t="str">
        <f>Raw_Claims_Data!A2876</f>
        <v>TXN00002873</v>
      </c>
      <c r="B2877" t="str">
        <f>TRIM(Raw_Claims_Data!B2876)</f>
        <v>Joe Ballew</v>
      </c>
      <c r="C2877" t="str">
        <f>Raw_Claims_Data!C2876</f>
        <v>Life</v>
      </c>
      <c r="D2877">
        <f>Raw_Claims_Data!D2876</f>
        <v>62.62</v>
      </c>
      <c r="E2877">
        <f>Raw_Claims_Data!E2876</f>
        <v>37000</v>
      </c>
      <c r="F2877" t="str">
        <f>Raw_Claims_Data!F2876</f>
        <v>CO</v>
      </c>
      <c r="G2877" t="str">
        <f>Raw_Claims_Data!G2876</f>
        <v>A</v>
      </c>
      <c r="H2877" t="str">
        <f>Raw_Claims_Data!H2876</f>
        <v>Total Loss</v>
      </c>
      <c r="I2877" t="str">
        <f>IF(Raw_Claims_Data!I2876="","None",Raw_Claims_Data!I2876)</f>
        <v>Ambulance</v>
      </c>
      <c r="J2877" t="str">
        <f>Raw_Claims_Data!J2876</f>
        <v>Nashville</v>
      </c>
      <c r="K2877" t="str">
        <f>Raw_Claims_Data!K2876</f>
        <v>TN</v>
      </c>
      <c r="L2877">
        <f>Raw_Claims_Data!L2876</f>
        <v>3</v>
      </c>
      <c r="M2877" t="str">
        <f>IF(Raw_Claims_Data!M2876="","N/A",Raw_Claims_Data!M2876)</f>
        <v>VNDR00238</v>
      </c>
      <c r="N2877" t="str">
        <f>Raw_Claims_Data!N2876</f>
        <v>AGENT00269</v>
      </c>
      <c r="O2877">
        <f>IF(Raw_Claims_Data!G2876="D",1,0)</f>
        <v>0</v>
      </c>
    </row>
    <row r="2878" spans="1:15" x14ac:dyDescent="0.35">
      <c r="A2878" t="str">
        <f>Raw_Claims_Data!A2877</f>
        <v>TXN00002874</v>
      </c>
      <c r="B2878" t="str">
        <f>TRIM(Raw_Claims_Data!B2877)</f>
        <v>Kim Cope</v>
      </c>
      <c r="C2878" t="str">
        <f>Raw_Claims_Data!C2877</f>
        <v>Motor</v>
      </c>
      <c r="D2878">
        <f>Raw_Claims_Data!D2877</f>
        <v>106.01</v>
      </c>
      <c r="E2878">
        <f>Raw_Claims_Data!E2877</f>
        <v>3000</v>
      </c>
      <c r="F2878" t="str">
        <f>Raw_Claims_Data!F2877</f>
        <v>TN</v>
      </c>
      <c r="G2878" t="str">
        <f>Raw_Claims_Data!G2877</f>
        <v>A</v>
      </c>
      <c r="H2878" t="str">
        <f>Raw_Claims_Data!H2877</f>
        <v>Major Loss</v>
      </c>
      <c r="I2878" t="str">
        <f>IF(Raw_Claims_Data!I2877="","None",Raw_Claims_Data!I2877)</f>
        <v>None</v>
      </c>
      <c r="J2878" t="str">
        <f>Raw_Claims_Data!J2877</f>
        <v>Montgomery</v>
      </c>
      <c r="K2878" t="str">
        <f>Raw_Claims_Data!K2877</f>
        <v>AL</v>
      </c>
      <c r="L2878">
        <f>Raw_Claims_Data!L2877</f>
        <v>9</v>
      </c>
      <c r="M2878" t="str">
        <f>IF(Raw_Claims_Data!M2877="","N/A",Raw_Claims_Data!M2877)</f>
        <v>VNDR00224</v>
      </c>
      <c r="N2878" t="str">
        <f>Raw_Claims_Data!N2877</f>
        <v>AGENT00267</v>
      </c>
      <c r="O2878">
        <f>IF(Raw_Claims_Data!G2877="D",1,0)</f>
        <v>0</v>
      </c>
    </row>
    <row r="2879" spans="1:15" x14ac:dyDescent="0.35">
      <c r="A2879" t="str">
        <f>Raw_Claims_Data!A2878</f>
        <v>TXN00002875</v>
      </c>
      <c r="B2879" t="str">
        <f>TRIM(Raw_Claims_Data!B2878)</f>
        <v>Lashawn Donalson</v>
      </c>
      <c r="C2879" t="str">
        <f>Raw_Claims_Data!C2878</f>
        <v>Property</v>
      </c>
      <c r="D2879">
        <f>Raw_Claims_Data!D2878</f>
        <v>158.16</v>
      </c>
      <c r="E2879">
        <f>Raw_Claims_Data!E2878</f>
        <v>27000</v>
      </c>
      <c r="F2879" t="str">
        <f>Raw_Claims_Data!F2878</f>
        <v>MA</v>
      </c>
      <c r="G2879" t="str">
        <f>Raw_Claims_Data!G2878</f>
        <v>A</v>
      </c>
      <c r="H2879" t="str">
        <f>Raw_Claims_Data!H2878</f>
        <v>Total Loss</v>
      </c>
      <c r="I2879" t="str">
        <f>IF(Raw_Claims_Data!I2878="","None",Raw_Claims_Data!I2878)</f>
        <v>Other</v>
      </c>
      <c r="J2879" t="str">
        <f>Raw_Claims_Data!J2878</f>
        <v>Belchertown</v>
      </c>
      <c r="K2879" t="str">
        <f>Raw_Claims_Data!K2878</f>
        <v>MA</v>
      </c>
      <c r="L2879">
        <f>Raw_Claims_Data!L2878</f>
        <v>13</v>
      </c>
      <c r="M2879" t="str">
        <f>IF(Raw_Claims_Data!M2878="","N/A",Raw_Claims_Data!M2878)</f>
        <v>VNDR00250</v>
      </c>
      <c r="N2879" t="str">
        <f>Raw_Claims_Data!N2878</f>
        <v>AGENT01168</v>
      </c>
      <c r="O2879">
        <f>IF(Raw_Claims_Data!G2878="D",1,0)</f>
        <v>0</v>
      </c>
    </row>
    <row r="2880" spans="1:15" x14ac:dyDescent="0.35">
      <c r="A2880" t="str">
        <f>Raw_Claims_Data!A2879</f>
        <v>TXN00002876</v>
      </c>
      <c r="B2880" t="str">
        <f>TRIM(Raw_Claims_Data!B2879)</f>
        <v>Jewel Wright</v>
      </c>
      <c r="C2880" t="str">
        <f>Raw_Claims_Data!C2879</f>
        <v>Travel</v>
      </c>
      <c r="D2880">
        <f>Raw_Claims_Data!D2879</f>
        <v>50.33</v>
      </c>
      <c r="E2880">
        <f>Raw_Claims_Data!E2879</f>
        <v>3000</v>
      </c>
      <c r="F2880" t="str">
        <f>Raw_Claims_Data!F2879</f>
        <v>TN</v>
      </c>
      <c r="G2880" t="str">
        <f>Raw_Claims_Data!G2879</f>
        <v>A</v>
      </c>
      <c r="H2880" t="str">
        <f>Raw_Claims_Data!H2879</f>
        <v>Major Loss</v>
      </c>
      <c r="I2880" t="str">
        <f>IF(Raw_Claims_Data!I2879="","None",Raw_Claims_Data!I2879)</f>
        <v>Other</v>
      </c>
      <c r="J2880" t="str">
        <f>Raw_Claims_Data!J2879</f>
        <v>Arvada</v>
      </c>
      <c r="K2880" t="str">
        <f>Raw_Claims_Data!K2879</f>
        <v>CO</v>
      </c>
      <c r="L2880">
        <f>Raw_Claims_Data!L2879</f>
        <v>16</v>
      </c>
      <c r="M2880" t="str">
        <f>IF(Raw_Claims_Data!M2879="","N/A",Raw_Claims_Data!M2879)</f>
        <v>VNDR00214</v>
      </c>
      <c r="N2880" t="str">
        <f>Raw_Claims_Data!N2879</f>
        <v>AGENT00733</v>
      </c>
      <c r="O2880">
        <f>IF(Raw_Claims_Data!G2879="D",1,0)</f>
        <v>0</v>
      </c>
    </row>
    <row r="2881" spans="1:15" x14ac:dyDescent="0.35">
      <c r="A2881" t="str">
        <f>Raw_Claims_Data!A2880</f>
        <v>TXN00002877</v>
      </c>
      <c r="B2881" t="str">
        <f>TRIM(Raw_Claims_Data!B2880)</f>
        <v>Roberta Horton</v>
      </c>
      <c r="C2881" t="str">
        <f>Raw_Claims_Data!C2880</f>
        <v>Health</v>
      </c>
      <c r="D2881">
        <f>Raw_Claims_Data!D2880</f>
        <v>184.61</v>
      </c>
      <c r="E2881">
        <f>Raw_Claims_Data!E2880</f>
        <v>5000</v>
      </c>
      <c r="F2881" t="str">
        <f>Raw_Claims_Data!F2880</f>
        <v>TN</v>
      </c>
      <c r="G2881" t="str">
        <f>Raw_Claims_Data!G2880</f>
        <v>A</v>
      </c>
      <c r="H2881" t="str">
        <f>Raw_Claims_Data!H2880</f>
        <v>Major Loss</v>
      </c>
      <c r="I2881" t="str">
        <f>IF(Raw_Claims_Data!I2880="","None",Raw_Claims_Data!I2880)</f>
        <v>None</v>
      </c>
      <c r="J2881" t="str">
        <f>Raw_Claims_Data!J2880</f>
        <v>Anchorage</v>
      </c>
      <c r="K2881" t="str">
        <f>Raw_Claims_Data!K2880</f>
        <v>AK</v>
      </c>
      <c r="L2881">
        <f>Raw_Claims_Data!L2880</f>
        <v>21</v>
      </c>
      <c r="M2881" t="str">
        <f>IF(Raw_Claims_Data!M2880="","N/A",Raw_Claims_Data!M2880)</f>
        <v>N/A</v>
      </c>
      <c r="N2881" t="str">
        <f>Raw_Claims_Data!N2880</f>
        <v>AGENT00925</v>
      </c>
      <c r="O2881">
        <f>IF(Raw_Claims_Data!G2880="D",1,0)</f>
        <v>0</v>
      </c>
    </row>
    <row r="2882" spans="1:15" x14ac:dyDescent="0.35">
      <c r="A2882" t="str">
        <f>Raw_Claims_Data!A2881</f>
        <v>TXN00002878</v>
      </c>
      <c r="B2882" t="str">
        <f>TRIM(Raw_Claims_Data!B2881)</f>
        <v>John Tomassi</v>
      </c>
      <c r="C2882" t="str">
        <f>Raw_Claims_Data!C2881</f>
        <v>Life</v>
      </c>
      <c r="D2882">
        <f>Raw_Claims_Data!D2881</f>
        <v>68.89</v>
      </c>
      <c r="E2882">
        <f>Raw_Claims_Data!E2881</f>
        <v>98000</v>
      </c>
      <c r="F2882" t="str">
        <f>Raw_Claims_Data!F2881</f>
        <v>MD</v>
      </c>
      <c r="G2882" t="str">
        <f>Raw_Claims_Data!G2881</f>
        <v>A</v>
      </c>
      <c r="H2882" t="str">
        <f>Raw_Claims_Data!H2881</f>
        <v>Minor Loss</v>
      </c>
      <c r="I2882" t="str">
        <f>IF(Raw_Claims_Data!I2881="","None",Raw_Claims_Data!I2881)</f>
        <v>Other</v>
      </c>
      <c r="J2882" t="str">
        <f>Raw_Claims_Data!J2881</f>
        <v>Alburgh</v>
      </c>
      <c r="K2882" t="str">
        <f>Raw_Claims_Data!K2881</f>
        <v>VT</v>
      </c>
      <c r="L2882">
        <f>Raw_Claims_Data!L2881</f>
        <v>16</v>
      </c>
      <c r="M2882" t="str">
        <f>IF(Raw_Claims_Data!M2881="","N/A",Raw_Claims_Data!M2881)</f>
        <v>N/A</v>
      </c>
      <c r="N2882" t="str">
        <f>Raw_Claims_Data!N2881</f>
        <v>AGENT00881</v>
      </c>
      <c r="O2882">
        <f>IF(Raw_Claims_Data!G2881="D",1,0)</f>
        <v>0</v>
      </c>
    </row>
    <row r="2883" spans="1:15" x14ac:dyDescent="0.35">
      <c r="A2883" t="str">
        <f>Raw_Claims_Data!A2882</f>
        <v>TXN00002879</v>
      </c>
      <c r="B2883" t="str">
        <f>TRIM(Raw_Claims_Data!B2882)</f>
        <v>Shaun Stubblefield</v>
      </c>
      <c r="C2883" t="str">
        <f>Raw_Claims_Data!C2882</f>
        <v>Motor</v>
      </c>
      <c r="D2883">
        <f>Raw_Claims_Data!D2882</f>
        <v>113.14</v>
      </c>
      <c r="E2883">
        <f>Raw_Claims_Data!E2882</f>
        <v>4000</v>
      </c>
      <c r="F2883" t="str">
        <f>Raw_Claims_Data!F2882</f>
        <v>OK</v>
      </c>
      <c r="G2883" t="str">
        <f>Raw_Claims_Data!G2882</f>
        <v>A</v>
      </c>
      <c r="H2883" t="str">
        <f>Raw_Claims_Data!H2882</f>
        <v>Total Loss</v>
      </c>
      <c r="I2883" t="str">
        <f>IF(Raw_Claims_Data!I2882="","None",Raw_Claims_Data!I2882)</f>
        <v>Police</v>
      </c>
      <c r="J2883" t="str">
        <f>Raw_Claims_Data!J2882</f>
        <v>Oklahoma City</v>
      </c>
      <c r="K2883" t="str">
        <f>Raw_Claims_Data!K2882</f>
        <v>OK</v>
      </c>
      <c r="L2883">
        <f>Raw_Claims_Data!L2882</f>
        <v>22</v>
      </c>
      <c r="M2883" t="str">
        <f>IF(Raw_Claims_Data!M2882="","N/A",Raw_Claims_Data!M2882)</f>
        <v>N/A</v>
      </c>
      <c r="N2883" t="str">
        <f>Raw_Claims_Data!N2882</f>
        <v>AGENT00585</v>
      </c>
      <c r="O2883">
        <f>IF(Raw_Claims_Data!G2882="D",1,0)</f>
        <v>0</v>
      </c>
    </row>
    <row r="2884" spans="1:15" x14ac:dyDescent="0.35">
      <c r="A2884" t="str">
        <f>Raw_Claims_Data!A2883</f>
        <v>TXN00002880</v>
      </c>
      <c r="B2884" t="str">
        <f>TRIM(Raw_Claims_Data!B2883)</f>
        <v>Michael Krampitz</v>
      </c>
      <c r="C2884" t="str">
        <f>Raw_Claims_Data!C2883</f>
        <v>Mobile</v>
      </c>
      <c r="D2884">
        <f>Raw_Claims_Data!D2883</f>
        <v>6.13</v>
      </c>
      <c r="E2884">
        <f>Raw_Claims_Data!E2883</f>
        <v>300</v>
      </c>
      <c r="F2884" t="str">
        <f>Raw_Claims_Data!F2883</f>
        <v>AL</v>
      </c>
      <c r="G2884" t="str">
        <f>Raw_Claims_Data!G2883</f>
        <v>A</v>
      </c>
      <c r="H2884" t="str">
        <f>Raw_Claims_Data!H2883</f>
        <v>Major Loss</v>
      </c>
      <c r="I2884" t="str">
        <f>IF(Raw_Claims_Data!I2883="","None",Raw_Claims_Data!I2883)</f>
        <v>Police</v>
      </c>
      <c r="J2884" t="str">
        <f>Raw_Claims_Data!J2883</f>
        <v>Nashville</v>
      </c>
      <c r="K2884" t="str">
        <f>Raw_Claims_Data!K2883</f>
        <v>TN</v>
      </c>
      <c r="L2884">
        <f>Raw_Claims_Data!L2883</f>
        <v>0</v>
      </c>
      <c r="M2884" t="str">
        <f>IF(Raw_Claims_Data!M2883="","N/A",Raw_Claims_Data!M2883)</f>
        <v>VNDR00134</v>
      </c>
      <c r="N2884" t="str">
        <f>Raw_Claims_Data!N2883</f>
        <v>AGENT00379</v>
      </c>
      <c r="O2884">
        <f>IF(Raw_Claims_Data!G2883="D",1,0)</f>
        <v>0</v>
      </c>
    </row>
    <row r="2885" spans="1:15" x14ac:dyDescent="0.35">
      <c r="A2885" t="str">
        <f>Raw_Claims_Data!A2884</f>
        <v>TXN00002881</v>
      </c>
      <c r="B2885" t="str">
        <f>TRIM(Raw_Claims_Data!B2884)</f>
        <v>Horace Hendrickson</v>
      </c>
      <c r="C2885" t="str">
        <f>Raw_Claims_Data!C2884</f>
        <v>Property</v>
      </c>
      <c r="D2885">
        <f>Raw_Claims_Data!D2884</f>
        <v>113.45</v>
      </c>
      <c r="E2885">
        <f>Raw_Claims_Data!E2884</f>
        <v>10000</v>
      </c>
      <c r="F2885" t="str">
        <f>Raw_Claims_Data!F2884</f>
        <v>AR</v>
      </c>
      <c r="G2885" t="str">
        <f>Raw_Claims_Data!G2884</f>
        <v>A</v>
      </c>
      <c r="H2885" t="str">
        <f>Raw_Claims_Data!H2884</f>
        <v>Total Loss</v>
      </c>
      <c r="I2885" t="str">
        <f>IF(Raw_Claims_Data!I2884="","None",Raw_Claims_Data!I2884)</f>
        <v>Ambulance</v>
      </c>
      <c r="J2885" t="str">
        <f>Raw_Claims_Data!J2884</f>
        <v>Louisville</v>
      </c>
      <c r="K2885" t="str">
        <f>Raw_Claims_Data!K2884</f>
        <v>KY</v>
      </c>
      <c r="L2885">
        <f>Raw_Claims_Data!L2884</f>
        <v>18</v>
      </c>
      <c r="M2885" t="str">
        <f>IF(Raw_Claims_Data!M2884="","N/A",Raw_Claims_Data!M2884)</f>
        <v>VNDR00545</v>
      </c>
      <c r="N2885" t="str">
        <f>Raw_Claims_Data!N2884</f>
        <v>AGENT00577</v>
      </c>
      <c r="O2885">
        <f>IF(Raw_Claims_Data!G2884="D",1,0)</f>
        <v>0</v>
      </c>
    </row>
    <row r="2886" spans="1:15" x14ac:dyDescent="0.35">
      <c r="A2886" t="str">
        <f>Raw_Claims_Data!A2885</f>
        <v>TXN00002882</v>
      </c>
      <c r="B2886" t="str">
        <f>TRIM(Raw_Claims_Data!B2885)</f>
        <v>Virginia Branch</v>
      </c>
      <c r="C2886" t="str">
        <f>Raw_Claims_Data!C2885</f>
        <v>Health</v>
      </c>
      <c r="D2886">
        <f>Raw_Claims_Data!D2885</f>
        <v>196.94</v>
      </c>
      <c r="E2886">
        <f>Raw_Claims_Data!E2885</f>
        <v>19000</v>
      </c>
      <c r="F2886" t="str">
        <f>Raw_Claims_Data!F2885</f>
        <v>CA</v>
      </c>
      <c r="G2886" t="str">
        <f>Raw_Claims_Data!G2885</f>
        <v>A</v>
      </c>
      <c r="H2886" t="str">
        <f>Raw_Claims_Data!H2885</f>
        <v>Minor Loss</v>
      </c>
      <c r="I2886" t="str">
        <f>IF(Raw_Claims_Data!I2885="","None",Raw_Claims_Data!I2885)</f>
        <v>Ambulance</v>
      </c>
      <c r="J2886" t="str">
        <f>Raw_Claims_Data!J2885</f>
        <v>Louisville</v>
      </c>
      <c r="K2886" t="str">
        <f>Raw_Claims_Data!K2885</f>
        <v>KY</v>
      </c>
      <c r="L2886">
        <f>Raw_Claims_Data!L2885</f>
        <v>16</v>
      </c>
      <c r="M2886" t="str">
        <f>IF(Raw_Claims_Data!M2885="","N/A",Raw_Claims_Data!M2885)</f>
        <v>N/A</v>
      </c>
      <c r="N2886" t="str">
        <f>Raw_Claims_Data!N2885</f>
        <v>AGENT00436</v>
      </c>
      <c r="O2886">
        <f>IF(Raw_Claims_Data!G2885="D",1,0)</f>
        <v>0</v>
      </c>
    </row>
    <row r="2887" spans="1:15" x14ac:dyDescent="0.35">
      <c r="A2887" t="str">
        <f>Raw_Claims_Data!A2886</f>
        <v>TXN00002883</v>
      </c>
      <c r="B2887" t="str">
        <f>TRIM(Raw_Claims_Data!B2886)</f>
        <v>Billy Boyer</v>
      </c>
      <c r="C2887" t="str">
        <f>Raw_Claims_Data!C2886</f>
        <v>Motor</v>
      </c>
      <c r="D2887">
        <f>Raw_Claims_Data!D2886</f>
        <v>134.6</v>
      </c>
      <c r="E2887">
        <f>Raw_Claims_Data!E2886</f>
        <v>5000</v>
      </c>
      <c r="F2887" t="str">
        <f>Raw_Claims_Data!F2886</f>
        <v>MD</v>
      </c>
      <c r="G2887" t="str">
        <f>Raw_Claims_Data!G2886</f>
        <v>D</v>
      </c>
      <c r="H2887" t="str">
        <f>Raw_Claims_Data!H2886</f>
        <v>Minor Loss</v>
      </c>
      <c r="I2887" t="str">
        <f>IF(Raw_Claims_Data!I2886="","None",Raw_Claims_Data!I2886)</f>
        <v>None</v>
      </c>
      <c r="J2887" t="str">
        <f>Raw_Claims_Data!J2886</f>
        <v>Poultney</v>
      </c>
      <c r="K2887" t="str">
        <f>Raw_Claims_Data!K2886</f>
        <v>VT</v>
      </c>
      <c r="L2887">
        <f>Raw_Claims_Data!L2886</f>
        <v>13</v>
      </c>
      <c r="M2887" t="str">
        <f>IF(Raw_Claims_Data!M2886="","N/A",Raw_Claims_Data!M2886)</f>
        <v>VNDR00297</v>
      </c>
      <c r="N2887" t="str">
        <f>Raw_Claims_Data!N2886</f>
        <v>AGENT00059</v>
      </c>
      <c r="O2887">
        <f>IF(Raw_Claims_Data!G2886="D",1,0)</f>
        <v>1</v>
      </c>
    </row>
    <row r="2888" spans="1:15" x14ac:dyDescent="0.35">
      <c r="A2888" t="str">
        <f>Raw_Claims_Data!A2887</f>
        <v>TXN00002884</v>
      </c>
      <c r="B2888" t="str">
        <f>TRIM(Raw_Claims_Data!B2887)</f>
        <v>Susan Hennessey</v>
      </c>
      <c r="C2888" t="str">
        <f>Raw_Claims_Data!C2887</f>
        <v>Health</v>
      </c>
      <c r="D2888">
        <f>Raw_Claims_Data!D2887</f>
        <v>125.61</v>
      </c>
      <c r="E2888">
        <f>Raw_Claims_Data!E2887</f>
        <v>3000</v>
      </c>
      <c r="F2888" t="str">
        <f>Raw_Claims_Data!F2887</f>
        <v>AR</v>
      </c>
      <c r="G2888" t="str">
        <f>Raw_Claims_Data!G2887</f>
        <v>A</v>
      </c>
      <c r="H2888" t="str">
        <f>Raw_Claims_Data!H2887</f>
        <v>Total Loss</v>
      </c>
      <c r="I2888" t="str">
        <f>IF(Raw_Claims_Data!I2887="","None",Raw_Claims_Data!I2887)</f>
        <v>Police</v>
      </c>
      <c r="J2888" t="str">
        <f>Raw_Claims_Data!J2887</f>
        <v>Louisville</v>
      </c>
      <c r="K2888" t="str">
        <f>Raw_Claims_Data!K2887</f>
        <v>KY</v>
      </c>
      <c r="L2888">
        <f>Raw_Claims_Data!L2887</f>
        <v>12</v>
      </c>
      <c r="M2888" t="str">
        <f>IF(Raw_Claims_Data!M2887="","N/A",Raw_Claims_Data!M2887)</f>
        <v>N/A</v>
      </c>
      <c r="N2888" t="str">
        <f>Raw_Claims_Data!N2887</f>
        <v>AGENT00907</v>
      </c>
      <c r="O2888">
        <f>IF(Raw_Claims_Data!G2887="D",1,0)</f>
        <v>0</v>
      </c>
    </row>
    <row r="2889" spans="1:15" x14ac:dyDescent="0.35">
      <c r="A2889" t="str">
        <f>Raw_Claims_Data!A2888</f>
        <v>TXN00002885</v>
      </c>
      <c r="B2889" t="str">
        <f>TRIM(Raw_Claims_Data!B2888)</f>
        <v>Carol Stone</v>
      </c>
      <c r="C2889" t="str">
        <f>Raw_Claims_Data!C2888</f>
        <v>Motor</v>
      </c>
      <c r="D2889">
        <f>Raw_Claims_Data!D2888</f>
        <v>122.52</v>
      </c>
      <c r="E2889">
        <f>Raw_Claims_Data!E2888</f>
        <v>5000</v>
      </c>
      <c r="F2889" t="str">
        <f>Raw_Claims_Data!F2888</f>
        <v>TN</v>
      </c>
      <c r="G2889" t="str">
        <f>Raw_Claims_Data!G2888</f>
        <v>A</v>
      </c>
      <c r="H2889" t="str">
        <f>Raw_Claims_Data!H2888</f>
        <v>Minor Loss</v>
      </c>
      <c r="I2889" t="str">
        <f>IF(Raw_Claims_Data!I2888="","None",Raw_Claims_Data!I2888)</f>
        <v>Other</v>
      </c>
      <c r="J2889" t="str">
        <f>Raw_Claims_Data!J2888</f>
        <v>Savannah</v>
      </c>
      <c r="K2889" t="str">
        <f>Raw_Claims_Data!K2888</f>
        <v>GA</v>
      </c>
      <c r="L2889">
        <f>Raw_Claims_Data!L2888</f>
        <v>17</v>
      </c>
      <c r="M2889" t="str">
        <f>IF(Raw_Claims_Data!M2888="","N/A",Raw_Claims_Data!M2888)</f>
        <v>VNDR00283</v>
      </c>
      <c r="N2889" t="str">
        <f>Raw_Claims_Data!N2888</f>
        <v>AGENT00111</v>
      </c>
      <c r="O2889">
        <f>IF(Raw_Claims_Data!G2888="D",1,0)</f>
        <v>0</v>
      </c>
    </row>
    <row r="2890" spans="1:15" x14ac:dyDescent="0.35">
      <c r="A2890" t="str">
        <f>Raw_Claims_Data!A2889</f>
        <v>TXN00002886</v>
      </c>
      <c r="B2890" t="str">
        <f>TRIM(Raw_Claims_Data!B2889)</f>
        <v>Jimmy Keith</v>
      </c>
      <c r="C2890" t="str">
        <f>Raw_Claims_Data!C2889</f>
        <v>Motor</v>
      </c>
      <c r="D2890">
        <f>Raw_Claims_Data!D2889</f>
        <v>114.63</v>
      </c>
      <c r="E2890">
        <f>Raw_Claims_Data!E2889</f>
        <v>2000</v>
      </c>
      <c r="F2890" t="str">
        <f>Raw_Claims_Data!F2889</f>
        <v>AR</v>
      </c>
      <c r="G2890" t="str">
        <f>Raw_Claims_Data!G2889</f>
        <v>A</v>
      </c>
      <c r="H2890" t="str">
        <f>Raw_Claims_Data!H2889</f>
        <v>Minor Loss</v>
      </c>
      <c r="I2890" t="str">
        <f>IF(Raw_Claims_Data!I2889="","None",Raw_Claims_Data!I2889)</f>
        <v>Other</v>
      </c>
      <c r="J2890" t="str">
        <f>Raw_Claims_Data!J2889</f>
        <v>Waltham</v>
      </c>
      <c r="K2890" t="str">
        <f>Raw_Claims_Data!K2889</f>
        <v>MA</v>
      </c>
      <c r="L2890">
        <f>Raw_Claims_Data!L2889</f>
        <v>3</v>
      </c>
      <c r="M2890" t="str">
        <f>IF(Raw_Claims_Data!M2889="","N/A",Raw_Claims_Data!M2889)</f>
        <v>N/A</v>
      </c>
      <c r="N2890" t="str">
        <f>Raw_Claims_Data!N2889</f>
        <v>AGENT00881</v>
      </c>
      <c r="O2890">
        <f>IF(Raw_Claims_Data!G2889="D",1,0)</f>
        <v>0</v>
      </c>
    </row>
    <row r="2891" spans="1:15" x14ac:dyDescent="0.35">
      <c r="A2891" t="str">
        <f>Raw_Claims_Data!A2890</f>
        <v>TXN00002887</v>
      </c>
      <c r="B2891" t="str">
        <f>TRIM(Raw_Claims_Data!B2890)</f>
        <v>Sonia Shaw</v>
      </c>
      <c r="C2891" t="str">
        <f>Raw_Claims_Data!C2890</f>
        <v>Travel</v>
      </c>
      <c r="D2891">
        <f>Raw_Claims_Data!D2890</f>
        <v>54.79</v>
      </c>
      <c r="E2891">
        <f>Raw_Claims_Data!E2890</f>
        <v>2000</v>
      </c>
      <c r="F2891" t="str">
        <f>Raw_Claims_Data!F2890</f>
        <v>KY</v>
      </c>
      <c r="G2891" t="str">
        <f>Raw_Claims_Data!G2890</f>
        <v>A</v>
      </c>
      <c r="H2891" t="str">
        <f>Raw_Claims_Data!H2890</f>
        <v>Major Loss</v>
      </c>
      <c r="I2891" t="str">
        <f>IF(Raw_Claims_Data!I2890="","None",Raw_Claims_Data!I2890)</f>
        <v>Ambulance</v>
      </c>
      <c r="J2891" t="str">
        <f>Raw_Claims_Data!J2890</f>
        <v>Nashville</v>
      </c>
      <c r="K2891" t="str">
        <f>Raw_Claims_Data!K2890</f>
        <v>TN</v>
      </c>
      <c r="L2891">
        <f>Raw_Claims_Data!L2890</f>
        <v>2</v>
      </c>
      <c r="M2891" t="str">
        <f>IF(Raw_Claims_Data!M2890="","N/A",Raw_Claims_Data!M2890)</f>
        <v>VNDR00176</v>
      </c>
      <c r="N2891" t="str">
        <f>Raw_Claims_Data!N2890</f>
        <v>AGENT00169</v>
      </c>
      <c r="O2891">
        <f>IF(Raw_Claims_Data!G2890="D",1,0)</f>
        <v>0</v>
      </c>
    </row>
    <row r="2892" spans="1:15" x14ac:dyDescent="0.35">
      <c r="A2892" t="str">
        <f>Raw_Claims_Data!A2891</f>
        <v>TXN00002888</v>
      </c>
      <c r="B2892" t="str">
        <f>TRIM(Raw_Claims_Data!B2891)</f>
        <v>Maria Wright</v>
      </c>
      <c r="C2892" t="str">
        <f>Raw_Claims_Data!C2891</f>
        <v>Mobile</v>
      </c>
      <c r="D2892">
        <f>Raw_Claims_Data!D2891</f>
        <v>11.79</v>
      </c>
      <c r="E2892">
        <f>Raw_Claims_Data!E2891</f>
        <v>700</v>
      </c>
      <c r="F2892" t="str">
        <f>Raw_Claims_Data!F2891</f>
        <v>OK</v>
      </c>
      <c r="G2892" t="str">
        <f>Raw_Claims_Data!G2891</f>
        <v>A</v>
      </c>
      <c r="H2892" t="str">
        <f>Raw_Claims_Data!H2891</f>
        <v>Major Loss</v>
      </c>
      <c r="I2892" t="str">
        <f>IF(Raw_Claims_Data!I2891="","None",Raw_Claims_Data!I2891)</f>
        <v>Police</v>
      </c>
      <c r="J2892" t="str">
        <f>Raw_Claims_Data!J2891</f>
        <v>Evergreen</v>
      </c>
      <c r="K2892" t="str">
        <f>Raw_Claims_Data!K2891</f>
        <v>CO</v>
      </c>
      <c r="L2892">
        <f>Raw_Claims_Data!L2891</f>
        <v>6</v>
      </c>
      <c r="M2892" t="str">
        <f>IF(Raw_Claims_Data!M2891="","N/A",Raw_Claims_Data!M2891)</f>
        <v>N/A</v>
      </c>
      <c r="N2892" t="str">
        <f>Raw_Claims_Data!N2891</f>
        <v>AGENT00648</v>
      </c>
      <c r="O2892">
        <f>IF(Raw_Claims_Data!G2891="D",1,0)</f>
        <v>0</v>
      </c>
    </row>
    <row r="2893" spans="1:15" x14ac:dyDescent="0.35">
      <c r="A2893" t="str">
        <f>Raw_Claims_Data!A2892</f>
        <v>TXN00002889</v>
      </c>
      <c r="B2893" t="str">
        <f>TRIM(Raw_Claims_Data!B2892)</f>
        <v>Mary Huffman</v>
      </c>
      <c r="C2893" t="str">
        <f>Raw_Claims_Data!C2892</f>
        <v>Motor</v>
      </c>
      <c r="D2893">
        <f>Raw_Claims_Data!D2892</f>
        <v>101.27</v>
      </c>
      <c r="E2893">
        <f>Raw_Claims_Data!E2892</f>
        <v>5000</v>
      </c>
      <c r="F2893" t="str">
        <f>Raw_Claims_Data!F2892</f>
        <v>MD</v>
      </c>
      <c r="G2893" t="str">
        <f>Raw_Claims_Data!G2892</f>
        <v>A</v>
      </c>
      <c r="H2893" t="str">
        <f>Raw_Claims_Data!H2892</f>
        <v>Major Loss</v>
      </c>
      <c r="I2893" t="str">
        <f>IF(Raw_Claims_Data!I2892="","None",Raw_Claims_Data!I2892)</f>
        <v>Police</v>
      </c>
      <c r="J2893" t="str">
        <f>Raw_Claims_Data!J2892</f>
        <v>Pasadena</v>
      </c>
      <c r="K2893" t="str">
        <f>Raw_Claims_Data!K2892</f>
        <v>MD</v>
      </c>
      <c r="L2893">
        <f>Raw_Claims_Data!L2892</f>
        <v>0</v>
      </c>
      <c r="M2893" t="str">
        <f>IF(Raw_Claims_Data!M2892="","N/A",Raw_Claims_Data!M2892)</f>
        <v>N/A</v>
      </c>
      <c r="N2893" t="str">
        <f>Raw_Claims_Data!N2892</f>
        <v>AGENT00085</v>
      </c>
      <c r="O2893">
        <f>IF(Raw_Claims_Data!G2892="D",1,0)</f>
        <v>0</v>
      </c>
    </row>
    <row r="2894" spans="1:15" x14ac:dyDescent="0.35">
      <c r="A2894" t="str">
        <f>Raw_Claims_Data!A2893</f>
        <v>TXN00002890</v>
      </c>
      <c r="B2894" t="str">
        <f>TRIM(Raw_Claims_Data!B2893)</f>
        <v>Jackie Smith</v>
      </c>
      <c r="C2894" t="str">
        <f>Raw_Claims_Data!C2893</f>
        <v>Travel</v>
      </c>
      <c r="D2894">
        <f>Raw_Claims_Data!D2893</f>
        <v>56.59</v>
      </c>
      <c r="E2894">
        <f>Raw_Claims_Data!E2893</f>
        <v>4000</v>
      </c>
      <c r="F2894" t="str">
        <f>Raw_Claims_Data!F2893</f>
        <v>AL</v>
      </c>
      <c r="G2894" t="str">
        <f>Raw_Claims_Data!G2893</f>
        <v>A</v>
      </c>
      <c r="H2894" t="str">
        <f>Raw_Claims_Data!H2893</f>
        <v>Minor Loss</v>
      </c>
      <c r="I2894" t="str">
        <f>IF(Raw_Claims_Data!I2893="","None",Raw_Claims_Data!I2893)</f>
        <v>Ambulance</v>
      </c>
      <c r="J2894" t="str">
        <f>Raw_Claims_Data!J2893</f>
        <v>Nashville</v>
      </c>
      <c r="K2894" t="str">
        <f>Raw_Claims_Data!K2893</f>
        <v>TN</v>
      </c>
      <c r="L2894">
        <f>Raw_Claims_Data!L2893</f>
        <v>15</v>
      </c>
      <c r="M2894" t="str">
        <f>IF(Raw_Claims_Data!M2893="","N/A",Raw_Claims_Data!M2893)</f>
        <v>VNDR00541</v>
      </c>
      <c r="N2894" t="str">
        <f>Raw_Claims_Data!N2893</f>
        <v>AGENT00387</v>
      </c>
      <c r="O2894">
        <f>IF(Raw_Claims_Data!G2893="D",1,0)</f>
        <v>0</v>
      </c>
    </row>
    <row r="2895" spans="1:15" x14ac:dyDescent="0.35">
      <c r="A2895" t="str">
        <f>Raw_Claims_Data!A2894</f>
        <v>TXN00002891</v>
      </c>
      <c r="B2895" t="str">
        <f>TRIM(Raw_Claims_Data!B2894)</f>
        <v>Salvatore Bertolini</v>
      </c>
      <c r="C2895" t="str">
        <f>Raw_Claims_Data!C2894</f>
        <v>Health</v>
      </c>
      <c r="D2895">
        <f>Raw_Claims_Data!D2894</f>
        <v>126.46</v>
      </c>
      <c r="E2895">
        <f>Raw_Claims_Data!E2894</f>
        <v>5000</v>
      </c>
      <c r="F2895" t="str">
        <f>Raw_Claims_Data!F2894</f>
        <v>DC</v>
      </c>
      <c r="G2895" t="str">
        <f>Raw_Claims_Data!G2894</f>
        <v>D</v>
      </c>
      <c r="H2895" t="str">
        <f>Raw_Claims_Data!H2894</f>
        <v>Total Loss</v>
      </c>
      <c r="I2895" t="str">
        <f>IF(Raw_Claims_Data!I2894="","None",Raw_Claims_Data!I2894)</f>
        <v>Other</v>
      </c>
      <c r="J2895" t="str">
        <f>Raw_Claims_Data!J2894</f>
        <v>Oakland</v>
      </c>
      <c r="K2895" t="str">
        <f>Raw_Claims_Data!K2894</f>
        <v>CA</v>
      </c>
      <c r="L2895">
        <f>Raw_Claims_Data!L2894</f>
        <v>18</v>
      </c>
      <c r="M2895" t="str">
        <f>IF(Raw_Claims_Data!M2894="","N/A",Raw_Claims_Data!M2894)</f>
        <v>VNDR00387</v>
      </c>
      <c r="N2895" t="str">
        <f>Raw_Claims_Data!N2894</f>
        <v>AGENT00325</v>
      </c>
      <c r="O2895">
        <f>IF(Raw_Claims_Data!G2894="D",1,0)</f>
        <v>1</v>
      </c>
    </row>
    <row r="2896" spans="1:15" x14ac:dyDescent="0.35">
      <c r="A2896" t="str">
        <f>Raw_Claims_Data!A2895</f>
        <v>TXN00002892</v>
      </c>
      <c r="B2896" t="str">
        <f>TRIM(Raw_Claims_Data!B2895)</f>
        <v>Lottie Carswell</v>
      </c>
      <c r="C2896" t="str">
        <f>Raw_Claims_Data!C2895</f>
        <v>Life</v>
      </c>
      <c r="D2896">
        <f>Raw_Claims_Data!D2895</f>
        <v>95.94</v>
      </c>
      <c r="E2896">
        <f>Raw_Claims_Data!E2895</f>
        <v>26000</v>
      </c>
      <c r="F2896" t="str">
        <f>Raw_Claims_Data!F2895</f>
        <v>AL</v>
      </c>
      <c r="G2896" t="str">
        <f>Raw_Claims_Data!G2895</f>
        <v>A</v>
      </c>
      <c r="H2896" t="str">
        <f>Raw_Claims_Data!H2895</f>
        <v>Total Loss</v>
      </c>
      <c r="I2896" t="str">
        <f>IF(Raw_Claims_Data!I2895="","None",Raw_Claims_Data!I2895)</f>
        <v>Ambulance</v>
      </c>
      <c r="J2896" t="str">
        <f>Raw_Claims_Data!J2895</f>
        <v>Severn</v>
      </c>
      <c r="K2896" t="str">
        <f>Raw_Claims_Data!K2895</f>
        <v>MD</v>
      </c>
      <c r="L2896">
        <f>Raw_Claims_Data!L2895</f>
        <v>19</v>
      </c>
      <c r="M2896" t="str">
        <f>IF(Raw_Claims_Data!M2895="","N/A",Raw_Claims_Data!M2895)</f>
        <v>N/A</v>
      </c>
      <c r="N2896" t="str">
        <f>Raw_Claims_Data!N2895</f>
        <v>AGENT00335</v>
      </c>
      <c r="O2896">
        <f>IF(Raw_Claims_Data!G2895="D",1,0)</f>
        <v>0</v>
      </c>
    </row>
    <row r="2897" spans="1:15" x14ac:dyDescent="0.35">
      <c r="A2897" t="str">
        <f>Raw_Claims_Data!A2896</f>
        <v>TXN00002893</v>
      </c>
      <c r="B2897" t="str">
        <f>TRIM(Raw_Claims_Data!B2896)</f>
        <v>Arthur Susko</v>
      </c>
      <c r="C2897" t="str">
        <f>Raw_Claims_Data!C2896</f>
        <v>Travel</v>
      </c>
      <c r="D2897">
        <f>Raw_Claims_Data!D2896</f>
        <v>89.63</v>
      </c>
      <c r="E2897">
        <f>Raw_Claims_Data!E2896</f>
        <v>2000</v>
      </c>
      <c r="F2897" t="str">
        <f>Raw_Claims_Data!F2896</f>
        <v>AK</v>
      </c>
      <c r="G2897" t="str">
        <f>Raw_Claims_Data!G2896</f>
        <v>A</v>
      </c>
      <c r="H2897" t="str">
        <f>Raw_Claims_Data!H2896</f>
        <v>Minor Loss</v>
      </c>
      <c r="I2897" t="str">
        <f>IF(Raw_Claims_Data!I2896="","None",Raw_Claims_Data!I2896)</f>
        <v>Ambulance</v>
      </c>
      <c r="J2897" t="str">
        <f>Raw_Claims_Data!J2896</f>
        <v>Manchester</v>
      </c>
      <c r="K2897" t="str">
        <f>Raw_Claims_Data!K2896</f>
        <v>CT</v>
      </c>
      <c r="L2897">
        <f>Raw_Claims_Data!L2896</f>
        <v>12</v>
      </c>
      <c r="M2897" t="str">
        <f>IF(Raw_Claims_Data!M2896="","N/A",Raw_Claims_Data!M2896)</f>
        <v>VNDR00101</v>
      </c>
      <c r="N2897" t="str">
        <f>Raw_Claims_Data!N2896</f>
        <v>AGENT00519</v>
      </c>
      <c r="O2897">
        <f>IF(Raw_Claims_Data!G2896="D",1,0)</f>
        <v>0</v>
      </c>
    </row>
    <row r="2898" spans="1:15" x14ac:dyDescent="0.35">
      <c r="A2898" t="str">
        <f>Raw_Claims_Data!A2897</f>
        <v>TXN00002894</v>
      </c>
      <c r="B2898" t="str">
        <f>TRIM(Raw_Claims_Data!B2897)</f>
        <v>Paula Garcia</v>
      </c>
      <c r="C2898" t="str">
        <f>Raw_Claims_Data!C2897</f>
        <v>Mobile</v>
      </c>
      <c r="D2898">
        <f>Raw_Claims_Data!D2897</f>
        <v>7.11</v>
      </c>
      <c r="E2898">
        <f>Raw_Claims_Data!E2897</f>
        <v>700</v>
      </c>
      <c r="F2898" t="str">
        <f>Raw_Claims_Data!F2897</f>
        <v>VT</v>
      </c>
      <c r="G2898" t="str">
        <f>Raw_Claims_Data!G2897</f>
        <v>A</v>
      </c>
      <c r="H2898" t="str">
        <f>Raw_Claims_Data!H2897</f>
        <v>Minor Loss</v>
      </c>
      <c r="I2898" t="str">
        <f>IF(Raw_Claims_Data!I2897="","None",Raw_Claims_Data!I2897)</f>
        <v>Ambulance</v>
      </c>
      <c r="J2898" t="str">
        <f>Raw_Claims_Data!J2897</f>
        <v>Nashville</v>
      </c>
      <c r="K2898" t="str">
        <f>Raw_Claims_Data!K2897</f>
        <v>TN</v>
      </c>
      <c r="L2898">
        <f>Raw_Claims_Data!L2897</f>
        <v>20</v>
      </c>
      <c r="M2898" t="str">
        <f>IF(Raw_Claims_Data!M2897="","N/A",Raw_Claims_Data!M2897)</f>
        <v>VNDR00348</v>
      </c>
      <c r="N2898" t="str">
        <f>Raw_Claims_Data!N2897</f>
        <v>AGENT00881</v>
      </c>
      <c r="O2898">
        <f>IF(Raw_Claims_Data!G2897="D",1,0)</f>
        <v>0</v>
      </c>
    </row>
    <row r="2899" spans="1:15" x14ac:dyDescent="0.35">
      <c r="A2899" t="str">
        <f>Raw_Claims_Data!A2898</f>
        <v>TXN00002895</v>
      </c>
      <c r="B2899" t="str">
        <f>TRIM(Raw_Claims_Data!B2898)</f>
        <v>Thomas Christian</v>
      </c>
      <c r="C2899" t="str">
        <f>Raw_Claims_Data!C2898</f>
        <v>Travel</v>
      </c>
      <c r="D2899">
        <f>Raw_Claims_Data!D2898</f>
        <v>72</v>
      </c>
      <c r="E2899">
        <f>Raw_Claims_Data!E2898</f>
        <v>1000</v>
      </c>
      <c r="F2899" t="str">
        <f>Raw_Claims_Data!F2898</f>
        <v>CO</v>
      </c>
      <c r="G2899" t="str">
        <f>Raw_Claims_Data!G2898</f>
        <v>A</v>
      </c>
      <c r="H2899" t="str">
        <f>Raw_Claims_Data!H2898</f>
        <v>Total Loss</v>
      </c>
      <c r="I2899" t="str">
        <f>IF(Raw_Claims_Data!I2898="","None",Raw_Claims_Data!I2898)</f>
        <v>Ambulance</v>
      </c>
      <c r="J2899" t="str">
        <f>Raw_Claims_Data!J2898</f>
        <v>Washington</v>
      </c>
      <c r="K2899" t="str">
        <f>Raw_Claims_Data!K2898</f>
        <v>DC</v>
      </c>
      <c r="L2899">
        <f>Raw_Claims_Data!L2898</f>
        <v>19</v>
      </c>
      <c r="M2899" t="str">
        <f>IF(Raw_Claims_Data!M2898="","N/A",Raw_Claims_Data!M2898)</f>
        <v>N/A</v>
      </c>
      <c r="N2899" t="str">
        <f>Raw_Claims_Data!N2898</f>
        <v>AGENT00379</v>
      </c>
      <c r="O2899">
        <f>IF(Raw_Claims_Data!G2898="D",1,0)</f>
        <v>0</v>
      </c>
    </row>
    <row r="2900" spans="1:15" x14ac:dyDescent="0.35">
      <c r="A2900" t="str">
        <f>Raw_Claims_Data!A2899</f>
        <v>TXN00002896</v>
      </c>
      <c r="B2900" t="str">
        <f>TRIM(Raw_Claims_Data!B2899)</f>
        <v>Mildred Smith</v>
      </c>
      <c r="C2900" t="str">
        <f>Raw_Claims_Data!C2899</f>
        <v>Property</v>
      </c>
      <c r="D2900">
        <f>Raw_Claims_Data!D2899</f>
        <v>91.34</v>
      </c>
      <c r="E2900">
        <f>Raw_Claims_Data!E2899</f>
        <v>12000</v>
      </c>
      <c r="F2900" t="str">
        <f>Raw_Claims_Data!F2899</f>
        <v>MD</v>
      </c>
      <c r="G2900" t="str">
        <f>Raw_Claims_Data!G2899</f>
        <v>A</v>
      </c>
      <c r="H2900" t="str">
        <f>Raw_Claims_Data!H2899</f>
        <v>Total Loss</v>
      </c>
      <c r="I2900" t="str">
        <f>IF(Raw_Claims_Data!I2899="","None",Raw_Claims_Data!I2899)</f>
        <v>Other</v>
      </c>
      <c r="J2900" t="str">
        <f>Raw_Claims_Data!J2899</f>
        <v>Millis</v>
      </c>
      <c r="K2900" t="str">
        <f>Raw_Claims_Data!K2899</f>
        <v>MA</v>
      </c>
      <c r="L2900">
        <f>Raw_Claims_Data!L2899</f>
        <v>18</v>
      </c>
      <c r="M2900" t="str">
        <f>IF(Raw_Claims_Data!M2899="","N/A",Raw_Claims_Data!M2899)</f>
        <v>VNDR00215</v>
      </c>
      <c r="N2900" t="str">
        <f>Raw_Claims_Data!N2899</f>
        <v>AGENT00697</v>
      </c>
      <c r="O2900">
        <f>IF(Raw_Claims_Data!G2899="D",1,0)</f>
        <v>0</v>
      </c>
    </row>
    <row r="2901" spans="1:15" x14ac:dyDescent="0.35">
      <c r="A2901" t="str">
        <f>Raw_Claims_Data!A2900</f>
        <v>TXN00002897</v>
      </c>
      <c r="B2901" t="str">
        <f>TRIM(Raw_Claims_Data!B2900)</f>
        <v>Lloyd Shupe</v>
      </c>
      <c r="C2901" t="str">
        <f>Raw_Claims_Data!C2900</f>
        <v>Motor</v>
      </c>
      <c r="D2901">
        <f>Raw_Claims_Data!D2900</f>
        <v>118.98</v>
      </c>
      <c r="E2901">
        <f>Raw_Claims_Data!E2900</f>
        <v>10000</v>
      </c>
      <c r="F2901" t="str">
        <f>Raw_Claims_Data!F2900</f>
        <v>AZ</v>
      </c>
      <c r="G2901" t="str">
        <f>Raw_Claims_Data!G2900</f>
        <v>A</v>
      </c>
      <c r="H2901" t="str">
        <f>Raw_Claims_Data!H2900</f>
        <v>Total Loss</v>
      </c>
      <c r="I2901" t="str">
        <f>IF(Raw_Claims_Data!I2900="","None",Raw_Claims_Data!I2900)</f>
        <v>None</v>
      </c>
      <c r="J2901" t="str">
        <f>Raw_Claims_Data!J2900</f>
        <v>Panama City</v>
      </c>
      <c r="K2901" t="str">
        <f>Raw_Claims_Data!K2900</f>
        <v>FL</v>
      </c>
      <c r="L2901">
        <f>Raw_Claims_Data!L2900</f>
        <v>4</v>
      </c>
      <c r="M2901" t="str">
        <f>IF(Raw_Claims_Data!M2900="","N/A",Raw_Claims_Data!M2900)</f>
        <v>VNDR00454</v>
      </c>
      <c r="N2901" t="str">
        <f>Raw_Claims_Data!N2900</f>
        <v>AGENT00986</v>
      </c>
      <c r="O2901">
        <f>IF(Raw_Claims_Data!G2900="D",1,0)</f>
        <v>0</v>
      </c>
    </row>
    <row r="2902" spans="1:15" x14ac:dyDescent="0.35">
      <c r="A2902" t="str">
        <f>Raw_Claims_Data!A2901</f>
        <v>TXN00002898</v>
      </c>
      <c r="B2902" t="str">
        <f>TRIM(Raw_Claims_Data!B2901)</f>
        <v>Hilma Gaines</v>
      </c>
      <c r="C2902" t="str">
        <f>Raw_Claims_Data!C2901</f>
        <v>Motor</v>
      </c>
      <c r="D2902">
        <f>Raw_Claims_Data!D2901</f>
        <v>85.8</v>
      </c>
      <c r="E2902">
        <f>Raw_Claims_Data!E2901</f>
        <v>7000</v>
      </c>
      <c r="F2902" t="str">
        <f>Raw_Claims_Data!F2901</f>
        <v>VT</v>
      </c>
      <c r="G2902" t="str">
        <f>Raw_Claims_Data!G2901</f>
        <v>A</v>
      </c>
      <c r="H2902" t="str">
        <f>Raw_Claims_Data!H2901</f>
        <v>Total Loss</v>
      </c>
      <c r="I2902" t="str">
        <f>IF(Raw_Claims_Data!I2901="","None",Raw_Claims_Data!I2901)</f>
        <v>Ambulance</v>
      </c>
      <c r="J2902" t="str">
        <f>Raw_Claims_Data!J2901</f>
        <v>Louisville</v>
      </c>
      <c r="K2902" t="str">
        <f>Raw_Claims_Data!K2901</f>
        <v>KY</v>
      </c>
      <c r="L2902">
        <f>Raw_Claims_Data!L2901</f>
        <v>11</v>
      </c>
      <c r="M2902" t="str">
        <f>IF(Raw_Claims_Data!M2901="","N/A",Raw_Claims_Data!M2901)</f>
        <v>VNDR00284</v>
      </c>
      <c r="N2902" t="str">
        <f>Raw_Claims_Data!N2901</f>
        <v>AGENT00570</v>
      </c>
      <c r="O2902">
        <f>IF(Raw_Claims_Data!G2901="D",1,0)</f>
        <v>0</v>
      </c>
    </row>
    <row r="2903" spans="1:15" x14ac:dyDescent="0.35">
      <c r="A2903" t="str">
        <f>Raw_Claims_Data!A2902</f>
        <v>TXN00002899</v>
      </c>
      <c r="B2903" t="str">
        <f>TRIM(Raw_Claims_Data!B2902)</f>
        <v>William Oliver</v>
      </c>
      <c r="C2903" t="str">
        <f>Raw_Claims_Data!C2902</f>
        <v>Property</v>
      </c>
      <c r="D2903">
        <f>Raw_Claims_Data!D2902</f>
        <v>152.13</v>
      </c>
      <c r="E2903">
        <f>Raw_Claims_Data!E2902</f>
        <v>10000</v>
      </c>
      <c r="F2903" t="str">
        <f>Raw_Claims_Data!F2902</f>
        <v>CO</v>
      </c>
      <c r="G2903" t="str">
        <f>Raw_Claims_Data!G2902</f>
        <v>A</v>
      </c>
      <c r="H2903" t="str">
        <f>Raw_Claims_Data!H2902</f>
        <v>Minor Loss</v>
      </c>
      <c r="I2903" t="str">
        <f>IF(Raw_Claims_Data!I2902="","None",Raw_Claims_Data!I2902)</f>
        <v>Ambulance</v>
      </c>
      <c r="J2903" t="str">
        <f>Raw_Claims_Data!J2902</f>
        <v>Nashville</v>
      </c>
      <c r="K2903" t="str">
        <f>Raw_Claims_Data!K2902</f>
        <v>TN</v>
      </c>
      <c r="L2903">
        <f>Raw_Claims_Data!L2902</f>
        <v>16</v>
      </c>
      <c r="M2903" t="str">
        <f>IF(Raw_Claims_Data!M2902="","N/A",Raw_Claims_Data!M2902)</f>
        <v>N/A</v>
      </c>
      <c r="N2903" t="str">
        <f>Raw_Claims_Data!N2902</f>
        <v>AGENT00143</v>
      </c>
      <c r="O2903">
        <f>IF(Raw_Claims_Data!G2902="D",1,0)</f>
        <v>0</v>
      </c>
    </row>
    <row r="2904" spans="1:15" x14ac:dyDescent="0.35">
      <c r="A2904" t="str">
        <f>Raw_Claims_Data!A2903</f>
        <v>TXN00002900</v>
      </c>
      <c r="B2904" t="str">
        <f>TRIM(Raw_Claims_Data!B2903)</f>
        <v>Jeffrey Porter</v>
      </c>
      <c r="C2904" t="str">
        <f>Raw_Claims_Data!C2903</f>
        <v>Health</v>
      </c>
      <c r="D2904">
        <f>Raw_Claims_Data!D2903</f>
        <v>154.85</v>
      </c>
      <c r="E2904">
        <f>Raw_Claims_Data!E2903</f>
        <v>10000</v>
      </c>
      <c r="F2904" t="str">
        <f>Raw_Claims_Data!F2903</f>
        <v>AL</v>
      </c>
      <c r="G2904" t="str">
        <f>Raw_Claims_Data!G2903</f>
        <v>A</v>
      </c>
      <c r="H2904" t="str">
        <f>Raw_Claims_Data!H2903</f>
        <v>Major Loss</v>
      </c>
      <c r="I2904" t="str">
        <f>IF(Raw_Claims_Data!I2903="","None",Raw_Claims_Data!I2903)</f>
        <v>None</v>
      </c>
      <c r="J2904" t="str">
        <f>Raw_Claims_Data!J2903</f>
        <v>Savannah</v>
      </c>
      <c r="K2904" t="str">
        <f>Raw_Claims_Data!K2903</f>
        <v>GA</v>
      </c>
      <c r="L2904">
        <f>Raw_Claims_Data!L2903</f>
        <v>8</v>
      </c>
      <c r="M2904" t="str">
        <f>IF(Raw_Claims_Data!M2903="","N/A",Raw_Claims_Data!M2903)</f>
        <v>VNDR00204</v>
      </c>
      <c r="N2904" t="str">
        <f>Raw_Claims_Data!N2903</f>
        <v>AGENT01047</v>
      </c>
      <c r="O2904">
        <f>IF(Raw_Claims_Data!G2903="D",1,0)</f>
        <v>0</v>
      </c>
    </row>
    <row r="2905" spans="1:15" x14ac:dyDescent="0.35">
      <c r="A2905" t="str">
        <f>Raw_Claims_Data!A2904</f>
        <v>TXN00002901</v>
      </c>
      <c r="B2905" t="str">
        <f>TRIM(Raw_Claims_Data!B2904)</f>
        <v>Georgia Neault</v>
      </c>
      <c r="C2905" t="str">
        <f>Raw_Claims_Data!C2904</f>
        <v>Life</v>
      </c>
      <c r="D2905">
        <f>Raw_Claims_Data!D2904</f>
        <v>92.18</v>
      </c>
      <c r="E2905">
        <f>Raw_Claims_Data!E2904</f>
        <v>83000</v>
      </c>
      <c r="F2905" t="str">
        <f>Raw_Claims_Data!F2904</f>
        <v>TN</v>
      </c>
      <c r="G2905" t="str">
        <f>Raw_Claims_Data!G2904</f>
        <v>A</v>
      </c>
      <c r="H2905" t="str">
        <f>Raw_Claims_Data!H2904</f>
        <v>Total Loss</v>
      </c>
      <c r="I2905" t="str">
        <f>IF(Raw_Claims_Data!I2904="","None",Raw_Claims_Data!I2904)</f>
        <v>Ambulance</v>
      </c>
      <c r="J2905" t="str">
        <f>Raw_Claims_Data!J2904</f>
        <v>Fort Collins</v>
      </c>
      <c r="K2905" t="str">
        <f>Raw_Claims_Data!K2904</f>
        <v>CO</v>
      </c>
      <c r="L2905">
        <f>Raw_Claims_Data!L2904</f>
        <v>18</v>
      </c>
      <c r="M2905" t="str">
        <f>IF(Raw_Claims_Data!M2904="","N/A",Raw_Claims_Data!M2904)</f>
        <v>N/A</v>
      </c>
      <c r="N2905" t="str">
        <f>Raw_Claims_Data!N2904</f>
        <v>AGENT00611</v>
      </c>
      <c r="O2905">
        <f>IF(Raw_Claims_Data!G2904="D",1,0)</f>
        <v>0</v>
      </c>
    </row>
    <row r="2906" spans="1:15" x14ac:dyDescent="0.35">
      <c r="A2906" t="str">
        <f>Raw_Claims_Data!A2905</f>
        <v>TXN00002902</v>
      </c>
      <c r="B2906" t="str">
        <f>TRIM(Raw_Claims_Data!B2905)</f>
        <v>Zane Garner</v>
      </c>
      <c r="C2906" t="str">
        <f>Raw_Claims_Data!C2905</f>
        <v>Property</v>
      </c>
      <c r="D2906">
        <f>Raw_Claims_Data!D2905</f>
        <v>135</v>
      </c>
      <c r="E2906">
        <f>Raw_Claims_Data!E2905</f>
        <v>30000</v>
      </c>
      <c r="F2906" t="str">
        <f>Raw_Claims_Data!F2905</f>
        <v>CT</v>
      </c>
      <c r="G2906" t="str">
        <f>Raw_Claims_Data!G2905</f>
        <v>A</v>
      </c>
      <c r="H2906" t="str">
        <f>Raw_Claims_Data!H2905</f>
        <v>Minor Loss</v>
      </c>
      <c r="I2906" t="str">
        <f>IF(Raw_Claims_Data!I2905="","None",Raw_Claims_Data!I2905)</f>
        <v>Police</v>
      </c>
      <c r="J2906" t="str">
        <f>Raw_Claims_Data!J2905</f>
        <v>Arvada</v>
      </c>
      <c r="K2906" t="str">
        <f>Raw_Claims_Data!K2905</f>
        <v>CO</v>
      </c>
      <c r="L2906">
        <f>Raw_Claims_Data!L2905</f>
        <v>17</v>
      </c>
      <c r="M2906" t="str">
        <f>IF(Raw_Claims_Data!M2905="","N/A",Raw_Claims_Data!M2905)</f>
        <v>VNDR00407</v>
      </c>
      <c r="N2906" t="str">
        <f>Raw_Claims_Data!N2905</f>
        <v>AGENT01095</v>
      </c>
      <c r="O2906">
        <f>IF(Raw_Claims_Data!G2905="D",1,0)</f>
        <v>0</v>
      </c>
    </row>
    <row r="2907" spans="1:15" x14ac:dyDescent="0.35">
      <c r="A2907" t="str">
        <f>Raw_Claims_Data!A2906</f>
        <v>TXN00002903</v>
      </c>
      <c r="B2907" t="str">
        <f>TRIM(Raw_Claims_Data!B2906)</f>
        <v>Florence Tidmore</v>
      </c>
      <c r="C2907" t="str">
        <f>Raw_Claims_Data!C2906</f>
        <v>Motor</v>
      </c>
      <c r="D2907">
        <f>Raw_Claims_Data!D2906</f>
        <v>80.319999999999993</v>
      </c>
      <c r="E2907">
        <f>Raw_Claims_Data!E2906</f>
        <v>6000</v>
      </c>
      <c r="F2907" t="str">
        <f>Raw_Claims_Data!F2906</f>
        <v>CO</v>
      </c>
      <c r="G2907" t="str">
        <f>Raw_Claims_Data!G2906</f>
        <v>A</v>
      </c>
      <c r="H2907" t="str">
        <f>Raw_Claims_Data!H2906</f>
        <v>Major Loss</v>
      </c>
      <c r="I2907" t="str">
        <f>IF(Raw_Claims_Data!I2906="","None",Raw_Claims_Data!I2906)</f>
        <v>None</v>
      </c>
      <c r="J2907" t="str">
        <f>Raw_Claims_Data!J2906</f>
        <v>Hartford</v>
      </c>
      <c r="K2907" t="str">
        <f>Raw_Claims_Data!K2906</f>
        <v>VT</v>
      </c>
      <c r="L2907">
        <f>Raw_Claims_Data!L2906</f>
        <v>6</v>
      </c>
      <c r="M2907" t="str">
        <f>IF(Raw_Claims_Data!M2906="","N/A",Raw_Claims_Data!M2906)</f>
        <v>VNDR00513</v>
      </c>
      <c r="N2907" t="str">
        <f>Raw_Claims_Data!N2906</f>
        <v>AGENT00773</v>
      </c>
      <c r="O2907">
        <f>IF(Raw_Claims_Data!G2906="D",1,0)</f>
        <v>0</v>
      </c>
    </row>
    <row r="2908" spans="1:15" x14ac:dyDescent="0.35">
      <c r="A2908" t="str">
        <f>Raw_Claims_Data!A2907</f>
        <v>TXN00002904</v>
      </c>
      <c r="B2908" t="str">
        <f>TRIM(Raw_Claims_Data!B2907)</f>
        <v>Helen Clark</v>
      </c>
      <c r="C2908" t="str">
        <f>Raw_Claims_Data!C2907</f>
        <v>Health</v>
      </c>
      <c r="D2908">
        <f>Raw_Claims_Data!D2907</f>
        <v>137.26</v>
      </c>
      <c r="E2908">
        <f>Raw_Claims_Data!E2907</f>
        <v>10000</v>
      </c>
      <c r="F2908" t="str">
        <f>Raw_Claims_Data!F2907</f>
        <v>FL</v>
      </c>
      <c r="G2908" t="str">
        <f>Raw_Claims_Data!G2907</f>
        <v>A</v>
      </c>
      <c r="H2908" t="str">
        <f>Raw_Claims_Data!H2907</f>
        <v>Major Loss</v>
      </c>
      <c r="I2908" t="str">
        <f>IF(Raw_Claims_Data!I2907="","None",Raw_Claims_Data!I2907)</f>
        <v>Other</v>
      </c>
      <c r="J2908" t="str">
        <f>Raw_Claims_Data!J2907</f>
        <v>Manchester</v>
      </c>
      <c r="K2908" t="str">
        <f>Raw_Claims_Data!K2907</f>
        <v>CT</v>
      </c>
      <c r="L2908">
        <f>Raw_Claims_Data!L2907</f>
        <v>10</v>
      </c>
      <c r="M2908" t="str">
        <f>IF(Raw_Claims_Data!M2907="","N/A",Raw_Claims_Data!M2907)</f>
        <v>N/A</v>
      </c>
      <c r="N2908" t="str">
        <f>Raw_Claims_Data!N2907</f>
        <v>AGENT00251</v>
      </c>
      <c r="O2908">
        <f>IF(Raw_Claims_Data!G2907="D",1,0)</f>
        <v>0</v>
      </c>
    </row>
    <row r="2909" spans="1:15" x14ac:dyDescent="0.35">
      <c r="A2909" t="str">
        <f>Raw_Claims_Data!A2908</f>
        <v>TXN00002905</v>
      </c>
      <c r="B2909" t="str">
        <f>TRIM(Raw_Claims_Data!B2908)</f>
        <v>Brenda Gerard</v>
      </c>
      <c r="C2909" t="str">
        <f>Raw_Claims_Data!C2908</f>
        <v>Travel</v>
      </c>
      <c r="D2909">
        <f>Raw_Claims_Data!D2908</f>
        <v>63.8</v>
      </c>
      <c r="E2909">
        <f>Raw_Claims_Data!E2908</f>
        <v>4000</v>
      </c>
      <c r="F2909" t="str">
        <f>Raw_Claims_Data!F2908</f>
        <v>CA</v>
      </c>
      <c r="G2909" t="str">
        <f>Raw_Claims_Data!G2908</f>
        <v>A</v>
      </c>
      <c r="H2909" t="str">
        <f>Raw_Claims_Data!H2908</f>
        <v>Total Loss</v>
      </c>
      <c r="I2909" t="str">
        <f>IF(Raw_Claims_Data!I2908="","None",Raw_Claims_Data!I2908)</f>
        <v>Ambulance</v>
      </c>
      <c r="J2909" t="str">
        <f>Raw_Claims_Data!J2908</f>
        <v>Greeley</v>
      </c>
      <c r="K2909" t="str">
        <f>Raw_Claims_Data!K2908</f>
        <v>CO</v>
      </c>
      <c r="L2909">
        <f>Raw_Claims_Data!L2908</f>
        <v>1</v>
      </c>
      <c r="M2909" t="str">
        <f>IF(Raw_Claims_Data!M2908="","N/A",Raw_Claims_Data!M2908)</f>
        <v>VNDR00211</v>
      </c>
      <c r="N2909" t="str">
        <f>Raw_Claims_Data!N2908</f>
        <v>AGENT01055</v>
      </c>
      <c r="O2909">
        <f>IF(Raw_Claims_Data!G2908="D",1,0)</f>
        <v>0</v>
      </c>
    </row>
    <row r="2910" spans="1:15" x14ac:dyDescent="0.35">
      <c r="A2910" t="str">
        <f>Raw_Claims_Data!A2909</f>
        <v>TXN00002906</v>
      </c>
      <c r="B2910" t="str">
        <f>TRIM(Raw_Claims_Data!B2909)</f>
        <v>Charles Smith</v>
      </c>
      <c r="C2910" t="str">
        <f>Raw_Claims_Data!C2909</f>
        <v>Health</v>
      </c>
      <c r="D2910">
        <f>Raw_Claims_Data!D2909</f>
        <v>150.06</v>
      </c>
      <c r="E2910">
        <f>Raw_Claims_Data!E2909</f>
        <v>18000</v>
      </c>
      <c r="F2910" t="str">
        <f>Raw_Claims_Data!F2909</f>
        <v>AZ</v>
      </c>
      <c r="G2910" t="str">
        <f>Raw_Claims_Data!G2909</f>
        <v>A</v>
      </c>
      <c r="H2910" t="str">
        <f>Raw_Claims_Data!H2909</f>
        <v>Total Loss</v>
      </c>
      <c r="I2910" t="str">
        <f>IF(Raw_Claims_Data!I2909="","None",Raw_Claims_Data!I2909)</f>
        <v>Police</v>
      </c>
      <c r="J2910" t="str">
        <f>Raw_Claims_Data!J2909</f>
        <v>Oklahoma City</v>
      </c>
      <c r="K2910" t="str">
        <f>Raw_Claims_Data!K2909</f>
        <v>OK</v>
      </c>
      <c r="L2910">
        <f>Raw_Claims_Data!L2909</f>
        <v>22</v>
      </c>
      <c r="M2910" t="str">
        <f>IF(Raw_Claims_Data!M2909="","N/A",Raw_Claims_Data!M2909)</f>
        <v>N/A</v>
      </c>
      <c r="N2910" t="str">
        <f>Raw_Claims_Data!N2909</f>
        <v>AGENT00431</v>
      </c>
      <c r="O2910">
        <f>IF(Raw_Claims_Data!G2909="D",1,0)</f>
        <v>0</v>
      </c>
    </row>
    <row r="2911" spans="1:15" x14ac:dyDescent="0.35">
      <c r="A2911" t="str">
        <f>Raw_Claims_Data!A2910</f>
        <v>TXN00002907</v>
      </c>
      <c r="B2911" t="str">
        <f>TRIM(Raw_Claims_Data!B2910)</f>
        <v>Thomas Cummings</v>
      </c>
      <c r="C2911" t="str">
        <f>Raw_Claims_Data!C2910</f>
        <v>Motor</v>
      </c>
      <c r="D2911">
        <f>Raw_Claims_Data!D2910</f>
        <v>111.87</v>
      </c>
      <c r="E2911">
        <f>Raw_Claims_Data!E2910</f>
        <v>10000</v>
      </c>
      <c r="F2911" t="str">
        <f>Raw_Claims_Data!F2910</f>
        <v>MD</v>
      </c>
      <c r="G2911" t="str">
        <f>Raw_Claims_Data!G2910</f>
        <v>A</v>
      </c>
      <c r="H2911" t="str">
        <f>Raw_Claims_Data!H2910</f>
        <v>Total Loss</v>
      </c>
      <c r="I2911" t="str">
        <f>IF(Raw_Claims_Data!I2910="","None",Raw_Claims_Data!I2910)</f>
        <v>None</v>
      </c>
      <c r="J2911" t="str">
        <f>Raw_Claims_Data!J2910</f>
        <v>Montgomery</v>
      </c>
      <c r="K2911" t="str">
        <f>Raw_Claims_Data!K2910</f>
        <v>AL</v>
      </c>
      <c r="L2911">
        <f>Raw_Claims_Data!L2910</f>
        <v>11</v>
      </c>
      <c r="M2911" t="str">
        <f>IF(Raw_Claims_Data!M2910="","N/A",Raw_Claims_Data!M2910)</f>
        <v>VNDR00597</v>
      </c>
      <c r="N2911" t="str">
        <f>Raw_Claims_Data!N2910</f>
        <v>AGENT00050</v>
      </c>
      <c r="O2911">
        <f>IF(Raw_Claims_Data!G2910="D",1,0)</f>
        <v>0</v>
      </c>
    </row>
    <row r="2912" spans="1:15" x14ac:dyDescent="0.35">
      <c r="A2912" t="str">
        <f>Raw_Claims_Data!A2911</f>
        <v>TXN00002908</v>
      </c>
      <c r="B2912" t="str">
        <f>TRIM(Raw_Claims_Data!B2911)</f>
        <v>Kerry Harris</v>
      </c>
      <c r="C2912" t="str">
        <f>Raw_Claims_Data!C2911</f>
        <v>Life</v>
      </c>
      <c r="D2912">
        <f>Raw_Claims_Data!D2911</f>
        <v>99.11</v>
      </c>
      <c r="E2912">
        <f>Raw_Claims_Data!E2911</f>
        <v>79000</v>
      </c>
      <c r="F2912" t="str">
        <f>Raw_Claims_Data!F2911</f>
        <v>AZ</v>
      </c>
      <c r="G2912" t="str">
        <f>Raw_Claims_Data!G2911</f>
        <v>A</v>
      </c>
      <c r="H2912" t="str">
        <f>Raw_Claims_Data!H2911</f>
        <v>Major Loss</v>
      </c>
      <c r="I2912" t="str">
        <f>IF(Raw_Claims_Data!I2911="","None",Raw_Claims_Data!I2911)</f>
        <v>None</v>
      </c>
      <c r="J2912" t="str">
        <f>Raw_Claims_Data!J2911</f>
        <v>Nashville</v>
      </c>
      <c r="K2912" t="str">
        <f>Raw_Claims_Data!K2911</f>
        <v>TN</v>
      </c>
      <c r="L2912">
        <f>Raw_Claims_Data!L2911</f>
        <v>9</v>
      </c>
      <c r="M2912" t="str">
        <f>IF(Raw_Claims_Data!M2911="","N/A",Raw_Claims_Data!M2911)</f>
        <v>VNDR00503</v>
      </c>
      <c r="N2912" t="str">
        <f>Raw_Claims_Data!N2911</f>
        <v>AGENT00169</v>
      </c>
      <c r="O2912">
        <f>IF(Raw_Claims_Data!G2911="D",1,0)</f>
        <v>0</v>
      </c>
    </row>
    <row r="2913" spans="1:15" x14ac:dyDescent="0.35">
      <c r="A2913" t="str">
        <f>Raw_Claims_Data!A2912</f>
        <v>TXN00002909</v>
      </c>
      <c r="B2913" t="str">
        <f>TRIM(Raw_Claims_Data!B2912)</f>
        <v>Steven Hunt</v>
      </c>
      <c r="C2913" t="str">
        <f>Raw_Claims_Data!C2912</f>
        <v>Life</v>
      </c>
      <c r="D2913">
        <f>Raw_Claims_Data!D2912</f>
        <v>65.13</v>
      </c>
      <c r="E2913">
        <f>Raw_Claims_Data!E2912</f>
        <v>92000</v>
      </c>
      <c r="F2913" t="str">
        <f>Raw_Claims_Data!F2912</f>
        <v>KY</v>
      </c>
      <c r="G2913" t="str">
        <f>Raw_Claims_Data!G2912</f>
        <v>A</v>
      </c>
      <c r="H2913" t="str">
        <f>Raw_Claims_Data!H2912</f>
        <v>Major Loss</v>
      </c>
      <c r="I2913" t="str">
        <f>IF(Raw_Claims_Data!I2912="","None",Raw_Claims_Data!I2912)</f>
        <v>Other</v>
      </c>
      <c r="J2913" t="str">
        <f>Raw_Claims_Data!J2912</f>
        <v>Arvada</v>
      </c>
      <c r="K2913" t="str">
        <f>Raw_Claims_Data!K2912</f>
        <v>CO</v>
      </c>
      <c r="L2913">
        <f>Raw_Claims_Data!L2912</f>
        <v>3</v>
      </c>
      <c r="M2913" t="str">
        <f>IF(Raw_Claims_Data!M2912="","N/A",Raw_Claims_Data!M2912)</f>
        <v>VNDR00031</v>
      </c>
      <c r="N2913" t="str">
        <f>Raw_Claims_Data!N2912</f>
        <v>AGENT00220</v>
      </c>
      <c r="O2913">
        <f>IF(Raw_Claims_Data!G2912="D",1,0)</f>
        <v>0</v>
      </c>
    </row>
    <row r="2914" spans="1:15" x14ac:dyDescent="0.35">
      <c r="A2914" t="str">
        <f>Raw_Claims_Data!A2913</f>
        <v>TXN00002910</v>
      </c>
      <c r="B2914" t="str">
        <f>TRIM(Raw_Claims_Data!B2913)</f>
        <v>Ella Anderson</v>
      </c>
      <c r="C2914" t="str">
        <f>Raw_Claims_Data!C2913</f>
        <v>Property</v>
      </c>
      <c r="D2914">
        <f>Raw_Claims_Data!D2913</f>
        <v>154.47999999999999</v>
      </c>
      <c r="E2914">
        <f>Raw_Claims_Data!E2913</f>
        <v>27000</v>
      </c>
      <c r="F2914" t="str">
        <f>Raw_Claims_Data!F2913</f>
        <v>AZ</v>
      </c>
      <c r="G2914" t="str">
        <f>Raw_Claims_Data!G2913</f>
        <v>A</v>
      </c>
      <c r="H2914" t="str">
        <f>Raw_Claims_Data!H2913</f>
        <v>Major Loss</v>
      </c>
      <c r="I2914" t="str">
        <f>IF(Raw_Claims_Data!I2913="","None",Raw_Claims_Data!I2913)</f>
        <v>Police</v>
      </c>
      <c r="J2914" t="str">
        <f>Raw_Claims_Data!J2913</f>
        <v>Anchorage</v>
      </c>
      <c r="K2914" t="str">
        <f>Raw_Claims_Data!K2913</f>
        <v>AK</v>
      </c>
      <c r="L2914">
        <f>Raw_Claims_Data!L2913</f>
        <v>13</v>
      </c>
      <c r="M2914" t="str">
        <f>IF(Raw_Claims_Data!M2913="","N/A",Raw_Claims_Data!M2913)</f>
        <v>N/A</v>
      </c>
      <c r="N2914" t="str">
        <f>Raw_Claims_Data!N2913</f>
        <v>AGENT01054</v>
      </c>
      <c r="O2914">
        <f>IF(Raw_Claims_Data!G2913="D",1,0)</f>
        <v>0</v>
      </c>
    </row>
    <row r="2915" spans="1:15" x14ac:dyDescent="0.35">
      <c r="A2915" t="str">
        <f>Raw_Claims_Data!A2914</f>
        <v>TXN00002911</v>
      </c>
      <c r="B2915" t="str">
        <f>TRIM(Raw_Claims_Data!B2914)</f>
        <v>Irene Martinez</v>
      </c>
      <c r="C2915" t="str">
        <f>Raw_Claims_Data!C2914</f>
        <v>Life</v>
      </c>
      <c r="D2915">
        <f>Raw_Claims_Data!D2914</f>
        <v>89.14</v>
      </c>
      <c r="E2915">
        <f>Raw_Claims_Data!E2914</f>
        <v>89000</v>
      </c>
      <c r="F2915" t="str">
        <f>Raw_Claims_Data!F2914</f>
        <v>TN</v>
      </c>
      <c r="G2915" t="str">
        <f>Raw_Claims_Data!G2914</f>
        <v>D</v>
      </c>
      <c r="H2915" t="str">
        <f>Raw_Claims_Data!H2914</f>
        <v>Total Loss</v>
      </c>
      <c r="I2915" t="str">
        <f>IF(Raw_Claims_Data!I2914="","None",Raw_Claims_Data!I2914)</f>
        <v>Police</v>
      </c>
      <c r="J2915" t="str">
        <f>Raw_Claims_Data!J2914</f>
        <v>Lynn Haven</v>
      </c>
      <c r="K2915" t="str">
        <f>Raw_Claims_Data!K2914</f>
        <v>FL</v>
      </c>
      <c r="L2915">
        <f>Raw_Claims_Data!L2914</f>
        <v>6</v>
      </c>
      <c r="M2915" t="str">
        <f>IF(Raw_Claims_Data!M2914="","N/A",Raw_Claims_Data!M2914)</f>
        <v>N/A</v>
      </c>
      <c r="N2915" t="str">
        <f>Raw_Claims_Data!N2914</f>
        <v>AGENT00807</v>
      </c>
      <c r="O2915">
        <f>IF(Raw_Claims_Data!G2914="D",1,0)</f>
        <v>1</v>
      </c>
    </row>
    <row r="2916" spans="1:15" x14ac:dyDescent="0.35">
      <c r="A2916" t="str">
        <f>Raw_Claims_Data!A2915</f>
        <v>TXN00002912</v>
      </c>
      <c r="B2916" t="str">
        <f>TRIM(Raw_Claims_Data!B2915)</f>
        <v>Mabel Eaton</v>
      </c>
      <c r="C2916" t="str">
        <f>Raw_Claims_Data!C2915</f>
        <v>Motor</v>
      </c>
      <c r="D2916">
        <f>Raw_Claims_Data!D2915</f>
        <v>75.28</v>
      </c>
      <c r="E2916">
        <f>Raw_Claims_Data!E2915</f>
        <v>6000</v>
      </c>
      <c r="F2916" t="str">
        <f>Raw_Claims_Data!F2915</f>
        <v>CA</v>
      </c>
      <c r="G2916" t="str">
        <f>Raw_Claims_Data!G2915</f>
        <v>A</v>
      </c>
      <c r="H2916" t="str">
        <f>Raw_Claims_Data!H2915</f>
        <v>Minor Loss</v>
      </c>
      <c r="I2916" t="str">
        <f>IF(Raw_Claims_Data!I2915="","None",Raw_Claims_Data!I2915)</f>
        <v>None</v>
      </c>
      <c r="J2916" t="str">
        <f>Raw_Claims_Data!J2915</f>
        <v>Midwest City</v>
      </c>
      <c r="K2916" t="str">
        <f>Raw_Claims_Data!K2915</f>
        <v>OK</v>
      </c>
      <c r="L2916">
        <f>Raw_Claims_Data!L2915</f>
        <v>8</v>
      </c>
      <c r="M2916" t="str">
        <f>IF(Raw_Claims_Data!M2915="","N/A",Raw_Claims_Data!M2915)</f>
        <v>VNDR00204</v>
      </c>
      <c r="N2916" t="str">
        <f>Raw_Claims_Data!N2915</f>
        <v>AGENT00858</v>
      </c>
      <c r="O2916">
        <f>IF(Raw_Claims_Data!G2915="D",1,0)</f>
        <v>0</v>
      </c>
    </row>
    <row r="2917" spans="1:15" x14ac:dyDescent="0.35">
      <c r="A2917" t="str">
        <f>Raw_Claims_Data!A2916</f>
        <v>TXN00002913</v>
      </c>
      <c r="B2917" t="str">
        <f>TRIM(Raw_Claims_Data!B2916)</f>
        <v>Mathew Wilder</v>
      </c>
      <c r="C2917" t="str">
        <f>Raw_Claims_Data!C2916</f>
        <v>Motor</v>
      </c>
      <c r="D2917">
        <f>Raw_Claims_Data!D2916</f>
        <v>85</v>
      </c>
      <c r="E2917">
        <f>Raw_Claims_Data!E2916</f>
        <v>7000</v>
      </c>
      <c r="F2917" t="str">
        <f>Raw_Claims_Data!F2916</f>
        <v>CA</v>
      </c>
      <c r="G2917" t="str">
        <f>Raw_Claims_Data!G2916</f>
        <v>A</v>
      </c>
      <c r="H2917" t="str">
        <f>Raw_Claims_Data!H2916</f>
        <v>Major Loss</v>
      </c>
      <c r="I2917" t="str">
        <f>IF(Raw_Claims_Data!I2916="","None",Raw_Claims_Data!I2916)</f>
        <v>Ambulance</v>
      </c>
      <c r="J2917" t="str">
        <f>Raw_Claims_Data!J2916</f>
        <v>Manchester</v>
      </c>
      <c r="K2917" t="str">
        <f>Raw_Claims_Data!K2916</f>
        <v>CT</v>
      </c>
      <c r="L2917">
        <f>Raw_Claims_Data!L2916</f>
        <v>6</v>
      </c>
      <c r="M2917" t="str">
        <f>IF(Raw_Claims_Data!M2916="","N/A",Raw_Claims_Data!M2916)</f>
        <v>VNDR00593</v>
      </c>
      <c r="N2917" t="str">
        <f>Raw_Claims_Data!N2916</f>
        <v>AGENT01169</v>
      </c>
      <c r="O2917">
        <f>IF(Raw_Claims_Data!G2916="D",1,0)</f>
        <v>0</v>
      </c>
    </row>
    <row r="2918" spans="1:15" x14ac:dyDescent="0.35">
      <c r="A2918" t="str">
        <f>Raw_Claims_Data!A2917</f>
        <v>TXN00002914</v>
      </c>
      <c r="B2918" t="str">
        <f>TRIM(Raw_Claims_Data!B2917)</f>
        <v>Michael Botti</v>
      </c>
      <c r="C2918" t="str">
        <f>Raw_Claims_Data!C2917</f>
        <v>Property</v>
      </c>
      <c r="D2918">
        <f>Raw_Claims_Data!D2917</f>
        <v>108.66</v>
      </c>
      <c r="E2918">
        <f>Raw_Claims_Data!E2917</f>
        <v>37000</v>
      </c>
      <c r="F2918" t="str">
        <f>Raw_Claims_Data!F2917</f>
        <v>VT</v>
      </c>
      <c r="G2918" t="str">
        <f>Raw_Claims_Data!G2917</f>
        <v>A</v>
      </c>
      <c r="H2918" t="str">
        <f>Raw_Claims_Data!H2917</f>
        <v>Minor Loss</v>
      </c>
      <c r="I2918" t="str">
        <f>IF(Raw_Claims_Data!I2917="","None",Raw_Claims_Data!I2917)</f>
        <v>Police</v>
      </c>
      <c r="J2918" t="str">
        <f>Raw_Claims_Data!J2917</f>
        <v>Elk Grove</v>
      </c>
      <c r="K2918" t="str">
        <f>Raw_Claims_Data!K2917</f>
        <v>CA</v>
      </c>
      <c r="L2918">
        <f>Raw_Claims_Data!L2917</f>
        <v>8</v>
      </c>
      <c r="M2918" t="str">
        <f>IF(Raw_Claims_Data!M2917="","N/A",Raw_Claims_Data!M2917)</f>
        <v>VNDR00321</v>
      </c>
      <c r="N2918" t="str">
        <f>Raw_Claims_Data!N2917</f>
        <v>AGENT00032</v>
      </c>
      <c r="O2918">
        <f>IF(Raw_Claims_Data!G2917="D",1,0)</f>
        <v>0</v>
      </c>
    </row>
    <row r="2919" spans="1:15" x14ac:dyDescent="0.35">
      <c r="A2919" t="str">
        <f>Raw_Claims_Data!A2918</f>
        <v>TXN00002915</v>
      </c>
      <c r="B2919" t="str">
        <f>TRIM(Raw_Claims_Data!B2918)</f>
        <v>Jeffrey Salafia</v>
      </c>
      <c r="C2919" t="str">
        <f>Raw_Claims_Data!C2918</f>
        <v>Life</v>
      </c>
      <c r="D2919">
        <f>Raw_Claims_Data!D2918</f>
        <v>96.05</v>
      </c>
      <c r="E2919">
        <f>Raw_Claims_Data!E2918</f>
        <v>83000</v>
      </c>
      <c r="F2919" t="str">
        <f>Raw_Claims_Data!F2918</f>
        <v>DC</v>
      </c>
      <c r="G2919" t="str">
        <f>Raw_Claims_Data!G2918</f>
        <v>A</v>
      </c>
      <c r="H2919" t="str">
        <f>Raw_Claims_Data!H2918</f>
        <v>Total Loss</v>
      </c>
      <c r="I2919" t="str">
        <f>IF(Raw_Claims_Data!I2918="","None",Raw_Claims_Data!I2918)</f>
        <v>Police</v>
      </c>
      <c r="J2919" t="str">
        <f>Raw_Claims_Data!J2918</f>
        <v>Louisville</v>
      </c>
      <c r="K2919" t="str">
        <f>Raw_Claims_Data!K2918</f>
        <v>KY</v>
      </c>
      <c r="L2919">
        <f>Raw_Claims_Data!L2918</f>
        <v>5</v>
      </c>
      <c r="M2919" t="str">
        <f>IF(Raw_Claims_Data!M2918="","N/A",Raw_Claims_Data!M2918)</f>
        <v>VNDR00282</v>
      </c>
      <c r="N2919" t="str">
        <f>Raw_Claims_Data!N2918</f>
        <v>AGENT00111</v>
      </c>
      <c r="O2919">
        <f>IF(Raw_Claims_Data!G2918="D",1,0)</f>
        <v>0</v>
      </c>
    </row>
    <row r="2920" spans="1:15" x14ac:dyDescent="0.35">
      <c r="A2920" t="str">
        <f>Raw_Claims_Data!A2919</f>
        <v>TXN00002916</v>
      </c>
      <c r="B2920" t="str">
        <f>TRIM(Raw_Claims_Data!B2919)</f>
        <v>Monica Hill</v>
      </c>
      <c r="C2920" t="str">
        <f>Raw_Claims_Data!C2919</f>
        <v>Mobile</v>
      </c>
      <c r="D2920">
        <f>Raw_Claims_Data!D2919</f>
        <v>6.73</v>
      </c>
      <c r="E2920">
        <f>Raw_Claims_Data!E2919</f>
        <v>500</v>
      </c>
      <c r="F2920" t="str">
        <f>Raw_Claims_Data!F2919</f>
        <v>TN</v>
      </c>
      <c r="G2920" t="str">
        <f>Raw_Claims_Data!G2919</f>
        <v>A</v>
      </c>
      <c r="H2920" t="str">
        <f>Raw_Claims_Data!H2919</f>
        <v>Total Loss</v>
      </c>
      <c r="I2920" t="str">
        <f>IF(Raw_Claims_Data!I2919="","None",Raw_Claims_Data!I2919)</f>
        <v>Ambulance</v>
      </c>
      <c r="J2920" t="str">
        <f>Raw_Claims_Data!J2919</f>
        <v>Westmore</v>
      </c>
      <c r="K2920" t="str">
        <f>Raw_Claims_Data!K2919</f>
        <v>VT</v>
      </c>
      <c r="L2920">
        <f>Raw_Claims_Data!L2919</f>
        <v>12</v>
      </c>
      <c r="M2920" t="str">
        <f>IF(Raw_Claims_Data!M2919="","N/A",Raw_Claims_Data!M2919)</f>
        <v>VNDR00451</v>
      </c>
      <c r="N2920" t="str">
        <f>Raw_Claims_Data!N2919</f>
        <v>AGENT00497</v>
      </c>
      <c r="O2920">
        <f>IF(Raw_Claims_Data!G2919="D",1,0)</f>
        <v>0</v>
      </c>
    </row>
    <row r="2921" spans="1:15" x14ac:dyDescent="0.35">
      <c r="A2921" t="str">
        <f>Raw_Claims_Data!A2920</f>
        <v>TXN00002917</v>
      </c>
      <c r="B2921" t="str">
        <f>TRIM(Raw_Claims_Data!B2920)</f>
        <v>Vesta Daner</v>
      </c>
      <c r="C2921" t="str">
        <f>Raw_Claims_Data!C2920</f>
        <v>Motor</v>
      </c>
      <c r="D2921">
        <f>Raw_Claims_Data!D2920</f>
        <v>117</v>
      </c>
      <c r="E2921">
        <f>Raw_Claims_Data!E2920</f>
        <v>9000</v>
      </c>
      <c r="F2921" t="str">
        <f>Raw_Claims_Data!F2920</f>
        <v>MA</v>
      </c>
      <c r="G2921" t="str">
        <f>Raw_Claims_Data!G2920</f>
        <v>A</v>
      </c>
      <c r="H2921" t="str">
        <f>Raw_Claims_Data!H2920</f>
        <v>Total Loss</v>
      </c>
      <c r="I2921" t="str">
        <f>IF(Raw_Claims_Data!I2920="","None",Raw_Claims_Data!I2920)</f>
        <v>Police</v>
      </c>
      <c r="J2921" t="str">
        <f>Raw_Claims_Data!J2920</f>
        <v>Glen Burnie</v>
      </c>
      <c r="K2921" t="str">
        <f>Raw_Claims_Data!K2920</f>
        <v>MD</v>
      </c>
      <c r="L2921">
        <f>Raw_Claims_Data!L2920</f>
        <v>17</v>
      </c>
      <c r="M2921" t="str">
        <f>IF(Raw_Claims_Data!M2920="","N/A",Raw_Claims_Data!M2920)</f>
        <v>N/A</v>
      </c>
      <c r="N2921" t="str">
        <f>Raw_Claims_Data!N2920</f>
        <v>AGENT00578</v>
      </c>
      <c r="O2921">
        <f>IF(Raw_Claims_Data!G2920="D",1,0)</f>
        <v>0</v>
      </c>
    </row>
    <row r="2922" spans="1:15" x14ac:dyDescent="0.35">
      <c r="A2922" t="str">
        <f>Raw_Claims_Data!A2921</f>
        <v>TXN00002918</v>
      </c>
      <c r="B2922" t="str">
        <f>TRIM(Raw_Claims_Data!B2921)</f>
        <v>Michelle Koontz</v>
      </c>
      <c r="C2922" t="str">
        <f>Raw_Claims_Data!C2921</f>
        <v>Motor</v>
      </c>
      <c r="D2922">
        <f>Raw_Claims_Data!D2921</f>
        <v>103.2</v>
      </c>
      <c r="E2922">
        <f>Raw_Claims_Data!E2921</f>
        <v>2000</v>
      </c>
      <c r="F2922" t="str">
        <f>Raw_Claims_Data!F2921</f>
        <v>CA</v>
      </c>
      <c r="G2922" t="str">
        <f>Raw_Claims_Data!G2921</f>
        <v>D</v>
      </c>
      <c r="H2922" t="str">
        <f>Raw_Claims_Data!H2921</f>
        <v>Total Loss</v>
      </c>
      <c r="I2922" t="str">
        <f>IF(Raw_Claims_Data!I2921="","None",Raw_Claims_Data!I2921)</f>
        <v>Other</v>
      </c>
      <c r="J2922" t="str">
        <f>Raw_Claims_Data!J2921</f>
        <v>Manchester</v>
      </c>
      <c r="K2922" t="str">
        <f>Raw_Claims_Data!K2921</f>
        <v>CT</v>
      </c>
      <c r="L2922">
        <f>Raw_Claims_Data!L2921</f>
        <v>16</v>
      </c>
      <c r="M2922" t="str">
        <f>IF(Raw_Claims_Data!M2921="","N/A",Raw_Claims_Data!M2921)</f>
        <v>VNDR00587</v>
      </c>
      <c r="N2922" t="str">
        <f>Raw_Claims_Data!N2921</f>
        <v>AGENT00964</v>
      </c>
      <c r="O2922">
        <f>IF(Raw_Claims_Data!G2921="D",1,0)</f>
        <v>1</v>
      </c>
    </row>
    <row r="2923" spans="1:15" x14ac:dyDescent="0.35">
      <c r="A2923" t="str">
        <f>Raw_Claims_Data!A2922</f>
        <v>TXN00002919</v>
      </c>
      <c r="B2923" t="str">
        <f>TRIM(Raw_Claims_Data!B2922)</f>
        <v>Seymour Petersen</v>
      </c>
      <c r="C2923" t="str">
        <f>Raw_Claims_Data!C2922</f>
        <v>Life</v>
      </c>
      <c r="D2923">
        <f>Raw_Claims_Data!D2922</f>
        <v>50.26</v>
      </c>
      <c r="E2923">
        <f>Raw_Claims_Data!E2922</f>
        <v>78000</v>
      </c>
      <c r="F2923" t="str">
        <f>Raw_Claims_Data!F2922</f>
        <v>MA</v>
      </c>
      <c r="G2923" t="str">
        <f>Raw_Claims_Data!G2922</f>
        <v>A</v>
      </c>
      <c r="H2923" t="str">
        <f>Raw_Claims_Data!H2922</f>
        <v>Major Loss</v>
      </c>
      <c r="I2923" t="str">
        <f>IF(Raw_Claims_Data!I2922="","None",Raw_Claims_Data!I2922)</f>
        <v>Police</v>
      </c>
      <c r="J2923" t="str">
        <f>Raw_Claims_Data!J2922</f>
        <v>Lynn Haven</v>
      </c>
      <c r="K2923" t="str">
        <f>Raw_Claims_Data!K2922</f>
        <v>FL</v>
      </c>
      <c r="L2923">
        <f>Raw_Claims_Data!L2922</f>
        <v>11</v>
      </c>
      <c r="M2923" t="str">
        <f>IF(Raw_Claims_Data!M2922="","N/A",Raw_Claims_Data!M2922)</f>
        <v>N/A</v>
      </c>
      <c r="N2923" t="str">
        <f>Raw_Claims_Data!N2922</f>
        <v>AGENT01079</v>
      </c>
      <c r="O2923">
        <f>IF(Raw_Claims_Data!G2922="D",1,0)</f>
        <v>0</v>
      </c>
    </row>
    <row r="2924" spans="1:15" x14ac:dyDescent="0.35">
      <c r="A2924" t="str">
        <f>Raw_Claims_Data!A2923</f>
        <v>TXN00002920</v>
      </c>
      <c r="B2924" t="str">
        <f>TRIM(Raw_Claims_Data!B2923)</f>
        <v>Ronald Day</v>
      </c>
      <c r="C2924" t="str">
        <f>Raw_Claims_Data!C2923</f>
        <v>Health</v>
      </c>
      <c r="D2924">
        <f>Raw_Claims_Data!D2923</f>
        <v>168.54</v>
      </c>
      <c r="E2924">
        <f>Raw_Claims_Data!E2923</f>
        <v>13000</v>
      </c>
      <c r="F2924" t="str">
        <f>Raw_Claims_Data!F2923</f>
        <v>AR</v>
      </c>
      <c r="G2924" t="str">
        <f>Raw_Claims_Data!G2923</f>
        <v>A</v>
      </c>
      <c r="H2924" t="str">
        <f>Raw_Claims_Data!H2923</f>
        <v>Major Loss</v>
      </c>
      <c r="I2924" t="str">
        <f>IF(Raw_Claims_Data!I2923="","None",Raw_Claims_Data!I2923)</f>
        <v>Ambulance</v>
      </c>
      <c r="J2924" t="str">
        <f>Raw_Claims_Data!J2923</f>
        <v>Midwest City</v>
      </c>
      <c r="K2924" t="str">
        <f>Raw_Claims_Data!K2923</f>
        <v>OK</v>
      </c>
      <c r="L2924">
        <f>Raw_Claims_Data!L2923</f>
        <v>14</v>
      </c>
      <c r="M2924" t="str">
        <f>IF(Raw_Claims_Data!M2923="","N/A",Raw_Claims_Data!M2923)</f>
        <v>N/A</v>
      </c>
      <c r="N2924" t="str">
        <f>Raw_Claims_Data!N2923</f>
        <v>AGENT00151</v>
      </c>
      <c r="O2924">
        <f>IF(Raw_Claims_Data!G2923="D",1,0)</f>
        <v>0</v>
      </c>
    </row>
    <row r="2925" spans="1:15" x14ac:dyDescent="0.35">
      <c r="A2925" t="str">
        <f>Raw_Claims_Data!A2924</f>
        <v>TXN00002921</v>
      </c>
      <c r="B2925" t="str">
        <f>TRIM(Raw_Claims_Data!B2924)</f>
        <v>Jose Zeck</v>
      </c>
      <c r="C2925" t="str">
        <f>Raw_Claims_Data!C2924</f>
        <v>Motor</v>
      </c>
      <c r="D2925">
        <f>Raw_Claims_Data!D2924</f>
        <v>119.35</v>
      </c>
      <c r="E2925">
        <f>Raw_Claims_Data!E2924</f>
        <v>5000</v>
      </c>
      <c r="F2925" t="str">
        <f>Raw_Claims_Data!F2924</f>
        <v>AL</v>
      </c>
      <c r="G2925" t="str">
        <f>Raw_Claims_Data!G2924</f>
        <v>A</v>
      </c>
      <c r="H2925" t="str">
        <f>Raw_Claims_Data!H2924</f>
        <v>Total Loss</v>
      </c>
      <c r="I2925" t="str">
        <f>IF(Raw_Claims_Data!I2924="","None",Raw_Claims_Data!I2924)</f>
        <v>Ambulance</v>
      </c>
      <c r="J2925" t="str">
        <f>Raw_Claims_Data!J2924</f>
        <v>Montgomery</v>
      </c>
      <c r="K2925" t="str">
        <f>Raw_Claims_Data!K2924</f>
        <v>AL</v>
      </c>
      <c r="L2925">
        <f>Raw_Claims_Data!L2924</f>
        <v>19</v>
      </c>
      <c r="M2925" t="str">
        <f>IF(Raw_Claims_Data!M2924="","N/A",Raw_Claims_Data!M2924)</f>
        <v>VNDR00138</v>
      </c>
      <c r="N2925" t="str">
        <f>Raw_Claims_Data!N2924</f>
        <v>AGENT00556</v>
      </c>
      <c r="O2925">
        <f>IF(Raw_Claims_Data!G2924="D",1,0)</f>
        <v>0</v>
      </c>
    </row>
    <row r="2926" spans="1:15" x14ac:dyDescent="0.35">
      <c r="A2926" t="str">
        <f>Raw_Claims_Data!A2925</f>
        <v>TXN00002922</v>
      </c>
      <c r="B2926" t="str">
        <f>TRIM(Raw_Claims_Data!B2925)</f>
        <v>Marcus Caron</v>
      </c>
      <c r="C2926" t="str">
        <f>Raw_Claims_Data!C2925</f>
        <v>Mobile</v>
      </c>
      <c r="D2926">
        <f>Raw_Claims_Data!D2925</f>
        <v>11.28</v>
      </c>
      <c r="E2926">
        <f>Raw_Claims_Data!E2925</f>
        <v>500</v>
      </c>
      <c r="F2926" t="str">
        <f>Raw_Claims_Data!F2925</f>
        <v>MD</v>
      </c>
      <c r="G2926" t="str">
        <f>Raw_Claims_Data!G2925</f>
        <v>A</v>
      </c>
      <c r="H2926" t="str">
        <f>Raw_Claims_Data!H2925</f>
        <v>Total Loss</v>
      </c>
      <c r="I2926" t="str">
        <f>IF(Raw_Claims_Data!I2925="","None",Raw_Claims_Data!I2925)</f>
        <v>Ambulance</v>
      </c>
      <c r="J2926" t="str">
        <f>Raw_Claims_Data!J2925</f>
        <v>Oklahoma City</v>
      </c>
      <c r="K2926" t="str">
        <f>Raw_Claims_Data!K2925</f>
        <v>OK</v>
      </c>
      <c r="L2926">
        <f>Raw_Claims_Data!L2925</f>
        <v>17</v>
      </c>
      <c r="M2926" t="str">
        <f>IF(Raw_Claims_Data!M2925="","N/A",Raw_Claims_Data!M2925)</f>
        <v>N/A</v>
      </c>
      <c r="N2926" t="str">
        <f>Raw_Claims_Data!N2925</f>
        <v>AGENT00304</v>
      </c>
      <c r="O2926">
        <f>IF(Raw_Claims_Data!G2925="D",1,0)</f>
        <v>0</v>
      </c>
    </row>
    <row r="2927" spans="1:15" x14ac:dyDescent="0.35">
      <c r="A2927" t="str">
        <f>Raw_Claims_Data!A2926</f>
        <v>TXN00002923</v>
      </c>
      <c r="B2927" t="str">
        <f>TRIM(Raw_Claims_Data!B2926)</f>
        <v>Joseph Edwards</v>
      </c>
      <c r="C2927" t="str">
        <f>Raw_Claims_Data!C2926</f>
        <v>Motor</v>
      </c>
      <c r="D2927">
        <f>Raw_Claims_Data!D2926</f>
        <v>107.18</v>
      </c>
      <c r="E2927">
        <f>Raw_Claims_Data!E2926</f>
        <v>8000</v>
      </c>
      <c r="F2927" t="str">
        <f>Raw_Claims_Data!F2926</f>
        <v>CO</v>
      </c>
      <c r="G2927" t="str">
        <f>Raw_Claims_Data!G2926</f>
        <v>A</v>
      </c>
      <c r="H2927" t="str">
        <f>Raw_Claims_Data!H2926</f>
        <v>Major Loss</v>
      </c>
      <c r="I2927" t="str">
        <f>IF(Raw_Claims_Data!I2926="","None",Raw_Claims_Data!I2926)</f>
        <v>Police</v>
      </c>
      <c r="J2927" t="str">
        <f>Raw_Claims_Data!J2926</f>
        <v>Manchester</v>
      </c>
      <c r="K2927" t="str">
        <f>Raw_Claims_Data!K2926</f>
        <v>CT</v>
      </c>
      <c r="L2927">
        <f>Raw_Claims_Data!L2926</f>
        <v>22</v>
      </c>
      <c r="M2927" t="str">
        <f>IF(Raw_Claims_Data!M2926="","N/A",Raw_Claims_Data!M2926)</f>
        <v>VNDR00545</v>
      </c>
      <c r="N2927" t="str">
        <f>Raw_Claims_Data!N2926</f>
        <v>AGENT00873</v>
      </c>
      <c r="O2927">
        <f>IF(Raw_Claims_Data!G2926="D",1,0)</f>
        <v>0</v>
      </c>
    </row>
    <row r="2928" spans="1:15" x14ac:dyDescent="0.35">
      <c r="A2928" t="str">
        <f>Raw_Claims_Data!A2927</f>
        <v>TXN00002924</v>
      </c>
      <c r="B2928" t="str">
        <f>TRIM(Raw_Claims_Data!B2927)</f>
        <v>George Connor</v>
      </c>
      <c r="C2928" t="str">
        <f>Raw_Claims_Data!C2927</f>
        <v>Mobile</v>
      </c>
      <c r="D2928">
        <f>Raw_Claims_Data!D2927</f>
        <v>11.82</v>
      </c>
      <c r="E2928">
        <f>Raw_Claims_Data!E2927</f>
        <v>300</v>
      </c>
      <c r="F2928" t="str">
        <f>Raw_Claims_Data!F2927</f>
        <v>MD</v>
      </c>
      <c r="G2928" t="str">
        <f>Raw_Claims_Data!G2927</f>
        <v>A</v>
      </c>
      <c r="H2928" t="str">
        <f>Raw_Claims_Data!H2927</f>
        <v>Minor Loss</v>
      </c>
      <c r="I2928" t="str">
        <f>IF(Raw_Claims_Data!I2927="","None",Raw_Claims_Data!I2927)</f>
        <v>Ambulance</v>
      </c>
      <c r="J2928" t="str">
        <f>Raw_Claims_Data!J2927</f>
        <v>Oklahoma City</v>
      </c>
      <c r="K2928" t="str">
        <f>Raw_Claims_Data!K2927</f>
        <v>OK</v>
      </c>
      <c r="L2928">
        <f>Raw_Claims_Data!L2927</f>
        <v>23</v>
      </c>
      <c r="M2928" t="str">
        <f>IF(Raw_Claims_Data!M2927="","N/A",Raw_Claims_Data!M2927)</f>
        <v>VNDR00232</v>
      </c>
      <c r="N2928" t="str">
        <f>Raw_Claims_Data!N2927</f>
        <v>AGENT00165</v>
      </c>
      <c r="O2928">
        <f>IF(Raw_Claims_Data!G2927="D",1,0)</f>
        <v>0</v>
      </c>
    </row>
    <row r="2929" spans="1:15" x14ac:dyDescent="0.35">
      <c r="A2929" t="str">
        <f>Raw_Claims_Data!A2928</f>
        <v>TXN00002925</v>
      </c>
      <c r="B2929" t="str">
        <f>TRIM(Raw_Claims_Data!B2928)</f>
        <v>Ana Finney</v>
      </c>
      <c r="C2929" t="str">
        <f>Raw_Claims_Data!C2928</f>
        <v>Motor</v>
      </c>
      <c r="D2929">
        <f>Raw_Claims_Data!D2928</f>
        <v>122.34</v>
      </c>
      <c r="E2929">
        <f>Raw_Claims_Data!E2928</f>
        <v>4000</v>
      </c>
      <c r="F2929" t="str">
        <f>Raw_Claims_Data!F2928</f>
        <v>DC</v>
      </c>
      <c r="G2929" t="str">
        <f>Raw_Claims_Data!G2928</f>
        <v>A</v>
      </c>
      <c r="H2929" t="str">
        <f>Raw_Claims_Data!H2928</f>
        <v>Major Loss</v>
      </c>
      <c r="I2929" t="str">
        <f>IF(Raw_Claims_Data!I2928="","None",Raw_Claims_Data!I2928)</f>
        <v>Ambulance</v>
      </c>
      <c r="J2929" t="str">
        <f>Raw_Claims_Data!J2928</f>
        <v>Washington</v>
      </c>
      <c r="K2929" t="str">
        <f>Raw_Claims_Data!K2928</f>
        <v>DC</v>
      </c>
      <c r="L2929">
        <f>Raw_Claims_Data!L2928</f>
        <v>6</v>
      </c>
      <c r="M2929" t="str">
        <f>IF(Raw_Claims_Data!M2928="","N/A",Raw_Claims_Data!M2928)</f>
        <v>VNDR00079</v>
      </c>
      <c r="N2929" t="str">
        <f>Raw_Claims_Data!N2928</f>
        <v>AGENT00742</v>
      </c>
      <c r="O2929">
        <f>IF(Raw_Claims_Data!G2928="D",1,0)</f>
        <v>0</v>
      </c>
    </row>
    <row r="2930" spans="1:15" x14ac:dyDescent="0.35">
      <c r="A2930" t="str">
        <f>Raw_Claims_Data!A2929</f>
        <v>TXN00002926</v>
      </c>
      <c r="B2930" t="str">
        <f>TRIM(Raw_Claims_Data!B2929)</f>
        <v>Kenneth Haynesworth</v>
      </c>
      <c r="C2930" t="str">
        <f>Raw_Claims_Data!C2929</f>
        <v>Travel</v>
      </c>
      <c r="D2930">
        <f>Raw_Claims_Data!D2929</f>
        <v>77.44</v>
      </c>
      <c r="E2930">
        <f>Raw_Claims_Data!E2929</f>
        <v>1000</v>
      </c>
      <c r="F2930" t="str">
        <f>Raw_Claims_Data!F2929</f>
        <v>TN</v>
      </c>
      <c r="G2930" t="str">
        <f>Raw_Claims_Data!G2929</f>
        <v>D</v>
      </c>
      <c r="H2930" t="str">
        <f>Raw_Claims_Data!H2929</f>
        <v>Major Loss</v>
      </c>
      <c r="I2930" t="str">
        <f>IF(Raw_Claims_Data!I2929="","None",Raw_Claims_Data!I2929)</f>
        <v>Ambulance</v>
      </c>
      <c r="J2930" t="str">
        <f>Raw_Claims_Data!J2929</f>
        <v>Hayward</v>
      </c>
      <c r="K2930" t="str">
        <f>Raw_Claims_Data!K2929</f>
        <v>CA</v>
      </c>
      <c r="L2930">
        <f>Raw_Claims_Data!L2929</f>
        <v>8</v>
      </c>
      <c r="M2930" t="str">
        <f>IF(Raw_Claims_Data!M2929="","N/A",Raw_Claims_Data!M2929)</f>
        <v>N/A</v>
      </c>
      <c r="N2930" t="str">
        <f>Raw_Claims_Data!N2929</f>
        <v>AGENT00511</v>
      </c>
      <c r="O2930">
        <f>IF(Raw_Claims_Data!G2929="D",1,0)</f>
        <v>1</v>
      </c>
    </row>
    <row r="2931" spans="1:15" x14ac:dyDescent="0.35">
      <c r="A2931" t="str">
        <f>Raw_Claims_Data!A2930</f>
        <v>TXN00002927</v>
      </c>
      <c r="B2931" t="str">
        <f>TRIM(Raw_Claims_Data!B2930)</f>
        <v>Jimmy Byrne</v>
      </c>
      <c r="C2931" t="str">
        <f>Raw_Claims_Data!C2930</f>
        <v>Motor</v>
      </c>
      <c r="D2931">
        <f>Raw_Claims_Data!D2930</f>
        <v>132.26</v>
      </c>
      <c r="E2931">
        <f>Raw_Claims_Data!E2930</f>
        <v>4000</v>
      </c>
      <c r="F2931" t="str">
        <f>Raw_Claims_Data!F2930</f>
        <v>MA</v>
      </c>
      <c r="G2931" t="str">
        <f>Raw_Claims_Data!G2930</f>
        <v>A</v>
      </c>
      <c r="H2931" t="str">
        <f>Raw_Claims_Data!H2930</f>
        <v>Minor Loss</v>
      </c>
      <c r="I2931" t="str">
        <f>IF(Raw_Claims_Data!I2930="","None",Raw_Claims_Data!I2930)</f>
        <v>Ambulance</v>
      </c>
      <c r="J2931" t="str">
        <f>Raw_Claims_Data!J2930</f>
        <v>Panama City</v>
      </c>
      <c r="K2931" t="str">
        <f>Raw_Claims_Data!K2930</f>
        <v>FL</v>
      </c>
      <c r="L2931">
        <f>Raw_Claims_Data!L2930</f>
        <v>1</v>
      </c>
      <c r="M2931" t="str">
        <f>IF(Raw_Claims_Data!M2930="","N/A",Raw_Claims_Data!M2930)</f>
        <v>N/A</v>
      </c>
      <c r="N2931" t="str">
        <f>Raw_Claims_Data!N2930</f>
        <v>AGENT00498</v>
      </c>
      <c r="O2931">
        <f>IF(Raw_Claims_Data!G2930="D",1,0)</f>
        <v>0</v>
      </c>
    </row>
    <row r="2932" spans="1:15" x14ac:dyDescent="0.35">
      <c r="A2932" t="str">
        <f>Raw_Claims_Data!A2931</f>
        <v>TXN00002928</v>
      </c>
      <c r="B2932" t="str">
        <f>TRIM(Raw_Claims_Data!B2931)</f>
        <v>Roy Paetzold</v>
      </c>
      <c r="C2932" t="str">
        <f>Raw_Claims_Data!C2931</f>
        <v>Motor</v>
      </c>
      <c r="D2932">
        <f>Raw_Claims_Data!D2931</f>
        <v>118.4</v>
      </c>
      <c r="E2932">
        <f>Raw_Claims_Data!E2931</f>
        <v>1000</v>
      </c>
      <c r="F2932" t="str">
        <f>Raw_Claims_Data!F2931</f>
        <v>AL</v>
      </c>
      <c r="G2932" t="str">
        <f>Raw_Claims_Data!G2931</f>
        <v>A</v>
      </c>
      <c r="H2932" t="str">
        <f>Raw_Claims_Data!H2931</f>
        <v>Total Loss</v>
      </c>
      <c r="I2932" t="str">
        <f>IF(Raw_Claims_Data!I2931="","None",Raw_Claims_Data!I2931)</f>
        <v>Ambulance</v>
      </c>
      <c r="J2932" t="str">
        <f>Raw_Claims_Data!J2931</f>
        <v>Oklahoma City</v>
      </c>
      <c r="K2932" t="str">
        <f>Raw_Claims_Data!K2931</f>
        <v>OK</v>
      </c>
      <c r="L2932">
        <f>Raw_Claims_Data!L2931</f>
        <v>8</v>
      </c>
      <c r="M2932" t="str">
        <f>IF(Raw_Claims_Data!M2931="","N/A",Raw_Claims_Data!M2931)</f>
        <v>N/A</v>
      </c>
      <c r="N2932" t="str">
        <f>Raw_Claims_Data!N2931</f>
        <v>AGENT00602</v>
      </c>
      <c r="O2932">
        <f>IF(Raw_Claims_Data!G2931="D",1,0)</f>
        <v>0</v>
      </c>
    </row>
    <row r="2933" spans="1:15" x14ac:dyDescent="0.35">
      <c r="A2933" t="str">
        <f>Raw_Claims_Data!A2932</f>
        <v>TXN00002929</v>
      </c>
      <c r="B2933" t="str">
        <f>TRIM(Raw_Claims_Data!B2932)</f>
        <v>Robert Davidson</v>
      </c>
      <c r="C2933" t="str">
        <f>Raw_Claims_Data!C2932</f>
        <v>Travel</v>
      </c>
      <c r="D2933">
        <f>Raw_Claims_Data!D2932</f>
        <v>84.34</v>
      </c>
      <c r="E2933">
        <f>Raw_Claims_Data!E2932</f>
        <v>1000</v>
      </c>
      <c r="F2933" t="str">
        <f>Raw_Claims_Data!F2932</f>
        <v>CO</v>
      </c>
      <c r="G2933" t="str">
        <f>Raw_Claims_Data!G2932</f>
        <v>A</v>
      </c>
      <c r="H2933" t="str">
        <f>Raw_Claims_Data!H2932</f>
        <v>Total Loss</v>
      </c>
      <c r="I2933" t="str">
        <f>IF(Raw_Claims_Data!I2932="","None",Raw_Claims_Data!I2932)</f>
        <v>Police</v>
      </c>
      <c r="J2933" t="str">
        <f>Raw_Claims_Data!J2932</f>
        <v>Louisville</v>
      </c>
      <c r="K2933" t="str">
        <f>Raw_Claims_Data!K2932</f>
        <v>KY</v>
      </c>
      <c r="L2933">
        <f>Raw_Claims_Data!L2932</f>
        <v>9</v>
      </c>
      <c r="M2933" t="str">
        <f>IF(Raw_Claims_Data!M2932="","N/A",Raw_Claims_Data!M2932)</f>
        <v>VNDR00451</v>
      </c>
      <c r="N2933" t="str">
        <f>Raw_Claims_Data!N2932</f>
        <v>AGENT00303</v>
      </c>
      <c r="O2933">
        <f>IF(Raw_Claims_Data!G2932="D",1,0)</f>
        <v>0</v>
      </c>
    </row>
    <row r="2934" spans="1:15" x14ac:dyDescent="0.35">
      <c r="A2934" t="str">
        <f>Raw_Claims_Data!A2933</f>
        <v>TXN00002930</v>
      </c>
      <c r="B2934" t="str">
        <f>TRIM(Raw_Claims_Data!B2933)</f>
        <v>Ernesto Vaughn</v>
      </c>
      <c r="C2934" t="str">
        <f>Raw_Claims_Data!C2933</f>
        <v>Travel</v>
      </c>
      <c r="D2934">
        <f>Raw_Claims_Data!D2933</f>
        <v>73.569999999999993</v>
      </c>
      <c r="E2934">
        <f>Raw_Claims_Data!E2933</f>
        <v>1000</v>
      </c>
      <c r="F2934" t="str">
        <f>Raw_Claims_Data!F2933</f>
        <v>TN</v>
      </c>
      <c r="G2934" t="str">
        <f>Raw_Claims_Data!G2933</f>
        <v>A</v>
      </c>
      <c r="H2934" t="str">
        <f>Raw_Claims_Data!H2933</f>
        <v>Total Loss</v>
      </c>
      <c r="I2934" t="str">
        <f>IF(Raw_Claims_Data!I2933="","None",Raw_Claims_Data!I2933)</f>
        <v>Other</v>
      </c>
      <c r="J2934" t="str">
        <f>Raw_Claims_Data!J2933</f>
        <v>Davis</v>
      </c>
      <c r="K2934" t="str">
        <f>Raw_Claims_Data!K2933</f>
        <v>CA</v>
      </c>
      <c r="L2934">
        <f>Raw_Claims_Data!L2933</f>
        <v>10</v>
      </c>
      <c r="M2934" t="str">
        <f>IF(Raw_Claims_Data!M2933="","N/A",Raw_Claims_Data!M2933)</f>
        <v>VNDR00578</v>
      </c>
      <c r="N2934" t="str">
        <f>Raw_Claims_Data!N2933</f>
        <v>AGENT01053</v>
      </c>
      <c r="O2934">
        <f>IF(Raw_Claims_Data!G2933="D",1,0)</f>
        <v>0</v>
      </c>
    </row>
    <row r="2935" spans="1:15" x14ac:dyDescent="0.35">
      <c r="A2935" t="str">
        <f>Raw_Claims_Data!A2934</f>
        <v>TXN00002931</v>
      </c>
      <c r="B2935" t="str">
        <f>TRIM(Raw_Claims_Data!B2934)</f>
        <v>Joseph Covert</v>
      </c>
      <c r="C2935" t="str">
        <f>Raw_Claims_Data!C2934</f>
        <v>Travel</v>
      </c>
      <c r="D2935">
        <f>Raw_Claims_Data!D2934</f>
        <v>51.05</v>
      </c>
      <c r="E2935">
        <f>Raw_Claims_Data!E2934</f>
        <v>1000</v>
      </c>
      <c r="F2935" t="str">
        <f>Raw_Claims_Data!F2934</f>
        <v>GA</v>
      </c>
      <c r="G2935" t="str">
        <f>Raw_Claims_Data!G2934</f>
        <v>A</v>
      </c>
      <c r="H2935" t="str">
        <f>Raw_Claims_Data!H2934</f>
        <v>Major Loss</v>
      </c>
      <c r="I2935" t="str">
        <f>IF(Raw_Claims_Data!I2934="","None",Raw_Claims_Data!I2934)</f>
        <v>Ambulance</v>
      </c>
      <c r="J2935" t="str">
        <f>Raw_Claims_Data!J2934</f>
        <v>Tampa</v>
      </c>
      <c r="K2935" t="str">
        <f>Raw_Claims_Data!K2934</f>
        <v>FL</v>
      </c>
      <c r="L2935">
        <f>Raw_Claims_Data!L2934</f>
        <v>17</v>
      </c>
      <c r="M2935" t="str">
        <f>IF(Raw_Claims_Data!M2934="","N/A",Raw_Claims_Data!M2934)</f>
        <v>VNDR00437</v>
      </c>
      <c r="N2935" t="str">
        <f>Raw_Claims_Data!N2934</f>
        <v>AGENT00477</v>
      </c>
      <c r="O2935">
        <f>IF(Raw_Claims_Data!G2934="D",1,0)</f>
        <v>0</v>
      </c>
    </row>
    <row r="2936" spans="1:15" x14ac:dyDescent="0.35">
      <c r="A2936" t="str">
        <f>Raw_Claims_Data!A2935</f>
        <v>TXN00002932</v>
      </c>
      <c r="B2936" t="str">
        <f>TRIM(Raw_Claims_Data!B2935)</f>
        <v>Wanda Pastian</v>
      </c>
      <c r="C2936" t="str">
        <f>Raw_Claims_Data!C2935</f>
        <v>Mobile</v>
      </c>
      <c r="D2936">
        <f>Raw_Claims_Data!D2935</f>
        <v>9.0299999999999994</v>
      </c>
      <c r="E2936">
        <f>Raw_Claims_Data!E2935</f>
        <v>700</v>
      </c>
      <c r="F2936" t="str">
        <f>Raw_Claims_Data!F2935</f>
        <v>CA</v>
      </c>
      <c r="G2936" t="str">
        <f>Raw_Claims_Data!G2935</f>
        <v>A</v>
      </c>
      <c r="H2936" t="str">
        <f>Raw_Claims_Data!H2935</f>
        <v>Minor Loss</v>
      </c>
      <c r="I2936" t="str">
        <f>IF(Raw_Claims_Data!I2935="","None",Raw_Claims_Data!I2935)</f>
        <v>Police</v>
      </c>
      <c r="J2936" t="str">
        <f>Raw_Claims_Data!J2935</f>
        <v>Pooler</v>
      </c>
      <c r="K2936" t="str">
        <f>Raw_Claims_Data!K2935</f>
        <v>GA</v>
      </c>
      <c r="L2936">
        <f>Raw_Claims_Data!L2935</f>
        <v>18</v>
      </c>
      <c r="M2936" t="str">
        <f>IF(Raw_Claims_Data!M2935="","N/A",Raw_Claims_Data!M2935)</f>
        <v>VNDR00018</v>
      </c>
      <c r="N2936" t="str">
        <f>Raw_Claims_Data!N2935</f>
        <v>AGENT00522</v>
      </c>
      <c r="O2936">
        <f>IF(Raw_Claims_Data!G2935="D",1,0)</f>
        <v>0</v>
      </c>
    </row>
    <row r="2937" spans="1:15" x14ac:dyDescent="0.35">
      <c r="A2937" t="str">
        <f>Raw_Claims_Data!A2936</f>
        <v>TXN00002933</v>
      </c>
      <c r="B2937" t="str">
        <f>TRIM(Raw_Claims_Data!B2936)</f>
        <v>Cynthia Collins</v>
      </c>
      <c r="C2937" t="str">
        <f>Raw_Claims_Data!C2936</f>
        <v>Mobile</v>
      </c>
      <c r="D2937">
        <f>Raw_Claims_Data!D2936</f>
        <v>11.72</v>
      </c>
      <c r="E2937">
        <f>Raw_Claims_Data!E2936</f>
        <v>600</v>
      </c>
      <c r="F2937" t="str">
        <f>Raw_Claims_Data!F2936</f>
        <v>MA</v>
      </c>
      <c r="G2937" t="str">
        <f>Raw_Claims_Data!G2936</f>
        <v>A</v>
      </c>
      <c r="H2937" t="str">
        <f>Raw_Claims_Data!H2936</f>
        <v>Total Loss</v>
      </c>
      <c r="I2937" t="str">
        <f>IF(Raw_Claims_Data!I2936="","None",Raw_Claims_Data!I2936)</f>
        <v>Ambulance</v>
      </c>
      <c r="J2937" t="str">
        <f>Raw_Claims_Data!J2936</f>
        <v>Manchester</v>
      </c>
      <c r="K2937" t="str">
        <f>Raw_Claims_Data!K2936</f>
        <v>CT</v>
      </c>
      <c r="L2937">
        <f>Raw_Claims_Data!L2936</f>
        <v>7</v>
      </c>
      <c r="M2937" t="str">
        <f>IF(Raw_Claims_Data!M2936="","N/A",Raw_Claims_Data!M2936)</f>
        <v>VNDR00327</v>
      </c>
      <c r="N2937" t="str">
        <f>Raw_Claims_Data!N2936</f>
        <v>AGENT00556</v>
      </c>
      <c r="O2937">
        <f>IF(Raw_Claims_Data!G2936="D",1,0)</f>
        <v>0</v>
      </c>
    </row>
    <row r="2938" spans="1:15" x14ac:dyDescent="0.35">
      <c r="A2938" t="str">
        <f>Raw_Claims_Data!A2937</f>
        <v>TXN00002934</v>
      </c>
      <c r="B2938" t="str">
        <f>TRIM(Raw_Claims_Data!B2937)</f>
        <v>William Seabolt</v>
      </c>
      <c r="C2938" t="str">
        <f>Raw_Claims_Data!C2937</f>
        <v>Property</v>
      </c>
      <c r="D2938">
        <f>Raw_Claims_Data!D2937</f>
        <v>99.72</v>
      </c>
      <c r="E2938">
        <f>Raw_Claims_Data!E2937</f>
        <v>13000</v>
      </c>
      <c r="F2938" t="str">
        <f>Raw_Claims_Data!F2937</f>
        <v>AR</v>
      </c>
      <c r="G2938" t="str">
        <f>Raw_Claims_Data!G2937</f>
        <v>A</v>
      </c>
      <c r="H2938" t="str">
        <f>Raw_Claims_Data!H2937</f>
        <v>Major Loss</v>
      </c>
      <c r="I2938" t="str">
        <f>IF(Raw_Claims_Data!I2937="","None",Raw_Claims_Data!I2937)</f>
        <v>Ambulance</v>
      </c>
      <c r="J2938" t="str">
        <f>Raw_Claims_Data!J2937</f>
        <v>Glendale</v>
      </c>
      <c r="K2938" t="str">
        <f>Raw_Claims_Data!K2937</f>
        <v>AZ</v>
      </c>
      <c r="L2938">
        <f>Raw_Claims_Data!L2937</f>
        <v>19</v>
      </c>
      <c r="M2938" t="str">
        <f>IF(Raw_Claims_Data!M2937="","N/A",Raw_Claims_Data!M2937)</f>
        <v>VNDR00538</v>
      </c>
      <c r="N2938" t="str">
        <f>Raw_Claims_Data!N2937</f>
        <v>AGENT00187</v>
      </c>
      <c r="O2938">
        <f>IF(Raw_Claims_Data!G2937="D",1,0)</f>
        <v>0</v>
      </c>
    </row>
    <row r="2939" spans="1:15" x14ac:dyDescent="0.35">
      <c r="A2939" t="str">
        <f>Raw_Claims_Data!A2938</f>
        <v>TXN00002935</v>
      </c>
      <c r="B2939" t="str">
        <f>TRIM(Raw_Claims_Data!B2938)</f>
        <v>Dorothy Ruic</v>
      </c>
      <c r="C2939" t="str">
        <f>Raw_Claims_Data!C2938</f>
        <v>Property</v>
      </c>
      <c r="D2939">
        <f>Raw_Claims_Data!D2938</f>
        <v>83.58</v>
      </c>
      <c r="E2939">
        <f>Raw_Claims_Data!E2938</f>
        <v>11000</v>
      </c>
      <c r="F2939" t="str">
        <f>Raw_Claims_Data!F2938</f>
        <v>AR</v>
      </c>
      <c r="G2939" t="str">
        <f>Raw_Claims_Data!G2938</f>
        <v>A</v>
      </c>
      <c r="H2939" t="str">
        <f>Raw_Claims_Data!H2938</f>
        <v>Total Loss</v>
      </c>
      <c r="I2939" t="str">
        <f>IF(Raw_Claims_Data!I2938="","None",Raw_Claims_Data!I2938)</f>
        <v>Ambulance</v>
      </c>
      <c r="J2939" t="str">
        <f>Raw_Claims_Data!J2938</f>
        <v>Louisville</v>
      </c>
      <c r="K2939" t="str">
        <f>Raw_Claims_Data!K2938</f>
        <v>KY</v>
      </c>
      <c r="L2939">
        <f>Raw_Claims_Data!L2938</f>
        <v>23</v>
      </c>
      <c r="M2939" t="str">
        <f>IF(Raw_Claims_Data!M2938="","N/A",Raw_Claims_Data!M2938)</f>
        <v>N/A</v>
      </c>
      <c r="N2939" t="str">
        <f>Raw_Claims_Data!N2938</f>
        <v>AGENT00241</v>
      </c>
      <c r="O2939">
        <f>IF(Raw_Claims_Data!G2938="D",1,0)</f>
        <v>0</v>
      </c>
    </row>
    <row r="2940" spans="1:15" x14ac:dyDescent="0.35">
      <c r="A2940" t="str">
        <f>Raw_Claims_Data!A2939</f>
        <v>TXN00002936</v>
      </c>
      <c r="B2940" t="str">
        <f>TRIM(Raw_Claims_Data!B2939)</f>
        <v>James Mendez</v>
      </c>
      <c r="C2940" t="str">
        <f>Raw_Claims_Data!C2939</f>
        <v>Property</v>
      </c>
      <c r="D2940">
        <f>Raw_Claims_Data!D2939</f>
        <v>157.51</v>
      </c>
      <c r="E2940">
        <f>Raw_Claims_Data!E2939</f>
        <v>32000</v>
      </c>
      <c r="F2940" t="str">
        <f>Raw_Claims_Data!F2939</f>
        <v>CO</v>
      </c>
      <c r="G2940" t="str">
        <f>Raw_Claims_Data!G2939</f>
        <v>A</v>
      </c>
      <c r="H2940" t="str">
        <f>Raw_Claims_Data!H2939</f>
        <v>Major Loss</v>
      </c>
      <c r="I2940" t="str">
        <f>IF(Raw_Claims_Data!I2939="","None",Raw_Claims_Data!I2939)</f>
        <v>Ambulance</v>
      </c>
      <c r="J2940" t="str">
        <f>Raw_Claims_Data!J2939</f>
        <v>Montgomery</v>
      </c>
      <c r="K2940" t="str">
        <f>Raw_Claims_Data!K2939</f>
        <v>AL</v>
      </c>
      <c r="L2940">
        <f>Raw_Claims_Data!L2939</f>
        <v>1</v>
      </c>
      <c r="M2940" t="str">
        <f>IF(Raw_Claims_Data!M2939="","N/A",Raw_Claims_Data!M2939)</f>
        <v>VNDR00486</v>
      </c>
      <c r="N2940" t="str">
        <f>Raw_Claims_Data!N2939</f>
        <v>AGENT00665</v>
      </c>
      <c r="O2940">
        <f>IF(Raw_Claims_Data!G2939="D",1,0)</f>
        <v>0</v>
      </c>
    </row>
    <row r="2941" spans="1:15" x14ac:dyDescent="0.35">
      <c r="A2941" t="str">
        <f>Raw_Claims_Data!A2940</f>
        <v>TXN00002937</v>
      </c>
      <c r="B2941" t="str">
        <f>TRIM(Raw_Claims_Data!B2940)</f>
        <v>Martha Dalton</v>
      </c>
      <c r="C2941" t="str">
        <f>Raw_Claims_Data!C2940</f>
        <v>Life</v>
      </c>
      <c r="D2941">
        <f>Raw_Claims_Data!D2940</f>
        <v>89.33</v>
      </c>
      <c r="E2941">
        <f>Raw_Claims_Data!E2940</f>
        <v>22000</v>
      </c>
      <c r="F2941" t="str">
        <f>Raw_Claims_Data!F2940</f>
        <v>KY</v>
      </c>
      <c r="G2941" t="str">
        <f>Raw_Claims_Data!G2940</f>
        <v>A</v>
      </c>
      <c r="H2941" t="str">
        <f>Raw_Claims_Data!H2940</f>
        <v>Total Loss</v>
      </c>
      <c r="I2941" t="str">
        <f>IF(Raw_Claims_Data!I2940="","None",Raw_Claims_Data!I2940)</f>
        <v>Police</v>
      </c>
      <c r="J2941" t="str">
        <f>Raw_Claims_Data!J2940</f>
        <v>Arvada</v>
      </c>
      <c r="K2941" t="str">
        <f>Raw_Claims_Data!K2940</f>
        <v>CO</v>
      </c>
      <c r="L2941">
        <f>Raw_Claims_Data!L2940</f>
        <v>13</v>
      </c>
      <c r="M2941" t="str">
        <f>IF(Raw_Claims_Data!M2940="","N/A",Raw_Claims_Data!M2940)</f>
        <v>VNDR00280</v>
      </c>
      <c r="N2941" t="str">
        <f>Raw_Claims_Data!N2940</f>
        <v>AGENT00633</v>
      </c>
      <c r="O2941">
        <f>IF(Raw_Claims_Data!G2940="D",1,0)</f>
        <v>0</v>
      </c>
    </row>
    <row r="2942" spans="1:15" x14ac:dyDescent="0.35">
      <c r="A2942" t="str">
        <f>Raw_Claims_Data!A2941</f>
        <v>TXN00002938</v>
      </c>
      <c r="B2942" t="str">
        <f>TRIM(Raw_Claims_Data!B2941)</f>
        <v>Laura Rummel</v>
      </c>
      <c r="C2942" t="str">
        <f>Raw_Claims_Data!C2941</f>
        <v>Travel</v>
      </c>
      <c r="D2942">
        <f>Raw_Claims_Data!D2941</f>
        <v>70.09</v>
      </c>
      <c r="E2942">
        <f>Raw_Claims_Data!E2941</f>
        <v>4000</v>
      </c>
      <c r="F2942" t="str">
        <f>Raw_Claims_Data!F2941</f>
        <v>AL</v>
      </c>
      <c r="G2942" t="str">
        <f>Raw_Claims_Data!G2941</f>
        <v>A</v>
      </c>
      <c r="H2942" t="str">
        <f>Raw_Claims_Data!H2941</f>
        <v>Major Loss</v>
      </c>
      <c r="I2942" t="str">
        <f>IF(Raw_Claims_Data!I2941="","None",Raw_Claims_Data!I2941)</f>
        <v>Ambulance</v>
      </c>
      <c r="J2942" t="str">
        <f>Raw_Claims_Data!J2941</f>
        <v>Gambrills</v>
      </c>
      <c r="K2942" t="str">
        <f>Raw_Claims_Data!K2941</f>
        <v>MD</v>
      </c>
      <c r="L2942">
        <f>Raw_Claims_Data!L2941</f>
        <v>11</v>
      </c>
      <c r="M2942" t="str">
        <f>IF(Raw_Claims_Data!M2941="","N/A",Raw_Claims_Data!M2941)</f>
        <v>N/A</v>
      </c>
      <c r="N2942" t="str">
        <f>Raw_Claims_Data!N2941</f>
        <v>AGENT01077</v>
      </c>
      <c r="O2942">
        <f>IF(Raw_Claims_Data!G2941="D",1,0)</f>
        <v>0</v>
      </c>
    </row>
    <row r="2943" spans="1:15" x14ac:dyDescent="0.35">
      <c r="A2943" t="str">
        <f>Raw_Claims_Data!A2942</f>
        <v>TXN00002939</v>
      </c>
      <c r="B2943" t="str">
        <f>TRIM(Raw_Claims_Data!B2942)</f>
        <v>Sue Paulson</v>
      </c>
      <c r="C2943" t="str">
        <f>Raw_Claims_Data!C2942</f>
        <v>Health</v>
      </c>
      <c r="D2943">
        <f>Raw_Claims_Data!D2942</f>
        <v>196.79</v>
      </c>
      <c r="E2943">
        <f>Raw_Claims_Data!E2942</f>
        <v>15000</v>
      </c>
      <c r="F2943" t="str">
        <f>Raw_Claims_Data!F2942</f>
        <v>CA</v>
      </c>
      <c r="G2943" t="str">
        <f>Raw_Claims_Data!G2942</f>
        <v>A</v>
      </c>
      <c r="H2943" t="str">
        <f>Raw_Claims_Data!H2942</f>
        <v>Major Loss</v>
      </c>
      <c r="I2943" t="str">
        <f>IF(Raw_Claims_Data!I2942="","None",Raw_Claims_Data!I2942)</f>
        <v>Police</v>
      </c>
      <c r="J2943" t="str">
        <f>Raw_Claims_Data!J2942</f>
        <v>Louisville</v>
      </c>
      <c r="K2943" t="str">
        <f>Raw_Claims_Data!K2942</f>
        <v>KY</v>
      </c>
      <c r="L2943">
        <f>Raw_Claims_Data!L2942</f>
        <v>7</v>
      </c>
      <c r="M2943" t="str">
        <f>IF(Raw_Claims_Data!M2942="","N/A",Raw_Claims_Data!M2942)</f>
        <v>VNDR00305</v>
      </c>
      <c r="N2943" t="str">
        <f>Raw_Claims_Data!N2942</f>
        <v>AGENT01162</v>
      </c>
      <c r="O2943">
        <f>IF(Raw_Claims_Data!G2942="D",1,0)</f>
        <v>0</v>
      </c>
    </row>
    <row r="2944" spans="1:15" x14ac:dyDescent="0.35">
      <c r="A2944" t="str">
        <f>Raw_Claims_Data!A2943</f>
        <v>TXN00002940</v>
      </c>
      <c r="B2944" t="str">
        <f>TRIM(Raw_Claims_Data!B2943)</f>
        <v>Carolyn Gregoire</v>
      </c>
      <c r="C2944" t="str">
        <f>Raw_Claims_Data!C2943</f>
        <v>Property</v>
      </c>
      <c r="D2944">
        <f>Raw_Claims_Data!D2943</f>
        <v>150.58000000000001</v>
      </c>
      <c r="E2944">
        <f>Raw_Claims_Data!E2943</f>
        <v>33000</v>
      </c>
      <c r="F2944" t="str">
        <f>Raw_Claims_Data!F2943</f>
        <v>AZ</v>
      </c>
      <c r="G2944" t="str">
        <f>Raw_Claims_Data!G2943</f>
        <v>A</v>
      </c>
      <c r="H2944" t="str">
        <f>Raw_Claims_Data!H2943</f>
        <v>Total Loss</v>
      </c>
      <c r="I2944" t="str">
        <f>IF(Raw_Claims_Data!I2943="","None",Raw_Claims_Data!I2943)</f>
        <v>Police</v>
      </c>
      <c r="J2944" t="str">
        <f>Raw_Claims_Data!J2943</f>
        <v>Anchorage</v>
      </c>
      <c r="K2944" t="str">
        <f>Raw_Claims_Data!K2943</f>
        <v>AK</v>
      </c>
      <c r="L2944">
        <f>Raw_Claims_Data!L2943</f>
        <v>20</v>
      </c>
      <c r="M2944" t="str">
        <f>IF(Raw_Claims_Data!M2943="","N/A",Raw_Claims_Data!M2943)</f>
        <v>VNDR00464</v>
      </c>
      <c r="N2944" t="str">
        <f>Raw_Claims_Data!N2943</f>
        <v>AGENT00990</v>
      </c>
      <c r="O2944">
        <f>IF(Raw_Claims_Data!G2943="D",1,0)</f>
        <v>0</v>
      </c>
    </row>
    <row r="2945" spans="1:15" x14ac:dyDescent="0.35">
      <c r="A2945" t="str">
        <f>Raw_Claims_Data!A2944</f>
        <v>TXN00002941</v>
      </c>
      <c r="B2945" t="str">
        <f>TRIM(Raw_Claims_Data!B2944)</f>
        <v>Charles Ayala</v>
      </c>
      <c r="C2945" t="str">
        <f>Raw_Claims_Data!C2944</f>
        <v>Mobile</v>
      </c>
      <c r="D2945">
        <f>Raw_Claims_Data!D2944</f>
        <v>10.27</v>
      </c>
      <c r="E2945">
        <f>Raw_Claims_Data!E2944</f>
        <v>600</v>
      </c>
      <c r="F2945" t="str">
        <f>Raw_Claims_Data!F2944</f>
        <v>MD</v>
      </c>
      <c r="G2945" t="str">
        <f>Raw_Claims_Data!G2944</f>
        <v>A</v>
      </c>
      <c r="H2945" t="str">
        <f>Raw_Claims_Data!H2944</f>
        <v>Total Loss</v>
      </c>
      <c r="I2945" t="str">
        <f>IF(Raw_Claims_Data!I2944="","None",Raw_Claims_Data!I2944)</f>
        <v>None</v>
      </c>
      <c r="J2945" t="str">
        <f>Raw_Claims_Data!J2944</f>
        <v>Fremont</v>
      </c>
      <c r="K2945" t="str">
        <f>Raw_Claims_Data!K2944</f>
        <v>CA</v>
      </c>
      <c r="L2945">
        <f>Raw_Claims_Data!L2944</f>
        <v>22</v>
      </c>
      <c r="M2945" t="str">
        <f>IF(Raw_Claims_Data!M2944="","N/A",Raw_Claims_Data!M2944)</f>
        <v>VNDR00293</v>
      </c>
      <c r="N2945" t="str">
        <f>Raw_Claims_Data!N2944</f>
        <v>AGENT00619</v>
      </c>
      <c r="O2945">
        <f>IF(Raw_Claims_Data!G2944="D",1,0)</f>
        <v>0</v>
      </c>
    </row>
    <row r="2946" spans="1:15" x14ac:dyDescent="0.35">
      <c r="A2946" t="str">
        <f>Raw_Claims_Data!A2945</f>
        <v>TXN00002942</v>
      </c>
      <c r="B2946" t="str">
        <f>TRIM(Raw_Claims_Data!B2945)</f>
        <v>Mary Wilson</v>
      </c>
      <c r="C2946" t="str">
        <f>Raw_Claims_Data!C2945</f>
        <v>Health</v>
      </c>
      <c r="D2946">
        <f>Raw_Claims_Data!D2945</f>
        <v>125.05</v>
      </c>
      <c r="E2946">
        <f>Raw_Claims_Data!E2945</f>
        <v>15000</v>
      </c>
      <c r="F2946" t="str">
        <f>Raw_Claims_Data!F2945</f>
        <v>DC</v>
      </c>
      <c r="G2946" t="str">
        <f>Raw_Claims_Data!G2945</f>
        <v>A</v>
      </c>
      <c r="H2946" t="str">
        <f>Raw_Claims_Data!H2945</f>
        <v>Minor Loss</v>
      </c>
      <c r="I2946" t="str">
        <f>IF(Raw_Claims_Data!I2945="","None",Raw_Claims_Data!I2945)</f>
        <v>Ambulance</v>
      </c>
      <c r="J2946" t="str">
        <f>Raw_Claims_Data!J2945</f>
        <v>Nashville</v>
      </c>
      <c r="K2946" t="str">
        <f>Raw_Claims_Data!K2945</f>
        <v>TN</v>
      </c>
      <c r="L2946">
        <f>Raw_Claims_Data!L2945</f>
        <v>7</v>
      </c>
      <c r="M2946" t="str">
        <f>IF(Raw_Claims_Data!M2945="","N/A",Raw_Claims_Data!M2945)</f>
        <v>VNDR00517</v>
      </c>
      <c r="N2946" t="str">
        <f>Raw_Claims_Data!N2945</f>
        <v>AGENT00096</v>
      </c>
      <c r="O2946">
        <f>IF(Raw_Claims_Data!G2945="D",1,0)</f>
        <v>0</v>
      </c>
    </row>
    <row r="2947" spans="1:15" x14ac:dyDescent="0.35">
      <c r="A2947" t="str">
        <f>Raw_Claims_Data!A2946</f>
        <v>TXN00002943</v>
      </c>
      <c r="B2947" t="str">
        <f>TRIM(Raw_Claims_Data!B2946)</f>
        <v>Stephen Smith</v>
      </c>
      <c r="C2947" t="str">
        <f>Raw_Claims_Data!C2946</f>
        <v>Health</v>
      </c>
      <c r="D2947">
        <f>Raw_Claims_Data!D2946</f>
        <v>131.01</v>
      </c>
      <c r="E2947">
        <f>Raw_Claims_Data!E2946</f>
        <v>20000</v>
      </c>
      <c r="F2947" t="str">
        <f>Raw_Claims_Data!F2946</f>
        <v>MA</v>
      </c>
      <c r="G2947" t="str">
        <f>Raw_Claims_Data!G2946</f>
        <v>A</v>
      </c>
      <c r="H2947" t="str">
        <f>Raw_Claims_Data!H2946</f>
        <v>Major Loss</v>
      </c>
      <c r="I2947" t="str">
        <f>IF(Raw_Claims_Data!I2946="","None",Raw_Claims_Data!I2946)</f>
        <v>Ambulance</v>
      </c>
      <c r="J2947" t="str">
        <f>Raw_Claims_Data!J2946</f>
        <v>Montgomery</v>
      </c>
      <c r="K2947" t="str">
        <f>Raw_Claims_Data!K2946</f>
        <v>AL</v>
      </c>
      <c r="L2947">
        <f>Raw_Claims_Data!L2946</f>
        <v>5</v>
      </c>
      <c r="M2947" t="str">
        <f>IF(Raw_Claims_Data!M2946="","N/A",Raw_Claims_Data!M2946)</f>
        <v>VNDR00431</v>
      </c>
      <c r="N2947" t="str">
        <f>Raw_Claims_Data!N2946</f>
        <v>AGENT00892</v>
      </c>
      <c r="O2947">
        <f>IF(Raw_Claims_Data!G2946="D",1,0)</f>
        <v>0</v>
      </c>
    </row>
    <row r="2948" spans="1:15" x14ac:dyDescent="0.35">
      <c r="A2948" t="str">
        <f>Raw_Claims_Data!A2947</f>
        <v>TXN00002944</v>
      </c>
      <c r="B2948" t="str">
        <f>TRIM(Raw_Claims_Data!B2947)</f>
        <v>Jose Rodriguez</v>
      </c>
      <c r="C2948" t="str">
        <f>Raw_Claims_Data!C2947</f>
        <v>Mobile</v>
      </c>
      <c r="D2948">
        <f>Raw_Claims_Data!D2947</f>
        <v>6.75</v>
      </c>
      <c r="E2948">
        <f>Raw_Claims_Data!E2947</f>
        <v>500</v>
      </c>
      <c r="F2948" t="str">
        <f>Raw_Claims_Data!F2947</f>
        <v>CA</v>
      </c>
      <c r="G2948" t="str">
        <f>Raw_Claims_Data!G2947</f>
        <v>A</v>
      </c>
      <c r="H2948" t="str">
        <f>Raw_Claims_Data!H2947</f>
        <v>Major Loss</v>
      </c>
      <c r="I2948" t="str">
        <f>IF(Raw_Claims_Data!I2947="","None",Raw_Claims_Data!I2947)</f>
        <v>Police</v>
      </c>
      <c r="J2948" t="str">
        <f>Raw_Claims_Data!J2947</f>
        <v>Saint Matthews</v>
      </c>
      <c r="K2948" t="str">
        <f>Raw_Claims_Data!K2947</f>
        <v>KY</v>
      </c>
      <c r="L2948">
        <f>Raw_Claims_Data!L2947</f>
        <v>16</v>
      </c>
      <c r="M2948" t="str">
        <f>IF(Raw_Claims_Data!M2947="","N/A",Raw_Claims_Data!M2947)</f>
        <v>VNDR00349</v>
      </c>
      <c r="N2948" t="str">
        <f>Raw_Claims_Data!N2947</f>
        <v>AGENT00919</v>
      </c>
      <c r="O2948">
        <f>IF(Raw_Claims_Data!G2947="D",1,0)</f>
        <v>0</v>
      </c>
    </row>
    <row r="2949" spans="1:15" x14ac:dyDescent="0.35">
      <c r="A2949" t="str">
        <f>Raw_Claims_Data!A2948</f>
        <v>TXN00002945</v>
      </c>
      <c r="B2949" t="str">
        <f>TRIM(Raw_Claims_Data!B2948)</f>
        <v>Clifford Burch</v>
      </c>
      <c r="C2949" t="str">
        <f>Raw_Claims_Data!C2948</f>
        <v>Property</v>
      </c>
      <c r="D2949">
        <f>Raw_Claims_Data!D2948</f>
        <v>82.23</v>
      </c>
      <c r="E2949">
        <f>Raw_Claims_Data!E2948</f>
        <v>19000</v>
      </c>
      <c r="F2949" t="str">
        <f>Raw_Claims_Data!F2948</f>
        <v>CA</v>
      </c>
      <c r="G2949" t="str">
        <f>Raw_Claims_Data!G2948</f>
        <v>A</v>
      </c>
      <c r="H2949" t="str">
        <f>Raw_Claims_Data!H2948</f>
        <v>Minor Loss</v>
      </c>
      <c r="I2949" t="str">
        <f>IF(Raw_Claims_Data!I2948="","None",Raw_Claims_Data!I2948)</f>
        <v>Police</v>
      </c>
      <c r="J2949" t="str">
        <f>Raw_Claims_Data!J2948</f>
        <v>Saugus</v>
      </c>
      <c r="K2949" t="str">
        <f>Raw_Claims_Data!K2948</f>
        <v>MA</v>
      </c>
      <c r="L2949">
        <f>Raw_Claims_Data!L2948</f>
        <v>9</v>
      </c>
      <c r="M2949" t="str">
        <f>IF(Raw_Claims_Data!M2948="","N/A",Raw_Claims_Data!M2948)</f>
        <v>N/A</v>
      </c>
      <c r="N2949" t="str">
        <f>Raw_Claims_Data!N2948</f>
        <v>AGENT00877</v>
      </c>
      <c r="O2949">
        <f>IF(Raw_Claims_Data!G2948="D",1,0)</f>
        <v>0</v>
      </c>
    </row>
    <row r="2950" spans="1:15" x14ac:dyDescent="0.35">
      <c r="A2950" t="str">
        <f>Raw_Claims_Data!A2949</f>
        <v>TXN00002946</v>
      </c>
      <c r="B2950" t="str">
        <f>TRIM(Raw_Claims_Data!B2949)</f>
        <v>Mark Dimaio</v>
      </c>
      <c r="C2950" t="str">
        <f>Raw_Claims_Data!C2949</f>
        <v>Motor</v>
      </c>
      <c r="D2950">
        <f>Raw_Claims_Data!D2949</f>
        <v>134.96</v>
      </c>
      <c r="E2950">
        <f>Raw_Claims_Data!E2949</f>
        <v>7000</v>
      </c>
      <c r="F2950" t="str">
        <f>Raw_Claims_Data!F2949</f>
        <v>VT</v>
      </c>
      <c r="G2950" t="str">
        <f>Raw_Claims_Data!G2949</f>
        <v>A</v>
      </c>
      <c r="H2950" t="str">
        <f>Raw_Claims_Data!H2949</f>
        <v>Major Loss</v>
      </c>
      <c r="I2950" t="str">
        <f>IF(Raw_Claims_Data!I2949="","None",Raw_Claims_Data!I2949)</f>
        <v>Police</v>
      </c>
      <c r="J2950" t="str">
        <f>Raw_Claims_Data!J2949</f>
        <v>Glendale</v>
      </c>
      <c r="K2950" t="str">
        <f>Raw_Claims_Data!K2949</f>
        <v>AZ</v>
      </c>
      <c r="L2950">
        <f>Raw_Claims_Data!L2949</f>
        <v>1</v>
      </c>
      <c r="M2950" t="str">
        <f>IF(Raw_Claims_Data!M2949="","N/A",Raw_Claims_Data!M2949)</f>
        <v>VNDR00247</v>
      </c>
      <c r="N2950" t="str">
        <f>Raw_Claims_Data!N2949</f>
        <v>AGENT00781</v>
      </c>
      <c r="O2950">
        <f>IF(Raw_Claims_Data!G2949="D",1,0)</f>
        <v>0</v>
      </c>
    </row>
    <row r="2951" spans="1:15" x14ac:dyDescent="0.35">
      <c r="A2951" t="str">
        <f>Raw_Claims_Data!A2950</f>
        <v>TXN00002947</v>
      </c>
      <c r="B2951" t="str">
        <f>TRIM(Raw_Claims_Data!B2950)</f>
        <v>Anne Powers</v>
      </c>
      <c r="C2951" t="str">
        <f>Raw_Claims_Data!C2950</f>
        <v>Mobile</v>
      </c>
      <c r="D2951">
        <f>Raw_Claims_Data!D2950</f>
        <v>6.77</v>
      </c>
      <c r="E2951">
        <f>Raw_Claims_Data!E2950</f>
        <v>400</v>
      </c>
      <c r="F2951" t="str">
        <f>Raw_Claims_Data!F2950</f>
        <v>FL</v>
      </c>
      <c r="G2951" t="str">
        <f>Raw_Claims_Data!G2950</f>
        <v>A</v>
      </c>
      <c r="H2951" t="str">
        <f>Raw_Claims_Data!H2950</f>
        <v>Minor Loss</v>
      </c>
      <c r="I2951" t="str">
        <f>IF(Raw_Claims_Data!I2950="","None",Raw_Claims_Data!I2950)</f>
        <v>Police</v>
      </c>
      <c r="J2951" t="str">
        <f>Raw_Claims_Data!J2950</f>
        <v>Glendale</v>
      </c>
      <c r="K2951" t="str">
        <f>Raw_Claims_Data!K2950</f>
        <v>AZ</v>
      </c>
      <c r="L2951">
        <f>Raw_Claims_Data!L2950</f>
        <v>19</v>
      </c>
      <c r="M2951" t="str">
        <f>IF(Raw_Claims_Data!M2950="","N/A",Raw_Claims_Data!M2950)</f>
        <v>VNDR00532</v>
      </c>
      <c r="N2951" t="str">
        <f>Raw_Claims_Data!N2950</f>
        <v>AGENT00154</v>
      </c>
      <c r="O2951">
        <f>IF(Raw_Claims_Data!G2950="D",1,0)</f>
        <v>0</v>
      </c>
    </row>
    <row r="2952" spans="1:15" x14ac:dyDescent="0.35">
      <c r="A2952" t="str">
        <f>Raw_Claims_Data!A2951</f>
        <v>TXN00002948</v>
      </c>
      <c r="B2952" t="str">
        <f>TRIM(Raw_Claims_Data!B2951)</f>
        <v>Ronald Woodlock</v>
      </c>
      <c r="C2952" t="str">
        <f>Raw_Claims_Data!C2951</f>
        <v>Motor</v>
      </c>
      <c r="D2952">
        <f>Raw_Claims_Data!D2951</f>
        <v>87.89</v>
      </c>
      <c r="E2952">
        <f>Raw_Claims_Data!E2951</f>
        <v>3000</v>
      </c>
      <c r="F2952" t="str">
        <f>Raw_Claims_Data!F2951</f>
        <v>CO</v>
      </c>
      <c r="G2952" t="str">
        <f>Raw_Claims_Data!G2951</f>
        <v>A</v>
      </c>
      <c r="H2952" t="str">
        <f>Raw_Claims_Data!H2951</f>
        <v>Major Loss</v>
      </c>
      <c r="I2952" t="str">
        <f>IF(Raw_Claims_Data!I2951="","None",Raw_Claims_Data!I2951)</f>
        <v>Ambulance</v>
      </c>
      <c r="J2952" t="str">
        <f>Raw_Claims_Data!J2951</f>
        <v>Pooler</v>
      </c>
      <c r="K2952" t="str">
        <f>Raw_Claims_Data!K2951</f>
        <v>GA</v>
      </c>
      <c r="L2952">
        <f>Raw_Claims_Data!L2951</f>
        <v>11</v>
      </c>
      <c r="M2952" t="str">
        <f>IF(Raw_Claims_Data!M2951="","N/A",Raw_Claims_Data!M2951)</f>
        <v>VNDR00317</v>
      </c>
      <c r="N2952" t="str">
        <f>Raw_Claims_Data!N2951</f>
        <v>AGENT00716</v>
      </c>
      <c r="O2952">
        <f>IF(Raw_Claims_Data!G2951="D",1,0)</f>
        <v>0</v>
      </c>
    </row>
    <row r="2953" spans="1:15" x14ac:dyDescent="0.35">
      <c r="A2953" t="str">
        <f>Raw_Claims_Data!A2952</f>
        <v>TXN00002949</v>
      </c>
      <c r="B2953" t="str">
        <f>TRIM(Raw_Claims_Data!B2952)</f>
        <v>Maude Philo</v>
      </c>
      <c r="C2953" t="str">
        <f>Raw_Claims_Data!C2952</f>
        <v>Life</v>
      </c>
      <c r="D2953">
        <f>Raw_Claims_Data!D2952</f>
        <v>80.650000000000006</v>
      </c>
      <c r="E2953">
        <f>Raw_Claims_Data!E2952</f>
        <v>93000</v>
      </c>
      <c r="F2953" t="str">
        <f>Raw_Claims_Data!F2952</f>
        <v>AR</v>
      </c>
      <c r="G2953" t="str">
        <f>Raw_Claims_Data!G2952</f>
        <v>A</v>
      </c>
      <c r="H2953" t="str">
        <f>Raw_Claims_Data!H2952</f>
        <v>Major Loss</v>
      </c>
      <c r="I2953" t="str">
        <f>IF(Raw_Claims_Data!I2952="","None",Raw_Claims_Data!I2952)</f>
        <v>Ambulance</v>
      </c>
      <c r="J2953" t="str">
        <f>Raw_Claims_Data!J2952</f>
        <v>Nashville</v>
      </c>
      <c r="K2953" t="str">
        <f>Raw_Claims_Data!K2952</f>
        <v>TN</v>
      </c>
      <c r="L2953">
        <f>Raw_Claims_Data!L2952</f>
        <v>3</v>
      </c>
      <c r="M2953" t="str">
        <f>IF(Raw_Claims_Data!M2952="","N/A",Raw_Claims_Data!M2952)</f>
        <v>N/A</v>
      </c>
      <c r="N2953" t="str">
        <f>Raw_Claims_Data!N2952</f>
        <v>AGENT00795</v>
      </c>
      <c r="O2953">
        <f>IF(Raw_Claims_Data!G2952="D",1,0)</f>
        <v>0</v>
      </c>
    </row>
    <row r="2954" spans="1:15" x14ac:dyDescent="0.35">
      <c r="A2954" t="str">
        <f>Raw_Claims_Data!A2953</f>
        <v>TXN00002950</v>
      </c>
      <c r="B2954" t="str">
        <f>TRIM(Raw_Claims_Data!B2953)</f>
        <v>Nicole Otis</v>
      </c>
      <c r="C2954" t="str">
        <f>Raw_Claims_Data!C2953</f>
        <v>Health</v>
      </c>
      <c r="D2954">
        <f>Raw_Claims_Data!D2953</f>
        <v>116.03</v>
      </c>
      <c r="E2954">
        <f>Raw_Claims_Data!E2953</f>
        <v>5000</v>
      </c>
      <c r="F2954" t="str">
        <f>Raw_Claims_Data!F2953</f>
        <v>FL</v>
      </c>
      <c r="G2954" t="str">
        <f>Raw_Claims_Data!G2953</f>
        <v>A</v>
      </c>
      <c r="H2954" t="str">
        <f>Raw_Claims_Data!H2953</f>
        <v>Major Loss</v>
      </c>
      <c r="I2954" t="str">
        <f>IF(Raw_Claims_Data!I2953="","None",Raw_Claims_Data!I2953)</f>
        <v>None</v>
      </c>
      <c r="J2954" t="str">
        <f>Raw_Claims_Data!J2953</f>
        <v>Norman</v>
      </c>
      <c r="K2954" t="str">
        <f>Raw_Claims_Data!K2953</f>
        <v>OK</v>
      </c>
      <c r="L2954">
        <f>Raw_Claims_Data!L2953</f>
        <v>4</v>
      </c>
      <c r="M2954" t="str">
        <f>IF(Raw_Claims_Data!M2953="","N/A",Raw_Claims_Data!M2953)</f>
        <v>VNDR00437</v>
      </c>
      <c r="N2954" t="str">
        <f>Raw_Claims_Data!N2953</f>
        <v>AGENT00989</v>
      </c>
      <c r="O2954">
        <f>IF(Raw_Claims_Data!G2953="D",1,0)</f>
        <v>0</v>
      </c>
    </row>
    <row r="2955" spans="1:15" x14ac:dyDescent="0.35">
      <c r="A2955" t="str">
        <f>Raw_Claims_Data!A2954</f>
        <v>TXN00002951</v>
      </c>
      <c r="B2955" t="str">
        <f>TRIM(Raw_Claims_Data!B2954)</f>
        <v>Irene Tackitt</v>
      </c>
      <c r="C2955" t="str">
        <f>Raw_Claims_Data!C2954</f>
        <v>Travel</v>
      </c>
      <c r="D2955">
        <f>Raw_Claims_Data!D2954</f>
        <v>88.68</v>
      </c>
      <c r="E2955">
        <f>Raw_Claims_Data!E2954</f>
        <v>3000</v>
      </c>
      <c r="F2955" t="str">
        <f>Raw_Claims_Data!F2954</f>
        <v>GA</v>
      </c>
      <c r="G2955" t="str">
        <f>Raw_Claims_Data!G2954</f>
        <v>A</v>
      </c>
      <c r="H2955" t="str">
        <f>Raw_Claims_Data!H2954</f>
        <v>Total Loss</v>
      </c>
      <c r="I2955" t="str">
        <f>IF(Raw_Claims_Data!I2954="","None",Raw_Claims_Data!I2954)</f>
        <v>Police</v>
      </c>
      <c r="J2955" t="str">
        <f>Raw_Claims_Data!J2954</f>
        <v>Panama City Beach</v>
      </c>
      <c r="K2955" t="str">
        <f>Raw_Claims_Data!K2954</f>
        <v>FL</v>
      </c>
      <c r="L2955">
        <f>Raw_Claims_Data!L2954</f>
        <v>3</v>
      </c>
      <c r="M2955" t="str">
        <f>IF(Raw_Claims_Data!M2954="","N/A",Raw_Claims_Data!M2954)</f>
        <v>VNDR00359</v>
      </c>
      <c r="N2955" t="str">
        <f>Raw_Claims_Data!N2954</f>
        <v>AGENT00438</v>
      </c>
      <c r="O2955">
        <f>IF(Raw_Claims_Data!G2954="D",1,0)</f>
        <v>0</v>
      </c>
    </row>
    <row r="2956" spans="1:15" x14ac:dyDescent="0.35">
      <c r="A2956" t="str">
        <f>Raw_Claims_Data!A2955</f>
        <v>TXN00002952</v>
      </c>
      <c r="B2956" t="str">
        <f>TRIM(Raw_Claims_Data!B2955)</f>
        <v>Florence Brown</v>
      </c>
      <c r="C2956" t="str">
        <f>Raw_Claims_Data!C2955</f>
        <v>Travel</v>
      </c>
      <c r="D2956">
        <f>Raw_Claims_Data!D2955</f>
        <v>79.64</v>
      </c>
      <c r="E2956">
        <f>Raw_Claims_Data!E2955</f>
        <v>2000</v>
      </c>
      <c r="F2956" t="str">
        <f>Raw_Claims_Data!F2955</f>
        <v>MD</v>
      </c>
      <c r="G2956" t="str">
        <f>Raw_Claims_Data!G2955</f>
        <v>A</v>
      </c>
      <c r="H2956" t="str">
        <f>Raw_Claims_Data!H2955</f>
        <v>Minor Loss</v>
      </c>
      <c r="I2956" t="str">
        <f>IF(Raw_Claims_Data!I2955="","None",Raw_Claims_Data!I2955)</f>
        <v>Other</v>
      </c>
      <c r="J2956" t="str">
        <f>Raw_Claims_Data!J2955</f>
        <v>Fayetteville</v>
      </c>
      <c r="K2956" t="str">
        <f>Raw_Claims_Data!K2955</f>
        <v>AR</v>
      </c>
      <c r="L2956">
        <f>Raw_Claims_Data!L2955</f>
        <v>22</v>
      </c>
      <c r="M2956" t="str">
        <f>IF(Raw_Claims_Data!M2955="","N/A",Raw_Claims_Data!M2955)</f>
        <v>VNDR00301</v>
      </c>
      <c r="N2956" t="str">
        <f>Raw_Claims_Data!N2955</f>
        <v>AGENT00921</v>
      </c>
      <c r="O2956">
        <f>IF(Raw_Claims_Data!G2955="D",1,0)</f>
        <v>0</v>
      </c>
    </row>
    <row r="2957" spans="1:15" x14ac:dyDescent="0.35">
      <c r="A2957" t="str">
        <f>Raw_Claims_Data!A2956</f>
        <v>TXN00002953</v>
      </c>
      <c r="B2957" t="str">
        <f>TRIM(Raw_Claims_Data!B2956)</f>
        <v>Lena Stewart</v>
      </c>
      <c r="C2957" t="str">
        <f>Raw_Claims_Data!C2956</f>
        <v>Mobile</v>
      </c>
      <c r="D2957">
        <f>Raw_Claims_Data!D2956</f>
        <v>9.84</v>
      </c>
      <c r="E2957">
        <f>Raw_Claims_Data!E2956</f>
        <v>300</v>
      </c>
      <c r="F2957" t="str">
        <f>Raw_Claims_Data!F2956</f>
        <v>CA</v>
      </c>
      <c r="G2957" t="str">
        <f>Raw_Claims_Data!G2956</f>
        <v>A</v>
      </c>
      <c r="H2957" t="str">
        <f>Raw_Claims_Data!H2956</f>
        <v>Minor Loss</v>
      </c>
      <c r="I2957" t="str">
        <f>IF(Raw_Claims_Data!I2956="","None",Raw_Claims_Data!I2956)</f>
        <v>Police</v>
      </c>
      <c r="J2957" t="str">
        <f>Raw_Claims_Data!J2956</f>
        <v>Panama City Beach</v>
      </c>
      <c r="K2957" t="str">
        <f>Raw_Claims_Data!K2956</f>
        <v>FL</v>
      </c>
      <c r="L2957">
        <f>Raw_Claims_Data!L2956</f>
        <v>6</v>
      </c>
      <c r="M2957" t="str">
        <f>IF(Raw_Claims_Data!M2956="","N/A",Raw_Claims_Data!M2956)</f>
        <v>N/A</v>
      </c>
      <c r="N2957" t="str">
        <f>Raw_Claims_Data!N2956</f>
        <v>AGENT00165</v>
      </c>
      <c r="O2957">
        <f>IF(Raw_Claims_Data!G2956="D",1,0)</f>
        <v>0</v>
      </c>
    </row>
    <row r="2958" spans="1:15" x14ac:dyDescent="0.35">
      <c r="A2958" t="str">
        <f>Raw_Claims_Data!A2957</f>
        <v>TXN00002954</v>
      </c>
      <c r="B2958" t="str">
        <f>TRIM(Raw_Claims_Data!B2957)</f>
        <v>Stacie Mcarthur</v>
      </c>
      <c r="C2958" t="str">
        <f>Raw_Claims_Data!C2957</f>
        <v>Motor</v>
      </c>
      <c r="D2958">
        <f>Raw_Claims_Data!D2957</f>
        <v>83.05</v>
      </c>
      <c r="E2958">
        <f>Raw_Claims_Data!E2957</f>
        <v>8000</v>
      </c>
      <c r="F2958" t="str">
        <f>Raw_Claims_Data!F2957</f>
        <v>CA</v>
      </c>
      <c r="G2958" t="str">
        <f>Raw_Claims_Data!G2957</f>
        <v>A</v>
      </c>
      <c r="H2958" t="str">
        <f>Raw_Claims_Data!H2957</f>
        <v>Total Loss</v>
      </c>
      <c r="I2958" t="str">
        <f>IF(Raw_Claims_Data!I2957="","None",Raw_Claims_Data!I2957)</f>
        <v>Ambulance</v>
      </c>
      <c r="J2958" t="str">
        <f>Raw_Claims_Data!J2957</f>
        <v>Montgomery</v>
      </c>
      <c r="K2958" t="str">
        <f>Raw_Claims_Data!K2957</f>
        <v>AL</v>
      </c>
      <c r="L2958">
        <f>Raw_Claims_Data!L2957</f>
        <v>1</v>
      </c>
      <c r="M2958" t="str">
        <f>IF(Raw_Claims_Data!M2957="","N/A",Raw_Claims_Data!M2957)</f>
        <v>VNDR00317</v>
      </c>
      <c r="N2958" t="str">
        <f>Raw_Claims_Data!N2957</f>
        <v>AGENT00972</v>
      </c>
      <c r="O2958">
        <f>IF(Raw_Claims_Data!G2957="D",1,0)</f>
        <v>0</v>
      </c>
    </row>
    <row r="2959" spans="1:15" x14ac:dyDescent="0.35">
      <c r="A2959" t="str">
        <f>Raw_Claims_Data!A2958</f>
        <v>TXN00002955</v>
      </c>
      <c r="B2959" t="str">
        <f>TRIM(Raw_Claims_Data!B2958)</f>
        <v>Joseph Massey</v>
      </c>
      <c r="C2959" t="str">
        <f>Raw_Claims_Data!C2958</f>
        <v>Mobile</v>
      </c>
      <c r="D2959">
        <f>Raw_Claims_Data!D2958</f>
        <v>6.25</v>
      </c>
      <c r="E2959">
        <f>Raw_Claims_Data!E2958</f>
        <v>600</v>
      </c>
      <c r="F2959" t="str">
        <f>Raw_Claims_Data!F2958</f>
        <v>TN</v>
      </c>
      <c r="G2959" t="str">
        <f>Raw_Claims_Data!G2958</f>
        <v>A</v>
      </c>
      <c r="H2959" t="str">
        <f>Raw_Claims_Data!H2958</f>
        <v>Minor Loss</v>
      </c>
      <c r="I2959" t="str">
        <f>IF(Raw_Claims_Data!I2958="","None",Raw_Claims_Data!I2958)</f>
        <v>Ambulance</v>
      </c>
      <c r="J2959" t="str">
        <f>Raw_Claims_Data!J2958</f>
        <v>Brockton</v>
      </c>
      <c r="K2959" t="str">
        <f>Raw_Claims_Data!K2958</f>
        <v>MA</v>
      </c>
      <c r="L2959">
        <f>Raw_Claims_Data!L2958</f>
        <v>6</v>
      </c>
      <c r="M2959" t="str">
        <f>IF(Raw_Claims_Data!M2958="","N/A",Raw_Claims_Data!M2958)</f>
        <v>VNDR00474</v>
      </c>
      <c r="N2959" t="str">
        <f>Raw_Claims_Data!N2958</f>
        <v>AGENT00222</v>
      </c>
      <c r="O2959">
        <f>IF(Raw_Claims_Data!G2958="D",1,0)</f>
        <v>0</v>
      </c>
    </row>
    <row r="2960" spans="1:15" x14ac:dyDescent="0.35">
      <c r="A2960" t="str">
        <f>Raw_Claims_Data!A2959</f>
        <v>TXN00002956</v>
      </c>
      <c r="B2960" t="str">
        <f>TRIM(Raw_Claims_Data!B2959)</f>
        <v>Abel Cortes</v>
      </c>
      <c r="C2960" t="str">
        <f>Raw_Claims_Data!C2959</f>
        <v>Health</v>
      </c>
      <c r="D2960">
        <f>Raw_Claims_Data!D2959</f>
        <v>196.72</v>
      </c>
      <c r="E2960">
        <f>Raw_Claims_Data!E2959</f>
        <v>7000</v>
      </c>
      <c r="F2960" t="str">
        <f>Raw_Claims_Data!F2959</f>
        <v>AR</v>
      </c>
      <c r="G2960" t="str">
        <f>Raw_Claims_Data!G2959</f>
        <v>A</v>
      </c>
      <c r="H2960" t="str">
        <f>Raw_Claims_Data!H2959</f>
        <v>Major Loss</v>
      </c>
      <c r="I2960" t="str">
        <f>IF(Raw_Claims_Data!I2959="","None",Raw_Claims_Data!I2959)</f>
        <v>None</v>
      </c>
      <c r="J2960" t="str">
        <f>Raw_Claims_Data!J2959</f>
        <v>Edmond</v>
      </c>
      <c r="K2960" t="str">
        <f>Raw_Claims_Data!K2959</f>
        <v>OK</v>
      </c>
      <c r="L2960">
        <f>Raw_Claims_Data!L2959</f>
        <v>4</v>
      </c>
      <c r="M2960" t="str">
        <f>IF(Raw_Claims_Data!M2959="","N/A",Raw_Claims_Data!M2959)</f>
        <v>VNDR00357</v>
      </c>
      <c r="N2960" t="str">
        <f>Raw_Claims_Data!N2959</f>
        <v>AGENT00683</v>
      </c>
      <c r="O2960">
        <f>IF(Raw_Claims_Data!G2959="D",1,0)</f>
        <v>0</v>
      </c>
    </row>
    <row r="2961" spans="1:15" x14ac:dyDescent="0.35">
      <c r="A2961" t="str">
        <f>Raw_Claims_Data!A2960</f>
        <v>TXN00002957</v>
      </c>
      <c r="B2961" t="str">
        <f>TRIM(Raw_Claims_Data!B2960)</f>
        <v>Ruth Cunningham</v>
      </c>
      <c r="C2961" t="str">
        <f>Raw_Claims_Data!C2960</f>
        <v>Mobile</v>
      </c>
      <c r="D2961">
        <f>Raw_Claims_Data!D2960</f>
        <v>9.3000000000000007</v>
      </c>
      <c r="E2961">
        <f>Raw_Claims_Data!E2960</f>
        <v>200</v>
      </c>
      <c r="F2961" t="str">
        <f>Raw_Claims_Data!F2960</f>
        <v>KY</v>
      </c>
      <c r="G2961" t="str">
        <f>Raw_Claims_Data!G2960</f>
        <v>A</v>
      </c>
      <c r="H2961" t="str">
        <f>Raw_Claims_Data!H2960</f>
        <v>Major Loss</v>
      </c>
      <c r="I2961" t="str">
        <f>IF(Raw_Claims_Data!I2960="","None",Raw_Claims_Data!I2960)</f>
        <v>Ambulance</v>
      </c>
      <c r="J2961" t="str">
        <f>Raw_Claims_Data!J2960</f>
        <v>Fayetteville</v>
      </c>
      <c r="K2961" t="str">
        <f>Raw_Claims_Data!K2960</f>
        <v>AR</v>
      </c>
      <c r="L2961">
        <f>Raw_Claims_Data!L2960</f>
        <v>3</v>
      </c>
      <c r="M2961" t="str">
        <f>IF(Raw_Claims_Data!M2960="","N/A",Raw_Claims_Data!M2960)</f>
        <v>N/A</v>
      </c>
      <c r="N2961" t="str">
        <f>Raw_Claims_Data!N2960</f>
        <v>AGENT00991</v>
      </c>
      <c r="O2961">
        <f>IF(Raw_Claims_Data!G2960="D",1,0)</f>
        <v>0</v>
      </c>
    </row>
    <row r="2962" spans="1:15" x14ac:dyDescent="0.35">
      <c r="A2962" t="str">
        <f>Raw_Claims_Data!A2961</f>
        <v>TXN00002958</v>
      </c>
      <c r="B2962" t="str">
        <f>TRIM(Raw_Claims_Data!B2961)</f>
        <v>Ronald Weaver</v>
      </c>
      <c r="C2962" t="str">
        <f>Raw_Claims_Data!C2961</f>
        <v>Mobile</v>
      </c>
      <c r="D2962">
        <f>Raw_Claims_Data!D2961</f>
        <v>9.9600000000000009</v>
      </c>
      <c r="E2962">
        <f>Raw_Claims_Data!E2961</f>
        <v>200</v>
      </c>
      <c r="F2962" t="str">
        <f>Raw_Claims_Data!F2961</f>
        <v>KY</v>
      </c>
      <c r="G2962" t="str">
        <f>Raw_Claims_Data!G2961</f>
        <v>A</v>
      </c>
      <c r="H2962" t="str">
        <f>Raw_Claims_Data!H2961</f>
        <v>Minor Loss</v>
      </c>
      <c r="I2962" t="str">
        <f>IF(Raw_Claims_Data!I2961="","None",Raw_Claims_Data!I2961)</f>
        <v>Ambulance</v>
      </c>
      <c r="J2962" t="str">
        <f>Raw_Claims_Data!J2961</f>
        <v>Farmington</v>
      </c>
      <c r="K2962" t="str">
        <f>Raw_Claims_Data!K2961</f>
        <v>AR</v>
      </c>
      <c r="L2962">
        <f>Raw_Claims_Data!L2961</f>
        <v>12</v>
      </c>
      <c r="M2962" t="str">
        <f>IF(Raw_Claims_Data!M2961="","N/A",Raw_Claims_Data!M2961)</f>
        <v>VNDR00425</v>
      </c>
      <c r="N2962" t="str">
        <f>Raw_Claims_Data!N2961</f>
        <v>AGENT00864</v>
      </c>
      <c r="O2962">
        <f>IF(Raw_Claims_Data!G2961="D",1,0)</f>
        <v>0</v>
      </c>
    </row>
    <row r="2963" spans="1:15" x14ac:dyDescent="0.35">
      <c r="A2963" t="str">
        <f>Raw_Claims_Data!A2962</f>
        <v>TXN00002959</v>
      </c>
      <c r="B2963" t="str">
        <f>TRIM(Raw_Claims_Data!B2962)</f>
        <v>Donald Crain</v>
      </c>
      <c r="C2963" t="str">
        <f>Raw_Claims_Data!C2962</f>
        <v>Motor</v>
      </c>
      <c r="D2963">
        <f>Raw_Claims_Data!D2962</f>
        <v>82.99</v>
      </c>
      <c r="E2963">
        <f>Raw_Claims_Data!E2962</f>
        <v>4000</v>
      </c>
      <c r="F2963" t="str">
        <f>Raw_Claims_Data!F2962</f>
        <v>AZ</v>
      </c>
      <c r="G2963" t="str">
        <f>Raw_Claims_Data!G2962</f>
        <v>A</v>
      </c>
      <c r="H2963" t="str">
        <f>Raw_Claims_Data!H2962</f>
        <v>Minor Loss</v>
      </c>
      <c r="I2963" t="str">
        <f>IF(Raw_Claims_Data!I2962="","None",Raw_Claims_Data!I2962)</f>
        <v>Police</v>
      </c>
      <c r="J2963" t="str">
        <f>Raw_Claims_Data!J2962</f>
        <v>Washington</v>
      </c>
      <c r="K2963" t="str">
        <f>Raw_Claims_Data!K2962</f>
        <v>DC</v>
      </c>
      <c r="L2963">
        <f>Raw_Claims_Data!L2962</f>
        <v>6</v>
      </c>
      <c r="M2963" t="str">
        <f>IF(Raw_Claims_Data!M2962="","N/A",Raw_Claims_Data!M2962)</f>
        <v>VNDR00535</v>
      </c>
      <c r="N2963" t="str">
        <f>Raw_Claims_Data!N2962</f>
        <v>AGENT00362</v>
      </c>
      <c r="O2963">
        <f>IF(Raw_Claims_Data!G2962="D",1,0)</f>
        <v>0</v>
      </c>
    </row>
    <row r="2964" spans="1:15" x14ac:dyDescent="0.35">
      <c r="A2964" t="str">
        <f>Raw_Claims_Data!A2963</f>
        <v>TXN00002960</v>
      </c>
      <c r="B2964" t="str">
        <f>TRIM(Raw_Claims_Data!B2963)</f>
        <v>Pamela Johnson</v>
      </c>
      <c r="C2964" t="str">
        <f>Raw_Claims_Data!C2963</f>
        <v>Mobile</v>
      </c>
      <c r="D2964">
        <f>Raw_Claims_Data!D2963</f>
        <v>8.26</v>
      </c>
      <c r="E2964">
        <f>Raw_Claims_Data!E2963</f>
        <v>400</v>
      </c>
      <c r="F2964" t="str">
        <f>Raw_Claims_Data!F2963</f>
        <v>KY</v>
      </c>
      <c r="G2964" t="str">
        <f>Raw_Claims_Data!G2963</f>
        <v>A</v>
      </c>
      <c r="H2964" t="str">
        <f>Raw_Claims_Data!H2963</f>
        <v>Major Loss</v>
      </c>
      <c r="I2964" t="str">
        <f>IF(Raw_Claims_Data!I2963="","None",Raw_Claims_Data!I2963)</f>
        <v>None</v>
      </c>
      <c r="J2964" t="str">
        <f>Raw_Claims_Data!J2963</f>
        <v>Montgomery</v>
      </c>
      <c r="K2964" t="str">
        <f>Raw_Claims_Data!K2963</f>
        <v>AL</v>
      </c>
      <c r="L2964">
        <f>Raw_Claims_Data!L2963</f>
        <v>20</v>
      </c>
      <c r="M2964" t="str">
        <f>IF(Raw_Claims_Data!M2963="","N/A",Raw_Claims_Data!M2963)</f>
        <v>VNDR00119</v>
      </c>
      <c r="N2964" t="str">
        <f>Raw_Claims_Data!N2963</f>
        <v>AGENT00045</v>
      </c>
      <c r="O2964">
        <f>IF(Raw_Claims_Data!G2963="D",1,0)</f>
        <v>0</v>
      </c>
    </row>
    <row r="2965" spans="1:15" x14ac:dyDescent="0.35">
      <c r="A2965" t="str">
        <f>Raw_Claims_Data!A2964</f>
        <v>TXN00002961</v>
      </c>
      <c r="B2965" t="str">
        <f>TRIM(Raw_Claims_Data!B2964)</f>
        <v>Melissa Greene</v>
      </c>
      <c r="C2965" t="str">
        <f>Raw_Claims_Data!C2964</f>
        <v>Life</v>
      </c>
      <c r="D2965">
        <f>Raw_Claims_Data!D2964</f>
        <v>68.7</v>
      </c>
      <c r="E2965">
        <f>Raw_Claims_Data!E2964</f>
        <v>23000</v>
      </c>
      <c r="F2965" t="str">
        <f>Raw_Claims_Data!F2964</f>
        <v>AR</v>
      </c>
      <c r="G2965" t="str">
        <f>Raw_Claims_Data!G2964</f>
        <v>A</v>
      </c>
      <c r="H2965" t="str">
        <f>Raw_Claims_Data!H2964</f>
        <v>Total Loss</v>
      </c>
      <c r="I2965" t="str">
        <f>IF(Raw_Claims_Data!I2964="","None",Raw_Claims_Data!I2964)</f>
        <v>None</v>
      </c>
      <c r="J2965" t="str">
        <f>Raw_Claims_Data!J2964</f>
        <v>Arvada</v>
      </c>
      <c r="K2965" t="str">
        <f>Raw_Claims_Data!K2964</f>
        <v>CO</v>
      </c>
      <c r="L2965">
        <f>Raw_Claims_Data!L2964</f>
        <v>0</v>
      </c>
      <c r="M2965" t="str">
        <f>IF(Raw_Claims_Data!M2964="","N/A",Raw_Claims_Data!M2964)</f>
        <v>VNDR00109</v>
      </c>
      <c r="N2965" t="str">
        <f>Raw_Claims_Data!N2964</f>
        <v>AGENT00997</v>
      </c>
      <c r="O2965">
        <f>IF(Raw_Claims_Data!G2964="D",1,0)</f>
        <v>0</v>
      </c>
    </row>
    <row r="2966" spans="1:15" x14ac:dyDescent="0.35">
      <c r="A2966" t="str">
        <f>Raw_Claims_Data!A2965</f>
        <v>TXN00002962</v>
      </c>
      <c r="B2966" t="str">
        <f>TRIM(Raw_Claims_Data!B2965)</f>
        <v>Kenneth Thomas</v>
      </c>
      <c r="C2966" t="str">
        <f>Raw_Claims_Data!C2965</f>
        <v>Travel</v>
      </c>
      <c r="D2966">
        <f>Raw_Claims_Data!D2965</f>
        <v>86.72</v>
      </c>
      <c r="E2966">
        <f>Raw_Claims_Data!E2965</f>
        <v>2000</v>
      </c>
      <c r="F2966" t="str">
        <f>Raw_Claims_Data!F2965</f>
        <v>KY</v>
      </c>
      <c r="G2966" t="str">
        <f>Raw_Claims_Data!G2965</f>
        <v>A</v>
      </c>
      <c r="H2966" t="str">
        <f>Raw_Claims_Data!H2965</f>
        <v>Total Loss</v>
      </c>
      <c r="I2966" t="str">
        <f>IF(Raw_Claims_Data!I2965="","None",Raw_Claims_Data!I2965)</f>
        <v>Police</v>
      </c>
      <c r="J2966" t="str">
        <f>Raw_Claims_Data!J2965</f>
        <v>Anchorage</v>
      </c>
      <c r="K2966" t="str">
        <f>Raw_Claims_Data!K2965</f>
        <v>AK</v>
      </c>
      <c r="L2966">
        <f>Raw_Claims_Data!L2965</f>
        <v>8</v>
      </c>
      <c r="M2966" t="str">
        <f>IF(Raw_Claims_Data!M2965="","N/A",Raw_Claims_Data!M2965)</f>
        <v>VNDR00228</v>
      </c>
      <c r="N2966" t="str">
        <f>Raw_Claims_Data!N2965</f>
        <v>AGENT00319</v>
      </c>
      <c r="O2966">
        <f>IF(Raw_Claims_Data!G2965="D",1,0)</f>
        <v>0</v>
      </c>
    </row>
    <row r="2967" spans="1:15" x14ac:dyDescent="0.35">
      <c r="A2967" t="str">
        <f>Raw_Claims_Data!A2966</f>
        <v>TXN00002963</v>
      </c>
      <c r="B2967" t="str">
        <f>TRIM(Raw_Claims_Data!B2966)</f>
        <v>Joseph Simmons</v>
      </c>
      <c r="C2967" t="str">
        <f>Raw_Claims_Data!C2966</f>
        <v>Health</v>
      </c>
      <c r="D2967">
        <f>Raw_Claims_Data!D2966</f>
        <v>184.96</v>
      </c>
      <c r="E2967">
        <f>Raw_Claims_Data!E2966</f>
        <v>5000</v>
      </c>
      <c r="F2967" t="str">
        <f>Raw_Claims_Data!F2966</f>
        <v>VT</v>
      </c>
      <c r="G2967" t="str">
        <f>Raw_Claims_Data!G2966</f>
        <v>A</v>
      </c>
      <c r="H2967" t="str">
        <f>Raw_Claims_Data!H2966</f>
        <v>Major Loss</v>
      </c>
      <c r="I2967" t="str">
        <f>IF(Raw_Claims_Data!I2966="","None",Raw_Claims_Data!I2966)</f>
        <v>None</v>
      </c>
      <c r="J2967" t="str">
        <f>Raw_Claims_Data!J2966</f>
        <v>Annapolis</v>
      </c>
      <c r="K2967" t="str">
        <f>Raw_Claims_Data!K2966</f>
        <v>MD</v>
      </c>
      <c r="L2967">
        <f>Raw_Claims_Data!L2966</f>
        <v>4</v>
      </c>
      <c r="M2967" t="str">
        <f>IF(Raw_Claims_Data!M2966="","N/A",Raw_Claims_Data!M2966)</f>
        <v>VNDR00310</v>
      </c>
      <c r="N2967" t="str">
        <f>Raw_Claims_Data!N2966</f>
        <v>AGENT00502</v>
      </c>
      <c r="O2967">
        <f>IF(Raw_Claims_Data!G2966="D",1,0)</f>
        <v>0</v>
      </c>
    </row>
    <row r="2968" spans="1:15" x14ac:dyDescent="0.35">
      <c r="A2968" t="str">
        <f>Raw_Claims_Data!A2967</f>
        <v>TXN00002964</v>
      </c>
      <c r="B2968" t="str">
        <f>TRIM(Raw_Claims_Data!B2967)</f>
        <v>Cynthia Enfinger</v>
      </c>
      <c r="C2968" t="str">
        <f>Raw_Claims_Data!C2967</f>
        <v>Motor</v>
      </c>
      <c r="D2968">
        <f>Raw_Claims_Data!D2967</f>
        <v>122.88</v>
      </c>
      <c r="E2968">
        <f>Raw_Claims_Data!E2967</f>
        <v>1000</v>
      </c>
      <c r="F2968" t="str">
        <f>Raw_Claims_Data!F2967</f>
        <v>DC</v>
      </c>
      <c r="G2968" t="str">
        <f>Raw_Claims_Data!G2967</f>
        <v>D</v>
      </c>
      <c r="H2968" t="str">
        <f>Raw_Claims_Data!H2967</f>
        <v>Major Loss</v>
      </c>
      <c r="I2968" t="str">
        <f>IF(Raw_Claims_Data!I2967="","None",Raw_Claims_Data!I2967)</f>
        <v>Other</v>
      </c>
      <c r="J2968" t="str">
        <f>Raw_Claims_Data!J2967</f>
        <v>Brockton</v>
      </c>
      <c r="K2968" t="str">
        <f>Raw_Claims_Data!K2967</f>
        <v>MA</v>
      </c>
      <c r="L2968">
        <f>Raw_Claims_Data!L2967</f>
        <v>6</v>
      </c>
      <c r="M2968" t="str">
        <f>IF(Raw_Claims_Data!M2967="","N/A",Raw_Claims_Data!M2967)</f>
        <v>VNDR00440</v>
      </c>
      <c r="N2968" t="str">
        <f>Raw_Claims_Data!N2967</f>
        <v>AGENT00246</v>
      </c>
      <c r="O2968">
        <f>IF(Raw_Claims_Data!G2967="D",1,0)</f>
        <v>1</v>
      </c>
    </row>
    <row r="2969" spans="1:15" x14ac:dyDescent="0.35">
      <c r="A2969" t="str">
        <f>Raw_Claims_Data!A2968</f>
        <v>TXN00002965</v>
      </c>
      <c r="B2969" t="str">
        <f>TRIM(Raw_Claims_Data!B2968)</f>
        <v>Adam Yokoyama</v>
      </c>
      <c r="C2969" t="str">
        <f>Raw_Claims_Data!C2968</f>
        <v>Motor</v>
      </c>
      <c r="D2969">
        <f>Raw_Claims_Data!D2968</f>
        <v>96.33</v>
      </c>
      <c r="E2969">
        <f>Raw_Claims_Data!E2968</f>
        <v>7000</v>
      </c>
      <c r="F2969" t="str">
        <f>Raw_Claims_Data!F2968</f>
        <v>CA</v>
      </c>
      <c r="G2969" t="str">
        <f>Raw_Claims_Data!G2968</f>
        <v>A</v>
      </c>
      <c r="H2969" t="str">
        <f>Raw_Claims_Data!H2968</f>
        <v>Total Loss</v>
      </c>
      <c r="I2969" t="str">
        <f>IF(Raw_Claims_Data!I2968="","None",Raw_Claims_Data!I2968)</f>
        <v>Ambulance</v>
      </c>
      <c r="J2969" t="str">
        <f>Raw_Claims_Data!J2968</f>
        <v>Lowell</v>
      </c>
      <c r="K2969" t="str">
        <f>Raw_Claims_Data!K2968</f>
        <v>VT</v>
      </c>
      <c r="L2969">
        <f>Raw_Claims_Data!L2968</f>
        <v>9</v>
      </c>
      <c r="M2969" t="str">
        <f>IF(Raw_Claims_Data!M2968="","N/A",Raw_Claims_Data!M2968)</f>
        <v>VNDR00161</v>
      </c>
      <c r="N2969" t="str">
        <f>Raw_Claims_Data!N2968</f>
        <v>AGENT00311</v>
      </c>
      <c r="O2969">
        <f>IF(Raw_Claims_Data!G2968="D",1,0)</f>
        <v>0</v>
      </c>
    </row>
    <row r="2970" spans="1:15" x14ac:dyDescent="0.35">
      <c r="A2970" t="str">
        <f>Raw_Claims_Data!A2969</f>
        <v>TXN00002966</v>
      </c>
      <c r="B2970" t="str">
        <f>TRIM(Raw_Claims_Data!B2969)</f>
        <v>Benjamin Newlan</v>
      </c>
      <c r="C2970" t="str">
        <f>Raw_Claims_Data!C2969</f>
        <v>Life</v>
      </c>
      <c r="D2970">
        <f>Raw_Claims_Data!D2969</f>
        <v>88.16</v>
      </c>
      <c r="E2970">
        <f>Raw_Claims_Data!E2969</f>
        <v>62000</v>
      </c>
      <c r="F2970" t="str">
        <f>Raw_Claims_Data!F2969</f>
        <v>CO</v>
      </c>
      <c r="G2970" t="str">
        <f>Raw_Claims_Data!G2969</f>
        <v>D</v>
      </c>
      <c r="H2970" t="str">
        <f>Raw_Claims_Data!H2969</f>
        <v>Minor Loss</v>
      </c>
      <c r="I2970" t="str">
        <f>IF(Raw_Claims_Data!I2969="","None",Raw_Claims_Data!I2969)</f>
        <v>Ambulance</v>
      </c>
      <c r="J2970" t="str">
        <f>Raw_Claims_Data!J2969</f>
        <v>Twentynine Palms</v>
      </c>
      <c r="K2970" t="str">
        <f>Raw_Claims_Data!K2969</f>
        <v>CA</v>
      </c>
      <c r="L2970">
        <f>Raw_Claims_Data!L2969</f>
        <v>14</v>
      </c>
      <c r="M2970" t="str">
        <f>IF(Raw_Claims_Data!M2969="","N/A",Raw_Claims_Data!M2969)</f>
        <v>VNDR00002</v>
      </c>
      <c r="N2970" t="str">
        <f>Raw_Claims_Data!N2969</f>
        <v>AGENT00404</v>
      </c>
      <c r="O2970">
        <f>IF(Raw_Claims_Data!G2969="D",1,0)</f>
        <v>1</v>
      </c>
    </row>
    <row r="2971" spans="1:15" x14ac:dyDescent="0.35">
      <c r="A2971" t="str">
        <f>Raw_Claims_Data!A2970</f>
        <v>TXN00002967</v>
      </c>
      <c r="B2971" t="str">
        <f>TRIM(Raw_Claims_Data!B2970)</f>
        <v>Gloria Ollis</v>
      </c>
      <c r="C2971" t="str">
        <f>Raw_Claims_Data!C2970</f>
        <v>Property</v>
      </c>
      <c r="D2971">
        <f>Raw_Claims_Data!D2970</f>
        <v>95.68</v>
      </c>
      <c r="E2971">
        <f>Raw_Claims_Data!E2970</f>
        <v>20000</v>
      </c>
      <c r="F2971" t="str">
        <f>Raw_Claims_Data!F2970</f>
        <v>FL</v>
      </c>
      <c r="G2971" t="str">
        <f>Raw_Claims_Data!G2970</f>
        <v>A</v>
      </c>
      <c r="H2971" t="str">
        <f>Raw_Claims_Data!H2970</f>
        <v>Total Loss</v>
      </c>
      <c r="I2971" t="str">
        <f>IF(Raw_Claims_Data!I2970="","None",Raw_Claims_Data!I2970)</f>
        <v>Other</v>
      </c>
      <c r="J2971" t="str">
        <f>Raw_Claims_Data!J2970</f>
        <v>Medford</v>
      </c>
      <c r="K2971" t="str">
        <f>Raw_Claims_Data!K2970</f>
        <v>MA</v>
      </c>
      <c r="L2971">
        <f>Raw_Claims_Data!L2970</f>
        <v>19</v>
      </c>
      <c r="M2971" t="str">
        <f>IF(Raw_Claims_Data!M2970="","N/A",Raw_Claims_Data!M2970)</f>
        <v>VNDR00349</v>
      </c>
      <c r="N2971" t="str">
        <f>Raw_Claims_Data!N2970</f>
        <v>AGENT00512</v>
      </c>
      <c r="O2971">
        <f>IF(Raw_Claims_Data!G2970="D",1,0)</f>
        <v>0</v>
      </c>
    </row>
    <row r="2972" spans="1:15" x14ac:dyDescent="0.35">
      <c r="A2972" t="str">
        <f>Raw_Claims_Data!A2971</f>
        <v>TXN00002968</v>
      </c>
      <c r="B2972" t="str">
        <f>TRIM(Raw_Claims_Data!B2971)</f>
        <v>Carol Paulseth</v>
      </c>
      <c r="C2972" t="str">
        <f>Raw_Claims_Data!C2971</f>
        <v>Motor</v>
      </c>
      <c r="D2972">
        <f>Raw_Claims_Data!D2971</f>
        <v>109.97</v>
      </c>
      <c r="E2972">
        <f>Raw_Claims_Data!E2971</f>
        <v>3000</v>
      </c>
      <c r="F2972" t="str">
        <f>Raw_Claims_Data!F2971</f>
        <v>FL</v>
      </c>
      <c r="G2972" t="str">
        <f>Raw_Claims_Data!G2971</f>
        <v>A</v>
      </c>
      <c r="H2972" t="str">
        <f>Raw_Claims_Data!H2971</f>
        <v>Major Loss</v>
      </c>
      <c r="I2972" t="str">
        <f>IF(Raw_Claims_Data!I2971="","None",Raw_Claims_Data!I2971)</f>
        <v>Police</v>
      </c>
      <c r="J2972" t="str">
        <f>Raw_Claims_Data!J2971</f>
        <v>Manchester</v>
      </c>
      <c r="K2972" t="str">
        <f>Raw_Claims_Data!K2971</f>
        <v>CT</v>
      </c>
      <c r="L2972">
        <f>Raw_Claims_Data!L2971</f>
        <v>18</v>
      </c>
      <c r="M2972" t="str">
        <f>IF(Raw_Claims_Data!M2971="","N/A",Raw_Claims_Data!M2971)</f>
        <v>VNDR00186</v>
      </c>
      <c r="N2972" t="str">
        <f>Raw_Claims_Data!N2971</f>
        <v>AGENT00763</v>
      </c>
      <c r="O2972">
        <f>IF(Raw_Claims_Data!G2971="D",1,0)</f>
        <v>0</v>
      </c>
    </row>
    <row r="2973" spans="1:15" x14ac:dyDescent="0.35">
      <c r="A2973" t="str">
        <f>Raw_Claims_Data!A2972</f>
        <v>TXN00002969</v>
      </c>
      <c r="B2973" t="str">
        <f>TRIM(Raw_Claims_Data!B2972)</f>
        <v>Candice Chappell</v>
      </c>
      <c r="C2973" t="str">
        <f>Raw_Claims_Data!C2972</f>
        <v>Mobile</v>
      </c>
      <c r="D2973">
        <f>Raw_Claims_Data!D2972</f>
        <v>7.77</v>
      </c>
      <c r="E2973">
        <f>Raw_Claims_Data!E2972</f>
        <v>600</v>
      </c>
      <c r="F2973" t="str">
        <f>Raw_Claims_Data!F2972</f>
        <v>TN</v>
      </c>
      <c r="G2973" t="str">
        <f>Raw_Claims_Data!G2972</f>
        <v>A</v>
      </c>
      <c r="H2973" t="str">
        <f>Raw_Claims_Data!H2972</f>
        <v>Major Loss</v>
      </c>
      <c r="I2973" t="str">
        <f>IF(Raw_Claims_Data!I2972="","None",Raw_Claims_Data!I2972)</f>
        <v>Other</v>
      </c>
      <c r="J2973" t="str">
        <f>Raw_Claims_Data!J2972</f>
        <v>Manchester</v>
      </c>
      <c r="K2973" t="str">
        <f>Raw_Claims_Data!K2972</f>
        <v>CT</v>
      </c>
      <c r="L2973">
        <f>Raw_Claims_Data!L2972</f>
        <v>17</v>
      </c>
      <c r="M2973" t="str">
        <f>IF(Raw_Claims_Data!M2972="","N/A",Raw_Claims_Data!M2972)</f>
        <v>VNDR00513</v>
      </c>
      <c r="N2973" t="str">
        <f>Raw_Claims_Data!N2972</f>
        <v>AGENT00381</v>
      </c>
      <c r="O2973">
        <f>IF(Raw_Claims_Data!G2972="D",1,0)</f>
        <v>0</v>
      </c>
    </row>
    <row r="2974" spans="1:15" x14ac:dyDescent="0.35">
      <c r="A2974" t="str">
        <f>Raw_Claims_Data!A2973</f>
        <v>TXN00002970</v>
      </c>
      <c r="B2974" t="str">
        <f>TRIM(Raw_Claims_Data!B2973)</f>
        <v>Brian Kubat</v>
      </c>
      <c r="C2974" t="str">
        <f>Raw_Claims_Data!C2973</f>
        <v>Travel</v>
      </c>
      <c r="D2974">
        <f>Raw_Claims_Data!D2973</f>
        <v>99.89</v>
      </c>
      <c r="E2974">
        <f>Raw_Claims_Data!E2973</f>
        <v>2000</v>
      </c>
      <c r="F2974" t="str">
        <f>Raw_Claims_Data!F2973</f>
        <v>CT</v>
      </c>
      <c r="G2974" t="str">
        <f>Raw_Claims_Data!G2973</f>
        <v>A</v>
      </c>
      <c r="H2974" t="str">
        <f>Raw_Claims_Data!H2973</f>
        <v>Major Loss</v>
      </c>
      <c r="I2974" t="str">
        <f>IF(Raw_Claims_Data!I2973="","None",Raw_Claims_Data!I2973)</f>
        <v>Ambulance</v>
      </c>
      <c r="J2974" t="str">
        <f>Raw_Claims_Data!J2973</f>
        <v>Montgomery</v>
      </c>
      <c r="K2974" t="str">
        <f>Raw_Claims_Data!K2973</f>
        <v>AL</v>
      </c>
      <c r="L2974">
        <f>Raw_Claims_Data!L2973</f>
        <v>9</v>
      </c>
      <c r="M2974" t="str">
        <f>IF(Raw_Claims_Data!M2973="","N/A",Raw_Claims_Data!M2973)</f>
        <v>VNDR00508</v>
      </c>
      <c r="N2974" t="str">
        <f>Raw_Claims_Data!N2973</f>
        <v>AGENT00831</v>
      </c>
      <c r="O2974">
        <f>IF(Raw_Claims_Data!G2973="D",1,0)</f>
        <v>0</v>
      </c>
    </row>
    <row r="2975" spans="1:15" x14ac:dyDescent="0.35">
      <c r="A2975" t="str">
        <f>Raw_Claims_Data!A2974</f>
        <v>TXN00002971</v>
      </c>
      <c r="B2975" t="str">
        <f>TRIM(Raw_Claims_Data!B2974)</f>
        <v>Angie Drum</v>
      </c>
      <c r="C2975" t="str">
        <f>Raw_Claims_Data!C2974</f>
        <v>Property</v>
      </c>
      <c r="D2975">
        <f>Raw_Claims_Data!D2974</f>
        <v>134.69999999999999</v>
      </c>
      <c r="E2975">
        <f>Raw_Claims_Data!E2974</f>
        <v>36000</v>
      </c>
      <c r="F2975" t="str">
        <f>Raw_Claims_Data!F2974</f>
        <v>CT</v>
      </c>
      <c r="G2975" t="str">
        <f>Raw_Claims_Data!G2974</f>
        <v>A</v>
      </c>
      <c r="H2975" t="str">
        <f>Raw_Claims_Data!H2974</f>
        <v>Minor Loss</v>
      </c>
      <c r="I2975" t="str">
        <f>IF(Raw_Claims_Data!I2974="","None",Raw_Claims_Data!I2974)</f>
        <v>Other</v>
      </c>
      <c r="J2975" t="str">
        <f>Raw_Claims_Data!J2974</f>
        <v>Mammoth Lakes</v>
      </c>
      <c r="K2975" t="str">
        <f>Raw_Claims_Data!K2974</f>
        <v>CA</v>
      </c>
      <c r="L2975">
        <f>Raw_Claims_Data!L2974</f>
        <v>14</v>
      </c>
      <c r="M2975" t="str">
        <f>IF(Raw_Claims_Data!M2974="","N/A",Raw_Claims_Data!M2974)</f>
        <v>VNDR00117</v>
      </c>
      <c r="N2975" t="str">
        <f>Raw_Claims_Data!N2974</f>
        <v>AGENT00539</v>
      </c>
      <c r="O2975">
        <f>IF(Raw_Claims_Data!G2974="D",1,0)</f>
        <v>0</v>
      </c>
    </row>
    <row r="2976" spans="1:15" x14ac:dyDescent="0.35">
      <c r="A2976" t="str">
        <f>Raw_Claims_Data!A2975</f>
        <v>TXN00002972</v>
      </c>
      <c r="B2976" t="str">
        <f>TRIM(Raw_Claims_Data!B2975)</f>
        <v>Max Hane</v>
      </c>
      <c r="C2976" t="str">
        <f>Raw_Claims_Data!C2975</f>
        <v>Travel</v>
      </c>
      <c r="D2976">
        <f>Raw_Claims_Data!D2975</f>
        <v>85.14</v>
      </c>
      <c r="E2976">
        <f>Raw_Claims_Data!E2975</f>
        <v>4000</v>
      </c>
      <c r="F2976" t="str">
        <f>Raw_Claims_Data!F2975</f>
        <v>MD</v>
      </c>
      <c r="G2976" t="str">
        <f>Raw_Claims_Data!G2975</f>
        <v>A</v>
      </c>
      <c r="H2976" t="str">
        <f>Raw_Claims_Data!H2975</f>
        <v>Minor Loss</v>
      </c>
      <c r="I2976" t="str">
        <f>IF(Raw_Claims_Data!I2975="","None",Raw_Claims_Data!I2975)</f>
        <v>Other</v>
      </c>
      <c r="J2976" t="str">
        <f>Raw_Claims_Data!J2975</f>
        <v>Montgomery</v>
      </c>
      <c r="K2976" t="str">
        <f>Raw_Claims_Data!K2975</f>
        <v>AL</v>
      </c>
      <c r="L2976">
        <f>Raw_Claims_Data!L2975</f>
        <v>4</v>
      </c>
      <c r="M2976" t="str">
        <f>IF(Raw_Claims_Data!M2975="","N/A",Raw_Claims_Data!M2975)</f>
        <v>N/A</v>
      </c>
      <c r="N2976" t="str">
        <f>Raw_Claims_Data!N2975</f>
        <v>AGENT00359</v>
      </c>
      <c r="O2976">
        <f>IF(Raw_Claims_Data!G2975="D",1,0)</f>
        <v>0</v>
      </c>
    </row>
    <row r="2977" spans="1:15" x14ac:dyDescent="0.35">
      <c r="A2977" t="str">
        <f>Raw_Claims_Data!A2976</f>
        <v>TXN00002973</v>
      </c>
      <c r="B2977" t="str">
        <f>TRIM(Raw_Claims_Data!B2976)</f>
        <v>Clara Zasso</v>
      </c>
      <c r="C2977" t="str">
        <f>Raw_Claims_Data!C2976</f>
        <v>Motor</v>
      </c>
      <c r="D2977">
        <f>Raw_Claims_Data!D2976</f>
        <v>71.319999999999993</v>
      </c>
      <c r="E2977">
        <f>Raw_Claims_Data!E2976</f>
        <v>8000</v>
      </c>
      <c r="F2977" t="str">
        <f>Raw_Claims_Data!F2976</f>
        <v>CT</v>
      </c>
      <c r="G2977" t="str">
        <f>Raw_Claims_Data!G2976</f>
        <v>A</v>
      </c>
      <c r="H2977" t="str">
        <f>Raw_Claims_Data!H2976</f>
        <v>Major Loss</v>
      </c>
      <c r="I2977" t="str">
        <f>IF(Raw_Claims_Data!I2976="","None",Raw_Claims_Data!I2976)</f>
        <v>Police</v>
      </c>
      <c r="J2977" t="str">
        <f>Raw_Claims_Data!J2976</f>
        <v>Nashville</v>
      </c>
      <c r="K2977" t="str">
        <f>Raw_Claims_Data!K2976</f>
        <v>TN</v>
      </c>
      <c r="L2977">
        <f>Raw_Claims_Data!L2976</f>
        <v>14</v>
      </c>
      <c r="M2977" t="str">
        <f>IF(Raw_Claims_Data!M2976="","N/A",Raw_Claims_Data!M2976)</f>
        <v>VNDR00113</v>
      </c>
      <c r="N2977" t="str">
        <f>Raw_Claims_Data!N2976</f>
        <v>AGENT00785</v>
      </c>
      <c r="O2977">
        <f>IF(Raw_Claims_Data!G2976="D",1,0)</f>
        <v>0</v>
      </c>
    </row>
    <row r="2978" spans="1:15" x14ac:dyDescent="0.35">
      <c r="A2978" t="str">
        <f>Raw_Claims_Data!A2977</f>
        <v>TXN00002974</v>
      </c>
      <c r="B2978" t="str">
        <f>TRIM(Raw_Claims_Data!B2977)</f>
        <v>Jeffrey Richardson</v>
      </c>
      <c r="C2978" t="str">
        <f>Raw_Claims_Data!C2977</f>
        <v>Travel</v>
      </c>
      <c r="D2978">
        <f>Raw_Claims_Data!D2977</f>
        <v>60.56</v>
      </c>
      <c r="E2978">
        <f>Raw_Claims_Data!E2977</f>
        <v>2000</v>
      </c>
      <c r="F2978" t="str">
        <f>Raw_Claims_Data!F2977</f>
        <v>CA</v>
      </c>
      <c r="G2978" t="str">
        <f>Raw_Claims_Data!G2977</f>
        <v>A</v>
      </c>
      <c r="H2978" t="str">
        <f>Raw_Claims_Data!H2977</f>
        <v>Minor Loss</v>
      </c>
      <c r="I2978" t="str">
        <f>IF(Raw_Claims_Data!I2977="","None",Raw_Claims_Data!I2977)</f>
        <v>Ambulance</v>
      </c>
      <c r="J2978" t="str">
        <f>Raw_Claims_Data!J2977</f>
        <v>Washington</v>
      </c>
      <c r="K2978" t="str">
        <f>Raw_Claims_Data!K2977</f>
        <v>DC</v>
      </c>
      <c r="L2978">
        <f>Raw_Claims_Data!L2977</f>
        <v>5</v>
      </c>
      <c r="M2978" t="str">
        <f>IF(Raw_Claims_Data!M2977="","N/A",Raw_Claims_Data!M2977)</f>
        <v>VNDR00557</v>
      </c>
      <c r="N2978" t="str">
        <f>Raw_Claims_Data!N2977</f>
        <v>AGENT00180</v>
      </c>
      <c r="O2978">
        <f>IF(Raw_Claims_Data!G2977="D",1,0)</f>
        <v>0</v>
      </c>
    </row>
    <row r="2979" spans="1:15" x14ac:dyDescent="0.35">
      <c r="A2979" t="str">
        <f>Raw_Claims_Data!A2978</f>
        <v>TXN00002975</v>
      </c>
      <c r="B2979" t="str">
        <f>TRIM(Raw_Claims_Data!B2978)</f>
        <v>Felicia Naval</v>
      </c>
      <c r="C2979" t="str">
        <f>Raw_Claims_Data!C2978</f>
        <v>Life</v>
      </c>
      <c r="D2979">
        <f>Raw_Claims_Data!D2978</f>
        <v>57.97</v>
      </c>
      <c r="E2979">
        <f>Raw_Claims_Data!E2978</f>
        <v>65000</v>
      </c>
      <c r="F2979" t="str">
        <f>Raw_Claims_Data!F2978</f>
        <v>AZ</v>
      </c>
      <c r="G2979" t="str">
        <f>Raw_Claims_Data!G2978</f>
        <v>A</v>
      </c>
      <c r="H2979" t="str">
        <f>Raw_Claims_Data!H2978</f>
        <v>Total Loss</v>
      </c>
      <c r="I2979" t="str">
        <f>IF(Raw_Claims_Data!I2978="","None",Raw_Claims_Data!I2978)</f>
        <v>Other</v>
      </c>
      <c r="J2979" t="str">
        <f>Raw_Claims_Data!J2978</f>
        <v>San Leandro</v>
      </c>
      <c r="K2979" t="str">
        <f>Raw_Claims_Data!K2978</f>
        <v>CA</v>
      </c>
      <c r="L2979">
        <f>Raw_Claims_Data!L2978</f>
        <v>0</v>
      </c>
      <c r="M2979" t="str">
        <f>IF(Raw_Claims_Data!M2978="","N/A",Raw_Claims_Data!M2978)</f>
        <v>N/A</v>
      </c>
      <c r="N2979" t="str">
        <f>Raw_Claims_Data!N2978</f>
        <v>AGENT00278</v>
      </c>
      <c r="O2979">
        <f>IF(Raw_Claims_Data!G2978="D",1,0)</f>
        <v>0</v>
      </c>
    </row>
    <row r="2980" spans="1:15" x14ac:dyDescent="0.35">
      <c r="A2980" t="str">
        <f>Raw_Claims_Data!A2979</f>
        <v>TXN00002976</v>
      </c>
      <c r="B2980" t="str">
        <f>TRIM(Raw_Claims_Data!B2979)</f>
        <v>Simon Entriken</v>
      </c>
      <c r="C2980" t="str">
        <f>Raw_Claims_Data!C2979</f>
        <v>Mobile</v>
      </c>
      <c r="D2980">
        <f>Raw_Claims_Data!D2979</f>
        <v>6.49</v>
      </c>
      <c r="E2980">
        <f>Raw_Claims_Data!E2979</f>
        <v>700</v>
      </c>
      <c r="F2980" t="str">
        <f>Raw_Claims_Data!F2979</f>
        <v>AR</v>
      </c>
      <c r="G2980" t="str">
        <f>Raw_Claims_Data!G2979</f>
        <v>A</v>
      </c>
      <c r="H2980" t="str">
        <f>Raw_Claims_Data!H2979</f>
        <v>Minor Loss</v>
      </c>
      <c r="I2980" t="str">
        <f>IF(Raw_Claims_Data!I2979="","None",Raw_Claims_Data!I2979)</f>
        <v>Police</v>
      </c>
      <c r="J2980" t="str">
        <f>Raw_Claims_Data!J2979</f>
        <v>Arvada</v>
      </c>
      <c r="K2980" t="str">
        <f>Raw_Claims_Data!K2979</f>
        <v>CO</v>
      </c>
      <c r="L2980">
        <f>Raw_Claims_Data!L2979</f>
        <v>15</v>
      </c>
      <c r="M2980" t="str">
        <f>IF(Raw_Claims_Data!M2979="","N/A",Raw_Claims_Data!M2979)</f>
        <v>N/A</v>
      </c>
      <c r="N2980" t="str">
        <f>Raw_Claims_Data!N2979</f>
        <v>AGENT00147</v>
      </c>
      <c r="O2980">
        <f>IF(Raw_Claims_Data!G2979="D",1,0)</f>
        <v>0</v>
      </c>
    </row>
    <row r="2981" spans="1:15" x14ac:dyDescent="0.35">
      <c r="A2981" t="str">
        <f>Raw_Claims_Data!A2980</f>
        <v>TXN00002977</v>
      </c>
      <c r="B2981" t="str">
        <f>TRIM(Raw_Claims_Data!B2980)</f>
        <v>Craig Watkins</v>
      </c>
      <c r="C2981" t="str">
        <f>Raw_Claims_Data!C2980</f>
        <v>Motor</v>
      </c>
      <c r="D2981">
        <f>Raw_Claims_Data!D2980</f>
        <v>84.77</v>
      </c>
      <c r="E2981">
        <f>Raw_Claims_Data!E2980</f>
        <v>4000</v>
      </c>
      <c r="F2981" t="str">
        <f>Raw_Claims_Data!F2980</f>
        <v>CO</v>
      </c>
      <c r="G2981" t="str">
        <f>Raw_Claims_Data!G2980</f>
        <v>A</v>
      </c>
      <c r="H2981" t="str">
        <f>Raw_Claims_Data!H2980</f>
        <v>Minor Loss</v>
      </c>
      <c r="I2981" t="str">
        <f>IF(Raw_Claims_Data!I2980="","None",Raw_Claims_Data!I2980)</f>
        <v>Ambulance</v>
      </c>
      <c r="J2981" t="str">
        <f>Raw_Claims_Data!J2980</f>
        <v>Oklahoma City</v>
      </c>
      <c r="K2981" t="str">
        <f>Raw_Claims_Data!K2980</f>
        <v>OK</v>
      </c>
      <c r="L2981">
        <f>Raw_Claims_Data!L2980</f>
        <v>21</v>
      </c>
      <c r="M2981" t="str">
        <f>IF(Raw_Claims_Data!M2980="","N/A",Raw_Claims_Data!M2980)</f>
        <v>N/A</v>
      </c>
      <c r="N2981" t="str">
        <f>Raw_Claims_Data!N2980</f>
        <v>AGENT01185</v>
      </c>
      <c r="O2981">
        <f>IF(Raw_Claims_Data!G2980="D",1,0)</f>
        <v>0</v>
      </c>
    </row>
    <row r="2982" spans="1:15" x14ac:dyDescent="0.35">
      <c r="A2982" t="str">
        <f>Raw_Claims_Data!A2981</f>
        <v>TXN00002978</v>
      </c>
      <c r="B2982" t="str">
        <f>TRIM(Raw_Claims_Data!B2981)</f>
        <v>Julie Holland</v>
      </c>
      <c r="C2982" t="str">
        <f>Raw_Claims_Data!C2981</f>
        <v>Life</v>
      </c>
      <c r="D2982">
        <f>Raw_Claims_Data!D2981</f>
        <v>92.01</v>
      </c>
      <c r="E2982">
        <f>Raw_Claims_Data!E2981</f>
        <v>54000</v>
      </c>
      <c r="F2982" t="str">
        <f>Raw_Claims_Data!F2981</f>
        <v>GA</v>
      </c>
      <c r="G2982" t="str">
        <f>Raw_Claims_Data!G2981</f>
        <v>A</v>
      </c>
      <c r="H2982" t="str">
        <f>Raw_Claims_Data!H2981</f>
        <v>Major Loss</v>
      </c>
      <c r="I2982" t="str">
        <f>IF(Raw_Claims_Data!I2981="","None",Raw_Claims_Data!I2981)</f>
        <v>Ambulance</v>
      </c>
      <c r="J2982" t="str">
        <f>Raw_Claims_Data!J2981</f>
        <v>Manchester</v>
      </c>
      <c r="K2982" t="str">
        <f>Raw_Claims_Data!K2981</f>
        <v>CT</v>
      </c>
      <c r="L2982">
        <f>Raw_Claims_Data!L2981</f>
        <v>11</v>
      </c>
      <c r="M2982" t="str">
        <f>IF(Raw_Claims_Data!M2981="","N/A",Raw_Claims_Data!M2981)</f>
        <v>VNDR00357</v>
      </c>
      <c r="N2982" t="str">
        <f>Raw_Claims_Data!N2981</f>
        <v>AGENT00941</v>
      </c>
      <c r="O2982">
        <f>IF(Raw_Claims_Data!G2981="D",1,0)</f>
        <v>0</v>
      </c>
    </row>
    <row r="2983" spans="1:15" x14ac:dyDescent="0.35">
      <c r="A2983" t="str">
        <f>Raw_Claims_Data!A2982</f>
        <v>TXN00002979</v>
      </c>
      <c r="B2983" t="str">
        <f>TRIM(Raw_Claims_Data!B2982)</f>
        <v>Rosa Terkelsen</v>
      </c>
      <c r="C2983" t="str">
        <f>Raw_Claims_Data!C2982</f>
        <v>Mobile</v>
      </c>
      <c r="D2983">
        <f>Raw_Claims_Data!D2982</f>
        <v>7.03</v>
      </c>
      <c r="E2983">
        <f>Raw_Claims_Data!E2982</f>
        <v>300</v>
      </c>
      <c r="F2983" t="str">
        <f>Raw_Claims_Data!F2982</f>
        <v>FL</v>
      </c>
      <c r="G2983" t="str">
        <f>Raw_Claims_Data!G2982</f>
        <v>A</v>
      </c>
      <c r="H2983" t="str">
        <f>Raw_Claims_Data!H2982</f>
        <v>Total Loss</v>
      </c>
      <c r="I2983" t="str">
        <f>IF(Raw_Claims_Data!I2982="","None",Raw_Claims_Data!I2982)</f>
        <v>Police</v>
      </c>
      <c r="J2983" t="str">
        <f>Raw_Claims_Data!J2982</f>
        <v>Hartford</v>
      </c>
      <c r="K2983" t="str">
        <f>Raw_Claims_Data!K2982</f>
        <v>VT</v>
      </c>
      <c r="L2983">
        <f>Raw_Claims_Data!L2982</f>
        <v>19</v>
      </c>
      <c r="M2983" t="str">
        <f>IF(Raw_Claims_Data!M2982="","N/A",Raw_Claims_Data!M2982)</f>
        <v>VNDR00457</v>
      </c>
      <c r="N2983" t="str">
        <f>Raw_Claims_Data!N2982</f>
        <v>AGENT00951</v>
      </c>
      <c r="O2983">
        <f>IF(Raw_Claims_Data!G2982="D",1,0)</f>
        <v>0</v>
      </c>
    </row>
    <row r="2984" spans="1:15" x14ac:dyDescent="0.35">
      <c r="A2984" t="str">
        <f>Raw_Claims_Data!A2983</f>
        <v>TXN00002980</v>
      </c>
      <c r="B2984" t="str">
        <f>TRIM(Raw_Claims_Data!B2983)</f>
        <v>Vincent Obannon</v>
      </c>
      <c r="C2984" t="str">
        <f>Raw_Claims_Data!C2983</f>
        <v>Health</v>
      </c>
      <c r="D2984">
        <f>Raw_Claims_Data!D2983</f>
        <v>125.77</v>
      </c>
      <c r="E2984">
        <f>Raw_Claims_Data!E2983</f>
        <v>7000</v>
      </c>
      <c r="F2984" t="str">
        <f>Raw_Claims_Data!F2983</f>
        <v>AL</v>
      </c>
      <c r="G2984" t="str">
        <f>Raw_Claims_Data!G2983</f>
        <v>A</v>
      </c>
      <c r="H2984" t="str">
        <f>Raw_Claims_Data!H2983</f>
        <v>Total Loss</v>
      </c>
      <c r="I2984" t="str">
        <f>IF(Raw_Claims_Data!I2983="","None",Raw_Claims_Data!I2983)</f>
        <v>Police</v>
      </c>
      <c r="J2984" t="str">
        <f>Raw_Claims_Data!J2983</f>
        <v>Manchester</v>
      </c>
      <c r="K2984" t="str">
        <f>Raw_Claims_Data!K2983</f>
        <v>CT</v>
      </c>
      <c r="L2984">
        <f>Raw_Claims_Data!L2983</f>
        <v>10</v>
      </c>
      <c r="M2984" t="str">
        <f>IF(Raw_Claims_Data!M2983="","N/A",Raw_Claims_Data!M2983)</f>
        <v>VNDR00159</v>
      </c>
      <c r="N2984" t="str">
        <f>Raw_Claims_Data!N2983</f>
        <v>AGENT00330</v>
      </c>
      <c r="O2984">
        <f>IF(Raw_Claims_Data!G2983="D",1,0)</f>
        <v>0</v>
      </c>
    </row>
    <row r="2985" spans="1:15" x14ac:dyDescent="0.35">
      <c r="A2985" t="str">
        <f>Raw_Claims_Data!A2984</f>
        <v>TXN00002981</v>
      </c>
      <c r="B2985" t="str">
        <f>TRIM(Raw_Claims_Data!B2984)</f>
        <v>Tara Bozeman</v>
      </c>
      <c r="C2985" t="str">
        <f>Raw_Claims_Data!C2984</f>
        <v>Health</v>
      </c>
      <c r="D2985">
        <f>Raw_Claims_Data!D2984</f>
        <v>139.6</v>
      </c>
      <c r="E2985">
        <f>Raw_Claims_Data!E2984</f>
        <v>11000</v>
      </c>
      <c r="F2985" t="str">
        <f>Raw_Claims_Data!F2984</f>
        <v>GA</v>
      </c>
      <c r="G2985" t="str">
        <f>Raw_Claims_Data!G2984</f>
        <v>A</v>
      </c>
      <c r="H2985" t="str">
        <f>Raw_Claims_Data!H2984</f>
        <v>Total Loss</v>
      </c>
      <c r="I2985" t="str">
        <f>IF(Raw_Claims_Data!I2984="","None",Raw_Claims_Data!I2984)</f>
        <v>Ambulance</v>
      </c>
      <c r="J2985" t="str">
        <f>Raw_Claims_Data!J2984</f>
        <v>Union City</v>
      </c>
      <c r="K2985" t="str">
        <f>Raw_Claims_Data!K2984</f>
        <v>CA</v>
      </c>
      <c r="L2985">
        <f>Raw_Claims_Data!L2984</f>
        <v>8</v>
      </c>
      <c r="M2985" t="str">
        <f>IF(Raw_Claims_Data!M2984="","N/A",Raw_Claims_Data!M2984)</f>
        <v>VNDR00064</v>
      </c>
      <c r="N2985" t="str">
        <f>Raw_Claims_Data!N2984</f>
        <v>AGENT01071</v>
      </c>
      <c r="O2985">
        <f>IF(Raw_Claims_Data!G2984="D",1,0)</f>
        <v>0</v>
      </c>
    </row>
    <row r="2986" spans="1:15" x14ac:dyDescent="0.35">
      <c r="A2986" t="str">
        <f>Raw_Claims_Data!A2985</f>
        <v>TXN00002982</v>
      </c>
      <c r="B2986" t="str">
        <f>TRIM(Raw_Claims_Data!B2985)</f>
        <v>Guadalupe Bayles</v>
      </c>
      <c r="C2986" t="str">
        <f>Raw_Claims_Data!C2985</f>
        <v>Travel</v>
      </c>
      <c r="D2986">
        <f>Raw_Claims_Data!D2985</f>
        <v>92.8</v>
      </c>
      <c r="E2986">
        <f>Raw_Claims_Data!E2985</f>
        <v>4000</v>
      </c>
      <c r="F2986" t="str">
        <f>Raw_Claims_Data!F2985</f>
        <v>GA</v>
      </c>
      <c r="G2986" t="str">
        <f>Raw_Claims_Data!G2985</f>
        <v>A</v>
      </c>
      <c r="H2986" t="str">
        <f>Raw_Claims_Data!H2985</f>
        <v>Total Loss</v>
      </c>
      <c r="I2986" t="str">
        <f>IF(Raw_Claims_Data!I2985="","None",Raw_Claims_Data!I2985)</f>
        <v>Other</v>
      </c>
      <c r="J2986" t="str">
        <f>Raw_Claims_Data!J2985</f>
        <v>Manchester</v>
      </c>
      <c r="K2986" t="str">
        <f>Raw_Claims_Data!K2985</f>
        <v>CT</v>
      </c>
      <c r="L2986">
        <f>Raw_Claims_Data!L2985</f>
        <v>10</v>
      </c>
      <c r="M2986" t="str">
        <f>IF(Raw_Claims_Data!M2985="","N/A",Raw_Claims_Data!M2985)</f>
        <v>VNDR00326</v>
      </c>
      <c r="N2986" t="str">
        <f>Raw_Claims_Data!N2985</f>
        <v>AGENT01088</v>
      </c>
      <c r="O2986">
        <f>IF(Raw_Claims_Data!G2985="D",1,0)</f>
        <v>0</v>
      </c>
    </row>
    <row r="2987" spans="1:15" x14ac:dyDescent="0.35">
      <c r="A2987" t="str">
        <f>Raw_Claims_Data!A2986</f>
        <v>TXN00002983</v>
      </c>
      <c r="B2987" t="str">
        <f>TRIM(Raw_Claims_Data!B2986)</f>
        <v>Cynthia Morin</v>
      </c>
      <c r="C2987" t="str">
        <f>Raw_Claims_Data!C2986</f>
        <v>Life</v>
      </c>
      <c r="D2987">
        <f>Raw_Claims_Data!D2986</f>
        <v>97.07</v>
      </c>
      <c r="E2987">
        <f>Raw_Claims_Data!E2986</f>
        <v>25000</v>
      </c>
      <c r="F2987" t="str">
        <f>Raw_Claims_Data!F2986</f>
        <v>MD</v>
      </c>
      <c r="G2987" t="str">
        <f>Raw_Claims_Data!G2986</f>
        <v>A</v>
      </c>
      <c r="H2987" t="str">
        <f>Raw_Claims_Data!H2986</f>
        <v>Total Loss</v>
      </c>
      <c r="I2987" t="str">
        <f>IF(Raw_Claims_Data!I2986="","None",Raw_Claims_Data!I2986)</f>
        <v>Police</v>
      </c>
      <c r="J2987" t="str">
        <f>Raw_Claims_Data!J2986</f>
        <v>Nashville</v>
      </c>
      <c r="K2987" t="str">
        <f>Raw_Claims_Data!K2986</f>
        <v>TN</v>
      </c>
      <c r="L2987">
        <f>Raw_Claims_Data!L2986</f>
        <v>18</v>
      </c>
      <c r="M2987" t="str">
        <f>IF(Raw_Claims_Data!M2986="","N/A",Raw_Claims_Data!M2986)</f>
        <v>VNDR00040</v>
      </c>
      <c r="N2987" t="str">
        <f>Raw_Claims_Data!N2986</f>
        <v>AGENT00949</v>
      </c>
      <c r="O2987">
        <f>IF(Raw_Claims_Data!G2986="D",1,0)</f>
        <v>0</v>
      </c>
    </row>
    <row r="2988" spans="1:15" x14ac:dyDescent="0.35">
      <c r="A2988" t="str">
        <f>Raw_Claims_Data!A2987</f>
        <v>TXN00002984</v>
      </c>
      <c r="B2988" t="str">
        <f>TRIM(Raw_Claims_Data!B2987)</f>
        <v>David Holdsworth</v>
      </c>
      <c r="C2988" t="str">
        <f>Raw_Claims_Data!C2987</f>
        <v>Property</v>
      </c>
      <c r="D2988">
        <f>Raw_Claims_Data!D2987</f>
        <v>93.56</v>
      </c>
      <c r="E2988">
        <f>Raw_Claims_Data!E2987</f>
        <v>20000</v>
      </c>
      <c r="F2988" t="str">
        <f>Raw_Claims_Data!F2987</f>
        <v>GA</v>
      </c>
      <c r="G2988" t="str">
        <f>Raw_Claims_Data!G2987</f>
        <v>A</v>
      </c>
      <c r="H2988" t="str">
        <f>Raw_Claims_Data!H2987</f>
        <v>Total Loss</v>
      </c>
      <c r="I2988" t="str">
        <f>IF(Raw_Claims_Data!I2987="","None",Raw_Claims_Data!I2987)</f>
        <v>Police</v>
      </c>
      <c r="J2988" t="str">
        <f>Raw_Claims_Data!J2987</f>
        <v>Anchorage</v>
      </c>
      <c r="K2988" t="str">
        <f>Raw_Claims_Data!K2987</f>
        <v>AK</v>
      </c>
      <c r="L2988">
        <f>Raw_Claims_Data!L2987</f>
        <v>20</v>
      </c>
      <c r="M2988" t="str">
        <f>IF(Raw_Claims_Data!M2987="","N/A",Raw_Claims_Data!M2987)</f>
        <v>VNDR00351</v>
      </c>
      <c r="N2988" t="str">
        <f>Raw_Claims_Data!N2987</f>
        <v>AGENT00102</v>
      </c>
      <c r="O2988">
        <f>IF(Raw_Claims_Data!G2987="D",1,0)</f>
        <v>0</v>
      </c>
    </row>
    <row r="2989" spans="1:15" x14ac:dyDescent="0.35">
      <c r="A2989" t="str">
        <f>Raw_Claims_Data!A2988</f>
        <v>TXN00002985</v>
      </c>
      <c r="B2989" t="str">
        <f>TRIM(Raw_Claims_Data!B2988)</f>
        <v>Julie Duncan</v>
      </c>
      <c r="C2989" t="str">
        <f>Raw_Claims_Data!C2988</f>
        <v>Property</v>
      </c>
      <c r="D2989">
        <f>Raw_Claims_Data!D2988</f>
        <v>142.35</v>
      </c>
      <c r="E2989">
        <f>Raw_Claims_Data!E2988</f>
        <v>40000</v>
      </c>
      <c r="F2989" t="str">
        <f>Raw_Claims_Data!F2988</f>
        <v>MA</v>
      </c>
      <c r="G2989" t="str">
        <f>Raw_Claims_Data!G2988</f>
        <v>A</v>
      </c>
      <c r="H2989" t="str">
        <f>Raw_Claims_Data!H2988</f>
        <v>Minor Loss</v>
      </c>
      <c r="I2989" t="str">
        <f>IF(Raw_Claims_Data!I2988="","None",Raw_Claims_Data!I2988)</f>
        <v>None</v>
      </c>
      <c r="J2989" t="str">
        <f>Raw_Claims_Data!J2988</f>
        <v>Pasadena</v>
      </c>
      <c r="K2989" t="str">
        <f>Raw_Claims_Data!K2988</f>
        <v>MD</v>
      </c>
      <c r="L2989">
        <f>Raw_Claims_Data!L2988</f>
        <v>19</v>
      </c>
      <c r="M2989" t="str">
        <f>IF(Raw_Claims_Data!M2988="","N/A",Raw_Claims_Data!M2988)</f>
        <v>VNDR00378</v>
      </c>
      <c r="N2989" t="str">
        <f>Raw_Claims_Data!N2988</f>
        <v>AGENT00971</v>
      </c>
      <c r="O2989">
        <f>IF(Raw_Claims_Data!G2988="D",1,0)</f>
        <v>0</v>
      </c>
    </row>
    <row r="2990" spans="1:15" x14ac:dyDescent="0.35">
      <c r="A2990" t="str">
        <f>Raw_Claims_Data!A2989</f>
        <v>TXN00002986</v>
      </c>
      <c r="B2990" t="str">
        <f>TRIM(Raw_Claims_Data!B2989)</f>
        <v>Jerry Miller</v>
      </c>
      <c r="C2990" t="str">
        <f>Raw_Claims_Data!C2989</f>
        <v>Life</v>
      </c>
      <c r="D2990">
        <f>Raw_Claims_Data!D2989</f>
        <v>97.67</v>
      </c>
      <c r="E2990">
        <f>Raw_Claims_Data!E2989</f>
        <v>60000</v>
      </c>
      <c r="F2990" t="str">
        <f>Raw_Claims_Data!F2989</f>
        <v>CT</v>
      </c>
      <c r="G2990" t="str">
        <f>Raw_Claims_Data!G2989</f>
        <v>A</v>
      </c>
      <c r="H2990" t="str">
        <f>Raw_Claims_Data!H2989</f>
        <v>Total Loss</v>
      </c>
      <c r="I2990" t="str">
        <f>IF(Raw_Claims_Data!I2989="","None",Raw_Claims_Data!I2989)</f>
        <v>Other</v>
      </c>
      <c r="J2990" t="str">
        <f>Raw_Claims_Data!J2989</f>
        <v>San Leandro</v>
      </c>
      <c r="K2990" t="str">
        <f>Raw_Claims_Data!K2989</f>
        <v>CA</v>
      </c>
      <c r="L2990">
        <f>Raw_Claims_Data!L2989</f>
        <v>18</v>
      </c>
      <c r="M2990" t="str">
        <f>IF(Raw_Claims_Data!M2989="","N/A",Raw_Claims_Data!M2989)</f>
        <v>VNDR00541</v>
      </c>
      <c r="N2990" t="str">
        <f>Raw_Claims_Data!N2989</f>
        <v>AGENT00956</v>
      </c>
      <c r="O2990">
        <f>IF(Raw_Claims_Data!G2989="D",1,0)</f>
        <v>0</v>
      </c>
    </row>
    <row r="2991" spans="1:15" x14ac:dyDescent="0.35">
      <c r="A2991" t="str">
        <f>Raw_Claims_Data!A2990</f>
        <v>TXN00002987</v>
      </c>
      <c r="B2991" t="str">
        <f>TRIM(Raw_Claims_Data!B2990)</f>
        <v>Velva Taylor</v>
      </c>
      <c r="C2991" t="str">
        <f>Raw_Claims_Data!C2990</f>
        <v>Health</v>
      </c>
      <c r="D2991">
        <f>Raw_Claims_Data!D2990</f>
        <v>195.71</v>
      </c>
      <c r="E2991">
        <f>Raw_Claims_Data!E2990</f>
        <v>6000</v>
      </c>
      <c r="F2991" t="str">
        <f>Raw_Claims_Data!F2990</f>
        <v>CA</v>
      </c>
      <c r="G2991" t="str">
        <f>Raw_Claims_Data!G2990</f>
        <v>A</v>
      </c>
      <c r="H2991" t="str">
        <f>Raw_Claims_Data!H2990</f>
        <v>Minor Loss</v>
      </c>
      <c r="I2991" t="str">
        <f>IF(Raw_Claims_Data!I2990="","None",Raw_Claims_Data!I2990)</f>
        <v>Ambulance</v>
      </c>
      <c r="J2991" t="str">
        <f>Raw_Claims_Data!J2990</f>
        <v>Medford</v>
      </c>
      <c r="K2991" t="str">
        <f>Raw_Claims_Data!K2990</f>
        <v>MA</v>
      </c>
      <c r="L2991">
        <f>Raw_Claims_Data!L2990</f>
        <v>0</v>
      </c>
      <c r="M2991" t="str">
        <f>IF(Raw_Claims_Data!M2990="","N/A",Raw_Claims_Data!M2990)</f>
        <v>VNDR00398</v>
      </c>
      <c r="N2991" t="str">
        <f>Raw_Claims_Data!N2990</f>
        <v>AGENT00488</v>
      </c>
      <c r="O2991">
        <f>IF(Raw_Claims_Data!G2990="D",1,0)</f>
        <v>0</v>
      </c>
    </row>
    <row r="2992" spans="1:15" x14ac:dyDescent="0.35">
      <c r="A2992" t="str">
        <f>Raw_Claims_Data!A2991</f>
        <v>TXN00002988</v>
      </c>
      <c r="B2992" t="str">
        <f>TRIM(Raw_Claims_Data!B2991)</f>
        <v>Elisabeth Fernandez</v>
      </c>
      <c r="C2992" t="str">
        <f>Raw_Claims_Data!C2991</f>
        <v>Travel</v>
      </c>
      <c r="D2992">
        <f>Raw_Claims_Data!D2991</f>
        <v>99</v>
      </c>
      <c r="E2992">
        <f>Raw_Claims_Data!E2991</f>
        <v>5000</v>
      </c>
      <c r="F2992" t="str">
        <f>Raw_Claims_Data!F2991</f>
        <v>AL</v>
      </c>
      <c r="G2992" t="str">
        <f>Raw_Claims_Data!G2991</f>
        <v>A</v>
      </c>
      <c r="H2992" t="str">
        <f>Raw_Claims_Data!H2991</f>
        <v>Major Loss</v>
      </c>
      <c r="I2992" t="str">
        <f>IF(Raw_Claims_Data!I2991="","None",Raw_Claims_Data!I2991)</f>
        <v>Police</v>
      </c>
      <c r="J2992" t="str">
        <f>Raw_Claims_Data!J2991</f>
        <v>Marlborough</v>
      </c>
      <c r="K2992" t="str">
        <f>Raw_Claims_Data!K2991</f>
        <v>MA</v>
      </c>
      <c r="L2992">
        <f>Raw_Claims_Data!L2991</f>
        <v>20</v>
      </c>
      <c r="M2992" t="str">
        <f>IF(Raw_Claims_Data!M2991="","N/A",Raw_Claims_Data!M2991)</f>
        <v>N/A</v>
      </c>
      <c r="N2992" t="str">
        <f>Raw_Claims_Data!N2991</f>
        <v>AGENT00179</v>
      </c>
      <c r="O2992">
        <f>IF(Raw_Claims_Data!G2991="D",1,0)</f>
        <v>0</v>
      </c>
    </row>
    <row r="2993" spans="1:15" x14ac:dyDescent="0.35">
      <c r="A2993" t="str">
        <f>Raw_Claims_Data!A2992</f>
        <v>TXN00002989</v>
      </c>
      <c r="B2993" t="str">
        <f>TRIM(Raw_Claims_Data!B2992)</f>
        <v>Laura Wright</v>
      </c>
      <c r="C2993" t="str">
        <f>Raw_Claims_Data!C2992</f>
        <v>Life</v>
      </c>
      <c r="D2993">
        <f>Raw_Claims_Data!D2992</f>
        <v>91.72</v>
      </c>
      <c r="E2993">
        <f>Raw_Claims_Data!E2992</f>
        <v>62000</v>
      </c>
      <c r="F2993" t="str">
        <f>Raw_Claims_Data!F2992</f>
        <v>AZ</v>
      </c>
      <c r="G2993" t="str">
        <f>Raw_Claims_Data!G2992</f>
        <v>D</v>
      </c>
      <c r="H2993" t="str">
        <f>Raw_Claims_Data!H2992</f>
        <v>Minor Loss</v>
      </c>
      <c r="I2993" t="str">
        <f>IF(Raw_Claims_Data!I2992="","None",Raw_Claims_Data!I2992)</f>
        <v>None</v>
      </c>
      <c r="J2993" t="str">
        <f>Raw_Claims_Data!J2992</f>
        <v>Washington</v>
      </c>
      <c r="K2993" t="str">
        <f>Raw_Claims_Data!K2992</f>
        <v>DC</v>
      </c>
      <c r="L2993">
        <f>Raw_Claims_Data!L2992</f>
        <v>22</v>
      </c>
      <c r="M2993" t="str">
        <f>IF(Raw_Claims_Data!M2992="","N/A",Raw_Claims_Data!M2992)</f>
        <v>VNDR00249</v>
      </c>
      <c r="N2993" t="str">
        <f>Raw_Claims_Data!N2992</f>
        <v>AGENT00229</v>
      </c>
      <c r="O2993">
        <f>IF(Raw_Claims_Data!G2992="D",1,0)</f>
        <v>1</v>
      </c>
    </row>
    <row r="2994" spans="1:15" x14ac:dyDescent="0.35">
      <c r="A2994" t="str">
        <f>Raw_Claims_Data!A2993</f>
        <v>TXN00002990</v>
      </c>
      <c r="B2994" t="str">
        <f>TRIM(Raw_Claims_Data!B2993)</f>
        <v>Leslie Chapman</v>
      </c>
      <c r="C2994" t="str">
        <f>Raw_Claims_Data!C2993</f>
        <v>Motor</v>
      </c>
      <c r="D2994">
        <f>Raw_Claims_Data!D2993</f>
        <v>78.97</v>
      </c>
      <c r="E2994">
        <f>Raw_Claims_Data!E2993</f>
        <v>1000</v>
      </c>
      <c r="F2994" t="str">
        <f>Raw_Claims_Data!F2993</f>
        <v>CA</v>
      </c>
      <c r="G2994" t="str">
        <f>Raw_Claims_Data!G2993</f>
        <v>A</v>
      </c>
      <c r="H2994" t="str">
        <f>Raw_Claims_Data!H2993</f>
        <v>Total Loss</v>
      </c>
      <c r="I2994" t="str">
        <f>IF(Raw_Claims_Data!I2993="","None",Raw_Claims_Data!I2993)</f>
        <v>Other</v>
      </c>
      <c r="J2994" t="str">
        <f>Raw_Claims_Data!J2993</f>
        <v>Panama City</v>
      </c>
      <c r="K2994" t="str">
        <f>Raw_Claims_Data!K2993</f>
        <v>FL</v>
      </c>
      <c r="L2994">
        <f>Raw_Claims_Data!L2993</f>
        <v>3</v>
      </c>
      <c r="M2994" t="str">
        <f>IF(Raw_Claims_Data!M2993="","N/A",Raw_Claims_Data!M2993)</f>
        <v>N/A</v>
      </c>
      <c r="N2994" t="str">
        <f>Raw_Claims_Data!N2993</f>
        <v>AGENT00083</v>
      </c>
      <c r="O2994">
        <f>IF(Raw_Claims_Data!G2993="D",1,0)</f>
        <v>0</v>
      </c>
    </row>
    <row r="2995" spans="1:15" x14ac:dyDescent="0.35">
      <c r="A2995" t="str">
        <f>Raw_Claims_Data!A2994</f>
        <v>TXN00002991</v>
      </c>
      <c r="B2995" t="str">
        <f>TRIM(Raw_Claims_Data!B2994)</f>
        <v>Kevin Walker</v>
      </c>
      <c r="C2995" t="str">
        <f>Raw_Claims_Data!C2994</f>
        <v>Travel</v>
      </c>
      <c r="D2995">
        <f>Raw_Claims_Data!D2994</f>
        <v>71.680000000000007</v>
      </c>
      <c r="E2995">
        <f>Raw_Claims_Data!E2994</f>
        <v>2000</v>
      </c>
      <c r="F2995" t="str">
        <f>Raw_Claims_Data!F2994</f>
        <v>MD</v>
      </c>
      <c r="G2995" t="str">
        <f>Raw_Claims_Data!G2994</f>
        <v>A</v>
      </c>
      <c r="H2995" t="str">
        <f>Raw_Claims_Data!H2994</f>
        <v>Major Loss</v>
      </c>
      <c r="I2995" t="str">
        <f>IF(Raw_Claims_Data!I2994="","None",Raw_Claims_Data!I2994)</f>
        <v>Ambulance</v>
      </c>
      <c r="J2995" t="str">
        <f>Raw_Claims_Data!J2994</f>
        <v>Fremont</v>
      </c>
      <c r="K2995" t="str">
        <f>Raw_Claims_Data!K2994</f>
        <v>CA</v>
      </c>
      <c r="L2995">
        <f>Raw_Claims_Data!L2994</f>
        <v>14</v>
      </c>
      <c r="M2995" t="str">
        <f>IF(Raw_Claims_Data!M2994="","N/A",Raw_Claims_Data!M2994)</f>
        <v>VNDR00150</v>
      </c>
      <c r="N2995" t="str">
        <f>Raw_Claims_Data!N2994</f>
        <v>AGENT00761</v>
      </c>
      <c r="O2995">
        <f>IF(Raw_Claims_Data!G2994="D",1,0)</f>
        <v>0</v>
      </c>
    </row>
    <row r="2996" spans="1:15" x14ac:dyDescent="0.35">
      <c r="A2996" t="str">
        <f>Raw_Claims_Data!A2995</f>
        <v>TXN00002992</v>
      </c>
      <c r="B2996" t="str">
        <f>TRIM(Raw_Claims_Data!B2995)</f>
        <v>Daniel Born</v>
      </c>
      <c r="C2996" t="str">
        <f>Raw_Claims_Data!C2995</f>
        <v>Travel</v>
      </c>
      <c r="D2996">
        <f>Raw_Claims_Data!D2995</f>
        <v>78.12</v>
      </c>
      <c r="E2996">
        <f>Raw_Claims_Data!E2995</f>
        <v>2000</v>
      </c>
      <c r="F2996" t="str">
        <f>Raw_Claims_Data!F2995</f>
        <v>MD</v>
      </c>
      <c r="G2996" t="str">
        <f>Raw_Claims_Data!G2995</f>
        <v>A</v>
      </c>
      <c r="H2996" t="str">
        <f>Raw_Claims_Data!H2995</f>
        <v>Total Loss</v>
      </c>
      <c r="I2996" t="str">
        <f>IF(Raw_Claims_Data!I2995="","None",Raw_Claims_Data!I2995)</f>
        <v>None</v>
      </c>
      <c r="J2996" t="str">
        <f>Raw_Claims_Data!J2995</f>
        <v>Fayetteville</v>
      </c>
      <c r="K2996" t="str">
        <f>Raw_Claims_Data!K2995</f>
        <v>AR</v>
      </c>
      <c r="L2996">
        <f>Raw_Claims_Data!L2995</f>
        <v>6</v>
      </c>
      <c r="M2996" t="str">
        <f>IF(Raw_Claims_Data!M2995="","N/A",Raw_Claims_Data!M2995)</f>
        <v>VNDR00578</v>
      </c>
      <c r="N2996" t="str">
        <f>Raw_Claims_Data!N2995</f>
        <v>AGENT00905</v>
      </c>
      <c r="O2996">
        <f>IF(Raw_Claims_Data!G2995="D",1,0)</f>
        <v>0</v>
      </c>
    </row>
    <row r="2997" spans="1:15" x14ac:dyDescent="0.35">
      <c r="A2997" t="str">
        <f>Raw_Claims_Data!A2996</f>
        <v>TXN00002993</v>
      </c>
      <c r="B2997" t="str">
        <f>TRIM(Raw_Claims_Data!B2996)</f>
        <v>William Campos</v>
      </c>
      <c r="C2997" t="str">
        <f>Raw_Claims_Data!C2996</f>
        <v>Life</v>
      </c>
      <c r="D2997">
        <f>Raw_Claims_Data!D2996</f>
        <v>56.93</v>
      </c>
      <c r="E2997">
        <f>Raw_Claims_Data!E2996</f>
        <v>64000</v>
      </c>
      <c r="F2997" t="str">
        <f>Raw_Claims_Data!F2996</f>
        <v>OK</v>
      </c>
      <c r="G2997" t="str">
        <f>Raw_Claims_Data!G2996</f>
        <v>A</v>
      </c>
      <c r="H2997" t="str">
        <f>Raw_Claims_Data!H2996</f>
        <v>Total Loss</v>
      </c>
      <c r="I2997" t="str">
        <f>IF(Raw_Claims_Data!I2996="","None",Raw_Claims_Data!I2996)</f>
        <v>Ambulance</v>
      </c>
      <c r="J2997" t="str">
        <f>Raw_Claims_Data!J2996</f>
        <v>Arvada</v>
      </c>
      <c r="K2997" t="str">
        <f>Raw_Claims_Data!K2996</f>
        <v>CO</v>
      </c>
      <c r="L2997">
        <f>Raw_Claims_Data!L2996</f>
        <v>16</v>
      </c>
      <c r="M2997" t="str">
        <f>IF(Raw_Claims_Data!M2996="","N/A",Raw_Claims_Data!M2996)</f>
        <v>VNDR00190</v>
      </c>
      <c r="N2997" t="str">
        <f>Raw_Claims_Data!N2996</f>
        <v>AGENT01181</v>
      </c>
      <c r="O2997">
        <f>IF(Raw_Claims_Data!G2996="D",1,0)</f>
        <v>0</v>
      </c>
    </row>
    <row r="2998" spans="1:15" x14ac:dyDescent="0.35">
      <c r="A2998" t="str">
        <f>Raw_Claims_Data!A2997</f>
        <v>TXN00002994</v>
      </c>
      <c r="B2998" t="str">
        <f>TRIM(Raw_Claims_Data!B2997)</f>
        <v>Paul Carl</v>
      </c>
      <c r="C2998" t="str">
        <f>Raw_Claims_Data!C2997</f>
        <v>Health</v>
      </c>
      <c r="D2998">
        <f>Raw_Claims_Data!D2997</f>
        <v>113.68</v>
      </c>
      <c r="E2998">
        <f>Raw_Claims_Data!E2997</f>
        <v>18000</v>
      </c>
      <c r="F2998" t="str">
        <f>Raw_Claims_Data!F2997</f>
        <v>VT</v>
      </c>
      <c r="G2998" t="str">
        <f>Raw_Claims_Data!G2997</f>
        <v>A</v>
      </c>
      <c r="H2998" t="str">
        <f>Raw_Claims_Data!H2997</f>
        <v>Minor Loss</v>
      </c>
      <c r="I2998" t="str">
        <f>IF(Raw_Claims_Data!I2997="","None",Raw_Claims_Data!I2997)</f>
        <v>Ambulance</v>
      </c>
      <c r="J2998" t="str">
        <f>Raw_Claims_Data!J2997</f>
        <v>Fayetteville</v>
      </c>
      <c r="K2998" t="str">
        <f>Raw_Claims_Data!K2997</f>
        <v>AR</v>
      </c>
      <c r="L2998">
        <f>Raw_Claims_Data!L2997</f>
        <v>23</v>
      </c>
      <c r="M2998" t="str">
        <f>IF(Raw_Claims_Data!M2997="","N/A",Raw_Claims_Data!M2997)</f>
        <v>VNDR00590</v>
      </c>
      <c r="N2998" t="str">
        <f>Raw_Claims_Data!N2997</f>
        <v>AGENT00368</v>
      </c>
      <c r="O2998">
        <f>IF(Raw_Claims_Data!G2997="D",1,0)</f>
        <v>0</v>
      </c>
    </row>
    <row r="2999" spans="1:15" x14ac:dyDescent="0.35">
      <c r="A2999" t="str">
        <f>Raw_Claims_Data!A2998</f>
        <v>TXN00002995</v>
      </c>
      <c r="B2999" t="str">
        <f>TRIM(Raw_Claims_Data!B2998)</f>
        <v>Sherry Cardona</v>
      </c>
      <c r="C2999" t="str">
        <f>Raw_Claims_Data!C2998</f>
        <v>Life</v>
      </c>
      <c r="D2999">
        <f>Raw_Claims_Data!D2998</f>
        <v>66.81</v>
      </c>
      <c r="E2999">
        <f>Raw_Claims_Data!E2998</f>
        <v>41000</v>
      </c>
      <c r="F2999" t="str">
        <f>Raw_Claims_Data!F2998</f>
        <v>FL</v>
      </c>
      <c r="G2999" t="str">
        <f>Raw_Claims_Data!G2998</f>
        <v>A</v>
      </c>
      <c r="H2999" t="str">
        <f>Raw_Claims_Data!H2998</f>
        <v>Total Loss</v>
      </c>
      <c r="I2999" t="str">
        <f>IF(Raw_Claims_Data!I2998="","None",Raw_Claims_Data!I2998)</f>
        <v>Other</v>
      </c>
      <c r="J2999" t="str">
        <f>Raw_Claims_Data!J2998</f>
        <v>Savannah</v>
      </c>
      <c r="K2999" t="str">
        <f>Raw_Claims_Data!K2998</f>
        <v>GA</v>
      </c>
      <c r="L2999">
        <f>Raw_Claims_Data!L2998</f>
        <v>13</v>
      </c>
      <c r="M2999" t="str">
        <f>IF(Raw_Claims_Data!M2998="","N/A",Raw_Claims_Data!M2998)</f>
        <v>VNDR00590</v>
      </c>
      <c r="N2999" t="str">
        <f>Raw_Claims_Data!N2998</f>
        <v>AGENT00534</v>
      </c>
      <c r="O2999">
        <f>IF(Raw_Claims_Data!G2998="D",1,0)</f>
        <v>0</v>
      </c>
    </row>
    <row r="3000" spans="1:15" x14ac:dyDescent="0.35">
      <c r="A3000" t="str">
        <f>Raw_Claims_Data!A2999</f>
        <v>TXN00002996</v>
      </c>
      <c r="B3000" t="str">
        <f>TRIM(Raw_Claims_Data!B2999)</f>
        <v>William Jackson</v>
      </c>
      <c r="C3000" t="str">
        <f>Raw_Claims_Data!C2999</f>
        <v>Life</v>
      </c>
      <c r="D3000">
        <f>Raw_Claims_Data!D2999</f>
        <v>78.34</v>
      </c>
      <c r="E3000">
        <f>Raw_Claims_Data!E2999</f>
        <v>92000</v>
      </c>
      <c r="F3000" t="str">
        <f>Raw_Claims_Data!F2999</f>
        <v>CO</v>
      </c>
      <c r="G3000" t="str">
        <f>Raw_Claims_Data!G2999</f>
        <v>A</v>
      </c>
      <c r="H3000" t="str">
        <f>Raw_Claims_Data!H2999</f>
        <v>Major Loss</v>
      </c>
      <c r="I3000" t="str">
        <f>IF(Raw_Claims_Data!I2999="","None",Raw_Claims_Data!I2999)</f>
        <v>Ambulance</v>
      </c>
      <c r="J3000" t="str">
        <f>Raw_Claims_Data!J2999</f>
        <v>Panama City</v>
      </c>
      <c r="K3000" t="str">
        <f>Raw_Claims_Data!K2999</f>
        <v>FL</v>
      </c>
      <c r="L3000">
        <f>Raw_Claims_Data!L2999</f>
        <v>21</v>
      </c>
      <c r="M3000" t="str">
        <f>IF(Raw_Claims_Data!M2999="","N/A",Raw_Claims_Data!M2999)</f>
        <v>N/A</v>
      </c>
      <c r="N3000" t="str">
        <f>Raw_Claims_Data!N2999</f>
        <v>AGENT00153</v>
      </c>
      <c r="O3000">
        <f>IF(Raw_Claims_Data!G2999="D",1,0)</f>
        <v>0</v>
      </c>
    </row>
    <row r="3001" spans="1:15" x14ac:dyDescent="0.35">
      <c r="A3001" t="str">
        <f>Raw_Claims_Data!A3000</f>
        <v>TXN00002997</v>
      </c>
      <c r="B3001" t="str">
        <f>TRIM(Raw_Claims_Data!B3000)</f>
        <v>Santa Fitch</v>
      </c>
      <c r="C3001" t="str">
        <f>Raw_Claims_Data!C3000</f>
        <v>Travel</v>
      </c>
      <c r="D3001">
        <f>Raw_Claims_Data!D3000</f>
        <v>81.56</v>
      </c>
      <c r="E3001">
        <f>Raw_Claims_Data!E3000</f>
        <v>3000</v>
      </c>
      <c r="F3001" t="str">
        <f>Raw_Claims_Data!F3000</f>
        <v>CO</v>
      </c>
      <c r="G3001" t="str">
        <f>Raw_Claims_Data!G3000</f>
        <v>A</v>
      </c>
      <c r="H3001" t="str">
        <f>Raw_Claims_Data!H3000</f>
        <v>Minor Loss</v>
      </c>
      <c r="I3001" t="str">
        <f>IF(Raw_Claims_Data!I3000="","None",Raw_Claims_Data!I3000)</f>
        <v>Police</v>
      </c>
      <c r="J3001" t="str">
        <f>Raw_Claims_Data!J3000</f>
        <v>Fitchburg</v>
      </c>
      <c r="K3001" t="str">
        <f>Raw_Claims_Data!K3000</f>
        <v>MA</v>
      </c>
      <c r="L3001">
        <f>Raw_Claims_Data!L3000</f>
        <v>14</v>
      </c>
      <c r="M3001" t="str">
        <f>IF(Raw_Claims_Data!M3000="","N/A",Raw_Claims_Data!M3000)</f>
        <v>N/A</v>
      </c>
      <c r="N3001" t="str">
        <f>Raw_Claims_Data!N3000</f>
        <v>AGENT00159</v>
      </c>
      <c r="O3001">
        <f>IF(Raw_Claims_Data!G3000="D",1,0)</f>
        <v>0</v>
      </c>
    </row>
    <row r="3002" spans="1:15" x14ac:dyDescent="0.35">
      <c r="A3002" t="str">
        <f>Raw_Claims_Data!A3001</f>
        <v>TXN00002998</v>
      </c>
      <c r="B3002" t="str">
        <f>TRIM(Raw_Claims_Data!B3001)</f>
        <v>Frances Willis</v>
      </c>
      <c r="C3002" t="str">
        <f>Raw_Claims_Data!C3001</f>
        <v>Property</v>
      </c>
      <c r="D3002">
        <f>Raw_Claims_Data!D3001</f>
        <v>86.5</v>
      </c>
      <c r="E3002">
        <f>Raw_Claims_Data!E3001</f>
        <v>28000</v>
      </c>
      <c r="F3002" t="str">
        <f>Raw_Claims_Data!F3001</f>
        <v>KY</v>
      </c>
      <c r="G3002" t="str">
        <f>Raw_Claims_Data!G3001</f>
        <v>A</v>
      </c>
      <c r="H3002" t="str">
        <f>Raw_Claims_Data!H3001</f>
        <v>Major Loss</v>
      </c>
      <c r="I3002" t="str">
        <f>IF(Raw_Claims_Data!I3001="","None",Raw_Claims_Data!I3001)</f>
        <v>Police</v>
      </c>
      <c r="J3002" t="str">
        <f>Raw_Claims_Data!J3001</f>
        <v>Louisville</v>
      </c>
      <c r="K3002" t="str">
        <f>Raw_Claims_Data!K3001</f>
        <v>KY</v>
      </c>
      <c r="L3002">
        <f>Raw_Claims_Data!L3001</f>
        <v>2</v>
      </c>
      <c r="M3002" t="str">
        <f>IF(Raw_Claims_Data!M3001="","N/A",Raw_Claims_Data!M3001)</f>
        <v>N/A</v>
      </c>
      <c r="N3002" t="str">
        <f>Raw_Claims_Data!N3001</f>
        <v>AGENT00367</v>
      </c>
      <c r="O3002">
        <f>IF(Raw_Claims_Data!G3001="D",1,0)</f>
        <v>0</v>
      </c>
    </row>
    <row r="3003" spans="1:15" x14ac:dyDescent="0.35">
      <c r="A3003" t="str">
        <f>Raw_Claims_Data!A3002</f>
        <v>TXN00002999</v>
      </c>
      <c r="B3003" t="str">
        <f>TRIM(Raw_Claims_Data!B3002)</f>
        <v>Stefanie Pina</v>
      </c>
      <c r="C3003" t="str">
        <f>Raw_Claims_Data!C3002</f>
        <v>Travel</v>
      </c>
      <c r="D3003">
        <f>Raw_Claims_Data!D3002</f>
        <v>78.349999999999994</v>
      </c>
      <c r="E3003">
        <f>Raw_Claims_Data!E3002</f>
        <v>1000</v>
      </c>
      <c r="F3003" t="str">
        <f>Raw_Claims_Data!F3002</f>
        <v>AL</v>
      </c>
      <c r="G3003" t="str">
        <f>Raw_Claims_Data!G3002</f>
        <v>A</v>
      </c>
      <c r="H3003" t="str">
        <f>Raw_Claims_Data!H3002</f>
        <v>Minor Loss</v>
      </c>
      <c r="I3003" t="str">
        <f>IF(Raw_Claims_Data!I3002="","None",Raw_Claims_Data!I3002)</f>
        <v>Ambulance</v>
      </c>
      <c r="J3003" t="str">
        <f>Raw_Claims_Data!J3002</f>
        <v>Nashville</v>
      </c>
      <c r="K3003" t="str">
        <f>Raw_Claims_Data!K3002</f>
        <v>TN</v>
      </c>
      <c r="L3003">
        <f>Raw_Claims_Data!L3002</f>
        <v>22</v>
      </c>
      <c r="M3003" t="str">
        <f>IF(Raw_Claims_Data!M3002="","N/A",Raw_Claims_Data!M3002)</f>
        <v>VNDR00266</v>
      </c>
      <c r="N3003" t="str">
        <f>Raw_Claims_Data!N3002</f>
        <v>AGENT00238</v>
      </c>
      <c r="O3003">
        <f>IF(Raw_Claims_Data!G3002="D",1,0)</f>
        <v>0</v>
      </c>
    </row>
    <row r="3004" spans="1:15" x14ac:dyDescent="0.35">
      <c r="A3004" t="str">
        <f>Raw_Claims_Data!A3003</f>
        <v>TXN00003000</v>
      </c>
      <c r="B3004" t="str">
        <f>TRIM(Raw_Claims_Data!B3003)</f>
        <v>John Leath</v>
      </c>
      <c r="C3004" t="str">
        <f>Raw_Claims_Data!C3003</f>
        <v>Mobile</v>
      </c>
      <c r="D3004">
        <f>Raw_Claims_Data!D3003</f>
        <v>8.73</v>
      </c>
      <c r="E3004">
        <f>Raw_Claims_Data!E3003</f>
        <v>500</v>
      </c>
      <c r="F3004" t="str">
        <f>Raw_Claims_Data!F3003</f>
        <v>AL</v>
      </c>
      <c r="G3004" t="str">
        <f>Raw_Claims_Data!G3003</f>
        <v>A</v>
      </c>
      <c r="H3004" t="str">
        <f>Raw_Claims_Data!H3003</f>
        <v>Major Loss</v>
      </c>
      <c r="I3004" t="str">
        <f>IF(Raw_Claims_Data!I3003="","None",Raw_Claims_Data!I3003)</f>
        <v>Other</v>
      </c>
      <c r="J3004" t="str">
        <f>Raw_Claims_Data!J3003</f>
        <v>Arvada</v>
      </c>
      <c r="K3004" t="str">
        <f>Raw_Claims_Data!K3003</f>
        <v>CO</v>
      </c>
      <c r="L3004">
        <f>Raw_Claims_Data!L3003</f>
        <v>3</v>
      </c>
      <c r="M3004" t="str">
        <f>IF(Raw_Claims_Data!M3003="","N/A",Raw_Claims_Data!M3003)</f>
        <v>VNDR00284</v>
      </c>
      <c r="N3004" t="str">
        <f>Raw_Claims_Data!N3003</f>
        <v>AGENT00942</v>
      </c>
      <c r="O3004">
        <f>IF(Raw_Claims_Data!G3003="D",1,0)</f>
        <v>0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Normal="100" workbookViewId="0">
      <selection sqref="A1:F1"/>
    </sheetView>
  </sheetViews>
  <sheetFormatPr defaultColWidth="8.6328125" defaultRowHeight="14.5" x14ac:dyDescent="0.35"/>
  <cols>
    <col min="1" max="6" width="20" customWidth="1"/>
  </cols>
  <sheetData>
    <row r="1" spans="1:6" ht="18" x14ac:dyDescent="0.4">
      <c r="A1" s="2" t="s">
        <v>7866</v>
      </c>
      <c r="B1" s="2"/>
      <c r="C1" s="2"/>
      <c r="D1" s="2"/>
      <c r="E1" s="2"/>
      <c r="F1" s="2"/>
    </row>
    <row r="2" spans="1:6" x14ac:dyDescent="0.35">
      <c r="A2" s="1" t="s">
        <v>7867</v>
      </c>
      <c r="B2" s="1"/>
      <c r="C2" s="1"/>
      <c r="D2" s="1"/>
      <c r="E2" s="1"/>
      <c r="F2" s="1"/>
    </row>
    <row r="4" spans="1:6" x14ac:dyDescent="0.35">
      <c r="A4" s="9" t="s">
        <v>7868</v>
      </c>
    </row>
    <row r="5" spans="1:6" x14ac:dyDescent="0.35">
      <c r="A5" s="10" t="s">
        <v>16</v>
      </c>
      <c r="B5" s="10" t="s">
        <v>7869</v>
      </c>
      <c r="C5" s="10" t="s">
        <v>7870</v>
      </c>
      <c r="D5" s="10" t="s">
        <v>12</v>
      </c>
      <c r="E5" s="10" t="s">
        <v>7871</v>
      </c>
      <c r="F5" s="10" t="s">
        <v>7872</v>
      </c>
    </row>
    <row r="6" spans="1:6" x14ac:dyDescent="0.35">
      <c r="A6" t="s">
        <v>30</v>
      </c>
      <c r="B6">
        <f>COUNTIFS(Cleaned_Data!$C$5:$C$3004,A6)</f>
        <v>499</v>
      </c>
      <c r="C6">
        <f>COUNTIFS(Cleaned_Data!$C$5:$C$3004,A6,Cleaned_Data!$O$5:$O$3004,1)</f>
        <v>33</v>
      </c>
      <c r="D6" s="11">
        <f t="shared" ref="D6:D11" si="0">IF(B6=0,0,C6/B6)</f>
        <v>6.6132264529058113E-2</v>
      </c>
      <c r="E6" s="12">
        <f>SUMIFS(Cleaned_Data!$E$5:$E$3004,Cleaned_Data!$C$5:$C$3004,A6)</f>
        <v>5340000</v>
      </c>
      <c r="F6" s="12">
        <f t="shared" ref="F6:F11" si="1">IF(B6=0,0,E6/B6)</f>
        <v>10701.402805611222</v>
      </c>
    </row>
    <row r="7" spans="1:6" x14ac:dyDescent="0.35">
      <c r="A7" t="s">
        <v>69</v>
      </c>
      <c r="B7">
        <f>COUNTIFS(Cleaned_Data!$C$5:$C$3004,A7)</f>
        <v>498</v>
      </c>
      <c r="C7">
        <f>COUNTIFS(Cleaned_Data!$C$5:$C$3004,A7,Cleaned_Data!$O$5:$O$3004,1)</f>
        <v>22</v>
      </c>
      <c r="D7" s="11">
        <f t="shared" si="0"/>
        <v>4.4176706827309238E-2</v>
      </c>
      <c r="E7" s="12">
        <f>SUMIFS(Cleaned_Data!$E$5:$E$3004,Cleaned_Data!$C$5:$C$3004,A7)</f>
        <v>27299000</v>
      </c>
      <c r="F7" s="12">
        <f t="shared" si="1"/>
        <v>54817.269076305223</v>
      </c>
    </row>
    <row r="8" spans="1:6" x14ac:dyDescent="0.35">
      <c r="A8" t="s">
        <v>116</v>
      </c>
      <c r="B8">
        <f>COUNTIFS(Cleaned_Data!$C$5:$C$3004,A8)</f>
        <v>528</v>
      </c>
      <c r="C8">
        <f>COUNTIFS(Cleaned_Data!$C$5:$C$3004,A8,Cleaned_Data!$O$5:$O$3004,1)</f>
        <v>29</v>
      </c>
      <c r="D8" s="11">
        <f t="shared" si="0"/>
        <v>5.4924242424242424E-2</v>
      </c>
      <c r="E8" s="12">
        <f>SUMIFS(Cleaned_Data!$E$5:$E$3004,Cleaned_Data!$C$5:$C$3004,A8)</f>
        <v>213800</v>
      </c>
      <c r="F8" s="12">
        <f t="shared" si="1"/>
        <v>404.92424242424244</v>
      </c>
    </row>
    <row r="9" spans="1:6" x14ac:dyDescent="0.35">
      <c r="A9" t="s">
        <v>81</v>
      </c>
      <c r="B9">
        <f>COUNTIFS(Cleaned_Data!$C$5:$C$3004,A9)</f>
        <v>472</v>
      </c>
      <c r="C9">
        <f>COUNTIFS(Cleaned_Data!$C$5:$C$3004,A9,Cleaned_Data!$O$5:$O$3004,1)</f>
        <v>30</v>
      </c>
      <c r="D9" s="11">
        <f t="shared" si="0"/>
        <v>6.3559322033898302E-2</v>
      </c>
      <c r="E9" s="12">
        <f>SUMIFS(Cleaned_Data!$E$5:$E$3004,Cleaned_Data!$C$5:$C$3004,A9)</f>
        <v>2608000</v>
      </c>
      <c r="F9" s="12">
        <f t="shared" si="1"/>
        <v>5525.4237288135591</v>
      </c>
    </row>
    <row r="10" spans="1:6" x14ac:dyDescent="0.35">
      <c r="A10" t="s">
        <v>41</v>
      </c>
      <c r="B10">
        <f>COUNTIFS(Cleaned_Data!$C$5:$C$3004,A10)</f>
        <v>507</v>
      </c>
      <c r="C10">
        <f>COUNTIFS(Cleaned_Data!$C$5:$C$3004,A10,Cleaned_Data!$O$5:$O$3004,1)</f>
        <v>26</v>
      </c>
      <c r="D10" s="11">
        <f t="shared" si="0"/>
        <v>5.128205128205128E-2</v>
      </c>
      <c r="E10" s="12">
        <f>SUMIFS(Cleaned_Data!$E$5:$E$3004,Cleaned_Data!$C$5:$C$3004,A10)</f>
        <v>12538000</v>
      </c>
      <c r="F10" s="12">
        <f t="shared" si="1"/>
        <v>24729.783037475347</v>
      </c>
    </row>
    <row r="11" spans="1:6" x14ac:dyDescent="0.35">
      <c r="A11" t="s">
        <v>62</v>
      </c>
      <c r="B11">
        <f>COUNTIFS(Cleaned_Data!$C$5:$C$3004,A11)</f>
        <v>496</v>
      </c>
      <c r="C11">
        <f>COUNTIFS(Cleaned_Data!$C$5:$C$3004,A11,Cleaned_Data!$O$5:$O$3004,1)</f>
        <v>27</v>
      </c>
      <c r="D11" s="11">
        <f t="shared" si="0"/>
        <v>5.4435483870967742E-2</v>
      </c>
      <c r="E11" s="12">
        <f>SUMIFS(Cleaned_Data!$E$5:$E$3004,Cleaned_Data!$C$5:$C$3004,A11)</f>
        <v>1463000</v>
      </c>
      <c r="F11" s="12">
        <f t="shared" si="1"/>
        <v>2949.5967741935483</v>
      </c>
    </row>
    <row r="13" spans="1:6" x14ac:dyDescent="0.35">
      <c r="A13" s="9" t="s">
        <v>7873</v>
      </c>
    </row>
    <row r="14" spans="1:6" x14ac:dyDescent="0.35">
      <c r="A14" s="10" t="s">
        <v>19</v>
      </c>
      <c r="B14" s="10" t="s">
        <v>7869</v>
      </c>
      <c r="C14" s="10" t="s">
        <v>7870</v>
      </c>
      <c r="D14" s="10" t="s">
        <v>12</v>
      </c>
      <c r="E14" s="10" t="s">
        <v>7871</v>
      </c>
    </row>
    <row r="15" spans="1:6" x14ac:dyDescent="0.35">
      <c r="A15" t="s">
        <v>51</v>
      </c>
      <c r="B15">
        <f>COUNTIFS(Cleaned_Data!$F$5:$F$3004,A15)</f>
        <v>310</v>
      </c>
      <c r="C15">
        <f>COUNTIFS(Cleaned_Data!$F$5:$F$3004,A15,Cleaned_Data!$O$5:$O$3004,1)</f>
        <v>19</v>
      </c>
      <c r="D15" s="11">
        <f t="shared" ref="D15:D24" si="2">IF(B15=0,0,C15/B15)</f>
        <v>6.1290322580645158E-2</v>
      </c>
      <c r="E15" s="12">
        <f>SUMIFS(Cleaned_Data!$E$5:$E$3004,Cleaned_Data!$F$5:$F$3004,A15)</f>
        <v>5371600</v>
      </c>
    </row>
    <row r="16" spans="1:6" x14ac:dyDescent="0.35">
      <c r="A16" t="s">
        <v>42</v>
      </c>
      <c r="B16">
        <f>COUNTIFS(Cleaned_Data!$F$5:$F$3004,A16)</f>
        <v>207</v>
      </c>
      <c r="C16">
        <f>COUNTIFS(Cleaned_Data!$F$5:$F$3004,A16,Cleaned_Data!$O$5:$O$3004,1)</f>
        <v>13</v>
      </c>
      <c r="D16" s="11">
        <f t="shared" si="2"/>
        <v>6.280193236714976E-2</v>
      </c>
      <c r="E16" s="12">
        <f>SUMIFS(Cleaned_Data!$E$5:$E$3004,Cleaned_Data!$F$5:$F$3004,A16)</f>
        <v>3109700</v>
      </c>
    </row>
    <row r="17" spans="1:5" x14ac:dyDescent="0.35">
      <c r="A17" t="s">
        <v>36</v>
      </c>
      <c r="B17">
        <f>COUNTIFS(Cleaned_Data!$F$5:$F$3004,A17)</f>
        <v>195</v>
      </c>
      <c r="C17">
        <f>COUNTIFS(Cleaned_Data!$F$5:$F$3004,A17,Cleaned_Data!$O$5:$O$3004,1)</f>
        <v>14</v>
      </c>
      <c r="D17" s="11">
        <f t="shared" si="2"/>
        <v>7.179487179487179E-2</v>
      </c>
      <c r="E17" s="12">
        <f>SUMIFS(Cleaned_Data!$E$5:$E$3004,Cleaned_Data!$F$5:$F$3004,A17)</f>
        <v>2953500</v>
      </c>
    </row>
    <row r="18" spans="1:5" x14ac:dyDescent="0.35">
      <c r="A18" t="s">
        <v>76</v>
      </c>
      <c r="B18">
        <f>COUNTIFS(Cleaned_Data!$F$5:$F$3004,A18)</f>
        <v>195</v>
      </c>
      <c r="C18">
        <f>COUNTIFS(Cleaned_Data!$F$5:$F$3004,A18,Cleaned_Data!$O$5:$O$3004,1)</f>
        <v>11</v>
      </c>
      <c r="D18" s="11">
        <f t="shared" si="2"/>
        <v>5.6410256410256411E-2</v>
      </c>
      <c r="E18" s="12">
        <f>SUMIFS(Cleaned_Data!$E$5:$E$3004,Cleaned_Data!$F$5:$F$3004,A18)</f>
        <v>2977900</v>
      </c>
    </row>
    <row r="19" spans="1:5" x14ac:dyDescent="0.35">
      <c r="A19" t="s">
        <v>64</v>
      </c>
      <c r="B19">
        <f>COUNTIFS(Cleaned_Data!$F$5:$F$3004,A19)</f>
        <v>195</v>
      </c>
      <c r="C19">
        <f>COUNTIFS(Cleaned_Data!$F$5:$F$3004,A19,Cleaned_Data!$O$5:$O$3004,1)</f>
        <v>15</v>
      </c>
      <c r="D19" s="11">
        <f t="shared" si="2"/>
        <v>7.6923076923076927E-2</v>
      </c>
      <c r="E19" s="12">
        <f>SUMIFS(Cleaned_Data!$E$5:$E$3004,Cleaned_Data!$F$5:$F$3004,A19)</f>
        <v>3624800</v>
      </c>
    </row>
    <row r="20" spans="1:5" x14ac:dyDescent="0.35">
      <c r="A20" t="s">
        <v>87</v>
      </c>
      <c r="B20">
        <f>COUNTIFS(Cleaned_Data!$F$5:$F$3004,A20)</f>
        <v>193</v>
      </c>
      <c r="C20">
        <f>COUNTIFS(Cleaned_Data!$F$5:$F$3004,A20,Cleaned_Data!$O$5:$O$3004,1)</f>
        <v>12</v>
      </c>
      <c r="D20" s="11">
        <f t="shared" si="2"/>
        <v>6.2176165803108807E-2</v>
      </c>
      <c r="E20" s="12">
        <f>SUMIFS(Cleaned_Data!$E$5:$E$3004,Cleaned_Data!$F$5:$F$3004,A20)</f>
        <v>2753500</v>
      </c>
    </row>
    <row r="21" spans="1:5" x14ac:dyDescent="0.35">
      <c r="A21" t="s">
        <v>117</v>
      </c>
      <c r="B21">
        <f>COUNTIFS(Cleaned_Data!$F$5:$F$3004,A21)</f>
        <v>193</v>
      </c>
      <c r="C21">
        <f>COUNTIFS(Cleaned_Data!$F$5:$F$3004,A21,Cleaned_Data!$O$5:$O$3004,1)</f>
        <v>10</v>
      </c>
      <c r="D21" s="11">
        <f t="shared" si="2"/>
        <v>5.181347150259067E-2</v>
      </c>
      <c r="E21" s="12">
        <f>SUMIFS(Cleaned_Data!$E$5:$E$3004,Cleaned_Data!$F$5:$F$3004,A21)</f>
        <v>3452600</v>
      </c>
    </row>
    <row r="22" spans="1:5" x14ac:dyDescent="0.35">
      <c r="A22" t="s">
        <v>74</v>
      </c>
      <c r="B22">
        <f>COUNTIFS(Cleaned_Data!$F$5:$F$3004,A22)</f>
        <v>189</v>
      </c>
      <c r="C22">
        <f>COUNTIFS(Cleaned_Data!$F$5:$F$3004,A22,Cleaned_Data!$O$5:$O$3004,1)</f>
        <v>8</v>
      </c>
      <c r="D22" s="11">
        <f t="shared" si="2"/>
        <v>4.2328042328042326E-2</v>
      </c>
      <c r="E22" s="12">
        <f>SUMIFS(Cleaned_Data!$E$5:$E$3004,Cleaned_Data!$F$5:$F$3004,A22)</f>
        <v>3123300</v>
      </c>
    </row>
    <row r="23" spans="1:5" x14ac:dyDescent="0.35">
      <c r="A23" t="s">
        <v>123</v>
      </c>
      <c r="B23">
        <f>COUNTIFS(Cleaned_Data!$F$5:$F$3004,A23)</f>
        <v>185</v>
      </c>
      <c r="C23">
        <f>COUNTIFS(Cleaned_Data!$F$5:$F$3004,A23,Cleaned_Data!$O$5:$O$3004,1)</f>
        <v>14</v>
      </c>
      <c r="D23" s="11">
        <f t="shared" si="2"/>
        <v>7.567567567567568E-2</v>
      </c>
      <c r="E23" s="12">
        <f>SUMIFS(Cleaned_Data!$E$5:$E$3004,Cleaned_Data!$F$5:$F$3004,A23)</f>
        <v>3259100</v>
      </c>
    </row>
    <row r="24" spans="1:5" x14ac:dyDescent="0.35">
      <c r="A24" t="s">
        <v>31</v>
      </c>
      <c r="B24">
        <f>COUNTIFS(Cleaned_Data!$F$5:$F$3004,A24)</f>
        <v>177</v>
      </c>
      <c r="C24">
        <f>COUNTIFS(Cleaned_Data!$F$5:$F$3004,A24,Cleaned_Data!$O$5:$O$3004,1)</f>
        <v>9</v>
      </c>
      <c r="D24" s="11">
        <f t="shared" si="2"/>
        <v>5.0847457627118647E-2</v>
      </c>
      <c r="E24" s="12">
        <f>SUMIFS(Cleaned_Data!$E$5:$E$3004,Cleaned_Data!$F$5:$F$3004,A24)</f>
        <v>3386600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zoomScaleNormal="100" workbookViewId="0">
      <pane ySplit="4" topLeftCell="A5" activePane="bottomLeft" state="frozen"/>
      <selection pane="bottomLeft" sqref="A1:H1"/>
    </sheetView>
  </sheetViews>
  <sheetFormatPr defaultColWidth="8.6328125" defaultRowHeight="14.5" x14ac:dyDescent="0.35"/>
  <cols>
    <col min="1" max="2" width="24" customWidth="1"/>
    <col min="3" max="3" width="25.7265625" bestFit="1" customWidth="1"/>
    <col min="4" max="4" width="24.1796875" bestFit="1" customWidth="1"/>
    <col min="5" max="5" width="24" customWidth="1"/>
    <col min="6" max="6" width="30.90625" bestFit="1" customWidth="1"/>
    <col min="7" max="7" width="25.453125" bestFit="1" customWidth="1"/>
  </cols>
  <sheetData>
    <row r="1" spans="1:8" ht="18" x14ac:dyDescent="0.4">
      <c r="A1" s="2" t="s">
        <v>7874</v>
      </c>
      <c r="B1" s="2"/>
      <c r="C1" s="2"/>
      <c r="D1" s="2"/>
      <c r="E1" s="2"/>
      <c r="F1" s="2"/>
      <c r="G1" s="2"/>
      <c r="H1" s="2"/>
    </row>
    <row r="2" spans="1:8" x14ac:dyDescent="0.35">
      <c r="A2" s="1" t="s">
        <v>7875</v>
      </c>
      <c r="B2" s="1"/>
      <c r="C2" s="1"/>
      <c r="D2" s="1"/>
      <c r="E2" s="1"/>
      <c r="F2" s="1"/>
      <c r="G2" s="1"/>
      <c r="H2" s="1"/>
    </row>
    <row r="4" spans="1:8" x14ac:dyDescent="0.35">
      <c r="A4" s="10" t="s">
        <v>14</v>
      </c>
      <c r="B4" s="10" t="s">
        <v>27</v>
      </c>
      <c r="C4" s="10" t="s">
        <v>7876</v>
      </c>
      <c r="D4" s="10" t="s">
        <v>7877</v>
      </c>
      <c r="E4" s="10" t="s">
        <v>26</v>
      </c>
      <c r="F4" s="10" t="s">
        <v>7878</v>
      </c>
      <c r="G4" s="10" t="s">
        <v>7879</v>
      </c>
    </row>
    <row r="5" spans="1:8" x14ac:dyDescent="0.35">
      <c r="A5" t="str">
        <f>Cleaned_Data!A5</f>
        <v>TXN00000001</v>
      </c>
      <c r="B5" t="str">
        <f>Cleaned_Data!N5</f>
        <v>AGENT00413</v>
      </c>
      <c r="C5" t="str">
        <f>IFERROR(INDEX(Agents!$B$4:$B$1203,MATCH(B5,Agents!$A$4:$A$1203,0)),"Not Found")</f>
        <v>Amy Wangler</v>
      </c>
      <c r="D5" t="str">
        <f>IFERROR(INDEX(Agents!$F$4:$F$1203,MATCH(B5,Agents!$A$4:$A$1203,0)),"Not Found")</f>
        <v>Nashville</v>
      </c>
      <c r="E5" t="str">
        <f>Cleaned_Data!M5</f>
        <v>VNDR00556</v>
      </c>
      <c r="F5" t="str">
        <f>IFERROR(INDEX(Vendors!$B$4:$B$603,MATCH(E5,Vendors!$A$4:$A$603,0)),"No Vendor / N-A")</f>
        <v>Ramsey Inc</v>
      </c>
      <c r="G5" t="str">
        <f>IFERROR(INDEX(Vendors!$E$4:$E$603,MATCH(E5,Vendors!$A$4:$A$603,0)),"No Vendor / N-A")</f>
        <v>Panama City</v>
      </c>
    </row>
    <row r="6" spans="1:8" x14ac:dyDescent="0.35">
      <c r="A6" t="str">
        <f>Cleaned_Data!A6</f>
        <v>TXN00000002</v>
      </c>
      <c r="B6" t="str">
        <f>Cleaned_Data!N6</f>
        <v>AGENT00769</v>
      </c>
      <c r="C6" t="str">
        <f>IFERROR(INDEX(Agents!$B$4:$B$1203,MATCH(B6,Agents!$A$4:$A$1203,0)),"Not Found")</f>
        <v>Jessica Montez</v>
      </c>
      <c r="D6" t="str">
        <f>IFERROR(INDEX(Agents!$F$4:$F$1203,MATCH(B6,Agents!$A$4:$A$1203,0)),"Not Found")</f>
        <v>Glendale</v>
      </c>
      <c r="E6" t="str">
        <f>Cleaned_Data!M6</f>
        <v>VNDR00592</v>
      </c>
      <c r="F6" t="str">
        <f>IFERROR(INDEX(Vendors!$B$4:$B$603,MATCH(E6,Vendors!$A$4:$A$603,0)),"No Vendor / N-A")</f>
        <v>Morales, Campbell and Washington</v>
      </c>
      <c r="G6" t="str">
        <f>IFERROR(INDEX(Vendors!$E$4:$E$603,MATCH(E6,Vendors!$A$4:$A$603,0)),"No Vendor / N-A")</f>
        <v>Fayetteville</v>
      </c>
    </row>
    <row r="7" spans="1:8" x14ac:dyDescent="0.35">
      <c r="A7" t="str">
        <f>Cleaned_Data!A7</f>
        <v>TXN00000003</v>
      </c>
      <c r="B7" t="str">
        <f>Cleaned_Data!N7</f>
        <v>AGENT00883</v>
      </c>
      <c r="C7" t="str">
        <f>IFERROR(INDEX(Agents!$B$4:$B$1203,MATCH(B7,Agents!$A$4:$A$1203,0)),"Not Found")</f>
        <v>Howard Smith</v>
      </c>
      <c r="D7" t="str">
        <f>IFERROR(INDEX(Agents!$F$4:$F$1203,MATCH(B7,Agents!$A$4:$A$1203,0)),"Not Found")</f>
        <v>Montgomery</v>
      </c>
      <c r="E7" t="str">
        <f>Cleaned_Data!M7</f>
        <v>VNDR00031</v>
      </c>
      <c r="F7" t="str">
        <f>IFERROR(INDEX(Vendors!$B$4:$B$603,MATCH(E7,Vendors!$A$4:$A$603,0)),"No Vendor / N-A")</f>
        <v>Johnson Ltd</v>
      </c>
      <c r="G7" t="str">
        <f>IFERROR(INDEX(Vendors!$E$4:$E$603,MATCH(E7,Vendors!$A$4:$A$603,0)),"No Vendor / N-A")</f>
        <v>Fayetteville</v>
      </c>
    </row>
    <row r="8" spans="1:8" x14ac:dyDescent="0.35">
      <c r="A8" t="str">
        <f>Cleaned_Data!A8</f>
        <v>TXN00000004</v>
      </c>
      <c r="B8" t="str">
        <f>Cleaned_Data!N8</f>
        <v>AGENT00278</v>
      </c>
      <c r="C8" t="str">
        <f>IFERROR(INDEX(Agents!$B$4:$B$1203,MATCH(B8,Agents!$A$4:$A$1203,0)),"Not Found")</f>
        <v>Patricia Tucker</v>
      </c>
      <c r="D8" t="str">
        <f>IFERROR(INDEX(Agents!$F$4:$F$1203,MATCH(B8,Agents!$A$4:$A$1203,0)),"Not Found")</f>
        <v>Norman</v>
      </c>
      <c r="E8" t="str">
        <f>Cleaned_Data!M8</f>
        <v>VNDR00075</v>
      </c>
      <c r="F8" t="str">
        <f>IFERROR(INDEX(Vendors!$B$4:$B$603,MATCH(E8,Vendors!$A$4:$A$603,0)),"No Vendor / N-A")</f>
        <v>Blackwell-Foster</v>
      </c>
      <c r="G8" t="str">
        <f>IFERROR(INDEX(Vendors!$E$4:$E$603,MATCH(E8,Vendors!$A$4:$A$603,0)),"No Vendor / N-A")</f>
        <v>Nashville</v>
      </c>
    </row>
    <row r="9" spans="1:8" x14ac:dyDescent="0.35">
      <c r="A9" t="str">
        <f>Cleaned_Data!A9</f>
        <v>TXN00000005</v>
      </c>
      <c r="B9" t="str">
        <f>Cleaned_Data!N9</f>
        <v>AGENT00636</v>
      </c>
      <c r="C9" t="str">
        <f>IFERROR(INDEX(Agents!$B$4:$B$1203,MATCH(B9,Agents!$A$4:$A$1203,0)),"Not Found")</f>
        <v>Brenda Bean</v>
      </c>
      <c r="D9" t="str">
        <f>IFERROR(INDEX(Agents!$F$4:$F$1203,MATCH(B9,Agents!$A$4:$A$1203,0)),"Not Found")</f>
        <v>Glen Burnie</v>
      </c>
      <c r="E9" t="str">
        <f>Cleaned_Data!M9</f>
        <v>VNDR00472</v>
      </c>
      <c r="F9" t="str">
        <f>IFERROR(INDEX(Vendors!$B$4:$B$603,MATCH(E9,Vendors!$A$4:$A$603,0)),"No Vendor / N-A")</f>
        <v>Evans-Scott</v>
      </c>
      <c r="G9" t="str">
        <f>IFERROR(INDEX(Vendors!$E$4:$E$603,MATCH(E9,Vendors!$A$4:$A$603,0)),"No Vendor / N-A")</f>
        <v>Washington</v>
      </c>
    </row>
    <row r="10" spans="1:8" x14ac:dyDescent="0.35">
      <c r="A10" t="str">
        <f>Cleaned_Data!A10</f>
        <v>TXN00000006</v>
      </c>
      <c r="B10" t="str">
        <f>Cleaned_Data!N10</f>
        <v>AGENT00402</v>
      </c>
      <c r="C10" t="str">
        <f>IFERROR(INDEX(Agents!$B$4:$B$1203,MATCH(B10,Agents!$A$4:$A$1203,0)),"Not Found")</f>
        <v>Luciano Jackson</v>
      </c>
      <c r="D10" t="str">
        <f>IFERROR(INDEX(Agents!$F$4:$F$1203,MATCH(B10,Agents!$A$4:$A$1203,0)),"Not Found")</f>
        <v>Bakersfield</v>
      </c>
      <c r="E10" t="str">
        <f>Cleaned_Data!M10</f>
        <v>N/A</v>
      </c>
      <c r="F10" t="str">
        <f>IFERROR(INDEX(Vendors!$B$4:$B$603,MATCH(E10,Vendors!$A$4:$A$603,0)),"No Vendor / N-A")</f>
        <v>No Vendor / N-A</v>
      </c>
      <c r="G10" t="str">
        <f>IFERROR(INDEX(Vendors!$E$4:$E$603,MATCH(E10,Vendors!$A$4:$A$603,0)),"No Vendor / N-A")</f>
        <v>No Vendor / N-A</v>
      </c>
    </row>
    <row r="11" spans="1:8" x14ac:dyDescent="0.35">
      <c r="A11" t="str">
        <f>Cleaned_Data!A11</f>
        <v>TXN00000007</v>
      </c>
      <c r="B11" t="str">
        <f>Cleaned_Data!N11</f>
        <v>AGENT00322</v>
      </c>
      <c r="C11" t="str">
        <f>IFERROR(INDEX(Agents!$B$4:$B$1203,MATCH(B11,Agents!$A$4:$A$1203,0)),"Not Found")</f>
        <v>Edgar Talley</v>
      </c>
      <c r="D11" t="str">
        <f>IFERROR(INDEX(Agents!$F$4:$F$1203,MATCH(B11,Agents!$A$4:$A$1203,0)),"Not Found")</f>
        <v>East Longmeadow</v>
      </c>
      <c r="E11" t="str">
        <f>Cleaned_Data!M11</f>
        <v>VNDR00150</v>
      </c>
      <c r="F11" t="str">
        <f>IFERROR(INDEX(Vendors!$B$4:$B$603,MATCH(E11,Vendors!$A$4:$A$603,0)),"No Vendor / N-A")</f>
        <v>Moreno LLC</v>
      </c>
      <c r="G11" t="str">
        <f>IFERROR(INDEX(Vendors!$E$4:$E$603,MATCH(E11,Vendors!$A$4:$A$603,0)),"No Vendor / N-A")</f>
        <v>Nashville</v>
      </c>
    </row>
    <row r="12" spans="1:8" x14ac:dyDescent="0.35">
      <c r="A12" t="str">
        <f>Cleaned_Data!A12</f>
        <v>TXN00000008</v>
      </c>
      <c r="B12" t="str">
        <f>Cleaned_Data!N12</f>
        <v>AGENT00152</v>
      </c>
      <c r="C12" t="str">
        <f>IFERROR(INDEX(Agents!$B$4:$B$1203,MATCH(B12,Agents!$A$4:$A$1203,0)),"Not Found")</f>
        <v>John Hensel</v>
      </c>
      <c r="D12" t="str">
        <f>IFERROR(INDEX(Agents!$F$4:$F$1203,MATCH(B12,Agents!$A$4:$A$1203,0)),"Not Found")</f>
        <v>Louisville</v>
      </c>
      <c r="E12" t="str">
        <f>Cleaned_Data!M12</f>
        <v>VNDR00326</v>
      </c>
      <c r="F12" t="str">
        <f>IFERROR(INDEX(Vendors!$B$4:$B$603,MATCH(E12,Vendors!$A$4:$A$603,0)),"No Vendor / N-A")</f>
        <v>Stewart Ltd</v>
      </c>
      <c r="G12" t="str">
        <f>IFERROR(INDEX(Vendors!$E$4:$E$603,MATCH(E12,Vendors!$A$4:$A$603,0)),"No Vendor / N-A")</f>
        <v>Washington</v>
      </c>
    </row>
    <row r="13" spans="1:8" x14ac:dyDescent="0.35">
      <c r="A13" t="str">
        <f>Cleaned_Data!A13</f>
        <v>TXN00000009</v>
      </c>
      <c r="B13" t="str">
        <f>Cleaned_Data!N13</f>
        <v>AGENT00450</v>
      </c>
      <c r="C13" t="str">
        <f>IFERROR(INDEX(Agents!$B$4:$B$1203,MATCH(B13,Agents!$A$4:$A$1203,0)),"Not Found")</f>
        <v>Peter Thomas</v>
      </c>
      <c r="D13" t="str">
        <f>IFERROR(INDEX(Agents!$F$4:$F$1203,MATCH(B13,Agents!$A$4:$A$1203,0)),"Not Found")</f>
        <v>Washington</v>
      </c>
      <c r="E13" t="str">
        <f>Cleaned_Data!M13</f>
        <v>VNDR00437</v>
      </c>
      <c r="F13" t="str">
        <f>IFERROR(INDEX(Vendors!$B$4:$B$603,MATCH(E13,Vendors!$A$4:$A$603,0)),"No Vendor / N-A")</f>
        <v>Hanson Inc</v>
      </c>
      <c r="G13" t="str">
        <f>IFERROR(INDEX(Vendors!$E$4:$E$603,MATCH(E13,Vendors!$A$4:$A$603,0)),"No Vendor / N-A")</f>
        <v>Fayetteville</v>
      </c>
    </row>
    <row r="14" spans="1:8" x14ac:dyDescent="0.35">
      <c r="A14" t="str">
        <f>Cleaned_Data!A14</f>
        <v>TXN00000010</v>
      </c>
      <c r="B14" t="str">
        <f>Cleaned_Data!N14</f>
        <v>AGENT00682</v>
      </c>
      <c r="C14" t="str">
        <f>IFERROR(INDEX(Agents!$B$4:$B$1203,MATCH(B14,Agents!$A$4:$A$1203,0)),"Not Found")</f>
        <v>Michael Ortiz</v>
      </c>
      <c r="D14" t="str">
        <f>IFERROR(INDEX(Agents!$F$4:$F$1203,MATCH(B14,Agents!$A$4:$A$1203,0)),"Not Found")</f>
        <v>Anchorage</v>
      </c>
      <c r="E14" t="str">
        <f>Cleaned_Data!M14</f>
        <v>N/A</v>
      </c>
      <c r="F14" t="str">
        <f>IFERROR(INDEX(Vendors!$B$4:$B$603,MATCH(E14,Vendors!$A$4:$A$603,0)),"No Vendor / N-A")</f>
        <v>No Vendor / N-A</v>
      </c>
      <c r="G14" t="str">
        <f>IFERROR(INDEX(Vendors!$E$4:$E$603,MATCH(E14,Vendors!$A$4:$A$603,0)),"No Vendor / N-A")</f>
        <v>No Vendor / N-A</v>
      </c>
    </row>
    <row r="15" spans="1:8" x14ac:dyDescent="0.35">
      <c r="A15" t="str">
        <f>Cleaned_Data!A15</f>
        <v>TXN00000011</v>
      </c>
      <c r="B15" t="str">
        <f>Cleaned_Data!N15</f>
        <v>AGENT01091</v>
      </c>
      <c r="C15" t="str">
        <f>IFERROR(INDEX(Agents!$B$4:$B$1203,MATCH(B15,Agents!$A$4:$A$1203,0)),"Not Found")</f>
        <v>Joshua Losey</v>
      </c>
      <c r="D15" t="str">
        <f>IFERROR(INDEX(Agents!$F$4:$F$1203,MATCH(B15,Agents!$A$4:$A$1203,0)),"Not Found")</f>
        <v>Montgomery</v>
      </c>
      <c r="E15" t="str">
        <f>Cleaned_Data!M15</f>
        <v>VNDR00163</v>
      </c>
      <c r="F15" t="str">
        <f>IFERROR(INDEX(Vendors!$B$4:$B$603,MATCH(E15,Vendors!$A$4:$A$603,0)),"No Vendor / N-A")</f>
        <v>Foster-Sanchez</v>
      </c>
      <c r="G15" t="str">
        <f>IFERROR(INDEX(Vendors!$E$4:$E$603,MATCH(E15,Vendors!$A$4:$A$603,0)),"No Vendor / N-A")</f>
        <v>Fremont</v>
      </c>
    </row>
    <row r="16" spans="1:8" x14ac:dyDescent="0.35">
      <c r="A16" t="str">
        <f>Cleaned_Data!A16</f>
        <v>TXN00000012</v>
      </c>
      <c r="B16" t="str">
        <f>Cleaned_Data!N16</f>
        <v>AGENT00288</v>
      </c>
      <c r="C16" t="str">
        <f>IFERROR(INDEX(Agents!$B$4:$B$1203,MATCH(B16,Agents!$A$4:$A$1203,0)),"Not Found")</f>
        <v>Michael Fowler</v>
      </c>
      <c r="D16" t="str">
        <f>IFERROR(INDEX(Agents!$F$4:$F$1203,MATCH(B16,Agents!$A$4:$A$1203,0)),"Not Found")</f>
        <v>Guthrie</v>
      </c>
      <c r="E16" t="str">
        <f>Cleaned_Data!M16</f>
        <v>N/A</v>
      </c>
      <c r="F16" t="str">
        <f>IFERROR(INDEX(Vendors!$B$4:$B$603,MATCH(E16,Vendors!$A$4:$A$603,0)),"No Vendor / N-A")</f>
        <v>No Vendor / N-A</v>
      </c>
      <c r="G16" t="str">
        <f>IFERROR(INDEX(Vendors!$E$4:$E$603,MATCH(E16,Vendors!$A$4:$A$603,0)),"No Vendor / N-A")</f>
        <v>No Vendor / N-A</v>
      </c>
    </row>
    <row r="17" spans="1:7" x14ac:dyDescent="0.35">
      <c r="A17" t="str">
        <f>Cleaned_Data!A17</f>
        <v>TXN00000013</v>
      </c>
      <c r="B17" t="str">
        <f>Cleaned_Data!N17</f>
        <v>AGENT00015</v>
      </c>
      <c r="C17" t="str">
        <f>IFERROR(INDEX(Agents!$B$4:$B$1203,MATCH(B17,Agents!$A$4:$A$1203,0)),"Not Found")</f>
        <v>Charles George</v>
      </c>
      <c r="D17" t="str">
        <f>IFERROR(INDEX(Agents!$F$4:$F$1203,MATCH(B17,Agents!$A$4:$A$1203,0)),"Not Found")</f>
        <v>Noble</v>
      </c>
      <c r="E17" t="str">
        <f>Cleaned_Data!M17</f>
        <v>VNDR00191</v>
      </c>
      <c r="F17" t="str">
        <f>IFERROR(INDEX(Vendors!$B$4:$B$603,MATCH(E17,Vendors!$A$4:$A$603,0)),"No Vendor / N-A")</f>
        <v>Armstrong-Ramirez</v>
      </c>
      <c r="G17" t="str">
        <f>IFERROR(INDEX(Vendors!$E$4:$E$603,MATCH(E17,Vendors!$A$4:$A$603,0)),"No Vendor / N-A")</f>
        <v>Manchester</v>
      </c>
    </row>
    <row r="18" spans="1:7" x14ac:dyDescent="0.35">
      <c r="A18" t="str">
        <f>Cleaned_Data!A18</f>
        <v>TXN00000014</v>
      </c>
      <c r="B18" t="str">
        <f>Cleaned_Data!N18</f>
        <v>AGENT01094</v>
      </c>
      <c r="C18" t="str">
        <f>IFERROR(INDEX(Agents!$B$4:$B$1203,MATCH(B18,Agents!$A$4:$A$1203,0)),"Not Found")</f>
        <v>Robert Venable</v>
      </c>
      <c r="D18" t="str">
        <f>IFERROR(INDEX(Agents!$F$4:$F$1203,MATCH(B18,Agents!$A$4:$A$1203,0)),"Not Found")</f>
        <v>Saint Albans City</v>
      </c>
      <c r="E18" t="str">
        <f>Cleaned_Data!M18</f>
        <v>N/A</v>
      </c>
      <c r="F18" t="str">
        <f>IFERROR(INDEX(Vendors!$B$4:$B$603,MATCH(E18,Vendors!$A$4:$A$603,0)),"No Vendor / N-A")</f>
        <v>No Vendor / N-A</v>
      </c>
      <c r="G18" t="str">
        <f>IFERROR(INDEX(Vendors!$E$4:$E$603,MATCH(E18,Vendors!$A$4:$A$603,0)),"No Vendor / N-A")</f>
        <v>No Vendor / N-A</v>
      </c>
    </row>
    <row r="19" spans="1:7" x14ac:dyDescent="0.35">
      <c r="A19" t="str">
        <f>Cleaned_Data!A19</f>
        <v>TXN00000015</v>
      </c>
      <c r="B19" t="str">
        <f>Cleaned_Data!N19</f>
        <v>AGENT00324</v>
      </c>
      <c r="C19" t="str">
        <f>IFERROR(INDEX(Agents!$B$4:$B$1203,MATCH(B19,Agents!$A$4:$A$1203,0)),"Not Found")</f>
        <v>Barbara Hernandez</v>
      </c>
      <c r="D19" t="str">
        <f>IFERROR(INDEX(Agents!$F$4:$F$1203,MATCH(B19,Agents!$A$4:$A$1203,0)),"Not Found")</f>
        <v>Panama City</v>
      </c>
      <c r="E19" t="str">
        <f>Cleaned_Data!M19</f>
        <v>VNDR00135</v>
      </c>
      <c r="F19" t="str">
        <f>IFERROR(INDEX(Vendors!$B$4:$B$603,MATCH(E19,Vendors!$A$4:$A$603,0)),"No Vendor / N-A")</f>
        <v>Shields-Bush</v>
      </c>
      <c r="G19" t="str">
        <f>IFERROR(INDEX(Vendors!$E$4:$E$603,MATCH(E19,Vendors!$A$4:$A$603,0)),"No Vendor / N-A")</f>
        <v>Savannah</v>
      </c>
    </row>
    <row r="20" spans="1:7" x14ac:dyDescent="0.35">
      <c r="A20" t="str">
        <f>Cleaned_Data!A20</f>
        <v>TXN00000016</v>
      </c>
      <c r="B20" t="str">
        <f>Cleaned_Data!N20</f>
        <v>AGENT00608</v>
      </c>
      <c r="C20" t="str">
        <f>IFERROR(INDEX(Agents!$B$4:$B$1203,MATCH(B20,Agents!$A$4:$A$1203,0)),"Not Found")</f>
        <v>Renee Zaldana</v>
      </c>
      <c r="D20" t="str">
        <f>IFERROR(INDEX(Agents!$F$4:$F$1203,MATCH(B20,Agents!$A$4:$A$1203,0)),"Not Found")</f>
        <v>Mammoth Lakes</v>
      </c>
      <c r="E20" t="str">
        <f>Cleaned_Data!M20</f>
        <v>VNDR00051</v>
      </c>
      <c r="F20" t="str">
        <f>IFERROR(INDEX(Vendors!$B$4:$B$603,MATCH(E20,Vendors!$A$4:$A$603,0)),"No Vendor / N-A")</f>
        <v>Roberts-Garcia</v>
      </c>
      <c r="G20" t="str">
        <f>IFERROR(INDEX(Vendors!$E$4:$E$603,MATCH(E20,Vendors!$A$4:$A$603,0)),"No Vendor / N-A")</f>
        <v>Louisville</v>
      </c>
    </row>
    <row r="21" spans="1:7" x14ac:dyDescent="0.35">
      <c r="A21" t="str">
        <f>Cleaned_Data!A21</f>
        <v>TXN00000017</v>
      </c>
      <c r="B21" t="str">
        <f>Cleaned_Data!N21</f>
        <v>AGENT00911</v>
      </c>
      <c r="C21" t="str">
        <f>IFERROR(INDEX(Agents!$B$4:$B$1203,MATCH(B21,Agents!$A$4:$A$1203,0)),"Not Found")</f>
        <v>Troy Caldwell</v>
      </c>
      <c r="D21" t="str">
        <f>IFERROR(INDEX(Agents!$F$4:$F$1203,MATCH(B21,Agents!$A$4:$A$1203,0)),"Not Found")</f>
        <v>Medford</v>
      </c>
      <c r="E21" t="str">
        <f>Cleaned_Data!M21</f>
        <v>VNDR00238</v>
      </c>
      <c r="F21" t="str">
        <f>IFERROR(INDEX(Vendors!$B$4:$B$603,MATCH(E21,Vendors!$A$4:$A$603,0)),"No Vendor / N-A")</f>
        <v>Moore Inc</v>
      </c>
      <c r="G21" t="str">
        <f>IFERROR(INDEX(Vendors!$E$4:$E$603,MATCH(E21,Vendors!$A$4:$A$603,0)),"No Vendor / N-A")</f>
        <v>Fayetteville</v>
      </c>
    </row>
    <row r="22" spans="1:7" x14ac:dyDescent="0.35">
      <c r="A22" t="str">
        <f>Cleaned_Data!A22</f>
        <v>TXN00000018</v>
      </c>
      <c r="B22" t="str">
        <f>Cleaned_Data!N22</f>
        <v>AGENT00079</v>
      </c>
      <c r="C22" t="str">
        <f>IFERROR(INDEX(Agents!$B$4:$B$1203,MATCH(B22,Agents!$A$4:$A$1203,0)),"Not Found")</f>
        <v>Rivka Robinson</v>
      </c>
      <c r="D22" t="str">
        <f>IFERROR(INDEX(Agents!$F$4:$F$1203,MATCH(B22,Agents!$A$4:$A$1203,0)),"Not Found")</f>
        <v>Washington</v>
      </c>
      <c r="E22" t="str">
        <f>Cleaned_Data!M22</f>
        <v>N/A</v>
      </c>
      <c r="F22" t="str">
        <f>IFERROR(INDEX(Vendors!$B$4:$B$603,MATCH(E22,Vendors!$A$4:$A$603,0)),"No Vendor / N-A")</f>
        <v>No Vendor / N-A</v>
      </c>
      <c r="G22" t="str">
        <f>IFERROR(INDEX(Vendors!$E$4:$E$603,MATCH(E22,Vendors!$A$4:$A$603,0)),"No Vendor / N-A")</f>
        <v>No Vendor / N-A</v>
      </c>
    </row>
    <row r="23" spans="1:7" x14ac:dyDescent="0.35">
      <c r="A23" t="str">
        <f>Cleaned_Data!A23</f>
        <v>TXN00000019</v>
      </c>
      <c r="B23" t="str">
        <f>Cleaned_Data!N23</f>
        <v>AGENT00994</v>
      </c>
      <c r="C23" t="str">
        <f>IFERROR(INDEX(Agents!$B$4:$B$1203,MATCH(B23,Agents!$A$4:$A$1203,0)),"Not Found")</f>
        <v>Geraldine Lopez</v>
      </c>
      <c r="D23" t="str">
        <f>IFERROR(INDEX(Agents!$F$4:$F$1203,MATCH(B23,Agents!$A$4:$A$1203,0)),"Not Found")</f>
        <v>Arvada</v>
      </c>
      <c r="E23" t="str">
        <f>Cleaned_Data!M23</f>
        <v>VNDR00107</v>
      </c>
      <c r="F23" t="str">
        <f>IFERROR(INDEX(Vendors!$B$4:$B$603,MATCH(E23,Vendors!$A$4:$A$603,0)),"No Vendor / N-A")</f>
        <v>Kaiser, Sanford and Lopez</v>
      </c>
      <c r="G23" t="str">
        <f>IFERROR(INDEX(Vendors!$E$4:$E$603,MATCH(E23,Vendors!$A$4:$A$603,0)),"No Vendor / N-A")</f>
        <v>Arvada</v>
      </c>
    </row>
    <row r="24" spans="1:7" x14ac:dyDescent="0.35">
      <c r="A24" t="str">
        <f>Cleaned_Data!A24</f>
        <v>TXN00000020</v>
      </c>
      <c r="B24" t="str">
        <f>Cleaned_Data!N24</f>
        <v>AGENT00490</v>
      </c>
      <c r="C24" t="str">
        <f>IFERROR(INDEX(Agents!$B$4:$B$1203,MATCH(B24,Agents!$A$4:$A$1203,0)),"Not Found")</f>
        <v>Kenneth Elmer</v>
      </c>
      <c r="D24" t="str">
        <f>IFERROR(INDEX(Agents!$F$4:$F$1203,MATCH(B24,Agents!$A$4:$A$1203,0)),"Not Found")</f>
        <v>Glendale</v>
      </c>
      <c r="E24" t="str">
        <f>Cleaned_Data!M24</f>
        <v>N/A</v>
      </c>
      <c r="F24" t="str">
        <f>IFERROR(INDEX(Vendors!$B$4:$B$603,MATCH(E24,Vendors!$A$4:$A$603,0)),"No Vendor / N-A")</f>
        <v>No Vendor / N-A</v>
      </c>
      <c r="G24" t="str">
        <f>IFERROR(INDEX(Vendors!$E$4:$E$603,MATCH(E24,Vendors!$A$4:$A$603,0)),"No Vendor / N-A")</f>
        <v>No Vendor / N-A</v>
      </c>
    </row>
    <row r="25" spans="1:7" x14ac:dyDescent="0.35">
      <c r="A25" t="str">
        <f>Cleaned_Data!A25</f>
        <v>TXN00000021</v>
      </c>
      <c r="B25" t="str">
        <f>Cleaned_Data!N25</f>
        <v>AGENT00446</v>
      </c>
      <c r="C25" t="str">
        <f>IFERROR(INDEX(Agents!$B$4:$B$1203,MATCH(B25,Agents!$A$4:$A$1203,0)),"Not Found")</f>
        <v>Christina Bock</v>
      </c>
      <c r="D25" t="str">
        <f>IFERROR(INDEX(Agents!$F$4:$F$1203,MATCH(B25,Agents!$A$4:$A$1203,0)),"Not Found")</f>
        <v>Berkeley</v>
      </c>
      <c r="E25" t="str">
        <f>Cleaned_Data!M25</f>
        <v>VNDR00215</v>
      </c>
      <c r="F25" t="str">
        <f>IFERROR(INDEX(Vendors!$B$4:$B$603,MATCH(E25,Vendors!$A$4:$A$603,0)),"No Vendor / N-A")</f>
        <v>Mooney, Nicholson and Martinez</v>
      </c>
      <c r="G25" t="str">
        <f>IFERROR(INDEX(Vendors!$E$4:$E$603,MATCH(E25,Vendors!$A$4:$A$603,0)),"No Vendor / N-A")</f>
        <v>Annapolis</v>
      </c>
    </row>
    <row r="26" spans="1:7" x14ac:dyDescent="0.35">
      <c r="A26" t="str">
        <f>Cleaned_Data!A26</f>
        <v>TXN00000022</v>
      </c>
      <c r="B26" t="str">
        <f>Cleaned_Data!N26</f>
        <v>AGENT00379</v>
      </c>
      <c r="C26" t="str">
        <f>IFERROR(INDEX(Agents!$B$4:$B$1203,MATCH(B26,Agents!$A$4:$A$1203,0)),"Not Found")</f>
        <v>Tracy Straight</v>
      </c>
      <c r="D26" t="str">
        <f>IFERROR(INDEX(Agents!$F$4:$F$1203,MATCH(B26,Agents!$A$4:$A$1203,0)),"Not Found")</f>
        <v>Aurora</v>
      </c>
      <c r="E26" t="str">
        <f>Cleaned_Data!M26</f>
        <v>N/A</v>
      </c>
      <c r="F26" t="str">
        <f>IFERROR(INDEX(Vendors!$B$4:$B$603,MATCH(E26,Vendors!$A$4:$A$603,0)),"No Vendor / N-A")</f>
        <v>No Vendor / N-A</v>
      </c>
      <c r="G26" t="str">
        <f>IFERROR(INDEX(Vendors!$E$4:$E$603,MATCH(E26,Vendors!$A$4:$A$603,0)),"No Vendor / N-A")</f>
        <v>No Vendor / N-A</v>
      </c>
    </row>
    <row r="27" spans="1:7" x14ac:dyDescent="0.35">
      <c r="A27" t="str">
        <f>Cleaned_Data!A27</f>
        <v>TXN00000023</v>
      </c>
      <c r="B27" t="str">
        <f>Cleaned_Data!N27</f>
        <v>AGENT00302</v>
      </c>
      <c r="C27" t="str">
        <f>IFERROR(INDEX(Agents!$B$4:$B$1203,MATCH(B27,Agents!$A$4:$A$1203,0)),"Not Found")</f>
        <v>Brenda Trent</v>
      </c>
      <c r="D27" t="str">
        <f>IFERROR(INDEX(Agents!$F$4:$F$1203,MATCH(B27,Agents!$A$4:$A$1203,0)),"Not Found")</f>
        <v>Panama City</v>
      </c>
      <c r="E27" t="str">
        <f>Cleaned_Data!M27</f>
        <v>VNDR00375</v>
      </c>
      <c r="F27" t="str">
        <f>IFERROR(INDEX(Vendors!$B$4:$B$603,MATCH(E27,Vendors!$A$4:$A$603,0)),"No Vendor / N-A")</f>
        <v>Ortega, Maldonado and Carson</v>
      </c>
      <c r="G27" t="str">
        <f>IFERROR(INDEX(Vendors!$E$4:$E$603,MATCH(E27,Vendors!$A$4:$A$603,0)),"No Vendor / N-A")</f>
        <v>Panama City Beach</v>
      </c>
    </row>
    <row r="28" spans="1:7" x14ac:dyDescent="0.35">
      <c r="A28" t="str">
        <f>Cleaned_Data!A28</f>
        <v>TXN00000024</v>
      </c>
      <c r="B28" t="str">
        <f>Cleaned_Data!N28</f>
        <v>AGENT00266</v>
      </c>
      <c r="C28" t="str">
        <f>IFERROR(INDEX(Agents!$B$4:$B$1203,MATCH(B28,Agents!$A$4:$A$1203,0)),"Not Found")</f>
        <v>Theresa Pelfrey</v>
      </c>
      <c r="D28" t="str">
        <f>IFERROR(INDEX(Agents!$F$4:$F$1203,MATCH(B28,Agents!$A$4:$A$1203,0)),"Not Found")</f>
        <v>Arvada</v>
      </c>
      <c r="E28" t="str">
        <f>Cleaned_Data!M28</f>
        <v>VNDR00585</v>
      </c>
      <c r="F28" t="str">
        <f>IFERROR(INDEX(Vendors!$B$4:$B$603,MATCH(E28,Vendors!$A$4:$A$603,0)),"No Vendor / N-A")</f>
        <v>Solomon Ltd</v>
      </c>
      <c r="G28" t="str">
        <f>IFERROR(INDEX(Vendors!$E$4:$E$603,MATCH(E28,Vendors!$A$4:$A$603,0)),"No Vendor / N-A")</f>
        <v>Fayetteville</v>
      </c>
    </row>
    <row r="29" spans="1:7" x14ac:dyDescent="0.35">
      <c r="A29" t="str">
        <f>Cleaned_Data!A29</f>
        <v>TXN00000025</v>
      </c>
      <c r="B29" t="str">
        <f>Cleaned_Data!N29</f>
        <v>AGENT00947</v>
      </c>
      <c r="C29" t="str">
        <f>IFERROR(INDEX(Agents!$B$4:$B$1203,MATCH(B29,Agents!$A$4:$A$1203,0)),"Not Found")</f>
        <v>Luis Castleman</v>
      </c>
      <c r="D29" t="str">
        <f>IFERROR(INDEX(Agents!$F$4:$F$1203,MATCH(B29,Agents!$A$4:$A$1203,0)),"Not Found")</f>
        <v>Savannah</v>
      </c>
      <c r="E29" t="str">
        <f>Cleaned_Data!M29</f>
        <v>N/A</v>
      </c>
      <c r="F29" t="str">
        <f>IFERROR(INDEX(Vendors!$B$4:$B$603,MATCH(E29,Vendors!$A$4:$A$603,0)),"No Vendor / N-A")</f>
        <v>No Vendor / N-A</v>
      </c>
      <c r="G29" t="str">
        <f>IFERROR(INDEX(Vendors!$E$4:$E$603,MATCH(E29,Vendors!$A$4:$A$603,0)),"No Vendor / N-A")</f>
        <v>No Vendor / N-A</v>
      </c>
    </row>
    <row r="30" spans="1:7" x14ac:dyDescent="0.35">
      <c r="A30" t="str">
        <f>Cleaned_Data!A30</f>
        <v>TXN00000026</v>
      </c>
      <c r="B30" t="str">
        <f>Cleaned_Data!N30</f>
        <v>AGENT00070</v>
      </c>
      <c r="C30" t="str">
        <f>IFERROR(INDEX(Agents!$B$4:$B$1203,MATCH(B30,Agents!$A$4:$A$1203,0)),"Not Found")</f>
        <v>Sylvia Buckley</v>
      </c>
      <c r="D30" t="str">
        <f>IFERROR(INDEX(Agents!$F$4:$F$1203,MATCH(B30,Agents!$A$4:$A$1203,0)),"Not Found")</f>
        <v>Severna Park</v>
      </c>
      <c r="E30" t="str">
        <f>Cleaned_Data!M30</f>
        <v>VNDR00051</v>
      </c>
      <c r="F30" t="str">
        <f>IFERROR(INDEX(Vendors!$B$4:$B$603,MATCH(E30,Vendors!$A$4:$A$603,0)),"No Vendor / N-A")</f>
        <v>Roberts-Garcia</v>
      </c>
      <c r="G30" t="str">
        <f>IFERROR(INDEX(Vendors!$E$4:$E$603,MATCH(E30,Vendors!$A$4:$A$603,0)),"No Vendor / N-A")</f>
        <v>Louisville</v>
      </c>
    </row>
    <row r="31" spans="1:7" x14ac:dyDescent="0.35">
      <c r="A31" t="str">
        <f>Cleaned_Data!A31</f>
        <v>TXN00000027</v>
      </c>
      <c r="B31" t="str">
        <f>Cleaned_Data!N31</f>
        <v>AGENT00739</v>
      </c>
      <c r="C31" t="str">
        <f>IFERROR(INDEX(Agents!$B$4:$B$1203,MATCH(B31,Agents!$A$4:$A$1203,0)),"Not Found")</f>
        <v>Jonathan Ortiz</v>
      </c>
      <c r="D31" t="str">
        <f>IFERROR(INDEX(Agents!$F$4:$F$1203,MATCH(B31,Agents!$A$4:$A$1203,0)),"Not Found")</f>
        <v>Nashville</v>
      </c>
      <c r="E31" t="str">
        <f>Cleaned_Data!M31</f>
        <v>N/A</v>
      </c>
      <c r="F31" t="str">
        <f>IFERROR(INDEX(Vendors!$B$4:$B$603,MATCH(E31,Vendors!$A$4:$A$603,0)),"No Vendor / N-A")</f>
        <v>No Vendor / N-A</v>
      </c>
      <c r="G31" t="str">
        <f>IFERROR(INDEX(Vendors!$E$4:$E$603,MATCH(E31,Vendors!$A$4:$A$603,0)),"No Vendor / N-A")</f>
        <v>No Vendor / N-A</v>
      </c>
    </row>
    <row r="32" spans="1:7" x14ac:dyDescent="0.35">
      <c r="A32" t="str">
        <f>Cleaned_Data!A32</f>
        <v>TXN00000028</v>
      </c>
      <c r="B32" t="str">
        <f>Cleaned_Data!N32</f>
        <v>AGENT01169</v>
      </c>
      <c r="C32" t="str">
        <f>IFERROR(INDEX(Agents!$B$4:$B$1203,MATCH(B32,Agents!$A$4:$A$1203,0)),"Not Found")</f>
        <v>Tracey Banks</v>
      </c>
      <c r="D32" t="str">
        <f>IFERROR(INDEX(Agents!$F$4:$F$1203,MATCH(B32,Agents!$A$4:$A$1203,0)),"Not Found")</f>
        <v>Panama City</v>
      </c>
      <c r="E32" t="str">
        <f>Cleaned_Data!M32</f>
        <v>VNDR00310</v>
      </c>
      <c r="F32" t="str">
        <f>IFERROR(INDEX(Vendors!$B$4:$B$603,MATCH(E32,Vendors!$A$4:$A$603,0)),"No Vendor / N-A")</f>
        <v>Salinas-Ferrell</v>
      </c>
      <c r="G32" t="str">
        <f>IFERROR(INDEX(Vendors!$E$4:$E$603,MATCH(E32,Vendors!$A$4:$A$603,0)),"No Vendor / N-A")</f>
        <v>Fayetteville</v>
      </c>
    </row>
    <row r="33" spans="1:7" x14ac:dyDescent="0.35">
      <c r="A33" t="str">
        <f>Cleaned_Data!A33</f>
        <v>TXN00000029</v>
      </c>
      <c r="B33" t="str">
        <f>Cleaned_Data!N33</f>
        <v>AGENT00431</v>
      </c>
      <c r="C33" t="str">
        <f>IFERROR(INDEX(Agents!$B$4:$B$1203,MATCH(B33,Agents!$A$4:$A$1203,0)),"Not Found")</f>
        <v>Sunshine Lopez</v>
      </c>
      <c r="D33" t="str">
        <f>IFERROR(INDEX(Agents!$F$4:$F$1203,MATCH(B33,Agents!$A$4:$A$1203,0)),"Not Found")</f>
        <v>Fall River</v>
      </c>
      <c r="E33" t="str">
        <f>Cleaned_Data!M33</f>
        <v>VNDR00339</v>
      </c>
      <c r="F33" t="str">
        <f>IFERROR(INDEX(Vendors!$B$4:$B$603,MATCH(E33,Vendors!$A$4:$A$603,0)),"No Vendor / N-A")</f>
        <v>Hickman-Mendoza</v>
      </c>
      <c r="G33" t="str">
        <f>IFERROR(INDEX(Vendors!$E$4:$E$603,MATCH(E33,Vendors!$A$4:$A$603,0)),"No Vendor / N-A")</f>
        <v>Glendale</v>
      </c>
    </row>
    <row r="34" spans="1:7" x14ac:dyDescent="0.35">
      <c r="A34" t="str">
        <f>Cleaned_Data!A34</f>
        <v>TXN00000030</v>
      </c>
      <c r="B34" t="str">
        <f>Cleaned_Data!N34</f>
        <v>AGENT00546</v>
      </c>
      <c r="C34" t="str">
        <f>IFERROR(INDEX(Agents!$B$4:$B$1203,MATCH(B34,Agents!$A$4:$A$1203,0)),"Not Found")</f>
        <v>Charles Wilson</v>
      </c>
      <c r="D34" t="str">
        <f>IFERROR(INDEX(Agents!$F$4:$F$1203,MATCH(B34,Agents!$A$4:$A$1203,0)),"Not Found")</f>
        <v>Savannah</v>
      </c>
      <c r="E34" t="str">
        <f>Cleaned_Data!M34</f>
        <v>VNDR00233</v>
      </c>
      <c r="F34" t="str">
        <f>IFERROR(INDEX(Vendors!$B$4:$B$603,MATCH(E34,Vendors!$A$4:$A$603,0)),"No Vendor / N-A")</f>
        <v>Cardenas-Mcknight</v>
      </c>
      <c r="G34" t="str">
        <f>IFERROR(INDEX(Vendors!$E$4:$E$603,MATCH(E34,Vendors!$A$4:$A$603,0)),"No Vendor / N-A")</f>
        <v>Anchorage</v>
      </c>
    </row>
    <row r="35" spans="1:7" x14ac:dyDescent="0.35">
      <c r="A35" t="str">
        <f>Cleaned_Data!A35</f>
        <v>TXN00000031</v>
      </c>
      <c r="B35" t="str">
        <f>Cleaned_Data!N35</f>
        <v>AGENT00531</v>
      </c>
      <c r="C35" t="str">
        <f>IFERROR(INDEX(Agents!$B$4:$B$1203,MATCH(B35,Agents!$A$4:$A$1203,0)),"Not Found")</f>
        <v>Tara Walling</v>
      </c>
      <c r="D35" t="str">
        <f>IFERROR(INDEX(Agents!$F$4:$F$1203,MATCH(B35,Agents!$A$4:$A$1203,0)),"Not Found")</f>
        <v>Glen Burnie</v>
      </c>
      <c r="E35" t="str">
        <f>Cleaned_Data!M35</f>
        <v>VNDR00249</v>
      </c>
      <c r="F35" t="str">
        <f>IFERROR(INDEX(Vendors!$B$4:$B$603,MATCH(E35,Vendors!$A$4:$A$603,0)),"No Vendor / N-A")</f>
        <v>Mora, Bass and Romero</v>
      </c>
      <c r="G35" t="str">
        <f>IFERROR(INDEX(Vendors!$E$4:$E$603,MATCH(E35,Vendors!$A$4:$A$603,0)),"No Vendor / N-A")</f>
        <v>Arvada</v>
      </c>
    </row>
    <row r="36" spans="1:7" x14ac:dyDescent="0.35">
      <c r="A36" t="str">
        <f>Cleaned_Data!A36</f>
        <v>TXN00000032</v>
      </c>
      <c r="B36" t="str">
        <f>Cleaned_Data!N36</f>
        <v>AGENT01134</v>
      </c>
      <c r="C36" t="str">
        <f>IFERROR(INDEX(Agents!$B$4:$B$1203,MATCH(B36,Agents!$A$4:$A$1203,0)),"Not Found")</f>
        <v>Joanna Bailey</v>
      </c>
      <c r="D36" t="str">
        <f>IFERROR(INDEX(Agents!$F$4:$F$1203,MATCH(B36,Agents!$A$4:$A$1203,0)),"Not Found")</f>
        <v>Farmington</v>
      </c>
      <c r="E36" t="str">
        <f>Cleaned_Data!M36</f>
        <v>N/A</v>
      </c>
      <c r="F36" t="str">
        <f>IFERROR(INDEX(Vendors!$B$4:$B$603,MATCH(E36,Vendors!$A$4:$A$603,0)),"No Vendor / N-A")</f>
        <v>No Vendor / N-A</v>
      </c>
      <c r="G36" t="str">
        <f>IFERROR(INDEX(Vendors!$E$4:$E$603,MATCH(E36,Vendors!$A$4:$A$603,0)),"No Vendor / N-A")</f>
        <v>No Vendor / N-A</v>
      </c>
    </row>
    <row r="37" spans="1:7" x14ac:dyDescent="0.35">
      <c r="A37" t="str">
        <f>Cleaned_Data!A37</f>
        <v>TXN00000033</v>
      </c>
      <c r="B37" t="str">
        <f>Cleaned_Data!N37</f>
        <v>AGENT00552</v>
      </c>
      <c r="C37" t="str">
        <f>IFERROR(INDEX(Agents!$B$4:$B$1203,MATCH(B37,Agents!$A$4:$A$1203,0)),"Not Found")</f>
        <v>Lauren Kimble</v>
      </c>
      <c r="D37" t="str">
        <f>IFERROR(INDEX(Agents!$F$4:$F$1203,MATCH(B37,Agents!$A$4:$A$1203,0)),"Not Found")</f>
        <v>Arvada</v>
      </c>
      <c r="E37" t="str">
        <f>Cleaned_Data!M37</f>
        <v>N/A</v>
      </c>
      <c r="F37" t="str">
        <f>IFERROR(INDEX(Vendors!$B$4:$B$603,MATCH(E37,Vendors!$A$4:$A$603,0)),"No Vendor / N-A")</f>
        <v>No Vendor / N-A</v>
      </c>
      <c r="G37" t="str">
        <f>IFERROR(INDEX(Vendors!$E$4:$E$603,MATCH(E37,Vendors!$A$4:$A$603,0)),"No Vendor / N-A")</f>
        <v>No Vendor / N-A</v>
      </c>
    </row>
    <row r="38" spans="1:7" x14ac:dyDescent="0.35">
      <c r="A38" t="str">
        <f>Cleaned_Data!A38</f>
        <v>TXN00000034</v>
      </c>
      <c r="B38" t="str">
        <f>Cleaned_Data!N38</f>
        <v>AGENT00623</v>
      </c>
      <c r="C38" t="str">
        <f>IFERROR(INDEX(Agents!$B$4:$B$1203,MATCH(B38,Agents!$A$4:$A$1203,0)),"Not Found")</f>
        <v>William Crume</v>
      </c>
      <c r="D38" t="str">
        <f>IFERROR(INDEX(Agents!$F$4:$F$1203,MATCH(B38,Agents!$A$4:$A$1203,0)),"Not Found")</f>
        <v>Louisville</v>
      </c>
      <c r="E38" t="str">
        <f>Cleaned_Data!M38</f>
        <v>VNDR00045</v>
      </c>
      <c r="F38" t="str">
        <f>IFERROR(INDEX(Vendors!$B$4:$B$603,MATCH(E38,Vendors!$A$4:$A$603,0)),"No Vendor / N-A")</f>
        <v>Bell PLC</v>
      </c>
      <c r="G38" t="str">
        <f>IFERROR(INDEX(Vendors!$E$4:$E$603,MATCH(E38,Vendors!$A$4:$A$603,0)),"No Vendor / N-A")</f>
        <v>Anchorage</v>
      </c>
    </row>
    <row r="39" spans="1:7" x14ac:dyDescent="0.35">
      <c r="A39" t="str">
        <f>Cleaned_Data!A39</f>
        <v>TXN00000035</v>
      </c>
      <c r="B39" t="str">
        <f>Cleaned_Data!N39</f>
        <v>AGENT00313</v>
      </c>
      <c r="C39" t="str">
        <f>IFERROR(INDEX(Agents!$B$4:$B$1203,MATCH(B39,Agents!$A$4:$A$1203,0)),"Not Found")</f>
        <v>Jean Cedeno</v>
      </c>
      <c r="D39" t="str">
        <f>IFERROR(INDEX(Agents!$F$4:$F$1203,MATCH(B39,Agents!$A$4:$A$1203,0)),"Not Found")</f>
        <v>Montgomery</v>
      </c>
      <c r="E39" t="str">
        <f>Cleaned_Data!M39</f>
        <v>VNDR00226</v>
      </c>
      <c r="F39" t="str">
        <f>IFERROR(INDEX(Vendors!$B$4:$B$603,MATCH(E39,Vendors!$A$4:$A$603,0)),"No Vendor / N-A")</f>
        <v>Ortega-Michael</v>
      </c>
      <c r="G39" t="str">
        <f>IFERROR(INDEX(Vendors!$E$4:$E$603,MATCH(E39,Vendors!$A$4:$A$603,0)),"No Vendor / N-A")</f>
        <v>Savannah</v>
      </c>
    </row>
    <row r="40" spans="1:7" x14ac:dyDescent="0.35">
      <c r="A40" t="str">
        <f>Cleaned_Data!A40</f>
        <v>TXN00000036</v>
      </c>
      <c r="B40" t="str">
        <f>Cleaned_Data!N40</f>
        <v>AGENT00886</v>
      </c>
      <c r="C40" t="str">
        <f>IFERROR(INDEX(Agents!$B$4:$B$1203,MATCH(B40,Agents!$A$4:$A$1203,0)),"Not Found")</f>
        <v>Larry Miller</v>
      </c>
      <c r="D40" t="str">
        <f>IFERROR(INDEX(Agents!$F$4:$F$1203,MATCH(B40,Agents!$A$4:$A$1203,0)),"Not Found")</f>
        <v>Panama City Beach</v>
      </c>
      <c r="E40" t="str">
        <f>Cleaned_Data!M40</f>
        <v>N/A</v>
      </c>
      <c r="F40" t="str">
        <f>IFERROR(INDEX(Vendors!$B$4:$B$603,MATCH(E40,Vendors!$A$4:$A$603,0)),"No Vendor / N-A")</f>
        <v>No Vendor / N-A</v>
      </c>
      <c r="G40" t="str">
        <f>IFERROR(INDEX(Vendors!$E$4:$E$603,MATCH(E40,Vendors!$A$4:$A$603,0)),"No Vendor / N-A")</f>
        <v>No Vendor / N-A</v>
      </c>
    </row>
    <row r="41" spans="1:7" x14ac:dyDescent="0.35">
      <c r="A41" t="str">
        <f>Cleaned_Data!A41</f>
        <v>TXN00000037</v>
      </c>
      <c r="B41" t="str">
        <f>Cleaned_Data!N41</f>
        <v>AGENT00690</v>
      </c>
      <c r="C41" t="str">
        <f>IFERROR(INDEX(Agents!$B$4:$B$1203,MATCH(B41,Agents!$A$4:$A$1203,0)),"Not Found")</f>
        <v>Robert Ward</v>
      </c>
      <c r="D41" t="str">
        <f>IFERROR(INDEX(Agents!$F$4:$F$1203,MATCH(B41,Agents!$A$4:$A$1203,0)),"Not Found")</f>
        <v>Louisville</v>
      </c>
      <c r="E41" t="str">
        <f>Cleaned_Data!M41</f>
        <v>N/A</v>
      </c>
      <c r="F41" t="str">
        <f>IFERROR(INDEX(Vendors!$B$4:$B$603,MATCH(E41,Vendors!$A$4:$A$603,0)),"No Vendor / N-A")</f>
        <v>No Vendor / N-A</v>
      </c>
      <c r="G41" t="str">
        <f>IFERROR(INDEX(Vendors!$E$4:$E$603,MATCH(E41,Vendors!$A$4:$A$603,0)),"No Vendor / N-A")</f>
        <v>No Vendor / N-A</v>
      </c>
    </row>
    <row r="42" spans="1:7" x14ac:dyDescent="0.35">
      <c r="A42" t="str">
        <f>Cleaned_Data!A42</f>
        <v>TXN00000038</v>
      </c>
      <c r="B42" t="str">
        <f>Cleaned_Data!N42</f>
        <v>AGENT00678</v>
      </c>
      <c r="C42" t="str">
        <f>IFERROR(INDEX(Agents!$B$4:$B$1203,MATCH(B42,Agents!$A$4:$A$1203,0)),"Not Found")</f>
        <v>Norman Brown</v>
      </c>
      <c r="D42" t="str">
        <f>IFERROR(INDEX(Agents!$F$4:$F$1203,MATCH(B42,Agents!$A$4:$A$1203,0)),"Not Found")</f>
        <v>Glendale</v>
      </c>
      <c r="E42" t="str">
        <f>Cleaned_Data!M42</f>
        <v>N/A</v>
      </c>
      <c r="F42" t="str">
        <f>IFERROR(INDEX(Vendors!$B$4:$B$603,MATCH(E42,Vendors!$A$4:$A$603,0)),"No Vendor / N-A")</f>
        <v>No Vendor / N-A</v>
      </c>
      <c r="G42" t="str">
        <f>IFERROR(INDEX(Vendors!$E$4:$E$603,MATCH(E42,Vendors!$A$4:$A$603,0)),"No Vendor / N-A")</f>
        <v>No Vendor / N-A</v>
      </c>
    </row>
    <row r="43" spans="1:7" x14ac:dyDescent="0.35">
      <c r="A43" t="str">
        <f>Cleaned_Data!A43</f>
        <v>TXN00000039</v>
      </c>
      <c r="B43" t="str">
        <f>Cleaned_Data!N43</f>
        <v>AGENT00132</v>
      </c>
      <c r="C43" t="str">
        <f>IFERROR(INDEX(Agents!$B$4:$B$1203,MATCH(B43,Agents!$A$4:$A$1203,0)),"Not Found")</f>
        <v>Peggy Williams</v>
      </c>
      <c r="D43" t="str">
        <f>IFERROR(INDEX(Agents!$F$4:$F$1203,MATCH(B43,Agents!$A$4:$A$1203,0)),"Not Found")</f>
        <v>Anchorage</v>
      </c>
      <c r="E43" t="str">
        <f>Cleaned_Data!M43</f>
        <v>VNDR00560</v>
      </c>
      <c r="F43" t="str">
        <f>IFERROR(INDEX(Vendors!$B$4:$B$603,MATCH(E43,Vendors!$A$4:$A$603,0)),"No Vendor / N-A")</f>
        <v>Brown Group</v>
      </c>
      <c r="G43" t="str">
        <f>IFERROR(INDEX(Vendors!$E$4:$E$603,MATCH(E43,Vendors!$A$4:$A$603,0)),"No Vendor / N-A")</f>
        <v>Arvada</v>
      </c>
    </row>
    <row r="44" spans="1:7" x14ac:dyDescent="0.35">
      <c r="A44" t="str">
        <f>Cleaned_Data!A44</f>
        <v>TXN00000040</v>
      </c>
      <c r="B44" t="str">
        <f>Cleaned_Data!N44</f>
        <v>AGENT00284</v>
      </c>
      <c r="C44" t="str">
        <f>IFERROR(INDEX(Agents!$B$4:$B$1203,MATCH(B44,Agents!$A$4:$A$1203,0)),"Not Found")</f>
        <v>Laura Carroll</v>
      </c>
      <c r="D44" t="str">
        <f>IFERROR(INDEX(Agents!$F$4:$F$1203,MATCH(B44,Agents!$A$4:$A$1203,0)),"Not Found")</f>
        <v>Berkeley</v>
      </c>
      <c r="E44" t="str">
        <f>Cleaned_Data!M44</f>
        <v>N/A</v>
      </c>
      <c r="F44" t="str">
        <f>IFERROR(INDEX(Vendors!$B$4:$B$603,MATCH(E44,Vendors!$A$4:$A$603,0)),"No Vendor / N-A")</f>
        <v>No Vendor / N-A</v>
      </c>
      <c r="G44" t="str">
        <f>IFERROR(INDEX(Vendors!$E$4:$E$603,MATCH(E44,Vendors!$A$4:$A$603,0)),"No Vendor / N-A")</f>
        <v>No Vendor / N-A</v>
      </c>
    </row>
    <row r="45" spans="1:7" x14ac:dyDescent="0.35">
      <c r="A45" t="str">
        <f>Cleaned_Data!A45</f>
        <v>TXN00000041</v>
      </c>
      <c r="B45" t="str">
        <f>Cleaned_Data!N45</f>
        <v>AGENT00312</v>
      </c>
      <c r="C45" t="str">
        <f>IFERROR(INDEX(Agents!$B$4:$B$1203,MATCH(B45,Agents!$A$4:$A$1203,0)),"Not Found")</f>
        <v>Danielle Caddell</v>
      </c>
      <c r="D45" t="str">
        <f>IFERROR(INDEX(Agents!$F$4:$F$1203,MATCH(B45,Agents!$A$4:$A$1203,0)),"Not Found")</f>
        <v>Colchester</v>
      </c>
      <c r="E45" t="str">
        <f>Cleaned_Data!M45</f>
        <v>VNDR00018</v>
      </c>
      <c r="F45" t="str">
        <f>IFERROR(INDEX(Vendors!$B$4:$B$603,MATCH(E45,Vendors!$A$4:$A$603,0)),"No Vendor / N-A")</f>
        <v>Bradley Ltd</v>
      </c>
      <c r="G45" t="str">
        <f>IFERROR(INDEX(Vendors!$E$4:$E$603,MATCH(E45,Vendors!$A$4:$A$603,0)),"No Vendor / N-A")</f>
        <v>Washington</v>
      </c>
    </row>
    <row r="46" spans="1:7" x14ac:dyDescent="0.35">
      <c r="A46" t="str">
        <f>Cleaned_Data!A46</f>
        <v>TXN00000042</v>
      </c>
      <c r="B46" t="str">
        <f>Cleaned_Data!N46</f>
        <v>AGENT00622</v>
      </c>
      <c r="C46" t="str">
        <f>IFERROR(INDEX(Agents!$B$4:$B$1203,MATCH(B46,Agents!$A$4:$A$1203,0)),"Not Found")</f>
        <v>Roscoe Wooden</v>
      </c>
      <c r="D46" t="str">
        <f>IFERROR(INDEX(Agents!$F$4:$F$1203,MATCH(B46,Agents!$A$4:$A$1203,0)),"Not Found")</f>
        <v>Anchorage</v>
      </c>
      <c r="E46" t="str">
        <f>Cleaned_Data!M46</f>
        <v>VNDR00560</v>
      </c>
      <c r="F46" t="str">
        <f>IFERROR(INDEX(Vendors!$B$4:$B$603,MATCH(E46,Vendors!$A$4:$A$603,0)),"No Vendor / N-A")</f>
        <v>Brown Group</v>
      </c>
      <c r="G46" t="str">
        <f>IFERROR(INDEX(Vendors!$E$4:$E$603,MATCH(E46,Vendors!$A$4:$A$603,0)),"No Vendor / N-A")</f>
        <v>Arvada</v>
      </c>
    </row>
    <row r="47" spans="1:7" x14ac:dyDescent="0.35">
      <c r="A47" t="str">
        <f>Cleaned_Data!A47</f>
        <v>TXN00000043</v>
      </c>
      <c r="B47" t="str">
        <f>Cleaned_Data!N47</f>
        <v>AGENT00896</v>
      </c>
      <c r="C47" t="str">
        <f>IFERROR(INDEX(Agents!$B$4:$B$1203,MATCH(B47,Agents!$A$4:$A$1203,0)),"Not Found")</f>
        <v>Callie Lewis</v>
      </c>
      <c r="D47" t="str">
        <f>IFERROR(INDEX(Agents!$F$4:$F$1203,MATCH(B47,Agents!$A$4:$A$1203,0)),"Not Found")</f>
        <v>Baltimore</v>
      </c>
      <c r="E47" t="str">
        <f>Cleaned_Data!M47</f>
        <v>VNDR00086</v>
      </c>
      <c r="F47" t="str">
        <f>IFERROR(INDEX(Vendors!$B$4:$B$603,MATCH(E47,Vendors!$A$4:$A$603,0)),"No Vendor / N-A")</f>
        <v>Guerrero, Norman and Baker</v>
      </c>
      <c r="G47" t="str">
        <f>IFERROR(INDEX(Vendors!$E$4:$E$603,MATCH(E47,Vendors!$A$4:$A$603,0)),"No Vendor / N-A")</f>
        <v>Dartmouth</v>
      </c>
    </row>
    <row r="48" spans="1:7" x14ac:dyDescent="0.35">
      <c r="A48" t="str">
        <f>Cleaned_Data!A48</f>
        <v>TXN00000044</v>
      </c>
      <c r="B48" t="str">
        <f>Cleaned_Data!N48</f>
        <v>AGENT00744</v>
      </c>
      <c r="C48" t="str">
        <f>IFERROR(INDEX(Agents!$B$4:$B$1203,MATCH(B48,Agents!$A$4:$A$1203,0)),"Not Found")</f>
        <v>Dorothy Rodriguez</v>
      </c>
      <c r="D48" t="str">
        <f>IFERROR(INDEX(Agents!$F$4:$F$1203,MATCH(B48,Agents!$A$4:$A$1203,0)),"Not Found")</f>
        <v>Glendale</v>
      </c>
      <c r="E48" t="str">
        <f>Cleaned_Data!M48</f>
        <v>N/A</v>
      </c>
      <c r="F48" t="str">
        <f>IFERROR(INDEX(Vendors!$B$4:$B$603,MATCH(E48,Vendors!$A$4:$A$603,0)),"No Vendor / N-A")</f>
        <v>No Vendor / N-A</v>
      </c>
      <c r="G48" t="str">
        <f>IFERROR(INDEX(Vendors!$E$4:$E$603,MATCH(E48,Vendors!$A$4:$A$603,0)),"No Vendor / N-A")</f>
        <v>No Vendor / N-A</v>
      </c>
    </row>
    <row r="49" spans="1:7" x14ac:dyDescent="0.35">
      <c r="A49" t="str">
        <f>Cleaned_Data!A49</f>
        <v>TXN00000045</v>
      </c>
      <c r="B49" t="str">
        <f>Cleaned_Data!N49</f>
        <v>AGENT00617</v>
      </c>
      <c r="C49" t="str">
        <f>IFERROR(INDEX(Agents!$B$4:$B$1203,MATCH(B49,Agents!$A$4:$A$1203,0)),"Not Found")</f>
        <v>Michael Brim</v>
      </c>
      <c r="D49" t="str">
        <f>IFERROR(INDEX(Agents!$F$4:$F$1203,MATCH(B49,Agents!$A$4:$A$1203,0)),"Not Found")</f>
        <v>Oklahoma City</v>
      </c>
      <c r="E49" t="str">
        <f>Cleaned_Data!M49</f>
        <v>N/A</v>
      </c>
      <c r="F49" t="str">
        <f>IFERROR(INDEX(Vendors!$B$4:$B$603,MATCH(E49,Vendors!$A$4:$A$603,0)),"No Vendor / N-A")</f>
        <v>No Vendor / N-A</v>
      </c>
      <c r="G49" t="str">
        <f>IFERROR(INDEX(Vendors!$E$4:$E$603,MATCH(E49,Vendors!$A$4:$A$603,0)),"No Vendor / N-A")</f>
        <v>No Vendor / N-A</v>
      </c>
    </row>
    <row r="50" spans="1:7" x14ac:dyDescent="0.35">
      <c r="A50" t="str">
        <f>Cleaned_Data!A50</f>
        <v>TXN00000046</v>
      </c>
      <c r="B50" t="str">
        <f>Cleaned_Data!N50</f>
        <v>AGENT00969</v>
      </c>
      <c r="C50" t="str">
        <f>IFERROR(INDEX(Agents!$B$4:$B$1203,MATCH(B50,Agents!$A$4:$A$1203,0)),"Not Found")</f>
        <v>Julian Holland</v>
      </c>
      <c r="D50" t="str">
        <f>IFERROR(INDEX(Agents!$F$4:$F$1203,MATCH(B50,Agents!$A$4:$A$1203,0)),"Not Found")</f>
        <v>Panama City Beach</v>
      </c>
      <c r="E50" t="str">
        <f>Cleaned_Data!M50</f>
        <v>VNDR00071</v>
      </c>
      <c r="F50" t="str">
        <f>IFERROR(INDEX(Vendors!$B$4:$B$603,MATCH(E50,Vendors!$A$4:$A$603,0)),"No Vendor / N-A")</f>
        <v>Martinez-Thomas</v>
      </c>
      <c r="G50" t="str">
        <f>IFERROR(INDEX(Vendors!$E$4:$E$603,MATCH(E50,Vendors!$A$4:$A$603,0)),"No Vendor / N-A")</f>
        <v>Mexico Beach</v>
      </c>
    </row>
    <row r="51" spans="1:7" x14ac:dyDescent="0.35">
      <c r="A51" t="str">
        <f>Cleaned_Data!A51</f>
        <v>TXN00000047</v>
      </c>
      <c r="B51" t="str">
        <f>Cleaned_Data!N51</f>
        <v>AGENT00642</v>
      </c>
      <c r="C51" t="str">
        <f>IFERROR(INDEX(Agents!$B$4:$B$1203,MATCH(B51,Agents!$A$4:$A$1203,0)),"Not Found")</f>
        <v>Toni Singh</v>
      </c>
      <c r="D51" t="str">
        <f>IFERROR(INDEX(Agents!$F$4:$F$1203,MATCH(B51,Agents!$A$4:$A$1203,0)),"Not Found")</f>
        <v>Manchester</v>
      </c>
      <c r="E51" t="str">
        <f>Cleaned_Data!M51</f>
        <v>N/A</v>
      </c>
      <c r="F51" t="str">
        <f>IFERROR(INDEX(Vendors!$B$4:$B$603,MATCH(E51,Vendors!$A$4:$A$603,0)),"No Vendor / N-A")</f>
        <v>No Vendor / N-A</v>
      </c>
      <c r="G51" t="str">
        <f>IFERROR(INDEX(Vendors!$E$4:$E$603,MATCH(E51,Vendors!$A$4:$A$603,0)),"No Vendor / N-A")</f>
        <v>No Vendor / N-A</v>
      </c>
    </row>
    <row r="52" spans="1:7" x14ac:dyDescent="0.35">
      <c r="A52" t="str">
        <f>Cleaned_Data!A52</f>
        <v>TXN00000048</v>
      </c>
      <c r="B52" t="str">
        <f>Cleaned_Data!N52</f>
        <v>AGENT00845</v>
      </c>
      <c r="C52" t="str">
        <f>IFERROR(INDEX(Agents!$B$4:$B$1203,MATCH(B52,Agents!$A$4:$A$1203,0)),"Not Found")</f>
        <v>Josephine Kraemer</v>
      </c>
      <c r="D52" t="str">
        <f>IFERROR(INDEX(Agents!$F$4:$F$1203,MATCH(B52,Agents!$A$4:$A$1203,0)),"Not Found")</f>
        <v>Panama City</v>
      </c>
      <c r="E52" t="str">
        <f>Cleaned_Data!M52</f>
        <v>VNDR00009</v>
      </c>
      <c r="F52" t="str">
        <f>IFERROR(INDEX(Vendors!$B$4:$B$603,MATCH(E52,Vendors!$A$4:$A$603,0)),"No Vendor / N-A")</f>
        <v>Flores, Haas and Fox</v>
      </c>
      <c r="G52" t="str">
        <f>IFERROR(INDEX(Vendors!$E$4:$E$603,MATCH(E52,Vendors!$A$4:$A$603,0)),"No Vendor / N-A")</f>
        <v>Arvada</v>
      </c>
    </row>
    <row r="53" spans="1:7" x14ac:dyDescent="0.35">
      <c r="A53" t="str">
        <f>Cleaned_Data!A53</f>
        <v>TXN00000049</v>
      </c>
      <c r="B53" t="str">
        <f>Cleaned_Data!N53</f>
        <v>AGENT00580</v>
      </c>
      <c r="C53" t="str">
        <f>IFERROR(INDEX(Agents!$B$4:$B$1203,MATCH(B53,Agents!$A$4:$A$1203,0)),"Not Found")</f>
        <v>John Hassan</v>
      </c>
      <c r="D53" t="str">
        <f>IFERROR(INDEX(Agents!$F$4:$F$1203,MATCH(B53,Agents!$A$4:$A$1203,0)),"Not Found")</f>
        <v>Anchorage</v>
      </c>
      <c r="E53" t="str">
        <f>Cleaned_Data!M53</f>
        <v>N/A</v>
      </c>
      <c r="F53" t="str">
        <f>IFERROR(INDEX(Vendors!$B$4:$B$603,MATCH(E53,Vendors!$A$4:$A$603,0)),"No Vendor / N-A")</f>
        <v>No Vendor / N-A</v>
      </c>
      <c r="G53" t="str">
        <f>IFERROR(INDEX(Vendors!$E$4:$E$603,MATCH(E53,Vendors!$A$4:$A$603,0)),"No Vendor / N-A")</f>
        <v>No Vendor / N-A</v>
      </c>
    </row>
    <row r="54" spans="1:7" x14ac:dyDescent="0.35">
      <c r="A54" t="str">
        <f>Cleaned_Data!A54</f>
        <v>TXN00000050</v>
      </c>
      <c r="B54" t="str">
        <f>Cleaned_Data!N54</f>
        <v>AGENT00697</v>
      </c>
      <c r="C54" t="str">
        <f>IFERROR(INDEX(Agents!$B$4:$B$1203,MATCH(B54,Agents!$A$4:$A$1203,0)),"Not Found")</f>
        <v>Judy Hall</v>
      </c>
      <c r="D54" t="str">
        <f>IFERROR(INDEX(Agents!$F$4:$F$1203,MATCH(B54,Agents!$A$4:$A$1203,0)),"Not Found")</f>
        <v>Louisville</v>
      </c>
      <c r="E54" t="str">
        <f>Cleaned_Data!M54</f>
        <v>VNDR00488</v>
      </c>
      <c r="F54" t="str">
        <f>IFERROR(INDEX(Vendors!$B$4:$B$603,MATCH(E54,Vendors!$A$4:$A$603,0)),"No Vendor / N-A")</f>
        <v>Walker-Ingram</v>
      </c>
      <c r="G54" t="str">
        <f>IFERROR(INDEX(Vendors!$E$4:$E$603,MATCH(E54,Vendors!$A$4:$A$603,0)),"No Vendor / N-A")</f>
        <v>Fremont</v>
      </c>
    </row>
    <row r="55" spans="1:7" x14ac:dyDescent="0.35">
      <c r="A55" t="str">
        <f>Cleaned_Data!A55</f>
        <v>TXN00000051</v>
      </c>
      <c r="B55" t="str">
        <f>Cleaned_Data!N55</f>
        <v>AGENT00780</v>
      </c>
      <c r="C55" t="str">
        <f>IFERROR(INDEX(Agents!$B$4:$B$1203,MATCH(B55,Agents!$A$4:$A$1203,0)),"Not Found")</f>
        <v>Yvonne Coomer</v>
      </c>
      <c r="D55" t="str">
        <f>IFERROR(INDEX(Agents!$F$4:$F$1203,MATCH(B55,Agents!$A$4:$A$1203,0)),"Not Found")</f>
        <v>Washington</v>
      </c>
      <c r="E55" t="str">
        <f>Cleaned_Data!M55</f>
        <v>N/A</v>
      </c>
      <c r="F55" t="str">
        <f>IFERROR(INDEX(Vendors!$B$4:$B$603,MATCH(E55,Vendors!$A$4:$A$603,0)),"No Vendor / N-A")</f>
        <v>No Vendor / N-A</v>
      </c>
      <c r="G55" t="str">
        <f>IFERROR(INDEX(Vendors!$E$4:$E$603,MATCH(E55,Vendors!$A$4:$A$603,0)),"No Vendor / N-A")</f>
        <v>No Vendor / N-A</v>
      </c>
    </row>
    <row r="56" spans="1:7" x14ac:dyDescent="0.35">
      <c r="A56" t="str">
        <f>Cleaned_Data!A56</f>
        <v>TXN00000052</v>
      </c>
      <c r="B56" t="str">
        <f>Cleaned_Data!N56</f>
        <v>AGENT01183</v>
      </c>
      <c r="C56" t="str">
        <f>IFERROR(INDEX(Agents!$B$4:$B$1203,MATCH(B56,Agents!$A$4:$A$1203,0)),"Not Found")</f>
        <v>Elisa Guerrero</v>
      </c>
      <c r="D56" t="str">
        <f>IFERROR(INDEX(Agents!$F$4:$F$1203,MATCH(B56,Agents!$A$4:$A$1203,0)),"Not Found")</f>
        <v>Swanton</v>
      </c>
      <c r="E56" t="str">
        <f>Cleaned_Data!M56</f>
        <v>VNDR00277</v>
      </c>
      <c r="F56" t="str">
        <f>IFERROR(INDEX(Vendors!$B$4:$B$603,MATCH(E56,Vendors!$A$4:$A$603,0)),"No Vendor / N-A")</f>
        <v>Baker and Sons</v>
      </c>
      <c r="G56" t="str">
        <f>IFERROR(INDEX(Vendors!$E$4:$E$603,MATCH(E56,Vendors!$A$4:$A$603,0)),"No Vendor / N-A")</f>
        <v>Savannah</v>
      </c>
    </row>
    <row r="57" spans="1:7" x14ac:dyDescent="0.35">
      <c r="A57" t="str">
        <f>Cleaned_Data!A57</f>
        <v>TXN00000053</v>
      </c>
      <c r="B57" t="str">
        <f>Cleaned_Data!N57</f>
        <v>AGENT00293</v>
      </c>
      <c r="C57" t="str">
        <f>IFERROR(INDEX(Agents!$B$4:$B$1203,MATCH(B57,Agents!$A$4:$A$1203,0)),"Not Found")</f>
        <v>Judy Drinkwater</v>
      </c>
      <c r="D57" t="str">
        <f>IFERROR(INDEX(Agents!$F$4:$F$1203,MATCH(B57,Agents!$A$4:$A$1203,0)),"Not Found")</f>
        <v>Arvada</v>
      </c>
      <c r="E57" t="str">
        <f>Cleaned_Data!M57</f>
        <v>VNDR00025</v>
      </c>
      <c r="F57" t="str">
        <f>IFERROR(INDEX(Vendors!$B$4:$B$603,MATCH(E57,Vendors!$A$4:$A$603,0)),"No Vendor / N-A")</f>
        <v>Wright Group</v>
      </c>
      <c r="G57" t="str">
        <f>IFERROR(INDEX(Vendors!$E$4:$E$603,MATCH(E57,Vendors!$A$4:$A$603,0)),"No Vendor / N-A")</f>
        <v>Fayetteville</v>
      </c>
    </row>
    <row r="58" spans="1:7" x14ac:dyDescent="0.35">
      <c r="A58" t="str">
        <f>Cleaned_Data!A58</f>
        <v>TXN00000054</v>
      </c>
      <c r="B58" t="str">
        <f>Cleaned_Data!N58</f>
        <v>AGENT01049</v>
      </c>
      <c r="C58" t="str">
        <f>IFERROR(INDEX(Agents!$B$4:$B$1203,MATCH(B58,Agents!$A$4:$A$1203,0)),"Not Found")</f>
        <v>Jazmin Lewison</v>
      </c>
      <c r="D58" t="str">
        <f>IFERROR(INDEX(Agents!$F$4:$F$1203,MATCH(B58,Agents!$A$4:$A$1203,0)),"Not Found")</f>
        <v>Fayetteville</v>
      </c>
      <c r="E58" t="str">
        <f>Cleaned_Data!M58</f>
        <v>VNDR00448</v>
      </c>
      <c r="F58" t="str">
        <f>IFERROR(INDEX(Vendors!$B$4:$B$603,MATCH(E58,Vendors!$A$4:$A$603,0)),"No Vendor / N-A")</f>
        <v>Jackson and Sons</v>
      </c>
      <c r="G58" t="str">
        <f>IFERROR(INDEX(Vendors!$E$4:$E$603,MATCH(E58,Vendors!$A$4:$A$603,0)),"No Vendor / N-A")</f>
        <v>Savannah</v>
      </c>
    </row>
    <row r="59" spans="1:7" x14ac:dyDescent="0.35">
      <c r="A59" t="str">
        <f>Cleaned_Data!A59</f>
        <v>TXN00000055</v>
      </c>
      <c r="B59" t="str">
        <f>Cleaned_Data!N59</f>
        <v>AGENT00046</v>
      </c>
      <c r="C59" t="str">
        <f>IFERROR(INDEX(Agents!$B$4:$B$1203,MATCH(B59,Agents!$A$4:$A$1203,0)),"Not Found")</f>
        <v>William Ramos</v>
      </c>
      <c r="D59" t="str">
        <f>IFERROR(INDEX(Agents!$F$4:$F$1203,MATCH(B59,Agents!$A$4:$A$1203,0)),"Not Found")</f>
        <v>Hayward</v>
      </c>
      <c r="E59" t="str">
        <f>Cleaned_Data!M59</f>
        <v>VNDR00445</v>
      </c>
      <c r="F59" t="str">
        <f>IFERROR(INDEX(Vendors!$B$4:$B$603,MATCH(E59,Vendors!$A$4:$A$603,0)),"No Vendor / N-A")</f>
        <v>Bass, Garcia and Garcia</v>
      </c>
      <c r="G59" t="str">
        <f>IFERROR(INDEX(Vendors!$E$4:$E$603,MATCH(E59,Vendors!$A$4:$A$603,0)),"No Vendor / N-A")</f>
        <v>Arvada</v>
      </c>
    </row>
    <row r="60" spans="1:7" x14ac:dyDescent="0.35">
      <c r="A60" t="str">
        <f>Cleaned_Data!A60</f>
        <v>TXN00000056</v>
      </c>
      <c r="B60" t="str">
        <f>Cleaned_Data!N60</f>
        <v>AGENT00224</v>
      </c>
      <c r="C60" t="str">
        <f>IFERROR(INDEX(Agents!$B$4:$B$1203,MATCH(B60,Agents!$A$4:$A$1203,0)),"Not Found")</f>
        <v>Evelyn Ortiz</v>
      </c>
      <c r="D60" t="str">
        <f>IFERROR(INDEX(Agents!$F$4:$F$1203,MATCH(B60,Agents!$A$4:$A$1203,0)),"Not Found")</f>
        <v>Arvada</v>
      </c>
      <c r="E60" t="str">
        <f>Cleaned_Data!M60</f>
        <v>VNDR00498</v>
      </c>
      <c r="F60" t="str">
        <f>IFERROR(INDEX(Vendors!$B$4:$B$603,MATCH(E60,Vendors!$A$4:$A$603,0)),"No Vendor / N-A")</f>
        <v>Smith-Clark</v>
      </c>
      <c r="G60" t="str">
        <f>IFERROR(INDEX(Vendors!$E$4:$E$603,MATCH(E60,Vendors!$A$4:$A$603,0)),"No Vendor / N-A")</f>
        <v>Edmond</v>
      </c>
    </row>
    <row r="61" spans="1:7" x14ac:dyDescent="0.35">
      <c r="A61" t="str">
        <f>Cleaned_Data!A61</f>
        <v>TXN00000057</v>
      </c>
      <c r="B61" t="str">
        <f>Cleaned_Data!N61</f>
        <v>AGENT00410</v>
      </c>
      <c r="C61" t="str">
        <f>IFERROR(INDEX(Agents!$B$4:$B$1203,MATCH(B61,Agents!$A$4:$A$1203,0)),"Not Found")</f>
        <v>Ken Tantillo</v>
      </c>
      <c r="D61" t="str">
        <f>IFERROR(INDEX(Agents!$F$4:$F$1203,MATCH(B61,Agents!$A$4:$A$1203,0)),"Not Found")</f>
        <v>Severna Park</v>
      </c>
      <c r="E61" t="str">
        <f>Cleaned_Data!M61</f>
        <v>VNDR00358</v>
      </c>
      <c r="F61" t="str">
        <f>IFERROR(INDEX(Vendors!$B$4:$B$603,MATCH(E61,Vendors!$A$4:$A$603,0)),"No Vendor / N-A")</f>
        <v>Hernandez PLC</v>
      </c>
      <c r="G61" t="str">
        <f>IFERROR(INDEX(Vendors!$E$4:$E$603,MATCH(E61,Vendors!$A$4:$A$603,0)),"No Vendor / N-A")</f>
        <v>Fayetteville</v>
      </c>
    </row>
    <row r="62" spans="1:7" x14ac:dyDescent="0.35">
      <c r="A62" t="str">
        <f>Cleaned_Data!A62</f>
        <v>TXN00000058</v>
      </c>
      <c r="B62" t="str">
        <f>Cleaned_Data!N62</f>
        <v>AGENT00515</v>
      </c>
      <c r="C62" t="str">
        <f>IFERROR(INDEX(Agents!$B$4:$B$1203,MATCH(B62,Agents!$A$4:$A$1203,0)),"Not Found")</f>
        <v>Janelle Hill</v>
      </c>
      <c r="D62" t="str">
        <f>IFERROR(INDEX(Agents!$F$4:$F$1203,MATCH(B62,Agents!$A$4:$A$1203,0)),"Not Found")</f>
        <v>Fayetteville</v>
      </c>
      <c r="E62" t="str">
        <f>Cleaned_Data!M62</f>
        <v>VNDR00164</v>
      </c>
      <c r="F62" t="str">
        <f>IFERROR(INDEX(Vendors!$B$4:$B$603,MATCH(E62,Vendors!$A$4:$A$603,0)),"No Vendor / N-A")</f>
        <v>Perkins Group</v>
      </c>
      <c r="G62" t="str">
        <f>IFERROR(INDEX(Vendors!$E$4:$E$603,MATCH(E62,Vendors!$A$4:$A$603,0)),"No Vendor / N-A")</f>
        <v>Mountain View</v>
      </c>
    </row>
    <row r="63" spans="1:7" x14ac:dyDescent="0.35">
      <c r="A63" t="str">
        <f>Cleaned_Data!A63</f>
        <v>TXN00000059</v>
      </c>
      <c r="B63" t="str">
        <f>Cleaned_Data!N63</f>
        <v>AGENT00824</v>
      </c>
      <c r="C63" t="str">
        <f>IFERROR(INDEX(Agents!$B$4:$B$1203,MATCH(B63,Agents!$A$4:$A$1203,0)),"Not Found")</f>
        <v>Roger Ewing</v>
      </c>
      <c r="D63" t="str">
        <f>IFERROR(INDEX(Agents!$F$4:$F$1203,MATCH(B63,Agents!$A$4:$A$1203,0)),"Not Found")</f>
        <v>Montgomery</v>
      </c>
      <c r="E63" t="str">
        <f>Cleaned_Data!M63</f>
        <v>VNDR00083</v>
      </c>
      <c r="F63" t="str">
        <f>IFERROR(INDEX(Vendors!$B$4:$B$603,MATCH(E63,Vendors!$A$4:$A$603,0)),"No Vendor / N-A")</f>
        <v>Kennedy, Benjamin and Young</v>
      </c>
      <c r="G63" t="str">
        <f>IFERROR(INDEX(Vendors!$E$4:$E$603,MATCH(E63,Vendors!$A$4:$A$603,0)),"No Vendor / N-A")</f>
        <v>Montgomery</v>
      </c>
    </row>
    <row r="64" spans="1:7" x14ac:dyDescent="0.35">
      <c r="A64" t="str">
        <f>Cleaned_Data!A64</f>
        <v>TXN00000060</v>
      </c>
      <c r="B64" t="str">
        <f>Cleaned_Data!N64</f>
        <v>AGENT00288</v>
      </c>
      <c r="C64" t="str">
        <f>IFERROR(INDEX(Agents!$B$4:$B$1203,MATCH(B64,Agents!$A$4:$A$1203,0)),"Not Found")</f>
        <v>Michael Fowler</v>
      </c>
      <c r="D64" t="str">
        <f>IFERROR(INDEX(Agents!$F$4:$F$1203,MATCH(B64,Agents!$A$4:$A$1203,0)),"Not Found")</f>
        <v>Guthrie</v>
      </c>
      <c r="E64" t="str">
        <f>Cleaned_Data!M64</f>
        <v>N/A</v>
      </c>
      <c r="F64" t="str">
        <f>IFERROR(INDEX(Vendors!$B$4:$B$603,MATCH(E64,Vendors!$A$4:$A$603,0)),"No Vendor / N-A")</f>
        <v>No Vendor / N-A</v>
      </c>
      <c r="G64" t="str">
        <f>IFERROR(INDEX(Vendors!$E$4:$E$603,MATCH(E64,Vendors!$A$4:$A$603,0)),"No Vendor / N-A")</f>
        <v>No Vendor / N-A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3"/>
  <sheetViews>
    <sheetView topLeftCell="D1" zoomScaleNormal="100" workbookViewId="0">
      <pane ySplit="3" topLeftCell="A4" activePane="bottomLeft" state="frozen"/>
      <selection pane="bottomLeft" sqref="A1:J1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17.7265625" bestFit="1" customWidth="1"/>
    <col min="4" max="4" width="26" customWidth="1"/>
    <col min="5" max="5" width="15.453125" bestFit="1" customWidth="1"/>
    <col min="6" max="6" width="24" customWidth="1"/>
    <col min="7" max="7" width="10" customWidth="1"/>
    <col min="8" max="8" width="14.36328125" bestFit="1" customWidth="1"/>
    <col min="9" max="9" width="23.1796875" bestFit="1" customWidth="1"/>
    <col min="10" max="10" width="21.54296875" bestFit="1" customWidth="1"/>
  </cols>
  <sheetData>
    <row r="1" spans="1:10" ht="18" x14ac:dyDescent="0.4">
      <c r="A1" s="2" t="s">
        <v>7880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5">
      <c r="A3" s="10" t="s">
        <v>27</v>
      </c>
      <c r="B3" s="10" t="s">
        <v>7881</v>
      </c>
      <c r="C3" s="10" t="s">
        <v>7882</v>
      </c>
      <c r="D3" s="10" t="s">
        <v>7883</v>
      </c>
      <c r="E3" s="10" t="s">
        <v>7884</v>
      </c>
      <c r="F3" s="10" t="s">
        <v>7885</v>
      </c>
      <c r="G3" s="10" t="s">
        <v>19</v>
      </c>
      <c r="H3" s="10" t="s">
        <v>7886</v>
      </c>
      <c r="I3" s="10" t="s">
        <v>7887</v>
      </c>
      <c r="J3" s="10" t="s">
        <v>7888</v>
      </c>
    </row>
    <row r="4" spans="1:10" x14ac:dyDescent="0.35">
      <c r="A4" t="s">
        <v>408</v>
      </c>
      <c r="B4" t="s">
        <v>7889</v>
      </c>
      <c r="C4" t="s">
        <v>7890</v>
      </c>
      <c r="D4" t="s">
        <v>7891</v>
      </c>
      <c r="F4" t="s">
        <v>7892</v>
      </c>
      <c r="G4" t="s">
        <v>147</v>
      </c>
      <c r="H4">
        <v>5677</v>
      </c>
      <c r="I4">
        <v>34584958</v>
      </c>
      <c r="J4" t="s">
        <v>7893</v>
      </c>
    </row>
    <row r="5" spans="1:10" x14ac:dyDescent="0.35">
      <c r="A5" t="s">
        <v>5508</v>
      </c>
      <c r="B5" t="s">
        <v>7894</v>
      </c>
      <c r="C5" t="s">
        <v>7895</v>
      </c>
      <c r="D5" t="s">
        <v>7896</v>
      </c>
      <c r="F5" t="s">
        <v>209</v>
      </c>
      <c r="G5" t="s">
        <v>74</v>
      </c>
      <c r="H5">
        <v>32404</v>
      </c>
      <c r="I5">
        <v>107363763</v>
      </c>
      <c r="J5" t="s">
        <v>7897</v>
      </c>
    </row>
    <row r="6" spans="1:10" x14ac:dyDescent="0.35">
      <c r="A6" t="s">
        <v>2343</v>
      </c>
      <c r="B6" t="s">
        <v>7898</v>
      </c>
      <c r="C6" t="s">
        <v>7899</v>
      </c>
      <c r="D6" t="s">
        <v>7900</v>
      </c>
      <c r="E6" t="s">
        <v>7901</v>
      </c>
      <c r="F6" t="s">
        <v>124</v>
      </c>
      <c r="G6" t="s">
        <v>117</v>
      </c>
      <c r="H6">
        <v>72701</v>
      </c>
      <c r="I6">
        <v>81744097</v>
      </c>
      <c r="J6" t="s">
        <v>7902</v>
      </c>
    </row>
    <row r="7" spans="1:10" x14ac:dyDescent="0.35">
      <c r="A7" t="s">
        <v>2150</v>
      </c>
      <c r="B7" t="s">
        <v>1596</v>
      </c>
      <c r="C7" t="s">
        <v>7903</v>
      </c>
      <c r="D7" t="s">
        <v>7904</v>
      </c>
      <c r="F7" t="s">
        <v>209</v>
      </c>
      <c r="G7" t="s">
        <v>74</v>
      </c>
      <c r="H7">
        <v>32404</v>
      </c>
      <c r="I7">
        <v>67563771</v>
      </c>
      <c r="J7" t="s">
        <v>7905</v>
      </c>
    </row>
    <row r="8" spans="1:10" x14ac:dyDescent="0.35">
      <c r="A8" t="s">
        <v>2698</v>
      </c>
      <c r="B8" t="s">
        <v>7906</v>
      </c>
      <c r="C8" t="s">
        <v>7907</v>
      </c>
      <c r="D8" t="s">
        <v>7908</v>
      </c>
      <c r="F8" t="s">
        <v>45</v>
      </c>
      <c r="G8" t="s">
        <v>46</v>
      </c>
      <c r="H8">
        <v>36110</v>
      </c>
      <c r="I8">
        <v>114951317</v>
      </c>
      <c r="J8" t="s">
        <v>7909</v>
      </c>
    </row>
    <row r="9" spans="1:10" x14ac:dyDescent="0.35">
      <c r="A9" t="s">
        <v>5043</v>
      </c>
      <c r="B9" t="s">
        <v>7910</v>
      </c>
      <c r="C9" t="s">
        <v>7911</v>
      </c>
      <c r="D9" t="s">
        <v>7912</v>
      </c>
      <c r="F9" t="s">
        <v>112</v>
      </c>
      <c r="G9" t="s">
        <v>106</v>
      </c>
      <c r="H9">
        <v>99577</v>
      </c>
      <c r="I9">
        <v>82970527</v>
      </c>
      <c r="J9" t="s">
        <v>7913</v>
      </c>
    </row>
    <row r="10" spans="1:10" x14ac:dyDescent="0.35">
      <c r="A10" t="s">
        <v>456</v>
      </c>
      <c r="B10" t="s">
        <v>7914</v>
      </c>
      <c r="C10" t="s">
        <v>7915</v>
      </c>
      <c r="D10" t="s">
        <v>7916</v>
      </c>
      <c r="F10" t="s">
        <v>70</v>
      </c>
      <c r="G10" t="s">
        <v>31</v>
      </c>
      <c r="H10">
        <v>85302</v>
      </c>
      <c r="I10">
        <v>53819552</v>
      </c>
      <c r="J10" t="s">
        <v>7917</v>
      </c>
    </row>
    <row r="11" spans="1:10" x14ac:dyDescent="0.35">
      <c r="A11" t="s">
        <v>4182</v>
      </c>
      <c r="B11" t="s">
        <v>7918</v>
      </c>
      <c r="C11" t="s">
        <v>7919</v>
      </c>
      <c r="D11" t="s">
        <v>7920</v>
      </c>
      <c r="F11" t="s">
        <v>209</v>
      </c>
      <c r="G11" t="s">
        <v>74</v>
      </c>
      <c r="H11">
        <v>32405</v>
      </c>
      <c r="I11">
        <v>58311521</v>
      </c>
      <c r="J11" t="s">
        <v>7921</v>
      </c>
    </row>
    <row r="12" spans="1:10" x14ac:dyDescent="0.35">
      <c r="A12" t="s">
        <v>2201</v>
      </c>
      <c r="B12" t="s">
        <v>7922</v>
      </c>
      <c r="C12" t="s">
        <v>7923</v>
      </c>
      <c r="D12" t="s">
        <v>7924</v>
      </c>
      <c r="F12" t="s">
        <v>130</v>
      </c>
      <c r="G12" t="s">
        <v>123</v>
      </c>
      <c r="H12">
        <v>20007</v>
      </c>
      <c r="I12">
        <v>66645522</v>
      </c>
      <c r="J12" t="s">
        <v>7925</v>
      </c>
    </row>
    <row r="13" spans="1:10" x14ac:dyDescent="0.35">
      <c r="A13" t="s">
        <v>3071</v>
      </c>
      <c r="B13" t="s">
        <v>7926</v>
      </c>
      <c r="C13" t="s">
        <v>7927</v>
      </c>
      <c r="D13" t="s">
        <v>7928</v>
      </c>
      <c r="F13" t="s">
        <v>124</v>
      </c>
      <c r="G13" t="s">
        <v>117</v>
      </c>
      <c r="H13">
        <v>72703</v>
      </c>
      <c r="I13">
        <v>75517997</v>
      </c>
      <c r="J13" t="s">
        <v>7929</v>
      </c>
    </row>
    <row r="14" spans="1:10" x14ac:dyDescent="0.35">
      <c r="A14" t="s">
        <v>452</v>
      </c>
      <c r="B14" t="s">
        <v>7930</v>
      </c>
      <c r="C14" t="s">
        <v>7931</v>
      </c>
      <c r="D14" t="s">
        <v>7932</v>
      </c>
      <c r="F14" t="s">
        <v>130</v>
      </c>
      <c r="G14" t="s">
        <v>123</v>
      </c>
      <c r="H14">
        <v>20019</v>
      </c>
      <c r="I14">
        <v>28574903</v>
      </c>
      <c r="J14" t="s">
        <v>7933</v>
      </c>
    </row>
    <row r="15" spans="1:10" x14ac:dyDescent="0.35">
      <c r="A15" t="s">
        <v>7934</v>
      </c>
      <c r="B15" t="s">
        <v>7935</v>
      </c>
      <c r="C15" t="s">
        <v>7936</v>
      </c>
      <c r="D15" t="s">
        <v>7937</v>
      </c>
      <c r="E15" t="s">
        <v>7938</v>
      </c>
      <c r="F15" t="s">
        <v>124</v>
      </c>
      <c r="G15" t="s">
        <v>117</v>
      </c>
      <c r="H15">
        <v>72703</v>
      </c>
      <c r="I15">
        <v>121484709</v>
      </c>
      <c r="J15" t="s">
        <v>7939</v>
      </c>
    </row>
    <row r="16" spans="1:10" x14ac:dyDescent="0.35">
      <c r="A16" t="s">
        <v>3583</v>
      </c>
      <c r="B16" t="s">
        <v>7940</v>
      </c>
      <c r="C16" t="s">
        <v>7941</v>
      </c>
      <c r="D16" t="s">
        <v>7942</v>
      </c>
      <c r="F16" t="s">
        <v>334</v>
      </c>
      <c r="G16" t="s">
        <v>51</v>
      </c>
      <c r="H16">
        <v>94608</v>
      </c>
      <c r="I16">
        <v>22235031</v>
      </c>
      <c r="J16" t="s">
        <v>7943</v>
      </c>
    </row>
    <row r="17" spans="1:10" x14ac:dyDescent="0.35">
      <c r="A17" t="s">
        <v>1019</v>
      </c>
      <c r="B17" t="s">
        <v>7944</v>
      </c>
      <c r="C17" t="s">
        <v>7945</v>
      </c>
      <c r="D17" t="s">
        <v>7946</v>
      </c>
      <c r="E17" t="s">
        <v>7947</v>
      </c>
      <c r="F17" t="s">
        <v>334</v>
      </c>
      <c r="G17" t="s">
        <v>51</v>
      </c>
      <c r="H17">
        <v>94605</v>
      </c>
      <c r="I17">
        <v>20663647</v>
      </c>
      <c r="J17" t="s">
        <v>7948</v>
      </c>
    </row>
    <row r="18" spans="1:10" x14ac:dyDescent="0.35">
      <c r="A18" t="s">
        <v>109</v>
      </c>
      <c r="B18" t="s">
        <v>7949</v>
      </c>
      <c r="C18" t="s">
        <v>7950</v>
      </c>
      <c r="D18" t="s">
        <v>7951</v>
      </c>
      <c r="F18" t="s">
        <v>7952</v>
      </c>
      <c r="G18" t="s">
        <v>236</v>
      </c>
      <c r="H18">
        <v>73068</v>
      </c>
      <c r="I18">
        <v>112506777</v>
      </c>
      <c r="J18" t="s">
        <v>7953</v>
      </c>
    </row>
    <row r="19" spans="1:10" x14ac:dyDescent="0.35">
      <c r="A19" t="s">
        <v>2791</v>
      </c>
      <c r="B19" t="s">
        <v>7954</v>
      </c>
      <c r="C19" t="s">
        <v>7955</v>
      </c>
      <c r="D19" t="s">
        <v>7956</v>
      </c>
      <c r="E19" t="s">
        <v>7957</v>
      </c>
      <c r="F19" t="s">
        <v>118</v>
      </c>
      <c r="G19" t="s">
        <v>42</v>
      </c>
      <c r="H19">
        <v>80403</v>
      </c>
      <c r="I19">
        <v>117354623</v>
      </c>
      <c r="J19" t="s">
        <v>7958</v>
      </c>
    </row>
    <row r="20" spans="1:10" x14ac:dyDescent="0.35">
      <c r="A20" t="s">
        <v>2587</v>
      </c>
      <c r="B20" t="s">
        <v>7959</v>
      </c>
      <c r="C20" t="s">
        <v>7960</v>
      </c>
      <c r="D20" t="s">
        <v>7961</v>
      </c>
      <c r="F20" t="s">
        <v>124</v>
      </c>
      <c r="G20" t="s">
        <v>117</v>
      </c>
      <c r="H20">
        <v>72701</v>
      </c>
      <c r="I20">
        <v>33587927</v>
      </c>
      <c r="J20" t="s">
        <v>7962</v>
      </c>
    </row>
    <row r="21" spans="1:10" x14ac:dyDescent="0.35">
      <c r="A21" t="s">
        <v>322</v>
      </c>
      <c r="B21" t="s">
        <v>7963</v>
      </c>
      <c r="C21" t="s">
        <v>7964</v>
      </c>
      <c r="D21" t="s">
        <v>7965</v>
      </c>
      <c r="F21" t="s">
        <v>45</v>
      </c>
      <c r="G21" t="s">
        <v>46</v>
      </c>
      <c r="H21">
        <v>36117</v>
      </c>
      <c r="I21">
        <v>31655398</v>
      </c>
      <c r="J21" t="s">
        <v>7966</v>
      </c>
    </row>
    <row r="22" spans="1:10" x14ac:dyDescent="0.35">
      <c r="A22" t="s">
        <v>6103</v>
      </c>
      <c r="B22" t="s">
        <v>7967</v>
      </c>
      <c r="C22" t="s">
        <v>7968</v>
      </c>
      <c r="D22" t="s">
        <v>7969</v>
      </c>
      <c r="F22" t="s">
        <v>107</v>
      </c>
      <c r="G22" t="s">
        <v>87</v>
      </c>
      <c r="H22">
        <v>40211</v>
      </c>
      <c r="I22">
        <v>36932870</v>
      </c>
      <c r="J22" t="s">
        <v>7970</v>
      </c>
    </row>
    <row r="23" spans="1:10" x14ac:dyDescent="0.35">
      <c r="A23" t="s">
        <v>5680</v>
      </c>
      <c r="B23" t="s">
        <v>7971</v>
      </c>
      <c r="C23" t="s">
        <v>7972</v>
      </c>
      <c r="D23" t="s">
        <v>7973</v>
      </c>
      <c r="F23" t="s">
        <v>35</v>
      </c>
      <c r="G23" t="s">
        <v>36</v>
      </c>
      <c r="H23">
        <v>31401</v>
      </c>
      <c r="I23">
        <v>70571857</v>
      </c>
      <c r="J23" t="s">
        <v>7974</v>
      </c>
    </row>
    <row r="24" spans="1:10" x14ac:dyDescent="0.35">
      <c r="A24" t="s">
        <v>1856</v>
      </c>
      <c r="B24" t="s">
        <v>7975</v>
      </c>
      <c r="C24" t="s">
        <v>7976</v>
      </c>
      <c r="D24" t="s">
        <v>7977</v>
      </c>
      <c r="F24" t="s">
        <v>7978</v>
      </c>
      <c r="G24" t="s">
        <v>147</v>
      </c>
      <c r="H24">
        <v>5655</v>
      </c>
      <c r="I24">
        <v>60304500</v>
      </c>
      <c r="J24" t="s">
        <v>7979</v>
      </c>
    </row>
    <row r="25" spans="1:10" x14ac:dyDescent="0.35">
      <c r="A25" t="s">
        <v>1638</v>
      </c>
      <c r="B25" t="s">
        <v>7980</v>
      </c>
      <c r="C25" t="s">
        <v>7981</v>
      </c>
      <c r="D25" t="s">
        <v>7982</v>
      </c>
      <c r="F25" t="s">
        <v>130</v>
      </c>
      <c r="G25" t="s">
        <v>123</v>
      </c>
      <c r="H25">
        <v>20001</v>
      </c>
      <c r="I25">
        <v>62349783</v>
      </c>
      <c r="J25" t="s">
        <v>7983</v>
      </c>
    </row>
    <row r="26" spans="1:10" x14ac:dyDescent="0.35">
      <c r="A26" t="s">
        <v>1954</v>
      </c>
      <c r="B26" t="s">
        <v>7984</v>
      </c>
      <c r="C26" t="s">
        <v>7985</v>
      </c>
      <c r="D26" t="s">
        <v>7986</v>
      </c>
      <c r="G26" t="s">
        <v>147</v>
      </c>
      <c r="H26">
        <v>5033</v>
      </c>
      <c r="I26">
        <v>50361922</v>
      </c>
      <c r="J26" t="s">
        <v>7987</v>
      </c>
    </row>
    <row r="27" spans="1:10" x14ac:dyDescent="0.35">
      <c r="A27" t="s">
        <v>1795</v>
      </c>
      <c r="B27" t="s">
        <v>7988</v>
      </c>
      <c r="C27" t="s">
        <v>7989</v>
      </c>
      <c r="D27" t="s">
        <v>7990</v>
      </c>
      <c r="F27" t="s">
        <v>235</v>
      </c>
      <c r="G27" t="s">
        <v>236</v>
      </c>
      <c r="H27">
        <v>73109</v>
      </c>
      <c r="I27">
        <v>13102173</v>
      </c>
      <c r="J27" t="s">
        <v>7991</v>
      </c>
    </row>
    <row r="28" spans="1:10" x14ac:dyDescent="0.35">
      <c r="A28" t="s">
        <v>3448</v>
      </c>
      <c r="B28" t="s">
        <v>7992</v>
      </c>
      <c r="C28" t="s">
        <v>7993</v>
      </c>
      <c r="D28" t="s">
        <v>7994</v>
      </c>
      <c r="F28" t="s">
        <v>70</v>
      </c>
      <c r="G28" t="s">
        <v>31</v>
      </c>
      <c r="H28">
        <v>85308</v>
      </c>
      <c r="I28">
        <v>60796891</v>
      </c>
      <c r="J28" t="s">
        <v>7995</v>
      </c>
    </row>
    <row r="29" spans="1:10" x14ac:dyDescent="0.35">
      <c r="A29" t="s">
        <v>2178</v>
      </c>
      <c r="B29" t="s">
        <v>7996</v>
      </c>
      <c r="C29" t="s">
        <v>7997</v>
      </c>
      <c r="D29" t="s">
        <v>7998</v>
      </c>
      <c r="E29" t="s">
        <v>7999</v>
      </c>
      <c r="F29" t="s">
        <v>124</v>
      </c>
      <c r="G29" t="s">
        <v>117</v>
      </c>
      <c r="H29">
        <v>72703</v>
      </c>
      <c r="I29">
        <v>90344527</v>
      </c>
      <c r="J29" t="s">
        <v>8000</v>
      </c>
    </row>
    <row r="30" spans="1:10" x14ac:dyDescent="0.35">
      <c r="A30" t="s">
        <v>1015</v>
      </c>
      <c r="B30" t="s">
        <v>8001</v>
      </c>
      <c r="C30" t="s">
        <v>8002</v>
      </c>
      <c r="D30" t="s">
        <v>8003</v>
      </c>
      <c r="F30" t="s">
        <v>82</v>
      </c>
      <c r="G30" t="s">
        <v>74</v>
      </c>
      <c r="H30">
        <v>32408</v>
      </c>
      <c r="I30">
        <v>28032351</v>
      </c>
      <c r="J30" t="s">
        <v>8004</v>
      </c>
    </row>
    <row r="31" spans="1:10" x14ac:dyDescent="0.35">
      <c r="A31" t="s">
        <v>497</v>
      </c>
      <c r="B31" t="s">
        <v>8005</v>
      </c>
      <c r="C31" t="s">
        <v>8006</v>
      </c>
      <c r="D31" t="s">
        <v>8007</v>
      </c>
      <c r="F31" t="s">
        <v>130</v>
      </c>
      <c r="G31" t="s">
        <v>123</v>
      </c>
      <c r="H31">
        <v>20011</v>
      </c>
      <c r="I31">
        <v>73180915</v>
      </c>
      <c r="J31" t="s">
        <v>8008</v>
      </c>
    </row>
    <row r="32" spans="1:10" x14ac:dyDescent="0.35">
      <c r="A32" t="s">
        <v>6422</v>
      </c>
      <c r="B32" t="s">
        <v>8009</v>
      </c>
      <c r="C32" t="s">
        <v>8010</v>
      </c>
      <c r="D32" t="s">
        <v>8011</v>
      </c>
      <c r="E32" t="s">
        <v>8012</v>
      </c>
      <c r="F32" t="s">
        <v>70</v>
      </c>
      <c r="G32" t="s">
        <v>31</v>
      </c>
      <c r="H32">
        <v>85301</v>
      </c>
      <c r="I32">
        <v>67567298</v>
      </c>
      <c r="J32" t="s">
        <v>8013</v>
      </c>
    </row>
    <row r="33" spans="1:10" x14ac:dyDescent="0.35">
      <c r="A33" t="s">
        <v>1761</v>
      </c>
      <c r="B33" t="s">
        <v>8014</v>
      </c>
      <c r="C33" t="s">
        <v>8015</v>
      </c>
      <c r="D33" t="s">
        <v>8016</v>
      </c>
      <c r="E33" t="s">
        <v>8017</v>
      </c>
      <c r="F33" t="s">
        <v>1827</v>
      </c>
      <c r="G33" t="s">
        <v>51</v>
      </c>
      <c r="H33">
        <v>94587</v>
      </c>
      <c r="I33">
        <v>82810894</v>
      </c>
      <c r="J33" t="s">
        <v>8018</v>
      </c>
    </row>
    <row r="34" spans="1:10" x14ac:dyDescent="0.35">
      <c r="A34" t="s">
        <v>662</v>
      </c>
      <c r="B34" t="s">
        <v>8019</v>
      </c>
      <c r="C34" t="s">
        <v>8020</v>
      </c>
      <c r="D34" t="s">
        <v>8021</v>
      </c>
      <c r="E34" t="s">
        <v>8022</v>
      </c>
      <c r="F34" t="s">
        <v>112</v>
      </c>
      <c r="G34" t="s">
        <v>106</v>
      </c>
      <c r="H34">
        <v>99518</v>
      </c>
      <c r="I34">
        <v>94846982</v>
      </c>
      <c r="J34" t="s">
        <v>8023</v>
      </c>
    </row>
    <row r="35" spans="1:10" x14ac:dyDescent="0.35">
      <c r="A35" t="s">
        <v>1680</v>
      </c>
      <c r="B35" t="s">
        <v>8024</v>
      </c>
      <c r="C35" t="s">
        <v>8025</v>
      </c>
      <c r="D35" t="s">
        <v>8026</v>
      </c>
      <c r="F35" t="s">
        <v>951</v>
      </c>
      <c r="G35" t="s">
        <v>147</v>
      </c>
      <c r="H35">
        <v>5602</v>
      </c>
      <c r="I35">
        <v>108142831</v>
      </c>
      <c r="J35" t="s">
        <v>8027</v>
      </c>
    </row>
    <row r="36" spans="1:10" x14ac:dyDescent="0.35">
      <c r="A36" t="s">
        <v>3484</v>
      </c>
      <c r="B36" t="s">
        <v>8028</v>
      </c>
      <c r="C36" t="s">
        <v>8029</v>
      </c>
      <c r="D36" t="s">
        <v>8030</v>
      </c>
      <c r="F36" t="s">
        <v>1216</v>
      </c>
      <c r="G36" t="s">
        <v>51</v>
      </c>
      <c r="H36">
        <v>94502</v>
      </c>
      <c r="I36">
        <v>73671657</v>
      </c>
      <c r="J36" t="s">
        <v>8031</v>
      </c>
    </row>
    <row r="37" spans="1:10" x14ac:dyDescent="0.35">
      <c r="A37" t="s">
        <v>2822</v>
      </c>
      <c r="B37" t="s">
        <v>8032</v>
      </c>
      <c r="C37" t="s">
        <v>8033</v>
      </c>
      <c r="D37" t="s">
        <v>8034</v>
      </c>
      <c r="F37" t="s">
        <v>63</v>
      </c>
      <c r="G37" t="s">
        <v>64</v>
      </c>
      <c r="H37">
        <v>37205</v>
      </c>
      <c r="I37">
        <v>36577439</v>
      </c>
      <c r="J37" t="s">
        <v>8035</v>
      </c>
    </row>
    <row r="38" spans="1:10" x14ac:dyDescent="0.35">
      <c r="A38" t="s">
        <v>7149</v>
      </c>
      <c r="B38" t="s">
        <v>8036</v>
      </c>
      <c r="C38" t="s">
        <v>8037</v>
      </c>
      <c r="D38" t="s">
        <v>8038</v>
      </c>
      <c r="E38" t="s">
        <v>8039</v>
      </c>
      <c r="F38" t="s">
        <v>3494</v>
      </c>
      <c r="G38" t="s">
        <v>51</v>
      </c>
      <c r="H38">
        <v>90746</v>
      </c>
      <c r="I38">
        <v>63520475</v>
      </c>
      <c r="J38" t="s">
        <v>8040</v>
      </c>
    </row>
    <row r="39" spans="1:10" x14ac:dyDescent="0.35">
      <c r="A39" t="s">
        <v>2193</v>
      </c>
      <c r="B39" t="s">
        <v>8041</v>
      </c>
      <c r="C39" t="s">
        <v>8042</v>
      </c>
      <c r="D39" t="s">
        <v>8043</v>
      </c>
      <c r="F39" t="s">
        <v>2132</v>
      </c>
      <c r="G39" t="s">
        <v>97</v>
      </c>
      <c r="H39">
        <v>21113</v>
      </c>
      <c r="I39">
        <v>41131983</v>
      </c>
      <c r="J39" t="s">
        <v>8044</v>
      </c>
    </row>
    <row r="40" spans="1:10" x14ac:dyDescent="0.35">
      <c r="A40" t="s">
        <v>1087</v>
      </c>
      <c r="B40" t="s">
        <v>8045</v>
      </c>
      <c r="C40" t="s">
        <v>8046</v>
      </c>
      <c r="D40" t="s">
        <v>8047</v>
      </c>
      <c r="F40" t="s">
        <v>573</v>
      </c>
      <c r="G40" t="s">
        <v>42</v>
      </c>
      <c r="H40">
        <v>81611</v>
      </c>
      <c r="I40">
        <v>19023308</v>
      </c>
      <c r="J40" t="s">
        <v>8048</v>
      </c>
    </row>
    <row r="41" spans="1:10" x14ac:dyDescent="0.35">
      <c r="A41" t="s">
        <v>712</v>
      </c>
      <c r="B41" t="s">
        <v>8049</v>
      </c>
      <c r="C41" t="s">
        <v>8050</v>
      </c>
      <c r="D41" t="s">
        <v>8051</v>
      </c>
      <c r="F41" t="s">
        <v>523</v>
      </c>
      <c r="G41" t="s">
        <v>36</v>
      </c>
      <c r="H41">
        <v>31322</v>
      </c>
      <c r="I41">
        <v>114283917</v>
      </c>
      <c r="J41" t="s">
        <v>8052</v>
      </c>
    </row>
    <row r="42" spans="1:10" x14ac:dyDescent="0.35">
      <c r="A42" t="s">
        <v>4593</v>
      </c>
      <c r="B42" t="s">
        <v>8053</v>
      </c>
      <c r="C42" t="s">
        <v>8054</v>
      </c>
      <c r="D42" t="s">
        <v>8055</v>
      </c>
      <c r="F42" t="s">
        <v>107</v>
      </c>
      <c r="G42" t="s">
        <v>87</v>
      </c>
      <c r="H42">
        <v>40204</v>
      </c>
      <c r="I42">
        <v>128039908</v>
      </c>
      <c r="J42" t="s">
        <v>8056</v>
      </c>
    </row>
    <row r="43" spans="1:10" x14ac:dyDescent="0.35">
      <c r="A43" t="s">
        <v>1999</v>
      </c>
      <c r="B43" t="s">
        <v>8057</v>
      </c>
      <c r="C43" t="s">
        <v>8058</v>
      </c>
      <c r="D43" t="s">
        <v>8059</v>
      </c>
      <c r="F43" t="s">
        <v>7601</v>
      </c>
      <c r="G43" t="s">
        <v>139</v>
      </c>
      <c r="H43">
        <v>1007</v>
      </c>
      <c r="I43">
        <v>77937915</v>
      </c>
      <c r="J43" t="s">
        <v>8060</v>
      </c>
    </row>
    <row r="44" spans="1:10" x14ac:dyDescent="0.35">
      <c r="A44" t="s">
        <v>4515</v>
      </c>
      <c r="B44" t="s">
        <v>8061</v>
      </c>
      <c r="C44" t="s">
        <v>8062</v>
      </c>
      <c r="D44" t="s">
        <v>8063</v>
      </c>
      <c r="F44" t="s">
        <v>3556</v>
      </c>
      <c r="G44" t="s">
        <v>236</v>
      </c>
      <c r="H44">
        <v>73115</v>
      </c>
      <c r="I44">
        <v>38768204</v>
      </c>
      <c r="J44" t="s">
        <v>8064</v>
      </c>
    </row>
    <row r="45" spans="1:10" x14ac:dyDescent="0.35">
      <c r="A45" t="s">
        <v>2940</v>
      </c>
      <c r="B45" t="s">
        <v>8065</v>
      </c>
      <c r="C45" t="s">
        <v>8066</v>
      </c>
      <c r="D45" t="s">
        <v>8067</v>
      </c>
      <c r="F45" t="s">
        <v>75</v>
      </c>
      <c r="G45" t="s">
        <v>76</v>
      </c>
      <c r="H45">
        <v>6040</v>
      </c>
      <c r="I45">
        <v>88011435</v>
      </c>
      <c r="J45" t="s">
        <v>8068</v>
      </c>
    </row>
    <row r="46" spans="1:10" x14ac:dyDescent="0.35">
      <c r="A46" t="s">
        <v>3950</v>
      </c>
      <c r="B46" t="s">
        <v>8069</v>
      </c>
      <c r="C46" t="s">
        <v>8070</v>
      </c>
      <c r="D46" t="s">
        <v>8071</v>
      </c>
      <c r="F46" t="s">
        <v>118</v>
      </c>
      <c r="G46" t="s">
        <v>42</v>
      </c>
      <c r="H46">
        <v>80003</v>
      </c>
      <c r="I46">
        <v>93553577</v>
      </c>
      <c r="J46" t="s">
        <v>8072</v>
      </c>
    </row>
    <row r="47" spans="1:10" x14ac:dyDescent="0.35">
      <c r="A47" t="s">
        <v>1603</v>
      </c>
      <c r="B47" t="s">
        <v>8073</v>
      </c>
      <c r="C47" t="s">
        <v>8074</v>
      </c>
      <c r="D47" t="s">
        <v>8075</v>
      </c>
      <c r="F47" t="s">
        <v>118</v>
      </c>
      <c r="G47" t="s">
        <v>42</v>
      </c>
      <c r="H47">
        <v>80005</v>
      </c>
      <c r="I47">
        <v>16618305</v>
      </c>
      <c r="J47" t="s">
        <v>8076</v>
      </c>
    </row>
    <row r="48" spans="1:10" x14ac:dyDescent="0.35">
      <c r="A48" t="s">
        <v>2661</v>
      </c>
      <c r="B48" t="s">
        <v>8077</v>
      </c>
      <c r="C48" t="s">
        <v>8078</v>
      </c>
      <c r="D48" t="s">
        <v>8079</v>
      </c>
      <c r="F48" t="s">
        <v>35</v>
      </c>
      <c r="G48" t="s">
        <v>36</v>
      </c>
      <c r="H48">
        <v>31404</v>
      </c>
      <c r="I48">
        <v>50185849</v>
      </c>
      <c r="J48" t="s">
        <v>8080</v>
      </c>
    </row>
    <row r="49" spans="1:10" x14ac:dyDescent="0.35">
      <c r="A49" t="s">
        <v>280</v>
      </c>
      <c r="B49" t="s">
        <v>8081</v>
      </c>
      <c r="C49" t="s">
        <v>8082</v>
      </c>
      <c r="D49" t="s">
        <v>8083</v>
      </c>
      <c r="F49" t="s">
        <v>477</v>
      </c>
      <c r="G49" t="s">
        <v>51</v>
      </c>
      <c r="H49">
        <v>94541</v>
      </c>
      <c r="I49">
        <v>74580381</v>
      </c>
      <c r="J49" t="s">
        <v>8084</v>
      </c>
    </row>
    <row r="50" spans="1:10" x14ac:dyDescent="0.35">
      <c r="A50" t="s">
        <v>8085</v>
      </c>
      <c r="B50" t="s">
        <v>8086</v>
      </c>
      <c r="C50" t="s">
        <v>8087</v>
      </c>
      <c r="D50" t="s">
        <v>8088</v>
      </c>
      <c r="F50" t="s">
        <v>8089</v>
      </c>
      <c r="G50" t="s">
        <v>147</v>
      </c>
      <c r="H50">
        <v>5819</v>
      </c>
      <c r="I50">
        <v>96611678</v>
      </c>
      <c r="J50" t="s">
        <v>8090</v>
      </c>
    </row>
    <row r="51" spans="1:10" x14ac:dyDescent="0.35">
      <c r="A51" t="s">
        <v>1125</v>
      </c>
      <c r="B51" t="s">
        <v>8091</v>
      </c>
      <c r="C51" t="s">
        <v>8092</v>
      </c>
      <c r="D51" t="s">
        <v>8093</v>
      </c>
      <c r="F51" t="s">
        <v>75</v>
      </c>
      <c r="G51" t="s">
        <v>76</v>
      </c>
      <c r="H51">
        <v>6040</v>
      </c>
      <c r="I51">
        <v>128661059</v>
      </c>
      <c r="J51" t="s">
        <v>8094</v>
      </c>
    </row>
    <row r="52" spans="1:10" x14ac:dyDescent="0.35">
      <c r="A52" t="s">
        <v>4036</v>
      </c>
      <c r="B52" t="s">
        <v>8095</v>
      </c>
      <c r="C52" t="s">
        <v>8096</v>
      </c>
      <c r="D52" t="s">
        <v>8097</v>
      </c>
      <c r="F52" t="s">
        <v>118</v>
      </c>
      <c r="G52" t="s">
        <v>42</v>
      </c>
      <c r="H52">
        <v>80003</v>
      </c>
      <c r="I52">
        <v>73276531</v>
      </c>
      <c r="J52" t="s">
        <v>8098</v>
      </c>
    </row>
    <row r="53" spans="1:10" x14ac:dyDescent="0.35">
      <c r="A53" t="s">
        <v>556</v>
      </c>
      <c r="B53" t="s">
        <v>8099</v>
      </c>
      <c r="C53" t="s">
        <v>8100</v>
      </c>
      <c r="D53" t="s">
        <v>8101</v>
      </c>
      <c r="F53" t="s">
        <v>235</v>
      </c>
      <c r="G53" t="s">
        <v>236</v>
      </c>
      <c r="H53">
        <v>73135</v>
      </c>
      <c r="I53">
        <v>129787518</v>
      </c>
      <c r="J53" t="s">
        <v>8102</v>
      </c>
    </row>
    <row r="54" spans="1:10" x14ac:dyDescent="0.35">
      <c r="A54" t="s">
        <v>1981</v>
      </c>
      <c r="B54" t="s">
        <v>8103</v>
      </c>
      <c r="C54" t="s">
        <v>8104</v>
      </c>
      <c r="D54" t="s">
        <v>8105</v>
      </c>
      <c r="F54" t="s">
        <v>230</v>
      </c>
      <c r="G54" t="s">
        <v>117</v>
      </c>
      <c r="H54">
        <v>72730</v>
      </c>
      <c r="I54">
        <v>120198601</v>
      </c>
      <c r="J54" t="s">
        <v>8106</v>
      </c>
    </row>
    <row r="55" spans="1:10" x14ac:dyDescent="0.35">
      <c r="A55" t="s">
        <v>2904</v>
      </c>
      <c r="B55" t="s">
        <v>8107</v>
      </c>
      <c r="C55" t="s">
        <v>8108</v>
      </c>
      <c r="D55" t="s">
        <v>8109</v>
      </c>
      <c r="F55" t="s">
        <v>75</v>
      </c>
      <c r="G55" t="s">
        <v>76</v>
      </c>
      <c r="H55">
        <v>6042</v>
      </c>
      <c r="I55">
        <v>91856616</v>
      </c>
      <c r="J55" t="s">
        <v>8110</v>
      </c>
    </row>
    <row r="56" spans="1:10" x14ac:dyDescent="0.35">
      <c r="A56" t="s">
        <v>1925</v>
      </c>
      <c r="B56" t="s">
        <v>8111</v>
      </c>
      <c r="C56" t="s">
        <v>8112</v>
      </c>
      <c r="D56" t="s">
        <v>8113</v>
      </c>
      <c r="F56" t="s">
        <v>107</v>
      </c>
      <c r="G56" t="s">
        <v>87</v>
      </c>
      <c r="H56">
        <v>40206</v>
      </c>
      <c r="I56">
        <v>124818136</v>
      </c>
      <c r="J56" t="s">
        <v>8114</v>
      </c>
    </row>
    <row r="57" spans="1:10" x14ac:dyDescent="0.35">
      <c r="A57" t="s">
        <v>3348</v>
      </c>
      <c r="B57" t="s">
        <v>8115</v>
      </c>
      <c r="C57" t="s">
        <v>8116</v>
      </c>
      <c r="D57" t="s">
        <v>8117</v>
      </c>
      <c r="F57" t="s">
        <v>4703</v>
      </c>
      <c r="G57" t="s">
        <v>36</v>
      </c>
      <c r="H57">
        <v>31302</v>
      </c>
      <c r="I57">
        <v>113623659</v>
      </c>
      <c r="J57" t="s">
        <v>8118</v>
      </c>
    </row>
    <row r="58" spans="1:10" x14ac:dyDescent="0.35">
      <c r="A58" t="s">
        <v>4401</v>
      </c>
      <c r="B58" t="s">
        <v>8119</v>
      </c>
      <c r="C58" t="s">
        <v>8120</v>
      </c>
      <c r="D58" t="s">
        <v>8121</v>
      </c>
      <c r="F58" t="s">
        <v>63</v>
      </c>
      <c r="G58" t="s">
        <v>64</v>
      </c>
      <c r="H58">
        <v>37080</v>
      </c>
      <c r="I58">
        <v>72945591</v>
      </c>
      <c r="J58" t="s">
        <v>8122</v>
      </c>
    </row>
    <row r="59" spans="1:10" x14ac:dyDescent="0.35">
      <c r="A59" t="s">
        <v>7006</v>
      </c>
      <c r="B59" t="s">
        <v>8123</v>
      </c>
      <c r="C59" t="s">
        <v>8124</v>
      </c>
      <c r="D59" t="s">
        <v>8125</v>
      </c>
      <c r="E59" t="s">
        <v>8126</v>
      </c>
      <c r="F59" t="s">
        <v>1827</v>
      </c>
      <c r="G59" t="s">
        <v>51</v>
      </c>
      <c r="H59">
        <v>94587</v>
      </c>
      <c r="I59">
        <v>87644793</v>
      </c>
      <c r="J59" t="s">
        <v>8127</v>
      </c>
    </row>
    <row r="60" spans="1:10" x14ac:dyDescent="0.35">
      <c r="A60" t="s">
        <v>4111</v>
      </c>
      <c r="B60" t="s">
        <v>8128</v>
      </c>
      <c r="C60" t="s">
        <v>8129</v>
      </c>
      <c r="D60" t="s">
        <v>8130</v>
      </c>
      <c r="F60" t="s">
        <v>130</v>
      </c>
      <c r="G60" t="s">
        <v>123</v>
      </c>
      <c r="H60">
        <v>20018</v>
      </c>
      <c r="I60">
        <v>89557833</v>
      </c>
      <c r="J60" t="s">
        <v>8131</v>
      </c>
    </row>
    <row r="61" spans="1:10" x14ac:dyDescent="0.35">
      <c r="A61" t="s">
        <v>5248</v>
      </c>
      <c r="B61" t="s">
        <v>8132</v>
      </c>
      <c r="C61" t="s">
        <v>8133</v>
      </c>
      <c r="D61" t="s">
        <v>8134</v>
      </c>
      <c r="F61" t="s">
        <v>130</v>
      </c>
      <c r="G61" t="s">
        <v>123</v>
      </c>
      <c r="H61">
        <v>20002</v>
      </c>
      <c r="I61">
        <v>14245602</v>
      </c>
      <c r="J61" t="s">
        <v>8135</v>
      </c>
    </row>
    <row r="62" spans="1:10" x14ac:dyDescent="0.35">
      <c r="A62" t="s">
        <v>1100</v>
      </c>
      <c r="B62" t="s">
        <v>8136</v>
      </c>
      <c r="C62" t="s">
        <v>8137</v>
      </c>
      <c r="D62" t="s">
        <v>8138</v>
      </c>
      <c r="F62" t="s">
        <v>107</v>
      </c>
      <c r="G62" t="s">
        <v>87</v>
      </c>
      <c r="H62">
        <v>40208</v>
      </c>
      <c r="I62">
        <v>66731436</v>
      </c>
      <c r="J62" t="s">
        <v>8139</v>
      </c>
    </row>
    <row r="63" spans="1:10" x14ac:dyDescent="0.35">
      <c r="A63" t="s">
        <v>8140</v>
      </c>
      <c r="B63" t="s">
        <v>8141</v>
      </c>
      <c r="C63" t="s">
        <v>8142</v>
      </c>
      <c r="D63" t="s">
        <v>8143</v>
      </c>
      <c r="F63" t="s">
        <v>107</v>
      </c>
      <c r="G63" t="s">
        <v>87</v>
      </c>
      <c r="H63">
        <v>40216</v>
      </c>
      <c r="I63">
        <v>127573193</v>
      </c>
      <c r="J63" t="s">
        <v>8144</v>
      </c>
    </row>
    <row r="64" spans="1:10" x14ac:dyDescent="0.35">
      <c r="A64" t="s">
        <v>2503</v>
      </c>
      <c r="B64" t="s">
        <v>8145</v>
      </c>
      <c r="C64" t="s">
        <v>8146</v>
      </c>
      <c r="D64" t="s">
        <v>8147</v>
      </c>
      <c r="F64" t="s">
        <v>92</v>
      </c>
      <c r="G64" t="s">
        <v>51</v>
      </c>
      <c r="H64">
        <v>94578</v>
      </c>
      <c r="I64">
        <v>87748314</v>
      </c>
      <c r="J64" t="s">
        <v>8148</v>
      </c>
    </row>
    <row r="65" spans="1:10" x14ac:dyDescent="0.35">
      <c r="A65" t="s">
        <v>1613</v>
      </c>
      <c r="B65" t="s">
        <v>8149</v>
      </c>
      <c r="C65" t="s">
        <v>8150</v>
      </c>
      <c r="D65" t="s">
        <v>8151</v>
      </c>
      <c r="F65" t="s">
        <v>124</v>
      </c>
      <c r="G65" t="s">
        <v>117</v>
      </c>
      <c r="H65">
        <v>72701</v>
      </c>
      <c r="I65">
        <v>25284568</v>
      </c>
      <c r="J65" t="s">
        <v>8152</v>
      </c>
    </row>
    <row r="66" spans="1:10" x14ac:dyDescent="0.35">
      <c r="A66" t="s">
        <v>927</v>
      </c>
      <c r="B66" t="s">
        <v>8153</v>
      </c>
      <c r="C66" t="s">
        <v>8154</v>
      </c>
      <c r="D66" t="s">
        <v>8155</v>
      </c>
      <c r="F66" t="s">
        <v>2289</v>
      </c>
      <c r="G66" t="s">
        <v>31</v>
      </c>
      <c r="H66">
        <v>85340</v>
      </c>
      <c r="I66">
        <v>92646029</v>
      </c>
      <c r="J66" t="s">
        <v>8156</v>
      </c>
    </row>
    <row r="67" spans="1:10" x14ac:dyDescent="0.35">
      <c r="A67" t="s">
        <v>1343</v>
      </c>
      <c r="B67" t="s">
        <v>8157</v>
      </c>
      <c r="C67" t="s">
        <v>8158</v>
      </c>
      <c r="D67" t="s">
        <v>8159</v>
      </c>
      <c r="F67" t="s">
        <v>8160</v>
      </c>
      <c r="G67" t="s">
        <v>147</v>
      </c>
      <c r="H67">
        <v>5673</v>
      </c>
      <c r="I67">
        <v>99270087</v>
      </c>
      <c r="J67" t="s">
        <v>8161</v>
      </c>
    </row>
    <row r="68" spans="1:10" x14ac:dyDescent="0.35">
      <c r="A68" t="s">
        <v>6688</v>
      </c>
      <c r="B68" t="s">
        <v>8162</v>
      </c>
      <c r="C68" t="s">
        <v>8163</v>
      </c>
      <c r="D68" t="s">
        <v>8164</v>
      </c>
      <c r="F68" t="s">
        <v>70</v>
      </c>
      <c r="G68" t="s">
        <v>31</v>
      </c>
      <c r="H68">
        <v>85304</v>
      </c>
      <c r="I68">
        <v>104679007</v>
      </c>
      <c r="J68" t="s">
        <v>8165</v>
      </c>
    </row>
    <row r="69" spans="1:10" x14ac:dyDescent="0.35">
      <c r="A69" t="s">
        <v>1232</v>
      </c>
      <c r="B69" t="s">
        <v>8166</v>
      </c>
      <c r="C69" t="s">
        <v>8167</v>
      </c>
      <c r="D69" t="s">
        <v>8168</v>
      </c>
      <c r="F69" t="s">
        <v>2569</v>
      </c>
      <c r="G69" t="s">
        <v>139</v>
      </c>
      <c r="H69">
        <v>1607</v>
      </c>
      <c r="I69">
        <v>101490043</v>
      </c>
      <c r="J69" t="s">
        <v>8169</v>
      </c>
    </row>
    <row r="70" spans="1:10" x14ac:dyDescent="0.35">
      <c r="A70" t="s">
        <v>1598</v>
      </c>
      <c r="B70" t="s">
        <v>8170</v>
      </c>
      <c r="C70" t="s">
        <v>8171</v>
      </c>
      <c r="D70" t="s">
        <v>8172</v>
      </c>
      <c r="F70" t="s">
        <v>107</v>
      </c>
      <c r="G70" t="s">
        <v>87</v>
      </c>
      <c r="H70">
        <v>40272</v>
      </c>
      <c r="I70">
        <v>26143747</v>
      </c>
      <c r="J70" t="s">
        <v>8173</v>
      </c>
    </row>
    <row r="71" spans="1:10" x14ac:dyDescent="0.35">
      <c r="A71" t="s">
        <v>1187</v>
      </c>
      <c r="B71" t="s">
        <v>8174</v>
      </c>
      <c r="C71" t="s">
        <v>8175</v>
      </c>
      <c r="D71" t="s">
        <v>8176</v>
      </c>
      <c r="F71" t="s">
        <v>75</v>
      </c>
      <c r="G71" t="s">
        <v>76</v>
      </c>
      <c r="H71">
        <v>6040</v>
      </c>
      <c r="I71">
        <v>49124264</v>
      </c>
      <c r="J71" t="s">
        <v>8177</v>
      </c>
    </row>
    <row r="72" spans="1:10" x14ac:dyDescent="0.35">
      <c r="A72" t="s">
        <v>1784</v>
      </c>
      <c r="B72" t="s">
        <v>8178</v>
      </c>
      <c r="C72" t="s">
        <v>8179</v>
      </c>
      <c r="D72" t="s">
        <v>8180</v>
      </c>
      <c r="F72" t="s">
        <v>45</v>
      </c>
      <c r="G72" t="s">
        <v>46</v>
      </c>
      <c r="H72">
        <v>36116</v>
      </c>
      <c r="I72">
        <v>43960796</v>
      </c>
      <c r="J72" t="s">
        <v>8181</v>
      </c>
    </row>
    <row r="73" spans="1:10" x14ac:dyDescent="0.35">
      <c r="A73" t="s">
        <v>168</v>
      </c>
      <c r="B73" t="s">
        <v>8182</v>
      </c>
      <c r="C73" t="s">
        <v>8183</v>
      </c>
      <c r="D73" t="s">
        <v>8184</v>
      </c>
      <c r="F73" t="s">
        <v>1464</v>
      </c>
      <c r="G73" t="s">
        <v>97</v>
      </c>
      <c r="H73">
        <v>21146</v>
      </c>
      <c r="I73">
        <v>124127270</v>
      </c>
      <c r="J73" t="s">
        <v>8185</v>
      </c>
    </row>
    <row r="74" spans="1:10" x14ac:dyDescent="0.35">
      <c r="A74" t="s">
        <v>3614</v>
      </c>
      <c r="B74" t="s">
        <v>8186</v>
      </c>
      <c r="C74" t="s">
        <v>8187</v>
      </c>
      <c r="D74" t="s">
        <v>8188</v>
      </c>
      <c r="F74" t="s">
        <v>830</v>
      </c>
      <c r="G74" t="s">
        <v>51</v>
      </c>
      <c r="H74">
        <v>94539</v>
      </c>
      <c r="I74">
        <v>21702837</v>
      </c>
      <c r="J74" t="s">
        <v>8189</v>
      </c>
    </row>
    <row r="75" spans="1:10" x14ac:dyDescent="0.35">
      <c r="A75" t="s">
        <v>1041</v>
      </c>
      <c r="B75" t="s">
        <v>8190</v>
      </c>
      <c r="C75" t="s">
        <v>8191</v>
      </c>
      <c r="D75" t="s">
        <v>8192</v>
      </c>
      <c r="E75" t="s">
        <v>8193</v>
      </c>
      <c r="F75" t="s">
        <v>4489</v>
      </c>
      <c r="G75" t="s">
        <v>139</v>
      </c>
      <c r="H75">
        <v>1960</v>
      </c>
      <c r="I75">
        <v>26250698</v>
      </c>
      <c r="J75" t="s">
        <v>8194</v>
      </c>
    </row>
    <row r="76" spans="1:10" x14ac:dyDescent="0.35">
      <c r="A76" t="s">
        <v>4308</v>
      </c>
      <c r="B76" t="s">
        <v>8195</v>
      </c>
      <c r="C76" t="s">
        <v>8196</v>
      </c>
      <c r="D76" t="s">
        <v>8197</v>
      </c>
      <c r="F76" t="s">
        <v>112</v>
      </c>
      <c r="G76" t="s">
        <v>106</v>
      </c>
      <c r="H76">
        <v>99503</v>
      </c>
      <c r="I76">
        <v>82636845</v>
      </c>
      <c r="J76" t="s">
        <v>8198</v>
      </c>
    </row>
    <row r="77" spans="1:10" x14ac:dyDescent="0.35">
      <c r="A77" t="s">
        <v>8199</v>
      </c>
      <c r="B77" t="s">
        <v>8200</v>
      </c>
      <c r="C77" t="s">
        <v>8201</v>
      </c>
      <c r="D77" t="s">
        <v>8202</v>
      </c>
      <c r="F77" t="s">
        <v>2502</v>
      </c>
      <c r="G77" t="s">
        <v>51</v>
      </c>
      <c r="H77">
        <v>94566</v>
      </c>
      <c r="I77">
        <v>58546503</v>
      </c>
      <c r="J77" t="s">
        <v>8203</v>
      </c>
    </row>
    <row r="78" spans="1:10" x14ac:dyDescent="0.35">
      <c r="A78" t="s">
        <v>2391</v>
      </c>
      <c r="B78" t="s">
        <v>8204</v>
      </c>
      <c r="C78" t="s">
        <v>8205</v>
      </c>
      <c r="D78" t="s">
        <v>8206</v>
      </c>
      <c r="F78" t="s">
        <v>4387</v>
      </c>
      <c r="G78" t="s">
        <v>139</v>
      </c>
      <c r="H78">
        <v>1830</v>
      </c>
      <c r="I78">
        <v>30968662</v>
      </c>
      <c r="J78" t="s">
        <v>8207</v>
      </c>
    </row>
    <row r="79" spans="1:10" x14ac:dyDescent="0.35">
      <c r="A79" t="s">
        <v>5104</v>
      </c>
      <c r="B79" t="s">
        <v>8208</v>
      </c>
      <c r="C79" t="s">
        <v>8209</v>
      </c>
      <c r="D79" t="s">
        <v>7904</v>
      </c>
      <c r="F79" t="s">
        <v>209</v>
      </c>
      <c r="G79" t="s">
        <v>74</v>
      </c>
      <c r="H79">
        <v>32404</v>
      </c>
      <c r="I79">
        <v>72525526</v>
      </c>
      <c r="J79" t="s">
        <v>8210</v>
      </c>
    </row>
    <row r="80" spans="1:10" x14ac:dyDescent="0.35">
      <c r="A80" t="s">
        <v>1144</v>
      </c>
      <c r="B80" t="s">
        <v>8211</v>
      </c>
      <c r="C80" t="s">
        <v>8212</v>
      </c>
      <c r="D80" t="s">
        <v>8213</v>
      </c>
      <c r="F80" t="s">
        <v>1816</v>
      </c>
      <c r="G80" t="s">
        <v>236</v>
      </c>
      <c r="H80">
        <v>73071</v>
      </c>
      <c r="I80">
        <v>115478394</v>
      </c>
      <c r="J80" t="s">
        <v>8214</v>
      </c>
    </row>
    <row r="81" spans="1:10" x14ac:dyDescent="0.35">
      <c r="A81" t="s">
        <v>3294</v>
      </c>
      <c r="B81" t="s">
        <v>8215</v>
      </c>
      <c r="C81" t="s">
        <v>8216</v>
      </c>
      <c r="D81" t="s">
        <v>8217</v>
      </c>
      <c r="F81" t="s">
        <v>2293</v>
      </c>
      <c r="G81" t="s">
        <v>51</v>
      </c>
      <c r="H81">
        <v>94043</v>
      </c>
      <c r="I81">
        <v>59649865</v>
      </c>
      <c r="J81" t="s">
        <v>8218</v>
      </c>
    </row>
    <row r="82" spans="1:10" x14ac:dyDescent="0.35">
      <c r="A82" t="s">
        <v>135</v>
      </c>
      <c r="B82" t="s">
        <v>8219</v>
      </c>
      <c r="C82" t="s">
        <v>8220</v>
      </c>
      <c r="D82" t="s">
        <v>8221</v>
      </c>
      <c r="F82" t="s">
        <v>130</v>
      </c>
      <c r="G82" t="s">
        <v>123</v>
      </c>
      <c r="H82">
        <v>20001</v>
      </c>
      <c r="I82">
        <v>119270857</v>
      </c>
      <c r="J82" t="s">
        <v>8222</v>
      </c>
    </row>
    <row r="83" spans="1:10" x14ac:dyDescent="0.35">
      <c r="A83" t="s">
        <v>4435</v>
      </c>
      <c r="B83" t="s">
        <v>8223</v>
      </c>
      <c r="C83" t="s">
        <v>8224</v>
      </c>
      <c r="D83" t="s">
        <v>8225</v>
      </c>
      <c r="F83" t="s">
        <v>70</v>
      </c>
      <c r="G83" t="s">
        <v>31</v>
      </c>
      <c r="H83">
        <v>85304</v>
      </c>
      <c r="I83">
        <v>107838887</v>
      </c>
      <c r="J83" t="s">
        <v>8226</v>
      </c>
    </row>
    <row r="84" spans="1:10" x14ac:dyDescent="0.35">
      <c r="A84" t="s">
        <v>2590</v>
      </c>
      <c r="B84" t="s">
        <v>8227</v>
      </c>
      <c r="C84" t="s">
        <v>8228</v>
      </c>
      <c r="D84" t="s">
        <v>8229</v>
      </c>
      <c r="F84" t="s">
        <v>70</v>
      </c>
      <c r="G84" t="s">
        <v>31</v>
      </c>
      <c r="H84">
        <v>85306</v>
      </c>
      <c r="I84">
        <v>14258217</v>
      </c>
      <c r="J84" t="s">
        <v>8230</v>
      </c>
    </row>
    <row r="85" spans="1:10" x14ac:dyDescent="0.35">
      <c r="A85" t="s">
        <v>3574</v>
      </c>
      <c r="B85" t="s">
        <v>8231</v>
      </c>
      <c r="C85" t="s">
        <v>8232</v>
      </c>
      <c r="D85" t="s">
        <v>8233</v>
      </c>
      <c r="F85" t="s">
        <v>63</v>
      </c>
      <c r="G85" t="s">
        <v>64</v>
      </c>
      <c r="H85">
        <v>37220</v>
      </c>
      <c r="I85">
        <v>78147791</v>
      </c>
      <c r="J85" t="s">
        <v>8234</v>
      </c>
    </row>
    <row r="86" spans="1:10" x14ac:dyDescent="0.35">
      <c r="A86" t="s">
        <v>4760</v>
      </c>
      <c r="B86" t="s">
        <v>8235</v>
      </c>
      <c r="C86" t="s">
        <v>8236</v>
      </c>
      <c r="D86" t="s">
        <v>8237</v>
      </c>
      <c r="F86" t="s">
        <v>107</v>
      </c>
      <c r="G86" t="s">
        <v>87</v>
      </c>
      <c r="H86">
        <v>40118</v>
      </c>
      <c r="I86">
        <v>121752253</v>
      </c>
      <c r="J86" t="s">
        <v>8238</v>
      </c>
    </row>
    <row r="87" spans="1:10" x14ac:dyDescent="0.35">
      <c r="A87" t="s">
        <v>2593</v>
      </c>
      <c r="B87" t="s">
        <v>8239</v>
      </c>
      <c r="C87" t="s">
        <v>8240</v>
      </c>
      <c r="D87" t="s">
        <v>8241</v>
      </c>
      <c r="E87" t="s">
        <v>8242</v>
      </c>
      <c r="F87" t="s">
        <v>112</v>
      </c>
      <c r="G87" t="s">
        <v>106</v>
      </c>
      <c r="H87">
        <v>99508</v>
      </c>
      <c r="I87">
        <v>45086238</v>
      </c>
      <c r="J87" t="s">
        <v>8243</v>
      </c>
    </row>
    <row r="88" spans="1:10" x14ac:dyDescent="0.35">
      <c r="A88" t="s">
        <v>7631</v>
      </c>
      <c r="B88" t="s">
        <v>8244</v>
      </c>
      <c r="C88" t="s">
        <v>8245</v>
      </c>
      <c r="D88" t="s">
        <v>8246</v>
      </c>
      <c r="F88" t="s">
        <v>235</v>
      </c>
      <c r="G88" t="s">
        <v>236</v>
      </c>
      <c r="H88">
        <v>73107</v>
      </c>
      <c r="I88">
        <v>126639931</v>
      </c>
      <c r="J88" t="s">
        <v>8247</v>
      </c>
    </row>
    <row r="89" spans="1:10" x14ac:dyDescent="0.35">
      <c r="A89" t="s">
        <v>824</v>
      </c>
      <c r="B89" t="s">
        <v>8248</v>
      </c>
      <c r="C89" t="s">
        <v>8249</v>
      </c>
      <c r="D89" t="s">
        <v>8250</v>
      </c>
      <c r="F89" t="s">
        <v>63</v>
      </c>
      <c r="G89" t="s">
        <v>64</v>
      </c>
      <c r="H89">
        <v>37207</v>
      </c>
      <c r="I89">
        <v>36743849</v>
      </c>
      <c r="J89" t="s">
        <v>8251</v>
      </c>
    </row>
    <row r="90" spans="1:10" x14ac:dyDescent="0.35">
      <c r="A90" t="s">
        <v>8252</v>
      </c>
      <c r="B90" t="s">
        <v>8253</v>
      </c>
      <c r="C90" t="s">
        <v>8254</v>
      </c>
      <c r="D90" t="s">
        <v>8255</v>
      </c>
      <c r="F90" t="s">
        <v>477</v>
      </c>
      <c r="G90" t="s">
        <v>51</v>
      </c>
      <c r="H90">
        <v>94545</v>
      </c>
      <c r="I90">
        <v>121086576</v>
      </c>
      <c r="J90" t="s">
        <v>8256</v>
      </c>
    </row>
    <row r="91" spans="1:10" x14ac:dyDescent="0.35">
      <c r="A91" t="s">
        <v>586</v>
      </c>
      <c r="B91" t="s">
        <v>8257</v>
      </c>
      <c r="C91" t="s">
        <v>8258</v>
      </c>
      <c r="D91" t="s">
        <v>8202</v>
      </c>
      <c r="F91" t="s">
        <v>2502</v>
      </c>
      <c r="G91" t="s">
        <v>51</v>
      </c>
      <c r="H91">
        <v>94566</v>
      </c>
      <c r="I91">
        <v>42301932</v>
      </c>
      <c r="J91" t="s">
        <v>8259</v>
      </c>
    </row>
    <row r="92" spans="1:10" x14ac:dyDescent="0.35">
      <c r="A92" t="s">
        <v>3269</v>
      </c>
      <c r="B92" t="s">
        <v>8260</v>
      </c>
      <c r="C92" t="s">
        <v>8261</v>
      </c>
      <c r="D92" t="s">
        <v>8262</v>
      </c>
      <c r="F92" t="s">
        <v>316</v>
      </c>
      <c r="G92" t="s">
        <v>97</v>
      </c>
      <c r="H92">
        <v>21401</v>
      </c>
      <c r="I92">
        <v>108238677</v>
      </c>
      <c r="J92" t="s">
        <v>8263</v>
      </c>
    </row>
    <row r="93" spans="1:10" x14ac:dyDescent="0.35">
      <c r="A93" t="s">
        <v>2215</v>
      </c>
      <c r="B93" t="s">
        <v>8264</v>
      </c>
      <c r="C93" t="s">
        <v>8265</v>
      </c>
      <c r="D93" t="s">
        <v>8266</v>
      </c>
      <c r="F93" t="s">
        <v>75</v>
      </c>
      <c r="G93" t="s">
        <v>76</v>
      </c>
      <c r="H93">
        <v>6042</v>
      </c>
      <c r="I93">
        <v>91036517</v>
      </c>
      <c r="J93" t="s">
        <v>8267</v>
      </c>
    </row>
    <row r="94" spans="1:10" x14ac:dyDescent="0.35">
      <c r="A94" t="s">
        <v>4493</v>
      </c>
      <c r="B94" t="s">
        <v>8268</v>
      </c>
      <c r="C94" t="s">
        <v>8269</v>
      </c>
      <c r="D94" t="s">
        <v>8083</v>
      </c>
      <c r="F94" t="s">
        <v>477</v>
      </c>
      <c r="G94" t="s">
        <v>51</v>
      </c>
      <c r="H94">
        <v>94541</v>
      </c>
      <c r="I94">
        <v>21835607</v>
      </c>
      <c r="J94" t="s">
        <v>8270</v>
      </c>
    </row>
    <row r="95" spans="1:10" x14ac:dyDescent="0.35">
      <c r="A95" t="s">
        <v>633</v>
      </c>
      <c r="B95" t="s">
        <v>8271</v>
      </c>
      <c r="C95" t="s">
        <v>8272</v>
      </c>
      <c r="D95" t="s">
        <v>8273</v>
      </c>
      <c r="F95" t="s">
        <v>35</v>
      </c>
      <c r="G95" t="s">
        <v>36</v>
      </c>
      <c r="H95">
        <v>31401</v>
      </c>
      <c r="I95">
        <v>23000249</v>
      </c>
      <c r="J95" t="s">
        <v>8274</v>
      </c>
    </row>
    <row r="96" spans="1:10" x14ac:dyDescent="0.35">
      <c r="A96" t="s">
        <v>890</v>
      </c>
      <c r="B96" t="s">
        <v>8275</v>
      </c>
      <c r="C96" t="s">
        <v>8276</v>
      </c>
      <c r="D96" t="s">
        <v>8277</v>
      </c>
      <c r="F96" t="s">
        <v>2775</v>
      </c>
      <c r="G96" t="s">
        <v>64</v>
      </c>
      <c r="H96">
        <v>37027</v>
      </c>
      <c r="I96">
        <v>52980550</v>
      </c>
      <c r="J96" t="s">
        <v>8278</v>
      </c>
    </row>
    <row r="97" spans="1:10" x14ac:dyDescent="0.35">
      <c r="A97" t="s">
        <v>373</v>
      </c>
      <c r="B97" t="s">
        <v>8279</v>
      </c>
      <c r="C97" t="s">
        <v>8280</v>
      </c>
      <c r="D97" t="s">
        <v>8281</v>
      </c>
      <c r="F97" t="s">
        <v>96</v>
      </c>
      <c r="G97" t="s">
        <v>97</v>
      </c>
      <c r="H97">
        <v>21114</v>
      </c>
      <c r="I97">
        <v>21205075</v>
      </c>
      <c r="J97" t="s">
        <v>8282</v>
      </c>
    </row>
    <row r="98" spans="1:10" x14ac:dyDescent="0.35">
      <c r="A98" t="s">
        <v>1270</v>
      </c>
      <c r="B98" t="s">
        <v>8283</v>
      </c>
      <c r="C98" t="s">
        <v>8284</v>
      </c>
      <c r="D98" t="s">
        <v>8285</v>
      </c>
      <c r="F98" t="s">
        <v>75</v>
      </c>
      <c r="G98" t="s">
        <v>76</v>
      </c>
      <c r="H98">
        <v>6040</v>
      </c>
      <c r="I98">
        <v>111511352</v>
      </c>
      <c r="J98" t="s">
        <v>8286</v>
      </c>
    </row>
    <row r="99" spans="1:10" x14ac:dyDescent="0.35">
      <c r="A99" t="s">
        <v>2863</v>
      </c>
      <c r="B99" t="s">
        <v>8287</v>
      </c>
      <c r="C99" t="s">
        <v>8288</v>
      </c>
      <c r="D99" t="s">
        <v>8289</v>
      </c>
      <c r="E99" t="s">
        <v>32</v>
      </c>
      <c r="F99" t="s">
        <v>118</v>
      </c>
      <c r="G99" t="s">
        <v>42</v>
      </c>
      <c r="H99">
        <v>80003</v>
      </c>
      <c r="I99">
        <v>121109136</v>
      </c>
      <c r="J99" t="s">
        <v>8290</v>
      </c>
    </row>
    <row r="100" spans="1:10" x14ac:dyDescent="0.35">
      <c r="A100" t="s">
        <v>8291</v>
      </c>
      <c r="B100" t="s">
        <v>8292</v>
      </c>
      <c r="C100" t="s">
        <v>8293</v>
      </c>
      <c r="D100" t="s">
        <v>8294</v>
      </c>
      <c r="F100" t="s">
        <v>45</v>
      </c>
      <c r="G100" t="s">
        <v>46</v>
      </c>
      <c r="H100">
        <v>36105</v>
      </c>
      <c r="I100">
        <v>28613851</v>
      </c>
      <c r="J100" t="s">
        <v>8295</v>
      </c>
    </row>
    <row r="101" spans="1:10" x14ac:dyDescent="0.35">
      <c r="A101" t="s">
        <v>5869</v>
      </c>
      <c r="B101" t="s">
        <v>8296</v>
      </c>
      <c r="C101" t="s">
        <v>8297</v>
      </c>
      <c r="D101" t="s">
        <v>8298</v>
      </c>
      <c r="F101" t="s">
        <v>82</v>
      </c>
      <c r="G101" t="s">
        <v>74</v>
      </c>
      <c r="H101">
        <v>32407</v>
      </c>
      <c r="I101">
        <v>16097573</v>
      </c>
      <c r="J101" t="s">
        <v>8299</v>
      </c>
    </row>
    <row r="102" spans="1:10" x14ac:dyDescent="0.35">
      <c r="A102" t="s">
        <v>1493</v>
      </c>
      <c r="B102" t="s">
        <v>8300</v>
      </c>
      <c r="C102" t="s">
        <v>8301</v>
      </c>
      <c r="D102" t="s">
        <v>8302</v>
      </c>
      <c r="F102" t="s">
        <v>70</v>
      </c>
      <c r="G102" t="s">
        <v>31</v>
      </c>
      <c r="H102">
        <v>85308</v>
      </c>
      <c r="I102">
        <v>127295730</v>
      </c>
      <c r="J102" t="s">
        <v>8303</v>
      </c>
    </row>
    <row r="103" spans="1:10" x14ac:dyDescent="0.35">
      <c r="A103" t="s">
        <v>1888</v>
      </c>
      <c r="B103" t="s">
        <v>8304</v>
      </c>
      <c r="C103" t="s">
        <v>8305</v>
      </c>
      <c r="D103" t="s">
        <v>8306</v>
      </c>
      <c r="E103" t="s">
        <v>8022</v>
      </c>
      <c r="F103" t="s">
        <v>112</v>
      </c>
      <c r="G103" t="s">
        <v>106</v>
      </c>
      <c r="H103">
        <v>99515</v>
      </c>
      <c r="I103">
        <v>40708980</v>
      </c>
      <c r="J103" t="s">
        <v>8307</v>
      </c>
    </row>
    <row r="104" spans="1:10" x14ac:dyDescent="0.35">
      <c r="A104" t="s">
        <v>1696</v>
      </c>
      <c r="B104" t="s">
        <v>8308</v>
      </c>
      <c r="C104" t="s">
        <v>8309</v>
      </c>
      <c r="D104" t="s">
        <v>8310</v>
      </c>
      <c r="E104" t="s">
        <v>7938</v>
      </c>
      <c r="F104" t="s">
        <v>118</v>
      </c>
      <c r="G104" t="s">
        <v>42</v>
      </c>
      <c r="H104">
        <v>80004</v>
      </c>
      <c r="I104">
        <v>52865141</v>
      </c>
      <c r="J104" t="s">
        <v>8311</v>
      </c>
    </row>
    <row r="105" spans="1:10" x14ac:dyDescent="0.35">
      <c r="A105" t="s">
        <v>1995</v>
      </c>
      <c r="B105" t="s">
        <v>8312</v>
      </c>
      <c r="C105" t="s">
        <v>8313</v>
      </c>
      <c r="D105" t="s">
        <v>8314</v>
      </c>
      <c r="F105" t="s">
        <v>130</v>
      </c>
      <c r="G105" t="s">
        <v>123</v>
      </c>
      <c r="H105">
        <v>20011</v>
      </c>
      <c r="I105">
        <v>18048180</v>
      </c>
      <c r="J105" t="s">
        <v>8315</v>
      </c>
    </row>
    <row r="106" spans="1:10" x14ac:dyDescent="0.35">
      <c r="A106" t="s">
        <v>3362</v>
      </c>
      <c r="B106" t="s">
        <v>8316</v>
      </c>
      <c r="C106" t="s">
        <v>8317</v>
      </c>
      <c r="D106" t="s">
        <v>8318</v>
      </c>
      <c r="F106" t="s">
        <v>209</v>
      </c>
      <c r="G106" t="s">
        <v>74</v>
      </c>
      <c r="H106">
        <v>32408</v>
      </c>
      <c r="I106">
        <v>89394041</v>
      </c>
      <c r="J106" t="s">
        <v>8319</v>
      </c>
    </row>
    <row r="107" spans="1:10" x14ac:dyDescent="0.35">
      <c r="A107" t="s">
        <v>4023</v>
      </c>
      <c r="B107" t="s">
        <v>8320</v>
      </c>
      <c r="C107" t="s">
        <v>8321</v>
      </c>
      <c r="D107" t="s">
        <v>8322</v>
      </c>
      <c r="F107" t="s">
        <v>112</v>
      </c>
      <c r="G107" t="s">
        <v>106</v>
      </c>
      <c r="H107">
        <v>99567</v>
      </c>
      <c r="I107">
        <v>28549608</v>
      </c>
      <c r="J107" t="s">
        <v>8323</v>
      </c>
    </row>
    <row r="108" spans="1:10" x14ac:dyDescent="0.35">
      <c r="A108" t="s">
        <v>6912</v>
      </c>
      <c r="B108" t="s">
        <v>8324</v>
      </c>
      <c r="C108" t="s">
        <v>8325</v>
      </c>
      <c r="D108" t="s">
        <v>8326</v>
      </c>
      <c r="F108" t="s">
        <v>118</v>
      </c>
      <c r="G108" t="s">
        <v>42</v>
      </c>
      <c r="H108">
        <v>80007</v>
      </c>
      <c r="I108">
        <v>34673762</v>
      </c>
      <c r="J108" t="s">
        <v>8327</v>
      </c>
    </row>
    <row r="109" spans="1:10" x14ac:dyDescent="0.35">
      <c r="A109" t="s">
        <v>8328</v>
      </c>
      <c r="B109" t="s">
        <v>8329</v>
      </c>
      <c r="C109" t="s">
        <v>8330</v>
      </c>
      <c r="D109" t="s">
        <v>8331</v>
      </c>
      <c r="F109" t="s">
        <v>35</v>
      </c>
      <c r="G109" t="s">
        <v>36</v>
      </c>
      <c r="H109">
        <v>31404</v>
      </c>
      <c r="I109">
        <v>20653084</v>
      </c>
      <c r="J109" t="s">
        <v>8332</v>
      </c>
    </row>
    <row r="110" spans="1:10" x14ac:dyDescent="0.35">
      <c r="A110" t="s">
        <v>1684</v>
      </c>
      <c r="B110" t="s">
        <v>8333</v>
      </c>
      <c r="C110" t="s">
        <v>8334</v>
      </c>
      <c r="D110" t="s">
        <v>8335</v>
      </c>
      <c r="F110" t="s">
        <v>75</v>
      </c>
      <c r="G110" t="s">
        <v>76</v>
      </c>
      <c r="H110">
        <v>6040</v>
      </c>
      <c r="I110">
        <v>17120766</v>
      </c>
      <c r="J110" t="s">
        <v>8336</v>
      </c>
    </row>
    <row r="111" spans="1:10" x14ac:dyDescent="0.35">
      <c r="A111" t="s">
        <v>2325</v>
      </c>
      <c r="B111" t="s">
        <v>8337</v>
      </c>
      <c r="C111" t="s">
        <v>8338</v>
      </c>
      <c r="D111" t="s">
        <v>8339</v>
      </c>
      <c r="F111" t="s">
        <v>3766</v>
      </c>
      <c r="G111" t="s">
        <v>97</v>
      </c>
      <c r="H111">
        <v>21225</v>
      </c>
      <c r="I111">
        <v>59683533</v>
      </c>
      <c r="J111" t="s">
        <v>8340</v>
      </c>
    </row>
    <row r="112" spans="1:10" x14ac:dyDescent="0.35">
      <c r="A112" t="s">
        <v>1594</v>
      </c>
      <c r="B112" t="s">
        <v>8341</v>
      </c>
      <c r="C112" t="s">
        <v>8342</v>
      </c>
      <c r="D112" t="s">
        <v>8343</v>
      </c>
      <c r="F112" t="s">
        <v>164</v>
      </c>
      <c r="G112" t="s">
        <v>74</v>
      </c>
      <c r="H112">
        <v>32444</v>
      </c>
      <c r="I112">
        <v>33369718</v>
      </c>
      <c r="J112" t="s">
        <v>8344</v>
      </c>
    </row>
    <row r="113" spans="1:10" x14ac:dyDescent="0.35">
      <c r="A113" t="s">
        <v>1159</v>
      </c>
      <c r="B113" t="s">
        <v>8345</v>
      </c>
      <c r="C113" t="s">
        <v>8346</v>
      </c>
      <c r="D113" t="s">
        <v>8347</v>
      </c>
      <c r="E113" t="s">
        <v>8348</v>
      </c>
      <c r="F113" t="s">
        <v>543</v>
      </c>
      <c r="G113" t="s">
        <v>51</v>
      </c>
      <c r="H113">
        <v>94709</v>
      </c>
      <c r="I113">
        <v>59241072</v>
      </c>
      <c r="J113" t="s">
        <v>8349</v>
      </c>
    </row>
    <row r="114" spans="1:10" x14ac:dyDescent="0.35">
      <c r="A114" t="s">
        <v>313</v>
      </c>
      <c r="B114" t="s">
        <v>8350</v>
      </c>
      <c r="C114" t="s">
        <v>8351</v>
      </c>
      <c r="D114" t="s">
        <v>8352</v>
      </c>
      <c r="E114" t="s">
        <v>8353</v>
      </c>
      <c r="F114" t="s">
        <v>124</v>
      </c>
      <c r="G114" t="s">
        <v>117</v>
      </c>
      <c r="H114">
        <v>72701</v>
      </c>
      <c r="I114">
        <v>63362439</v>
      </c>
      <c r="J114" t="s">
        <v>8354</v>
      </c>
    </row>
    <row r="115" spans="1:10" x14ac:dyDescent="0.35">
      <c r="A115" t="s">
        <v>5881</v>
      </c>
      <c r="B115" t="s">
        <v>8355</v>
      </c>
      <c r="C115" t="s">
        <v>8356</v>
      </c>
      <c r="D115" t="s">
        <v>8357</v>
      </c>
      <c r="E115" t="s">
        <v>8358</v>
      </c>
      <c r="F115" t="s">
        <v>75</v>
      </c>
      <c r="G115" t="s">
        <v>76</v>
      </c>
      <c r="H115">
        <v>6042</v>
      </c>
      <c r="I115">
        <v>13073943</v>
      </c>
      <c r="J115" t="s">
        <v>8359</v>
      </c>
    </row>
    <row r="116" spans="1:10" x14ac:dyDescent="0.35">
      <c r="A116" t="s">
        <v>3981</v>
      </c>
      <c r="B116" t="s">
        <v>8360</v>
      </c>
      <c r="C116" t="s">
        <v>8361</v>
      </c>
      <c r="D116" t="s">
        <v>8362</v>
      </c>
      <c r="F116" t="s">
        <v>5999</v>
      </c>
      <c r="G116" t="s">
        <v>51</v>
      </c>
      <c r="H116">
        <v>94509</v>
      </c>
      <c r="I116">
        <v>13351652</v>
      </c>
      <c r="J116" t="s">
        <v>8363</v>
      </c>
    </row>
    <row r="117" spans="1:10" x14ac:dyDescent="0.35">
      <c r="A117" t="s">
        <v>4268</v>
      </c>
      <c r="B117" t="s">
        <v>8364</v>
      </c>
      <c r="C117" t="s">
        <v>8365</v>
      </c>
      <c r="D117" t="s">
        <v>8366</v>
      </c>
      <c r="F117" t="s">
        <v>35</v>
      </c>
      <c r="G117" t="s">
        <v>36</v>
      </c>
      <c r="H117">
        <v>31408</v>
      </c>
      <c r="I117">
        <v>67741593</v>
      </c>
      <c r="J117" t="s">
        <v>8367</v>
      </c>
    </row>
    <row r="118" spans="1:10" x14ac:dyDescent="0.35">
      <c r="A118" t="s">
        <v>1073</v>
      </c>
      <c r="B118" t="s">
        <v>8368</v>
      </c>
      <c r="C118" t="s">
        <v>8369</v>
      </c>
      <c r="D118" t="s">
        <v>8370</v>
      </c>
      <c r="F118" t="s">
        <v>45</v>
      </c>
      <c r="G118" t="s">
        <v>46</v>
      </c>
      <c r="H118">
        <v>36108</v>
      </c>
      <c r="I118">
        <v>19554644</v>
      </c>
      <c r="J118" t="s">
        <v>8371</v>
      </c>
    </row>
    <row r="119" spans="1:10" x14ac:dyDescent="0.35">
      <c r="A119" t="s">
        <v>1365</v>
      </c>
      <c r="B119" t="s">
        <v>8372</v>
      </c>
      <c r="C119" t="s">
        <v>8373</v>
      </c>
      <c r="D119" t="s">
        <v>8374</v>
      </c>
      <c r="F119" t="s">
        <v>8375</v>
      </c>
      <c r="G119" t="s">
        <v>139</v>
      </c>
      <c r="H119">
        <v>2343</v>
      </c>
      <c r="I119">
        <v>83739602</v>
      </c>
      <c r="J119" t="s">
        <v>8376</v>
      </c>
    </row>
    <row r="120" spans="1:10" x14ac:dyDescent="0.35">
      <c r="A120" t="s">
        <v>4832</v>
      </c>
      <c r="B120" t="s">
        <v>8377</v>
      </c>
      <c r="C120" t="s">
        <v>8378</v>
      </c>
      <c r="D120" t="s">
        <v>8379</v>
      </c>
      <c r="F120" t="s">
        <v>107</v>
      </c>
      <c r="G120" t="s">
        <v>87</v>
      </c>
      <c r="H120">
        <v>40222</v>
      </c>
      <c r="I120">
        <v>54517293</v>
      </c>
      <c r="J120" t="s">
        <v>8380</v>
      </c>
    </row>
    <row r="121" spans="1:10" x14ac:dyDescent="0.35">
      <c r="A121" t="s">
        <v>4324</v>
      </c>
      <c r="B121" t="s">
        <v>8381</v>
      </c>
      <c r="C121" t="s">
        <v>8382</v>
      </c>
      <c r="D121" t="s">
        <v>8383</v>
      </c>
      <c r="F121" t="s">
        <v>1071</v>
      </c>
      <c r="G121" t="s">
        <v>236</v>
      </c>
      <c r="H121">
        <v>73003</v>
      </c>
      <c r="I121">
        <v>39790996</v>
      </c>
      <c r="J121" t="s">
        <v>8384</v>
      </c>
    </row>
    <row r="122" spans="1:10" x14ac:dyDescent="0.35">
      <c r="A122" t="s">
        <v>7218</v>
      </c>
      <c r="B122" t="s">
        <v>8385</v>
      </c>
      <c r="C122" t="s">
        <v>8386</v>
      </c>
      <c r="D122" t="s">
        <v>8387</v>
      </c>
      <c r="F122" t="s">
        <v>124</v>
      </c>
      <c r="G122" t="s">
        <v>117</v>
      </c>
      <c r="H122">
        <v>72701</v>
      </c>
      <c r="I122">
        <v>59198989</v>
      </c>
      <c r="J122" t="s">
        <v>8388</v>
      </c>
    </row>
    <row r="123" spans="1:10" x14ac:dyDescent="0.35">
      <c r="A123" t="s">
        <v>6867</v>
      </c>
      <c r="B123" t="s">
        <v>8389</v>
      </c>
      <c r="C123" t="s">
        <v>8390</v>
      </c>
      <c r="D123" t="s">
        <v>8352</v>
      </c>
      <c r="E123" t="s">
        <v>8353</v>
      </c>
      <c r="F123" t="s">
        <v>124</v>
      </c>
      <c r="G123" t="s">
        <v>117</v>
      </c>
      <c r="H123">
        <v>72701</v>
      </c>
      <c r="I123">
        <v>50274569</v>
      </c>
      <c r="J123" t="s">
        <v>8391</v>
      </c>
    </row>
    <row r="124" spans="1:10" x14ac:dyDescent="0.35">
      <c r="A124" t="s">
        <v>1006</v>
      </c>
      <c r="B124" t="s">
        <v>8392</v>
      </c>
      <c r="C124" t="s">
        <v>8393</v>
      </c>
      <c r="D124" t="s">
        <v>8394</v>
      </c>
      <c r="F124" t="s">
        <v>112</v>
      </c>
      <c r="G124" t="s">
        <v>106</v>
      </c>
      <c r="H124">
        <v>99517</v>
      </c>
      <c r="I124">
        <v>26009810</v>
      </c>
      <c r="J124" t="s">
        <v>8395</v>
      </c>
    </row>
    <row r="125" spans="1:10" x14ac:dyDescent="0.35">
      <c r="A125" t="s">
        <v>1353</v>
      </c>
      <c r="B125" t="s">
        <v>8396</v>
      </c>
      <c r="C125" t="s">
        <v>8397</v>
      </c>
      <c r="D125" t="s">
        <v>8398</v>
      </c>
      <c r="F125" t="s">
        <v>1162</v>
      </c>
      <c r="G125" t="s">
        <v>147</v>
      </c>
      <c r="H125">
        <v>5201</v>
      </c>
      <c r="I125">
        <v>35111605</v>
      </c>
      <c r="J125" t="s">
        <v>8399</v>
      </c>
    </row>
    <row r="126" spans="1:10" x14ac:dyDescent="0.35">
      <c r="A126" t="s">
        <v>1580</v>
      </c>
      <c r="B126" t="s">
        <v>8400</v>
      </c>
      <c r="C126" t="s">
        <v>8401</v>
      </c>
      <c r="D126" t="s">
        <v>8402</v>
      </c>
      <c r="F126" t="s">
        <v>118</v>
      </c>
      <c r="G126" t="s">
        <v>42</v>
      </c>
      <c r="H126">
        <v>80002</v>
      </c>
      <c r="I126">
        <v>123653318</v>
      </c>
      <c r="J126" t="s">
        <v>8403</v>
      </c>
    </row>
    <row r="127" spans="1:10" x14ac:dyDescent="0.35">
      <c r="A127" t="s">
        <v>1882</v>
      </c>
      <c r="B127" t="s">
        <v>8404</v>
      </c>
      <c r="C127" t="s">
        <v>8405</v>
      </c>
      <c r="D127" t="s">
        <v>8406</v>
      </c>
      <c r="F127" t="s">
        <v>509</v>
      </c>
      <c r="G127" t="s">
        <v>147</v>
      </c>
      <c r="H127">
        <v>5446</v>
      </c>
      <c r="I127">
        <v>67886348</v>
      </c>
      <c r="J127" t="s">
        <v>8407</v>
      </c>
    </row>
    <row r="128" spans="1:10" x14ac:dyDescent="0.35">
      <c r="A128" t="s">
        <v>6171</v>
      </c>
      <c r="B128" t="s">
        <v>8408</v>
      </c>
      <c r="C128" t="s">
        <v>8409</v>
      </c>
      <c r="D128" t="s">
        <v>8410</v>
      </c>
      <c r="F128" t="s">
        <v>209</v>
      </c>
      <c r="G128" t="s">
        <v>74</v>
      </c>
      <c r="H128">
        <v>32405</v>
      </c>
      <c r="I128">
        <v>89315813</v>
      </c>
      <c r="J128" t="s">
        <v>8411</v>
      </c>
    </row>
    <row r="129" spans="1:10" x14ac:dyDescent="0.35">
      <c r="A129" t="s">
        <v>2875</v>
      </c>
      <c r="B129" t="s">
        <v>8412</v>
      </c>
      <c r="C129" t="s">
        <v>8413</v>
      </c>
      <c r="D129" t="s">
        <v>8414</v>
      </c>
      <c r="F129" t="s">
        <v>235</v>
      </c>
      <c r="G129" t="s">
        <v>236</v>
      </c>
      <c r="H129">
        <v>73129</v>
      </c>
      <c r="I129">
        <v>118146872</v>
      </c>
      <c r="J129" t="s">
        <v>8415</v>
      </c>
    </row>
    <row r="130" spans="1:10" x14ac:dyDescent="0.35">
      <c r="A130" t="s">
        <v>6944</v>
      </c>
      <c r="B130" t="s">
        <v>8416</v>
      </c>
      <c r="C130" t="s">
        <v>8417</v>
      </c>
      <c r="D130" t="s">
        <v>8418</v>
      </c>
      <c r="F130" t="s">
        <v>6758</v>
      </c>
      <c r="G130" t="s">
        <v>51</v>
      </c>
      <c r="H130">
        <v>95685</v>
      </c>
      <c r="I130">
        <v>98655441</v>
      </c>
      <c r="J130" t="s">
        <v>8419</v>
      </c>
    </row>
    <row r="131" spans="1:10" x14ac:dyDescent="0.35">
      <c r="A131" t="s">
        <v>3215</v>
      </c>
      <c r="B131" t="s">
        <v>8420</v>
      </c>
      <c r="C131" t="s">
        <v>8421</v>
      </c>
      <c r="D131" t="s">
        <v>8422</v>
      </c>
      <c r="F131" t="s">
        <v>1375</v>
      </c>
      <c r="G131" t="s">
        <v>51</v>
      </c>
      <c r="H131">
        <v>90275</v>
      </c>
      <c r="I131">
        <v>39266080</v>
      </c>
      <c r="J131" t="s">
        <v>8423</v>
      </c>
    </row>
    <row r="132" spans="1:10" x14ac:dyDescent="0.35">
      <c r="A132" t="s">
        <v>924</v>
      </c>
      <c r="B132" t="s">
        <v>8424</v>
      </c>
      <c r="C132" t="s">
        <v>8425</v>
      </c>
      <c r="D132" t="s">
        <v>8426</v>
      </c>
      <c r="F132" t="s">
        <v>2502</v>
      </c>
      <c r="G132" t="s">
        <v>51</v>
      </c>
      <c r="H132">
        <v>94588</v>
      </c>
      <c r="I132">
        <v>58864324</v>
      </c>
      <c r="J132" t="s">
        <v>8427</v>
      </c>
    </row>
    <row r="133" spans="1:10" x14ac:dyDescent="0.35">
      <c r="A133" t="s">
        <v>2252</v>
      </c>
      <c r="B133" t="s">
        <v>8428</v>
      </c>
      <c r="C133" t="s">
        <v>8429</v>
      </c>
      <c r="D133" t="s">
        <v>8430</v>
      </c>
      <c r="F133" t="s">
        <v>130</v>
      </c>
      <c r="G133" t="s">
        <v>123</v>
      </c>
      <c r="H133">
        <v>20020</v>
      </c>
      <c r="I133">
        <v>37112932</v>
      </c>
      <c r="J133" t="s">
        <v>8431</v>
      </c>
    </row>
    <row r="134" spans="1:10" x14ac:dyDescent="0.35">
      <c r="A134" t="s">
        <v>2484</v>
      </c>
      <c r="B134" t="s">
        <v>8432</v>
      </c>
      <c r="C134" t="s">
        <v>8433</v>
      </c>
      <c r="D134" t="s">
        <v>8434</v>
      </c>
      <c r="E134" t="s">
        <v>32</v>
      </c>
      <c r="F134" t="s">
        <v>35</v>
      </c>
      <c r="G134" t="s">
        <v>36</v>
      </c>
      <c r="H134">
        <v>31410</v>
      </c>
      <c r="I134">
        <v>52963849</v>
      </c>
      <c r="J134" t="s">
        <v>8435</v>
      </c>
    </row>
    <row r="135" spans="1:10" x14ac:dyDescent="0.35">
      <c r="A135" t="s">
        <v>217</v>
      </c>
      <c r="B135" t="s">
        <v>8436</v>
      </c>
      <c r="C135" t="s">
        <v>8437</v>
      </c>
      <c r="D135" t="s">
        <v>8438</v>
      </c>
      <c r="F135" t="s">
        <v>112</v>
      </c>
      <c r="G135" t="s">
        <v>106</v>
      </c>
      <c r="H135">
        <v>99577</v>
      </c>
      <c r="I135">
        <v>52052828</v>
      </c>
      <c r="J135" t="s">
        <v>8439</v>
      </c>
    </row>
    <row r="136" spans="1:10" x14ac:dyDescent="0.35">
      <c r="A136" t="s">
        <v>2891</v>
      </c>
      <c r="B136" t="s">
        <v>8440</v>
      </c>
      <c r="C136" t="s">
        <v>8441</v>
      </c>
      <c r="D136" t="s">
        <v>8442</v>
      </c>
      <c r="F136" t="s">
        <v>82</v>
      </c>
      <c r="G136" t="s">
        <v>74</v>
      </c>
      <c r="H136">
        <v>32413</v>
      </c>
      <c r="I136">
        <v>117286937</v>
      </c>
      <c r="J136" t="s">
        <v>8443</v>
      </c>
    </row>
    <row r="137" spans="1:10" x14ac:dyDescent="0.35">
      <c r="A137" t="s">
        <v>8444</v>
      </c>
      <c r="B137" t="s">
        <v>8445</v>
      </c>
      <c r="C137" t="s">
        <v>8446</v>
      </c>
      <c r="D137" t="s">
        <v>8447</v>
      </c>
      <c r="E137" t="s">
        <v>8448</v>
      </c>
      <c r="F137" t="s">
        <v>118</v>
      </c>
      <c r="G137" t="s">
        <v>42</v>
      </c>
      <c r="H137">
        <v>80002</v>
      </c>
      <c r="I137">
        <v>65290211</v>
      </c>
      <c r="J137" t="s">
        <v>8449</v>
      </c>
    </row>
    <row r="138" spans="1:10" x14ac:dyDescent="0.35">
      <c r="A138" t="s">
        <v>5991</v>
      </c>
      <c r="B138" t="s">
        <v>8450</v>
      </c>
      <c r="C138" t="s">
        <v>8451</v>
      </c>
      <c r="D138" t="s">
        <v>8452</v>
      </c>
      <c r="E138" t="s">
        <v>32</v>
      </c>
      <c r="F138" t="s">
        <v>35</v>
      </c>
      <c r="G138" t="s">
        <v>36</v>
      </c>
      <c r="H138">
        <v>31405</v>
      </c>
      <c r="I138">
        <v>58254769</v>
      </c>
      <c r="J138" t="s">
        <v>8453</v>
      </c>
    </row>
    <row r="139" spans="1:10" x14ac:dyDescent="0.35">
      <c r="A139" t="s">
        <v>6162</v>
      </c>
      <c r="B139" t="s">
        <v>8454</v>
      </c>
      <c r="C139" t="s">
        <v>8455</v>
      </c>
      <c r="D139" t="s">
        <v>8456</v>
      </c>
      <c r="F139" t="s">
        <v>45</v>
      </c>
      <c r="G139" t="s">
        <v>46</v>
      </c>
      <c r="H139">
        <v>36108</v>
      </c>
      <c r="I139">
        <v>127795887</v>
      </c>
      <c r="J139" t="s">
        <v>8457</v>
      </c>
    </row>
    <row r="140" spans="1:10" x14ac:dyDescent="0.35">
      <c r="A140" t="s">
        <v>630</v>
      </c>
      <c r="B140" t="s">
        <v>8458</v>
      </c>
      <c r="C140" t="s">
        <v>8459</v>
      </c>
      <c r="D140" t="s">
        <v>8460</v>
      </c>
      <c r="F140" t="s">
        <v>45</v>
      </c>
      <c r="G140" t="s">
        <v>46</v>
      </c>
      <c r="H140">
        <v>36106</v>
      </c>
      <c r="I140">
        <v>74238772</v>
      </c>
      <c r="J140" t="s">
        <v>8461</v>
      </c>
    </row>
    <row r="141" spans="1:10" x14ac:dyDescent="0.35">
      <c r="A141" t="s">
        <v>8462</v>
      </c>
      <c r="B141" t="s">
        <v>8463</v>
      </c>
      <c r="C141" t="s">
        <v>8464</v>
      </c>
      <c r="D141" t="s">
        <v>8465</v>
      </c>
      <c r="F141" t="s">
        <v>2502</v>
      </c>
      <c r="G141" t="s">
        <v>51</v>
      </c>
      <c r="H141">
        <v>94588</v>
      </c>
      <c r="I141">
        <v>96336283</v>
      </c>
      <c r="J141" t="s">
        <v>8466</v>
      </c>
    </row>
    <row r="142" spans="1:10" x14ac:dyDescent="0.35">
      <c r="A142" t="s">
        <v>3892</v>
      </c>
      <c r="B142" t="s">
        <v>8467</v>
      </c>
      <c r="C142" t="s">
        <v>8468</v>
      </c>
      <c r="D142" t="s">
        <v>8469</v>
      </c>
      <c r="E142" t="s">
        <v>8470</v>
      </c>
      <c r="F142" t="s">
        <v>35</v>
      </c>
      <c r="G142" t="s">
        <v>36</v>
      </c>
      <c r="H142">
        <v>31406</v>
      </c>
      <c r="I142">
        <v>109261436</v>
      </c>
      <c r="J142" t="s">
        <v>8471</v>
      </c>
    </row>
    <row r="143" spans="1:10" x14ac:dyDescent="0.35">
      <c r="A143" t="s">
        <v>1632</v>
      </c>
      <c r="B143" t="s">
        <v>8472</v>
      </c>
      <c r="C143" t="s">
        <v>8473</v>
      </c>
      <c r="D143" t="s">
        <v>8474</v>
      </c>
      <c r="E143" t="s">
        <v>102</v>
      </c>
      <c r="F143" t="s">
        <v>107</v>
      </c>
      <c r="G143" t="s">
        <v>87</v>
      </c>
      <c r="H143">
        <v>40291</v>
      </c>
      <c r="I143">
        <v>67137110</v>
      </c>
      <c r="J143" t="s">
        <v>8475</v>
      </c>
    </row>
    <row r="144" spans="1:10" x14ac:dyDescent="0.35">
      <c r="A144" t="s">
        <v>328</v>
      </c>
      <c r="B144" t="s">
        <v>8476</v>
      </c>
      <c r="C144" t="s">
        <v>8477</v>
      </c>
      <c r="D144" t="s">
        <v>8478</v>
      </c>
      <c r="G144" t="s">
        <v>147</v>
      </c>
      <c r="H144">
        <v>5468</v>
      </c>
      <c r="I144">
        <v>112803894</v>
      </c>
      <c r="J144" t="s">
        <v>8479</v>
      </c>
    </row>
    <row r="145" spans="1:10" x14ac:dyDescent="0.35">
      <c r="A145" t="s">
        <v>7398</v>
      </c>
      <c r="B145" t="s">
        <v>8480</v>
      </c>
      <c r="C145" t="s">
        <v>8481</v>
      </c>
      <c r="D145" t="s">
        <v>8482</v>
      </c>
      <c r="F145" t="s">
        <v>118</v>
      </c>
      <c r="G145" t="s">
        <v>42</v>
      </c>
      <c r="H145">
        <v>80004</v>
      </c>
      <c r="I145">
        <v>12429983</v>
      </c>
      <c r="J145" t="s">
        <v>8483</v>
      </c>
    </row>
    <row r="146" spans="1:10" x14ac:dyDescent="0.35">
      <c r="A146" t="s">
        <v>6340</v>
      </c>
      <c r="B146" t="s">
        <v>8484</v>
      </c>
      <c r="C146" t="s">
        <v>8485</v>
      </c>
      <c r="D146" t="s">
        <v>8486</v>
      </c>
      <c r="E146" t="s">
        <v>8487</v>
      </c>
      <c r="F146" t="s">
        <v>543</v>
      </c>
      <c r="G146" t="s">
        <v>51</v>
      </c>
      <c r="H146">
        <v>94709</v>
      </c>
      <c r="I146">
        <v>99542197</v>
      </c>
      <c r="J146" t="s">
        <v>8488</v>
      </c>
    </row>
    <row r="147" spans="1:10" x14ac:dyDescent="0.35">
      <c r="A147" t="s">
        <v>7068</v>
      </c>
      <c r="B147" t="s">
        <v>8489</v>
      </c>
      <c r="C147" t="s">
        <v>8490</v>
      </c>
      <c r="D147" t="s">
        <v>8491</v>
      </c>
      <c r="F147" t="s">
        <v>8492</v>
      </c>
      <c r="G147" t="s">
        <v>42</v>
      </c>
      <c r="H147">
        <v>80620</v>
      </c>
      <c r="I147">
        <v>36979448</v>
      </c>
      <c r="J147" t="s">
        <v>8493</v>
      </c>
    </row>
    <row r="148" spans="1:10" x14ac:dyDescent="0.35">
      <c r="A148" t="s">
        <v>7134</v>
      </c>
      <c r="B148" t="s">
        <v>8494</v>
      </c>
      <c r="C148" t="s">
        <v>8495</v>
      </c>
      <c r="D148" t="s">
        <v>8496</v>
      </c>
      <c r="E148" t="s">
        <v>8497</v>
      </c>
      <c r="F148" t="s">
        <v>112</v>
      </c>
      <c r="G148" t="s">
        <v>106</v>
      </c>
      <c r="H148">
        <v>99503</v>
      </c>
      <c r="I148">
        <v>34558777</v>
      </c>
      <c r="J148" t="s">
        <v>8498</v>
      </c>
    </row>
    <row r="149" spans="1:10" x14ac:dyDescent="0.35">
      <c r="A149" t="s">
        <v>2654</v>
      </c>
      <c r="B149" t="s">
        <v>8499</v>
      </c>
      <c r="C149" t="s">
        <v>8500</v>
      </c>
      <c r="D149" t="s">
        <v>8501</v>
      </c>
      <c r="F149" t="s">
        <v>82</v>
      </c>
      <c r="G149" t="s">
        <v>74</v>
      </c>
      <c r="H149">
        <v>32408</v>
      </c>
      <c r="I149">
        <v>30385397</v>
      </c>
      <c r="J149" t="s">
        <v>8502</v>
      </c>
    </row>
    <row r="150" spans="1:10" x14ac:dyDescent="0.35">
      <c r="A150" t="s">
        <v>7813</v>
      </c>
      <c r="B150" t="s">
        <v>8503</v>
      </c>
      <c r="C150" t="s">
        <v>8504</v>
      </c>
      <c r="D150" t="s">
        <v>8505</v>
      </c>
      <c r="F150" t="s">
        <v>8506</v>
      </c>
      <c r="G150" t="s">
        <v>139</v>
      </c>
      <c r="H150">
        <v>1719</v>
      </c>
      <c r="I150">
        <v>71007676</v>
      </c>
      <c r="J150" t="s">
        <v>8507</v>
      </c>
    </row>
    <row r="151" spans="1:10" x14ac:dyDescent="0.35">
      <c r="A151" t="s">
        <v>1629</v>
      </c>
      <c r="B151" t="s">
        <v>8508</v>
      </c>
      <c r="C151" t="s">
        <v>8509</v>
      </c>
      <c r="D151" t="s">
        <v>8510</v>
      </c>
      <c r="F151" t="s">
        <v>107</v>
      </c>
      <c r="G151" t="s">
        <v>87</v>
      </c>
      <c r="H151">
        <v>40245</v>
      </c>
      <c r="I151">
        <v>52933002</v>
      </c>
      <c r="J151" t="s">
        <v>8511</v>
      </c>
    </row>
    <row r="152" spans="1:10" x14ac:dyDescent="0.35">
      <c r="A152" t="s">
        <v>8512</v>
      </c>
      <c r="B152" t="s">
        <v>8513</v>
      </c>
      <c r="C152" t="s">
        <v>8514</v>
      </c>
      <c r="D152" t="s">
        <v>8515</v>
      </c>
      <c r="F152" t="s">
        <v>75</v>
      </c>
      <c r="G152" t="s">
        <v>76</v>
      </c>
      <c r="H152">
        <v>6040</v>
      </c>
      <c r="I152">
        <v>107749125</v>
      </c>
      <c r="J152" t="s">
        <v>8516</v>
      </c>
    </row>
    <row r="153" spans="1:10" x14ac:dyDescent="0.35">
      <c r="A153" t="s">
        <v>3154</v>
      </c>
      <c r="B153" t="s">
        <v>8517</v>
      </c>
      <c r="C153" t="s">
        <v>8518</v>
      </c>
      <c r="D153" t="s">
        <v>8519</v>
      </c>
      <c r="F153" t="s">
        <v>63</v>
      </c>
      <c r="G153" t="s">
        <v>64</v>
      </c>
      <c r="H153">
        <v>37209</v>
      </c>
      <c r="I153">
        <v>67394856</v>
      </c>
      <c r="J153" t="s">
        <v>8520</v>
      </c>
    </row>
    <row r="154" spans="1:10" x14ac:dyDescent="0.35">
      <c r="A154" t="s">
        <v>2270</v>
      </c>
      <c r="B154" t="s">
        <v>8521</v>
      </c>
      <c r="C154" t="s">
        <v>8522</v>
      </c>
      <c r="D154" t="s">
        <v>8523</v>
      </c>
      <c r="F154" t="s">
        <v>523</v>
      </c>
      <c r="G154" t="s">
        <v>36</v>
      </c>
      <c r="H154">
        <v>31322</v>
      </c>
      <c r="I154">
        <v>99200918</v>
      </c>
      <c r="J154" t="s">
        <v>8524</v>
      </c>
    </row>
    <row r="155" spans="1:10" x14ac:dyDescent="0.35">
      <c r="A155" t="s">
        <v>84</v>
      </c>
      <c r="B155" t="s">
        <v>8525</v>
      </c>
      <c r="C155" t="s">
        <v>8526</v>
      </c>
      <c r="D155" t="s">
        <v>8527</v>
      </c>
      <c r="F155" t="s">
        <v>107</v>
      </c>
      <c r="G155" t="s">
        <v>87</v>
      </c>
      <c r="H155">
        <v>40272</v>
      </c>
      <c r="I155">
        <v>51435255</v>
      </c>
      <c r="J155" t="s">
        <v>8528</v>
      </c>
    </row>
    <row r="156" spans="1:10" x14ac:dyDescent="0.35">
      <c r="A156" t="s">
        <v>2290</v>
      </c>
      <c r="B156" t="s">
        <v>8529</v>
      </c>
      <c r="C156" t="s">
        <v>8530</v>
      </c>
      <c r="D156" t="s">
        <v>8531</v>
      </c>
      <c r="F156" t="s">
        <v>112</v>
      </c>
      <c r="G156" t="s">
        <v>106</v>
      </c>
      <c r="H156">
        <v>99501</v>
      </c>
      <c r="I156">
        <v>82263328</v>
      </c>
      <c r="J156" t="s">
        <v>8532</v>
      </c>
    </row>
    <row r="157" spans="1:10" x14ac:dyDescent="0.35">
      <c r="A157" t="s">
        <v>3569</v>
      </c>
      <c r="B157" t="s">
        <v>8533</v>
      </c>
      <c r="C157" t="s">
        <v>8534</v>
      </c>
      <c r="D157" t="s">
        <v>8535</v>
      </c>
      <c r="F157" t="s">
        <v>235</v>
      </c>
      <c r="G157" t="s">
        <v>236</v>
      </c>
      <c r="H157">
        <v>73139</v>
      </c>
      <c r="I157">
        <v>95464237</v>
      </c>
      <c r="J157" t="s">
        <v>8536</v>
      </c>
    </row>
    <row r="158" spans="1:10" x14ac:dyDescent="0.35">
      <c r="A158" t="s">
        <v>4105</v>
      </c>
      <c r="B158" t="s">
        <v>8537</v>
      </c>
      <c r="C158" t="s">
        <v>8538</v>
      </c>
      <c r="D158" t="s">
        <v>8539</v>
      </c>
      <c r="F158" t="s">
        <v>500</v>
      </c>
      <c r="G158" t="s">
        <v>236</v>
      </c>
      <c r="H158">
        <v>73130</v>
      </c>
      <c r="I158">
        <v>113258600</v>
      </c>
      <c r="J158" t="s">
        <v>8540</v>
      </c>
    </row>
    <row r="159" spans="1:10" x14ac:dyDescent="0.35">
      <c r="A159" t="s">
        <v>4462</v>
      </c>
      <c r="B159" t="s">
        <v>6282</v>
      </c>
      <c r="C159" t="s">
        <v>8541</v>
      </c>
      <c r="D159" t="s">
        <v>8542</v>
      </c>
      <c r="F159" t="s">
        <v>3717</v>
      </c>
      <c r="G159" t="s">
        <v>147</v>
      </c>
      <c r="H159">
        <v>5360</v>
      </c>
      <c r="I159">
        <v>47030651</v>
      </c>
      <c r="J159" t="s">
        <v>8543</v>
      </c>
    </row>
    <row r="160" spans="1:10" x14ac:dyDescent="0.35">
      <c r="A160" t="s">
        <v>2918</v>
      </c>
      <c r="B160" t="s">
        <v>8544</v>
      </c>
      <c r="C160" t="s">
        <v>8545</v>
      </c>
      <c r="D160" t="s">
        <v>8546</v>
      </c>
      <c r="E160" t="s">
        <v>8547</v>
      </c>
      <c r="F160" t="s">
        <v>112</v>
      </c>
      <c r="G160" t="s">
        <v>106</v>
      </c>
      <c r="H160">
        <v>99508</v>
      </c>
      <c r="I160">
        <v>101956451</v>
      </c>
      <c r="J160" t="s">
        <v>8548</v>
      </c>
    </row>
    <row r="161" spans="1:10" x14ac:dyDescent="0.35">
      <c r="A161" t="s">
        <v>4556</v>
      </c>
      <c r="B161" t="s">
        <v>8549</v>
      </c>
      <c r="C161" t="s">
        <v>8550</v>
      </c>
      <c r="D161" t="s">
        <v>8551</v>
      </c>
      <c r="F161" t="s">
        <v>107</v>
      </c>
      <c r="G161" t="s">
        <v>87</v>
      </c>
      <c r="H161">
        <v>40245</v>
      </c>
      <c r="I161">
        <v>14951860</v>
      </c>
      <c r="J161" t="s">
        <v>8552</v>
      </c>
    </row>
    <row r="162" spans="1:10" x14ac:dyDescent="0.35">
      <c r="A162" t="s">
        <v>1393</v>
      </c>
      <c r="B162" t="s">
        <v>8553</v>
      </c>
      <c r="C162" t="s">
        <v>8554</v>
      </c>
      <c r="D162" t="s">
        <v>8555</v>
      </c>
      <c r="F162" t="s">
        <v>130</v>
      </c>
      <c r="G162" t="s">
        <v>123</v>
      </c>
      <c r="H162">
        <v>20019</v>
      </c>
      <c r="I162">
        <v>125716305</v>
      </c>
      <c r="J162" t="s">
        <v>8556</v>
      </c>
    </row>
    <row r="163" spans="1:10" x14ac:dyDescent="0.35">
      <c r="A163" t="s">
        <v>2584</v>
      </c>
      <c r="B163" t="s">
        <v>8557</v>
      </c>
      <c r="C163" t="s">
        <v>8558</v>
      </c>
      <c r="D163" t="s">
        <v>8559</v>
      </c>
      <c r="F163" t="s">
        <v>8560</v>
      </c>
      <c r="G163" t="s">
        <v>147</v>
      </c>
      <c r="H163">
        <v>5476</v>
      </c>
      <c r="I163">
        <v>101922032</v>
      </c>
      <c r="J163" t="s">
        <v>8561</v>
      </c>
    </row>
    <row r="164" spans="1:10" x14ac:dyDescent="0.35">
      <c r="A164" t="s">
        <v>1148</v>
      </c>
      <c r="B164" t="s">
        <v>8562</v>
      </c>
      <c r="C164" t="s">
        <v>8563</v>
      </c>
      <c r="D164" t="s">
        <v>8564</v>
      </c>
      <c r="F164" t="s">
        <v>278</v>
      </c>
      <c r="G164" t="s">
        <v>97</v>
      </c>
      <c r="H164">
        <v>21060</v>
      </c>
      <c r="I164">
        <v>36854495</v>
      </c>
      <c r="J164" t="s">
        <v>8565</v>
      </c>
    </row>
    <row r="165" spans="1:10" x14ac:dyDescent="0.35">
      <c r="A165" t="s">
        <v>895</v>
      </c>
      <c r="B165" t="s">
        <v>8566</v>
      </c>
      <c r="C165" t="s">
        <v>8567</v>
      </c>
      <c r="D165" t="s">
        <v>8568</v>
      </c>
      <c r="F165" t="s">
        <v>63</v>
      </c>
      <c r="G165" t="s">
        <v>64</v>
      </c>
      <c r="H165">
        <v>37013</v>
      </c>
      <c r="I165">
        <v>70419278</v>
      </c>
      <c r="J165" t="s">
        <v>8569</v>
      </c>
    </row>
    <row r="166" spans="1:10" x14ac:dyDescent="0.35">
      <c r="A166" t="s">
        <v>680</v>
      </c>
      <c r="B166" t="s">
        <v>8570</v>
      </c>
      <c r="C166" t="s">
        <v>8571</v>
      </c>
      <c r="D166" t="s">
        <v>8572</v>
      </c>
      <c r="F166" t="s">
        <v>75</v>
      </c>
      <c r="G166" t="s">
        <v>76</v>
      </c>
      <c r="H166">
        <v>6040</v>
      </c>
      <c r="I166">
        <v>44283171</v>
      </c>
      <c r="J166" t="s">
        <v>8573</v>
      </c>
    </row>
    <row r="167" spans="1:10" x14ac:dyDescent="0.35">
      <c r="A167" t="s">
        <v>8574</v>
      </c>
      <c r="B167" t="s">
        <v>8575</v>
      </c>
      <c r="C167" t="s">
        <v>8421</v>
      </c>
      <c r="D167" t="s">
        <v>8576</v>
      </c>
      <c r="F167" t="s">
        <v>3124</v>
      </c>
      <c r="G167" t="s">
        <v>64</v>
      </c>
      <c r="H167">
        <v>37072</v>
      </c>
      <c r="I167">
        <v>114797306</v>
      </c>
      <c r="J167" t="s">
        <v>8577</v>
      </c>
    </row>
    <row r="168" spans="1:10" x14ac:dyDescent="0.35">
      <c r="A168" t="s">
        <v>3192</v>
      </c>
      <c r="B168" t="s">
        <v>8578</v>
      </c>
      <c r="C168" t="s">
        <v>8579</v>
      </c>
      <c r="D168" t="s">
        <v>8580</v>
      </c>
      <c r="F168" t="s">
        <v>830</v>
      </c>
      <c r="G168" t="s">
        <v>51</v>
      </c>
      <c r="H168">
        <v>94536</v>
      </c>
      <c r="I168">
        <v>117692246</v>
      </c>
      <c r="J168" t="s">
        <v>8581</v>
      </c>
    </row>
    <row r="169" spans="1:10" x14ac:dyDescent="0.35">
      <c r="A169" t="s">
        <v>8582</v>
      </c>
      <c r="B169" t="s">
        <v>8583</v>
      </c>
      <c r="C169" t="s">
        <v>8584</v>
      </c>
      <c r="D169" t="s">
        <v>8585</v>
      </c>
      <c r="F169" t="s">
        <v>1071</v>
      </c>
      <c r="G169" t="s">
        <v>236</v>
      </c>
      <c r="H169">
        <v>73012</v>
      </c>
      <c r="I169">
        <v>72584127</v>
      </c>
      <c r="J169" t="s">
        <v>8586</v>
      </c>
    </row>
    <row r="170" spans="1:10" x14ac:dyDescent="0.35">
      <c r="A170" t="s">
        <v>399</v>
      </c>
      <c r="B170" t="s">
        <v>8587</v>
      </c>
      <c r="C170" t="s">
        <v>8588</v>
      </c>
      <c r="D170" t="s">
        <v>8589</v>
      </c>
      <c r="F170" t="s">
        <v>2328</v>
      </c>
      <c r="G170" t="s">
        <v>51</v>
      </c>
      <c r="H170">
        <v>93737</v>
      </c>
      <c r="I170">
        <v>112451961</v>
      </c>
      <c r="J170" t="s">
        <v>8590</v>
      </c>
    </row>
    <row r="171" spans="1:10" x14ac:dyDescent="0.35">
      <c r="A171" t="s">
        <v>642</v>
      </c>
      <c r="B171" t="s">
        <v>8591</v>
      </c>
      <c r="C171" t="s">
        <v>8592</v>
      </c>
      <c r="D171" t="s">
        <v>8593</v>
      </c>
      <c r="F171" t="s">
        <v>3728</v>
      </c>
      <c r="G171" t="s">
        <v>139</v>
      </c>
      <c r="H171">
        <v>2138</v>
      </c>
      <c r="I171">
        <v>15942519</v>
      </c>
      <c r="J171" t="s">
        <v>8594</v>
      </c>
    </row>
    <row r="172" spans="1:10" x14ac:dyDescent="0.35">
      <c r="A172" t="s">
        <v>3559</v>
      </c>
      <c r="B172" t="s">
        <v>8595</v>
      </c>
      <c r="C172" t="s">
        <v>8596</v>
      </c>
      <c r="D172" t="s">
        <v>8597</v>
      </c>
      <c r="F172" t="s">
        <v>316</v>
      </c>
      <c r="G172" t="s">
        <v>97</v>
      </c>
      <c r="H172">
        <v>21401</v>
      </c>
      <c r="I172">
        <v>53960456</v>
      </c>
      <c r="J172" t="s">
        <v>8598</v>
      </c>
    </row>
    <row r="173" spans="1:10" x14ac:dyDescent="0.35">
      <c r="A173" t="s">
        <v>1820</v>
      </c>
      <c r="B173" t="s">
        <v>8599</v>
      </c>
      <c r="C173" t="s">
        <v>8600</v>
      </c>
      <c r="D173" t="s">
        <v>8601</v>
      </c>
      <c r="F173" t="s">
        <v>230</v>
      </c>
      <c r="G173" t="s">
        <v>117</v>
      </c>
      <c r="H173">
        <v>72730</v>
      </c>
      <c r="I173">
        <v>95747310</v>
      </c>
      <c r="J173" t="s">
        <v>8602</v>
      </c>
    </row>
    <row r="174" spans="1:10" x14ac:dyDescent="0.35">
      <c r="A174" t="s">
        <v>4133</v>
      </c>
      <c r="B174" t="s">
        <v>8603</v>
      </c>
      <c r="C174" t="s">
        <v>8604</v>
      </c>
      <c r="D174" t="s">
        <v>8605</v>
      </c>
      <c r="F174" t="s">
        <v>130</v>
      </c>
      <c r="G174" t="s">
        <v>123</v>
      </c>
      <c r="H174">
        <v>20019</v>
      </c>
      <c r="I174">
        <v>124867967</v>
      </c>
      <c r="J174" t="s">
        <v>8606</v>
      </c>
    </row>
    <row r="175" spans="1:10" x14ac:dyDescent="0.35">
      <c r="A175" t="s">
        <v>3692</v>
      </c>
      <c r="B175" t="s">
        <v>8607</v>
      </c>
      <c r="C175" t="s">
        <v>8608</v>
      </c>
      <c r="D175" t="s">
        <v>8609</v>
      </c>
      <c r="F175" t="s">
        <v>112</v>
      </c>
      <c r="G175" t="s">
        <v>106</v>
      </c>
      <c r="H175">
        <v>99516</v>
      </c>
      <c r="I175">
        <v>129342571</v>
      </c>
      <c r="J175" t="s">
        <v>8610</v>
      </c>
    </row>
    <row r="176" spans="1:10" x14ac:dyDescent="0.35">
      <c r="A176" t="s">
        <v>1055</v>
      </c>
      <c r="B176" t="s">
        <v>8611</v>
      </c>
      <c r="C176" t="s">
        <v>8612</v>
      </c>
      <c r="D176" t="s">
        <v>8613</v>
      </c>
      <c r="F176" t="s">
        <v>118</v>
      </c>
      <c r="G176" t="s">
        <v>42</v>
      </c>
      <c r="H176">
        <v>80005</v>
      </c>
      <c r="I176">
        <v>103575555</v>
      </c>
      <c r="J176" t="s">
        <v>8614</v>
      </c>
    </row>
    <row r="177" spans="1:10" x14ac:dyDescent="0.35">
      <c r="A177" t="s">
        <v>2071</v>
      </c>
      <c r="B177" t="s">
        <v>8615</v>
      </c>
      <c r="C177" t="s">
        <v>8616</v>
      </c>
      <c r="D177" t="s">
        <v>8617</v>
      </c>
      <c r="F177" t="s">
        <v>278</v>
      </c>
      <c r="G177" t="s">
        <v>97</v>
      </c>
      <c r="H177">
        <v>21060</v>
      </c>
      <c r="I177">
        <v>69965351</v>
      </c>
      <c r="J177" t="s">
        <v>8618</v>
      </c>
    </row>
    <row r="178" spans="1:10" x14ac:dyDescent="0.35">
      <c r="A178" t="s">
        <v>3077</v>
      </c>
      <c r="B178" t="s">
        <v>8619</v>
      </c>
      <c r="C178" t="s">
        <v>8620</v>
      </c>
      <c r="D178" t="s">
        <v>8621</v>
      </c>
      <c r="F178" t="s">
        <v>209</v>
      </c>
      <c r="G178" t="s">
        <v>74</v>
      </c>
      <c r="H178">
        <v>32404</v>
      </c>
      <c r="I178">
        <v>40309033</v>
      </c>
      <c r="J178" t="s">
        <v>8622</v>
      </c>
    </row>
    <row r="179" spans="1:10" x14ac:dyDescent="0.35">
      <c r="A179" t="s">
        <v>804</v>
      </c>
      <c r="B179" t="s">
        <v>8623</v>
      </c>
      <c r="C179" t="s">
        <v>8624</v>
      </c>
      <c r="D179" t="s">
        <v>8625</v>
      </c>
      <c r="F179" t="s">
        <v>75</v>
      </c>
      <c r="G179" t="s">
        <v>76</v>
      </c>
      <c r="H179">
        <v>6040</v>
      </c>
      <c r="I179">
        <v>13470588</v>
      </c>
      <c r="J179" t="s">
        <v>8626</v>
      </c>
    </row>
    <row r="180" spans="1:10" x14ac:dyDescent="0.35">
      <c r="A180" t="s">
        <v>2379</v>
      </c>
      <c r="B180" t="s">
        <v>8627</v>
      </c>
      <c r="C180" t="s">
        <v>8628</v>
      </c>
      <c r="D180" t="s">
        <v>8629</v>
      </c>
      <c r="E180" t="s">
        <v>102</v>
      </c>
      <c r="F180" t="s">
        <v>75</v>
      </c>
      <c r="G180" t="s">
        <v>76</v>
      </c>
      <c r="H180">
        <v>6040</v>
      </c>
      <c r="I180">
        <v>65277276</v>
      </c>
      <c r="J180" t="s">
        <v>8630</v>
      </c>
    </row>
    <row r="181" spans="1:10" x14ac:dyDescent="0.35">
      <c r="A181" t="s">
        <v>8631</v>
      </c>
      <c r="B181" t="s">
        <v>8632</v>
      </c>
      <c r="C181" t="s">
        <v>8633</v>
      </c>
      <c r="D181" t="s">
        <v>8634</v>
      </c>
      <c r="F181" t="s">
        <v>8635</v>
      </c>
      <c r="G181" t="s">
        <v>51</v>
      </c>
      <c r="H181">
        <v>93442</v>
      </c>
      <c r="I181">
        <v>92441813</v>
      </c>
      <c r="J181" t="s">
        <v>8636</v>
      </c>
    </row>
    <row r="182" spans="1:10" x14ac:dyDescent="0.35">
      <c r="A182" t="s">
        <v>2337</v>
      </c>
      <c r="B182" t="s">
        <v>8637</v>
      </c>
      <c r="C182" t="s">
        <v>8638</v>
      </c>
      <c r="D182" t="s">
        <v>8639</v>
      </c>
      <c r="F182" t="s">
        <v>130</v>
      </c>
      <c r="G182" t="s">
        <v>123</v>
      </c>
      <c r="H182">
        <v>20020</v>
      </c>
      <c r="I182">
        <v>62957557</v>
      </c>
      <c r="J182" t="s">
        <v>8640</v>
      </c>
    </row>
    <row r="183" spans="1:10" x14ac:dyDescent="0.35">
      <c r="A183" t="s">
        <v>4093</v>
      </c>
      <c r="B183" t="s">
        <v>8641</v>
      </c>
      <c r="C183" t="s">
        <v>8642</v>
      </c>
      <c r="D183" t="s">
        <v>8643</v>
      </c>
      <c r="F183" t="s">
        <v>523</v>
      </c>
      <c r="G183" t="s">
        <v>36</v>
      </c>
      <c r="H183">
        <v>31322</v>
      </c>
      <c r="I183">
        <v>101977090</v>
      </c>
      <c r="J183" t="s">
        <v>8644</v>
      </c>
    </row>
    <row r="184" spans="1:10" x14ac:dyDescent="0.35">
      <c r="A184" t="s">
        <v>2317</v>
      </c>
      <c r="B184" t="s">
        <v>8645</v>
      </c>
      <c r="C184" t="s">
        <v>8646</v>
      </c>
      <c r="D184" t="s">
        <v>8647</v>
      </c>
      <c r="F184" t="s">
        <v>118</v>
      </c>
      <c r="G184" t="s">
        <v>42</v>
      </c>
      <c r="H184">
        <v>80002</v>
      </c>
      <c r="I184">
        <v>73404028</v>
      </c>
      <c r="J184" t="s">
        <v>8648</v>
      </c>
    </row>
    <row r="185" spans="1:10" x14ac:dyDescent="0.35">
      <c r="A185" t="s">
        <v>4692</v>
      </c>
      <c r="B185" t="s">
        <v>8649</v>
      </c>
      <c r="C185" t="s">
        <v>8650</v>
      </c>
      <c r="D185" t="s">
        <v>8651</v>
      </c>
      <c r="F185" t="s">
        <v>500</v>
      </c>
      <c r="G185" t="s">
        <v>236</v>
      </c>
      <c r="H185">
        <v>73110</v>
      </c>
      <c r="I185">
        <v>90661828</v>
      </c>
      <c r="J185" t="s">
        <v>8652</v>
      </c>
    </row>
    <row r="186" spans="1:10" x14ac:dyDescent="0.35">
      <c r="A186" t="s">
        <v>3648</v>
      </c>
      <c r="B186" t="s">
        <v>8653</v>
      </c>
      <c r="C186" t="s">
        <v>8654</v>
      </c>
      <c r="D186" t="s">
        <v>8655</v>
      </c>
      <c r="F186" t="s">
        <v>7719</v>
      </c>
      <c r="G186" t="s">
        <v>51</v>
      </c>
      <c r="H186">
        <v>95616</v>
      </c>
      <c r="I186">
        <v>108713778</v>
      </c>
      <c r="J186" t="s">
        <v>8656</v>
      </c>
    </row>
    <row r="187" spans="1:10" x14ac:dyDescent="0.35">
      <c r="A187" t="s">
        <v>5749</v>
      </c>
      <c r="B187" t="s">
        <v>8657</v>
      </c>
      <c r="C187" t="s">
        <v>8658</v>
      </c>
      <c r="D187" t="s">
        <v>8659</v>
      </c>
      <c r="F187" t="s">
        <v>6615</v>
      </c>
      <c r="G187" t="s">
        <v>51</v>
      </c>
      <c r="H187">
        <v>93644</v>
      </c>
      <c r="I187">
        <v>73146250</v>
      </c>
      <c r="J187" t="s">
        <v>8660</v>
      </c>
    </row>
    <row r="188" spans="1:10" x14ac:dyDescent="0.35">
      <c r="A188" t="s">
        <v>3916</v>
      </c>
      <c r="B188" t="s">
        <v>8661</v>
      </c>
      <c r="C188" t="s">
        <v>8662</v>
      </c>
      <c r="D188" t="s">
        <v>8663</v>
      </c>
      <c r="E188" t="s">
        <v>8664</v>
      </c>
      <c r="F188" t="s">
        <v>124</v>
      </c>
      <c r="G188" t="s">
        <v>117</v>
      </c>
      <c r="H188">
        <v>72704</v>
      </c>
      <c r="I188">
        <v>56577053</v>
      </c>
      <c r="J188" t="s">
        <v>8665</v>
      </c>
    </row>
    <row r="189" spans="1:10" x14ac:dyDescent="0.35">
      <c r="A189" t="s">
        <v>8666</v>
      </c>
      <c r="B189" t="s">
        <v>8667</v>
      </c>
      <c r="C189" t="s">
        <v>8668</v>
      </c>
      <c r="D189" t="s">
        <v>8669</v>
      </c>
      <c r="F189" t="s">
        <v>45</v>
      </c>
      <c r="G189" t="s">
        <v>46</v>
      </c>
      <c r="H189">
        <v>36109</v>
      </c>
      <c r="I189">
        <v>104970146</v>
      </c>
      <c r="J189" t="s">
        <v>8670</v>
      </c>
    </row>
    <row r="190" spans="1:10" x14ac:dyDescent="0.35">
      <c r="A190" t="s">
        <v>4624</v>
      </c>
      <c r="B190" t="s">
        <v>8671</v>
      </c>
      <c r="C190" t="s">
        <v>8672</v>
      </c>
      <c r="D190" t="s">
        <v>8673</v>
      </c>
      <c r="F190" t="s">
        <v>70</v>
      </c>
      <c r="G190" t="s">
        <v>31</v>
      </c>
      <c r="H190">
        <v>85303</v>
      </c>
      <c r="I190">
        <v>31572536</v>
      </c>
      <c r="J190" t="s">
        <v>8674</v>
      </c>
    </row>
    <row r="191" spans="1:10" x14ac:dyDescent="0.35">
      <c r="A191" t="s">
        <v>5202</v>
      </c>
      <c r="B191" t="s">
        <v>8675</v>
      </c>
      <c r="C191" t="s">
        <v>8676</v>
      </c>
      <c r="D191" t="s">
        <v>8677</v>
      </c>
      <c r="F191" t="s">
        <v>235</v>
      </c>
      <c r="G191" t="s">
        <v>236</v>
      </c>
      <c r="H191">
        <v>73173</v>
      </c>
      <c r="I191">
        <v>73883995</v>
      </c>
      <c r="J191" t="s">
        <v>8678</v>
      </c>
    </row>
    <row r="192" spans="1:10" x14ac:dyDescent="0.35">
      <c r="A192" t="s">
        <v>7410</v>
      </c>
      <c r="B192" t="s">
        <v>8679</v>
      </c>
      <c r="C192" t="s">
        <v>8680</v>
      </c>
      <c r="D192" t="s">
        <v>8681</v>
      </c>
      <c r="F192" t="s">
        <v>63</v>
      </c>
      <c r="G192" t="s">
        <v>64</v>
      </c>
      <c r="H192">
        <v>37218</v>
      </c>
      <c r="I192">
        <v>84756781</v>
      </c>
      <c r="J192" t="s">
        <v>8682</v>
      </c>
    </row>
    <row r="193" spans="1:10" x14ac:dyDescent="0.35">
      <c r="A193" t="s">
        <v>3411</v>
      </c>
      <c r="B193" t="s">
        <v>8683</v>
      </c>
      <c r="C193" t="s">
        <v>8684</v>
      </c>
      <c r="D193" t="s">
        <v>8685</v>
      </c>
      <c r="F193" t="s">
        <v>130</v>
      </c>
      <c r="G193" t="s">
        <v>123</v>
      </c>
      <c r="H193">
        <v>20012</v>
      </c>
      <c r="I193">
        <v>59827412</v>
      </c>
      <c r="J193" t="s">
        <v>8686</v>
      </c>
    </row>
    <row r="194" spans="1:10" x14ac:dyDescent="0.35">
      <c r="A194" t="s">
        <v>6192</v>
      </c>
      <c r="B194" t="s">
        <v>8687</v>
      </c>
      <c r="C194" t="s">
        <v>8688</v>
      </c>
      <c r="D194" t="s">
        <v>8689</v>
      </c>
      <c r="F194" t="s">
        <v>278</v>
      </c>
      <c r="G194" t="s">
        <v>97</v>
      </c>
      <c r="H194">
        <v>21060</v>
      </c>
      <c r="I194">
        <v>51245063</v>
      </c>
      <c r="J194" t="s">
        <v>8690</v>
      </c>
    </row>
    <row r="195" spans="1:10" x14ac:dyDescent="0.35">
      <c r="A195" t="s">
        <v>4066</v>
      </c>
      <c r="B195" t="s">
        <v>8691</v>
      </c>
      <c r="C195" t="s">
        <v>8692</v>
      </c>
      <c r="D195" t="s">
        <v>8693</v>
      </c>
      <c r="E195" t="s">
        <v>8694</v>
      </c>
      <c r="F195" t="s">
        <v>35</v>
      </c>
      <c r="G195" t="s">
        <v>36</v>
      </c>
      <c r="H195">
        <v>31406</v>
      </c>
      <c r="I195">
        <v>57162153</v>
      </c>
      <c r="J195" t="s">
        <v>8695</v>
      </c>
    </row>
    <row r="196" spans="1:10" x14ac:dyDescent="0.35">
      <c r="A196" t="s">
        <v>5914</v>
      </c>
      <c r="B196" t="s">
        <v>8696</v>
      </c>
      <c r="C196" t="s">
        <v>8697</v>
      </c>
      <c r="D196" t="s">
        <v>8698</v>
      </c>
      <c r="F196" t="s">
        <v>334</v>
      </c>
      <c r="G196" t="s">
        <v>51</v>
      </c>
      <c r="H196">
        <v>94603</v>
      </c>
      <c r="I196">
        <v>58801109</v>
      </c>
      <c r="J196" t="s">
        <v>8699</v>
      </c>
    </row>
    <row r="197" spans="1:10" x14ac:dyDescent="0.35">
      <c r="A197" t="s">
        <v>690</v>
      </c>
      <c r="B197" t="s">
        <v>8700</v>
      </c>
      <c r="C197" t="s">
        <v>8701</v>
      </c>
      <c r="D197" t="s">
        <v>8702</v>
      </c>
      <c r="E197" t="s">
        <v>8703</v>
      </c>
      <c r="F197" t="s">
        <v>320</v>
      </c>
      <c r="G197" t="s">
        <v>97</v>
      </c>
      <c r="H197">
        <v>21108</v>
      </c>
      <c r="I197">
        <v>73410889</v>
      </c>
      <c r="J197" t="s">
        <v>8704</v>
      </c>
    </row>
    <row r="198" spans="1:10" x14ac:dyDescent="0.35">
      <c r="A198" t="s">
        <v>6759</v>
      </c>
      <c r="B198" t="s">
        <v>8705</v>
      </c>
      <c r="C198" t="s">
        <v>8706</v>
      </c>
      <c r="D198" t="s">
        <v>8707</v>
      </c>
      <c r="F198" t="s">
        <v>1351</v>
      </c>
      <c r="G198" t="s">
        <v>147</v>
      </c>
      <c r="H198">
        <v>5062</v>
      </c>
      <c r="I198">
        <v>63708006</v>
      </c>
      <c r="J198" t="s">
        <v>8708</v>
      </c>
    </row>
    <row r="199" spans="1:10" x14ac:dyDescent="0.35">
      <c r="A199" t="s">
        <v>1278</v>
      </c>
      <c r="B199" t="s">
        <v>8709</v>
      </c>
      <c r="C199" t="s">
        <v>8710</v>
      </c>
      <c r="D199" t="s">
        <v>8711</v>
      </c>
      <c r="F199" t="s">
        <v>75</v>
      </c>
      <c r="G199" t="s">
        <v>76</v>
      </c>
      <c r="H199">
        <v>6042</v>
      </c>
      <c r="I199">
        <v>42555856</v>
      </c>
      <c r="J199" t="s">
        <v>8712</v>
      </c>
    </row>
    <row r="200" spans="1:10" x14ac:dyDescent="0.35">
      <c r="A200" t="s">
        <v>1397</v>
      </c>
      <c r="B200" t="s">
        <v>8713</v>
      </c>
      <c r="C200" t="s">
        <v>8714</v>
      </c>
      <c r="D200" t="s">
        <v>8715</v>
      </c>
      <c r="F200" t="s">
        <v>1816</v>
      </c>
      <c r="G200" t="s">
        <v>236</v>
      </c>
      <c r="H200">
        <v>73072</v>
      </c>
      <c r="I200">
        <v>95824534</v>
      </c>
      <c r="J200" t="s">
        <v>8716</v>
      </c>
    </row>
    <row r="201" spans="1:10" x14ac:dyDescent="0.35">
      <c r="A201" t="s">
        <v>463</v>
      </c>
      <c r="B201" t="s">
        <v>8717</v>
      </c>
      <c r="C201" t="s">
        <v>8718</v>
      </c>
      <c r="D201" t="s">
        <v>8719</v>
      </c>
      <c r="E201" t="s">
        <v>8720</v>
      </c>
      <c r="F201" t="s">
        <v>35</v>
      </c>
      <c r="G201" t="s">
        <v>36</v>
      </c>
      <c r="H201">
        <v>31405</v>
      </c>
      <c r="I201">
        <v>12579736</v>
      </c>
      <c r="J201" t="s">
        <v>8721</v>
      </c>
    </row>
    <row r="202" spans="1:10" x14ac:dyDescent="0.35">
      <c r="A202" t="s">
        <v>2512</v>
      </c>
      <c r="B202" t="s">
        <v>8722</v>
      </c>
      <c r="C202" t="s">
        <v>8723</v>
      </c>
      <c r="D202" t="s">
        <v>8724</v>
      </c>
      <c r="F202" t="s">
        <v>124</v>
      </c>
      <c r="G202" t="s">
        <v>117</v>
      </c>
      <c r="H202">
        <v>72704</v>
      </c>
      <c r="I202">
        <v>121087203</v>
      </c>
      <c r="J202" t="s">
        <v>8725</v>
      </c>
    </row>
    <row r="203" spans="1:10" x14ac:dyDescent="0.35">
      <c r="A203" t="s">
        <v>8726</v>
      </c>
      <c r="B203" t="s">
        <v>8727</v>
      </c>
      <c r="C203" t="s">
        <v>8728</v>
      </c>
      <c r="D203" t="s">
        <v>8729</v>
      </c>
      <c r="F203" t="s">
        <v>107</v>
      </c>
      <c r="G203" t="s">
        <v>87</v>
      </c>
      <c r="H203">
        <v>40220</v>
      </c>
      <c r="I203">
        <v>77715496</v>
      </c>
      <c r="J203" t="s">
        <v>8730</v>
      </c>
    </row>
    <row r="204" spans="1:10" x14ac:dyDescent="0.35">
      <c r="A204" t="s">
        <v>2394</v>
      </c>
      <c r="B204" t="s">
        <v>8731</v>
      </c>
      <c r="C204" t="s">
        <v>8732</v>
      </c>
      <c r="D204" t="s">
        <v>8733</v>
      </c>
      <c r="F204" t="s">
        <v>830</v>
      </c>
      <c r="G204" t="s">
        <v>51</v>
      </c>
      <c r="H204">
        <v>94539</v>
      </c>
      <c r="I204">
        <v>44205117</v>
      </c>
      <c r="J204" t="s">
        <v>8734</v>
      </c>
    </row>
    <row r="205" spans="1:10" x14ac:dyDescent="0.35">
      <c r="A205" t="s">
        <v>4826</v>
      </c>
      <c r="B205" t="s">
        <v>8735</v>
      </c>
      <c r="C205" t="s">
        <v>8736</v>
      </c>
      <c r="D205" t="s">
        <v>8737</v>
      </c>
      <c r="F205" t="s">
        <v>130</v>
      </c>
      <c r="G205" t="s">
        <v>123</v>
      </c>
      <c r="H205">
        <v>20016</v>
      </c>
      <c r="I205">
        <v>109100678</v>
      </c>
      <c r="J205" t="s">
        <v>8738</v>
      </c>
    </row>
    <row r="206" spans="1:10" x14ac:dyDescent="0.35">
      <c r="A206" t="s">
        <v>7250</v>
      </c>
      <c r="B206" t="s">
        <v>8739</v>
      </c>
      <c r="C206" t="s">
        <v>8740</v>
      </c>
      <c r="D206" t="s">
        <v>8741</v>
      </c>
      <c r="F206" t="s">
        <v>130</v>
      </c>
      <c r="G206" t="s">
        <v>123</v>
      </c>
      <c r="H206">
        <v>20011</v>
      </c>
      <c r="I206">
        <v>107917339</v>
      </c>
      <c r="J206" t="s">
        <v>8742</v>
      </c>
    </row>
    <row r="207" spans="1:10" x14ac:dyDescent="0.35">
      <c r="A207" t="s">
        <v>2415</v>
      </c>
      <c r="B207" t="s">
        <v>8743</v>
      </c>
      <c r="C207" t="s">
        <v>8744</v>
      </c>
      <c r="D207" t="s">
        <v>8745</v>
      </c>
      <c r="E207" t="s">
        <v>8746</v>
      </c>
      <c r="F207" t="s">
        <v>112</v>
      </c>
      <c r="G207" t="s">
        <v>106</v>
      </c>
      <c r="H207">
        <v>99504</v>
      </c>
      <c r="I207">
        <v>106470495</v>
      </c>
      <c r="J207" t="s">
        <v>8747</v>
      </c>
    </row>
    <row r="208" spans="1:10" x14ac:dyDescent="0.35">
      <c r="A208" t="s">
        <v>1514</v>
      </c>
      <c r="B208" t="s">
        <v>8748</v>
      </c>
      <c r="C208" t="s">
        <v>8749</v>
      </c>
      <c r="D208" t="s">
        <v>8750</v>
      </c>
      <c r="F208" t="s">
        <v>130</v>
      </c>
      <c r="G208" t="s">
        <v>123</v>
      </c>
      <c r="H208">
        <v>20003</v>
      </c>
      <c r="I208">
        <v>94971213</v>
      </c>
      <c r="J208" t="s">
        <v>8751</v>
      </c>
    </row>
    <row r="209" spans="1:10" x14ac:dyDescent="0.35">
      <c r="A209" t="s">
        <v>3639</v>
      </c>
      <c r="B209" t="s">
        <v>8752</v>
      </c>
      <c r="C209" t="s">
        <v>8753</v>
      </c>
      <c r="D209" t="s">
        <v>8754</v>
      </c>
      <c r="F209" t="s">
        <v>70</v>
      </c>
      <c r="G209" t="s">
        <v>31</v>
      </c>
      <c r="H209">
        <v>85301</v>
      </c>
      <c r="I209">
        <v>125020554</v>
      </c>
      <c r="J209" t="s">
        <v>8755</v>
      </c>
    </row>
    <row r="210" spans="1:10" x14ac:dyDescent="0.35">
      <c r="A210" t="s">
        <v>1662</v>
      </c>
      <c r="B210" t="s">
        <v>5636</v>
      </c>
      <c r="C210" t="s">
        <v>8756</v>
      </c>
      <c r="D210" t="s">
        <v>8757</v>
      </c>
      <c r="F210" t="s">
        <v>278</v>
      </c>
      <c r="G210" t="s">
        <v>97</v>
      </c>
      <c r="H210">
        <v>21060</v>
      </c>
      <c r="I210">
        <v>47167663</v>
      </c>
      <c r="J210" t="s">
        <v>8758</v>
      </c>
    </row>
    <row r="211" spans="1:10" x14ac:dyDescent="0.35">
      <c r="A211" t="s">
        <v>1457</v>
      </c>
      <c r="B211" t="s">
        <v>8759</v>
      </c>
      <c r="C211" t="s">
        <v>8760</v>
      </c>
      <c r="D211" t="s">
        <v>8761</v>
      </c>
      <c r="F211" t="s">
        <v>8762</v>
      </c>
      <c r="G211" t="s">
        <v>51</v>
      </c>
      <c r="H211">
        <v>94534</v>
      </c>
      <c r="I211">
        <v>112735166</v>
      </c>
      <c r="J211" t="s">
        <v>8763</v>
      </c>
    </row>
    <row r="212" spans="1:10" x14ac:dyDescent="0.35">
      <c r="A212" t="s">
        <v>2089</v>
      </c>
      <c r="B212" t="s">
        <v>8764</v>
      </c>
      <c r="C212" t="s">
        <v>8765</v>
      </c>
      <c r="D212" t="s">
        <v>8766</v>
      </c>
      <c r="F212" t="s">
        <v>82</v>
      </c>
      <c r="G212" t="s">
        <v>74</v>
      </c>
      <c r="H212">
        <v>32407</v>
      </c>
      <c r="I212">
        <v>46714091</v>
      </c>
      <c r="J212" t="s">
        <v>8767</v>
      </c>
    </row>
    <row r="213" spans="1:10" x14ac:dyDescent="0.35">
      <c r="A213" t="s">
        <v>367</v>
      </c>
      <c r="B213" t="s">
        <v>8768</v>
      </c>
      <c r="C213" t="s">
        <v>8769</v>
      </c>
      <c r="D213" t="s">
        <v>8770</v>
      </c>
      <c r="F213" t="s">
        <v>130</v>
      </c>
      <c r="G213" t="s">
        <v>123</v>
      </c>
      <c r="H213">
        <v>20018</v>
      </c>
      <c r="I213">
        <v>67659753</v>
      </c>
      <c r="J213" t="s">
        <v>8771</v>
      </c>
    </row>
    <row r="214" spans="1:10" x14ac:dyDescent="0.35">
      <c r="A214" t="s">
        <v>4924</v>
      </c>
      <c r="B214" t="s">
        <v>8772</v>
      </c>
      <c r="C214" t="s">
        <v>8773</v>
      </c>
      <c r="D214" t="s">
        <v>8774</v>
      </c>
      <c r="F214" t="s">
        <v>130</v>
      </c>
      <c r="G214" t="s">
        <v>123</v>
      </c>
      <c r="H214">
        <v>20005</v>
      </c>
      <c r="I214">
        <v>61438543</v>
      </c>
      <c r="J214" t="s">
        <v>8775</v>
      </c>
    </row>
    <row r="215" spans="1:10" x14ac:dyDescent="0.35">
      <c r="A215" t="s">
        <v>5519</v>
      </c>
      <c r="B215" t="s">
        <v>8776</v>
      </c>
      <c r="C215" t="s">
        <v>8777</v>
      </c>
      <c r="D215" t="s">
        <v>8778</v>
      </c>
      <c r="F215" t="s">
        <v>164</v>
      </c>
      <c r="G215" t="s">
        <v>74</v>
      </c>
      <c r="H215">
        <v>32444</v>
      </c>
      <c r="I215">
        <v>35674430</v>
      </c>
      <c r="J215" t="s">
        <v>8779</v>
      </c>
    </row>
    <row r="216" spans="1:10" x14ac:dyDescent="0.35">
      <c r="A216" t="s">
        <v>3661</v>
      </c>
      <c r="B216" t="s">
        <v>8780</v>
      </c>
      <c r="C216" t="s">
        <v>8781</v>
      </c>
      <c r="D216" t="s">
        <v>8482</v>
      </c>
      <c r="F216" t="s">
        <v>118</v>
      </c>
      <c r="G216" t="s">
        <v>42</v>
      </c>
      <c r="H216">
        <v>80004</v>
      </c>
      <c r="I216">
        <v>118715070</v>
      </c>
      <c r="J216" t="s">
        <v>8782</v>
      </c>
    </row>
    <row r="217" spans="1:10" x14ac:dyDescent="0.35">
      <c r="A217" t="s">
        <v>1435</v>
      </c>
      <c r="B217" t="s">
        <v>8783</v>
      </c>
      <c r="C217" t="s">
        <v>8784</v>
      </c>
      <c r="D217" t="s">
        <v>8785</v>
      </c>
      <c r="F217" t="s">
        <v>35</v>
      </c>
      <c r="G217" t="s">
        <v>36</v>
      </c>
      <c r="H217">
        <v>31404</v>
      </c>
      <c r="I217">
        <v>45648126</v>
      </c>
      <c r="J217" t="s">
        <v>8786</v>
      </c>
    </row>
    <row r="218" spans="1:10" x14ac:dyDescent="0.35">
      <c r="A218" t="s">
        <v>2847</v>
      </c>
      <c r="B218" t="s">
        <v>8787</v>
      </c>
      <c r="C218" t="s">
        <v>8788</v>
      </c>
      <c r="D218" t="s">
        <v>8789</v>
      </c>
      <c r="F218" t="s">
        <v>63</v>
      </c>
      <c r="G218" t="s">
        <v>64</v>
      </c>
      <c r="H218">
        <v>37214</v>
      </c>
      <c r="I218">
        <v>16788756</v>
      </c>
      <c r="J218" t="s">
        <v>8790</v>
      </c>
    </row>
    <row r="219" spans="1:10" x14ac:dyDescent="0.35">
      <c r="A219" t="s">
        <v>2880</v>
      </c>
      <c r="B219" t="s">
        <v>8791</v>
      </c>
      <c r="C219" t="s">
        <v>8792</v>
      </c>
      <c r="D219" t="s">
        <v>8793</v>
      </c>
      <c r="F219" t="s">
        <v>316</v>
      </c>
      <c r="G219" t="s">
        <v>97</v>
      </c>
      <c r="H219">
        <v>21409</v>
      </c>
      <c r="I219">
        <v>63981917</v>
      </c>
      <c r="J219" t="s">
        <v>8794</v>
      </c>
    </row>
    <row r="220" spans="1:10" x14ac:dyDescent="0.35">
      <c r="A220" t="s">
        <v>1059</v>
      </c>
      <c r="B220" t="s">
        <v>8795</v>
      </c>
      <c r="C220" t="s">
        <v>8796</v>
      </c>
      <c r="D220" t="s">
        <v>8797</v>
      </c>
      <c r="E220" t="s">
        <v>7901</v>
      </c>
      <c r="F220" t="s">
        <v>124</v>
      </c>
      <c r="G220" t="s">
        <v>117</v>
      </c>
      <c r="H220">
        <v>72701</v>
      </c>
      <c r="I220">
        <v>10767155</v>
      </c>
      <c r="J220" t="s">
        <v>8798</v>
      </c>
    </row>
    <row r="221" spans="1:10" x14ac:dyDescent="0.35">
      <c r="A221" t="s">
        <v>948</v>
      </c>
      <c r="B221" t="s">
        <v>8799</v>
      </c>
      <c r="C221" t="s">
        <v>8800</v>
      </c>
      <c r="D221" t="s">
        <v>8801</v>
      </c>
      <c r="F221" t="s">
        <v>75</v>
      </c>
      <c r="G221" t="s">
        <v>76</v>
      </c>
      <c r="H221">
        <v>6042</v>
      </c>
      <c r="I221">
        <v>86064688</v>
      </c>
      <c r="J221" t="s">
        <v>8802</v>
      </c>
    </row>
    <row r="222" spans="1:10" x14ac:dyDescent="0.35">
      <c r="A222" t="s">
        <v>6393</v>
      </c>
      <c r="B222" t="s">
        <v>8803</v>
      </c>
      <c r="C222" t="s">
        <v>8804</v>
      </c>
      <c r="D222" t="s">
        <v>8805</v>
      </c>
      <c r="F222" t="s">
        <v>124</v>
      </c>
      <c r="G222" t="s">
        <v>117</v>
      </c>
      <c r="H222">
        <v>72704</v>
      </c>
      <c r="I222">
        <v>68285980</v>
      </c>
      <c r="J222" t="s">
        <v>8806</v>
      </c>
    </row>
    <row r="223" spans="1:10" x14ac:dyDescent="0.35">
      <c r="A223" t="s">
        <v>7675</v>
      </c>
      <c r="B223" t="s">
        <v>8807</v>
      </c>
      <c r="C223" t="s">
        <v>8808</v>
      </c>
      <c r="D223" t="s">
        <v>8809</v>
      </c>
      <c r="F223" t="s">
        <v>35</v>
      </c>
      <c r="G223" t="s">
        <v>36</v>
      </c>
      <c r="H223">
        <v>31410</v>
      </c>
      <c r="I223">
        <v>47800564</v>
      </c>
      <c r="J223" t="s">
        <v>8810</v>
      </c>
    </row>
    <row r="224" spans="1:10" x14ac:dyDescent="0.35">
      <c r="A224" t="s">
        <v>3047</v>
      </c>
      <c r="B224" t="s">
        <v>8811</v>
      </c>
      <c r="C224" t="s">
        <v>8812</v>
      </c>
      <c r="D224" t="s">
        <v>8813</v>
      </c>
      <c r="F224" t="s">
        <v>2289</v>
      </c>
      <c r="G224" t="s">
        <v>31</v>
      </c>
      <c r="H224">
        <v>85340</v>
      </c>
      <c r="I224">
        <v>117039744</v>
      </c>
      <c r="J224" t="s">
        <v>8814</v>
      </c>
    </row>
    <row r="225" spans="1:10" x14ac:dyDescent="0.35">
      <c r="A225" t="s">
        <v>2626</v>
      </c>
      <c r="B225" t="s">
        <v>8815</v>
      </c>
      <c r="C225" t="s">
        <v>8816</v>
      </c>
      <c r="D225" t="s">
        <v>8817</v>
      </c>
      <c r="F225" t="s">
        <v>70</v>
      </c>
      <c r="G225" t="s">
        <v>31</v>
      </c>
      <c r="H225">
        <v>85301</v>
      </c>
      <c r="I225">
        <v>113801332</v>
      </c>
      <c r="J225" t="s">
        <v>8818</v>
      </c>
    </row>
    <row r="226" spans="1:10" x14ac:dyDescent="0.35">
      <c r="A226" t="s">
        <v>2353</v>
      </c>
      <c r="B226" t="s">
        <v>8819</v>
      </c>
      <c r="C226" t="s">
        <v>8820</v>
      </c>
      <c r="D226" t="s">
        <v>8821</v>
      </c>
      <c r="F226" t="s">
        <v>118</v>
      </c>
      <c r="G226" t="s">
        <v>42</v>
      </c>
      <c r="H226">
        <v>80004</v>
      </c>
      <c r="I226">
        <v>76336180</v>
      </c>
      <c r="J226" t="s">
        <v>8822</v>
      </c>
    </row>
    <row r="227" spans="1:10" x14ac:dyDescent="0.35">
      <c r="A227" t="s">
        <v>285</v>
      </c>
      <c r="B227" t="s">
        <v>8823</v>
      </c>
      <c r="C227" t="s">
        <v>8824</v>
      </c>
      <c r="D227" t="s">
        <v>8825</v>
      </c>
      <c r="F227" t="s">
        <v>118</v>
      </c>
      <c r="G227" t="s">
        <v>42</v>
      </c>
      <c r="H227">
        <v>80004</v>
      </c>
      <c r="I227">
        <v>62683915</v>
      </c>
      <c r="J227" t="s">
        <v>8826</v>
      </c>
    </row>
    <row r="228" spans="1:10" x14ac:dyDescent="0.35">
      <c r="A228" t="s">
        <v>4676</v>
      </c>
      <c r="B228" t="s">
        <v>8827</v>
      </c>
      <c r="C228" t="s">
        <v>8828</v>
      </c>
      <c r="D228" t="s">
        <v>8829</v>
      </c>
      <c r="F228" t="s">
        <v>75</v>
      </c>
      <c r="G228" t="s">
        <v>76</v>
      </c>
      <c r="H228">
        <v>6040</v>
      </c>
      <c r="I228">
        <v>78722718</v>
      </c>
      <c r="J228" t="s">
        <v>8830</v>
      </c>
    </row>
    <row r="229" spans="1:10" x14ac:dyDescent="0.35">
      <c r="A229" t="s">
        <v>560</v>
      </c>
      <c r="B229" t="s">
        <v>8831</v>
      </c>
      <c r="C229" t="s">
        <v>8832</v>
      </c>
      <c r="D229" t="s">
        <v>8833</v>
      </c>
      <c r="F229" t="s">
        <v>112</v>
      </c>
      <c r="G229" t="s">
        <v>106</v>
      </c>
      <c r="H229">
        <v>99501</v>
      </c>
      <c r="I229">
        <v>90079481</v>
      </c>
      <c r="J229" t="s">
        <v>8834</v>
      </c>
    </row>
    <row r="230" spans="1:10" x14ac:dyDescent="0.35">
      <c r="A230" t="s">
        <v>865</v>
      </c>
      <c r="B230" t="s">
        <v>8835</v>
      </c>
      <c r="C230" t="s">
        <v>8836</v>
      </c>
      <c r="D230" t="s">
        <v>8837</v>
      </c>
      <c r="F230" t="s">
        <v>45</v>
      </c>
      <c r="G230" t="s">
        <v>46</v>
      </c>
      <c r="H230">
        <v>36117</v>
      </c>
      <c r="I230">
        <v>39725369</v>
      </c>
      <c r="J230" t="s">
        <v>8838</v>
      </c>
    </row>
    <row r="231" spans="1:10" x14ac:dyDescent="0.35">
      <c r="A231" t="s">
        <v>2102</v>
      </c>
      <c r="B231" t="s">
        <v>8839</v>
      </c>
      <c r="C231" t="s">
        <v>8840</v>
      </c>
      <c r="D231" t="s">
        <v>8841</v>
      </c>
      <c r="E231" t="s">
        <v>8842</v>
      </c>
      <c r="F231" t="s">
        <v>35</v>
      </c>
      <c r="G231" t="s">
        <v>36</v>
      </c>
      <c r="H231">
        <v>31404</v>
      </c>
      <c r="I231">
        <v>93994550</v>
      </c>
      <c r="J231" t="s">
        <v>8843</v>
      </c>
    </row>
    <row r="232" spans="1:10" x14ac:dyDescent="0.35">
      <c r="A232" t="s">
        <v>2859</v>
      </c>
      <c r="B232" t="s">
        <v>8844</v>
      </c>
      <c r="C232" t="s">
        <v>8845</v>
      </c>
      <c r="D232" t="s">
        <v>8846</v>
      </c>
      <c r="E232" t="s">
        <v>8847</v>
      </c>
      <c r="F232" t="s">
        <v>112</v>
      </c>
      <c r="G232" t="s">
        <v>106</v>
      </c>
      <c r="H232">
        <v>99503</v>
      </c>
      <c r="I232">
        <v>90672367</v>
      </c>
      <c r="J232" t="s">
        <v>8848</v>
      </c>
    </row>
    <row r="233" spans="1:10" x14ac:dyDescent="0.35">
      <c r="A233" t="s">
        <v>3094</v>
      </c>
      <c r="B233" t="s">
        <v>8849</v>
      </c>
      <c r="C233" t="s">
        <v>8850</v>
      </c>
      <c r="D233" t="s">
        <v>8851</v>
      </c>
      <c r="F233" t="s">
        <v>130</v>
      </c>
      <c r="G233" t="s">
        <v>123</v>
      </c>
      <c r="H233">
        <v>20015</v>
      </c>
      <c r="I233">
        <v>94529393</v>
      </c>
      <c r="J233" t="s">
        <v>8852</v>
      </c>
    </row>
    <row r="234" spans="1:10" x14ac:dyDescent="0.35">
      <c r="A234" t="s">
        <v>1483</v>
      </c>
      <c r="B234" t="s">
        <v>8853</v>
      </c>
      <c r="C234" t="s">
        <v>8854</v>
      </c>
      <c r="D234" t="s">
        <v>8285</v>
      </c>
      <c r="F234" t="s">
        <v>75</v>
      </c>
      <c r="G234" t="s">
        <v>76</v>
      </c>
      <c r="H234">
        <v>6040</v>
      </c>
      <c r="I234">
        <v>57869045</v>
      </c>
      <c r="J234" t="s">
        <v>8855</v>
      </c>
    </row>
    <row r="235" spans="1:10" x14ac:dyDescent="0.35">
      <c r="A235" t="s">
        <v>2156</v>
      </c>
      <c r="B235" t="s">
        <v>8856</v>
      </c>
      <c r="C235" t="s">
        <v>8857</v>
      </c>
      <c r="D235" t="s">
        <v>8858</v>
      </c>
      <c r="F235" t="s">
        <v>683</v>
      </c>
      <c r="G235" t="s">
        <v>97</v>
      </c>
      <c r="H235">
        <v>21144</v>
      </c>
      <c r="I235">
        <v>48789338</v>
      </c>
      <c r="J235" t="s">
        <v>8859</v>
      </c>
    </row>
    <row r="236" spans="1:10" x14ac:dyDescent="0.35">
      <c r="A236" t="s">
        <v>4627</v>
      </c>
      <c r="B236" t="s">
        <v>8860</v>
      </c>
      <c r="C236" t="s">
        <v>8861</v>
      </c>
      <c r="D236" t="s">
        <v>8862</v>
      </c>
      <c r="F236" t="s">
        <v>112</v>
      </c>
      <c r="G236" t="s">
        <v>106</v>
      </c>
      <c r="H236">
        <v>99502</v>
      </c>
      <c r="I236">
        <v>96005860</v>
      </c>
      <c r="J236" t="s">
        <v>8863</v>
      </c>
    </row>
    <row r="237" spans="1:10" x14ac:dyDescent="0.35">
      <c r="A237" t="s">
        <v>5161</v>
      </c>
      <c r="B237" t="s">
        <v>8864</v>
      </c>
      <c r="C237" t="s">
        <v>8425</v>
      </c>
      <c r="D237" t="s">
        <v>8865</v>
      </c>
      <c r="F237" t="s">
        <v>124</v>
      </c>
      <c r="G237" t="s">
        <v>117</v>
      </c>
      <c r="H237">
        <v>72704</v>
      </c>
      <c r="I237">
        <v>47576843</v>
      </c>
      <c r="J237" t="s">
        <v>8866</v>
      </c>
    </row>
    <row r="238" spans="1:10" x14ac:dyDescent="0.35">
      <c r="A238" t="s">
        <v>654</v>
      </c>
      <c r="B238" t="s">
        <v>8867</v>
      </c>
      <c r="C238" t="s">
        <v>8868</v>
      </c>
      <c r="D238" t="s">
        <v>8869</v>
      </c>
      <c r="F238" t="s">
        <v>155</v>
      </c>
      <c r="G238" t="s">
        <v>51</v>
      </c>
      <c r="H238">
        <v>95695</v>
      </c>
      <c r="I238">
        <v>95018434</v>
      </c>
      <c r="J238" t="s">
        <v>8870</v>
      </c>
    </row>
    <row r="239" spans="1:10" x14ac:dyDescent="0.35">
      <c r="A239" t="s">
        <v>3502</v>
      </c>
      <c r="B239" t="s">
        <v>8871</v>
      </c>
      <c r="C239" t="s">
        <v>8872</v>
      </c>
      <c r="D239" t="s">
        <v>8873</v>
      </c>
      <c r="F239" t="s">
        <v>107</v>
      </c>
      <c r="G239" t="s">
        <v>87</v>
      </c>
      <c r="H239">
        <v>40214</v>
      </c>
      <c r="I239">
        <v>98130568</v>
      </c>
      <c r="J239" t="s">
        <v>8874</v>
      </c>
    </row>
    <row r="240" spans="1:10" x14ac:dyDescent="0.35">
      <c r="A240" t="s">
        <v>1320</v>
      </c>
      <c r="B240" t="s">
        <v>8875</v>
      </c>
      <c r="C240" t="s">
        <v>8876</v>
      </c>
      <c r="D240" t="s">
        <v>8877</v>
      </c>
      <c r="F240" t="s">
        <v>179</v>
      </c>
      <c r="G240" t="s">
        <v>97</v>
      </c>
      <c r="H240">
        <v>21122</v>
      </c>
      <c r="I240">
        <v>10954007</v>
      </c>
      <c r="J240" t="s">
        <v>8878</v>
      </c>
    </row>
    <row r="241" spans="1:10" x14ac:dyDescent="0.35">
      <c r="A241" t="s">
        <v>3201</v>
      </c>
      <c r="B241" t="s">
        <v>8879</v>
      </c>
      <c r="C241" t="s">
        <v>8880</v>
      </c>
      <c r="D241" t="s">
        <v>8881</v>
      </c>
      <c r="F241" t="s">
        <v>75</v>
      </c>
      <c r="G241" t="s">
        <v>76</v>
      </c>
      <c r="H241">
        <v>6042</v>
      </c>
      <c r="I241">
        <v>41415955</v>
      </c>
      <c r="J241" t="s">
        <v>8882</v>
      </c>
    </row>
    <row r="242" spans="1:10" x14ac:dyDescent="0.35">
      <c r="A242" t="s">
        <v>2608</v>
      </c>
      <c r="B242" t="s">
        <v>8883</v>
      </c>
      <c r="C242" t="s">
        <v>8884</v>
      </c>
      <c r="D242" t="s">
        <v>8885</v>
      </c>
      <c r="F242" t="s">
        <v>500</v>
      </c>
      <c r="G242" t="s">
        <v>236</v>
      </c>
      <c r="H242">
        <v>73130</v>
      </c>
      <c r="I242">
        <v>108866418</v>
      </c>
      <c r="J242" t="s">
        <v>8886</v>
      </c>
    </row>
    <row r="243" spans="1:10" x14ac:dyDescent="0.35">
      <c r="A243" t="s">
        <v>5706</v>
      </c>
      <c r="B243" t="s">
        <v>8887</v>
      </c>
      <c r="C243" t="s">
        <v>8888</v>
      </c>
      <c r="D243" t="s">
        <v>8889</v>
      </c>
      <c r="E243" t="s">
        <v>8890</v>
      </c>
      <c r="F243" t="s">
        <v>75</v>
      </c>
      <c r="G243" t="s">
        <v>76</v>
      </c>
      <c r="H243">
        <v>6042</v>
      </c>
      <c r="I243">
        <v>32001721</v>
      </c>
      <c r="J243" t="s">
        <v>8891</v>
      </c>
    </row>
    <row r="244" spans="1:10" x14ac:dyDescent="0.35">
      <c r="A244" t="s">
        <v>1078</v>
      </c>
      <c r="B244" t="s">
        <v>8892</v>
      </c>
      <c r="C244" t="s">
        <v>8893</v>
      </c>
      <c r="D244" t="s">
        <v>8894</v>
      </c>
      <c r="F244" t="s">
        <v>45</v>
      </c>
      <c r="G244" t="s">
        <v>46</v>
      </c>
      <c r="H244">
        <v>36106</v>
      </c>
      <c r="I244">
        <v>117512834</v>
      </c>
      <c r="J244" t="s">
        <v>8895</v>
      </c>
    </row>
    <row r="245" spans="1:10" x14ac:dyDescent="0.35">
      <c r="A245" t="s">
        <v>920</v>
      </c>
      <c r="B245" t="s">
        <v>8896</v>
      </c>
      <c r="C245" t="s">
        <v>8897</v>
      </c>
      <c r="D245" t="s">
        <v>8898</v>
      </c>
      <c r="F245" t="s">
        <v>45</v>
      </c>
      <c r="G245" t="s">
        <v>46</v>
      </c>
      <c r="H245">
        <v>36104</v>
      </c>
      <c r="I245">
        <v>53225654</v>
      </c>
      <c r="J245" t="s">
        <v>8899</v>
      </c>
    </row>
    <row r="246" spans="1:10" x14ac:dyDescent="0.35">
      <c r="A246" t="s">
        <v>3729</v>
      </c>
      <c r="B246" t="s">
        <v>8900</v>
      </c>
      <c r="C246" t="s">
        <v>8901</v>
      </c>
      <c r="D246" t="s">
        <v>8902</v>
      </c>
      <c r="E246" t="s">
        <v>102</v>
      </c>
      <c r="F246" t="s">
        <v>75</v>
      </c>
      <c r="G246" t="s">
        <v>76</v>
      </c>
      <c r="H246">
        <v>6040</v>
      </c>
      <c r="I246">
        <v>116019008</v>
      </c>
      <c r="J246" t="s">
        <v>8903</v>
      </c>
    </row>
    <row r="247" spans="1:10" x14ac:dyDescent="0.35">
      <c r="A247" t="s">
        <v>861</v>
      </c>
      <c r="B247" t="s">
        <v>8904</v>
      </c>
      <c r="C247" t="s">
        <v>8905</v>
      </c>
      <c r="D247" t="s">
        <v>8906</v>
      </c>
      <c r="F247" t="s">
        <v>830</v>
      </c>
      <c r="G247" t="s">
        <v>51</v>
      </c>
      <c r="H247">
        <v>94536</v>
      </c>
      <c r="I247">
        <v>77078450</v>
      </c>
      <c r="J247" t="s">
        <v>8907</v>
      </c>
    </row>
    <row r="248" spans="1:10" x14ac:dyDescent="0.35">
      <c r="A248" t="s">
        <v>6637</v>
      </c>
      <c r="B248" t="s">
        <v>8908</v>
      </c>
      <c r="C248" t="s">
        <v>8909</v>
      </c>
      <c r="D248" t="s">
        <v>8910</v>
      </c>
      <c r="E248" t="s">
        <v>8911</v>
      </c>
      <c r="F248" t="s">
        <v>124</v>
      </c>
      <c r="G248" t="s">
        <v>117</v>
      </c>
      <c r="H248">
        <v>72701</v>
      </c>
      <c r="I248">
        <v>118145682</v>
      </c>
      <c r="J248" t="s">
        <v>8912</v>
      </c>
    </row>
    <row r="249" spans="1:10" x14ac:dyDescent="0.35">
      <c r="A249" t="s">
        <v>7122</v>
      </c>
      <c r="B249" t="s">
        <v>8913</v>
      </c>
      <c r="C249" t="s">
        <v>8914</v>
      </c>
      <c r="D249" t="s">
        <v>8915</v>
      </c>
      <c r="F249" t="s">
        <v>179</v>
      </c>
      <c r="G249" t="s">
        <v>97</v>
      </c>
      <c r="H249">
        <v>21122</v>
      </c>
      <c r="I249">
        <v>23789942</v>
      </c>
      <c r="J249" t="s">
        <v>8916</v>
      </c>
    </row>
    <row r="250" spans="1:10" x14ac:dyDescent="0.35">
      <c r="A250" t="s">
        <v>1302</v>
      </c>
      <c r="B250" t="s">
        <v>8917</v>
      </c>
      <c r="C250" t="s">
        <v>8918</v>
      </c>
      <c r="D250" t="s">
        <v>8919</v>
      </c>
      <c r="F250" t="s">
        <v>235</v>
      </c>
      <c r="G250" t="s">
        <v>236</v>
      </c>
      <c r="H250">
        <v>73119</v>
      </c>
      <c r="I250">
        <v>38063828</v>
      </c>
      <c r="J250" t="s">
        <v>8920</v>
      </c>
    </row>
    <row r="251" spans="1:10" x14ac:dyDescent="0.35">
      <c r="A251" t="s">
        <v>8921</v>
      </c>
      <c r="B251" t="s">
        <v>8922</v>
      </c>
      <c r="C251" t="s">
        <v>8923</v>
      </c>
      <c r="D251" t="s">
        <v>8924</v>
      </c>
      <c r="F251" t="s">
        <v>2502</v>
      </c>
      <c r="G251" t="s">
        <v>51</v>
      </c>
      <c r="H251">
        <v>94588</v>
      </c>
      <c r="I251">
        <v>78860719</v>
      </c>
      <c r="J251" t="s">
        <v>8925</v>
      </c>
    </row>
    <row r="252" spans="1:10" x14ac:dyDescent="0.35">
      <c r="A252" t="s">
        <v>6335</v>
      </c>
      <c r="B252" t="s">
        <v>8926</v>
      </c>
      <c r="C252" t="s">
        <v>8927</v>
      </c>
      <c r="D252" t="s">
        <v>8928</v>
      </c>
      <c r="F252" t="s">
        <v>75</v>
      </c>
      <c r="G252" t="s">
        <v>76</v>
      </c>
      <c r="H252">
        <v>6040</v>
      </c>
      <c r="I252">
        <v>26036074</v>
      </c>
      <c r="J252" t="s">
        <v>8929</v>
      </c>
    </row>
    <row r="253" spans="1:10" x14ac:dyDescent="0.35">
      <c r="A253" t="s">
        <v>1758</v>
      </c>
      <c r="B253" t="s">
        <v>8930</v>
      </c>
      <c r="C253" t="s">
        <v>8931</v>
      </c>
      <c r="D253" t="s">
        <v>8130</v>
      </c>
      <c r="F253" t="s">
        <v>130</v>
      </c>
      <c r="G253" t="s">
        <v>123</v>
      </c>
      <c r="H253">
        <v>20018</v>
      </c>
      <c r="I253">
        <v>72878516</v>
      </c>
      <c r="J253" t="s">
        <v>8932</v>
      </c>
    </row>
    <row r="254" spans="1:10" x14ac:dyDescent="0.35">
      <c r="A254" t="s">
        <v>4670</v>
      </c>
      <c r="B254" t="s">
        <v>8933</v>
      </c>
      <c r="C254" t="s">
        <v>8934</v>
      </c>
      <c r="D254" t="s">
        <v>8935</v>
      </c>
      <c r="F254" t="s">
        <v>35</v>
      </c>
      <c r="G254" t="s">
        <v>36</v>
      </c>
      <c r="H254">
        <v>31405</v>
      </c>
      <c r="I254">
        <v>47727964</v>
      </c>
      <c r="J254" t="s">
        <v>8936</v>
      </c>
    </row>
    <row r="255" spans="1:10" x14ac:dyDescent="0.35">
      <c r="A255" t="s">
        <v>8937</v>
      </c>
      <c r="B255" t="s">
        <v>8938</v>
      </c>
      <c r="C255" t="s">
        <v>8939</v>
      </c>
      <c r="D255" t="s">
        <v>8940</v>
      </c>
      <c r="F255" t="s">
        <v>112</v>
      </c>
      <c r="G255" t="s">
        <v>106</v>
      </c>
      <c r="H255">
        <v>99508</v>
      </c>
      <c r="I255">
        <v>52477102</v>
      </c>
      <c r="J255" t="s">
        <v>8941</v>
      </c>
    </row>
    <row r="256" spans="1:10" x14ac:dyDescent="0.35">
      <c r="A256" t="s">
        <v>1411</v>
      </c>
      <c r="B256" t="s">
        <v>8942</v>
      </c>
      <c r="C256" t="s">
        <v>8943</v>
      </c>
      <c r="D256" t="s">
        <v>8944</v>
      </c>
      <c r="E256" t="s">
        <v>8945</v>
      </c>
      <c r="F256" t="s">
        <v>846</v>
      </c>
      <c r="G256" t="s">
        <v>74</v>
      </c>
      <c r="H256">
        <v>32456</v>
      </c>
      <c r="I256">
        <v>73964979</v>
      </c>
      <c r="J256" t="s">
        <v>8946</v>
      </c>
    </row>
    <row r="257" spans="1:10" x14ac:dyDescent="0.35">
      <c r="A257" t="s">
        <v>435</v>
      </c>
      <c r="B257" t="s">
        <v>8947</v>
      </c>
      <c r="C257" t="s">
        <v>8948</v>
      </c>
      <c r="D257" t="s">
        <v>8949</v>
      </c>
      <c r="F257" t="s">
        <v>35</v>
      </c>
      <c r="G257" t="s">
        <v>36</v>
      </c>
      <c r="H257">
        <v>31405</v>
      </c>
      <c r="I257">
        <v>91206790</v>
      </c>
      <c r="J257" t="s">
        <v>8950</v>
      </c>
    </row>
    <row r="258" spans="1:10" x14ac:dyDescent="0.35">
      <c r="A258" t="s">
        <v>6766</v>
      </c>
      <c r="B258" t="s">
        <v>8951</v>
      </c>
      <c r="C258" t="s">
        <v>8952</v>
      </c>
      <c r="D258" t="s">
        <v>8953</v>
      </c>
      <c r="F258" t="s">
        <v>112</v>
      </c>
      <c r="G258" t="s">
        <v>106</v>
      </c>
      <c r="H258">
        <v>99508</v>
      </c>
      <c r="I258">
        <v>17630641</v>
      </c>
      <c r="J258" t="s">
        <v>8954</v>
      </c>
    </row>
    <row r="259" spans="1:10" x14ac:dyDescent="0.35">
      <c r="A259" t="s">
        <v>6703</v>
      </c>
      <c r="B259" t="s">
        <v>8955</v>
      </c>
      <c r="C259" t="s">
        <v>8956</v>
      </c>
      <c r="D259" t="s">
        <v>8957</v>
      </c>
      <c r="F259" t="s">
        <v>164</v>
      </c>
      <c r="G259" t="s">
        <v>74</v>
      </c>
      <c r="H259">
        <v>32444</v>
      </c>
      <c r="I259">
        <v>81234471</v>
      </c>
      <c r="J259" t="s">
        <v>8958</v>
      </c>
    </row>
    <row r="260" spans="1:10" x14ac:dyDescent="0.35">
      <c r="A260" t="s">
        <v>8959</v>
      </c>
      <c r="B260" t="s">
        <v>8960</v>
      </c>
      <c r="C260" t="s">
        <v>8961</v>
      </c>
      <c r="D260" t="s">
        <v>8962</v>
      </c>
      <c r="F260" t="s">
        <v>4879</v>
      </c>
      <c r="G260" t="s">
        <v>51</v>
      </c>
      <c r="H260">
        <v>95501</v>
      </c>
      <c r="I260">
        <v>114787167</v>
      </c>
      <c r="J260" t="s">
        <v>8963</v>
      </c>
    </row>
    <row r="261" spans="1:10" x14ac:dyDescent="0.35">
      <c r="A261" t="s">
        <v>2521</v>
      </c>
      <c r="B261" t="s">
        <v>8964</v>
      </c>
      <c r="C261" t="s">
        <v>8965</v>
      </c>
      <c r="D261" t="s">
        <v>8966</v>
      </c>
      <c r="F261" t="s">
        <v>63</v>
      </c>
      <c r="G261" t="s">
        <v>64</v>
      </c>
      <c r="H261">
        <v>37013</v>
      </c>
      <c r="I261">
        <v>59278731</v>
      </c>
      <c r="J261" t="s">
        <v>8967</v>
      </c>
    </row>
    <row r="262" spans="1:10" x14ac:dyDescent="0.35">
      <c r="A262" t="s">
        <v>4561</v>
      </c>
      <c r="B262" t="s">
        <v>8968</v>
      </c>
      <c r="C262" t="s">
        <v>8969</v>
      </c>
      <c r="D262" t="s">
        <v>8970</v>
      </c>
      <c r="F262" t="s">
        <v>92</v>
      </c>
      <c r="G262" t="s">
        <v>51</v>
      </c>
      <c r="H262">
        <v>94579</v>
      </c>
      <c r="I262">
        <v>31327626</v>
      </c>
      <c r="J262" t="s">
        <v>8971</v>
      </c>
    </row>
    <row r="263" spans="1:10" x14ac:dyDescent="0.35">
      <c r="A263" t="s">
        <v>2515</v>
      </c>
      <c r="B263" t="s">
        <v>8972</v>
      </c>
      <c r="C263" t="s">
        <v>8973</v>
      </c>
      <c r="D263" t="s">
        <v>8974</v>
      </c>
      <c r="E263" t="s">
        <v>8720</v>
      </c>
      <c r="F263" t="s">
        <v>35</v>
      </c>
      <c r="G263" t="s">
        <v>36</v>
      </c>
      <c r="H263">
        <v>31405</v>
      </c>
      <c r="I263">
        <v>19736213</v>
      </c>
      <c r="J263" t="s">
        <v>8975</v>
      </c>
    </row>
    <row r="264" spans="1:10" x14ac:dyDescent="0.35">
      <c r="A264" t="s">
        <v>2844</v>
      </c>
      <c r="B264" t="s">
        <v>8976</v>
      </c>
      <c r="C264" t="s">
        <v>8977</v>
      </c>
      <c r="D264" t="s">
        <v>8978</v>
      </c>
      <c r="F264" t="s">
        <v>45</v>
      </c>
      <c r="G264" t="s">
        <v>46</v>
      </c>
      <c r="H264">
        <v>36104</v>
      </c>
      <c r="I264">
        <v>55104951</v>
      </c>
      <c r="J264" t="s">
        <v>8979</v>
      </c>
    </row>
    <row r="265" spans="1:10" x14ac:dyDescent="0.35">
      <c r="A265" t="s">
        <v>1169</v>
      </c>
      <c r="B265" t="s">
        <v>8980</v>
      </c>
      <c r="C265" t="s">
        <v>8981</v>
      </c>
      <c r="D265" t="s">
        <v>8982</v>
      </c>
      <c r="F265" t="s">
        <v>112</v>
      </c>
      <c r="G265" t="s">
        <v>106</v>
      </c>
      <c r="H265">
        <v>99503</v>
      </c>
      <c r="I265">
        <v>50013115</v>
      </c>
      <c r="J265" t="s">
        <v>8983</v>
      </c>
    </row>
    <row r="266" spans="1:10" x14ac:dyDescent="0.35">
      <c r="A266" t="s">
        <v>2198</v>
      </c>
      <c r="B266" t="s">
        <v>8984</v>
      </c>
      <c r="C266" t="s">
        <v>8985</v>
      </c>
      <c r="D266" t="s">
        <v>8986</v>
      </c>
      <c r="E266" t="s">
        <v>8987</v>
      </c>
      <c r="F266" t="s">
        <v>5115</v>
      </c>
      <c r="G266" t="s">
        <v>51</v>
      </c>
      <c r="H266">
        <v>93546</v>
      </c>
      <c r="I266">
        <v>57370411</v>
      </c>
      <c r="J266" t="s">
        <v>8988</v>
      </c>
    </row>
    <row r="267" spans="1:10" x14ac:dyDescent="0.35">
      <c r="A267" t="s">
        <v>2304</v>
      </c>
      <c r="B267" t="s">
        <v>8989</v>
      </c>
      <c r="C267" t="s">
        <v>8990</v>
      </c>
      <c r="D267" t="s">
        <v>8991</v>
      </c>
      <c r="E267" t="s">
        <v>8992</v>
      </c>
      <c r="F267" t="s">
        <v>543</v>
      </c>
      <c r="G267" t="s">
        <v>51</v>
      </c>
      <c r="H267">
        <v>94708</v>
      </c>
      <c r="I267">
        <v>27878231</v>
      </c>
      <c r="J267" t="s">
        <v>8993</v>
      </c>
    </row>
    <row r="268" spans="1:10" x14ac:dyDescent="0.35">
      <c r="A268" t="s">
        <v>482</v>
      </c>
      <c r="B268" t="s">
        <v>8994</v>
      </c>
      <c r="C268" t="s">
        <v>8995</v>
      </c>
      <c r="D268" t="s">
        <v>8996</v>
      </c>
      <c r="F268" t="s">
        <v>107</v>
      </c>
      <c r="G268" t="s">
        <v>87</v>
      </c>
      <c r="H268">
        <v>40258</v>
      </c>
      <c r="I268">
        <v>121560924</v>
      </c>
      <c r="J268" t="s">
        <v>8997</v>
      </c>
    </row>
    <row r="269" spans="1:10" x14ac:dyDescent="0.35">
      <c r="A269" t="s">
        <v>161</v>
      </c>
      <c r="B269" t="s">
        <v>8998</v>
      </c>
      <c r="C269" t="s">
        <v>8999</v>
      </c>
      <c r="D269" t="s">
        <v>9000</v>
      </c>
      <c r="E269" t="s">
        <v>8720</v>
      </c>
      <c r="F269" t="s">
        <v>118</v>
      </c>
      <c r="G269" t="s">
        <v>42</v>
      </c>
      <c r="H269">
        <v>80003</v>
      </c>
      <c r="I269">
        <v>64537344</v>
      </c>
      <c r="J269" t="s">
        <v>9001</v>
      </c>
    </row>
    <row r="270" spans="1:10" x14ac:dyDescent="0.35">
      <c r="A270" t="s">
        <v>5539</v>
      </c>
      <c r="B270" t="s">
        <v>9002</v>
      </c>
      <c r="C270" t="s">
        <v>9003</v>
      </c>
      <c r="D270" t="s">
        <v>9004</v>
      </c>
      <c r="E270" t="s">
        <v>9005</v>
      </c>
      <c r="F270" t="s">
        <v>3353</v>
      </c>
      <c r="G270" t="s">
        <v>74</v>
      </c>
      <c r="H270">
        <v>33634</v>
      </c>
      <c r="I270">
        <v>64190956</v>
      </c>
      <c r="J270" t="s">
        <v>9006</v>
      </c>
    </row>
    <row r="271" spans="1:10" x14ac:dyDescent="0.35">
      <c r="A271" t="s">
        <v>2612</v>
      </c>
      <c r="B271" t="s">
        <v>9007</v>
      </c>
      <c r="C271" t="s">
        <v>9008</v>
      </c>
      <c r="D271" t="s">
        <v>9009</v>
      </c>
      <c r="F271" t="s">
        <v>130</v>
      </c>
      <c r="G271" t="s">
        <v>123</v>
      </c>
      <c r="H271">
        <v>20032</v>
      </c>
      <c r="I271">
        <v>104221170</v>
      </c>
      <c r="J271" t="s">
        <v>9010</v>
      </c>
    </row>
    <row r="272" spans="1:10" x14ac:dyDescent="0.35">
      <c r="A272" t="s">
        <v>3678</v>
      </c>
      <c r="B272" t="s">
        <v>9011</v>
      </c>
      <c r="C272" t="s">
        <v>9012</v>
      </c>
      <c r="D272" t="s">
        <v>9013</v>
      </c>
      <c r="G272" t="s">
        <v>147</v>
      </c>
      <c r="H272">
        <v>5488</v>
      </c>
      <c r="I272">
        <v>51708474</v>
      </c>
      <c r="J272" t="s">
        <v>9014</v>
      </c>
    </row>
    <row r="273" spans="1:10" x14ac:dyDescent="0.35">
      <c r="A273" t="s">
        <v>2218</v>
      </c>
      <c r="B273" t="s">
        <v>9015</v>
      </c>
      <c r="C273" t="s">
        <v>9016</v>
      </c>
      <c r="D273" t="s">
        <v>9017</v>
      </c>
      <c r="F273" t="s">
        <v>2289</v>
      </c>
      <c r="G273" t="s">
        <v>31</v>
      </c>
      <c r="H273">
        <v>85340</v>
      </c>
      <c r="I273">
        <v>105000882</v>
      </c>
      <c r="J273" t="s">
        <v>9018</v>
      </c>
    </row>
    <row r="274" spans="1:10" x14ac:dyDescent="0.35">
      <c r="A274" t="s">
        <v>570</v>
      </c>
      <c r="B274" t="s">
        <v>9019</v>
      </c>
      <c r="C274" t="s">
        <v>9020</v>
      </c>
      <c r="D274" t="s">
        <v>9021</v>
      </c>
      <c r="E274" t="s">
        <v>9022</v>
      </c>
      <c r="F274" t="s">
        <v>70</v>
      </c>
      <c r="G274" t="s">
        <v>31</v>
      </c>
      <c r="H274">
        <v>85301</v>
      </c>
      <c r="I274">
        <v>115525865</v>
      </c>
      <c r="J274" t="s">
        <v>9023</v>
      </c>
    </row>
    <row r="275" spans="1:10" x14ac:dyDescent="0.35">
      <c r="A275" t="s">
        <v>3868</v>
      </c>
      <c r="B275" t="s">
        <v>9024</v>
      </c>
      <c r="C275" t="s">
        <v>9025</v>
      </c>
      <c r="D275" t="s">
        <v>8801</v>
      </c>
      <c r="F275" t="s">
        <v>75</v>
      </c>
      <c r="G275" t="s">
        <v>76</v>
      </c>
      <c r="H275">
        <v>6042</v>
      </c>
      <c r="I275">
        <v>119316944</v>
      </c>
      <c r="J275" t="s">
        <v>9026</v>
      </c>
    </row>
    <row r="276" spans="1:10" x14ac:dyDescent="0.35">
      <c r="A276" t="s">
        <v>3832</v>
      </c>
      <c r="B276" t="s">
        <v>9027</v>
      </c>
      <c r="C276" t="s">
        <v>9028</v>
      </c>
      <c r="D276" t="s">
        <v>9029</v>
      </c>
      <c r="F276" t="s">
        <v>124</v>
      </c>
      <c r="G276" t="s">
        <v>117</v>
      </c>
      <c r="H276">
        <v>72701</v>
      </c>
      <c r="I276">
        <v>57718918</v>
      </c>
      <c r="J276" t="s">
        <v>9030</v>
      </c>
    </row>
    <row r="277" spans="1:10" x14ac:dyDescent="0.35">
      <c r="A277" t="s">
        <v>857</v>
      </c>
      <c r="B277" t="s">
        <v>9031</v>
      </c>
      <c r="C277" t="s">
        <v>9032</v>
      </c>
      <c r="D277" t="s">
        <v>9033</v>
      </c>
      <c r="F277" t="s">
        <v>589</v>
      </c>
      <c r="G277" t="s">
        <v>147</v>
      </c>
      <c r="H277">
        <v>5075</v>
      </c>
      <c r="I277">
        <v>18373787</v>
      </c>
      <c r="J277" t="s">
        <v>9034</v>
      </c>
    </row>
    <row r="278" spans="1:10" x14ac:dyDescent="0.35">
      <c r="A278" t="s">
        <v>6731</v>
      </c>
      <c r="B278" t="s">
        <v>9035</v>
      </c>
      <c r="C278" t="s">
        <v>9036</v>
      </c>
      <c r="D278" t="s">
        <v>9037</v>
      </c>
      <c r="F278" t="s">
        <v>35</v>
      </c>
      <c r="G278" t="s">
        <v>36</v>
      </c>
      <c r="H278">
        <v>31419</v>
      </c>
      <c r="I278">
        <v>96273511</v>
      </c>
      <c r="J278" t="s">
        <v>9038</v>
      </c>
    </row>
    <row r="279" spans="1:10" x14ac:dyDescent="0.35">
      <c r="A279" t="s">
        <v>2247</v>
      </c>
      <c r="B279" t="s">
        <v>9039</v>
      </c>
      <c r="C279" t="s">
        <v>9040</v>
      </c>
      <c r="D279" t="s">
        <v>9041</v>
      </c>
      <c r="F279" t="s">
        <v>45</v>
      </c>
      <c r="G279" t="s">
        <v>46</v>
      </c>
      <c r="H279">
        <v>36116</v>
      </c>
      <c r="I279">
        <v>40351777</v>
      </c>
      <c r="J279" t="s">
        <v>9042</v>
      </c>
    </row>
    <row r="280" spans="1:10" x14ac:dyDescent="0.35">
      <c r="A280" t="s">
        <v>5029</v>
      </c>
      <c r="B280" t="s">
        <v>9043</v>
      </c>
      <c r="C280" t="s">
        <v>9044</v>
      </c>
      <c r="D280" t="s">
        <v>9045</v>
      </c>
      <c r="E280" t="s">
        <v>9046</v>
      </c>
      <c r="F280" t="s">
        <v>118</v>
      </c>
      <c r="G280" t="s">
        <v>42</v>
      </c>
      <c r="H280">
        <v>80002</v>
      </c>
      <c r="I280">
        <v>36842643</v>
      </c>
      <c r="J280" t="s">
        <v>9047</v>
      </c>
    </row>
    <row r="281" spans="1:10" x14ac:dyDescent="0.35">
      <c r="A281" t="s">
        <v>59</v>
      </c>
      <c r="B281" t="s">
        <v>9048</v>
      </c>
      <c r="C281" t="s">
        <v>9049</v>
      </c>
      <c r="D281" t="s">
        <v>8213</v>
      </c>
      <c r="F281" t="s">
        <v>1816</v>
      </c>
      <c r="G281" t="s">
        <v>236</v>
      </c>
      <c r="H281">
        <v>73071</v>
      </c>
      <c r="I281">
        <v>87652976</v>
      </c>
      <c r="J281" t="s">
        <v>9050</v>
      </c>
    </row>
    <row r="282" spans="1:10" x14ac:dyDescent="0.35">
      <c r="A282" t="s">
        <v>2002</v>
      </c>
      <c r="B282" t="s">
        <v>9051</v>
      </c>
      <c r="C282" t="s">
        <v>9052</v>
      </c>
      <c r="D282" t="s">
        <v>9053</v>
      </c>
      <c r="F282" t="s">
        <v>75</v>
      </c>
      <c r="G282" t="s">
        <v>76</v>
      </c>
      <c r="H282">
        <v>6040</v>
      </c>
      <c r="I282">
        <v>30998247</v>
      </c>
      <c r="J282" t="s">
        <v>9054</v>
      </c>
    </row>
    <row r="283" spans="1:10" x14ac:dyDescent="0.35">
      <c r="A283" t="s">
        <v>540</v>
      </c>
      <c r="B283" t="s">
        <v>9055</v>
      </c>
      <c r="C283" t="s">
        <v>9056</v>
      </c>
      <c r="D283" t="s">
        <v>9057</v>
      </c>
      <c r="F283" t="s">
        <v>124</v>
      </c>
      <c r="G283" t="s">
        <v>117</v>
      </c>
      <c r="H283">
        <v>72701</v>
      </c>
      <c r="I283">
        <v>44960203</v>
      </c>
      <c r="J283" t="s">
        <v>9058</v>
      </c>
    </row>
    <row r="284" spans="1:10" x14ac:dyDescent="0.35">
      <c r="A284" t="s">
        <v>9059</v>
      </c>
      <c r="B284" t="s">
        <v>9060</v>
      </c>
      <c r="C284" t="s">
        <v>9061</v>
      </c>
      <c r="D284" t="s">
        <v>9062</v>
      </c>
      <c r="F284" t="s">
        <v>63</v>
      </c>
      <c r="G284" t="s">
        <v>64</v>
      </c>
      <c r="H284">
        <v>37209</v>
      </c>
      <c r="I284">
        <v>46268178</v>
      </c>
      <c r="J284" t="s">
        <v>9063</v>
      </c>
    </row>
    <row r="285" spans="1:10" x14ac:dyDescent="0.35">
      <c r="A285" t="s">
        <v>3028</v>
      </c>
      <c r="B285" t="s">
        <v>9064</v>
      </c>
      <c r="C285" t="s">
        <v>9065</v>
      </c>
      <c r="D285" t="s">
        <v>9066</v>
      </c>
      <c r="F285" t="s">
        <v>830</v>
      </c>
      <c r="G285" t="s">
        <v>51</v>
      </c>
      <c r="H285">
        <v>94555</v>
      </c>
      <c r="I285">
        <v>90225662</v>
      </c>
      <c r="J285" t="s">
        <v>9067</v>
      </c>
    </row>
    <row r="286" spans="1:10" x14ac:dyDescent="0.35">
      <c r="A286" t="s">
        <v>370</v>
      </c>
      <c r="B286" t="s">
        <v>9068</v>
      </c>
      <c r="C286" t="s">
        <v>9069</v>
      </c>
      <c r="D286" t="s">
        <v>9070</v>
      </c>
      <c r="F286" t="s">
        <v>70</v>
      </c>
      <c r="G286" t="s">
        <v>31</v>
      </c>
      <c r="H286">
        <v>85308</v>
      </c>
      <c r="I286">
        <v>106249451</v>
      </c>
      <c r="J286" t="s">
        <v>9071</v>
      </c>
    </row>
    <row r="287" spans="1:10" x14ac:dyDescent="0.35">
      <c r="A287" t="s">
        <v>220</v>
      </c>
      <c r="B287" t="s">
        <v>9072</v>
      </c>
      <c r="C287" t="s">
        <v>9073</v>
      </c>
      <c r="D287" t="s">
        <v>9074</v>
      </c>
      <c r="F287" t="s">
        <v>543</v>
      </c>
      <c r="G287" t="s">
        <v>51</v>
      </c>
      <c r="H287">
        <v>94705</v>
      </c>
      <c r="I287">
        <v>24848170</v>
      </c>
      <c r="J287" t="s">
        <v>9075</v>
      </c>
    </row>
    <row r="288" spans="1:10" x14ac:dyDescent="0.35">
      <c r="A288" t="s">
        <v>5942</v>
      </c>
      <c r="B288" t="s">
        <v>9076</v>
      </c>
      <c r="C288" t="s">
        <v>9077</v>
      </c>
      <c r="D288" t="s">
        <v>9078</v>
      </c>
      <c r="F288" t="s">
        <v>63</v>
      </c>
      <c r="G288" t="s">
        <v>64</v>
      </c>
      <c r="H288">
        <v>37218</v>
      </c>
      <c r="I288">
        <v>55065281</v>
      </c>
      <c r="J288" t="s">
        <v>9079</v>
      </c>
    </row>
    <row r="289" spans="1:10" x14ac:dyDescent="0.35">
      <c r="A289" t="s">
        <v>2055</v>
      </c>
      <c r="B289" t="s">
        <v>9080</v>
      </c>
      <c r="C289" t="s">
        <v>9081</v>
      </c>
      <c r="D289" t="s">
        <v>9082</v>
      </c>
      <c r="F289" t="s">
        <v>9083</v>
      </c>
      <c r="G289" t="s">
        <v>139</v>
      </c>
      <c r="H289">
        <v>2717</v>
      </c>
      <c r="I289">
        <v>76157974</v>
      </c>
      <c r="J289" t="s">
        <v>9084</v>
      </c>
    </row>
    <row r="290" spans="1:10" x14ac:dyDescent="0.35">
      <c r="A290" t="s">
        <v>2761</v>
      </c>
      <c r="B290" t="s">
        <v>9085</v>
      </c>
      <c r="C290" t="s">
        <v>9086</v>
      </c>
      <c r="D290" t="s">
        <v>9087</v>
      </c>
      <c r="F290" t="s">
        <v>683</v>
      </c>
      <c r="G290" t="s">
        <v>97</v>
      </c>
      <c r="H290">
        <v>21144</v>
      </c>
      <c r="I290">
        <v>126895348</v>
      </c>
      <c r="J290" t="s">
        <v>9088</v>
      </c>
    </row>
    <row r="291" spans="1:10" x14ac:dyDescent="0.35">
      <c r="A291" t="s">
        <v>103</v>
      </c>
      <c r="B291" t="s">
        <v>9089</v>
      </c>
      <c r="C291" t="s">
        <v>9090</v>
      </c>
      <c r="D291" t="s">
        <v>9091</v>
      </c>
      <c r="F291" t="s">
        <v>9092</v>
      </c>
      <c r="G291" t="s">
        <v>236</v>
      </c>
      <c r="H291">
        <v>73044</v>
      </c>
      <c r="I291">
        <v>73263191</v>
      </c>
      <c r="J291" t="s">
        <v>9093</v>
      </c>
    </row>
    <row r="292" spans="1:10" x14ac:dyDescent="0.35">
      <c r="A292" t="s">
        <v>4263</v>
      </c>
      <c r="B292" t="s">
        <v>9094</v>
      </c>
      <c r="C292" t="s">
        <v>9095</v>
      </c>
      <c r="D292" t="s">
        <v>9096</v>
      </c>
      <c r="F292" t="s">
        <v>70</v>
      </c>
      <c r="G292" t="s">
        <v>31</v>
      </c>
      <c r="H292">
        <v>85301</v>
      </c>
      <c r="I292">
        <v>98002285</v>
      </c>
      <c r="J292" t="s">
        <v>9097</v>
      </c>
    </row>
    <row r="293" spans="1:10" x14ac:dyDescent="0.35">
      <c r="A293" t="s">
        <v>783</v>
      </c>
      <c r="B293" t="s">
        <v>9098</v>
      </c>
      <c r="C293" t="s">
        <v>9099</v>
      </c>
      <c r="D293" t="s">
        <v>9100</v>
      </c>
      <c r="F293" t="s">
        <v>235</v>
      </c>
      <c r="G293" t="s">
        <v>236</v>
      </c>
      <c r="H293">
        <v>73142</v>
      </c>
      <c r="I293">
        <v>115095544</v>
      </c>
      <c r="J293" t="s">
        <v>9101</v>
      </c>
    </row>
    <row r="294" spans="1:10" x14ac:dyDescent="0.35">
      <c r="A294" t="s">
        <v>2119</v>
      </c>
      <c r="B294" t="s">
        <v>9102</v>
      </c>
      <c r="C294" t="s">
        <v>9103</v>
      </c>
      <c r="D294" t="s">
        <v>9104</v>
      </c>
      <c r="F294" t="s">
        <v>118</v>
      </c>
      <c r="G294" t="s">
        <v>42</v>
      </c>
      <c r="H294">
        <v>80002</v>
      </c>
      <c r="I294">
        <v>84387710</v>
      </c>
      <c r="J294" t="s">
        <v>9105</v>
      </c>
    </row>
    <row r="295" spans="1:10" x14ac:dyDescent="0.35">
      <c r="A295" t="s">
        <v>2602</v>
      </c>
      <c r="B295" t="s">
        <v>9106</v>
      </c>
      <c r="C295" t="s">
        <v>9107</v>
      </c>
      <c r="D295" t="s">
        <v>9108</v>
      </c>
      <c r="F295" t="s">
        <v>35</v>
      </c>
      <c r="G295" t="s">
        <v>36</v>
      </c>
      <c r="H295">
        <v>31419</v>
      </c>
      <c r="I295">
        <v>82186861</v>
      </c>
      <c r="J295" t="s">
        <v>9109</v>
      </c>
    </row>
    <row r="296" spans="1:10" x14ac:dyDescent="0.35">
      <c r="A296" t="s">
        <v>271</v>
      </c>
      <c r="B296" t="s">
        <v>9110</v>
      </c>
      <c r="C296" t="s">
        <v>9111</v>
      </c>
      <c r="D296" t="s">
        <v>9112</v>
      </c>
      <c r="F296" t="s">
        <v>118</v>
      </c>
      <c r="G296" t="s">
        <v>42</v>
      </c>
      <c r="H296">
        <v>80003</v>
      </c>
      <c r="I296">
        <v>90027051</v>
      </c>
      <c r="J296" t="s">
        <v>9113</v>
      </c>
    </row>
    <row r="297" spans="1:10" x14ac:dyDescent="0.35">
      <c r="A297" t="s">
        <v>753</v>
      </c>
      <c r="B297" t="s">
        <v>9114</v>
      </c>
      <c r="C297" t="s">
        <v>9115</v>
      </c>
      <c r="D297" t="s">
        <v>9116</v>
      </c>
      <c r="F297" t="s">
        <v>2422</v>
      </c>
      <c r="G297" t="s">
        <v>51</v>
      </c>
      <c r="H297">
        <v>93313</v>
      </c>
      <c r="I297">
        <v>28021126</v>
      </c>
      <c r="J297" t="s">
        <v>9117</v>
      </c>
    </row>
    <row r="298" spans="1:10" x14ac:dyDescent="0.35">
      <c r="A298" t="s">
        <v>980</v>
      </c>
      <c r="B298" t="s">
        <v>9118</v>
      </c>
      <c r="C298" t="s">
        <v>9119</v>
      </c>
      <c r="D298" t="s">
        <v>9120</v>
      </c>
      <c r="E298" t="s">
        <v>9121</v>
      </c>
      <c r="F298" t="s">
        <v>107</v>
      </c>
      <c r="G298" t="s">
        <v>87</v>
      </c>
      <c r="H298">
        <v>40202</v>
      </c>
      <c r="I298">
        <v>30010442</v>
      </c>
      <c r="J298" t="s">
        <v>9122</v>
      </c>
    </row>
    <row r="299" spans="1:10" x14ac:dyDescent="0.35">
      <c r="A299" t="s">
        <v>827</v>
      </c>
      <c r="B299" t="s">
        <v>9123</v>
      </c>
      <c r="C299" t="s">
        <v>9124</v>
      </c>
      <c r="D299" t="s">
        <v>9125</v>
      </c>
      <c r="F299" t="s">
        <v>523</v>
      </c>
      <c r="G299" t="s">
        <v>36</v>
      </c>
      <c r="H299">
        <v>31322</v>
      </c>
      <c r="I299">
        <v>37098564</v>
      </c>
      <c r="J299" t="s">
        <v>9126</v>
      </c>
    </row>
    <row r="300" spans="1:10" x14ac:dyDescent="0.35">
      <c r="A300" t="s">
        <v>722</v>
      </c>
      <c r="B300" t="s">
        <v>9127</v>
      </c>
      <c r="C300" t="s">
        <v>9128</v>
      </c>
      <c r="D300" t="s">
        <v>9129</v>
      </c>
      <c r="F300" t="s">
        <v>589</v>
      </c>
      <c r="G300" t="s">
        <v>147</v>
      </c>
      <c r="H300">
        <v>5043</v>
      </c>
      <c r="I300">
        <v>107713067</v>
      </c>
      <c r="J300" t="s">
        <v>9130</v>
      </c>
    </row>
    <row r="301" spans="1:10" x14ac:dyDescent="0.35">
      <c r="A301" t="s">
        <v>3714</v>
      </c>
      <c r="B301" t="s">
        <v>9131</v>
      </c>
      <c r="C301" t="s">
        <v>9132</v>
      </c>
      <c r="D301" t="s">
        <v>9133</v>
      </c>
      <c r="E301" t="s">
        <v>9134</v>
      </c>
      <c r="F301" t="s">
        <v>118</v>
      </c>
      <c r="G301" t="s">
        <v>42</v>
      </c>
      <c r="H301">
        <v>80005</v>
      </c>
      <c r="I301">
        <v>50309191</v>
      </c>
      <c r="J301" t="s">
        <v>9135</v>
      </c>
    </row>
    <row r="302" spans="1:10" x14ac:dyDescent="0.35">
      <c r="A302" t="s">
        <v>709</v>
      </c>
      <c r="B302" t="s">
        <v>9136</v>
      </c>
      <c r="C302" t="s">
        <v>9137</v>
      </c>
      <c r="D302" t="s">
        <v>9138</v>
      </c>
      <c r="F302" t="s">
        <v>75</v>
      </c>
      <c r="G302" t="s">
        <v>76</v>
      </c>
      <c r="H302">
        <v>6040</v>
      </c>
      <c r="I302">
        <v>46763754</v>
      </c>
      <c r="J302" t="s">
        <v>9139</v>
      </c>
    </row>
    <row r="303" spans="1:10" x14ac:dyDescent="0.35">
      <c r="A303" t="s">
        <v>4375</v>
      </c>
      <c r="B303" t="s">
        <v>9140</v>
      </c>
      <c r="C303" t="s">
        <v>9141</v>
      </c>
      <c r="D303" t="s">
        <v>9142</v>
      </c>
      <c r="F303" t="s">
        <v>2242</v>
      </c>
      <c r="G303" t="s">
        <v>74</v>
      </c>
      <c r="H303">
        <v>32403</v>
      </c>
      <c r="I303">
        <v>32214576</v>
      </c>
      <c r="J303" t="s">
        <v>9143</v>
      </c>
    </row>
    <row r="304" spans="1:10" x14ac:dyDescent="0.35">
      <c r="A304" t="s">
        <v>3454</v>
      </c>
      <c r="B304" t="s">
        <v>9144</v>
      </c>
      <c r="C304" t="s">
        <v>9145</v>
      </c>
      <c r="D304" t="s">
        <v>9009</v>
      </c>
      <c r="F304" t="s">
        <v>130</v>
      </c>
      <c r="G304" t="s">
        <v>123</v>
      </c>
      <c r="H304">
        <v>20032</v>
      </c>
      <c r="I304">
        <v>107869717</v>
      </c>
      <c r="J304" t="s">
        <v>9146</v>
      </c>
    </row>
    <row r="305" spans="1:10" x14ac:dyDescent="0.35">
      <c r="A305" t="s">
        <v>157</v>
      </c>
      <c r="B305" t="s">
        <v>9147</v>
      </c>
      <c r="C305" t="s">
        <v>8850</v>
      </c>
      <c r="D305" t="s">
        <v>9148</v>
      </c>
      <c r="F305" t="s">
        <v>209</v>
      </c>
      <c r="G305" t="s">
        <v>74</v>
      </c>
      <c r="H305">
        <v>32404</v>
      </c>
      <c r="I305">
        <v>61374377</v>
      </c>
      <c r="J305" t="s">
        <v>9149</v>
      </c>
    </row>
    <row r="306" spans="1:10" x14ac:dyDescent="0.35">
      <c r="A306" t="s">
        <v>4452</v>
      </c>
      <c r="B306" t="s">
        <v>9150</v>
      </c>
      <c r="C306" t="s">
        <v>9151</v>
      </c>
      <c r="D306" t="s">
        <v>9152</v>
      </c>
      <c r="F306" t="s">
        <v>45</v>
      </c>
      <c r="G306" t="s">
        <v>46</v>
      </c>
      <c r="H306">
        <v>36117</v>
      </c>
      <c r="I306">
        <v>71778303</v>
      </c>
      <c r="J306" t="s">
        <v>9153</v>
      </c>
    </row>
    <row r="307" spans="1:10" x14ac:dyDescent="0.35">
      <c r="A307" t="s">
        <v>395</v>
      </c>
      <c r="B307" t="s">
        <v>9154</v>
      </c>
      <c r="C307" t="s">
        <v>9155</v>
      </c>
      <c r="D307" t="s">
        <v>9156</v>
      </c>
      <c r="F307" t="s">
        <v>1827</v>
      </c>
      <c r="G307" t="s">
        <v>51</v>
      </c>
      <c r="H307">
        <v>94587</v>
      </c>
      <c r="I307">
        <v>100926686</v>
      </c>
      <c r="J307" t="s">
        <v>9157</v>
      </c>
    </row>
    <row r="308" spans="1:10" x14ac:dyDescent="0.35">
      <c r="A308" t="s">
        <v>5516</v>
      </c>
      <c r="B308" t="s">
        <v>9158</v>
      </c>
      <c r="C308" t="s">
        <v>9159</v>
      </c>
      <c r="D308" t="s">
        <v>9160</v>
      </c>
      <c r="F308" t="s">
        <v>45</v>
      </c>
      <c r="G308" t="s">
        <v>46</v>
      </c>
      <c r="H308">
        <v>36116</v>
      </c>
      <c r="I308">
        <v>95140072</v>
      </c>
      <c r="J308" t="s">
        <v>9161</v>
      </c>
    </row>
    <row r="309" spans="1:10" x14ac:dyDescent="0.35">
      <c r="A309" t="s">
        <v>2108</v>
      </c>
      <c r="B309" t="s">
        <v>9162</v>
      </c>
      <c r="C309" t="s">
        <v>9163</v>
      </c>
      <c r="D309" t="s">
        <v>9164</v>
      </c>
      <c r="F309" t="s">
        <v>334</v>
      </c>
      <c r="G309" t="s">
        <v>51</v>
      </c>
      <c r="H309">
        <v>94602</v>
      </c>
      <c r="I309">
        <v>116722706</v>
      </c>
      <c r="J309" t="s">
        <v>9165</v>
      </c>
    </row>
    <row r="310" spans="1:10" x14ac:dyDescent="0.35">
      <c r="A310" t="s">
        <v>2537</v>
      </c>
      <c r="B310" t="s">
        <v>9166</v>
      </c>
      <c r="C310" t="s">
        <v>9167</v>
      </c>
      <c r="D310" t="s">
        <v>9168</v>
      </c>
      <c r="F310" t="s">
        <v>118</v>
      </c>
      <c r="G310" t="s">
        <v>42</v>
      </c>
      <c r="H310">
        <v>80004</v>
      </c>
      <c r="I310">
        <v>16278347</v>
      </c>
      <c r="J310" t="s">
        <v>9169</v>
      </c>
    </row>
    <row r="311" spans="1:10" x14ac:dyDescent="0.35">
      <c r="A311" t="s">
        <v>305</v>
      </c>
      <c r="B311" t="s">
        <v>9170</v>
      </c>
      <c r="C311" t="s">
        <v>8269</v>
      </c>
      <c r="D311" t="s">
        <v>9171</v>
      </c>
      <c r="E311" t="s">
        <v>8720</v>
      </c>
      <c r="F311" t="s">
        <v>124</v>
      </c>
      <c r="G311" t="s">
        <v>117</v>
      </c>
      <c r="H311">
        <v>72703</v>
      </c>
      <c r="I311">
        <v>67598283</v>
      </c>
      <c r="J311" t="s">
        <v>9172</v>
      </c>
    </row>
    <row r="312" spans="1:10" x14ac:dyDescent="0.35">
      <c r="A312" t="s">
        <v>350</v>
      </c>
      <c r="B312" t="s">
        <v>9173</v>
      </c>
      <c r="C312" t="s">
        <v>9174</v>
      </c>
      <c r="D312" t="s">
        <v>9175</v>
      </c>
      <c r="F312" t="s">
        <v>316</v>
      </c>
      <c r="G312" t="s">
        <v>97</v>
      </c>
      <c r="H312">
        <v>21409</v>
      </c>
      <c r="I312">
        <v>13039725</v>
      </c>
      <c r="J312" t="s">
        <v>9176</v>
      </c>
    </row>
    <row r="313" spans="1:10" x14ac:dyDescent="0.35">
      <c r="A313" t="s">
        <v>5458</v>
      </c>
      <c r="B313" t="s">
        <v>9177</v>
      </c>
      <c r="C313" t="s">
        <v>9178</v>
      </c>
      <c r="D313" t="s">
        <v>9179</v>
      </c>
      <c r="F313" t="s">
        <v>937</v>
      </c>
      <c r="G313" t="s">
        <v>42</v>
      </c>
      <c r="H313">
        <v>80631</v>
      </c>
      <c r="I313">
        <v>47854756</v>
      </c>
      <c r="J313" t="s">
        <v>9180</v>
      </c>
    </row>
    <row r="314" spans="1:10" x14ac:dyDescent="0.35">
      <c r="A314" t="s">
        <v>1656</v>
      </c>
      <c r="B314" t="s">
        <v>9181</v>
      </c>
      <c r="C314" t="s">
        <v>9182</v>
      </c>
      <c r="D314" t="s">
        <v>9183</v>
      </c>
      <c r="F314" t="s">
        <v>124</v>
      </c>
      <c r="G314" t="s">
        <v>117</v>
      </c>
      <c r="H314">
        <v>72701</v>
      </c>
      <c r="I314">
        <v>128829901</v>
      </c>
      <c r="J314" t="s">
        <v>9184</v>
      </c>
    </row>
    <row r="315" spans="1:10" x14ac:dyDescent="0.35">
      <c r="A315" t="s">
        <v>224</v>
      </c>
      <c r="B315" t="s">
        <v>9185</v>
      </c>
      <c r="C315" t="s">
        <v>9186</v>
      </c>
      <c r="D315" t="s">
        <v>8406</v>
      </c>
      <c r="F315" t="s">
        <v>509</v>
      </c>
      <c r="G315" t="s">
        <v>147</v>
      </c>
      <c r="H315">
        <v>5446</v>
      </c>
      <c r="I315">
        <v>102345346</v>
      </c>
      <c r="J315" t="s">
        <v>9187</v>
      </c>
    </row>
    <row r="316" spans="1:10" x14ac:dyDescent="0.35">
      <c r="A316" t="s">
        <v>203</v>
      </c>
      <c r="B316" t="s">
        <v>9188</v>
      </c>
      <c r="C316" t="s">
        <v>9189</v>
      </c>
      <c r="D316" t="s">
        <v>9190</v>
      </c>
      <c r="F316" t="s">
        <v>45</v>
      </c>
      <c r="G316" t="s">
        <v>46</v>
      </c>
      <c r="H316">
        <v>36117</v>
      </c>
      <c r="I316">
        <v>77224084</v>
      </c>
      <c r="J316" t="s">
        <v>9191</v>
      </c>
    </row>
    <row r="317" spans="1:10" x14ac:dyDescent="0.35">
      <c r="A317" t="s">
        <v>5205</v>
      </c>
      <c r="B317" t="s">
        <v>9192</v>
      </c>
      <c r="C317" t="s">
        <v>9193</v>
      </c>
      <c r="D317" t="s">
        <v>8551</v>
      </c>
      <c r="F317" t="s">
        <v>107</v>
      </c>
      <c r="G317" t="s">
        <v>87</v>
      </c>
      <c r="H317">
        <v>40245</v>
      </c>
      <c r="I317">
        <v>46980074</v>
      </c>
      <c r="J317" t="s">
        <v>9194</v>
      </c>
    </row>
    <row r="318" spans="1:10" x14ac:dyDescent="0.35">
      <c r="A318" t="s">
        <v>354</v>
      </c>
      <c r="B318" t="s">
        <v>9195</v>
      </c>
      <c r="C318" t="s">
        <v>9196</v>
      </c>
      <c r="D318" t="s">
        <v>9197</v>
      </c>
      <c r="F318" t="s">
        <v>63</v>
      </c>
      <c r="G318" t="s">
        <v>64</v>
      </c>
      <c r="H318">
        <v>37207</v>
      </c>
      <c r="I318">
        <v>68165220</v>
      </c>
      <c r="J318" t="s">
        <v>9198</v>
      </c>
    </row>
    <row r="319" spans="1:10" x14ac:dyDescent="0.35">
      <c r="A319" t="s">
        <v>9199</v>
      </c>
      <c r="B319" t="s">
        <v>9200</v>
      </c>
      <c r="C319" t="s">
        <v>9201</v>
      </c>
      <c r="D319" t="s">
        <v>9202</v>
      </c>
      <c r="F319" t="s">
        <v>130</v>
      </c>
      <c r="G319" t="s">
        <v>123</v>
      </c>
      <c r="H319">
        <v>20002</v>
      </c>
      <c r="I319">
        <v>102217199</v>
      </c>
      <c r="J319" t="s">
        <v>9203</v>
      </c>
    </row>
    <row r="320" spans="1:10" x14ac:dyDescent="0.35">
      <c r="A320" t="s">
        <v>6330</v>
      </c>
      <c r="B320" t="s">
        <v>9204</v>
      </c>
      <c r="C320" t="s">
        <v>9205</v>
      </c>
      <c r="D320" t="s">
        <v>9206</v>
      </c>
      <c r="E320" t="s">
        <v>9207</v>
      </c>
      <c r="F320" t="s">
        <v>112</v>
      </c>
      <c r="G320" t="s">
        <v>106</v>
      </c>
      <c r="H320">
        <v>99501</v>
      </c>
      <c r="I320">
        <v>66184818</v>
      </c>
      <c r="J320" t="s">
        <v>9208</v>
      </c>
    </row>
    <row r="321" spans="1:10" x14ac:dyDescent="0.35">
      <c r="A321" t="s">
        <v>3785</v>
      </c>
      <c r="B321" t="s">
        <v>9209</v>
      </c>
      <c r="C321" t="s">
        <v>9210</v>
      </c>
      <c r="D321" t="s">
        <v>9211</v>
      </c>
      <c r="F321" t="s">
        <v>118</v>
      </c>
      <c r="G321" t="s">
        <v>42</v>
      </c>
      <c r="H321">
        <v>80003</v>
      </c>
      <c r="I321">
        <v>84587125</v>
      </c>
      <c r="J321" t="s">
        <v>9212</v>
      </c>
    </row>
    <row r="322" spans="1:10" x14ac:dyDescent="0.35">
      <c r="A322" t="s">
        <v>379</v>
      </c>
      <c r="B322" t="s">
        <v>9213</v>
      </c>
      <c r="C322" t="s">
        <v>9214</v>
      </c>
      <c r="D322" t="s">
        <v>9215</v>
      </c>
      <c r="F322" t="s">
        <v>477</v>
      </c>
      <c r="G322" t="s">
        <v>51</v>
      </c>
      <c r="H322">
        <v>94545</v>
      </c>
      <c r="I322">
        <v>52223699</v>
      </c>
      <c r="J322" t="s">
        <v>9216</v>
      </c>
    </row>
    <row r="323" spans="1:10" x14ac:dyDescent="0.35">
      <c r="A323" t="s">
        <v>4579</v>
      </c>
      <c r="B323" t="s">
        <v>9217</v>
      </c>
      <c r="C323" t="s">
        <v>9218</v>
      </c>
      <c r="D323" t="s">
        <v>9219</v>
      </c>
      <c r="F323" t="s">
        <v>70</v>
      </c>
      <c r="G323" t="s">
        <v>31</v>
      </c>
      <c r="H323">
        <v>85308</v>
      </c>
      <c r="I323">
        <v>78952070</v>
      </c>
      <c r="J323" t="s">
        <v>9220</v>
      </c>
    </row>
    <row r="324" spans="1:10" x14ac:dyDescent="0.35">
      <c r="A324" t="s">
        <v>3651</v>
      </c>
      <c r="B324" t="s">
        <v>9221</v>
      </c>
      <c r="C324" t="s">
        <v>9222</v>
      </c>
      <c r="D324" t="s">
        <v>9223</v>
      </c>
      <c r="E324" t="s">
        <v>9224</v>
      </c>
      <c r="F324" t="s">
        <v>2095</v>
      </c>
      <c r="G324" t="s">
        <v>42</v>
      </c>
      <c r="H324">
        <v>80030</v>
      </c>
      <c r="I324">
        <v>25140987</v>
      </c>
      <c r="J324" t="s">
        <v>9225</v>
      </c>
    </row>
    <row r="325" spans="1:10" x14ac:dyDescent="0.35">
      <c r="A325" t="s">
        <v>78</v>
      </c>
      <c r="B325" t="s">
        <v>9226</v>
      </c>
      <c r="C325" t="s">
        <v>9227</v>
      </c>
      <c r="D325" t="s">
        <v>9228</v>
      </c>
      <c r="F325" t="s">
        <v>9229</v>
      </c>
      <c r="G325" t="s">
        <v>139</v>
      </c>
      <c r="H325">
        <v>1028</v>
      </c>
      <c r="I325">
        <v>29678921</v>
      </c>
      <c r="J325" t="s">
        <v>9230</v>
      </c>
    </row>
    <row r="326" spans="1:10" x14ac:dyDescent="0.35">
      <c r="A326" t="s">
        <v>4189</v>
      </c>
      <c r="B326" t="s">
        <v>9231</v>
      </c>
      <c r="C326" t="s">
        <v>9232</v>
      </c>
      <c r="D326" t="s">
        <v>9233</v>
      </c>
      <c r="F326" t="s">
        <v>1816</v>
      </c>
      <c r="G326" t="s">
        <v>236</v>
      </c>
      <c r="H326">
        <v>73072</v>
      </c>
      <c r="I326">
        <v>22031549</v>
      </c>
      <c r="J326" t="s">
        <v>9234</v>
      </c>
    </row>
    <row r="327" spans="1:10" x14ac:dyDescent="0.35">
      <c r="A327" t="s">
        <v>120</v>
      </c>
      <c r="B327" t="s">
        <v>9235</v>
      </c>
      <c r="C327" t="s">
        <v>9236</v>
      </c>
      <c r="D327" t="s">
        <v>9237</v>
      </c>
      <c r="F327" t="s">
        <v>209</v>
      </c>
      <c r="G327" t="s">
        <v>74</v>
      </c>
      <c r="H327">
        <v>32405</v>
      </c>
      <c r="I327">
        <v>80018643</v>
      </c>
      <c r="J327" t="s">
        <v>9238</v>
      </c>
    </row>
    <row r="328" spans="1:10" x14ac:dyDescent="0.35">
      <c r="A328" t="s">
        <v>7241</v>
      </c>
      <c r="B328" t="s">
        <v>9239</v>
      </c>
      <c r="C328" t="s">
        <v>9240</v>
      </c>
      <c r="D328" t="s">
        <v>8761</v>
      </c>
      <c r="F328" t="s">
        <v>8762</v>
      </c>
      <c r="G328" t="s">
        <v>51</v>
      </c>
      <c r="H328">
        <v>94534</v>
      </c>
      <c r="I328">
        <v>46848271</v>
      </c>
      <c r="J328" t="s">
        <v>9241</v>
      </c>
    </row>
    <row r="329" spans="1:10" x14ac:dyDescent="0.35">
      <c r="A329" t="s">
        <v>3100</v>
      </c>
      <c r="B329" t="s">
        <v>9242</v>
      </c>
      <c r="C329" t="s">
        <v>9243</v>
      </c>
      <c r="D329" t="s">
        <v>9244</v>
      </c>
      <c r="F329" t="s">
        <v>70</v>
      </c>
      <c r="G329" t="s">
        <v>31</v>
      </c>
      <c r="H329">
        <v>85303</v>
      </c>
      <c r="I329">
        <v>113234899</v>
      </c>
      <c r="J329" t="s">
        <v>9245</v>
      </c>
    </row>
    <row r="330" spans="1:10" x14ac:dyDescent="0.35">
      <c r="A330" t="s">
        <v>3654</v>
      </c>
      <c r="B330" t="s">
        <v>9246</v>
      </c>
      <c r="C330" t="s">
        <v>9247</v>
      </c>
      <c r="D330" t="s">
        <v>8851</v>
      </c>
      <c r="F330" t="s">
        <v>130</v>
      </c>
      <c r="G330" t="s">
        <v>123</v>
      </c>
      <c r="H330">
        <v>20015</v>
      </c>
      <c r="I330">
        <v>103057963</v>
      </c>
      <c r="J330" t="s">
        <v>9248</v>
      </c>
    </row>
    <row r="331" spans="1:10" x14ac:dyDescent="0.35">
      <c r="A331" t="s">
        <v>7177</v>
      </c>
      <c r="B331" t="s">
        <v>9249</v>
      </c>
      <c r="C331" t="s">
        <v>9250</v>
      </c>
      <c r="D331" t="s">
        <v>8634</v>
      </c>
      <c r="F331" t="s">
        <v>8635</v>
      </c>
      <c r="G331" t="s">
        <v>51</v>
      </c>
      <c r="H331">
        <v>93442</v>
      </c>
      <c r="I331">
        <v>88142728</v>
      </c>
      <c r="J331" t="s">
        <v>9251</v>
      </c>
    </row>
    <row r="332" spans="1:10" x14ac:dyDescent="0.35">
      <c r="A332" t="s">
        <v>3617</v>
      </c>
      <c r="B332" t="s">
        <v>9252</v>
      </c>
      <c r="C332" t="s">
        <v>9253</v>
      </c>
      <c r="D332" t="s">
        <v>9254</v>
      </c>
      <c r="F332" t="s">
        <v>130</v>
      </c>
      <c r="G332" t="s">
        <v>123</v>
      </c>
      <c r="H332">
        <v>20003</v>
      </c>
      <c r="I332">
        <v>63731222</v>
      </c>
      <c r="J332" t="s">
        <v>9255</v>
      </c>
    </row>
    <row r="333" spans="1:10" x14ac:dyDescent="0.35">
      <c r="A333" t="s">
        <v>3687</v>
      </c>
      <c r="B333" t="s">
        <v>9256</v>
      </c>
      <c r="C333" t="s">
        <v>9257</v>
      </c>
      <c r="D333" t="s">
        <v>9258</v>
      </c>
      <c r="F333" t="s">
        <v>1816</v>
      </c>
      <c r="G333" t="s">
        <v>236</v>
      </c>
      <c r="H333">
        <v>73071</v>
      </c>
      <c r="I333">
        <v>39529471</v>
      </c>
      <c r="J333" t="s">
        <v>9259</v>
      </c>
    </row>
    <row r="334" spans="1:10" x14ac:dyDescent="0.35">
      <c r="A334" t="s">
        <v>9260</v>
      </c>
      <c r="B334" t="s">
        <v>9261</v>
      </c>
      <c r="C334" t="s">
        <v>9262</v>
      </c>
      <c r="D334" t="s">
        <v>8398</v>
      </c>
      <c r="F334" t="s">
        <v>1162</v>
      </c>
      <c r="G334" t="s">
        <v>147</v>
      </c>
      <c r="H334">
        <v>5201</v>
      </c>
      <c r="I334">
        <v>66131366</v>
      </c>
      <c r="J334" t="s">
        <v>9263</v>
      </c>
    </row>
    <row r="335" spans="1:10" x14ac:dyDescent="0.35">
      <c r="A335" t="s">
        <v>7586</v>
      </c>
      <c r="B335" t="s">
        <v>9264</v>
      </c>
      <c r="C335" t="s">
        <v>9265</v>
      </c>
      <c r="D335" t="s">
        <v>9266</v>
      </c>
      <c r="F335" t="s">
        <v>112</v>
      </c>
      <c r="G335" t="s">
        <v>106</v>
      </c>
      <c r="H335">
        <v>99577</v>
      </c>
      <c r="I335">
        <v>75553236</v>
      </c>
      <c r="J335" t="s">
        <v>9267</v>
      </c>
    </row>
    <row r="336" spans="1:10" x14ac:dyDescent="0.35">
      <c r="A336" t="s">
        <v>1415</v>
      </c>
      <c r="B336" t="s">
        <v>9268</v>
      </c>
      <c r="C336" t="s">
        <v>9269</v>
      </c>
      <c r="D336" t="s">
        <v>8221</v>
      </c>
      <c r="F336" t="s">
        <v>130</v>
      </c>
      <c r="G336" t="s">
        <v>123</v>
      </c>
      <c r="H336">
        <v>20001</v>
      </c>
      <c r="I336">
        <v>76068225</v>
      </c>
      <c r="J336" t="s">
        <v>9270</v>
      </c>
    </row>
    <row r="337" spans="1:10" x14ac:dyDescent="0.35">
      <c r="A337" t="s">
        <v>1724</v>
      </c>
      <c r="B337" t="s">
        <v>9271</v>
      </c>
      <c r="C337" t="s">
        <v>9272</v>
      </c>
      <c r="D337" t="s">
        <v>9273</v>
      </c>
      <c r="F337" t="s">
        <v>75</v>
      </c>
      <c r="G337" t="s">
        <v>76</v>
      </c>
      <c r="H337">
        <v>6040</v>
      </c>
      <c r="I337">
        <v>23264661</v>
      </c>
      <c r="J337" t="s">
        <v>9274</v>
      </c>
    </row>
    <row r="338" spans="1:10" x14ac:dyDescent="0.35">
      <c r="A338" t="s">
        <v>7638</v>
      </c>
      <c r="B338" t="s">
        <v>9275</v>
      </c>
      <c r="C338" t="s">
        <v>9276</v>
      </c>
      <c r="D338" t="s">
        <v>9277</v>
      </c>
      <c r="F338" t="s">
        <v>45</v>
      </c>
      <c r="G338" t="s">
        <v>46</v>
      </c>
      <c r="H338">
        <v>36110</v>
      </c>
      <c r="I338">
        <v>25712001</v>
      </c>
      <c r="J338" t="s">
        <v>9278</v>
      </c>
    </row>
    <row r="339" spans="1:10" x14ac:dyDescent="0.35">
      <c r="A339" t="s">
        <v>5410</v>
      </c>
      <c r="B339" t="s">
        <v>9279</v>
      </c>
      <c r="C339" t="s">
        <v>9280</v>
      </c>
      <c r="D339" t="s">
        <v>9281</v>
      </c>
      <c r="F339" t="s">
        <v>107</v>
      </c>
      <c r="G339" t="s">
        <v>87</v>
      </c>
      <c r="H339">
        <v>40272</v>
      </c>
      <c r="I339">
        <v>85211597</v>
      </c>
      <c r="J339" t="s">
        <v>9282</v>
      </c>
    </row>
    <row r="340" spans="1:10" x14ac:dyDescent="0.35">
      <c r="A340" t="s">
        <v>6934</v>
      </c>
      <c r="B340" t="s">
        <v>9283</v>
      </c>
      <c r="C340" t="s">
        <v>9284</v>
      </c>
      <c r="D340" t="s">
        <v>9285</v>
      </c>
      <c r="F340" t="s">
        <v>124</v>
      </c>
      <c r="G340" t="s">
        <v>117</v>
      </c>
      <c r="H340">
        <v>72703</v>
      </c>
      <c r="I340">
        <v>80281616</v>
      </c>
      <c r="J340" t="s">
        <v>9286</v>
      </c>
    </row>
    <row r="341" spans="1:10" x14ac:dyDescent="0.35">
      <c r="A341" t="s">
        <v>6358</v>
      </c>
      <c r="B341" t="s">
        <v>9287</v>
      </c>
      <c r="C341" t="s">
        <v>9288</v>
      </c>
      <c r="D341" t="s">
        <v>9289</v>
      </c>
      <c r="F341" t="s">
        <v>3080</v>
      </c>
      <c r="G341" t="s">
        <v>139</v>
      </c>
      <c r="H341">
        <v>2302</v>
      </c>
      <c r="I341">
        <v>109411859</v>
      </c>
      <c r="J341" t="s">
        <v>9290</v>
      </c>
    </row>
    <row r="342" spans="1:10" x14ac:dyDescent="0.35">
      <c r="A342" t="s">
        <v>3707</v>
      </c>
      <c r="B342" t="s">
        <v>9291</v>
      </c>
      <c r="C342" t="s">
        <v>9292</v>
      </c>
      <c r="D342" t="s">
        <v>9293</v>
      </c>
      <c r="E342" t="s">
        <v>9294</v>
      </c>
      <c r="F342" t="s">
        <v>75</v>
      </c>
      <c r="G342" t="s">
        <v>76</v>
      </c>
      <c r="H342">
        <v>6042</v>
      </c>
      <c r="I342">
        <v>37865263</v>
      </c>
      <c r="J342" t="s">
        <v>9295</v>
      </c>
    </row>
    <row r="343" spans="1:10" x14ac:dyDescent="0.35">
      <c r="A343" t="s">
        <v>1947</v>
      </c>
      <c r="B343" t="s">
        <v>9296</v>
      </c>
      <c r="C343" t="s">
        <v>9297</v>
      </c>
      <c r="D343" t="s">
        <v>9298</v>
      </c>
      <c r="F343" t="s">
        <v>63</v>
      </c>
      <c r="G343" t="s">
        <v>64</v>
      </c>
      <c r="H343">
        <v>37210</v>
      </c>
      <c r="I343">
        <v>92955671</v>
      </c>
      <c r="J343" t="s">
        <v>9299</v>
      </c>
    </row>
    <row r="344" spans="1:10" x14ac:dyDescent="0.35">
      <c r="A344" t="s">
        <v>594</v>
      </c>
      <c r="B344" t="s">
        <v>9300</v>
      </c>
      <c r="C344" t="s">
        <v>9301</v>
      </c>
      <c r="D344" t="s">
        <v>9302</v>
      </c>
      <c r="F344" t="s">
        <v>118</v>
      </c>
      <c r="G344" t="s">
        <v>42</v>
      </c>
      <c r="H344">
        <v>80005</v>
      </c>
      <c r="I344">
        <v>118783662</v>
      </c>
      <c r="J344" t="s">
        <v>9303</v>
      </c>
    </row>
    <row r="345" spans="1:10" x14ac:dyDescent="0.35">
      <c r="A345" t="s">
        <v>1730</v>
      </c>
      <c r="B345" t="s">
        <v>9304</v>
      </c>
      <c r="C345" t="s">
        <v>9305</v>
      </c>
      <c r="D345" t="s">
        <v>9306</v>
      </c>
      <c r="F345" t="s">
        <v>124</v>
      </c>
      <c r="G345" t="s">
        <v>117</v>
      </c>
      <c r="H345">
        <v>72704</v>
      </c>
      <c r="I345">
        <v>83152085</v>
      </c>
      <c r="J345" t="s">
        <v>9307</v>
      </c>
    </row>
    <row r="346" spans="1:10" x14ac:dyDescent="0.35">
      <c r="A346" t="s">
        <v>9308</v>
      </c>
      <c r="B346" t="s">
        <v>9309</v>
      </c>
      <c r="C346" t="s">
        <v>9310</v>
      </c>
      <c r="D346" t="s">
        <v>9311</v>
      </c>
      <c r="F346" t="s">
        <v>3221</v>
      </c>
      <c r="G346" t="s">
        <v>51</v>
      </c>
      <c r="H346">
        <v>94552</v>
      </c>
      <c r="I346">
        <v>52008351</v>
      </c>
      <c r="J346" t="s">
        <v>9312</v>
      </c>
    </row>
    <row r="347" spans="1:10" x14ac:dyDescent="0.35">
      <c r="A347" t="s">
        <v>1590</v>
      </c>
      <c r="B347" t="s">
        <v>9313</v>
      </c>
      <c r="C347" t="s">
        <v>9314</v>
      </c>
      <c r="D347" t="s">
        <v>9315</v>
      </c>
      <c r="F347" t="s">
        <v>402</v>
      </c>
      <c r="G347" t="s">
        <v>51</v>
      </c>
      <c r="H347">
        <v>92344</v>
      </c>
      <c r="I347">
        <v>98819180</v>
      </c>
      <c r="J347" t="s">
        <v>9316</v>
      </c>
    </row>
    <row r="348" spans="1:10" x14ac:dyDescent="0.35">
      <c r="A348" t="s">
        <v>638</v>
      </c>
      <c r="B348" t="s">
        <v>9317</v>
      </c>
      <c r="C348" t="s">
        <v>9318</v>
      </c>
      <c r="D348" t="s">
        <v>9319</v>
      </c>
      <c r="F348" t="s">
        <v>63</v>
      </c>
      <c r="G348" t="s">
        <v>64</v>
      </c>
      <c r="H348">
        <v>37215</v>
      </c>
      <c r="I348">
        <v>10118555</v>
      </c>
      <c r="J348" t="s">
        <v>9320</v>
      </c>
    </row>
    <row r="349" spans="1:10" x14ac:dyDescent="0.35">
      <c r="A349" t="s">
        <v>2827</v>
      </c>
      <c r="B349" t="s">
        <v>9321</v>
      </c>
      <c r="C349" t="s">
        <v>9276</v>
      </c>
      <c r="D349" t="s">
        <v>9322</v>
      </c>
      <c r="F349" t="s">
        <v>9323</v>
      </c>
      <c r="G349" t="s">
        <v>147</v>
      </c>
      <c r="H349">
        <v>5079</v>
      </c>
      <c r="I349">
        <v>121582656</v>
      </c>
      <c r="J349" t="s">
        <v>9324</v>
      </c>
    </row>
    <row r="350" spans="1:10" x14ac:dyDescent="0.35">
      <c r="A350" t="s">
        <v>3589</v>
      </c>
      <c r="B350" t="s">
        <v>9325</v>
      </c>
      <c r="C350" t="s">
        <v>9326</v>
      </c>
      <c r="D350" t="s">
        <v>8681</v>
      </c>
      <c r="F350" t="s">
        <v>63</v>
      </c>
      <c r="G350" t="s">
        <v>64</v>
      </c>
      <c r="H350">
        <v>37218</v>
      </c>
      <c r="I350">
        <v>27949018</v>
      </c>
      <c r="J350" t="s">
        <v>9327</v>
      </c>
    </row>
    <row r="351" spans="1:10" x14ac:dyDescent="0.35">
      <c r="A351" t="s">
        <v>2475</v>
      </c>
      <c r="B351" t="s">
        <v>9328</v>
      </c>
      <c r="C351" t="s">
        <v>9329</v>
      </c>
      <c r="D351" t="s">
        <v>9330</v>
      </c>
      <c r="F351" t="s">
        <v>9331</v>
      </c>
      <c r="G351" t="s">
        <v>139</v>
      </c>
      <c r="H351">
        <v>1701</v>
      </c>
      <c r="I351">
        <v>73517737</v>
      </c>
      <c r="J351" t="s">
        <v>9332</v>
      </c>
    </row>
    <row r="352" spans="1:10" x14ac:dyDescent="0.35">
      <c r="A352" t="s">
        <v>4296</v>
      </c>
      <c r="B352" t="s">
        <v>9333</v>
      </c>
      <c r="C352" t="s">
        <v>9334</v>
      </c>
      <c r="D352" t="s">
        <v>9335</v>
      </c>
      <c r="E352" t="s">
        <v>9336</v>
      </c>
      <c r="F352" t="s">
        <v>477</v>
      </c>
      <c r="G352" t="s">
        <v>51</v>
      </c>
      <c r="H352">
        <v>94545</v>
      </c>
      <c r="I352">
        <v>110446282</v>
      </c>
      <c r="J352" t="s">
        <v>9337</v>
      </c>
    </row>
    <row r="353" spans="1:10" x14ac:dyDescent="0.35">
      <c r="A353" t="s">
        <v>6042</v>
      </c>
      <c r="B353" t="s">
        <v>9338</v>
      </c>
      <c r="C353" t="s">
        <v>9339</v>
      </c>
      <c r="D353" t="s">
        <v>9340</v>
      </c>
      <c r="F353" t="s">
        <v>3221</v>
      </c>
      <c r="G353" t="s">
        <v>51</v>
      </c>
      <c r="H353">
        <v>94546</v>
      </c>
      <c r="I353">
        <v>64595467</v>
      </c>
      <c r="J353" t="s">
        <v>9341</v>
      </c>
    </row>
    <row r="354" spans="1:10" x14ac:dyDescent="0.35">
      <c r="A354" t="s">
        <v>3402</v>
      </c>
      <c r="B354" t="s">
        <v>9342</v>
      </c>
      <c r="C354" t="s">
        <v>9343</v>
      </c>
      <c r="D354" t="s">
        <v>9344</v>
      </c>
      <c r="F354" t="s">
        <v>2028</v>
      </c>
      <c r="G354" t="s">
        <v>236</v>
      </c>
      <c r="H354">
        <v>73401</v>
      </c>
      <c r="I354">
        <v>58987395</v>
      </c>
      <c r="J354" t="s">
        <v>9345</v>
      </c>
    </row>
    <row r="355" spans="1:10" x14ac:dyDescent="0.35">
      <c r="A355" t="s">
        <v>1140</v>
      </c>
      <c r="B355" t="s">
        <v>9346</v>
      </c>
      <c r="C355" t="s">
        <v>9347</v>
      </c>
      <c r="D355" t="s">
        <v>9348</v>
      </c>
      <c r="F355" t="s">
        <v>1950</v>
      </c>
      <c r="G355" t="s">
        <v>42</v>
      </c>
      <c r="H355">
        <v>80011</v>
      </c>
      <c r="I355">
        <v>108294637</v>
      </c>
      <c r="J355" t="s">
        <v>9349</v>
      </c>
    </row>
    <row r="356" spans="1:10" x14ac:dyDescent="0.35">
      <c r="A356" t="s">
        <v>517</v>
      </c>
      <c r="B356" t="s">
        <v>9350</v>
      </c>
      <c r="C356" t="s">
        <v>9351</v>
      </c>
      <c r="D356" t="s">
        <v>9352</v>
      </c>
      <c r="F356" t="s">
        <v>45</v>
      </c>
      <c r="G356" t="s">
        <v>46</v>
      </c>
      <c r="H356">
        <v>36116</v>
      </c>
      <c r="I356">
        <v>12747597</v>
      </c>
      <c r="J356" t="s">
        <v>9353</v>
      </c>
    </row>
    <row r="357" spans="1:10" x14ac:dyDescent="0.35">
      <c r="A357" t="s">
        <v>5961</v>
      </c>
      <c r="B357" t="s">
        <v>9354</v>
      </c>
      <c r="C357" t="s">
        <v>9355</v>
      </c>
      <c r="D357" t="s">
        <v>9356</v>
      </c>
      <c r="F357" t="s">
        <v>4578</v>
      </c>
      <c r="G357" t="s">
        <v>31</v>
      </c>
      <c r="H357">
        <v>85355</v>
      </c>
      <c r="I357">
        <v>102216640</v>
      </c>
      <c r="J357" t="s">
        <v>9357</v>
      </c>
    </row>
    <row r="358" spans="1:10" x14ac:dyDescent="0.35">
      <c r="A358" t="s">
        <v>6029</v>
      </c>
      <c r="B358" t="s">
        <v>9358</v>
      </c>
      <c r="C358" t="s">
        <v>9359</v>
      </c>
      <c r="D358" t="s">
        <v>9152</v>
      </c>
      <c r="F358" t="s">
        <v>45</v>
      </c>
      <c r="G358" t="s">
        <v>46</v>
      </c>
      <c r="H358">
        <v>36117</v>
      </c>
      <c r="I358">
        <v>108316382</v>
      </c>
      <c r="J358" t="s">
        <v>9360</v>
      </c>
    </row>
    <row r="359" spans="1:10" x14ac:dyDescent="0.35">
      <c r="A359" t="s">
        <v>5925</v>
      </c>
      <c r="B359" t="s">
        <v>9361</v>
      </c>
      <c r="C359" t="s">
        <v>9362</v>
      </c>
      <c r="D359" t="s">
        <v>9356</v>
      </c>
      <c r="F359" t="s">
        <v>4578</v>
      </c>
      <c r="G359" t="s">
        <v>31</v>
      </c>
      <c r="H359">
        <v>85355</v>
      </c>
      <c r="I359">
        <v>99792565</v>
      </c>
      <c r="J359" t="s">
        <v>9363</v>
      </c>
    </row>
    <row r="360" spans="1:10" x14ac:dyDescent="0.35">
      <c r="A360" t="s">
        <v>4973</v>
      </c>
      <c r="B360" t="s">
        <v>9364</v>
      </c>
      <c r="C360" t="s">
        <v>9365</v>
      </c>
      <c r="D360" t="s">
        <v>9366</v>
      </c>
      <c r="F360" t="s">
        <v>179</v>
      </c>
      <c r="G360" t="s">
        <v>97</v>
      </c>
      <c r="H360">
        <v>21122</v>
      </c>
      <c r="I360">
        <v>22968175</v>
      </c>
      <c r="J360" t="s">
        <v>9367</v>
      </c>
    </row>
    <row r="361" spans="1:10" x14ac:dyDescent="0.35">
      <c r="A361" t="s">
        <v>2373</v>
      </c>
      <c r="B361" t="s">
        <v>9368</v>
      </c>
      <c r="C361" t="s">
        <v>9369</v>
      </c>
      <c r="D361" t="s">
        <v>9370</v>
      </c>
      <c r="F361" t="s">
        <v>118</v>
      </c>
      <c r="G361" t="s">
        <v>42</v>
      </c>
      <c r="H361">
        <v>80005</v>
      </c>
      <c r="I361">
        <v>16618389</v>
      </c>
      <c r="J361" t="s">
        <v>9371</v>
      </c>
    </row>
    <row r="362" spans="1:10" x14ac:dyDescent="0.35">
      <c r="A362" t="s">
        <v>7349</v>
      </c>
      <c r="B362" t="s">
        <v>9372</v>
      </c>
      <c r="C362" t="s">
        <v>9373</v>
      </c>
      <c r="D362" t="s">
        <v>9374</v>
      </c>
      <c r="F362" t="s">
        <v>63</v>
      </c>
      <c r="G362" t="s">
        <v>64</v>
      </c>
      <c r="H362">
        <v>37208</v>
      </c>
      <c r="I362">
        <v>125243797</v>
      </c>
      <c r="J362" t="s">
        <v>9375</v>
      </c>
    </row>
    <row r="363" spans="1:10" x14ac:dyDescent="0.35">
      <c r="A363" t="s">
        <v>4329</v>
      </c>
      <c r="B363" t="s">
        <v>9376</v>
      </c>
      <c r="C363" t="s">
        <v>9351</v>
      </c>
      <c r="D363" t="s">
        <v>9377</v>
      </c>
      <c r="F363" t="s">
        <v>75</v>
      </c>
      <c r="G363" t="s">
        <v>76</v>
      </c>
      <c r="H363">
        <v>6040</v>
      </c>
      <c r="I363">
        <v>100547476</v>
      </c>
      <c r="J363" t="s">
        <v>9378</v>
      </c>
    </row>
    <row r="364" spans="1:10" x14ac:dyDescent="0.35">
      <c r="A364" t="s">
        <v>4527</v>
      </c>
      <c r="B364" t="s">
        <v>9379</v>
      </c>
      <c r="C364" t="s">
        <v>9380</v>
      </c>
      <c r="D364" t="s">
        <v>9381</v>
      </c>
      <c r="F364" t="s">
        <v>209</v>
      </c>
      <c r="G364" t="s">
        <v>74</v>
      </c>
      <c r="H364">
        <v>32408</v>
      </c>
      <c r="I364">
        <v>56851164</v>
      </c>
      <c r="J364" t="s">
        <v>9382</v>
      </c>
    </row>
    <row r="365" spans="1:10" x14ac:dyDescent="0.35">
      <c r="A365" t="s">
        <v>5180</v>
      </c>
      <c r="B365" t="s">
        <v>9383</v>
      </c>
      <c r="C365" t="s">
        <v>9384</v>
      </c>
      <c r="D365" t="s">
        <v>9385</v>
      </c>
      <c r="F365" t="s">
        <v>1464</v>
      </c>
      <c r="G365" t="s">
        <v>97</v>
      </c>
      <c r="H365">
        <v>21146</v>
      </c>
      <c r="I365">
        <v>78287965</v>
      </c>
      <c r="J365" t="s">
        <v>9386</v>
      </c>
    </row>
    <row r="366" spans="1:10" x14ac:dyDescent="0.35">
      <c r="A366" t="s">
        <v>1971</v>
      </c>
      <c r="B366" t="s">
        <v>9387</v>
      </c>
      <c r="C366" t="s">
        <v>9388</v>
      </c>
      <c r="D366" t="s">
        <v>9389</v>
      </c>
      <c r="E366" t="s">
        <v>9390</v>
      </c>
      <c r="F366" t="s">
        <v>70</v>
      </c>
      <c r="G366" t="s">
        <v>31</v>
      </c>
      <c r="H366">
        <v>85301</v>
      </c>
      <c r="I366">
        <v>101709190</v>
      </c>
      <c r="J366" t="s">
        <v>9391</v>
      </c>
    </row>
    <row r="367" spans="1:10" x14ac:dyDescent="0.35">
      <c r="A367" t="s">
        <v>2296</v>
      </c>
      <c r="B367" t="s">
        <v>9392</v>
      </c>
      <c r="C367" t="s">
        <v>9393</v>
      </c>
      <c r="D367" t="s">
        <v>9394</v>
      </c>
      <c r="F367" t="s">
        <v>107</v>
      </c>
      <c r="G367" t="s">
        <v>87</v>
      </c>
      <c r="H367">
        <v>40291</v>
      </c>
      <c r="I367">
        <v>124126116</v>
      </c>
      <c r="J367" t="s">
        <v>9395</v>
      </c>
    </row>
    <row r="368" spans="1:10" x14ac:dyDescent="0.35">
      <c r="A368" t="s">
        <v>3697</v>
      </c>
      <c r="B368" t="s">
        <v>9396</v>
      </c>
      <c r="C368" t="s">
        <v>9397</v>
      </c>
      <c r="D368" t="s">
        <v>9398</v>
      </c>
      <c r="F368" t="s">
        <v>316</v>
      </c>
      <c r="G368" t="s">
        <v>97</v>
      </c>
      <c r="H368">
        <v>21401</v>
      </c>
      <c r="I368">
        <v>86769271</v>
      </c>
      <c r="J368" t="s">
        <v>9399</v>
      </c>
    </row>
    <row r="369" spans="1:10" x14ac:dyDescent="0.35">
      <c r="A369" t="s">
        <v>9400</v>
      </c>
      <c r="B369" t="s">
        <v>9401</v>
      </c>
      <c r="C369" t="s">
        <v>9402</v>
      </c>
      <c r="D369" t="s">
        <v>9403</v>
      </c>
      <c r="F369" t="s">
        <v>451</v>
      </c>
      <c r="G369" t="s">
        <v>51</v>
      </c>
      <c r="H369">
        <v>95014</v>
      </c>
      <c r="I369">
        <v>17140636</v>
      </c>
      <c r="J369" t="s">
        <v>9404</v>
      </c>
    </row>
    <row r="370" spans="1:10" x14ac:dyDescent="0.35">
      <c r="A370" t="s">
        <v>996</v>
      </c>
      <c r="B370" t="s">
        <v>9405</v>
      </c>
      <c r="C370" t="s">
        <v>9406</v>
      </c>
      <c r="D370" t="s">
        <v>9407</v>
      </c>
      <c r="F370" t="s">
        <v>45</v>
      </c>
      <c r="G370" t="s">
        <v>46</v>
      </c>
      <c r="H370">
        <v>36104</v>
      </c>
      <c r="I370">
        <v>12865440</v>
      </c>
      <c r="J370" t="s">
        <v>9408</v>
      </c>
    </row>
    <row r="371" spans="1:10" x14ac:dyDescent="0.35">
      <c r="A371" t="s">
        <v>7300</v>
      </c>
      <c r="B371" t="s">
        <v>9409</v>
      </c>
      <c r="C371" t="s">
        <v>9410</v>
      </c>
      <c r="D371" t="s">
        <v>9411</v>
      </c>
      <c r="F371" t="s">
        <v>45</v>
      </c>
      <c r="G371" t="s">
        <v>46</v>
      </c>
      <c r="H371">
        <v>36113</v>
      </c>
      <c r="I371">
        <v>129804268</v>
      </c>
      <c r="J371" t="s">
        <v>9412</v>
      </c>
    </row>
    <row r="372" spans="1:10" x14ac:dyDescent="0.35">
      <c r="A372" t="s">
        <v>1213</v>
      </c>
      <c r="B372" t="s">
        <v>9413</v>
      </c>
      <c r="C372" t="s">
        <v>9414</v>
      </c>
      <c r="D372" t="s">
        <v>9415</v>
      </c>
      <c r="F372" t="s">
        <v>35</v>
      </c>
      <c r="G372" t="s">
        <v>36</v>
      </c>
      <c r="H372">
        <v>31411</v>
      </c>
      <c r="I372">
        <v>45239292</v>
      </c>
      <c r="J372" t="s">
        <v>9416</v>
      </c>
    </row>
    <row r="373" spans="1:10" x14ac:dyDescent="0.35">
      <c r="A373" t="s">
        <v>3291</v>
      </c>
      <c r="B373" t="s">
        <v>9417</v>
      </c>
      <c r="C373" t="s">
        <v>9418</v>
      </c>
      <c r="D373" t="s">
        <v>8809</v>
      </c>
      <c r="F373" t="s">
        <v>35</v>
      </c>
      <c r="G373" t="s">
        <v>36</v>
      </c>
      <c r="H373">
        <v>31410</v>
      </c>
      <c r="I373">
        <v>76046975</v>
      </c>
      <c r="J373" t="s">
        <v>9419</v>
      </c>
    </row>
    <row r="374" spans="1:10" x14ac:dyDescent="0.35">
      <c r="A374" t="s">
        <v>9420</v>
      </c>
      <c r="B374" t="s">
        <v>9421</v>
      </c>
      <c r="C374" t="s">
        <v>9422</v>
      </c>
      <c r="D374" t="s">
        <v>9423</v>
      </c>
      <c r="F374" t="s">
        <v>107</v>
      </c>
      <c r="G374" t="s">
        <v>87</v>
      </c>
      <c r="H374">
        <v>40272</v>
      </c>
      <c r="I374">
        <v>91132615</v>
      </c>
      <c r="J374" t="s">
        <v>9424</v>
      </c>
    </row>
    <row r="375" spans="1:10" x14ac:dyDescent="0.35">
      <c r="A375" t="s">
        <v>9425</v>
      </c>
      <c r="B375" t="s">
        <v>9426</v>
      </c>
      <c r="C375" t="s">
        <v>8015</v>
      </c>
      <c r="D375" t="s">
        <v>9427</v>
      </c>
      <c r="E375" t="s">
        <v>8664</v>
      </c>
      <c r="F375" t="s">
        <v>70</v>
      </c>
      <c r="G375" t="s">
        <v>31</v>
      </c>
      <c r="H375">
        <v>85301</v>
      </c>
      <c r="I375">
        <v>25892251</v>
      </c>
      <c r="J375" t="s">
        <v>9428</v>
      </c>
    </row>
    <row r="376" spans="1:10" x14ac:dyDescent="0.35">
      <c r="A376" t="s">
        <v>2800</v>
      </c>
      <c r="B376" t="s">
        <v>9429</v>
      </c>
      <c r="C376" t="s">
        <v>9430</v>
      </c>
      <c r="D376" t="s">
        <v>9431</v>
      </c>
      <c r="F376" t="s">
        <v>107</v>
      </c>
      <c r="G376" t="s">
        <v>87</v>
      </c>
      <c r="H376">
        <v>40243</v>
      </c>
      <c r="I376">
        <v>91466268</v>
      </c>
      <c r="J376" t="s">
        <v>9432</v>
      </c>
    </row>
    <row r="377" spans="1:10" x14ac:dyDescent="0.35">
      <c r="A377" t="s">
        <v>4028</v>
      </c>
      <c r="B377" t="s">
        <v>9433</v>
      </c>
      <c r="C377" t="s">
        <v>9434</v>
      </c>
      <c r="D377" t="s">
        <v>9435</v>
      </c>
      <c r="F377" t="s">
        <v>235</v>
      </c>
      <c r="G377" t="s">
        <v>236</v>
      </c>
      <c r="H377">
        <v>73103</v>
      </c>
      <c r="I377">
        <v>81670844</v>
      </c>
      <c r="J377" t="s">
        <v>9436</v>
      </c>
    </row>
    <row r="378" spans="1:10" x14ac:dyDescent="0.35">
      <c r="A378" t="s">
        <v>2022</v>
      </c>
      <c r="B378" t="s">
        <v>9437</v>
      </c>
      <c r="C378" t="s">
        <v>8923</v>
      </c>
      <c r="D378" t="s">
        <v>9438</v>
      </c>
      <c r="F378" t="s">
        <v>1637</v>
      </c>
      <c r="G378" t="s">
        <v>97</v>
      </c>
      <c r="H378">
        <v>21037</v>
      </c>
      <c r="I378">
        <v>75488822</v>
      </c>
      <c r="J378" t="s">
        <v>9439</v>
      </c>
    </row>
    <row r="379" spans="1:10" x14ac:dyDescent="0.35">
      <c r="A379" t="s">
        <v>3553</v>
      </c>
      <c r="B379" t="s">
        <v>9440</v>
      </c>
      <c r="C379" t="s">
        <v>9441</v>
      </c>
      <c r="D379" t="s">
        <v>9442</v>
      </c>
      <c r="F379" t="s">
        <v>130</v>
      </c>
      <c r="G379" t="s">
        <v>123</v>
      </c>
      <c r="H379">
        <v>20018</v>
      </c>
      <c r="I379">
        <v>112390349</v>
      </c>
      <c r="J379" t="s">
        <v>9443</v>
      </c>
    </row>
    <row r="380" spans="1:10" x14ac:dyDescent="0.35">
      <c r="A380" t="s">
        <v>1988</v>
      </c>
      <c r="B380" t="s">
        <v>9444</v>
      </c>
      <c r="C380" t="s">
        <v>9445</v>
      </c>
      <c r="D380" t="s">
        <v>9446</v>
      </c>
      <c r="F380" t="s">
        <v>2293</v>
      </c>
      <c r="G380" t="s">
        <v>51</v>
      </c>
      <c r="H380">
        <v>94040</v>
      </c>
      <c r="I380">
        <v>40076337</v>
      </c>
      <c r="J380" t="s">
        <v>9447</v>
      </c>
    </row>
    <row r="381" spans="1:10" x14ac:dyDescent="0.35">
      <c r="A381" t="s">
        <v>5769</v>
      </c>
      <c r="B381" t="s">
        <v>9448</v>
      </c>
      <c r="C381" t="s">
        <v>9449</v>
      </c>
      <c r="D381" t="s">
        <v>9450</v>
      </c>
      <c r="F381" t="s">
        <v>3725</v>
      </c>
      <c r="G381" t="s">
        <v>147</v>
      </c>
      <c r="H381">
        <v>5828</v>
      </c>
      <c r="I381">
        <v>120329797</v>
      </c>
      <c r="J381" t="s">
        <v>9451</v>
      </c>
    </row>
    <row r="382" spans="1:10" x14ac:dyDescent="0.35">
      <c r="A382" t="s">
        <v>152</v>
      </c>
      <c r="B382" t="s">
        <v>9452</v>
      </c>
      <c r="C382" t="s">
        <v>9453</v>
      </c>
      <c r="D382" t="s">
        <v>9454</v>
      </c>
      <c r="F382" t="s">
        <v>1950</v>
      </c>
      <c r="G382" t="s">
        <v>42</v>
      </c>
      <c r="H382">
        <v>80011</v>
      </c>
      <c r="I382">
        <v>63458958</v>
      </c>
      <c r="J382" t="s">
        <v>9455</v>
      </c>
    </row>
    <row r="383" spans="1:10" x14ac:dyDescent="0.35">
      <c r="A383" t="s">
        <v>5112</v>
      </c>
      <c r="B383" t="s">
        <v>9456</v>
      </c>
      <c r="C383" t="s">
        <v>9457</v>
      </c>
      <c r="D383" t="s">
        <v>9458</v>
      </c>
      <c r="F383" t="s">
        <v>941</v>
      </c>
      <c r="G383" t="s">
        <v>147</v>
      </c>
      <c r="H383">
        <v>5001</v>
      </c>
      <c r="I383">
        <v>99491358</v>
      </c>
      <c r="J383" t="s">
        <v>9459</v>
      </c>
    </row>
    <row r="384" spans="1:10" x14ac:dyDescent="0.35">
      <c r="A384" t="s">
        <v>2964</v>
      </c>
      <c r="B384" t="s">
        <v>9460</v>
      </c>
      <c r="C384" t="s">
        <v>9461</v>
      </c>
      <c r="D384" t="s">
        <v>9462</v>
      </c>
      <c r="F384" t="s">
        <v>75</v>
      </c>
      <c r="G384" t="s">
        <v>76</v>
      </c>
      <c r="H384">
        <v>6040</v>
      </c>
      <c r="I384">
        <v>85116951</v>
      </c>
      <c r="J384" t="s">
        <v>9463</v>
      </c>
    </row>
    <row r="385" spans="1:10" x14ac:dyDescent="0.35">
      <c r="A385" t="s">
        <v>520</v>
      </c>
      <c r="B385" t="s">
        <v>9464</v>
      </c>
      <c r="C385" t="s">
        <v>9465</v>
      </c>
      <c r="D385" t="s">
        <v>9466</v>
      </c>
      <c r="F385" t="s">
        <v>130</v>
      </c>
      <c r="G385" t="s">
        <v>123</v>
      </c>
      <c r="H385">
        <v>20002</v>
      </c>
      <c r="I385">
        <v>95570794</v>
      </c>
      <c r="J385" t="s">
        <v>9467</v>
      </c>
    </row>
    <row r="386" spans="1:10" x14ac:dyDescent="0.35">
      <c r="A386" t="s">
        <v>501</v>
      </c>
      <c r="B386" t="s">
        <v>9468</v>
      </c>
      <c r="C386" t="s">
        <v>9469</v>
      </c>
      <c r="D386" t="s">
        <v>9470</v>
      </c>
      <c r="F386" t="s">
        <v>70</v>
      </c>
      <c r="G386" t="s">
        <v>31</v>
      </c>
      <c r="H386">
        <v>85306</v>
      </c>
      <c r="I386">
        <v>41034129</v>
      </c>
      <c r="J386" t="s">
        <v>9471</v>
      </c>
    </row>
    <row r="387" spans="1:10" x14ac:dyDescent="0.35">
      <c r="A387" t="s">
        <v>4052</v>
      </c>
      <c r="B387" t="s">
        <v>9472</v>
      </c>
      <c r="C387" t="s">
        <v>9473</v>
      </c>
      <c r="D387" t="s">
        <v>9474</v>
      </c>
      <c r="E387" t="s">
        <v>9475</v>
      </c>
      <c r="F387" t="s">
        <v>112</v>
      </c>
      <c r="G387" t="s">
        <v>106</v>
      </c>
      <c r="H387">
        <v>99501</v>
      </c>
      <c r="I387">
        <v>95886637</v>
      </c>
      <c r="J387" t="s">
        <v>9476</v>
      </c>
    </row>
    <row r="388" spans="1:10" x14ac:dyDescent="0.35">
      <c r="A388" t="s">
        <v>792</v>
      </c>
      <c r="B388" t="s">
        <v>9477</v>
      </c>
      <c r="C388" t="s">
        <v>9478</v>
      </c>
      <c r="D388" t="s">
        <v>9479</v>
      </c>
      <c r="F388" t="s">
        <v>316</v>
      </c>
      <c r="G388" t="s">
        <v>97</v>
      </c>
      <c r="H388">
        <v>21403</v>
      </c>
      <c r="I388">
        <v>103505729</v>
      </c>
      <c r="J388" t="s">
        <v>9480</v>
      </c>
    </row>
    <row r="389" spans="1:10" x14ac:dyDescent="0.35">
      <c r="A389" t="s">
        <v>3176</v>
      </c>
      <c r="B389" t="s">
        <v>9481</v>
      </c>
      <c r="C389" t="s">
        <v>9482</v>
      </c>
      <c r="D389" t="s">
        <v>9116</v>
      </c>
      <c r="F389" t="s">
        <v>2422</v>
      </c>
      <c r="G389" t="s">
        <v>51</v>
      </c>
      <c r="H389">
        <v>93313</v>
      </c>
      <c r="I389">
        <v>114868057</v>
      </c>
      <c r="J389" t="s">
        <v>9483</v>
      </c>
    </row>
    <row r="390" spans="1:10" x14ac:dyDescent="0.35">
      <c r="A390" t="s">
        <v>5354</v>
      </c>
      <c r="B390" t="s">
        <v>9484</v>
      </c>
      <c r="C390" t="s">
        <v>9485</v>
      </c>
      <c r="D390" t="s">
        <v>9486</v>
      </c>
      <c r="F390" t="s">
        <v>2028</v>
      </c>
      <c r="G390" t="s">
        <v>236</v>
      </c>
      <c r="H390">
        <v>73401</v>
      </c>
      <c r="I390">
        <v>63979518</v>
      </c>
      <c r="J390" t="s">
        <v>9487</v>
      </c>
    </row>
    <row r="391" spans="1:10" x14ac:dyDescent="0.35">
      <c r="A391" t="s">
        <v>732</v>
      </c>
      <c r="B391" t="s">
        <v>9488</v>
      </c>
      <c r="C391" t="s">
        <v>9489</v>
      </c>
      <c r="D391" t="s">
        <v>9490</v>
      </c>
      <c r="F391" t="s">
        <v>155</v>
      </c>
      <c r="G391" t="s">
        <v>51</v>
      </c>
      <c r="H391">
        <v>95776</v>
      </c>
      <c r="I391">
        <v>11875541</v>
      </c>
      <c r="J391" t="s">
        <v>9491</v>
      </c>
    </row>
    <row r="392" spans="1:10" x14ac:dyDescent="0.35">
      <c r="A392" t="s">
        <v>2765</v>
      </c>
      <c r="B392" t="s">
        <v>9492</v>
      </c>
      <c r="C392" t="s">
        <v>9493</v>
      </c>
      <c r="D392" t="s">
        <v>9494</v>
      </c>
      <c r="F392" t="s">
        <v>830</v>
      </c>
      <c r="G392" t="s">
        <v>51</v>
      </c>
      <c r="H392">
        <v>94536</v>
      </c>
      <c r="I392">
        <v>50579808</v>
      </c>
      <c r="J392" t="s">
        <v>9495</v>
      </c>
    </row>
    <row r="393" spans="1:10" x14ac:dyDescent="0.35">
      <c r="A393" t="s">
        <v>3497</v>
      </c>
      <c r="B393" t="s">
        <v>9496</v>
      </c>
      <c r="C393" t="s">
        <v>9497</v>
      </c>
      <c r="D393" t="s">
        <v>9498</v>
      </c>
      <c r="F393" t="s">
        <v>63</v>
      </c>
      <c r="G393" t="s">
        <v>64</v>
      </c>
      <c r="H393">
        <v>37210</v>
      </c>
      <c r="I393">
        <v>55804976</v>
      </c>
      <c r="J393" t="s">
        <v>9499</v>
      </c>
    </row>
    <row r="394" spans="1:10" x14ac:dyDescent="0.35">
      <c r="A394" t="s">
        <v>525</v>
      </c>
      <c r="B394" t="s">
        <v>9500</v>
      </c>
      <c r="C394" t="s">
        <v>9501</v>
      </c>
      <c r="D394" t="s">
        <v>9502</v>
      </c>
      <c r="F394" t="s">
        <v>3725</v>
      </c>
      <c r="G394" t="s">
        <v>147</v>
      </c>
      <c r="H394">
        <v>5873</v>
      </c>
      <c r="I394">
        <v>24557924</v>
      </c>
      <c r="J394" t="s">
        <v>9503</v>
      </c>
    </row>
    <row r="395" spans="1:10" x14ac:dyDescent="0.35">
      <c r="A395" t="s">
        <v>1037</v>
      </c>
      <c r="B395" t="s">
        <v>9504</v>
      </c>
      <c r="C395" t="s">
        <v>9505</v>
      </c>
      <c r="D395" t="s">
        <v>8310</v>
      </c>
      <c r="E395" t="s">
        <v>7938</v>
      </c>
      <c r="F395" t="s">
        <v>118</v>
      </c>
      <c r="G395" t="s">
        <v>42</v>
      </c>
      <c r="H395">
        <v>80004</v>
      </c>
      <c r="I395">
        <v>80837455</v>
      </c>
      <c r="J395" t="s">
        <v>9506</v>
      </c>
    </row>
    <row r="396" spans="1:10" x14ac:dyDescent="0.35">
      <c r="A396" t="s">
        <v>2222</v>
      </c>
      <c r="B396" t="s">
        <v>9507</v>
      </c>
      <c r="C396" t="s">
        <v>9508</v>
      </c>
      <c r="D396" t="s">
        <v>9509</v>
      </c>
      <c r="F396" t="s">
        <v>45</v>
      </c>
      <c r="G396" t="s">
        <v>46</v>
      </c>
      <c r="H396">
        <v>36117</v>
      </c>
      <c r="I396">
        <v>68426448</v>
      </c>
      <c r="J396" t="s">
        <v>9510</v>
      </c>
    </row>
    <row r="397" spans="1:10" x14ac:dyDescent="0.35">
      <c r="A397" t="s">
        <v>610</v>
      </c>
      <c r="B397" t="s">
        <v>9511</v>
      </c>
      <c r="C397" t="s">
        <v>9512</v>
      </c>
      <c r="D397" t="s">
        <v>9293</v>
      </c>
      <c r="E397" t="s">
        <v>9294</v>
      </c>
      <c r="F397" t="s">
        <v>75</v>
      </c>
      <c r="G397" t="s">
        <v>76</v>
      </c>
      <c r="H397">
        <v>6042</v>
      </c>
      <c r="I397">
        <v>86814566</v>
      </c>
      <c r="J397" t="s">
        <v>9513</v>
      </c>
    </row>
    <row r="398" spans="1:10" x14ac:dyDescent="0.35">
      <c r="A398" t="s">
        <v>912</v>
      </c>
      <c r="B398" t="s">
        <v>9514</v>
      </c>
      <c r="C398" t="s">
        <v>9515</v>
      </c>
      <c r="D398" t="s">
        <v>9516</v>
      </c>
      <c r="F398" t="s">
        <v>209</v>
      </c>
      <c r="G398" t="s">
        <v>74</v>
      </c>
      <c r="H398">
        <v>32404</v>
      </c>
      <c r="I398">
        <v>18917431</v>
      </c>
      <c r="J398" t="s">
        <v>9517</v>
      </c>
    </row>
    <row r="399" spans="1:10" x14ac:dyDescent="0.35">
      <c r="A399" t="s">
        <v>1461</v>
      </c>
      <c r="B399" t="s">
        <v>9518</v>
      </c>
      <c r="C399" t="s">
        <v>9519</v>
      </c>
      <c r="D399" t="s">
        <v>9520</v>
      </c>
      <c r="F399" t="s">
        <v>9521</v>
      </c>
      <c r="G399" t="s">
        <v>139</v>
      </c>
      <c r="H399">
        <v>1507</v>
      </c>
      <c r="I399">
        <v>67375736</v>
      </c>
      <c r="J399" t="s">
        <v>9522</v>
      </c>
    </row>
    <row r="400" spans="1:10" x14ac:dyDescent="0.35">
      <c r="A400" t="s">
        <v>441</v>
      </c>
      <c r="B400" t="s">
        <v>9523</v>
      </c>
      <c r="C400" t="s">
        <v>9524</v>
      </c>
      <c r="D400" t="s">
        <v>9525</v>
      </c>
      <c r="F400" t="s">
        <v>959</v>
      </c>
      <c r="G400" t="s">
        <v>139</v>
      </c>
      <c r="H400">
        <v>2155</v>
      </c>
      <c r="I400">
        <v>62842617</v>
      </c>
      <c r="J400" t="s">
        <v>9526</v>
      </c>
    </row>
    <row r="401" spans="1:10" x14ac:dyDescent="0.35">
      <c r="A401" t="s">
        <v>4657</v>
      </c>
      <c r="B401" t="s">
        <v>9527</v>
      </c>
      <c r="C401" t="s">
        <v>9528</v>
      </c>
      <c r="D401" t="s">
        <v>9529</v>
      </c>
      <c r="F401" t="s">
        <v>830</v>
      </c>
      <c r="G401" t="s">
        <v>51</v>
      </c>
      <c r="H401">
        <v>94538</v>
      </c>
      <c r="I401">
        <v>73892504</v>
      </c>
      <c r="J401" t="s">
        <v>9530</v>
      </c>
    </row>
    <row r="402" spans="1:10" x14ac:dyDescent="0.35">
      <c r="A402" t="s">
        <v>2370</v>
      </c>
      <c r="B402" t="s">
        <v>9531</v>
      </c>
      <c r="C402" t="s">
        <v>9532</v>
      </c>
      <c r="D402" t="s">
        <v>9533</v>
      </c>
      <c r="F402" t="s">
        <v>334</v>
      </c>
      <c r="G402" t="s">
        <v>51</v>
      </c>
      <c r="H402">
        <v>94611</v>
      </c>
      <c r="I402">
        <v>20493451</v>
      </c>
      <c r="J402" t="s">
        <v>9534</v>
      </c>
    </row>
    <row r="403" spans="1:10" x14ac:dyDescent="0.35">
      <c r="A403" t="s">
        <v>4483</v>
      </c>
      <c r="B403" t="s">
        <v>9535</v>
      </c>
      <c r="C403" t="s">
        <v>9536</v>
      </c>
      <c r="D403" t="s">
        <v>9537</v>
      </c>
      <c r="F403" t="s">
        <v>6182</v>
      </c>
      <c r="G403" t="s">
        <v>147</v>
      </c>
      <c r="H403">
        <v>5855</v>
      </c>
      <c r="I403">
        <v>61388664</v>
      </c>
      <c r="J403" t="s">
        <v>9538</v>
      </c>
    </row>
    <row r="404" spans="1:10" x14ac:dyDescent="0.35">
      <c r="A404" t="s">
        <v>9539</v>
      </c>
      <c r="B404" t="s">
        <v>9540</v>
      </c>
      <c r="C404" t="s">
        <v>9541</v>
      </c>
      <c r="D404" t="s">
        <v>9542</v>
      </c>
      <c r="F404" t="s">
        <v>75</v>
      </c>
      <c r="G404" t="s">
        <v>76</v>
      </c>
      <c r="H404">
        <v>6042</v>
      </c>
      <c r="I404">
        <v>106824083</v>
      </c>
      <c r="J404" t="s">
        <v>9543</v>
      </c>
    </row>
    <row r="405" spans="1:10" x14ac:dyDescent="0.35">
      <c r="A405" t="s">
        <v>71</v>
      </c>
      <c r="B405" t="s">
        <v>9544</v>
      </c>
      <c r="C405" t="s">
        <v>9545</v>
      </c>
      <c r="D405" t="s">
        <v>9546</v>
      </c>
      <c r="F405" t="s">
        <v>2422</v>
      </c>
      <c r="G405" t="s">
        <v>51</v>
      </c>
      <c r="H405">
        <v>93311</v>
      </c>
      <c r="I405">
        <v>35911575</v>
      </c>
      <c r="J405" t="s">
        <v>9547</v>
      </c>
    </row>
    <row r="406" spans="1:10" x14ac:dyDescent="0.35">
      <c r="A406" t="s">
        <v>2171</v>
      </c>
      <c r="B406" t="s">
        <v>9548</v>
      </c>
      <c r="C406" t="s">
        <v>7907</v>
      </c>
      <c r="D406" t="s">
        <v>8711</v>
      </c>
      <c r="F406" t="s">
        <v>75</v>
      </c>
      <c r="G406" t="s">
        <v>76</v>
      </c>
      <c r="H406">
        <v>6042</v>
      </c>
      <c r="I406">
        <v>65212163</v>
      </c>
      <c r="J406" t="s">
        <v>9549</v>
      </c>
    </row>
    <row r="407" spans="1:10" x14ac:dyDescent="0.35">
      <c r="A407" t="s">
        <v>7792</v>
      </c>
      <c r="B407" t="s">
        <v>9550</v>
      </c>
      <c r="C407" t="s">
        <v>9551</v>
      </c>
      <c r="D407" t="s">
        <v>9552</v>
      </c>
      <c r="F407" t="s">
        <v>523</v>
      </c>
      <c r="G407" t="s">
        <v>36</v>
      </c>
      <c r="H407">
        <v>31322</v>
      </c>
      <c r="I407">
        <v>13698742</v>
      </c>
      <c r="J407" t="s">
        <v>9553</v>
      </c>
    </row>
    <row r="408" spans="1:10" x14ac:dyDescent="0.35">
      <c r="A408" t="s">
        <v>6683</v>
      </c>
      <c r="B408" t="s">
        <v>9554</v>
      </c>
      <c r="C408" t="s">
        <v>9555</v>
      </c>
      <c r="D408" t="s">
        <v>9556</v>
      </c>
      <c r="F408" t="s">
        <v>70</v>
      </c>
      <c r="G408" t="s">
        <v>31</v>
      </c>
      <c r="H408">
        <v>85304</v>
      </c>
      <c r="I408">
        <v>66974866</v>
      </c>
      <c r="J408" t="s">
        <v>9557</v>
      </c>
    </row>
    <row r="409" spans="1:10" x14ac:dyDescent="0.35">
      <c r="A409" t="s">
        <v>1291</v>
      </c>
      <c r="B409" t="s">
        <v>9558</v>
      </c>
      <c r="C409" t="s">
        <v>9559</v>
      </c>
      <c r="D409" t="s">
        <v>9560</v>
      </c>
      <c r="F409" t="s">
        <v>118</v>
      </c>
      <c r="G409" t="s">
        <v>42</v>
      </c>
      <c r="H409">
        <v>80003</v>
      </c>
      <c r="I409">
        <v>17576899</v>
      </c>
      <c r="J409" t="s">
        <v>9561</v>
      </c>
    </row>
    <row r="410" spans="1:10" x14ac:dyDescent="0.35">
      <c r="A410" t="s">
        <v>4215</v>
      </c>
      <c r="B410" t="s">
        <v>9562</v>
      </c>
      <c r="C410" t="s">
        <v>9563</v>
      </c>
      <c r="D410" t="s">
        <v>9564</v>
      </c>
      <c r="F410" t="s">
        <v>63</v>
      </c>
      <c r="G410" t="s">
        <v>64</v>
      </c>
      <c r="H410">
        <v>37013</v>
      </c>
      <c r="I410">
        <v>40339414</v>
      </c>
      <c r="J410" t="s">
        <v>9565</v>
      </c>
    </row>
    <row r="411" spans="1:10" x14ac:dyDescent="0.35">
      <c r="A411" t="s">
        <v>2314</v>
      </c>
      <c r="B411" t="s">
        <v>9566</v>
      </c>
      <c r="C411" t="s">
        <v>9567</v>
      </c>
      <c r="D411" t="s">
        <v>9568</v>
      </c>
      <c r="F411" t="s">
        <v>3828</v>
      </c>
      <c r="G411" t="s">
        <v>74</v>
      </c>
      <c r="H411">
        <v>32409</v>
      </c>
      <c r="I411">
        <v>110591616</v>
      </c>
      <c r="J411" t="s">
        <v>9569</v>
      </c>
    </row>
    <row r="412" spans="1:10" x14ac:dyDescent="0.35">
      <c r="A412" t="s">
        <v>1388</v>
      </c>
      <c r="B412" t="s">
        <v>9570</v>
      </c>
      <c r="C412" t="s">
        <v>9571</v>
      </c>
      <c r="D412" t="s">
        <v>9572</v>
      </c>
      <c r="F412" t="s">
        <v>35</v>
      </c>
      <c r="G412" t="s">
        <v>36</v>
      </c>
      <c r="H412">
        <v>31406</v>
      </c>
      <c r="I412">
        <v>16642203</v>
      </c>
      <c r="J412" t="s">
        <v>9573</v>
      </c>
    </row>
    <row r="413" spans="1:10" x14ac:dyDescent="0.35">
      <c r="A413" t="s">
        <v>290</v>
      </c>
      <c r="B413" t="s">
        <v>9574</v>
      </c>
      <c r="C413" t="s">
        <v>9575</v>
      </c>
      <c r="D413" t="s">
        <v>9576</v>
      </c>
      <c r="F413" t="s">
        <v>1464</v>
      </c>
      <c r="G413" t="s">
        <v>97</v>
      </c>
      <c r="H413">
        <v>21146</v>
      </c>
      <c r="I413">
        <v>120561063</v>
      </c>
      <c r="J413" t="s">
        <v>9577</v>
      </c>
    </row>
    <row r="414" spans="1:10" x14ac:dyDescent="0.35">
      <c r="A414" t="s">
        <v>1217</v>
      </c>
      <c r="B414" t="s">
        <v>9578</v>
      </c>
      <c r="C414" t="s">
        <v>9579</v>
      </c>
      <c r="D414" t="s">
        <v>9580</v>
      </c>
      <c r="F414" t="s">
        <v>209</v>
      </c>
      <c r="G414" t="s">
        <v>74</v>
      </c>
      <c r="H414">
        <v>32405</v>
      </c>
      <c r="I414">
        <v>101644158</v>
      </c>
      <c r="J414" t="s">
        <v>9581</v>
      </c>
    </row>
    <row r="415" spans="1:10" x14ac:dyDescent="0.35">
      <c r="A415" t="s">
        <v>1002</v>
      </c>
      <c r="B415" t="s">
        <v>9582</v>
      </c>
      <c r="C415" t="s">
        <v>9583</v>
      </c>
      <c r="D415" t="s">
        <v>7986</v>
      </c>
      <c r="G415" t="s">
        <v>147</v>
      </c>
      <c r="H415">
        <v>5033</v>
      </c>
      <c r="I415">
        <v>98786378</v>
      </c>
      <c r="J415" t="s">
        <v>9584</v>
      </c>
    </row>
    <row r="416" spans="1:10" x14ac:dyDescent="0.35">
      <c r="A416" t="s">
        <v>38</v>
      </c>
      <c r="B416" t="s">
        <v>9585</v>
      </c>
      <c r="C416" t="s">
        <v>9586</v>
      </c>
      <c r="D416" t="s">
        <v>9587</v>
      </c>
      <c r="F416" t="s">
        <v>63</v>
      </c>
      <c r="G416" t="s">
        <v>64</v>
      </c>
      <c r="H416">
        <v>37217</v>
      </c>
      <c r="I416">
        <v>35441155</v>
      </c>
      <c r="J416" t="s">
        <v>9588</v>
      </c>
    </row>
    <row r="417" spans="1:10" x14ac:dyDescent="0.35">
      <c r="A417" t="s">
        <v>1985</v>
      </c>
      <c r="B417" t="s">
        <v>9589</v>
      </c>
      <c r="C417" t="s">
        <v>9590</v>
      </c>
      <c r="D417" t="s">
        <v>9591</v>
      </c>
      <c r="F417" t="s">
        <v>130</v>
      </c>
      <c r="G417" t="s">
        <v>123</v>
      </c>
      <c r="H417">
        <v>20011</v>
      </c>
      <c r="I417">
        <v>46516244</v>
      </c>
      <c r="J417" t="s">
        <v>9592</v>
      </c>
    </row>
    <row r="418" spans="1:10" x14ac:dyDescent="0.35">
      <c r="A418" t="s">
        <v>9593</v>
      </c>
      <c r="B418" t="s">
        <v>9594</v>
      </c>
      <c r="C418" t="s">
        <v>9595</v>
      </c>
      <c r="D418" t="s">
        <v>9596</v>
      </c>
      <c r="F418" t="s">
        <v>75</v>
      </c>
      <c r="G418" t="s">
        <v>76</v>
      </c>
      <c r="H418">
        <v>6040</v>
      </c>
      <c r="I418">
        <v>55484383</v>
      </c>
      <c r="J418" t="s">
        <v>9597</v>
      </c>
    </row>
    <row r="419" spans="1:10" x14ac:dyDescent="0.35">
      <c r="A419" t="s">
        <v>9598</v>
      </c>
      <c r="B419" t="s">
        <v>9599</v>
      </c>
      <c r="C419" t="s">
        <v>9600</v>
      </c>
      <c r="D419" t="s">
        <v>9601</v>
      </c>
      <c r="F419" t="s">
        <v>63</v>
      </c>
      <c r="G419" t="s">
        <v>64</v>
      </c>
      <c r="H419">
        <v>37013</v>
      </c>
      <c r="I419">
        <v>95892663</v>
      </c>
      <c r="J419" t="s">
        <v>9602</v>
      </c>
    </row>
    <row r="420" spans="1:10" x14ac:dyDescent="0.35">
      <c r="A420" t="s">
        <v>3013</v>
      </c>
      <c r="B420" t="s">
        <v>9603</v>
      </c>
      <c r="C420" t="s">
        <v>9604</v>
      </c>
      <c r="D420" t="s">
        <v>9605</v>
      </c>
      <c r="F420" t="s">
        <v>477</v>
      </c>
      <c r="G420" t="s">
        <v>51</v>
      </c>
      <c r="H420">
        <v>94544</v>
      </c>
      <c r="I420">
        <v>47627006</v>
      </c>
      <c r="J420" t="s">
        <v>9606</v>
      </c>
    </row>
    <row r="421" spans="1:10" x14ac:dyDescent="0.35">
      <c r="A421" t="s">
        <v>4502</v>
      </c>
      <c r="B421" t="s">
        <v>9607</v>
      </c>
      <c r="C421" t="s">
        <v>9608</v>
      </c>
      <c r="D421" t="s">
        <v>9609</v>
      </c>
      <c r="F421" t="s">
        <v>2276</v>
      </c>
      <c r="G421" t="s">
        <v>139</v>
      </c>
      <c r="H421">
        <v>1863</v>
      </c>
      <c r="I421">
        <v>77423296</v>
      </c>
      <c r="J421" t="s">
        <v>9610</v>
      </c>
    </row>
    <row r="422" spans="1:10" x14ac:dyDescent="0.35">
      <c r="A422" t="s">
        <v>3299</v>
      </c>
      <c r="B422" t="s">
        <v>9611</v>
      </c>
      <c r="C422" t="s">
        <v>9612</v>
      </c>
      <c r="D422" t="s">
        <v>9613</v>
      </c>
      <c r="E422" t="s">
        <v>9614</v>
      </c>
      <c r="F422" t="s">
        <v>107</v>
      </c>
      <c r="G422" t="s">
        <v>87</v>
      </c>
      <c r="H422">
        <v>40207</v>
      </c>
      <c r="I422">
        <v>45222319</v>
      </c>
      <c r="J422" t="s">
        <v>9615</v>
      </c>
    </row>
    <row r="423" spans="1:10" x14ac:dyDescent="0.35">
      <c r="A423" t="s">
        <v>1431</v>
      </c>
      <c r="B423" t="s">
        <v>9616</v>
      </c>
      <c r="C423" t="s">
        <v>9617</v>
      </c>
      <c r="D423" t="s">
        <v>9618</v>
      </c>
      <c r="F423" t="s">
        <v>63</v>
      </c>
      <c r="G423" t="s">
        <v>64</v>
      </c>
      <c r="H423">
        <v>37216</v>
      </c>
      <c r="I423">
        <v>43821233</v>
      </c>
      <c r="J423" t="s">
        <v>9619</v>
      </c>
    </row>
    <row r="424" spans="1:10" x14ac:dyDescent="0.35">
      <c r="A424" t="s">
        <v>5430</v>
      </c>
      <c r="B424" t="s">
        <v>9620</v>
      </c>
      <c r="C424" t="s">
        <v>9621</v>
      </c>
      <c r="D424" t="s">
        <v>9622</v>
      </c>
      <c r="F424" t="s">
        <v>63</v>
      </c>
      <c r="G424" t="s">
        <v>64</v>
      </c>
      <c r="H424">
        <v>37211</v>
      </c>
      <c r="I424">
        <v>18280618</v>
      </c>
      <c r="J424" t="s">
        <v>9623</v>
      </c>
    </row>
    <row r="425" spans="1:10" x14ac:dyDescent="0.35">
      <c r="A425" t="s">
        <v>6116</v>
      </c>
      <c r="B425" t="s">
        <v>9624</v>
      </c>
      <c r="C425" t="s">
        <v>9625</v>
      </c>
      <c r="D425" t="s">
        <v>9626</v>
      </c>
      <c r="F425" t="s">
        <v>130</v>
      </c>
      <c r="G425" t="s">
        <v>123</v>
      </c>
      <c r="H425">
        <v>20002</v>
      </c>
      <c r="I425">
        <v>68224006</v>
      </c>
      <c r="J425" t="s">
        <v>9627</v>
      </c>
    </row>
    <row r="426" spans="1:10" x14ac:dyDescent="0.35">
      <c r="A426" t="s">
        <v>1380</v>
      </c>
      <c r="B426" t="s">
        <v>9628</v>
      </c>
      <c r="C426" t="s">
        <v>9629</v>
      </c>
      <c r="D426" t="s">
        <v>9630</v>
      </c>
      <c r="F426" t="s">
        <v>316</v>
      </c>
      <c r="G426" t="s">
        <v>97</v>
      </c>
      <c r="H426">
        <v>21403</v>
      </c>
      <c r="I426">
        <v>21026623</v>
      </c>
      <c r="J426" t="s">
        <v>9631</v>
      </c>
    </row>
    <row r="427" spans="1:10" x14ac:dyDescent="0.35">
      <c r="A427" t="s">
        <v>2367</v>
      </c>
      <c r="B427" t="s">
        <v>9632</v>
      </c>
      <c r="C427" t="s">
        <v>9633</v>
      </c>
      <c r="D427" t="s">
        <v>9634</v>
      </c>
      <c r="F427" t="s">
        <v>9635</v>
      </c>
      <c r="G427" t="s">
        <v>147</v>
      </c>
      <c r="H427">
        <v>5048</v>
      </c>
      <c r="I427">
        <v>23427152</v>
      </c>
      <c r="J427" t="s">
        <v>9636</v>
      </c>
    </row>
    <row r="428" spans="1:10" x14ac:dyDescent="0.35">
      <c r="A428" t="s">
        <v>2040</v>
      </c>
      <c r="B428" t="s">
        <v>9637</v>
      </c>
      <c r="C428" t="s">
        <v>9638</v>
      </c>
      <c r="D428" t="s">
        <v>9639</v>
      </c>
      <c r="F428" t="s">
        <v>118</v>
      </c>
      <c r="G428" t="s">
        <v>42</v>
      </c>
      <c r="H428">
        <v>80003</v>
      </c>
      <c r="I428">
        <v>90370973</v>
      </c>
      <c r="J428" t="s">
        <v>9640</v>
      </c>
    </row>
    <row r="429" spans="1:10" x14ac:dyDescent="0.35">
      <c r="A429" t="s">
        <v>874</v>
      </c>
      <c r="B429" t="s">
        <v>9641</v>
      </c>
      <c r="C429" t="s">
        <v>9642</v>
      </c>
      <c r="D429" t="s">
        <v>9643</v>
      </c>
      <c r="F429" t="s">
        <v>235</v>
      </c>
      <c r="G429" t="s">
        <v>236</v>
      </c>
      <c r="H429">
        <v>73112</v>
      </c>
      <c r="I429">
        <v>67592409</v>
      </c>
      <c r="J429" t="s">
        <v>9644</v>
      </c>
    </row>
    <row r="430" spans="1:10" x14ac:dyDescent="0.35">
      <c r="A430" t="s">
        <v>699</v>
      </c>
      <c r="B430" t="s">
        <v>9645</v>
      </c>
      <c r="C430" t="s">
        <v>9646</v>
      </c>
      <c r="D430" t="s">
        <v>9647</v>
      </c>
      <c r="F430" t="s">
        <v>9648</v>
      </c>
      <c r="G430" t="s">
        <v>51</v>
      </c>
      <c r="H430">
        <v>95525</v>
      </c>
      <c r="I430">
        <v>110236667</v>
      </c>
      <c r="J430" t="s">
        <v>9649</v>
      </c>
    </row>
    <row r="431" spans="1:10" x14ac:dyDescent="0.35">
      <c r="A431" t="s">
        <v>415</v>
      </c>
      <c r="B431" t="s">
        <v>9650</v>
      </c>
      <c r="C431" t="s">
        <v>9651</v>
      </c>
      <c r="D431" t="s">
        <v>9652</v>
      </c>
      <c r="F431" t="s">
        <v>45</v>
      </c>
      <c r="G431" t="s">
        <v>46</v>
      </c>
      <c r="H431">
        <v>36117</v>
      </c>
      <c r="I431">
        <v>54549371</v>
      </c>
      <c r="J431" t="s">
        <v>9653</v>
      </c>
    </row>
    <row r="432" spans="1:10" x14ac:dyDescent="0.35">
      <c r="A432" t="s">
        <v>1653</v>
      </c>
      <c r="B432" t="s">
        <v>9654</v>
      </c>
      <c r="C432" t="s">
        <v>9655</v>
      </c>
      <c r="D432" t="s">
        <v>9656</v>
      </c>
      <c r="F432" t="s">
        <v>118</v>
      </c>
      <c r="G432" t="s">
        <v>42</v>
      </c>
      <c r="H432">
        <v>80004</v>
      </c>
      <c r="I432">
        <v>128725128</v>
      </c>
      <c r="J432" t="s">
        <v>9657</v>
      </c>
    </row>
    <row r="433" spans="1:10" x14ac:dyDescent="0.35">
      <c r="A433" t="s">
        <v>1904</v>
      </c>
      <c r="B433" t="s">
        <v>9658</v>
      </c>
      <c r="C433" t="s">
        <v>9659</v>
      </c>
      <c r="D433" t="s">
        <v>9660</v>
      </c>
      <c r="F433" t="s">
        <v>9661</v>
      </c>
      <c r="G433" t="s">
        <v>51</v>
      </c>
      <c r="H433">
        <v>94521</v>
      </c>
      <c r="I433">
        <v>42374710</v>
      </c>
      <c r="J433" t="s">
        <v>9662</v>
      </c>
    </row>
    <row r="434" spans="1:10" x14ac:dyDescent="0.35">
      <c r="A434" t="s">
        <v>181</v>
      </c>
      <c r="B434" t="s">
        <v>9663</v>
      </c>
      <c r="C434" t="s">
        <v>9664</v>
      </c>
      <c r="D434" t="s">
        <v>9665</v>
      </c>
      <c r="E434" t="s">
        <v>9224</v>
      </c>
      <c r="F434" t="s">
        <v>599</v>
      </c>
      <c r="G434" t="s">
        <v>139</v>
      </c>
      <c r="H434">
        <v>2721</v>
      </c>
      <c r="I434">
        <v>121399506</v>
      </c>
      <c r="J434" t="s">
        <v>9666</v>
      </c>
    </row>
    <row r="435" spans="1:10" x14ac:dyDescent="0.35">
      <c r="A435" t="s">
        <v>1356</v>
      </c>
      <c r="B435" t="s">
        <v>9667</v>
      </c>
      <c r="C435" t="s">
        <v>9668</v>
      </c>
      <c r="D435" t="s">
        <v>9669</v>
      </c>
      <c r="F435" t="s">
        <v>118</v>
      </c>
      <c r="G435" t="s">
        <v>42</v>
      </c>
      <c r="H435">
        <v>80004</v>
      </c>
      <c r="I435">
        <v>126992380</v>
      </c>
      <c r="J435" t="s">
        <v>9670</v>
      </c>
    </row>
    <row r="436" spans="1:10" x14ac:dyDescent="0.35">
      <c r="A436" t="s">
        <v>1747</v>
      </c>
      <c r="B436" t="s">
        <v>9671</v>
      </c>
      <c r="C436" t="s">
        <v>9672</v>
      </c>
      <c r="D436" t="s">
        <v>9673</v>
      </c>
      <c r="F436" t="s">
        <v>70</v>
      </c>
      <c r="G436" t="s">
        <v>31</v>
      </c>
      <c r="H436">
        <v>85301</v>
      </c>
      <c r="I436">
        <v>93591487</v>
      </c>
      <c r="J436" t="s">
        <v>9674</v>
      </c>
    </row>
    <row r="437" spans="1:10" x14ac:dyDescent="0.35">
      <c r="A437" t="s">
        <v>1384</v>
      </c>
      <c r="B437" t="s">
        <v>9675</v>
      </c>
      <c r="C437" t="s">
        <v>9676</v>
      </c>
      <c r="D437" t="s">
        <v>9677</v>
      </c>
      <c r="F437" t="s">
        <v>70</v>
      </c>
      <c r="G437" t="s">
        <v>31</v>
      </c>
      <c r="H437">
        <v>85303</v>
      </c>
      <c r="I437">
        <v>119211324</v>
      </c>
      <c r="J437" t="s">
        <v>9678</v>
      </c>
    </row>
    <row r="438" spans="1:10" x14ac:dyDescent="0.35">
      <c r="A438" t="s">
        <v>9679</v>
      </c>
      <c r="B438" t="s">
        <v>9680</v>
      </c>
      <c r="C438" t="s">
        <v>9681</v>
      </c>
      <c r="D438" t="s">
        <v>9682</v>
      </c>
      <c r="F438" t="s">
        <v>130</v>
      </c>
      <c r="G438" t="s">
        <v>123</v>
      </c>
      <c r="H438">
        <v>20020</v>
      </c>
      <c r="I438">
        <v>94644854</v>
      </c>
      <c r="J438" t="s">
        <v>9683</v>
      </c>
    </row>
    <row r="439" spans="1:10" x14ac:dyDescent="0.35">
      <c r="A439" t="s">
        <v>1717</v>
      </c>
      <c r="B439" t="s">
        <v>5080</v>
      </c>
      <c r="C439" t="s">
        <v>9684</v>
      </c>
      <c r="D439" t="s">
        <v>9685</v>
      </c>
      <c r="E439" t="s">
        <v>32</v>
      </c>
      <c r="F439" t="s">
        <v>846</v>
      </c>
      <c r="G439" t="s">
        <v>74</v>
      </c>
      <c r="H439">
        <v>32456</v>
      </c>
      <c r="I439">
        <v>57937715</v>
      </c>
      <c r="J439" t="s">
        <v>9686</v>
      </c>
    </row>
    <row r="440" spans="1:10" x14ac:dyDescent="0.35">
      <c r="A440" t="s">
        <v>705</v>
      </c>
      <c r="B440" t="s">
        <v>9687</v>
      </c>
      <c r="C440" t="s">
        <v>9688</v>
      </c>
      <c r="D440" t="s">
        <v>9689</v>
      </c>
      <c r="F440" t="s">
        <v>130</v>
      </c>
      <c r="G440" t="s">
        <v>123</v>
      </c>
      <c r="H440">
        <v>20001</v>
      </c>
      <c r="I440">
        <v>57347376</v>
      </c>
      <c r="J440" t="s">
        <v>9690</v>
      </c>
    </row>
    <row r="441" spans="1:10" x14ac:dyDescent="0.35">
      <c r="A441" t="s">
        <v>504</v>
      </c>
      <c r="B441" t="s">
        <v>9691</v>
      </c>
      <c r="C441" t="s">
        <v>9692</v>
      </c>
      <c r="D441" t="s">
        <v>9693</v>
      </c>
      <c r="F441" t="s">
        <v>75</v>
      </c>
      <c r="G441" t="s">
        <v>76</v>
      </c>
      <c r="H441">
        <v>6040</v>
      </c>
      <c r="I441">
        <v>82525590</v>
      </c>
      <c r="J441" t="s">
        <v>9694</v>
      </c>
    </row>
    <row r="442" spans="1:10" x14ac:dyDescent="0.35">
      <c r="A442" t="s">
        <v>3074</v>
      </c>
      <c r="B442" t="s">
        <v>9695</v>
      </c>
      <c r="C442" t="s">
        <v>9696</v>
      </c>
      <c r="D442" t="s">
        <v>9697</v>
      </c>
      <c r="F442" t="s">
        <v>5700</v>
      </c>
      <c r="G442" t="s">
        <v>42</v>
      </c>
      <c r="H442">
        <v>80128</v>
      </c>
      <c r="I442">
        <v>105041197</v>
      </c>
      <c r="J442" t="s">
        <v>9698</v>
      </c>
    </row>
    <row r="443" spans="1:10" x14ac:dyDescent="0.35">
      <c r="A443" t="s">
        <v>6155</v>
      </c>
      <c r="B443" t="s">
        <v>9699</v>
      </c>
      <c r="C443" t="s">
        <v>9700</v>
      </c>
      <c r="D443" t="s">
        <v>9701</v>
      </c>
      <c r="F443" t="s">
        <v>1816</v>
      </c>
      <c r="G443" t="s">
        <v>236</v>
      </c>
      <c r="H443">
        <v>73072</v>
      </c>
      <c r="I443">
        <v>18532382</v>
      </c>
      <c r="J443" t="s">
        <v>9702</v>
      </c>
    </row>
    <row r="444" spans="1:10" x14ac:dyDescent="0.35">
      <c r="A444" t="s">
        <v>2092</v>
      </c>
      <c r="B444" t="s">
        <v>9703</v>
      </c>
      <c r="C444" t="s">
        <v>9704</v>
      </c>
      <c r="D444" t="s">
        <v>9705</v>
      </c>
      <c r="F444" t="s">
        <v>1260</v>
      </c>
      <c r="G444" t="s">
        <v>147</v>
      </c>
      <c r="H444">
        <v>5037</v>
      </c>
      <c r="I444">
        <v>116940481</v>
      </c>
      <c r="J444" t="s">
        <v>9706</v>
      </c>
    </row>
    <row r="445" spans="1:10" x14ac:dyDescent="0.35">
      <c r="A445" t="s">
        <v>6274</v>
      </c>
      <c r="B445" t="s">
        <v>9707</v>
      </c>
      <c r="C445" t="s">
        <v>9708</v>
      </c>
      <c r="D445" t="s">
        <v>9709</v>
      </c>
      <c r="F445" t="s">
        <v>209</v>
      </c>
      <c r="G445" t="s">
        <v>74</v>
      </c>
      <c r="H445">
        <v>32404</v>
      </c>
      <c r="I445">
        <v>18092068</v>
      </c>
      <c r="J445" t="s">
        <v>9710</v>
      </c>
    </row>
    <row r="446" spans="1:10" x14ac:dyDescent="0.35">
      <c r="A446" t="s">
        <v>4031</v>
      </c>
      <c r="B446" t="s">
        <v>9711</v>
      </c>
      <c r="C446" t="s">
        <v>9712</v>
      </c>
      <c r="D446" t="s">
        <v>9713</v>
      </c>
      <c r="F446" t="s">
        <v>112</v>
      </c>
      <c r="G446" t="s">
        <v>106</v>
      </c>
      <c r="H446">
        <v>99508</v>
      </c>
      <c r="I446">
        <v>51025513</v>
      </c>
      <c r="J446" t="s">
        <v>9714</v>
      </c>
    </row>
    <row r="447" spans="1:10" x14ac:dyDescent="0.35">
      <c r="A447" t="s">
        <v>9715</v>
      </c>
      <c r="B447" t="s">
        <v>9716</v>
      </c>
      <c r="C447" t="s">
        <v>9717</v>
      </c>
      <c r="D447" t="s">
        <v>9718</v>
      </c>
      <c r="F447" t="s">
        <v>366</v>
      </c>
      <c r="G447" t="s">
        <v>51</v>
      </c>
      <c r="H447">
        <v>94550</v>
      </c>
      <c r="I447">
        <v>68418430</v>
      </c>
      <c r="J447" t="s">
        <v>9719</v>
      </c>
    </row>
    <row r="448" spans="1:10" x14ac:dyDescent="0.35">
      <c r="A448" t="s">
        <v>3010</v>
      </c>
      <c r="B448" t="s">
        <v>9720</v>
      </c>
      <c r="C448" t="s">
        <v>9721</v>
      </c>
      <c r="D448" t="s">
        <v>9722</v>
      </c>
      <c r="F448" t="s">
        <v>112</v>
      </c>
      <c r="G448" t="s">
        <v>106</v>
      </c>
      <c r="H448">
        <v>99577</v>
      </c>
      <c r="I448">
        <v>75485236</v>
      </c>
      <c r="J448" t="s">
        <v>9723</v>
      </c>
    </row>
    <row r="449" spans="1:10" x14ac:dyDescent="0.35">
      <c r="A449" t="s">
        <v>149</v>
      </c>
      <c r="B449" t="s">
        <v>9724</v>
      </c>
      <c r="C449" t="s">
        <v>9725</v>
      </c>
      <c r="D449" t="s">
        <v>9726</v>
      </c>
      <c r="E449" t="s">
        <v>8703</v>
      </c>
      <c r="F449" t="s">
        <v>543</v>
      </c>
      <c r="G449" t="s">
        <v>51</v>
      </c>
      <c r="H449">
        <v>94702</v>
      </c>
      <c r="I449">
        <v>35675549</v>
      </c>
      <c r="J449" t="s">
        <v>9727</v>
      </c>
    </row>
    <row r="450" spans="1:10" x14ac:dyDescent="0.35">
      <c r="A450" t="s">
        <v>5449</v>
      </c>
      <c r="B450" t="s">
        <v>9728</v>
      </c>
      <c r="C450" t="s">
        <v>9729</v>
      </c>
      <c r="D450" t="s">
        <v>9726</v>
      </c>
      <c r="E450" t="s">
        <v>8703</v>
      </c>
      <c r="F450" t="s">
        <v>543</v>
      </c>
      <c r="G450" t="s">
        <v>51</v>
      </c>
      <c r="H450">
        <v>94702</v>
      </c>
      <c r="I450">
        <v>95169613</v>
      </c>
      <c r="J450" t="s">
        <v>9730</v>
      </c>
    </row>
    <row r="451" spans="1:10" x14ac:dyDescent="0.35">
      <c r="A451" t="s">
        <v>9731</v>
      </c>
      <c r="B451" t="s">
        <v>9732</v>
      </c>
      <c r="C451" t="s">
        <v>9733</v>
      </c>
      <c r="D451" t="s">
        <v>9734</v>
      </c>
      <c r="F451" t="s">
        <v>118</v>
      </c>
      <c r="G451" t="s">
        <v>42</v>
      </c>
      <c r="H451">
        <v>80005</v>
      </c>
      <c r="I451">
        <v>26483287</v>
      </c>
      <c r="J451" t="s">
        <v>9735</v>
      </c>
    </row>
    <row r="452" spans="1:10" x14ac:dyDescent="0.35">
      <c r="A452" t="s">
        <v>5864</v>
      </c>
      <c r="B452" t="s">
        <v>9736</v>
      </c>
      <c r="C452" t="s">
        <v>9737</v>
      </c>
      <c r="D452" t="s">
        <v>9738</v>
      </c>
      <c r="E452" t="s">
        <v>8992</v>
      </c>
      <c r="F452" t="s">
        <v>543</v>
      </c>
      <c r="G452" t="s">
        <v>51</v>
      </c>
      <c r="H452">
        <v>94709</v>
      </c>
      <c r="I452">
        <v>60095398</v>
      </c>
      <c r="J452" t="s">
        <v>9739</v>
      </c>
    </row>
    <row r="453" spans="1:10" x14ac:dyDescent="0.35">
      <c r="A453" t="s">
        <v>89</v>
      </c>
      <c r="B453" t="s">
        <v>9740</v>
      </c>
      <c r="C453" t="s">
        <v>9741</v>
      </c>
      <c r="D453" t="s">
        <v>9689</v>
      </c>
      <c r="F453" t="s">
        <v>130</v>
      </c>
      <c r="G453" t="s">
        <v>123</v>
      </c>
      <c r="H453">
        <v>20001</v>
      </c>
      <c r="I453">
        <v>92228117</v>
      </c>
      <c r="J453" t="s">
        <v>9742</v>
      </c>
    </row>
    <row r="454" spans="1:10" x14ac:dyDescent="0.35">
      <c r="A454" t="s">
        <v>1641</v>
      </c>
      <c r="B454" t="s">
        <v>9743</v>
      </c>
      <c r="C454" t="s">
        <v>9744</v>
      </c>
      <c r="D454" t="s">
        <v>9745</v>
      </c>
      <c r="E454" t="s">
        <v>9746</v>
      </c>
      <c r="F454" t="s">
        <v>124</v>
      </c>
      <c r="G454" t="s">
        <v>117</v>
      </c>
      <c r="H454">
        <v>72701</v>
      </c>
      <c r="I454">
        <v>86717650</v>
      </c>
      <c r="J454" t="s">
        <v>9747</v>
      </c>
    </row>
    <row r="455" spans="1:10" x14ac:dyDescent="0.35">
      <c r="A455" t="s">
        <v>2658</v>
      </c>
      <c r="B455" t="s">
        <v>9748</v>
      </c>
      <c r="C455" t="s">
        <v>9749</v>
      </c>
      <c r="D455" t="s">
        <v>9750</v>
      </c>
      <c r="F455" t="s">
        <v>830</v>
      </c>
      <c r="G455" t="s">
        <v>51</v>
      </c>
      <c r="H455">
        <v>94538</v>
      </c>
      <c r="I455">
        <v>38943391</v>
      </c>
      <c r="J455" t="s">
        <v>9751</v>
      </c>
    </row>
    <row r="456" spans="1:10" x14ac:dyDescent="0.35">
      <c r="A456" t="s">
        <v>1744</v>
      </c>
      <c r="B456" t="s">
        <v>9752</v>
      </c>
      <c r="C456" t="s">
        <v>9753</v>
      </c>
      <c r="D456" t="s">
        <v>9754</v>
      </c>
      <c r="E456" t="s">
        <v>9755</v>
      </c>
      <c r="F456" t="s">
        <v>9756</v>
      </c>
      <c r="G456" t="s">
        <v>51</v>
      </c>
      <c r="H456">
        <v>96145</v>
      </c>
      <c r="I456">
        <v>123105756</v>
      </c>
      <c r="J456" t="s">
        <v>9757</v>
      </c>
    </row>
    <row r="457" spans="1:10" x14ac:dyDescent="0.35">
      <c r="A457" t="s">
        <v>9758</v>
      </c>
      <c r="B457" t="s">
        <v>9759</v>
      </c>
      <c r="C457" t="s">
        <v>9760</v>
      </c>
      <c r="D457" t="s">
        <v>9761</v>
      </c>
      <c r="F457" t="s">
        <v>179</v>
      </c>
      <c r="G457" t="s">
        <v>97</v>
      </c>
      <c r="H457">
        <v>21122</v>
      </c>
      <c r="I457">
        <v>99532725</v>
      </c>
      <c r="J457" t="s">
        <v>9762</v>
      </c>
    </row>
    <row r="458" spans="1:10" x14ac:dyDescent="0.35">
      <c r="A458" t="s">
        <v>4363</v>
      </c>
      <c r="B458" t="s">
        <v>9763</v>
      </c>
      <c r="C458" t="s">
        <v>9764</v>
      </c>
      <c r="D458" t="s">
        <v>9765</v>
      </c>
      <c r="F458" t="s">
        <v>124</v>
      </c>
      <c r="G458" t="s">
        <v>117</v>
      </c>
      <c r="H458">
        <v>72701</v>
      </c>
      <c r="I458">
        <v>89328994</v>
      </c>
      <c r="J458" t="s">
        <v>9766</v>
      </c>
    </row>
    <row r="459" spans="1:10" x14ac:dyDescent="0.35">
      <c r="A459" t="s">
        <v>4499</v>
      </c>
      <c r="B459" t="s">
        <v>9767</v>
      </c>
      <c r="C459" t="s">
        <v>9768</v>
      </c>
      <c r="D459" t="s">
        <v>9769</v>
      </c>
      <c r="F459" t="s">
        <v>523</v>
      </c>
      <c r="G459" t="s">
        <v>36</v>
      </c>
      <c r="H459">
        <v>31322</v>
      </c>
      <c r="I459">
        <v>83416734</v>
      </c>
      <c r="J459" t="s">
        <v>9770</v>
      </c>
    </row>
    <row r="460" spans="1:10" x14ac:dyDescent="0.35">
      <c r="A460" t="s">
        <v>9771</v>
      </c>
      <c r="B460" t="s">
        <v>9772</v>
      </c>
      <c r="C460" t="s">
        <v>9773</v>
      </c>
      <c r="D460" t="s">
        <v>9774</v>
      </c>
      <c r="F460" t="s">
        <v>164</v>
      </c>
      <c r="G460" t="s">
        <v>74</v>
      </c>
      <c r="H460">
        <v>32444</v>
      </c>
      <c r="I460">
        <v>110588629</v>
      </c>
      <c r="J460" t="s">
        <v>9775</v>
      </c>
    </row>
    <row r="461" spans="1:10" x14ac:dyDescent="0.35">
      <c r="A461" t="s">
        <v>2434</v>
      </c>
      <c r="B461" t="s">
        <v>9776</v>
      </c>
      <c r="C461" t="s">
        <v>9777</v>
      </c>
      <c r="D461" t="s">
        <v>9041</v>
      </c>
      <c r="F461" t="s">
        <v>45</v>
      </c>
      <c r="G461" t="s">
        <v>46</v>
      </c>
      <c r="H461">
        <v>36116</v>
      </c>
      <c r="I461">
        <v>96220658</v>
      </c>
      <c r="J461" t="s">
        <v>9778</v>
      </c>
    </row>
    <row r="462" spans="1:10" x14ac:dyDescent="0.35">
      <c r="A462" t="s">
        <v>934</v>
      </c>
      <c r="B462" t="s">
        <v>9779</v>
      </c>
      <c r="C462" t="s">
        <v>8961</v>
      </c>
      <c r="D462" t="s">
        <v>9780</v>
      </c>
      <c r="F462" t="s">
        <v>1071</v>
      </c>
      <c r="G462" t="s">
        <v>236</v>
      </c>
      <c r="H462">
        <v>73003</v>
      </c>
      <c r="I462">
        <v>84772312</v>
      </c>
      <c r="J462" t="s">
        <v>9781</v>
      </c>
    </row>
    <row r="463" spans="1:10" x14ac:dyDescent="0.35">
      <c r="A463" t="s">
        <v>564</v>
      </c>
      <c r="B463" t="s">
        <v>9782</v>
      </c>
      <c r="C463" t="s">
        <v>9783</v>
      </c>
      <c r="D463" t="s">
        <v>9784</v>
      </c>
      <c r="F463" t="s">
        <v>235</v>
      </c>
      <c r="G463" t="s">
        <v>236</v>
      </c>
      <c r="H463">
        <v>73159</v>
      </c>
      <c r="I463">
        <v>102111376</v>
      </c>
      <c r="J463" t="s">
        <v>9785</v>
      </c>
    </row>
    <row r="464" spans="1:10" x14ac:dyDescent="0.35">
      <c r="A464" t="s">
        <v>9786</v>
      </c>
      <c r="B464" t="s">
        <v>9787</v>
      </c>
      <c r="C464" t="s">
        <v>9788</v>
      </c>
      <c r="D464" t="s">
        <v>9789</v>
      </c>
      <c r="F464" t="s">
        <v>174</v>
      </c>
      <c r="G464" t="s">
        <v>139</v>
      </c>
      <c r="H464">
        <v>2169</v>
      </c>
      <c r="I464">
        <v>92985421</v>
      </c>
      <c r="J464" t="s">
        <v>9790</v>
      </c>
    </row>
    <row r="465" spans="1:10" x14ac:dyDescent="0.35">
      <c r="A465" t="s">
        <v>9791</v>
      </c>
      <c r="B465" t="s">
        <v>9792</v>
      </c>
      <c r="C465" t="s">
        <v>9793</v>
      </c>
      <c r="D465" t="s">
        <v>9794</v>
      </c>
      <c r="F465" t="s">
        <v>82</v>
      </c>
      <c r="G465" t="s">
        <v>74</v>
      </c>
      <c r="H465">
        <v>32413</v>
      </c>
      <c r="I465">
        <v>30038107</v>
      </c>
      <c r="J465" t="s">
        <v>9795</v>
      </c>
    </row>
    <row r="466" spans="1:10" x14ac:dyDescent="0.35">
      <c r="A466" t="s">
        <v>1262</v>
      </c>
      <c r="B466" t="s">
        <v>9796</v>
      </c>
      <c r="C466" t="s">
        <v>9797</v>
      </c>
      <c r="D466" t="s">
        <v>9798</v>
      </c>
      <c r="F466" t="s">
        <v>3221</v>
      </c>
      <c r="G466" t="s">
        <v>51</v>
      </c>
      <c r="H466">
        <v>94546</v>
      </c>
      <c r="I466">
        <v>129680987</v>
      </c>
      <c r="J466" t="s">
        <v>9799</v>
      </c>
    </row>
    <row r="467" spans="1:10" x14ac:dyDescent="0.35">
      <c r="A467" t="s">
        <v>992</v>
      </c>
      <c r="B467" t="s">
        <v>9800</v>
      </c>
      <c r="C467" t="s">
        <v>9801</v>
      </c>
      <c r="D467" t="s">
        <v>9802</v>
      </c>
      <c r="E467" t="s">
        <v>9803</v>
      </c>
      <c r="F467" t="s">
        <v>1391</v>
      </c>
      <c r="G467" t="s">
        <v>36</v>
      </c>
      <c r="H467">
        <v>31404</v>
      </c>
      <c r="I467">
        <v>119726466</v>
      </c>
      <c r="J467" t="s">
        <v>9804</v>
      </c>
    </row>
    <row r="468" spans="1:10" x14ac:dyDescent="0.35">
      <c r="A468" t="s">
        <v>4586</v>
      </c>
      <c r="B468" t="s">
        <v>9805</v>
      </c>
      <c r="C468" t="s">
        <v>9806</v>
      </c>
      <c r="D468" t="s">
        <v>9807</v>
      </c>
      <c r="F468" t="s">
        <v>70</v>
      </c>
      <c r="G468" t="s">
        <v>31</v>
      </c>
      <c r="H468">
        <v>85301</v>
      </c>
      <c r="I468">
        <v>126070532</v>
      </c>
      <c r="J468" t="s">
        <v>9808</v>
      </c>
    </row>
    <row r="469" spans="1:10" x14ac:dyDescent="0.35">
      <c r="A469" t="s">
        <v>1688</v>
      </c>
      <c r="B469" t="s">
        <v>9809</v>
      </c>
      <c r="C469" t="s">
        <v>9810</v>
      </c>
      <c r="D469" t="s">
        <v>8677</v>
      </c>
      <c r="F469" t="s">
        <v>235</v>
      </c>
      <c r="G469" t="s">
        <v>236</v>
      </c>
      <c r="H469">
        <v>73173</v>
      </c>
      <c r="I469">
        <v>100348853</v>
      </c>
      <c r="J469" t="s">
        <v>9811</v>
      </c>
    </row>
    <row r="470" spans="1:10" x14ac:dyDescent="0.35">
      <c r="A470" t="s">
        <v>1103</v>
      </c>
      <c r="B470" t="s">
        <v>9812</v>
      </c>
      <c r="C470" t="s">
        <v>9813</v>
      </c>
      <c r="D470" t="s">
        <v>9814</v>
      </c>
      <c r="F470" t="s">
        <v>130</v>
      </c>
      <c r="G470" t="s">
        <v>123</v>
      </c>
      <c r="H470">
        <v>20012</v>
      </c>
      <c r="I470">
        <v>84826394</v>
      </c>
      <c r="J470" t="s">
        <v>9815</v>
      </c>
    </row>
    <row r="471" spans="1:10" x14ac:dyDescent="0.35">
      <c r="A471" t="s">
        <v>659</v>
      </c>
      <c r="B471" t="s">
        <v>9816</v>
      </c>
      <c r="C471" t="s">
        <v>9817</v>
      </c>
      <c r="D471" t="s">
        <v>9818</v>
      </c>
      <c r="F471" t="s">
        <v>112</v>
      </c>
      <c r="G471" t="s">
        <v>106</v>
      </c>
      <c r="H471">
        <v>99515</v>
      </c>
      <c r="I471">
        <v>44283207</v>
      </c>
      <c r="J471" t="s">
        <v>9819</v>
      </c>
    </row>
    <row r="472" spans="1:10" x14ac:dyDescent="0.35">
      <c r="A472" t="s">
        <v>2014</v>
      </c>
      <c r="B472" t="s">
        <v>9820</v>
      </c>
      <c r="C472" t="s">
        <v>9821</v>
      </c>
      <c r="D472" t="s">
        <v>8580</v>
      </c>
      <c r="F472" t="s">
        <v>830</v>
      </c>
      <c r="G472" t="s">
        <v>51</v>
      </c>
      <c r="H472">
        <v>94536</v>
      </c>
      <c r="I472">
        <v>22623258</v>
      </c>
      <c r="J472" t="s">
        <v>9822</v>
      </c>
    </row>
    <row r="473" spans="1:10" x14ac:dyDescent="0.35">
      <c r="A473" t="s">
        <v>3150</v>
      </c>
      <c r="B473" t="s">
        <v>9823</v>
      </c>
      <c r="C473" t="s">
        <v>9824</v>
      </c>
      <c r="D473" t="s">
        <v>9825</v>
      </c>
      <c r="F473" t="s">
        <v>2715</v>
      </c>
      <c r="G473" t="s">
        <v>51</v>
      </c>
      <c r="H473">
        <v>94610</v>
      </c>
      <c r="I473">
        <v>20030047</v>
      </c>
      <c r="J473" t="s">
        <v>9826</v>
      </c>
    </row>
    <row r="474" spans="1:10" x14ac:dyDescent="0.35">
      <c r="A474" t="s">
        <v>1453</v>
      </c>
      <c r="B474" t="s">
        <v>9827</v>
      </c>
      <c r="C474" t="s">
        <v>9828</v>
      </c>
      <c r="D474" t="s">
        <v>9829</v>
      </c>
      <c r="F474" t="s">
        <v>63</v>
      </c>
      <c r="G474" t="s">
        <v>64</v>
      </c>
      <c r="H474">
        <v>37115</v>
      </c>
      <c r="I474">
        <v>38745007</v>
      </c>
      <c r="J474" t="s">
        <v>9830</v>
      </c>
    </row>
    <row r="475" spans="1:10" x14ac:dyDescent="0.35">
      <c r="A475" t="s">
        <v>1753</v>
      </c>
      <c r="B475" t="s">
        <v>9831</v>
      </c>
      <c r="C475" t="s">
        <v>9832</v>
      </c>
      <c r="D475" t="s">
        <v>9833</v>
      </c>
      <c r="F475" t="s">
        <v>262</v>
      </c>
      <c r="G475" t="s">
        <v>147</v>
      </c>
      <c r="H475">
        <v>5841</v>
      </c>
      <c r="I475">
        <v>87092219</v>
      </c>
      <c r="J475" t="s">
        <v>9834</v>
      </c>
    </row>
    <row r="476" spans="1:10" x14ac:dyDescent="0.35">
      <c r="A476" t="s">
        <v>9835</v>
      </c>
      <c r="B476" t="s">
        <v>9836</v>
      </c>
      <c r="C476" t="s">
        <v>9837</v>
      </c>
      <c r="D476" t="s">
        <v>9838</v>
      </c>
      <c r="F476" t="s">
        <v>63</v>
      </c>
      <c r="G476" t="s">
        <v>64</v>
      </c>
      <c r="H476">
        <v>37217</v>
      </c>
      <c r="I476">
        <v>78046478</v>
      </c>
      <c r="J476" t="s">
        <v>9839</v>
      </c>
    </row>
    <row r="477" spans="1:10" x14ac:dyDescent="0.35">
      <c r="A477" t="s">
        <v>426</v>
      </c>
      <c r="B477" t="s">
        <v>9840</v>
      </c>
      <c r="C477" t="s">
        <v>9841</v>
      </c>
      <c r="D477" t="s">
        <v>9842</v>
      </c>
      <c r="F477" t="s">
        <v>2715</v>
      </c>
      <c r="G477" t="s">
        <v>51</v>
      </c>
      <c r="H477">
        <v>94610</v>
      </c>
      <c r="I477">
        <v>58706314</v>
      </c>
      <c r="J477" t="s">
        <v>9843</v>
      </c>
    </row>
    <row r="478" spans="1:10" x14ac:dyDescent="0.35">
      <c r="A478" t="s">
        <v>882</v>
      </c>
      <c r="B478" t="s">
        <v>9844</v>
      </c>
      <c r="C478" t="s">
        <v>9845</v>
      </c>
      <c r="D478" t="s">
        <v>9846</v>
      </c>
      <c r="F478" t="s">
        <v>124</v>
      </c>
      <c r="G478" t="s">
        <v>117</v>
      </c>
      <c r="H478">
        <v>72701</v>
      </c>
      <c r="I478">
        <v>40725031</v>
      </c>
      <c r="J478" t="s">
        <v>9847</v>
      </c>
    </row>
    <row r="479" spans="1:10" x14ac:dyDescent="0.35">
      <c r="A479" t="s">
        <v>533</v>
      </c>
      <c r="B479" t="s">
        <v>9848</v>
      </c>
      <c r="C479" t="s">
        <v>9849</v>
      </c>
      <c r="D479" t="s">
        <v>9850</v>
      </c>
      <c r="F479" t="s">
        <v>209</v>
      </c>
      <c r="G479" t="s">
        <v>74</v>
      </c>
      <c r="H479">
        <v>32401</v>
      </c>
      <c r="I479">
        <v>82681308</v>
      </c>
      <c r="J479" t="s">
        <v>9851</v>
      </c>
    </row>
    <row r="480" spans="1:10" x14ac:dyDescent="0.35">
      <c r="A480" t="s">
        <v>6634</v>
      </c>
      <c r="B480" t="s">
        <v>9852</v>
      </c>
      <c r="C480" t="s">
        <v>9853</v>
      </c>
      <c r="D480" t="s">
        <v>9854</v>
      </c>
      <c r="F480" t="s">
        <v>9855</v>
      </c>
      <c r="G480" t="s">
        <v>147</v>
      </c>
      <c r="H480">
        <v>5491</v>
      </c>
      <c r="I480">
        <v>10302727</v>
      </c>
      <c r="J480" t="s">
        <v>9856</v>
      </c>
    </row>
    <row r="481" spans="1:10" x14ac:dyDescent="0.35">
      <c r="A481" t="s">
        <v>2140</v>
      </c>
      <c r="B481" t="s">
        <v>9857</v>
      </c>
      <c r="C481" t="s">
        <v>9858</v>
      </c>
      <c r="D481" t="s">
        <v>9859</v>
      </c>
      <c r="F481" t="s">
        <v>429</v>
      </c>
      <c r="G481" t="s">
        <v>236</v>
      </c>
      <c r="H481">
        <v>73160</v>
      </c>
      <c r="I481">
        <v>42493060</v>
      </c>
      <c r="J481" t="s">
        <v>9860</v>
      </c>
    </row>
    <row r="482" spans="1:10" x14ac:dyDescent="0.35">
      <c r="A482" t="s">
        <v>3418</v>
      </c>
      <c r="B482" t="s">
        <v>9861</v>
      </c>
      <c r="C482" t="s">
        <v>9862</v>
      </c>
      <c r="D482" t="s">
        <v>9863</v>
      </c>
      <c r="F482" t="s">
        <v>4976</v>
      </c>
      <c r="G482" t="s">
        <v>97</v>
      </c>
      <c r="H482">
        <v>21225</v>
      </c>
      <c r="I482">
        <v>127918703</v>
      </c>
      <c r="J482" t="s">
        <v>9864</v>
      </c>
    </row>
    <row r="483" spans="1:10" x14ac:dyDescent="0.35">
      <c r="A483" t="s">
        <v>1051</v>
      </c>
      <c r="B483" t="s">
        <v>9865</v>
      </c>
      <c r="C483" t="s">
        <v>9866</v>
      </c>
      <c r="D483" t="s">
        <v>8659</v>
      </c>
      <c r="F483" t="s">
        <v>6615</v>
      </c>
      <c r="G483" t="s">
        <v>51</v>
      </c>
      <c r="H483">
        <v>93644</v>
      </c>
      <c r="I483">
        <v>39133838</v>
      </c>
      <c r="J483" t="s">
        <v>9867</v>
      </c>
    </row>
    <row r="484" spans="1:10" x14ac:dyDescent="0.35">
      <c r="A484" t="s">
        <v>9868</v>
      </c>
      <c r="B484" t="s">
        <v>9869</v>
      </c>
      <c r="C484" t="s">
        <v>9870</v>
      </c>
      <c r="D484" t="s">
        <v>9871</v>
      </c>
      <c r="F484" t="s">
        <v>107</v>
      </c>
      <c r="G484" t="s">
        <v>87</v>
      </c>
      <c r="H484">
        <v>40245</v>
      </c>
      <c r="I484">
        <v>88548490</v>
      </c>
      <c r="J484" t="s">
        <v>9872</v>
      </c>
    </row>
    <row r="485" spans="1:10" x14ac:dyDescent="0.35">
      <c r="A485" t="s">
        <v>438</v>
      </c>
      <c r="B485" t="s">
        <v>9873</v>
      </c>
      <c r="C485" t="s">
        <v>9874</v>
      </c>
      <c r="D485" t="s">
        <v>9875</v>
      </c>
      <c r="F485" t="s">
        <v>9876</v>
      </c>
      <c r="G485" t="s">
        <v>51</v>
      </c>
      <c r="H485">
        <v>94530</v>
      </c>
      <c r="I485">
        <v>53663122</v>
      </c>
      <c r="J485" t="s">
        <v>9877</v>
      </c>
    </row>
    <row r="486" spans="1:10" x14ac:dyDescent="0.35">
      <c r="A486" t="s">
        <v>4163</v>
      </c>
      <c r="B486" t="s">
        <v>9878</v>
      </c>
      <c r="C486" t="s">
        <v>9879</v>
      </c>
      <c r="D486" t="s">
        <v>9880</v>
      </c>
      <c r="F486" t="s">
        <v>1918</v>
      </c>
      <c r="G486" t="s">
        <v>31</v>
      </c>
      <c r="H486">
        <v>85208</v>
      </c>
      <c r="I486">
        <v>124926565</v>
      </c>
      <c r="J486" t="s">
        <v>9881</v>
      </c>
    </row>
    <row r="487" spans="1:10" x14ac:dyDescent="0.35">
      <c r="A487" t="s">
        <v>3304</v>
      </c>
      <c r="B487" t="s">
        <v>9882</v>
      </c>
      <c r="C487" t="s">
        <v>9883</v>
      </c>
      <c r="D487" t="s">
        <v>8310</v>
      </c>
      <c r="E487" t="s">
        <v>7938</v>
      </c>
      <c r="F487" t="s">
        <v>118</v>
      </c>
      <c r="G487" t="s">
        <v>42</v>
      </c>
      <c r="H487">
        <v>80004</v>
      </c>
      <c r="I487">
        <v>67184875</v>
      </c>
      <c r="J487" t="s">
        <v>9884</v>
      </c>
    </row>
    <row r="488" spans="1:10" x14ac:dyDescent="0.35">
      <c r="A488" t="s">
        <v>2597</v>
      </c>
      <c r="B488" t="s">
        <v>9885</v>
      </c>
      <c r="C488" t="s">
        <v>8191</v>
      </c>
      <c r="D488" t="s">
        <v>8531</v>
      </c>
      <c r="F488" t="s">
        <v>112</v>
      </c>
      <c r="G488" t="s">
        <v>106</v>
      </c>
      <c r="H488">
        <v>99501</v>
      </c>
      <c r="I488">
        <v>31829713</v>
      </c>
      <c r="J488" t="s">
        <v>9886</v>
      </c>
    </row>
    <row r="489" spans="1:10" x14ac:dyDescent="0.35">
      <c r="A489" t="s">
        <v>2529</v>
      </c>
      <c r="B489" t="s">
        <v>9887</v>
      </c>
      <c r="C489" t="s">
        <v>9888</v>
      </c>
      <c r="D489" t="s">
        <v>9889</v>
      </c>
      <c r="F489" t="s">
        <v>235</v>
      </c>
      <c r="G489" t="s">
        <v>236</v>
      </c>
      <c r="H489">
        <v>73103</v>
      </c>
      <c r="I489">
        <v>43339071</v>
      </c>
      <c r="J489" t="s">
        <v>9890</v>
      </c>
    </row>
    <row r="490" spans="1:10" x14ac:dyDescent="0.35">
      <c r="A490" t="s">
        <v>3332</v>
      </c>
      <c r="B490" t="s">
        <v>9891</v>
      </c>
      <c r="C490" t="s">
        <v>9892</v>
      </c>
      <c r="D490" t="s">
        <v>9893</v>
      </c>
      <c r="E490" t="s">
        <v>9894</v>
      </c>
      <c r="F490" t="s">
        <v>1589</v>
      </c>
      <c r="G490" t="s">
        <v>139</v>
      </c>
      <c r="H490">
        <v>2151</v>
      </c>
      <c r="I490">
        <v>119778485</v>
      </c>
      <c r="J490" t="s">
        <v>9895</v>
      </c>
    </row>
    <row r="491" spans="1:10" x14ac:dyDescent="0.35">
      <c r="A491" t="s">
        <v>2357</v>
      </c>
      <c r="B491" t="s">
        <v>9896</v>
      </c>
      <c r="C491" t="s">
        <v>9897</v>
      </c>
      <c r="D491" t="s">
        <v>9898</v>
      </c>
      <c r="E491" t="s">
        <v>9899</v>
      </c>
      <c r="F491" t="s">
        <v>112</v>
      </c>
      <c r="G491" t="s">
        <v>106</v>
      </c>
      <c r="H491">
        <v>99503</v>
      </c>
      <c r="I491">
        <v>86722234</v>
      </c>
      <c r="J491" t="s">
        <v>9900</v>
      </c>
    </row>
    <row r="492" spans="1:10" x14ac:dyDescent="0.35">
      <c r="A492" t="s">
        <v>3550</v>
      </c>
      <c r="B492" t="s">
        <v>9901</v>
      </c>
      <c r="C492" t="s">
        <v>9902</v>
      </c>
      <c r="D492" t="s">
        <v>9903</v>
      </c>
      <c r="E492" t="s">
        <v>9904</v>
      </c>
      <c r="F492" t="s">
        <v>107</v>
      </c>
      <c r="G492" t="s">
        <v>87</v>
      </c>
      <c r="H492">
        <v>40118</v>
      </c>
      <c r="I492">
        <v>12485367</v>
      </c>
      <c r="J492" t="s">
        <v>9905</v>
      </c>
    </row>
    <row r="493" spans="1:10" x14ac:dyDescent="0.35">
      <c r="A493" t="s">
        <v>144</v>
      </c>
      <c r="B493" t="s">
        <v>9906</v>
      </c>
      <c r="C493" t="s">
        <v>9907</v>
      </c>
      <c r="D493" t="s">
        <v>9908</v>
      </c>
      <c r="F493" t="s">
        <v>70</v>
      </c>
      <c r="G493" t="s">
        <v>31</v>
      </c>
      <c r="H493">
        <v>85302</v>
      </c>
      <c r="I493">
        <v>73241650</v>
      </c>
      <c r="J493" t="s">
        <v>9909</v>
      </c>
    </row>
    <row r="494" spans="1:10" x14ac:dyDescent="0.35">
      <c r="A494" t="s">
        <v>489</v>
      </c>
      <c r="B494" t="s">
        <v>9910</v>
      </c>
      <c r="C494" t="s">
        <v>9911</v>
      </c>
      <c r="D494" t="s">
        <v>9912</v>
      </c>
      <c r="E494" t="s">
        <v>9913</v>
      </c>
      <c r="F494" t="s">
        <v>107</v>
      </c>
      <c r="G494" t="s">
        <v>87</v>
      </c>
      <c r="H494">
        <v>40208</v>
      </c>
      <c r="I494">
        <v>15153162</v>
      </c>
      <c r="J494" t="s">
        <v>9914</v>
      </c>
    </row>
    <row r="495" spans="1:10" x14ac:dyDescent="0.35">
      <c r="A495" t="s">
        <v>1152</v>
      </c>
      <c r="B495" t="s">
        <v>9915</v>
      </c>
      <c r="C495" t="s">
        <v>9916</v>
      </c>
      <c r="D495" t="s">
        <v>9917</v>
      </c>
      <c r="F495" t="s">
        <v>830</v>
      </c>
      <c r="G495" t="s">
        <v>51</v>
      </c>
      <c r="H495">
        <v>94536</v>
      </c>
      <c r="I495">
        <v>19890489</v>
      </c>
      <c r="J495" t="s">
        <v>9918</v>
      </c>
    </row>
    <row r="496" spans="1:10" x14ac:dyDescent="0.35">
      <c r="A496" t="s">
        <v>7160</v>
      </c>
      <c r="B496" t="s">
        <v>9919</v>
      </c>
      <c r="C496" t="s">
        <v>9920</v>
      </c>
      <c r="D496" t="s">
        <v>9921</v>
      </c>
      <c r="F496" t="s">
        <v>63</v>
      </c>
      <c r="G496" t="s">
        <v>64</v>
      </c>
      <c r="H496">
        <v>37218</v>
      </c>
      <c r="I496">
        <v>115424911</v>
      </c>
      <c r="J496" t="s">
        <v>9922</v>
      </c>
    </row>
    <row r="497" spans="1:10" x14ac:dyDescent="0.35">
      <c r="A497" t="s">
        <v>3023</v>
      </c>
      <c r="B497" t="s">
        <v>9923</v>
      </c>
      <c r="C497" t="s">
        <v>9924</v>
      </c>
      <c r="D497" t="s">
        <v>9925</v>
      </c>
      <c r="E497" t="s">
        <v>9926</v>
      </c>
      <c r="F497" t="s">
        <v>35</v>
      </c>
      <c r="G497" t="s">
        <v>36</v>
      </c>
      <c r="H497">
        <v>31404</v>
      </c>
      <c r="I497">
        <v>125602642</v>
      </c>
      <c r="J497" t="s">
        <v>9927</v>
      </c>
    </row>
    <row r="498" spans="1:10" x14ac:dyDescent="0.35">
      <c r="A498" t="s">
        <v>3774</v>
      </c>
      <c r="B498" t="s">
        <v>9928</v>
      </c>
      <c r="C498" t="s">
        <v>9929</v>
      </c>
      <c r="D498" t="s">
        <v>8873</v>
      </c>
      <c r="F498" t="s">
        <v>107</v>
      </c>
      <c r="G498" t="s">
        <v>87</v>
      </c>
      <c r="H498">
        <v>40214</v>
      </c>
      <c r="I498">
        <v>65297311</v>
      </c>
      <c r="J498" t="s">
        <v>9930</v>
      </c>
    </row>
    <row r="499" spans="1:10" x14ac:dyDescent="0.35">
      <c r="A499" t="s">
        <v>1163</v>
      </c>
      <c r="B499" t="s">
        <v>9931</v>
      </c>
      <c r="C499" t="s">
        <v>9932</v>
      </c>
      <c r="D499" t="s">
        <v>9933</v>
      </c>
      <c r="E499" t="s">
        <v>9614</v>
      </c>
      <c r="F499" t="s">
        <v>107</v>
      </c>
      <c r="G499" t="s">
        <v>87</v>
      </c>
      <c r="H499">
        <v>40212</v>
      </c>
      <c r="I499">
        <v>96545650</v>
      </c>
      <c r="J499" t="s">
        <v>9934</v>
      </c>
    </row>
    <row r="500" spans="1:10" x14ac:dyDescent="0.35">
      <c r="A500" t="s">
        <v>931</v>
      </c>
      <c r="B500" t="s">
        <v>9935</v>
      </c>
      <c r="C500" t="s">
        <v>9936</v>
      </c>
      <c r="D500" t="s">
        <v>9033</v>
      </c>
      <c r="F500" t="s">
        <v>589</v>
      </c>
      <c r="G500" t="s">
        <v>147</v>
      </c>
      <c r="H500">
        <v>5075</v>
      </c>
      <c r="I500">
        <v>119290141</v>
      </c>
      <c r="J500" t="s">
        <v>9937</v>
      </c>
    </row>
    <row r="501" spans="1:10" x14ac:dyDescent="0.35">
      <c r="A501" t="s">
        <v>6783</v>
      </c>
      <c r="B501" t="s">
        <v>9938</v>
      </c>
      <c r="C501" t="s">
        <v>9939</v>
      </c>
      <c r="D501" t="s">
        <v>9634</v>
      </c>
      <c r="F501" t="s">
        <v>9635</v>
      </c>
      <c r="G501" t="s">
        <v>147</v>
      </c>
      <c r="H501">
        <v>5048</v>
      </c>
      <c r="I501">
        <v>122430545</v>
      </c>
      <c r="J501" t="s">
        <v>9940</v>
      </c>
    </row>
    <row r="502" spans="1:10" x14ac:dyDescent="0.35">
      <c r="A502" t="s">
        <v>2445</v>
      </c>
      <c r="B502" t="s">
        <v>9941</v>
      </c>
      <c r="C502" t="s">
        <v>9942</v>
      </c>
      <c r="D502" t="s">
        <v>9943</v>
      </c>
      <c r="F502" t="s">
        <v>35</v>
      </c>
      <c r="G502" t="s">
        <v>36</v>
      </c>
      <c r="H502">
        <v>31406</v>
      </c>
      <c r="I502">
        <v>57474566</v>
      </c>
      <c r="J502" t="s">
        <v>9944</v>
      </c>
    </row>
    <row r="503" spans="1:10" x14ac:dyDescent="0.35">
      <c r="A503" t="s">
        <v>9945</v>
      </c>
      <c r="B503" t="s">
        <v>9946</v>
      </c>
      <c r="C503" t="s">
        <v>9947</v>
      </c>
      <c r="D503" t="s">
        <v>9948</v>
      </c>
      <c r="F503" t="s">
        <v>130</v>
      </c>
      <c r="G503" t="s">
        <v>123</v>
      </c>
      <c r="H503">
        <v>20016</v>
      </c>
      <c r="I503">
        <v>53403036</v>
      </c>
      <c r="J503" t="s">
        <v>9949</v>
      </c>
    </row>
    <row r="504" spans="1:10" x14ac:dyDescent="0.35">
      <c r="A504" t="s">
        <v>2363</v>
      </c>
      <c r="B504" t="s">
        <v>9950</v>
      </c>
      <c r="C504" t="s">
        <v>9951</v>
      </c>
      <c r="D504" t="s">
        <v>9952</v>
      </c>
      <c r="F504" t="s">
        <v>118</v>
      </c>
      <c r="G504" t="s">
        <v>42</v>
      </c>
      <c r="H504">
        <v>80002</v>
      </c>
      <c r="I504">
        <v>39424987</v>
      </c>
      <c r="J504" t="s">
        <v>9953</v>
      </c>
    </row>
    <row r="505" spans="1:10" x14ac:dyDescent="0.35">
      <c r="A505" t="s">
        <v>2968</v>
      </c>
      <c r="B505" t="s">
        <v>9954</v>
      </c>
      <c r="C505" t="s">
        <v>9955</v>
      </c>
      <c r="D505" t="s">
        <v>8134</v>
      </c>
      <c r="F505" t="s">
        <v>130</v>
      </c>
      <c r="G505" t="s">
        <v>123</v>
      </c>
      <c r="H505">
        <v>20002</v>
      </c>
      <c r="I505">
        <v>75204857</v>
      </c>
      <c r="J505" t="s">
        <v>9956</v>
      </c>
    </row>
    <row r="506" spans="1:10" x14ac:dyDescent="0.35">
      <c r="A506" t="s">
        <v>2123</v>
      </c>
      <c r="B506" t="s">
        <v>9957</v>
      </c>
      <c r="C506" t="s">
        <v>9958</v>
      </c>
      <c r="D506" t="s">
        <v>9959</v>
      </c>
      <c r="F506" t="s">
        <v>4378</v>
      </c>
      <c r="G506" t="s">
        <v>147</v>
      </c>
      <c r="H506">
        <v>5452</v>
      </c>
      <c r="I506">
        <v>58416219</v>
      </c>
      <c r="J506" t="s">
        <v>9960</v>
      </c>
    </row>
    <row r="507" spans="1:10" x14ac:dyDescent="0.35">
      <c r="A507" t="s">
        <v>3089</v>
      </c>
      <c r="B507" t="s">
        <v>9961</v>
      </c>
      <c r="C507" t="s">
        <v>9962</v>
      </c>
      <c r="D507" t="s">
        <v>9963</v>
      </c>
      <c r="F507" t="s">
        <v>45</v>
      </c>
      <c r="G507" t="s">
        <v>46</v>
      </c>
      <c r="H507">
        <v>36117</v>
      </c>
      <c r="I507">
        <v>18339226</v>
      </c>
      <c r="J507" t="s">
        <v>9964</v>
      </c>
    </row>
    <row r="508" spans="1:10" x14ac:dyDescent="0.35">
      <c r="A508" t="s">
        <v>3323</v>
      </c>
      <c r="B508" t="s">
        <v>9965</v>
      </c>
      <c r="C508" t="s">
        <v>9966</v>
      </c>
      <c r="D508" t="s">
        <v>9967</v>
      </c>
      <c r="F508" t="s">
        <v>118</v>
      </c>
      <c r="G508" t="s">
        <v>42</v>
      </c>
      <c r="H508">
        <v>80004</v>
      </c>
      <c r="I508">
        <v>125138158</v>
      </c>
      <c r="J508" t="s">
        <v>9968</v>
      </c>
    </row>
    <row r="509" spans="1:10" x14ac:dyDescent="0.35">
      <c r="A509" t="s">
        <v>2489</v>
      </c>
      <c r="B509" t="s">
        <v>9969</v>
      </c>
      <c r="C509" t="s">
        <v>9970</v>
      </c>
      <c r="D509" t="s">
        <v>9971</v>
      </c>
      <c r="F509" t="s">
        <v>2855</v>
      </c>
      <c r="G509" t="s">
        <v>139</v>
      </c>
      <c r="H509">
        <v>1876</v>
      </c>
      <c r="I509">
        <v>39814212</v>
      </c>
      <c r="J509" t="s">
        <v>9972</v>
      </c>
    </row>
    <row r="510" spans="1:10" x14ac:dyDescent="0.35">
      <c r="A510" t="s">
        <v>3370</v>
      </c>
      <c r="B510" t="s">
        <v>9973</v>
      </c>
      <c r="C510" t="s">
        <v>9974</v>
      </c>
      <c r="D510" t="s">
        <v>9975</v>
      </c>
      <c r="F510" t="s">
        <v>6323</v>
      </c>
      <c r="G510" t="s">
        <v>51</v>
      </c>
      <c r="H510">
        <v>95691</v>
      </c>
      <c r="I510">
        <v>32860454</v>
      </c>
      <c r="J510" t="s">
        <v>9976</v>
      </c>
    </row>
    <row r="511" spans="1:10" x14ac:dyDescent="0.35">
      <c r="A511" t="s">
        <v>6060</v>
      </c>
      <c r="B511" t="s">
        <v>9977</v>
      </c>
      <c r="C511" t="s">
        <v>9978</v>
      </c>
      <c r="D511" t="s">
        <v>8829</v>
      </c>
      <c r="F511" t="s">
        <v>75</v>
      </c>
      <c r="G511" t="s">
        <v>76</v>
      </c>
      <c r="H511">
        <v>6040</v>
      </c>
      <c r="I511">
        <v>95733968</v>
      </c>
      <c r="J511" t="s">
        <v>9979</v>
      </c>
    </row>
    <row r="512" spans="1:10" x14ac:dyDescent="0.35">
      <c r="A512" t="s">
        <v>1787</v>
      </c>
      <c r="B512" t="s">
        <v>9980</v>
      </c>
      <c r="C512" t="s">
        <v>9981</v>
      </c>
      <c r="D512" t="s">
        <v>9982</v>
      </c>
      <c r="F512" t="s">
        <v>1679</v>
      </c>
      <c r="G512" t="s">
        <v>236</v>
      </c>
      <c r="H512">
        <v>73008</v>
      </c>
      <c r="I512">
        <v>56023015</v>
      </c>
      <c r="J512" t="s">
        <v>9983</v>
      </c>
    </row>
    <row r="513" spans="1:10" x14ac:dyDescent="0.35">
      <c r="A513" t="s">
        <v>2376</v>
      </c>
      <c r="B513" t="s">
        <v>9984</v>
      </c>
      <c r="C513" t="s">
        <v>9985</v>
      </c>
      <c r="D513" t="s">
        <v>9986</v>
      </c>
      <c r="F513" t="s">
        <v>107</v>
      </c>
      <c r="G513" t="s">
        <v>87</v>
      </c>
      <c r="H513">
        <v>40209</v>
      </c>
      <c r="I513">
        <v>94546473</v>
      </c>
      <c r="J513" t="s">
        <v>9987</v>
      </c>
    </row>
    <row r="514" spans="1:10" x14ac:dyDescent="0.35">
      <c r="A514" t="s">
        <v>4056</v>
      </c>
      <c r="B514" t="s">
        <v>9988</v>
      </c>
      <c r="C514" t="s">
        <v>9989</v>
      </c>
      <c r="D514" t="s">
        <v>9990</v>
      </c>
      <c r="F514" t="s">
        <v>278</v>
      </c>
      <c r="G514" t="s">
        <v>97</v>
      </c>
      <c r="H514">
        <v>21061</v>
      </c>
      <c r="I514">
        <v>62202396</v>
      </c>
      <c r="J514" t="s">
        <v>9991</v>
      </c>
    </row>
    <row r="515" spans="1:10" x14ac:dyDescent="0.35">
      <c r="A515" t="s">
        <v>6915</v>
      </c>
      <c r="B515" t="s">
        <v>9992</v>
      </c>
      <c r="C515" t="s">
        <v>9993</v>
      </c>
      <c r="D515" t="s">
        <v>9994</v>
      </c>
      <c r="F515" t="s">
        <v>9995</v>
      </c>
      <c r="G515" t="s">
        <v>139</v>
      </c>
      <c r="H515">
        <v>2332</v>
      </c>
      <c r="I515">
        <v>51883441</v>
      </c>
      <c r="J515" t="s">
        <v>9996</v>
      </c>
    </row>
    <row r="516" spans="1:10" x14ac:dyDescent="0.35">
      <c r="A516" t="s">
        <v>3735</v>
      </c>
      <c r="B516" t="s">
        <v>9997</v>
      </c>
      <c r="C516" t="s">
        <v>9998</v>
      </c>
      <c r="D516" t="s">
        <v>9999</v>
      </c>
      <c r="F516" t="s">
        <v>130</v>
      </c>
      <c r="G516" t="s">
        <v>123</v>
      </c>
      <c r="H516">
        <v>20001</v>
      </c>
      <c r="I516">
        <v>79035352</v>
      </c>
      <c r="J516" t="s">
        <v>10000</v>
      </c>
    </row>
    <row r="517" spans="1:10" x14ac:dyDescent="0.35">
      <c r="A517" t="s">
        <v>4855</v>
      </c>
      <c r="B517" t="s">
        <v>10001</v>
      </c>
      <c r="C517" t="s">
        <v>8196</v>
      </c>
      <c r="D517" t="s">
        <v>10002</v>
      </c>
      <c r="F517" t="s">
        <v>70</v>
      </c>
      <c r="G517" t="s">
        <v>31</v>
      </c>
      <c r="H517">
        <v>85308</v>
      </c>
      <c r="I517">
        <v>19115685</v>
      </c>
      <c r="J517" t="s">
        <v>10003</v>
      </c>
    </row>
    <row r="518" spans="1:10" x14ac:dyDescent="0.35">
      <c r="A518" t="s">
        <v>294</v>
      </c>
      <c r="B518" t="s">
        <v>10004</v>
      </c>
      <c r="C518" t="s">
        <v>10005</v>
      </c>
      <c r="D518" t="s">
        <v>10006</v>
      </c>
      <c r="F518" t="s">
        <v>124</v>
      </c>
      <c r="G518" t="s">
        <v>117</v>
      </c>
      <c r="H518">
        <v>72704</v>
      </c>
      <c r="I518">
        <v>37825559</v>
      </c>
      <c r="J518" t="s">
        <v>10007</v>
      </c>
    </row>
    <row r="519" spans="1:10" x14ac:dyDescent="0.35">
      <c r="A519" t="s">
        <v>1701</v>
      </c>
      <c r="B519" t="s">
        <v>10008</v>
      </c>
      <c r="C519" t="s">
        <v>10009</v>
      </c>
      <c r="D519" t="s">
        <v>10010</v>
      </c>
      <c r="F519" t="s">
        <v>645</v>
      </c>
      <c r="G519" t="s">
        <v>147</v>
      </c>
      <c r="H519">
        <v>5761</v>
      </c>
      <c r="I519">
        <v>76889132</v>
      </c>
      <c r="J519" t="s">
        <v>10011</v>
      </c>
    </row>
    <row r="520" spans="1:10" x14ac:dyDescent="0.35">
      <c r="A520" t="s">
        <v>10012</v>
      </c>
      <c r="B520" t="s">
        <v>10013</v>
      </c>
      <c r="C520" t="s">
        <v>10014</v>
      </c>
      <c r="D520" t="s">
        <v>10015</v>
      </c>
      <c r="F520" t="s">
        <v>2708</v>
      </c>
      <c r="G520" t="s">
        <v>147</v>
      </c>
      <c r="H520">
        <v>5345</v>
      </c>
      <c r="I520">
        <v>113645776</v>
      </c>
      <c r="J520" t="s">
        <v>10016</v>
      </c>
    </row>
    <row r="521" spans="1:10" x14ac:dyDescent="0.35">
      <c r="A521" t="s">
        <v>617</v>
      </c>
      <c r="B521" t="s">
        <v>10017</v>
      </c>
      <c r="C521" t="s">
        <v>10018</v>
      </c>
      <c r="D521" t="s">
        <v>10019</v>
      </c>
      <c r="E521" t="s">
        <v>9224</v>
      </c>
      <c r="F521" t="s">
        <v>6024</v>
      </c>
      <c r="G521" t="s">
        <v>139</v>
      </c>
      <c r="H521">
        <v>1331</v>
      </c>
      <c r="I521">
        <v>110535779</v>
      </c>
      <c r="J521" t="s">
        <v>10020</v>
      </c>
    </row>
    <row r="522" spans="1:10" x14ac:dyDescent="0.35">
      <c r="A522" t="s">
        <v>7641</v>
      </c>
      <c r="B522" t="s">
        <v>10021</v>
      </c>
      <c r="C522" t="s">
        <v>10022</v>
      </c>
      <c r="D522" t="s">
        <v>10023</v>
      </c>
      <c r="E522" t="s">
        <v>10024</v>
      </c>
      <c r="F522" t="s">
        <v>697</v>
      </c>
      <c r="G522" t="s">
        <v>139</v>
      </c>
      <c r="H522">
        <v>1069</v>
      </c>
      <c r="I522">
        <v>95286949</v>
      </c>
      <c r="J522" t="s">
        <v>10025</v>
      </c>
    </row>
    <row r="523" spans="1:10" x14ac:dyDescent="0.35">
      <c r="A523" t="s">
        <v>3160</v>
      </c>
      <c r="B523" t="s">
        <v>10026</v>
      </c>
      <c r="C523" t="s">
        <v>10027</v>
      </c>
      <c r="D523" t="s">
        <v>10028</v>
      </c>
      <c r="F523" t="s">
        <v>235</v>
      </c>
      <c r="G523" t="s">
        <v>236</v>
      </c>
      <c r="H523">
        <v>73170</v>
      </c>
      <c r="I523">
        <v>102794751</v>
      </c>
      <c r="J523" t="s">
        <v>10029</v>
      </c>
    </row>
    <row r="524" spans="1:10" x14ac:dyDescent="0.35">
      <c r="A524" t="s">
        <v>1777</v>
      </c>
      <c r="B524" t="s">
        <v>10030</v>
      </c>
      <c r="C524" t="s">
        <v>9393</v>
      </c>
      <c r="D524" t="s">
        <v>10031</v>
      </c>
      <c r="E524" t="s">
        <v>9224</v>
      </c>
      <c r="F524" t="s">
        <v>888</v>
      </c>
      <c r="G524" t="s">
        <v>139</v>
      </c>
      <c r="H524">
        <v>2176</v>
      </c>
      <c r="I524">
        <v>36313156</v>
      </c>
      <c r="J524" t="s">
        <v>10032</v>
      </c>
    </row>
    <row r="525" spans="1:10" x14ac:dyDescent="0.35">
      <c r="A525" t="s">
        <v>4149</v>
      </c>
      <c r="B525" t="s">
        <v>10033</v>
      </c>
      <c r="C525" t="s">
        <v>10034</v>
      </c>
      <c r="D525" t="s">
        <v>9190</v>
      </c>
      <c r="F525" t="s">
        <v>45</v>
      </c>
      <c r="G525" t="s">
        <v>46</v>
      </c>
      <c r="H525">
        <v>36117</v>
      </c>
      <c r="I525">
        <v>67934588</v>
      </c>
      <c r="J525" t="s">
        <v>10035</v>
      </c>
    </row>
    <row r="526" spans="1:10" x14ac:dyDescent="0.35">
      <c r="A526" t="s">
        <v>746</v>
      </c>
      <c r="B526" t="s">
        <v>10036</v>
      </c>
      <c r="C526" t="s">
        <v>10037</v>
      </c>
      <c r="D526" t="s">
        <v>10038</v>
      </c>
      <c r="E526" t="s">
        <v>10039</v>
      </c>
      <c r="F526" t="s">
        <v>92</v>
      </c>
      <c r="G526" t="s">
        <v>51</v>
      </c>
      <c r="H526">
        <v>94578</v>
      </c>
      <c r="I526">
        <v>12224272</v>
      </c>
      <c r="J526" t="s">
        <v>10040</v>
      </c>
    </row>
    <row r="527" spans="1:10" x14ac:dyDescent="0.35">
      <c r="A527" t="s">
        <v>2168</v>
      </c>
      <c r="B527" t="s">
        <v>10041</v>
      </c>
      <c r="C527" t="s">
        <v>10042</v>
      </c>
      <c r="D527" t="s">
        <v>10043</v>
      </c>
      <c r="F527" t="s">
        <v>477</v>
      </c>
      <c r="G527" t="s">
        <v>51</v>
      </c>
      <c r="H527">
        <v>94544</v>
      </c>
      <c r="I527">
        <v>102872660</v>
      </c>
      <c r="J527" t="s">
        <v>10044</v>
      </c>
    </row>
    <row r="528" spans="1:10" x14ac:dyDescent="0.35">
      <c r="A528" t="s">
        <v>1340</v>
      </c>
      <c r="B528" t="s">
        <v>10045</v>
      </c>
      <c r="C528" t="s">
        <v>10046</v>
      </c>
      <c r="D528" t="s">
        <v>8422</v>
      </c>
      <c r="F528" t="s">
        <v>1375</v>
      </c>
      <c r="G528" t="s">
        <v>51</v>
      </c>
      <c r="H528">
        <v>90275</v>
      </c>
      <c r="I528">
        <v>33658429</v>
      </c>
      <c r="J528" t="s">
        <v>10047</v>
      </c>
    </row>
    <row r="529" spans="1:10" x14ac:dyDescent="0.35">
      <c r="A529" t="s">
        <v>4633</v>
      </c>
      <c r="B529" t="s">
        <v>10048</v>
      </c>
      <c r="C529" t="s">
        <v>10049</v>
      </c>
      <c r="D529" t="s">
        <v>10050</v>
      </c>
      <c r="E529" t="s">
        <v>9121</v>
      </c>
      <c r="F529" t="s">
        <v>839</v>
      </c>
      <c r="G529" t="s">
        <v>139</v>
      </c>
      <c r="H529">
        <v>2446</v>
      </c>
      <c r="I529">
        <v>39861456</v>
      </c>
      <c r="J529" t="s">
        <v>10051</v>
      </c>
    </row>
    <row r="530" spans="1:10" x14ac:dyDescent="0.35">
      <c r="A530" t="s">
        <v>5796</v>
      </c>
      <c r="B530" t="s">
        <v>10052</v>
      </c>
      <c r="C530" t="s">
        <v>10053</v>
      </c>
      <c r="D530" t="s">
        <v>10054</v>
      </c>
      <c r="F530" t="s">
        <v>523</v>
      </c>
      <c r="G530" t="s">
        <v>36</v>
      </c>
      <c r="H530">
        <v>31322</v>
      </c>
      <c r="I530">
        <v>20421847</v>
      </c>
      <c r="J530" t="s">
        <v>10055</v>
      </c>
    </row>
    <row r="531" spans="1:10" x14ac:dyDescent="0.35">
      <c r="A531" t="s">
        <v>1704</v>
      </c>
      <c r="B531" t="s">
        <v>10056</v>
      </c>
      <c r="C531" t="s">
        <v>10057</v>
      </c>
      <c r="D531" t="s">
        <v>10058</v>
      </c>
      <c r="F531" t="s">
        <v>107</v>
      </c>
      <c r="G531" t="s">
        <v>87</v>
      </c>
      <c r="H531">
        <v>40207</v>
      </c>
      <c r="I531">
        <v>99580340</v>
      </c>
      <c r="J531" t="s">
        <v>10059</v>
      </c>
    </row>
    <row r="532" spans="1:10" x14ac:dyDescent="0.35">
      <c r="A532" t="s">
        <v>1554</v>
      </c>
      <c r="B532" t="s">
        <v>10060</v>
      </c>
      <c r="C532" t="s">
        <v>10061</v>
      </c>
      <c r="D532" t="s">
        <v>10062</v>
      </c>
      <c r="F532" t="s">
        <v>35</v>
      </c>
      <c r="G532" t="s">
        <v>36</v>
      </c>
      <c r="H532">
        <v>31401</v>
      </c>
      <c r="I532">
        <v>52526312</v>
      </c>
      <c r="J532" t="s">
        <v>10063</v>
      </c>
    </row>
    <row r="533" spans="1:10" x14ac:dyDescent="0.35">
      <c r="A533" t="s">
        <v>3276</v>
      </c>
      <c r="B533" t="s">
        <v>10064</v>
      </c>
      <c r="C533" t="s">
        <v>10065</v>
      </c>
      <c r="D533" t="s">
        <v>10066</v>
      </c>
      <c r="E533" t="s">
        <v>10067</v>
      </c>
      <c r="F533" t="s">
        <v>10068</v>
      </c>
      <c r="G533" t="s">
        <v>51</v>
      </c>
      <c r="H533">
        <v>95003</v>
      </c>
      <c r="I533">
        <v>111937389</v>
      </c>
      <c r="J533" t="s">
        <v>10069</v>
      </c>
    </row>
    <row r="534" spans="1:10" x14ac:dyDescent="0.35">
      <c r="A534" t="s">
        <v>189</v>
      </c>
      <c r="B534" t="s">
        <v>10070</v>
      </c>
      <c r="C534" t="s">
        <v>10071</v>
      </c>
      <c r="D534" t="s">
        <v>10072</v>
      </c>
      <c r="F534" t="s">
        <v>278</v>
      </c>
      <c r="G534" t="s">
        <v>97</v>
      </c>
      <c r="H534">
        <v>21061</v>
      </c>
      <c r="I534">
        <v>86861522</v>
      </c>
      <c r="J534" t="s">
        <v>10073</v>
      </c>
    </row>
    <row r="535" spans="1:10" x14ac:dyDescent="0.35">
      <c r="A535" t="s">
        <v>3382</v>
      </c>
      <c r="B535" t="s">
        <v>10074</v>
      </c>
      <c r="C535" t="s">
        <v>10075</v>
      </c>
      <c r="D535" t="s">
        <v>10076</v>
      </c>
      <c r="F535" t="s">
        <v>124</v>
      </c>
      <c r="G535" t="s">
        <v>117</v>
      </c>
      <c r="H535">
        <v>72704</v>
      </c>
      <c r="I535">
        <v>14984374</v>
      </c>
      <c r="J535" t="s">
        <v>10077</v>
      </c>
    </row>
    <row r="536" spans="1:10" x14ac:dyDescent="0.35">
      <c r="A536" t="s">
        <v>2388</v>
      </c>
      <c r="B536" t="s">
        <v>10078</v>
      </c>
      <c r="C536" t="s">
        <v>10079</v>
      </c>
      <c r="D536" t="s">
        <v>10080</v>
      </c>
      <c r="F536" t="s">
        <v>112</v>
      </c>
      <c r="G536" t="s">
        <v>106</v>
      </c>
      <c r="H536">
        <v>99518</v>
      </c>
      <c r="I536">
        <v>19153511</v>
      </c>
      <c r="J536" t="s">
        <v>10081</v>
      </c>
    </row>
    <row r="537" spans="1:10" x14ac:dyDescent="0.35">
      <c r="A537" t="s">
        <v>1180</v>
      </c>
      <c r="B537" t="s">
        <v>10082</v>
      </c>
      <c r="C537" t="s">
        <v>10083</v>
      </c>
      <c r="D537" t="s">
        <v>10084</v>
      </c>
      <c r="F537" t="s">
        <v>130</v>
      </c>
      <c r="G537" t="s">
        <v>123</v>
      </c>
      <c r="H537">
        <v>20017</v>
      </c>
      <c r="I537">
        <v>30141337</v>
      </c>
      <c r="J537" t="s">
        <v>10085</v>
      </c>
    </row>
    <row r="538" spans="1:10" x14ac:dyDescent="0.35">
      <c r="A538" t="s">
        <v>1847</v>
      </c>
      <c r="B538" t="s">
        <v>10086</v>
      </c>
      <c r="C538" t="s">
        <v>10087</v>
      </c>
      <c r="D538" t="s">
        <v>10088</v>
      </c>
      <c r="E538" t="s">
        <v>10089</v>
      </c>
      <c r="F538" t="s">
        <v>124</v>
      </c>
      <c r="G538" t="s">
        <v>117</v>
      </c>
      <c r="H538">
        <v>72701</v>
      </c>
      <c r="I538">
        <v>72833425</v>
      </c>
      <c r="J538" t="s">
        <v>10090</v>
      </c>
    </row>
    <row r="539" spans="1:10" x14ac:dyDescent="0.35">
      <c r="A539" t="s">
        <v>5243</v>
      </c>
      <c r="B539" t="s">
        <v>10091</v>
      </c>
      <c r="C539" t="s">
        <v>10092</v>
      </c>
      <c r="D539" t="s">
        <v>10093</v>
      </c>
      <c r="E539" t="s">
        <v>10094</v>
      </c>
      <c r="F539" t="s">
        <v>70</v>
      </c>
      <c r="G539" t="s">
        <v>31</v>
      </c>
      <c r="H539">
        <v>85305</v>
      </c>
      <c r="I539">
        <v>74666519</v>
      </c>
      <c r="J539" t="s">
        <v>10095</v>
      </c>
    </row>
    <row r="540" spans="1:10" x14ac:dyDescent="0.35">
      <c r="A540" t="s">
        <v>5191</v>
      </c>
      <c r="B540" t="s">
        <v>10096</v>
      </c>
      <c r="C540" t="s">
        <v>10097</v>
      </c>
      <c r="D540" t="s">
        <v>10098</v>
      </c>
      <c r="F540" t="s">
        <v>70</v>
      </c>
      <c r="G540" t="s">
        <v>31</v>
      </c>
      <c r="H540">
        <v>85304</v>
      </c>
      <c r="I540">
        <v>57164135</v>
      </c>
      <c r="J540" t="s">
        <v>10099</v>
      </c>
    </row>
    <row r="541" spans="1:10" x14ac:dyDescent="0.35">
      <c r="A541" t="s">
        <v>10100</v>
      </c>
      <c r="B541" t="s">
        <v>10101</v>
      </c>
      <c r="C541" t="s">
        <v>10102</v>
      </c>
      <c r="D541" t="s">
        <v>10103</v>
      </c>
      <c r="F541" t="s">
        <v>1208</v>
      </c>
      <c r="G541" t="s">
        <v>147</v>
      </c>
      <c r="H541">
        <v>5401</v>
      </c>
      <c r="I541">
        <v>88204666</v>
      </c>
      <c r="J541" t="s">
        <v>10104</v>
      </c>
    </row>
    <row r="542" spans="1:10" x14ac:dyDescent="0.35">
      <c r="A542" t="s">
        <v>1977</v>
      </c>
      <c r="B542" t="s">
        <v>10105</v>
      </c>
      <c r="C542" t="s">
        <v>9621</v>
      </c>
      <c r="D542" t="s">
        <v>10106</v>
      </c>
      <c r="E542" t="s">
        <v>32</v>
      </c>
      <c r="F542" t="s">
        <v>10107</v>
      </c>
      <c r="G542" t="s">
        <v>139</v>
      </c>
      <c r="H542">
        <v>2346</v>
      </c>
      <c r="I542">
        <v>98592203</v>
      </c>
      <c r="J542" t="s">
        <v>10108</v>
      </c>
    </row>
    <row r="543" spans="1:10" x14ac:dyDescent="0.35">
      <c r="A543" t="s">
        <v>4767</v>
      </c>
      <c r="B543" t="s">
        <v>10109</v>
      </c>
      <c r="C543" t="s">
        <v>10110</v>
      </c>
      <c r="D543" t="s">
        <v>10111</v>
      </c>
      <c r="F543" t="s">
        <v>92</v>
      </c>
      <c r="G543" t="s">
        <v>51</v>
      </c>
      <c r="H543">
        <v>94579</v>
      </c>
      <c r="I543">
        <v>66068824</v>
      </c>
      <c r="J543" t="s">
        <v>10112</v>
      </c>
    </row>
    <row r="544" spans="1:10" x14ac:dyDescent="0.35">
      <c r="A544" t="s">
        <v>3909</v>
      </c>
      <c r="B544" t="s">
        <v>10113</v>
      </c>
      <c r="C544" t="s">
        <v>10114</v>
      </c>
      <c r="D544" t="s">
        <v>10115</v>
      </c>
      <c r="F544" t="s">
        <v>112</v>
      </c>
      <c r="G544" t="s">
        <v>106</v>
      </c>
      <c r="H544">
        <v>99508</v>
      </c>
      <c r="I544">
        <v>111793510</v>
      </c>
      <c r="J544" t="s">
        <v>10116</v>
      </c>
    </row>
    <row r="545" spans="1:10" x14ac:dyDescent="0.35">
      <c r="A545" t="s">
        <v>1108</v>
      </c>
      <c r="B545" t="s">
        <v>10117</v>
      </c>
      <c r="C545" t="s">
        <v>10118</v>
      </c>
      <c r="D545" t="s">
        <v>10119</v>
      </c>
      <c r="F545" t="s">
        <v>130</v>
      </c>
      <c r="G545" t="s">
        <v>123</v>
      </c>
      <c r="H545">
        <v>20020</v>
      </c>
      <c r="I545">
        <v>25545702</v>
      </c>
      <c r="J545" t="s">
        <v>10120</v>
      </c>
    </row>
    <row r="546" spans="1:10" x14ac:dyDescent="0.35">
      <c r="A546" t="s">
        <v>766</v>
      </c>
      <c r="B546" t="s">
        <v>10121</v>
      </c>
      <c r="C546" t="s">
        <v>10122</v>
      </c>
      <c r="D546" t="s">
        <v>10123</v>
      </c>
      <c r="F546" t="s">
        <v>778</v>
      </c>
      <c r="G546" t="s">
        <v>139</v>
      </c>
      <c r="H546">
        <v>2745</v>
      </c>
      <c r="I546">
        <v>76028993</v>
      </c>
      <c r="J546" t="s">
        <v>10124</v>
      </c>
    </row>
    <row r="547" spans="1:10" x14ac:dyDescent="0.35">
      <c r="A547" t="s">
        <v>2872</v>
      </c>
      <c r="B547" t="s">
        <v>10125</v>
      </c>
      <c r="C547" t="s">
        <v>10126</v>
      </c>
      <c r="D547" t="s">
        <v>10127</v>
      </c>
      <c r="F547" t="s">
        <v>130</v>
      </c>
      <c r="G547" t="s">
        <v>123</v>
      </c>
      <c r="H547">
        <v>20016</v>
      </c>
      <c r="I547">
        <v>61853607</v>
      </c>
      <c r="J547" t="s">
        <v>10128</v>
      </c>
    </row>
    <row r="548" spans="1:10" x14ac:dyDescent="0.35">
      <c r="A548" t="s">
        <v>1799</v>
      </c>
      <c r="B548" t="s">
        <v>10129</v>
      </c>
      <c r="C548" t="s">
        <v>10130</v>
      </c>
      <c r="D548" t="s">
        <v>10131</v>
      </c>
      <c r="E548" t="s">
        <v>10132</v>
      </c>
      <c r="F548" t="s">
        <v>523</v>
      </c>
      <c r="G548" t="s">
        <v>36</v>
      </c>
      <c r="H548">
        <v>31322</v>
      </c>
      <c r="I548">
        <v>55506944</v>
      </c>
      <c r="J548" t="s">
        <v>10133</v>
      </c>
    </row>
    <row r="549" spans="1:10" x14ac:dyDescent="0.35">
      <c r="A549" t="s">
        <v>185</v>
      </c>
      <c r="B549" t="s">
        <v>10134</v>
      </c>
      <c r="C549" t="s">
        <v>10135</v>
      </c>
      <c r="D549" t="s">
        <v>10136</v>
      </c>
      <c r="E549" t="s">
        <v>10137</v>
      </c>
      <c r="F549" t="s">
        <v>35</v>
      </c>
      <c r="G549" t="s">
        <v>36</v>
      </c>
      <c r="H549">
        <v>31406</v>
      </c>
      <c r="I549">
        <v>123326658</v>
      </c>
      <c r="J549" t="s">
        <v>10138</v>
      </c>
    </row>
    <row r="550" spans="1:10" x14ac:dyDescent="0.35">
      <c r="A550" t="s">
        <v>2888</v>
      </c>
      <c r="B550" t="s">
        <v>10139</v>
      </c>
      <c r="C550" t="s">
        <v>10140</v>
      </c>
      <c r="D550" t="s">
        <v>10141</v>
      </c>
      <c r="F550" t="s">
        <v>63</v>
      </c>
      <c r="G550" t="s">
        <v>64</v>
      </c>
      <c r="H550">
        <v>37211</v>
      </c>
      <c r="I550">
        <v>77348627</v>
      </c>
      <c r="J550" t="s">
        <v>10142</v>
      </c>
    </row>
    <row r="551" spans="1:10" x14ac:dyDescent="0.35">
      <c r="A551" t="s">
        <v>2410</v>
      </c>
      <c r="B551" t="s">
        <v>10143</v>
      </c>
      <c r="C551" t="s">
        <v>10144</v>
      </c>
      <c r="D551" t="s">
        <v>10145</v>
      </c>
      <c r="F551" t="s">
        <v>235</v>
      </c>
      <c r="G551" t="s">
        <v>236</v>
      </c>
      <c r="H551">
        <v>73132</v>
      </c>
      <c r="I551">
        <v>121683254</v>
      </c>
      <c r="J551" t="s">
        <v>10146</v>
      </c>
    </row>
    <row r="552" spans="1:10" x14ac:dyDescent="0.35">
      <c r="A552" t="s">
        <v>3375</v>
      </c>
      <c r="B552" t="s">
        <v>10147</v>
      </c>
      <c r="C552" t="s">
        <v>10148</v>
      </c>
      <c r="D552" t="s">
        <v>9750</v>
      </c>
      <c r="F552" t="s">
        <v>830</v>
      </c>
      <c r="G552" t="s">
        <v>51</v>
      </c>
      <c r="H552">
        <v>94538</v>
      </c>
      <c r="I552">
        <v>129640024</v>
      </c>
      <c r="J552" t="s">
        <v>10149</v>
      </c>
    </row>
    <row r="553" spans="1:10" x14ac:dyDescent="0.35">
      <c r="A553" t="s">
        <v>787</v>
      </c>
      <c r="B553" t="s">
        <v>10150</v>
      </c>
      <c r="C553" t="s">
        <v>10151</v>
      </c>
      <c r="D553" t="s">
        <v>10152</v>
      </c>
      <c r="F553" t="s">
        <v>92</v>
      </c>
      <c r="G553" t="s">
        <v>51</v>
      </c>
      <c r="H553">
        <v>94578</v>
      </c>
      <c r="I553">
        <v>121640954</v>
      </c>
      <c r="J553" t="s">
        <v>10153</v>
      </c>
    </row>
    <row r="554" spans="1:10" x14ac:dyDescent="0.35">
      <c r="A554" t="s">
        <v>1941</v>
      </c>
      <c r="B554" t="s">
        <v>10154</v>
      </c>
      <c r="C554" t="s">
        <v>10155</v>
      </c>
      <c r="D554" t="s">
        <v>10156</v>
      </c>
      <c r="F554" t="s">
        <v>10157</v>
      </c>
      <c r="G554" t="s">
        <v>97</v>
      </c>
      <c r="H554">
        <v>21056</v>
      </c>
      <c r="I554">
        <v>28260712</v>
      </c>
      <c r="J554" t="s">
        <v>10158</v>
      </c>
    </row>
    <row r="555" spans="1:10" x14ac:dyDescent="0.35">
      <c r="A555" t="s">
        <v>195</v>
      </c>
      <c r="B555" t="s">
        <v>10159</v>
      </c>
      <c r="C555" t="s">
        <v>10160</v>
      </c>
      <c r="D555" t="s">
        <v>10161</v>
      </c>
      <c r="F555" t="s">
        <v>118</v>
      </c>
      <c r="G555" t="s">
        <v>42</v>
      </c>
      <c r="H555">
        <v>80003</v>
      </c>
      <c r="I555">
        <v>87782095</v>
      </c>
      <c r="J555" t="s">
        <v>10162</v>
      </c>
    </row>
    <row r="556" spans="1:10" x14ac:dyDescent="0.35">
      <c r="A556" t="s">
        <v>1446</v>
      </c>
      <c r="B556" t="s">
        <v>10163</v>
      </c>
      <c r="C556" t="s">
        <v>10164</v>
      </c>
      <c r="D556" t="s">
        <v>10165</v>
      </c>
      <c r="F556" t="s">
        <v>4378</v>
      </c>
      <c r="G556" t="s">
        <v>147</v>
      </c>
      <c r="H556">
        <v>5452</v>
      </c>
      <c r="I556">
        <v>94444481</v>
      </c>
      <c r="J556" t="s">
        <v>10166</v>
      </c>
    </row>
    <row r="557" spans="1:10" x14ac:dyDescent="0.35">
      <c r="A557" t="s">
        <v>3367</v>
      </c>
      <c r="B557" t="s">
        <v>10167</v>
      </c>
      <c r="C557" t="s">
        <v>10168</v>
      </c>
      <c r="D557" t="s">
        <v>10169</v>
      </c>
      <c r="F557" t="s">
        <v>278</v>
      </c>
      <c r="G557" t="s">
        <v>97</v>
      </c>
      <c r="H557">
        <v>21061</v>
      </c>
      <c r="I557">
        <v>47750850</v>
      </c>
      <c r="J557" t="s">
        <v>10170</v>
      </c>
    </row>
    <row r="558" spans="1:10" x14ac:dyDescent="0.35">
      <c r="A558" t="s">
        <v>2082</v>
      </c>
      <c r="B558" t="s">
        <v>10171</v>
      </c>
      <c r="C558" t="s">
        <v>10172</v>
      </c>
      <c r="D558" t="s">
        <v>10173</v>
      </c>
      <c r="F558" t="s">
        <v>112</v>
      </c>
      <c r="G558" t="s">
        <v>106</v>
      </c>
      <c r="H558">
        <v>99577</v>
      </c>
      <c r="I558">
        <v>27217122</v>
      </c>
      <c r="J558" t="s">
        <v>10174</v>
      </c>
    </row>
    <row r="559" spans="1:10" x14ac:dyDescent="0.35">
      <c r="A559" t="s">
        <v>3767</v>
      </c>
      <c r="B559" t="s">
        <v>10175</v>
      </c>
      <c r="C559" t="s">
        <v>10176</v>
      </c>
      <c r="D559" t="s">
        <v>10177</v>
      </c>
      <c r="F559" t="s">
        <v>366</v>
      </c>
      <c r="G559" t="s">
        <v>51</v>
      </c>
      <c r="H559">
        <v>94550</v>
      </c>
      <c r="I559">
        <v>61547816</v>
      </c>
      <c r="J559" t="s">
        <v>10178</v>
      </c>
    </row>
    <row r="560" spans="1:10" x14ac:dyDescent="0.35">
      <c r="A560" t="s">
        <v>877</v>
      </c>
      <c r="B560" t="s">
        <v>10179</v>
      </c>
      <c r="C560" t="s">
        <v>10180</v>
      </c>
      <c r="D560" t="s">
        <v>10181</v>
      </c>
      <c r="E560" t="s">
        <v>10182</v>
      </c>
      <c r="F560" t="s">
        <v>124</v>
      </c>
      <c r="G560" t="s">
        <v>117</v>
      </c>
      <c r="H560">
        <v>72703</v>
      </c>
      <c r="I560">
        <v>51441883</v>
      </c>
      <c r="J560" t="s">
        <v>10183</v>
      </c>
    </row>
    <row r="561" spans="1:10" x14ac:dyDescent="0.35">
      <c r="A561" t="s">
        <v>4490</v>
      </c>
      <c r="B561" t="s">
        <v>10184</v>
      </c>
      <c r="C561" t="s">
        <v>10185</v>
      </c>
      <c r="D561" t="s">
        <v>10186</v>
      </c>
      <c r="F561" t="s">
        <v>316</v>
      </c>
      <c r="G561" t="s">
        <v>97</v>
      </c>
      <c r="H561">
        <v>21401</v>
      </c>
      <c r="I561">
        <v>23857434</v>
      </c>
      <c r="J561" t="s">
        <v>10187</v>
      </c>
    </row>
    <row r="562" spans="1:10" x14ac:dyDescent="0.35">
      <c r="A562" t="s">
        <v>387</v>
      </c>
      <c r="B562" t="s">
        <v>10188</v>
      </c>
      <c r="C562" t="s">
        <v>10189</v>
      </c>
      <c r="D562" t="s">
        <v>10190</v>
      </c>
      <c r="F562" t="s">
        <v>2422</v>
      </c>
      <c r="G562" t="s">
        <v>51</v>
      </c>
      <c r="H562">
        <v>93313</v>
      </c>
      <c r="I562">
        <v>11675945</v>
      </c>
      <c r="J562" t="s">
        <v>10191</v>
      </c>
    </row>
    <row r="563" spans="1:10" x14ac:dyDescent="0.35">
      <c r="A563" t="s">
        <v>3288</v>
      </c>
      <c r="B563" t="s">
        <v>10192</v>
      </c>
      <c r="C563" t="s">
        <v>10193</v>
      </c>
      <c r="D563" t="s">
        <v>10194</v>
      </c>
      <c r="F563" t="s">
        <v>130</v>
      </c>
      <c r="G563" t="s">
        <v>123</v>
      </c>
      <c r="H563">
        <v>20020</v>
      </c>
      <c r="I563">
        <v>23277632</v>
      </c>
      <c r="J563" t="s">
        <v>10195</v>
      </c>
    </row>
    <row r="564" spans="1:10" x14ac:dyDescent="0.35">
      <c r="A564" t="s">
        <v>358</v>
      </c>
      <c r="B564" t="s">
        <v>10196</v>
      </c>
      <c r="C564" t="s">
        <v>10197</v>
      </c>
      <c r="D564" t="s">
        <v>8693</v>
      </c>
      <c r="E564" t="s">
        <v>8694</v>
      </c>
      <c r="F564" t="s">
        <v>35</v>
      </c>
      <c r="G564" t="s">
        <v>36</v>
      </c>
      <c r="H564">
        <v>31406</v>
      </c>
      <c r="I564">
        <v>15418593</v>
      </c>
      <c r="J564" t="s">
        <v>10198</v>
      </c>
    </row>
    <row r="565" spans="1:10" x14ac:dyDescent="0.35">
      <c r="A565" t="s">
        <v>4978</v>
      </c>
      <c r="B565" t="s">
        <v>10199</v>
      </c>
      <c r="C565" t="s">
        <v>10200</v>
      </c>
      <c r="D565" t="s">
        <v>10201</v>
      </c>
      <c r="F565" t="s">
        <v>4901</v>
      </c>
      <c r="G565" t="s">
        <v>147</v>
      </c>
      <c r="H565">
        <v>5149</v>
      </c>
      <c r="I565">
        <v>104707047</v>
      </c>
      <c r="J565" t="s">
        <v>10202</v>
      </c>
    </row>
    <row r="566" spans="1:10" x14ac:dyDescent="0.35">
      <c r="A566" t="s">
        <v>1487</v>
      </c>
      <c r="B566" t="s">
        <v>10203</v>
      </c>
      <c r="C566" t="s">
        <v>10204</v>
      </c>
      <c r="D566" t="s">
        <v>10205</v>
      </c>
      <c r="F566" t="s">
        <v>10206</v>
      </c>
      <c r="G566" t="s">
        <v>97</v>
      </c>
      <c r="H566">
        <v>20778</v>
      </c>
      <c r="I566">
        <v>70250107</v>
      </c>
      <c r="J566" t="s">
        <v>10207</v>
      </c>
    </row>
    <row r="567" spans="1:10" x14ac:dyDescent="0.35">
      <c r="A567" t="s">
        <v>2310</v>
      </c>
      <c r="B567" t="s">
        <v>10208</v>
      </c>
      <c r="C567" t="s">
        <v>10209</v>
      </c>
      <c r="D567" t="s">
        <v>9466</v>
      </c>
      <c r="F567" t="s">
        <v>130</v>
      </c>
      <c r="G567" t="s">
        <v>123</v>
      </c>
      <c r="H567">
        <v>20002</v>
      </c>
      <c r="I567">
        <v>79501158</v>
      </c>
      <c r="J567" t="s">
        <v>10210</v>
      </c>
    </row>
    <row r="568" spans="1:10" x14ac:dyDescent="0.35">
      <c r="A568" t="s">
        <v>336</v>
      </c>
      <c r="B568" t="s">
        <v>10211</v>
      </c>
      <c r="C568" t="s">
        <v>10212</v>
      </c>
      <c r="D568" t="s">
        <v>10213</v>
      </c>
      <c r="F568" t="s">
        <v>316</v>
      </c>
      <c r="G568" t="s">
        <v>97</v>
      </c>
      <c r="H568">
        <v>21403</v>
      </c>
      <c r="I568">
        <v>116879811</v>
      </c>
      <c r="J568" t="s">
        <v>10214</v>
      </c>
    </row>
    <row r="569" spans="1:10" x14ac:dyDescent="0.35">
      <c r="A569" t="s">
        <v>1938</v>
      </c>
      <c r="B569" t="s">
        <v>10215</v>
      </c>
      <c r="C569" t="s">
        <v>10216</v>
      </c>
      <c r="D569" t="s">
        <v>9017</v>
      </c>
      <c r="F569" t="s">
        <v>2289</v>
      </c>
      <c r="G569" t="s">
        <v>31</v>
      </c>
      <c r="H569">
        <v>85340</v>
      </c>
      <c r="I569">
        <v>119693502</v>
      </c>
      <c r="J569" t="s">
        <v>10217</v>
      </c>
    </row>
    <row r="570" spans="1:10" x14ac:dyDescent="0.35">
      <c r="A570" t="s">
        <v>2105</v>
      </c>
      <c r="B570" t="s">
        <v>10218</v>
      </c>
      <c r="C570" t="s">
        <v>10219</v>
      </c>
      <c r="D570" t="s">
        <v>10220</v>
      </c>
      <c r="F570" t="s">
        <v>70</v>
      </c>
      <c r="G570" t="s">
        <v>31</v>
      </c>
      <c r="H570">
        <v>85308</v>
      </c>
      <c r="I570">
        <v>97736963</v>
      </c>
      <c r="J570" t="s">
        <v>10221</v>
      </c>
    </row>
    <row r="571" spans="1:10" x14ac:dyDescent="0.35">
      <c r="A571" t="s">
        <v>684</v>
      </c>
      <c r="B571" t="s">
        <v>10222</v>
      </c>
      <c r="C571" t="s">
        <v>10223</v>
      </c>
      <c r="D571" t="s">
        <v>10224</v>
      </c>
      <c r="F571" t="s">
        <v>107</v>
      </c>
      <c r="G571" t="s">
        <v>87</v>
      </c>
      <c r="H571">
        <v>40272</v>
      </c>
      <c r="I571">
        <v>27564642</v>
      </c>
      <c r="J571" t="s">
        <v>10225</v>
      </c>
    </row>
    <row r="572" spans="1:10" x14ac:dyDescent="0.35">
      <c r="A572" t="s">
        <v>3316</v>
      </c>
      <c r="B572" t="s">
        <v>10226</v>
      </c>
      <c r="C572" t="s">
        <v>10227</v>
      </c>
      <c r="D572" t="s">
        <v>10228</v>
      </c>
      <c r="F572" t="s">
        <v>70</v>
      </c>
      <c r="G572" t="s">
        <v>31</v>
      </c>
      <c r="H572">
        <v>85306</v>
      </c>
      <c r="I572">
        <v>66543491</v>
      </c>
      <c r="J572" t="s">
        <v>10229</v>
      </c>
    </row>
    <row r="573" spans="1:10" x14ac:dyDescent="0.35">
      <c r="A573" t="s">
        <v>4158</v>
      </c>
      <c r="B573" t="s">
        <v>10230</v>
      </c>
      <c r="C573" t="s">
        <v>10231</v>
      </c>
      <c r="D573" t="s">
        <v>10232</v>
      </c>
      <c r="E573" t="s">
        <v>8039</v>
      </c>
      <c r="F573" t="s">
        <v>283</v>
      </c>
      <c r="G573" t="s">
        <v>139</v>
      </c>
      <c r="H573">
        <v>2452</v>
      </c>
      <c r="I573">
        <v>10337873</v>
      </c>
      <c r="J573" t="s">
        <v>10233</v>
      </c>
    </row>
    <row r="574" spans="1:10" x14ac:dyDescent="0.35">
      <c r="A574" t="s">
        <v>5491</v>
      </c>
      <c r="B574" t="s">
        <v>10234</v>
      </c>
      <c r="C574" t="s">
        <v>10235</v>
      </c>
      <c r="D574" t="s">
        <v>10236</v>
      </c>
      <c r="E574" t="s">
        <v>10237</v>
      </c>
      <c r="F574" t="s">
        <v>112</v>
      </c>
      <c r="G574" t="s">
        <v>106</v>
      </c>
      <c r="H574">
        <v>99517</v>
      </c>
      <c r="I574">
        <v>122620591</v>
      </c>
      <c r="J574" t="s">
        <v>10238</v>
      </c>
    </row>
    <row r="575" spans="1:10" x14ac:dyDescent="0.35">
      <c r="A575" t="s">
        <v>331</v>
      </c>
      <c r="B575" t="s">
        <v>10239</v>
      </c>
      <c r="C575" t="s">
        <v>10240</v>
      </c>
      <c r="D575" t="s">
        <v>10241</v>
      </c>
      <c r="F575" t="s">
        <v>75</v>
      </c>
      <c r="G575" t="s">
        <v>76</v>
      </c>
      <c r="H575">
        <v>6040</v>
      </c>
      <c r="I575">
        <v>47422007</v>
      </c>
      <c r="J575" t="s">
        <v>10242</v>
      </c>
    </row>
    <row r="576" spans="1:10" x14ac:dyDescent="0.35">
      <c r="A576" t="s">
        <v>422</v>
      </c>
      <c r="B576" t="s">
        <v>10243</v>
      </c>
      <c r="C576" t="s">
        <v>10244</v>
      </c>
      <c r="D576" t="s">
        <v>10245</v>
      </c>
      <c r="F576" t="s">
        <v>1537</v>
      </c>
      <c r="G576" t="s">
        <v>139</v>
      </c>
      <c r="H576">
        <v>2673</v>
      </c>
      <c r="I576">
        <v>127864954</v>
      </c>
      <c r="J576" t="s">
        <v>10246</v>
      </c>
    </row>
    <row r="577" spans="1:10" x14ac:dyDescent="0.35">
      <c r="A577" t="s">
        <v>10247</v>
      </c>
      <c r="B577" t="s">
        <v>10248</v>
      </c>
      <c r="C577" t="s">
        <v>10249</v>
      </c>
      <c r="D577" t="s">
        <v>10250</v>
      </c>
      <c r="F577" t="s">
        <v>124</v>
      </c>
      <c r="G577" t="s">
        <v>117</v>
      </c>
      <c r="H577">
        <v>72703</v>
      </c>
      <c r="I577">
        <v>39627409</v>
      </c>
      <c r="J577" t="s">
        <v>10251</v>
      </c>
    </row>
    <row r="578" spans="1:10" x14ac:dyDescent="0.35">
      <c r="A578" t="s">
        <v>3992</v>
      </c>
      <c r="B578" t="s">
        <v>10252</v>
      </c>
      <c r="C578" t="s">
        <v>10253</v>
      </c>
      <c r="D578" t="s">
        <v>10254</v>
      </c>
      <c r="E578" t="s">
        <v>10255</v>
      </c>
      <c r="F578" t="s">
        <v>75</v>
      </c>
      <c r="G578" t="s">
        <v>76</v>
      </c>
      <c r="H578">
        <v>6040</v>
      </c>
      <c r="I578">
        <v>39524049</v>
      </c>
      <c r="J578" t="s">
        <v>10256</v>
      </c>
    </row>
    <row r="579" spans="1:10" x14ac:dyDescent="0.35">
      <c r="A579" t="s">
        <v>3248</v>
      </c>
      <c r="B579" t="s">
        <v>10257</v>
      </c>
      <c r="C579" t="s">
        <v>10258</v>
      </c>
      <c r="D579" t="s">
        <v>10259</v>
      </c>
      <c r="F579" t="s">
        <v>45</v>
      </c>
      <c r="G579" t="s">
        <v>46</v>
      </c>
      <c r="H579">
        <v>36108</v>
      </c>
      <c r="I579">
        <v>96854765</v>
      </c>
      <c r="J579" t="s">
        <v>10260</v>
      </c>
    </row>
    <row r="580" spans="1:10" x14ac:dyDescent="0.35">
      <c r="A580" t="s">
        <v>1372</v>
      </c>
      <c r="B580" t="s">
        <v>10261</v>
      </c>
      <c r="C580" t="s">
        <v>10262</v>
      </c>
      <c r="D580" t="s">
        <v>10263</v>
      </c>
      <c r="E580" t="s">
        <v>10264</v>
      </c>
      <c r="F580" t="s">
        <v>118</v>
      </c>
      <c r="G580" t="s">
        <v>42</v>
      </c>
      <c r="H580">
        <v>80004</v>
      </c>
      <c r="I580">
        <v>87546147</v>
      </c>
      <c r="J580" t="s">
        <v>10265</v>
      </c>
    </row>
    <row r="581" spans="1:10" x14ac:dyDescent="0.35">
      <c r="A581" t="s">
        <v>2506</v>
      </c>
      <c r="B581" t="s">
        <v>10266</v>
      </c>
      <c r="C581" t="s">
        <v>10267</v>
      </c>
      <c r="D581" t="s">
        <v>10268</v>
      </c>
      <c r="F581" t="s">
        <v>5829</v>
      </c>
      <c r="G581" t="s">
        <v>139</v>
      </c>
      <c r="H581">
        <v>1085</v>
      </c>
      <c r="I581">
        <v>44730501</v>
      </c>
      <c r="J581" t="s">
        <v>10269</v>
      </c>
    </row>
    <row r="582" spans="1:10" x14ac:dyDescent="0.35">
      <c r="A582" t="s">
        <v>10270</v>
      </c>
      <c r="B582" t="s">
        <v>10271</v>
      </c>
      <c r="C582" t="s">
        <v>10272</v>
      </c>
      <c r="D582" t="s">
        <v>10273</v>
      </c>
      <c r="F582" t="s">
        <v>35</v>
      </c>
      <c r="G582" t="s">
        <v>36</v>
      </c>
      <c r="H582">
        <v>31405</v>
      </c>
      <c r="I582">
        <v>12863507</v>
      </c>
      <c r="J582" t="s">
        <v>10274</v>
      </c>
    </row>
    <row r="583" spans="1:10" x14ac:dyDescent="0.35">
      <c r="A583" t="s">
        <v>255</v>
      </c>
      <c r="B583" t="s">
        <v>10275</v>
      </c>
      <c r="C583" t="s">
        <v>10276</v>
      </c>
      <c r="D583" t="s">
        <v>10277</v>
      </c>
      <c r="F583" t="s">
        <v>112</v>
      </c>
      <c r="G583" t="s">
        <v>106</v>
      </c>
      <c r="H583">
        <v>99516</v>
      </c>
      <c r="I583">
        <v>13682813</v>
      </c>
      <c r="J583" t="s">
        <v>10278</v>
      </c>
    </row>
    <row r="584" spans="1:10" x14ac:dyDescent="0.35">
      <c r="A584" t="s">
        <v>3732</v>
      </c>
      <c r="B584" t="s">
        <v>10279</v>
      </c>
      <c r="C584" t="s">
        <v>10280</v>
      </c>
      <c r="D584" t="s">
        <v>10281</v>
      </c>
      <c r="F584" t="s">
        <v>10282</v>
      </c>
      <c r="G584" t="s">
        <v>147</v>
      </c>
      <c r="H584">
        <v>5676</v>
      </c>
      <c r="I584">
        <v>62056791</v>
      </c>
      <c r="J584" t="s">
        <v>10283</v>
      </c>
    </row>
    <row r="585" spans="1:10" x14ac:dyDescent="0.35">
      <c r="A585" t="s">
        <v>7131</v>
      </c>
      <c r="B585" t="s">
        <v>10284</v>
      </c>
      <c r="C585" t="s">
        <v>10285</v>
      </c>
      <c r="D585" t="s">
        <v>10286</v>
      </c>
      <c r="F585" t="s">
        <v>334</v>
      </c>
      <c r="G585" t="s">
        <v>51</v>
      </c>
      <c r="H585">
        <v>94619</v>
      </c>
      <c r="I585">
        <v>94775435</v>
      </c>
      <c r="J585" t="s">
        <v>10287</v>
      </c>
    </row>
    <row r="586" spans="1:10" x14ac:dyDescent="0.35">
      <c r="A586" t="s">
        <v>1331</v>
      </c>
      <c r="B586" t="s">
        <v>10288</v>
      </c>
      <c r="C586" t="s">
        <v>10289</v>
      </c>
      <c r="D586" t="s">
        <v>10290</v>
      </c>
      <c r="F586" t="s">
        <v>124</v>
      </c>
      <c r="G586" t="s">
        <v>117</v>
      </c>
      <c r="H586">
        <v>72703</v>
      </c>
      <c r="I586">
        <v>49178922</v>
      </c>
      <c r="J586" t="s">
        <v>10291</v>
      </c>
    </row>
    <row r="587" spans="1:10" x14ac:dyDescent="0.35">
      <c r="A587" t="s">
        <v>3439</v>
      </c>
      <c r="B587" t="s">
        <v>10292</v>
      </c>
      <c r="C587" t="s">
        <v>10293</v>
      </c>
      <c r="D587" t="s">
        <v>10294</v>
      </c>
      <c r="F587" t="s">
        <v>6063</v>
      </c>
      <c r="G587" t="s">
        <v>51</v>
      </c>
      <c r="H587">
        <v>95678</v>
      </c>
      <c r="I587">
        <v>126256165</v>
      </c>
      <c r="J587" t="s">
        <v>10295</v>
      </c>
    </row>
    <row r="588" spans="1:10" x14ac:dyDescent="0.35">
      <c r="A588" t="s">
        <v>7610</v>
      </c>
      <c r="B588" t="s">
        <v>10296</v>
      </c>
      <c r="C588" t="s">
        <v>10297</v>
      </c>
      <c r="D588" t="s">
        <v>10298</v>
      </c>
      <c r="F588" t="s">
        <v>130</v>
      </c>
      <c r="G588" t="s">
        <v>123</v>
      </c>
      <c r="H588">
        <v>20017</v>
      </c>
      <c r="I588">
        <v>83916467</v>
      </c>
      <c r="J588" t="s">
        <v>10299</v>
      </c>
    </row>
    <row r="589" spans="1:10" x14ac:dyDescent="0.35">
      <c r="A589" t="s">
        <v>1864</v>
      </c>
      <c r="B589" t="s">
        <v>10300</v>
      </c>
      <c r="C589" t="s">
        <v>10301</v>
      </c>
      <c r="D589" t="s">
        <v>10302</v>
      </c>
      <c r="F589" t="s">
        <v>3331</v>
      </c>
      <c r="G589" t="s">
        <v>51</v>
      </c>
      <c r="H589">
        <v>92008</v>
      </c>
      <c r="I589">
        <v>85117028</v>
      </c>
      <c r="J589" t="s">
        <v>10303</v>
      </c>
    </row>
    <row r="590" spans="1:10" x14ac:dyDescent="0.35">
      <c r="A590" t="s">
        <v>10304</v>
      </c>
      <c r="B590" t="s">
        <v>10305</v>
      </c>
      <c r="C590" t="s">
        <v>10306</v>
      </c>
      <c r="D590" t="s">
        <v>10307</v>
      </c>
      <c r="F590" t="s">
        <v>6024</v>
      </c>
      <c r="G590" t="s">
        <v>139</v>
      </c>
      <c r="H590">
        <v>1331</v>
      </c>
      <c r="I590">
        <v>120249631</v>
      </c>
      <c r="J590" t="s">
        <v>10308</v>
      </c>
    </row>
    <row r="591" spans="1:10" x14ac:dyDescent="0.35">
      <c r="A591" t="s">
        <v>743</v>
      </c>
      <c r="B591" t="s">
        <v>10309</v>
      </c>
      <c r="C591" t="s">
        <v>10310</v>
      </c>
      <c r="D591" t="s">
        <v>10311</v>
      </c>
      <c r="F591" t="s">
        <v>112</v>
      </c>
      <c r="G591" t="s">
        <v>106</v>
      </c>
      <c r="H591">
        <v>99504</v>
      </c>
      <c r="I591">
        <v>22393575</v>
      </c>
      <c r="J591" t="s">
        <v>10312</v>
      </c>
    </row>
    <row r="592" spans="1:10" x14ac:dyDescent="0.35">
      <c r="A592" t="s">
        <v>3252</v>
      </c>
      <c r="B592" t="s">
        <v>10313</v>
      </c>
      <c r="C592" t="s">
        <v>10314</v>
      </c>
      <c r="D592" t="s">
        <v>10315</v>
      </c>
      <c r="E592" t="s">
        <v>10316</v>
      </c>
      <c r="F592" t="s">
        <v>679</v>
      </c>
      <c r="G592" t="s">
        <v>139</v>
      </c>
      <c r="H592">
        <v>1826</v>
      </c>
      <c r="I592">
        <v>20068129</v>
      </c>
      <c r="J592" t="s">
        <v>10317</v>
      </c>
    </row>
    <row r="593" spans="1:10" x14ac:dyDescent="0.35">
      <c r="A593" t="s">
        <v>4127</v>
      </c>
      <c r="B593" t="s">
        <v>10318</v>
      </c>
      <c r="C593" t="s">
        <v>10319</v>
      </c>
      <c r="D593" t="s">
        <v>10320</v>
      </c>
      <c r="F593" t="s">
        <v>5655</v>
      </c>
      <c r="G593" t="s">
        <v>36</v>
      </c>
      <c r="H593">
        <v>31328</v>
      </c>
      <c r="I593">
        <v>85289532</v>
      </c>
      <c r="J593" t="s">
        <v>10321</v>
      </c>
    </row>
    <row r="594" spans="1:10" x14ac:dyDescent="0.35">
      <c r="A594" t="s">
        <v>4572</v>
      </c>
      <c r="B594" t="s">
        <v>10322</v>
      </c>
      <c r="C594" t="s">
        <v>10323</v>
      </c>
      <c r="D594" t="s">
        <v>10324</v>
      </c>
      <c r="F594" t="s">
        <v>901</v>
      </c>
      <c r="G594" t="s">
        <v>97</v>
      </c>
      <c r="H594">
        <v>21032</v>
      </c>
      <c r="I594">
        <v>85168310</v>
      </c>
      <c r="J594" t="s">
        <v>10325</v>
      </c>
    </row>
    <row r="595" spans="1:10" x14ac:dyDescent="0.35">
      <c r="A595" t="s">
        <v>3108</v>
      </c>
      <c r="B595" t="s">
        <v>10326</v>
      </c>
      <c r="C595" t="s">
        <v>8042</v>
      </c>
      <c r="D595" t="s">
        <v>10327</v>
      </c>
      <c r="F595" t="s">
        <v>118</v>
      </c>
      <c r="G595" t="s">
        <v>42</v>
      </c>
      <c r="H595">
        <v>80004</v>
      </c>
      <c r="I595">
        <v>119321641</v>
      </c>
      <c r="J595" t="s">
        <v>10328</v>
      </c>
    </row>
    <row r="596" spans="1:10" x14ac:dyDescent="0.35">
      <c r="A596" t="s">
        <v>3748</v>
      </c>
      <c r="B596" t="s">
        <v>10329</v>
      </c>
      <c r="C596" t="s">
        <v>10330</v>
      </c>
      <c r="D596" t="s">
        <v>10331</v>
      </c>
      <c r="F596" t="s">
        <v>118</v>
      </c>
      <c r="G596" t="s">
        <v>42</v>
      </c>
      <c r="H596">
        <v>80004</v>
      </c>
      <c r="I596">
        <v>28600521</v>
      </c>
      <c r="J596" t="s">
        <v>10332</v>
      </c>
    </row>
    <row r="597" spans="1:10" x14ac:dyDescent="0.35">
      <c r="A597" t="s">
        <v>3704</v>
      </c>
      <c r="B597" t="s">
        <v>10333</v>
      </c>
      <c r="C597" t="s">
        <v>10334</v>
      </c>
      <c r="D597" t="s">
        <v>7942</v>
      </c>
      <c r="F597" t="s">
        <v>334</v>
      </c>
      <c r="G597" t="s">
        <v>51</v>
      </c>
      <c r="H597">
        <v>94608</v>
      </c>
      <c r="I597">
        <v>96507151</v>
      </c>
      <c r="J597" t="s">
        <v>10335</v>
      </c>
    </row>
    <row r="598" spans="1:10" x14ac:dyDescent="0.35">
      <c r="A598" t="s">
        <v>2869</v>
      </c>
      <c r="B598" t="s">
        <v>10336</v>
      </c>
      <c r="C598" t="s">
        <v>10330</v>
      </c>
      <c r="D598" t="s">
        <v>10337</v>
      </c>
      <c r="F598" t="s">
        <v>1216</v>
      </c>
      <c r="G598" t="s">
        <v>51</v>
      </c>
      <c r="H598">
        <v>94502</v>
      </c>
      <c r="I598">
        <v>123045900</v>
      </c>
      <c r="J598" t="s">
        <v>10338</v>
      </c>
    </row>
    <row r="599" spans="1:10" x14ac:dyDescent="0.35">
      <c r="A599" t="s">
        <v>6034</v>
      </c>
      <c r="B599" t="s">
        <v>10339</v>
      </c>
      <c r="C599" t="s">
        <v>9519</v>
      </c>
      <c r="D599" t="s">
        <v>10340</v>
      </c>
      <c r="F599" t="s">
        <v>130</v>
      </c>
      <c r="G599" t="s">
        <v>123</v>
      </c>
      <c r="H599">
        <v>20001</v>
      </c>
      <c r="I599">
        <v>31409230</v>
      </c>
      <c r="J599" t="s">
        <v>10341</v>
      </c>
    </row>
    <row r="600" spans="1:10" x14ac:dyDescent="0.35">
      <c r="A600" t="s">
        <v>10342</v>
      </c>
      <c r="B600" t="s">
        <v>10343</v>
      </c>
      <c r="C600" t="s">
        <v>10344</v>
      </c>
      <c r="D600" t="s">
        <v>10345</v>
      </c>
      <c r="E600" t="s">
        <v>10346</v>
      </c>
      <c r="F600" t="s">
        <v>118</v>
      </c>
      <c r="G600" t="s">
        <v>42</v>
      </c>
      <c r="H600">
        <v>80004</v>
      </c>
      <c r="I600">
        <v>40800765</v>
      </c>
      <c r="J600" t="s">
        <v>10347</v>
      </c>
    </row>
    <row r="601" spans="1:10" x14ac:dyDescent="0.35">
      <c r="A601" t="s">
        <v>2478</v>
      </c>
      <c r="B601" t="s">
        <v>10348</v>
      </c>
      <c r="C601" t="s">
        <v>10349</v>
      </c>
      <c r="D601" t="s">
        <v>10350</v>
      </c>
      <c r="F601" t="s">
        <v>2058</v>
      </c>
      <c r="G601" t="s">
        <v>74</v>
      </c>
      <c r="H601">
        <v>33954</v>
      </c>
      <c r="I601">
        <v>94607778</v>
      </c>
      <c r="J601" t="s">
        <v>10351</v>
      </c>
    </row>
    <row r="602" spans="1:10" x14ac:dyDescent="0.35">
      <c r="A602" t="s">
        <v>5349</v>
      </c>
      <c r="B602" t="s">
        <v>10352</v>
      </c>
      <c r="C602" t="s">
        <v>8728</v>
      </c>
      <c r="D602" t="s">
        <v>10353</v>
      </c>
      <c r="F602" t="s">
        <v>10354</v>
      </c>
      <c r="G602" t="s">
        <v>139</v>
      </c>
      <c r="H602">
        <v>2062</v>
      </c>
      <c r="I602">
        <v>124836422</v>
      </c>
      <c r="J602" t="s">
        <v>10355</v>
      </c>
    </row>
    <row r="603" spans="1:10" x14ac:dyDescent="0.35">
      <c r="A603" t="s">
        <v>2678</v>
      </c>
      <c r="B603" t="s">
        <v>10356</v>
      </c>
      <c r="C603" t="s">
        <v>10357</v>
      </c>
      <c r="D603" t="s">
        <v>10358</v>
      </c>
      <c r="F603" t="s">
        <v>118</v>
      </c>
      <c r="G603" t="s">
        <v>42</v>
      </c>
      <c r="H603">
        <v>80003</v>
      </c>
      <c r="I603">
        <v>110255363</v>
      </c>
      <c r="J603" t="s">
        <v>10359</v>
      </c>
    </row>
    <row r="604" spans="1:10" x14ac:dyDescent="0.35">
      <c r="A604" t="s">
        <v>902</v>
      </c>
      <c r="B604" t="s">
        <v>10360</v>
      </c>
      <c r="C604" t="s">
        <v>10361</v>
      </c>
      <c r="D604" t="s">
        <v>10362</v>
      </c>
      <c r="F604" t="s">
        <v>45</v>
      </c>
      <c r="G604" t="s">
        <v>46</v>
      </c>
      <c r="H604">
        <v>36116</v>
      </c>
      <c r="I604">
        <v>57396770</v>
      </c>
      <c r="J604" t="s">
        <v>10363</v>
      </c>
    </row>
    <row r="605" spans="1:10" x14ac:dyDescent="0.35">
      <c r="A605" t="s">
        <v>4908</v>
      </c>
      <c r="B605" t="s">
        <v>10364</v>
      </c>
      <c r="C605" t="s">
        <v>10365</v>
      </c>
      <c r="D605" t="s">
        <v>10366</v>
      </c>
      <c r="F605" t="s">
        <v>45</v>
      </c>
      <c r="G605" t="s">
        <v>46</v>
      </c>
      <c r="H605">
        <v>36106</v>
      </c>
      <c r="I605">
        <v>49942239</v>
      </c>
      <c r="J605" t="s">
        <v>10367</v>
      </c>
    </row>
    <row r="606" spans="1:10" x14ac:dyDescent="0.35">
      <c r="A606" t="s">
        <v>339</v>
      </c>
      <c r="B606" t="s">
        <v>10368</v>
      </c>
      <c r="C606" t="s">
        <v>10369</v>
      </c>
      <c r="D606" t="s">
        <v>10370</v>
      </c>
      <c r="F606" t="s">
        <v>683</v>
      </c>
      <c r="G606" t="s">
        <v>97</v>
      </c>
      <c r="H606">
        <v>21144</v>
      </c>
      <c r="I606">
        <v>99291684</v>
      </c>
      <c r="J606" t="s">
        <v>10371</v>
      </c>
    </row>
    <row r="607" spans="1:10" x14ac:dyDescent="0.35">
      <c r="A607" t="s">
        <v>10372</v>
      </c>
      <c r="B607" t="s">
        <v>10373</v>
      </c>
      <c r="C607" t="s">
        <v>10374</v>
      </c>
      <c r="D607" t="s">
        <v>9330</v>
      </c>
      <c r="F607" t="s">
        <v>9331</v>
      </c>
      <c r="G607" t="s">
        <v>139</v>
      </c>
      <c r="H607">
        <v>1701</v>
      </c>
      <c r="I607">
        <v>111871393</v>
      </c>
      <c r="J607" t="s">
        <v>10375</v>
      </c>
    </row>
    <row r="608" spans="1:10" x14ac:dyDescent="0.35">
      <c r="A608" t="s">
        <v>3125</v>
      </c>
      <c r="B608" t="s">
        <v>10376</v>
      </c>
      <c r="C608" t="s">
        <v>10377</v>
      </c>
      <c r="D608" t="s">
        <v>10378</v>
      </c>
      <c r="E608" t="s">
        <v>10379</v>
      </c>
      <c r="F608" t="s">
        <v>112</v>
      </c>
      <c r="G608" t="s">
        <v>106</v>
      </c>
      <c r="H608">
        <v>99507</v>
      </c>
      <c r="I608">
        <v>46048482</v>
      </c>
      <c r="J608" t="s">
        <v>10380</v>
      </c>
    </row>
    <row r="609" spans="1:10" x14ac:dyDescent="0.35">
      <c r="A609" t="s">
        <v>2566</v>
      </c>
      <c r="B609" t="s">
        <v>10381</v>
      </c>
      <c r="C609" t="s">
        <v>10382</v>
      </c>
      <c r="D609" t="s">
        <v>10383</v>
      </c>
      <c r="F609" t="s">
        <v>82</v>
      </c>
      <c r="G609" t="s">
        <v>74</v>
      </c>
      <c r="H609">
        <v>32413</v>
      </c>
      <c r="I609">
        <v>28348317</v>
      </c>
      <c r="J609" t="s">
        <v>10384</v>
      </c>
    </row>
    <row r="610" spans="1:10" x14ac:dyDescent="0.35">
      <c r="A610" t="s">
        <v>3620</v>
      </c>
      <c r="B610" t="s">
        <v>10385</v>
      </c>
      <c r="C610" t="s">
        <v>10386</v>
      </c>
      <c r="D610" t="s">
        <v>10387</v>
      </c>
      <c r="F610" t="s">
        <v>1816</v>
      </c>
      <c r="G610" t="s">
        <v>236</v>
      </c>
      <c r="H610">
        <v>73072</v>
      </c>
      <c r="I610">
        <v>58611865</v>
      </c>
      <c r="J610" t="s">
        <v>10388</v>
      </c>
    </row>
    <row r="611" spans="1:10" x14ac:dyDescent="0.35">
      <c r="A611" t="s">
        <v>126</v>
      </c>
      <c r="B611" t="s">
        <v>10389</v>
      </c>
      <c r="C611" t="s">
        <v>8934</v>
      </c>
      <c r="D611" t="s">
        <v>10390</v>
      </c>
      <c r="E611" t="s">
        <v>10391</v>
      </c>
      <c r="F611" t="s">
        <v>5115</v>
      </c>
      <c r="G611" t="s">
        <v>51</v>
      </c>
      <c r="H611">
        <v>93546</v>
      </c>
      <c r="I611">
        <v>28869605</v>
      </c>
      <c r="J611" t="s">
        <v>10392</v>
      </c>
    </row>
    <row r="612" spans="1:10" x14ac:dyDescent="0.35">
      <c r="A612" t="s">
        <v>2819</v>
      </c>
      <c r="B612" t="s">
        <v>10393</v>
      </c>
      <c r="C612" t="s">
        <v>10394</v>
      </c>
      <c r="D612" t="s">
        <v>10395</v>
      </c>
      <c r="E612" t="s">
        <v>10396</v>
      </c>
      <c r="F612" t="s">
        <v>75</v>
      </c>
      <c r="G612" t="s">
        <v>76</v>
      </c>
      <c r="H612">
        <v>6042</v>
      </c>
      <c r="I612">
        <v>64106322</v>
      </c>
      <c r="J612" t="s">
        <v>10397</v>
      </c>
    </row>
    <row r="613" spans="1:10" x14ac:dyDescent="0.35">
      <c r="A613" t="s">
        <v>3181</v>
      </c>
      <c r="B613" t="s">
        <v>10398</v>
      </c>
      <c r="C613" t="s">
        <v>10399</v>
      </c>
      <c r="D613" t="s">
        <v>10400</v>
      </c>
      <c r="F613" t="s">
        <v>45</v>
      </c>
      <c r="G613" t="s">
        <v>46</v>
      </c>
      <c r="H613">
        <v>36109</v>
      </c>
      <c r="I613">
        <v>66585132</v>
      </c>
      <c r="J613" t="s">
        <v>10401</v>
      </c>
    </row>
    <row r="614" spans="1:10" x14ac:dyDescent="0.35">
      <c r="A614" t="s">
        <v>2718</v>
      </c>
      <c r="B614" t="s">
        <v>10402</v>
      </c>
      <c r="C614" t="s">
        <v>10403</v>
      </c>
      <c r="D614" t="s">
        <v>10404</v>
      </c>
      <c r="F614" t="s">
        <v>118</v>
      </c>
      <c r="G614" t="s">
        <v>42</v>
      </c>
      <c r="H614">
        <v>80003</v>
      </c>
      <c r="I614">
        <v>59920995</v>
      </c>
      <c r="J614" t="s">
        <v>10405</v>
      </c>
    </row>
    <row r="615" spans="1:10" x14ac:dyDescent="0.35">
      <c r="A615" t="s">
        <v>325</v>
      </c>
      <c r="B615" t="s">
        <v>10406</v>
      </c>
      <c r="C615" t="s">
        <v>10407</v>
      </c>
      <c r="D615" t="s">
        <v>10408</v>
      </c>
      <c r="F615" t="s">
        <v>107</v>
      </c>
      <c r="G615" t="s">
        <v>87</v>
      </c>
      <c r="H615">
        <v>40219</v>
      </c>
      <c r="I615">
        <v>53027632</v>
      </c>
      <c r="J615" t="s">
        <v>10409</v>
      </c>
    </row>
    <row r="616" spans="1:10" x14ac:dyDescent="0.35">
      <c r="A616" t="s">
        <v>814</v>
      </c>
      <c r="B616" t="s">
        <v>10410</v>
      </c>
      <c r="C616" t="s">
        <v>10411</v>
      </c>
      <c r="D616" t="s">
        <v>10412</v>
      </c>
      <c r="F616" t="s">
        <v>75</v>
      </c>
      <c r="G616" t="s">
        <v>76</v>
      </c>
      <c r="H616">
        <v>6040</v>
      </c>
      <c r="I616">
        <v>104722695</v>
      </c>
      <c r="J616" t="s">
        <v>10413</v>
      </c>
    </row>
    <row r="617" spans="1:10" x14ac:dyDescent="0.35">
      <c r="A617" t="s">
        <v>1236</v>
      </c>
      <c r="B617" t="s">
        <v>10414</v>
      </c>
      <c r="C617" t="s">
        <v>10415</v>
      </c>
      <c r="D617" t="s">
        <v>10416</v>
      </c>
      <c r="F617" t="s">
        <v>35</v>
      </c>
      <c r="G617" t="s">
        <v>36</v>
      </c>
      <c r="H617">
        <v>31404</v>
      </c>
      <c r="I617">
        <v>62214342</v>
      </c>
      <c r="J617" t="s">
        <v>10417</v>
      </c>
    </row>
    <row r="618" spans="1:10" x14ac:dyDescent="0.35">
      <c r="A618" t="s">
        <v>347</v>
      </c>
      <c r="B618" t="s">
        <v>10418</v>
      </c>
      <c r="C618" t="s">
        <v>10419</v>
      </c>
      <c r="D618" t="s">
        <v>10420</v>
      </c>
      <c r="F618" t="s">
        <v>118</v>
      </c>
      <c r="G618" t="s">
        <v>42</v>
      </c>
      <c r="H618">
        <v>80005</v>
      </c>
      <c r="I618">
        <v>86331560</v>
      </c>
      <c r="J618" t="s">
        <v>10421</v>
      </c>
    </row>
    <row r="619" spans="1:10" x14ac:dyDescent="0.35">
      <c r="A619" t="s">
        <v>3813</v>
      </c>
      <c r="B619" t="s">
        <v>10422</v>
      </c>
      <c r="C619" t="s">
        <v>10423</v>
      </c>
      <c r="D619" t="s">
        <v>10424</v>
      </c>
      <c r="E619" t="s">
        <v>32</v>
      </c>
      <c r="F619" t="s">
        <v>523</v>
      </c>
      <c r="G619" t="s">
        <v>36</v>
      </c>
      <c r="H619">
        <v>31322</v>
      </c>
      <c r="I619">
        <v>54664450</v>
      </c>
      <c r="J619" t="s">
        <v>10425</v>
      </c>
    </row>
    <row r="620" spans="1:10" x14ac:dyDescent="0.35">
      <c r="A620" t="s">
        <v>240</v>
      </c>
      <c r="B620" t="s">
        <v>10426</v>
      </c>
      <c r="C620" t="s">
        <v>10427</v>
      </c>
      <c r="D620" t="s">
        <v>10428</v>
      </c>
      <c r="F620" t="s">
        <v>235</v>
      </c>
      <c r="G620" t="s">
        <v>236</v>
      </c>
      <c r="H620">
        <v>73170</v>
      </c>
      <c r="I620">
        <v>115509742</v>
      </c>
      <c r="J620" t="s">
        <v>10429</v>
      </c>
    </row>
    <row r="621" spans="1:10" x14ac:dyDescent="0.35">
      <c r="A621" t="s">
        <v>2949</v>
      </c>
      <c r="B621" t="s">
        <v>10430</v>
      </c>
      <c r="C621" t="s">
        <v>10431</v>
      </c>
      <c r="D621" t="s">
        <v>10023</v>
      </c>
      <c r="E621" t="s">
        <v>10024</v>
      </c>
      <c r="F621" t="s">
        <v>697</v>
      </c>
      <c r="G621" t="s">
        <v>139</v>
      </c>
      <c r="H621">
        <v>1069</v>
      </c>
      <c r="I621">
        <v>129134381</v>
      </c>
      <c r="J621" t="s">
        <v>10432</v>
      </c>
    </row>
    <row r="622" spans="1:10" x14ac:dyDescent="0.35">
      <c r="A622" t="s">
        <v>5876</v>
      </c>
      <c r="B622" t="s">
        <v>10433</v>
      </c>
      <c r="C622" t="s">
        <v>10434</v>
      </c>
      <c r="D622" t="s">
        <v>10435</v>
      </c>
      <c r="F622" t="s">
        <v>130</v>
      </c>
      <c r="G622" t="s">
        <v>123</v>
      </c>
      <c r="H622">
        <v>20037</v>
      </c>
      <c r="I622">
        <v>80830478</v>
      </c>
      <c r="J622" t="s">
        <v>10436</v>
      </c>
    </row>
    <row r="623" spans="1:10" x14ac:dyDescent="0.35">
      <c r="A623" t="s">
        <v>4575</v>
      </c>
      <c r="B623" t="s">
        <v>10437</v>
      </c>
      <c r="C623" t="s">
        <v>10438</v>
      </c>
      <c r="D623" t="s">
        <v>10439</v>
      </c>
      <c r="E623" t="s">
        <v>10440</v>
      </c>
      <c r="F623" t="s">
        <v>118</v>
      </c>
      <c r="G623" t="s">
        <v>42</v>
      </c>
      <c r="H623">
        <v>80003</v>
      </c>
      <c r="I623">
        <v>13174004</v>
      </c>
      <c r="J623" t="s">
        <v>10441</v>
      </c>
    </row>
    <row r="624" spans="1:10" x14ac:dyDescent="0.35">
      <c r="A624" t="s">
        <v>10442</v>
      </c>
      <c r="B624" t="s">
        <v>10443</v>
      </c>
      <c r="C624" t="s">
        <v>10444</v>
      </c>
      <c r="D624" t="s">
        <v>10259</v>
      </c>
      <c r="F624" t="s">
        <v>45</v>
      </c>
      <c r="G624" t="s">
        <v>46</v>
      </c>
      <c r="H624">
        <v>36108</v>
      </c>
      <c r="I624">
        <v>94845268</v>
      </c>
      <c r="J624" t="s">
        <v>10445</v>
      </c>
    </row>
    <row r="625" spans="1:10" x14ac:dyDescent="0.35">
      <c r="A625" t="s">
        <v>227</v>
      </c>
      <c r="B625" t="s">
        <v>10446</v>
      </c>
      <c r="C625" t="s">
        <v>10447</v>
      </c>
      <c r="D625" t="s">
        <v>9474</v>
      </c>
      <c r="E625" t="s">
        <v>9475</v>
      </c>
      <c r="F625" t="s">
        <v>112</v>
      </c>
      <c r="G625" t="s">
        <v>106</v>
      </c>
      <c r="H625">
        <v>99501</v>
      </c>
      <c r="I625">
        <v>12462649</v>
      </c>
      <c r="J625" t="s">
        <v>10448</v>
      </c>
    </row>
    <row r="626" spans="1:10" x14ac:dyDescent="0.35">
      <c r="A626" t="s">
        <v>199</v>
      </c>
      <c r="B626" t="s">
        <v>10449</v>
      </c>
      <c r="C626" t="s">
        <v>10450</v>
      </c>
      <c r="D626" t="s">
        <v>9871</v>
      </c>
      <c r="F626" t="s">
        <v>107</v>
      </c>
      <c r="G626" t="s">
        <v>87</v>
      </c>
      <c r="H626">
        <v>40245</v>
      </c>
      <c r="I626">
        <v>116603838</v>
      </c>
      <c r="J626" t="s">
        <v>10451</v>
      </c>
    </row>
    <row r="627" spans="1:10" x14ac:dyDescent="0.35">
      <c r="A627" t="s">
        <v>4685</v>
      </c>
      <c r="B627" t="s">
        <v>10452</v>
      </c>
      <c r="C627" t="s">
        <v>10453</v>
      </c>
      <c r="D627" t="s">
        <v>10454</v>
      </c>
      <c r="F627" t="s">
        <v>63</v>
      </c>
      <c r="G627" t="s">
        <v>64</v>
      </c>
      <c r="H627">
        <v>37115</v>
      </c>
      <c r="I627">
        <v>25457751</v>
      </c>
      <c r="J627" t="s">
        <v>10455</v>
      </c>
    </row>
    <row r="628" spans="1:10" x14ac:dyDescent="0.35">
      <c r="A628" t="s">
        <v>2115</v>
      </c>
      <c r="B628" t="s">
        <v>10456</v>
      </c>
      <c r="C628" t="s">
        <v>10457</v>
      </c>
      <c r="D628" t="s">
        <v>10458</v>
      </c>
      <c r="F628" t="s">
        <v>477</v>
      </c>
      <c r="G628" t="s">
        <v>51</v>
      </c>
      <c r="H628">
        <v>94544</v>
      </c>
      <c r="I628">
        <v>54858622</v>
      </c>
      <c r="J628" t="s">
        <v>10459</v>
      </c>
    </row>
    <row r="629" spans="1:10" x14ac:dyDescent="0.35">
      <c r="A629" t="s">
        <v>3875</v>
      </c>
      <c r="B629" t="s">
        <v>10460</v>
      </c>
      <c r="C629" t="s">
        <v>10461</v>
      </c>
      <c r="D629" t="s">
        <v>10462</v>
      </c>
      <c r="F629" t="s">
        <v>118</v>
      </c>
      <c r="G629" t="s">
        <v>42</v>
      </c>
      <c r="H629">
        <v>80004</v>
      </c>
      <c r="I629">
        <v>122038138</v>
      </c>
      <c r="J629" t="s">
        <v>10463</v>
      </c>
    </row>
    <row r="630" spans="1:10" x14ac:dyDescent="0.35">
      <c r="A630" t="s">
        <v>6106</v>
      </c>
      <c r="B630" t="s">
        <v>10464</v>
      </c>
      <c r="C630" t="s">
        <v>10465</v>
      </c>
      <c r="D630" t="s">
        <v>10466</v>
      </c>
      <c r="F630" t="s">
        <v>2815</v>
      </c>
      <c r="G630" t="s">
        <v>147</v>
      </c>
      <c r="H630">
        <v>5660</v>
      </c>
      <c r="I630">
        <v>56589326</v>
      </c>
      <c r="J630" t="s">
        <v>10467</v>
      </c>
    </row>
    <row r="631" spans="1:10" x14ac:dyDescent="0.35">
      <c r="A631" t="s">
        <v>10468</v>
      </c>
      <c r="B631" t="s">
        <v>10469</v>
      </c>
      <c r="C631" t="s">
        <v>10470</v>
      </c>
      <c r="D631" t="s">
        <v>8331</v>
      </c>
      <c r="F631" t="s">
        <v>35</v>
      </c>
      <c r="G631" t="s">
        <v>36</v>
      </c>
      <c r="H631">
        <v>31404</v>
      </c>
      <c r="I631">
        <v>84587167</v>
      </c>
      <c r="J631" t="s">
        <v>10471</v>
      </c>
    </row>
    <row r="632" spans="1:10" x14ac:dyDescent="0.35">
      <c r="A632" t="s">
        <v>2946</v>
      </c>
      <c r="B632" t="s">
        <v>10472</v>
      </c>
      <c r="C632" t="s">
        <v>10473</v>
      </c>
      <c r="D632" t="s">
        <v>10474</v>
      </c>
      <c r="E632" t="s">
        <v>9614</v>
      </c>
      <c r="F632" t="s">
        <v>1771</v>
      </c>
      <c r="G632" t="s">
        <v>139</v>
      </c>
      <c r="H632">
        <v>1864</v>
      </c>
      <c r="I632">
        <v>118235398</v>
      </c>
      <c r="J632" t="s">
        <v>10475</v>
      </c>
    </row>
    <row r="633" spans="1:10" x14ac:dyDescent="0.35">
      <c r="A633" t="s">
        <v>383</v>
      </c>
      <c r="B633" t="s">
        <v>10476</v>
      </c>
      <c r="C633" t="s">
        <v>10477</v>
      </c>
      <c r="D633" t="s">
        <v>10478</v>
      </c>
      <c r="F633" t="s">
        <v>10479</v>
      </c>
      <c r="G633" t="s">
        <v>139</v>
      </c>
      <c r="H633">
        <v>1949</v>
      </c>
      <c r="I633">
        <v>66017529</v>
      </c>
      <c r="J633" t="s">
        <v>10480</v>
      </c>
    </row>
    <row r="634" spans="1:10" x14ac:dyDescent="0.35">
      <c r="A634" t="s">
        <v>4817</v>
      </c>
      <c r="B634" t="s">
        <v>10481</v>
      </c>
      <c r="C634" t="s">
        <v>10482</v>
      </c>
      <c r="D634" t="s">
        <v>10483</v>
      </c>
      <c r="F634" t="s">
        <v>63</v>
      </c>
      <c r="G634" t="s">
        <v>64</v>
      </c>
      <c r="H634">
        <v>37205</v>
      </c>
      <c r="I634">
        <v>102211519</v>
      </c>
      <c r="J634" t="s">
        <v>10484</v>
      </c>
    </row>
    <row r="635" spans="1:10" x14ac:dyDescent="0.35">
      <c r="A635" t="s">
        <v>2541</v>
      </c>
      <c r="B635" t="s">
        <v>10485</v>
      </c>
      <c r="C635" t="s">
        <v>10486</v>
      </c>
      <c r="D635" t="s">
        <v>10487</v>
      </c>
      <c r="F635" t="s">
        <v>683</v>
      </c>
      <c r="G635" t="s">
        <v>97</v>
      </c>
      <c r="H635">
        <v>21144</v>
      </c>
      <c r="I635">
        <v>64451527</v>
      </c>
      <c r="J635" t="s">
        <v>10488</v>
      </c>
    </row>
    <row r="636" spans="1:10" x14ac:dyDescent="0.35">
      <c r="A636" t="s">
        <v>1118</v>
      </c>
      <c r="B636" t="s">
        <v>10489</v>
      </c>
      <c r="C636" t="s">
        <v>10490</v>
      </c>
      <c r="D636" t="s">
        <v>10491</v>
      </c>
      <c r="F636" t="s">
        <v>5759</v>
      </c>
      <c r="G636" t="s">
        <v>147</v>
      </c>
      <c r="H636">
        <v>5301</v>
      </c>
      <c r="I636">
        <v>115081053</v>
      </c>
      <c r="J636" t="s">
        <v>10492</v>
      </c>
    </row>
    <row r="637" spans="1:10" x14ac:dyDescent="0.35">
      <c r="A637" t="s">
        <v>5400</v>
      </c>
      <c r="B637" t="s">
        <v>10493</v>
      </c>
      <c r="C637" t="s">
        <v>10494</v>
      </c>
      <c r="D637" t="s">
        <v>10495</v>
      </c>
      <c r="F637" t="s">
        <v>112</v>
      </c>
      <c r="G637" t="s">
        <v>106</v>
      </c>
      <c r="H637">
        <v>99507</v>
      </c>
      <c r="I637">
        <v>23657375</v>
      </c>
      <c r="J637" t="s">
        <v>10496</v>
      </c>
    </row>
    <row r="638" spans="1:10" x14ac:dyDescent="0.35">
      <c r="A638" t="s">
        <v>6216</v>
      </c>
      <c r="B638" t="s">
        <v>10497</v>
      </c>
      <c r="C638" t="s">
        <v>10498</v>
      </c>
      <c r="D638" t="s">
        <v>9062</v>
      </c>
      <c r="F638" t="s">
        <v>63</v>
      </c>
      <c r="G638" t="s">
        <v>64</v>
      </c>
      <c r="H638">
        <v>37209</v>
      </c>
      <c r="I638">
        <v>57628723</v>
      </c>
      <c r="J638" t="s">
        <v>10499</v>
      </c>
    </row>
    <row r="639" spans="1:10" x14ac:dyDescent="0.35">
      <c r="A639" t="s">
        <v>66</v>
      </c>
      <c r="B639" t="s">
        <v>10500</v>
      </c>
      <c r="C639" t="s">
        <v>10501</v>
      </c>
      <c r="D639" t="s">
        <v>10169</v>
      </c>
      <c r="F639" t="s">
        <v>278</v>
      </c>
      <c r="G639" t="s">
        <v>97</v>
      </c>
      <c r="H639">
        <v>21061</v>
      </c>
      <c r="I639">
        <v>76119019</v>
      </c>
      <c r="J639" t="s">
        <v>10502</v>
      </c>
    </row>
    <row r="640" spans="1:10" x14ac:dyDescent="0.35">
      <c r="A640" t="s">
        <v>10503</v>
      </c>
      <c r="B640" t="s">
        <v>10504</v>
      </c>
      <c r="C640" t="s">
        <v>10505</v>
      </c>
      <c r="D640" t="s">
        <v>9152</v>
      </c>
      <c r="F640" t="s">
        <v>45</v>
      </c>
      <c r="G640" t="s">
        <v>46</v>
      </c>
      <c r="H640">
        <v>36117</v>
      </c>
      <c r="I640">
        <v>60541033</v>
      </c>
      <c r="J640" t="s">
        <v>10506</v>
      </c>
    </row>
    <row r="641" spans="1:10" x14ac:dyDescent="0.35">
      <c r="A641" t="s">
        <v>2423</v>
      </c>
      <c r="B641" t="s">
        <v>10507</v>
      </c>
      <c r="C641" t="s">
        <v>10508</v>
      </c>
      <c r="D641" t="s">
        <v>10509</v>
      </c>
      <c r="F641" t="s">
        <v>1816</v>
      </c>
      <c r="G641" t="s">
        <v>236</v>
      </c>
      <c r="H641">
        <v>73071</v>
      </c>
      <c r="I641">
        <v>45319426</v>
      </c>
      <c r="J641" t="s">
        <v>10510</v>
      </c>
    </row>
    <row r="642" spans="1:10" x14ac:dyDescent="0.35">
      <c r="A642" t="s">
        <v>600</v>
      </c>
      <c r="B642" t="s">
        <v>10511</v>
      </c>
      <c r="C642" t="s">
        <v>10512</v>
      </c>
      <c r="D642" t="s">
        <v>9462</v>
      </c>
      <c r="F642" t="s">
        <v>75</v>
      </c>
      <c r="G642" t="s">
        <v>76</v>
      </c>
      <c r="H642">
        <v>6040</v>
      </c>
      <c r="I642">
        <v>124190333</v>
      </c>
      <c r="J642" t="s">
        <v>10513</v>
      </c>
    </row>
    <row r="643" spans="1:10" x14ac:dyDescent="0.35">
      <c r="A643" t="s">
        <v>10514</v>
      </c>
      <c r="B643" t="s">
        <v>10515</v>
      </c>
      <c r="C643" t="s">
        <v>10516</v>
      </c>
      <c r="D643" t="s">
        <v>10517</v>
      </c>
      <c r="F643" t="s">
        <v>118</v>
      </c>
      <c r="G643" t="s">
        <v>42</v>
      </c>
      <c r="H643">
        <v>80003</v>
      </c>
      <c r="I643">
        <v>100129506</v>
      </c>
      <c r="J643" t="s">
        <v>10518</v>
      </c>
    </row>
    <row r="644" spans="1:10" x14ac:dyDescent="0.35">
      <c r="A644" t="s">
        <v>2033</v>
      </c>
      <c r="B644" t="s">
        <v>10519</v>
      </c>
      <c r="C644" t="s">
        <v>10520</v>
      </c>
      <c r="D644" t="s">
        <v>10521</v>
      </c>
      <c r="E644" t="s">
        <v>10522</v>
      </c>
      <c r="F644" t="s">
        <v>70</v>
      </c>
      <c r="G644" t="s">
        <v>31</v>
      </c>
      <c r="H644">
        <v>85308</v>
      </c>
      <c r="I644">
        <v>96484119</v>
      </c>
      <c r="J644" t="s">
        <v>10523</v>
      </c>
    </row>
    <row r="645" spans="1:10" x14ac:dyDescent="0.35">
      <c r="A645" t="s">
        <v>247</v>
      </c>
      <c r="B645" t="s">
        <v>10524</v>
      </c>
      <c r="C645" t="s">
        <v>10525</v>
      </c>
      <c r="D645" t="s">
        <v>10526</v>
      </c>
      <c r="F645" t="s">
        <v>75</v>
      </c>
      <c r="G645" t="s">
        <v>76</v>
      </c>
      <c r="H645">
        <v>6040</v>
      </c>
      <c r="I645">
        <v>42374817</v>
      </c>
      <c r="J645" t="s">
        <v>10527</v>
      </c>
    </row>
    <row r="646" spans="1:10" x14ac:dyDescent="0.35">
      <c r="A646" t="s">
        <v>1253</v>
      </c>
      <c r="B646" t="s">
        <v>10528</v>
      </c>
      <c r="C646" t="s">
        <v>10529</v>
      </c>
      <c r="D646" t="s">
        <v>10530</v>
      </c>
      <c r="F646" t="s">
        <v>118</v>
      </c>
      <c r="G646" t="s">
        <v>42</v>
      </c>
      <c r="H646">
        <v>80005</v>
      </c>
      <c r="I646">
        <v>42696760</v>
      </c>
      <c r="J646" t="s">
        <v>10531</v>
      </c>
    </row>
    <row r="647" spans="1:10" x14ac:dyDescent="0.35">
      <c r="A647" t="s">
        <v>3711</v>
      </c>
      <c r="B647" t="s">
        <v>10532</v>
      </c>
      <c r="C647" t="s">
        <v>10533</v>
      </c>
      <c r="D647" t="s">
        <v>9029</v>
      </c>
      <c r="F647" t="s">
        <v>124</v>
      </c>
      <c r="G647" t="s">
        <v>117</v>
      </c>
      <c r="H647">
        <v>72701</v>
      </c>
      <c r="I647">
        <v>75821285</v>
      </c>
      <c r="J647" t="s">
        <v>10534</v>
      </c>
    </row>
    <row r="648" spans="1:10" x14ac:dyDescent="0.35">
      <c r="A648" t="s">
        <v>4210</v>
      </c>
      <c r="B648" t="s">
        <v>10535</v>
      </c>
      <c r="C648" t="s">
        <v>8129</v>
      </c>
      <c r="D648" t="s">
        <v>10536</v>
      </c>
      <c r="E648" t="s">
        <v>10537</v>
      </c>
      <c r="F648" t="s">
        <v>124</v>
      </c>
      <c r="G648" t="s">
        <v>117</v>
      </c>
      <c r="H648">
        <v>72701</v>
      </c>
      <c r="I648">
        <v>71780883</v>
      </c>
      <c r="J648" t="s">
        <v>10538</v>
      </c>
    </row>
    <row r="649" spans="1:10" x14ac:dyDescent="0.35">
      <c r="A649" t="s">
        <v>728</v>
      </c>
      <c r="B649" t="s">
        <v>10539</v>
      </c>
      <c r="C649" t="s">
        <v>10540</v>
      </c>
      <c r="D649" t="s">
        <v>10541</v>
      </c>
      <c r="F649" t="s">
        <v>118</v>
      </c>
      <c r="G649" t="s">
        <v>42</v>
      </c>
      <c r="H649">
        <v>80003</v>
      </c>
      <c r="I649">
        <v>29124608</v>
      </c>
      <c r="J649" t="s">
        <v>10542</v>
      </c>
    </row>
    <row r="650" spans="1:10" x14ac:dyDescent="0.35">
      <c r="A650" t="s">
        <v>1112</v>
      </c>
      <c r="B650" t="s">
        <v>10543</v>
      </c>
      <c r="C650" t="s">
        <v>10544</v>
      </c>
      <c r="D650" t="s">
        <v>10545</v>
      </c>
      <c r="G650" t="s">
        <v>147</v>
      </c>
      <c r="H650">
        <v>5150</v>
      </c>
      <c r="I650">
        <v>107067629</v>
      </c>
      <c r="J650" t="s">
        <v>10546</v>
      </c>
    </row>
    <row r="651" spans="1:10" x14ac:dyDescent="0.35">
      <c r="A651" t="s">
        <v>625</v>
      </c>
      <c r="B651" t="s">
        <v>10547</v>
      </c>
      <c r="C651" t="s">
        <v>10548</v>
      </c>
      <c r="D651" t="s">
        <v>8138</v>
      </c>
      <c r="F651" t="s">
        <v>107</v>
      </c>
      <c r="G651" t="s">
        <v>87</v>
      </c>
      <c r="H651">
        <v>40208</v>
      </c>
      <c r="I651">
        <v>98581528</v>
      </c>
      <c r="J651" t="s">
        <v>10549</v>
      </c>
    </row>
    <row r="652" spans="1:10" x14ac:dyDescent="0.35">
      <c r="A652" t="s">
        <v>1736</v>
      </c>
      <c r="B652" t="s">
        <v>10550</v>
      </c>
      <c r="C652" t="s">
        <v>10551</v>
      </c>
      <c r="D652" t="s">
        <v>10552</v>
      </c>
      <c r="F652" t="s">
        <v>10553</v>
      </c>
      <c r="G652" t="s">
        <v>139</v>
      </c>
      <c r="H652">
        <v>1890</v>
      </c>
      <c r="I652">
        <v>109024466</v>
      </c>
      <c r="J652" t="s">
        <v>10554</v>
      </c>
    </row>
    <row r="653" spans="1:10" x14ac:dyDescent="0.35">
      <c r="A653" t="s">
        <v>1376</v>
      </c>
      <c r="B653" t="s">
        <v>10555</v>
      </c>
      <c r="C653" t="s">
        <v>10556</v>
      </c>
      <c r="D653" t="s">
        <v>9164</v>
      </c>
      <c r="F653" t="s">
        <v>334</v>
      </c>
      <c r="G653" t="s">
        <v>51</v>
      </c>
      <c r="H653">
        <v>94602</v>
      </c>
      <c r="I653">
        <v>97496478</v>
      </c>
      <c r="J653" t="s">
        <v>10557</v>
      </c>
    </row>
    <row r="654" spans="1:10" x14ac:dyDescent="0.35">
      <c r="A654" t="s">
        <v>7117</v>
      </c>
      <c r="B654" t="s">
        <v>10558</v>
      </c>
      <c r="C654" t="s">
        <v>10559</v>
      </c>
      <c r="D654" t="s">
        <v>10560</v>
      </c>
      <c r="F654" t="s">
        <v>130</v>
      </c>
      <c r="G654" t="s">
        <v>123</v>
      </c>
      <c r="H654">
        <v>20002</v>
      </c>
      <c r="I654">
        <v>46576857</v>
      </c>
      <c r="J654" t="s">
        <v>10561</v>
      </c>
    </row>
    <row r="655" spans="1:10" x14ac:dyDescent="0.35">
      <c r="A655" t="s">
        <v>1477</v>
      </c>
      <c r="B655" t="s">
        <v>10562</v>
      </c>
      <c r="C655" t="s">
        <v>10563</v>
      </c>
      <c r="D655" t="s">
        <v>10564</v>
      </c>
      <c r="F655" t="s">
        <v>35</v>
      </c>
      <c r="G655" t="s">
        <v>36</v>
      </c>
      <c r="H655">
        <v>31419</v>
      </c>
      <c r="I655">
        <v>27422849</v>
      </c>
      <c r="J655" t="s">
        <v>10565</v>
      </c>
    </row>
    <row r="656" spans="1:10" x14ac:dyDescent="0.35">
      <c r="A656" t="s">
        <v>3105</v>
      </c>
      <c r="B656" t="s">
        <v>10566</v>
      </c>
      <c r="C656" t="s">
        <v>10567</v>
      </c>
      <c r="D656" t="s">
        <v>10568</v>
      </c>
      <c r="F656" t="s">
        <v>45</v>
      </c>
      <c r="G656" t="s">
        <v>46</v>
      </c>
      <c r="H656">
        <v>36116</v>
      </c>
      <c r="I656">
        <v>117274952</v>
      </c>
      <c r="J656" t="s">
        <v>10569</v>
      </c>
    </row>
    <row r="657" spans="1:10" x14ac:dyDescent="0.35">
      <c r="A657" t="s">
        <v>5158</v>
      </c>
      <c r="B657" t="s">
        <v>10570</v>
      </c>
      <c r="C657" t="s">
        <v>10571</v>
      </c>
      <c r="D657" t="s">
        <v>10572</v>
      </c>
      <c r="F657" t="s">
        <v>683</v>
      </c>
      <c r="G657" t="s">
        <v>97</v>
      </c>
      <c r="H657">
        <v>21144</v>
      </c>
      <c r="I657">
        <v>19428819</v>
      </c>
      <c r="J657" t="s">
        <v>10573</v>
      </c>
    </row>
    <row r="658" spans="1:10" x14ac:dyDescent="0.35">
      <c r="A658" t="s">
        <v>3580</v>
      </c>
      <c r="B658" t="s">
        <v>10574</v>
      </c>
      <c r="C658" t="s">
        <v>10575</v>
      </c>
      <c r="D658" t="s">
        <v>10576</v>
      </c>
      <c r="F658" t="s">
        <v>35</v>
      </c>
      <c r="G658" t="s">
        <v>36</v>
      </c>
      <c r="H658">
        <v>31419</v>
      </c>
      <c r="I658">
        <v>32875504</v>
      </c>
      <c r="J658" t="s">
        <v>10577</v>
      </c>
    </row>
    <row r="659" spans="1:10" x14ac:dyDescent="0.35">
      <c r="A659" t="s">
        <v>4166</v>
      </c>
      <c r="B659" t="s">
        <v>10578</v>
      </c>
      <c r="C659" t="s">
        <v>10579</v>
      </c>
      <c r="D659" t="s">
        <v>10580</v>
      </c>
      <c r="F659" t="s">
        <v>35</v>
      </c>
      <c r="G659" t="s">
        <v>36</v>
      </c>
      <c r="H659">
        <v>31405</v>
      </c>
      <c r="I659">
        <v>53940285</v>
      </c>
      <c r="J659" t="s">
        <v>10581</v>
      </c>
    </row>
    <row r="660" spans="1:10" x14ac:dyDescent="0.35">
      <c r="A660" t="s">
        <v>5107</v>
      </c>
      <c r="B660" t="s">
        <v>10582</v>
      </c>
      <c r="C660" t="s">
        <v>10583</v>
      </c>
      <c r="D660" t="s">
        <v>10584</v>
      </c>
      <c r="F660" t="s">
        <v>96</v>
      </c>
      <c r="G660" t="s">
        <v>97</v>
      </c>
      <c r="H660">
        <v>21114</v>
      </c>
      <c r="I660">
        <v>107662817</v>
      </c>
      <c r="J660" t="s">
        <v>10585</v>
      </c>
    </row>
    <row r="661" spans="1:10" x14ac:dyDescent="0.35">
      <c r="A661" t="s">
        <v>1137</v>
      </c>
      <c r="B661" t="s">
        <v>10586</v>
      </c>
      <c r="C661" t="s">
        <v>10587</v>
      </c>
      <c r="D661" t="s">
        <v>10588</v>
      </c>
      <c r="F661" t="s">
        <v>130</v>
      </c>
      <c r="G661" t="s">
        <v>123</v>
      </c>
      <c r="H661">
        <v>20003</v>
      </c>
      <c r="I661">
        <v>19319517</v>
      </c>
      <c r="J661" t="s">
        <v>10589</v>
      </c>
    </row>
    <row r="662" spans="1:10" x14ac:dyDescent="0.35">
      <c r="A662" t="s">
        <v>4085</v>
      </c>
      <c r="B662" t="s">
        <v>10590</v>
      </c>
      <c r="C662" t="s">
        <v>10591</v>
      </c>
      <c r="D662" t="s">
        <v>10592</v>
      </c>
      <c r="F662" t="s">
        <v>3541</v>
      </c>
      <c r="G662" t="s">
        <v>36</v>
      </c>
      <c r="H662">
        <v>31408</v>
      </c>
      <c r="I662">
        <v>58485457</v>
      </c>
      <c r="J662" t="s">
        <v>10593</v>
      </c>
    </row>
    <row r="663" spans="1:10" x14ac:dyDescent="0.35">
      <c r="A663" t="s">
        <v>944</v>
      </c>
      <c r="B663" t="s">
        <v>10594</v>
      </c>
      <c r="C663" t="s">
        <v>10595</v>
      </c>
      <c r="D663" t="s">
        <v>8021</v>
      </c>
      <c r="E663" t="s">
        <v>8022</v>
      </c>
      <c r="F663" t="s">
        <v>112</v>
      </c>
      <c r="G663" t="s">
        <v>106</v>
      </c>
      <c r="H663">
        <v>99518</v>
      </c>
      <c r="I663">
        <v>115304947</v>
      </c>
      <c r="J663" t="s">
        <v>10596</v>
      </c>
    </row>
    <row r="664" spans="1:10" x14ac:dyDescent="0.35">
      <c r="A664" t="s">
        <v>4320</v>
      </c>
      <c r="B664" t="s">
        <v>10597</v>
      </c>
      <c r="C664" t="s">
        <v>10598</v>
      </c>
      <c r="D664" t="s">
        <v>10599</v>
      </c>
      <c r="F664" t="s">
        <v>75</v>
      </c>
      <c r="G664" t="s">
        <v>76</v>
      </c>
      <c r="H664">
        <v>6040</v>
      </c>
      <c r="I664">
        <v>58545009</v>
      </c>
      <c r="J664" t="s">
        <v>10600</v>
      </c>
    </row>
    <row r="665" spans="1:10" x14ac:dyDescent="0.35">
      <c r="A665" t="s">
        <v>7352</v>
      </c>
      <c r="B665" t="s">
        <v>10601</v>
      </c>
      <c r="C665" t="s">
        <v>10602</v>
      </c>
      <c r="D665" t="s">
        <v>10603</v>
      </c>
      <c r="E665" t="s">
        <v>10604</v>
      </c>
      <c r="F665" t="s">
        <v>107</v>
      </c>
      <c r="G665" t="s">
        <v>87</v>
      </c>
      <c r="H665">
        <v>40203</v>
      </c>
      <c r="I665">
        <v>87724639</v>
      </c>
      <c r="J665" t="s">
        <v>10605</v>
      </c>
    </row>
    <row r="666" spans="1:10" x14ac:dyDescent="0.35">
      <c r="A666" t="s">
        <v>4654</v>
      </c>
      <c r="B666" t="s">
        <v>10606</v>
      </c>
      <c r="C666" t="s">
        <v>10607</v>
      </c>
      <c r="D666" t="s">
        <v>10608</v>
      </c>
      <c r="F666" t="s">
        <v>3766</v>
      </c>
      <c r="G666" t="s">
        <v>97</v>
      </c>
      <c r="H666">
        <v>21225</v>
      </c>
      <c r="I666">
        <v>12712483</v>
      </c>
      <c r="J666" t="s">
        <v>10609</v>
      </c>
    </row>
    <row r="667" spans="1:10" x14ac:dyDescent="0.35">
      <c r="A667" t="s">
        <v>6500</v>
      </c>
      <c r="B667" t="s">
        <v>10610</v>
      </c>
      <c r="C667" t="s">
        <v>10611</v>
      </c>
      <c r="D667" t="s">
        <v>10612</v>
      </c>
      <c r="F667" t="s">
        <v>5764</v>
      </c>
      <c r="G667" t="s">
        <v>236</v>
      </c>
      <c r="H667">
        <v>73116</v>
      </c>
      <c r="I667">
        <v>42181330</v>
      </c>
      <c r="J667" t="s">
        <v>10613</v>
      </c>
    </row>
    <row r="668" spans="1:10" x14ac:dyDescent="0.35">
      <c r="A668" t="s">
        <v>1708</v>
      </c>
      <c r="B668" t="s">
        <v>10614</v>
      </c>
      <c r="C668" t="s">
        <v>10615</v>
      </c>
      <c r="D668" t="s">
        <v>10616</v>
      </c>
      <c r="F668" t="s">
        <v>209</v>
      </c>
      <c r="G668" t="s">
        <v>74</v>
      </c>
      <c r="H668">
        <v>32404</v>
      </c>
      <c r="I668">
        <v>12600142</v>
      </c>
      <c r="J668" t="s">
        <v>10617</v>
      </c>
    </row>
    <row r="669" spans="1:10" x14ac:dyDescent="0.35">
      <c r="A669" t="s">
        <v>2448</v>
      </c>
      <c r="B669" t="s">
        <v>10618</v>
      </c>
      <c r="C669" t="s">
        <v>10619</v>
      </c>
      <c r="D669" t="s">
        <v>10620</v>
      </c>
      <c r="F669" t="s">
        <v>1071</v>
      </c>
      <c r="G669" t="s">
        <v>236</v>
      </c>
      <c r="H669">
        <v>73013</v>
      </c>
      <c r="I669">
        <v>66460095</v>
      </c>
      <c r="J669" t="s">
        <v>10621</v>
      </c>
    </row>
    <row r="670" spans="1:10" x14ac:dyDescent="0.35">
      <c r="A670" t="s">
        <v>1081</v>
      </c>
      <c r="B670" t="s">
        <v>10622</v>
      </c>
      <c r="C670" t="s">
        <v>10623</v>
      </c>
      <c r="D670" t="s">
        <v>10624</v>
      </c>
      <c r="F670" t="s">
        <v>45</v>
      </c>
      <c r="G670" t="s">
        <v>46</v>
      </c>
      <c r="H670">
        <v>36105</v>
      </c>
      <c r="I670">
        <v>31251310</v>
      </c>
      <c r="J670" t="s">
        <v>10625</v>
      </c>
    </row>
    <row r="671" spans="1:10" x14ac:dyDescent="0.35">
      <c r="A671" t="s">
        <v>1792</v>
      </c>
      <c r="B671" t="s">
        <v>10626</v>
      </c>
      <c r="C671" t="s">
        <v>10627</v>
      </c>
      <c r="D671" t="s">
        <v>10628</v>
      </c>
      <c r="F671" t="s">
        <v>3221</v>
      </c>
      <c r="G671" t="s">
        <v>51</v>
      </c>
      <c r="H671">
        <v>94546</v>
      </c>
      <c r="I671">
        <v>60520847</v>
      </c>
      <c r="J671" t="s">
        <v>10629</v>
      </c>
    </row>
    <row r="672" spans="1:10" x14ac:dyDescent="0.35">
      <c r="A672" t="s">
        <v>1879</v>
      </c>
      <c r="B672" t="s">
        <v>10630</v>
      </c>
      <c r="C672" t="s">
        <v>10631</v>
      </c>
      <c r="D672" t="s">
        <v>10632</v>
      </c>
      <c r="E672" t="s">
        <v>10633</v>
      </c>
      <c r="F672" t="s">
        <v>5115</v>
      </c>
      <c r="G672" t="s">
        <v>51</v>
      </c>
      <c r="H672">
        <v>93546</v>
      </c>
      <c r="I672">
        <v>105681188</v>
      </c>
      <c r="J672" t="s">
        <v>10634</v>
      </c>
    </row>
    <row r="673" spans="1:10" x14ac:dyDescent="0.35">
      <c r="A673" t="s">
        <v>3988</v>
      </c>
      <c r="B673" t="s">
        <v>10635</v>
      </c>
      <c r="C673" t="s">
        <v>10636</v>
      </c>
      <c r="D673" t="s">
        <v>10637</v>
      </c>
      <c r="F673" t="s">
        <v>75</v>
      </c>
      <c r="G673" t="s">
        <v>76</v>
      </c>
      <c r="H673">
        <v>6040</v>
      </c>
      <c r="I673">
        <v>126318278</v>
      </c>
      <c r="J673" t="s">
        <v>10638</v>
      </c>
    </row>
    <row r="674" spans="1:10" x14ac:dyDescent="0.35">
      <c r="A674" t="s">
        <v>5251</v>
      </c>
      <c r="B674" t="s">
        <v>10639</v>
      </c>
      <c r="C674" t="s">
        <v>10640</v>
      </c>
      <c r="D674" t="s">
        <v>10641</v>
      </c>
      <c r="F674" t="s">
        <v>35</v>
      </c>
      <c r="G674" t="s">
        <v>36</v>
      </c>
      <c r="H674">
        <v>31401</v>
      </c>
      <c r="I674">
        <v>34897386</v>
      </c>
      <c r="J674" t="s">
        <v>10642</v>
      </c>
    </row>
    <row r="675" spans="1:10" x14ac:dyDescent="0.35">
      <c r="A675" t="s">
        <v>4359</v>
      </c>
      <c r="B675" t="s">
        <v>10643</v>
      </c>
      <c r="C675" t="s">
        <v>10583</v>
      </c>
      <c r="D675" t="s">
        <v>10644</v>
      </c>
      <c r="F675" t="s">
        <v>334</v>
      </c>
      <c r="G675" t="s">
        <v>51</v>
      </c>
      <c r="H675">
        <v>94601</v>
      </c>
      <c r="I675">
        <v>19818665</v>
      </c>
      <c r="J675" t="s">
        <v>10645</v>
      </c>
    </row>
    <row r="676" spans="1:10" x14ac:dyDescent="0.35">
      <c r="A676" t="s">
        <v>1062</v>
      </c>
      <c r="B676" t="s">
        <v>10646</v>
      </c>
      <c r="C676" t="s">
        <v>10647</v>
      </c>
      <c r="D676" t="s">
        <v>10648</v>
      </c>
      <c r="F676" t="s">
        <v>130</v>
      </c>
      <c r="G676" t="s">
        <v>123</v>
      </c>
      <c r="H676">
        <v>20373</v>
      </c>
      <c r="I676">
        <v>28060187</v>
      </c>
      <c r="J676" t="s">
        <v>10649</v>
      </c>
    </row>
    <row r="677" spans="1:10" x14ac:dyDescent="0.35">
      <c r="A677" t="s">
        <v>10650</v>
      </c>
      <c r="B677" t="s">
        <v>10651</v>
      </c>
      <c r="C677" t="s">
        <v>9753</v>
      </c>
      <c r="D677" t="s">
        <v>10652</v>
      </c>
      <c r="F677" t="s">
        <v>112</v>
      </c>
      <c r="G677" t="s">
        <v>106</v>
      </c>
      <c r="H677">
        <v>99508</v>
      </c>
      <c r="I677">
        <v>119850918</v>
      </c>
      <c r="J677" t="s">
        <v>10653</v>
      </c>
    </row>
    <row r="678" spans="1:10" x14ac:dyDescent="0.35">
      <c r="A678" t="s">
        <v>6123</v>
      </c>
      <c r="B678" t="s">
        <v>10654</v>
      </c>
      <c r="C678" t="s">
        <v>10655</v>
      </c>
      <c r="D678" t="s">
        <v>10656</v>
      </c>
      <c r="F678" t="s">
        <v>4578</v>
      </c>
      <c r="G678" t="s">
        <v>31</v>
      </c>
      <c r="H678">
        <v>85355</v>
      </c>
      <c r="I678">
        <v>85870721</v>
      </c>
      <c r="J678" t="s">
        <v>10657</v>
      </c>
    </row>
    <row r="679" spans="1:10" x14ac:dyDescent="0.35">
      <c r="A679" t="s">
        <v>4630</v>
      </c>
      <c r="B679" t="s">
        <v>10658</v>
      </c>
      <c r="C679" t="s">
        <v>10659</v>
      </c>
      <c r="D679" t="s">
        <v>9021</v>
      </c>
      <c r="E679" t="s">
        <v>9022</v>
      </c>
      <c r="F679" t="s">
        <v>70</v>
      </c>
      <c r="G679" t="s">
        <v>31</v>
      </c>
      <c r="H679">
        <v>85301</v>
      </c>
      <c r="I679">
        <v>79158200</v>
      </c>
      <c r="J679" t="s">
        <v>10660</v>
      </c>
    </row>
    <row r="680" spans="1:10" x14ac:dyDescent="0.35">
      <c r="A680" t="s">
        <v>5141</v>
      </c>
      <c r="B680" t="s">
        <v>10661</v>
      </c>
      <c r="C680" t="s">
        <v>10662</v>
      </c>
      <c r="D680" t="s">
        <v>10663</v>
      </c>
      <c r="F680" t="s">
        <v>107</v>
      </c>
      <c r="G680" t="s">
        <v>87</v>
      </c>
      <c r="H680">
        <v>40219</v>
      </c>
      <c r="I680">
        <v>115689727</v>
      </c>
      <c r="J680" t="s">
        <v>10664</v>
      </c>
    </row>
    <row r="681" spans="1:10" x14ac:dyDescent="0.35">
      <c r="A681" t="s">
        <v>213</v>
      </c>
      <c r="B681" t="s">
        <v>10665</v>
      </c>
      <c r="C681" t="s">
        <v>10666</v>
      </c>
      <c r="D681" t="s">
        <v>9807</v>
      </c>
      <c r="F681" t="s">
        <v>70</v>
      </c>
      <c r="G681" t="s">
        <v>31</v>
      </c>
      <c r="H681">
        <v>85301</v>
      </c>
      <c r="I681">
        <v>49627787</v>
      </c>
      <c r="J681" t="s">
        <v>10667</v>
      </c>
    </row>
    <row r="682" spans="1:10" x14ac:dyDescent="0.35">
      <c r="A682" t="s">
        <v>1901</v>
      </c>
      <c r="B682" t="s">
        <v>10668</v>
      </c>
      <c r="C682" t="s">
        <v>10669</v>
      </c>
      <c r="D682" t="s">
        <v>10670</v>
      </c>
      <c r="F682" t="s">
        <v>35</v>
      </c>
      <c r="G682" t="s">
        <v>36</v>
      </c>
      <c r="H682">
        <v>31405</v>
      </c>
      <c r="I682">
        <v>90981553</v>
      </c>
      <c r="J682" t="s">
        <v>10671</v>
      </c>
    </row>
    <row r="683" spans="1:10" x14ac:dyDescent="0.35">
      <c r="A683" t="s">
        <v>376</v>
      </c>
      <c r="B683" t="s">
        <v>10672</v>
      </c>
      <c r="C683" t="s">
        <v>10673</v>
      </c>
      <c r="D683" t="s">
        <v>10674</v>
      </c>
      <c r="F683" t="s">
        <v>75</v>
      </c>
      <c r="G683" t="s">
        <v>76</v>
      </c>
      <c r="H683">
        <v>6040</v>
      </c>
      <c r="I683">
        <v>80946032</v>
      </c>
      <c r="J683" t="s">
        <v>10675</v>
      </c>
    </row>
    <row r="684" spans="1:10" x14ac:dyDescent="0.35">
      <c r="A684" t="s">
        <v>3003</v>
      </c>
      <c r="B684" t="s">
        <v>10676</v>
      </c>
      <c r="C684" t="s">
        <v>10677</v>
      </c>
      <c r="D684" t="s">
        <v>10678</v>
      </c>
      <c r="F684" t="s">
        <v>179</v>
      </c>
      <c r="G684" t="s">
        <v>97</v>
      </c>
      <c r="H684">
        <v>21122</v>
      </c>
      <c r="I684">
        <v>21223277</v>
      </c>
      <c r="J684" t="s">
        <v>10679</v>
      </c>
    </row>
    <row r="685" spans="1:10" x14ac:dyDescent="0.35">
      <c r="A685" t="s">
        <v>93</v>
      </c>
      <c r="B685" t="s">
        <v>10680</v>
      </c>
      <c r="C685" t="s">
        <v>10681</v>
      </c>
      <c r="D685" t="s">
        <v>10682</v>
      </c>
      <c r="E685" t="s">
        <v>10683</v>
      </c>
      <c r="F685" t="s">
        <v>112</v>
      </c>
      <c r="G685" t="s">
        <v>106</v>
      </c>
      <c r="H685">
        <v>99508</v>
      </c>
      <c r="I685">
        <v>28122449</v>
      </c>
      <c r="J685" t="s">
        <v>10684</v>
      </c>
    </row>
    <row r="686" spans="1:10" x14ac:dyDescent="0.35">
      <c r="A686" t="s">
        <v>1528</v>
      </c>
      <c r="B686" t="s">
        <v>10685</v>
      </c>
      <c r="C686" t="s">
        <v>10686</v>
      </c>
      <c r="D686" t="s">
        <v>10687</v>
      </c>
      <c r="F686" t="s">
        <v>45</v>
      </c>
      <c r="G686" t="s">
        <v>46</v>
      </c>
      <c r="H686">
        <v>36108</v>
      </c>
      <c r="I686">
        <v>108007785</v>
      </c>
      <c r="J686" t="s">
        <v>10688</v>
      </c>
    </row>
    <row r="687" spans="1:10" x14ac:dyDescent="0.35">
      <c r="A687" t="s">
        <v>3791</v>
      </c>
      <c r="B687" t="s">
        <v>10689</v>
      </c>
      <c r="C687" t="s">
        <v>8232</v>
      </c>
      <c r="D687" t="s">
        <v>10690</v>
      </c>
      <c r="E687" t="s">
        <v>10691</v>
      </c>
      <c r="F687" t="s">
        <v>124</v>
      </c>
      <c r="G687" t="s">
        <v>117</v>
      </c>
      <c r="H687">
        <v>72701</v>
      </c>
      <c r="I687">
        <v>51145419</v>
      </c>
      <c r="J687" t="s">
        <v>10692</v>
      </c>
    </row>
    <row r="688" spans="1:10" x14ac:dyDescent="0.35">
      <c r="A688" t="s">
        <v>1836</v>
      </c>
      <c r="B688" t="s">
        <v>10693</v>
      </c>
      <c r="C688" t="s">
        <v>10694</v>
      </c>
      <c r="D688" t="s">
        <v>10695</v>
      </c>
      <c r="F688" t="s">
        <v>112</v>
      </c>
      <c r="G688" t="s">
        <v>106</v>
      </c>
      <c r="H688">
        <v>99502</v>
      </c>
      <c r="I688">
        <v>111620719</v>
      </c>
      <c r="J688" t="s">
        <v>10696</v>
      </c>
    </row>
    <row r="689" spans="1:10" x14ac:dyDescent="0.35">
      <c r="A689" t="s">
        <v>3586</v>
      </c>
      <c r="B689" t="s">
        <v>10697</v>
      </c>
      <c r="C689" t="s">
        <v>10698</v>
      </c>
      <c r="D689" t="s">
        <v>10699</v>
      </c>
      <c r="F689" t="s">
        <v>469</v>
      </c>
      <c r="G689" t="s">
        <v>147</v>
      </c>
      <c r="H689">
        <v>5478</v>
      </c>
      <c r="I689">
        <v>115630459</v>
      </c>
      <c r="J689" t="s">
        <v>10700</v>
      </c>
    </row>
    <row r="690" spans="1:10" x14ac:dyDescent="0.35">
      <c r="A690" t="s">
        <v>4352</v>
      </c>
      <c r="B690" t="s">
        <v>10701</v>
      </c>
      <c r="C690" t="s">
        <v>10702</v>
      </c>
      <c r="D690" t="s">
        <v>10703</v>
      </c>
      <c r="F690" t="s">
        <v>1464</v>
      </c>
      <c r="G690" t="s">
        <v>97</v>
      </c>
      <c r="H690">
        <v>21146</v>
      </c>
      <c r="I690">
        <v>110742834</v>
      </c>
      <c r="J690" t="s">
        <v>10704</v>
      </c>
    </row>
    <row r="691" spans="1:10" x14ac:dyDescent="0.35">
      <c r="A691" t="s">
        <v>848</v>
      </c>
      <c r="B691" t="s">
        <v>10705</v>
      </c>
      <c r="C691" t="s">
        <v>10706</v>
      </c>
      <c r="D691" t="s">
        <v>10707</v>
      </c>
      <c r="F691" t="s">
        <v>2775</v>
      </c>
      <c r="G691" t="s">
        <v>64</v>
      </c>
      <c r="H691">
        <v>37027</v>
      </c>
      <c r="I691">
        <v>28559119</v>
      </c>
      <c r="J691" t="s">
        <v>10708</v>
      </c>
    </row>
    <row r="692" spans="1:10" x14ac:dyDescent="0.35">
      <c r="A692" t="s">
        <v>1868</v>
      </c>
      <c r="B692" t="s">
        <v>10709</v>
      </c>
      <c r="C692" t="s">
        <v>7923</v>
      </c>
      <c r="D692" t="s">
        <v>10710</v>
      </c>
      <c r="F692" t="s">
        <v>118</v>
      </c>
      <c r="G692" t="s">
        <v>42</v>
      </c>
      <c r="H692">
        <v>80003</v>
      </c>
      <c r="I692">
        <v>84209982</v>
      </c>
      <c r="J692" t="s">
        <v>10711</v>
      </c>
    </row>
    <row r="693" spans="1:10" x14ac:dyDescent="0.35">
      <c r="A693" t="s">
        <v>210</v>
      </c>
      <c r="B693" t="s">
        <v>10712</v>
      </c>
      <c r="C693" t="s">
        <v>10713</v>
      </c>
      <c r="D693" t="s">
        <v>8474</v>
      </c>
      <c r="E693" t="s">
        <v>102</v>
      </c>
      <c r="F693" t="s">
        <v>107</v>
      </c>
      <c r="G693" t="s">
        <v>87</v>
      </c>
      <c r="H693">
        <v>40291</v>
      </c>
      <c r="I693">
        <v>106847442</v>
      </c>
      <c r="J693" t="s">
        <v>10714</v>
      </c>
    </row>
    <row r="694" spans="1:10" x14ac:dyDescent="0.35">
      <c r="A694" t="s">
        <v>459</v>
      </c>
      <c r="B694" t="s">
        <v>10715</v>
      </c>
      <c r="C694" t="s">
        <v>10716</v>
      </c>
      <c r="D694" t="s">
        <v>10717</v>
      </c>
      <c r="E694" t="s">
        <v>10718</v>
      </c>
      <c r="F694" t="s">
        <v>124</v>
      </c>
      <c r="G694" t="s">
        <v>117</v>
      </c>
      <c r="H694">
        <v>72703</v>
      </c>
      <c r="I694">
        <v>124426858</v>
      </c>
      <c r="J694" t="s">
        <v>10719</v>
      </c>
    </row>
    <row r="695" spans="1:10" x14ac:dyDescent="0.35">
      <c r="A695" t="s">
        <v>1669</v>
      </c>
      <c r="B695" t="s">
        <v>10720</v>
      </c>
      <c r="C695" t="s">
        <v>10721</v>
      </c>
      <c r="D695" t="s">
        <v>10722</v>
      </c>
      <c r="F695" t="s">
        <v>3562</v>
      </c>
      <c r="G695" t="s">
        <v>147</v>
      </c>
      <c r="H695">
        <v>5735</v>
      </c>
      <c r="I695">
        <v>66518688</v>
      </c>
      <c r="J695" t="s">
        <v>10723</v>
      </c>
    </row>
    <row r="696" spans="1:10" x14ac:dyDescent="0.35">
      <c r="A696" t="s">
        <v>4607</v>
      </c>
      <c r="B696" t="s">
        <v>10724</v>
      </c>
      <c r="C696" t="s">
        <v>10725</v>
      </c>
      <c r="D696" t="s">
        <v>10726</v>
      </c>
      <c r="F696" t="s">
        <v>70</v>
      </c>
      <c r="G696" t="s">
        <v>31</v>
      </c>
      <c r="H696">
        <v>85304</v>
      </c>
      <c r="I696">
        <v>61883143</v>
      </c>
      <c r="J696" t="s">
        <v>10727</v>
      </c>
    </row>
    <row r="697" spans="1:10" x14ac:dyDescent="0.35">
      <c r="A697" t="s">
        <v>510</v>
      </c>
      <c r="B697" t="s">
        <v>10728</v>
      </c>
      <c r="C697" t="s">
        <v>10729</v>
      </c>
      <c r="D697" t="s">
        <v>10730</v>
      </c>
      <c r="F697" t="s">
        <v>75</v>
      </c>
      <c r="G697" t="s">
        <v>76</v>
      </c>
      <c r="H697">
        <v>6040</v>
      </c>
      <c r="I697">
        <v>81400687</v>
      </c>
      <c r="J697" t="s">
        <v>10731</v>
      </c>
    </row>
    <row r="698" spans="1:10" x14ac:dyDescent="0.35">
      <c r="A698" t="s">
        <v>5772</v>
      </c>
      <c r="B698" t="s">
        <v>10732</v>
      </c>
      <c r="C698" t="s">
        <v>10733</v>
      </c>
      <c r="D698" t="s">
        <v>10734</v>
      </c>
      <c r="F698" t="s">
        <v>75</v>
      </c>
      <c r="G698" t="s">
        <v>76</v>
      </c>
      <c r="H698">
        <v>6042</v>
      </c>
      <c r="I698">
        <v>81776175</v>
      </c>
      <c r="J698" t="s">
        <v>10735</v>
      </c>
    </row>
    <row r="699" spans="1:10" x14ac:dyDescent="0.35">
      <c r="A699" t="s">
        <v>694</v>
      </c>
      <c r="B699" t="s">
        <v>10736</v>
      </c>
      <c r="C699" t="s">
        <v>10737</v>
      </c>
      <c r="D699" t="s">
        <v>10738</v>
      </c>
      <c r="F699" t="s">
        <v>1827</v>
      </c>
      <c r="G699" t="s">
        <v>51</v>
      </c>
      <c r="H699">
        <v>94587</v>
      </c>
      <c r="I699">
        <v>62283496</v>
      </c>
      <c r="J699" t="s">
        <v>10739</v>
      </c>
    </row>
    <row r="700" spans="1:10" x14ac:dyDescent="0.35">
      <c r="A700" t="s">
        <v>259</v>
      </c>
      <c r="B700" t="s">
        <v>10740</v>
      </c>
      <c r="C700" t="s">
        <v>10741</v>
      </c>
      <c r="D700" t="s">
        <v>10742</v>
      </c>
      <c r="F700" t="s">
        <v>107</v>
      </c>
      <c r="G700" t="s">
        <v>87</v>
      </c>
      <c r="H700">
        <v>40220</v>
      </c>
      <c r="I700">
        <v>41392146</v>
      </c>
      <c r="J700" t="s">
        <v>10743</v>
      </c>
    </row>
    <row r="701" spans="1:10" x14ac:dyDescent="0.35">
      <c r="A701" t="s">
        <v>3132</v>
      </c>
      <c r="B701" t="s">
        <v>10744</v>
      </c>
      <c r="C701" t="s">
        <v>10745</v>
      </c>
      <c r="D701" t="s">
        <v>10746</v>
      </c>
      <c r="F701" t="s">
        <v>70</v>
      </c>
      <c r="G701" t="s">
        <v>31</v>
      </c>
      <c r="H701">
        <v>85308</v>
      </c>
      <c r="I701">
        <v>27675447</v>
      </c>
      <c r="J701" t="s">
        <v>10747</v>
      </c>
    </row>
    <row r="702" spans="1:10" x14ac:dyDescent="0.35">
      <c r="A702" t="s">
        <v>6416</v>
      </c>
      <c r="B702" t="s">
        <v>10748</v>
      </c>
      <c r="C702" t="s">
        <v>10749</v>
      </c>
      <c r="D702" t="s">
        <v>10750</v>
      </c>
      <c r="F702" t="s">
        <v>1441</v>
      </c>
      <c r="G702" t="s">
        <v>147</v>
      </c>
      <c r="H702">
        <v>5860</v>
      </c>
      <c r="I702">
        <v>27682715</v>
      </c>
      <c r="J702" t="s">
        <v>10751</v>
      </c>
    </row>
    <row r="703" spans="1:10" x14ac:dyDescent="0.35">
      <c r="A703" t="s">
        <v>10752</v>
      </c>
      <c r="B703" t="s">
        <v>10753</v>
      </c>
      <c r="C703" t="s">
        <v>10754</v>
      </c>
      <c r="D703" t="s">
        <v>10755</v>
      </c>
      <c r="E703" t="s">
        <v>10756</v>
      </c>
      <c r="F703" t="s">
        <v>70</v>
      </c>
      <c r="G703" t="s">
        <v>31</v>
      </c>
      <c r="H703">
        <v>85301</v>
      </c>
      <c r="I703">
        <v>82130532</v>
      </c>
      <c r="J703" t="s">
        <v>10757</v>
      </c>
    </row>
    <row r="704" spans="1:10" x14ac:dyDescent="0.35">
      <c r="A704" t="s">
        <v>7042</v>
      </c>
      <c r="B704" t="s">
        <v>10758</v>
      </c>
      <c r="C704" t="s">
        <v>10759</v>
      </c>
      <c r="D704" t="s">
        <v>10760</v>
      </c>
      <c r="F704" t="s">
        <v>1071</v>
      </c>
      <c r="G704" t="s">
        <v>236</v>
      </c>
      <c r="H704">
        <v>73013</v>
      </c>
      <c r="I704">
        <v>116824853</v>
      </c>
      <c r="J704" t="s">
        <v>10761</v>
      </c>
    </row>
    <row r="705" spans="1:10" x14ac:dyDescent="0.35">
      <c r="A705" t="s">
        <v>3668</v>
      </c>
      <c r="B705" t="s">
        <v>10762</v>
      </c>
      <c r="C705" t="s">
        <v>10763</v>
      </c>
      <c r="D705" t="s">
        <v>10764</v>
      </c>
      <c r="F705" t="s">
        <v>1468</v>
      </c>
      <c r="G705" t="s">
        <v>147</v>
      </c>
      <c r="H705">
        <v>5641</v>
      </c>
      <c r="I705">
        <v>92871111</v>
      </c>
      <c r="J705" t="s">
        <v>10765</v>
      </c>
    </row>
    <row r="706" spans="1:10" x14ac:dyDescent="0.35">
      <c r="A706" t="s">
        <v>2989</v>
      </c>
      <c r="B706" t="s">
        <v>10766</v>
      </c>
      <c r="C706" t="s">
        <v>10767</v>
      </c>
      <c r="D706" t="s">
        <v>10768</v>
      </c>
      <c r="F706" t="s">
        <v>124</v>
      </c>
      <c r="G706" t="s">
        <v>117</v>
      </c>
      <c r="H706">
        <v>72701</v>
      </c>
      <c r="I706">
        <v>112002103</v>
      </c>
      <c r="J706" t="s">
        <v>10769</v>
      </c>
    </row>
    <row r="707" spans="1:10" x14ac:dyDescent="0.35">
      <c r="A707" t="s">
        <v>817</v>
      </c>
      <c r="B707" t="s">
        <v>10770</v>
      </c>
      <c r="C707" t="s">
        <v>10771</v>
      </c>
      <c r="D707" t="s">
        <v>9219</v>
      </c>
      <c r="F707" t="s">
        <v>70</v>
      </c>
      <c r="G707" t="s">
        <v>31</v>
      </c>
      <c r="H707">
        <v>85308</v>
      </c>
      <c r="I707">
        <v>35160038</v>
      </c>
      <c r="J707" t="s">
        <v>10772</v>
      </c>
    </row>
    <row r="708" spans="1:10" x14ac:dyDescent="0.35">
      <c r="A708" t="s">
        <v>1249</v>
      </c>
      <c r="B708" t="s">
        <v>10773</v>
      </c>
      <c r="C708" t="s">
        <v>10774</v>
      </c>
      <c r="D708" t="s">
        <v>10775</v>
      </c>
      <c r="F708" t="s">
        <v>429</v>
      </c>
      <c r="G708" t="s">
        <v>236</v>
      </c>
      <c r="H708">
        <v>73160</v>
      </c>
      <c r="I708">
        <v>34184808</v>
      </c>
      <c r="J708" t="s">
        <v>10776</v>
      </c>
    </row>
    <row r="709" spans="1:10" x14ac:dyDescent="0.35">
      <c r="A709" t="s">
        <v>4921</v>
      </c>
      <c r="B709" t="s">
        <v>10777</v>
      </c>
      <c r="C709" t="s">
        <v>10778</v>
      </c>
      <c r="D709" t="s">
        <v>10294</v>
      </c>
      <c r="F709" t="s">
        <v>6063</v>
      </c>
      <c r="G709" t="s">
        <v>51</v>
      </c>
      <c r="H709">
        <v>95678</v>
      </c>
      <c r="I709">
        <v>72533262</v>
      </c>
      <c r="J709" t="s">
        <v>10779</v>
      </c>
    </row>
    <row r="710" spans="1:10" x14ac:dyDescent="0.35">
      <c r="A710" t="s">
        <v>1570</v>
      </c>
      <c r="B710" t="s">
        <v>10780</v>
      </c>
      <c r="C710" t="s">
        <v>10781</v>
      </c>
      <c r="D710" t="s">
        <v>10782</v>
      </c>
      <c r="E710" t="s">
        <v>7999</v>
      </c>
      <c r="F710" t="s">
        <v>361</v>
      </c>
      <c r="G710" t="s">
        <v>42</v>
      </c>
      <c r="H710">
        <v>80033</v>
      </c>
      <c r="I710">
        <v>41688449</v>
      </c>
      <c r="J710" t="s">
        <v>10783</v>
      </c>
    </row>
    <row r="711" spans="1:10" x14ac:dyDescent="0.35">
      <c r="A711" t="s">
        <v>3118</v>
      </c>
      <c r="B711" t="s">
        <v>10784</v>
      </c>
      <c r="C711" t="s">
        <v>10785</v>
      </c>
      <c r="D711" t="s">
        <v>10641</v>
      </c>
      <c r="F711" t="s">
        <v>35</v>
      </c>
      <c r="G711" t="s">
        <v>36</v>
      </c>
      <c r="H711">
        <v>31401</v>
      </c>
      <c r="I711">
        <v>49766871</v>
      </c>
      <c r="J711" t="s">
        <v>10786</v>
      </c>
    </row>
    <row r="712" spans="1:10" x14ac:dyDescent="0.35">
      <c r="A712" t="s">
        <v>905</v>
      </c>
      <c r="B712" t="s">
        <v>10787</v>
      </c>
      <c r="C712" t="s">
        <v>10788</v>
      </c>
      <c r="D712" t="s">
        <v>10789</v>
      </c>
      <c r="F712" t="s">
        <v>179</v>
      </c>
      <c r="G712" t="s">
        <v>97</v>
      </c>
      <c r="H712">
        <v>21122</v>
      </c>
      <c r="I712">
        <v>97288877</v>
      </c>
      <c r="J712" t="s">
        <v>10790</v>
      </c>
    </row>
    <row r="713" spans="1:10" x14ac:dyDescent="0.35">
      <c r="A713" t="s">
        <v>2126</v>
      </c>
      <c r="B713" t="s">
        <v>10791</v>
      </c>
      <c r="C713" t="s">
        <v>10792</v>
      </c>
      <c r="D713" t="s">
        <v>10760</v>
      </c>
      <c r="F713" t="s">
        <v>1071</v>
      </c>
      <c r="G713" t="s">
        <v>236</v>
      </c>
      <c r="H713">
        <v>73013</v>
      </c>
      <c r="I713">
        <v>101418436</v>
      </c>
      <c r="J713" t="s">
        <v>10793</v>
      </c>
    </row>
    <row r="714" spans="1:10" x14ac:dyDescent="0.35">
      <c r="A714" t="s">
        <v>871</v>
      </c>
      <c r="B714" t="s">
        <v>10794</v>
      </c>
      <c r="C714" t="s">
        <v>10795</v>
      </c>
      <c r="D714" t="s">
        <v>10796</v>
      </c>
      <c r="F714" t="s">
        <v>118</v>
      </c>
      <c r="G714" t="s">
        <v>42</v>
      </c>
      <c r="H714">
        <v>80003</v>
      </c>
      <c r="I714">
        <v>73780742</v>
      </c>
      <c r="J714" t="s">
        <v>10797</v>
      </c>
    </row>
    <row r="715" spans="1:10" x14ac:dyDescent="0.35">
      <c r="A715" t="s">
        <v>1859</v>
      </c>
      <c r="B715" t="s">
        <v>10798</v>
      </c>
      <c r="C715" t="s">
        <v>10799</v>
      </c>
      <c r="D715" t="s">
        <v>10800</v>
      </c>
      <c r="F715" t="s">
        <v>70</v>
      </c>
      <c r="G715" t="s">
        <v>31</v>
      </c>
      <c r="H715">
        <v>85303</v>
      </c>
      <c r="I715">
        <v>70034909</v>
      </c>
      <c r="J715" t="s">
        <v>10801</v>
      </c>
    </row>
    <row r="716" spans="1:10" x14ac:dyDescent="0.35">
      <c r="A716" t="s">
        <v>1885</v>
      </c>
      <c r="B716" t="s">
        <v>10802</v>
      </c>
      <c r="C716" t="s">
        <v>10803</v>
      </c>
      <c r="D716" t="s">
        <v>10804</v>
      </c>
      <c r="F716" t="s">
        <v>75</v>
      </c>
      <c r="G716" t="s">
        <v>76</v>
      </c>
      <c r="H716">
        <v>6040</v>
      </c>
      <c r="I716">
        <v>107959630</v>
      </c>
      <c r="J716" t="s">
        <v>10805</v>
      </c>
    </row>
    <row r="717" spans="1:10" x14ac:dyDescent="0.35">
      <c r="A717" t="s">
        <v>2162</v>
      </c>
      <c r="B717" t="s">
        <v>10806</v>
      </c>
      <c r="C717" t="s">
        <v>9003</v>
      </c>
      <c r="D717" t="s">
        <v>10807</v>
      </c>
      <c r="F717" t="s">
        <v>75</v>
      </c>
      <c r="G717" t="s">
        <v>76</v>
      </c>
      <c r="H717">
        <v>6040</v>
      </c>
      <c r="I717">
        <v>109806888</v>
      </c>
      <c r="J717" t="s">
        <v>10808</v>
      </c>
    </row>
    <row r="718" spans="1:10" x14ac:dyDescent="0.35">
      <c r="A718" t="s">
        <v>5440</v>
      </c>
      <c r="B718" t="s">
        <v>10809</v>
      </c>
      <c r="C718" t="s">
        <v>10810</v>
      </c>
      <c r="D718" t="s">
        <v>10811</v>
      </c>
      <c r="F718" t="s">
        <v>35</v>
      </c>
      <c r="G718" t="s">
        <v>36</v>
      </c>
      <c r="H718">
        <v>31404</v>
      </c>
      <c r="I718">
        <v>67617261</v>
      </c>
      <c r="J718" t="s">
        <v>10812</v>
      </c>
    </row>
    <row r="719" spans="1:10" x14ac:dyDescent="0.35">
      <c r="A719" t="s">
        <v>2228</v>
      </c>
      <c r="B719" t="s">
        <v>10813</v>
      </c>
      <c r="C719" t="s">
        <v>10814</v>
      </c>
      <c r="D719" t="s">
        <v>10815</v>
      </c>
      <c r="F719" t="s">
        <v>82</v>
      </c>
      <c r="G719" t="s">
        <v>74</v>
      </c>
      <c r="H719">
        <v>32413</v>
      </c>
      <c r="I719">
        <v>32887958</v>
      </c>
      <c r="J719" t="s">
        <v>10816</v>
      </c>
    </row>
    <row r="720" spans="1:10" x14ac:dyDescent="0.35">
      <c r="A720" t="s">
        <v>4108</v>
      </c>
      <c r="B720" t="s">
        <v>10817</v>
      </c>
      <c r="C720" t="s">
        <v>10818</v>
      </c>
      <c r="D720" t="s">
        <v>10819</v>
      </c>
      <c r="F720" t="s">
        <v>35</v>
      </c>
      <c r="G720" t="s">
        <v>36</v>
      </c>
      <c r="H720">
        <v>31410</v>
      </c>
      <c r="I720">
        <v>110249874</v>
      </c>
      <c r="J720" t="s">
        <v>10820</v>
      </c>
    </row>
    <row r="721" spans="1:10" x14ac:dyDescent="0.35">
      <c r="A721" t="s">
        <v>1532</v>
      </c>
      <c r="B721" t="s">
        <v>10821</v>
      </c>
      <c r="C721" t="s">
        <v>10822</v>
      </c>
      <c r="D721" t="s">
        <v>10823</v>
      </c>
      <c r="F721" t="s">
        <v>63</v>
      </c>
      <c r="G721" t="s">
        <v>64</v>
      </c>
      <c r="H721">
        <v>37013</v>
      </c>
      <c r="I721">
        <v>105801955</v>
      </c>
      <c r="J721" t="s">
        <v>10824</v>
      </c>
    </row>
    <row r="722" spans="1:10" x14ac:dyDescent="0.35">
      <c r="A722" t="s">
        <v>1128</v>
      </c>
      <c r="B722" t="s">
        <v>10825</v>
      </c>
      <c r="C722" t="s">
        <v>10826</v>
      </c>
      <c r="D722" t="s">
        <v>10827</v>
      </c>
      <c r="F722" t="s">
        <v>164</v>
      </c>
      <c r="G722" t="s">
        <v>74</v>
      </c>
      <c r="H722">
        <v>32444</v>
      </c>
      <c r="I722">
        <v>37706377</v>
      </c>
      <c r="J722" t="s">
        <v>10828</v>
      </c>
    </row>
    <row r="723" spans="1:10" x14ac:dyDescent="0.35">
      <c r="A723" t="s">
        <v>1257</v>
      </c>
      <c r="B723" t="s">
        <v>10829</v>
      </c>
      <c r="C723" t="s">
        <v>10830</v>
      </c>
      <c r="D723" t="s">
        <v>10831</v>
      </c>
      <c r="F723" t="s">
        <v>75</v>
      </c>
      <c r="G723" t="s">
        <v>76</v>
      </c>
      <c r="H723">
        <v>6040</v>
      </c>
      <c r="I723">
        <v>127128603</v>
      </c>
      <c r="J723" t="s">
        <v>10832</v>
      </c>
    </row>
    <row r="724" spans="1:10" x14ac:dyDescent="0.35">
      <c r="A724" t="s">
        <v>2428</v>
      </c>
      <c r="B724" t="s">
        <v>10833</v>
      </c>
      <c r="C724" t="s">
        <v>10834</v>
      </c>
      <c r="D724" t="s">
        <v>10835</v>
      </c>
      <c r="G724" t="s">
        <v>51</v>
      </c>
      <c r="H724">
        <v>95076</v>
      </c>
      <c r="I724">
        <v>110198860</v>
      </c>
      <c r="J724" t="s">
        <v>10836</v>
      </c>
    </row>
    <row r="725" spans="1:10" x14ac:dyDescent="0.35">
      <c r="A725" t="s">
        <v>2901</v>
      </c>
      <c r="B725" t="s">
        <v>10837</v>
      </c>
      <c r="C725" t="s">
        <v>9955</v>
      </c>
      <c r="D725" t="s">
        <v>10838</v>
      </c>
      <c r="F725" t="s">
        <v>1468</v>
      </c>
      <c r="G725" t="s">
        <v>147</v>
      </c>
      <c r="H725">
        <v>5641</v>
      </c>
      <c r="I725">
        <v>107160351</v>
      </c>
      <c r="J725" t="s">
        <v>10839</v>
      </c>
    </row>
    <row r="726" spans="1:10" x14ac:dyDescent="0.35">
      <c r="A726" t="s">
        <v>1874</v>
      </c>
      <c r="B726" t="s">
        <v>10840</v>
      </c>
      <c r="C726" t="s">
        <v>10841</v>
      </c>
      <c r="D726" t="s">
        <v>10842</v>
      </c>
      <c r="F726" t="s">
        <v>45</v>
      </c>
      <c r="G726" t="s">
        <v>46</v>
      </c>
      <c r="H726">
        <v>36109</v>
      </c>
      <c r="I726">
        <v>33039653</v>
      </c>
      <c r="J726" t="s">
        <v>10843</v>
      </c>
    </row>
    <row r="727" spans="1:10" x14ac:dyDescent="0.35">
      <c r="A727" t="s">
        <v>2046</v>
      </c>
      <c r="B727" t="s">
        <v>10844</v>
      </c>
      <c r="C727" t="s">
        <v>8850</v>
      </c>
      <c r="D727" t="s">
        <v>10845</v>
      </c>
      <c r="F727" t="s">
        <v>45</v>
      </c>
      <c r="G727" t="s">
        <v>46</v>
      </c>
      <c r="H727">
        <v>36117</v>
      </c>
      <c r="I727">
        <v>92796966</v>
      </c>
      <c r="J727" t="s">
        <v>10846</v>
      </c>
    </row>
    <row r="728" spans="1:10" x14ac:dyDescent="0.35">
      <c r="A728" t="s">
        <v>3082</v>
      </c>
      <c r="B728" t="s">
        <v>10847</v>
      </c>
      <c r="C728" t="s">
        <v>10848</v>
      </c>
      <c r="D728" t="s">
        <v>10849</v>
      </c>
      <c r="F728" t="s">
        <v>107</v>
      </c>
      <c r="G728" t="s">
        <v>87</v>
      </c>
      <c r="H728">
        <v>40212</v>
      </c>
      <c r="I728">
        <v>14724178</v>
      </c>
      <c r="J728" t="s">
        <v>10850</v>
      </c>
    </row>
    <row r="729" spans="1:10" x14ac:dyDescent="0.35">
      <c r="A729" t="s">
        <v>2786</v>
      </c>
      <c r="B729" t="s">
        <v>10851</v>
      </c>
      <c r="C729" t="s">
        <v>10852</v>
      </c>
      <c r="D729" t="s">
        <v>10853</v>
      </c>
      <c r="F729" t="s">
        <v>3850</v>
      </c>
      <c r="G729" t="s">
        <v>147</v>
      </c>
      <c r="H729">
        <v>5089</v>
      </c>
      <c r="I729">
        <v>36205183</v>
      </c>
      <c r="J729" t="s">
        <v>10854</v>
      </c>
    </row>
    <row r="730" spans="1:10" x14ac:dyDescent="0.35">
      <c r="A730" t="s">
        <v>2283</v>
      </c>
      <c r="B730" t="s">
        <v>10855</v>
      </c>
      <c r="C730" t="s">
        <v>10856</v>
      </c>
      <c r="D730" t="s">
        <v>9994</v>
      </c>
      <c r="F730" t="s">
        <v>9995</v>
      </c>
      <c r="G730" t="s">
        <v>139</v>
      </c>
      <c r="H730">
        <v>2332</v>
      </c>
      <c r="I730">
        <v>75693824</v>
      </c>
      <c r="J730" t="s">
        <v>10857</v>
      </c>
    </row>
    <row r="731" spans="1:10" x14ac:dyDescent="0.35">
      <c r="A731" t="s">
        <v>6255</v>
      </c>
      <c r="B731" t="s">
        <v>10858</v>
      </c>
      <c r="C731" t="s">
        <v>10859</v>
      </c>
      <c r="D731" t="s">
        <v>9784</v>
      </c>
      <c r="F731" t="s">
        <v>235</v>
      </c>
      <c r="G731" t="s">
        <v>236</v>
      </c>
      <c r="H731">
        <v>73159</v>
      </c>
      <c r="I731">
        <v>105463924</v>
      </c>
      <c r="J731" t="s">
        <v>10860</v>
      </c>
    </row>
    <row r="732" spans="1:10" x14ac:dyDescent="0.35">
      <c r="A732" t="s">
        <v>3068</v>
      </c>
      <c r="B732" t="s">
        <v>10861</v>
      </c>
      <c r="C732" t="s">
        <v>10862</v>
      </c>
      <c r="D732" t="s">
        <v>10863</v>
      </c>
      <c r="F732" t="s">
        <v>235</v>
      </c>
      <c r="G732" t="s">
        <v>236</v>
      </c>
      <c r="H732">
        <v>73159</v>
      </c>
      <c r="I732">
        <v>79314002</v>
      </c>
      <c r="J732" t="s">
        <v>10864</v>
      </c>
    </row>
    <row r="733" spans="1:10" x14ac:dyDescent="0.35">
      <c r="A733" t="s">
        <v>739</v>
      </c>
      <c r="B733" t="s">
        <v>10865</v>
      </c>
      <c r="C733" t="s">
        <v>10866</v>
      </c>
      <c r="D733" t="s">
        <v>10867</v>
      </c>
      <c r="E733" t="s">
        <v>10868</v>
      </c>
      <c r="F733" t="s">
        <v>209</v>
      </c>
      <c r="G733" t="s">
        <v>74</v>
      </c>
      <c r="H733">
        <v>32405</v>
      </c>
      <c r="I733">
        <v>78090204</v>
      </c>
      <c r="J733" t="s">
        <v>10869</v>
      </c>
    </row>
    <row r="734" spans="1:10" x14ac:dyDescent="0.35">
      <c r="A734" t="s">
        <v>1958</v>
      </c>
      <c r="B734" t="s">
        <v>10870</v>
      </c>
      <c r="C734" t="s">
        <v>10871</v>
      </c>
      <c r="D734" t="s">
        <v>10127</v>
      </c>
      <c r="F734" t="s">
        <v>130</v>
      </c>
      <c r="G734" t="s">
        <v>123</v>
      </c>
      <c r="H734">
        <v>20016</v>
      </c>
      <c r="I734">
        <v>31808349</v>
      </c>
      <c r="J734" t="s">
        <v>10872</v>
      </c>
    </row>
    <row r="735" spans="1:10" x14ac:dyDescent="0.35">
      <c r="A735" t="s">
        <v>10873</v>
      </c>
      <c r="B735" t="s">
        <v>10874</v>
      </c>
      <c r="C735" t="s">
        <v>10875</v>
      </c>
      <c r="D735" t="s">
        <v>10876</v>
      </c>
      <c r="F735" t="s">
        <v>2289</v>
      </c>
      <c r="G735" t="s">
        <v>31</v>
      </c>
      <c r="H735">
        <v>85340</v>
      </c>
      <c r="I735">
        <v>11778619</v>
      </c>
      <c r="J735" t="s">
        <v>10877</v>
      </c>
    </row>
    <row r="736" spans="1:10" x14ac:dyDescent="0.35">
      <c r="A736" t="s">
        <v>3189</v>
      </c>
      <c r="B736" t="s">
        <v>10878</v>
      </c>
      <c r="C736" t="s">
        <v>10879</v>
      </c>
      <c r="D736" t="s">
        <v>9233</v>
      </c>
      <c r="F736" t="s">
        <v>1816</v>
      </c>
      <c r="G736" t="s">
        <v>236</v>
      </c>
      <c r="H736">
        <v>73072</v>
      </c>
      <c r="I736">
        <v>74968291</v>
      </c>
      <c r="J736" t="s">
        <v>10880</v>
      </c>
    </row>
    <row r="737" spans="1:10" x14ac:dyDescent="0.35">
      <c r="A737" t="s">
        <v>5006</v>
      </c>
      <c r="B737" t="s">
        <v>10881</v>
      </c>
      <c r="C737" t="s">
        <v>10882</v>
      </c>
      <c r="D737" t="s">
        <v>10277</v>
      </c>
      <c r="F737" t="s">
        <v>112</v>
      </c>
      <c r="G737" t="s">
        <v>106</v>
      </c>
      <c r="H737">
        <v>99516</v>
      </c>
      <c r="I737">
        <v>77552798</v>
      </c>
      <c r="J737" t="s">
        <v>10883</v>
      </c>
    </row>
    <row r="738" spans="1:10" x14ac:dyDescent="0.35">
      <c r="A738" t="s">
        <v>5799</v>
      </c>
      <c r="B738" t="s">
        <v>10884</v>
      </c>
      <c r="C738" t="s">
        <v>10885</v>
      </c>
      <c r="D738" t="s">
        <v>9366</v>
      </c>
      <c r="F738" t="s">
        <v>179</v>
      </c>
      <c r="G738" t="s">
        <v>97</v>
      </c>
      <c r="H738">
        <v>21122</v>
      </c>
      <c r="I738">
        <v>12265244</v>
      </c>
      <c r="J738" t="s">
        <v>10886</v>
      </c>
    </row>
    <row r="739" spans="1:10" x14ac:dyDescent="0.35">
      <c r="A739" t="s">
        <v>2980</v>
      </c>
      <c r="B739" t="s">
        <v>10887</v>
      </c>
      <c r="C739" t="s">
        <v>10888</v>
      </c>
      <c r="D739" t="s">
        <v>10458</v>
      </c>
      <c r="F739" t="s">
        <v>477</v>
      </c>
      <c r="G739" t="s">
        <v>51</v>
      </c>
      <c r="H739">
        <v>94544</v>
      </c>
      <c r="I739">
        <v>121982036</v>
      </c>
      <c r="J739" t="s">
        <v>10889</v>
      </c>
    </row>
    <row r="740" spans="1:10" x14ac:dyDescent="0.35">
      <c r="A740" t="s">
        <v>2935</v>
      </c>
      <c r="B740" t="s">
        <v>10890</v>
      </c>
      <c r="C740" t="s">
        <v>10891</v>
      </c>
      <c r="D740" t="s">
        <v>10892</v>
      </c>
      <c r="F740" t="s">
        <v>107</v>
      </c>
      <c r="G740" t="s">
        <v>87</v>
      </c>
      <c r="H740">
        <v>40118</v>
      </c>
      <c r="I740">
        <v>75934884</v>
      </c>
      <c r="J740" t="s">
        <v>10893</v>
      </c>
    </row>
    <row r="741" spans="1:10" x14ac:dyDescent="0.35">
      <c r="A741" t="s">
        <v>2049</v>
      </c>
      <c r="B741" t="s">
        <v>10894</v>
      </c>
      <c r="C741" t="s">
        <v>10895</v>
      </c>
      <c r="D741" t="s">
        <v>7956</v>
      </c>
      <c r="E741" t="s">
        <v>7957</v>
      </c>
      <c r="F741" t="s">
        <v>118</v>
      </c>
      <c r="G741" t="s">
        <v>42</v>
      </c>
      <c r="H741">
        <v>80403</v>
      </c>
      <c r="I741">
        <v>83433694</v>
      </c>
      <c r="J741" t="s">
        <v>10896</v>
      </c>
    </row>
    <row r="742" spans="1:10" x14ac:dyDescent="0.35">
      <c r="A742" t="s">
        <v>171</v>
      </c>
      <c r="B742" t="s">
        <v>10897</v>
      </c>
      <c r="C742" t="s">
        <v>10898</v>
      </c>
      <c r="D742" t="s">
        <v>10899</v>
      </c>
      <c r="F742" t="s">
        <v>63</v>
      </c>
      <c r="G742" t="s">
        <v>64</v>
      </c>
      <c r="H742">
        <v>37210</v>
      </c>
      <c r="I742">
        <v>64715124</v>
      </c>
      <c r="J742" t="s">
        <v>10900</v>
      </c>
    </row>
    <row r="743" spans="1:10" x14ac:dyDescent="0.35">
      <c r="A743" t="s">
        <v>2005</v>
      </c>
      <c r="B743" t="s">
        <v>10901</v>
      </c>
      <c r="C743" t="s">
        <v>10902</v>
      </c>
      <c r="D743" t="s">
        <v>9677</v>
      </c>
      <c r="F743" t="s">
        <v>70</v>
      </c>
      <c r="G743" t="s">
        <v>31</v>
      </c>
      <c r="H743">
        <v>85303</v>
      </c>
      <c r="I743">
        <v>29795040</v>
      </c>
      <c r="J743" t="s">
        <v>10903</v>
      </c>
    </row>
    <row r="744" spans="1:10" x14ac:dyDescent="0.35">
      <c r="A744" t="s">
        <v>1090</v>
      </c>
      <c r="B744" t="s">
        <v>10904</v>
      </c>
      <c r="C744" t="s">
        <v>10905</v>
      </c>
      <c r="D744" t="s">
        <v>10906</v>
      </c>
      <c r="F744" t="s">
        <v>70</v>
      </c>
      <c r="G744" t="s">
        <v>31</v>
      </c>
      <c r="H744">
        <v>85304</v>
      </c>
      <c r="I744">
        <v>26286510</v>
      </c>
      <c r="J744" t="s">
        <v>10907</v>
      </c>
    </row>
    <row r="745" spans="1:10" x14ac:dyDescent="0.35">
      <c r="A745" t="s">
        <v>6148</v>
      </c>
      <c r="B745" t="s">
        <v>10908</v>
      </c>
      <c r="C745" t="s">
        <v>10909</v>
      </c>
      <c r="D745" t="s">
        <v>8273</v>
      </c>
      <c r="F745" t="s">
        <v>35</v>
      </c>
      <c r="G745" t="s">
        <v>36</v>
      </c>
      <c r="H745">
        <v>31401</v>
      </c>
      <c r="I745">
        <v>114782735</v>
      </c>
      <c r="J745" t="s">
        <v>10910</v>
      </c>
    </row>
    <row r="746" spans="1:10" x14ac:dyDescent="0.35">
      <c r="A746" t="s">
        <v>2181</v>
      </c>
      <c r="B746" t="s">
        <v>10911</v>
      </c>
      <c r="C746" t="s">
        <v>10912</v>
      </c>
      <c r="D746" t="s">
        <v>10913</v>
      </c>
      <c r="F746" t="s">
        <v>112</v>
      </c>
      <c r="G746" t="s">
        <v>106</v>
      </c>
      <c r="H746">
        <v>99504</v>
      </c>
      <c r="I746">
        <v>23866496</v>
      </c>
      <c r="J746" t="s">
        <v>10914</v>
      </c>
    </row>
    <row r="747" spans="1:10" x14ac:dyDescent="0.35">
      <c r="A747" t="s">
        <v>237</v>
      </c>
      <c r="B747" t="s">
        <v>10915</v>
      </c>
      <c r="C747" t="s">
        <v>10916</v>
      </c>
      <c r="D747" t="s">
        <v>10917</v>
      </c>
      <c r="E747" t="s">
        <v>9224</v>
      </c>
      <c r="F747" t="s">
        <v>70</v>
      </c>
      <c r="G747" t="s">
        <v>31</v>
      </c>
      <c r="H747">
        <v>85301</v>
      </c>
      <c r="I747">
        <v>94100042</v>
      </c>
      <c r="J747" t="s">
        <v>10918</v>
      </c>
    </row>
    <row r="748" spans="1:10" x14ac:dyDescent="0.35">
      <c r="A748" t="s">
        <v>5861</v>
      </c>
      <c r="B748" t="s">
        <v>10919</v>
      </c>
      <c r="C748" t="s">
        <v>10920</v>
      </c>
      <c r="D748" t="s">
        <v>10921</v>
      </c>
      <c r="F748" t="s">
        <v>107</v>
      </c>
      <c r="G748" t="s">
        <v>87</v>
      </c>
      <c r="H748">
        <v>40243</v>
      </c>
      <c r="I748">
        <v>44666112</v>
      </c>
      <c r="J748" t="s">
        <v>10922</v>
      </c>
    </row>
    <row r="749" spans="1:10" x14ac:dyDescent="0.35">
      <c r="A749" t="s">
        <v>1497</v>
      </c>
      <c r="B749" t="s">
        <v>10923</v>
      </c>
      <c r="C749" t="s">
        <v>10924</v>
      </c>
      <c r="D749" t="s">
        <v>7946</v>
      </c>
      <c r="E749" t="s">
        <v>7947</v>
      </c>
      <c r="F749" t="s">
        <v>334</v>
      </c>
      <c r="G749" t="s">
        <v>51</v>
      </c>
      <c r="H749">
        <v>94605</v>
      </c>
      <c r="I749">
        <v>28743242</v>
      </c>
      <c r="J749" t="s">
        <v>10925</v>
      </c>
    </row>
    <row r="750" spans="1:10" x14ac:dyDescent="0.35">
      <c r="A750" t="s">
        <v>10926</v>
      </c>
      <c r="B750" t="s">
        <v>10927</v>
      </c>
      <c r="C750" t="s">
        <v>10928</v>
      </c>
      <c r="D750" t="s">
        <v>10929</v>
      </c>
      <c r="E750" t="s">
        <v>10930</v>
      </c>
      <c r="F750" t="s">
        <v>70</v>
      </c>
      <c r="G750" t="s">
        <v>31</v>
      </c>
      <c r="H750">
        <v>85301</v>
      </c>
      <c r="I750">
        <v>88182830</v>
      </c>
      <c r="J750" t="s">
        <v>10931</v>
      </c>
    </row>
    <row r="751" spans="1:10" x14ac:dyDescent="0.35">
      <c r="A751" t="s">
        <v>3343</v>
      </c>
      <c r="B751" t="s">
        <v>10932</v>
      </c>
      <c r="C751" t="s">
        <v>10933</v>
      </c>
      <c r="D751" t="s">
        <v>10934</v>
      </c>
      <c r="F751" t="s">
        <v>35</v>
      </c>
      <c r="G751" t="s">
        <v>36</v>
      </c>
      <c r="H751">
        <v>31419</v>
      </c>
      <c r="I751">
        <v>81110809</v>
      </c>
      <c r="J751" t="s">
        <v>10935</v>
      </c>
    </row>
    <row r="752" spans="1:10" x14ac:dyDescent="0.35">
      <c r="A752" t="s">
        <v>4421</v>
      </c>
      <c r="B752" t="s">
        <v>10936</v>
      </c>
      <c r="C752" t="s">
        <v>10937</v>
      </c>
      <c r="D752" t="s">
        <v>10938</v>
      </c>
      <c r="F752" t="s">
        <v>3097</v>
      </c>
      <c r="G752" t="s">
        <v>51</v>
      </c>
      <c r="H752">
        <v>91775</v>
      </c>
      <c r="I752">
        <v>47278206</v>
      </c>
      <c r="J752" t="s">
        <v>10939</v>
      </c>
    </row>
    <row r="753" spans="1:10" x14ac:dyDescent="0.35">
      <c r="A753" t="s">
        <v>4020</v>
      </c>
      <c r="B753" t="s">
        <v>10940</v>
      </c>
      <c r="C753" t="s">
        <v>10941</v>
      </c>
      <c r="D753" t="s">
        <v>10942</v>
      </c>
      <c r="E753" t="s">
        <v>10943</v>
      </c>
      <c r="F753" t="s">
        <v>124</v>
      </c>
      <c r="G753" t="s">
        <v>117</v>
      </c>
      <c r="H753">
        <v>72701</v>
      </c>
      <c r="I753">
        <v>118821676</v>
      </c>
      <c r="J753" t="s">
        <v>10944</v>
      </c>
    </row>
    <row r="754" spans="1:10" x14ac:dyDescent="0.35">
      <c r="A754" t="s">
        <v>3809</v>
      </c>
      <c r="B754" t="s">
        <v>10945</v>
      </c>
      <c r="C754" t="s">
        <v>10946</v>
      </c>
      <c r="D754" t="s">
        <v>10947</v>
      </c>
      <c r="E754" t="s">
        <v>10948</v>
      </c>
      <c r="F754" t="s">
        <v>70</v>
      </c>
      <c r="G754" t="s">
        <v>31</v>
      </c>
      <c r="H754">
        <v>85302</v>
      </c>
      <c r="I754">
        <v>67192993</v>
      </c>
      <c r="J754" t="s">
        <v>10949</v>
      </c>
    </row>
    <row r="755" spans="1:10" x14ac:dyDescent="0.35">
      <c r="A755" t="s">
        <v>3146</v>
      </c>
      <c r="B755" t="s">
        <v>10950</v>
      </c>
      <c r="C755" t="s">
        <v>10951</v>
      </c>
      <c r="D755" t="s">
        <v>10952</v>
      </c>
      <c r="F755" t="s">
        <v>941</v>
      </c>
      <c r="G755" t="s">
        <v>147</v>
      </c>
      <c r="H755">
        <v>5001</v>
      </c>
      <c r="I755">
        <v>30471285</v>
      </c>
      <c r="J755" t="s">
        <v>10953</v>
      </c>
    </row>
    <row r="756" spans="1:10" x14ac:dyDescent="0.35">
      <c r="A756" t="s">
        <v>2470</v>
      </c>
      <c r="B756" t="s">
        <v>10954</v>
      </c>
      <c r="C756" t="s">
        <v>10955</v>
      </c>
      <c r="D756" t="s">
        <v>10956</v>
      </c>
      <c r="E756" t="s">
        <v>10957</v>
      </c>
      <c r="F756" t="s">
        <v>112</v>
      </c>
      <c r="G756" t="s">
        <v>106</v>
      </c>
      <c r="H756">
        <v>99503</v>
      </c>
      <c r="I756">
        <v>79822950</v>
      </c>
      <c r="J756" t="s">
        <v>10958</v>
      </c>
    </row>
    <row r="757" spans="1:10" x14ac:dyDescent="0.35">
      <c r="A757" t="s">
        <v>1266</v>
      </c>
      <c r="B757" t="s">
        <v>10959</v>
      </c>
      <c r="C757" t="s">
        <v>10960</v>
      </c>
      <c r="D757" t="s">
        <v>10961</v>
      </c>
      <c r="F757" t="s">
        <v>45</v>
      </c>
      <c r="G757" t="s">
        <v>46</v>
      </c>
      <c r="H757">
        <v>36117</v>
      </c>
      <c r="I757">
        <v>31179434</v>
      </c>
      <c r="J757" t="s">
        <v>10962</v>
      </c>
    </row>
    <row r="758" spans="1:10" x14ac:dyDescent="0.35">
      <c r="A758" t="s">
        <v>3284</v>
      </c>
      <c r="B758" t="s">
        <v>10963</v>
      </c>
      <c r="C758" t="s">
        <v>10964</v>
      </c>
      <c r="D758" t="s">
        <v>10568</v>
      </c>
      <c r="F758" t="s">
        <v>45</v>
      </c>
      <c r="G758" t="s">
        <v>46</v>
      </c>
      <c r="H758">
        <v>36116</v>
      </c>
      <c r="I758">
        <v>72349786</v>
      </c>
      <c r="J758" t="s">
        <v>10965</v>
      </c>
    </row>
    <row r="759" spans="1:10" x14ac:dyDescent="0.35">
      <c r="A759" t="s">
        <v>3235</v>
      </c>
      <c r="B759" t="s">
        <v>10966</v>
      </c>
      <c r="C759" t="s">
        <v>10967</v>
      </c>
      <c r="D759" t="s">
        <v>10968</v>
      </c>
      <c r="F759" t="s">
        <v>235</v>
      </c>
      <c r="G759" t="s">
        <v>236</v>
      </c>
      <c r="H759">
        <v>73118</v>
      </c>
      <c r="I759">
        <v>127478829</v>
      </c>
      <c r="J759" t="s">
        <v>10969</v>
      </c>
    </row>
    <row r="760" spans="1:10" x14ac:dyDescent="0.35">
      <c r="A760" t="s">
        <v>761</v>
      </c>
      <c r="B760" t="s">
        <v>10970</v>
      </c>
      <c r="C760" t="s">
        <v>10971</v>
      </c>
      <c r="D760" t="s">
        <v>10972</v>
      </c>
      <c r="F760" t="s">
        <v>45</v>
      </c>
      <c r="G760" t="s">
        <v>46</v>
      </c>
      <c r="H760">
        <v>36110</v>
      </c>
      <c r="I760">
        <v>86624507</v>
      </c>
      <c r="J760" t="s">
        <v>10973</v>
      </c>
    </row>
    <row r="761" spans="1:10" x14ac:dyDescent="0.35">
      <c r="A761" t="s">
        <v>2794</v>
      </c>
      <c r="B761" t="s">
        <v>10974</v>
      </c>
      <c r="C761" t="s">
        <v>10975</v>
      </c>
      <c r="D761" t="s">
        <v>10976</v>
      </c>
      <c r="F761" t="s">
        <v>35</v>
      </c>
      <c r="G761" t="s">
        <v>36</v>
      </c>
      <c r="H761">
        <v>31405</v>
      </c>
      <c r="I761">
        <v>29499980</v>
      </c>
      <c r="J761" t="s">
        <v>10977</v>
      </c>
    </row>
    <row r="762" spans="1:10" x14ac:dyDescent="0.35">
      <c r="A762" t="s">
        <v>2299</v>
      </c>
      <c r="B762" t="s">
        <v>10978</v>
      </c>
      <c r="C762" t="s">
        <v>10979</v>
      </c>
      <c r="D762" t="s">
        <v>10980</v>
      </c>
      <c r="F762" t="s">
        <v>45</v>
      </c>
      <c r="G762" t="s">
        <v>46</v>
      </c>
      <c r="H762">
        <v>36116</v>
      </c>
      <c r="I762">
        <v>35477970</v>
      </c>
      <c r="J762" t="s">
        <v>10981</v>
      </c>
    </row>
    <row r="763" spans="1:10" x14ac:dyDescent="0.35">
      <c r="A763" t="s">
        <v>1991</v>
      </c>
      <c r="B763" t="s">
        <v>10982</v>
      </c>
      <c r="C763" t="s">
        <v>10983</v>
      </c>
      <c r="D763" t="s">
        <v>10984</v>
      </c>
      <c r="F763" t="s">
        <v>35</v>
      </c>
      <c r="G763" t="s">
        <v>36</v>
      </c>
      <c r="H763">
        <v>31404</v>
      </c>
      <c r="I763">
        <v>83996788</v>
      </c>
      <c r="J763" t="s">
        <v>10985</v>
      </c>
    </row>
    <row r="764" spans="1:10" x14ac:dyDescent="0.35">
      <c r="A764" t="s">
        <v>1780</v>
      </c>
      <c r="B764" t="s">
        <v>10986</v>
      </c>
      <c r="C764" t="s">
        <v>10987</v>
      </c>
      <c r="D764" t="s">
        <v>10988</v>
      </c>
      <c r="F764" t="s">
        <v>96</v>
      </c>
      <c r="G764" t="s">
        <v>97</v>
      </c>
      <c r="H764">
        <v>21114</v>
      </c>
      <c r="I764">
        <v>127244862</v>
      </c>
      <c r="J764" t="s">
        <v>10989</v>
      </c>
    </row>
    <row r="765" spans="1:10" x14ac:dyDescent="0.35">
      <c r="A765" t="s">
        <v>1550</v>
      </c>
      <c r="B765" t="s">
        <v>10990</v>
      </c>
      <c r="C765" t="s">
        <v>10991</v>
      </c>
      <c r="D765" t="s">
        <v>10992</v>
      </c>
      <c r="F765" t="s">
        <v>107</v>
      </c>
      <c r="G765" t="s">
        <v>87</v>
      </c>
      <c r="H765">
        <v>40205</v>
      </c>
      <c r="I765">
        <v>22764175</v>
      </c>
      <c r="J765" t="s">
        <v>10993</v>
      </c>
    </row>
    <row r="766" spans="1:10" x14ac:dyDescent="0.35">
      <c r="A766" t="s">
        <v>1317</v>
      </c>
      <c r="B766" t="s">
        <v>10994</v>
      </c>
      <c r="C766" t="s">
        <v>10995</v>
      </c>
      <c r="D766" t="s">
        <v>10996</v>
      </c>
      <c r="F766" t="s">
        <v>947</v>
      </c>
      <c r="G766" t="s">
        <v>51</v>
      </c>
      <c r="H766">
        <v>94560</v>
      </c>
      <c r="I766">
        <v>13162456</v>
      </c>
      <c r="J766" t="s">
        <v>10997</v>
      </c>
    </row>
    <row r="767" spans="1:10" x14ac:dyDescent="0.35">
      <c r="A767" t="s">
        <v>2686</v>
      </c>
      <c r="B767" t="s">
        <v>10998</v>
      </c>
      <c r="C767" t="s">
        <v>10999</v>
      </c>
      <c r="D767" t="s">
        <v>11000</v>
      </c>
      <c r="E767" t="s">
        <v>11001</v>
      </c>
      <c r="F767" t="s">
        <v>6800</v>
      </c>
      <c r="G767" t="s">
        <v>51</v>
      </c>
      <c r="H767">
        <v>95966</v>
      </c>
      <c r="I767">
        <v>86323811</v>
      </c>
      <c r="J767" t="s">
        <v>11002</v>
      </c>
    </row>
    <row r="768" spans="1:10" x14ac:dyDescent="0.35">
      <c r="A768" t="s">
        <v>1617</v>
      </c>
      <c r="B768" t="s">
        <v>11003</v>
      </c>
      <c r="C768" t="s">
        <v>11004</v>
      </c>
      <c r="D768" t="s">
        <v>11005</v>
      </c>
      <c r="F768" t="s">
        <v>63</v>
      </c>
      <c r="G768" t="s">
        <v>64</v>
      </c>
      <c r="H768">
        <v>37204</v>
      </c>
      <c r="I768">
        <v>39655905</v>
      </c>
      <c r="J768" t="s">
        <v>11006</v>
      </c>
    </row>
    <row r="769" spans="1:10" x14ac:dyDescent="0.35">
      <c r="A769" t="s">
        <v>4927</v>
      </c>
      <c r="B769" t="s">
        <v>11007</v>
      </c>
      <c r="C769" t="s">
        <v>9269</v>
      </c>
      <c r="D769" t="s">
        <v>11008</v>
      </c>
      <c r="F769" t="s">
        <v>35</v>
      </c>
      <c r="G769" t="s">
        <v>36</v>
      </c>
      <c r="H769">
        <v>31415</v>
      </c>
      <c r="I769">
        <v>122084140</v>
      </c>
      <c r="J769" t="s">
        <v>11009</v>
      </c>
    </row>
    <row r="770" spans="1:10" x14ac:dyDescent="0.35">
      <c r="A770" t="s">
        <v>1622</v>
      </c>
      <c r="B770" t="s">
        <v>11010</v>
      </c>
      <c r="C770" t="s">
        <v>11011</v>
      </c>
      <c r="D770" t="s">
        <v>11012</v>
      </c>
      <c r="F770" t="s">
        <v>45</v>
      </c>
      <c r="G770" t="s">
        <v>46</v>
      </c>
      <c r="H770">
        <v>36109</v>
      </c>
      <c r="I770">
        <v>61291227</v>
      </c>
      <c r="J770" t="s">
        <v>11013</v>
      </c>
    </row>
    <row r="771" spans="1:10" x14ac:dyDescent="0.35">
      <c r="A771" t="s">
        <v>1727</v>
      </c>
      <c r="B771" t="s">
        <v>11014</v>
      </c>
      <c r="C771" t="s">
        <v>11015</v>
      </c>
      <c r="D771" t="s">
        <v>11016</v>
      </c>
      <c r="F771" t="s">
        <v>209</v>
      </c>
      <c r="G771" t="s">
        <v>74</v>
      </c>
      <c r="H771">
        <v>32401</v>
      </c>
      <c r="I771">
        <v>52674714</v>
      </c>
      <c r="J771" t="s">
        <v>11017</v>
      </c>
    </row>
    <row r="772" spans="1:10" x14ac:dyDescent="0.35">
      <c r="A772" t="s">
        <v>48</v>
      </c>
      <c r="B772" t="s">
        <v>11018</v>
      </c>
      <c r="C772" t="s">
        <v>11019</v>
      </c>
      <c r="D772" t="s">
        <v>11020</v>
      </c>
      <c r="E772" t="s">
        <v>9614</v>
      </c>
      <c r="F772" t="s">
        <v>70</v>
      </c>
      <c r="G772" t="s">
        <v>31</v>
      </c>
      <c r="H772">
        <v>85301</v>
      </c>
      <c r="I772">
        <v>44055451</v>
      </c>
      <c r="J772" t="s">
        <v>11021</v>
      </c>
    </row>
    <row r="773" spans="1:10" x14ac:dyDescent="0.35">
      <c r="A773" t="s">
        <v>6746</v>
      </c>
      <c r="B773" t="s">
        <v>11022</v>
      </c>
      <c r="C773" t="s">
        <v>11023</v>
      </c>
      <c r="D773" t="s">
        <v>11024</v>
      </c>
      <c r="F773" t="s">
        <v>235</v>
      </c>
      <c r="G773" t="s">
        <v>236</v>
      </c>
      <c r="H773">
        <v>73107</v>
      </c>
      <c r="I773">
        <v>95424251</v>
      </c>
      <c r="J773" t="s">
        <v>11025</v>
      </c>
    </row>
    <row r="774" spans="1:10" x14ac:dyDescent="0.35">
      <c r="A774" t="s">
        <v>390</v>
      </c>
      <c r="B774" t="s">
        <v>11026</v>
      </c>
      <c r="C774" t="s">
        <v>11027</v>
      </c>
      <c r="D774" t="s">
        <v>11028</v>
      </c>
      <c r="F774" t="s">
        <v>235</v>
      </c>
      <c r="G774" t="s">
        <v>236</v>
      </c>
      <c r="H774">
        <v>73120</v>
      </c>
      <c r="I774">
        <v>106587058</v>
      </c>
      <c r="J774" t="s">
        <v>11029</v>
      </c>
    </row>
    <row r="775" spans="1:10" x14ac:dyDescent="0.35">
      <c r="A775" t="s">
        <v>2085</v>
      </c>
      <c r="B775" t="s">
        <v>11030</v>
      </c>
      <c r="C775" t="s">
        <v>10434</v>
      </c>
      <c r="D775" t="s">
        <v>11031</v>
      </c>
      <c r="F775" t="s">
        <v>118</v>
      </c>
      <c r="G775" t="s">
        <v>42</v>
      </c>
      <c r="H775">
        <v>80005</v>
      </c>
      <c r="I775">
        <v>55357575</v>
      </c>
      <c r="J775" t="s">
        <v>11032</v>
      </c>
    </row>
    <row r="776" spans="1:10" x14ac:dyDescent="0.35">
      <c r="A776" t="s">
        <v>1764</v>
      </c>
      <c r="B776" t="s">
        <v>11033</v>
      </c>
      <c r="C776" t="s">
        <v>11034</v>
      </c>
      <c r="D776" t="s">
        <v>11035</v>
      </c>
      <c r="F776" t="s">
        <v>118</v>
      </c>
      <c r="G776" t="s">
        <v>42</v>
      </c>
      <c r="H776">
        <v>80007</v>
      </c>
      <c r="I776">
        <v>100201576</v>
      </c>
      <c r="J776" t="s">
        <v>11036</v>
      </c>
    </row>
    <row r="777" spans="1:10" x14ac:dyDescent="0.35">
      <c r="A777" t="s">
        <v>1305</v>
      </c>
      <c r="B777" t="s">
        <v>11037</v>
      </c>
      <c r="C777" t="s">
        <v>11038</v>
      </c>
      <c r="D777" t="s">
        <v>11039</v>
      </c>
      <c r="F777" t="s">
        <v>130</v>
      </c>
      <c r="G777" t="s">
        <v>123</v>
      </c>
      <c r="H777">
        <v>20017</v>
      </c>
      <c r="I777">
        <v>105130053</v>
      </c>
      <c r="J777" t="s">
        <v>11040</v>
      </c>
    </row>
    <row r="778" spans="1:10" x14ac:dyDescent="0.35">
      <c r="A778" t="s">
        <v>3897</v>
      </c>
      <c r="B778" t="s">
        <v>11041</v>
      </c>
      <c r="C778" t="s">
        <v>11042</v>
      </c>
      <c r="D778" t="s">
        <v>11043</v>
      </c>
      <c r="F778" t="s">
        <v>45</v>
      </c>
      <c r="G778" t="s">
        <v>46</v>
      </c>
      <c r="H778">
        <v>36110</v>
      </c>
      <c r="I778">
        <v>83488487</v>
      </c>
      <c r="J778" t="s">
        <v>11044</v>
      </c>
    </row>
    <row r="779" spans="1:10" x14ac:dyDescent="0.35">
      <c r="A779" t="s">
        <v>4169</v>
      </c>
      <c r="B779" t="s">
        <v>11045</v>
      </c>
      <c r="C779" t="s">
        <v>10575</v>
      </c>
      <c r="D779" t="s">
        <v>11046</v>
      </c>
      <c r="F779" t="s">
        <v>70</v>
      </c>
      <c r="G779" t="s">
        <v>31</v>
      </c>
      <c r="H779">
        <v>85306</v>
      </c>
      <c r="I779">
        <v>51662086</v>
      </c>
      <c r="J779" t="s">
        <v>11047</v>
      </c>
    </row>
    <row r="780" spans="1:10" x14ac:dyDescent="0.35">
      <c r="A780" t="s">
        <v>1802</v>
      </c>
      <c r="B780" t="s">
        <v>11048</v>
      </c>
      <c r="C780" t="s">
        <v>11049</v>
      </c>
      <c r="D780" t="s">
        <v>11050</v>
      </c>
      <c r="F780" t="s">
        <v>1950</v>
      </c>
      <c r="G780" t="s">
        <v>42</v>
      </c>
      <c r="H780">
        <v>80011</v>
      </c>
      <c r="I780">
        <v>86335728</v>
      </c>
      <c r="J780" t="s">
        <v>11051</v>
      </c>
    </row>
    <row r="781" spans="1:10" x14ac:dyDescent="0.35">
      <c r="A781" t="s">
        <v>4700</v>
      </c>
      <c r="B781" t="s">
        <v>11052</v>
      </c>
      <c r="C781" t="s">
        <v>9575</v>
      </c>
      <c r="D781" t="s">
        <v>11053</v>
      </c>
      <c r="F781" t="s">
        <v>2924</v>
      </c>
      <c r="G781" t="s">
        <v>51</v>
      </c>
      <c r="H781">
        <v>94568</v>
      </c>
      <c r="I781">
        <v>86566063</v>
      </c>
      <c r="J781" t="s">
        <v>11054</v>
      </c>
    </row>
    <row r="782" spans="1:10" x14ac:dyDescent="0.35">
      <c r="A782" t="s">
        <v>5542</v>
      </c>
      <c r="B782" t="s">
        <v>11055</v>
      </c>
      <c r="C782" t="s">
        <v>10042</v>
      </c>
      <c r="D782" t="s">
        <v>11056</v>
      </c>
      <c r="F782" t="s">
        <v>124</v>
      </c>
      <c r="G782" t="s">
        <v>117</v>
      </c>
      <c r="H782">
        <v>72703</v>
      </c>
      <c r="I782">
        <v>35413882</v>
      </c>
      <c r="J782" t="s">
        <v>11057</v>
      </c>
    </row>
    <row r="783" spans="1:10" x14ac:dyDescent="0.35">
      <c r="A783" t="s">
        <v>263</v>
      </c>
      <c r="B783" t="s">
        <v>11058</v>
      </c>
      <c r="C783" t="s">
        <v>11059</v>
      </c>
      <c r="D783" t="s">
        <v>9948</v>
      </c>
      <c r="F783" t="s">
        <v>130</v>
      </c>
      <c r="G783" t="s">
        <v>123</v>
      </c>
      <c r="H783">
        <v>20016</v>
      </c>
      <c r="I783">
        <v>17970178</v>
      </c>
      <c r="J783" t="s">
        <v>11060</v>
      </c>
    </row>
    <row r="784" spans="1:10" x14ac:dyDescent="0.35">
      <c r="A784" t="s">
        <v>715</v>
      </c>
      <c r="B784" t="s">
        <v>11061</v>
      </c>
      <c r="C784" t="s">
        <v>11062</v>
      </c>
      <c r="D784" t="s">
        <v>8940</v>
      </c>
      <c r="F784" t="s">
        <v>112</v>
      </c>
      <c r="G784" t="s">
        <v>106</v>
      </c>
      <c r="H784">
        <v>99508</v>
      </c>
      <c r="I784">
        <v>111748837</v>
      </c>
      <c r="J784" t="s">
        <v>11063</v>
      </c>
    </row>
    <row r="785" spans="1:10" x14ac:dyDescent="0.35">
      <c r="A785" t="s">
        <v>1369</v>
      </c>
      <c r="B785" t="s">
        <v>11064</v>
      </c>
      <c r="C785" t="s">
        <v>11065</v>
      </c>
      <c r="D785" t="s">
        <v>11066</v>
      </c>
      <c r="F785" t="s">
        <v>112</v>
      </c>
      <c r="G785" t="s">
        <v>106</v>
      </c>
      <c r="H785">
        <v>99517</v>
      </c>
      <c r="I785">
        <v>108195956</v>
      </c>
      <c r="J785" t="s">
        <v>11067</v>
      </c>
    </row>
    <row r="786" spans="1:10" x14ac:dyDescent="0.35">
      <c r="A786" t="s">
        <v>6897</v>
      </c>
      <c r="B786" t="s">
        <v>11068</v>
      </c>
      <c r="C786" t="s">
        <v>11069</v>
      </c>
      <c r="D786" t="s">
        <v>11070</v>
      </c>
      <c r="F786" t="s">
        <v>130</v>
      </c>
      <c r="G786" t="s">
        <v>123</v>
      </c>
      <c r="H786">
        <v>20011</v>
      </c>
      <c r="I786">
        <v>56877407</v>
      </c>
      <c r="J786" t="s">
        <v>11071</v>
      </c>
    </row>
    <row r="787" spans="1:10" x14ac:dyDescent="0.35">
      <c r="A787" t="s">
        <v>3224</v>
      </c>
      <c r="B787" t="s">
        <v>11072</v>
      </c>
      <c r="C787" t="s">
        <v>11073</v>
      </c>
      <c r="D787" t="s">
        <v>11074</v>
      </c>
      <c r="F787" t="s">
        <v>75</v>
      </c>
      <c r="G787" t="s">
        <v>76</v>
      </c>
      <c r="H787">
        <v>6040</v>
      </c>
      <c r="I787">
        <v>57887470</v>
      </c>
      <c r="J787" t="s">
        <v>11075</v>
      </c>
    </row>
    <row r="788" spans="1:10" x14ac:dyDescent="0.35">
      <c r="A788" t="s">
        <v>2580</v>
      </c>
      <c r="B788" t="s">
        <v>11076</v>
      </c>
      <c r="C788" t="s">
        <v>11077</v>
      </c>
      <c r="D788" t="s">
        <v>11078</v>
      </c>
      <c r="E788" t="s">
        <v>11079</v>
      </c>
      <c r="F788" t="s">
        <v>63</v>
      </c>
      <c r="G788" t="s">
        <v>64</v>
      </c>
      <c r="H788">
        <v>37013</v>
      </c>
      <c r="I788">
        <v>62963790</v>
      </c>
      <c r="J788" t="s">
        <v>11080</v>
      </c>
    </row>
    <row r="789" spans="1:10" x14ac:dyDescent="0.35">
      <c r="A789" t="s">
        <v>444</v>
      </c>
      <c r="B789" t="s">
        <v>11081</v>
      </c>
      <c r="C789" t="s">
        <v>11082</v>
      </c>
      <c r="D789" t="s">
        <v>11083</v>
      </c>
      <c r="F789" t="s">
        <v>107</v>
      </c>
      <c r="G789" t="s">
        <v>87</v>
      </c>
      <c r="H789">
        <v>40272</v>
      </c>
      <c r="I789">
        <v>115241097</v>
      </c>
      <c r="J789" t="s">
        <v>11084</v>
      </c>
    </row>
    <row r="790" spans="1:10" x14ac:dyDescent="0.35">
      <c r="A790" t="s">
        <v>2914</v>
      </c>
      <c r="B790" t="s">
        <v>11085</v>
      </c>
      <c r="C790" t="s">
        <v>11086</v>
      </c>
      <c r="D790" t="s">
        <v>11087</v>
      </c>
      <c r="F790" t="s">
        <v>63</v>
      </c>
      <c r="G790" t="s">
        <v>64</v>
      </c>
      <c r="H790">
        <v>37221</v>
      </c>
      <c r="I790">
        <v>69059063</v>
      </c>
      <c r="J790" t="s">
        <v>11088</v>
      </c>
    </row>
    <row r="791" spans="1:10" x14ac:dyDescent="0.35">
      <c r="A791" t="s">
        <v>836</v>
      </c>
      <c r="B791" t="s">
        <v>11089</v>
      </c>
      <c r="C791" t="s">
        <v>11090</v>
      </c>
      <c r="D791" t="s">
        <v>11091</v>
      </c>
      <c r="F791" t="s">
        <v>4188</v>
      </c>
      <c r="G791" t="s">
        <v>139</v>
      </c>
      <c r="H791">
        <v>1501</v>
      </c>
      <c r="I791">
        <v>30083767</v>
      </c>
      <c r="J791" t="s">
        <v>11092</v>
      </c>
    </row>
    <row r="792" spans="1:10" x14ac:dyDescent="0.35">
      <c r="A792" t="s">
        <v>1068</v>
      </c>
      <c r="B792" t="s">
        <v>11093</v>
      </c>
      <c r="C792" t="s">
        <v>11094</v>
      </c>
      <c r="D792" t="s">
        <v>11095</v>
      </c>
      <c r="F792" t="s">
        <v>118</v>
      </c>
      <c r="G792" t="s">
        <v>42</v>
      </c>
      <c r="H792">
        <v>80005</v>
      </c>
      <c r="I792">
        <v>100978980</v>
      </c>
      <c r="J792" t="s">
        <v>11096</v>
      </c>
    </row>
    <row r="793" spans="1:10" x14ac:dyDescent="0.35">
      <c r="A793" t="s">
        <v>11097</v>
      </c>
      <c r="B793" t="s">
        <v>11098</v>
      </c>
      <c r="C793" t="s">
        <v>11099</v>
      </c>
      <c r="D793" t="s">
        <v>10845</v>
      </c>
      <c r="F793" t="s">
        <v>45</v>
      </c>
      <c r="G793" t="s">
        <v>46</v>
      </c>
      <c r="H793">
        <v>36117</v>
      </c>
      <c r="I793">
        <v>90732867</v>
      </c>
      <c r="J793" t="s">
        <v>11100</v>
      </c>
    </row>
    <row r="794" spans="1:10" x14ac:dyDescent="0.35">
      <c r="A794" t="s">
        <v>7026</v>
      </c>
      <c r="B794" t="s">
        <v>11101</v>
      </c>
      <c r="C794" t="s">
        <v>11102</v>
      </c>
      <c r="D794" t="s">
        <v>10023</v>
      </c>
      <c r="E794" t="s">
        <v>10024</v>
      </c>
      <c r="F794" t="s">
        <v>697</v>
      </c>
      <c r="G794" t="s">
        <v>139</v>
      </c>
      <c r="H794">
        <v>1069</v>
      </c>
      <c r="I794">
        <v>82838656</v>
      </c>
      <c r="J794" t="s">
        <v>11103</v>
      </c>
    </row>
    <row r="795" spans="1:10" x14ac:dyDescent="0.35">
      <c r="A795" t="s">
        <v>404</v>
      </c>
      <c r="B795" t="s">
        <v>11104</v>
      </c>
      <c r="C795" t="s">
        <v>11105</v>
      </c>
      <c r="D795" t="s">
        <v>11106</v>
      </c>
      <c r="F795" t="s">
        <v>35</v>
      </c>
      <c r="G795" t="s">
        <v>36</v>
      </c>
      <c r="H795">
        <v>31404</v>
      </c>
      <c r="I795">
        <v>76620951</v>
      </c>
      <c r="J795" t="s">
        <v>11107</v>
      </c>
    </row>
    <row r="796" spans="1:10" x14ac:dyDescent="0.35">
      <c r="A796" t="s">
        <v>3487</v>
      </c>
      <c r="B796" t="s">
        <v>11108</v>
      </c>
      <c r="C796" t="s">
        <v>11109</v>
      </c>
      <c r="D796" t="s">
        <v>11110</v>
      </c>
      <c r="F796" t="s">
        <v>334</v>
      </c>
      <c r="G796" t="s">
        <v>51</v>
      </c>
      <c r="H796">
        <v>94605</v>
      </c>
      <c r="I796">
        <v>27636839</v>
      </c>
      <c r="J796" t="s">
        <v>11111</v>
      </c>
    </row>
    <row r="797" spans="1:10" x14ac:dyDescent="0.35">
      <c r="A797" t="s">
        <v>2615</v>
      </c>
      <c r="B797" t="s">
        <v>11112</v>
      </c>
      <c r="C797" t="s">
        <v>11113</v>
      </c>
      <c r="D797" t="s">
        <v>11114</v>
      </c>
      <c r="F797" t="s">
        <v>278</v>
      </c>
      <c r="G797" t="s">
        <v>97</v>
      </c>
      <c r="H797">
        <v>21060</v>
      </c>
      <c r="I797">
        <v>58573770</v>
      </c>
      <c r="J797" t="s">
        <v>11115</v>
      </c>
    </row>
    <row r="798" spans="1:10" x14ac:dyDescent="0.35">
      <c r="A798" t="s">
        <v>3121</v>
      </c>
      <c r="B798" t="s">
        <v>11116</v>
      </c>
      <c r="C798" t="s">
        <v>11117</v>
      </c>
      <c r="D798" t="s">
        <v>11118</v>
      </c>
      <c r="F798" t="s">
        <v>5469</v>
      </c>
      <c r="G798" t="s">
        <v>51</v>
      </c>
      <c r="H798">
        <v>96150</v>
      </c>
      <c r="I798">
        <v>111143348</v>
      </c>
      <c r="J798" t="s">
        <v>11119</v>
      </c>
    </row>
    <row r="799" spans="1:10" x14ac:dyDescent="0.35">
      <c r="A799" t="s">
        <v>1421</v>
      </c>
      <c r="B799" t="s">
        <v>11120</v>
      </c>
      <c r="C799" t="s">
        <v>9193</v>
      </c>
      <c r="D799" t="s">
        <v>11121</v>
      </c>
      <c r="E799" t="s">
        <v>11122</v>
      </c>
      <c r="F799" t="s">
        <v>599</v>
      </c>
      <c r="G799" t="s">
        <v>139</v>
      </c>
      <c r="H799">
        <v>2721</v>
      </c>
      <c r="I799">
        <v>10623451</v>
      </c>
      <c r="J799" t="s">
        <v>11123</v>
      </c>
    </row>
    <row r="800" spans="1:10" x14ac:dyDescent="0.35">
      <c r="A800" t="s">
        <v>2334</v>
      </c>
      <c r="B800" t="s">
        <v>11124</v>
      </c>
      <c r="C800" t="s">
        <v>9493</v>
      </c>
      <c r="D800" t="s">
        <v>9273</v>
      </c>
      <c r="F800" t="s">
        <v>75</v>
      </c>
      <c r="G800" t="s">
        <v>76</v>
      </c>
      <c r="H800">
        <v>6040</v>
      </c>
      <c r="I800">
        <v>120934331</v>
      </c>
      <c r="J800" t="s">
        <v>11125</v>
      </c>
    </row>
    <row r="801" spans="1:10" x14ac:dyDescent="0.35">
      <c r="A801" t="s">
        <v>1768</v>
      </c>
      <c r="B801" t="s">
        <v>11126</v>
      </c>
      <c r="C801" t="s">
        <v>11127</v>
      </c>
      <c r="D801" t="s">
        <v>11128</v>
      </c>
      <c r="F801" t="s">
        <v>130</v>
      </c>
      <c r="G801" t="s">
        <v>123</v>
      </c>
      <c r="H801">
        <v>20003</v>
      </c>
      <c r="I801">
        <v>32444401</v>
      </c>
      <c r="J801" t="s">
        <v>11129</v>
      </c>
    </row>
    <row r="802" spans="1:10" x14ac:dyDescent="0.35">
      <c r="A802" t="s">
        <v>1573</v>
      </c>
      <c r="B802" t="s">
        <v>11130</v>
      </c>
      <c r="C802" t="s">
        <v>9579</v>
      </c>
      <c r="D802" t="s">
        <v>11131</v>
      </c>
      <c r="F802" t="s">
        <v>2549</v>
      </c>
      <c r="G802" t="s">
        <v>147</v>
      </c>
      <c r="H802">
        <v>5440</v>
      </c>
      <c r="I802">
        <v>95048844</v>
      </c>
      <c r="J802" t="s">
        <v>11132</v>
      </c>
    </row>
    <row r="803" spans="1:10" x14ac:dyDescent="0.35">
      <c r="A803" t="s">
        <v>5278</v>
      </c>
      <c r="B803" t="s">
        <v>11133</v>
      </c>
      <c r="C803" t="s">
        <v>10619</v>
      </c>
      <c r="D803" t="s">
        <v>10093</v>
      </c>
      <c r="E803" t="s">
        <v>10094</v>
      </c>
      <c r="F803" t="s">
        <v>70</v>
      </c>
      <c r="G803" t="s">
        <v>31</v>
      </c>
      <c r="H803">
        <v>85305</v>
      </c>
      <c r="I803">
        <v>94136100</v>
      </c>
      <c r="J803" t="s">
        <v>11134</v>
      </c>
    </row>
    <row r="804" spans="1:10" x14ac:dyDescent="0.35">
      <c r="A804" t="s">
        <v>4075</v>
      </c>
      <c r="B804" t="s">
        <v>11135</v>
      </c>
      <c r="C804" t="s">
        <v>11136</v>
      </c>
      <c r="D804" t="s">
        <v>11137</v>
      </c>
      <c r="F804" t="s">
        <v>2028</v>
      </c>
      <c r="G804" t="s">
        <v>236</v>
      </c>
      <c r="H804">
        <v>73401</v>
      </c>
      <c r="I804">
        <v>111787636</v>
      </c>
      <c r="J804" t="s">
        <v>11138</v>
      </c>
    </row>
    <row r="805" spans="1:10" x14ac:dyDescent="0.35">
      <c r="A805" t="s">
        <v>11139</v>
      </c>
      <c r="B805" t="s">
        <v>11140</v>
      </c>
      <c r="C805" t="s">
        <v>11141</v>
      </c>
      <c r="D805" t="s">
        <v>11142</v>
      </c>
      <c r="F805" t="s">
        <v>75</v>
      </c>
      <c r="G805" t="s">
        <v>76</v>
      </c>
      <c r="H805">
        <v>6042</v>
      </c>
      <c r="I805">
        <v>123509983</v>
      </c>
      <c r="J805" t="s">
        <v>11143</v>
      </c>
    </row>
    <row r="806" spans="1:10" x14ac:dyDescent="0.35">
      <c r="A806" t="s">
        <v>4981</v>
      </c>
      <c r="B806" t="s">
        <v>11144</v>
      </c>
      <c r="C806" t="s">
        <v>11145</v>
      </c>
      <c r="D806" t="s">
        <v>11146</v>
      </c>
      <c r="F806" t="s">
        <v>209</v>
      </c>
      <c r="G806" t="s">
        <v>74</v>
      </c>
      <c r="H806">
        <v>32407</v>
      </c>
      <c r="I806">
        <v>127473552</v>
      </c>
      <c r="J806" t="s">
        <v>11147</v>
      </c>
    </row>
    <row r="807" spans="1:10" x14ac:dyDescent="0.35">
      <c r="A807" t="s">
        <v>11148</v>
      </c>
      <c r="B807" t="s">
        <v>11149</v>
      </c>
      <c r="C807" t="s">
        <v>11150</v>
      </c>
      <c r="D807" t="s">
        <v>11151</v>
      </c>
      <c r="F807" t="s">
        <v>45</v>
      </c>
      <c r="G807" t="s">
        <v>46</v>
      </c>
      <c r="H807">
        <v>36106</v>
      </c>
      <c r="I807">
        <v>38589962</v>
      </c>
      <c r="J807" t="s">
        <v>11152</v>
      </c>
    </row>
    <row r="808" spans="1:10" x14ac:dyDescent="0.35">
      <c r="A808" t="s">
        <v>2189</v>
      </c>
      <c r="B808" t="s">
        <v>11153</v>
      </c>
      <c r="C808" t="s">
        <v>11154</v>
      </c>
      <c r="D808" t="s">
        <v>11155</v>
      </c>
      <c r="F808" t="s">
        <v>112</v>
      </c>
      <c r="G808" t="s">
        <v>106</v>
      </c>
      <c r="H808">
        <v>99516</v>
      </c>
      <c r="I808">
        <v>59360319</v>
      </c>
      <c r="J808" t="s">
        <v>11156</v>
      </c>
    </row>
    <row r="809" spans="1:10" x14ac:dyDescent="0.35">
      <c r="A809" t="s">
        <v>962</v>
      </c>
      <c r="B809" t="s">
        <v>11157</v>
      </c>
      <c r="C809" t="s">
        <v>11158</v>
      </c>
      <c r="D809" t="s">
        <v>11159</v>
      </c>
      <c r="F809" t="s">
        <v>107</v>
      </c>
      <c r="G809" t="s">
        <v>87</v>
      </c>
      <c r="H809">
        <v>40213</v>
      </c>
      <c r="I809">
        <v>92832697</v>
      </c>
      <c r="J809" t="s">
        <v>11160</v>
      </c>
    </row>
    <row r="810" spans="1:10" x14ac:dyDescent="0.35">
      <c r="A810" t="s">
        <v>972</v>
      </c>
      <c r="B810" t="s">
        <v>11161</v>
      </c>
      <c r="C810" t="s">
        <v>11162</v>
      </c>
      <c r="D810" t="s">
        <v>10541</v>
      </c>
      <c r="F810" t="s">
        <v>118</v>
      </c>
      <c r="G810" t="s">
        <v>42</v>
      </c>
      <c r="H810">
        <v>80003</v>
      </c>
      <c r="I810">
        <v>71679907</v>
      </c>
      <c r="J810" t="s">
        <v>11163</v>
      </c>
    </row>
    <row r="811" spans="1:10" x14ac:dyDescent="0.35">
      <c r="A811" t="s">
        <v>1025</v>
      </c>
      <c r="B811" t="s">
        <v>11164</v>
      </c>
      <c r="C811" t="s">
        <v>11165</v>
      </c>
      <c r="D811" t="s">
        <v>11166</v>
      </c>
      <c r="F811" t="s">
        <v>63</v>
      </c>
      <c r="G811" t="s">
        <v>64</v>
      </c>
      <c r="H811">
        <v>37211</v>
      </c>
      <c r="I811">
        <v>22058098</v>
      </c>
      <c r="J811" t="s">
        <v>11167</v>
      </c>
    </row>
    <row r="812" spans="1:10" x14ac:dyDescent="0.35">
      <c r="A812" t="s">
        <v>6037</v>
      </c>
      <c r="B812" t="s">
        <v>11168</v>
      </c>
      <c r="C812" t="s">
        <v>11169</v>
      </c>
      <c r="D812" t="s">
        <v>11170</v>
      </c>
      <c r="F812" t="s">
        <v>3904</v>
      </c>
      <c r="G812" t="s">
        <v>139</v>
      </c>
      <c r="H812">
        <v>2492</v>
      </c>
      <c r="I812">
        <v>102781078</v>
      </c>
      <c r="J812" t="s">
        <v>11171</v>
      </c>
    </row>
    <row r="813" spans="1:10" x14ac:dyDescent="0.35">
      <c r="A813" t="s">
        <v>2997</v>
      </c>
      <c r="B813" t="s">
        <v>11172</v>
      </c>
      <c r="C813" t="s">
        <v>11173</v>
      </c>
      <c r="D813" t="s">
        <v>11174</v>
      </c>
      <c r="F813" t="s">
        <v>96</v>
      </c>
      <c r="G813" t="s">
        <v>97</v>
      </c>
      <c r="H813">
        <v>21114</v>
      </c>
      <c r="I813">
        <v>87548640</v>
      </c>
      <c r="J813" t="s">
        <v>11175</v>
      </c>
    </row>
    <row r="814" spans="1:10" x14ac:dyDescent="0.35">
      <c r="A814" t="s">
        <v>4305</v>
      </c>
      <c r="B814" t="s">
        <v>11176</v>
      </c>
      <c r="C814" t="s">
        <v>11177</v>
      </c>
      <c r="D814" t="s">
        <v>11178</v>
      </c>
      <c r="F814" t="s">
        <v>477</v>
      </c>
      <c r="G814" t="s">
        <v>51</v>
      </c>
      <c r="H814">
        <v>94541</v>
      </c>
      <c r="I814">
        <v>38532692</v>
      </c>
      <c r="J814" t="s">
        <v>11179</v>
      </c>
    </row>
    <row r="815" spans="1:10" x14ac:dyDescent="0.35">
      <c r="A815" t="s">
        <v>6365</v>
      </c>
      <c r="B815" t="s">
        <v>11180</v>
      </c>
      <c r="C815" t="s">
        <v>11181</v>
      </c>
      <c r="D815" t="s">
        <v>11182</v>
      </c>
      <c r="F815" t="s">
        <v>118</v>
      </c>
      <c r="G815" t="s">
        <v>42</v>
      </c>
      <c r="H815">
        <v>80004</v>
      </c>
      <c r="I815">
        <v>70368358</v>
      </c>
      <c r="J815" t="s">
        <v>11183</v>
      </c>
    </row>
    <row r="816" spans="1:10" x14ac:dyDescent="0.35">
      <c r="A816" t="s">
        <v>3538</v>
      </c>
      <c r="B816" t="s">
        <v>11184</v>
      </c>
      <c r="C816" t="s">
        <v>11185</v>
      </c>
      <c r="D816" t="s">
        <v>11186</v>
      </c>
      <c r="E816" t="s">
        <v>10255</v>
      </c>
      <c r="F816" t="s">
        <v>75</v>
      </c>
      <c r="G816" t="s">
        <v>76</v>
      </c>
      <c r="H816">
        <v>6042</v>
      </c>
      <c r="I816">
        <v>67594601</v>
      </c>
      <c r="J816" t="s">
        <v>11187</v>
      </c>
    </row>
    <row r="817" spans="1:10" x14ac:dyDescent="0.35">
      <c r="A817" t="s">
        <v>4426</v>
      </c>
      <c r="B817" t="s">
        <v>11188</v>
      </c>
      <c r="C817" t="s">
        <v>11189</v>
      </c>
      <c r="D817" t="s">
        <v>11190</v>
      </c>
      <c r="F817" t="s">
        <v>130</v>
      </c>
      <c r="G817" t="s">
        <v>123</v>
      </c>
      <c r="H817">
        <v>20011</v>
      </c>
      <c r="I817">
        <v>110009108</v>
      </c>
      <c r="J817" t="s">
        <v>11191</v>
      </c>
    </row>
    <row r="818" spans="1:10" x14ac:dyDescent="0.35">
      <c r="A818" t="s">
        <v>2641</v>
      </c>
      <c r="B818" t="s">
        <v>11192</v>
      </c>
      <c r="C818" t="s">
        <v>11193</v>
      </c>
      <c r="D818" t="s">
        <v>11194</v>
      </c>
      <c r="F818" t="s">
        <v>124</v>
      </c>
      <c r="G818" t="s">
        <v>117</v>
      </c>
      <c r="H818">
        <v>72701</v>
      </c>
      <c r="I818">
        <v>46020455</v>
      </c>
      <c r="J818" t="s">
        <v>11195</v>
      </c>
    </row>
    <row r="819" spans="1:10" x14ac:dyDescent="0.35">
      <c r="A819" t="s">
        <v>4786</v>
      </c>
      <c r="B819" t="s">
        <v>11196</v>
      </c>
      <c r="C819" t="s">
        <v>11197</v>
      </c>
      <c r="D819" t="s">
        <v>8357</v>
      </c>
      <c r="E819" t="s">
        <v>8358</v>
      </c>
      <c r="F819" t="s">
        <v>75</v>
      </c>
      <c r="G819" t="s">
        <v>76</v>
      </c>
      <c r="H819">
        <v>6042</v>
      </c>
      <c r="I819">
        <v>101434122</v>
      </c>
      <c r="J819" t="s">
        <v>11198</v>
      </c>
    </row>
    <row r="820" spans="1:10" x14ac:dyDescent="0.35">
      <c r="A820" t="s">
        <v>11199</v>
      </c>
      <c r="B820" t="s">
        <v>11200</v>
      </c>
      <c r="C820" t="s">
        <v>11201</v>
      </c>
      <c r="D820" t="s">
        <v>11202</v>
      </c>
      <c r="F820" t="s">
        <v>124</v>
      </c>
      <c r="G820" t="s">
        <v>117</v>
      </c>
      <c r="H820">
        <v>72701</v>
      </c>
      <c r="I820">
        <v>19259648</v>
      </c>
      <c r="J820" t="s">
        <v>11203</v>
      </c>
    </row>
    <row r="821" spans="1:10" x14ac:dyDescent="0.35">
      <c r="A821" t="s">
        <v>6483</v>
      </c>
      <c r="B821" t="s">
        <v>11204</v>
      </c>
      <c r="C821" t="s">
        <v>11205</v>
      </c>
      <c r="D821" t="s">
        <v>11206</v>
      </c>
      <c r="F821" t="s">
        <v>235</v>
      </c>
      <c r="G821" t="s">
        <v>236</v>
      </c>
      <c r="H821">
        <v>73162</v>
      </c>
      <c r="I821">
        <v>85257399</v>
      </c>
      <c r="J821" t="s">
        <v>11207</v>
      </c>
    </row>
    <row r="822" spans="1:10" x14ac:dyDescent="0.35">
      <c r="A822" t="s">
        <v>3517</v>
      </c>
      <c r="B822" t="s">
        <v>11208</v>
      </c>
      <c r="C822" t="s">
        <v>11209</v>
      </c>
      <c r="D822" t="s">
        <v>11210</v>
      </c>
      <c r="F822" t="s">
        <v>35</v>
      </c>
      <c r="G822" t="s">
        <v>36</v>
      </c>
      <c r="H822">
        <v>31401</v>
      </c>
      <c r="I822">
        <v>37615808</v>
      </c>
      <c r="J822" t="s">
        <v>11211</v>
      </c>
    </row>
    <row r="823" spans="1:10" x14ac:dyDescent="0.35">
      <c r="A823" t="s">
        <v>3534</v>
      </c>
      <c r="B823" t="s">
        <v>11212</v>
      </c>
      <c r="C823" t="s">
        <v>9955</v>
      </c>
      <c r="D823" t="s">
        <v>10811</v>
      </c>
      <c r="F823" t="s">
        <v>35</v>
      </c>
      <c r="G823" t="s">
        <v>36</v>
      </c>
      <c r="H823">
        <v>31404</v>
      </c>
      <c r="I823">
        <v>95476555</v>
      </c>
      <c r="J823" t="s">
        <v>11213</v>
      </c>
    </row>
    <row r="824" spans="1:10" x14ac:dyDescent="0.35">
      <c r="A824" t="s">
        <v>2866</v>
      </c>
      <c r="B824" t="s">
        <v>11214</v>
      </c>
      <c r="C824" t="s">
        <v>11215</v>
      </c>
      <c r="D824" t="s">
        <v>10390</v>
      </c>
      <c r="E824" t="s">
        <v>10391</v>
      </c>
      <c r="F824" t="s">
        <v>5115</v>
      </c>
      <c r="G824" t="s">
        <v>51</v>
      </c>
      <c r="H824">
        <v>93546</v>
      </c>
      <c r="I824">
        <v>75419781</v>
      </c>
      <c r="J824" t="s">
        <v>11216</v>
      </c>
    </row>
    <row r="825" spans="1:10" x14ac:dyDescent="0.35">
      <c r="A825" t="s">
        <v>1712</v>
      </c>
      <c r="B825" t="s">
        <v>11217</v>
      </c>
      <c r="C825" t="s">
        <v>11218</v>
      </c>
      <c r="D825" t="s">
        <v>11219</v>
      </c>
      <c r="F825" t="s">
        <v>316</v>
      </c>
      <c r="G825" t="s">
        <v>97</v>
      </c>
      <c r="H825">
        <v>21403</v>
      </c>
      <c r="I825">
        <v>13230304</v>
      </c>
      <c r="J825" t="s">
        <v>11220</v>
      </c>
    </row>
    <row r="826" spans="1:10" x14ac:dyDescent="0.35">
      <c r="A826" t="s">
        <v>1666</v>
      </c>
      <c r="B826" t="s">
        <v>11221</v>
      </c>
      <c r="C826" t="s">
        <v>11222</v>
      </c>
      <c r="D826" t="s">
        <v>11223</v>
      </c>
      <c r="F826" t="s">
        <v>2013</v>
      </c>
      <c r="G826" t="s">
        <v>147</v>
      </c>
      <c r="H826">
        <v>5262</v>
      </c>
      <c r="I826">
        <v>73816894</v>
      </c>
      <c r="J826" t="s">
        <v>11224</v>
      </c>
    </row>
    <row r="827" spans="1:10" x14ac:dyDescent="0.35">
      <c r="A827" t="s">
        <v>298</v>
      </c>
      <c r="B827" t="s">
        <v>11225</v>
      </c>
      <c r="C827" t="s">
        <v>11226</v>
      </c>
      <c r="D827" t="s">
        <v>10961</v>
      </c>
      <c r="F827" t="s">
        <v>45</v>
      </c>
      <c r="G827" t="s">
        <v>46</v>
      </c>
      <c r="H827">
        <v>36117</v>
      </c>
      <c r="I827">
        <v>86131197</v>
      </c>
      <c r="J827" t="s">
        <v>11227</v>
      </c>
    </row>
    <row r="828" spans="1:10" x14ac:dyDescent="0.35">
      <c r="A828" t="s">
        <v>1166</v>
      </c>
      <c r="B828" t="s">
        <v>11228</v>
      </c>
      <c r="C828" t="s">
        <v>11229</v>
      </c>
      <c r="D828" t="s">
        <v>11230</v>
      </c>
      <c r="F828" t="s">
        <v>1216</v>
      </c>
      <c r="G828" t="s">
        <v>51</v>
      </c>
      <c r="H828">
        <v>94502</v>
      </c>
      <c r="I828">
        <v>31360146</v>
      </c>
      <c r="J828" t="s">
        <v>11231</v>
      </c>
    </row>
    <row r="829" spans="1:10" x14ac:dyDescent="0.35">
      <c r="A829" t="s">
        <v>11232</v>
      </c>
      <c r="B829" t="s">
        <v>11233</v>
      </c>
      <c r="C829" t="s">
        <v>11234</v>
      </c>
      <c r="D829" t="s">
        <v>11235</v>
      </c>
      <c r="F829" t="s">
        <v>11236</v>
      </c>
      <c r="G829" t="s">
        <v>139</v>
      </c>
      <c r="H829">
        <v>1801</v>
      </c>
      <c r="I829">
        <v>72385261</v>
      </c>
      <c r="J829" t="s">
        <v>11237</v>
      </c>
    </row>
    <row r="830" spans="1:10" x14ac:dyDescent="0.35">
      <c r="A830" t="s">
        <v>5557</v>
      </c>
      <c r="B830" t="s">
        <v>11238</v>
      </c>
      <c r="C830" t="s">
        <v>11239</v>
      </c>
      <c r="D830" t="s">
        <v>7965</v>
      </c>
      <c r="F830" t="s">
        <v>45</v>
      </c>
      <c r="G830" t="s">
        <v>46</v>
      </c>
      <c r="H830">
        <v>36117</v>
      </c>
      <c r="I830">
        <v>97530046</v>
      </c>
      <c r="J830" t="s">
        <v>11240</v>
      </c>
    </row>
    <row r="831" spans="1:10" x14ac:dyDescent="0.35">
      <c r="A831" t="s">
        <v>2244</v>
      </c>
      <c r="B831" t="s">
        <v>11241</v>
      </c>
      <c r="C831" t="s">
        <v>11242</v>
      </c>
      <c r="D831" t="s">
        <v>8770</v>
      </c>
      <c r="F831" t="s">
        <v>130</v>
      </c>
      <c r="G831" t="s">
        <v>123</v>
      </c>
      <c r="H831">
        <v>20018</v>
      </c>
      <c r="I831">
        <v>74893324</v>
      </c>
      <c r="J831" t="s">
        <v>11243</v>
      </c>
    </row>
    <row r="832" spans="1:10" x14ac:dyDescent="0.35">
      <c r="A832" t="s">
        <v>11244</v>
      </c>
      <c r="B832" t="s">
        <v>11245</v>
      </c>
      <c r="C832" t="s">
        <v>11246</v>
      </c>
      <c r="D832" t="s">
        <v>11247</v>
      </c>
      <c r="F832" t="s">
        <v>75</v>
      </c>
      <c r="G832" t="s">
        <v>76</v>
      </c>
      <c r="H832">
        <v>6040</v>
      </c>
      <c r="I832">
        <v>72485938</v>
      </c>
      <c r="J832" t="s">
        <v>11248</v>
      </c>
    </row>
    <row r="833" spans="1:10" x14ac:dyDescent="0.35">
      <c r="A833" t="s">
        <v>5830</v>
      </c>
      <c r="B833" t="s">
        <v>11249</v>
      </c>
      <c r="C833" t="s">
        <v>11250</v>
      </c>
      <c r="D833" t="s">
        <v>8677</v>
      </c>
      <c r="F833" t="s">
        <v>235</v>
      </c>
      <c r="G833" t="s">
        <v>236</v>
      </c>
      <c r="H833">
        <v>73173</v>
      </c>
      <c r="I833">
        <v>31727718</v>
      </c>
      <c r="J833" t="s">
        <v>11251</v>
      </c>
    </row>
    <row r="834" spans="1:10" x14ac:dyDescent="0.35">
      <c r="A834" t="s">
        <v>2727</v>
      </c>
      <c r="B834" t="s">
        <v>11252</v>
      </c>
      <c r="C834" t="s">
        <v>11253</v>
      </c>
      <c r="D834" t="s">
        <v>11254</v>
      </c>
      <c r="F834" t="s">
        <v>830</v>
      </c>
      <c r="G834" t="s">
        <v>51</v>
      </c>
      <c r="H834">
        <v>94538</v>
      </c>
      <c r="I834">
        <v>117038017</v>
      </c>
      <c r="J834" t="s">
        <v>11255</v>
      </c>
    </row>
    <row r="835" spans="1:10" x14ac:dyDescent="0.35">
      <c r="A835" t="s">
        <v>1408</v>
      </c>
      <c r="B835" t="s">
        <v>11256</v>
      </c>
      <c r="C835" t="s">
        <v>11257</v>
      </c>
      <c r="D835" t="s">
        <v>11258</v>
      </c>
      <c r="F835" t="s">
        <v>235</v>
      </c>
      <c r="G835" t="s">
        <v>236</v>
      </c>
      <c r="H835">
        <v>73112</v>
      </c>
      <c r="I835">
        <v>91463119</v>
      </c>
      <c r="J835" t="s">
        <v>11259</v>
      </c>
    </row>
    <row r="836" spans="1:10" x14ac:dyDescent="0.35">
      <c r="A836" t="s">
        <v>1542</v>
      </c>
      <c r="B836" t="s">
        <v>11260</v>
      </c>
      <c r="C836" t="s">
        <v>11261</v>
      </c>
      <c r="D836" t="s">
        <v>11262</v>
      </c>
      <c r="F836" t="s">
        <v>130</v>
      </c>
      <c r="G836" t="s">
        <v>123</v>
      </c>
      <c r="H836">
        <v>20010</v>
      </c>
      <c r="I836">
        <v>60404659</v>
      </c>
      <c r="J836" t="s">
        <v>11263</v>
      </c>
    </row>
    <row r="837" spans="1:10" x14ac:dyDescent="0.35">
      <c r="A837" t="s">
        <v>4641</v>
      </c>
      <c r="B837" t="s">
        <v>11264</v>
      </c>
      <c r="C837" t="s">
        <v>11265</v>
      </c>
      <c r="D837" t="s">
        <v>11266</v>
      </c>
      <c r="F837" t="s">
        <v>75</v>
      </c>
      <c r="G837" t="s">
        <v>76</v>
      </c>
      <c r="H837">
        <v>6042</v>
      </c>
      <c r="I837">
        <v>98661192</v>
      </c>
      <c r="J837" t="s">
        <v>11267</v>
      </c>
    </row>
    <row r="838" spans="1:10" x14ac:dyDescent="0.35">
      <c r="A838" t="s">
        <v>5964</v>
      </c>
      <c r="B838" t="s">
        <v>11268</v>
      </c>
      <c r="C838" t="s">
        <v>11269</v>
      </c>
      <c r="D838" t="s">
        <v>11270</v>
      </c>
      <c r="F838" t="s">
        <v>70</v>
      </c>
      <c r="G838" t="s">
        <v>31</v>
      </c>
      <c r="H838">
        <v>85302</v>
      </c>
      <c r="I838">
        <v>121733379</v>
      </c>
      <c r="J838" t="s">
        <v>11271</v>
      </c>
    </row>
    <row r="839" spans="1:10" x14ac:dyDescent="0.35">
      <c r="A839" t="s">
        <v>3320</v>
      </c>
      <c r="B839" t="s">
        <v>11272</v>
      </c>
      <c r="C839" t="s">
        <v>11273</v>
      </c>
      <c r="D839" t="s">
        <v>11274</v>
      </c>
      <c r="E839" t="s">
        <v>11275</v>
      </c>
      <c r="F839" t="s">
        <v>1827</v>
      </c>
      <c r="G839" t="s">
        <v>51</v>
      </c>
      <c r="H839">
        <v>94587</v>
      </c>
      <c r="I839">
        <v>106771220</v>
      </c>
      <c r="J839" t="s">
        <v>11276</v>
      </c>
    </row>
    <row r="840" spans="1:10" x14ac:dyDescent="0.35">
      <c r="A840" t="s">
        <v>832</v>
      </c>
      <c r="B840" t="s">
        <v>11277</v>
      </c>
      <c r="C840" t="s">
        <v>11278</v>
      </c>
      <c r="D840" t="s">
        <v>8617</v>
      </c>
      <c r="F840" t="s">
        <v>278</v>
      </c>
      <c r="G840" t="s">
        <v>97</v>
      </c>
      <c r="H840">
        <v>21060</v>
      </c>
      <c r="I840">
        <v>25041390</v>
      </c>
      <c r="J840" t="s">
        <v>11279</v>
      </c>
    </row>
    <row r="841" spans="1:10" x14ac:dyDescent="0.35">
      <c r="A841" t="s">
        <v>4717</v>
      </c>
      <c r="B841" t="s">
        <v>11280</v>
      </c>
      <c r="C841" t="s">
        <v>11281</v>
      </c>
      <c r="D841" t="s">
        <v>11282</v>
      </c>
      <c r="F841" t="s">
        <v>2422</v>
      </c>
      <c r="G841" t="s">
        <v>51</v>
      </c>
      <c r="H841">
        <v>93305</v>
      </c>
      <c r="I841">
        <v>74178942</v>
      </c>
      <c r="J841" t="s">
        <v>11283</v>
      </c>
    </row>
    <row r="842" spans="1:10" x14ac:dyDescent="0.35">
      <c r="A842" t="s">
        <v>2137</v>
      </c>
      <c r="B842" t="s">
        <v>11284</v>
      </c>
      <c r="C842" t="s">
        <v>11285</v>
      </c>
      <c r="D842" t="s">
        <v>11286</v>
      </c>
      <c r="F842" t="s">
        <v>941</v>
      </c>
      <c r="G842" t="s">
        <v>147</v>
      </c>
      <c r="H842">
        <v>5001</v>
      </c>
      <c r="I842">
        <v>47545340</v>
      </c>
      <c r="J842" t="s">
        <v>11287</v>
      </c>
    </row>
    <row r="843" spans="1:10" x14ac:dyDescent="0.35">
      <c r="A843" t="s">
        <v>1546</v>
      </c>
      <c r="B843" t="s">
        <v>11288</v>
      </c>
      <c r="C843" t="s">
        <v>11289</v>
      </c>
      <c r="D843" t="s">
        <v>11290</v>
      </c>
      <c r="E843" t="s">
        <v>11291</v>
      </c>
      <c r="F843" t="s">
        <v>11292</v>
      </c>
      <c r="G843" t="s">
        <v>139</v>
      </c>
      <c r="H843">
        <v>2048</v>
      </c>
      <c r="I843">
        <v>61035030</v>
      </c>
      <c r="J843" t="s">
        <v>11293</v>
      </c>
    </row>
    <row r="844" spans="1:10" x14ac:dyDescent="0.35">
      <c r="A844" t="s">
        <v>1287</v>
      </c>
      <c r="B844" t="s">
        <v>11294</v>
      </c>
      <c r="C844" t="s">
        <v>10575</v>
      </c>
      <c r="D844" t="s">
        <v>11295</v>
      </c>
      <c r="F844" t="s">
        <v>63</v>
      </c>
      <c r="G844" t="s">
        <v>64</v>
      </c>
      <c r="H844">
        <v>37207</v>
      </c>
      <c r="I844">
        <v>105865658</v>
      </c>
      <c r="J844" t="s">
        <v>11296</v>
      </c>
    </row>
    <row r="845" spans="1:10" x14ac:dyDescent="0.35">
      <c r="A845" t="s">
        <v>11297</v>
      </c>
      <c r="B845" t="s">
        <v>11298</v>
      </c>
      <c r="C845" t="s">
        <v>11299</v>
      </c>
      <c r="D845" t="s">
        <v>11300</v>
      </c>
      <c r="F845" t="s">
        <v>6949</v>
      </c>
      <c r="G845" t="s">
        <v>139</v>
      </c>
      <c r="H845">
        <v>2420</v>
      </c>
      <c r="I845">
        <v>11039536</v>
      </c>
      <c r="J845" t="s">
        <v>11301</v>
      </c>
    </row>
    <row r="846" spans="1:10" x14ac:dyDescent="0.35">
      <c r="A846" t="s">
        <v>1093</v>
      </c>
      <c r="B846" t="s">
        <v>11302</v>
      </c>
      <c r="C846" t="s">
        <v>11303</v>
      </c>
      <c r="D846" t="s">
        <v>11304</v>
      </c>
      <c r="F846" t="s">
        <v>130</v>
      </c>
      <c r="G846" t="s">
        <v>123</v>
      </c>
      <c r="H846">
        <v>20024</v>
      </c>
      <c r="I846">
        <v>81795839</v>
      </c>
      <c r="J846" t="s">
        <v>11305</v>
      </c>
    </row>
    <row r="847" spans="1:10" x14ac:dyDescent="0.35">
      <c r="A847" t="s">
        <v>5337</v>
      </c>
      <c r="B847" t="s">
        <v>11306</v>
      </c>
      <c r="C847" t="s">
        <v>11307</v>
      </c>
      <c r="D847" t="s">
        <v>11308</v>
      </c>
      <c r="F847" t="s">
        <v>35</v>
      </c>
      <c r="G847" t="s">
        <v>36</v>
      </c>
      <c r="H847">
        <v>31419</v>
      </c>
      <c r="I847">
        <v>83831597</v>
      </c>
      <c r="J847" t="s">
        <v>11309</v>
      </c>
    </row>
    <row r="848" spans="1:10" x14ac:dyDescent="0.35">
      <c r="A848" t="s">
        <v>252</v>
      </c>
      <c r="B848" t="s">
        <v>11310</v>
      </c>
      <c r="C848" t="s">
        <v>11311</v>
      </c>
      <c r="D848" t="s">
        <v>11312</v>
      </c>
      <c r="F848" t="s">
        <v>209</v>
      </c>
      <c r="G848" t="s">
        <v>74</v>
      </c>
      <c r="H848">
        <v>32405</v>
      </c>
      <c r="I848">
        <v>63667590</v>
      </c>
      <c r="J848" t="s">
        <v>11313</v>
      </c>
    </row>
    <row r="849" spans="1:10" x14ac:dyDescent="0.35">
      <c r="A849" t="s">
        <v>1829</v>
      </c>
      <c r="B849" t="s">
        <v>11314</v>
      </c>
      <c r="C849" t="s">
        <v>11315</v>
      </c>
      <c r="D849" t="s">
        <v>11316</v>
      </c>
      <c r="F849" t="s">
        <v>75</v>
      </c>
      <c r="G849" t="s">
        <v>76</v>
      </c>
      <c r="H849">
        <v>6040</v>
      </c>
      <c r="I849">
        <v>119401202</v>
      </c>
      <c r="J849" t="s">
        <v>11317</v>
      </c>
    </row>
    <row r="850" spans="1:10" x14ac:dyDescent="0.35">
      <c r="A850" t="s">
        <v>2099</v>
      </c>
      <c r="B850" t="s">
        <v>11318</v>
      </c>
      <c r="C850" t="s">
        <v>11319</v>
      </c>
      <c r="D850" t="s">
        <v>11320</v>
      </c>
      <c r="F850" t="s">
        <v>334</v>
      </c>
      <c r="G850" t="s">
        <v>51</v>
      </c>
      <c r="H850">
        <v>94621</v>
      </c>
      <c r="I850">
        <v>122689228</v>
      </c>
      <c r="J850" t="s">
        <v>11321</v>
      </c>
    </row>
    <row r="851" spans="1:10" x14ac:dyDescent="0.35">
      <c r="A851" t="s">
        <v>11322</v>
      </c>
      <c r="B851" t="s">
        <v>11323</v>
      </c>
      <c r="C851" t="s">
        <v>11324</v>
      </c>
      <c r="D851" t="s">
        <v>10612</v>
      </c>
      <c r="F851" t="s">
        <v>5764</v>
      </c>
      <c r="G851" t="s">
        <v>236</v>
      </c>
      <c r="H851">
        <v>73116</v>
      </c>
      <c r="I851">
        <v>65770977</v>
      </c>
      <c r="J851" t="s">
        <v>11325</v>
      </c>
    </row>
    <row r="852" spans="1:10" x14ac:dyDescent="0.35">
      <c r="A852" t="s">
        <v>3940</v>
      </c>
      <c r="B852" t="s">
        <v>11326</v>
      </c>
      <c r="C852" t="s">
        <v>11327</v>
      </c>
      <c r="D852" t="s">
        <v>8906</v>
      </c>
      <c r="F852" t="s">
        <v>830</v>
      </c>
      <c r="G852" t="s">
        <v>51</v>
      </c>
      <c r="H852">
        <v>94536</v>
      </c>
      <c r="I852">
        <v>90097900</v>
      </c>
      <c r="J852" t="s">
        <v>11328</v>
      </c>
    </row>
    <row r="853" spans="1:10" x14ac:dyDescent="0.35">
      <c r="A853" t="s">
        <v>6843</v>
      </c>
      <c r="B853" t="s">
        <v>11329</v>
      </c>
      <c r="C853" t="s">
        <v>11330</v>
      </c>
      <c r="D853" t="s">
        <v>11331</v>
      </c>
      <c r="F853" t="s">
        <v>112</v>
      </c>
      <c r="G853" t="s">
        <v>106</v>
      </c>
      <c r="H853">
        <v>99567</v>
      </c>
      <c r="I853">
        <v>118706199</v>
      </c>
      <c r="J853" t="s">
        <v>11332</v>
      </c>
    </row>
    <row r="854" spans="1:10" x14ac:dyDescent="0.35">
      <c r="A854" t="s">
        <v>3000</v>
      </c>
      <c r="B854" t="s">
        <v>11333</v>
      </c>
      <c r="C854" t="s">
        <v>11334</v>
      </c>
      <c r="D854" t="s">
        <v>11335</v>
      </c>
      <c r="F854" t="s">
        <v>1994</v>
      </c>
      <c r="G854" t="s">
        <v>36</v>
      </c>
      <c r="H854">
        <v>31407</v>
      </c>
      <c r="I854">
        <v>106717925</v>
      </c>
      <c r="J854" t="s">
        <v>11336</v>
      </c>
    </row>
    <row r="855" spans="1:10" x14ac:dyDescent="0.35">
      <c r="A855" t="s">
        <v>2932</v>
      </c>
      <c r="B855" t="s">
        <v>11337</v>
      </c>
      <c r="C855" t="s">
        <v>11338</v>
      </c>
      <c r="D855" t="s">
        <v>11339</v>
      </c>
      <c r="E855" t="s">
        <v>11340</v>
      </c>
      <c r="F855" t="s">
        <v>112</v>
      </c>
      <c r="G855" t="s">
        <v>106</v>
      </c>
      <c r="H855">
        <v>99501</v>
      </c>
      <c r="I855">
        <v>63372225</v>
      </c>
      <c r="J855" t="s">
        <v>11341</v>
      </c>
    </row>
    <row r="856" spans="1:10" x14ac:dyDescent="0.35">
      <c r="A856" t="s">
        <v>6646</v>
      </c>
      <c r="B856" t="s">
        <v>11342</v>
      </c>
      <c r="C856" t="s">
        <v>10745</v>
      </c>
      <c r="D856" t="s">
        <v>8366</v>
      </c>
      <c r="F856" t="s">
        <v>35</v>
      </c>
      <c r="G856" t="s">
        <v>36</v>
      </c>
      <c r="H856">
        <v>31408</v>
      </c>
      <c r="I856">
        <v>113432604</v>
      </c>
      <c r="J856" t="s">
        <v>11343</v>
      </c>
    </row>
    <row r="857" spans="1:10" x14ac:dyDescent="0.35">
      <c r="A857" t="s">
        <v>2776</v>
      </c>
      <c r="B857" t="s">
        <v>11344</v>
      </c>
      <c r="C857" t="s">
        <v>11345</v>
      </c>
      <c r="D857" t="s">
        <v>9370</v>
      </c>
      <c r="F857" t="s">
        <v>118</v>
      </c>
      <c r="G857" t="s">
        <v>42</v>
      </c>
      <c r="H857">
        <v>80005</v>
      </c>
      <c r="I857">
        <v>20776712</v>
      </c>
      <c r="J857" t="s">
        <v>11346</v>
      </c>
    </row>
    <row r="858" spans="1:10" x14ac:dyDescent="0.35">
      <c r="A858" t="s">
        <v>665</v>
      </c>
      <c r="B858" t="s">
        <v>11347</v>
      </c>
      <c r="C858" t="s">
        <v>9936</v>
      </c>
      <c r="D858" t="s">
        <v>11348</v>
      </c>
      <c r="E858" t="s">
        <v>11349</v>
      </c>
      <c r="F858" t="s">
        <v>2293</v>
      </c>
      <c r="G858" t="s">
        <v>51</v>
      </c>
      <c r="H858">
        <v>94040</v>
      </c>
      <c r="I858">
        <v>54512078</v>
      </c>
      <c r="J858" t="s">
        <v>11350</v>
      </c>
    </row>
    <row r="859" spans="1:10" x14ac:dyDescent="0.35">
      <c r="A859" t="s">
        <v>2360</v>
      </c>
      <c r="B859" t="s">
        <v>11351</v>
      </c>
      <c r="C859" t="s">
        <v>11352</v>
      </c>
      <c r="D859" t="s">
        <v>11353</v>
      </c>
      <c r="F859" t="s">
        <v>1937</v>
      </c>
      <c r="G859" t="s">
        <v>51</v>
      </c>
      <c r="H859">
        <v>92027</v>
      </c>
      <c r="I859">
        <v>92553374</v>
      </c>
      <c r="J859" t="s">
        <v>11354</v>
      </c>
    </row>
    <row r="860" spans="1:10" x14ac:dyDescent="0.35">
      <c r="A860" t="s">
        <v>2804</v>
      </c>
      <c r="B860" t="s">
        <v>11355</v>
      </c>
      <c r="C860" t="s">
        <v>11356</v>
      </c>
      <c r="D860" t="s">
        <v>11357</v>
      </c>
      <c r="F860" t="s">
        <v>45</v>
      </c>
      <c r="G860" t="s">
        <v>46</v>
      </c>
      <c r="H860">
        <v>36116</v>
      </c>
      <c r="I860">
        <v>14521423</v>
      </c>
      <c r="J860" t="s">
        <v>11358</v>
      </c>
    </row>
    <row r="861" spans="1:10" x14ac:dyDescent="0.35">
      <c r="A861" t="s">
        <v>4651</v>
      </c>
      <c r="B861" t="s">
        <v>11359</v>
      </c>
      <c r="C861" t="s">
        <v>11360</v>
      </c>
      <c r="D861" t="s">
        <v>11361</v>
      </c>
      <c r="F861" t="s">
        <v>45</v>
      </c>
      <c r="G861" t="s">
        <v>46</v>
      </c>
      <c r="H861">
        <v>36109</v>
      </c>
      <c r="I861">
        <v>111601408</v>
      </c>
      <c r="J861" t="s">
        <v>11362</v>
      </c>
    </row>
    <row r="862" spans="1:10" x14ac:dyDescent="0.35">
      <c r="A862" t="s">
        <v>6263</v>
      </c>
      <c r="B862" t="s">
        <v>11363</v>
      </c>
      <c r="C862" t="s">
        <v>11364</v>
      </c>
      <c r="D862" t="s">
        <v>11365</v>
      </c>
      <c r="E862" t="s">
        <v>9134</v>
      </c>
      <c r="F862" t="s">
        <v>124</v>
      </c>
      <c r="G862" t="s">
        <v>117</v>
      </c>
      <c r="H862">
        <v>72703</v>
      </c>
      <c r="I862">
        <v>101560504</v>
      </c>
      <c r="J862" t="s">
        <v>11366</v>
      </c>
    </row>
    <row r="863" spans="1:10" x14ac:dyDescent="0.35">
      <c r="A863" t="s">
        <v>3542</v>
      </c>
      <c r="B863" t="s">
        <v>11367</v>
      </c>
      <c r="C863" t="s">
        <v>11368</v>
      </c>
      <c r="D863" t="s">
        <v>8414</v>
      </c>
      <c r="F863" t="s">
        <v>235</v>
      </c>
      <c r="G863" t="s">
        <v>236</v>
      </c>
      <c r="H863">
        <v>73129</v>
      </c>
      <c r="I863">
        <v>22113632</v>
      </c>
      <c r="J863" t="s">
        <v>11369</v>
      </c>
    </row>
    <row r="864" spans="1:10" x14ac:dyDescent="0.35">
      <c r="A864" t="s">
        <v>529</v>
      </c>
      <c r="B864" t="s">
        <v>11370</v>
      </c>
      <c r="C864" t="s">
        <v>10713</v>
      </c>
      <c r="D864" t="s">
        <v>10294</v>
      </c>
      <c r="F864" t="s">
        <v>6063</v>
      </c>
      <c r="G864" t="s">
        <v>51</v>
      </c>
      <c r="H864">
        <v>95678</v>
      </c>
      <c r="I864">
        <v>12898970</v>
      </c>
      <c r="J864" t="s">
        <v>11371</v>
      </c>
    </row>
    <row r="865" spans="1:10" x14ac:dyDescent="0.35">
      <c r="A865" t="s">
        <v>11372</v>
      </c>
      <c r="B865" t="s">
        <v>11373</v>
      </c>
      <c r="C865" t="s">
        <v>11374</v>
      </c>
      <c r="D865" t="s">
        <v>9233</v>
      </c>
      <c r="F865" t="s">
        <v>1816</v>
      </c>
      <c r="G865" t="s">
        <v>236</v>
      </c>
      <c r="H865">
        <v>73072</v>
      </c>
      <c r="I865">
        <v>87241264</v>
      </c>
      <c r="J865" t="s">
        <v>11375</v>
      </c>
    </row>
    <row r="866" spans="1:10" x14ac:dyDescent="0.35">
      <c r="A866" t="s">
        <v>11376</v>
      </c>
      <c r="B866" t="s">
        <v>9535</v>
      </c>
      <c r="C866" t="s">
        <v>11377</v>
      </c>
      <c r="D866" t="s">
        <v>8021</v>
      </c>
      <c r="E866" t="s">
        <v>8022</v>
      </c>
      <c r="F866" t="s">
        <v>112</v>
      </c>
      <c r="G866" t="s">
        <v>106</v>
      </c>
      <c r="H866">
        <v>99518</v>
      </c>
      <c r="I866">
        <v>21384158</v>
      </c>
      <c r="J866" t="s">
        <v>11378</v>
      </c>
    </row>
    <row r="867" spans="1:10" x14ac:dyDescent="0.35">
      <c r="A867" t="s">
        <v>984</v>
      </c>
      <c r="B867" t="s">
        <v>11379</v>
      </c>
      <c r="C867" t="s">
        <v>11380</v>
      </c>
      <c r="D867" t="s">
        <v>11381</v>
      </c>
      <c r="F867" t="s">
        <v>230</v>
      </c>
      <c r="G867" t="s">
        <v>117</v>
      </c>
      <c r="H867">
        <v>72730</v>
      </c>
      <c r="I867">
        <v>16778892</v>
      </c>
      <c r="J867" t="s">
        <v>11382</v>
      </c>
    </row>
    <row r="868" spans="1:10" x14ac:dyDescent="0.35">
      <c r="A868" t="s">
        <v>7405</v>
      </c>
      <c r="B868" t="s">
        <v>11383</v>
      </c>
      <c r="C868" t="s">
        <v>11384</v>
      </c>
      <c r="D868" t="s">
        <v>11385</v>
      </c>
      <c r="E868" t="s">
        <v>11386</v>
      </c>
      <c r="F868" t="s">
        <v>112</v>
      </c>
      <c r="G868" t="s">
        <v>106</v>
      </c>
      <c r="H868">
        <v>99518</v>
      </c>
      <c r="I868">
        <v>49686281</v>
      </c>
      <c r="J868" t="s">
        <v>11387</v>
      </c>
    </row>
    <row r="869" spans="1:10" x14ac:dyDescent="0.35">
      <c r="A869" t="s">
        <v>1510</v>
      </c>
      <c r="B869" t="s">
        <v>11388</v>
      </c>
      <c r="C869" t="s">
        <v>9243</v>
      </c>
      <c r="D869" t="s">
        <v>11389</v>
      </c>
      <c r="F869" t="s">
        <v>130</v>
      </c>
      <c r="G869" t="s">
        <v>123</v>
      </c>
      <c r="H869">
        <v>20007</v>
      </c>
      <c r="I869">
        <v>45128921</v>
      </c>
      <c r="J869" t="s">
        <v>11390</v>
      </c>
    </row>
    <row r="870" spans="1:10" x14ac:dyDescent="0.35">
      <c r="A870" t="s">
        <v>4736</v>
      </c>
      <c r="B870" t="s">
        <v>11391</v>
      </c>
      <c r="C870" t="s">
        <v>11392</v>
      </c>
      <c r="D870" t="s">
        <v>11393</v>
      </c>
      <c r="E870" t="s">
        <v>11394</v>
      </c>
      <c r="F870" t="s">
        <v>70</v>
      </c>
      <c r="G870" t="s">
        <v>31</v>
      </c>
      <c r="H870">
        <v>85308</v>
      </c>
      <c r="I870">
        <v>66901237</v>
      </c>
      <c r="J870" t="s">
        <v>11395</v>
      </c>
    </row>
    <row r="871" spans="1:10" x14ac:dyDescent="0.35">
      <c r="A871" t="s">
        <v>11396</v>
      </c>
      <c r="B871" t="s">
        <v>11397</v>
      </c>
      <c r="C871" t="s">
        <v>11398</v>
      </c>
      <c r="D871" t="s">
        <v>11399</v>
      </c>
      <c r="F871" t="s">
        <v>107</v>
      </c>
      <c r="G871" t="s">
        <v>87</v>
      </c>
      <c r="H871">
        <v>40208</v>
      </c>
      <c r="I871">
        <v>29055939</v>
      </c>
      <c r="J871" t="s">
        <v>11400</v>
      </c>
    </row>
    <row r="872" spans="1:10" x14ac:dyDescent="0.35">
      <c r="A872" t="s">
        <v>466</v>
      </c>
      <c r="B872" t="s">
        <v>11401</v>
      </c>
      <c r="C872" t="s">
        <v>11402</v>
      </c>
      <c r="D872" t="s">
        <v>11403</v>
      </c>
      <c r="E872" t="s">
        <v>11404</v>
      </c>
      <c r="F872" t="s">
        <v>107</v>
      </c>
      <c r="G872" t="s">
        <v>87</v>
      </c>
      <c r="H872">
        <v>40203</v>
      </c>
      <c r="I872">
        <v>100917297</v>
      </c>
      <c r="J872" t="s">
        <v>11405</v>
      </c>
    </row>
    <row r="873" spans="1:10" x14ac:dyDescent="0.35">
      <c r="A873" t="s">
        <v>4229</v>
      </c>
      <c r="B873" t="s">
        <v>11406</v>
      </c>
      <c r="C873" t="s">
        <v>11407</v>
      </c>
      <c r="D873" t="s">
        <v>10370</v>
      </c>
      <c r="F873" t="s">
        <v>683</v>
      </c>
      <c r="G873" t="s">
        <v>97</v>
      </c>
      <c r="H873">
        <v>21144</v>
      </c>
      <c r="I873">
        <v>65193473</v>
      </c>
      <c r="J873" t="s">
        <v>11408</v>
      </c>
    </row>
    <row r="874" spans="1:10" x14ac:dyDescent="0.35">
      <c r="A874" t="s">
        <v>2165</v>
      </c>
      <c r="B874" t="s">
        <v>11409</v>
      </c>
      <c r="C874" t="s">
        <v>11410</v>
      </c>
      <c r="D874" t="s">
        <v>11174</v>
      </c>
      <c r="F874" t="s">
        <v>96</v>
      </c>
      <c r="G874" t="s">
        <v>97</v>
      </c>
      <c r="H874">
        <v>21114</v>
      </c>
      <c r="I874">
        <v>101510415</v>
      </c>
      <c r="J874" t="s">
        <v>11411</v>
      </c>
    </row>
    <row r="875" spans="1:10" x14ac:dyDescent="0.35">
      <c r="A875" t="s">
        <v>5896</v>
      </c>
      <c r="B875" t="s">
        <v>11412</v>
      </c>
      <c r="C875" t="s">
        <v>11327</v>
      </c>
      <c r="D875" t="s">
        <v>9774</v>
      </c>
      <c r="F875" t="s">
        <v>164</v>
      </c>
      <c r="G875" t="s">
        <v>74</v>
      </c>
      <c r="H875">
        <v>32444</v>
      </c>
      <c r="I875">
        <v>28937456</v>
      </c>
      <c r="J875" t="s">
        <v>11413</v>
      </c>
    </row>
    <row r="876" spans="1:10" x14ac:dyDescent="0.35">
      <c r="A876" t="s">
        <v>2911</v>
      </c>
      <c r="B876" t="s">
        <v>11414</v>
      </c>
      <c r="C876" t="s">
        <v>11415</v>
      </c>
      <c r="D876" t="s">
        <v>11416</v>
      </c>
      <c r="F876" t="s">
        <v>2149</v>
      </c>
      <c r="G876" t="s">
        <v>117</v>
      </c>
      <c r="H876">
        <v>72034</v>
      </c>
      <c r="I876">
        <v>120275582</v>
      </c>
      <c r="J876" t="s">
        <v>11417</v>
      </c>
    </row>
    <row r="877" spans="1:10" x14ac:dyDescent="0.35">
      <c r="A877" t="s">
        <v>3801</v>
      </c>
      <c r="B877" t="s">
        <v>11418</v>
      </c>
      <c r="C877" t="s">
        <v>11419</v>
      </c>
      <c r="D877" t="s">
        <v>11420</v>
      </c>
      <c r="F877" t="s">
        <v>118</v>
      </c>
      <c r="G877" t="s">
        <v>42</v>
      </c>
      <c r="H877">
        <v>80007</v>
      </c>
      <c r="I877">
        <v>81435209</v>
      </c>
      <c r="J877" t="s">
        <v>11421</v>
      </c>
    </row>
    <row r="878" spans="1:10" x14ac:dyDescent="0.35">
      <c r="A878" t="s">
        <v>1586</v>
      </c>
      <c r="B878" t="s">
        <v>11422</v>
      </c>
      <c r="C878" t="s">
        <v>11423</v>
      </c>
      <c r="D878" t="s">
        <v>11424</v>
      </c>
      <c r="F878" t="s">
        <v>130</v>
      </c>
      <c r="G878" t="s">
        <v>123</v>
      </c>
      <c r="H878">
        <v>20001</v>
      </c>
      <c r="I878">
        <v>12930294</v>
      </c>
      <c r="J878" t="s">
        <v>11425</v>
      </c>
    </row>
    <row r="879" spans="1:10" x14ac:dyDescent="0.35">
      <c r="A879" t="s">
        <v>3007</v>
      </c>
      <c r="B879" t="s">
        <v>11426</v>
      </c>
      <c r="C879" t="s">
        <v>11427</v>
      </c>
      <c r="D879" t="s">
        <v>11428</v>
      </c>
      <c r="F879" t="s">
        <v>75</v>
      </c>
      <c r="G879" t="s">
        <v>76</v>
      </c>
      <c r="H879">
        <v>6042</v>
      </c>
      <c r="I879">
        <v>106766183</v>
      </c>
      <c r="J879" t="s">
        <v>11429</v>
      </c>
    </row>
    <row r="880" spans="1:10" x14ac:dyDescent="0.35">
      <c r="A880" t="s">
        <v>795</v>
      </c>
      <c r="B880" t="s">
        <v>11430</v>
      </c>
      <c r="C880" t="s">
        <v>11431</v>
      </c>
      <c r="D880" t="s">
        <v>8456</v>
      </c>
      <c r="F880" t="s">
        <v>45</v>
      </c>
      <c r="G880" t="s">
        <v>46</v>
      </c>
      <c r="H880">
        <v>36108</v>
      </c>
      <c r="I880">
        <v>127486141</v>
      </c>
      <c r="J880" t="s">
        <v>11432</v>
      </c>
    </row>
    <row r="881" spans="1:10" x14ac:dyDescent="0.35">
      <c r="A881" t="s">
        <v>5405</v>
      </c>
      <c r="B881" t="s">
        <v>11433</v>
      </c>
      <c r="C881" t="s">
        <v>11434</v>
      </c>
      <c r="D881" t="s">
        <v>11435</v>
      </c>
      <c r="F881" t="s">
        <v>846</v>
      </c>
      <c r="G881" t="s">
        <v>74</v>
      </c>
      <c r="H881">
        <v>32456</v>
      </c>
      <c r="I881">
        <v>43121755</v>
      </c>
      <c r="J881" t="s">
        <v>11436</v>
      </c>
    </row>
    <row r="882" spans="1:10" x14ac:dyDescent="0.35">
      <c r="A882" t="s">
        <v>582</v>
      </c>
      <c r="B882" t="s">
        <v>11437</v>
      </c>
      <c r="C882" t="s">
        <v>11438</v>
      </c>
      <c r="D882" t="s">
        <v>11439</v>
      </c>
      <c r="F882" t="s">
        <v>366</v>
      </c>
      <c r="G882" t="s">
        <v>51</v>
      </c>
      <c r="H882">
        <v>94550</v>
      </c>
      <c r="I882">
        <v>123681348</v>
      </c>
      <c r="J882" t="s">
        <v>11440</v>
      </c>
    </row>
    <row r="883" spans="1:10" x14ac:dyDescent="0.35">
      <c r="A883" t="s">
        <v>3020</v>
      </c>
      <c r="B883" t="s">
        <v>11441</v>
      </c>
      <c r="C883" t="s">
        <v>11442</v>
      </c>
      <c r="D883" t="s">
        <v>11443</v>
      </c>
      <c r="F883" t="s">
        <v>209</v>
      </c>
      <c r="G883" t="s">
        <v>74</v>
      </c>
      <c r="H883">
        <v>32404</v>
      </c>
      <c r="I883">
        <v>117982532</v>
      </c>
      <c r="J883" t="s">
        <v>11444</v>
      </c>
    </row>
    <row r="884" spans="1:10" x14ac:dyDescent="0.35">
      <c r="A884" t="s">
        <v>4338</v>
      </c>
      <c r="B884" t="s">
        <v>11445</v>
      </c>
      <c r="C884" t="s">
        <v>11446</v>
      </c>
      <c r="D884" t="s">
        <v>11447</v>
      </c>
      <c r="F884" t="s">
        <v>1071</v>
      </c>
      <c r="G884" t="s">
        <v>236</v>
      </c>
      <c r="H884">
        <v>73013</v>
      </c>
      <c r="I884">
        <v>100840607</v>
      </c>
      <c r="J884" t="s">
        <v>11448</v>
      </c>
    </row>
    <row r="885" spans="1:10" x14ac:dyDescent="0.35">
      <c r="A885" t="s">
        <v>11449</v>
      </c>
      <c r="B885" t="s">
        <v>11450</v>
      </c>
      <c r="C885" t="s">
        <v>11451</v>
      </c>
      <c r="D885" t="s">
        <v>8306</v>
      </c>
      <c r="E885" t="s">
        <v>8022</v>
      </c>
      <c r="F885" t="s">
        <v>112</v>
      </c>
      <c r="G885" t="s">
        <v>106</v>
      </c>
      <c r="H885">
        <v>99515</v>
      </c>
      <c r="I885">
        <v>62371379</v>
      </c>
      <c r="J885" t="s">
        <v>11452</v>
      </c>
    </row>
    <row r="886" spans="1:10" x14ac:dyDescent="0.35">
      <c r="A886" t="s">
        <v>54</v>
      </c>
      <c r="B886" t="s">
        <v>11453</v>
      </c>
      <c r="C886" t="s">
        <v>11454</v>
      </c>
      <c r="D886" t="s">
        <v>11455</v>
      </c>
      <c r="F886" t="s">
        <v>45</v>
      </c>
      <c r="G886" t="s">
        <v>46</v>
      </c>
      <c r="H886">
        <v>36105</v>
      </c>
      <c r="I886">
        <v>55770246</v>
      </c>
      <c r="J886" t="s">
        <v>11456</v>
      </c>
    </row>
    <row r="887" spans="1:10" x14ac:dyDescent="0.35">
      <c r="A887" t="s">
        <v>4822</v>
      </c>
      <c r="B887" t="s">
        <v>11457</v>
      </c>
      <c r="C887" t="s">
        <v>11458</v>
      </c>
      <c r="D887" t="s">
        <v>11459</v>
      </c>
      <c r="F887" t="s">
        <v>124</v>
      </c>
      <c r="G887" t="s">
        <v>117</v>
      </c>
      <c r="H887">
        <v>72701</v>
      </c>
      <c r="I887">
        <v>32867596</v>
      </c>
      <c r="J887" t="s">
        <v>11460</v>
      </c>
    </row>
    <row r="888" spans="1:10" x14ac:dyDescent="0.35">
      <c r="A888" t="s">
        <v>2669</v>
      </c>
      <c r="B888" t="s">
        <v>11461</v>
      </c>
      <c r="C888" t="s">
        <v>11462</v>
      </c>
      <c r="D888" t="s">
        <v>11463</v>
      </c>
      <c r="F888" t="s">
        <v>11464</v>
      </c>
      <c r="G888" t="s">
        <v>139</v>
      </c>
      <c r="H888">
        <v>2532</v>
      </c>
      <c r="I888">
        <v>66625270</v>
      </c>
      <c r="J888" t="s">
        <v>11465</v>
      </c>
    </row>
    <row r="889" spans="1:10" x14ac:dyDescent="0.35">
      <c r="A889" t="s">
        <v>206</v>
      </c>
      <c r="B889" t="s">
        <v>11466</v>
      </c>
      <c r="C889" t="s">
        <v>11467</v>
      </c>
      <c r="D889" t="s">
        <v>11468</v>
      </c>
      <c r="F889" t="s">
        <v>82</v>
      </c>
      <c r="G889" t="s">
        <v>74</v>
      </c>
      <c r="H889">
        <v>32408</v>
      </c>
      <c r="I889">
        <v>35997418</v>
      </c>
      <c r="J889" t="s">
        <v>11469</v>
      </c>
    </row>
    <row r="890" spans="1:10" x14ac:dyDescent="0.35">
      <c r="A890" t="s">
        <v>4948</v>
      </c>
      <c r="B890" t="s">
        <v>11470</v>
      </c>
      <c r="C890" t="s">
        <v>11471</v>
      </c>
      <c r="D890" t="s">
        <v>11472</v>
      </c>
      <c r="F890" t="s">
        <v>63</v>
      </c>
      <c r="G890" t="s">
        <v>64</v>
      </c>
      <c r="H890">
        <v>37215</v>
      </c>
      <c r="I890">
        <v>86114473</v>
      </c>
      <c r="J890" t="s">
        <v>11473</v>
      </c>
    </row>
    <row r="891" spans="1:10" x14ac:dyDescent="0.35">
      <c r="A891" t="s">
        <v>3777</v>
      </c>
      <c r="B891" t="s">
        <v>11474</v>
      </c>
      <c r="C891" t="s">
        <v>11475</v>
      </c>
      <c r="D891" t="s">
        <v>11476</v>
      </c>
      <c r="F891" t="s">
        <v>35</v>
      </c>
      <c r="G891" t="s">
        <v>36</v>
      </c>
      <c r="H891">
        <v>31406</v>
      </c>
      <c r="I891">
        <v>57299592</v>
      </c>
      <c r="J891" t="s">
        <v>11477</v>
      </c>
    </row>
    <row r="892" spans="1:10" x14ac:dyDescent="0.35">
      <c r="A892" t="s">
        <v>676</v>
      </c>
      <c r="B892" t="s">
        <v>6692</v>
      </c>
      <c r="C892" t="s">
        <v>11478</v>
      </c>
      <c r="D892" t="s">
        <v>11479</v>
      </c>
      <c r="E892" t="s">
        <v>11480</v>
      </c>
      <c r="F892" t="s">
        <v>124</v>
      </c>
      <c r="G892" t="s">
        <v>117</v>
      </c>
      <c r="H892">
        <v>72703</v>
      </c>
      <c r="I892">
        <v>83057148</v>
      </c>
      <c r="J892" t="s">
        <v>11481</v>
      </c>
    </row>
    <row r="893" spans="1:10" x14ac:dyDescent="0.35">
      <c r="A893" t="s">
        <v>1676</v>
      </c>
      <c r="B893" t="s">
        <v>11482</v>
      </c>
      <c r="C893" t="s">
        <v>11483</v>
      </c>
      <c r="D893" t="s">
        <v>11484</v>
      </c>
      <c r="F893" t="s">
        <v>235</v>
      </c>
      <c r="G893" t="s">
        <v>236</v>
      </c>
      <c r="H893">
        <v>73112</v>
      </c>
      <c r="I893">
        <v>125068749</v>
      </c>
      <c r="J893" t="s">
        <v>11485</v>
      </c>
    </row>
    <row r="894" spans="1:10" x14ac:dyDescent="0.35">
      <c r="A894" t="s">
        <v>4660</v>
      </c>
      <c r="B894" t="s">
        <v>11486</v>
      </c>
      <c r="C894" t="s">
        <v>11487</v>
      </c>
      <c r="D894" t="s">
        <v>11488</v>
      </c>
      <c r="F894" t="s">
        <v>107</v>
      </c>
      <c r="G894" t="s">
        <v>87</v>
      </c>
      <c r="H894">
        <v>40222</v>
      </c>
      <c r="I894">
        <v>123996677</v>
      </c>
      <c r="J894" t="s">
        <v>11489</v>
      </c>
    </row>
    <row r="895" spans="1:10" x14ac:dyDescent="0.35">
      <c r="A895" t="s">
        <v>4868</v>
      </c>
      <c r="B895" t="s">
        <v>11490</v>
      </c>
      <c r="C895" t="s">
        <v>8070</v>
      </c>
      <c r="D895" t="s">
        <v>11491</v>
      </c>
      <c r="F895" t="s">
        <v>118</v>
      </c>
      <c r="G895" t="s">
        <v>42</v>
      </c>
      <c r="H895">
        <v>80002</v>
      </c>
      <c r="I895">
        <v>101682039</v>
      </c>
      <c r="J895" t="s">
        <v>11492</v>
      </c>
    </row>
    <row r="896" spans="1:10" x14ac:dyDescent="0.35">
      <c r="A896" t="s">
        <v>1922</v>
      </c>
      <c r="B896" t="s">
        <v>11493</v>
      </c>
      <c r="C896" t="s">
        <v>11494</v>
      </c>
      <c r="D896" t="s">
        <v>9665</v>
      </c>
      <c r="E896" t="s">
        <v>9224</v>
      </c>
      <c r="F896" t="s">
        <v>599</v>
      </c>
      <c r="G896" t="s">
        <v>139</v>
      </c>
      <c r="H896">
        <v>2721</v>
      </c>
      <c r="I896">
        <v>36004986</v>
      </c>
      <c r="J896" t="s">
        <v>11495</v>
      </c>
    </row>
    <row r="897" spans="1:10" x14ac:dyDescent="0.35">
      <c r="A897" t="s">
        <v>11496</v>
      </c>
      <c r="B897" t="s">
        <v>11497</v>
      </c>
      <c r="C897" t="s">
        <v>11498</v>
      </c>
      <c r="D897" t="s">
        <v>11499</v>
      </c>
      <c r="F897" t="s">
        <v>235</v>
      </c>
      <c r="G897" t="s">
        <v>236</v>
      </c>
      <c r="H897">
        <v>73116</v>
      </c>
      <c r="I897">
        <v>106617054</v>
      </c>
      <c r="J897" t="s">
        <v>11500</v>
      </c>
    </row>
    <row r="898" spans="1:10" x14ac:dyDescent="0.35">
      <c r="A898" t="s">
        <v>6134</v>
      </c>
      <c r="B898" t="s">
        <v>11501</v>
      </c>
      <c r="C898" t="s">
        <v>11502</v>
      </c>
      <c r="D898" t="s">
        <v>11503</v>
      </c>
      <c r="E898" t="s">
        <v>11504</v>
      </c>
      <c r="F898" t="s">
        <v>11505</v>
      </c>
      <c r="G898" t="s">
        <v>51</v>
      </c>
      <c r="H898">
        <v>95010</v>
      </c>
      <c r="I898">
        <v>35690249</v>
      </c>
      <c r="J898" t="s">
        <v>11506</v>
      </c>
    </row>
    <row r="899" spans="1:10" x14ac:dyDescent="0.35">
      <c r="A899" t="s">
        <v>232</v>
      </c>
      <c r="B899" t="s">
        <v>11507</v>
      </c>
      <c r="C899" t="s">
        <v>11508</v>
      </c>
      <c r="D899" t="s">
        <v>8339</v>
      </c>
      <c r="F899" t="s">
        <v>3766</v>
      </c>
      <c r="G899" t="s">
        <v>97</v>
      </c>
      <c r="H899">
        <v>21225</v>
      </c>
      <c r="I899">
        <v>76362167</v>
      </c>
      <c r="J899" t="s">
        <v>11509</v>
      </c>
    </row>
    <row r="900" spans="1:10" x14ac:dyDescent="0.35">
      <c r="A900" t="s">
        <v>3421</v>
      </c>
      <c r="B900" t="s">
        <v>11510</v>
      </c>
      <c r="C900" t="s">
        <v>11511</v>
      </c>
      <c r="D900" t="s">
        <v>11512</v>
      </c>
      <c r="F900" t="s">
        <v>3556</v>
      </c>
      <c r="G900" t="s">
        <v>236</v>
      </c>
      <c r="H900">
        <v>73115</v>
      </c>
      <c r="I900">
        <v>40583325</v>
      </c>
      <c r="J900" t="s">
        <v>11513</v>
      </c>
    </row>
    <row r="901" spans="1:10" x14ac:dyDescent="0.35">
      <c r="A901" t="s">
        <v>11514</v>
      </c>
      <c r="B901" t="s">
        <v>11515</v>
      </c>
      <c r="C901" t="s">
        <v>11516</v>
      </c>
      <c r="D901" t="s">
        <v>11517</v>
      </c>
      <c r="F901" t="s">
        <v>477</v>
      </c>
      <c r="G901" t="s">
        <v>51</v>
      </c>
      <c r="H901">
        <v>94541</v>
      </c>
      <c r="I901">
        <v>55884310</v>
      </c>
      <c r="J901" t="s">
        <v>11518</v>
      </c>
    </row>
    <row r="902" spans="1:10" x14ac:dyDescent="0.35">
      <c r="A902" t="s">
        <v>2096</v>
      </c>
      <c r="B902" t="s">
        <v>11519</v>
      </c>
      <c r="C902" t="s">
        <v>11520</v>
      </c>
      <c r="D902" t="s">
        <v>11521</v>
      </c>
      <c r="E902" t="s">
        <v>10718</v>
      </c>
      <c r="F902" t="s">
        <v>35</v>
      </c>
      <c r="G902" t="s">
        <v>36</v>
      </c>
      <c r="H902">
        <v>31406</v>
      </c>
      <c r="I902">
        <v>126459412</v>
      </c>
      <c r="J902" t="s">
        <v>11522</v>
      </c>
    </row>
    <row r="903" spans="1:10" x14ac:dyDescent="0.35">
      <c r="A903" t="s">
        <v>11523</v>
      </c>
      <c r="B903" t="s">
        <v>11524</v>
      </c>
      <c r="C903" t="s">
        <v>11525</v>
      </c>
      <c r="D903" t="s">
        <v>8862</v>
      </c>
      <c r="F903" t="s">
        <v>112</v>
      </c>
      <c r="G903" t="s">
        <v>106</v>
      </c>
      <c r="H903">
        <v>99502</v>
      </c>
      <c r="I903">
        <v>16001394</v>
      </c>
      <c r="J903" t="s">
        <v>11526</v>
      </c>
    </row>
    <row r="904" spans="1:10" x14ac:dyDescent="0.35">
      <c r="A904" t="s">
        <v>7311</v>
      </c>
      <c r="B904" t="s">
        <v>11527</v>
      </c>
      <c r="C904" t="s">
        <v>11528</v>
      </c>
      <c r="D904" t="s">
        <v>11529</v>
      </c>
      <c r="F904" t="s">
        <v>1637</v>
      </c>
      <c r="G904" t="s">
        <v>97</v>
      </c>
      <c r="H904">
        <v>21037</v>
      </c>
      <c r="I904">
        <v>94046766</v>
      </c>
      <c r="J904" t="s">
        <v>11530</v>
      </c>
    </row>
    <row r="905" spans="1:10" x14ac:dyDescent="0.35">
      <c r="A905" t="s">
        <v>5816</v>
      </c>
      <c r="B905" t="s">
        <v>11531</v>
      </c>
      <c r="C905" t="s">
        <v>11532</v>
      </c>
      <c r="D905" t="s">
        <v>11533</v>
      </c>
      <c r="F905" t="s">
        <v>45</v>
      </c>
      <c r="G905" t="s">
        <v>46</v>
      </c>
      <c r="H905">
        <v>36117</v>
      </c>
      <c r="I905">
        <v>129922616</v>
      </c>
      <c r="J905" t="s">
        <v>11534</v>
      </c>
    </row>
    <row r="906" spans="1:10" x14ac:dyDescent="0.35">
      <c r="A906" t="s">
        <v>4090</v>
      </c>
      <c r="B906" t="s">
        <v>11535</v>
      </c>
      <c r="C906" t="s">
        <v>11536</v>
      </c>
      <c r="D906" t="s">
        <v>11537</v>
      </c>
      <c r="F906" t="s">
        <v>124</v>
      </c>
      <c r="G906" t="s">
        <v>117</v>
      </c>
      <c r="H906">
        <v>72701</v>
      </c>
      <c r="I906">
        <v>48060701</v>
      </c>
      <c r="J906" t="s">
        <v>11538</v>
      </c>
    </row>
    <row r="907" spans="1:10" x14ac:dyDescent="0.35">
      <c r="A907" t="s">
        <v>4618</v>
      </c>
      <c r="B907" t="s">
        <v>11539</v>
      </c>
      <c r="C907" t="s">
        <v>11540</v>
      </c>
      <c r="D907" t="s">
        <v>11541</v>
      </c>
      <c r="F907" t="s">
        <v>124</v>
      </c>
      <c r="G907" t="s">
        <v>117</v>
      </c>
      <c r="H907">
        <v>72703</v>
      </c>
      <c r="I907">
        <v>118125770</v>
      </c>
      <c r="J907" t="s">
        <v>11542</v>
      </c>
    </row>
    <row r="908" spans="1:10" x14ac:dyDescent="0.35">
      <c r="A908" t="s">
        <v>735</v>
      </c>
      <c r="B908" t="s">
        <v>11543</v>
      </c>
      <c r="C908" t="s">
        <v>11544</v>
      </c>
      <c r="D908" t="s">
        <v>11545</v>
      </c>
      <c r="F908" t="s">
        <v>63</v>
      </c>
      <c r="G908" t="s">
        <v>64</v>
      </c>
      <c r="H908">
        <v>37207</v>
      </c>
      <c r="I908">
        <v>83715642</v>
      </c>
      <c r="J908" t="s">
        <v>11546</v>
      </c>
    </row>
    <row r="909" spans="1:10" x14ac:dyDescent="0.35">
      <c r="A909" t="s">
        <v>1177</v>
      </c>
      <c r="B909" t="s">
        <v>11547</v>
      </c>
      <c r="C909" t="s">
        <v>11548</v>
      </c>
      <c r="D909" t="s">
        <v>10695</v>
      </c>
      <c r="F909" t="s">
        <v>112</v>
      </c>
      <c r="G909" t="s">
        <v>106</v>
      </c>
      <c r="H909">
        <v>99502</v>
      </c>
      <c r="I909">
        <v>18934867</v>
      </c>
      <c r="J909" t="s">
        <v>11549</v>
      </c>
    </row>
    <row r="910" spans="1:10" x14ac:dyDescent="0.35">
      <c r="A910" t="s">
        <v>851</v>
      </c>
      <c r="B910" t="s">
        <v>11550</v>
      </c>
      <c r="C910" t="s">
        <v>11551</v>
      </c>
      <c r="D910" t="s">
        <v>9171</v>
      </c>
      <c r="E910" t="s">
        <v>8720</v>
      </c>
      <c r="F910" t="s">
        <v>124</v>
      </c>
      <c r="G910" t="s">
        <v>117</v>
      </c>
      <c r="H910">
        <v>72703</v>
      </c>
      <c r="I910">
        <v>33062060</v>
      </c>
      <c r="J910" t="s">
        <v>11552</v>
      </c>
    </row>
    <row r="911" spans="1:10" x14ac:dyDescent="0.35">
      <c r="A911" t="s">
        <v>430</v>
      </c>
      <c r="B911" t="s">
        <v>11553</v>
      </c>
      <c r="C911" t="s">
        <v>11554</v>
      </c>
      <c r="D911" t="s">
        <v>11555</v>
      </c>
      <c r="F911" t="s">
        <v>2640</v>
      </c>
      <c r="G911" t="s">
        <v>51</v>
      </c>
      <c r="H911">
        <v>95945</v>
      </c>
      <c r="I911">
        <v>123271693</v>
      </c>
      <c r="J911" t="s">
        <v>11556</v>
      </c>
    </row>
    <row r="912" spans="1:10" x14ac:dyDescent="0.35">
      <c r="A912" t="s">
        <v>3307</v>
      </c>
      <c r="B912" t="s">
        <v>11557</v>
      </c>
      <c r="C912" t="s">
        <v>11558</v>
      </c>
      <c r="D912" t="s">
        <v>11559</v>
      </c>
      <c r="E912" t="s">
        <v>9803</v>
      </c>
      <c r="F912" t="s">
        <v>75</v>
      </c>
      <c r="G912" t="s">
        <v>76</v>
      </c>
      <c r="H912">
        <v>6040</v>
      </c>
      <c r="I912">
        <v>80330732</v>
      </c>
      <c r="J912" t="s">
        <v>11560</v>
      </c>
    </row>
    <row r="913" spans="1:10" x14ac:dyDescent="0.35">
      <c r="A913" t="s">
        <v>2266</v>
      </c>
      <c r="B913" t="s">
        <v>11561</v>
      </c>
      <c r="C913" t="s">
        <v>8046</v>
      </c>
      <c r="D913" t="s">
        <v>11562</v>
      </c>
      <c r="F913" t="s">
        <v>112</v>
      </c>
      <c r="G913" t="s">
        <v>106</v>
      </c>
      <c r="H913">
        <v>99501</v>
      </c>
      <c r="I913">
        <v>120396306</v>
      </c>
      <c r="J913" t="s">
        <v>11563</v>
      </c>
    </row>
    <row r="914" spans="1:10" x14ac:dyDescent="0.35">
      <c r="A914" t="s">
        <v>132</v>
      </c>
      <c r="B914" t="s">
        <v>11564</v>
      </c>
      <c r="C914" t="s">
        <v>11565</v>
      </c>
      <c r="D914" t="s">
        <v>11566</v>
      </c>
      <c r="E914" t="s">
        <v>9614</v>
      </c>
      <c r="F914" t="s">
        <v>959</v>
      </c>
      <c r="G914" t="s">
        <v>139</v>
      </c>
      <c r="H914">
        <v>2155</v>
      </c>
      <c r="I914">
        <v>12632408</v>
      </c>
      <c r="J914" t="s">
        <v>11567</v>
      </c>
    </row>
    <row r="915" spans="1:10" x14ac:dyDescent="0.35">
      <c r="A915" t="s">
        <v>11568</v>
      </c>
      <c r="B915" t="s">
        <v>11569</v>
      </c>
      <c r="C915" t="s">
        <v>11570</v>
      </c>
      <c r="D915" t="s">
        <v>11571</v>
      </c>
      <c r="F915" t="s">
        <v>130</v>
      </c>
      <c r="G915" t="s">
        <v>123</v>
      </c>
      <c r="H915">
        <v>20001</v>
      </c>
      <c r="I915">
        <v>72527249</v>
      </c>
      <c r="J915" t="s">
        <v>11572</v>
      </c>
    </row>
    <row r="916" spans="1:10" x14ac:dyDescent="0.35">
      <c r="A916" t="s">
        <v>3759</v>
      </c>
      <c r="B916" t="s">
        <v>11573</v>
      </c>
      <c r="C916" t="s">
        <v>11574</v>
      </c>
      <c r="D916" t="s">
        <v>11575</v>
      </c>
      <c r="F916" t="s">
        <v>75</v>
      </c>
      <c r="G916" t="s">
        <v>76</v>
      </c>
      <c r="H916">
        <v>6042</v>
      </c>
      <c r="I916">
        <v>26263821</v>
      </c>
      <c r="J916" t="s">
        <v>11576</v>
      </c>
    </row>
    <row r="917" spans="1:10" x14ac:dyDescent="0.35">
      <c r="A917" t="s">
        <v>3943</v>
      </c>
      <c r="B917" t="s">
        <v>11577</v>
      </c>
      <c r="C917" t="s">
        <v>11578</v>
      </c>
      <c r="D917" t="s">
        <v>11579</v>
      </c>
      <c r="F917" t="s">
        <v>45</v>
      </c>
      <c r="G917" t="s">
        <v>46</v>
      </c>
      <c r="H917">
        <v>36104</v>
      </c>
      <c r="I917">
        <v>123525349</v>
      </c>
      <c r="J917" t="s">
        <v>11580</v>
      </c>
    </row>
    <row r="918" spans="1:10" x14ac:dyDescent="0.35">
      <c r="A918" t="s">
        <v>3326</v>
      </c>
      <c r="B918" t="s">
        <v>11581</v>
      </c>
      <c r="C918" t="s">
        <v>11582</v>
      </c>
      <c r="D918" t="s">
        <v>11583</v>
      </c>
      <c r="F918" t="s">
        <v>11584</v>
      </c>
      <c r="G918" t="s">
        <v>51</v>
      </c>
      <c r="H918">
        <v>95954</v>
      </c>
      <c r="I918">
        <v>122735253</v>
      </c>
      <c r="J918" t="s">
        <v>11585</v>
      </c>
    </row>
    <row r="919" spans="1:10" x14ac:dyDescent="0.35">
      <c r="A919" t="s">
        <v>4898</v>
      </c>
      <c r="B919" t="s">
        <v>11586</v>
      </c>
      <c r="C919" t="s">
        <v>11587</v>
      </c>
      <c r="D919" t="s">
        <v>11588</v>
      </c>
      <c r="F919" t="s">
        <v>5284</v>
      </c>
      <c r="G919" t="s">
        <v>139</v>
      </c>
      <c r="H919">
        <v>1370</v>
      </c>
      <c r="I919">
        <v>75877569</v>
      </c>
      <c r="J919" t="s">
        <v>11589</v>
      </c>
    </row>
    <row r="920" spans="1:10" x14ac:dyDescent="0.35">
      <c r="A920" t="s">
        <v>908</v>
      </c>
      <c r="B920" t="s">
        <v>11590</v>
      </c>
      <c r="C920" t="s">
        <v>11591</v>
      </c>
      <c r="D920" t="s">
        <v>11592</v>
      </c>
      <c r="F920" t="s">
        <v>683</v>
      </c>
      <c r="G920" t="s">
        <v>97</v>
      </c>
      <c r="H920">
        <v>21144</v>
      </c>
      <c r="I920">
        <v>77761660</v>
      </c>
      <c r="J920" t="s">
        <v>11593</v>
      </c>
    </row>
    <row r="921" spans="1:10" x14ac:dyDescent="0.35">
      <c r="A921" t="s">
        <v>2463</v>
      </c>
      <c r="B921" t="s">
        <v>11594</v>
      </c>
      <c r="C921" t="s">
        <v>11595</v>
      </c>
      <c r="D921" t="s">
        <v>10161</v>
      </c>
      <c r="F921" t="s">
        <v>118</v>
      </c>
      <c r="G921" t="s">
        <v>42</v>
      </c>
      <c r="H921">
        <v>80003</v>
      </c>
      <c r="I921">
        <v>65855928</v>
      </c>
      <c r="J921" t="s">
        <v>11596</v>
      </c>
    </row>
    <row r="922" spans="1:10" x14ac:dyDescent="0.35">
      <c r="A922" t="s">
        <v>5363</v>
      </c>
      <c r="B922" t="s">
        <v>11597</v>
      </c>
      <c r="C922" t="s">
        <v>11598</v>
      </c>
      <c r="D922" t="s">
        <v>11599</v>
      </c>
      <c r="F922" t="s">
        <v>130</v>
      </c>
      <c r="G922" t="s">
        <v>123</v>
      </c>
      <c r="H922">
        <v>20015</v>
      </c>
      <c r="I922">
        <v>28831905</v>
      </c>
      <c r="J922" t="s">
        <v>11600</v>
      </c>
    </row>
    <row r="923" spans="1:10" x14ac:dyDescent="0.35">
      <c r="A923" t="s">
        <v>1817</v>
      </c>
      <c r="B923" t="s">
        <v>11601</v>
      </c>
      <c r="C923" t="s">
        <v>11602</v>
      </c>
      <c r="D923" t="s">
        <v>11603</v>
      </c>
      <c r="F923" t="s">
        <v>2775</v>
      </c>
      <c r="G923" t="s">
        <v>64</v>
      </c>
      <c r="H923">
        <v>37027</v>
      </c>
      <c r="I923">
        <v>94110171</v>
      </c>
      <c r="J923" t="s">
        <v>11604</v>
      </c>
    </row>
    <row r="924" spans="1:10" x14ac:dyDescent="0.35">
      <c r="A924" t="s">
        <v>868</v>
      </c>
      <c r="B924" t="s">
        <v>11605</v>
      </c>
      <c r="C924" t="s">
        <v>11606</v>
      </c>
      <c r="D924" t="s">
        <v>10277</v>
      </c>
      <c r="F924" t="s">
        <v>112</v>
      </c>
      <c r="G924" t="s">
        <v>106</v>
      </c>
      <c r="H924">
        <v>99516</v>
      </c>
      <c r="I924">
        <v>127883184</v>
      </c>
      <c r="J924" t="s">
        <v>11607</v>
      </c>
    </row>
    <row r="925" spans="1:10" x14ac:dyDescent="0.35">
      <c r="A925" t="s">
        <v>799</v>
      </c>
      <c r="B925" t="s">
        <v>11608</v>
      </c>
      <c r="C925" t="s">
        <v>11415</v>
      </c>
      <c r="D925" t="s">
        <v>11609</v>
      </c>
      <c r="F925" t="s">
        <v>70</v>
      </c>
      <c r="G925" t="s">
        <v>31</v>
      </c>
      <c r="H925">
        <v>85301</v>
      </c>
      <c r="I925">
        <v>86457376</v>
      </c>
      <c r="J925" t="s">
        <v>11610</v>
      </c>
    </row>
    <row r="926" spans="1:10" x14ac:dyDescent="0.35">
      <c r="A926" t="s">
        <v>1229</v>
      </c>
      <c r="B926" t="s">
        <v>11611</v>
      </c>
      <c r="C926" t="s">
        <v>11612</v>
      </c>
      <c r="D926" t="s">
        <v>10173</v>
      </c>
      <c r="F926" t="s">
        <v>112</v>
      </c>
      <c r="G926" t="s">
        <v>106</v>
      </c>
      <c r="H926">
        <v>99577</v>
      </c>
      <c r="I926">
        <v>52968433</v>
      </c>
      <c r="J926" t="s">
        <v>11613</v>
      </c>
    </row>
    <row r="927" spans="1:10" x14ac:dyDescent="0.35">
      <c r="A927" t="s">
        <v>2840</v>
      </c>
      <c r="B927" t="s">
        <v>11614</v>
      </c>
      <c r="C927" t="s">
        <v>11615</v>
      </c>
      <c r="D927" t="s">
        <v>10815</v>
      </c>
      <c r="F927" t="s">
        <v>82</v>
      </c>
      <c r="G927" t="s">
        <v>74</v>
      </c>
      <c r="H927">
        <v>32413</v>
      </c>
      <c r="I927">
        <v>29131361</v>
      </c>
      <c r="J927" t="s">
        <v>11616</v>
      </c>
    </row>
    <row r="928" spans="1:10" x14ac:dyDescent="0.35">
      <c r="A928" t="s">
        <v>1065</v>
      </c>
      <c r="B928" t="s">
        <v>11617</v>
      </c>
      <c r="C928" t="s">
        <v>11618</v>
      </c>
      <c r="D928" t="s">
        <v>11619</v>
      </c>
      <c r="F928" t="s">
        <v>63</v>
      </c>
      <c r="G928" t="s">
        <v>64</v>
      </c>
      <c r="H928">
        <v>37210</v>
      </c>
      <c r="I928">
        <v>17892997</v>
      </c>
      <c r="J928" t="s">
        <v>11620</v>
      </c>
    </row>
    <row r="929" spans="1:10" x14ac:dyDescent="0.35">
      <c r="A929" t="s">
        <v>6199</v>
      </c>
      <c r="B929" t="s">
        <v>11621</v>
      </c>
      <c r="C929" t="s">
        <v>9485</v>
      </c>
      <c r="D929" t="s">
        <v>10495</v>
      </c>
      <c r="F929" t="s">
        <v>112</v>
      </c>
      <c r="G929" t="s">
        <v>106</v>
      </c>
      <c r="H929">
        <v>99507</v>
      </c>
      <c r="I929">
        <v>91635426</v>
      </c>
      <c r="J929" t="s">
        <v>11622</v>
      </c>
    </row>
    <row r="930" spans="1:10" x14ac:dyDescent="0.35">
      <c r="A930" t="s">
        <v>2768</v>
      </c>
      <c r="B930" t="s">
        <v>11623</v>
      </c>
      <c r="C930" t="s">
        <v>11624</v>
      </c>
      <c r="D930" t="s">
        <v>11625</v>
      </c>
      <c r="F930" t="s">
        <v>124</v>
      </c>
      <c r="G930" t="s">
        <v>117</v>
      </c>
      <c r="H930">
        <v>72703</v>
      </c>
      <c r="I930">
        <v>13995380</v>
      </c>
      <c r="J930" t="s">
        <v>11626</v>
      </c>
    </row>
    <row r="931" spans="1:10" x14ac:dyDescent="0.35">
      <c r="A931" t="s">
        <v>1426</v>
      </c>
      <c r="B931" t="s">
        <v>11627</v>
      </c>
      <c r="C931" t="s">
        <v>11289</v>
      </c>
      <c r="D931" t="s">
        <v>11628</v>
      </c>
      <c r="E931" t="s">
        <v>11629</v>
      </c>
      <c r="F931" t="s">
        <v>112</v>
      </c>
      <c r="G931" t="s">
        <v>106</v>
      </c>
      <c r="H931">
        <v>99507</v>
      </c>
      <c r="I931">
        <v>100999765</v>
      </c>
      <c r="J931" t="s">
        <v>11630</v>
      </c>
    </row>
    <row r="932" spans="1:10" x14ac:dyDescent="0.35">
      <c r="A932" t="s">
        <v>604</v>
      </c>
      <c r="B932" t="s">
        <v>11631</v>
      </c>
      <c r="C932" t="s">
        <v>11632</v>
      </c>
      <c r="D932" t="s">
        <v>11633</v>
      </c>
      <c r="F932" t="s">
        <v>1565</v>
      </c>
      <c r="G932" t="s">
        <v>51</v>
      </c>
      <c r="H932">
        <v>92869</v>
      </c>
      <c r="I932">
        <v>121300090</v>
      </c>
      <c r="J932" t="s">
        <v>11634</v>
      </c>
    </row>
    <row r="933" spans="1:10" x14ac:dyDescent="0.35">
      <c r="A933" t="s">
        <v>4999</v>
      </c>
      <c r="B933" t="s">
        <v>11635</v>
      </c>
      <c r="C933" t="s">
        <v>11636</v>
      </c>
      <c r="D933" t="s">
        <v>11637</v>
      </c>
      <c r="F933" t="s">
        <v>35</v>
      </c>
      <c r="G933" t="s">
        <v>36</v>
      </c>
      <c r="H933">
        <v>31404</v>
      </c>
      <c r="I933">
        <v>22713744</v>
      </c>
      <c r="J933" t="s">
        <v>11638</v>
      </c>
    </row>
    <row r="934" spans="1:10" x14ac:dyDescent="0.35">
      <c r="A934" t="s">
        <v>4222</v>
      </c>
      <c r="B934" t="s">
        <v>11639</v>
      </c>
      <c r="C934" t="s">
        <v>11640</v>
      </c>
      <c r="D934" t="s">
        <v>11641</v>
      </c>
      <c r="F934" t="s">
        <v>124</v>
      </c>
      <c r="G934" t="s">
        <v>117</v>
      </c>
      <c r="H934">
        <v>72701</v>
      </c>
      <c r="I934">
        <v>46456511</v>
      </c>
      <c r="J934" t="s">
        <v>11642</v>
      </c>
    </row>
    <row r="935" spans="1:10" x14ac:dyDescent="0.35">
      <c r="A935" t="s">
        <v>3281</v>
      </c>
      <c r="B935" t="s">
        <v>11643</v>
      </c>
      <c r="C935" t="s">
        <v>11644</v>
      </c>
      <c r="D935" t="s">
        <v>10764</v>
      </c>
      <c r="F935" t="s">
        <v>1468</v>
      </c>
      <c r="G935" t="s">
        <v>147</v>
      </c>
      <c r="H935">
        <v>5641</v>
      </c>
      <c r="I935">
        <v>94327896</v>
      </c>
      <c r="J935" t="s">
        <v>11645</v>
      </c>
    </row>
    <row r="936" spans="1:10" x14ac:dyDescent="0.35">
      <c r="A936" t="s">
        <v>725</v>
      </c>
      <c r="B936" t="s">
        <v>11646</v>
      </c>
      <c r="C936" t="s">
        <v>11647</v>
      </c>
      <c r="D936" t="s">
        <v>11648</v>
      </c>
      <c r="F936" t="s">
        <v>209</v>
      </c>
      <c r="G936" t="s">
        <v>74</v>
      </c>
      <c r="H936">
        <v>32401</v>
      </c>
      <c r="I936">
        <v>109935982</v>
      </c>
      <c r="J936" t="s">
        <v>11649</v>
      </c>
    </row>
    <row r="937" spans="1:10" x14ac:dyDescent="0.35">
      <c r="A937" t="s">
        <v>11650</v>
      </c>
      <c r="B937" t="s">
        <v>11651</v>
      </c>
      <c r="C937" t="s">
        <v>9575</v>
      </c>
      <c r="D937" t="s">
        <v>11652</v>
      </c>
      <c r="F937" t="s">
        <v>75</v>
      </c>
      <c r="G937" t="s">
        <v>76</v>
      </c>
      <c r="H937">
        <v>6040</v>
      </c>
      <c r="I937">
        <v>43741041</v>
      </c>
      <c r="J937" t="s">
        <v>11653</v>
      </c>
    </row>
    <row r="938" spans="1:10" x14ac:dyDescent="0.35">
      <c r="A938" t="s">
        <v>363</v>
      </c>
      <c r="B938" t="s">
        <v>11654</v>
      </c>
      <c r="C938" t="s">
        <v>11655</v>
      </c>
      <c r="D938" t="s">
        <v>9017</v>
      </c>
      <c r="F938" t="s">
        <v>2289</v>
      </c>
      <c r="G938" t="s">
        <v>31</v>
      </c>
      <c r="H938">
        <v>85340</v>
      </c>
      <c r="I938">
        <v>33697833</v>
      </c>
      <c r="J938" t="s">
        <v>11656</v>
      </c>
    </row>
    <row r="939" spans="1:10" x14ac:dyDescent="0.35">
      <c r="A939" t="s">
        <v>5125</v>
      </c>
      <c r="B939" t="s">
        <v>11657</v>
      </c>
      <c r="C939" t="s">
        <v>11658</v>
      </c>
      <c r="D939" t="s">
        <v>10111</v>
      </c>
      <c r="F939" t="s">
        <v>92</v>
      </c>
      <c r="G939" t="s">
        <v>51</v>
      </c>
      <c r="H939">
        <v>94579</v>
      </c>
      <c r="I939">
        <v>23061848</v>
      </c>
      <c r="J939" t="s">
        <v>11659</v>
      </c>
    </row>
    <row r="940" spans="1:10" x14ac:dyDescent="0.35">
      <c r="A940" t="s">
        <v>2577</v>
      </c>
      <c r="B940" t="s">
        <v>11660</v>
      </c>
      <c r="C940" t="s">
        <v>11661</v>
      </c>
      <c r="D940" t="s">
        <v>10019</v>
      </c>
      <c r="E940" t="s">
        <v>9224</v>
      </c>
      <c r="F940" t="s">
        <v>6024</v>
      </c>
      <c r="G940" t="s">
        <v>139</v>
      </c>
      <c r="H940">
        <v>1331</v>
      </c>
      <c r="I940">
        <v>10607723</v>
      </c>
      <c r="J940" t="s">
        <v>11662</v>
      </c>
    </row>
    <row r="941" spans="1:10" x14ac:dyDescent="0.35">
      <c r="A941" t="s">
        <v>1193</v>
      </c>
      <c r="B941" t="s">
        <v>11663</v>
      </c>
      <c r="C941" t="s">
        <v>8584</v>
      </c>
      <c r="D941" t="s">
        <v>11664</v>
      </c>
      <c r="F941" t="s">
        <v>1071</v>
      </c>
      <c r="G941" t="s">
        <v>236</v>
      </c>
      <c r="H941">
        <v>73013</v>
      </c>
      <c r="I941">
        <v>109876957</v>
      </c>
      <c r="J941" t="s">
        <v>11665</v>
      </c>
    </row>
    <row r="942" spans="1:10" x14ac:dyDescent="0.35">
      <c r="A942" t="s">
        <v>5974</v>
      </c>
      <c r="B942" t="s">
        <v>11666</v>
      </c>
      <c r="C942" t="s">
        <v>11667</v>
      </c>
      <c r="D942" t="s">
        <v>8071</v>
      </c>
      <c r="F942" t="s">
        <v>118</v>
      </c>
      <c r="G942" t="s">
        <v>42</v>
      </c>
      <c r="H942">
        <v>80003</v>
      </c>
      <c r="I942">
        <v>26743969</v>
      </c>
      <c r="J942" t="s">
        <v>11668</v>
      </c>
    </row>
    <row r="943" spans="1:10" x14ac:dyDescent="0.35">
      <c r="A943" t="s">
        <v>1240</v>
      </c>
      <c r="B943" t="s">
        <v>11669</v>
      </c>
      <c r="C943" t="s">
        <v>11670</v>
      </c>
      <c r="D943" t="s">
        <v>11671</v>
      </c>
      <c r="F943" t="s">
        <v>45</v>
      </c>
      <c r="G943" t="s">
        <v>46</v>
      </c>
      <c r="H943">
        <v>36117</v>
      </c>
      <c r="I943">
        <v>39123026</v>
      </c>
      <c r="J943" t="s">
        <v>11672</v>
      </c>
    </row>
    <row r="944" spans="1:10" x14ac:dyDescent="0.35">
      <c r="A944" t="s">
        <v>6480</v>
      </c>
      <c r="B944" t="s">
        <v>11673</v>
      </c>
      <c r="C944" t="s">
        <v>11674</v>
      </c>
      <c r="D944" t="s">
        <v>11675</v>
      </c>
      <c r="F944" t="s">
        <v>130</v>
      </c>
      <c r="G944" t="s">
        <v>123</v>
      </c>
      <c r="H944">
        <v>20001</v>
      </c>
      <c r="I944">
        <v>117161230</v>
      </c>
      <c r="J944" t="s">
        <v>11676</v>
      </c>
    </row>
    <row r="945" spans="1:10" x14ac:dyDescent="0.35">
      <c r="A945" t="s">
        <v>3745</v>
      </c>
      <c r="B945" t="s">
        <v>11677</v>
      </c>
      <c r="C945" t="s">
        <v>11678</v>
      </c>
      <c r="D945" t="s">
        <v>11679</v>
      </c>
      <c r="F945" t="s">
        <v>2924</v>
      </c>
      <c r="G945" t="s">
        <v>51</v>
      </c>
      <c r="H945">
        <v>94568</v>
      </c>
      <c r="I945">
        <v>23178689</v>
      </c>
      <c r="J945" t="s">
        <v>11680</v>
      </c>
    </row>
    <row r="946" spans="1:10" x14ac:dyDescent="0.35">
      <c r="A946" t="s">
        <v>448</v>
      </c>
      <c r="B946" t="s">
        <v>11681</v>
      </c>
      <c r="C946" t="s">
        <v>8002</v>
      </c>
      <c r="D946" t="s">
        <v>11682</v>
      </c>
      <c r="F946" t="s">
        <v>82</v>
      </c>
      <c r="G946" t="s">
        <v>74</v>
      </c>
      <c r="H946">
        <v>32413</v>
      </c>
      <c r="I946">
        <v>73435961</v>
      </c>
      <c r="J946" t="s">
        <v>11683</v>
      </c>
    </row>
    <row r="947" spans="1:10" x14ac:dyDescent="0.35">
      <c r="A947" t="s">
        <v>1274</v>
      </c>
      <c r="B947" t="s">
        <v>11684</v>
      </c>
      <c r="C947" t="s">
        <v>11685</v>
      </c>
      <c r="D947" t="s">
        <v>11686</v>
      </c>
      <c r="F947" t="s">
        <v>107</v>
      </c>
      <c r="G947" t="s">
        <v>87</v>
      </c>
      <c r="H947">
        <v>40291</v>
      </c>
      <c r="I947">
        <v>117487707</v>
      </c>
      <c r="J947" t="s">
        <v>11687</v>
      </c>
    </row>
    <row r="948" spans="1:10" x14ac:dyDescent="0.35">
      <c r="A948" t="s">
        <v>5389</v>
      </c>
      <c r="B948" t="s">
        <v>11688</v>
      </c>
      <c r="C948" t="s">
        <v>11689</v>
      </c>
      <c r="D948" t="s">
        <v>11690</v>
      </c>
      <c r="E948" t="s">
        <v>11691</v>
      </c>
      <c r="F948" t="s">
        <v>209</v>
      </c>
      <c r="G948" t="s">
        <v>74</v>
      </c>
      <c r="H948">
        <v>32401</v>
      </c>
      <c r="I948">
        <v>20759153</v>
      </c>
      <c r="J948" t="s">
        <v>11692</v>
      </c>
    </row>
    <row r="949" spans="1:10" x14ac:dyDescent="0.35">
      <c r="A949" t="s">
        <v>5652</v>
      </c>
      <c r="B949" t="s">
        <v>11693</v>
      </c>
      <c r="C949" t="s">
        <v>9008</v>
      </c>
      <c r="D949" t="s">
        <v>11694</v>
      </c>
      <c r="F949" t="s">
        <v>63</v>
      </c>
      <c r="G949" t="s">
        <v>64</v>
      </c>
      <c r="H949">
        <v>37076</v>
      </c>
      <c r="I949">
        <v>22087962</v>
      </c>
      <c r="J949" t="s">
        <v>11695</v>
      </c>
    </row>
    <row r="950" spans="1:10" x14ac:dyDescent="0.35">
      <c r="A950" t="s">
        <v>165</v>
      </c>
      <c r="B950" t="s">
        <v>11696</v>
      </c>
      <c r="C950" t="s">
        <v>11697</v>
      </c>
      <c r="D950" t="s">
        <v>11698</v>
      </c>
      <c r="F950" t="s">
        <v>35</v>
      </c>
      <c r="G950" t="s">
        <v>36</v>
      </c>
      <c r="H950">
        <v>31404</v>
      </c>
      <c r="I950">
        <v>116360016</v>
      </c>
      <c r="J950" t="s">
        <v>11699</v>
      </c>
    </row>
    <row r="951" spans="1:10" x14ac:dyDescent="0.35">
      <c r="A951" t="s">
        <v>2052</v>
      </c>
      <c r="B951" t="s">
        <v>11700</v>
      </c>
      <c r="C951" t="s">
        <v>11701</v>
      </c>
      <c r="D951" t="s">
        <v>11592</v>
      </c>
      <c r="F951" t="s">
        <v>683</v>
      </c>
      <c r="G951" t="s">
        <v>97</v>
      </c>
      <c r="H951">
        <v>21144</v>
      </c>
      <c r="I951">
        <v>64052890</v>
      </c>
      <c r="J951" t="s">
        <v>11702</v>
      </c>
    </row>
    <row r="952" spans="1:10" x14ac:dyDescent="0.35">
      <c r="A952" t="s">
        <v>3528</v>
      </c>
      <c r="B952" t="s">
        <v>11703</v>
      </c>
      <c r="C952" t="s">
        <v>11704</v>
      </c>
      <c r="D952" t="s">
        <v>11705</v>
      </c>
      <c r="F952" t="s">
        <v>509</v>
      </c>
      <c r="G952" t="s">
        <v>147</v>
      </c>
      <c r="H952">
        <v>5446</v>
      </c>
      <c r="I952">
        <v>105954695</v>
      </c>
      <c r="J952" t="s">
        <v>11706</v>
      </c>
    </row>
    <row r="953" spans="1:10" x14ac:dyDescent="0.35">
      <c r="A953" t="s">
        <v>5116</v>
      </c>
      <c r="B953" t="s">
        <v>11707</v>
      </c>
      <c r="C953" t="s">
        <v>11708</v>
      </c>
      <c r="D953" t="s">
        <v>11709</v>
      </c>
      <c r="E953" t="s">
        <v>11710</v>
      </c>
      <c r="F953" t="s">
        <v>543</v>
      </c>
      <c r="G953" t="s">
        <v>51</v>
      </c>
      <c r="H953">
        <v>94704</v>
      </c>
      <c r="I953">
        <v>109895815</v>
      </c>
      <c r="J953" t="s">
        <v>11711</v>
      </c>
    </row>
    <row r="954" spans="1:10" x14ac:dyDescent="0.35">
      <c r="A954" t="s">
        <v>3157</v>
      </c>
      <c r="B954" t="s">
        <v>11712</v>
      </c>
      <c r="C954" t="s">
        <v>11713</v>
      </c>
      <c r="D954" t="s">
        <v>10819</v>
      </c>
      <c r="F954" t="s">
        <v>35</v>
      </c>
      <c r="G954" t="s">
        <v>36</v>
      </c>
      <c r="H954">
        <v>31410</v>
      </c>
      <c r="I954">
        <v>44854047</v>
      </c>
      <c r="J954" t="s">
        <v>11714</v>
      </c>
    </row>
    <row r="955" spans="1:10" x14ac:dyDescent="0.35">
      <c r="A955" t="s">
        <v>1519</v>
      </c>
      <c r="B955" t="s">
        <v>11715</v>
      </c>
      <c r="C955" t="s">
        <v>11716</v>
      </c>
      <c r="D955" t="s">
        <v>10628</v>
      </c>
      <c r="F955" t="s">
        <v>3221</v>
      </c>
      <c r="G955" t="s">
        <v>51</v>
      </c>
      <c r="H955">
        <v>94546</v>
      </c>
      <c r="I955">
        <v>39717652</v>
      </c>
      <c r="J955" t="s">
        <v>11717</v>
      </c>
    </row>
    <row r="956" spans="1:10" x14ac:dyDescent="0.35">
      <c r="A956" t="s">
        <v>11718</v>
      </c>
      <c r="B956" t="s">
        <v>11719</v>
      </c>
      <c r="C956" t="s">
        <v>11720</v>
      </c>
      <c r="D956" t="s">
        <v>10290</v>
      </c>
      <c r="F956" t="s">
        <v>124</v>
      </c>
      <c r="G956" t="s">
        <v>117</v>
      </c>
      <c r="H956">
        <v>72703</v>
      </c>
      <c r="I956">
        <v>122275470</v>
      </c>
      <c r="J956" t="s">
        <v>11721</v>
      </c>
    </row>
    <row r="957" spans="1:10" x14ac:dyDescent="0.35">
      <c r="A957" t="s">
        <v>5577</v>
      </c>
      <c r="B957" t="s">
        <v>11722</v>
      </c>
      <c r="C957" t="s">
        <v>11723</v>
      </c>
      <c r="D957" t="s">
        <v>11724</v>
      </c>
      <c r="F957" t="s">
        <v>179</v>
      </c>
      <c r="G957" t="s">
        <v>97</v>
      </c>
      <c r="H957">
        <v>21122</v>
      </c>
      <c r="I957">
        <v>96379635</v>
      </c>
      <c r="J957" t="s">
        <v>11725</v>
      </c>
    </row>
    <row r="958" spans="1:10" x14ac:dyDescent="0.35">
      <c r="A958" t="s">
        <v>412</v>
      </c>
      <c r="B958" t="s">
        <v>11726</v>
      </c>
      <c r="C958" t="s">
        <v>11727</v>
      </c>
      <c r="D958" t="s">
        <v>7986</v>
      </c>
      <c r="G958" t="s">
        <v>147</v>
      </c>
      <c r="H958">
        <v>5033</v>
      </c>
      <c r="I958">
        <v>129325404</v>
      </c>
      <c r="J958" t="s">
        <v>11728</v>
      </c>
    </row>
    <row r="959" spans="1:10" x14ac:dyDescent="0.35">
      <c r="A959" t="s">
        <v>3387</v>
      </c>
      <c r="B959" t="s">
        <v>11729</v>
      </c>
      <c r="C959" t="s">
        <v>11730</v>
      </c>
      <c r="D959" t="s">
        <v>9133</v>
      </c>
      <c r="E959" t="s">
        <v>9134</v>
      </c>
      <c r="F959" t="s">
        <v>118</v>
      </c>
      <c r="G959" t="s">
        <v>42</v>
      </c>
      <c r="H959">
        <v>80005</v>
      </c>
      <c r="I959">
        <v>120557161</v>
      </c>
      <c r="J959" t="s">
        <v>11731</v>
      </c>
    </row>
    <row r="960" spans="1:10" x14ac:dyDescent="0.35">
      <c r="A960" t="s">
        <v>6825</v>
      </c>
      <c r="B960" t="s">
        <v>11732</v>
      </c>
      <c r="C960" t="s">
        <v>11733</v>
      </c>
      <c r="D960" t="s">
        <v>11734</v>
      </c>
      <c r="F960" t="s">
        <v>45</v>
      </c>
      <c r="G960" t="s">
        <v>46</v>
      </c>
      <c r="H960">
        <v>36116</v>
      </c>
      <c r="I960">
        <v>35098621</v>
      </c>
      <c r="J960" t="s">
        <v>11735</v>
      </c>
    </row>
    <row r="961" spans="1:10" x14ac:dyDescent="0.35">
      <c r="A961" t="s">
        <v>5547</v>
      </c>
      <c r="B961" t="s">
        <v>11736</v>
      </c>
      <c r="C961" t="s">
        <v>11737</v>
      </c>
      <c r="D961" t="s">
        <v>11738</v>
      </c>
      <c r="F961" t="s">
        <v>366</v>
      </c>
      <c r="G961" t="s">
        <v>51</v>
      </c>
      <c r="H961">
        <v>94551</v>
      </c>
      <c r="I961">
        <v>16436121</v>
      </c>
      <c r="J961" t="s">
        <v>11739</v>
      </c>
    </row>
    <row r="962" spans="1:10" x14ac:dyDescent="0.35">
      <c r="A962" t="s">
        <v>7114</v>
      </c>
      <c r="B962" t="s">
        <v>11740</v>
      </c>
      <c r="C962" t="s">
        <v>11741</v>
      </c>
      <c r="D962" t="s">
        <v>11742</v>
      </c>
      <c r="E962" t="s">
        <v>8720</v>
      </c>
      <c r="F962" t="s">
        <v>880</v>
      </c>
      <c r="G962" t="s">
        <v>139</v>
      </c>
      <c r="H962">
        <v>1040</v>
      </c>
      <c r="I962">
        <v>61389618</v>
      </c>
      <c r="J962" t="s">
        <v>11743</v>
      </c>
    </row>
    <row r="963" spans="1:10" x14ac:dyDescent="0.35">
      <c r="A963" t="s">
        <v>11744</v>
      </c>
      <c r="B963" t="s">
        <v>11745</v>
      </c>
      <c r="C963" t="s">
        <v>9515</v>
      </c>
      <c r="D963" t="s">
        <v>11746</v>
      </c>
      <c r="F963" t="s">
        <v>112</v>
      </c>
      <c r="G963" t="s">
        <v>106</v>
      </c>
      <c r="H963">
        <v>99508</v>
      </c>
      <c r="I963">
        <v>100603158</v>
      </c>
      <c r="J963" t="s">
        <v>11747</v>
      </c>
    </row>
    <row r="964" spans="1:10" x14ac:dyDescent="0.35">
      <c r="A964" t="s">
        <v>3935</v>
      </c>
      <c r="B964" t="s">
        <v>11748</v>
      </c>
      <c r="C964" t="s">
        <v>11749</v>
      </c>
      <c r="D964" t="s">
        <v>11750</v>
      </c>
      <c r="F964" t="s">
        <v>70</v>
      </c>
      <c r="G964" t="s">
        <v>31</v>
      </c>
      <c r="H964">
        <v>85310</v>
      </c>
      <c r="I964">
        <v>91745219</v>
      </c>
      <c r="J964" t="s">
        <v>11751</v>
      </c>
    </row>
    <row r="965" spans="1:10" x14ac:dyDescent="0.35">
      <c r="A965" t="s">
        <v>6098</v>
      </c>
      <c r="B965" t="s">
        <v>11752</v>
      </c>
      <c r="C965" t="s">
        <v>11753</v>
      </c>
      <c r="D965" t="s">
        <v>11754</v>
      </c>
      <c r="F965" t="s">
        <v>75</v>
      </c>
      <c r="G965" t="s">
        <v>76</v>
      </c>
      <c r="H965">
        <v>6042</v>
      </c>
      <c r="I965">
        <v>30894105</v>
      </c>
      <c r="J965" t="s">
        <v>11755</v>
      </c>
    </row>
    <row r="966" spans="1:10" x14ac:dyDescent="0.35">
      <c r="A966" t="s">
        <v>1205</v>
      </c>
      <c r="B966" t="s">
        <v>11756</v>
      </c>
      <c r="C966" t="s">
        <v>11757</v>
      </c>
      <c r="D966" t="s">
        <v>8394</v>
      </c>
      <c r="F966" t="s">
        <v>112</v>
      </c>
      <c r="G966" t="s">
        <v>106</v>
      </c>
      <c r="H966">
        <v>99517</v>
      </c>
      <c r="I966">
        <v>118135281</v>
      </c>
      <c r="J966" t="s">
        <v>11758</v>
      </c>
    </row>
    <row r="967" spans="1:10" x14ac:dyDescent="0.35">
      <c r="A967" t="s">
        <v>2810</v>
      </c>
      <c r="B967" t="s">
        <v>11759</v>
      </c>
      <c r="C967" t="s">
        <v>11760</v>
      </c>
      <c r="D967" t="s">
        <v>11761</v>
      </c>
      <c r="F967" t="s">
        <v>75</v>
      </c>
      <c r="G967" t="s">
        <v>76</v>
      </c>
      <c r="H967">
        <v>6040</v>
      </c>
      <c r="I967">
        <v>10022146</v>
      </c>
      <c r="J967" t="s">
        <v>11762</v>
      </c>
    </row>
    <row r="968" spans="1:10" x14ac:dyDescent="0.35">
      <c r="A968" t="s">
        <v>11763</v>
      </c>
      <c r="B968" t="s">
        <v>11764</v>
      </c>
      <c r="C968" t="s">
        <v>11765</v>
      </c>
      <c r="D968" t="s">
        <v>11766</v>
      </c>
      <c r="F968" t="s">
        <v>278</v>
      </c>
      <c r="G968" t="s">
        <v>97</v>
      </c>
      <c r="H968">
        <v>21061</v>
      </c>
      <c r="I968">
        <v>22715535</v>
      </c>
      <c r="J968" t="s">
        <v>11767</v>
      </c>
    </row>
    <row r="969" spans="1:10" x14ac:dyDescent="0.35">
      <c r="A969" t="s">
        <v>1225</v>
      </c>
      <c r="B969" t="s">
        <v>11768</v>
      </c>
      <c r="C969" t="s">
        <v>11769</v>
      </c>
      <c r="D969" t="s">
        <v>11770</v>
      </c>
      <c r="F969" t="s">
        <v>2122</v>
      </c>
      <c r="G969" t="s">
        <v>97</v>
      </c>
      <c r="H969">
        <v>20751</v>
      </c>
      <c r="I969">
        <v>56589753</v>
      </c>
      <c r="J969" t="s">
        <v>11771</v>
      </c>
    </row>
    <row r="970" spans="1:10" x14ac:dyDescent="0.35">
      <c r="A970" t="s">
        <v>3355</v>
      </c>
      <c r="B970" t="s">
        <v>11772</v>
      </c>
      <c r="C970" t="s">
        <v>11773</v>
      </c>
      <c r="D970" t="s">
        <v>11774</v>
      </c>
      <c r="F970" t="s">
        <v>118</v>
      </c>
      <c r="G970" t="s">
        <v>42</v>
      </c>
      <c r="H970">
        <v>80002</v>
      </c>
      <c r="I970">
        <v>111879036</v>
      </c>
      <c r="J970" t="s">
        <v>11775</v>
      </c>
    </row>
    <row r="971" spans="1:10" x14ac:dyDescent="0.35">
      <c r="A971" t="s">
        <v>2059</v>
      </c>
      <c r="B971" t="s">
        <v>11776</v>
      </c>
      <c r="C971" t="s">
        <v>9888</v>
      </c>
      <c r="D971" t="s">
        <v>10327</v>
      </c>
      <c r="F971" t="s">
        <v>118</v>
      </c>
      <c r="G971" t="s">
        <v>42</v>
      </c>
      <c r="H971">
        <v>80004</v>
      </c>
      <c r="I971">
        <v>77161736</v>
      </c>
      <c r="J971" t="s">
        <v>11777</v>
      </c>
    </row>
    <row r="972" spans="1:10" x14ac:dyDescent="0.35">
      <c r="A972" t="s">
        <v>244</v>
      </c>
      <c r="B972" t="s">
        <v>11778</v>
      </c>
      <c r="C972" t="s">
        <v>11779</v>
      </c>
      <c r="D972" t="s">
        <v>11780</v>
      </c>
      <c r="F972" t="s">
        <v>82</v>
      </c>
      <c r="G972" t="s">
        <v>74</v>
      </c>
      <c r="H972">
        <v>32407</v>
      </c>
      <c r="I972">
        <v>113174014</v>
      </c>
      <c r="J972" t="s">
        <v>11781</v>
      </c>
    </row>
    <row r="973" spans="1:10" x14ac:dyDescent="0.35">
      <c r="A973" t="s">
        <v>1210</v>
      </c>
      <c r="B973" t="s">
        <v>11782</v>
      </c>
      <c r="C973" t="s">
        <v>9932</v>
      </c>
      <c r="D973" t="s">
        <v>10707</v>
      </c>
      <c r="F973" t="s">
        <v>2775</v>
      </c>
      <c r="G973" t="s">
        <v>64</v>
      </c>
      <c r="H973">
        <v>37027</v>
      </c>
      <c r="I973">
        <v>23747269</v>
      </c>
      <c r="J973" t="s">
        <v>11783</v>
      </c>
    </row>
    <row r="974" spans="1:10" x14ac:dyDescent="0.35">
      <c r="A974" t="s">
        <v>3428</v>
      </c>
      <c r="B974" t="s">
        <v>11784</v>
      </c>
      <c r="C974" t="s">
        <v>11785</v>
      </c>
      <c r="D974" t="s">
        <v>10921</v>
      </c>
      <c r="F974" t="s">
        <v>107</v>
      </c>
      <c r="G974" t="s">
        <v>87</v>
      </c>
      <c r="H974">
        <v>40243</v>
      </c>
      <c r="I974">
        <v>10448351</v>
      </c>
      <c r="J974" t="s">
        <v>11786</v>
      </c>
    </row>
    <row r="975" spans="1:10" x14ac:dyDescent="0.35">
      <c r="A975" t="s">
        <v>2065</v>
      </c>
      <c r="B975" t="s">
        <v>11787</v>
      </c>
      <c r="C975" t="s">
        <v>11788</v>
      </c>
      <c r="D975" t="s">
        <v>8643</v>
      </c>
      <c r="F975" t="s">
        <v>523</v>
      </c>
      <c r="G975" t="s">
        <v>36</v>
      </c>
      <c r="H975">
        <v>31322</v>
      </c>
      <c r="I975">
        <v>63693056</v>
      </c>
      <c r="J975" t="s">
        <v>11789</v>
      </c>
    </row>
    <row r="976" spans="1:10" x14ac:dyDescent="0.35">
      <c r="A976" t="s">
        <v>2233</v>
      </c>
      <c r="B976" t="s">
        <v>11790</v>
      </c>
      <c r="C976" t="s">
        <v>11791</v>
      </c>
      <c r="D976" t="s">
        <v>11792</v>
      </c>
      <c r="F976" t="s">
        <v>35</v>
      </c>
      <c r="G976" t="s">
        <v>36</v>
      </c>
      <c r="H976">
        <v>31406</v>
      </c>
      <c r="I976">
        <v>89936373</v>
      </c>
      <c r="J976" t="s">
        <v>11793</v>
      </c>
    </row>
    <row r="977" spans="1:10" x14ac:dyDescent="0.35">
      <c r="A977" t="s">
        <v>988</v>
      </c>
      <c r="B977" t="s">
        <v>11794</v>
      </c>
      <c r="C977" t="s">
        <v>11795</v>
      </c>
      <c r="D977" t="s">
        <v>11796</v>
      </c>
      <c r="F977" t="s">
        <v>82</v>
      </c>
      <c r="G977" t="s">
        <v>74</v>
      </c>
      <c r="H977">
        <v>32413</v>
      </c>
      <c r="I977">
        <v>17383464</v>
      </c>
      <c r="J977" t="s">
        <v>11797</v>
      </c>
    </row>
    <row r="978" spans="1:10" x14ac:dyDescent="0.35">
      <c r="A978" t="s">
        <v>1337</v>
      </c>
      <c r="B978" t="s">
        <v>11798</v>
      </c>
      <c r="C978" t="s">
        <v>11799</v>
      </c>
      <c r="D978" t="s">
        <v>11800</v>
      </c>
      <c r="F978" t="s">
        <v>2356</v>
      </c>
      <c r="G978" t="s">
        <v>139</v>
      </c>
      <c r="H978">
        <v>1020</v>
      </c>
      <c r="I978">
        <v>15053097</v>
      </c>
      <c r="J978" t="s">
        <v>11801</v>
      </c>
    </row>
    <row r="979" spans="1:10" x14ac:dyDescent="0.35">
      <c r="A979" t="s">
        <v>613</v>
      </c>
      <c r="B979" t="s">
        <v>11802</v>
      </c>
      <c r="C979" t="s">
        <v>11803</v>
      </c>
      <c r="D979" t="s">
        <v>11804</v>
      </c>
      <c r="F979" t="s">
        <v>112</v>
      </c>
      <c r="G979" t="s">
        <v>106</v>
      </c>
      <c r="H979">
        <v>99507</v>
      </c>
      <c r="I979">
        <v>97263449</v>
      </c>
      <c r="J979" t="s">
        <v>11805</v>
      </c>
    </row>
    <row r="980" spans="1:10" x14ac:dyDescent="0.35">
      <c r="A980" t="s">
        <v>1173</v>
      </c>
      <c r="B980" t="s">
        <v>11806</v>
      </c>
      <c r="C980" t="s">
        <v>11807</v>
      </c>
      <c r="D980" t="s">
        <v>11808</v>
      </c>
      <c r="F980" t="s">
        <v>941</v>
      </c>
      <c r="G980" t="s">
        <v>147</v>
      </c>
      <c r="H980">
        <v>5001</v>
      </c>
      <c r="I980">
        <v>20537922</v>
      </c>
      <c r="J980" t="s">
        <v>11809</v>
      </c>
    </row>
    <row r="981" spans="1:10" x14ac:dyDescent="0.35">
      <c r="A981" t="s">
        <v>2008</v>
      </c>
      <c r="B981" t="s">
        <v>11810</v>
      </c>
      <c r="C981" t="s">
        <v>11811</v>
      </c>
      <c r="D981" t="s">
        <v>10526</v>
      </c>
      <c r="F981" t="s">
        <v>75</v>
      </c>
      <c r="G981" t="s">
        <v>76</v>
      </c>
      <c r="H981">
        <v>6040</v>
      </c>
      <c r="I981">
        <v>71906146</v>
      </c>
      <c r="J981" t="s">
        <v>11812</v>
      </c>
    </row>
    <row r="982" spans="1:10" x14ac:dyDescent="0.35">
      <c r="A982" t="s">
        <v>999</v>
      </c>
      <c r="B982" t="s">
        <v>11813</v>
      </c>
      <c r="C982" t="s">
        <v>11814</v>
      </c>
      <c r="D982" t="s">
        <v>11815</v>
      </c>
      <c r="F982" t="s">
        <v>130</v>
      </c>
      <c r="G982" t="s">
        <v>123</v>
      </c>
      <c r="H982">
        <v>20020</v>
      </c>
      <c r="I982">
        <v>103634247</v>
      </c>
      <c r="J982" t="s">
        <v>11816</v>
      </c>
    </row>
    <row r="983" spans="1:10" x14ac:dyDescent="0.35">
      <c r="A983" t="s">
        <v>938</v>
      </c>
      <c r="B983" t="s">
        <v>11817</v>
      </c>
      <c r="C983" t="s">
        <v>11818</v>
      </c>
      <c r="D983" t="s">
        <v>11819</v>
      </c>
      <c r="F983" t="s">
        <v>75</v>
      </c>
      <c r="G983" t="s">
        <v>76</v>
      </c>
      <c r="H983">
        <v>6042</v>
      </c>
      <c r="I983">
        <v>109301503</v>
      </c>
      <c r="J983" t="s">
        <v>11820</v>
      </c>
    </row>
    <row r="984" spans="1:10" x14ac:dyDescent="0.35">
      <c r="A984" t="s">
        <v>2340</v>
      </c>
      <c r="B984" t="s">
        <v>11821</v>
      </c>
      <c r="C984" t="s">
        <v>11822</v>
      </c>
      <c r="D984" t="s">
        <v>11339</v>
      </c>
      <c r="E984" t="s">
        <v>11340</v>
      </c>
      <c r="F984" t="s">
        <v>112</v>
      </c>
      <c r="G984" t="s">
        <v>106</v>
      </c>
      <c r="H984">
        <v>99501</v>
      </c>
      <c r="I984">
        <v>88699459</v>
      </c>
      <c r="J984" t="s">
        <v>11823</v>
      </c>
    </row>
    <row r="985" spans="1:10" x14ac:dyDescent="0.35">
      <c r="A985" t="s">
        <v>1029</v>
      </c>
      <c r="B985" t="s">
        <v>11824</v>
      </c>
      <c r="C985" t="s">
        <v>11825</v>
      </c>
      <c r="D985" t="s">
        <v>11826</v>
      </c>
      <c r="F985" t="s">
        <v>543</v>
      </c>
      <c r="G985" t="s">
        <v>51</v>
      </c>
      <c r="H985">
        <v>94702</v>
      </c>
      <c r="I985">
        <v>58984453</v>
      </c>
      <c r="J985" t="s">
        <v>11827</v>
      </c>
    </row>
    <row r="986" spans="1:10" x14ac:dyDescent="0.35">
      <c r="A986" t="s">
        <v>5315</v>
      </c>
      <c r="B986" t="s">
        <v>11828</v>
      </c>
      <c r="C986" t="s">
        <v>11829</v>
      </c>
      <c r="D986" t="s">
        <v>11830</v>
      </c>
      <c r="E986" t="s">
        <v>11831</v>
      </c>
      <c r="F986" t="s">
        <v>70</v>
      </c>
      <c r="G986" t="s">
        <v>31</v>
      </c>
      <c r="H986">
        <v>85306</v>
      </c>
      <c r="I986">
        <v>30436712</v>
      </c>
      <c r="J986" t="s">
        <v>11832</v>
      </c>
    </row>
    <row r="987" spans="1:10" x14ac:dyDescent="0.35">
      <c r="A987" t="s">
        <v>2404</v>
      </c>
      <c r="B987" t="s">
        <v>11833</v>
      </c>
      <c r="C987" t="s">
        <v>11834</v>
      </c>
      <c r="D987" t="s">
        <v>11835</v>
      </c>
      <c r="F987" t="s">
        <v>1071</v>
      </c>
      <c r="G987" t="s">
        <v>236</v>
      </c>
      <c r="H987">
        <v>73034</v>
      </c>
      <c r="I987">
        <v>88094915</v>
      </c>
      <c r="J987" t="s">
        <v>11836</v>
      </c>
    </row>
    <row r="988" spans="1:10" x14ac:dyDescent="0.35">
      <c r="A988" t="s">
        <v>11837</v>
      </c>
      <c r="B988" t="s">
        <v>11838</v>
      </c>
      <c r="C988" t="s">
        <v>11839</v>
      </c>
      <c r="D988" t="s">
        <v>11357</v>
      </c>
      <c r="F988" t="s">
        <v>45</v>
      </c>
      <c r="G988" t="s">
        <v>46</v>
      </c>
      <c r="H988">
        <v>36116</v>
      </c>
      <c r="I988">
        <v>45665701</v>
      </c>
      <c r="J988" t="s">
        <v>11840</v>
      </c>
    </row>
    <row r="989" spans="1:10" x14ac:dyDescent="0.35">
      <c r="A989" t="s">
        <v>1750</v>
      </c>
      <c r="B989" t="s">
        <v>11841</v>
      </c>
      <c r="C989" t="s">
        <v>11842</v>
      </c>
      <c r="D989" t="s">
        <v>11843</v>
      </c>
      <c r="F989" t="s">
        <v>411</v>
      </c>
      <c r="G989" t="s">
        <v>139</v>
      </c>
      <c r="H989">
        <v>1850</v>
      </c>
      <c r="I989">
        <v>51155467</v>
      </c>
      <c r="J989" t="s">
        <v>11844</v>
      </c>
    </row>
    <row r="990" spans="1:10" x14ac:dyDescent="0.35">
      <c r="A990" t="s">
        <v>7484</v>
      </c>
      <c r="B990" t="s">
        <v>11845</v>
      </c>
      <c r="C990" t="s">
        <v>11846</v>
      </c>
      <c r="D990" t="s">
        <v>11847</v>
      </c>
      <c r="F990" t="s">
        <v>107</v>
      </c>
      <c r="G990" t="s">
        <v>87</v>
      </c>
      <c r="H990">
        <v>40213</v>
      </c>
      <c r="I990">
        <v>108106330</v>
      </c>
      <c r="J990" t="s">
        <v>11848</v>
      </c>
    </row>
    <row r="991" spans="1:10" x14ac:dyDescent="0.35">
      <c r="A991" t="s">
        <v>4239</v>
      </c>
      <c r="B991" t="s">
        <v>11849</v>
      </c>
      <c r="C991" t="s">
        <v>11850</v>
      </c>
      <c r="D991" t="s">
        <v>10624</v>
      </c>
      <c r="F991" t="s">
        <v>45</v>
      </c>
      <c r="G991" t="s">
        <v>46</v>
      </c>
      <c r="H991">
        <v>36105</v>
      </c>
      <c r="I991">
        <v>77248879</v>
      </c>
      <c r="J991" t="s">
        <v>11851</v>
      </c>
    </row>
    <row r="992" spans="1:10" x14ac:dyDescent="0.35">
      <c r="A992" t="s">
        <v>1740</v>
      </c>
      <c r="B992" t="s">
        <v>11852</v>
      </c>
      <c r="C992" t="s">
        <v>11853</v>
      </c>
      <c r="D992" t="s">
        <v>11854</v>
      </c>
      <c r="E992" t="s">
        <v>9390</v>
      </c>
      <c r="F992" t="s">
        <v>107</v>
      </c>
      <c r="G992" t="s">
        <v>87</v>
      </c>
      <c r="H992">
        <v>40206</v>
      </c>
      <c r="I992">
        <v>65721968</v>
      </c>
      <c r="J992" t="s">
        <v>11855</v>
      </c>
    </row>
    <row r="993" spans="1:10" x14ac:dyDescent="0.35">
      <c r="A993" t="s">
        <v>1891</v>
      </c>
      <c r="B993" t="s">
        <v>11856</v>
      </c>
      <c r="C993" t="s">
        <v>11857</v>
      </c>
      <c r="D993" t="s">
        <v>11858</v>
      </c>
      <c r="F993" t="s">
        <v>45</v>
      </c>
      <c r="G993" t="s">
        <v>46</v>
      </c>
      <c r="H993">
        <v>36116</v>
      </c>
      <c r="I993">
        <v>107725657</v>
      </c>
      <c r="J993" t="s">
        <v>11859</v>
      </c>
    </row>
    <row r="994" spans="1:10" x14ac:dyDescent="0.35">
      <c r="A994" t="s">
        <v>3407</v>
      </c>
      <c r="B994" t="s">
        <v>11860</v>
      </c>
      <c r="C994" t="s">
        <v>11861</v>
      </c>
      <c r="D994" t="s">
        <v>11862</v>
      </c>
      <c r="F994" t="s">
        <v>235</v>
      </c>
      <c r="G994" t="s">
        <v>236</v>
      </c>
      <c r="H994">
        <v>73120</v>
      </c>
      <c r="I994">
        <v>10521566</v>
      </c>
      <c r="J994" t="s">
        <v>11863</v>
      </c>
    </row>
    <row r="995" spans="1:10" x14ac:dyDescent="0.35">
      <c r="A995" t="s">
        <v>2159</v>
      </c>
      <c r="B995" t="s">
        <v>11864</v>
      </c>
      <c r="C995" t="s">
        <v>11865</v>
      </c>
      <c r="D995" t="s">
        <v>11866</v>
      </c>
      <c r="F995" t="s">
        <v>1071</v>
      </c>
      <c r="G995" t="s">
        <v>236</v>
      </c>
      <c r="H995">
        <v>73003</v>
      </c>
      <c r="I995">
        <v>98114047</v>
      </c>
      <c r="J995" t="s">
        <v>11867</v>
      </c>
    </row>
    <row r="996" spans="1:10" x14ac:dyDescent="0.35">
      <c r="A996" t="s">
        <v>2620</v>
      </c>
      <c r="B996" t="s">
        <v>365</v>
      </c>
      <c r="C996" t="s">
        <v>11868</v>
      </c>
      <c r="D996" t="s">
        <v>11869</v>
      </c>
      <c r="E996" t="s">
        <v>8720</v>
      </c>
      <c r="F996" t="s">
        <v>3728</v>
      </c>
      <c r="G996" t="s">
        <v>139</v>
      </c>
      <c r="H996">
        <v>2139</v>
      </c>
      <c r="I996">
        <v>40950204</v>
      </c>
      <c r="J996" t="s">
        <v>11870</v>
      </c>
    </row>
    <row r="997" spans="1:10" x14ac:dyDescent="0.35">
      <c r="A997" t="s">
        <v>141</v>
      </c>
      <c r="B997" t="s">
        <v>11871</v>
      </c>
      <c r="C997" t="s">
        <v>11872</v>
      </c>
      <c r="D997" t="s">
        <v>11873</v>
      </c>
      <c r="F997" t="s">
        <v>118</v>
      </c>
      <c r="G997" t="s">
        <v>42</v>
      </c>
      <c r="H997">
        <v>80004</v>
      </c>
      <c r="I997">
        <v>118471806</v>
      </c>
      <c r="J997" t="s">
        <v>11874</v>
      </c>
    </row>
    <row r="998" spans="1:10" x14ac:dyDescent="0.35">
      <c r="A998" t="s">
        <v>3337</v>
      </c>
      <c r="B998" t="s">
        <v>5675</v>
      </c>
      <c r="C998" t="s">
        <v>11875</v>
      </c>
      <c r="D998" t="s">
        <v>11876</v>
      </c>
      <c r="F998" t="s">
        <v>429</v>
      </c>
      <c r="G998" t="s">
        <v>236</v>
      </c>
      <c r="H998">
        <v>73160</v>
      </c>
      <c r="I998">
        <v>87191204</v>
      </c>
      <c r="J998" t="s">
        <v>11877</v>
      </c>
    </row>
    <row r="999" spans="1:10" x14ac:dyDescent="0.35">
      <c r="A999" t="s">
        <v>7442</v>
      </c>
      <c r="B999" t="s">
        <v>11878</v>
      </c>
      <c r="C999" t="s">
        <v>11879</v>
      </c>
      <c r="D999" t="s">
        <v>11880</v>
      </c>
      <c r="F999" t="s">
        <v>209</v>
      </c>
      <c r="G999" t="s">
        <v>74</v>
      </c>
      <c r="H999">
        <v>32404</v>
      </c>
      <c r="I999">
        <v>91931955</v>
      </c>
      <c r="J999" t="s">
        <v>11881</v>
      </c>
    </row>
    <row r="1000" spans="1:10" x14ac:dyDescent="0.35">
      <c r="A1000" t="s">
        <v>7174</v>
      </c>
      <c r="B1000" t="s">
        <v>11882</v>
      </c>
      <c r="C1000" t="s">
        <v>11883</v>
      </c>
      <c r="D1000" t="s">
        <v>11843</v>
      </c>
      <c r="F1000" t="s">
        <v>411</v>
      </c>
      <c r="G1000" t="s">
        <v>139</v>
      </c>
      <c r="H1000">
        <v>1850</v>
      </c>
      <c r="I1000">
        <v>72347681</v>
      </c>
      <c r="J1000" t="s">
        <v>11884</v>
      </c>
    </row>
    <row r="1001" spans="1:10" x14ac:dyDescent="0.35">
      <c r="A1001" t="s">
        <v>11885</v>
      </c>
      <c r="B1001" t="s">
        <v>11886</v>
      </c>
      <c r="C1001" t="s">
        <v>11887</v>
      </c>
      <c r="D1001" t="s">
        <v>11888</v>
      </c>
      <c r="F1001" t="s">
        <v>70</v>
      </c>
      <c r="G1001" t="s">
        <v>31</v>
      </c>
      <c r="H1001">
        <v>85302</v>
      </c>
      <c r="I1001">
        <v>41887402</v>
      </c>
      <c r="J1001" t="s">
        <v>11889</v>
      </c>
    </row>
    <row r="1002" spans="1:10" x14ac:dyDescent="0.35">
      <c r="A1002" t="s">
        <v>7529</v>
      </c>
      <c r="B1002" t="s">
        <v>11890</v>
      </c>
      <c r="C1002" t="s">
        <v>11891</v>
      </c>
      <c r="D1002" t="s">
        <v>11892</v>
      </c>
      <c r="F1002" t="s">
        <v>209</v>
      </c>
      <c r="G1002" t="s">
        <v>74</v>
      </c>
      <c r="H1002">
        <v>32405</v>
      </c>
      <c r="I1002">
        <v>20133245</v>
      </c>
      <c r="J1002" t="s">
        <v>11893</v>
      </c>
    </row>
    <row r="1003" spans="1:10" x14ac:dyDescent="0.35">
      <c r="A1003" t="s">
        <v>11894</v>
      </c>
      <c r="B1003" t="s">
        <v>11895</v>
      </c>
      <c r="C1003" t="s">
        <v>11896</v>
      </c>
      <c r="D1003" t="s">
        <v>11897</v>
      </c>
      <c r="F1003" t="s">
        <v>991</v>
      </c>
      <c r="G1003" t="s">
        <v>147</v>
      </c>
      <c r="H1003">
        <v>5764</v>
      </c>
      <c r="I1003">
        <v>72482070</v>
      </c>
      <c r="J1003" t="s">
        <v>11898</v>
      </c>
    </row>
    <row r="1004" spans="1:10" x14ac:dyDescent="0.35">
      <c r="A1004" t="s">
        <v>956</v>
      </c>
      <c r="B1004" t="s">
        <v>11899</v>
      </c>
      <c r="C1004" t="s">
        <v>11900</v>
      </c>
      <c r="D1004" t="s">
        <v>11901</v>
      </c>
      <c r="F1004" t="s">
        <v>107</v>
      </c>
      <c r="G1004" t="s">
        <v>87</v>
      </c>
      <c r="H1004">
        <v>40291</v>
      </c>
      <c r="I1004">
        <v>68828800</v>
      </c>
      <c r="J1004" t="s">
        <v>11902</v>
      </c>
    </row>
    <row r="1005" spans="1:10" x14ac:dyDescent="0.35">
      <c r="A1005" t="s">
        <v>11903</v>
      </c>
      <c r="B1005" t="s">
        <v>11904</v>
      </c>
      <c r="C1005" t="s">
        <v>10607</v>
      </c>
      <c r="D1005" t="s">
        <v>10628</v>
      </c>
      <c r="F1005" t="s">
        <v>3221</v>
      </c>
      <c r="G1005" t="s">
        <v>51</v>
      </c>
      <c r="H1005">
        <v>94546</v>
      </c>
      <c r="I1005">
        <v>73403469</v>
      </c>
      <c r="J1005" t="s">
        <v>11905</v>
      </c>
    </row>
    <row r="1006" spans="1:10" x14ac:dyDescent="0.35">
      <c r="A1006" t="s">
        <v>11906</v>
      </c>
      <c r="B1006" t="s">
        <v>11907</v>
      </c>
      <c r="C1006" t="s">
        <v>11908</v>
      </c>
      <c r="D1006" t="s">
        <v>8597</v>
      </c>
      <c r="F1006" t="s">
        <v>316</v>
      </c>
      <c r="G1006" t="s">
        <v>97</v>
      </c>
      <c r="H1006">
        <v>21401</v>
      </c>
      <c r="I1006">
        <v>52727195</v>
      </c>
      <c r="J1006" t="s">
        <v>11909</v>
      </c>
    </row>
    <row r="1007" spans="1:10" x14ac:dyDescent="0.35">
      <c r="A1007" t="s">
        <v>2986</v>
      </c>
      <c r="B1007" t="s">
        <v>11910</v>
      </c>
      <c r="C1007" t="s">
        <v>11911</v>
      </c>
      <c r="D1007" t="s">
        <v>11819</v>
      </c>
      <c r="F1007" t="s">
        <v>75</v>
      </c>
      <c r="G1007" t="s">
        <v>76</v>
      </c>
      <c r="H1007">
        <v>6042</v>
      </c>
      <c r="I1007">
        <v>112686192</v>
      </c>
      <c r="J1007" t="s">
        <v>11912</v>
      </c>
    </row>
    <row r="1008" spans="1:10" x14ac:dyDescent="0.35">
      <c r="A1008" t="s">
        <v>1507</v>
      </c>
      <c r="B1008" t="s">
        <v>11913</v>
      </c>
      <c r="C1008" t="s">
        <v>11914</v>
      </c>
      <c r="D1008" t="s">
        <v>11915</v>
      </c>
      <c r="F1008" t="s">
        <v>63</v>
      </c>
      <c r="G1008" t="s">
        <v>64</v>
      </c>
      <c r="H1008">
        <v>37217</v>
      </c>
      <c r="I1008">
        <v>125697039</v>
      </c>
      <c r="J1008" t="s">
        <v>11916</v>
      </c>
    </row>
    <row r="1009" spans="1:10" x14ac:dyDescent="0.35">
      <c r="A1009" t="s">
        <v>548</v>
      </c>
      <c r="B1009" t="s">
        <v>11917</v>
      </c>
      <c r="C1009" t="s">
        <v>11918</v>
      </c>
      <c r="D1009" t="s">
        <v>11919</v>
      </c>
      <c r="F1009" t="s">
        <v>11920</v>
      </c>
      <c r="G1009" t="s">
        <v>139</v>
      </c>
      <c r="H1009">
        <v>1721</v>
      </c>
      <c r="I1009">
        <v>92239012</v>
      </c>
      <c r="J1009" t="s">
        <v>11921</v>
      </c>
    </row>
    <row r="1010" spans="1:10" x14ac:dyDescent="0.35">
      <c r="A1010" t="s">
        <v>6057</v>
      </c>
      <c r="B1010" t="s">
        <v>11922</v>
      </c>
      <c r="C1010" t="s">
        <v>11923</v>
      </c>
      <c r="D1010" t="s">
        <v>9802</v>
      </c>
      <c r="E1010" t="s">
        <v>9803</v>
      </c>
      <c r="F1010" t="s">
        <v>1391</v>
      </c>
      <c r="G1010" t="s">
        <v>36</v>
      </c>
      <c r="H1010">
        <v>31404</v>
      </c>
      <c r="I1010">
        <v>104617373</v>
      </c>
      <c r="J1010" t="s">
        <v>11924</v>
      </c>
    </row>
    <row r="1011" spans="1:10" x14ac:dyDescent="0.35">
      <c r="A1011" t="s">
        <v>4370</v>
      </c>
      <c r="B1011" t="s">
        <v>11925</v>
      </c>
      <c r="C1011" t="s">
        <v>11926</v>
      </c>
      <c r="D1011" t="s">
        <v>11927</v>
      </c>
      <c r="F1011" t="s">
        <v>366</v>
      </c>
      <c r="G1011" t="s">
        <v>51</v>
      </c>
      <c r="H1011">
        <v>94551</v>
      </c>
      <c r="I1011">
        <v>115652330</v>
      </c>
      <c r="J1011" t="s">
        <v>11928</v>
      </c>
    </row>
    <row r="1012" spans="1:10" x14ac:dyDescent="0.35">
      <c r="A1012" t="s">
        <v>1295</v>
      </c>
      <c r="B1012" t="s">
        <v>11929</v>
      </c>
      <c r="C1012" t="s">
        <v>11930</v>
      </c>
      <c r="D1012" t="s">
        <v>11931</v>
      </c>
      <c r="F1012" t="s">
        <v>70</v>
      </c>
      <c r="G1012" t="s">
        <v>31</v>
      </c>
      <c r="H1012">
        <v>85303</v>
      </c>
      <c r="I1012">
        <v>103457330</v>
      </c>
      <c r="J1012" t="s">
        <v>11932</v>
      </c>
    </row>
    <row r="1013" spans="1:10" x14ac:dyDescent="0.35">
      <c r="A1013" t="s">
        <v>4852</v>
      </c>
      <c r="B1013" t="s">
        <v>11933</v>
      </c>
      <c r="C1013" t="s">
        <v>11934</v>
      </c>
      <c r="D1013" t="s">
        <v>10804</v>
      </c>
      <c r="F1013" t="s">
        <v>75</v>
      </c>
      <c r="G1013" t="s">
        <v>76</v>
      </c>
      <c r="H1013">
        <v>6040</v>
      </c>
      <c r="I1013">
        <v>25016134</v>
      </c>
      <c r="J1013" t="s">
        <v>11935</v>
      </c>
    </row>
    <row r="1014" spans="1:10" x14ac:dyDescent="0.35">
      <c r="A1014" t="s">
        <v>968</v>
      </c>
      <c r="B1014" t="s">
        <v>11936</v>
      </c>
      <c r="C1014" t="s">
        <v>8792</v>
      </c>
      <c r="D1014" t="s">
        <v>10624</v>
      </c>
      <c r="F1014" t="s">
        <v>45</v>
      </c>
      <c r="G1014" t="s">
        <v>46</v>
      </c>
      <c r="H1014">
        <v>36105</v>
      </c>
      <c r="I1014">
        <v>93545831</v>
      </c>
      <c r="J1014" t="s">
        <v>11937</v>
      </c>
    </row>
    <row r="1015" spans="1:10" x14ac:dyDescent="0.35">
      <c r="A1015" t="s">
        <v>3900</v>
      </c>
      <c r="B1015" t="s">
        <v>11938</v>
      </c>
      <c r="C1015" t="s">
        <v>11939</v>
      </c>
      <c r="D1015" t="s">
        <v>9374</v>
      </c>
      <c r="F1015" t="s">
        <v>63</v>
      </c>
      <c r="G1015" t="s">
        <v>64</v>
      </c>
      <c r="H1015">
        <v>37208</v>
      </c>
      <c r="I1015">
        <v>53539337</v>
      </c>
      <c r="J1015" t="s">
        <v>11940</v>
      </c>
    </row>
    <row r="1016" spans="1:10" x14ac:dyDescent="0.35">
      <c r="A1016" t="s">
        <v>579</v>
      </c>
      <c r="B1016" t="s">
        <v>11941</v>
      </c>
      <c r="C1016" t="s">
        <v>11942</v>
      </c>
      <c r="D1016" t="s">
        <v>11943</v>
      </c>
      <c r="F1016" t="s">
        <v>316</v>
      </c>
      <c r="G1016" t="s">
        <v>97</v>
      </c>
      <c r="H1016">
        <v>21401</v>
      </c>
      <c r="I1016">
        <v>22564760</v>
      </c>
      <c r="J1016" t="s">
        <v>11944</v>
      </c>
    </row>
    <row r="1017" spans="1:10" x14ac:dyDescent="0.35">
      <c r="A1017" t="s">
        <v>7344</v>
      </c>
      <c r="B1017" t="s">
        <v>11945</v>
      </c>
      <c r="C1017" t="s">
        <v>11946</v>
      </c>
      <c r="D1017" t="s">
        <v>11947</v>
      </c>
      <c r="F1017" t="s">
        <v>70</v>
      </c>
      <c r="G1017" t="s">
        <v>31</v>
      </c>
      <c r="H1017">
        <v>85306</v>
      </c>
      <c r="I1017">
        <v>101648895</v>
      </c>
      <c r="J1017" t="s">
        <v>11948</v>
      </c>
    </row>
    <row r="1018" spans="1:10" x14ac:dyDescent="0.35">
      <c r="A1018" t="s">
        <v>841</v>
      </c>
      <c r="B1018" t="s">
        <v>11949</v>
      </c>
      <c r="C1018" t="s">
        <v>11950</v>
      </c>
      <c r="D1018" t="s">
        <v>11951</v>
      </c>
      <c r="F1018" t="s">
        <v>1269</v>
      </c>
      <c r="G1018" t="s">
        <v>51</v>
      </c>
      <c r="H1018">
        <v>93662</v>
      </c>
      <c r="I1018">
        <v>78720244</v>
      </c>
      <c r="J1018" t="s">
        <v>11952</v>
      </c>
    </row>
    <row r="1019" spans="1:10" x14ac:dyDescent="0.35">
      <c r="A1019" t="s">
        <v>2830</v>
      </c>
      <c r="B1019" t="s">
        <v>11953</v>
      </c>
      <c r="C1019" t="s">
        <v>11954</v>
      </c>
      <c r="D1019" t="s">
        <v>11955</v>
      </c>
      <c r="F1019" t="s">
        <v>209</v>
      </c>
      <c r="G1019" t="s">
        <v>74</v>
      </c>
      <c r="H1019">
        <v>32407</v>
      </c>
      <c r="I1019">
        <v>106228867</v>
      </c>
      <c r="J1019" t="s">
        <v>11956</v>
      </c>
    </row>
    <row r="1020" spans="1:10" x14ac:dyDescent="0.35">
      <c r="A1020" t="s">
        <v>668</v>
      </c>
      <c r="B1020" t="s">
        <v>11957</v>
      </c>
      <c r="C1020" t="s">
        <v>11958</v>
      </c>
      <c r="D1020" t="s">
        <v>11959</v>
      </c>
      <c r="F1020" t="s">
        <v>2366</v>
      </c>
      <c r="G1020" t="s">
        <v>147</v>
      </c>
      <c r="H1020">
        <v>5443</v>
      </c>
      <c r="I1020">
        <v>26865601</v>
      </c>
      <c r="J1020" t="s">
        <v>11960</v>
      </c>
    </row>
    <row r="1021" spans="1:10" x14ac:dyDescent="0.35">
      <c r="A1021" t="s">
        <v>3016</v>
      </c>
      <c r="B1021" t="s">
        <v>11961</v>
      </c>
      <c r="C1021" t="s">
        <v>11962</v>
      </c>
      <c r="D1021" t="s">
        <v>11963</v>
      </c>
      <c r="F1021" t="s">
        <v>75</v>
      </c>
      <c r="G1021" t="s">
        <v>76</v>
      </c>
      <c r="H1021">
        <v>6040</v>
      </c>
      <c r="I1021">
        <v>30161168</v>
      </c>
      <c r="J1021" t="s">
        <v>11964</v>
      </c>
    </row>
    <row r="1022" spans="1:10" x14ac:dyDescent="0.35">
      <c r="A1022" t="s">
        <v>1607</v>
      </c>
      <c r="B1022" t="s">
        <v>11965</v>
      </c>
      <c r="C1022" t="s">
        <v>11966</v>
      </c>
      <c r="D1022" t="s">
        <v>11967</v>
      </c>
      <c r="F1022" t="s">
        <v>6671</v>
      </c>
      <c r="G1022" t="s">
        <v>87</v>
      </c>
      <c r="H1022">
        <v>40222</v>
      </c>
      <c r="I1022">
        <v>96723074</v>
      </c>
      <c r="J1022" t="s">
        <v>11968</v>
      </c>
    </row>
    <row r="1023" spans="1:10" x14ac:dyDescent="0.35">
      <c r="A1023" t="s">
        <v>718</v>
      </c>
      <c r="B1023" t="s">
        <v>11969</v>
      </c>
      <c r="C1023" t="s">
        <v>11970</v>
      </c>
      <c r="D1023" t="s">
        <v>10764</v>
      </c>
      <c r="F1023" t="s">
        <v>1468</v>
      </c>
      <c r="G1023" t="s">
        <v>147</v>
      </c>
      <c r="H1023">
        <v>5641</v>
      </c>
      <c r="I1023">
        <v>29906758</v>
      </c>
      <c r="J1023" t="s">
        <v>11971</v>
      </c>
    </row>
    <row r="1024" spans="1:10" x14ac:dyDescent="0.35">
      <c r="A1024" t="s">
        <v>5470</v>
      </c>
      <c r="B1024" t="s">
        <v>11972</v>
      </c>
      <c r="C1024" t="s">
        <v>11973</v>
      </c>
      <c r="D1024" t="s">
        <v>9340</v>
      </c>
      <c r="F1024" t="s">
        <v>3221</v>
      </c>
      <c r="G1024" t="s">
        <v>51</v>
      </c>
      <c r="H1024">
        <v>94546</v>
      </c>
      <c r="I1024">
        <v>29739624</v>
      </c>
      <c r="J1024" t="s">
        <v>11974</v>
      </c>
    </row>
    <row r="1025" spans="1:10" x14ac:dyDescent="0.35">
      <c r="A1025" t="s">
        <v>2692</v>
      </c>
      <c r="B1025" t="s">
        <v>11975</v>
      </c>
      <c r="C1025" t="s">
        <v>11976</v>
      </c>
      <c r="D1025" t="s">
        <v>11977</v>
      </c>
      <c r="F1025" t="s">
        <v>334</v>
      </c>
      <c r="G1025" t="s">
        <v>51</v>
      </c>
      <c r="H1025">
        <v>94609</v>
      </c>
      <c r="I1025">
        <v>114760223</v>
      </c>
      <c r="J1025" t="s">
        <v>11978</v>
      </c>
    </row>
    <row r="1026" spans="1:10" x14ac:dyDescent="0.35">
      <c r="A1026" t="s">
        <v>5649</v>
      </c>
      <c r="B1026" t="s">
        <v>11979</v>
      </c>
      <c r="C1026" t="s">
        <v>11980</v>
      </c>
      <c r="D1026" t="s">
        <v>11981</v>
      </c>
      <c r="F1026" t="s">
        <v>278</v>
      </c>
      <c r="G1026" t="s">
        <v>97</v>
      </c>
      <c r="H1026">
        <v>21060</v>
      </c>
      <c r="I1026">
        <v>74187894</v>
      </c>
      <c r="J1026" t="s">
        <v>11982</v>
      </c>
    </row>
    <row r="1027" spans="1:10" x14ac:dyDescent="0.35">
      <c r="A1027" t="s">
        <v>6382</v>
      </c>
      <c r="B1027" t="s">
        <v>11983</v>
      </c>
      <c r="C1027" t="s">
        <v>11984</v>
      </c>
      <c r="D1027" t="s">
        <v>11146</v>
      </c>
      <c r="F1027" t="s">
        <v>209</v>
      </c>
      <c r="G1027" t="s">
        <v>74</v>
      </c>
      <c r="H1027">
        <v>32407</v>
      </c>
      <c r="I1027">
        <v>29578940</v>
      </c>
      <c r="J1027" t="s">
        <v>11985</v>
      </c>
    </row>
    <row r="1028" spans="1:10" x14ac:dyDescent="0.35">
      <c r="A1028" t="s">
        <v>1281</v>
      </c>
      <c r="B1028" t="s">
        <v>11986</v>
      </c>
      <c r="C1028" t="s">
        <v>11987</v>
      </c>
      <c r="D1028" t="s">
        <v>11988</v>
      </c>
      <c r="F1028" t="s">
        <v>63</v>
      </c>
      <c r="G1028" t="s">
        <v>64</v>
      </c>
      <c r="H1028">
        <v>37013</v>
      </c>
      <c r="I1028">
        <v>35605014</v>
      </c>
      <c r="J1028" t="s">
        <v>11989</v>
      </c>
    </row>
    <row r="1029" spans="1:10" x14ac:dyDescent="0.35">
      <c r="A1029" t="s">
        <v>3052</v>
      </c>
      <c r="B1029" t="s">
        <v>11990</v>
      </c>
      <c r="C1029" t="s">
        <v>11991</v>
      </c>
      <c r="D1029" t="s">
        <v>8935</v>
      </c>
      <c r="F1029" t="s">
        <v>35</v>
      </c>
      <c r="G1029" t="s">
        <v>36</v>
      </c>
      <c r="H1029">
        <v>31405</v>
      </c>
      <c r="I1029">
        <v>55522779</v>
      </c>
      <c r="J1029" t="s">
        <v>11992</v>
      </c>
    </row>
    <row r="1030" spans="1:10" x14ac:dyDescent="0.35">
      <c r="A1030" t="s">
        <v>11993</v>
      </c>
      <c r="B1030" t="s">
        <v>11994</v>
      </c>
      <c r="C1030" t="s">
        <v>11995</v>
      </c>
      <c r="D1030" t="s">
        <v>11996</v>
      </c>
      <c r="F1030" t="s">
        <v>124</v>
      </c>
      <c r="G1030" t="s">
        <v>117</v>
      </c>
      <c r="H1030">
        <v>72703</v>
      </c>
      <c r="I1030">
        <v>55071686</v>
      </c>
      <c r="J1030" t="s">
        <v>11997</v>
      </c>
    </row>
    <row r="1031" spans="1:10" x14ac:dyDescent="0.35">
      <c r="A1031" t="s">
        <v>309</v>
      </c>
      <c r="B1031" t="s">
        <v>11998</v>
      </c>
      <c r="C1031" t="s">
        <v>11999</v>
      </c>
      <c r="D1031" t="s">
        <v>12000</v>
      </c>
      <c r="F1031" t="s">
        <v>45</v>
      </c>
      <c r="G1031" t="s">
        <v>46</v>
      </c>
      <c r="H1031">
        <v>36109</v>
      </c>
      <c r="I1031">
        <v>25411072</v>
      </c>
      <c r="J1031" t="s">
        <v>12001</v>
      </c>
    </row>
    <row r="1032" spans="1:10" x14ac:dyDescent="0.35">
      <c r="A1032" t="s">
        <v>12002</v>
      </c>
      <c r="B1032" t="s">
        <v>12003</v>
      </c>
      <c r="C1032" t="s">
        <v>12004</v>
      </c>
      <c r="D1032" t="s">
        <v>12005</v>
      </c>
      <c r="F1032" t="s">
        <v>6751</v>
      </c>
      <c r="G1032" t="s">
        <v>139</v>
      </c>
      <c r="H1032">
        <v>2635</v>
      </c>
      <c r="I1032">
        <v>73202110</v>
      </c>
      <c r="J1032" t="s">
        <v>12006</v>
      </c>
    </row>
    <row r="1033" spans="1:10" x14ac:dyDescent="0.35">
      <c r="A1033" t="s">
        <v>1810</v>
      </c>
      <c r="B1033" t="s">
        <v>12007</v>
      </c>
      <c r="C1033" t="s">
        <v>12008</v>
      </c>
      <c r="D1033" t="s">
        <v>12009</v>
      </c>
      <c r="F1033" t="s">
        <v>75</v>
      </c>
      <c r="G1033" t="s">
        <v>76</v>
      </c>
      <c r="H1033">
        <v>6042</v>
      </c>
      <c r="I1033">
        <v>99978350</v>
      </c>
      <c r="J1033" t="s">
        <v>12010</v>
      </c>
    </row>
    <row r="1034" spans="1:10" x14ac:dyDescent="0.35">
      <c r="A1034" t="s">
        <v>3738</v>
      </c>
      <c r="B1034" t="s">
        <v>12011</v>
      </c>
      <c r="C1034" t="s">
        <v>12012</v>
      </c>
      <c r="D1034" t="s">
        <v>10976</v>
      </c>
      <c r="F1034" t="s">
        <v>35</v>
      </c>
      <c r="G1034" t="s">
        <v>36</v>
      </c>
      <c r="H1034">
        <v>31405</v>
      </c>
      <c r="I1034">
        <v>53851387</v>
      </c>
      <c r="J1034" t="s">
        <v>12013</v>
      </c>
    </row>
    <row r="1035" spans="1:10" x14ac:dyDescent="0.35">
      <c r="A1035" t="s">
        <v>4384</v>
      </c>
      <c r="B1035" t="s">
        <v>12014</v>
      </c>
      <c r="C1035" t="s">
        <v>12015</v>
      </c>
      <c r="D1035" t="s">
        <v>12016</v>
      </c>
      <c r="F1035" t="s">
        <v>35</v>
      </c>
      <c r="G1035" t="s">
        <v>36</v>
      </c>
      <c r="H1035">
        <v>31405</v>
      </c>
      <c r="I1035">
        <v>37059189</v>
      </c>
      <c r="J1035" t="s">
        <v>12017</v>
      </c>
    </row>
    <row r="1036" spans="1:10" x14ac:dyDescent="0.35">
      <c r="A1036" t="s">
        <v>3470</v>
      </c>
      <c r="B1036" t="s">
        <v>12018</v>
      </c>
      <c r="C1036" t="s">
        <v>12019</v>
      </c>
      <c r="D1036" t="s">
        <v>10521</v>
      </c>
      <c r="E1036" t="s">
        <v>10522</v>
      </c>
      <c r="F1036" t="s">
        <v>70</v>
      </c>
      <c r="G1036" t="s">
        <v>31</v>
      </c>
      <c r="H1036">
        <v>85308</v>
      </c>
      <c r="I1036">
        <v>73992459</v>
      </c>
      <c r="J1036" t="s">
        <v>12020</v>
      </c>
    </row>
    <row r="1037" spans="1:10" x14ac:dyDescent="0.35">
      <c r="A1037" t="s">
        <v>5132</v>
      </c>
      <c r="B1037" t="s">
        <v>12021</v>
      </c>
      <c r="C1037" t="s">
        <v>12022</v>
      </c>
      <c r="D1037" t="s">
        <v>12023</v>
      </c>
      <c r="F1037" t="s">
        <v>235</v>
      </c>
      <c r="G1037" t="s">
        <v>236</v>
      </c>
      <c r="H1037">
        <v>73162</v>
      </c>
      <c r="I1037">
        <v>124603778</v>
      </c>
      <c r="J1037" t="s">
        <v>12024</v>
      </c>
    </row>
    <row r="1038" spans="1:10" x14ac:dyDescent="0.35">
      <c r="A1038" t="s">
        <v>3577</v>
      </c>
      <c r="B1038" t="s">
        <v>12025</v>
      </c>
      <c r="C1038" t="s">
        <v>12026</v>
      </c>
      <c r="D1038" t="s">
        <v>12027</v>
      </c>
      <c r="F1038" t="s">
        <v>164</v>
      </c>
      <c r="G1038" t="s">
        <v>74</v>
      </c>
      <c r="H1038">
        <v>32444</v>
      </c>
      <c r="I1038">
        <v>74751932</v>
      </c>
      <c r="J1038" t="s">
        <v>12028</v>
      </c>
    </row>
    <row r="1039" spans="1:10" x14ac:dyDescent="0.35">
      <c r="A1039" t="s">
        <v>12029</v>
      </c>
      <c r="B1039" t="s">
        <v>12030</v>
      </c>
      <c r="C1039" t="s">
        <v>12031</v>
      </c>
      <c r="D1039" t="s">
        <v>12032</v>
      </c>
      <c r="E1039" t="s">
        <v>12033</v>
      </c>
      <c r="F1039" t="s">
        <v>70</v>
      </c>
      <c r="G1039" t="s">
        <v>31</v>
      </c>
      <c r="H1039">
        <v>85301</v>
      </c>
      <c r="I1039">
        <v>123252625</v>
      </c>
      <c r="J1039" t="s">
        <v>12034</v>
      </c>
    </row>
    <row r="1040" spans="1:10" x14ac:dyDescent="0.35">
      <c r="A1040" t="s">
        <v>12035</v>
      </c>
      <c r="B1040" t="s">
        <v>12036</v>
      </c>
      <c r="C1040" t="s">
        <v>12037</v>
      </c>
      <c r="D1040" t="s">
        <v>12038</v>
      </c>
      <c r="F1040" t="s">
        <v>45</v>
      </c>
      <c r="G1040" t="s">
        <v>46</v>
      </c>
      <c r="H1040">
        <v>36109</v>
      </c>
      <c r="I1040">
        <v>79019381</v>
      </c>
      <c r="J1040" t="s">
        <v>12039</v>
      </c>
    </row>
    <row r="1041" spans="1:10" x14ac:dyDescent="0.35">
      <c r="A1041" t="s">
        <v>536</v>
      </c>
      <c r="B1041" t="s">
        <v>12040</v>
      </c>
      <c r="C1041" t="s">
        <v>12041</v>
      </c>
      <c r="D1041" t="s">
        <v>12042</v>
      </c>
      <c r="F1041" t="s">
        <v>1637</v>
      </c>
      <c r="G1041" t="s">
        <v>97</v>
      </c>
      <c r="H1041">
        <v>21037</v>
      </c>
      <c r="I1041">
        <v>58818260</v>
      </c>
      <c r="J1041" t="s">
        <v>12043</v>
      </c>
    </row>
    <row r="1042" spans="1:10" x14ac:dyDescent="0.35">
      <c r="A1042" t="s">
        <v>1308</v>
      </c>
      <c r="B1042" t="s">
        <v>12044</v>
      </c>
      <c r="C1042" t="s">
        <v>12045</v>
      </c>
      <c r="D1042" t="s">
        <v>12046</v>
      </c>
      <c r="F1042" t="s">
        <v>12047</v>
      </c>
      <c r="G1042" t="s">
        <v>42</v>
      </c>
      <c r="H1042">
        <v>81007</v>
      </c>
      <c r="I1042">
        <v>64579632</v>
      </c>
      <c r="J1042" t="s">
        <v>12048</v>
      </c>
    </row>
    <row r="1043" spans="1:10" x14ac:dyDescent="0.35">
      <c r="A1043" t="s">
        <v>1961</v>
      </c>
      <c r="B1043" t="s">
        <v>12049</v>
      </c>
      <c r="C1043" t="s">
        <v>12050</v>
      </c>
      <c r="D1043" t="s">
        <v>12051</v>
      </c>
      <c r="E1043" t="s">
        <v>12052</v>
      </c>
      <c r="F1043" t="s">
        <v>70</v>
      </c>
      <c r="G1043" t="s">
        <v>31</v>
      </c>
      <c r="H1043">
        <v>85308</v>
      </c>
      <c r="I1043">
        <v>90628065</v>
      </c>
      <c r="J1043" t="s">
        <v>12053</v>
      </c>
    </row>
    <row r="1044" spans="1:10" x14ac:dyDescent="0.35">
      <c r="A1044" t="s">
        <v>1465</v>
      </c>
      <c r="B1044" t="s">
        <v>12054</v>
      </c>
      <c r="C1044" t="s">
        <v>9768</v>
      </c>
      <c r="D1044" t="s">
        <v>12055</v>
      </c>
      <c r="F1044" t="s">
        <v>35</v>
      </c>
      <c r="G1044" t="s">
        <v>36</v>
      </c>
      <c r="H1044">
        <v>31419</v>
      </c>
      <c r="I1044">
        <v>107794455</v>
      </c>
      <c r="J1044" t="s">
        <v>12056</v>
      </c>
    </row>
    <row r="1045" spans="1:10" x14ac:dyDescent="0.35">
      <c r="A1045" t="s">
        <v>486</v>
      </c>
      <c r="B1045" t="s">
        <v>12057</v>
      </c>
      <c r="C1045" t="s">
        <v>12058</v>
      </c>
      <c r="D1045" t="s">
        <v>10768</v>
      </c>
      <c r="F1045" t="s">
        <v>124</v>
      </c>
      <c r="G1045" t="s">
        <v>117</v>
      </c>
      <c r="H1045">
        <v>72701</v>
      </c>
      <c r="I1045">
        <v>56200838</v>
      </c>
      <c r="J1045" t="s">
        <v>12059</v>
      </c>
    </row>
    <row r="1046" spans="1:10" x14ac:dyDescent="0.35">
      <c r="A1046" t="s">
        <v>4751</v>
      </c>
      <c r="B1046" t="s">
        <v>12060</v>
      </c>
      <c r="C1046" t="s">
        <v>10053</v>
      </c>
      <c r="D1046" t="s">
        <v>12061</v>
      </c>
      <c r="F1046" t="s">
        <v>1816</v>
      </c>
      <c r="G1046" t="s">
        <v>236</v>
      </c>
      <c r="H1046">
        <v>73071</v>
      </c>
      <c r="I1046">
        <v>101128250</v>
      </c>
      <c r="J1046" t="s">
        <v>12062</v>
      </c>
    </row>
    <row r="1047" spans="1:10" x14ac:dyDescent="0.35">
      <c r="A1047" t="s">
        <v>2757</v>
      </c>
      <c r="B1047" t="s">
        <v>12063</v>
      </c>
      <c r="C1047" t="s">
        <v>12064</v>
      </c>
      <c r="D1047" t="s">
        <v>12065</v>
      </c>
      <c r="F1047" t="s">
        <v>1071</v>
      </c>
      <c r="G1047" t="s">
        <v>236</v>
      </c>
      <c r="H1047">
        <v>73012</v>
      </c>
      <c r="I1047">
        <v>91856195</v>
      </c>
      <c r="J1047" t="s">
        <v>12066</v>
      </c>
    </row>
    <row r="1048" spans="1:10" x14ac:dyDescent="0.35">
      <c r="A1048" t="s">
        <v>2850</v>
      </c>
      <c r="B1048" t="s">
        <v>12067</v>
      </c>
      <c r="C1048" t="s">
        <v>12068</v>
      </c>
      <c r="D1048" t="s">
        <v>12069</v>
      </c>
      <c r="F1048" t="s">
        <v>1096</v>
      </c>
      <c r="G1048" t="s">
        <v>76</v>
      </c>
      <c r="H1048">
        <v>6340</v>
      </c>
      <c r="I1048">
        <v>53083197</v>
      </c>
      <c r="J1048" t="s">
        <v>12070</v>
      </c>
    </row>
    <row r="1049" spans="1:10" x14ac:dyDescent="0.35">
      <c r="A1049" t="s">
        <v>12071</v>
      </c>
      <c r="B1049" t="s">
        <v>12072</v>
      </c>
      <c r="C1049" t="s">
        <v>10567</v>
      </c>
      <c r="D1049" t="s">
        <v>12073</v>
      </c>
      <c r="F1049" t="s">
        <v>124</v>
      </c>
      <c r="G1049" t="s">
        <v>117</v>
      </c>
      <c r="H1049">
        <v>72701</v>
      </c>
      <c r="I1049">
        <v>43638332</v>
      </c>
      <c r="J1049" t="s">
        <v>12074</v>
      </c>
    </row>
    <row r="1050" spans="1:10" x14ac:dyDescent="0.35">
      <c r="A1050" t="s">
        <v>6419</v>
      </c>
      <c r="B1050" t="s">
        <v>12075</v>
      </c>
      <c r="C1050" t="s">
        <v>12076</v>
      </c>
      <c r="D1050" t="s">
        <v>10111</v>
      </c>
      <c r="F1050" t="s">
        <v>92</v>
      </c>
      <c r="G1050" t="s">
        <v>51</v>
      </c>
      <c r="H1050">
        <v>94579</v>
      </c>
      <c r="I1050">
        <v>80652724</v>
      </c>
      <c r="J1050" t="s">
        <v>12077</v>
      </c>
    </row>
    <row r="1051" spans="1:10" x14ac:dyDescent="0.35">
      <c r="A1051" t="s">
        <v>1773</v>
      </c>
      <c r="B1051" t="s">
        <v>12078</v>
      </c>
      <c r="C1051" t="s">
        <v>11834</v>
      </c>
      <c r="D1051" t="s">
        <v>12079</v>
      </c>
      <c r="F1051" t="s">
        <v>130</v>
      </c>
      <c r="G1051" t="s">
        <v>123</v>
      </c>
      <c r="H1051">
        <v>20019</v>
      </c>
      <c r="I1051">
        <v>58532290</v>
      </c>
      <c r="J1051" t="s">
        <v>12080</v>
      </c>
    </row>
    <row r="1052" spans="1:10" x14ac:dyDescent="0.35">
      <c r="A1052" t="s">
        <v>275</v>
      </c>
      <c r="B1052" t="s">
        <v>12081</v>
      </c>
      <c r="C1052" t="s">
        <v>12082</v>
      </c>
      <c r="D1052" t="s">
        <v>12083</v>
      </c>
      <c r="F1052" t="s">
        <v>124</v>
      </c>
      <c r="G1052" t="s">
        <v>117</v>
      </c>
      <c r="H1052">
        <v>72703</v>
      </c>
      <c r="I1052">
        <v>49847059</v>
      </c>
      <c r="J1052" t="s">
        <v>12084</v>
      </c>
    </row>
    <row r="1053" spans="1:10" x14ac:dyDescent="0.35">
      <c r="A1053" t="s">
        <v>3212</v>
      </c>
      <c r="B1053" t="s">
        <v>12085</v>
      </c>
      <c r="C1053" t="s">
        <v>12086</v>
      </c>
      <c r="D1053" t="s">
        <v>9206</v>
      </c>
      <c r="E1053" t="s">
        <v>9207</v>
      </c>
      <c r="F1053" t="s">
        <v>112</v>
      </c>
      <c r="G1053" t="s">
        <v>106</v>
      </c>
      <c r="H1053">
        <v>99501</v>
      </c>
      <c r="I1053">
        <v>28402266</v>
      </c>
      <c r="J1053" t="s">
        <v>12087</v>
      </c>
    </row>
    <row r="1054" spans="1:10" x14ac:dyDescent="0.35">
      <c r="A1054" t="s">
        <v>4388</v>
      </c>
      <c r="B1054" t="s">
        <v>12088</v>
      </c>
      <c r="C1054" t="s">
        <v>12089</v>
      </c>
      <c r="D1054" t="s">
        <v>7994</v>
      </c>
      <c r="F1054" t="s">
        <v>70</v>
      </c>
      <c r="G1054" t="s">
        <v>31</v>
      </c>
      <c r="H1054">
        <v>85308</v>
      </c>
      <c r="I1054">
        <v>105276865</v>
      </c>
      <c r="J1054" t="s">
        <v>12090</v>
      </c>
    </row>
    <row r="1055" spans="1:10" x14ac:dyDescent="0.35">
      <c r="A1055" t="s">
        <v>2481</v>
      </c>
      <c r="B1055" t="s">
        <v>12091</v>
      </c>
      <c r="C1055" t="s">
        <v>10548</v>
      </c>
      <c r="D1055" t="s">
        <v>12092</v>
      </c>
      <c r="E1055" t="s">
        <v>8992</v>
      </c>
      <c r="F1055" t="s">
        <v>543</v>
      </c>
      <c r="G1055" t="s">
        <v>51</v>
      </c>
      <c r="H1055">
        <v>94708</v>
      </c>
      <c r="I1055">
        <v>46143921</v>
      </c>
      <c r="J1055" t="s">
        <v>12093</v>
      </c>
    </row>
    <row r="1056" spans="1:10" x14ac:dyDescent="0.35">
      <c r="A1056" t="s">
        <v>6674</v>
      </c>
      <c r="B1056" t="s">
        <v>12094</v>
      </c>
      <c r="C1056" t="s">
        <v>12095</v>
      </c>
      <c r="D1056" t="s">
        <v>9677</v>
      </c>
      <c r="F1056" t="s">
        <v>70</v>
      </c>
      <c r="G1056" t="s">
        <v>31</v>
      </c>
      <c r="H1056">
        <v>85303</v>
      </c>
      <c r="I1056">
        <v>109491235</v>
      </c>
      <c r="J1056" t="s">
        <v>12096</v>
      </c>
    </row>
    <row r="1057" spans="1:10" x14ac:dyDescent="0.35">
      <c r="A1057" t="s">
        <v>5524</v>
      </c>
      <c r="B1057" t="s">
        <v>12097</v>
      </c>
      <c r="C1057" t="s">
        <v>12098</v>
      </c>
      <c r="D1057" t="s">
        <v>12099</v>
      </c>
      <c r="F1057" t="s">
        <v>5513</v>
      </c>
      <c r="G1057" t="s">
        <v>147</v>
      </c>
      <c r="H1057">
        <v>5650</v>
      </c>
      <c r="I1057">
        <v>129268260</v>
      </c>
      <c r="J1057" t="s">
        <v>12100</v>
      </c>
    </row>
    <row r="1058" spans="1:10" x14ac:dyDescent="0.35">
      <c r="A1058" t="s">
        <v>1610</v>
      </c>
      <c r="B1058" t="s">
        <v>12101</v>
      </c>
      <c r="C1058" t="s">
        <v>9951</v>
      </c>
      <c r="D1058" t="s">
        <v>12102</v>
      </c>
      <c r="F1058" t="s">
        <v>124</v>
      </c>
      <c r="G1058" t="s">
        <v>117</v>
      </c>
      <c r="H1058">
        <v>72704</v>
      </c>
      <c r="I1058">
        <v>118975111</v>
      </c>
      <c r="J1058" t="s">
        <v>12103</v>
      </c>
    </row>
    <row r="1059" spans="1:10" x14ac:dyDescent="0.35">
      <c r="A1059" t="s">
        <v>1312</v>
      </c>
      <c r="B1059" t="s">
        <v>12104</v>
      </c>
      <c r="C1059" t="s">
        <v>12105</v>
      </c>
      <c r="D1059" t="s">
        <v>9591</v>
      </c>
      <c r="F1059" t="s">
        <v>130</v>
      </c>
      <c r="G1059" t="s">
        <v>123</v>
      </c>
      <c r="H1059">
        <v>20011</v>
      </c>
      <c r="I1059">
        <v>95353720</v>
      </c>
      <c r="J1059" t="s">
        <v>12106</v>
      </c>
    </row>
    <row r="1060" spans="1:10" x14ac:dyDescent="0.35">
      <c r="A1060" t="s">
        <v>1473</v>
      </c>
      <c r="B1060" t="s">
        <v>12107</v>
      </c>
      <c r="C1060" t="s">
        <v>12108</v>
      </c>
      <c r="D1060" t="s">
        <v>12109</v>
      </c>
      <c r="F1060" t="s">
        <v>45</v>
      </c>
      <c r="G1060" t="s">
        <v>46</v>
      </c>
      <c r="H1060">
        <v>36106</v>
      </c>
      <c r="I1060">
        <v>75453158</v>
      </c>
      <c r="J1060" t="s">
        <v>12110</v>
      </c>
    </row>
    <row r="1061" spans="1:10" x14ac:dyDescent="0.35">
      <c r="A1061" t="s">
        <v>1720</v>
      </c>
      <c r="B1061" t="s">
        <v>12111</v>
      </c>
      <c r="C1061" t="s">
        <v>12112</v>
      </c>
      <c r="D1061" t="s">
        <v>8418</v>
      </c>
      <c r="F1061" t="s">
        <v>6758</v>
      </c>
      <c r="G1061" t="s">
        <v>51</v>
      </c>
      <c r="H1061">
        <v>95685</v>
      </c>
      <c r="I1061">
        <v>80971515</v>
      </c>
      <c r="J1061" t="s">
        <v>12113</v>
      </c>
    </row>
    <row r="1062" spans="1:10" x14ac:dyDescent="0.35">
      <c r="A1062" t="s">
        <v>12114</v>
      </c>
      <c r="B1062" t="s">
        <v>12115</v>
      </c>
      <c r="C1062" t="s">
        <v>12116</v>
      </c>
      <c r="D1062" t="s">
        <v>12117</v>
      </c>
      <c r="F1062" t="s">
        <v>70</v>
      </c>
      <c r="G1062" t="s">
        <v>31</v>
      </c>
      <c r="H1062">
        <v>85304</v>
      </c>
      <c r="I1062">
        <v>114540168</v>
      </c>
      <c r="J1062" t="s">
        <v>12118</v>
      </c>
    </row>
    <row r="1063" spans="1:10" x14ac:dyDescent="0.35">
      <c r="A1063" t="s">
        <v>1361</v>
      </c>
      <c r="B1063" t="s">
        <v>12119</v>
      </c>
      <c r="C1063" t="s">
        <v>12120</v>
      </c>
      <c r="D1063" t="s">
        <v>10988</v>
      </c>
      <c r="F1063" t="s">
        <v>96</v>
      </c>
      <c r="G1063" t="s">
        <v>97</v>
      </c>
      <c r="H1063">
        <v>21114</v>
      </c>
      <c r="I1063">
        <v>73554389</v>
      </c>
      <c r="J1063" t="s">
        <v>12121</v>
      </c>
    </row>
    <row r="1064" spans="1:10" x14ac:dyDescent="0.35">
      <c r="A1064" t="s">
        <v>2322</v>
      </c>
      <c r="B1064" t="s">
        <v>12122</v>
      </c>
      <c r="C1064" t="s">
        <v>12123</v>
      </c>
      <c r="D1064" t="s">
        <v>9435</v>
      </c>
      <c r="F1064" t="s">
        <v>235</v>
      </c>
      <c r="G1064" t="s">
        <v>236</v>
      </c>
      <c r="H1064">
        <v>73103</v>
      </c>
      <c r="I1064">
        <v>104880126</v>
      </c>
      <c r="J1064" t="s">
        <v>12124</v>
      </c>
    </row>
    <row r="1065" spans="1:10" x14ac:dyDescent="0.35">
      <c r="A1065" t="s">
        <v>3434</v>
      </c>
      <c r="B1065" t="s">
        <v>12125</v>
      </c>
      <c r="C1065" t="s">
        <v>12126</v>
      </c>
      <c r="D1065" t="s">
        <v>12127</v>
      </c>
      <c r="F1065" t="s">
        <v>1937</v>
      </c>
      <c r="G1065" t="s">
        <v>51</v>
      </c>
      <c r="H1065">
        <v>92027</v>
      </c>
      <c r="I1065">
        <v>42699071</v>
      </c>
      <c r="J1065" t="s">
        <v>12128</v>
      </c>
    </row>
    <row r="1066" spans="1:10" x14ac:dyDescent="0.35">
      <c r="A1066" t="s">
        <v>2273</v>
      </c>
      <c r="B1066" t="s">
        <v>12129</v>
      </c>
      <c r="C1066" t="s">
        <v>12130</v>
      </c>
      <c r="D1066" t="s">
        <v>12131</v>
      </c>
      <c r="F1066" t="s">
        <v>112</v>
      </c>
      <c r="G1066" t="s">
        <v>106</v>
      </c>
      <c r="H1066">
        <v>99518</v>
      </c>
      <c r="I1066">
        <v>110834535</v>
      </c>
      <c r="J1066" t="s">
        <v>12132</v>
      </c>
    </row>
    <row r="1067" spans="1:10" x14ac:dyDescent="0.35">
      <c r="A1067" t="s">
        <v>4636</v>
      </c>
      <c r="B1067" t="s">
        <v>12133</v>
      </c>
      <c r="C1067" t="s">
        <v>12134</v>
      </c>
      <c r="D1067" t="s">
        <v>8322</v>
      </c>
      <c r="F1067" t="s">
        <v>112</v>
      </c>
      <c r="G1067" t="s">
        <v>106</v>
      </c>
      <c r="H1067">
        <v>99567</v>
      </c>
      <c r="I1067">
        <v>114257215</v>
      </c>
      <c r="J1067" t="s">
        <v>12135</v>
      </c>
    </row>
    <row r="1068" spans="1:10" x14ac:dyDescent="0.35">
      <c r="A1068" t="s">
        <v>5435</v>
      </c>
      <c r="B1068" t="s">
        <v>12136</v>
      </c>
      <c r="C1068" t="s">
        <v>12137</v>
      </c>
      <c r="D1068" t="s">
        <v>12138</v>
      </c>
      <c r="F1068" t="s">
        <v>130</v>
      </c>
      <c r="G1068" t="s">
        <v>123</v>
      </c>
      <c r="H1068">
        <v>20001</v>
      </c>
      <c r="I1068">
        <v>30527016</v>
      </c>
      <c r="J1068" t="s">
        <v>12139</v>
      </c>
    </row>
    <row r="1069" spans="1:10" x14ac:dyDescent="0.35">
      <c r="A1069" t="s">
        <v>621</v>
      </c>
      <c r="B1069" t="s">
        <v>12140</v>
      </c>
      <c r="C1069" t="s">
        <v>12141</v>
      </c>
      <c r="D1069" t="s">
        <v>12142</v>
      </c>
      <c r="F1069" t="s">
        <v>45</v>
      </c>
      <c r="G1069" t="s">
        <v>46</v>
      </c>
      <c r="H1069">
        <v>36109</v>
      </c>
      <c r="I1069">
        <v>67351417</v>
      </c>
      <c r="J1069" t="s">
        <v>12143</v>
      </c>
    </row>
    <row r="1070" spans="1:10" x14ac:dyDescent="0.35">
      <c r="A1070" t="s">
        <v>2079</v>
      </c>
      <c r="B1070" t="s">
        <v>12144</v>
      </c>
      <c r="C1070" t="s">
        <v>12145</v>
      </c>
      <c r="D1070" t="s">
        <v>12146</v>
      </c>
      <c r="E1070" t="s">
        <v>12147</v>
      </c>
      <c r="F1070" t="s">
        <v>118</v>
      </c>
      <c r="G1070" t="s">
        <v>42</v>
      </c>
      <c r="H1070">
        <v>80003</v>
      </c>
      <c r="I1070">
        <v>70470916</v>
      </c>
      <c r="J1070" t="s">
        <v>12148</v>
      </c>
    </row>
    <row r="1071" spans="1:10" x14ac:dyDescent="0.35">
      <c r="A1071" t="s">
        <v>1033</v>
      </c>
      <c r="B1071" t="s">
        <v>12149</v>
      </c>
      <c r="C1071" t="s">
        <v>12150</v>
      </c>
      <c r="D1071" t="s">
        <v>12151</v>
      </c>
      <c r="F1071" t="s">
        <v>118</v>
      </c>
      <c r="G1071" t="s">
        <v>42</v>
      </c>
      <c r="H1071">
        <v>80004</v>
      </c>
      <c r="I1071">
        <v>30867103</v>
      </c>
      <c r="J1071" t="s">
        <v>12152</v>
      </c>
    </row>
    <row r="1072" spans="1:10" x14ac:dyDescent="0.35">
      <c r="A1072" t="s">
        <v>1438</v>
      </c>
      <c r="B1072" t="s">
        <v>12153</v>
      </c>
      <c r="C1072" t="s">
        <v>12154</v>
      </c>
      <c r="D1072" t="s">
        <v>12155</v>
      </c>
      <c r="F1072" t="s">
        <v>70</v>
      </c>
      <c r="G1072" t="s">
        <v>31</v>
      </c>
      <c r="H1072">
        <v>85302</v>
      </c>
      <c r="I1072">
        <v>37705116</v>
      </c>
      <c r="J1072" t="s">
        <v>12156</v>
      </c>
    </row>
    <row r="1073" spans="1:10" x14ac:dyDescent="0.35">
      <c r="A1073" t="s">
        <v>6225</v>
      </c>
      <c r="B1073" t="s">
        <v>12157</v>
      </c>
      <c r="C1073" t="s">
        <v>12158</v>
      </c>
      <c r="D1073" t="s">
        <v>9370</v>
      </c>
      <c r="F1073" t="s">
        <v>118</v>
      </c>
      <c r="G1073" t="s">
        <v>42</v>
      </c>
      <c r="H1073">
        <v>80005</v>
      </c>
      <c r="I1073">
        <v>29500468</v>
      </c>
      <c r="J1073" t="s">
        <v>12159</v>
      </c>
    </row>
    <row r="1074" spans="1:10" x14ac:dyDescent="0.35">
      <c r="A1074" t="s">
        <v>3209</v>
      </c>
      <c r="B1074" t="s">
        <v>12160</v>
      </c>
      <c r="C1074" t="s">
        <v>12161</v>
      </c>
      <c r="D1074" t="s">
        <v>8184</v>
      </c>
      <c r="F1074" t="s">
        <v>1464</v>
      </c>
      <c r="G1074" t="s">
        <v>97</v>
      </c>
      <c r="H1074">
        <v>21146</v>
      </c>
      <c r="I1074">
        <v>19429753</v>
      </c>
      <c r="J1074" t="s">
        <v>12162</v>
      </c>
    </row>
    <row r="1075" spans="1:10" x14ac:dyDescent="0.35">
      <c r="A1075" t="s">
        <v>820</v>
      </c>
      <c r="B1075" t="s">
        <v>12163</v>
      </c>
      <c r="C1075" t="s">
        <v>8413</v>
      </c>
      <c r="D1075" t="s">
        <v>12164</v>
      </c>
      <c r="F1075" t="s">
        <v>830</v>
      </c>
      <c r="G1075" t="s">
        <v>51</v>
      </c>
      <c r="H1075">
        <v>94536</v>
      </c>
      <c r="I1075">
        <v>12915345</v>
      </c>
      <c r="J1075" t="s">
        <v>12165</v>
      </c>
    </row>
    <row r="1076" spans="1:10" x14ac:dyDescent="0.35">
      <c r="A1076" t="s">
        <v>6885</v>
      </c>
      <c r="B1076" t="s">
        <v>12166</v>
      </c>
      <c r="C1076" t="s">
        <v>12167</v>
      </c>
      <c r="D1076" t="s">
        <v>12168</v>
      </c>
      <c r="F1076" t="s">
        <v>63</v>
      </c>
      <c r="G1076" t="s">
        <v>64</v>
      </c>
      <c r="H1076">
        <v>37211</v>
      </c>
      <c r="I1076">
        <v>37303916</v>
      </c>
      <c r="J1076" t="s">
        <v>12169</v>
      </c>
    </row>
    <row r="1077" spans="1:10" x14ac:dyDescent="0.35">
      <c r="A1077" t="s">
        <v>650</v>
      </c>
      <c r="B1077" t="s">
        <v>12170</v>
      </c>
      <c r="C1077" t="s">
        <v>11950</v>
      </c>
      <c r="D1077" t="s">
        <v>12171</v>
      </c>
      <c r="F1077" t="s">
        <v>45</v>
      </c>
      <c r="G1077" t="s">
        <v>46</v>
      </c>
      <c r="H1077">
        <v>36117</v>
      </c>
      <c r="I1077">
        <v>88670436</v>
      </c>
      <c r="J1077" t="s">
        <v>12172</v>
      </c>
    </row>
    <row r="1078" spans="1:10" x14ac:dyDescent="0.35">
      <c r="A1078" t="s">
        <v>2460</v>
      </c>
      <c r="B1078" t="s">
        <v>12173</v>
      </c>
      <c r="C1078" t="s">
        <v>12174</v>
      </c>
      <c r="D1078" t="s">
        <v>12175</v>
      </c>
      <c r="F1078" t="s">
        <v>130</v>
      </c>
      <c r="G1078" t="s">
        <v>123</v>
      </c>
      <c r="H1078">
        <v>20017</v>
      </c>
      <c r="I1078">
        <v>127115137</v>
      </c>
      <c r="J1078" t="s">
        <v>12176</v>
      </c>
    </row>
    <row r="1079" spans="1:10" x14ac:dyDescent="0.35">
      <c r="A1079" t="s">
        <v>1524</v>
      </c>
      <c r="B1079" t="s">
        <v>12177</v>
      </c>
      <c r="C1079" t="s">
        <v>12178</v>
      </c>
      <c r="D1079" t="s">
        <v>12179</v>
      </c>
      <c r="F1079" t="s">
        <v>937</v>
      </c>
      <c r="G1079" t="s">
        <v>42</v>
      </c>
      <c r="H1079">
        <v>80631</v>
      </c>
      <c r="I1079">
        <v>66836593</v>
      </c>
      <c r="J1079" t="s">
        <v>12180</v>
      </c>
    </row>
    <row r="1080" spans="1:10" x14ac:dyDescent="0.35">
      <c r="A1080" t="s">
        <v>7736</v>
      </c>
      <c r="B1080" t="s">
        <v>12181</v>
      </c>
      <c r="C1080" t="s">
        <v>12182</v>
      </c>
      <c r="D1080" t="s">
        <v>12183</v>
      </c>
      <c r="F1080" t="s">
        <v>130</v>
      </c>
      <c r="G1080" t="s">
        <v>123</v>
      </c>
      <c r="H1080">
        <v>20009</v>
      </c>
      <c r="I1080">
        <v>10247879</v>
      </c>
      <c r="J1080" t="s">
        <v>12184</v>
      </c>
    </row>
    <row r="1081" spans="1:10" x14ac:dyDescent="0.35">
      <c r="A1081" t="s">
        <v>775</v>
      </c>
      <c r="B1081" t="s">
        <v>12185</v>
      </c>
      <c r="C1081" t="s">
        <v>12186</v>
      </c>
      <c r="D1081" t="s">
        <v>12187</v>
      </c>
      <c r="F1081" t="s">
        <v>6182</v>
      </c>
      <c r="G1081" t="s">
        <v>147</v>
      </c>
      <c r="H1081">
        <v>5855</v>
      </c>
      <c r="I1081">
        <v>36990087</v>
      </c>
      <c r="J1081" t="s">
        <v>12188</v>
      </c>
    </row>
    <row r="1082" spans="1:10" x14ac:dyDescent="0.35">
      <c r="A1082" t="s">
        <v>7035</v>
      </c>
      <c r="B1082" t="s">
        <v>12189</v>
      </c>
      <c r="C1082" t="s">
        <v>12190</v>
      </c>
      <c r="D1082" t="s">
        <v>12191</v>
      </c>
      <c r="F1082" t="s">
        <v>118</v>
      </c>
      <c r="G1082" t="s">
        <v>42</v>
      </c>
      <c r="H1082">
        <v>80003</v>
      </c>
      <c r="I1082">
        <v>98884979</v>
      </c>
      <c r="J1082" t="s">
        <v>12192</v>
      </c>
    </row>
    <row r="1083" spans="1:10" x14ac:dyDescent="0.35">
      <c r="A1083" t="s">
        <v>3167</v>
      </c>
      <c r="B1083" t="s">
        <v>12193</v>
      </c>
      <c r="C1083" t="s">
        <v>12194</v>
      </c>
      <c r="D1083" t="s">
        <v>12195</v>
      </c>
      <c r="F1083" t="s">
        <v>209</v>
      </c>
      <c r="G1083" t="s">
        <v>74</v>
      </c>
      <c r="H1083">
        <v>32404</v>
      </c>
      <c r="I1083">
        <v>111378401</v>
      </c>
      <c r="J1083" t="s">
        <v>12196</v>
      </c>
    </row>
    <row r="1084" spans="1:10" x14ac:dyDescent="0.35">
      <c r="A1084" t="s">
        <v>12197</v>
      </c>
      <c r="B1084" t="s">
        <v>12198</v>
      </c>
      <c r="C1084" t="s">
        <v>12199</v>
      </c>
      <c r="D1084" t="s">
        <v>12200</v>
      </c>
      <c r="F1084" t="s">
        <v>75</v>
      </c>
      <c r="G1084" t="s">
        <v>76</v>
      </c>
      <c r="H1084">
        <v>6042</v>
      </c>
      <c r="I1084">
        <v>89407831</v>
      </c>
      <c r="J1084" t="s">
        <v>12201</v>
      </c>
    </row>
    <row r="1085" spans="1:10" x14ac:dyDescent="0.35">
      <c r="A1085" t="s">
        <v>12202</v>
      </c>
      <c r="B1085" t="s">
        <v>12203</v>
      </c>
      <c r="C1085" t="s">
        <v>12204</v>
      </c>
      <c r="D1085" t="s">
        <v>10811</v>
      </c>
      <c r="F1085" t="s">
        <v>35</v>
      </c>
      <c r="G1085" t="s">
        <v>36</v>
      </c>
      <c r="H1085">
        <v>31404</v>
      </c>
      <c r="I1085">
        <v>105068277</v>
      </c>
      <c r="J1085" t="s">
        <v>12205</v>
      </c>
    </row>
    <row r="1086" spans="1:10" x14ac:dyDescent="0.35">
      <c r="A1086" t="s">
        <v>4275</v>
      </c>
      <c r="B1086" t="s">
        <v>12206</v>
      </c>
      <c r="C1086" t="s">
        <v>9210</v>
      </c>
      <c r="D1086" t="s">
        <v>12207</v>
      </c>
      <c r="E1086" t="s">
        <v>12208</v>
      </c>
      <c r="F1086" t="s">
        <v>112</v>
      </c>
      <c r="G1086" t="s">
        <v>106</v>
      </c>
      <c r="H1086">
        <v>99508</v>
      </c>
      <c r="I1086">
        <v>23671555</v>
      </c>
      <c r="J1086" t="s">
        <v>12209</v>
      </c>
    </row>
    <row r="1087" spans="1:10" x14ac:dyDescent="0.35">
      <c r="A1087" t="s">
        <v>3255</v>
      </c>
      <c r="B1087" t="s">
        <v>12210</v>
      </c>
      <c r="C1087" t="s">
        <v>12211</v>
      </c>
      <c r="D1087" t="s">
        <v>12212</v>
      </c>
      <c r="F1087" t="s">
        <v>35</v>
      </c>
      <c r="G1087" t="s">
        <v>36</v>
      </c>
      <c r="H1087">
        <v>31419</v>
      </c>
      <c r="I1087">
        <v>93317946</v>
      </c>
      <c r="J1087" t="s">
        <v>12213</v>
      </c>
    </row>
    <row r="1088" spans="1:10" x14ac:dyDescent="0.35">
      <c r="A1088" t="s">
        <v>575</v>
      </c>
      <c r="B1088" t="s">
        <v>12214</v>
      </c>
      <c r="C1088" t="s">
        <v>12215</v>
      </c>
      <c r="D1088" t="s">
        <v>12216</v>
      </c>
      <c r="F1088" t="s">
        <v>130</v>
      </c>
      <c r="G1088" t="s">
        <v>123</v>
      </c>
      <c r="H1088">
        <v>20001</v>
      </c>
      <c r="I1088">
        <v>72577192</v>
      </c>
      <c r="J1088" t="s">
        <v>12217</v>
      </c>
    </row>
    <row r="1089" spans="1:10" x14ac:dyDescent="0.35">
      <c r="A1089" t="s">
        <v>977</v>
      </c>
      <c r="B1089" t="s">
        <v>12218</v>
      </c>
      <c r="C1089" t="s">
        <v>12219</v>
      </c>
      <c r="D1089" t="s">
        <v>12220</v>
      </c>
      <c r="F1089" t="s">
        <v>8375</v>
      </c>
      <c r="G1089" t="s">
        <v>139</v>
      </c>
      <c r="H1089">
        <v>2343</v>
      </c>
      <c r="I1089">
        <v>106103775</v>
      </c>
      <c r="J1089" t="s">
        <v>12221</v>
      </c>
    </row>
    <row r="1090" spans="1:10" x14ac:dyDescent="0.35">
      <c r="A1090" t="s">
        <v>6511</v>
      </c>
      <c r="B1090" t="s">
        <v>12222</v>
      </c>
      <c r="C1090" t="s">
        <v>12223</v>
      </c>
      <c r="D1090" t="s">
        <v>12224</v>
      </c>
      <c r="E1090" t="s">
        <v>12225</v>
      </c>
      <c r="F1090" t="s">
        <v>70</v>
      </c>
      <c r="G1090" t="s">
        <v>31</v>
      </c>
      <c r="H1090">
        <v>85308</v>
      </c>
      <c r="I1090">
        <v>53249229</v>
      </c>
      <c r="J1090" t="s">
        <v>12226</v>
      </c>
    </row>
    <row r="1091" spans="1:10" x14ac:dyDescent="0.35">
      <c r="A1091" t="s">
        <v>5392</v>
      </c>
      <c r="B1091" t="s">
        <v>12227</v>
      </c>
      <c r="C1091" t="s">
        <v>12228</v>
      </c>
      <c r="D1091" t="s">
        <v>12038</v>
      </c>
      <c r="F1091" t="s">
        <v>45</v>
      </c>
      <c r="G1091" t="s">
        <v>46</v>
      </c>
      <c r="H1091">
        <v>36109</v>
      </c>
      <c r="I1091">
        <v>17647838</v>
      </c>
      <c r="J1091" t="s">
        <v>12229</v>
      </c>
    </row>
    <row r="1092" spans="1:10" x14ac:dyDescent="0.35">
      <c r="A1092" t="s">
        <v>2349</v>
      </c>
      <c r="B1092" t="s">
        <v>12230</v>
      </c>
      <c r="C1092" t="s">
        <v>12231</v>
      </c>
      <c r="D1092" t="s">
        <v>12232</v>
      </c>
      <c r="F1092" t="s">
        <v>130</v>
      </c>
      <c r="G1092" t="s">
        <v>123</v>
      </c>
      <c r="H1092">
        <v>20018</v>
      </c>
      <c r="I1092">
        <v>122681190</v>
      </c>
      <c r="J1092" t="s">
        <v>12233</v>
      </c>
    </row>
    <row r="1093" spans="1:10" x14ac:dyDescent="0.35">
      <c r="A1093" t="s">
        <v>1097</v>
      </c>
      <c r="B1093" t="s">
        <v>12234</v>
      </c>
      <c r="C1093" t="s">
        <v>12235</v>
      </c>
      <c r="D1093" t="s">
        <v>12236</v>
      </c>
      <c r="F1093" t="s">
        <v>1950</v>
      </c>
      <c r="G1093" t="s">
        <v>42</v>
      </c>
      <c r="H1093">
        <v>80016</v>
      </c>
      <c r="I1093">
        <v>45150876</v>
      </c>
      <c r="J1093" t="s">
        <v>12237</v>
      </c>
    </row>
    <row r="1094" spans="1:10" x14ac:dyDescent="0.35">
      <c r="A1094" t="s">
        <v>99</v>
      </c>
      <c r="B1094" t="s">
        <v>12238</v>
      </c>
      <c r="C1094" t="s">
        <v>12239</v>
      </c>
      <c r="D1094" t="s">
        <v>10687</v>
      </c>
      <c r="F1094" t="s">
        <v>45</v>
      </c>
      <c r="G1094" t="s">
        <v>46</v>
      </c>
      <c r="H1094">
        <v>36108</v>
      </c>
      <c r="I1094">
        <v>123461076</v>
      </c>
      <c r="J1094" t="s">
        <v>12240</v>
      </c>
    </row>
    <row r="1095" spans="1:10" x14ac:dyDescent="0.35">
      <c r="A1095" t="s">
        <v>2112</v>
      </c>
      <c r="B1095" t="s">
        <v>12241</v>
      </c>
      <c r="C1095" t="s">
        <v>12242</v>
      </c>
      <c r="D1095" t="s">
        <v>10815</v>
      </c>
      <c r="F1095" t="s">
        <v>82</v>
      </c>
      <c r="G1095" t="s">
        <v>74</v>
      </c>
      <c r="H1095">
        <v>32413</v>
      </c>
      <c r="I1095">
        <v>20494832</v>
      </c>
      <c r="J1095" t="s">
        <v>12243</v>
      </c>
    </row>
    <row r="1096" spans="1:10" x14ac:dyDescent="0.35">
      <c r="A1096" t="s">
        <v>4003</v>
      </c>
      <c r="B1096" t="s">
        <v>12244</v>
      </c>
      <c r="C1096" t="s">
        <v>12245</v>
      </c>
      <c r="D1096" t="s">
        <v>11320</v>
      </c>
      <c r="F1096" t="s">
        <v>334</v>
      </c>
      <c r="G1096" t="s">
        <v>51</v>
      </c>
      <c r="H1096">
        <v>94621</v>
      </c>
      <c r="I1096">
        <v>54177497</v>
      </c>
      <c r="J1096" t="s">
        <v>12246</v>
      </c>
    </row>
    <row r="1097" spans="1:10" x14ac:dyDescent="0.35">
      <c r="A1097" t="s">
        <v>113</v>
      </c>
      <c r="B1097" t="s">
        <v>12247</v>
      </c>
      <c r="C1097" t="s">
        <v>12248</v>
      </c>
      <c r="D1097" t="s">
        <v>12249</v>
      </c>
      <c r="F1097" t="s">
        <v>469</v>
      </c>
      <c r="G1097" t="s">
        <v>147</v>
      </c>
      <c r="H1097">
        <v>5478</v>
      </c>
      <c r="I1097">
        <v>69952254</v>
      </c>
      <c r="J1097" t="s">
        <v>12250</v>
      </c>
    </row>
    <row r="1098" spans="1:10" x14ac:dyDescent="0.35">
      <c r="A1098" t="s">
        <v>4193</v>
      </c>
      <c r="B1098" t="s">
        <v>12251</v>
      </c>
      <c r="C1098" t="s">
        <v>12252</v>
      </c>
      <c r="D1098" t="s">
        <v>8343</v>
      </c>
      <c r="F1098" t="s">
        <v>164</v>
      </c>
      <c r="G1098" t="s">
        <v>74</v>
      </c>
      <c r="H1098">
        <v>32444</v>
      </c>
      <c r="I1098">
        <v>24897325</v>
      </c>
      <c r="J1098" t="s">
        <v>12253</v>
      </c>
    </row>
    <row r="1099" spans="1:10" x14ac:dyDescent="0.35">
      <c r="A1099" t="s">
        <v>2451</v>
      </c>
      <c r="B1099" t="s">
        <v>12254</v>
      </c>
      <c r="C1099" t="s">
        <v>12255</v>
      </c>
      <c r="D1099" t="s">
        <v>11927</v>
      </c>
      <c r="F1099" t="s">
        <v>366</v>
      </c>
      <c r="G1099" t="s">
        <v>51</v>
      </c>
      <c r="H1099">
        <v>94551</v>
      </c>
      <c r="I1099">
        <v>42236395</v>
      </c>
      <c r="J1099" t="s">
        <v>12256</v>
      </c>
    </row>
    <row r="1100" spans="1:10" x14ac:dyDescent="0.35">
      <c r="A1100" t="s">
        <v>779</v>
      </c>
      <c r="B1100" t="s">
        <v>12257</v>
      </c>
      <c r="C1100" t="s">
        <v>12258</v>
      </c>
      <c r="D1100" t="s">
        <v>12259</v>
      </c>
      <c r="F1100" t="s">
        <v>2985</v>
      </c>
      <c r="G1100" t="s">
        <v>139</v>
      </c>
      <c r="H1100">
        <v>1201</v>
      </c>
      <c r="I1100">
        <v>96560884</v>
      </c>
      <c r="J1100" t="s">
        <v>12260</v>
      </c>
    </row>
    <row r="1101" spans="1:10" x14ac:dyDescent="0.35">
      <c r="A1101" t="s">
        <v>1490</v>
      </c>
      <c r="B1101" t="s">
        <v>12261</v>
      </c>
      <c r="C1101" t="s">
        <v>12262</v>
      </c>
      <c r="D1101" t="s">
        <v>12263</v>
      </c>
      <c r="F1101" t="s">
        <v>278</v>
      </c>
      <c r="G1101" t="s">
        <v>97</v>
      </c>
      <c r="H1101">
        <v>21061</v>
      </c>
      <c r="I1101">
        <v>99760144</v>
      </c>
      <c r="J1101" t="s">
        <v>12264</v>
      </c>
    </row>
    <row r="1102" spans="1:10" x14ac:dyDescent="0.35">
      <c r="A1102" t="s">
        <v>5081</v>
      </c>
      <c r="B1102" t="s">
        <v>12265</v>
      </c>
      <c r="C1102" t="s">
        <v>12266</v>
      </c>
      <c r="D1102" t="s">
        <v>12267</v>
      </c>
      <c r="F1102" t="s">
        <v>138</v>
      </c>
      <c r="G1102" t="s">
        <v>139</v>
      </c>
      <c r="H1102">
        <v>1420</v>
      </c>
      <c r="I1102">
        <v>109427270</v>
      </c>
      <c r="J1102" t="s">
        <v>12268</v>
      </c>
    </row>
    <row r="1103" spans="1:10" x14ac:dyDescent="0.35">
      <c r="A1103" t="s">
        <v>590</v>
      </c>
      <c r="B1103" t="s">
        <v>12269</v>
      </c>
      <c r="C1103" t="s">
        <v>12270</v>
      </c>
      <c r="D1103" t="s">
        <v>12271</v>
      </c>
      <c r="E1103" t="s">
        <v>12272</v>
      </c>
      <c r="F1103" t="s">
        <v>63</v>
      </c>
      <c r="G1103" t="s">
        <v>64</v>
      </c>
      <c r="H1103">
        <v>37115</v>
      </c>
      <c r="I1103">
        <v>102029073</v>
      </c>
      <c r="J1103" t="s">
        <v>12273</v>
      </c>
    </row>
    <row r="1104" spans="1:10" x14ac:dyDescent="0.35">
      <c r="A1104" t="s">
        <v>12274</v>
      </c>
      <c r="B1104" t="s">
        <v>12275</v>
      </c>
      <c r="C1104" t="s">
        <v>12276</v>
      </c>
      <c r="D1104" t="s">
        <v>12277</v>
      </c>
      <c r="F1104" t="s">
        <v>75</v>
      </c>
      <c r="G1104" t="s">
        <v>76</v>
      </c>
      <c r="H1104">
        <v>6040</v>
      </c>
      <c r="I1104">
        <v>83736184</v>
      </c>
      <c r="J1104" t="s">
        <v>12278</v>
      </c>
    </row>
    <row r="1105" spans="1:10" x14ac:dyDescent="0.35">
      <c r="A1105" t="s">
        <v>1583</v>
      </c>
      <c r="B1105" t="s">
        <v>12279</v>
      </c>
      <c r="C1105" t="s">
        <v>7936</v>
      </c>
      <c r="D1105" t="s">
        <v>12280</v>
      </c>
      <c r="F1105" t="s">
        <v>107</v>
      </c>
      <c r="G1105" t="s">
        <v>87</v>
      </c>
      <c r="H1105">
        <v>40243</v>
      </c>
      <c r="I1105">
        <v>76654396</v>
      </c>
      <c r="J1105" t="s">
        <v>12281</v>
      </c>
    </row>
    <row r="1106" spans="1:10" x14ac:dyDescent="0.35">
      <c r="A1106" t="s">
        <v>1044</v>
      </c>
      <c r="B1106" t="s">
        <v>12282</v>
      </c>
      <c r="C1106" t="s">
        <v>12283</v>
      </c>
      <c r="D1106" t="s">
        <v>12284</v>
      </c>
      <c r="E1106" t="s">
        <v>12285</v>
      </c>
      <c r="F1106" t="s">
        <v>118</v>
      </c>
      <c r="G1106" t="s">
        <v>42</v>
      </c>
      <c r="H1106">
        <v>80002</v>
      </c>
      <c r="I1106">
        <v>124794881</v>
      </c>
      <c r="J1106" t="s">
        <v>12286</v>
      </c>
    </row>
    <row r="1107" spans="1:10" x14ac:dyDescent="0.35">
      <c r="A1107" t="s">
        <v>2637</v>
      </c>
      <c r="B1107" t="s">
        <v>12287</v>
      </c>
      <c r="C1107" t="s">
        <v>12288</v>
      </c>
      <c r="D1107" t="s">
        <v>12289</v>
      </c>
      <c r="F1107" t="s">
        <v>112</v>
      </c>
      <c r="G1107" t="s">
        <v>106</v>
      </c>
      <c r="H1107">
        <v>99502</v>
      </c>
      <c r="I1107">
        <v>73574819</v>
      </c>
      <c r="J1107" t="s">
        <v>12290</v>
      </c>
    </row>
    <row r="1108" spans="1:10" x14ac:dyDescent="0.35">
      <c r="A1108" t="s">
        <v>5709</v>
      </c>
      <c r="B1108" t="s">
        <v>12291</v>
      </c>
      <c r="C1108" t="s">
        <v>12292</v>
      </c>
      <c r="D1108" t="s">
        <v>12293</v>
      </c>
      <c r="E1108" t="s">
        <v>12294</v>
      </c>
      <c r="F1108" t="s">
        <v>112</v>
      </c>
      <c r="G1108" t="s">
        <v>106</v>
      </c>
      <c r="H1108">
        <v>99503</v>
      </c>
      <c r="I1108">
        <v>84132282</v>
      </c>
      <c r="J1108" t="s">
        <v>12295</v>
      </c>
    </row>
    <row r="1109" spans="1:10" x14ac:dyDescent="0.35">
      <c r="A1109" t="s">
        <v>757</v>
      </c>
      <c r="B1109" t="s">
        <v>12296</v>
      </c>
      <c r="C1109" t="s">
        <v>9032</v>
      </c>
      <c r="D1109" t="s">
        <v>11468</v>
      </c>
      <c r="F1109" t="s">
        <v>82</v>
      </c>
      <c r="G1109" t="s">
        <v>74</v>
      </c>
      <c r="H1109">
        <v>32408</v>
      </c>
      <c r="I1109">
        <v>69986709</v>
      </c>
      <c r="J1109" t="s">
        <v>12297</v>
      </c>
    </row>
    <row r="1110" spans="1:10" x14ac:dyDescent="0.35">
      <c r="A1110" t="s">
        <v>343</v>
      </c>
      <c r="B1110" t="s">
        <v>12298</v>
      </c>
      <c r="C1110" t="s">
        <v>12299</v>
      </c>
      <c r="D1110" t="s">
        <v>10224</v>
      </c>
      <c r="F1110" t="s">
        <v>107</v>
      </c>
      <c r="G1110" t="s">
        <v>87</v>
      </c>
      <c r="H1110">
        <v>40272</v>
      </c>
      <c r="I1110">
        <v>72368411</v>
      </c>
      <c r="J1110" t="s">
        <v>12300</v>
      </c>
    </row>
    <row r="1111" spans="1:10" x14ac:dyDescent="0.35">
      <c r="A1111" t="s">
        <v>3475</v>
      </c>
      <c r="B1111" t="s">
        <v>12301</v>
      </c>
      <c r="C1111" t="s">
        <v>12302</v>
      </c>
      <c r="D1111" t="s">
        <v>12303</v>
      </c>
      <c r="F1111" t="s">
        <v>45</v>
      </c>
      <c r="G1111" t="s">
        <v>46</v>
      </c>
      <c r="H1111">
        <v>36104</v>
      </c>
      <c r="I1111">
        <v>110483847</v>
      </c>
      <c r="J1111" t="s">
        <v>12304</v>
      </c>
    </row>
    <row r="1112" spans="1:10" x14ac:dyDescent="0.35">
      <c r="A1112" t="s">
        <v>567</v>
      </c>
      <c r="B1112" t="s">
        <v>12305</v>
      </c>
      <c r="C1112" t="s">
        <v>12306</v>
      </c>
      <c r="D1112" t="s">
        <v>12307</v>
      </c>
      <c r="F1112" t="s">
        <v>1827</v>
      </c>
      <c r="G1112" t="s">
        <v>51</v>
      </c>
      <c r="H1112">
        <v>94587</v>
      </c>
      <c r="I1112">
        <v>13296717</v>
      </c>
      <c r="J1112" t="s">
        <v>12308</v>
      </c>
    </row>
    <row r="1113" spans="1:10" x14ac:dyDescent="0.35">
      <c r="A1113" t="s">
        <v>1915</v>
      </c>
      <c r="B1113" t="s">
        <v>12309</v>
      </c>
      <c r="C1113" t="s">
        <v>12310</v>
      </c>
      <c r="D1113" t="s">
        <v>10742</v>
      </c>
      <c r="F1113" t="s">
        <v>107</v>
      </c>
      <c r="G1113" t="s">
        <v>87</v>
      </c>
      <c r="H1113">
        <v>40220</v>
      </c>
      <c r="I1113">
        <v>64988139</v>
      </c>
      <c r="J1113" t="s">
        <v>12311</v>
      </c>
    </row>
    <row r="1114" spans="1:10" x14ac:dyDescent="0.35">
      <c r="A1114" t="s">
        <v>12312</v>
      </c>
      <c r="B1114" t="s">
        <v>12313</v>
      </c>
      <c r="C1114" t="s">
        <v>12314</v>
      </c>
      <c r="D1114" t="s">
        <v>12315</v>
      </c>
      <c r="F1114" t="s">
        <v>82</v>
      </c>
      <c r="G1114" t="s">
        <v>74</v>
      </c>
      <c r="H1114">
        <v>32407</v>
      </c>
      <c r="I1114">
        <v>25014288</v>
      </c>
      <c r="J1114" t="s">
        <v>12316</v>
      </c>
    </row>
    <row r="1115" spans="1:10" x14ac:dyDescent="0.35">
      <c r="A1115" t="s">
        <v>2724</v>
      </c>
      <c r="B1115" t="s">
        <v>12317</v>
      </c>
      <c r="C1115" t="s">
        <v>12318</v>
      </c>
      <c r="D1115" t="s">
        <v>12319</v>
      </c>
      <c r="F1115" t="s">
        <v>830</v>
      </c>
      <c r="G1115" t="s">
        <v>51</v>
      </c>
      <c r="H1115">
        <v>94536</v>
      </c>
      <c r="I1115">
        <v>123687986</v>
      </c>
      <c r="J1115" t="s">
        <v>12320</v>
      </c>
    </row>
    <row r="1116" spans="1:10" x14ac:dyDescent="0.35">
      <c r="A1116" t="s">
        <v>1298</v>
      </c>
      <c r="B1116" t="s">
        <v>12321</v>
      </c>
      <c r="C1116" t="s">
        <v>12322</v>
      </c>
      <c r="D1116" t="s">
        <v>12323</v>
      </c>
      <c r="F1116" t="s">
        <v>63</v>
      </c>
      <c r="G1116" t="s">
        <v>64</v>
      </c>
      <c r="H1116">
        <v>37013</v>
      </c>
      <c r="I1116">
        <v>86039338</v>
      </c>
      <c r="J1116" t="s">
        <v>12324</v>
      </c>
    </row>
    <row r="1117" spans="1:10" x14ac:dyDescent="0.35">
      <c r="A1117" t="s">
        <v>552</v>
      </c>
      <c r="B1117" t="s">
        <v>12325</v>
      </c>
      <c r="C1117" t="s">
        <v>12326</v>
      </c>
      <c r="D1117" t="s">
        <v>8059</v>
      </c>
      <c r="F1117" t="s">
        <v>7601</v>
      </c>
      <c r="G1117" t="s">
        <v>139</v>
      </c>
      <c r="H1117">
        <v>1007</v>
      </c>
      <c r="I1117">
        <v>64747956</v>
      </c>
      <c r="J1117" t="s">
        <v>12327</v>
      </c>
    </row>
    <row r="1118" spans="1:10" x14ac:dyDescent="0.35">
      <c r="A1118" t="s">
        <v>7291</v>
      </c>
      <c r="B1118" t="s">
        <v>12328</v>
      </c>
      <c r="C1118" t="s">
        <v>12329</v>
      </c>
      <c r="D1118" t="s">
        <v>10815</v>
      </c>
      <c r="F1118" t="s">
        <v>82</v>
      </c>
      <c r="G1118" t="s">
        <v>74</v>
      </c>
      <c r="H1118">
        <v>32413</v>
      </c>
      <c r="I1118">
        <v>109088127</v>
      </c>
      <c r="J1118" t="s">
        <v>12330</v>
      </c>
    </row>
    <row r="1119" spans="1:10" x14ac:dyDescent="0.35">
      <c r="A1119" t="s">
        <v>12331</v>
      </c>
      <c r="B1119" t="s">
        <v>12332</v>
      </c>
      <c r="C1119" t="s">
        <v>12333</v>
      </c>
      <c r="D1119" t="s">
        <v>12334</v>
      </c>
      <c r="F1119" t="s">
        <v>118</v>
      </c>
      <c r="G1119" t="s">
        <v>42</v>
      </c>
      <c r="H1119">
        <v>80005</v>
      </c>
      <c r="I1119">
        <v>51949013</v>
      </c>
      <c r="J1119" t="s">
        <v>12335</v>
      </c>
    </row>
    <row r="1120" spans="1:10" x14ac:dyDescent="0.35">
      <c r="A1120" t="s">
        <v>1650</v>
      </c>
      <c r="B1120" t="s">
        <v>12336</v>
      </c>
      <c r="C1120" t="s">
        <v>12337</v>
      </c>
      <c r="D1120" t="s">
        <v>12338</v>
      </c>
      <c r="E1120" t="s">
        <v>12339</v>
      </c>
      <c r="F1120" t="s">
        <v>12340</v>
      </c>
      <c r="G1120" t="s">
        <v>87</v>
      </c>
      <c r="H1120">
        <v>40220</v>
      </c>
      <c r="I1120">
        <v>88795230</v>
      </c>
      <c r="J1120" t="s">
        <v>12341</v>
      </c>
    </row>
    <row r="1121" spans="1:10" x14ac:dyDescent="0.35">
      <c r="A1121" t="s">
        <v>4746</v>
      </c>
      <c r="B1121" t="s">
        <v>12342</v>
      </c>
      <c r="C1121" t="s">
        <v>12343</v>
      </c>
      <c r="D1121" t="s">
        <v>12344</v>
      </c>
      <c r="E1121" t="s">
        <v>102</v>
      </c>
      <c r="F1121" t="s">
        <v>118</v>
      </c>
      <c r="G1121" t="s">
        <v>42</v>
      </c>
      <c r="H1121">
        <v>80005</v>
      </c>
      <c r="I1121">
        <v>103839204</v>
      </c>
      <c r="J1121" t="s">
        <v>12345</v>
      </c>
    </row>
    <row r="1122" spans="1:10" x14ac:dyDescent="0.35">
      <c r="A1122" t="s">
        <v>474</v>
      </c>
      <c r="B1122" t="s">
        <v>12346</v>
      </c>
      <c r="C1122" t="s">
        <v>12347</v>
      </c>
      <c r="D1122" t="s">
        <v>12348</v>
      </c>
      <c r="F1122" t="s">
        <v>63</v>
      </c>
      <c r="G1122" t="s">
        <v>64</v>
      </c>
      <c r="H1122">
        <v>37209</v>
      </c>
      <c r="I1122">
        <v>63161258</v>
      </c>
      <c r="J1122" t="s">
        <v>12349</v>
      </c>
    </row>
    <row r="1123" spans="1:10" x14ac:dyDescent="0.35">
      <c r="A1123" t="s">
        <v>3636</v>
      </c>
      <c r="B1123" t="s">
        <v>12350</v>
      </c>
      <c r="C1123" t="s">
        <v>12351</v>
      </c>
      <c r="D1123" t="s">
        <v>11190</v>
      </c>
      <c r="F1123" t="s">
        <v>130</v>
      </c>
      <c r="G1123" t="s">
        <v>123</v>
      </c>
      <c r="H1123">
        <v>20011</v>
      </c>
      <c r="I1123">
        <v>121978053</v>
      </c>
      <c r="J1123" t="s">
        <v>12352</v>
      </c>
    </row>
    <row r="1124" spans="1:10" x14ac:dyDescent="0.35">
      <c r="A1124" t="s">
        <v>1047</v>
      </c>
      <c r="B1124" t="s">
        <v>12353</v>
      </c>
      <c r="C1124" t="s">
        <v>12354</v>
      </c>
      <c r="D1124" t="s">
        <v>12355</v>
      </c>
      <c r="F1124" t="s">
        <v>1589</v>
      </c>
      <c r="G1124" t="s">
        <v>139</v>
      </c>
      <c r="H1124">
        <v>2151</v>
      </c>
      <c r="I1124">
        <v>18095120</v>
      </c>
      <c r="J1124" t="s">
        <v>12356</v>
      </c>
    </row>
    <row r="1125" spans="1:10" x14ac:dyDescent="0.35">
      <c r="A1125" t="s">
        <v>3172</v>
      </c>
      <c r="B1125" t="s">
        <v>12357</v>
      </c>
      <c r="C1125" t="s">
        <v>12358</v>
      </c>
      <c r="D1125" t="s">
        <v>12359</v>
      </c>
      <c r="F1125" t="s">
        <v>235</v>
      </c>
      <c r="G1125" t="s">
        <v>236</v>
      </c>
      <c r="H1125">
        <v>73159</v>
      </c>
      <c r="I1125">
        <v>76230859</v>
      </c>
      <c r="J1125" t="s">
        <v>12360</v>
      </c>
    </row>
    <row r="1126" spans="1:10" x14ac:dyDescent="0.35">
      <c r="A1126" t="s">
        <v>4777</v>
      </c>
      <c r="B1126" t="s">
        <v>12361</v>
      </c>
      <c r="C1126" t="s">
        <v>11615</v>
      </c>
      <c r="D1126" t="s">
        <v>8398</v>
      </c>
      <c r="F1126" t="s">
        <v>1162</v>
      </c>
      <c r="G1126" t="s">
        <v>147</v>
      </c>
      <c r="H1126">
        <v>5201</v>
      </c>
      <c r="I1126">
        <v>95067469</v>
      </c>
      <c r="J1126" t="s">
        <v>12362</v>
      </c>
    </row>
    <row r="1127" spans="1:10" x14ac:dyDescent="0.35">
      <c r="A1127" t="s">
        <v>1122</v>
      </c>
      <c r="B1127" t="s">
        <v>12363</v>
      </c>
      <c r="C1127" t="s">
        <v>12364</v>
      </c>
      <c r="D1127" t="s">
        <v>12365</v>
      </c>
      <c r="F1127" t="s">
        <v>45</v>
      </c>
      <c r="G1127" t="s">
        <v>46</v>
      </c>
      <c r="H1127">
        <v>36106</v>
      </c>
      <c r="I1127">
        <v>53029559</v>
      </c>
      <c r="J1127" t="s">
        <v>12366</v>
      </c>
    </row>
    <row r="1128" spans="1:10" x14ac:dyDescent="0.35">
      <c r="A1128" t="s">
        <v>4665</v>
      </c>
      <c r="B1128" t="s">
        <v>12367</v>
      </c>
      <c r="C1128" t="s">
        <v>12368</v>
      </c>
      <c r="D1128" t="s">
        <v>10648</v>
      </c>
      <c r="F1128" t="s">
        <v>130</v>
      </c>
      <c r="G1128" t="s">
        <v>123</v>
      </c>
      <c r="H1128">
        <v>20373</v>
      </c>
      <c r="I1128">
        <v>38631823</v>
      </c>
      <c r="J1128" t="s">
        <v>12369</v>
      </c>
    </row>
    <row r="1129" spans="1:10" x14ac:dyDescent="0.35">
      <c r="A1129" t="s">
        <v>12370</v>
      </c>
      <c r="B1129" t="s">
        <v>12371</v>
      </c>
      <c r="C1129" t="s">
        <v>12372</v>
      </c>
      <c r="D1129" t="s">
        <v>12373</v>
      </c>
      <c r="F1129" t="s">
        <v>235</v>
      </c>
      <c r="G1129" t="s">
        <v>236</v>
      </c>
      <c r="H1129">
        <v>73127</v>
      </c>
      <c r="I1129">
        <v>67887282</v>
      </c>
      <c r="J1129" t="s">
        <v>12374</v>
      </c>
    </row>
    <row r="1130" spans="1:10" x14ac:dyDescent="0.35">
      <c r="A1130" t="s">
        <v>2329</v>
      </c>
      <c r="B1130" t="s">
        <v>10712</v>
      </c>
      <c r="C1130" t="s">
        <v>12375</v>
      </c>
      <c r="D1130" t="s">
        <v>12376</v>
      </c>
      <c r="E1130" t="s">
        <v>12377</v>
      </c>
      <c r="F1130" t="s">
        <v>70</v>
      </c>
      <c r="G1130" t="s">
        <v>31</v>
      </c>
      <c r="H1130">
        <v>85304</v>
      </c>
      <c r="I1130">
        <v>31348760</v>
      </c>
      <c r="J1130" t="s">
        <v>12378</v>
      </c>
    </row>
    <row r="1131" spans="1:10" x14ac:dyDescent="0.35">
      <c r="A1131" t="s">
        <v>5703</v>
      </c>
      <c r="B1131" t="s">
        <v>12379</v>
      </c>
      <c r="C1131" t="s">
        <v>12380</v>
      </c>
      <c r="D1131" t="s">
        <v>9738</v>
      </c>
      <c r="E1131" t="s">
        <v>8992</v>
      </c>
      <c r="F1131" t="s">
        <v>543</v>
      </c>
      <c r="G1131" t="s">
        <v>51</v>
      </c>
      <c r="H1131">
        <v>94709</v>
      </c>
      <c r="I1131">
        <v>22466389</v>
      </c>
      <c r="J1131" t="s">
        <v>12381</v>
      </c>
    </row>
    <row r="1132" spans="1:10" x14ac:dyDescent="0.35">
      <c r="A1132" t="s">
        <v>12382</v>
      </c>
      <c r="B1132" t="s">
        <v>12383</v>
      </c>
      <c r="C1132" t="s">
        <v>12384</v>
      </c>
      <c r="D1132" t="s">
        <v>12385</v>
      </c>
      <c r="F1132" t="s">
        <v>209</v>
      </c>
      <c r="G1132" t="s">
        <v>74</v>
      </c>
      <c r="H1132">
        <v>32405</v>
      </c>
      <c r="I1132">
        <v>122588853</v>
      </c>
      <c r="J1132" t="s">
        <v>12386</v>
      </c>
    </row>
    <row r="1133" spans="1:10" x14ac:dyDescent="0.35">
      <c r="A1133" t="s">
        <v>7395</v>
      </c>
      <c r="B1133" t="s">
        <v>12387</v>
      </c>
      <c r="C1133" t="s">
        <v>12388</v>
      </c>
      <c r="D1133" t="s">
        <v>8225</v>
      </c>
      <c r="F1133" t="s">
        <v>70</v>
      </c>
      <c r="G1133" t="s">
        <v>31</v>
      </c>
      <c r="H1133">
        <v>85304</v>
      </c>
      <c r="I1133">
        <v>66298801</v>
      </c>
      <c r="J1133" t="s">
        <v>12389</v>
      </c>
    </row>
    <row r="1134" spans="1:10" x14ac:dyDescent="0.35">
      <c r="A1134" t="s">
        <v>2277</v>
      </c>
      <c r="B1134" t="s">
        <v>12390</v>
      </c>
      <c r="C1134" t="s">
        <v>12391</v>
      </c>
      <c r="D1134" t="s">
        <v>12392</v>
      </c>
      <c r="F1134" t="s">
        <v>209</v>
      </c>
      <c r="G1134" t="s">
        <v>74</v>
      </c>
      <c r="H1134">
        <v>32405</v>
      </c>
      <c r="I1134">
        <v>48677097</v>
      </c>
      <c r="J1134" t="s">
        <v>12393</v>
      </c>
    </row>
    <row r="1135" spans="1:10" x14ac:dyDescent="0.35">
      <c r="A1135" t="s">
        <v>5901</v>
      </c>
      <c r="B1135" t="s">
        <v>12394</v>
      </c>
      <c r="C1135" t="s">
        <v>12395</v>
      </c>
      <c r="D1135" t="s">
        <v>12396</v>
      </c>
      <c r="E1135" t="s">
        <v>12397</v>
      </c>
      <c r="F1135" t="s">
        <v>63</v>
      </c>
      <c r="G1135" t="s">
        <v>64</v>
      </c>
      <c r="H1135">
        <v>37208</v>
      </c>
      <c r="I1135">
        <v>127245528</v>
      </c>
      <c r="J1135" t="s">
        <v>12398</v>
      </c>
    </row>
    <row r="1136" spans="1:10" x14ac:dyDescent="0.35">
      <c r="A1136" t="s">
        <v>12399</v>
      </c>
      <c r="B1136" t="s">
        <v>12400</v>
      </c>
      <c r="C1136" t="s">
        <v>12401</v>
      </c>
      <c r="D1136" t="s">
        <v>9108</v>
      </c>
      <c r="F1136" t="s">
        <v>35</v>
      </c>
      <c r="G1136" t="s">
        <v>36</v>
      </c>
      <c r="H1136">
        <v>31419</v>
      </c>
      <c r="I1136">
        <v>116785471</v>
      </c>
      <c r="J1136" t="s">
        <v>12402</v>
      </c>
    </row>
    <row r="1137" spans="1:10" x14ac:dyDescent="0.35">
      <c r="A1137" t="s">
        <v>192</v>
      </c>
      <c r="B1137" t="s">
        <v>12403</v>
      </c>
      <c r="C1137" t="s">
        <v>12404</v>
      </c>
      <c r="D1137" t="s">
        <v>12405</v>
      </c>
      <c r="F1137" t="s">
        <v>230</v>
      </c>
      <c r="G1137" t="s">
        <v>117</v>
      </c>
      <c r="H1137">
        <v>72730</v>
      </c>
      <c r="I1137">
        <v>104508408</v>
      </c>
      <c r="J1137" t="s">
        <v>12406</v>
      </c>
    </row>
    <row r="1138" spans="1:10" x14ac:dyDescent="0.35">
      <c r="A1138" t="s">
        <v>2751</v>
      </c>
      <c r="B1138" t="s">
        <v>12407</v>
      </c>
      <c r="C1138" t="s">
        <v>12408</v>
      </c>
      <c r="D1138" t="s">
        <v>12409</v>
      </c>
      <c r="F1138" t="s">
        <v>523</v>
      </c>
      <c r="G1138" t="s">
        <v>36</v>
      </c>
      <c r="H1138">
        <v>31322</v>
      </c>
      <c r="I1138">
        <v>90837759</v>
      </c>
      <c r="J1138" t="s">
        <v>12410</v>
      </c>
    </row>
    <row r="1139" spans="1:10" x14ac:dyDescent="0.35">
      <c r="A1139" t="s">
        <v>418</v>
      </c>
      <c r="B1139" t="s">
        <v>12411</v>
      </c>
      <c r="C1139" t="s">
        <v>12412</v>
      </c>
      <c r="D1139" t="s">
        <v>12413</v>
      </c>
      <c r="F1139" t="s">
        <v>63</v>
      </c>
      <c r="G1139" t="s">
        <v>64</v>
      </c>
      <c r="H1139">
        <v>37218</v>
      </c>
      <c r="I1139">
        <v>40809892</v>
      </c>
      <c r="J1139" t="s">
        <v>12414</v>
      </c>
    </row>
    <row r="1140" spans="1:10" x14ac:dyDescent="0.35">
      <c r="A1140" t="s">
        <v>6242</v>
      </c>
      <c r="B1140" t="s">
        <v>12415</v>
      </c>
      <c r="C1140" t="s">
        <v>12416</v>
      </c>
      <c r="D1140" t="s">
        <v>12417</v>
      </c>
      <c r="F1140" t="s">
        <v>63</v>
      </c>
      <c r="G1140" t="s">
        <v>64</v>
      </c>
      <c r="H1140">
        <v>37207</v>
      </c>
      <c r="I1140">
        <v>70186381</v>
      </c>
      <c r="J1140" t="s">
        <v>12418</v>
      </c>
    </row>
    <row r="1141" spans="1:10" x14ac:dyDescent="0.35">
      <c r="A1141" t="s">
        <v>1221</v>
      </c>
      <c r="B1141" t="s">
        <v>12419</v>
      </c>
      <c r="C1141" t="s">
        <v>12420</v>
      </c>
      <c r="D1141" t="s">
        <v>12421</v>
      </c>
      <c r="F1141" t="s">
        <v>70</v>
      </c>
      <c r="G1141" t="s">
        <v>31</v>
      </c>
      <c r="H1141">
        <v>85306</v>
      </c>
      <c r="I1141">
        <v>40452346</v>
      </c>
      <c r="J1141" t="s">
        <v>12422</v>
      </c>
    </row>
    <row r="1142" spans="1:10" x14ac:dyDescent="0.35">
      <c r="A1142" t="s">
        <v>3978</v>
      </c>
      <c r="B1142" t="s">
        <v>12423</v>
      </c>
      <c r="C1142" t="s">
        <v>12424</v>
      </c>
      <c r="D1142" t="s">
        <v>12425</v>
      </c>
      <c r="F1142" t="s">
        <v>75</v>
      </c>
      <c r="G1142" t="s">
        <v>76</v>
      </c>
      <c r="H1142">
        <v>6040</v>
      </c>
      <c r="I1142">
        <v>89054048</v>
      </c>
      <c r="J1142" t="s">
        <v>12426</v>
      </c>
    </row>
    <row r="1143" spans="1:10" x14ac:dyDescent="0.35">
      <c r="A1143" t="s">
        <v>2921</v>
      </c>
      <c r="B1143" t="s">
        <v>12427</v>
      </c>
      <c r="C1143" t="s">
        <v>12428</v>
      </c>
      <c r="D1143" t="s">
        <v>12429</v>
      </c>
      <c r="F1143" t="s">
        <v>82</v>
      </c>
      <c r="G1143" t="s">
        <v>74</v>
      </c>
      <c r="H1143">
        <v>32407</v>
      </c>
      <c r="I1143">
        <v>114851132</v>
      </c>
      <c r="J1143" t="s">
        <v>12430</v>
      </c>
    </row>
    <row r="1144" spans="1:10" x14ac:dyDescent="0.35">
      <c r="A1144" t="s">
        <v>2701</v>
      </c>
      <c r="B1144" t="s">
        <v>12431</v>
      </c>
      <c r="C1144" t="s">
        <v>12432</v>
      </c>
      <c r="D1144" t="s">
        <v>12433</v>
      </c>
      <c r="F1144" t="s">
        <v>70</v>
      </c>
      <c r="G1144" t="s">
        <v>31</v>
      </c>
      <c r="H1144">
        <v>85308</v>
      </c>
      <c r="I1144">
        <v>19282068</v>
      </c>
      <c r="J1144" t="s">
        <v>12434</v>
      </c>
    </row>
    <row r="1145" spans="1:10" x14ac:dyDescent="0.35">
      <c r="A1145" t="s">
        <v>4317</v>
      </c>
      <c r="B1145" t="s">
        <v>12435</v>
      </c>
      <c r="C1145" t="s">
        <v>12436</v>
      </c>
      <c r="D1145" t="s">
        <v>12437</v>
      </c>
      <c r="F1145" t="s">
        <v>63</v>
      </c>
      <c r="G1145" t="s">
        <v>64</v>
      </c>
      <c r="H1145">
        <v>37013</v>
      </c>
      <c r="I1145">
        <v>84286086</v>
      </c>
      <c r="J1145" t="s">
        <v>12438</v>
      </c>
    </row>
    <row r="1146" spans="1:10" x14ac:dyDescent="0.35">
      <c r="A1146" t="s">
        <v>3431</v>
      </c>
      <c r="B1146" t="s">
        <v>12439</v>
      </c>
      <c r="C1146" t="s">
        <v>12120</v>
      </c>
      <c r="D1146" t="s">
        <v>12433</v>
      </c>
      <c r="F1146" t="s">
        <v>70</v>
      </c>
      <c r="G1146" t="s">
        <v>31</v>
      </c>
      <c r="H1146">
        <v>85308</v>
      </c>
      <c r="I1146">
        <v>30570681</v>
      </c>
      <c r="J1146" t="s">
        <v>12440</v>
      </c>
    </row>
    <row r="1147" spans="1:10" x14ac:dyDescent="0.35">
      <c r="A1147" t="s">
        <v>1480</v>
      </c>
      <c r="B1147" t="s">
        <v>12441</v>
      </c>
      <c r="C1147" t="s">
        <v>12442</v>
      </c>
      <c r="D1147" t="s">
        <v>12443</v>
      </c>
      <c r="F1147" t="s">
        <v>235</v>
      </c>
      <c r="G1147" t="s">
        <v>236</v>
      </c>
      <c r="H1147">
        <v>73114</v>
      </c>
      <c r="I1147">
        <v>111257001</v>
      </c>
      <c r="J1147" t="s">
        <v>12444</v>
      </c>
    </row>
    <row r="1148" spans="1:10" x14ac:dyDescent="0.35">
      <c r="A1148" t="s">
        <v>4512</v>
      </c>
      <c r="B1148" t="s">
        <v>12445</v>
      </c>
      <c r="C1148" t="s">
        <v>12446</v>
      </c>
      <c r="D1148" t="s">
        <v>10961</v>
      </c>
      <c r="F1148" t="s">
        <v>45</v>
      </c>
      <c r="G1148" t="s">
        <v>46</v>
      </c>
      <c r="H1148">
        <v>36117</v>
      </c>
      <c r="I1148">
        <v>14574179</v>
      </c>
      <c r="J1148" t="s">
        <v>12447</v>
      </c>
    </row>
    <row r="1149" spans="1:10" x14ac:dyDescent="0.35">
      <c r="A1149" t="s">
        <v>5344</v>
      </c>
      <c r="B1149" t="s">
        <v>12448</v>
      </c>
      <c r="C1149" t="s">
        <v>12449</v>
      </c>
      <c r="D1149" t="s">
        <v>11951</v>
      </c>
      <c r="F1149" t="s">
        <v>1269</v>
      </c>
      <c r="G1149" t="s">
        <v>51</v>
      </c>
      <c r="H1149">
        <v>93662</v>
      </c>
      <c r="I1149">
        <v>77122830</v>
      </c>
      <c r="J1149" t="s">
        <v>12450</v>
      </c>
    </row>
    <row r="1150" spans="1:10" x14ac:dyDescent="0.35">
      <c r="A1150" t="s">
        <v>4930</v>
      </c>
      <c r="B1150" t="s">
        <v>12451</v>
      </c>
      <c r="C1150" t="s">
        <v>12452</v>
      </c>
      <c r="D1150" t="s">
        <v>11420</v>
      </c>
      <c r="F1150" t="s">
        <v>118</v>
      </c>
      <c r="G1150" t="s">
        <v>42</v>
      </c>
      <c r="H1150">
        <v>80007</v>
      </c>
      <c r="I1150">
        <v>111907610</v>
      </c>
      <c r="J1150" t="s">
        <v>12453</v>
      </c>
    </row>
    <row r="1151" spans="1:10" x14ac:dyDescent="0.35">
      <c r="A1151" t="s">
        <v>2466</v>
      </c>
      <c r="B1151" t="s">
        <v>12454</v>
      </c>
      <c r="C1151" t="s">
        <v>12455</v>
      </c>
      <c r="D1151" t="s">
        <v>11389</v>
      </c>
      <c r="F1151" t="s">
        <v>130</v>
      </c>
      <c r="G1151" t="s">
        <v>123</v>
      </c>
      <c r="H1151">
        <v>20007</v>
      </c>
      <c r="I1151">
        <v>80022972</v>
      </c>
      <c r="J1151" t="s">
        <v>12456</v>
      </c>
    </row>
    <row r="1152" spans="1:10" x14ac:dyDescent="0.35">
      <c r="A1152" t="s">
        <v>4140</v>
      </c>
      <c r="B1152" t="s">
        <v>12457</v>
      </c>
      <c r="C1152" t="s">
        <v>12458</v>
      </c>
      <c r="D1152" t="s">
        <v>8147</v>
      </c>
      <c r="F1152" t="s">
        <v>92</v>
      </c>
      <c r="G1152" t="s">
        <v>51</v>
      </c>
      <c r="H1152">
        <v>94578</v>
      </c>
      <c r="I1152">
        <v>66375876</v>
      </c>
      <c r="J1152" t="s">
        <v>12459</v>
      </c>
    </row>
    <row r="1153" spans="1:10" x14ac:dyDescent="0.35">
      <c r="A1153" t="s">
        <v>4185</v>
      </c>
      <c r="B1153" t="s">
        <v>12460</v>
      </c>
      <c r="C1153" t="s">
        <v>12461</v>
      </c>
      <c r="D1153" t="s">
        <v>9818</v>
      </c>
      <c r="F1153" t="s">
        <v>112</v>
      </c>
      <c r="G1153" t="s">
        <v>106</v>
      </c>
      <c r="H1153">
        <v>99515</v>
      </c>
      <c r="I1153">
        <v>121255718</v>
      </c>
      <c r="J1153" t="s">
        <v>12462</v>
      </c>
    </row>
    <row r="1154" spans="1:10" x14ac:dyDescent="0.35">
      <c r="A1154" t="s">
        <v>12463</v>
      </c>
      <c r="B1154" t="s">
        <v>12464</v>
      </c>
      <c r="C1154" t="s">
        <v>12465</v>
      </c>
      <c r="D1154" t="s">
        <v>12466</v>
      </c>
      <c r="F1154" t="s">
        <v>35</v>
      </c>
      <c r="G1154" t="s">
        <v>36</v>
      </c>
      <c r="H1154">
        <v>31404</v>
      </c>
      <c r="I1154">
        <v>123632614</v>
      </c>
      <c r="J1154" t="s">
        <v>12467</v>
      </c>
    </row>
    <row r="1155" spans="1:10" x14ac:dyDescent="0.35">
      <c r="A1155" t="s">
        <v>2210</v>
      </c>
      <c r="B1155" t="s">
        <v>12468</v>
      </c>
      <c r="C1155" t="s">
        <v>12469</v>
      </c>
      <c r="D1155" t="s">
        <v>10093</v>
      </c>
      <c r="E1155" t="s">
        <v>10094</v>
      </c>
      <c r="F1155" t="s">
        <v>70</v>
      </c>
      <c r="G1155" t="s">
        <v>31</v>
      </c>
      <c r="H1155">
        <v>85305</v>
      </c>
      <c r="I1155">
        <v>128617087</v>
      </c>
      <c r="J1155" t="s">
        <v>12470</v>
      </c>
    </row>
    <row r="1156" spans="1:10" x14ac:dyDescent="0.35">
      <c r="A1156" t="s">
        <v>7048</v>
      </c>
      <c r="B1156" t="s">
        <v>12471</v>
      </c>
      <c r="C1156" t="s">
        <v>12472</v>
      </c>
      <c r="D1156" t="s">
        <v>12473</v>
      </c>
      <c r="F1156" t="s">
        <v>2382</v>
      </c>
      <c r="G1156" t="s">
        <v>97</v>
      </c>
      <c r="H1156">
        <v>21090</v>
      </c>
      <c r="I1156">
        <v>90926013</v>
      </c>
      <c r="J1156" t="s">
        <v>12474</v>
      </c>
    </row>
    <row r="1157" spans="1:10" x14ac:dyDescent="0.35">
      <c r="A1157" t="s">
        <v>1974</v>
      </c>
      <c r="B1157" t="s">
        <v>12475</v>
      </c>
      <c r="C1157" t="s">
        <v>12476</v>
      </c>
      <c r="D1157" t="s">
        <v>12477</v>
      </c>
      <c r="E1157" t="s">
        <v>12478</v>
      </c>
      <c r="F1157" t="s">
        <v>1589</v>
      </c>
      <c r="G1157" t="s">
        <v>139</v>
      </c>
      <c r="H1157">
        <v>2151</v>
      </c>
      <c r="I1157">
        <v>93247951</v>
      </c>
      <c r="J1157" t="s">
        <v>12479</v>
      </c>
    </row>
    <row r="1158" spans="1:10" x14ac:dyDescent="0.35">
      <c r="A1158" t="s">
        <v>2558</v>
      </c>
      <c r="B1158" t="s">
        <v>12480</v>
      </c>
      <c r="C1158" t="s">
        <v>12481</v>
      </c>
      <c r="D1158" t="s">
        <v>12482</v>
      </c>
      <c r="F1158" t="s">
        <v>70</v>
      </c>
      <c r="G1158" t="s">
        <v>31</v>
      </c>
      <c r="H1158">
        <v>85303</v>
      </c>
      <c r="I1158">
        <v>39243498</v>
      </c>
      <c r="J1158" t="s">
        <v>12483</v>
      </c>
    </row>
    <row r="1159" spans="1:10" x14ac:dyDescent="0.35">
      <c r="A1159" t="s">
        <v>4505</v>
      </c>
      <c r="B1159" t="s">
        <v>12484</v>
      </c>
      <c r="C1159" t="s">
        <v>12485</v>
      </c>
      <c r="D1159" t="s">
        <v>12486</v>
      </c>
      <c r="F1159" t="s">
        <v>124</v>
      </c>
      <c r="G1159" t="s">
        <v>117</v>
      </c>
      <c r="H1159">
        <v>72703</v>
      </c>
      <c r="I1159">
        <v>123628754</v>
      </c>
      <c r="J1159" t="s">
        <v>12487</v>
      </c>
    </row>
    <row r="1160" spans="1:10" x14ac:dyDescent="0.35">
      <c r="A1160" t="s">
        <v>4404</v>
      </c>
      <c r="B1160" t="s">
        <v>12488</v>
      </c>
      <c r="C1160" t="s">
        <v>12489</v>
      </c>
      <c r="D1160" t="s">
        <v>12490</v>
      </c>
      <c r="F1160" t="s">
        <v>118</v>
      </c>
      <c r="G1160" t="s">
        <v>42</v>
      </c>
      <c r="H1160">
        <v>80003</v>
      </c>
      <c r="I1160">
        <v>62709815</v>
      </c>
      <c r="J1160" t="s">
        <v>12491</v>
      </c>
    </row>
    <row r="1161" spans="1:10" x14ac:dyDescent="0.35">
      <c r="A1161" t="s">
        <v>2129</v>
      </c>
      <c r="B1161" t="s">
        <v>12492</v>
      </c>
      <c r="C1161" t="s">
        <v>12493</v>
      </c>
      <c r="D1161" t="s">
        <v>12494</v>
      </c>
      <c r="F1161" t="s">
        <v>118</v>
      </c>
      <c r="G1161" t="s">
        <v>42</v>
      </c>
      <c r="H1161">
        <v>80005</v>
      </c>
      <c r="I1161">
        <v>102764338</v>
      </c>
      <c r="J1161" t="s">
        <v>12495</v>
      </c>
    </row>
    <row r="1162" spans="1:10" x14ac:dyDescent="0.35">
      <c r="A1162" t="s">
        <v>3393</v>
      </c>
      <c r="B1162" t="s">
        <v>12496</v>
      </c>
      <c r="C1162" t="s">
        <v>12497</v>
      </c>
      <c r="D1162" t="s">
        <v>12498</v>
      </c>
      <c r="F1162" t="s">
        <v>70</v>
      </c>
      <c r="G1162" t="s">
        <v>31</v>
      </c>
      <c r="H1162">
        <v>85301</v>
      </c>
      <c r="I1162">
        <v>28424697</v>
      </c>
      <c r="J1162" t="s">
        <v>12499</v>
      </c>
    </row>
    <row r="1163" spans="1:10" x14ac:dyDescent="0.35">
      <c r="A1163" t="s">
        <v>2262</v>
      </c>
      <c r="B1163" t="s">
        <v>12500</v>
      </c>
      <c r="C1163" t="s">
        <v>12501</v>
      </c>
      <c r="D1163" t="s">
        <v>8711</v>
      </c>
      <c r="F1163" t="s">
        <v>75</v>
      </c>
      <c r="G1163" t="s">
        <v>76</v>
      </c>
      <c r="H1163">
        <v>6042</v>
      </c>
      <c r="I1163">
        <v>114395656</v>
      </c>
      <c r="J1163" t="s">
        <v>12502</v>
      </c>
    </row>
    <row r="1164" spans="1:10" x14ac:dyDescent="0.35">
      <c r="A1164" t="s">
        <v>12503</v>
      </c>
      <c r="B1164" t="s">
        <v>12504</v>
      </c>
      <c r="C1164" t="s">
        <v>12505</v>
      </c>
      <c r="D1164" t="s">
        <v>12506</v>
      </c>
      <c r="F1164" t="s">
        <v>75</v>
      </c>
      <c r="G1164" t="s">
        <v>76</v>
      </c>
      <c r="H1164">
        <v>6040</v>
      </c>
      <c r="I1164">
        <v>118343345</v>
      </c>
      <c r="J1164" t="s">
        <v>12507</v>
      </c>
    </row>
    <row r="1165" spans="1:10" x14ac:dyDescent="0.35">
      <c r="A1165" t="s">
        <v>4144</v>
      </c>
      <c r="B1165" t="s">
        <v>12508</v>
      </c>
      <c r="C1165" t="s">
        <v>10374</v>
      </c>
      <c r="D1165" t="s">
        <v>12509</v>
      </c>
      <c r="F1165" t="s">
        <v>63</v>
      </c>
      <c r="G1165" t="s">
        <v>64</v>
      </c>
      <c r="H1165">
        <v>37208</v>
      </c>
      <c r="I1165">
        <v>111965940</v>
      </c>
      <c r="J1165" t="s">
        <v>12510</v>
      </c>
    </row>
    <row r="1166" spans="1:10" x14ac:dyDescent="0.35">
      <c r="A1166" t="s">
        <v>4518</v>
      </c>
      <c r="B1166" t="s">
        <v>12511</v>
      </c>
      <c r="C1166" t="s">
        <v>12512</v>
      </c>
      <c r="D1166" t="s">
        <v>12513</v>
      </c>
      <c r="F1166" t="s">
        <v>75</v>
      </c>
      <c r="G1166" t="s">
        <v>76</v>
      </c>
      <c r="H1166">
        <v>6042</v>
      </c>
      <c r="I1166">
        <v>16612903</v>
      </c>
      <c r="J1166" t="s">
        <v>12514</v>
      </c>
    </row>
    <row r="1167" spans="1:10" x14ac:dyDescent="0.35">
      <c r="A1167" t="s">
        <v>2225</v>
      </c>
      <c r="B1167" t="s">
        <v>12515</v>
      </c>
      <c r="C1167" t="s">
        <v>11970</v>
      </c>
      <c r="D1167" t="s">
        <v>12516</v>
      </c>
      <c r="F1167" t="s">
        <v>35</v>
      </c>
      <c r="G1167" t="s">
        <v>36</v>
      </c>
      <c r="H1167">
        <v>31415</v>
      </c>
      <c r="I1167">
        <v>105047256</v>
      </c>
      <c r="J1167" t="s">
        <v>12517</v>
      </c>
    </row>
    <row r="1168" spans="1:10" x14ac:dyDescent="0.35">
      <c r="A1168" t="s">
        <v>1934</v>
      </c>
      <c r="B1168" t="s">
        <v>12518</v>
      </c>
      <c r="C1168" t="s">
        <v>12519</v>
      </c>
      <c r="D1168" t="s">
        <v>12520</v>
      </c>
      <c r="F1168" t="s">
        <v>112</v>
      </c>
      <c r="G1168" t="s">
        <v>106</v>
      </c>
      <c r="H1168">
        <v>99502</v>
      </c>
      <c r="I1168">
        <v>71769024</v>
      </c>
      <c r="J1168" t="s">
        <v>12521</v>
      </c>
    </row>
    <row r="1169" spans="1:10" x14ac:dyDescent="0.35">
      <c r="A1169" t="s">
        <v>5574</v>
      </c>
      <c r="B1169" t="s">
        <v>12522</v>
      </c>
      <c r="C1169" t="s">
        <v>12523</v>
      </c>
      <c r="D1169" t="s">
        <v>12524</v>
      </c>
      <c r="F1169" t="s">
        <v>860</v>
      </c>
      <c r="G1169" t="s">
        <v>31</v>
      </c>
      <c r="H1169">
        <v>85382</v>
      </c>
      <c r="I1169">
        <v>38988505</v>
      </c>
      <c r="J1169" t="s">
        <v>12525</v>
      </c>
    </row>
    <row r="1170" spans="1:10" x14ac:dyDescent="0.35">
      <c r="A1170" t="s">
        <v>2710</v>
      </c>
      <c r="B1170" t="s">
        <v>12526</v>
      </c>
      <c r="C1170" t="s">
        <v>12527</v>
      </c>
      <c r="D1170" t="s">
        <v>9609</v>
      </c>
      <c r="F1170" t="s">
        <v>2276</v>
      </c>
      <c r="G1170" t="s">
        <v>139</v>
      </c>
      <c r="H1170">
        <v>1863</v>
      </c>
      <c r="I1170">
        <v>48806981</v>
      </c>
      <c r="J1170" t="s">
        <v>12528</v>
      </c>
    </row>
    <row r="1171" spans="1:10" x14ac:dyDescent="0.35">
      <c r="A1171" t="s">
        <v>1131</v>
      </c>
      <c r="B1171" t="s">
        <v>12529</v>
      </c>
      <c r="C1171" t="s">
        <v>12530</v>
      </c>
      <c r="D1171" t="s">
        <v>12531</v>
      </c>
      <c r="F1171" t="s">
        <v>477</v>
      </c>
      <c r="G1171" t="s">
        <v>51</v>
      </c>
      <c r="H1171">
        <v>94544</v>
      </c>
      <c r="I1171">
        <v>124775444</v>
      </c>
      <c r="J1171" t="s">
        <v>12532</v>
      </c>
    </row>
    <row r="1172" spans="1:10" x14ac:dyDescent="0.35">
      <c r="A1172" t="s">
        <v>176</v>
      </c>
      <c r="B1172" t="s">
        <v>12533</v>
      </c>
      <c r="C1172" t="s">
        <v>12534</v>
      </c>
      <c r="D1172" t="s">
        <v>12535</v>
      </c>
      <c r="F1172" t="s">
        <v>209</v>
      </c>
      <c r="G1172" t="s">
        <v>74</v>
      </c>
      <c r="H1172">
        <v>32404</v>
      </c>
      <c r="I1172">
        <v>118320300</v>
      </c>
      <c r="J1172" t="s">
        <v>12536</v>
      </c>
    </row>
    <row r="1173" spans="1:10" x14ac:dyDescent="0.35">
      <c r="A1173" t="s">
        <v>3961</v>
      </c>
      <c r="B1173" t="s">
        <v>12537</v>
      </c>
      <c r="C1173" t="s">
        <v>12538</v>
      </c>
      <c r="D1173" t="s">
        <v>12539</v>
      </c>
      <c r="F1173" t="s">
        <v>63</v>
      </c>
      <c r="G1173" t="s">
        <v>64</v>
      </c>
      <c r="H1173">
        <v>37013</v>
      </c>
      <c r="I1173">
        <v>105199777</v>
      </c>
      <c r="J1173" t="s">
        <v>12540</v>
      </c>
    </row>
    <row r="1174" spans="1:10" x14ac:dyDescent="0.35">
      <c r="A1174" t="s">
        <v>12541</v>
      </c>
      <c r="B1174" t="s">
        <v>12542</v>
      </c>
      <c r="C1174" t="s">
        <v>12543</v>
      </c>
      <c r="D1174" t="s">
        <v>8837</v>
      </c>
      <c r="F1174" t="s">
        <v>45</v>
      </c>
      <c r="G1174" t="s">
        <v>46</v>
      </c>
      <c r="H1174">
        <v>36117</v>
      </c>
      <c r="I1174">
        <v>83167957</v>
      </c>
      <c r="J1174" t="s">
        <v>12544</v>
      </c>
    </row>
    <row r="1175" spans="1:10" x14ac:dyDescent="0.35">
      <c r="A1175" t="s">
        <v>2307</v>
      </c>
      <c r="B1175" t="s">
        <v>12545</v>
      </c>
      <c r="C1175" t="s">
        <v>12546</v>
      </c>
      <c r="D1175" t="s">
        <v>12547</v>
      </c>
      <c r="F1175" t="s">
        <v>112</v>
      </c>
      <c r="G1175" t="s">
        <v>106</v>
      </c>
      <c r="H1175">
        <v>99502</v>
      </c>
      <c r="I1175">
        <v>30474525</v>
      </c>
      <c r="J1175" t="s">
        <v>12548</v>
      </c>
    </row>
    <row r="1176" spans="1:10" x14ac:dyDescent="0.35">
      <c r="A1176" t="s">
        <v>3889</v>
      </c>
      <c r="B1176" t="s">
        <v>12549</v>
      </c>
      <c r="C1176" t="s">
        <v>12550</v>
      </c>
      <c r="D1176" t="s">
        <v>12551</v>
      </c>
      <c r="F1176" t="s">
        <v>1452</v>
      </c>
      <c r="G1176" t="s">
        <v>42</v>
      </c>
      <c r="H1176">
        <v>80439</v>
      </c>
      <c r="I1176">
        <v>68572952</v>
      </c>
      <c r="J1176" t="s">
        <v>12552</v>
      </c>
    </row>
    <row r="1177" spans="1:10" x14ac:dyDescent="0.35">
      <c r="A1177" t="s">
        <v>3927</v>
      </c>
      <c r="B1177" t="s">
        <v>12553</v>
      </c>
      <c r="C1177" t="s">
        <v>12554</v>
      </c>
      <c r="D1177" t="s">
        <v>9470</v>
      </c>
      <c r="F1177" t="s">
        <v>70</v>
      </c>
      <c r="G1177" t="s">
        <v>31</v>
      </c>
      <c r="H1177">
        <v>85306</v>
      </c>
      <c r="I1177">
        <v>126095096</v>
      </c>
      <c r="J1177" t="s">
        <v>12555</v>
      </c>
    </row>
    <row r="1178" spans="1:10" x14ac:dyDescent="0.35">
      <c r="A1178" t="s">
        <v>1944</v>
      </c>
      <c r="B1178" t="s">
        <v>12556</v>
      </c>
      <c r="C1178" t="s">
        <v>12557</v>
      </c>
      <c r="D1178" t="s">
        <v>12558</v>
      </c>
      <c r="F1178" t="s">
        <v>112</v>
      </c>
      <c r="G1178" t="s">
        <v>106</v>
      </c>
      <c r="H1178">
        <v>99516</v>
      </c>
      <c r="I1178">
        <v>75837318</v>
      </c>
      <c r="J1178" t="s">
        <v>12559</v>
      </c>
    </row>
    <row r="1179" spans="1:10" x14ac:dyDescent="0.35">
      <c r="A1179" t="s">
        <v>749</v>
      </c>
      <c r="B1179" t="s">
        <v>12560</v>
      </c>
      <c r="C1179" t="s">
        <v>12561</v>
      </c>
      <c r="D1179" t="s">
        <v>12562</v>
      </c>
      <c r="F1179" t="s">
        <v>35</v>
      </c>
      <c r="G1179" t="s">
        <v>36</v>
      </c>
      <c r="H1179">
        <v>31415</v>
      </c>
      <c r="I1179">
        <v>50413870</v>
      </c>
      <c r="J1179" t="s">
        <v>12563</v>
      </c>
    </row>
    <row r="1180" spans="1:10" x14ac:dyDescent="0.35">
      <c r="A1180" t="s">
        <v>470</v>
      </c>
      <c r="B1180" t="s">
        <v>12564</v>
      </c>
      <c r="C1180" t="s">
        <v>12565</v>
      </c>
      <c r="D1180" t="s">
        <v>11159</v>
      </c>
      <c r="F1180" t="s">
        <v>107</v>
      </c>
      <c r="G1180" t="s">
        <v>87</v>
      </c>
      <c r="H1180">
        <v>40213</v>
      </c>
      <c r="I1180">
        <v>86511717</v>
      </c>
      <c r="J1180" t="s">
        <v>12566</v>
      </c>
    </row>
    <row r="1181" spans="1:10" x14ac:dyDescent="0.35">
      <c r="A1181" t="s">
        <v>1246</v>
      </c>
      <c r="B1181" t="s">
        <v>12567</v>
      </c>
      <c r="C1181" t="s">
        <v>12568</v>
      </c>
      <c r="D1181" t="s">
        <v>12569</v>
      </c>
      <c r="F1181" t="s">
        <v>2382</v>
      </c>
      <c r="G1181" t="s">
        <v>97</v>
      </c>
      <c r="H1181">
        <v>21090</v>
      </c>
      <c r="I1181">
        <v>33258434</v>
      </c>
      <c r="J1181" t="s">
        <v>12570</v>
      </c>
    </row>
    <row r="1182" spans="1:10" x14ac:dyDescent="0.35">
      <c r="A1182" t="s">
        <v>12571</v>
      </c>
      <c r="B1182" t="s">
        <v>12572</v>
      </c>
      <c r="C1182" t="s">
        <v>12573</v>
      </c>
      <c r="D1182" t="s">
        <v>10002</v>
      </c>
      <c r="F1182" t="s">
        <v>70</v>
      </c>
      <c r="G1182" t="s">
        <v>31</v>
      </c>
      <c r="H1182">
        <v>85308</v>
      </c>
      <c r="I1182">
        <v>38327386</v>
      </c>
      <c r="J1182" t="s">
        <v>12574</v>
      </c>
    </row>
    <row r="1183" spans="1:10" x14ac:dyDescent="0.35">
      <c r="A1183" t="s">
        <v>12575</v>
      </c>
      <c r="B1183" t="s">
        <v>12576</v>
      </c>
      <c r="C1183" t="s">
        <v>12577</v>
      </c>
      <c r="D1183" t="s">
        <v>12578</v>
      </c>
      <c r="E1183" t="s">
        <v>12579</v>
      </c>
      <c r="F1183" t="s">
        <v>118</v>
      </c>
      <c r="G1183" t="s">
        <v>42</v>
      </c>
      <c r="H1183">
        <v>80004</v>
      </c>
      <c r="I1183">
        <v>73004761</v>
      </c>
      <c r="J1183" t="s">
        <v>12580</v>
      </c>
    </row>
    <row r="1184" spans="1:10" x14ac:dyDescent="0.35">
      <c r="A1184" t="s">
        <v>493</v>
      </c>
      <c r="B1184" t="s">
        <v>12581</v>
      </c>
      <c r="C1184" t="s">
        <v>12582</v>
      </c>
      <c r="D1184" t="s">
        <v>12583</v>
      </c>
      <c r="F1184" t="s">
        <v>35</v>
      </c>
      <c r="G1184" t="s">
        <v>36</v>
      </c>
      <c r="H1184">
        <v>31404</v>
      </c>
      <c r="I1184">
        <v>97027083</v>
      </c>
      <c r="J1184" t="s">
        <v>12584</v>
      </c>
    </row>
    <row r="1185" spans="1:10" x14ac:dyDescent="0.35">
      <c r="A1185" t="s">
        <v>4535</v>
      </c>
      <c r="B1185" t="s">
        <v>12585</v>
      </c>
      <c r="C1185" t="s">
        <v>8616</v>
      </c>
      <c r="D1185" t="s">
        <v>8426</v>
      </c>
      <c r="F1185" t="s">
        <v>2502</v>
      </c>
      <c r="G1185" t="s">
        <v>51</v>
      </c>
      <c r="H1185">
        <v>94588</v>
      </c>
      <c r="I1185">
        <v>75949031</v>
      </c>
      <c r="J1185" t="s">
        <v>12586</v>
      </c>
    </row>
    <row r="1186" spans="1:10" x14ac:dyDescent="0.35">
      <c r="A1186" t="s">
        <v>267</v>
      </c>
      <c r="B1186" t="s">
        <v>12587</v>
      </c>
      <c r="C1186" t="s">
        <v>12588</v>
      </c>
      <c r="D1186" t="s">
        <v>12589</v>
      </c>
      <c r="F1186" t="s">
        <v>3839</v>
      </c>
      <c r="G1186" t="s">
        <v>147</v>
      </c>
      <c r="H1186">
        <v>5488</v>
      </c>
      <c r="I1186">
        <v>111341810</v>
      </c>
      <c r="J1186" t="s">
        <v>12590</v>
      </c>
    </row>
    <row r="1187" spans="1:10" x14ac:dyDescent="0.35">
      <c r="A1187" t="s">
        <v>1469</v>
      </c>
      <c r="B1187" t="s">
        <v>12591</v>
      </c>
      <c r="C1187" t="s">
        <v>12592</v>
      </c>
      <c r="D1187" t="s">
        <v>12593</v>
      </c>
      <c r="F1187" t="s">
        <v>63</v>
      </c>
      <c r="G1187" t="s">
        <v>64</v>
      </c>
      <c r="H1187">
        <v>37206</v>
      </c>
      <c r="I1187">
        <v>53733638</v>
      </c>
      <c r="J1187" t="s">
        <v>12594</v>
      </c>
    </row>
    <row r="1188" spans="1:10" x14ac:dyDescent="0.35">
      <c r="A1188" t="s">
        <v>4349</v>
      </c>
      <c r="B1188" t="s">
        <v>12595</v>
      </c>
      <c r="C1188" t="s">
        <v>9445</v>
      </c>
      <c r="D1188" t="s">
        <v>12596</v>
      </c>
      <c r="F1188" t="s">
        <v>901</v>
      </c>
      <c r="G1188" t="s">
        <v>97</v>
      </c>
      <c r="H1188">
        <v>21032</v>
      </c>
      <c r="I1188">
        <v>99328599</v>
      </c>
      <c r="J1188" t="s">
        <v>12597</v>
      </c>
    </row>
    <row r="1189" spans="1:10" x14ac:dyDescent="0.35">
      <c r="A1189" t="s">
        <v>2644</v>
      </c>
      <c r="B1189" t="s">
        <v>12598</v>
      </c>
      <c r="C1189" t="s">
        <v>12599</v>
      </c>
      <c r="D1189" t="s">
        <v>9498</v>
      </c>
      <c r="F1189" t="s">
        <v>63</v>
      </c>
      <c r="G1189" t="s">
        <v>64</v>
      </c>
      <c r="H1189">
        <v>37210</v>
      </c>
      <c r="I1189">
        <v>57617352</v>
      </c>
      <c r="J1189" t="s">
        <v>12600</v>
      </c>
    </row>
    <row r="1190" spans="1:10" x14ac:dyDescent="0.35">
      <c r="A1190" t="s">
        <v>1673</v>
      </c>
      <c r="B1190" t="s">
        <v>12601</v>
      </c>
      <c r="C1190" t="s">
        <v>12602</v>
      </c>
      <c r="D1190" t="s">
        <v>12603</v>
      </c>
      <c r="F1190" t="s">
        <v>235</v>
      </c>
      <c r="G1190" t="s">
        <v>236</v>
      </c>
      <c r="H1190">
        <v>73112</v>
      </c>
      <c r="I1190">
        <v>31290818</v>
      </c>
      <c r="J1190" t="s">
        <v>12604</v>
      </c>
    </row>
    <row r="1191" spans="1:10" x14ac:dyDescent="0.35">
      <c r="A1191" t="s">
        <v>2153</v>
      </c>
      <c r="B1191" t="s">
        <v>12605</v>
      </c>
      <c r="C1191" t="s">
        <v>12606</v>
      </c>
      <c r="D1191" t="s">
        <v>12607</v>
      </c>
      <c r="F1191" t="s">
        <v>118</v>
      </c>
      <c r="G1191" t="s">
        <v>42</v>
      </c>
      <c r="H1191">
        <v>80007</v>
      </c>
      <c r="I1191">
        <v>45452985</v>
      </c>
      <c r="J1191" t="s">
        <v>12608</v>
      </c>
    </row>
    <row r="1192" spans="1:10" x14ac:dyDescent="0.35">
      <c r="A1192" t="s">
        <v>3204</v>
      </c>
      <c r="B1192" t="s">
        <v>12609</v>
      </c>
      <c r="C1192" t="s">
        <v>12610</v>
      </c>
      <c r="D1192" t="s">
        <v>12611</v>
      </c>
      <c r="F1192" t="s">
        <v>75</v>
      </c>
      <c r="G1192" t="s">
        <v>76</v>
      </c>
      <c r="H1192">
        <v>6040</v>
      </c>
      <c r="I1192">
        <v>81815861</v>
      </c>
      <c r="J1192" t="s">
        <v>12612</v>
      </c>
    </row>
    <row r="1193" spans="1:10" x14ac:dyDescent="0.35">
      <c r="A1193" t="s">
        <v>12613</v>
      </c>
      <c r="B1193" t="s">
        <v>12614</v>
      </c>
      <c r="C1193" t="s">
        <v>12615</v>
      </c>
      <c r="D1193" t="s">
        <v>12616</v>
      </c>
      <c r="F1193" t="s">
        <v>35</v>
      </c>
      <c r="G1193" t="s">
        <v>36</v>
      </c>
      <c r="H1193">
        <v>31419</v>
      </c>
      <c r="I1193">
        <v>73337344</v>
      </c>
      <c r="J1193" t="s">
        <v>12617</v>
      </c>
    </row>
    <row r="1194" spans="1:10" x14ac:dyDescent="0.35">
      <c r="A1194" t="s">
        <v>1912</v>
      </c>
      <c r="B1194" t="s">
        <v>12618</v>
      </c>
      <c r="C1194" t="s">
        <v>12619</v>
      </c>
      <c r="D1194" t="s">
        <v>11170</v>
      </c>
      <c r="F1194" t="s">
        <v>3904</v>
      </c>
      <c r="G1194" t="s">
        <v>139</v>
      </c>
      <c r="H1194">
        <v>2492</v>
      </c>
      <c r="I1194">
        <v>31124340</v>
      </c>
      <c r="J1194" t="s">
        <v>12620</v>
      </c>
    </row>
    <row r="1195" spans="1:10" x14ac:dyDescent="0.35">
      <c r="A1195" t="s">
        <v>1449</v>
      </c>
      <c r="B1195" t="s">
        <v>12621</v>
      </c>
      <c r="C1195" t="s">
        <v>9347</v>
      </c>
      <c r="D1195" t="s">
        <v>12622</v>
      </c>
      <c r="F1195" t="s">
        <v>112</v>
      </c>
      <c r="G1195" t="s">
        <v>106</v>
      </c>
      <c r="H1195">
        <v>99517</v>
      </c>
      <c r="I1195">
        <v>57730721</v>
      </c>
      <c r="J1195" t="s">
        <v>12623</v>
      </c>
    </row>
    <row r="1196" spans="1:10" x14ac:dyDescent="0.35">
      <c r="A1196" t="s">
        <v>514</v>
      </c>
      <c r="B1196" t="s">
        <v>12624</v>
      </c>
      <c r="C1196" t="s">
        <v>12625</v>
      </c>
      <c r="D1196" t="s">
        <v>12626</v>
      </c>
      <c r="F1196" t="s">
        <v>846</v>
      </c>
      <c r="G1196" t="s">
        <v>74</v>
      </c>
      <c r="H1196">
        <v>32456</v>
      </c>
      <c r="I1196">
        <v>30264777</v>
      </c>
      <c r="J1196" t="s">
        <v>12627</v>
      </c>
    </row>
    <row r="1197" spans="1:10" x14ac:dyDescent="0.35">
      <c r="A1197" t="s">
        <v>811</v>
      </c>
      <c r="B1197" t="s">
        <v>12628</v>
      </c>
      <c r="C1197" t="s">
        <v>12629</v>
      </c>
      <c r="D1197" t="s">
        <v>12630</v>
      </c>
      <c r="E1197" t="s">
        <v>12631</v>
      </c>
      <c r="F1197" t="s">
        <v>1005</v>
      </c>
      <c r="G1197" t="s">
        <v>139</v>
      </c>
      <c r="H1197">
        <v>1440</v>
      </c>
      <c r="I1197">
        <v>87541537</v>
      </c>
      <c r="J1197" t="s">
        <v>12632</v>
      </c>
    </row>
    <row r="1198" spans="1:10" x14ac:dyDescent="0.35">
      <c r="A1198" t="s">
        <v>1323</v>
      </c>
      <c r="B1198" t="s">
        <v>12633</v>
      </c>
      <c r="C1198" t="s">
        <v>12634</v>
      </c>
      <c r="D1198" t="s">
        <v>12635</v>
      </c>
      <c r="F1198" t="s">
        <v>130</v>
      </c>
      <c r="G1198" t="s">
        <v>123</v>
      </c>
      <c r="H1198">
        <v>20002</v>
      </c>
      <c r="I1198">
        <v>106503265</v>
      </c>
      <c r="J1198" t="s">
        <v>12636</v>
      </c>
    </row>
    <row r="1199" spans="1:10" x14ac:dyDescent="0.35">
      <c r="A1199" t="s">
        <v>5304</v>
      </c>
      <c r="B1199" t="s">
        <v>12637</v>
      </c>
      <c r="C1199" t="s">
        <v>12638</v>
      </c>
      <c r="D1199" t="s">
        <v>12639</v>
      </c>
      <c r="F1199" t="s">
        <v>130</v>
      </c>
      <c r="G1199" t="s">
        <v>123</v>
      </c>
      <c r="H1199">
        <v>20008</v>
      </c>
      <c r="I1199">
        <v>32137938</v>
      </c>
      <c r="J1199" t="s">
        <v>12640</v>
      </c>
    </row>
    <row r="1200" spans="1:10" x14ac:dyDescent="0.35">
      <c r="A1200" t="s">
        <v>1504</v>
      </c>
      <c r="B1200" t="s">
        <v>12641</v>
      </c>
      <c r="C1200" t="s">
        <v>12642</v>
      </c>
      <c r="D1200" t="s">
        <v>12643</v>
      </c>
      <c r="F1200" t="s">
        <v>45</v>
      </c>
      <c r="G1200" t="s">
        <v>46</v>
      </c>
      <c r="H1200">
        <v>36107</v>
      </c>
      <c r="I1200">
        <v>70796687</v>
      </c>
      <c r="J1200" t="s">
        <v>12644</v>
      </c>
    </row>
    <row r="1201" spans="1:10" x14ac:dyDescent="0.35">
      <c r="A1201" t="s">
        <v>3164</v>
      </c>
      <c r="B1201" t="s">
        <v>12645</v>
      </c>
      <c r="C1201" t="s">
        <v>12646</v>
      </c>
      <c r="D1201" t="s">
        <v>12647</v>
      </c>
      <c r="F1201" t="s">
        <v>316</v>
      </c>
      <c r="G1201" t="s">
        <v>97</v>
      </c>
      <c r="H1201">
        <v>21401</v>
      </c>
      <c r="I1201">
        <v>124993912</v>
      </c>
      <c r="J1201" t="s">
        <v>12648</v>
      </c>
    </row>
    <row r="1202" spans="1:10" x14ac:dyDescent="0.35">
      <c r="A1202" t="s">
        <v>1692</v>
      </c>
      <c r="B1202" t="s">
        <v>12649</v>
      </c>
      <c r="C1202" t="s">
        <v>12650</v>
      </c>
      <c r="D1202" t="s">
        <v>12651</v>
      </c>
      <c r="F1202" t="s">
        <v>118</v>
      </c>
      <c r="G1202" t="s">
        <v>42</v>
      </c>
      <c r="H1202">
        <v>80004</v>
      </c>
      <c r="I1202">
        <v>19424059</v>
      </c>
      <c r="J1202" t="s">
        <v>12652</v>
      </c>
    </row>
    <row r="1203" spans="1:10" x14ac:dyDescent="0.35">
      <c r="A1203" t="s">
        <v>5026</v>
      </c>
      <c r="B1203" t="s">
        <v>12653</v>
      </c>
      <c r="C1203" t="s">
        <v>12654</v>
      </c>
      <c r="D1203" t="s">
        <v>12655</v>
      </c>
      <c r="F1203" t="s">
        <v>1637</v>
      </c>
      <c r="G1203" t="s">
        <v>97</v>
      </c>
      <c r="H1203">
        <v>21037</v>
      </c>
      <c r="I1203">
        <v>12226940</v>
      </c>
      <c r="J1203" t="s">
        <v>12656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3"/>
  <sheetViews>
    <sheetView tabSelected="1" zoomScaleNormal="100" workbookViewId="0">
      <pane ySplit="3" topLeftCell="A4" activePane="bottomLeft" state="frozen"/>
      <selection pane="bottomLeft" activeCell="D9" sqref="D9"/>
    </sheetView>
  </sheetViews>
  <sheetFormatPr defaultColWidth="8.6328125" defaultRowHeight="14.5" x14ac:dyDescent="0.35"/>
  <cols>
    <col min="1" max="1" width="11.1796875" bestFit="1" customWidth="1"/>
    <col min="2" max="2" width="31.08984375" bestFit="1" customWidth="1"/>
    <col min="3" max="3" width="35.6328125" bestFit="1" customWidth="1"/>
    <col min="4" max="4" width="15.453125" bestFit="1" customWidth="1"/>
    <col min="5" max="5" width="18.36328125" bestFit="1" customWidth="1"/>
    <col min="6" max="6" width="10" customWidth="1"/>
    <col min="7" max="7" width="14.36328125" bestFit="1" customWidth="1"/>
  </cols>
  <sheetData>
    <row r="1" spans="1:7" ht="18" x14ac:dyDescent="0.4">
      <c r="A1" s="2" t="s">
        <v>12657</v>
      </c>
      <c r="B1" s="2"/>
      <c r="C1" s="2"/>
      <c r="D1" s="2"/>
      <c r="E1" s="2"/>
      <c r="F1" s="2"/>
      <c r="G1" s="2"/>
    </row>
    <row r="3" spans="1:7" x14ac:dyDescent="0.35">
      <c r="A3" s="10" t="s">
        <v>26</v>
      </c>
      <c r="B3" s="10" t="s">
        <v>12658</v>
      </c>
      <c r="C3" s="10" t="s">
        <v>7883</v>
      </c>
      <c r="D3" s="10" t="s">
        <v>7884</v>
      </c>
      <c r="E3" s="10" t="s">
        <v>7885</v>
      </c>
      <c r="F3" s="10" t="s">
        <v>19</v>
      </c>
      <c r="G3" s="10" t="s">
        <v>7886</v>
      </c>
    </row>
    <row r="4" spans="1:7" x14ac:dyDescent="0.35">
      <c r="A4" t="s">
        <v>1867</v>
      </c>
      <c r="B4" t="s">
        <v>12659</v>
      </c>
      <c r="C4" t="s">
        <v>12660</v>
      </c>
      <c r="D4" t="s">
        <v>12661</v>
      </c>
      <c r="E4" t="s">
        <v>124</v>
      </c>
      <c r="F4" t="s">
        <v>117</v>
      </c>
      <c r="G4">
        <v>72703</v>
      </c>
    </row>
    <row r="5" spans="1:7" x14ac:dyDescent="0.35">
      <c r="A5" t="s">
        <v>2785</v>
      </c>
      <c r="B5" t="s">
        <v>12662</v>
      </c>
      <c r="C5" t="s">
        <v>12663</v>
      </c>
      <c r="E5" t="s">
        <v>45</v>
      </c>
      <c r="F5" t="s">
        <v>46</v>
      </c>
      <c r="G5">
        <v>36117</v>
      </c>
    </row>
    <row r="6" spans="1:7" x14ac:dyDescent="0.35">
      <c r="A6" t="s">
        <v>847</v>
      </c>
      <c r="B6" t="s">
        <v>12664</v>
      </c>
      <c r="C6" t="s">
        <v>12142</v>
      </c>
      <c r="E6" t="s">
        <v>45</v>
      </c>
      <c r="F6" t="s">
        <v>46</v>
      </c>
      <c r="G6">
        <v>36109</v>
      </c>
    </row>
    <row r="7" spans="1:7" x14ac:dyDescent="0.35">
      <c r="A7" t="s">
        <v>3599</v>
      </c>
      <c r="B7" t="s">
        <v>12665</v>
      </c>
      <c r="C7" t="s">
        <v>12666</v>
      </c>
      <c r="D7" t="s">
        <v>12667</v>
      </c>
      <c r="E7" t="s">
        <v>35</v>
      </c>
      <c r="F7" t="s">
        <v>36</v>
      </c>
      <c r="G7">
        <v>31406</v>
      </c>
    </row>
    <row r="8" spans="1:7" x14ac:dyDescent="0.35">
      <c r="A8" t="s">
        <v>1277</v>
      </c>
      <c r="B8" t="s">
        <v>12668</v>
      </c>
      <c r="C8" t="s">
        <v>12669</v>
      </c>
      <c r="E8" t="s">
        <v>63</v>
      </c>
      <c r="F8" t="s">
        <v>64</v>
      </c>
      <c r="G8">
        <v>37210</v>
      </c>
    </row>
    <row r="9" spans="1:7" x14ac:dyDescent="0.35">
      <c r="A9" t="s">
        <v>5734</v>
      </c>
      <c r="B9" t="s">
        <v>12670</v>
      </c>
      <c r="C9" t="s">
        <v>12671</v>
      </c>
      <c r="E9" t="s">
        <v>118</v>
      </c>
      <c r="F9" t="s">
        <v>42</v>
      </c>
      <c r="G9">
        <v>80004</v>
      </c>
    </row>
    <row r="10" spans="1:7" x14ac:dyDescent="0.35">
      <c r="A10" t="s">
        <v>12672</v>
      </c>
      <c r="B10" t="s">
        <v>12673</v>
      </c>
      <c r="C10" t="s">
        <v>11919</v>
      </c>
      <c r="E10" t="s">
        <v>11920</v>
      </c>
      <c r="F10" t="s">
        <v>139</v>
      </c>
      <c r="G10">
        <v>1721</v>
      </c>
    </row>
    <row r="11" spans="1:7" x14ac:dyDescent="0.35">
      <c r="A11" t="s">
        <v>2280</v>
      </c>
      <c r="B11" t="s">
        <v>12674</v>
      </c>
      <c r="C11" t="s">
        <v>9975</v>
      </c>
      <c r="E11" t="s">
        <v>6323</v>
      </c>
      <c r="F11" t="s">
        <v>51</v>
      </c>
      <c r="G11">
        <v>95691</v>
      </c>
    </row>
    <row r="12" spans="1:7" x14ac:dyDescent="0.35">
      <c r="A12" t="s">
        <v>251</v>
      </c>
      <c r="B12" t="s">
        <v>12675</v>
      </c>
      <c r="C12" t="s">
        <v>12676</v>
      </c>
      <c r="E12" t="s">
        <v>118</v>
      </c>
      <c r="F12" t="s">
        <v>42</v>
      </c>
      <c r="G12">
        <v>80003</v>
      </c>
    </row>
    <row r="13" spans="1:7" x14ac:dyDescent="0.35">
      <c r="A13" t="s">
        <v>312</v>
      </c>
      <c r="B13" t="s">
        <v>12677</v>
      </c>
      <c r="C13" t="s">
        <v>9366</v>
      </c>
      <c r="E13" t="s">
        <v>179</v>
      </c>
      <c r="F13" t="s">
        <v>97</v>
      </c>
      <c r="G13">
        <v>21122</v>
      </c>
    </row>
    <row r="14" spans="1:7" x14ac:dyDescent="0.35">
      <c r="A14" t="s">
        <v>12678</v>
      </c>
      <c r="B14" t="s">
        <v>12679</v>
      </c>
      <c r="C14" t="s">
        <v>11796</v>
      </c>
      <c r="E14" t="s">
        <v>82</v>
      </c>
      <c r="F14" t="s">
        <v>74</v>
      </c>
      <c r="G14">
        <v>32413</v>
      </c>
    </row>
    <row r="15" spans="1:7" x14ac:dyDescent="0.35">
      <c r="A15" t="s">
        <v>1143</v>
      </c>
      <c r="B15" t="s">
        <v>12680</v>
      </c>
      <c r="C15" t="s">
        <v>12681</v>
      </c>
      <c r="E15" t="s">
        <v>63</v>
      </c>
      <c r="F15" t="s">
        <v>64</v>
      </c>
      <c r="G15">
        <v>37211</v>
      </c>
    </row>
    <row r="16" spans="1:7" x14ac:dyDescent="0.35">
      <c r="A16" t="s">
        <v>12682</v>
      </c>
      <c r="B16" t="s">
        <v>12683</v>
      </c>
      <c r="C16" t="s">
        <v>12684</v>
      </c>
      <c r="E16" t="s">
        <v>45</v>
      </c>
      <c r="F16" t="s">
        <v>46</v>
      </c>
      <c r="G16">
        <v>36117</v>
      </c>
    </row>
    <row r="17" spans="1:7" x14ac:dyDescent="0.35">
      <c r="A17" t="s">
        <v>12685</v>
      </c>
      <c r="B17" t="s">
        <v>12686</v>
      </c>
      <c r="C17" t="s">
        <v>12687</v>
      </c>
      <c r="E17" t="s">
        <v>130</v>
      </c>
      <c r="F17" t="s">
        <v>123</v>
      </c>
      <c r="G17">
        <v>20017</v>
      </c>
    </row>
    <row r="18" spans="1:7" x14ac:dyDescent="0.35">
      <c r="A18" t="s">
        <v>12688</v>
      </c>
      <c r="B18" t="s">
        <v>12689</v>
      </c>
      <c r="C18" t="s">
        <v>12690</v>
      </c>
      <c r="E18" t="s">
        <v>107</v>
      </c>
      <c r="F18" t="s">
        <v>87</v>
      </c>
      <c r="G18">
        <v>40207</v>
      </c>
    </row>
    <row r="19" spans="1:7" x14ac:dyDescent="0.35">
      <c r="A19" t="s">
        <v>12691</v>
      </c>
      <c r="B19" t="s">
        <v>12692</v>
      </c>
      <c r="C19" t="s">
        <v>12693</v>
      </c>
      <c r="E19" t="s">
        <v>118</v>
      </c>
      <c r="F19" t="s">
        <v>42</v>
      </c>
      <c r="G19">
        <v>80004</v>
      </c>
    </row>
    <row r="20" spans="1:7" x14ac:dyDescent="0.35">
      <c r="A20" t="s">
        <v>12694</v>
      </c>
      <c r="B20" t="s">
        <v>12695</v>
      </c>
      <c r="C20" t="s">
        <v>12696</v>
      </c>
      <c r="E20" t="s">
        <v>63</v>
      </c>
      <c r="F20" t="s">
        <v>64</v>
      </c>
      <c r="G20">
        <v>37203</v>
      </c>
    </row>
    <row r="21" spans="1:7" x14ac:dyDescent="0.35">
      <c r="A21" t="s">
        <v>223</v>
      </c>
      <c r="B21" t="s">
        <v>12697</v>
      </c>
      <c r="C21" t="s">
        <v>12698</v>
      </c>
      <c r="E21" t="s">
        <v>130</v>
      </c>
      <c r="F21" t="s">
        <v>123</v>
      </c>
      <c r="G21">
        <v>20018</v>
      </c>
    </row>
    <row r="22" spans="1:7" x14ac:dyDescent="0.35">
      <c r="A22" t="s">
        <v>772</v>
      </c>
      <c r="B22" t="s">
        <v>12699</v>
      </c>
      <c r="C22" t="s">
        <v>8011</v>
      </c>
      <c r="D22" t="s">
        <v>8012</v>
      </c>
      <c r="E22" t="s">
        <v>70</v>
      </c>
      <c r="F22" t="s">
        <v>31</v>
      </c>
      <c r="G22">
        <v>85301</v>
      </c>
    </row>
    <row r="23" spans="1:7" x14ac:dyDescent="0.35">
      <c r="A23" t="s">
        <v>5309</v>
      </c>
      <c r="B23" t="s">
        <v>12700</v>
      </c>
      <c r="C23" t="s">
        <v>12701</v>
      </c>
      <c r="E23" t="s">
        <v>3251</v>
      </c>
      <c r="F23" t="s">
        <v>51</v>
      </c>
      <c r="G23">
        <v>93446</v>
      </c>
    </row>
    <row r="24" spans="1:7" x14ac:dyDescent="0.35">
      <c r="A24" t="s">
        <v>12702</v>
      </c>
      <c r="B24" t="s">
        <v>12703</v>
      </c>
      <c r="C24" t="s">
        <v>12704</v>
      </c>
      <c r="E24" t="s">
        <v>130</v>
      </c>
      <c r="F24" t="s">
        <v>123</v>
      </c>
      <c r="G24">
        <v>20015</v>
      </c>
    </row>
    <row r="25" spans="1:7" x14ac:dyDescent="0.35">
      <c r="A25" t="s">
        <v>12705</v>
      </c>
      <c r="B25" t="s">
        <v>12706</v>
      </c>
      <c r="C25" t="s">
        <v>12707</v>
      </c>
      <c r="D25" t="s">
        <v>12708</v>
      </c>
      <c r="E25" t="s">
        <v>70</v>
      </c>
      <c r="F25" t="s">
        <v>31</v>
      </c>
      <c r="G25">
        <v>85308</v>
      </c>
    </row>
    <row r="26" spans="1:7" x14ac:dyDescent="0.35">
      <c r="A26" t="s">
        <v>2437</v>
      </c>
      <c r="B26" t="s">
        <v>12709</v>
      </c>
      <c r="C26" t="s">
        <v>12710</v>
      </c>
      <c r="D26" t="s">
        <v>11480</v>
      </c>
      <c r="E26" t="s">
        <v>107</v>
      </c>
      <c r="F26" t="s">
        <v>87</v>
      </c>
      <c r="G26">
        <v>40219</v>
      </c>
    </row>
    <row r="27" spans="1:7" x14ac:dyDescent="0.35">
      <c r="A27" t="s">
        <v>12711</v>
      </c>
      <c r="B27" t="s">
        <v>12712</v>
      </c>
      <c r="C27" t="s">
        <v>9096</v>
      </c>
      <c r="E27" t="s">
        <v>70</v>
      </c>
      <c r="F27" t="s">
        <v>31</v>
      </c>
      <c r="G27">
        <v>85301</v>
      </c>
    </row>
    <row r="28" spans="1:7" x14ac:dyDescent="0.35">
      <c r="A28" t="s">
        <v>270</v>
      </c>
      <c r="B28" t="s">
        <v>12713</v>
      </c>
      <c r="C28" t="s">
        <v>12714</v>
      </c>
      <c r="E28" t="s">
        <v>124</v>
      </c>
      <c r="F28" t="s">
        <v>117</v>
      </c>
      <c r="G28">
        <v>72703</v>
      </c>
    </row>
    <row r="29" spans="1:7" x14ac:dyDescent="0.35">
      <c r="A29" t="s">
        <v>12715</v>
      </c>
      <c r="B29" t="s">
        <v>12716</v>
      </c>
      <c r="C29" t="s">
        <v>12717</v>
      </c>
      <c r="E29" t="s">
        <v>75</v>
      </c>
      <c r="F29" t="s">
        <v>76</v>
      </c>
      <c r="G29">
        <v>6040</v>
      </c>
    </row>
    <row r="30" spans="1:7" x14ac:dyDescent="0.35">
      <c r="A30" t="s">
        <v>12718</v>
      </c>
      <c r="B30" t="s">
        <v>12719</v>
      </c>
      <c r="C30" t="s">
        <v>12720</v>
      </c>
      <c r="E30" t="s">
        <v>235</v>
      </c>
      <c r="F30" t="s">
        <v>236</v>
      </c>
      <c r="G30">
        <v>73107</v>
      </c>
    </row>
    <row r="31" spans="1:7" x14ac:dyDescent="0.35">
      <c r="A31" t="s">
        <v>12721</v>
      </c>
      <c r="B31" t="s">
        <v>12722</v>
      </c>
      <c r="C31" t="s">
        <v>12723</v>
      </c>
      <c r="E31" t="s">
        <v>830</v>
      </c>
      <c r="F31" t="s">
        <v>51</v>
      </c>
      <c r="G31">
        <v>94536</v>
      </c>
    </row>
    <row r="32" spans="1:7" x14ac:dyDescent="0.35">
      <c r="A32" t="s">
        <v>1835</v>
      </c>
      <c r="B32" t="s">
        <v>12724</v>
      </c>
      <c r="C32" t="s">
        <v>12725</v>
      </c>
      <c r="E32" t="s">
        <v>366</v>
      </c>
      <c r="F32" t="s">
        <v>51</v>
      </c>
      <c r="G32">
        <v>94550</v>
      </c>
    </row>
    <row r="33" spans="1:7" x14ac:dyDescent="0.35">
      <c r="A33" t="s">
        <v>12726</v>
      </c>
      <c r="B33" t="s">
        <v>12727</v>
      </c>
      <c r="C33" t="s">
        <v>12728</v>
      </c>
      <c r="E33" t="s">
        <v>888</v>
      </c>
      <c r="F33" t="s">
        <v>139</v>
      </c>
      <c r="G33">
        <v>2176</v>
      </c>
    </row>
    <row r="34" spans="1:7" x14ac:dyDescent="0.35">
      <c r="A34" t="s">
        <v>53</v>
      </c>
      <c r="B34" t="s">
        <v>12729</v>
      </c>
      <c r="C34" t="s">
        <v>7937</v>
      </c>
      <c r="D34" t="s">
        <v>7938</v>
      </c>
      <c r="E34" t="s">
        <v>124</v>
      </c>
      <c r="F34" t="s">
        <v>117</v>
      </c>
      <c r="G34">
        <v>72703</v>
      </c>
    </row>
    <row r="35" spans="1:7" x14ac:dyDescent="0.35">
      <c r="A35" t="s">
        <v>12730</v>
      </c>
      <c r="B35" t="s">
        <v>12731</v>
      </c>
      <c r="C35" t="s">
        <v>12732</v>
      </c>
      <c r="E35" t="s">
        <v>683</v>
      </c>
      <c r="F35" t="s">
        <v>97</v>
      </c>
      <c r="G35">
        <v>21144</v>
      </c>
    </row>
    <row r="36" spans="1:7" x14ac:dyDescent="0.35">
      <c r="A36" t="s">
        <v>342</v>
      </c>
      <c r="B36" t="s">
        <v>12733</v>
      </c>
      <c r="C36" t="s">
        <v>12734</v>
      </c>
      <c r="E36" t="s">
        <v>107</v>
      </c>
      <c r="F36" t="s">
        <v>87</v>
      </c>
      <c r="G36">
        <v>40211</v>
      </c>
    </row>
    <row r="37" spans="1:7" x14ac:dyDescent="0.35">
      <c r="A37" t="s">
        <v>1434</v>
      </c>
      <c r="B37" t="s">
        <v>12735</v>
      </c>
      <c r="C37" t="s">
        <v>12736</v>
      </c>
      <c r="E37" t="s">
        <v>107</v>
      </c>
      <c r="F37" t="s">
        <v>87</v>
      </c>
      <c r="G37">
        <v>40204</v>
      </c>
    </row>
    <row r="38" spans="1:7" x14ac:dyDescent="0.35">
      <c r="A38" t="s">
        <v>12737</v>
      </c>
      <c r="B38" t="s">
        <v>12738</v>
      </c>
      <c r="C38" t="s">
        <v>12739</v>
      </c>
      <c r="F38" t="s">
        <v>147</v>
      </c>
      <c r="G38">
        <v>5647</v>
      </c>
    </row>
    <row r="39" spans="1:7" x14ac:dyDescent="0.35">
      <c r="A39" t="s">
        <v>12740</v>
      </c>
      <c r="B39" t="s">
        <v>12741</v>
      </c>
      <c r="C39" t="s">
        <v>12742</v>
      </c>
      <c r="D39" t="s">
        <v>9224</v>
      </c>
      <c r="E39" t="s">
        <v>124</v>
      </c>
      <c r="F39" t="s">
        <v>117</v>
      </c>
      <c r="G39">
        <v>72703</v>
      </c>
    </row>
    <row r="40" spans="1:7" x14ac:dyDescent="0.35">
      <c r="A40" t="s">
        <v>3457</v>
      </c>
      <c r="B40" t="s">
        <v>12743</v>
      </c>
      <c r="C40" t="s">
        <v>12744</v>
      </c>
      <c r="D40" t="s">
        <v>12745</v>
      </c>
      <c r="E40" t="s">
        <v>112</v>
      </c>
      <c r="F40" t="s">
        <v>106</v>
      </c>
      <c r="G40">
        <v>99503</v>
      </c>
    </row>
    <row r="41" spans="1:7" x14ac:dyDescent="0.35">
      <c r="A41" t="s">
        <v>12746</v>
      </c>
      <c r="B41" t="s">
        <v>12747</v>
      </c>
      <c r="C41" t="s">
        <v>12748</v>
      </c>
      <c r="E41" t="s">
        <v>209</v>
      </c>
      <c r="F41" t="s">
        <v>74</v>
      </c>
      <c r="G41">
        <v>32404</v>
      </c>
    </row>
    <row r="42" spans="1:7" x14ac:dyDescent="0.35">
      <c r="A42" t="s">
        <v>2495</v>
      </c>
      <c r="B42" t="s">
        <v>12749</v>
      </c>
      <c r="C42" t="s">
        <v>12750</v>
      </c>
      <c r="E42" t="s">
        <v>1646</v>
      </c>
      <c r="F42" t="s">
        <v>74</v>
      </c>
      <c r="G42">
        <v>34465</v>
      </c>
    </row>
    <row r="43" spans="1:7" x14ac:dyDescent="0.35">
      <c r="A43" t="s">
        <v>4825</v>
      </c>
      <c r="B43" t="s">
        <v>12751</v>
      </c>
      <c r="C43" t="s">
        <v>12752</v>
      </c>
      <c r="E43" t="s">
        <v>75</v>
      </c>
      <c r="F43" t="s">
        <v>76</v>
      </c>
      <c r="G43">
        <v>6040</v>
      </c>
    </row>
    <row r="44" spans="1:7" x14ac:dyDescent="0.35">
      <c r="A44" t="s">
        <v>12753</v>
      </c>
      <c r="B44" t="s">
        <v>12754</v>
      </c>
      <c r="C44" t="s">
        <v>12755</v>
      </c>
      <c r="E44" t="s">
        <v>1162</v>
      </c>
      <c r="F44" t="s">
        <v>147</v>
      </c>
      <c r="G44">
        <v>5201</v>
      </c>
    </row>
    <row r="45" spans="1:7" x14ac:dyDescent="0.35">
      <c r="A45" t="s">
        <v>629</v>
      </c>
      <c r="B45" t="s">
        <v>12756</v>
      </c>
      <c r="C45" t="s">
        <v>8117</v>
      </c>
      <c r="E45" t="s">
        <v>4703</v>
      </c>
      <c r="F45" t="s">
        <v>36</v>
      </c>
      <c r="G45">
        <v>31302</v>
      </c>
    </row>
    <row r="46" spans="1:7" x14ac:dyDescent="0.35">
      <c r="A46" t="s">
        <v>2557</v>
      </c>
      <c r="B46" t="s">
        <v>12757</v>
      </c>
      <c r="C46" t="s">
        <v>9340</v>
      </c>
      <c r="E46" t="s">
        <v>3221</v>
      </c>
      <c r="F46" t="s">
        <v>51</v>
      </c>
      <c r="G46">
        <v>94546</v>
      </c>
    </row>
    <row r="47" spans="1:7" x14ac:dyDescent="0.35">
      <c r="A47" t="s">
        <v>12758</v>
      </c>
      <c r="B47" t="s">
        <v>12759</v>
      </c>
      <c r="C47" t="s">
        <v>12760</v>
      </c>
      <c r="E47" t="s">
        <v>209</v>
      </c>
      <c r="F47" t="s">
        <v>74</v>
      </c>
      <c r="G47">
        <v>32404</v>
      </c>
    </row>
    <row r="48" spans="1:7" x14ac:dyDescent="0.35">
      <c r="A48" t="s">
        <v>198</v>
      </c>
      <c r="B48" t="s">
        <v>12761</v>
      </c>
      <c r="C48" t="s">
        <v>12762</v>
      </c>
      <c r="E48" t="s">
        <v>112</v>
      </c>
      <c r="F48" t="s">
        <v>106</v>
      </c>
      <c r="G48">
        <v>99577</v>
      </c>
    </row>
    <row r="49" spans="1:7" x14ac:dyDescent="0.35">
      <c r="A49" t="s">
        <v>485</v>
      </c>
      <c r="B49" t="s">
        <v>12763</v>
      </c>
      <c r="C49" t="s">
        <v>9411</v>
      </c>
      <c r="E49" t="s">
        <v>45</v>
      </c>
      <c r="F49" t="s">
        <v>46</v>
      </c>
      <c r="G49">
        <v>36113</v>
      </c>
    </row>
    <row r="50" spans="1:7" x14ac:dyDescent="0.35">
      <c r="A50" t="s">
        <v>4379</v>
      </c>
      <c r="B50" t="s">
        <v>12764</v>
      </c>
      <c r="C50" t="s">
        <v>12765</v>
      </c>
      <c r="E50" t="s">
        <v>96</v>
      </c>
      <c r="F50" t="s">
        <v>97</v>
      </c>
      <c r="G50">
        <v>21114</v>
      </c>
    </row>
    <row r="51" spans="1:7" x14ac:dyDescent="0.35">
      <c r="A51" t="s">
        <v>12766</v>
      </c>
      <c r="B51" t="s">
        <v>12767</v>
      </c>
      <c r="C51" t="s">
        <v>11686</v>
      </c>
      <c r="E51" t="s">
        <v>107</v>
      </c>
      <c r="F51" t="s">
        <v>87</v>
      </c>
      <c r="G51">
        <v>40291</v>
      </c>
    </row>
    <row r="52" spans="1:7" x14ac:dyDescent="0.35">
      <c r="A52" t="s">
        <v>2858</v>
      </c>
      <c r="B52" t="s">
        <v>12768</v>
      </c>
      <c r="C52" t="s">
        <v>12769</v>
      </c>
      <c r="E52" t="s">
        <v>63</v>
      </c>
      <c r="F52" t="s">
        <v>64</v>
      </c>
      <c r="G52">
        <v>37204</v>
      </c>
    </row>
    <row r="53" spans="1:7" x14ac:dyDescent="0.35">
      <c r="A53" t="s">
        <v>2750</v>
      </c>
      <c r="B53" t="s">
        <v>12770</v>
      </c>
      <c r="C53" t="s">
        <v>12771</v>
      </c>
      <c r="D53" t="s">
        <v>12772</v>
      </c>
      <c r="E53" t="s">
        <v>75</v>
      </c>
      <c r="F53" t="s">
        <v>76</v>
      </c>
      <c r="G53">
        <v>6042</v>
      </c>
    </row>
    <row r="54" spans="1:7" x14ac:dyDescent="0.35">
      <c r="A54" t="s">
        <v>125</v>
      </c>
      <c r="B54" t="s">
        <v>12773</v>
      </c>
      <c r="C54" t="s">
        <v>8873</v>
      </c>
      <c r="E54" t="s">
        <v>107</v>
      </c>
      <c r="F54" t="s">
        <v>87</v>
      </c>
      <c r="G54">
        <v>40214</v>
      </c>
    </row>
    <row r="55" spans="1:7" x14ac:dyDescent="0.35">
      <c r="A55" t="s">
        <v>4712</v>
      </c>
      <c r="B55" t="s">
        <v>12774</v>
      </c>
      <c r="C55" t="s">
        <v>12775</v>
      </c>
      <c r="E55" t="s">
        <v>6671</v>
      </c>
      <c r="F55" t="s">
        <v>147</v>
      </c>
      <c r="G55">
        <v>5851</v>
      </c>
    </row>
    <row r="56" spans="1:7" x14ac:dyDescent="0.35">
      <c r="A56" t="s">
        <v>12776</v>
      </c>
      <c r="B56" t="s">
        <v>12777</v>
      </c>
      <c r="C56" t="s">
        <v>12778</v>
      </c>
      <c r="E56" t="s">
        <v>334</v>
      </c>
      <c r="F56" t="s">
        <v>51</v>
      </c>
      <c r="G56">
        <v>94610</v>
      </c>
    </row>
    <row r="57" spans="1:7" x14ac:dyDescent="0.35">
      <c r="A57" t="s">
        <v>1772</v>
      </c>
      <c r="B57" t="s">
        <v>12779</v>
      </c>
      <c r="C57" t="s">
        <v>9842</v>
      </c>
      <c r="E57" t="s">
        <v>2715</v>
      </c>
      <c r="F57" t="s">
        <v>51</v>
      </c>
      <c r="G57">
        <v>94610</v>
      </c>
    </row>
    <row r="58" spans="1:7" x14ac:dyDescent="0.35">
      <c r="A58" t="s">
        <v>12780</v>
      </c>
      <c r="B58" t="s">
        <v>12781</v>
      </c>
      <c r="C58" t="s">
        <v>12782</v>
      </c>
      <c r="E58" t="s">
        <v>112</v>
      </c>
      <c r="F58" t="s">
        <v>106</v>
      </c>
      <c r="G58">
        <v>99502</v>
      </c>
    </row>
    <row r="59" spans="1:7" x14ac:dyDescent="0.35">
      <c r="A59" t="s">
        <v>353</v>
      </c>
      <c r="B59" t="s">
        <v>12783</v>
      </c>
      <c r="C59" t="s">
        <v>12784</v>
      </c>
      <c r="E59" t="s">
        <v>316</v>
      </c>
      <c r="F59" t="s">
        <v>97</v>
      </c>
      <c r="G59">
        <v>21402</v>
      </c>
    </row>
    <row r="60" spans="1:7" x14ac:dyDescent="0.35">
      <c r="A60" t="s">
        <v>455</v>
      </c>
      <c r="B60" t="s">
        <v>12785</v>
      </c>
      <c r="C60" t="s">
        <v>9202</v>
      </c>
      <c r="E60" t="s">
        <v>130</v>
      </c>
      <c r="F60" t="s">
        <v>123</v>
      </c>
      <c r="G60">
        <v>20002</v>
      </c>
    </row>
    <row r="61" spans="1:7" x14ac:dyDescent="0.35">
      <c r="A61" t="s">
        <v>2088</v>
      </c>
      <c r="B61" t="s">
        <v>12786</v>
      </c>
      <c r="C61" t="s">
        <v>12787</v>
      </c>
      <c r="E61" t="s">
        <v>35</v>
      </c>
      <c r="F61" t="s">
        <v>36</v>
      </c>
      <c r="G61">
        <v>31411</v>
      </c>
    </row>
    <row r="62" spans="1:7" x14ac:dyDescent="0.35">
      <c r="A62" t="s">
        <v>12788</v>
      </c>
      <c r="B62" t="s">
        <v>12789</v>
      </c>
      <c r="C62" t="s">
        <v>12790</v>
      </c>
      <c r="D62" t="s">
        <v>12661</v>
      </c>
      <c r="E62" t="s">
        <v>12791</v>
      </c>
      <c r="F62" t="s">
        <v>51</v>
      </c>
      <c r="G62">
        <v>90248</v>
      </c>
    </row>
    <row r="63" spans="1:7" x14ac:dyDescent="0.35">
      <c r="A63" t="s">
        <v>731</v>
      </c>
      <c r="B63" t="s">
        <v>12792</v>
      </c>
      <c r="C63" t="s">
        <v>12793</v>
      </c>
      <c r="E63" t="s">
        <v>334</v>
      </c>
      <c r="F63" t="s">
        <v>51</v>
      </c>
      <c r="G63">
        <v>94605</v>
      </c>
    </row>
    <row r="64" spans="1:7" x14ac:dyDescent="0.35">
      <c r="A64" t="s">
        <v>12794</v>
      </c>
      <c r="B64" t="s">
        <v>12795</v>
      </c>
      <c r="C64" t="s">
        <v>12796</v>
      </c>
      <c r="D64" t="s">
        <v>12797</v>
      </c>
      <c r="E64" t="s">
        <v>174</v>
      </c>
      <c r="F64" t="s">
        <v>139</v>
      </c>
      <c r="G64">
        <v>2171</v>
      </c>
    </row>
    <row r="65" spans="1:7" x14ac:dyDescent="0.35">
      <c r="A65" t="s">
        <v>12798</v>
      </c>
      <c r="B65" t="s">
        <v>12799</v>
      </c>
      <c r="C65" t="s">
        <v>10572</v>
      </c>
      <c r="E65" t="s">
        <v>683</v>
      </c>
      <c r="F65" t="s">
        <v>97</v>
      </c>
      <c r="G65">
        <v>21144</v>
      </c>
    </row>
    <row r="66" spans="1:7" x14ac:dyDescent="0.35">
      <c r="A66" t="s">
        <v>12800</v>
      </c>
      <c r="B66" t="s">
        <v>12801</v>
      </c>
      <c r="C66" t="s">
        <v>12802</v>
      </c>
      <c r="D66" t="s">
        <v>12803</v>
      </c>
      <c r="E66" t="s">
        <v>112</v>
      </c>
      <c r="F66" t="s">
        <v>106</v>
      </c>
      <c r="G66">
        <v>99518</v>
      </c>
    </row>
    <row r="67" spans="1:7" x14ac:dyDescent="0.35">
      <c r="A67" t="s">
        <v>4905</v>
      </c>
      <c r="B67" t="s">
        <v>12804</v>
      </c>
      <c r="C67" t="s">
        <v>12805</v>
      </c>
      <c r="E67" t="s">
        <v>429</v>
      </c>
      <c r="F67" t="s">
        <v>236</v>
      </c>
      <c r="G67">
        <v>73160</v>
      </c>
    </row>
    <row r="68" spans="1:7" x14ac:dyDescent="0.35">
      <c r="A68" t="s">
        <v>12806</v>
      </c>
      <c r="B68" t="s">
        <v>12807</v>
      </c>
      <c r="C68" t="s">
        <v>8873</v>
      </c>
      <c r="E68" t="s">
        <v>107</v>
      </c>
      <c r="F68" t="s">
        <v>87</v>
      </c>
      <c r="G68">
        <v>40214</v>
      </c>
    </row>
    <row r="69" spans="1:7" x14ac:dyDescent="0.35">
      <c r="A69" t="s">
        <v>1387</v>
      </c>
      <c r="B69" t="s">
        <v>12808</v>
      </c>
      <c r="C69" t="s">
        <v>12809</v>
      </c>
      <c r="E69" t="s">
        <v>366</v>
      </c>
      <c r="F69" t="s">
        <v>51</v>
      </c>
      <c r="G69">
        <v>94550</v>
      </c>
    </row>
    <row r="70" spans="1:7" x14ac:dyDescent="0.35">
      <c r="A70" t="s">
        <v>3934</v>
      </c>
      <c r="B70" t="s">
        <v>12810</v>
      </c>
      <c r="C70" t="s">
        <v>12811</v>
      </c>
      <c r="E70" t="s">
        <v>118</v>
      </c>
      <c r="F70" t="s">
        <v>42</v>
      </c>
      <c r="G70">
        <v>80007</v>
      </c>
    </row>
    <row r="71" spans="1:7" x14ac:dyDescent="0.35">
      <c r="A71" t="s">
        <v>3006</v>
      </c>
      <c r="B71" t="s">
        <v>12812</v>
      </c>
      <c r="C71" t="s">
        <v>12813</v>
      </c>
      <c r="E71" t="s">
        <v>118</v>
      </c>
      <c r="F71" t="s">
        <v>42</v>
      </c>
      <c r="G71">
        <v>80004</v>
      </c>
    </row>
    <row r="72" spans="1:7" x14ac:dyDescent="0.35">
      <c r="A72" t="s">
        <v>12814</v>
      </c>
      <c r="B72" t="s">
        <v>12815</v>
      </c>
      <c r="C72" t="s">
        <v>12816</v>
      </c>
      <c r="E72" t="s">
        <v>1071</v>
      </c>
      <c r="F72" t="s">
        <v>236</v>
      </c>
      <c r="G72">
        <v>73034</v>
      </c>
    </row>
    <row r="73" spans="1:7" x14ac:dyDescent="0.35">
      <c r="A73" t="s">
        <v>12817</v>
      </c>
      <c r="B73" t="s">
        <v>12818</v>
      </c>
      <c r="C73" t="s">
        <v>8625</v>
      </c>
      <c r="E73" t="s">
        <v>75</v>
      </c>
      <c r="F73" t="s">
        <v>76</v>
      </c>
      <c r="G73">
        <v>6040</v>
      </c>
    </row>
    <row r="74" spans="1:7" x14ac:dyDescent="0.35">
      <c r="A74" t="s">
        <v>243</v>
      </c>
      <c r="B74" t="s">
        <v>12819</v>
      </c>
      <c r="C74" t="s">
        <v>9685</v>
      </c>
      <c r="D74" t="s">
        <v>32</v>
      </c>
      <c r="E74" t="s">
        <v>846</v>
      </c>
      <c r="F74" t="s">
        <v>74</v>
      </c>
      <c r="G74">
        <v>32456</v>
      </c>
    </row>
    <row r="75" spans="1:7" x14ac:dyDescent="0.35">
      <c r="A75" t="s">
        <v>2401</v>
      </c>
      <c r="B75" t="s">
        <v>12820</v>
      </c>
      <c r="C75" t="s">
        <v>12821</v>
      </c>
      <c r="D75" t="s">
        <v>12822</v>
      </c>
      <c r="E75" t="s">
        <v>70</v>
      </c>
      <c r="F75" t="s">
        <v>31</v>
      </c>
      <c r="G75">
        <v>85301</v>
      </c>
    </row>
    <row r="76" spans="1:7" x14ac:dyDescent="0.35">
      <c r="A76" t="s">
        <v>12823</v>
      </c>
      <c r="B76" t="s">
        <v>12824</v>
      </c>
      <c r="C76" t="s">
        <v>12825</v>
      </c>
      <c r="E76" t="s">
        <v>75</v>
      </c>
      <c r="F76" t="s">
        <v>76</v>
      </c>
      <c r="G76">
        <v>6040</v>
      </c>
    </row>
    <row r="77" spans="1:7" x14ac:dyDescent="0.35">
      <c r="A77" t="s">
        <v>2074</v>
      </c>
      <c r="B77" t="s">
        <v>12826</v>
      </c>
      <c r="C77" t="s">
        <v>12092</v>
      </c>
      <c r="D77" t="s">
        <v>8992</v>
      </c>
      <c r="E77" t="s">
        <v>543</v>
      </c>
      <c r="F77" t="s">
        <v>51</v>
      </c>
      <c r="G77">
        <v>94708</v>
      </c>
    </row>
    <row r="78" spans="1:7" x14ac:dyDescent="0.35">
      <c r="A78" t="s">
        <v>58</v>
      </c>
      <c r="B78" t="s">
        <v>12827</v>
      </c>
      <c r="C78" t="s">
        <v>12828</v>
      </c>
      <c r="E78" t="s">
        <v>63</v>
      </c>
      <c r="F78" t="s">
        <v>64</v>
      </c>
      <c r="G78">
        <v>37215</v>
      </c>
    </row>
    <row r="79" spans="1:7" x14ac:dyDescent="0.35">
      <c r="A79" t="s">
        <v>738</v>
      </c>
      <c r="B79" t="s">
        <v>12829</v>
      </c>
      <c r="C79" t="s">
        <v>12830</v>
      </c>
      <c r="E79" t="s">
        <v>130</v>
      </c>
      <c r="F79" t="s">
        <v>123</v>
      </c>
      <c r="G79">
        <v>20011</v>
      </c>
    </row>
    <row r="80" spans="1:7" x14ac:dyDescent="0.35">
      <c r="A80" t="s">
        <v>394</v>
      </c>
      <c r="B80" t="s">
        <v>12831</v>
      </c>
      <c r="C80" t="s">
        <v>9572</v>
      </c>
      <c r="E80" t="s">
        <v>35</v>
      </c>
      <c r="F80" t="s">
        <v>36</v>
      </c>
      <c r="G80">
        <v>31406</v>
      </c>
    </row>
    <row r="81" spans="1:7" x14ac:dyDescent="0.35">
      <c r="A81" t="s">
        <v>4045</v>
      </c>
      <c r="B81" t="s">
        <v>12832</v>
      </c>
      <c r="C81" t="s">
        <v>12833</v>
      </c>
      <c r="E81" t="s">
        <v>1424</v>
      </c>
      <c r="F81" t="s">
        <v>51</v>
      </c>
      <c r="G81">
        <v>96003</v>
      </c>
    </row>
    <row r="82" spans="1:7" x14ac:dyDescent="0.35">
      <c r="A82" t="s">
        <v>6590</v>
      </c>
      <c r="B82" t="s">
        <v>12834</v>
      </c>
      <c r="C82" t="s">
        <v>11866</v>
      </c>
      <c r="E82" t="s">
        <v>1071</v>
      </c>
      <c r="F82" t="s">
        <v>236</v>
      </c>
      <c r="G82">
        <v>73003</v>
      </c>
    </row>
    <row r="83" spans="1:7" x14ac:dyDescent="0.35">
      <c r="A83" t="s">
        <v>12835</v>
      </c>
      <c r="B83" t="s">
        <v>12836</v>
      </c>
      <c r="C83" t="s">
        <v>12073</v>
      </c>
      <c r="E83" t="s">
        <v>124</v>
      </c>
      <c r="F83" t="s">
        <v>117</v>
      </c>
      <c r="G83">
        <v>72701</v>
      </c>
    </row>
    <row r="84" spans="1:7" x14ac:dyDescent="0.35">
      <c r="A84" t="s">
        <v>2695</v>
      </c>
      <c r="B84" t="s">
        <v>12837</v>
      </c>
      <c r="C84" t="s">
        <v>12838</v>
      </c>
      <c r="E84" t="s">
        <v>5042</v>
      </c>
      <c r="F84" t="s">
        <v>87</v>
      </c>
      <c r="G84">
        <v>40242</v>
      </c>
    </row>
    <row r="85" spans="1:7" x14ac:dyDescent="0.35">
      <c r="A85" t="s">
        <v>4063</v>
      </c>
      <c r="B85" t="s">
        <v>12839</v>
      </c>
      <c r="C85" t="s">
        <v>12840</v>
      </c>
      <c r="E85" t="s">
        <v>1269</v>
      </c>
      <c r="F85" t="s">
        <v>51</v>
      </c>
      <c r="G85">
        <v>93662</v>
      </c>
    </row>
    <row r="86" spans="1:7" x14ac:dyDescent="0.35">
      <c r="A86" t="s">
        <v>297</v>
      </c>
      <c r="B86" t="s">
        <v>12841</v>
      </c>
      <c r="C86" t="s">
        <v>12142</v>
      </c>
      <c r="E86" t="s">
        <v>45</v>
      </c>
      <c r="F86" t="s">
        <v>46</v>
      </c>
      <c r="G86">
        <v>36109</v>
      </c>
    </row>
    <row r="87" spans="1:7" x14ac:dyDescent="0.35">
      <c r="A87" t="s">
        <v>6443</v>
      </c>
      <c r="B87" t="s">
        <v>12842</v>
      </c>
      <c r="C87" t="s">
        <v>12843</v>
      </c>
      <c r="E87" t="s">
        <v>130</v>
      </c>
      <c r="F87" t="s">
        <v>123</v>
      </c>
      <c r="G87">
        <v>20006</v>
      </c>
    </row>
    <row r="88" spans="1:7" x14ac:dyDescent="0.35">
      <c r="A88" t="s">
        <v>12844</v>
      </c>
      <c r="B88" t="s">
        <v>12845</v>
      </c>
      <c r="C88" t="s">
        <v>9206</v>
      </c>
      <c r="D88" t="s">
        <v>9207</v>
      </c>
      <c r="E88" t="s">
        <v>112</v>
      </c>
      <c r="F88" t="s">
        <v>106</v>
      </c>
      <c r="G88">
        <v>99501</v>
      </c>
    </row>
    <row r="89" spans="1:7" x14ac:dyDescent="0.35">
      <c r="A89" t="s">
        <v>231</v>
      </c>
      <c r="B89" t="s">
        <v>12846</v>
      </c>
      <c r="C89" t="s">
        <v>12847</v>
      </c>
      <c r="E89" t="s">
        <v>6109</v>
      </c>
      <c r="F89" t="s">
        <v>139</v>
      </c>
      <c r="G89">
        <v>2748</v>
      </c>
    </row>
    <row r="90" spans="1:7" x14ac:dyDescent="0.35">
      <c r="A90" t="s">
        <v>1151</v>
      </c>
      <c r="B90" t="s">
        <v>12848</v>
      </c>
      <c r="C90" t="s">
        <v>11537</v>
      </c>
      <c r="E90" t="s">
        <v>124</v>
      </c>
      <c r="F90" t="s">
        <v>117</v>
      </c>
      <c r="G90">
        <v>72701</v>
      </c>
    </row>
    <row r="91" spans="1:7" x14ac:dyDescent="0.35">
      <c r="A91" t="s">
        <v>12849</v>
      </c>
      <c r="B91" t="s">
        <v>12850</v>
      </c>
      <c r="C91" t="s">
        <v>12851</v>
      </c>
      <c r="E91" t="s">
        <v>683</v>
      </c>
      <c r="F91" t="s">
        <v>97</v>
      </c>
      <c r="G91">
        <v>21144</v>
      </c>
    </row>
    <row r="92" spans="1:7" x14ac:dyDescent="0.35">
      <c r="A92" t="s">
        <v>12852</v>
      </c>
      <c r="B92" t="s">
        <v>12853</v>
      </c>
      <c r="C92" t="s">
        <v>8067</v>
      </c>
      <c r="E92" t="s">
        <v>75</v>
      </c>
      <c r="F92" t="s">
        <v>76</v>
      </c>
      <c r="G92">
        <v>6040</v>
      </c>
    </row>
    <row r="93" spans="1:7" x14ac:dyDescent="0.35">
      <c r="A93" t="s">
        <v>1739</v>
      </c>
      <c r="B93" t="s">
        <v>12854</v>
      </c>
      <c r="C93" t="s">
        <v>12855</v>
      </c>
      <c r="E93" t="s">
        <v>124</v>
      </c>
      <c r="F93" t="s">
        <v>117</v>
      </c>
      <c r="G93">
        <v>72701</v>
      </c>
    </row>
    <row r="94" spans="1:7" x14ac:dyDescent="0.35">
      <c r="A94" t="s">
        <v>12856</v>
      </c>
      <c r="B94" t="s">
        <v>12857</v>
      </c>
      <c r="C94" t="s">
        <v>9082</v>
      </c>
      <c r="E94" t="s">
        <v>9083</v>
      </c>
      <c r="F94" t="s">
        <v>139</v>
      </c>
      <c r="G94">
        <v>2717</v>
      </c>
    </row>
    <row r="95" spans="1:7" x14ac:dyDescent="0.35">
      <c r="A95" t="s">
        <v>3758</v>
      </c>
      <c r="B95" t="s">
        <v>12858</v>
      </c>
      <c r="C95" t="s">
        <v>10775</v>
      </c>
      <c r="E95" t="s">
        <v>429</v>
      </c>
      <c r="F95" t="s">
        <v>236</v>
      </c>
      <c r="G95">
        <v>73160</v>
      </c>
    </row>
    <row r="96" spans="1:7" x14ac:dyDescent="0.35">
      <c r="A96" t="s">
        <v>658</v>
      </c>
      <c r="B96" t="s">
        <v>12859</v>
      </c>
      <c r="C96" t="s">
        <v>12860</v>
      </c>
      <c r="E96" t="s">
        <v>130</v>
      </c>
      <c r="F96" t="s">
        <v>123</v>
      </c>
      <c r="G96">
        <v>20003</v>
      </c>
    </row>
    <row r="97" spans="1:7" x14ac:dyDescent="0.35">
      <c r="A97" t="s">
        <v>672</v>
      </c>
      <c r="B97" t="s">
        <v>12861</v>
      </c>
      <c r="C97" t="s">
        <v>12862</v>
      </c>
      <c r="E97" t="s">
        <v>209</v>
      </c>
      <c r="F97" t="s">
        <v>74</v>
      </c>
      <c r="G97">
        <v>32401</v>
      </c>
    </row>
    <row r="98" spans="1:7" x14ac:dyDescent="0.35">
      <c r="A98" t="s">
        <v>12863</v>
      </c>
      <c r="B98" t="s">
        <v>12864</v>
      </c>
      <c r="C98" t="s">
        <v>12865</v>
      </c>
      <c r="E98" t="s">
        <v>107</v>
      </c>
      <c r="F98" t="s">
        <v>87</v>
      </c>
      <c r="G98">
        <v>40207</v>
      </c>
    </row>
    <row r="99" spans="1:7" x14ac:dyDescent="0.35">
      <c r="A99" t="s">
        <v>2709</v>
      </c>
      <c r="B99" t="s">
        <v>12866</v>
      </c>
      <c r="C99" t="s">
        <v>12867</v>
      </c>
      <c r="D99" t="s">
        <v>12868</v>
      </c>
      <c r="E99" t="s">
        <v>118</v>
      </c>
      <c r="F99" t="s">
        <v>42</v>
      </c>
      <c r="G99">
        <v>80003</v>
      </c>
    </row>
    <row r="100" spans="1:7" x14ac:dyDescent="0.35">
      <c r="A100" t="s">
        <v>12869</v>
      </c>
      <c r="B100" t="s">
        <v>12870</v>
      </c>
      <c r="C100" t="s">
        <v>11174</v>
      </c>
      <c r="E100" t="s">
        <v>96</v>
      </c>
      <c r="F100" t="s">
        <v>97</v>
      </c>
      <c r="G100">
        <v>21114</v>
      </c>
    </row>
    <row r="101" spans="1:7" x14ac:dyDescent="0.35">
      <c r="A101" t="s">
        <v>3491</v>
      </c>
      <c r="B101" t="s">
        <v>12871</v>
      </c>
      <c r="C101" t="s">
        <v>12872</v>
      </c>
      <c r="E101" t="s">
        <v>130</v>
      </c>
      <c r="F101" t="s">
        <v>123</v>
      </c>
      <c r="G101">
        <v>20002</v>
      </c>
    </row>
    <row r="102" spans="1:7" x14ac:dyDescent="0.35">
      <c r="A102" t="s">
        <v>3629</v>
      </c>
      <c r="B102" t="s">
        <v>12873</v>
      </c>
      <c r="C102" t="s">
        <v>12874</v>
      </c>
      <c r="E102" t="s">
        <v>130</v>
      </c>
      <c r="F102" t="s">
        <v>123</v>
      </c>
      <c r="G102">
        <v>20020</v>
      </c>
    </row>
    <row r="103" spans="1:7" x14ac:dyDescent="0.35">
      <c r="A103" t="s">
        <v>3104</v>
      </c>
      <c r="B103" t="s">
        <v>12875</v>
      </c>
      <c r="C103" t="s">
        <v>12876</v>
      </c>
      <c r="E103" t="s">
        <v>63</v>
      </c>
      <c r="F103" t="s">
        <v>64</v>
      </c>
      <c r="G103">
        <v>37211</v>
      </c>
    </row>
    <row r="104" spans="1:7" x14ac:dyDescent="0.35">
      <c r="A104" t="s">
        <v>4774</v>
      </c>
      <c r="B104" t="s">
        <v>12877</v>
      </c>
      <c r="C104" t="s">
        <v>12878</v>
      </c>
      <c r="E104" t="s">
        <v>107</v>
      </c>
      <c r="F104" t="s">
        <v>87</v>
      </c>
      <c r="G104">
        <v>40272</v>
      </c>
    </row>
    <row r="105" spans="1:7" x14ac:dyDescent="0.35">
      <c r="A105" t="s">
        <v>1256</v>
      </c>
      <c r="B105" t="s">
        <v>12879</v>
      </c>
      <c r="C105" t="s">
        <v>9875</v>
      </c>
      <c r="E105" t="s">
        <v>9876</v>
      </c>
      <c r="F105" t="s">
        <v>51</v>
      </c>
      <c r="G105">
        <v>94530</v>
      </c>
    </row>
    <row r="106" spans="1:7" x14ac:dyDescent="0.35">
      <c r="A106" t="s">
        <v>6610</v>
      </c>
      <c r="B106" t="s">
        <v>12880</v>
      </c>
      <c r="C106" t="s">
        <v>12881</v>
      </c>
      <c r="E106" t="s">
        <v>130</v>
      </c>
      <c r="F106" t="s">
        <v>123</v>
      </c>
      <c r="G106">
        <v>20019</v>
      </c>
    </row>
    <row r="107" spans="1:7" x14ac:dyDescent="0.35">
      <c r="A107" t="s">
        <v>1628</v>
      </c>
      <c r="B107" t="s">
        <v>12882</v>
      </c>
      <c r="C107" t="s">
        <v>12883</v>
      </c>
      <c r="E107" t="s">
        <v>3904</v>
      </c>
      <c r="F107" t="s">
        <v>139</v>
      </c>
      <c r="G107">
        <v>2492</v>
      </c>
    </row>
    <row r="108" spans="1:7" x14ac:dyDescent="0.35">
      <c r="A108" t="s">
        <v>12884</v>
      </c>
      <c r="B108" t="s">
        <v>12885</v>
      </c>
      <c r="C108" t="s">
        <v>12886</v>
      </c>
      <c r="E108" t="s">
        <v>2328</v>
      </c>
      <c r="F108" t="s">
        <v>51</v>
      </c>
      <c r="G108">
        <v>93722</v>
      </c>
    </row>
    <row r="109" spans="1:7" x14ac:dyDescent="0.35">
      <c r="A109" t="s">
        <v>1155</v>
      </c>
      <c r="B109" t="s">
        <v>12887</v>
      </c>
      <c r="C109" t="s">
        <v>10576</v>
      </c>
      <c r="E109" t="s">
        <v>35</v>
      </c>
      <c r="F109" t="s">
        <v>36</v>
      </c>
      <c r="G109">
        <v>31419</v>
      </c>
    </row>
    <row r="110" spans="1:7" x14ac:dyDescent="0.35">
      <c r="A110" t="s">
        <v>140</v>
      </c>
      <c r="B110" t="s">
        <v>12888</v>
      </c>
      <c r="C110" t="s">
        <v>9000</v>
      </c>
      <c r="D110" t="s">
        <v>8720</v>
      </c>
      <c r="E110" t="s">
        <v>118</v>
      </c>
      <c r="F110" t="s">
        <v>42</v>
      </c>
      <c r="G110">
        <v>80003</v>
      </c>
    </row>
    <row r="111" spans="1:7" x14ac:dyDescent="0.35">
      <c r="A111" t="s">
        <v>3111</v>
      </c>
      <c r="B111" t="s">
        <v>12889</v>
      </c>
      <c r="C111" t="s">
        <v>10576</v>
      </c>
      <c r="E111" t="s">
        <v>35</v>
      </c>
      <c r="F111" t="s">
        <v>36</v>
      </c>
      <c r="G111">
        <v>31419</v>
      </c>
    </row>
    <row r="112" spans="1:7" x14ac:dyDescent="0.35">
      <c r="A112" t="s">
        <v>752</v>
      </c>
      <c r="B112" t="s">
        <v>12890</v>
      </c>
      <c r="C112" t="s">
        <v>11724</v>
      </c>
      <c r="E112" t="s">
        <v>179</v>
      </c>
      <c r="F112" t="s">
        <v>97</v>
      </c>
      <c r="G112">
        <v>21122</v>
      </c>
    </row>
    <row r="113" spans="1:7" x14ac:dyDescent="0.35">
      <c r="A113" t="s">
        <v>12891</v>
      </c>
      <c r="B113" t="s">
        <v>12892</v>
      </c>
      <c r="C113" t="s">
        <v>12893</v>
      </c>
      <c r="E113" t="s">
        <v>334</v>
      </c>
      <c r="F113" t="s">
        <v>51</v>
      </c>
      <c r="G113">
        <v>94605</v>
      </c>
    </row>
    <row r="114" spans="1:7" x14ac:dyDescent="0.35">
      <c r="A114" t="s">
        <v>12894</v>
      </c>
      <c r="B114" t="s">
        <v>12895</v>
      </c>
      <c r="C114" t="s">
        <v>12896</v>
      </c>
      <c r="E114" t="s">
        <v>35</v>
      </c>
      <c r="F114" t="s">
        <v>36</v>
      </c>
      <c r="G114">
        <v>31419</v>
      </c>
    </row>
    <row r="115" spans="1:7" x14ac:dyDescent="0.35">
      <c r="A115" t="s">
        <v>2269</v>
      </c>
      <c r="B115" t="s">
        <v>12897</v>
      </c>
      <c r="C115" t="s">
        <v>12898</v>
      </c>
      <c r="E115" t="s">
        <v>393</v>
      </c>
      <c r="F115" t="s">
        <v>74</v>
      </c>
      <c r="G115">
        <v>32466</v>
      </c>
    </row>
    <row r="116" spans="1:7" x14ac:dyDescent="0.35">
      <c r="A116" t="s">
        <v>2809</v>
      </c>
      <c r="B116" t="s">
        <v>12899</v>
      </c>
      <c r="C116" t="s">
        <v>12900</v>
      </c>
      <c r="E116" t="s">
        <v>1464</v>
      </c>
      <c r="F116" t="s">
        <v>97</v>
      </c>
      <c r="G116">
        <v>21146</v>
      </c>
    </row>
    <row r="117" spans="1:7" x14ac:dyDescent="0.35">
      <c r="A117" t="s">
        <v>3258</v>
      </c>
      <c r="B117" t="s">
        <v>12901</v>
      </c>
      <c r="C117" t="s">
        <v>12151</v>
      </c>
      <c r="E117" t="s">
        <v>118</v>
      </c>
      <c r="F117" t="s">
        <v>42</v>
      </c>
      <c r="G117">
        <v>80004</v>
      </c>
    </row>
    <row r="118" spans="1:7" x14ac:dyDescent="0.35">
      <c r="A118" t="s">
        <v>1691</v>
      </c>
      <c r="B118" t="s">
        <v>12902</v>
      </c>
      <c r="C118" t="s">
        <v>12903</v>
      </c>
      <c r="E118" t="s">
        <v>45</v>
      </c>
      <c r="F118" t="s">
        <v>46</v>
      </c>
      <c r="G118">
        <v>36117</v>
      </c>
    </row>
    <row r="119" spans="1:7" x14ac:dyDescent="0.35">
      <c r="A119" t="s">
        <v>12904</v>
      </c>
      <c r="B119" t="s">
        <v>12905</v>
      </c>
      <c r="C119" t="s">
        <v>12906</v>
      </c>
      <c r="E119" t="s">
        <v>411</v>
      </c>
      <c r="F119" t="s">
        <v>147</v>
      </c>
      <c r="G119">
        <v>5847</v>
      </c>
    </row>
    <row r="120" spans="1:7" x14ac:dyDescent="0.35">
      <c r="A120" t="s">
        <v>513</v>
      </c>
      <c r="B120" t="s">
        <v>12907</v>
      </c>
      <c r="C120" t="s">
        <v>12065</v>
      </c>
      <c r="E120" t="s">
        <v>1071</v>
      </c>
      <c r="F120" t="s">
        <v>236</v>
      </c>
      <c r="G120">
        <v>73012</v>
      </c>
    </row>
    <row r="121" spans="1:7" x14ac:dyDescent="0.35">
      <c r="A121" t="s">
        <v>4311</v>
      </c>
      <c r="B121" t="s">
        <v>12908</v>
      </c>
      <c r="C121" t="s">
        <v>12909</v>
      </c>
      <c r="D121" t="s">
        <v>12910</v>
      </c>
      <c r="E121" t="s">
        <v>124</v>
      </c>
      <c r="F121" t="s">
        <v>117</v>
      </c>
      <c r="G121">
        <v>72701</v>
      </c>
    </row>
    <row r="122" spans="1:7" x14ac:dyDescent="0.35">
      <c r="A122" t="s">
        <v>2691</v>
      </c>
      <c r="B122" t="s">
        <v>12911</v>
      </c>
      <c r="C122" t="s">
        <v>12912</v>
      </c>
      <c r="E122" t="s">
        <v>112</v>
      </c>
      <c r="F122" t="s">
        <v>106</v>
      </c>
      <c r="G122">
        <v>99501</v>
      </c>
    </row>
    <row r="123" spans="1:7" x14ac:dyDescent="0.35">
      <c r="A123" t="s">
        <v>2754</v>
      </c>
      <c r="B123" t="s">
        <v>12913</v>
      </c>
      <c r="C123" t="s">
        <v>12914</v>
      </c>
      <c r="E123" t="s">
        <v>2775</v>
      </c>
      <c r="F123" t="s">
        <v>64</v>
      </c>
      <c r="G123">
        <v>37027</v>
      </c>
    </row>
    <row r="124" spans="1:7" x14ac:dyDescent="0.35">
      <c r="A124" t="s">
        <v>12915</v>
      </c>
      <c r="B124" t="s">
        <v>12916</v>
      </c>
      <c r="C124" t="s">
        <v>12917</v>
      </c>
      <c r="E124" t="s">
        <v>9229</v>
      </c>
      <c r="F124" t="s">
        <v>139</v>
      </c>
      <c r="G124">
        <v>1028</v>
      </c>
    </row>
    <row r="125" spans="1:7" x14ac:dyDescent="0.35">
      <c r="A125" t="s">
        <v>1984</v>
      </c>
      <c r="B125" t="s">
        <v>12918</v>
      </c>
      <c r="C125" t="s">
        <v>9568</v>
      </c>
      <c r="E125" t="s">
        <v>3828</v>
      </c>
      <c r="F125" t="s">
        <v>74</v>
      </c>
      <c r="G125">
        <v>32409</v>
      </c>
    </row>
    <row r="126" spans="1:7" x14ac:dyDescent="0.35">
      <c r="A126" t="s">
        <v>1683</v>
      </c>
      <c r="B126" t="s">
        <v>12919</v>
      </c>
      <c r="C126" t="s">
        <v>12920</v>
      </c>
      <c r="D126" t="s">
        <v>10024</v>
      </c>
      <c r="E126" t="s">
        <v>334</v>
      </c>
      <c r="F126" t="s">
        <v>51</v>
      </c>
      <c r="G126">
        <v>94621</v>
      </c>
    </row>
    <row r="127" spans="1:7" x14ac:dyDescent="0.35">
      <c r="A127" t="s">
        <v>12921</v>
      </c>
      <c r="B127" t="s">
        <v>12922</v>
      </c>
      <c r="C127" t="s">
        <v>12923</v>
      </c>
      <c r="F127" t="s">
        <v>147</v>
      </c>
      <c r="G127">
        <v>5443</v>
      </c>
    </row>
    <row r="128" spans="1:7" x14ac:dyDescent="0.35">
      <c r="A128" t="s">
        <v>3773</v>
      </c>
      <c r="B128" t="s">
        <v>12924</v>
      </c>
      <c r="C128" t="s">
        <v>12925</v>
      </c>
      <c r="E128" t="s">
        <v>107</v>
      </c>
      <c r="F128" t="s">
        <v>87</v>
      </c>
      <c r="G128">
        <v>40204</v>
      </c>
    </row>
    <row r="129" spans="1:7" x14ac:dyDescent="0.35">
      <c r="A129" t="s">
        <v>1014</v>
      </c>
      <c r="B129" t="s">
        <v>12926</v>
      </c>
      <c r="C129" t="s">
        <v>12927</v>
      </c>
      <c r="E129" t="s">
        <v>1351</v>
      </c>
      <c r="F129" t="s">
        <v>139</v>
      </c>
      <c r="G129">
        <v>1867</v>
      </c>
    </row>
    <row r="130" spans="1:7" x14ac:dyDescent="0.35">
      <c r="A130" t="s">
        <v>12928</v>
      </c>
      <c r="B130" t="s">
        <v>12929</v>
      </c>
      <c r="C130" t="s">
        <v>12930</v>
      </c>
      <c r="E130" t="s">
        <v>1071</v>
      </c>
      <c r="F130" t="s">
        <v>236</v>
      </c>
      <c r="G130">
        <v>73003</v>
      </c>
    </row>
    <row r="131" spans="1:7" x14ac:dyDescent="0.35">
      <c r="A131" t="s">
        <v>3657</v>
      </c>
      <c r="B131" t="s">
        <v>12931</v>
      </c>
      <c r="C131" t="s">
        <v>12932</v>
      </c>
      <c r="E131" t="s">
        <v>75</v>
      </c>
      <c r="F131" t="s">
        <v>76</v>
      </c>
      <c r="G131">
        <v>6042</v>
      </c>
    </row>
    <row r="132" spans="1:7" x14ac:dyDescent="0.35">
      <c r="A132" t="s">
        <v>3067</v>
      </c>
      <c r="B132" t="s">
        <v>12933</v>
      </c>
      <c r="C132" t="s">
        <v>12934</v>
      </c>
      <c r="E132" t="s">
        <v>4831</v>
      </c>
      <c r="F132" t="s">
        <v>106</v>
      </c>
      <c r="G132">
        <v>99603</v>
      </c>
    </row>
    <row r="133" spans="1:7" x14ac:dyDescent="0.35">
      <c r="A133" t="s">
        <v>12935</v>
      </c>
      <c r="B133" t="s">
        <v>12936</v>
      </c>
      <c r="C133" t="s">
        <v>12937</v>
      </c>
      <c r="E133" t="s">
        <v>130</v>
      </c>
      <c r="F133" t="s">
        <v>123</v>
      </c>
      <c r="G133">
        <v>20011</v>
      </c>
    </row>
    <row r="134" spans="1:7" x14ac:dyDescent="0.35">
      <c r="A134" t="s">
        <v>12938</v>
      </c>
      <c r="B134" t="s">
        <v>12939</v>
      </c>
      <c r="C134" t="s">
        <v>12940</v>
      </c>
      <c r="E134" t="s">
        <v>477</v>
      </c>
      <c r="F134" t="s">
        <v>51</v>
      </c>
      <c r="G134">
        <v>94541</v>
      </c>
    </row>
    <row r="135" spans="1:7" x14ac:dyDescent="0.35">
      <c r="A135" t="s">
        <v>916</v>
      </c>
      <c r="B135" t="s">
        <v>12941</v>
      </c>
      <c r="C135" t="s">
        <v>12942</v>
      </c>
      <c r="D135" t="s">
        <v>9390</v>
      </c>
      <c r="E135" t="s">
        <v>35</v>
      </c>
      <c r="F135" t="s">
        <v>36</v>
      </c>
      <c r="G135">
        <v>31419</v>
      </c>
    </row>
    <row r="136" spans="1:7" x14ac:dyDescent="0.35">
      <c r="A136" t="s">
        <v>12943</v>
      </c>
      <c r="B136" t="s">
        <v>12944</v>
      </c>
      <c r="C136" t="s">
        <v>12945</v>
      </c>
      <c r="E136" t="s">
        <v>70</v>
      </c>
      <c r="F136" t="s">
        <v>31</v>
      </c>
      <c r="G136">
        <v>85306</v>
      </c>
    </row>
    <row r="137" spans="1:7" x14ac:dyDescent="0.35">
      <c r="A137" t="s">
        <v>2257</v>
      </c>
      <c r="B137" t="s">
        <v>12946</v>
      </c>
      <c r="C137" t="s">
        <v>11628</v>
      </c>
      <c r="D137" t="s">
        <v>11629</v>
      </c>
      <c r="E137" t="s">
        <v>112</v>
      </c>
      <c r="F137" t="s">
        <v>106</v>
      </c>
      <c r="G137">
        <v>99507</v>
      </c>
    </row>
    <row r="138" spans="1:7" x14ac:dyDescent="0.35">
      <c r="A138" t="s">
        <v>119</v>
      </c>
      <c r="B138" t="s">
        <v>12947</v>
      </c>
      <c r="C138" t="s">
        <v>12948</v>
      </c>
      <c r="E138" t="s">
        <v>35</v>
      </c>
      <c r="F138" t="s">
        <v>36</v>
      </c>
      <c r="G138">
        <v>31401</v>
      </c>
    </row>
    <row r="139" spans="1:7" x14ac:dyDescent="0.35">
      <c r="A139" t="s">
        <v>12949</v>
      </c>
      <c r="B139" t="s">
        <v>12950</v>
      </c>
      <c r="C139" t="s">
        <v>12032</v>
      </c>
      <c r="D139" t="s">
        <v>12033</v>
      </c>
      <c r="E139" t="s">
        <v>70</v>
      </c>
      <c r="F139" t="s">
        <v>31</v>
      </c>
      <c r="G139">
        <v>85301</v>
      </c>
    </row>
    <row r="140" spans="1:7" x14ac:dyDescent="0.35">
      <c r="A140" t="s">
        <v>624</v>
      </c>
      <c r="B140" t="s">
        <v>12951</v>
      </c>
      <c r="C140" t="s">
        <v>12952</v>
      </c>
      <c r="E140" t="s">
        <v>523</v>
      </c>
      <c r="F140" t="s">
        <v>36</v>
      </c>
      <c r="G140">
        <v>31322</v>
      </c>
    </row>
    <row r="141" spans="1:7" x14ac:dyDescent="0.35">
      <c r="A141" t="s">
        <v>1579</v>
      </c>
      <c r="B141" t="s">
        <v>12953</v>
      </c>
      <c r="C141" t="s">
        <v>12954</v>
      </c>
      <c r="E141" t="s">
        <v>12955</v>
      </c>
      <c r="F141" t="s">
        <v>117</v>
      </c>
      <c r="G141">
        <v>72101</v>
      </c>
    </row>
    <row r="142" spans="1:7" x14ac:dyDescent="0.35">
      <c r="A142" t="s">
        <v>1966</v>
      </c>
      <c r="B142" t="s">
        <v>12956</v>
      </c>
      <c r="C142" t="s">
        <v>12957</v>
      </c>
      <c r="E142" t="s">
        <v>12958</v>
      </c>
      <c r="F142" t="s">
        <v>51</v>
      </c>
      <c r="G142">
        <v>93422</v>
      </c>
    </row>
    <row r="143" spans="1:7" x14ac:dyDescent="0.35">
      <c r="A143" t="s">
        <v>12959</v>
      </c>
      <c r="B143" t="s">
        <v>12960</v>
      </c>
      <c r="C143" t="s">
        <v>9634</v>
      </c>
      <c r="E143" t="s">
        <v>9635</v>
      </c>
      <c r="F143" t="s">
        <v>147</v>
      </c>
      <c r="G143">
        <v>5048</v>
      </c>
    </row>
    <row r="144" spans="1:7" x14ac:dyDescent="0.35">
      <c r="A144" t="s">
        <v>1186</v>
      </c>
      <c r="B144" t="s">
        <v>12961</v>
      </c>
      <c r="C144" t="s">
        <v>12962</v>
      </c>
      <c r="E144" t="s">
        <v>543</v>
      </c>
      <c r="F144" t="s">
        <v>51</v>
      </c>
      <c r="G144">
        <v>94709</v>
      </c>
    </row>
    <row r="145" spans="1:7" x14ac:dyDescent="0.35">
      <c r="A145" t="s">
        <v>1957</v>
      </c>
      <c r="B145" t="s">
        <v>12963</v>
      </c>
      <c r="C145" t="s">
        <v>12739</v>
      </c>
      <c r="F145" t="s">
        <v>147</v>
      </c>
      <c r="G145">
        <v>5647</v>
      </c>
    </row>
    <row r="146" spans="1:7" x14ac:dyDescent="0.35">
      <c r="A146" t="s">
        <v>3691</v>
      </c>
      <c r="B146" t="s">
        <v>12964</v>
      </c>
      <c r="C146" t="s">
        <v>12965</v>
      </c>
      <c r="E146" t="s">
        <v>130</v>
      </c>
      <c r="F146" t="s">
        <v>123</v>
      </c>
      <c r="G146">
        <v>20002</v>
      </c>
    </row>
    <row r="147" spans="1:7" x14ac:dyDescent="0.35">
      <c r="A147" t="s">
        <v>3788</v>
      </c>
      <c r="B147" t="s">
        <v>12966</v>
      </c>
      <c r="C147" t="s">
        <v>12967</v>
      </c>
      <c r="E147" t="s">
        <v>683</v>
      </c>
      <c r="F147" t="s">
        <v>97</v>
      </c>
      <c r="G147">
        <v>21144</v>
      </c>
    </row>
    <row r="148" spans="1:7" x14ac:dyDescent="0.35">
      <c r="A148" t="s">
        <v>12968</v>
      </c>
      <c r="B148" t="s">
        <v>12969</v>
      </c>
      <c r="C148" t="s">
        <v>12970</v>
      </c>
      <c r="E148" t="s">
        <v>1531</v>
      </c>
      <c r="F148" t="s">
        <v>42</v>
      </c>
      <c r="G148">
        <v>81004</v>
      </c>
    </row>
    <row r="149" spans="1:7" x14ac:dyDescent="0.35">
      <c r="A149" t="s">
        <v>12971</v>
      </c>
      <c r="B149" t="s">
        <v>12972</v>
      </c>
      <c r="C149" t="s">
        <v>8030</v>
      </c>
      <c r="E149" t="s">
        <v>1216</v>
      </c>
      <c r="F149" t="s">
        <v>51</v>
      </c>
      <c r="G149">
        <v>94502</v>
      </c>
    </row>
    <row r="150" spans="1:7" x14ac:dyDescent="0.35">
      <c r="A150" t="s">
        <v>12973</v>
      </c>
      <c r="B150" t="s">
        <v>12974</v>
      </c>
      <c r="C150" t="s">
        <v>12975</v>
      </c>
      <c r="E150" t="s">
        <v>235</v>
      </c>
      <c r="F150" t="s">
        <v>236</v>
      </c>
      <c r="G150">
        <v>73139</v>
      </c>
    </row>
    <row r="151" spans="1:7" x14ac:dyDescent="0.35">
      <c r="A151" t="s">
        <v>12976</v>
      </c>
      <c r="B151" t="s">
        <v>12977</v>
      </c>
      <c r="C151" t="s">
        <v>10161</v>
      </c>
      <c r="E151" t="s">
        <v>118</v>
      </c>
      <c r="F151" t="s">
        <v>42</v>
      </c>
      <c r="G151">
        <v>80003</v>
      </c>
    </row>
    <row r="152" spans="1:7" x14ac:dyDescent="0.35">
      <c r="A152" t="s">
        <v>12978</v>
      </c>
      <c r="B152" t="s">
        <v>12979</v>
      </c>
      <c r="C152" t="s">
        <v>12429</v>
      </c>
      <c r="E152" t="s">
        <v>82</v>
      </c>
      <c r="F152" t="s">
        <v>74</v>
      </c>
      <c r="G152">
        <v>32407</v>
      </c>
    </row>
    <row r="153" spans="1:7" x14ac:dyDescent="0.35">
      <c r="A153" t="s">
        <v>77</v>
      </c>
      <c r="B153" t="s">
        <v>12980</v>
      </c>
      <c r="C153" t="s">
        <v>12981</v>
      </c>
      <c r="E153" t="s">
        <v>63</v>
      </c>
      <c r="F153" t="s">
        <v>64</v>
      </c>
      <c r="G153">
        <v>37115</v>
      </c>
    </row>
    <row r="154" spans="1:7" x14ac:dyDescent="0.35">
      <c r="A154" t="s">
        <v>1767</v>
      </c>
      <c r="B154" t="s">
        <v>12982</v>
      </c>
      <c r="C154" t="s">
        <v>8821</v>
      </c>
      <c r="E154" t="s">
        <v>118</v>
      </c>
      <c r="F154" t="s">
        <v>42</v>
      </c>
      <c r="G154">
        <v>80004</v>
      </c>
    </row>
    <row r="155" spans="1:7" x14ac:dyDescent="0.35">
      <c r="A155" t="s">
        <v>1839</v>
      </c>
      <c r="B155" t="s">
        <v>12983</v>
      </c>
      <c r="C155" t="s">
        <v>9903</v>
      </c>
      <c r="D155" t="s">
        <v>9904</v>
      </c>
      <c r="E155" t="s">
        <v>107</v>
      </c>
      <c r="F155" t="s">
        <v>87</v>
      </c>
      <c r="G155">
        <v>40118</v>
      </c>
    </row>
    <row r="156" spans="1:7" x14ac:dyDescent="0.35">
      <c r="A156" t="s">
        <v>698</v>
      </c>
      <c r="B156" t="s">
        <v>12984</v>
      </c>
      <c r="C156" t="s">
        <v>9601</v>
      </c>
      <c r="E156" t="s">
        <v>63</v>
      </c>
      <c r="F156" t="s">
        <v>64</v>
      </c>
      <c r="G156">
        <v>37013</v>
      </c>
    </row>
    <row r="157" spans="1:7" x14ac:dyDescent="0.35">
      <c r="A157" t="s">
        <v>2735</v>
      </c>
      <c r="B157" t="s">
        <v>12985</v>
      </c>
      <c r="C157" t="s">
        <v>12986</v>
      </c>
      <c r="E157" t="s">
        <v>1606</v>
      </c>
      <c r="F157" t="s">
        <v>139</v>
      </c>
      <c r="G157">
        <v>2472</v>
      </c>
    </row>
    <row r="158" spans="1:7" x14ac:dyDescent="0.35">
      <c r="A158" t="s">
        <v>12987</v>
      </c>
      <c r="B158" t="s">
        <v>12988</v>
      </c>
      <c r="C158" t="s">
        <v>12989</v>
      </c>
      <c r="E158" t="s">
        <v>75</v>
      </c>
      <c r="F158" t="s">
        <v>76</v>
      </c>
      <c r="G158">
        <v>6040</v>
      </c>
    </row>
    <row r="159" spans="1:7" x14ac:dyDescent="0.35">
      <c r="A159" t="s">
        <v>756</v>
      </c>
      <c r="B159" t="s">
        <v>12990</v>
      </c>
      <c r="C159" t="s">
        <v>12991</v>
      </c>
      <c r="E159" t="s">
        <v>45</v>
      </c>
      <c r="F159" t="s">
        <v>46</v>
      </c>
      <c r="G159">
        <v>36116</v>
      </c>
    </row>
    <row r="160" spans="1:7" x14ac:dyDescent="0.35">
      <c r="A160" t="s">
        <v>12992</v>
      </c>
      <c r="B160" t="s">
        <v>12993</v>
      </c>
      <c r="C160" t="s">
        <v>12994</v>
      </c>
      <c r="E160" t="s">
        <v>45</v>
      </c>
      <c r="F160" t="s">
        <v>46</v>
      </c>
      <c r="G160">
        <v>36116</v>
      </c>
    </row>
    <row r="161" spans="1:7" x14ac:dyDescent="0.35">
      <c r="A161" t="s">
        <v>12995</v>
      </c>
      <c r="B161" t="s">
        <v>12996</v>
      </c>
      <c r="C161" t="s">
        <v>12997</v>
      </c>
      <c r="E161" t="s">
        <v>130</v>
      </c>
      <c r="F161" t="s">
        <v>123</v>
      </c>
      <c r="G161">
        <v>20017</v>
      </c>
    </row>
    <row r="162" spans="1:7" x14ac:dyDescent="0.35">
      <c r="A162" t="s">
        <v>2348</v>
      </c>
      <c r="B162" t="s">
        <v>12998</v>
      </c>
      <c r="C162" t="s">
        <v>8593</v>
      </c>
      <c r="E162" t="s">
        <v>3728</v>
      </c>
      <c r="F162" t="s">
        <v>139</v>
      </c>
      <c r="G162">
        <v>2138</v>
      </c>
    </row>
    <row r="163" spans="1:7" x14ac:dyDescent="0.35">
      <c r="A163" t="s">
        <v>12999</v>
      </c>
      <c r="B163" t="s">
        <v>13000</v>
      </c>
      <c r="C163" t="s">
        <v>13001</v>
      </c>
      <c r="D163" t="s">
        <v>10182</v>
      </c>
      <c r="E163" t="s">
        <v>107</v>
      </c>
      <c r="F163" t="s">
        <v>87</v>
      </c>
      <c r="G163">
        <v>40211</v>
      </c>
    </row>
    <row r="164" spans="1:7" x14ac:dyDescent="0.35">
      <c r="A164" t="s">
        <v>2111</v>
      </c>
      <c r="B164" t="s">
        <v>13002</v>
      </c>
      <c r="C164" t="s">
        <v>13003</v>
      </c>
      <c r="E164" t="s">
        <v>45</v>
      </c>
      <c r="F164" t="s">
        <v>46</v>
      </c>
      <c r="G164">
        <v>36105</v>
      </c>
    </row>
    <row r="165" spans="1:7" x14ac:dyDescent="0.35">
      <c r="A165" t="s">
        <v>3342</v>
      </c>
      <c r="B165" t="s">
        <v>13004</v>
      </c>
      <c r="C165" t="s">
        <v>13005</v>
      </c>
      <c r="E165" t="s">
        <v>35</v>
      </c>
      <c r="F165" t="s">
        <v>36</v>
      </c>
      <c r="G165">
        <v>31406</v>
      </c>
    </row>
    <row r="166" spans="1:7" x14ac:dyDescent="0.35">
      <c r="A166" t="s">
        <v>98</v>
      </c>
      <c r="B166" t="s">
        <v>13006</v>
      </c>
      <c r="C166" t="s">
        <v>13007</v>
      </c>
      <c r="E166" t="s">
        <v>830</v>
      </c>
      <c r="F166" t="s">
        <v>51</v>
      </c>
      <c r="G166">
        <v>94555</v>
      </c>
    </row>
    <row r="167" spans="1:7" x14ac:dyDescent="0.35">
      <c r="A167" t="s">
        <v>293</v>
      </c>
      <c r="B167" t="s">
        <v>13008</v>
      </c>
      <c r="C167" t="s">
        <v>8217</v>
      </c>
      <c r="E167" t="s">
        <v>2293</v>
      </c>
      <c r="F167" t="s">
        <v>51</v>
      </c>
      <c r="G167">
        <v>94043</v>
      </c>
    </row>
    <row r="168" spans="1:7" x14ac:dyDescent="0.35">
      <c r="A168" t="s">
        <v>13009</v>
      </c>
      <c r="B168" t="s">
        <v>13010</v>
      </c>
      <c r="C168" t="s">
        <v>13011</v>
      </c>
      <c r="E168" t="s">
        <v>235</v>
      </c>
      <c r="F168" t="s">
        <v>236</v>
      </c>
      <c r="G168">
        <v>73106</v>
      </c>
    </row>
    <row r="169" spans="1:7" x14ac:dyDescent="0.35">
      <c r="A169" t="s">
        <v>3088</v>
      </c>
      <c r="B169" t="s">
        <v>13012</v>
      </c>
      <c r="C169" t="s">
        <v>11455</v>
      </c>
      <c r="E169" t="s">
        <v>45</v>
      </c>
      <c r="F169" t="s">
        <v>46</v>
      </c>
      <c r="G169">
        <v>36105</v>
      </c>
    </row>
    <row r="170" spans="1:7" x14ac:dyDescent="0.35">
      <c r="A170" t="s">
        <v>1687</v>
      </c>
      <c r="B170" t="s">
        <v>13013</v>
      </c>
      <c r="C170" t="s">
        <v>13014</v>
      </c>
      <c r="E170" t="s">
        <v>118</v>
      </c>
      <c r="F170" t="s">
        <v>42</v>
      </c>
      <c r="G170">
        <v>80002</v>
      </c>
    </row>
    <row r="171" spans="1:7" x14ac:dyDescent="0.35">
      <c r="A171" t="s">
        <v>911</v>
      </c>
      <c r="B171" t="s">
        <v>13015</v>
      </c>
      <c r="C171" t="s">
        <v>13016</v>
      </c>
      <c r="D171" t="s">
        <v>13017</v>
      </c>
      <c r="E171" t="s">
        <v>112</v>
      </c>
      <c r="F171" t="s">
        <v>106</v>
      </c>
      <c r="G171">
        <v>99508</v>
      </c>
    </row>
    <row r="172" spans="1:7" x14ac:dyDescent="0.35">
      <c r="A172" t="s">
        <v>2546</v>
      </c>
      <c r="B172" t="s">
        <v>13018</v>
      </c>
      <c r="C172" t="s">
        <v>13019</v>
      </c>
      <c r="E172" t="s">
        <v>124</v>
      </c>
      <c r="F172" t="s">
        <v>117</v>
      </c>
      <c r="G172">
        <v>72703</v>
      </c>
    </row>
    <row r="173" spans="1:7" x14ac:dyDescent="0.35">
      <c r="A173" t="s">
        <v>492</v>
      </c>
      <c r="B173" t="s">
        <v>13020</v>
      </c>
      <c r="C173" t="s">
        <v>13021</v>
      </c>
      <c r="E173" t="s">
        <v>112</v>
      </c>
      <c r="F173" t="s">
        <v>106</v>
      </c>
      <c r="G173">
        <v>99515</v>
      </c>
    </row>
    <row r="174" spans="1:7" x14ac:dyDescent="0.35">
      <c r="A174" t="s">
        <v>1953</v>
      </c>
      <c r="B174" t="s">
        <v>13022</v>
      </c>
      <c r="C174" t="s">
        <v>12720</v>
      </c>
      <c r="E174" t="s">
        <v>235</v>
      </c>
      <c r="F174" t="s">
        <v>236</v>
      </c>
      <c r="G174">
        <v>73107</v>
      </c>
    </row>
    <row r="175" spans="1:7" x14ac:dyDescent="0.35">
      <c r="A175" t="s">
        <v>13023</v>
      </c>
      <c r="B175" t="s">
        <v>13024</v>
      </c>
      <c r="C175" t="s">
        <v>13025</v>
      </c>
      <c r="E175" t="s">
        <v>13026</v>
      </c>
      <c r="F175" t="s">
        <v>51</v>
      </c>
      <c r="G175">
        <v>95540</v>
      </c>
    </row>
    <row r="176" spans="1:7" x14ac:dyDescent="0.35">
      <c r="A176" t="s">
        <v>13027</v>
      </c>
      <c r="B176" t="s">
        <v>13028</v>
      </c>
      <c r="C176" t="s">
        <v>13029</v>
      </c>
      <c r="E176" t="s">
        <v>209</v>
      </c>
      <c r="F176" t="s">
        <v>74</v>
      </c>
      <c r="G176">
        <v>32408</v>
      </c>
    </row>
    <row r="177" spans="1:7" x14ac:dyDescent="0.35">
      <c r="A177" t="s">
        <v>13030</v>
      </c>
      <c r="B177" t="s">
        <v>13031</v>
      </c>
      <c r="C177" t="s">
        <v>9652</v>
      </c>
      <c r="E177" t="s">
        <v>45</v>
      </c>
      <c r="F177" t="s">
        <v>46</v>
      </c>
      <c r="G177">
        <v>36117</v>
      </c>
    </row>
    <row r="178" spans="1:7" x14ac:dyDescent="0.35">
      <c r="A178" t="s">
        <v>1364</v>
      </c>
      <c r="B178" t="s">
        <v>13032</v>
      </c>
      <c r="C178" t="s">
        <v>13033</v>
      </c>
      <c r="E178" t="s">
        <v>118</v>
      </c>
      <c r="F178" t="s">
        <v>42</v>
      </c>
      <c r="G178">
        <v>80003</v>
      </c>
    </row>
    <row r="179" spans="1:7" x14ac:dyDescent="0.35">
      <c r="A179" t="s">
        <v>1828</v>
      </c>
      <c r="B179" t="s">
        <v>13034</v>
      </c>
      <c r="C179" t="s">
        <v>11888</v>
      </c>
      <c r="E179" t="s">
        <v>70</v>
      </c>
      <c r="F179" t="s">
        <v>31</v>
      </c>
      <c r="G179">
        <v>85302</v>
      </c>
    </row>
    <row r="180" spans="1:7" x14ac:dyDescent="0.35">
      <c r="A180" t="s">
        <v>2068</v>
      </c>
      <c r="B180" t="s">
        <v>13035</v>
      </c>
      <c r="C180" t="s">
        <v>8262</v>
      </c>
      <c r="E180" t="s">
        <v>316</v>
      </c>
      <c r="F180" t="s">
        <v>97</v>
      </c>
      <c r="G180">
        <v>21401</v>
      </c>
    </row>
    <row r="181" spans="1:7" x14ac:dyDescent="0.35">
      <c r="A181" t="s">
        <v>13036</v>
      </c>
      <c r="B181" t="s">
        <v>13037</v>
      </c>
      <c r="C181" t="s">
        <v>13038</v>
      </c>
      <c r="E181" t="s">
        <v>13039</v>
      </c>
      <c r="F181" t="s">
        <v>147</v>
      </c>
      <c r="G181">
        <v>5674</v>
      </c>
    </row>
    <row r="182" spans="1:7" x14ac:dyDescent="0.35">
      <c r="A182" t="s">
        <v>3681</v>
      </c>
      <c r="B182" t="s">
        <v>13040</v>
      </c>
      <c r="C182" t="s">
        <v>13041</v>
      </c>
      <c r="E182" t="s">
        <v>209</v>
      </c>
      <c r="F182" t="s">
        <v>74</v>
      </c>
      <c r="G182">
        <v>32404</v>
      </c>
    </row>
    <row r="183" spans="1:7" x14ac:dyDescent="0.35">
      <c r="A183" t="s">
        <v>4132</v>
      </c>
      <c r="B183" t="s">
        <v>13042</v>
      </c>
      <c r="C183" t="s">
        <v>13043</v>
      </c>
      <c r="E183" t="s">
        <v>288</v>
      </c>
      <c r="F183" t="s">
        <v>51</v>
      </c>
      <c r="G183">
        <v>95642</v>
      </c>
    </row>
    <row r="184" spans="1:7" x14ac:dyDescent="0.35">
      <c r="A184" t="s">
        <v>13044</v>
      </c>
      <c r="B184" t="s">
        <v>13045</v>
      </c>
      <c r="C184" t="s">
        <v>9202</v>
      </c>
      <c r="E184" t="s">
        <v>130</v>
      </c>
      <c r="F184" t="s">
        <v>123</v>
      </c>
      <c r="G184">
        <v>20002</v>
      </c>
    </row>
    <row r="185" spans="1:7" x14ac:dyDescent="0.35">
      <c r="A185" t="s">
        <v>13046</v>
      </c>
      <c r="B185" t="s">
        <v>12982</v>
      </c>
      <c r="C185" t="s">
        <v>13047</v>
      </c>
      <c r="E185" t="s">
        <v>107</v>
      </c>
      <c r="F185" t="s">
        <v>87</v>
      </c>
      <c r="G185">
        <v>40216</v>
      </c>
    </row>
    <row r="186" spans="1:7" x14ac:dyDescent="0.35">
      <c r="A186" t="s">
        <v>555</v>
      </c>
      <c r="B186" t="s">
        <v>13048</v>
      </c>
      <c r="C186" t="s">
        <v>11901</v>
      </c>
      <c r="E186" t="s">
        <v>107</v>
      </c>
      <c r="F186" t="s">
        <v>87</v>
      </c>
      <c r="G186">
        <v>40291</v>
      </c>
    </row>
    <row r="187" spans="1:7" x14ac:dyDescent="0.35">
      <c r="A187" t="s">
        <v>13049</v>
      </c>
      <c r="B187" t="s">
        <v>13050</v>
      </c>
      <c r="C187" t="s">
        <v>7990</v>
      </c>
      <c r="E187" t="s">
        <v>235</v>
      </c>
      <c r="F187" t="s">
        <v>236</v>
      </c>
      <c r="G187">
        <v>73109</v>
      </c>
    </row>
    <row r="188" spans="1:7" x14ac:dyDescent="0.35">
      <c r="A188" t="s">
        <v>1661</v>
      </c>
      <c r="B188" t="s">
        <v>13051</v>
      </c>
      <c r="C188" t="s">
        <v>12784</v>
      </c>
      <c r="E188" t="s">
        <v>316</v>
      </c>
      <c r="F188" t="s">
        <v>97</v>
      </c>
      <c r="G188">
        <v>21402</v>
      </c>
    </row>
    <row r="189" spans="1:7" x14ac:dyDescent="0.35">
      <c r="A189" t="s">
        <v>2730</v>
      </c>
      <c r="B189" t="s">
        <v>13052</v>
      </c>
      <c r="C189" t="s">
        <v>13053</v>
      </c>
      <c r="E189" t="s">
        <v>112</v>
      </c>
      <c r="F189" t="s">
        <v>106</v>
      </c>
      <c r="G189">
        <v>99515</v>
      </c>
    </row>
    <row r="190" spans="1:7" x14ac:dyDescent="0.35">
      <c r="A190" t="s">
        <v>1054</v>
      </c>
      <c r="B190" t="s">
        <v>13054</v>
      </c>
      <c r="C190" t="s">
        <v>13055</v>
      </c>
      <c r="E190" t="s">
        <v>118</v>
      </c>
      <c r="F190" t="s">
        <v>42</v>
      </c>
      <c r="G190">
        <v>80003</v>
      </c>
    </row>
    <row r="191" spans="1:7" x14ac:dyDescent="0.35">
      <c r="A191" t="s">
        <v>1009</v>
      </c>
      <c r="B191" t="s">
        <v>13056</v>
      </c>
      <c r="C191" t="s">
        <v>13057</v>
      </c>
      <c r="E191" t="s">
        <v>107</v>
      </c>
      <c r="F191" t="s">
        <v>87</v>
      </c>
      <c r="G191">
        <v>40211</v>
      </c>
    </row>
    <row r="192" spans="1:7" x14ac:dyDescent="0.35">
      <c r="A192" t="s">
        <v>1541</v>
      </c>
      <c r="B192" t="s">
        <v>13058</v>
      </c>
      <c r="C192" t="s">
        <v>10412</v>
      </c>
      <c r="E192" t="s">
        <v>75</v>
      </c>
      <c r="F192" t="s">
        <v>76</v>
      </c>
      <c r="G192">
        <v>6040</v>
      </c>
    </row>
    <row r="193" spans="1:7" x14ac:dyDescent="0.35">
      <c r="A193" t="s">
        <v>1743</v>
      </c>
      <c r="B193" t="s">
        <v>13059</v>
      </c>
      <c r="C193" t="s">
        <v>13060</v>
      </c>
      <c r="E193" t="s">
        <v>118</v>
      </c>
      <c r="F193" t="s">
        <v>42</v>
      </c>
      <c r="G193">
        <v>80002</v>
      </c>
    </row>
    <row r="194" spans="1:7" x14ac:dyDescent="0.35">
      <c r="A194" t="s">
        <v>108</v>
      </c>
      <c r="B194" t="s">
        <v>13061</v>
      </c>
      <c r="C194" t="s">
        <v>12506</v>
      </c>
      <c r="E194" t="s">
        <v>75</v>
      </c>
      <c r="F194" t="s">
        <v>76</v>
      </c>
      <c r="G194">
        <v>6040</v>
      </c>
    </row>
    <row r="195" spans="1:7" x14ac:dyDescent="0.35">
      <c r="A195" t="s">
        <v>881</v>
      </c>
      <c r="B195" t="s">
        <v>13062</v>
      </c>
      <c r="C195" t="s">
        <v>13063</v>
      </c>
      <c r="E195" t="s">
        <v>63</v>
      </c>
      <c r="F195" t="s">
        <v>64</v>
      </c>
      <c r="G195">
        <v>37013</v>
      </c>
    </row>
    <row r="196" spans="1:7" x14ac:dyDescent="0.35">
      <c r="A196" t="s">
        <v>2492</v>
      </c>
      <c r="B196" t="s">
        <v>13064</v>
      </c>
      <c r="C196" t="s">
        <v>13065</v>
      </c>
      <c r="D196" t="s">
        <v>8720</v>
      </c>
      <c r="E196" t="s">
        <v>124</v>
      </c>
      <c r="F196" t="s">
        <v>117</v>
      </c>
      <c r="G196">
        <v>72703</v>
      </c>
    </row>
    <row r="197" spans="1:7" x14ac:dyDescent="0.35">
      <c r="A197" t="s">
        <v>13066</v>
      </c>
      <c r="B197" t="s">
        <v>13067</v>
      </c>
      <c r="C197" t="s">
        <v>10315</v>
      </c>
      <c r="D197" t="s">
        <v>10316</v>
      </c>
      <c r="E197" t="s">
        <v>679</v>
      </c>
      <c r="F197" t="s">
        <v>139</v>
      </c>
      <c r="G197">
        <v>1826</v>
      </c>
    </row>
    <row r="198" spans="1:7" x14ac:dyDescent="0.35">
      <c r="A198" t="s">
        <v>13068</v>
      </c>
      <c r="B198" t="s">
        <v>13069</v>
      </c>
      <c r="C198" t="s">
        <v>13070</v>
      </c>
      <c r="E198" t="s">
        <v>63</v>
      </c>
      <c r="F198" t="s">
        <v>64</v>
      </c>
      <c r="G198">
        <v>37207</v>
      </c>
    </row>
    <row r="199" spans="1:7" x14ac:dyDescent="0.35">
      <c r="A199" t="s">
        <v>13071</v>
      </c>
      <c r="B199" t="s">
        <v>13072</v>
      </c>
      <c r="C199" t="s">
        <v>13073</v>
      </c>
      <c r="E199" t="s">
        <v>107</v>
      </c>
      <c r="F199" t="s">
        <v>87</v>
      </c>
      <c r="G199">
        <v>40223</v>
      </c>
    </row>
    <row r="200" spans="1:7" x14ac:dyDescent="0.35">
      <c r="A200" t="s">
        <v>1407</v>
      </c>
      <c r="B200" t="s">
        <v>13074</v>
      </c>
      <c r="C200" t="s">
        <v>13075</v>
      </c>
      <c r="D200" t="s">
        <v>13076</v>
      </c>
      <c r="E200" t="s">
        <v>13077</v>
      </c>
      <c r="F200" t="s">
        <v>139</v>
      </c>
      <c r="G200">
        <v>2186</v>
      </c>
    </row>
    <row r="201" spans="1:7" x14ac:dyDescent="0.35">
      <c r="A201" t="s">
        <v>13078</v>
      </c>
      <c r="B201" t="s">
        <v>13079</v>
      </c>
      <c r="C201" t="s">
        <v>13080</v>
      </c>
      <c r="E201" t="s">
        <v>1379</v>
      </c>
      <c r="F201" t="s">
        <v>51</v>
      </c>
      <c r="G201">
        <v>95132</v>
      </c>
    </row>
    <row r="202" spans="1:7" x14ac:dyDescent="0.35">
      <c r="A202" t="s">
        <v>13081</v>
      </c>
      <c r="B202" t="s">
        <v>13082</v>
      </c>
      <c r="C202" t="s">
        <v>13083</v>
      </c>
      <c r="E202" t="s">
        <v>112</v>
      </c>
      <c r="F202" t="s">
        <v>106</v>
      </c>
      <c r="G202">
        <v>99516</v>
      </c>
    </row>
    <row r="203" spans="1:7" x14ac:dyDescent="0.35">
      <c r="A203" t="s">
        <v>616</v>
      </c>
      <c r="B203" t="s">
        <v>13084</v>
      </c>
      <c r="C203" t="s">
        <v>13085</v>
      </c>
      <c r="E203" t="s">
        <v>107</v>
      </c>
      <c r="F203" t="s">
        <v>87</v>
      </c>
      <c r="G203">
        <v>40272</v>
      </c>
    </row>
    <row r="204" spans="1:7" x14ac:dyDescent="0.35">
      <c r="A204" t="s">
        <v>13086</v>
      </c>
      <c r="B204" t="s">
        <v>13087</v>
      </c>
      <c r="C204" t="s">
        <v>10703</v>
      </c>
      <c r="E204" t="s">
        <v>1464</v>
      </c>
      <c r="F204" t="s">
        <v>97</v>
      </c>
      <c r="G204">
        <v>21146</v>
      </c>
    </row>
    <row r="205" spans="1:7" x14ac:dyDescent="0.35">
      <c r="A205" t="s">
        <v>2286</v>
      </c>
      <c r="B205" t="s">
        <v>13088</v>
      </c>
      <c r="C205" t="s">
        <v>13089</v>
      </c>
      <c r="E205" t="s">
        <v>830</v>
      </c>
      <c r="F205" t="s">
        <v>51</v>
      </c>
      <c r="G205">
        <v>94555</v>
      </c>
    </row>
    <row r="206" spans="1:7" x14ac:dyDescent="0.35">
      <c r="A206" t="s">
        <v>5312</v>
      </c>
      <c r="B206" t="s">
        <v>13090</v>
      </c>
      <c r="C206" t="s">
        <v>13091</v>
      </c>
      <c r="D206" t="s">
        <v>9904</v>
      </c>
      <c r="E206" t="s">
        <v>107</v>
      </c>
      <c r="F206" t="s">
        <v>87</v>
      </c>
      <c r="G206">
        <v>40202</v>
      </c>
    </row>
    <row r="207" spans="1:7" x14ac:dyDescent="0.35">
      <c r="A207" t="s">
        <v>987</v>
      </c>
      <c r="B207" t="s">
        <v>13092</v>
      </c>
      <c r="C207" t="s">
        <v>13093</v>
      </c>
      <c r="E207" t="s">
        <v>209</v>
      </c>
      <c r="F207" t="s">
        <v>74</v>
      </c>
      <c r="G207">
        <v>32408</v>
      </c>
    </row>
    <row r="208" spans="1:7" x14ac:dyDescent="0.35">
      <c r="A208" t="s">
        <v>4604</v>
      </c>
      <c r="B208" t="s">
        <v>13094</v>
      </c>
      <c r="C208" t="s">
        <v>13095</v>
      </c>
      <c r="E208" t="s">
        <v>124</v>
      </c>
      <c r="F208" t="s">
        <v>117</v>
      </c>
      <c r="G208">
        <v>72764</v>
      </c>
    </row>
    <row r="209" spans="1:7" x14ac:dyDescent="0.35">
      <c r="A209" t="s">
        <v>1414</v>
      </c>
      <c r="B209" t="s">
        <v>13096</v>
      </c>
      <c r="C209" t="s">
        <v>8016</v>
      </c>
      <c r="D209" t="s">
        <v>8017</v>
      </c>
      <c r="E209" t="s">
        <v>1827</v>
      </c>
      <c r="F209" t="s">
        <v>51</v>
      </c>
      <c r="G209">
        <v>94587</v>
      </c>
    </row>
    <row r="210" spans="1:7" x14ac:dyDescent="0.35">
      <c r="A210" t="s">
        <v>13097</v>
      </c>
      <c r="B210" t="s">
        <v>13098</v>
      </c>
      <c r="C210" t="s">
        <v>13099</v>
      </c>
      <c r="E210" t="s">
        <v>235</v>
      </c>
      <c r="F210" t="s">
        <v>236</v>
      </c>
      <c r="G210">
        <v>73119</v>
      </c>
    </row>
    <row r="211" spans="1:7" x14ac:dyDescent="0.35">
      <c r="A211" t="s">
        <v>13100</v>
      </c>
      <c r="B211" t="s">
        <v>13101</v>
      </c>
      <c r="C211" t="s">
        <v>13102</v>
      </c>
      <c r="E211" t="s">
        <v>118</v>
      </c>
      <c r="F211" t="s">
        <v>42</v>
      </c>
      <c r="G211">
        <v>80003</v>
      </c>
    </row>
    <row r="212" spans="1:7" x14ac:dyDescent="0.35">
      <c r="A212" t="s">
        <v>1559</v>
      </c>
      <c r="B212" t="s">
        <v>13103</v>
      </c>
      <c r="C212" t="s">
        <v>13104</v>
      </c>
      <c r="D212" t="s">
        <v>8664</v>
      </c>
      <c r="E212" t="s">
        <v>107</v>
      </c>
      <c r="F212" t="s">
        <v>87</v>
      </c>
      <c r="G212">
        <v>40211</v>
      </c>
    </row>
    <row r="213" spans="1:7" x14ac:dyDescent="0.35">
      <c r="A213" t="s">
        <v>2532</v>
      </c>
      <c r="B213" t="s">
        <v>13105</v>
      </c>
      <c r="C213" t="s">
        <v>13106</v>
      </c>
      <c r="E213" t="s">
        <v>35</v>
      </c>
      <c r="F213" t="s">
        <v>36</v>
      </c>
      <c r="G213">
        <v>31419</v>
      </c>
    </row>
    <row r="214" spans="1:7" x14ac:dyDescent="0.35">
      <c r="A214" t="s">
        <v>769</v>
      </c>
      <c r="B214" t="s">
        <v>13107</v>
      </c>
      <c r="C214" t="s">
        <v>13108</v>
      </c>
      <c r="E214" t="s">
        <v>75</v>
      </c>
      <c r="F214" t="s">
        <v>76</v>
      </c>
      <c r="G214">
        <v>6040</v>
      </c>
    </row>
    <row r="215" spans="1:7" x14ac:dyDescent="0.35">
      <c r="A215" t="s">
        <v>13109</v>
      </c>
      <c r="B215" t="s">
        <v>13110</v>
      </c>
      <c r="C215" t="s">
        <v>9120</v>
      </c>
      <c r="D215" t="s">
        <v>9121</v>
      </c>
      <c r="E215" t="s">
        <v>107</v>
      </c>
      <c r="F215" t="s">
        <v>87</v>
      </c>
      <c r="G215">
        <v>40202</v>
      </c>
    </row>
    <row r="216" spans="1:7" x14ac:dyDescent="0.35">
      <c r="A216" t="s">
        <v>13111</v>
      </c>
      <c r="B216" t="s">
        <v>13112</v>
      </c>
      <c r="C216" t="s">
        <v>13113</v>
      </c>
      <c r="E216" t="s">
        <v>13114</v>
      </c>
      <c r="F216" t="s">
        <v>147</v>
      </c>
      <c r="G216">
        <v>5101</v>
      </c>
    </row>
    <row r="217" spans="1:7" x14ac:dyDescent="0.35">
      <c r="A217" t="s">
        <v>5237</v>
      </c>
      <c r="B217" t="s">
        <v>13115</v>
      </c>
      <c r="C217" t="s">
        <v>13116</v>
      </c>
      <c r="E217" t="s">
        <v>366</v>
      </c>
      <c r="F217" t="s">
        <v>51</v>
      </c>
      <c r="G217">
        <v>94550</v>
      </c>
    </row>
    <row r="218" spans="1:7" x14ac:dyDescent="0.35">
      <c r="A218" t="s">
        <v>148</v>
      </c>
      <c r="B218" t="s">
        <v>13117</v>
      </c>
      <c r="C218" t="s">
        <v>9398</v>
      </c>
      <c r="E218" t="s">
        <v>316</v>
      </c>
      <c r="F218" t="s">
        <v>97</v>
      </c>
      <c r="G218">
        <v>21401</v>
      </c>
    </row>
    <row r="219" spans="1:7" x14ac:dyDescent="0.35">
      <c r="A219" t="s">
        <v>923</v>
      </c>
      <c r="B219" t="s">
        <v>13118</v>
      </c>
      <c r="C219" t="s">
        <v>13119</v>
      </c>
      <c r="E219" t="s">
        <v>45</v>
      </c>
      <c r="F219" t="s">
        <v>46</v>
      </c>
      <c r="G219">
        <v>36117</v>
      </c>
    </row>
    <row r="220" spans="1:7" x14ac:dyDescent="0.35">
      <c r="A220" t="s">
        <v>13120</v>
      </c>
      <c r="B220" t="s">
        <v>13121</v>
      </c>
      <c r="C220" t="s">
        <v>13122</v>
      </c>
      <c r="E220" t="s">
        <v>63</v>
      </c>
      <c r="F220" t="s">
        <v>64</v>
      </c>
      <c r="G220">
        <v>37206</v>
      </c>
    </row>
    <row r="221" spans="1:7" x14ac:dyDescent="0.35">
      <c r="A221" t="s">
        <v>13123</v>
      </c>
      <c r="B221" t="s">
        <v>13124</v>
      </c>
      <c r="C221" t="s">
        <v>13125</v>
      </c>
      <c r="D221" t="s">
        <v>10089</v>
      </c>
      <c r="E221" t="s">
        <v>63</v>
      </c>
      <c r="F221" t="s">
        <v>64</v>
      </c>
      <c r="G221">
        <v>37203</v>
      </c>
    </row>
    <row r="222" spans="1:7" x14ac:dyDescent="0.35">
      <c r="A222" t="s">
        <v>13126</v>
      </c>
      <c r="B222" t="s">
        <v>13127</v>
      </c>
      <c r="C222" t="s">
        <v>13128</v>
      </c>
      <c r="E222" t="s">
        <v>82</v>
      </c>
      <c r="F222" t="s">
        <v>74</v>
      </c>
      <c r="G222">
        <v>32413</v>
      </c>
    </row>
    <row r="223" spans="1:7" x14ac:dyDescent="0.35">
      <c r="A223" t="s">
        <v>13129</v>
      </c>
      <c r="B223" t="s">
        <v>13130</v>
      </c>
      <c r="C223" t="s">
        <v>12925</v>
      </c>
      <c r="E223" t="s">
        <v>107</v>
      </c>
      <c r="F223" t="s">
        <v>87</v>
      </c>
      <c r="G223">
        <v>40204</v>
      </c>
    </row>
    <row r="224" spans="1:7" x14ac:dyDescent="0.35">
      <c r="A224" t="s">
        <v>2862</v>
      </c>
      <c r="B224" t="s">
        <v>13131</v>
      </c>
      <c r="C224" t="s">
        <v>13132</v>
      </c>
      <c r="E224" t="s">
        <v>3780</v>
      </c>
      <c r="F224" t="s">
        <v>139</v>
      </c>
      <c r="G224">
        <v>1945</v>
      </c>
    </row>
    <row r="225" spans="1:7" x14ac:dyDescent="0.35">
      <c r="A225" t="s">
        <v>1190</v>
      </c>
      <c r="B225" t="s">
        <v>13133</v>
      </c>
      <c r="C225" t="s">
        <v>13134</v>
      </c>
      <c r="E225" t="s">
        <v>124</v>
      </c>
      <c r="F225" t="s">
        <v>117</v>
      </c>
      <c r="G225">
        <v>72701</v>
      </c>
    </row>
    <row r="226" spans="1:7" x14ac:dyDescent="0.35">
      <c r="A226" t="s">
        <v>13135</v>
      </c>
      <c r="B226" t="s">
        <v>13136</v>
      </c>
      <c r="C226" t="s">
        <v>9407</v>
      </c>
      <c r="E226" t="s">
        <v>45</v>
      </c>
      <c r="F226" t="s">
        <v>46</v>
      </c>
      <c r="G226">
        <v>36104</v>
      </c>
    </row>
    <row r="227" spans="1:7" x14ac:dyDescent="0.35">
      <c r="A227" t="s">
        <v>3686</v>
      </c>
      <c r="B227" t="s">
        <v>13137</v>
      </c>
      <c r="C227" t="s">
        <v>13138</v>
      </c>
      <c r="E227" t="s">
        <v>1679</v>
      </c>
      <c r="F227" t="s">
        <v>236</v>
      </c>
      <c r="G227">
        <v>73008</v>
      </c>
    </row>
    <row r="228" spans="1:7" x14ac:dyDescent="0.35">
      <c r="A228" t="s">
        <v>13139</v>
      </c>
      <c r="B228" t="s">
        <v>13140</v>
      </c>
      <c r="C228" t="s">
        <v>8143</v>
      </c>
      <c r="E228" t="s">
        <v>107</v>
      </c>
      <c r="F228" t="s">
        <v>87</v>
      </c>
      <c r="G228">
        <v>40216</v>
      </c>
    </row>
    <row r="229" spans="1:7" x14ac:dyDescent="0.35">
      <c r="A229" t="s">
        <v>202</v>
      </c>
      <c r="B229" t="s">
        <v>13141</v>
      </c>
      <c r="C229" t="s">
        <v>13142</v>
      </c>
      <c r="E229" t="s">
        <v>35</v>
      </c>
      <c r="F229" t="s">
        <v>36</v>
      </c>
      <c r="G229">
        <v>31419</v>
      </c>
    </row>
    <row r="230" spans="1:7" x14ac:dyDescent="0.35">
      <c r="A230" t="s">
        <v>13143</v>
      </c>
      <c r="B230" t="s">
        <v>13144</v>
      </c>
      <c r="C230" t="s">
        <v>13145</v>
      </c>
      <c r="E230" t="s">
        <v>118</v>
      </c>
      <c r="F230" t="s">
        <v>42</v>
      </c>
      <c r="G230">
        <v>80004</v>
      </c>
    </row>
    <row r="231" spans="1:7" x14ac:dyDescent="0.35">
      <c r="A231" t="s">
        <v>1028</v>
      </c>
      <c r="B231" t="s">
        <v>13146</v>
      </c>
      <c r="C231" t="s">
        <v>12065</v>
      </c>
      <c r="E231" t="s">
        <v>1071</v>
      </c>
      <c r="F231" t="s">
        <v>236</v>
      </c>
      <c r="G231">
        <v>73012</v>
      </c>
    </row>
    <row r="232" spans="1:7" x14ac:dyDescent="0.35">
      <c r="A232" t="s">
        <v>1527</v>
      </c>
      <c r="B232" t="s">
        <v>13147</v>
      </c>
      <c r="C232" t="s">
        <v>13148</v>
      </c>
      <c r="E232" t="s">
        <v>130</v>
      </c>
      <c r="F232" t="s">
        <v>123</v>
      </c>
      <c r="G232">
        <v>20018</v>
      </c>
    </row>
    <row r="233" spans="1:7" x14ac:dyDescent="0.35">
      <c r="A233" t="s">
        <v>13149</v>
      </c>
      <c r="B233" t="s">
        <v>13150</v>
      </c>
      <c r="C233" t="s">
        <v>9596</v>
      </c>
      <c r="E233" t="s">
        <v>75</v>
      </c>
      <c r="F233" t="s">
        <v>76</v>
      </c>
      <c r="G233">
        <v>6040</v>
      </c>
    </row>
    <row r="234" spans="1:7" x14ac:dyDescent="0.35">
      <c r="A234" t="s">
        <v>13151</v>
      </c>
      <c r="B234" t="s">
        <v>13152</v>
      </c>
      <c r="C234" t="s">
        <v>13153</v>
      </c>
      <c r="D234" t="s">
        <v>13154</v>
      </c>
      <c r="E234" t="s">
        <v>2502</v>
      </c>
      <c r="F234" t="s">
        <v>51</v>
      </c>
      <c r="G234">
        <v>94566</v>
      </c>
    </row>
    <row r="235" spans="1:7" x14ac:dyDescent="0.35">
      <c r="A235" t="s">
        <v>4469</v>
      </c>
      <c r="B235" t="s">
        <v>13155</v>
      </c>
      <c r="C235" t="s">
        <v>13156</v>
      </c>
      <c r="E235" t="s">
        <v>35</v>
      </c>
      <c r="F235" t="s">
        <v>36</v>
      </c>
      <c r="G235">
        <v>31405</v>
      </c>
    </row>
    <row r="236" spans="1:7" x14ac:dyDescent="0.35">
      <c r="A236" t="s">
        <v>184</v>
      </c>
      <c r="B236" t="s">
        <v>13157</v>
      </c>
      <c r="C236" t="s">
        <v>13158</v>
      </c>
      <c r="D236" t="s">
        <v>8547</v>
      </c>
      <c r="E236" t="s">
        <v>112</v>
      </c>
      <c r="F236" t="s">
        <v>106</v>
      </c>
      <c r="G236">
        <v>99502</v>
      </c>
    </row>
    <row r="237" spans="1:7" x14ac:dyDescent="0.35">
      <c r="A237" t="s">
        <v>4530</v>
      </c>
      <c r="B237" t="s">
        <v>13159</v>
      </c>
      <c r="C237" t="s">
        <v>12027</v>
      </c>
      <c r="E237" t="s">
        <v>164</v>
      </c>
      <c r="F237" t="s">
        <v>74</v>
      </c>
      <c r="G237">
        <v>32444</v>
      </c>
    </row>
    <row r="238" spans="1:7" x14ac:dyDescent="0.35">
      <c r="A238" t="s">
        <v>13160</v>
      </c>
      <c r="B238" t="s">
        <v>13161</v>
      </c>
      <c r="C238" t="s">
        <v>13162</v>
      </c>
      <c r="E238" t="s">
        <v>75</v>
      </c>
      <c r="F238" t="s">
        <v>76</v>
      </c>
      <c r="G238">
        <v>6042</v>
      </c>
    </row>
    <row r="239" spans="1:7" x14ac:dyDescent="0.35">
      <c r="A239" t="s">
        <v>13163</v>
      </c>
      <c r="B239" t="s">
        <v>12848</v>
      </c>
      <c r="C239" t="s">
        <v>13164</v>
      </c>
      <c r="E239" t="s">
        <v>4489</v>
      </c>
      <c r="F239" t="s">
        <v>139</v>
      </c>
      <c r="G239">
        <v>1960</v>
      </c>
    </row>
    <row r="240" spans="1:7" x14ac:dyDescent="0.35">
      <c r="A240" t="s">
        <v>13165</v>
      </c>
      <c r="B240" t="s">
        <v>13166</v>
      </c>
      <c r="C240" t="s">
        <v>13167</v>
      </c>
      <c r="E240" t="s">
        <v>75</v>
      </c>
      <c r="F240" t="s">
        <v>76</v>
      </c>
      <c r="G240">
        <v>6040</v>
      </c>
    </row>
    <row r="241" spans="1:7" x14ac:dyDescent="0.35">
      <c r="A241" t="s">
        <v>131</v>
      </c>
      <c r="B241" t="s">
        <v>13168</v>
      </c>
      <c r="C241" t="s">
        <v>13169</v>
      </c>
      <c r="E241" t="s">
        <v>124</v>
      </c>
      <c r="F241" t="s">
        <v>117</v>
      </c>
      <c r="G241">
        <v>72703</v>
      </c>
    </row>
    <row r="242" spans="1:7" x14ac:dyDescent="0.35">
      <c r="A242" t="s">
        <v>335</v>
      </c>
      <c r="B242" t="s">
        <v>13170</v>
      </c>
      <c r="C242" t="s">
        <v>13171</v>
      </c>
      <c r="E242" t="s">
        <v>235</v>
      </c>
      <c r="F242" t="s">
        <v>236</v>
      </c>
      <c r="G242">
        <v>73112</v>
      </c>
    </row>
    <row r="243" spans="1:7" x14ac:dyDescent="0.35">
      <c r="A243" t="s">
        <v>5503</v>
      </c>
      <c r="B243" t="s">
        <v>13172</v>
      </c>
      <c r="C243" t="s">
        <v>13173</v>
      </c>
      <c r="E243" t="s">
        <v>45</v>
      </c>
      <c r="F243" t="s">
        <v>46</v>
      </c>
      <c r="G243">
        <v>36117</v>
      </c>
    </row>
    <row r="244" spans="1:7" x14ac:dyDescent="0.35">
      <c r="A244" t="s">
        <v>13174</v>
      </c>
      <c r="B244" t="s">
        <v>13175</v>
      </c>
      <c r="C244" t="s">
        <v>13176</v>
      </c>
      <c r="E244" t="s">
        <v>636</v>
      </c>
      <c r="F244" t="s">
        <v>147</v>
      </c>
      <c r="G244">
        <v>5032</v>
      </c>
    </row>
    <row r="245" spans="1:7" x14ac:dyDescent="0.35">
      <c r="A245" t="s">
        <v>1513</v>
      </c>
      <c r="B245" t="s">
        <v>13177</v>
      </c>
      <c r="C245" t="s">
        <v>13178</v>
      </c>
      <c r="E245" t="s">
        <v>45</v>
      </c>
      <c r="F245" t="s">
        <v>46</v>
      </c>
      <c r="G245">
        <v>36108</v>
      </c>
    </row>
    <row r="246" spans="1:7" x14ac:dyDescent="0.35">
      <c r="A246" t="s">
        <v>965</v>
      </c>
      <c r="B246" t="s">
        <v>13179</v>
      </c>
      <c r="C246" t="s">
        <v>12164</v>
      </c>
      <c r="E246" t="s">
        <v>830</v>
      </c>
      <c r="F246" t="s">
        <v>51</v>
      </c>
      <c r="G246">
        <v>94536</v>
      </c>
    </row>
    <row r="247" spans="1:7" x14ac:dyDescent="0.35">
      <c r="A247" t="s">
        <v>3081</v>
      </c>
      <c r="B247" t="s">
        <v>13180</v>
      </c>
      <c r="C247" t="s">
        <v>12872</v>
      </c>
      <c r="E247" t="s">
        <v>130</v>
      </c>
      <c r="F247" t="s">
        <v>123</v>
      </c>
      <c r="G247">
        <v>20002</v>
      </c>
    </row>
    <row r="248" spans="1:7" x14ac:dyDescent="0.35">
      <c r="A248" t="s">
        <v>13181</v>
      </c>
      <c r="B248" t="s">
        <v>13182</v>
      </c>
      <c r="C248" t="s">
        <v>11235</v>
      </c>
      <c r="E248" t="s">
        <v>11236</v>
      </c>
      <c r="F248" t="s">
        <v>139</v>
      </c>
      <c r="G248">
        <v>1801</v>
      </c>
    </row>
    <row r="249" spans="1:7" x14ac:dyDescent="0.35">
      <c r="A249" t="s">
        <v>13183</v>
      </c>
      <c r="B249" t="s">
        <v>13184</v>
      </c>
      <c r="C249" t="s">
        <v>13185</v>
      </c>
      <c r="E249" t="s">
        <v>75</v>
      </c>
      <c r="F249" t="s">
        <v>76</v>
      </c>
      <c r="G249">
        <v>6040</v>
      </c>
    </row>
    <row r="250" spans="1:7" x14ac:dyDescent="0.35">
      <c r="A250" t="s">
        <v>885</v>
      </c>
      <c r="B250" t="s">
        <v>13186</v>
      </c>
      <c r="C250" t="s">
        <v>13187</v>
      </c>
      <c r="E250" t="s">
        <v>451</v>
      </c>
      <c r="F250" t="s">
        <v>51</v>
      </c>
      <c r="G250">
        <v>95014</v>
      </c>
    </row>
    <row r="251" spans="1:7" x14ac:dyDescent="0.35">
      <c r="A251" t="s">
        <v>1855</v>
      </c>
      <c r="B251" t="s">
        <v>13188</v>
      </c>
      <c r="C251" t="s">
        <v>13189</v>
      </c>
      <c r="D251" t="s">
        <v>10237</v>
      </c>
      <c r="E251" t="s">
        <v>112</v>
      </c>
      <c r="F251" t="s">
        <v>106</v>
      </c>
      <c r="G251">
        <v>99504</v>
      </c>
    </row>
    <row r="252" spans="1:7" x14ac:dyDescent="0.35">
      <c r="A252" t="s">
        <v>188</v>
      </c>
      <c r="B252" t="s">
        <v>13190</v>
      </c>
      <c r="C252" t="s">
        <v>9112</v>
      </c>
      <c r="E252" t="s">
        <v>118</v>
      </c>
      <c r="F252" t="s">
        <v>42</v>
      </c>
      <c r="G252">
        <v>80003</v>
      </c>
    </row>
    <row r="253" spans="1:7" x14ac:dyDescent="0.35">
      <c r="A253" t="s">
        <v>2043</v>
      </c>
      <c r="B253" t="s">
        <v>13191</v>
      </c>
      <c r="C253" t="s">
        <v>12506</v>
      </c>
      <c r="E253" t="s">
        <v>75</v>
      </c>
      <c r="F253" t="s">
        <v>76</v>
      </c>
      <c r="G253">
        <v>6040</v>
      </c>
    </row>
    <row r="254" spans="1:7" x14ac:dyDescent="0.35">
      <c r="A254" t="s">
        <v>425</v>
      </c>
      <c r="B254" t="s">
        <v>13192</v>
      </c>
      <c r="C254" t="s">
        <v>13193</v>
      </c>
      <c r="E254" t="s">
        <v>75</v>
      </c>
      <c r="F254" t="s">
        <v>76</v>
      </c>
      <c r="G254">
        <v>6040</v>
      </c>
    </row>
    <row r="255" spans="1:7" x14ac:dyDescent="0.35">
      <c r="A255" t="s">
        <v>3453</v>
      </c>
      <c r="B255" t="s">
        <v>13194</v>
      </c>
      <c r="C255" t="s">
        <v>13195</v>
      </c>
      <c r="E255" t="s">
        <v>118</v>
      </c>
      <c r="F255" t="s">
        <v>42</v>
      </c>
      <c r="G255">
        <v>80003</v>
      </c>
    </row>
    <row r="256" spans="1:7" x14ac:dyDescent="0.35">
      <c r="A256" t="s">
        <v>13196</v>
      </c>
      <c r="B256" t="s">
        <v>13197</v>
      </c>
      <c r="C256" t="s">
        <v>8825</v>
      </c>
      <c r="E256" t="s">
        <v>118</v>
      </c>
      <c r="F256" t="s">
        <v>42</v>
      </c>
      <c r="G256">
        <v>80004</v>
      </c>
    </row>
    <row r="257" spans="1:7" x14ac:dyDescent="0.35">
      <c r="A257" t="s">
        <v>1545</v>
      </c>
      <c r="B257" t="s">
        <v>13198</v>
      </c>
      <c r="C257" t="s">
        <v>11443</v>
      </c>
      <c r="E257" t="s">
        <v>209</v>
      </c>
      <c r="F257" t="s">
        <v>74</v>
      </c>
      <c r="G257">
        <v>32404</v>
      </c>
    </row>
    <row r="258" spans="1:7" x14ac:dyDescent="0.35">
      <c r="A258" t="s">
        <v>2469</v>
      </c>
      <c r="B258" t="s">
        <v>13199</v>
      </c>
      <c r="C258" t="s">
        <v>13200</v>
      </c>
      <c r="E258" t="s">
        <v>13201</v>
      </c>
      <c r="F258" t="s">
        <v>139</v>
      </c>
      <c r="G258">
        <v>1843</v>
      </c>
    </row>
    <row r="259" spans="1:7" x14ac:dyDescent="0.35">
      <c r="A259" t="s">
        <v>528</v>
      </c>
      <c r="B259" t="s">
        <v>13202</v>
      </c>
      <c r="C259" t="s">
        <v>9529</v>
      </c>
      <c r="E259" t="s">
        <v>830</v>
      </c>
      <c r="F259" t="s">
        <v>51</v>
      </c>
      <c r="G259">
        <v>94538</v>
      </c>
    </row>
    <row r="260" spans="1:7" x14ac:dyDescent="0.35">
      <c r="A260" t="s">
        <v>13203</v>
      </c>
      <c r="B260" t="s">
        <v>13204</v>
      </c>
      <c r="C260" t="s">
        <v>13205</v>
      </c>
      <c r="E260" t="s">
        <v>2293</v>
      </c>
      <c r="F260" t="s">
        <v>51</v>
      </c>
      <c r="G260">
        <v>94043</v>
      </c>
    </row>
    <row r="261" spans="1:7" x14ac:dyDescent="0.35">
      <c r="A261" t="s">
        <v>1776</v>
      </c>
      <c r="B261" t="s">
        <v>13206</v>
      </c>
      <c r="C261" t="s">
        <v>11078</v>
      </c>
      <c r="D261" t="s">
        <v>11079</v>
      </c>
      <c r="E261" t="s">
        <v>63</v>
      </c>
      <c r="F261" t="s">
        <v>64</v>
      </c>
      <c r="G261">
        <v>37013</v>
      </c>
    </row>
    <row r="262" spans="1:7" x14ac:dyDescent="0.35">
      <c r="A262" t="s">
        <v>13207</v>
      </c>
      <c r="B262" t="s">
        <v>13208</v>
      </c>
      <c r="C262" t="s">
        <v>10331</v>
      </c>
      <c r="E262" t="s">
        <v>118</v>
      </c>
      <c r="F262" t="s">
        <v>42</v>
      </c>
      <c r="G262">
        <v>80004</v>
      </c>
    </row>
    <row r="263" spans="1:7" x14ac:dyDescent="0.35">
      <c r="A263" t="s">
        <v>2511</v>
      </c>
      <c r="B263" t="s">
        <v>13209</v>
      </c>
      <c r="C263" t="s">
        <v>13210</v>
      </c>
      <c r="E263" t="s">
        <v>130</v>
      </c>
      <c r="F263" t="s">
        <v>123</v>
      </c>
      <c r="G263">
        <v>20016</v>
      </c>
    </row>
    <row r="264" spans="1:7" x14ac:dyDescent="0.35">
      <c r="A264" t="s">
        <v>5382</v>
      </c>
      <c r="B264" t="s">
        <v>13211</v>
      </c>
      <c r="C264" t="s">
        <v>9021</v>
      </c>
      <c r="D264" t="s">
        <v>9022</v>
      </c>
      <c r="E264" t="s">
        <v>70</v>
      </c>
      <c r="F264" t="s">
        <v>31</v>
      </c>
      <c r="G264">
        <v>85301</v>
      </c>
    </row>
    <row r="265" spans="1:7" x14ac:dyDescent="0.35">
      <c r="A265" t="s">
        <v>1496</v>
      </c>
      <c r="B265" t="s">
        <v>13212</v>
      </c>
      <c r="C265" t="s">
        <v>13213</v>
      </c>
      <c r="E265" t="s">
        <v>124</v>
      </c>
      <c r="F265" t="s">
        <v>117</v>
      </c>
      <c r="G265">
        <v>72703</v>
      </c>
    </row>
    <row r="266" spans="1:7" x14ac:dyDescent="0.35">
      <c r="A266" t="s">
        <v>3998</v>
      </c>
      <c r="B266" t="s">
        <v>13214</v>
      </c>
      <c r="C266" t="s">
        <v>9738</v>
      </c>
      <c r="D266" t="s">
        <v>8992</v>
      </c>
      <c r="E266" t="s">
        <v>543</v>
      </c>
      <c r="F266" t="s">
        <v>51</v>
      </c>
      <c r="G266">
        <v>94709</v>
      </c>
    </row>
    <row r="267" spans="1:7" x14ac:dyDescent="0.35">
      <c r="A267" t="s">
        <v>13215</v>
      </c>
      <c r="B267" t="s">
        <v>13216</v>
      </c>
      <c r="C267" t="s">
        <v>13217</v>
      </c>
      <c r="E267" t="s">
        <v>75</v>
      </c>
      <c r="F267" t="s">
        <v>76</v>
      </c>
      <c r="G267">
        <v>6040</v>
      </c>
    </row>
    <row r="268" spans="1:7" x14ac:dyDescent="0.35">
      <c r="A268" t="s">
        <v>1538</v>
      </c>
      <c r="B268" t="s">
        <v>13218</v>
      </c>
      <c r="C268" t="s">
        <v>13219</v>
      </c>
      <c r="E268" t="s">
        <v>4143</v>
      </c>
      <c r="F268" t="s">
        <v>139</v>
      </c>
      <c r="G268">
        <v>2540</v>
      </c>
    </row>
    <row r="269" spans="1:7" x14ac:dyDescent="0.35">
      <c r="A269" t="s">
        <v>1147</v>
      </c>
      <c r="B269" t="s">
        <v>13220</v>
      </c>
      <c r="C269" t="s">
        <v>13221</v>
      </c>
      <c r="E269" t="s">
        <v>75</v>
      </c>
      <c r="F269" t="s">
        <v>76</v>
      </c>
      <c r="G269">
        <v>6040</v>
      </c>
    </row>
    <row r="270" spans="1:7" x14ac:dyDescent="0.35">
      <c r="A270" t="s">
        <v>2583</v>
      </c>
      <c r="B270" t="s">
        <v>13222</v>
      </c>
      <c r="C270" t="s">
        <v>10145</v>
      </c>
      <c r="E270" t="s">
        <v>235</v>
      </c>
      <c r="F270" t="s">
        <v>236</v>
      </c>
      <c r="G270">
        <v>73132</v>
      </c>
    </row>
    <row r="271" spans="1:7" x14ac:dyDescent="0.35">
      <c r="A271" t="s">
        <v>3410</v>
      </c>
      <c r="B271" t="s">
        <v>13223</v>
      </c>
      <c r="C271" t="s">
        <v>8754</v>
      </c>
      <c r="E271" t="s">
        <v>70</v>
      </c>
      <c r="F271" t="s">
        <v>31</v>
      </c>
      <c r="G271">
        <v>85301</v>
      </c>
    </row>
    <row r="272" spans="1:7" x14ac:dyDescent="0.35">
      <c r="A272" t="s">
        <v>317</v>
      </c>
      <c r="B272" t="s">
        <v>13224</v>
      </c>
      <c r="C272" t="s">
        <v>11087</v>
      </c>
      <c r="E272" t="s">
        <v>63</v>
      </c>
      <c r="F272" t="s">
        <v>64</v>
      </c>
      <c r="G272">
        <v>37221</v>
      </c>
    </row>
    <row r="273" spans="1:7" x14ac:dyDescent="0.35">
      <c r="A273" t="s">
        <v>13225</v>
      </c>
      <c r="B273" t="s">
        <v>13226</v>
      </c>
      <c r="C273" t="s">
        <v>13227</v>
      </c>
      <c r="E273" t="s">
        <v>35</v>
      </c>
      <c r="F273" t="s">
        <v>36</v>
      </c>
      <c r="G273">
        <v>31419</v>
      </c>
    </row>
    <row r="274" spans="1:7" x14ac:dyDescent="0.35">
      <c r="A274" t="s">
        <v>13228</v>
      </c>
      <c r="B274" t="s">
        <v>13229</v>
      </c>
      <c r="C274" t="s">
        <v>13230</v>
      </c>
      <c r="E274" t="s">
        <v>209</v>
      </c>
      <c r="F274" t="s">
        <v>74</v>
      </c>
      <c r="G274">
        <v>32404</v>
      </c>
    </row>
    <row r="275" spans="1:7" x14ac:dyDescent="0.35">
      <c r="A275" t="s">
        <v>13231</v>
      </c>
      <c r="B275" t="s">
        <v>13232</v>
      </c>
      <c r="C275" t="s">
        <v>13233</v>
      </c>
      <c r="E275" t="s">
        <v>320</v>
      </c>
      <c r="F275" t="s">
        <v>97</v>
      </c>
      <c r="G275">
        <v>21108</v>
      </c>
    </row>
    <row r="276" spans="1:7" x14ac:dyDescent="0.35">
      <c r="A276" t="s">
        <v>2387</v>
      </c>
      <c r="B276" t="s">
        <v>13234</v>
      </c>
      <c r="C276" t="s">
        <v>13235</v>
      </c>
      <c r="E276" t="s">
        <v>124</v>
      </c>
      <c r="F276" t="s">
        <v>117</v>
      </c>
      <c r="G276">
        <v>72704</v>
      </c>
    </row>
    <row r="277" spans="1:7" x14ac:dyDescent="0.35">
      <c r="A277" t="s">
        <v>2221</v>
      </c>
      <c r="B277" t="s">
        <v>13236</v>
      </c>
      <c r="C277" t="s">
        <v>13237</v>
      </c>
      <c r="E277" t="s">
        <v>75</v>
      </c>
      <c r="F277" t="s">
        <v>76</v>
      </c>
      <c r="G277">
        <v>6040</v>
      </c>
    </row>
    <row r="278" spans="1:7" x14ac:dyDescent="0.35">
      <c r="A278" t="s">
        <v>803</v>
      </c>
      <c r="B278" t="s">
        <v>13238</v>
      </c>
      <c r="C278" t="s">
        <v>13239</v>
      </c>
      <c r="E278" t="s">
        <v>63</v>
      </c>
      <c r="F278" t="s">
        <v>64</v>
      </c>
      <c r="G278">
        <v>37209</v>
      </c>
    </row>
    <row r="279" spans="1:7" x14ac:dyDescent="0.35">
      <c r="A279" t="s">
        <v>1911</v>
      </c>
      <c r="B279" t="s">
        <v>13240</v>
      </c>
      <c r="C279" t="s">
        <v>13241</v>
      </c>
      <c r="E279" t="s">
        <v>63</v>
      </c>
      <c r="F279" t="s">
        <v>64</v>
      </c>
      <c r="G279">
        <v>37205</v>
      </c>
    </row>
    <row r="280" spans="1:7" x14ac:dyDescent="0.35">
      <c r="A280" t="s">
        <v>266</v>
      </c>
      <c r="B280" t="s">
        <v>13242</v>
      </c>
      <c r="C280" t="s">
        <v>13243</v>
      </c>
      <c r="E280" t="s">
        <v>35</v>
      </c>
      <c r="F280" t="s">
        <v>36</v>
      </c>
      <c r="G280">
        <v>31401</v>
      </c>
    </row>
    <row r="281" spans="1:7" x14ac:dyDescent="0.35">
      <c r="A281" t="s">
        <v>798</v>
      </c>
      <c r="B281" t="s">
        <v>13244</v>
      </c>
      <c r="C281" t="s">
        <v>9183</v>
      </c>
      <c r="E281" t="s">
        <v>124</v>
      </c>
      <c r="F281" t="s">
        <v>117</v>
      </c>
      <c r="G281">
        <v>72701</v>
      </c>
    </row>
    <row r="282" spans="1:7" x14ac:dyDescent="0.35">
      <c r="A282" t="s">
        <v>807</v>
      </c>
      <c r="B282" t="s">
        <v>13245</v>
      </c>
      <c r="C282" t="s">
        <v>13246</v>
      </c>
      <c r="D282" t="s">
        <v>9390</v>
      </c>
      <c r="E282" t="s">
        <v>70</v>
      </c>
      <c r="F282" t="s">
        <v>31</v>
      </c>
      <c r="G282">
        <v>85302</v>
      </c>
    </row>
    <row r="283" spans="1:7" x14ac:dyDescent="0.35">
      <c r="A283" t="s">
        <v>551</v>
      </c>
      <c r="B283" t="s">
        <v>13247</v>
      </c>
      <c r="C283" t="s">
        <v>13248</v>
      </c>
      <c r="E283" t="s">
        <v>4461</v>
      </c>
      <c r="F283" t="s">
        <v>51</v>
      </c>
      <c r="G283">
        <v>92277</v>
      </c>
    </row>
    <row r="284" spans="1:7" x14ac:dyDescent="0.35">
      <c r="A284" t="s">
        <v>13249</v>
      </c>
      <c r="B284" t="s">
        <v>13250</v>
      </c>
      <c r="C284" t="s">
        <v>8151</v>
      </c>
      <c r="E284" t="s">
        <v>124</v>
      </c>
      <c r="F284" t="s">
        <v>117</v>
      </c>
      <c r="G284">
        <v>72701</v>
      </c>
    </row>
    <row r="285" spans="1:7" x14ac:dyDescent="0.35">
      <c r="A285" t="s">
        <v>4115</v>
      </c>
      <c r="B285" t="s">
        <v>13251</v>
      </c>
      <c r="C285" t="s">
        <v>13252</v>
      </c>
      <c r="E285" t="s">
        <v>124</v>
      </c>
      <c r="F285" t="s">
        <v>117</v>
      </c>
      <c r="G285">
        <v>72704</v>
      </c>
    </row>
    <row r="286" spans="1:7" x14ac:dyDescent="0.35">
      <c r="A286" t="s">
        <v>1265</v>
      </c>
      <c r="B286" t="s">
        <v>13253</v>
      </c>
      <c r="C286" t="s">
        <v>13134</v>
      </c>
      <c r="E286" t="s">
        <v>124</v>
      </c>
      <c r="F286" t="s">
        <v>117</v>
      </c>
      <c r="G286">
        <v>72701</v>
      </c>
    </row>
    <row r="287" spans="1:7" x14ac:dyDescent="0.35">
      <c r="A287" t="s">
        <v>2723</v>
      </c>
      <c r="B287" t="s">
        <v>13254</v>
      </c>
      <c r="C287" t="s">
        <v>13255</v>
      </c>
      <c r="E287" t="s">
        <v>1301</v>
      </c>
      <c r="F287" t="s">
        <v>147</v>
      </c>
      <c r="G287">
        <v>5350</v>
      </c>
    </row>
    <row r="288" spans="1:7" x14ac:dyDescent="0.35">
      <c r="A288" t="s">
        <v>13256</v>
      </c>
      <c r="B288" t="s">
        <v>13257</v>
      </c>
      <c r="C288" t="s">
        <v>13258</v>
      </c>
      <c r="E288" t="s">
        <v>2611</v>
      </c>
      <c r="F288" t="s">
        <v>97</v>
      </c>
      <c r="G288">
        <v>20724</v>
      </c>
    </row>
    <row r="289" spans="1:7" x14ac:dyDescent="0.35">
      <c r="A289" t="s">
        <v>4969</v>
      </c>
      <c r="B289" t="s">
        <v>13259</v>
      </c>
      <c r="C289" t="s">
        <v>9921</v>
      </c>
      <c r="E289" t="s">
        <v>63</v>
      </c>
      <c r="F289" t="s">
        <v>64</v>
      </c>
      <c r="G289">
        <v>37218</v>
      </c>
    </row>
    <row r="290" spans="1:7" x14ac:dyDescent="0.35">
      <c r="A290" t="s">
        <v>382</v>
      </c>
      <c r="B290" t="s">
        <v>12924</v>
      </c>
      <c r="C290" t="s">
        <v>13260</v>
      </c>
      <c r="E290" t="s">
        <v>63</v>
      </c>
      <c r="F290" t="s">
        <v>64</v>
      </c>
      <c r="G290">
        <v>37211</v>
      </c>
    </row>
    <row r="291" spans="1:7" x14ac:dyDescent="0.35">
      <c r="A291" t="s">
        <v>13261</v>
      </c>
      <c r="B291" t="s">
        <v>13262</v>
      </c>
      <c r="C291" t="s">
        <v>9622</v>
      </c>
      <c r="E291" t="s">
        <v>63</v>
      </c>
      <c r="F291" t="s">
        <v>64</v>
      </c>
      <c r="G291">
        <v>37211</v>
      </c>
    </row>
    <row r="292" spans="1:7" x14ac:dyDescent="0.35">
      <c r="A292" t="s">
        <v>3266</v>
      </c>
      <c r="B292" t="s">
        <v>13263</v>
      </c>
      <c r="C292" t="s">
        <v>12117</v>
      </c>
      <c r="E292" t="s">
        <v>70</v>
      </c>
      <c r="F292" t="s">
        <v>31</v>
      </c>
      <c r="G292">
        <v>85304</v>
      </c>
    </row>
    <row r="293" spans="1:7" x14ac:dyDescent="0.35">
      <c r="A293" t="s">
        <v>5967</v>
      </c>
      <c r="B293" t="s">
        <v>13264</v>
      </c>
      <c r="C293" t="s">
        <v>13265</v>
      </c>
      <c r="E293" t="s">
        <v>118</v>
      </c>
      <c r="F293" t="s">
        <v>42</v>
      </c>
      <c r="G293">
        <v>80005</v>
      </c>
    </row>
    <row r="294" spans="1:7" x14ac:dyDescent="0.35">
      <c r="A294" t="s">
        <v>13266</v>
      </c>
      <c r="B294" t="s">
        <v>13267</v>
      </c>
      <c r="C294" t="s">
        <v>13268</v>
      </c>
      <c r="D294" t="s">
        <v>13269</v>
      </c>
      <c r="E294" t="s">
        <v>543</v>
      </c>
      <c r="F294" t="s">
        <v>51</v>
      </c>
      <c r="G294">
        <v>94705</v>
      </c>
    </row>
    <row r="295" spans="1:7" x14ac:dyDescent="0.35">
      <c r="A295" t="s">
        <v>646</v>
      </c>
      <c r="B295" t="s">
        <v>13270</v>
      </c>
      <c r="C295" t="s">
        <v>13271</v>
      </c>
      <c r="E295" t="s">
        <v>35</v>
      </c>
      <c r="F295" t="s">
        <v>36</v>
      </c>
      <c r="G295">
        <v>31419</v>
      </c>
    </row>
    <row r="296" spans="1:7" x14ac:dyDescent="0.35">
      <c r="A296" t="s">
        <v>539</v>
      </c>
      <c r="B296" t="s">
        <v>13272</v>
      </c>
      <c r="C296" t="s">
        <v>13273</v>
      </c>
      <c r="D296" t="s">
        <v>9224</v>
      </c>
      <c r="E296" t="s">
        <v>3728</v>
      </c>
      <c r="F296" t="s">
        <v>139</v>
      </c>
      <c r="G296">
        <v>2139</v>
      </c>
    </row>
    <row r="297" spans="1:7" x14ac:dyDescent="0.35">
      <c r="A297" t="s">
        <v>13274</v>
      </c>
      <c r="B297" t="s">
        <v>13275</v>
      </c>
      <c r="C297" t="s">
        <v>13276</v>
      </c>
      <c r="D297" t="s">
        <v>9390</v>
      </c>
      <c r="E297" t="s">
        <v>124</v>
      </c>
      <c r="F297" t="s">
        <v>117</v>
      </c>
      <c r="G297">
        <v>72704</v>
      </c>
    </row>
    <row r="298" spans="1:7" x14ac:dyDescent="0.35">
      <c r="A298" t="s">
        <v>2036</v>
      </c>
      <c r="B298" t="s">
        <v>13277</v>
      </c>
      <c r="C298" t="s">
        <v>13278</v>
      </c>
      <c r="E298" t="s">
        <v>35</v>
      </c>
      <c r="F298" t="s">
        <v>36</v>
      </c>
      <c r="G298">
        <v>31405</v>
      </c>
    </row>
    <row r="299" spans="1:7" x14ac:dyDescent="0.35">
      <c r="A299" t="s">
        <v>1665</v>
      </c>
      <c r="B299" t="s">
        <v>13279</v>
      </c>
      <c r="C299" t="s">
        <v>13280</v>
      </c>
      <c r="E299" t="s">
        <v>130</v>
      </c>
      <c r="F299" t="s">
        <v>123</v>
      </c>
      <c r="G299">
        <v>20002</v>
      </c>
    </row>
    <row r="300" spans="1:7" x14ac:dyDescent="0.35">
      <c r="A300" t="s">
        <v>4549</v>
      </c>
      <c r="B300" t="s">
        <v>13281</v>
      </c>
      <c r="C300" t="s">
        <v>13282</v>
      </c>
      <c r="E300" t="s">
        <v>5399</v>
      </c>
      <c r="F300" t="s">
        <v>51</v>
      </c>
      <c r="G300">
        <v>95688</v>
      </c>
    </row>
    <row r="301" spans="1:7" x14ac:dyDescent="0.35">
      <c r="A301" t="s">
        <v>13283</v>
      </c>
      <c r="B301" t="s">
        <v>13284</v>
      </c>
      <c r="C301" t="s">
        <v>13285</v>
      </c>
      <c r="D301" t="s">
        <v>13286</v>
      </c>
      <c r="E301" t="s">
        <v>543</v>
      </c>
      <c r="F301" t="s">
        <v>51</v>
      </c>
      <c r="G301">
        <v>94710</v>
      </c>
    </row>
    <row r="302" spans="1:7" x14ac:dyDescent="0.35">
      <c r="A302" t="s">
        <v>13287</v>
      </c>
      <c r="B302" t="s">
        <v>13288</v>
      </c>
      <c r="C302" t="s">
        <v>13289</v>
      </c>
      <c r="D302" t="s">
        <v>9390</v>
      </c>
      <c r="E302" t="s">
        <v>2569</v>
      </c>
      <c r="F302" t="s">
        <v>139</v>
      </c>
      <c r="G302">
        <v>1603</v>
      </c>
    </row>
    <row r="303" spans="1:7" x14ac:dyDescent="0.35">
      <c r="A303" t="s">
        <v>13290</v>
      </c>
      <c r="B303" t="s">
        <v>13291</v>
      </c>
      <c r="C303" t="s">
        <v>12725</v>
      </c>
      <c r="E303" t="s">
        <v>366</v>
      </c>
      <c r="F303" t="s">
        <v>51</v>
      </c>
      <c r="G303">
        <v>94550</v>
      </c>
    </row>
    <row r="304" spans="1:7" x14ac:dyDescent="0.35">
      <c r="A304" t="s">
        <v>1220</v>
      </c>
      <c r="B304" t="s">
        <v>13292</v>
      </c>
      <c r="C304" t="s">
        <v>13293</v>
      </c>
      <c r="E304" t="s">
        <v>45</v>
      </c>
      <c r="F304" t="s">
        <v>46</v>
      </c>
      <c r="G304">
        <v>36104</v>
      </c>
    </row>
    <row r="305" spans="1:7" x14ac:dyDescent="0.35">
      <c r="A305" t="s">
        <v>13294</v>
      </c>
      <c r="B305" t="s">
        <v>13295</v>
      </c>
      <c r="C305" t="s">
        <v>13296</v>
      </c>
      <c r="D305" t="s">
        <v>13297</v>
      </c>
      <c r="E305" t="s">
        <v>839</v>
      </c>
      <c r="F305" t="s">
        <v>139</v>
      </c>
      <c r="G305">
        <v>2446</v>
      </c>
    </row>
    <row r="306" spans="1:7" x14ac:dyDescent="0.35">
      <c r="A306" t="s">
        <v>3696</v>
      </c>
      <c r="B306" t="s">
        <v>13298</v>
      </c>
      <c r="C306" t="s">
        <v>13299</v>
      </c>
      <c r="E306" t="s">
        <v>124</v>
      </c>
      <c r="F306" t="s">
        <v>117</v>
      </c>
      <c r="G306">
        <v>72703</v>
      </c>
    </row>
    <row r="307" spans="1:7" x14ac:dyDescent="0.35">
      <c r="A307" t="s">
        <v>13300</v>
      </c>
      <c r="B307" t="s">
        <v>13301</v>
      </c>
      <c r="C307" t="s">
        <v>13302</v>
      </c>
      <c r="D307" t="s">
        <v>9390</v>
      </c>
      <c r="E307" t="s">
        <v>107</v>
      </c>
      <c r="F307" t="s">
        <v>87</v>
      </c>
      <c r="G307">
        <v>40210</v>
      </c>
    </row>
    <row r="308" spans="1:7" x14ac:dyDescent="0.35">
      <c r="A308" t="s">
        <v>823</v>
      </c>
      <c r="B308" t="s">
        <v>13303</v>
      </c>
      <c r="C308" t="s">
        <v>13304</v>
      </c>
      <c r="D308" t="s">
        <v>9121</v>
      </c>
      <c r="E308" t="s">
        <v>124</v>
      </c>
      <c r="F308" t="s">
        <v>117</v>
      </c>
      <c r="G308">
        <v>72701</v>
      </c>
    </row>
    <row r="309" spans="1:7" x14ac:dyDescent="0.35">
      <c r="A309" t="s">
        <v>1476</v>
      </c>
      <c r="B309" t="s">
        <v>13305</v>
      </c>
      <c r="C309" t="s">
        <v>13306</v>
      </c>
      <c r="E309" t="s">
        <v>45</v>
      </c>
      <c r="F309" t="s">
        <v>46</v>
      </c>
      <c r="G309">
        <v>36117</v>
      </c>
    </row>
    <row r="310" spans="1:7" x14ac:dyDescent="0.35">
      <c r="A310" t="s">
        <v>1032</v>
      </c>
      <c r="B310" t="s">
        <v>13307</v>
      </c>
      <c r="C310" t="s">
        <v>13308</v>
      </c>
      <c r="E310" t="s">
        <v>124</v>
      </c>
      <c r="F310" t="s">
        <v>117</v>
      </c>
      <c r="G310">
        <v>72704</v>
      </c>
    </row>
    <row r="311" spans="1:7" x14ac:dyDescent="0.35">
      <c r="A311" t="s">
        <v>13309</v>
      </c>
      <c r="B311" t="s">
        <v>13310</v>
      </c>
      <c r="C311" t="s">
        <v>9943</v>
      </c>
      <c r="E311" t="s">
        <v>35</v>
      </c>
      <c r="F311" t="s">
        <v>36</v>
      </c>
      <c r="G311">
        <v>31406</v>
      </c>
    </row>
    <row r="312" spans="1:7" x14ac:dyDescent="0.35">
      <c r="A312" t="s">
        <v>13311</v>
      </c>
      <c r="B312" t="s">
        <v>13312</v>
      </c>
      <c r="C312" t="s">
        <v>13313</v>
      </c>
      <c r="E312" t="s">
        <v>429</v>
      </c>
      <c r="F312" t="s">
        <v>236</v>
      </c>
      <c r="G312">
        <v>73160</v>
      </c>
    </row>
    <row r="313" spans="1:7" x14ac:dyDescent="0.35">
      <c r="A313" t="s">
        <v>175</v>
      </c>
      <c r="B313" t="s">
        <v>13314</v>
      </c>
      <c r="C313" t="s">
        <v>7928</v>
      </c>
      <c r="E313" t="s">
        <v>124</v>
      </c>
      <c r="F313" t="s">
        <v>117</v>
      </c>
      <c r="G313">
        <v>72703</v>
      </c>
    </row>
    <row r="314" spans="1:7" x14ac:dyDescent="0.35">
      <c r="A314" t="s">
        <v>3794</v>
      </c>
      <c r="B314" t="s">
        <v>13315</v>
      </c>
      <c r="C314" t="s">
        <v>13316</v>
      </c>
      <c r="D314" t="s">
        <v>9803</v>
      </c>
      <c r="E314" t="s">
        <v>75</v>
      </c>
      <c r="F314" t="s">
        <v>76</v>
      </c>
      <c r="G314">
        <v>6042</v>
      </c>
    </row>
    <row r="315" spans="1:7" x14ac:dyDescent="0.35">
      <c r="A315" t="s">
        <v>3129</v>
      </c>
      <c r="B315" t="s">
        <v>13317</v>
      </c>
      <c r="C315" t="s">
        <v>13318</v>
      </c>
      <c r="E315" t="s">
        <v>70</v>
      </c>
      <c r="F315" t="s">
        <v>31</v>
      </c>
      <c r="G315">
        <v>85302</v>
      </c>
    </row>
    <row r="316" spans="1:7" x14ac:dyDescent="0.35">
      <c r="A316" t="s">
        <v>524</v>
      </c>
      <c r="B316" t="s">
        <v>13319</v>
      </c>
      <c r="C316" t="s">
        <v>9802</v>
      </c>
      <c r="D316" t="s">
        <v>9803</v>
      </c>
      <c r="E316" t="s">
        <v>1391</v>
      </c>
      <c r="F316" t="s">
        <v>36</v>
      </c>
      <c r="G316">
        <v>31404</v>
      </c>
    </row>
    <row r="317" spans="1:7" x14ac:dyDescent="0.35">
      <c r="A317" t="s">
        <v>321</v>
      </c>
      <c r="B317" t="s">
        <v>13320</v>
      </c>
      <c r="C317" t="s">
        <v>13321</v>
      </c>
      <c r="E317" t="s">
        <v>2649</v>
      </c>
      <c r="F317" t="s">
        <v>97</v>
      </c>
      <c r="G317">
        <v>21076</v>
      </c>
    </row>
    <row r="318" spans="1:7" x14ac:dyDescent="0.35">
      <c r="A318" t="s">
        <v>2607</v>
      </c>
      <c r="B318" t="s">
        <v>13322</v>
      </c>
      <c r="C318" t="s">
        <v>13323</v>
      </c>
      <c r="E318" t="s">
        <v>35</v>
      </c>
      <c r="F318" t="s">
        <v>36</v>
      </c>
      <c r="G318">
        <v>31404</v>
      </c>
    </row>
    <row r="319" spans="1:7" x14ac:dyDescent="0.35">
      <c r="A319" t="s">
        <v>955</v>
      </c>
      <c r="B319" t="s">
        <v>13324</v>
      </c>
      <c r="C319" t="s">
        <v>8465</v>
      </c>
      <c r="E319" t="s">
        <v>2502</v>
      </c>
      <c r="F319" t="s">
        <v>51</v>
      </c>
      <c r="G319">
        <v>94588</v>
      </c>
    </row>
    <row r="320" spans="1:7" x14ac:dyDescent="0.35">
      <c r="A320" t="s">
        <v>3445</v>
      </c>
      <c r="B320" t="s">
        <v>13325</v>
      </c>
      <c r="C320" t="s">
        <v>13326</v>
      </c>
      <c r="E320" t="s">
        <v>45</v>
      </c>
      <c r="F320" t="s">
        <v>46</v>
      </c>
      <c r="G320">
        <v>36117</v>
      </c>
    </row>
    <row r="321" spans="1:7" x14ac:dyDescent="0.35">
      <c r="A321" t="s">
        <v>3184</v>
      </c>
      <c r="B321" t="s">
        <v>13327</v>
      </c>
      <c r="C321" t="s">
        <v>9398</v>
      </c>
      <c r="E321" t="s">
        <v>316</v>
      </c>
      <c r="F321" t="s">
        <v>97</v>
      </c>
      <c r="G321">
        <v>21401</v>
      </c>
    </row>
    <row r="322" spans="1:7" x14ac:dyDescent="0.35">
      <c r="A322" t="s">
        <v>1294</v>
      </c>
      <c r="B322" t="s">
        <v>13328</v>
      </c>
      <c r="C322" t="s">
        <v>13329</v>
      </c>
      <c r="D322" t="s">
        <v>10396</v>
      </c>
      <c r="E322" t="s">
        <v>70</v>
      </c>
      <c r="F322" t="s">
        <v>31</v>
      </c>
      <c r="G322">
        <v>85301</v>
      </c>
    </row>
    <row r="323" spans="1:7" x14ac:dyDescent="0.35">
      <c r="A323" t="s">
        <v>13330</v>
      </c>
      <c r="B323" t="s">
        <v>13331</v>
      </c>
      <c r="C323" t="s">
        <v>11035</v>
      </c>
      <c r="E323" t="s">
        <v>118</v>
      </c>
      <c r="F323" t="s">
        <v>42</v>
      </c>
      <c r="G323">
        <v>80007</v>
      </c>
    </row>
    <row r="324" spans="1:7" x14ac:dyDescent="0.35">
      <c r="A324" t="s">
        <v>1311</v>
      </c>
      <c r="B324" t="s">
        <v>13332</v>
      </c>
      <c r="C324" t="s">
        <v>12851</v>
      </c>
      <c r="E324" t="s">
        <v>683</v>
      </c>
      <c r="F324" t="s">
        <v>97</v>
      </c>
      <c r="G324">
        <v>21144</v>
      </c>
    </row>
    <row r="325" spans="1:7" x14ac:dyDescent="0.35">
      <c r="A325" t="s">
        <v>13333</v>
      </c>
      <c r="B325" t="s">
        <v>13334</v>
      </c>
      <c r="C325" t="s">
        <v>9344</v>
      </c>
      <c r="E325" t="s">
        <v>2028</v>
      </c>
      <c r="F325" t="s">
        <v>236</v>
      </c>
      <c r="G325">
        <v>73401</v>
      </c>
    </row>
    <row r="326" spans="1:7" x14ac:dyDescent="0.35">
      <c r="A326" t="s">
        <v>1616</v>
      </c>
      <c r="B326" t="s">
        <v>13335</v>
      </c>
      <c r="C326" t="s">
        <v>10307</v>
      </c>
      <c r="E326" t="s">
        <v>6024</v>
      </c>
      <c r="F326" t="s">
        <v>139</v>
      </c>
      <c r="G326">
        <v>1331</v>
      </c>
    </row>
    <row r="327" spans="1:7" x14ac:dyDescent="0.35">
      <c r="A327" t="s">
        <v>1235</v>
      </c>
      <c r="B327" t="s">
        <v>13336</v>
      </c>
      <c r="C327" t="s">
        <v>13337</v>
      </c>
      <c r="D327" t="s">
        <v>9390</v>
      </c>
      <c r="E327" t="s">
        <v>118</v>
      </c>
      <c r="F327" t="s">
        <v>42</v>
      </c>
      <c r="G327">
        <v>80002</v>
      </c>
    </row>
    <row r="328" spans="1:7" x14ac:dyDescent="0.35">
      <c r="A328" t="s">
        <v>1058</v>
      </c>
      <c r="B328" t="s">
        <v>13338</v>
      </c>
      <c r="C328" t="s">
        <v>13339</v>
      </c>
      <c r="D328" t="s">
        <v>13340</v>
      </c>
      <c r="E328" t="s">
        <v>107</v>
      </c>
      <c r="F328" t="s">
        <v>87</v>
      </c>
      <c r="G328">
        <v>40202</v>
      </c>
    </row>
    <row r="329" spans="1:7" x14ac:dyDescent="0.35">
      <c r="A329" t="s">
        <v>83</v>
      </c>
      <c r="B329" t="s">
        <v>13341</v>
      </c>
      <c r="C329" t="s">
        <v>9682</v>
      </c>
      <c r="E329" t="s">
        <v>130</v>
      </c>
      <c r="F329" t="s">
        <v>123</v>
      </c>
      <c r="G329">
        <v>20020</v>
      </c>
    </row>
    <row r="330" spans="1:7" x14ac:dyDescent="0.35">
      <c r="A330" t="s">
        <v>1209</v>
      </c>
      <c r="B330" t="s">
        <v>13342</v>
      </c>
      <c r="C330" t="s">
        <v>13343</v>
      </c>
      <c r="E330" t="s">
        <v>334</v>
      </c>
      <c r="F330" t="s">
        <v>51</v>
      </c>
      <c r="G330">
        <v>94610</v>
      </c>
    </row>
    <row r="331" spans="1:7" x14ac:dyDescent="0.35">
      <c r="A331" t="s">
        <v>13344</v>
      </c>
      <c r="B331" t="s">
        <v>13345</v>
      </c>
      <c r="C331" t="s">
        <v>13346</v>
      </c>
      <c r="E331" t="s">
        <v>63</v>
      </c>
      <c r="F331" t="s">
        <v>64</v>
      </c>
      <c r="G331">
        <v>37206</v>
      </c>
    </row>
    <row r="332" spans="1:7" x14ac:dyDescent="0.35">
      <c r="A332" t="s">
        <v>2118</v>
      </c>
      <c r="B332" t="s">
        <v>13347</v>
      </c>
      <c r="C332" t="s">
        <v>11300</v>
      </c>
      <c r="E332" t="s">
        <v>6949</v>
      </c>
      <c r="F332" t="s">
        <v>139</v>
      </c>
      <c r="G332">
        <v>2420</v>
      </c>
    </row>
    <row r="333" spans="1:7" x14ac:dyDescent="0.35">
      <c r="A333" t="s">
        <v>2570</v>
      </c>
      <c r="B333" t="s">
        <v>13348</v>
      </c>
      <c r="C333" t="s">
        <v>13349</v>
      </c>
      <c r="E333" t="s">
        <v>35</v>
      </c>
      <c r="F333" t="s">
        <v>36</v>
      </c>
      <c r="G333">
        <v>31401</v>
      </c>
    </row>
    <row r="334" spans="1:7" x14ac:dyDescent="0.35">
      <c r="A334" t="s">
        <v>13350</v>
      </c>
      <c r="B334" t="s">
        <v>13351</v>
      </c>
      <c r="C334" t="s">
        <v>13352</v>
      </c>
      <c r="E334" t="s">
        <v>235</v>
      </c>
      <c r="F334" t="s">
        <v>236</v>
      </c>
      <c r="G334">
        <v>73104</v>
      </c>
    </row>
    <row r="335" spans="1:7" x14ac:dyDescent="0.35">
      <c r="A335" t="s">
        <v>2021</v>
      </c>
      <c r="B335" t="s">
        <v>13353</v>
      </c>
      <c r="C335" t="s">
        <v>11555</v>
      </c>
      <c r="E335" t="s">
        <v>2640</v>
      </c>
      <c r="F335" t="s">
        <v>51</v>
      </c>
      <c r="G335">
        <v>95945</v>
      </c>
    </row>
    <row r="336" spans="1:7" x14ac:dyDescent="0.35">
      <c r="A336" t="s">
        <v>13354</v>
      </c>
      <c r="B336" t="s">
        <v>13355</v>
      </c>
      <c r="C336" t="s">
        <v>13356</v>
      </c>
      <c r="E336" t="s">
        <v>4879</v>
      </c>
      <c r="F336" t="s">
        <v>51</v>
      </c>
      <c r="G336">
        <v>95503</v>
      </c>
    </row>
    <row r="337" spans="1:7" x14ac:dyDescent="0.35">
      <c r="A337" t="s">
        <v>13357</v>
      </c>
      <c r="B337" t="s">
        <v>13358</v>
      </c>
      <c r="C337" t="s">
        <v>9613</v>
      </c>
      <c r="D337" t="s">
        <v>9614</v>
      </c>
      <c r="E337" t="s">
        <v>107</v>
      </c>
      <c r="F337" t="s">
        <v>87</v>
      </c>
      <c r="G337">
        <v>40207</v>
      </c>
    </row>
    <row r="338" spans="1:7" x14ac:dyDescent="0.35">
      <c r="A338" t="s">
        <v>1486</v>
      </c>
      <c r="B338" t="s">
        <v>13359</v>
      </c>
      <c r="C338" t="s">
        <v>13360</v>
      </c>
      <c r="E338" t="s">
        <v>6800</v>
      </c>
      <c r="F338" t="s">
        <v>51</v>
      </c>
      <c r="G338">
        <v>95966</v>
      </c>
    </row>
    <row r="339" spans="1:7" x14ac:dyDescent="0.35">
      <c r="A339" t="s">
        <v>1562</v>
      </c>
      <c r="B339" t="s">
        <v>13361</v>
      </c>
      <c r="C339" t="s">
        <v>8366</v>
      </c>
      <c r="E339" t="s">
        <v>35</v>
      </c>
      <c r="F339" t="s">
        <v>36</v>
      </c>
      <c r="G339">
        <v>31408</v>
      </c>
    </row>
    <row r="340" spans="1:7" x14ac:dyDescent="0.35">
      <c r="A340" t="s">
        <v>13362</v>
      </c>
      <c r="B340" t="s">
        <v>13363</v>
      </c>
      <c r="C340" t="s">
        <v>13364</v>
      </c>
      <c r="E340" t="s">
        <v>112</v>
      </c>
      <c r="F340" t="s">
        <v>106</v>
      </c>
      <c r="G340">
        <v>99515</v>
      </c>
    </row>
    <row r="341" spans="1:7" x14ac:dyDescent="0.35">
      <c r="A341" t="s">
        <v>13365</v>
      </c>
      <c r="B341" t="s">
        <v>13366</v>
      </c>
      <c r="C341" t="s">
        <v>11463</v>
      </c>
      <c r="E341" t="s">
        <v>11464</v>
      </c>
      <c r="F341" t="s">
        <v>139</v>
      </c>
      <c r="G341">
        <v>2532</v>
      </c>
    </row>
    <row r="342" spans="1:7" x14ac:dyDescent="0.35">
      <c r="A342" t="s">
        <v>180</v>
      </c>
      <c r="B342" t="s">
        <v>13367</v>
      </c>
      <c r="C342" t="s">
        <v>13368</v>
      </c>
      <c r="E342" t="s">
        <v>70</v>
      </c>
      <c r="F342" t="s">
        <v>31</v>
      </c>
      <c r="G342">
        <v>85310</v>
      </c>
    </row>
    <row r="343" spans="1:7" x14ac:dyDescent="0.35">
      <c r="A343" t="s">
        <v>13369</v>
      </c>
      <c r="B343" t="s">
        <v>13370</v>
      </c>
      <c r="C343" t="s">
        <v>13371</v>
      </c>
      <c r="E343" t="s">
        <v>893</v>
      </c>
      <c r="F343" t="s">
        <v>147</v>
      </c>
      <c r="G343">
        <v>5060</v>
      </c>
    </row>
    <row r="344" spans="1:7" x14ac:dyDescent="0.35">
      <c r="A344" t="s">
        <v>13372</v>
      </c>
      <c r="B344" t="s">
        <v>13373</v>
      </c>
      <c r="C344" t="s">
        <v>12752</v>
      </c>
      <c r="E344" t="s">
        <v>75</v>
      </c>
      <c r="F344" t="s">
        <v>76</v>
      </c>
      <c r="G344">
        <v>6040</v>
      </c>
    </row>
    <row r="345" spans="1:7" x14ac:dyDescent="0.35">
      <c r="A345" t="s">
        <v>13374</v>
      </c>
      <c r="B345" t="s">
        <v>13375</v>
      </c>
      <c r="C345" t="s">
        <v>11682</v>
      </c>
      <c r="E345" t="s">
        <v>82</v>
      </c>
      <c r="F345" t="s">
        <v>74</v>
      </c>
      <c r="G345">
        <v>32413</v>
      </c>
    </row>
    <row r="346" spans="1:7" x14ac:dyDescent="0.35">
      <c r="A346" t="s">
        <v>4650</v>
      </c>
      <c r="B346" t="s">
        <v>13376</v>
      </c>
      <c r="C346" t="s">
        <v>8294</v>
      </c>
      <c r="E346" t="s">
        <v>45</v>
      </c>
      <c r="F346" t="s">
        <v>46</v>
      </c>
      <c r="G346">
        <v>36105</v>
      </c>
    </row>
    <row r="347" spans="1:7" x14ac:dyDescent="0.35">
      <c r="A347" t="s">
        <v>462</v>
      </c>
      <c r="B347" t="s">
        <v>13377</v>
      </c>
      <c r="C347" t="s">
        <v>8978</v>
      </c>
      <c r="E347" t="s">
        <v>45</v>
      </c>
      <c r="F347" t="s">
        <v>46</v>
      </c>
      <c r="G347">
        <v>36104</v>
      </c>
    </row>
    <row r="348" spans="1:7" x14ac:dyDescent="0.35">
      <c r="A348" t="s">
        <v>13378</v>
      </c>
      <c r="B348" t="s">
        <v>13379</v>
      </c>
      <c r="C348" t="s">
        <v>13380</v>
      </c>
      <c r="E348" t="s">
        <v>118</v>
      </c>
      <c r="F348" t="s">
        <v>42</v>
      </c>
      <c r="G348">
        <v>80005</v>
      </c>
    </row>
    <row r="349" spans="1:7" x14ac:dyDescent="0.35">
      <c r="A349" t="s">
        <v>13381</v>
      </c>
      <c r="B349" t="s">
        <v>13382</v>
      </c>
      <c r="C349" t="s">
        <v>8902</v>
      </c>
      <c r="D349" t="s">
        <v>102</v>
      </c>
      <c r="E349" t="s">
        <v>75</v>
      </c>
      <c r="F349" t="s">
        <v>76</v>
      </c>
      <c r="G349">
        <v>6040</v>
      </c>
    </row>
    <row r="350" spans="1:7" x14ac:dyDescent="0.35">
      <c r="A350" t="s">
        <v>13383</v>
      </c>
      <c r="B350" t="s">
        <v>13384</v>
      </c>
      <c r="C350" t="s">
        <v>13385</v>
      </c>
      <c r="E350" t="s">
        <v>107</v>
      </c>
      <c r="F350" t="s">
        <v>87</v>
      </c>
      <c r="G350">
        <v>40223</v>
      </c>
    </row>
    <row r="351" spans="1:7" x14ac:dyDescent="0.35">
      <c r="A351" t="s">
        <v>574</v>
      </c>
      <c r="B351" t="s">
        <v>13386</v>
      </c>
      <c r="C351" t="s">
        <v>13387</v>
      </c>
      <c r="E351" t="s">
        <v>70</v>
      </c>
      <c r="F351" t="s">
        <v>31</v>
      </c>
      <c r="G351">
        <v>85301</v>
      </c>
    </row>
    <row r="352" spans="1:7" x14ac:dyDescent="0.35">
      <c r="A352" t="s">
        <v>3545</v>
      </c>
      <c r="B352" t="s">
        <v>13388</v>
      </c>
      <c r="C352" t="s">
        <v>13389</v>
      </c>
      <c r="E352" t="s">
        <v>75</v>
      </c>
      <c r="F352" t="s">
        <v>76</v>
      </c>
      <c r="G352">
        <v>6042</v>
      </c>
    </row>
    <row r="353" spans="1:7" x14ac:dyDescent="0.35">
      <c r="A353" t="s">
        <v>786</v>
      </c>
      <c r="B353" t="s">
        <v>13390</v>
      </c>
      <c r="C353" t="s">
        <v>12146</v>
      </c>
      <c r="D353" t="s">
        <v>12147</v>
      </c>
      <c r="E353" t="s">
        <v>118</v>
      </c>
      <c r="F353" t="s">
        <v>42</v>
      </c>
      <c r="G353">
        <v>80003</v>
      </c>
    </row>
    <row r="354" spans="1:7" x14ac:dyDescent="0.35">
      <c r="A354" t="s">
        <v>7413</v>
      </c>
      <c r="B354" t="s">
        <v>13391</v>
      </c>
      <c r="C354" t="s">
        <v>10136</v>
      </c>
      <c r="D354" t="s">
        <v>10137</v>
      </c>
      <c r="E354" t="s">
        <v>35</v>
      </c>
      <c r="F354" t="s">
        <v>36</v>
      </c>
      <c r="G354">
        <v>31406</v>
      </c>
    </row>
    <row r="355" spans="1:7" x14ac:dyDescent="0.35">
      <c r="A355" t="s">
        <v>13392</v>
      </c>
      <c r="B355" t="s">
        <v>13393</v>
      </c>
      <c r="C355" t="s">
        <v>13394</v>
      </c>
      <c r="E355" t="s">
        <v>35</v>
      </c>
      <c r="F355" t="s">
        <v>36</v>
      </c>
      <c r="G355">
        <v>31404</v>
      </c>
    </row>
    <row r="356" spans="1:7" x14ac:dyDescent="0.35">
      <c r="A356" t="s">
        <v>4192</v>
      </c>
      <c r="B356" t="s">
        <v>13395</v>
      </c>
      <c r="C356" t="s">
        <v>13396</v>
      </c>
      <c r="D356" t="s">
        <v>9224</v>
      </c>
      <c r="E356" t="s">
        <v>2569</v>
      </c>
      <c r="F356" t="s">
        <v>139</v>
      </c>
      <c r="G356">
        <v>1604</v>
      </c>
    </row>
    <row r="357" spans="1:7" x14ac:dyDescent="0.35">
      <c r="A357" t="s">
        <v>2518</v>
      </c>
      <c r="B357" t="s">
        <v>13397</v>
      </c>
      <c r="C357" t="s">
        <v>13398</v>
      </c>
      <c r="E357" t="s">
        <v>130</v>
      </c>
      <c r="F357" t="s">
        <v>123</v>
      </c>
      <c r="G357">
        <v>20011</v>
      </c>
    </row>
    <row r="358" spans="1:7" x14ac:dyDescent="0.35">
      <c r="A358" t="s">
        <v>2967</v>
      </c>
      <c r="B358" t="s">
        <v>13399</v>
      </c>
      <c r="C358" t="s">
        <v>10259</v>
      </c>
      <c r="E358" t="s">
        <v>45</v>
      </c>
      <c r="F358" t="s">
        <v>46</v>
      </c>
      <c r="G358">
        <v>36108</v>
      </c>
    </row>
    <row r="359" spans="1:7" x14ac:dyDescent="0.35">
      <c r="A359" t="s">
        <v>13400</v>
      </c>
      <c r="B359" t="s">
        <v>13401</v>
      </c>
      <c r="C359" t="s">
        <v>8669</v>
      </c>
      <c r="E359" t="s">
        <v>45</v>
      </c>
      <c r="F359" t="s">
        <v>46</v>
      </c>
      <c r="G359">
        <v>36109</v>
      </c>
    </row>
    <row r="360" spans="1:7" x14ac:dyDescent="0.35">
      <c r="A360" t="s">
        <v>5498</v>
      </c>
      <c r="B360" t="s">
        <v>13402</v>
      </c>
      <c r="C360" t="s">
        <v>11641</v>
      </c>
      <c r="E360" t="s">
        <v>124</v>
      </c>
      <c r="F360" t="s">
        <v>117</v>
      </c>
      <c r="G360">
        <v>72701</v>
      </c>
    </row>
    <row r="361" spans="1:7" x14ac:dyDescent="0.35">
      <c r="A361" t="s">
        <v>289</v>
      </c>
      <c r="B361" t="s">
        <v>13403</v>
      </c>
      <c r="C361" t="s">
        <v>13404</v>
      </c>
      <c r="E361" t="s">
        <v>124</v>
      </c>
      <c r="F361" t="s">
        <v>117</v>
      </c>
      <c r="G361">
        <v>72703</v>
      </c>
    </row>
    <row r="362" spans="1:7" x14ac:dyDescent="0.35">
      <c r="A362" t="s">
        <v>3710</v>
      </c>
      <c r="B362" t="s">
        <v>13405</v>
      </c>
      <c r="C362" t="s">
        <v>13406</v>
      </c>
      <c r="E362" t="s">
        <v>75</v>
      </c>
      <c r="F362" t="s">
        <v>76</v>
      </c>
      <c r="G362">
        <v>6040</v>
      </c>
    </row>
    <row r="363" spans="1:7" x14ac:dyDescent="0.35">
      <c r="A363" t="s">
        <v>481</v>
      </c>
      <c r="B363" t="s">
        <v>13407</v>
      </c>
      <c r="C363" t="s">
        <v>13408</v>
      </c>
      <c r="E363" t="s">
        <v>63</v>
      </c>
      <c r="F363" t="s">
        <v>64</v>
      </c>
      <c r="G363">
        <v>37216</v>
      </c>
    </row>
    <row r="364" spans="1:7" x14ac:dyDescent="0.35">
      <c r="A364" t="s">
        <v>4472</v>
      </c>
      <c r="B364" t="s">
        <v>13409</v>
      </c>
      <c r="C364" t="s">
        <v>13410</v>
      </c>
      <c r="E364" t="s">
        <v>118</v>
      </c>
      <c r="F364" t="s">
        <v>42</v>
      </c>
      <c r="G364">
        <v>80005</v>
      </c>
    </row>
    <row r="365" spans="1:7" x14ac:dyDescent="0.35">
      <c r="A365" t="s">
        <v>13411</v>
      </c>
      <c r="B365" t="s">
        <v>13412</v>
      </c>
      <c r="C365" t="s">
        <v>13413</v>
      </c>
      <c r="F365" t="s">
        <v>147</v>
      </c>
      <c r="G365">
        <v>5149</v>
      </c>
    </row>
    <row r="366" spans="1:7" x14ac:dyDescent="0.35">
      <c r="A366" t="s">
        <v>13414</v>
      </c>
      <c r="B366" t="s">
        <v>13415</v>
      </c>
      <c r="C366" t="s">
        <v>13416</v>
      </c>
      <c r="E366" t="s">
        <v>1994</v>
      </c>
      <c r="F366" t="s">
        <v>36</v>
      </c>
      <c r="G366">
        <v>31407</v>
      </c>
    </row>
    <row r="367" spans="1:7" x14ac:dyDescent="0.35">
      <c r="A367" t="s">
        <v>1201</v>
      </c>
      <c r="B367" t="s">
        <v>13417</v>
      </c>
      <c r="C367" t="s">
        <v>13418</v>
      </c>
      <c r="E367" t="s">
        <v>4621</v>
      </c>
      <c r="F367" t="s">
        <v>51</v>
      </c>
      <c r="G367">
        <v>91706</v>
      </c>
    </row>
    <row r="368" spans="1:7" x14ac:dyDescent="0.35">
      <c r="A368" t="s">
        <v>840</v>
      </c>
      <c r="B368" t="s">
        <v>13419</v>
      </c>
      <c r="C368" t="s">
        <v>13420</v>
      </c>
      <c r="E368" t="s">
        <v>6571</v>
      </c>
      <c r="F368" t="s">
        <v>147</v>
      </c>
      <c r="G368">
        <v>5871</v>
      </c>
    </row>
    <row r="369" spans="1:7" x14ac:dyDescent="0.35">
      <c r="A369" t="s">
        <v>1136</v>
      </c>
      <c r="B369" t="s">
        <v>13421</v>
      </c>
      <c r="C369" t="s">
        <v>13422</v>
      </c>
      <c r="E369" t="s">
        <v>3804</v>
      </c>
      <c r="F369" t="s">
        <v>147</v>
      </c>
      <c r="G369">
        <v>5363</v>
      </c>
    </row>
    <row r="370" spans="1:7" x14ac:dyDescent="0.35">
      <c r="A370" t="s">
        <v>13423</v>
      </c>
      <c r="B370" t="s">
        <v>13424</v>
      </c>
      <c r="C370" t="s">
        <v>11300</v>
      </c>
      <c r="E370" t="s">
        <v>6949</v>
      </c>
      <c r="F370" t="s">
        <v>139</v>
      </c>
      <c r="G370">
        <v>2420</v>
      </c>
    </row>
    <row r="371" spans="1:7" x14ac:dyDescent="0.35">
      <c r="A371" t="s">
        <v>1832</v>
      </c>
      <c r="B371" t="s">
        <v>13425</v>
      </c>
      <c r="C371" t="s">
        <v>8902</v>
      </c>
      <c r="D371" t="s">
        <v>102</v>
      </c>
      <c r="E371" t="s">
        <v>75</v>
      </c>
      <c r="F371" t="s">
        <v>76</v>
      </c>
      <c r="G371">
        <v>6040</v>
      </c>
    </row>
    <row r="372" spans="1:7" x14ac:dyDescent="0.35">
      <c r="A372" t="s">
        <v>2883</v>
      </c>
      <c r="B372" t="s">
        <v>13426</v>
      </c>
      <c r="C372" t="s">
        <v>9197</v>
      </c>
      <c r="E372" t="s">
        <v>63</v>
      </c>
      <c r="F372" t="s">
        <v>64</v>
      </c>
      <c r="G372">
        <v>37207</v>
      </c>
    </row>
    <row r="373" spans="1:7" x14ac:dyDescent="0.35">
      <c r="A373" t="s">
        <v>1783</v>
      </c>
      <c r="B373" t="s">
        <v>13427</v>
      </c>
      <c r="C373" t="s">
        <v>9442</v>
      </c>
      <c r="E373" t="s">
        <v>130</v>
      </c>
      <c r="F373" t="s">
        <v>123</v>
      </c>
      <c r="G373">
        <v>20018</v>
      </c>
    </row>
    <row r="374" spans="1:7" x14ac:dyDescent="0.35">
      <c r="A374" t="s">
        <v>13428</v>
      </c>
      <c r="B374" t="s">
        <v>13429</v>
      </c>
      <c r="C374" t="s">
        <v>12876</v>
      </c>
      <c r="E374" t="s">
        <v>63</v>
      </c>
      <c r="F374" t="s">
        <v>64</v>
      </c>
      <c r="G374">
        <v>37211</v>
      </c>
    </row>
    <row r="375" spans="1:7" x14ac:dyDescent="0.35">
      <c r="A375" t="s">
        <v>5527</v>
      </c>
      <c r="B375" t="s">
        <v>13430</v>
      </c>
      <c r="C375" t="s">
        <v>9509</v>
      </c>
      <c r="E375" t="s">
        <v>45</v>
      </c>
      <c r="F375" t="s">
        <v>46</v>
      </c>
      <c r="G375">
        <v>36117</v>
      </c>
    </row>
    <row r="376" spans="1:7" x14ac:dyDescent="0.35">
      <c r="A376" t="s">
        <v>1252</v>
      </c>
      <c r="B376" t="s">
        <v>13431</v>
      </c>
      <c r="C376" t="s">
        <v>10996</v>
      </c>
      <c r="E376" t="s">
        <v>947</v>
      </c>
      <c r="F376" t="s">
        <v>51</v>
      </c>
      <c r="G376">
        <v>94560</v>
      </c>
    </row>
    <row r="377" spans="1:7" x14ac:dyDescent="0.35">
      <c r="A377" t="s">
        <v>4234</v>
      </c>
      <c r="B377" t="s">
        <v>13432</v>
      </c>
      <c r="C377" t="s">
        <v>8496</v>
      </c>
      <c r="D377" t="s">
        <v>8497</v>
      </c>
      <c r="E377" t="s">
        <v>112</v>
      </c>
      <c r="F377" t="s">
        <v>106</v>
      </c>
      <c r="G377">
        <v>99503</v>
      </c>
    </row>
    <row r="378" spans="1:7" x14ac:dyDescent="0.35">
      <c r="A378" t="s">
        <v>156</v>
      </c>
      <c r="B378" t="s">
        <v>13433</v>
      </c>
      <c r="C378" t="s">
        <v>8442</v>
      </c>
      <c r="E378" t="s">
        <v>82</v>
      </c>
      <c r="F378" t="s">
        <v>74</v>
      </c>
      <c r="G378">
        <v>32413</v>
      </c>
    </row>
    <row r="379" spans="1:7" x14ac:dyDescent="0.35">
      <c r="A379" t="s">
        <v>13434</v>
      </c>
      <c r="B379" t="s">
        <v>13435</v>
      </c>
      <c r="C379" t="s">
        <v>13436</v>
      </c>
      <c r="E379" t="s">
        <v>70</v>
      </c>
      <c r="F379" t="s">
        <v>31</v>
      </c>
      <c r="G379">
        <v>85305</v>
      </c>
    </row>
    <row r="380" spans="1:7" x14ac:dyDescent="0.35">
      <c r="A380" t="s">
        <v>1111</v>
      </c>
      <c r="B380" t="s">
        <v>13437</v>
      </c>
      <c r="C380" t="s">
        <v>13438</v>
      </c>
      <c r="E380" t="s">
        <v>45</v>
      </c>
      <c r="F380" t="s">
        <v>46</v>
      </c>
      <c r="G380">
        <v>36111</v>
      </c>
    </row>
    <row r="381" spans="1:7" x14ac:dyDescent="0.35">
      <c r="A381" t="s">
        <v>1873</v>
      </c>
      <c r="B381" t="s">
        <v>13439</v>
      </c>
      <c r="C381" t="s">
        <v>13440</v>
      </c>
      <c r="E381" t="s">
        <v>35</v>
      </c>
      <c r="F381" t="s">
        <v>36</v>
      </c>
      <c r="G381">
        <v>31401</v>
      </c>
    </row>
    <row r="382" spans="1:7" x14ac:dyDescent="0.35">
      <c r="A382" t="s">
        <v>13441</v>
      </c>
      <c r="B382" t="s">
        <v>13442</v>
      </c>
      <c r="C382" t="s">
        <v>13016</v>
      </c>
      <c r="D382" t="s">
        <v>13017</v>
      </c>
      <c r="E382" t="s">
        <v>112</v>
      </c>
      <c r="F382" t="s">
        <v>106</v>
      </c>
      <c r="G382">
        <v>99508</v>
      </c>
    </row>
    <row r="383" spans="1:7" x14ac:dyDescent="0.35">
      <c r="A383" t="s">
        <v>13443</v>
      </c>
      <c r="B383" t="s">
        <v>13444</v>
      </c>
      <c r="C383" t="s">
        <v>13445</v>
      </c>
      <c r="E383" t="s">
        <v>1216</v>
      </c>
      <c r="F383" t="s">
        <v>51</v>
      </c>
      <c r="G383">
        <v>94501</v>
      </c>
    </row>
    <row r="384" spans="1:7" x14ac:dyDescent="0.35">
      <c r="A384" t="s">
        <v>6522</v>
      </c>
      <c r="B384" t="s">
        <v>13446</v>
      </c>
      <c r="C384" t="s">
        <v>13447</v>
      </c>
      <c r="E384" t="s">
        <v>124</v>
      </c>
      <c r="F384" t="s">
        <v>117</v>
      </c>
      <c r="G384">
        <v>72704</v>
      </c>
    </row>
    <row r="385" spans="1:7" x14ac:dyDescent="0.35">
      <c r="A385" t="s">
        <v>782</v>
      </c>
      <c r="B385" t="s">
        <v>13448</v>
      </c>
      <c r="C385" t="s">
        <v>13449</v>
      </c>
      <c r="E385" t="s">
        <v>130</v>
      </c>
      <c r="F385" t="s">
        <v>123</v>
      </c>
      <c r="G385">
        <v>20019</v>
      </c>
    </row>
    <row r="386" spans="1:7" x14ac:dyDescent="0.35">
      <c r="A386" t="s">
        <v>308</v>
      </c>
      <c r="B386" t="s">
        <v>13450</v>
      </c>
      <c r="C386" t="s">
        <v>10353</v>
      </c>
      <c r="E386" t="s">
        <v>10354</v>
      </c>
      <c r="F386" t="s">
        <v>139</v>
      </c>
      <c r="G386">
        <v>2062</v>
      </c>
    </row>
    <row r="387" spans="1:7" x14ac:dyDescent="0.35">
      <c r="A387" t="s">
        <v>13451</v>
      </c>
      <c r="B387" t="s">
        <v>13452</v>
      </c>
      <c r="C387" t="s">
        <v>13453</v>
      </c>
      <c r="E387" t="s">
        <v>130</v>
      </c>
      <c r="F387" t="s">
        <v>123</v>
      </c>
      <c r="G387">
        <v>20011</v>
      </c>
    </row>
    <row r="388" spans="1:7" x14ac:dyDescent="0.35">
      <c r="A388" t="s">
        <v>1036</v>
      </c>
      <c r="B388" t="s">
        <v>13454</v>
      </c>
      <c r="C388" t="s">
        <v>13455</v>
      </c>
      <c r="E388" t="s">
        <v>45</v>
      </c>
      <c r="F388" t="s">
        <v>46</v>
      </c>
      <c r="G388">
        <v>36110</v>
      </c>
    </row>
    <row r="389" spans="1:7" x14ac:dyDescent="0.35">
      <c r="A389" t="s">
        <v>2625</v>
      </c>
      <c r="B389" t="s">
        <v>13456</v>
      </c>
      <c r="C389" t="s">
        <v>13457</v>
      </c>
      <c r="E389" t="s">
        <v>124</v>
      </c>
      <c r="F389" t="s">
        <v>117</v>
      </c>
      <c r="G389">
        <v>72701</v>
      </c>
    </row>
    <row r="390" spans="1:7" x14ac:dyDescent="0.35">
      <c r="A390" t="s">
        <v>2996</v>
      </c>
      <c r="B390" t="s">
        <v>13458</v>
      </c>
      <c r="C390" t="s">
        <v>13459</v>
      </c>
      <c r="E390" t="s">
        <v>429</v>
      </c>
      <c r="F390" t="s">
        <v>236</v>
      </c>
      <c r="G390">
        <v>73160</v>
      </c>
    </row>
    <row r="391" spans="1:7" x14ac:dyDescent="0.35">
      <c r="A391" t="s">
        <v>13460</v>
      </c>
      <c r="B391" t="s">
        <v>13461</v>
      </c>
      <c r="C391" t="s">
        <v>13462</v>
      </c>
      <c r="E391" t="s">
        <v>278</v>
      </c>
      <c r="F391" t="s">
        <v>97</v>
      </c>
      <c r="G391">
        <v>21061</v>
      </c>
    </row>
    <row r="392" spans="1:7" x14ac:dyDescent="0.35">
      <c r="A392" t="s">
        <v>1383</v>
      </c>
      <c r="B392" t="s">
        <v>13463</v>
      </c>
      <c r="C392" t="s">
        <v>13464</v>
      </c>
      <c r="E392" t="s">
        <v>2174</v>
      </c>
      <c r="F392" t="s">
        <v>139</v>
      </c>
      <c r="G392">
        <v>2360</v>
      </c>
    </row>
    <row r="393" spans="1:7" x14ac:dyDescent="0.35">
      <c r="A393" t="s">
        <v>13465</v>
      </c>
      <c r="B393" t="s">
        <v>13466</v>
      </c>
      <c r="C393" t="s">
        <v>13467</v>
      </c>
      <c r="E393" t="s">
        <v>4496</v>
      </c>
      <c r="F393" t="s">
        <v>139</v>
      </c>
      <c r="G393">
        <v>2043</v>
      </c>
    </row>
    <row r="394" spans="1:7" x14ac:dyDescent="0.35">
      <c r="A394" t="s">
        <v>1204</v>
      </c>
      <c r="B394" t="s">
        <v>13468</v>
      </c>
      <c r="C394" t="s">
        <v>13469</v>
      </c>
      <c r="E394" t="s">
        <v>70</v>
      </c>
      <c r="F394" t="s">
        <v>31</v>
      </c>
      <c r="G394">
        <v>85301</v>
      </c>
    </row>
    <row r="395" spans="1:7" x14ac:dyDescent="0.35">
      <c r="A395" t="s">
        <v>3831</v>
      </c>
      <c r="B395" t="s">
        <v>13470</v>
      </c>
      <c r="C395" t="s">
        <v>13471</v>
      </c>
      <c r="E395" t="s">
        <v>75</v>
      </c>
      <c r="F395" t="s">
        <v>76</v>
      </c>
      <c r="G395">
        <v>6042</v>
      </c>
    </row>
    <row r="396" spans="1:7" x14ac:dyDescent="0.35">
      <c r="A396" t="s">
        <v>5336</v>
      </c>
      <c r="B396" t="s">
        <v>13472</v>
      </c>
      <c r="C396" t="s">
        <v>13473</v>
      </c>
      <c r="E396" t="s">
        <v>45</v>
      </c>
      <c r="F396" t="s">
        <v>46</v>
      </c>
      <c r="G396">
        <v>36117</v>
      </c>
    </row>
    <row r="397" spans="1:7" x14ac:dyDescent="0.35">
      <c r="A397" t="s">
        <v>407</v>
      </c>
      <c r="B397" t="s">
        <v>13474</v>
      </c>
      <c r="C397" t="s">
        <v>13475</v>
      </c>
      <c r="E397" t="s">
        <v>4847</v>
      </c>
      <c r="F397" t="s">
        <v>51</v>
      </c>
      <c r="G397">
        <v>95404</v>
      </c>
    </row>
    <row r="398" spans="1:7" x14ac:dyDescent="0.35">
      <c r="A398" t="s">
        <v>894</v>
      </c>
      <c r="B398" t="s">
        <v>13476</v>
      </c>
      <c r="C398" t="s">
        <v>13477</v>
      </c>
      <c r="E398" t="s">
        <v>124</v>
      </c>
      <c r="F398" t="s">
        <v>117</v>
      </c>
      <c r="G398">
        <v>72703</v>
      </c>
    </row>
    <row r="399" spans="1:7" x14ac:dyDescent="0.35">
      <c r="A399" t="s">
        <v>13478</v>
      </c>
      <c r="B399" t="s">
        <v>13479</v>
      </c>
      <c r="C399" t="s">
        <v>13113</v>
      </c>
      <c r="E399" t="s">
        <v>13114</v>
      </c>
      <c r="F399" t="s">
        <v>147</v>
      </c>
      <c r="G399">
        <v>5101</v>
      </c>
    </row>
    <row r="400" spans="1:7" x14ac:dyDescent="0.35">
      <c r="A400" t="s">
        <v>675</v>
      </c>
      <c r="B400" t="s">
        <v>13480</v>
      </c>
      <c r="C400" t="s">
        <v>13481</v>
      </c>
      <c r="E400" t="s">
        <v>45</v>
      </c>
      <c r="F400" t="s">
        <v>46</v>
      </c>
      <c r="G400">
        <v>36117</v>
      </c>
    </row>
    <row r="401" spans="1:7" x14ac:dyDescent="0.35">
      <c r="A401" t="s">
        <v>1425</v>
      </c>
      <c r="B401" t="s">
        <v>13482</v>
      </c>
      <c r="C401" t="s">
        <v>13483</v>
      </c>
      <c r="E401" t="s">
        <v>45</v>
      </c>
      <c r="F401" t="s">
        <v>46</v>
      </c>
      <c r="G401">
        <v>36107</v>
      </c>
    </row>
    <row r="402" spans="1:7" x14ac:dyDescent="0.35">
      <c r="A402" t="s">
        <v>2352</v>
      </c>
      <c r="B402" t="s">
        <v>13484</v>
      </c>
      <c r="C402" t="s">
        <v>10934</v>
      </c>
      <c r="E402" t="s">
        <v>35</v>
      </c>
      <c r="F402" t="s">
        <v>36</v>
      </c>
      <c r="G402">
        <v>31419</v>
      </c>
    </row>
    <row r="403" spans="1:7" x14ac:dyDescent="0.35">
      <c r="A403" t="s">
        <v>1998</v>
      </c>
      <c r="B403" t="s">
        <v>13485</v>
      </c>
      <c r="C403" t="s">
        <v>13486</v>
      </c>
      <c r="E403" t="s">
        <v>477</v>
      </c>
      <c r="F403" t="s">
        <v>51</v>
      </c>
      <c r="G403">
        <v>94541</v>
      </c>
    </row>
    <row r="404" spans="1:7" x14ac:dyDescent="0.35">
      <c r="A404" t="s">
        <v>2760</v>
      </c>
      <c r="B404" t="s">
        <v>13487</v>
      </c>
      <c r="C404" t="s">
        <v>13488</v>
      </c>
      <c r="E404" t="s">
        <v>45</v>
      </c>
      <c r="F404" t="s">
        <v>46</v>
      </c>
      <c r="G404">
        <v>36110</v>
      </c>
    </row>
    <row r="405" spans="1:7" x14ac:dyDescent="0.35">
      <c r="A405" t="s">
        <v>2407</v>
      </c>
      <c r="B405" t="s">
        <v>13489</v>
      </c>
      <c r="C405" t="s">
        <v>13490</v>
      </c>
      <c r="E405" t="s">
        <v>107</v>
      </c>
      <c r="F405" t="s">
        <v>87</v>
      </c>
      <c r="G405">
        <v>40299</v>
      </c>
    </row>
    <row r="406" spans="1:7" x14ac:dyDescent="0.35">
      <c r="A406" t="s">
        <v>3085</v>
      </c>
      <c r="B406" t="s">
        <v>13491</v>
      </c>
      <c r="C406" t="s">
        <v>13492</v>
      </c>
      <c r="E406" t="s">
        <v>45</v>
      </c>
      <c r="F406" t="s">
        <v>46</v>
      </c>
      <c r="G406">
        <v>36116</v>
      </c>
    </row>
    <row r="407" spans="1:7" x14ac:dyDescent="0.35">
      <c r="A407" t="s">
        <v>653</v>
      </c>
      <c r="B407" t="s">
        <v>13493</v>
      </c>
      <c r="C407" t="s">
        <v>13494</v>
      </c>
      <c r="E407" t="s">
        <v>45</v>
      </c>
      <c r="F407" t="s">
        <v>46</v>
      </c>
      <c r="G407">
        <v>36117</v>
      </c>
    </row>
    <row r="408" spans="1:7" x14ac:dyDescent="0.35">
      <c r="A408" t="s">
        <v>13495</v>
      </c>
      <c r="B408" t="s">
        <v>13496</v>
      </c>
      <c r="C408" t="s">
        <v>13497</v>
      </c>
      <c r="E408" t="s">
        <v>124</v>
      </c>
      <c r="F408" t="s">
        <v>117</v>
      </c>
      <c r="G408">
        <v>72703</v>
      </c>
    </row>
    <row r="409" spans="1:7" x14ac:dyDescent="0.35">
      <c r="A409" t="s">
        <v>1328</v>
      </c>
      <c r="B409" t="s">
        <v>13498</v>
      </c>
      <c r="C409" t="s">
        <v>8949</v>
      </c>
      <c r="E409" t="s">
        <v>35</v>
      </c>
      <c r="F409" t="s">
        <v>36</v>
      </c>
      <c r="G409">
        <v>31405</v>
      </c>
    </row>
    <row r="410" spans="1:7" x14ac:dyDescent="0.35">
      <c r="A410" t="s">
        <v>346</v>
      </c>
      <c r="B410" t="s">
        <v>13499</v>
      </c>
      <c r="C410" t="s">
        <v>12212</v>
      </c>
      <c r="E410" t="s">
        <v>35</v>
      </c>
      <c r="F410" t="s">
        <v>36</v>
      </c>
      <c r="G410">
        <v>31419</v>
      </c>
    </row>
    <row r="411" spans="1:7" x14ac:dyDescent="0.35">
      <c r="A411" t="s">
        <v>1649</v>
      </c>
      <c r="B411" t="s">
        <v>13500</v>
      </c>
      <c r="C411" t="s">
        <v>8982</v>
      </c>
      <c r="E411" t="s">
        <v>112</v>
      </c>
      <c r="F411" t="s">
        <v>106</v>
      </c>
      <c r="G411">
        <v>99503</v>
      </c>
    </row>
    <row r="412" spans="1:7" x14ac:dyDescent="0.35">
      <c r="A412" t="s">
        <v>13501</v>
      </c>
      <c r="B412" t="s">
        <v>13502</v>
      </c>
      <c r="C412" t="s">
        <v>13503</v>
      </c>
      <c r="E412" t="s">
        <v>112</v>
      </c>
      <c r="F412" t="s">
        <v>106</v>
      </c>
      <c r="G412">
        <v>99515</v>
      </c>
    </row>
    <row r="413" spans="1:7" x14ac:dyDescent="0.35">
      <c r="A413" t="s">
        <v>1711</v>
      </c>
      <c r="B413" t="s">
        <v>13504</v>
      </c>
      <c r="C413" t="s">
        <v>8478</v>
      </c>
      <c r="F413" t="s">
        <v>147</v>
      </c>
      <c r="G413">
        <v>5468</v>
      </c>
    </row>
    <row r="414" spans="1:7" x14ac:dyDescent="0.35">
      <c r="A414" t="s">
        <v>13505</v>
      </c>
      <c r="B414" t="s">
        <v>13506</v>
      </c>
      <c r="C414" t="s">
        <v>11808</v>
      </c>
      <c r="E414" t="s">
        <v>941</v>
      </c>
      <c r="F414" t="s">
        <v>147</v>
      </c>
      <c r="G414">
        <v>5001</v>
      </c>
    </row>
    <row r="415" spans="1:7" x14ac:dyDescent="0.35">
      <c r="A415" t="s">
        <v>641</v>
      </c>
      <c r="B415" t="s">
        <v>13507</v>
      </c>
      <c r="C415" t="s">
        <v>13508</v>
      </c>
      <c r="E415" t="s">
        <v>209</v>
      </c>
      <c r="F415" t="s">
        <v>74</v>
      </c>
      <c r="G415">
        <v>32404</v>
      </c>
    </row>
    <row r="416" spans="1:7" x14ac:dyDescent="0.35">
      <c r="A416" t="s">
        <v>13509</v>
      </c>
      <c r="B416" t="s">
        <v>13510</v>
      </c>
      <c r="C416" t="s">
        <v>13511</v>
      </c>
      <c r="D416" t="s">
        <v>13512</v>
      </c>
      <c r="E416" t="s">
        <v>118</v>
      </c>
      <c r="F416" t="s">
        <v>42</v>
      </c>
      <c r="G416">
        <v>80002</v>
      </c>
    </row>
    <row r="417" spans="1:7" x14ac:dyDescent="0.35">
      <c r="A417" t="s">
        <v>1172</v>
      </c>
      <c r="B417" t="s">
        <v>13513</v>
      </c>
      <c r="C417" t="s">
        <v>12065</v>
      </c>
      <c r="E417" t="s">
        <v>1071</v>
      </c>
      <c r="F417" t="s">
        <v>236</v>
      </c>
      <c r="G417">
        <v>73012</v>
      </c>
    </row>
    <row r="418" spans="1:7" x14ac:dyDescent="0.35">
      <c r="A418" t="s">
        <v>1228</v>
      </c>
      <c r="B418" t="s">
        <v>13514</v>
      </c>
      <c r="C418" t="s">
        <v>13515</v>
      </c>
      <c r="D418" t="s">
        <v>13516</v>
      </c>
      <c r="E418" t="s">
        <v>75</v>
      </c>
      <c r="F418" t="s">
        <v>76</v>
      </c>
      <c r="G418">
        <v>6042</v>
      </c>
    </row>
    <row r="419" spans="1:7" x14ac:dyDescent="0.35">
      <c r="A419" t="s">
        <v>1813</v>
      </c>
      <c r="B419" t="s">
        <v>13517</v>
      </c>
      <c r="C419" t="s">
        <v>13518</v>
      </c>
      <c r="D419" t="s">
        <v>10024</v>
      </c>
      <c r="E419" t="s">
        <v>124</v>
      </c>
      <c r="F419" t="s">
        <v>117</v>
      </c>
      <c r="G419">
        <v>72701</v>
      </c>
    </row>
    <row r="420" spans="1:7" x14ac:dyDescent="0.35">
      <c r="A420" t="s">
        <v>898</v>
      </c>
      <c r="B420" t="s">
        <v>13519</v>
      </c>
      <c r="C420" t="s">
        <v>13520</v>
      </c>
      <c r="E420" t="s">
        <v>82</v>
      </c>
      <c r="F420" t="s">
        <v>74</v>
      </c>
      <c r="G420">
        <v>32407</v>
      </c>
    </row>
    <row r="421" spans="1:7" x14ac:dyDescent="0.35">
      <c r="A421" t="s">
        <v>2175</v>
      </c>
      <c r="B421" t="s">
        <v>13521</v>
      </c>
      <c r="C421" t="s">
        <v>13522</v>
      </c>
      <c r="E421" t="s">
        <v>107</v>
      </c>
      <c r="F421" t="s">
        <v>87</v>
      </c>
      <c r="G421">
        <v>40299</v>
      </c>
    </row>
    <row r="422" spans="1:7" x14ac:dyDescent="0.35">
      <c r="A422" t="s">
        <v>5601</v>
      </c>
      <c r="B422" t="s">
        <v>13523</v>
      </c>
      <c r="C422" t="s">
        <v>13524</v>
      </c>
      <c r="E422" t="s">
        <v>45</v>
      </c>
      <c r="F422" t="s">
        <v>46</v>
      </c>
      <c r="G422">
        <v>36117</v>
      </c>
    </row>
    <row r="423" spans="1:7" x14ac:dyDescent="0.35">
      <c r="A423" t="s">
        <v>4420</v>
      </c>
      <c r="B423" t="s">
        <v>13525</v>
      </c>
      <c r="C423" t="s">
        <v>13526</v>
      </c>
      <c r="D423" t="s">
        <v>13527</v>
      </c>
      <c r="E423" t="s">
        <v>830</v>
      </c>
      <c r="F423" t="s">
        <v>51</v>
      </c>
      <c r="G423">
        <v>94538</v>
      </c>
    </row>
    <row r="424" spans="1:7" x14ac:dyDescent="0.35">
      <c r="A424" t="s">
        <v>13528</v>
      </c>
      <c r="B424" t="s">
        <v>13529</v>
      </c>
      <c r="C424" t="s">
        <v>12622</v>
      </c>
      <c r="E424" t="s">
        <v>112</v>
      </c>
      <c r="F424" t="s">
        <v>106</v>
      </c>
      <c r="G424">
        <v>99517</v>
      </c>
    </row>
    <row r="425" spans="1:7" x14ac:dyDescent="0.35">
      <c r="A425" t="s">
        <v>3596</v>
      </c>
      <c r="B425" t="s">
        <v>13530</v>
      </c>
      <c r="C425" t="s">
        <v>13531</v>
      </c>
      <c r="E425" t="s">
        <v>118</v>
      </c>
      <c r="F425" t="s">
        <v>42</v>
      </c>
      <c r="G425">
        <v>80007</v>
      </c>
    </row>
    <row r="426" spans="1:7" x14ac:dyDescent="0.35">
      <c r="A426" t="s">
        <v>496</v>
      </c>
      <c r="B426" t="s">
        <v>13532</v>
      </c>
      <c r="C426" t="s">
        <v>12437</v>
      </c>
      <c r="E426" t="s">
        <v>63</v>
      </c>
      <c r="F426" t="s">
        <v>64</v>
      </c>
      <c r="G426">
        <v>37013</v>
      </c>
    </row>
    <row r="427" spans="1:7" x14ac:dyDescent="0.35">
      <c r="A427" t="s">
        <v>13533</v>
      </c>
      <c r="B427" t="s">
        <v>13534</v>
      </c>
      <c r="C427" t="s">
        <v>10624</v>
      </c>
      <c r="E427" t="s">
        <v>45</v>
      </c>
      <c r="F427" t="s">
        <v>46</v>
      </c>
      <c r="G427">
        <v>36105</v>
      </c>
    </row>
    <row r="428" spans="1:7" x14ac:dyDescent="0.35">
      <c r="A428" t="s">
        <v>2398</v>
      </c>
      <c r="B428" t="s">
        <v>13535</v>
      </c>
      <c r="C428" t="s">
        <v>11087</v>
      </c>
      <c r="E428" t="s">
        <v>63</v>
      </c>
      <c r="F428" t="s">
        <v>64</v>
      </c>
      <c r="G428">
        <v>37221</v>
      </c>
    </row>
    <row r="429" spans="1:7" x14ac:dyDescent="0.35">
      <c r="A429" t="s">
        <v>13536</v>
      </c>
      <c r="B429" t="s">
        <v>13537</v>
      </c>
      <c r="C429" t="s">
        <v>13497</v>
      </c>
      <c r="E429" t="s">
        <v>124</v>
      </c>
      <c r="F429" t="s">
        <v>117</v>
      </c>
      <c r="G429">
        <v>72703</v>
      </c>
    </row>
    <row r="430" spans="1:7" x14ac:dyDescent="0.35">
      <c r="A430" t="s">
        <v>1597</v>
      </c>
      <c r="B430" t="s">
        <v>13538</v>
      </c>
      <c r="C430" t="s">
        <v>13539</v>
      </c>
      <c r="E430" t="s">
        <v>107</v>
      </c>
      <c r="F430" t="s">
        <v>87</v>
      </c>
      <c r="G430">
        <v>40211</v>
      </c>
    </row>
    <row r="431" spans="1:7" x14ac:dyDescent="0.35">
      <c r="A431" t="s">
        <v>6880</v>
      </c>
      <c r="B431" t="s">
        <v>13540</v>
      </c>
      <c r="C431" t="s">
        <v>13541</v>
      </c>
      <c r="E431" t="s">
        <v>1096</v>
      </c>
      <c r="F431" t="s">
        <v>76</v>
      </c>
      <c r="G431">
        <v>6340</v>
      </c>
    </row>
    <row r="432" spans="1:7" x14ac:dyDescent="0.35">
      <c r="A432" t="s">
        <v>765</v>
      </c>
      <c r="B432" t="s">
        <v>13542</v>
      </c>
      <c r="C432" t="s">
        <v>13543</v>
      </c>
      <c r="D432" t="s">
        <v>9614</v>
      </c>
      <c r="E432" t="s">
        <v>5115</v>
      </c>
      <c r="F432" t="s">
        <v>51</v>
      </c>
      <c r="G432">
        <v>93546</v>
      </c>
    </row>
    <row r="433" spans="1:7" x14ac:dyDescent="0.35">
      <c r="A433" t="s">
        <v>637</v>
      </c>
      <c r="B433" t="s">
        <v>13544</v>
      </c>
      <c r="C433" t="s">
        <v>13545</v>
      </c>
      <c r="E433" t="s">
        <v>6323</v>
      </c>
      <c r="F433" t="s">
        <v>51</v>
      </c>
      <c r="G433">
        <v>95605</v>
      </c>
    </row>
    <row r="434" spans="1:7" x14ac:dyDescent="0.35">
      <c r="A434" t="s">
        <v>2636</v>
      </c>
      <c r="B434" t="s">
        <v>13546</v>
      </c>
      <c r="C434" t="s">
        <v>13547</v>
      </c>
      <c r="E434" t="s">
        <v>107</v>
      </c>
      <c r="F434" t="s">
        <v>87</v>
      </c>
      <c r="G434">
        <v>40202</v>
      </c>
    </row>
    <row r="435" spans="1:7" x14ac:dyDescent="0.35">
      <c r="A435" t="s">
        <v>1625</v>
      </c>
      <c r="B435" t="s">
        <v>13548</v>
      </c>
      <c r="C435" t="s">
        <v>13549</v>
      </c>
      <c r="E435" t="s">
        <v>209</v>
      </c>
      <c r="F435" t="s">
        <v>74</v>
      </c>
      <c r="G435">
        <v>32401</v>
      </c>
    </row>
    <row r="436" spans="1:7" x14ac:dyDescent="0.35">
      <c r="A436" t="s">
        <v>1336</v>
      </c>
      <c r="B436" t="s">
        <v>13550</v>
      </c>
      <c r="C436" t="s">
        <v>12083</v>
      </c>
      <c r="E436" t="s">
        <v>124</v>
      </c>
      <c r="F436" t="s">
        <v>117</v>
      </c>
      <c r="G436">
        <v>72703</v>
      </c>
    </row>
    <row r="437" spans="1:7" x14ac:dyDescent="0.35">
      <c r="A437" t="s">
        <v>5615</v>
      </c>
      <c r="B437" t="s">
        <v>13551</v>
      </c>
      <c r="C437" t="s">
        <v>13003</v>
      </c>
      <c r="E437" t="s">
        <v>45</v>
      </c>
      <c r="F437" t="s">
        <v>46</v>
      </c>
      <c r="G437">
        <v>36105</v>
      </c>
    </row>
    <row r="438" spans="1:7" x14ac:dyDescent="0.35">
      <c r="A438" t="s">
        <v>13552</v>
      </c>
      <c r="B438" t="s">
        <v>13553</v>
      </c>
      <c r="C438" t="s">
        <v>13554</v>
      </c>
      <c r="E438" t="s">
        <v>112</v>
      </c>
      <c r="F438" t="s">
        <v>106</v>
      </c>
      <c r="G438">
        <v>99504</v>
      </c>
    </row>
    <row r="439" spans="1:7" x14ac:dyDescent="0.35">
      <c r="A439" t="s">
        <v>13555</v>
      </c>
      <c r="B439" t="s">
        <v>13556</v>
      </c>
      <c r="C439" t="s">
        <v>13557</v>
      </c>
      <c r="E439" t="s">
        <v>124</v>
      </c>
      <c r="F439" t="s">
        <v>117</v>
      </c>
      <c r="G439">
        <v>72703</v>
      </c>
    </row>
    <row r="440" spans="1:7" x14ac:dyDescent="0.35">
      <c r="A440" t="s">
        <v>88</v>
      </c>
      <c r="B440" t="s">
        <v>13558</v>
      </c>
      <c r="C440" t="s">
        <v>13559</v>
      </c>
      <c r="E440" t="s">
        <v>124</v>
      </c>
      <c r="F440" t="s">
        <v>117</v>
      </c>
      <c r="G440">
        <v>72701</v>
      </c>
    </row>
    <row r="441" spans="1:7" x14ac:dyDescent="0.35">
      <c r="A441" t="s">
        <v>13560</v>
      </c>
      <c r="B441" t="s">
        <v>13561</v>
      </c>
      <c r="C441" t="s">
        <v>13265</v>
      </c>
      <c r="E441" t="s">
        <v>118</v>
      </c>
      <c r="F441" t="s">
        <v>42</v>
      </c>
      <c r="G441">
        <v>80005</v>
      </c>
    </row>
    <row r="442" spans="1:7" x14ac:dyDescent="0.35">
      <c r="A442" t="s">
        <v>13562</v>
      </c>
      <c r="B442" t="s">
        <v>13563</v>
      </c>
      <c r="C442" t="s">
        <v>13564</v>
      </c>
      <c r="E442" t="s">
        <v>334</v>
      </c>
      <c r="F442" t="s">
        <v>51</v>
      </c>
      <c r="G442">
        <v>94619</v>
      </c>
    </row>
    <row r="443" spans="1:7" x14ac:dyDescent="0.35">
      <c r="A443" t="s">
        <v>3261</v>
      </c>
      <c r="B443" t="s">
        <v>13565</v>
      </c>
      <c r="C443" t="s">
        <v>9613</v>
      </c>
      <c r="D443" t="s">
        <v>9614</v>
      </c>
      <c r="E443" t="s">
        <v>107</v>
      </c>
      <c r="F443" t="s">
        <v>87</v>
      </c>
      <c r="G443">
        <v>40207</v>
      </c>
    </row>
    <row r="444" spans="1:7" x14ac:dyDescent="0.35">
      <c r="A444" t="s">
        <v>13566</v>
      </c>
      <c r="B444" t="s">
        <v>13567</v>
      </c>
      <c r="C444" t="s">
        <v>13568</v>
      </c>
      <c r="D444" t="s">
        <v>13569</v>
      </c>
      <c r="E444" t="s">
        <v>830</v>
      </c>
      <c r="F444" t="s">
        <v>51</v>
      </c>
      <c r="G444">
        <v>94536</v>
      </c>
    </row>
    <row r="445" spans="1:7" x14ac:dyDescent="0.35">
      <c r="A445" t="s">
        <v>13570</v>
      </c>
      <c r="B445" t="s">
        <v>13571</v>
      </c>
      <c r="C445" t="s">
        <v>13572</v>
      </c>
      <c r="E445" t="s">
        <v>209</v>
      </c>
      <c r="F445" t="s">
        <v>74</v>
      </c>
      <c r="G445">
        <v>32405</v>
      </c>
    </row>
    <row r="446" spans="1:7" x14ac:dyDescent="0.35">
      <c r="A446" t="s">
        <v>1392</v>
      </c>
      <c r="B446" t="s">
        <v>13573</v>
      </c>
      <c r="C446" t="s">
        <v>13574</v>
      </c>
      <c r="E446" t="s">
        <v>107</v>
      </c>
      <c r="F446" t="s">
        <v>87</v>
      </c>
      <c r="G446">
        <v>40291</v>
      </c>
    </row>
    <row r="447" spans="1:7" x14ac:dyDescent="0.35">
      <c r="A447" t="s">
        <v>13575</v>
      </c>
      <c r="B447" t="s">
        <v>13576</v>
      </c>
      <c r="C447" t="s">
        <v>11091</v>
      </c>
      <c r="E447" t="s">
        <v>4188</v>
      </c>
      <c r="F447" t="s">
        <v>139</v>
      </c>
      <c r="G447">
        <v>1501</v>
      </c>
    </row>
    <row r="448" spans="1:7" x14ac:dyDescent="0.35">
      <c r="A448" t="s">
        <v>279</v>
      </c>
      <c r="B448" t="s">
        <v>13577</v>
      </c>
      <c r="C448" t="s">
        <v>9669</v>
      </c>
      <c r="E448" t="s">
        <v>118</v>
      </c>
      <c r="F448" t="s">
        <v>42</v>
      </c>
      <c r="G448">
        <v>80004</v>
      </c>
    </row>
    <row r="449" spans="1:7" x14ac:dyDescent="0.35">
      <c r="A449" t="s">
        <v>13578</v>
      </c>
      <c r="B449" t="s">
        <v>13579</v>
      </c>
      <c r="C449" t="s">
        <v>11353</v>
      </c>
      <c r="E449" t="s">
        <v>1937</v>
      </c>
      <c r="F449" t="s">
        <v>51</v>
      </c>
      <c r="G449">
        <v>92027</v>
      </c>
    </row>
    <row r="450" spans="1:7" x14ac:dyDescent="0.35">
      <c r="A450" t="s">
        <v>889</v>
      </c>
      <c r="B450" t="s">
        <v>13580</v>
      </c>
      <c r="C450" t="s">
        <v>13581</v>
      </c>
      <c r="E450" t="s">
        <v>63</v>
      </c>
      <c r="F450" t="s">
        <v>64</v>
      </c>
      <c r="G450">
        <v>37207</v>
      </c>
    </row>
    <row r="451" spans="1:7" x14ac:dyDescent="0.35">
      <c r="A451" t="s">
        <v>274</v>
      </c>
      <c r="B451" t="s">
        <v>13582</v>
      </c>
      <c r="C451" t="s">
        <v>13583</v>
      </c>
      <c r="D451" t="s">
        <v>10537</v>
      </c>
      <c r="E451" t="s">
        <v>35</v>
      </c>
      <c r="F451" t="s">
        <v>36</v>
      </c>
      <c r="G451">
        <v>31419</v>
      </c>
    </row>
    <row r="452" spans="1:7" x14ac:dyDescent="0.35">
      <c r="A452" t="s">
        <v>1261</v>
      </c>
      <c r="B452" t="s">
        <v>13584</v>
      </c>
      <c r="C452" t="s">
        <v>13585</v>
      </c>
      <c r="E452" t="s">
        <v>316</v>
      </c>
      <c r="F452" t="s">
        <v>97</v>
      </c>
      <c r="G452">
        <v>21403</v>
      </c>
    </row>
    <row r="453" spans="1:7" x14ac:dyDescent="0.35">
      <c r="A453" t="s">
        <v>1928</v>
      </c>
      <c r="B453" t="s">
        <v>13586</v>
      </c>
      <c r="C453" t="s">
        <v>12547</v>
      </c>
      <c r="E453" t="s">
        <v>112</v>
      </c>
      <c r="F453" t="s">
        <v>106</v>
      </c>
      <c r="G453">
        <v>99502</v>
      </c>
    </row>
    <row r="454" spans="1:7" x14ac:dyDescent="0.35">
      <c r="A454" t="s">
        <v>2039</v>
      </c>
      <c r="B454" t="s">
        <v>13587</v>
      </c>
      <c r="C454" t="s">
        <v>13588</v>
      </c>
      <c r="D454" t="s">
        <v>13589</v>
      </c>
      <c r="E454" t="s">
        <v>112</v>
      </c>
      <c r="F454" t="s">
        <v>106</v>
      </c>
      <c r="G454">
        <v>99507</v>
      </c>
    </row>
    <row r="455" spans="1:7" x14ac:dyDescent="0.35">
      <c r="A455" t="s">
        <v>13590</v>
      </c>
      <c r="B455" t="s">
        <v>13591</v>
      </c>
      <c r="C455" t="s">
        <v>13592</v>
      </c>
      <c r="E455" t="s">
        <v>112</v>
      </c>
      <c r="F455" t="s">
        <v>106</v>
      </c>
      <c r="G455">
        <v>99567</v>
      </c>
    </row>
    <row r="456" spans="1:7" x14ac:dyDescent="0.35">
      <c r="A456" t="s">
        <v>1503</v>
      </c>
      <c r="B456" t="s">
        <v>13593</v>
      </c>
      <c r="C456" t="s">
        <v>13594</v>
      </c>
      <c r="E456" t="s">
        <v>721</v>
      </c>
      <c r="F456" t="s">
        <v>42</v>
      </c>
      <c r="G456">
        <v>80302</v>
      </c>
    </row>
    <row r="457" spans="1:7" x14ac:dyDescent="0.35">
      <c r="A457" t="s">
        <v>2960</v>
      </c>
      <c r="B457" t="s">
        <v>13595</v>
      </c>
      <c r="C457" t="s">
        <v>13596</v>
      </c>
      <c r="E457" t="s">
        <v>118</v>
      </c>
      <c r="F457" t="s">
        <v>42</v>
      </c>
      <c r="G457">
        <v>80002</v>
      </c>
    </row>
    <row r="458" spans="1:7" x14ac:dyDescent="0.35">
      <c r="A458" t="s">
        <v>13597</v>
      </c>
      <c r="B458" t="s">
        <v>13598</v>
      </c>
      <c r="C458" t="s">
        <v>10961</v>
      </c>
      <c r="E458" t="s">
        <v>45</v>
      </c>
      <c r="F458" t="s">
        <v>46</v>
      </c>
      <c r="G458">
        <v>36117</v>
      </c>
    </row>
    <row r="459" spans="1:7" x14ac:dyDescent="0.35">
      <c r="A459" t="s">
        <v>704</v>
      </c>
      <c r="B459" t="s">
        <v>13599</v>
      </c>
      <c r="C459" t="s">
        <v>13600</v>
      </c>
      <c r="E459" t="s">
        <v>13201</v>
      </c>
      <c r="F459" t="s">
        <v>139</v>
      </c>
      <c r="G459">
        <v>1841</v>
      </c>
    </row>
    <row r="460" spans="1:7" x14ac:dyDescent="0.35">
      <c r="A460" t="s">
        <v>304</v>
      </c>
      <c r="B460" t="s">
        <v>13601</v>
      </c>
      <c r="C460" t="s">
        <v>13368</v>
      </c>
      <c r="E460" t="s">
        <v>70</v>
      </c>
      <c r="F460" t="s">
        <v>31</v>
      </c>
      <c r="G460">
        <v>85310</v>
      </c>
    </row>
    <row r="461" spans="1:7" x14ac:dyDescent="0.35">
      <c r="A461" t="s">
        <v>971</v>
      </c>
      <c r="B461" t="s">
        <v>13602</v>
      </c>
      <c r="C461" t="s">
        <v>13603</v>
      </c>
      <c r="E461" t="s">
        <v>451</v>
      </c>
      <c r="F461" t="s">
        <v>51</v>
      </c>
      <c r="G461">
        <v>95014</v>
      </c>
    </row>
    <row r="462" spans="1:7" x14ac:dyDescent="0.35">
      <c r="A462" t="s">
        <v>13604</v>
      </c>
      <c r="B462" t="s">
        <v>12727</v>
      </c>
      <c r="C462" t="s">
        <v>9175</v>
      </c>
      <c r="E462" t="s">
        <v>316</v>
      </c>
      <c r="F462" t="s">
        <v>97</v>
      </c>
      <c r="G462">
        <v>21409</v>
      </c>
    </row>
    <row r="463" spans="1:7" x14ac:dyDescent="0.35">
      <c r="A463" t="s">
        <v>1980</v>
      </c>
      <c r="B463" t="s">
        <v>13605</v>
      </c>
      <c r="C463" t="s">
        <v>12784</v>
      </c>
      <c r="E463" t="s">
        <v>316</v>
      </c>
      <c r="F463" t="s">
        <v>97</v>
      </c>
      <c r="G463">
        <v>21402</v>
      </c>
    </row>
    <row r="464" spans="1:7" x14ac:dyDescent="0.35">
      <c r="A464" t="s">
        <v>864</v>
      </c>
      <c r="B464" t="s">
        <v>13606</v>
      </c>
      <c r="C464" t="s">
        <v>13607</v>
      </c>
      <c r="E464" t="s">
        <v>75</v>
      </c>
      <c r="F464" t="s">
        <v>76</v>
      </c>
      <c r="G464">
        <v>6042</v>
      </c>
    </row>
    <row r="465" spans="1:7" x14ac:dyDescent="0.35">
      <c r="A465" t="s">
        <v>1919</v>
      </c>
      <c r="B465" t="s">
        <v>13608</v>
      </c>
      <c r="C465" t="s">
        <v>13609</v>
      </c>
      <c r="E465" t="s">
        <v>118</v>
      </c>
      <c r="F465" t="s">
        <v>42</v>
      </c>
      <c r="G465">
        <v>80004</v>
      </c>
    </row>
    <row r="466" spans="1:7" x14ac:dyDescent="0.35">
      <c r="A466" t="s">
        <v>1346</v>
      </c>
      <c r="B466" t="s">
        <v>13610</v>
      </c>
      <c r="C466" t="s">
        <v>13233</v>
      </c>
      <c r="E466" t="s">
        <v>320</v>
      </c>
      <c r="F466" t="s">
        <v>97</v>
      </c>
      <c r="G466">
        <v>21108</v>
      </c>
    </row>
    <row r="467" spans="1:7" x14ac:dyDescent="0.35">
      <c r="A467" t="s">
        <v>3319</v>
      </c>
      <c r="B467" t="s">
        <v>13611</v>
      </c>
      <c r="C467" t="s">
        <v>13612</v>
      </c>
      <c r="E467" t="s">
        <v>130</v>
      </c>
      <c r="F467" t="s">
        <v>123</v>
      </c>
      <c r="G467">
        <v>20010</v>
      </c>
    </row>
    <row r="468" spans="1:7" x14ac:dyDescent="0.35">
      <c r="A468" t="s">
        <v>4242</v>
      </c>
      <c r="B468" t="s">
        <v>13613</v>
      </c>
      <c r="C468" t="s">
        <v>13531</v>
      </c>
      <c r="E468" t="s">
        <v>118</v>
      </c>
      <c r="F468" t="s">
        <v>42</v>
      </c>
      <c r="G468">
        <v>80007</v>
      </c>
    </row>
    <row r="469" spans="1:7" x14ac:dyDescent="0.35">
      <c r="A469" t="s">
        <v>386</v>
      </c>
      <c r="B469" t="s">
        <v>13614</v>
      </c>
      <c r="C469" t="s">
        <v>13615</v>
      </c>
      <c r="E469" t="s">
        <v>316</v>
      </c>
      <c r="F469" t="s">
        <v>97</v>
      </c>
      <c r="G469">
        <v>21409</v>
      </c>
    </row>
    <row r="470" spans="1:7" x14ac:dyDescent="0.35">
      <c r="A470" t="s">
        <v>13616</v>
      </c>
      <c r="B470" t="s">
        <v>13617</v>
      </c>
      <c r="C470" t="s">
        <v>13483</v>
      </c>
      <c r="E470" t="s">
        <v>45</v>
      </c>
      <c r="F470" t="s">
        <v>46</v>
      </c>
      <c r="G470">
        <v>36107</v>
      </c>
    </row>
    <row r="471" spans="1:7" x14ac:dyDescent="0.35">
      <c r="A471" t="s">
        <v>1121</v>
      </c>
      <c r="B471" t="s">
        <v>13166</v>
      </c>
      <c r="C471" t="s">
        <v>13618</v>
      </c>
      <c r="E471" t="s">
        <v>3218</v>
      </c>
      <c r="F471" t="s">
        <v>147</v>
      </c>
      <c r="G471">
        <v>5359</v>
      </c>
    </row>
    <row r="472" spans="1:7" x14ac:dyDescent="0.35">
      <c r="A472" t="s">
        <v>2186</v>
      </c>
      <c r="B472" t="s">
        <v>13619</v>
      </c>
      <c r="C472" t="s">
        <v>13237</v>
      </c>
      <c r="E472" t="s">
        <v>75</v>
      </c>
      <c r="F472" t="s">
        <v>76</v>
      </c>
      <c r="G472">
        <v>6040</v>
      </c>
    </row>
    <row r="473" spans="1:7" x14ac:dyDescent="0.35">
      <c r="A473" t="s">
        <v>760</v>
      </c>
      <c r="B473" t="s">
        <v>13620</v>
      </c>
      <c r="C473" t="s">
        <v>13621</v>
      </c>
      <c r="E473" t="s">
        <v>107</v>
      </c>
      <c r="F473" t="s">
        <v>87</v>
      </c>
      <c r="G473">
        <v>40210</v>
      </c>
    </row>
    <row r="474" spans="1:7" x14ac:dyDescent="0.35">
      <c r="A474" t="s">
        <v>13622</v>
      </c>
      <c r="B474" t="s">
        <v>13623</v>
      </c>
      <c r="C474" t="s">
        <v>13624</v>
      </c>
      <c r="E474" t="s">
        <v>75</v>
      </c>
      <c r="F474" t="s">
        <v>76</v>
      </c>
      <c r="G474">
        <v>6040</v>
      </c>
    </row>
    <row r="475" spans="1:7" x14ac:dyDescent="0.35">
      <c r="A475" t="s">
        <v>65</v>
      </c>
      <c r="B475" t="s">
        <v>13625</v>
      </c>
      <c r="C475" t="s">
        <v>12232</v>
      </c>
      <c r="E475" t="s">
        <v>130</v>
      </c>
      <c r="F475" t="s">
        <v>123</v>
      </c>
      <c r="G475">
        <v>20018</v>
      </c>
    </row>
    <row r="476" spans="1:7" x14ac:dyDescent="0.35">
      <c r="A476" t="s">
        <v>2816</v>
      </c>
      <c r="B476" t="s">
        <v>13626</v>
      </c>
      <c r="C476" t="s">
        <v>13627</v>
      </c>
      <c r="E476" t="s">
        <v>45</v>
      </c>
      <c r="F476" t="s">
        <v>46</v>
      </c>
      <c r="G476">
        <v>36110</v>
      </c>
    </row>
    <row r="477" spans="1:7" x14ac:dyDescent="0.35">
      <c r="A477" t="s">
        <v>478</v>
      </c>
      <c r="B477" t="s">
        <v>13628</v>
      </c>
      <c r="C477" t="s">
        <v>13629</v>
      </c>
      <c r="E477" t="s">
        <v>278</v>
      </c>
      <c r="F477" t="s">
        <v>97</v>
      </c>
      <c r="G477">
        <v>21061</v>
      </c>
    </row>
    <row r="478" spans="1:7" x14ac:dyDescent="0.35">
      <c r="A478" t="s">
        <v>13630</v>
      </c>
      <c r="B478" t="s">
        <v>13631</v>
      </c>
      <c r="C478" t="s">
        <v>10362</v>
      </c>
      <c r="E478" t="s">
        <v>45</v>
      </c>
      <c r="F478" t="s">
        <v>46</v>
      </c>
      <c r="G478">
        <v>36116</v>
      </c>
    </row>
    <row r="479" spans="1:7" x14ac:dyDescent="0.35">
      <c r="A479" t="s">
        <v>13632</v>
      </c>
      <c r="B479" t="s">
        <v>13633</v>
      </c>
      <c r="C479" t="s">
        <v>13596</v>
      </c>
      <c r="E479" t="s">
        <v>118</v>
      </c>
      <c r="F479" t="s">
        <v>42</v>
      </c>
      <c r="G479">
        <v>80002</v>
      </c>
    </row>
    <row r="480" spans="1:7" x14ac:dyDescent="0.35">
      <c r="A480" t="s">
        <v>3175</v>
      </c>
      <c r="B480" t="s">
        <v>13634</v>
      </c>
      <c r="C480" t="s">
        <v>13635</v>
      </c>
      <c r="D480" t="s">
        <v>8694</v>
      </c>
      <c r="E480" t="s">
        <v>107</v>
      </c>
      <c r="F480" t="s">
        <v>87</v>
      </c>
      <c r="G480">
        <v>40204</v>
      </c>
    </row>
    <row r="481" spans="1:7" x14ac:dyDescent="0.35">
      <c r="A481" t="s">
        <v>5242</v>
      </c>
      <c r="B481" t="s">
        <v>13636</v>
      </c>
      <c r="C481" t="s">
        <v>10952</v>
      </c>
      <c r="E481" t="s">
        <v>941</v>
      </c>
      <c r="F481" t="s">
        <v>147</v>
      </c>
      <c r="G481">
        <v>5001</v>
      </c>
    </row>
    <row r="482" spans="1:7" x14ac:dyDescent="0.35">
      <c r="A482" t="s">
        <v>1672</v>
      </c>
      <c r="B482" t="s">
        <v>13637</v>
      </c>
      <c r="C482" t="s">
        <v>13638</v>
      </c>
      <c r="E482" t="s">
        <v>235</v>
      </c>
      <c r="F482" t="s">
        <v>236</v>
      </c>
      <c r="G482">
        <v>73170</v>
      </c>
    </row>
    <row r="483" spans="1:7" x14ac:dyDescent="0.35">
      <c r="A483" t="s">
        <v>13639</v>
      </c>
      <c r="B483" t="s">
        <v>13640</v>
      </c>
      <c r="C483" t="s">
        <v>13641</v>
      </c>
      <c r="E483" t="s">
        <v>477</v>
      </c>
      <c r="F483" t="s">
        <v>51</v>
      </c>
      <c r="G483">
        <v>94541</v>
      </c>
    </row>
    <row r="484" spans="1:7" x14ac:dyDescent="0.35">
      <c r="A484" t="s">
        <v>13642</v>
      </c>
      <c r="B484" t="s">
        <v>13643</v>
      </c>
      <c r="C484" t="s">
        <v>13644</v>
      </c>
      <c r="E484" t="s">
        <v>118</v>
      </c>
      <c r="F484" t="s">
        <v>42</v>
      </c>
      <c r="G484">
        <v>80002</v>
      </c>
    </row>
    <row r="485" spans="1:7" x14ac:dyDescent="0.35">
      <c r="A485" t="s">
        <v>693</v>
      </c>
      <c r="B485" t="s">
        <v>13645</v>
      </c>
      <c r="C485" t="s">
        <v>13646</v>
      </c>
      <c r="E485" t="s">
        <v>63</v>
      </c>
      <c r="F485" t="s">
        <v>64</v>
      </c>
      <c r="G485">
        <v>37211</v>
      </c>
    </row>
    <row r="486" spans="1:7" x14ac:dyDescent="0.35">
      <c r="A486" t="s">
        <v>1273</v>
      </c>
      <c r="B486" t="s">
        <v>13647</v>
      </c>
      <c r="C486" t="s">
        <v>13648</v>
      </c>
      <c r="E486" t="s">
        <v>107</v>
      </c>
      <c r="F486" t="s">
        <v>87</v>
      </c>
      <c r="G486">
        <v>40299</v>
      </c>
    </row>
    <row r="487" spans="1:7" x14ac:dyDescent="0.35">
      <c r="A487" t="s">
        <v>1158</v>
      </c>
      <c r="B487" t="s">
        <v>13649</v>
      </c>
      <c r="C487" t="s">
        <v>11286</v>
      </c>
      <c r="E487" t="s">
        <v>941</v>
      </c>
      <c r="F487" t="s">
        <v>147</v>
      </c>
      <c r="G487">
        <v>5001</v>
      </c>
    </row>
    <row r="488" spans="1:7" x14ac:dyDescent="0.35">
      <c r="A488" t="s">
        <v>13650</v>
      </c>
      <c r="B488" t="s">
        <v>13651</v>
      </c>
      <c r="C488" t="s">
        <v>12000</v>
      </c>
      <c r="E488" t="s">
        <v>45</v>
      </c>
      <c r="F488" t="s">
        <v>46</v>
      </c>
      <c r="G488">
        <v>36109</v>
      </c>
    </row>
    <row r="489" spans="1:7" x14ac:dyDescent="0.35">
      <c r="A489" t="s">
        <v>1798</v>
      </c>
      <c r="B489" t="s">
        <v>13652</v>
      </c>
      <c r="C489" t="s">
        <v>13653</v>
      </c>
      <c r="E489" t="s">
        <v>92</v>
      </c>
      <c r="F489" t="s">
        <v>51</v>
      </c>
      <c r="G489">
        <v>94578</v>
      </c>
    </row>
    <row r="490" spans="1:7" x14ac:dyDescent="0.35">
      <c r="A490" t="s">
        <v>13654</v>
      </c>
      <c r="B490" t="s">
        <v>13655</v>
      </c>
      <c r="C490" t="s">
        <v>13656</v>
      </c>
      <c r="E490" t="s">
        <v>118</v>
      </c>
      <c r="F490" t="s">
        <v>42</v>
      </c>
      <c r="G490">
        <v>80002</v>
      </c>
    </row>
    <row r="491" spans="1:7" x14ac:dyDescent="0.35">
      <c r="A491" t="s">
        <v>258</v>
      </c>
      <c r="B491" t="s">
        <v>13657</v>
      </c>
      <c r="C491" t="s">
        <v>13658</v>
      </c>
      <c r="E491" t="s">
        <v>830</v>
      </c>
      <c r="F491" t="s">
        <v>51</v>
      </c>
      <c r="G491">
        <v>94536</v>
      </c>
    </row>
    <row r="492" spans="1:7" x14ac:dyDescent="0.35">
      <c r="A492" t="s">
        <v>3968</v>
      </c>
      <c r="B492" t="s">
        <v>13659</v>
      </c>
      <c r="C492" t="s">
        <v>13660</v>
      </c>
      <c r="E492" t="s">
        <v>63</v>
      </c>
      <c r="F492" t="s">
        <v>64</v>
      </c>
      <c r="G492">
        <v>37205</v>
      </c>
    </row>
    <row r="493" spans="1:7" x14ac:dyDescent="0.35">
      <c r="A493" t="s">
        <v>13661</v>
      </c>
      <c r="B493" t="s">
        <v>13662</v>
      </c>
      <c r="C493" t="s">
        <v>8970</v>
      </c>
      <c r="E493" t="s">
        <v>92</v>
      </c>
      <c r="F493" t="s">
        <v>51</v>
      </c>
      <c r="G493">
        <v>94579</v>
      </c>
    </row>
    <row r="494" spans="1:7" x14ac:dyDescent="0.35">
      <c r="A494" t="s">
        <v>1352</v>
      </c>
      <c r="B494" t="s">
        <v>13663</v>
      </c>
      <c r="C494" t="s">
        <v>13664</v>
      </c>
      <c r="E494" t="s">
        <v>112</v>
      </c>
      <c r="F494" t="s">
        <v>106</v>
      </c>
      <c r="G494">
        <v>99501</v>
      </c>
    </row>
    <row r="495" spans="1:7" x14ac:dyDescent="0.35">
      <c r="A495" t="s">
        <v>3046</v>
      </c>
      <c r="B495" t="s">
        <v>13665</v>
      </c>
      <c r="C495" t="s">
        <v>13666</v>
      </c>
      <c r="E495" t="s">
        <v>107</v>
      </c>
      <c r="F495" t="s">
        <v>87</v>
      </c>
      <c r="G495">
        <v>40223</v>
      </c>
    </row>
    <row r="496" spans="1:7" x14ac:dyDescent="0.35">
      <c r="A496" t="s">
        <v>2664</v>
      </c>
      <c r="B496" t="s">
        <v>13667</v>
      </c>
      <c r="C496" t="s">
        <v>8825</v>
      </c>
      <c r="E496" t="s">
        <v>118</v>
      </c>
      <c r="F496" t="s">
        <v>42</v>
      </c>
      <c r="G496">
        <v>80004</v>
      </c>
    </row>
    <row r="497" spans="1:7" x14ac:dyDescent="0.35">
      <c r="A497" t="s">
        <v>4314</v>
      </c>
      <c r="B497" t="s">
        <v>13668</v>
      </c>
      <c r="C497" t="s">
        <v>13669</v>
      </c>
      <c r="E497" t="s">
        <v>2132</v>
      </c>
      <c r="F497" t="s">
        <v>97</v>
      </c>
      <c r="G497">
        <v>21113</v>
      </c>
    </row>
    <row r="498" spans="1:7" x14ac:dyDescent="0.35">
      <c r="A498" t="s">
        <v>3354</v>
      </c>
      <c r="B498" t="s">
        <v>13670</v>
      </c>
      <c r="C498" t="s">
        <v>10956</v>
      </c>
      <c r="D498" t="s">
        <v>10957</v>
      </c>
      <c r="E498" t="s">
        <v>112</v>
      </c>
      <c r="F498" t="s">
        <v>106</v>
      </c>
      <c r="G498">
        <v>99503</v>
      </c>
    </row>
    <row r="499" spans="1:7" x14ac:dyDescent="0.35">
      <c r="A499" t="s">
        <v>585</v>
      </c>
      <c r="B499" t="s">
        <v>13671</v>
      </c>
      <c r="C499" t="s">
        <v>13449</v>
      </c>
      <c r="E499" t="s">
        <v>130</v>
      </c>
      <c r="F499" t="s">
        <v>123</v>
      </c>
      <c r="G499">
        <v>20019</v>
      </c>
    </row>
    <row r="500" spans="1:7" x14ac:dyDescent="0.35">
      <c r="A500" t="s">
        <v>13672</v>
      </c>
      <c r="B500" t="s">
        <v>12763</v>
      </c>
      <c r="C500" t="s">
        <v>10517</v>
      </c>
      <c r="E500" t="s">
        <v>118</v>
      </c>
      <c r="F500" t="s">
        <v>42</v>
      </c>
      <c r="G500">
        <v>80003</v>
      </c>
    </row>
    <row r="501" spans="1:7" x14ac:dyDescent="0.35">
      <c r="A501" t="s">
        <v>284</v>
      </c>
      <c r="B501" t="s">
        <v>13673</v>
      </c>
      <c r="C501" t="s">
        <v>13674</v>
      </c>
      <c r="E501" t="s">
        <v>1071</v>
      </c>
      <c r="F501" t="s">
        <v>236</v>
      </c>
      <c r="G501">
        <v>73013</v>
      </c>
    </row>
    <row r="502" spans="1:7" x14ac:dyDescent="0.35">
      <c r="A502" t="s">
        <v>1368</v>
      </c>
      <c r="B502" t="s">
        <v>13675</v>
      </c>
      <c r="C502" t="s">
        <v>13676</v>
      </c>
      <c r="E502" t="s">
        <v>35</v>
      </c>
      <c r="F502" t="s">
        <v>36</v>
      </c>
      <c r="G502">
        <v>31410</v>
      </c>
    </row>
    <row r="503" spans="1:7" x14ac:dyDescent="0.35">
      <c r="A503" t="s">
        <v>1460</v>
      </c>
      <c r="B503" t="s">
        <v>13677</v>
      </c>
      <c r="C503" t="s">
        <v>8237</v>
      </c>
      <c r="E503" t="s">
        <v>107</v>
      </c>
      <c r="F503" t="s">
        <v>87</v>
      </c>
      <c r="G503">
        <v>40118</v>
      </c>
    </row>
    <row r="504" spans="1:7" x14ac:dyDescent="0.35">
      <c r="A504" t="s">
        <v>13678</v>
      </c>
      <c r="B504" t="s">
        <v>13679</v>
      </c>
      <c r="C504" t="s">
        <v>13680</v>
      </c>
      <c r="E504" t="s">
        <v>124</v>
      </c>
      <c r="F504" t="s">
        <v>117</v>
      </c>
      <c r="G504">
        <v>72703</v>
      </c>
    </row>
    <row r="505" spans="1:7" x14ac:dyDescent="0.35">
      <c r="A505" t="s">
        <v>13681</v>
      </c>
      <c r="B505" t="s">
        <v>13682</v>
      </c>
      <c r="C505" t="s">
        <v>13683</v>
      </c>
      <c r="E505" t="s">
        <v>179</v>
      </c>
      <c r="F505" t="s">
        <v>97</v>
      </c>
      <c r="G505">
        <v>21122</v>
      </c>
    </row>
    <row r="506" spans="1:7" x14ac:dyDescent="0.35">
      <c r="A506" t="s">
        <v>1733</v>
      </c>
      <c r="B506" t="s">
        <v>13684</v>
      </c>
      <c r="C506" t="s">
        <v>13685</v>
      </c>
      <c r="E506" t="s">
        <v>75</v>
      </c>
      <c r="F506" t="s">
        <v>76</v>
      </c>
      <c r="G506">
        <v>6040</v>
      </c>
    </row>
    <row r="507" spans="1:7" x14ac:dyDescent="0.35">
      <c r="A507" t="s">
        <v>2064</v>
      </c>
      <c r="B507" t="s">
        <v>13058</v>
      </c>
      <c r="C507" t="s">
        <v>9112</v>
      </c>
      <c r="E507" t="s">
        <v>118</v>
      </c>
      <c r="F507" t="s">
        <v>42</v>
      </c>
      <c r="G507">
        <v>80003</v>
      </c>
    </row>
    <row r="508" spans="1:7" x14ac:dyDescent="0.35">
      <c r="A508" t="s">
        <v>2561</v>
      </c>
      <c r="B508" t="s">
        <v>13686</v>
      </c>
      <c r="C508" t="s">
        <v>13687</v>
      </c>
      <c r="D508" t="s">
        <v>9121</v>
      </c>
      <c r="E508" t="s">
        <v>13688</v>
      </c>
      <c r="F508" t="s">
        <v>139</v>
      </c>
      <c r="G508">
        <v>1952</v>
      </c>
    </row>
    <row r="509" spans="1:7" x14ac:dyDescent="0.35">
      <c r="A509" t="s">
        <v>5994</v>
      </c>
      <c r="B509" t="s">
        <v>13689</v>
      </c>
      <c r="C509" t="s">
        <v>13690</v>
      </c>
      <c r="E509" t="s">
        <v>830</v>
      </c>
      <c r="F509" t="s">
        <v>51</v>
      </c>
      <c r="G509">
        <v>94538</v>
      </c>
    </row>
    <row r="510" spans="1:7" x14ac:dyDescent="0.35">
      <c r="A510" t="s">
        <v>13691</v>
      </c>
      <c r="B510" t="s">
        <v>13692</v>
      </c>
      <c r="C510" t="s">
        <v>8685</v>
      </c>
      <c r="E510" t="s">
        <v>130</v>
      </c>
      <c r="F510" t="s">
        <v>123</v>
      </c>
      <c r="G510">
        <v>20012</v>
      </c>
    </row>
    <row r="511" spans="1:7" x14ac:dyDescent="0.35">
      <c r="A511" t="s">
        <v>434</v>
      </c>
      <c r="B511" t="s">
        <v>13693</v>
      </c>
      <c r="C511" t="s">
        <v>13364</v>
      </c>
      <c r="E511" t="s">
        <v>112</v>
      </c>
      <c r="F511" t="s">
        <v>106</v>
      </c>
      <c r="G511">
        <v>99515</v>
      </c>
    </row>
    <row r="512" spans="1:7" x14ac:dyDescent="0.35">
      <c r="A512" t="s">
        <v>1050</v>
      </c>
      <c r="B512" t="s">
        <v>13694</v>
      </c>
      <c r="C512" t="s">
        <v>11316</v>
      </c>
      <c r="E512" t="s">
        <v>75</v>
      </c>
      <c r="F512" t="s">
        <v>76</v>
      </c>
      <c r="G512">
        <v>6040</v>
      </c>
    </row>
    <row r="513" spans="1:7" x14ac:dyDescent="0.35">
      <c r="A513" t="s">
        <v>1456</v>
      </c>
      <c r="B513" t="s">
        <v>13695</v>
      </c>
      <c r="C513" t="s">
        <v>10530</v>
      </c>
      <c r="E513" t="s">
        <v>118</v>
      </c>
      <c r="F513" t="s">
        <v>42</v>
      </c>
      <c r="G513">
        <v>80005</v>
      </c>
    </row>
    <row r="514" spans="1:7" x14ac:dyDescent="0.35">
      <c r="A514" t="s">
        <v>5417</v>
      </c>
      <c r="B514" t="s">
        <v>13696</v>
      </c>
      <c r="C514" t="s">
        <v>13697</v>
      </c>
      <c r="E514" t="s">
        <v>112</v>
      </c>
      <c r="F514" t="s">
        <v>106</v>
      </c>
      <c r="G514">
        <v>99507</v>
      </c>
    </row>
    <row r="515" spans="1:7" x14ac:dyDescent="0.35">
      <c r="A515" t="s">
        <v>3673</v>
      </c>
      <c r="B515" t="s">
        <v>13698</v>
      </c>
      <c r="C515" t="s">
        <v>13699</v>
      </c>
      <c r="E515" t="s">
        <v>75</v>
      </c>
      <c r="F515" t="s">
        <v>76</v>
      </c>
      <c r="G515">
        <v>6042</v>
      </c>
    </row>
    <row r="516" spans="1:7" x14ac:dyDescent="0.35">
      <c r="A516" t="s">
        <v>1196</v>
      </c>
      <c r="B516" t="s">
        <v>13700</v>
      </c>
      <c r="C516" t="s">
        <v>13047</v>
      </c>
      <c r="E516" t="s">
        <v>107</v>
      </c>
      <c r="F516" t="s">
        <v>87</v>
      </c>
      <c r="G516">
        <v>40216</v>
      </c>
    </row>
    <row r="517" spans="1:7" x14ac:dyDescent="0.35">
      <c r="A517" t="s">
        <v>13701</v>
      </c>
      <c r="B517" t="s">
        <v>13448</v>
      </c>
      <c r="C517" t="s">
        <v>13702</v>
      </c>
      <c r="E517" t="s">
        <v>2149</v>
      </c>
      <c r="F517" t="s">
        <v>117</v>
      </c>
      <c r="G517">
        <v>72032</v>
      </c>
    </row>
    <row r="518" spans="1:7" x14ac:dyDescent="0.35">
      <c r="A518" t="s">
        <v>13703</v>
      </c>
      <c r="B518" t="s">
        <v>13704</v>
      </c>
      <c r="C518" t="s">
        <v>13705</v>
      </c>
      <c r="E518" t="s">
        <v>124</v>
      </c>
      <c r="F518" t="s">
        <v>117</v>
      </c>
      <c r="G518">
        <v>72704</v>
      </c>
    </row>
    <row r="519" spans="1:7" x14ac:dyDescent="0.35">
      <c r="A519" t="s">
        <v>13706</v>
      </c>
      <c r="B519" t="s">
        <v>13707</v>
      </c>
      <c r="C519" t="s">
        <v>13708</v>
      </c>
      <c r="F519" t="s">
        <v>147</v>
      </c>
      <c r="G519">
        <v>5468</v>
      </c>
    </row>
    <row r="520" spans="1:7" x14ac:dyDescent="0.35">
      <c r="A520" t="s">
        <v>563</v>
      </c>
      <c r="B520" t="s">
        <v>13709</v>
      </c>
      <c r="C520" t="s">
        <v>13710</v>
      </c>
      <c r="D520" t="s">
        <v>32</v>
      </c>
      <c r="E520" t="s">
        <v>75</v>
      </c>
      <c r="F520" t="s">
        <v>76</v>
      </c>
      <c r="G520">
        <v>6040</v>
      </c>
    </row>
    <row r="521" spans="1:7" x14ac:dyDescent="0.35">
      <c r="A521" t="s">
        <v>3770</v>
      </c>
      <c r="B521" t="s">
        <v>13711</v>
      </c>
      <c r="C521" t="s">
        <v>13712</v>
      </c>
      <c r="E521" t="s">
        <v>209</v>
      </c>
      <c r="F521" t="s">
        <v>74</v>
      </c>
      <c r="G521">
        <v>32405</v>
      </c>
    </row>
    <row r="522" spans="1:7" x14ac:dyDescent="0.35">
      <c r="A522" t="s">
        <v>547</v>
      </c>
      <c r="B522" t="s">
        <v>13713</v>
      </c>
      <c r="C522" t="s">
        <v>13714</v>
      </c>
      <c r="E522" t="s">
        <v>5685</v>
      </c>
      <c r="F522" t="s">
        <v>51</v>
      </c>
      <c r="G522">
        <v>93908</v>
      </c>
    </row>
    <row r="523" spans="1:7" x14ac:dyDescent="0.35">
      <c r="A523" t="s">
        <v>2843</v>
      </c>
      <c r="B523" t="s">
        <v>13715</v>
      </c>
      <c r="C523" t="s">
        <v>13716</v>
      </c>
      <c r="E523" t="s">
        <v>118</v>
      </c>
      <c r="F523" t="s">
        <v>42</v>
      </c>
      <c r="G523">
        <v>80004</v>
      </c>
    </row>
    <row r="524" spans="1:7" x14ac:dyDescent="0.35">
      <c r="A524" t="s">
        <v>362</v>
      </c>
      <c r="B524" t="s">
        <v>13717</v>
      </c>
      <c r="C524" t="s">
        <v>13108</v>
      </c>
      <c r="E524" t="s">
        <v>75</v>
      </c>
      <c r="F524" t="s">
        <v>76</v>
      </c>
      <c r="G524">
        <v>6040</v>
      </c>
    </row>
    <row r="525" spans="1:7" x14ac:dyDescent="0.35">
      <c r="A525" t="s">
        <v>6937</v>
      </c>
      <c r="B525" t="s">
        <v>13718</v>
      </c>
      <c r="C525" t="s">
        <v>13719</v>
      </c>
      <c r="D525" t="s">
        <v>13720</v>
      </c>
      <c r="E525" t="s">
        <v>70</v>
      </c>
      <c r="F525" t="s">
        <v>31</v>
      </c>
      <c r="G525">
        <v>85301</v>
      </c>
    </row>
    <row r="526" spans="1:7" x14ac:dyDescent="0.35">
      <c r="A526" t="s">
        <v>1695</v>
      </c>
      <c r="B526" t="s">
        <v>13721</v>
      </c>
      <c r="C526" t="s">
        <v>13408</v>
      </c>
      <c r="E526" t="s">
        <v>63</v>
      </c>
      <c r="F526" t="s">
        <v>64</v>
      </c>
      <c r="G526">
        <v>37216</v>
      </c>
    </row>
    <row r="527" spans="1:7" x14ac:dyDescent="0.35">
      <c r="A527" t="s">
        <v>1723</v>
      </c>
      <c r="B527" t="s">
        <v>13722</v>
      </c>
      <c r="C527" t="s">
        <v>13723</v>
      </c>
      <c r="E527" t="s">
        <v>75</v>
      </c>
      <c r="F527" t="s">
        <v>76</v>
      </c>
      <c r="G527">
        <v>6040</v>
      </c>
    </row>
    <row r="528" spans="1:7" x14ac:dyDescent="0.35">
      <c r="A528" t="s">
        <v>13724</v>
      </c>
      <c r="B528" t="s">
        <v>13725</v>
      </c>
      <c r="C528" t="s">
        <v>13726</v>
      </c>
      <c r="E528" t="s">
        <v>70</v>
      </c>
      <c r="F528" t="s">
        <v>31</v>
      </c>
      <c r="G528">
        <v>85303</v>
      </c>
    </row>
    <row r="529" spans="1:7" x14ac:dyDescent="0.35">
      <c r="A529" t="s">
        <v>13727</v>
      </c>
      <c r="B529" t="s">
        <v>13728</v>
      </c>
      <c r="C529" t="s">
        <v>13729</v>
      </c>
      <c r="E529" t="s">
        <v>523</v>
      </c>
      <c r="F529" t="s">
        <v>36</v>
      </c>
      <c r="G529">
        <v>31322</v>
      </c>
    </row>
    <row r="530" spans="1:7" x14ac:dyDescent="0.35">
      <c r="A530" t="s">
        <v>1396</v>
      </c>
      <c r="B530" t="s">
        <v>13730</v>
      </c>
      <c r="C530" t="s">
        <v>13712</v>
      </c>
      <c r="E530" t="s">
        <v>209</v>
      </c>
      <c r="F530" t="s">
        <v>74</v>
      </c>
      <c r="G530">
        <v>32405</v>
      </c>
    </row>
    <row r="531" spans="1:7" x14ac:dyDescent="0.35">
      <c r="A531" t="s">
        <v>13731</v>
      </c>
      <c r="B531" t="s">
        <v>13732</v>
      </c>
      <c r="C531" t="s">
        <v>13733</v>
      </c>
      <c r="E531" t="s">
        <v>35</v>
      </c>
      <c r="F531" t="s">
        <v>36</v>
      </c>
      <c r="G531">
        <v>31419</v>
      </c>
    </row>
    <row r="532" spans="1:7" x14ac:dyDescent="0.35">
      <c r="A532" t="s">
        <v>995</v>
      </c>
      <c r="B532" t="s">
        <v>13734</v>
      </c>
      <c r="C532" t="s">
        <v>8402</v>
      </c>
      <c r="E532" t="s">
        <v>118</v>
      </c>
      <c r="F532" t="s">
        <v>42</v>
      </c>
      <c r="G532">
        <v>80002</v>
      </c>
    </row>
    <row r="533" spans="1:7" x14ac:dyDescent="0.35">
      <c r="A533" t="s">
        <v>2596</v>
      </c>
      <c r="B533" t="s">
        <v>13735</v>
      </c>
      <c r="C533" t="s">
        <v>13736</v>
      </c>
      <c r="E533" t="s">
        <v>112</v>
      </c>
      <c r="F533" t="s">
        <v>106</v>
      </c>
      <c r="G533">
        <v>99577</v>
      </c>
    </row>
    <row r="534" spans="1:7" x14ac:dyDescent="0.35">
      <c r="A534" t="s">
        <v>13737</v>
      </c>
      <c r="B534" t="s">
        <v>13738</v>
      </c>
      <c r="C534" t="s">
        <v>13733</v>
      </c>
      <c r="E534" t="s">
        <v>35</v>
      </c>
      <c r="F534" t="s">
        <v>36</v>
      </c>
      <c r="G534">
        <v>31419</v>
      </c>
    </row>
    <row r="535" spans="1:7" x14ac:dyDescent="0.35">
      <c r="A535" t="s">
        <v>421</v>
      </c>
      <c r="B535" t="s">
        <v>13739</v>
      </c>
      <c r="C535" t="s">
        <v>7994</v>
      </c>
      <c r="E535" t="s">
        <v>70</v>
      </c>
      <c r="F535" t="s">
        <v>31</v>
      </c>
      <c r="G535">
        <v>85308</v>
      </c>
    </row>
    <row r="536" spans="1:7" x14ac:dyDescent="0.35">
      <c r="A536" t="s">
        <v>5281</v>
      </c>
      <c r="B536" t="s">
        <v>13740</v>
      </c>
      <c r="C536" t="s">
        <v>13741</v>
      </c>
      <c r="D536" t="s">
        <v>13742</v>
      </c>
      <c r="E536" t="s">
        <v>810</v>
      </c>
      <c r="F536" t="s">
        <v>139</v>
      </c>
      <c r="G536">
        <v>1104</v>
      </c>
    </row>
    <row r="537" spans="1:7" x14ac:dyDescent="0.35">
      <c r="A537" t="s">
        <v>13743</v>
      </c>
      <c r="B537" t="s">
        <v>13744</v>
      </c>
      <c r="C537" t="s">
        <v>13745</v>
      </c>
      <c r="E537" t="s">
        <v>1500</v>
      </c>
      <c r="F537" t="s">
        <v>97</v>
      </c>
      <c r="G537">
        <v>21054</v>
      </c>
    </row>
    <row r="538" spans="1:7" x14ac:dyDescent="0.35">
      <c r="A538" t="s">
        <v>930</v>
      </c>
      <c r="B538" t="s">
        <v>13746</v>
      </c>
      <c r="C538" t="s">
        <v>13747</v>
      </c>
      <c r="D538" t="s">
        <v>13748</v>
      </c>
      <c r="E538" t="s">
        <v>92</v>
      </c>
      <c r="F538" t="s">
        <v>51</v>
      </c>
      <c r="G538">
        <v>94577</v>
      </c>
    </row>
    <row r="539" spans="1:7" x14ac:dyDescent="0.35">
      <c r="A539" t="s">
        <v>13749</v>
      </c>
      <c r="B539" t="s">
        <v>13750</v>
      </c>
      <c r="C539" t="s">
        <v>11566</v>
      </c>
      <c r="D539" t="s">
        <v>9614</v>
      </c>
      <c r="E539" t="s">
        <v>959</v>
      </c>
      <c r="F539" t="s">
        <v>139</v>
      </c>
      <c r="G539">
        <v>2155</v>
      </c>
    </row>
    <row r="540" spans="1:7" x14ac:dyDescent="0.35">
      <c r="A540" t="s">
        <v>1553</v>
      </c>
      <c r="B540" t="s">
        <v>13751</v>
      </c>
      <c r="C540" t="s">
        <v>10350</v>
      </c>
      <c r="E540" t="s">
        <v>2058</v>
      </c>
      <c r="F540" t="s">
        <v>74</v>
      </c>
      <c r="G540">
        <v>33954</v>
      </c>
    </row>
    <row r="541" spans="1:7" x14ac:dyDescent="0.35">
      <c r="A541" t="s">
        <v>1086</v>
      </c>
      <c r="B541" t="s">
        <v>13121</v>
      </c>
      <c r="C541" t="s">
        <v>13752</v>
      </c>
      <c r="E541" t="s">
        <v>70</v>
      </c>
      <c r="F541" t="s">
        <v>31</v>
      </c>
      <c r="G541">
        <v>85308</v>
      </c>
    </row>
    <row r="542" spans="1:7" x14ac:dyDescent="0.35">
      <c r="A542" t="s">
        <v>2554</v>
      </c>
      <c r="B542" t="s">
        <v>12763</v>
      </c>
      <c r="C542" t="s">
        <v>13753</v>
      </c>
      <c r="D542" t="s">
        <v>8039</v>
      </c>
      <c r="E542" t="s">
        <v>357</v>
      </c>
      <c r="F542" t="s">
        <v>42</v>
      </c>
      <c r="G542">
        <v>81435</v>
      </c>
    </row>
    <row r="543" spans="1:7" x14ac:dyDescent="0.35">
      <c r="A543" t="s">
        <v>835</v>
      </c>
      <c r="B543" t="s">
        <v>13754</v>
      </c>
      <c r="C543" t="s">
        <v>9765</v>
      </c>
      <c r="E543" t="s">
        <v>124</v>
      </c>
      <c r="F543" t="s">
        <v>117</v>
      </c>
      <c r="G543">
        <v>72701</v>
      </c>
    </row>
    <row r="544" spans="1:7" x14ac:dyDescent="0.35">
      <c r="A544" t="s">
        <v>398</v>
      </c>
      <c r="B544" t="s">
        <v>13755</v>
      </c>
      <c r="C544" t="s">
        <v>12690</v>
      </c>
      <c r="E544" t="s">
        <v>107</v>
      </c>
      <c r="F544" t="s">
        <v>87</v>
      </c>
      <c r="G544">
        <v>40207</v>
      </c>
    </row>
    <row r="545" spans="1:7" x14ac:dyDescent="0.35">
      <c r="A545" t="s">
        <v>13756</v>
      </c>
      <c r="B545" t="s">
        <v>13757</v>
      </c>
      <c r="C545" t="s">
        <v>12940</v>
      </c>
      <c r="E545" t="s">
        <v>477</v>
      </c>
      <c r="F545" t="s">
        <v>51</v>
      </c>
      <c r="G545">
        <v>94541</v>
      </c>
    </row>
    <row r="546" spans="1:7" x14ac:dyDescent="0.35">
      <c r="A546" t="s">
        <v>952</v>
      </c>
      <c r="B546" t="s">
        <v>13758</v>
      </c>
      <c r="C546" t="s">
        <v>13339</v>
      </c>
      <c r="D546" t="s">
        <v>13340</v>
      </c>
      <c r="E546" t="s">
        <v>107</v>
      </c>
      <c r="F546" t="s">
        <v>87</v>
      </c>
      <c r="G546">
        <v>40202</v>
      </c>
    </row>
    <row r="547" spans="1:7" x14ac:dyDescent="0.35">
      <c r="A547" t="s">
        <v>1933</v>
      </c>
      <c r="B547" t="s">
        <v>13759</v>
      </c>
      <c r="C547" t="s">
        <v>8281</v>
      </c>
      <c r="E547" t="s">
        <v>96</v>
      </c>
      <c r="F547" t="s">
        <v>97</v>
      </c>
      <c r="G547">
        <v>21114</v>
      </c>
    </row>
    <row r="548" spans="1:7" x14ac:dyDescent="0.35">
      <c r="A548" t="s">
        <v>1072</v>
      </c>
      <c r="B548" t="s">
        <v>13760</v>
      </c>
      <c r="C548" t="s">
        <v>13761</v>
      </c>
      <c r="E548" t="s">
        <v>2649</v>
      </c>
      <c r="F548" t="s">
        <v>97</v>
      </c>
      <c r="G548">
        <v>21076</v>
      </c>
    </row>
    <row r="549" spans="1:7" x14ac:dyDescent="0.35">
      <c r="A549" t="s">
        <v>1018</v>
      </c>
      <c r="B549" t="s">
        <v>13762</v>
      </c>
      <c r="C549" t="s">
        <v>13763</v>
      </c>
      <c r="E549" t="s">
        <v>500</v>
      </c>
      <c r="F549" t="s">
        <v>236</v>
      </c>
      <c r="G549">
        <v>73110</v>
      </c>
    </row>
    <row r="550" spans="1:7" x14ac:dyDescent="0.35">
      <c r="A550" t="s">
        <v>13764</v>
      </c>
      <c r="B550" t="s">
        <v>13765</v>
      </c>
      <c r="C550" t="s">
        <v>10980</v>
      </c>
      <c r="E550" t="s">
        <v>45</v>
      </c>
      <c r="F550" t="s">
        <v>46</v>
      </c>
      <c r="G550">
        <v>36116</v>
      </c>
    </row>
    <row r="551" spans="1:7" x14ac:dyDescent="0.35">
      <c r="A551" t="s">
        <v>593</v>
      </c>
      <c r="B551" t="s">
        <v>13766</v>
      </c>
      <c r="C551" t="s">
        <v>13767</v>
      </c>
      <c r="D551" t="s">
        <v>8703</v>
      </c>
      <c r="E551" t="s">
        <v>75</v>
      </c>
      <c r="F551" t="s">
        <v>76</v>
      </c>
      <c r="G551">
        <v>6042</v>
      </c>
    </row>
    <row r="552" spans="1:7" x14ac:dyDescent="0.35">
      <c r="A552" t="s">
        <v>3135</v>
      </c>
      <c r="B552" t="s">
        <v>13768</v>
      </c>
      <c r="C552" t="s">
        <v>9258</v>
      </c>
      <c r="E552" t="s">
        <v>1816</v>
      </c>
      <c r="F552" t="s">
        <v>236</v>
      </c>
      <c r="G552">
        <v>73071</v>
      </c>
    </row>
    <row r="553" spans="1:7" x14ac:dyDescent="0.35">
      <c r="A553" t="s">
        <v>1024</v>
      </c>
      <c r="B553" t="s">
        <v>13769</v>
      </c>
      <c r="C553" t="s">
        <v>13770</v>
      </c>
      <c r="E553" t="s">
        <v>2549</v>
      </c>
      <c r="F553" t="s">
        <v>147</v>
      </c>
      <c r="G553">
        <v>5440</v>
      </c>
    </row>
    <row r="554" spans="1:7" x14ac:dyDescent="0.35">
      <c r="A554" t="s">
        <v>13771</v>
      </c>
      <c r="B554" t="s">
        <v>13772</v>
      </c>
      <c r="C554" t="s">
        <v>13773</v>
      </c>
      <c r="E554" t="s">
        <v>70</v>
      </c>
      <c r="F554" t="s">
        <v>31</v>
      </c>
      <c r="G554">
        <v>85301</v>
      </c>
    </row>
    <row r="555" spans="1:7" x14ac:dyDescent="0.35">
      <c r="A555" t="s">
        <v>5301</v>
      </c>
      <c r="B555" t="s">
        <v>13774</v>
      </c>
      <c r="C555" t="s">
        <v>13775</v>
      </c>
      <c r="E555" t="s">
        <v>1827</v>
      </c>
      <c r="F555" t="s">
        <v>51</v>
      </c>
      <c r="G555">
        <v>94587</v>
      </c>
    </row>
    <row r="556" spans="1:7" x14ac:dyDescent="0.35">
      <c r="A556" t="s">
        <v>1245</v>
      </c>
      <c r="B556" t="s">
        <v>13776</v>
      </c>
      <c r="C556" t="s">
        <v>13777</v>
      </c>
      <c r="E556" t="s">
        <v>860</v>
      </c>
      <c r="F556" t="s">
        <v>31</v>
      </c>
      <c r="G556">
        <v>85382</v>
      </c>
    </row>
    <row r="557" spans="1:7" x14ac:dyDescent="0.35">
      <c r="A557" t="s">
        <v>13778</v>
      </c>
      <c r="B557" t="s">
        <v>13779</v>
      </c>
      <c r="C557" t="s">
        <v>10592</v>
      </c>
      <c r="E557" t="s">
        <v>3541</v>
      </c>
      <c r="F557" t="s">
        <v>36</v>
      </c>
      <c r="G557">
        <v>31408</v>
      </c>
    </row>
    <row r="558" spans="1:7" x14ac:dyDescent="0.35">
      <c r="A558" t="s">
        <v>742</v>
      </c>
      <c r="B558" t="s">
        <v>13613</v>
      </c>
      <c r="C558" t="s">
        <v>13780</v>
      </c>
      <c r="E558" t="s">
        <v>2917</v>
      </c>
      <c r="F558" t="s">
        <v>87</v>
      </c>
      <c r="G558">
        <v>40299</v>
      </c>
    </row>
    <row r="559" spans="1:7" x14ac:dyDescent="0.35">
      <c r="A559" t="s">
        <v>37</v>
      </c>
      <c r="B559" t="s">
        <v>13781</v>
      </c>
      <c r="C559" t="s">
        <v>13782</v>
      </c>
      <c r="E559" t="s">
        <v>209</v>
      </c>
      <c r="F559" t="s">
        <v>74</v>
      </c>
      <c r="G559">
        <v>32405</v>
      </c>
    </row>
    <row r="560" spans="1:7" x14ac:dyDescent="0.35">
      <c r="A560" t="s">
        <v>2433</v>
      </c>
      <c r="B560" t="s">
        <v>13783</v>
      </c>
      <c r="C560" t="s">
        <v>12881</v>
      </c>
      <c r="E560" t="s">
        <v>130</v>
      </c>
      <c r="F560" t="s">
        <v>123</v>
      </c>
      <c r="G560">
        <v>20019</v>
      </c>
    </row>
    <row r="561" spans="1:7" x14ac:dyDescent="0.35">
      <c r="A561" t="s">
        <v>13784</v>
      </c>
      <c r="B561" t="s">
        <v>13785</v>
      </c>
      <c r="C561" t="s">
        <v>8387</v>
      </c>
      <c r="E561" t="s">
        <v>124</v>
      </c>
      <c r="F561" t="s">
        <v>117</v>
      </c>
      <c r="G561">
        <v>72701</v>
      </c>
    </row>
    <row r="562" spans="1:7" x14ac:dyDescent="0.35">
      <c r="A562" t="s">
        <v>13786</v>
      </c>
      <c r="B562" t="s">
        <v>13787</v>
      </c>
      <c r="C562" t="s">
        <v>10678</v>
      </c>
      <c r="E562" t="s">
        <v>179</v>
      </c>
      <c r="F562" t="s">
        <v>97</v>
      </c>
      <c r="G562">
        <v>21122</v>
      </c>
    </row>
    <row r="563" spans="1:7" x14ac:dyDescent="0.35">
      <c r="A563" t="s">
        <v>216</v>
      </c>
      <c r="B563" t="s">
        <v>13788</v>
      </c>
      <c r="C563" t="s">
        <v>13789</v>
      </c>
      <c r="E563" t="s">
        <v>118</v>
      </c>
      <c r="F563" t="s">
        <v>42</v>
      </c>
      <c r="G563">
        <v>80002</v>
      </c>
    </row>
    <row r="564" spans="1:7" x14ac:dyDescent="0.35">
      <c r="A564" t="s">
        <v>13790</v>
      </c>
      <c r="B564" t="s">
        <v>13791</v>
      </c>
      <c r="C564" t="s">
        <v>12909</v>
      </c>
      <c r="D564" t="s">
        <v>12910</v>
      </c>
      <c r="E564" t="s">
        <v>124</v>
      </c>
      <c r="F564" t="s">
        <v>117</v>
      </c>
      <c r="G564">
        <v>72701</v>
      </c>
    </row>
    <row r="565" spans="1:7" x14ac:dyDescent="0.35">
      <c r="A565" t="s">
        <v>4008</v>
      </c>
      <c r="B565" t="s">
        <v>13792</v>
      </c>
      <c r="C565" t="s">
        <v>13793</v>
      </c>
      <c r="E565" t="s">
        <v>107</v>
      </c>
      <c r="F565" t="s">
        <v>87</v>
      </c>
      <c r="G565">
        <v>40228</v>
      </c>
    </row>
    <row r="566" spans="1:7" x14ac:dyDescent="0.35">
      <c r="A566" t="s">
        <v>13794</v>
      </c>
      <c r="B566" t="s">
        <v>13795</v>
      </c>
      <c r="C566" t="s">
        <v>11274</v>
      </c>
      <c r="D566" t="s">
        <v>11275</v>
      </c>
      <c r="E566" t="s">
        <v>1827</v>
      </c>
      <c r="F566" t="s">
        <v>51</v>
      </c>
      <c r="G566">
        <v>94587</v>
      </c>
    </row>
    <row r="567" spans="1:7" x14ac:dyDescent="0.35">
      <c r="A567" t="s">
        <v>1239</v>
      </c>
      <c r="B567" t="s">
        <v>13796</v>
      </c>
      <c r="C567" t="s">
        <v>13797</v>
      </c>
      <c r="E567" t="s">
        <v>130</v>
      </c>
      <c r="F567" t="s">
        <v>123</v>
      </c>
      <c r="G567">
        <v>20003</v>
      </c>
    </row>
    <row r="568" spans="1:7" x14ac:dyDescent="0.35">
      <c r="A568" t="s">
        <v>1290</v>
      </c>
      <c r="B568" t="s">
        <v>13798</v>
      </c>
      <c r="C568" t="s">
        <v>9289</v>
      </c>
      <c r="E568" t="s">
        <v>3080</v>
      </c>
      <c r="F568" t="s">
        <v>139</v>
      </c>
      <c r="G568">
        <v>2302</v>
      </c>
    </row>
    <row r="569" spans="1:7" x14ac:dyDescent="0.35">
      <c r="A569" t="s">
        <v>4078</v>
      </c>
      <c r="B569" t="s">
        <v>13799</v>
      </c>
      <c r="C569" t="s">
        <v>13800</v>
      </c>
      <c r="E569" t="s">
        <v>1827</v>
      </c>
      <c r="F569" t="s">
        <v>51</v>
      </c>
      <c r="G569">
        <v>94587</v>
      </c>
    </row>
    <row r="570" spans="1:7" x14ac:dyDescent="0.35">
      <c r="A570" t="s">
        <v>13801</v>
      </c>
      <c r="B570" t="s">
        <v>13802</v>
      </c>
      <c r="C570" t="s">
        <v>13803</v>
      </c>
      <c r="E570" t="s">
        <v>63</v>
      </c>
      <c r="F570" t="s">
        <v>64</v>
      </c>
      <c r="G570">
        <v>37211</v>
      </c>
    </row>
    <row r="571" spans="1:7" x14ac:dyDescent="0.35">
      <c r="A571" t="s">
        <v>3995</v>
      </c>
      <c r="B571" t="s">
        <v>13804</v>
      </c>
      <c r="C571" t="s">
        <v>13221</v>
      </c>
      <c r="E571" t="s">
        <v>75</v>
      </c>
      <c r="F571" t="s">
        <v>76</v>
      </c>
      <c r="G571">
        <v>6040</v>
      </c>
    </row>
    <row r="572" spans="1:7" x14ac:dyDescent="0.35">
      <c r="A572" t="s">
        <v>13805</v>
      </c>
      <c r="B572" t="s">
        <v>13806</v>
      </c>
      <c r="C572" t="s">
        <v>8629</v>
      </c>
      <c r="D572" t="s">
        <v>102</v>
      </c>
      <c r="E572" t="s">
        <v>75</v>
      </c>
      <c r="F572" t="s">
        <v>76</v>
      </c>
      <c r="G572">
        <v>6040</v>
      </c>
    </row>
    <row r="573" spans="1:7" x14ac:dyDescent="0.35">
      <c r="A573" t="s">
        <v>1117</v>
      </c>
      <c r="B573" t="s">
        <v>13807</v>
      </c>
      <c r="C573" t="s">
        <v>13618</v>
      </c>
      <c r="E573" t="s">
        <v>3218</v>
      </c>
      <c r="F573" t="s">
        <v>147</v>
      </c>
      <c r="G573">
        <v>5359</v>
      </c>
    </row>
    <row r="574" spans="1:7" x14ac:dyDescent="0.35">
      <c r="A574" t="s">
        <v>1077</v>
      </c>
      <c r="B574" t="s">
        <v>13808</v>
      </c>
      <c r="C574" t="s">
        <v>13809</v>
      </c>
      <c r="E574" t="s">
        <v>107</v>
      </c>
      <c r="F574" t="s">
        <v>87</v>
      </c>
      <c r="G574">
        <v>40299</v>
      </c>
    </row>
    <row r="575" spans="1:7" x14ac:dyDescent="0.35">
      <c r="A575" t="s">
        <v>13810</v>
      </c>
      <c r="B575" t="s">
        <v>13811</v>
      </c>
      <c r="C575" t="s">
        <v>13812</v>
      </c>
      <c r="D575" t="s">
        <v>13813</v>
      </c>
      <c r="E575" t="s">
        <v>810</v>
      </c>
      <c r="F575" t="s">
        <v>139</v>
      </c>
      <c r="G575">
        <v>1106</v>
      </c>
    </row>
    <row r="576" spans="1:7" x14ac:dyDescent="0.35">
      <c r="A576" t="s">
        <v>13814</v>
      </c>
      <c r="B576" t="s">
        <v>13815</v>
      </c>
      <c r="C576" t="s">
        <v>13816</v>
      </c>
      <c r="E576" t="s">
        <v>112</v>
      </c>
      <c r="F576" t="s">
        <v>106</v>
      </c>
      <c r="G576">
        <v>99507</v>
      </c>
    </row>
    <row r="577" spans="1:7" x14ac:dyDescent="0.35">
      <c r="A577" t="s">
        <v>3602</v>
      </c>
      <c r="B577" t="s">
        <v>13817</v>
      </c>
      <c r="C577" t="s">
        <v>13818</v>
      </c>
      <c r="D577" t="s">
        <v>10024</v>
      </c>
      <c r="E577" t="s">
        <v>75</v>
      </c>
      <c r="F577" t="s">
        <v>76</v>
      </c>
      <c r="G577">
        <v>6040</v>
      </c>
    </row>
    <row r="578" spans="1:7" x14ac:dyDescent="0.35">
      <c r="A578" t="s">
        <v>4100</v>
      </c>
      <c r="B578" t="s">
        <v>13819</v>
      </c>
      <c r="C578" t="s">
        <v>13820</v>
      </c>
      <c r="E578" t="s">
        <v>75</v>
      </c>
      <c r="F578" t="s">
        <v>76</v>
      </c>
      <c r="G578">
        <v>6040</v>
      </c>
    </row>
    <row r="579" spans="1:7" x14ac:dyDescent="0.35">
      <c r="A579" t="s">
        <v>13821</v>
      </c>
      <c r="B579" t="s">
        <v>13822</v>
      </c>
      <c r="C579" t="s">
        <v>13823</v>
      </c>
      <c r="D579" t="s">
        <v>12661</v>
      </c>
      <c r="E579" t="s">
        <v>124</v>
      </c>
      <c r="F579" t="s">
        <v>117</v>
      </c>
      <c r="G579">
        <v>72701</v>
      </c>
    </row>
    <row r="580" spans="1:7" x14ac:dyDescent="0.35">
      <c r="A580" t="s">
        <v>13824</v>
      </c>
      <c r="B580" t="s">
        <v>13825</v>
      </c>
      <c r="C580" t="s">
        <v>13826</v>
      </c>
      <c r="E580" t="s">
        <v>63</v>
      </c>
      <c r="F580" t="s">
        <v>64</v>
      </c>
      <c r="G580">
        <v>37206</v>
      </c>
    </row>
    <row r="581" spans="1:7" x14ac:dyDescent="0.35">
      <c r="A581" t="s">
        <v>6832</v>
      </c>
      <c r="B581" t="s">
        <v>13827</v>
      </c>
      <c r="C581" t="s">
        <v>13828</v>
      </c>
      <c r="E581" t="s">
        <v>118</v>
      </c>
      <c r="F581" t="s">
        <v>42</v>
      </c>
      <c r="G581">
        <v>80004</v>
      </c>
    </row>
    <row r="582" spans="1:7" x14ac:dyDescent="0.35">
      <c r="A582" t="s">
        <v>1286</v>
      </c>
      <c r="B582" t="s">
        <v>13829</v>
      </c>
      <c r="C582" t="s">
        <v>11365</v>
      </c>
      <c r="D582" t="s">
        <v>9134</v>
      </c>
      <c r="E582" t="s">
        <v>124</v>
      </c>
      <c r="F582" t="s">
        <v>117</v>
      </c>
      <c r="G582">
        <v>72703</v>
      </c>
    </row>
    <row r="583" spans="1:7" x14ac:dyDescent="0.35">
      <c r="A583" t="s">
        <v>3064</v>
      </c>
      <c r="B583" t="s">
        <v>13830</v>
      </c>
      <c r="C583" t="s">
        <v>13831</v>
      </c>
      <c r="E583" t="s">
        <v>63</v>
      </c>
      <c r="F583" t="s">
        <v>64</v>
      </c>
      <c r="G583">
        <v>37207</v>
      </c>
    </row>
    <row r="584" spans="1:7" x14ac:dyDescent="0.35">
      <c r="A584" t="s">
        <v>13832</v>
      </c>
      <c r="B584" t="s">
        <v>13833</v>
      </c>
      <c r="C584" t="s">
        <v>10942</v>
      </c>
      <c r="D584" t="s">
        <v>10943</v>
      </c>
      <c r="E584" t="s">
        <v>124</v>
      </c>
      <c r="F584" t="s">
        <v>117</v>
      </c>
      <c r="G584">
        <v>72701</v>
      </c>
    </row>
    <row r="585" spans="1:7" x14ac:dyDescent="0.35">
      <c r="A585" t="s">
        <v>1040</v>
      </c>
      <c r="B585" t="s">
        <v>13834</v>
      </c>
      <c r="C585" t="s">
        <v>13835</v>
      </c>
      <c r="E585" t="s">
        <v>130</v>
      </c>
      <c r="F585" t="s">
        <v>123</v>
      </c>
      <c r="G585">
        <v>20001</v>
      </c>
    </row>
    <row r="586" spans="1:7" x14ac:dyDescent="0.35">
      <c r="A586" t="s">
        <v>603</v>
      </c>
      <c r="B586" t="s">
        <v>13836</v>
      </c>
      <c r="C586" t="s">
        <v>8134</v>
      </c>
      <c r="E586" t="s">
        <v>130</v>
      </c>
      <c r="F586" t="s">
        <v>123</v>
      </c>
      <c r="G586">
        <v>20002</v>
      </c>
    </row>
    <row r="587" spans="1:7" x14ac:dyDescent="0.35">
      <c r="A587" t="s">
        <v>1224</v>
      </c>
      <c r="B587" t="s">
        <v>13837</v>
      </c>
      <c r="C587" t="s">
        <v>13763</v>
      </c>
      <c r="E587" t="s">
        <v>500</v>
      </c>
      <c r="F587" t="s">
        <v>236</v>
      </c>
      <c r="G587">
        <v>73110</v>
      </c>
    </row>
    <row r="588" spans="1:7" x14ac:dyDescent="0.35">
      <c r="A588" t="s">
        <v>160</v>
      </c>
      <c r="B588" t="s">
        <v>13838</v>
      </c>
      <c r="C588" t="s">
        <v>13839</v>
      </c>
      <c r="E588" t="s">
        <v>124</v>
      </c>
      <c r="F588" t="s">
        <v>117</v>
      </c>
      <c r="G588">
        <v>72701</v>
      </c>
    </row>
    <row r="589" spans="1:7" x14ac:dyDescent="0.35">
      <c r="A589" t="s">
        <v>649</v>
      </c>
      <c r="B589" t="s">
        <v>13840</v>
      </c>
      <c r="C589" t="s">
        <v>13841</v>
      </c>
      <c r="D589" t="s">
        <v>32</v>
      </c>
      <c r="E589" t="s">
        <v>810</v>
      </c>
      <c r="F589" t="s">
        <v>139</v>
      </c>
      <c r="G589">
        <v>1105</v>
      </c>
    </row>
    <row r="590" spans="1:7" x14ac:dyDescent="0.35">
      <c r="A590" t="s">
        <v>3607</v>
      </c>
      <c r="B590" t="s">
        <v>13842</v>
      </c>
      <c r="C590" t="s">
        <v>13843</v>
      </c>
      <c r="E590" t="s">
        <v>2775</v>
      </c>
      <c r="F590" t="s">
        <v>64</v>
      </c>
      <c r="G590">
        <v>37027</v>
      </c>
    </row>
    <row r="591" spans="1:7" x14ac:dyDescent="0.35">
      <c r="A591" t="s">
        <v>403</v>
      </c>
      <c r="B591" t="s">
        <v>13844</v>
      </c>
      <c r="C591" t="s">
        <v>13845</v>
      </c>
      <c r="D591" t="s">
        <v>13846</v>
      </c>
      <c r="E591" t="s">
        <v>5655</v>
      </c>
      <c r="F591" t="s">
        <v>36</v>
      </c>
      <c r="G591">
        <v>31328</v>
      </c>
    </row>
    <row r="592" spans="1:7" x14ac:dyDescent="0.35">
      <c r="A592" t="s">
        <v>2243</v>
      </c>
      <c r="B592" t="s">
        <v>13847</v>
      </c>
      <c r="C592" t="s">
        <v>12315</v>
      </c>
      <c r="E592" t="s">
        <v>82</v>
      </c>
      <c r="F592" t="s">
        <v>74</v>
      </c>
      <c r="G592">
        <v>32407</v>
      </c>
    </row>
    <row r="593" spans="1:7" x14ac:dyDescent="0.35">
      <c r="A593" t="s">
        <v>2265</v>
      </c>
      <c r="B593" t="s">
        <v>13848</v>
      </c>
      <c r="C593" t="s">
        <v>13515</v>
      </c>
      <c r="D593" t="s">
        <v>13516</v>
      </c>
      <c r="E593" t="s">
        <v>75</v>
      </c>
      <c r="F593" t="s">
        <v>76</v>
      </c>
      <c r="G593">
        <v>6042</v>
      </c>
    </row>
    <row r="594" spans="1:7" x14ac:dyDescent="0.35">
      <c r="A594" t="s">
        <v>544</v>
      </c>
      <c r="B594" t="s">
        <v>13849</v>
      </c>
      <c r="C594" t="s">
        <v>13850</v>
      </c>
      <c r="E594" t="s">
        <v>4697</v>
      </c>
      <c r="F594" t="s">
        <v>51</v>
      </c>
      <c r="G594">
        <v>95670</v>
      </c>
    </row>
    <row r="595" spans="1:7" x14ac:dyDescent="0.35">
      <c r="A595" t="s">
        <v>47</v>
      </c>
      <c r="B595" t="s">
        <v>13851</v>
      </c>
      <c r="C595" t="s">
        <v>13518</v>
      </c>
      <c r="D595" t="s">
        <v>10024</v>
      </c>
      <c r="E595" t="s">
        <v>124</v>
      </c>
      <c r="F595" t="s">
        <v>117</v>
      </c>
      <c r="G595">
        <v>72701</v>
      </c>
    </row>
    <row r="596" spans="1:7" x14ac:dyDescent="0.35">
      <c r="A596" t="s">
        <v>1593</v>
      </c>
      <c r="B596" t="s">
        <v>13852</v>
      </c>
      <c r="C596" t="s">
        <v>13853</v>
      </c>
      <c r="E596" t="s">
        <v>107</v>
      </c>
      <c r="F596" t="s">
        <v>87</v>
      </c>
      <c r="G596">
        <v>40222</v>
      </c>
    </row>
    <row r="597" spans="1:7" x14ac:dyDescent="0.35">
      <c r="A597" t="s">
        <v>831</v>
      </c>
      <c r="B597" t="s">
        <v>13854</v>
      </c>
      <c r="C597" t="s">
        <v>13583</v>
      </c>
      <c r="D597" t="s">
        <v>10537</v>
      </c>
      <c r="E597" t="s">
        <v>35</v>
      </c>
      <c r="F597" t="s">
        <v>36</v>
      </c>
      <c r="G597">
        <v>31419</v>
      </c>
    </row>
    <row r="598" spans="1:7" x14ac:dyDescent="0.35">
      <c r="A598" t="s">
        <v>13855</v>
      </c>
      <c r="B598" t="s">
        <v>13856</v>
      </c>
      <c r="C598" t="s">
        <v>11304</v>
      </c>
      <c r="E598" t="s">
        <v>130</v>
      </c>
      <c r="F598" t="s">
        <v>123</v>
      </c>
      <c r="G598">
        <v>20024</v>
      </c>
    </row>
    <row r="599" spans="1:7" x14ac:dyDescent="0.35">
      <c r="A599" t="s">
        <v>13857</v>
      </c>
      <c r="B599" t="s">
        <v>13858</v>
      </c>
      <c r="C599" t="s">
        <v>13859</v>
      </c>
      <c r="E599" t="s">
        <v>469</v>
      </c>
      <c r="F599" t="s">
        <v>147</v>
      </c>
      <c r="G599">
        <v>5478</v>
      </c>
    </row>
    <row r="600" spans="1:7" x14ac:dyDescent="0.35">
      <c r="A600" t="s">
        <v>447</v>
      </c>
      <c r="B600" t="s">
        <v>13860</v>
      </c>
      <c r="C600" t="s">
        <v>13861</v>
      </c>
      <c r="D600" t="s">
        <v>12397</v>
      </c>
      <c r="E600" t="s">
        <v>124</v>
      </c>
      <c r="F600" t="s">
        <v>117</v>
      </c>
      <c r="G600">
        <v>72701</v>
      </c>
    </row>
    <row r="601" spans="1:7" x14ac:dyDescent="0.35">
      <c r="A601" t="s">
        <v>2540</v>
      </c>
      <c r="B601" t="s">
        <v>13862</v>
      </c>
      <c r="C601" t="s">
        <v>9156</v>
      </c>
      <c r="E601" t="s">
        <v>1827</v>
      </c>
      <c r="F601" t="s">
        <v>51</v>
      </c>
      <c r="G601">
        <v>94587</v>
      </c>
    </row>
    <row r="602" spans="1:7" x14ac:dyDescent="0.35">
      <c r="A602" t="s">
        <v>559</v>
      </c>
      <c r="B602" t="s">
        <v>13863</v>
      </c>
      <c r="C602" t="s">
        <v>13864</v>
      </c>
      <c r="E602" t="s">
        <v>2289</v>
      </c>
      <c r="F602" t="s">
        <v>31</v>
      </c>
      <c r="G602">
        <v>85340</v>
      </c>
    </row>
    <row r="603" spans="1:7" x14ac:dyDescent="0.35">
      <c r="A603" t="s">
        <v>607</v>
      </c>
      <c r="B603" t="s">
        <v>13865</v>
      </c>
      <c r="C603" t="s">
        <v>13304</v>
      </c>
      <c r="D603" t="s">
        <v>9121</v>
      </c>
      <c r="E603" t="s">
        <v>124</v>
      </c>
      <c r="F603" t="s">
        <v>117</v>
      </c>
      <c r="G603">
        <v>72701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Summary_Dashboard</vt:lpstr>
      <vt:lpstr>Raw_Claims_Data</vt:lpstr>
      <vt:lpstr>Cleaned_Data</vt:lpstr>
      <vt:lpstr>Pivot_Analysis</vt:lpstr>
      <vt:lpstr>Lookup_Examples</vt:lpstr>
      <vt:lpstr>Agents</vt:lpstr>
      <vt:lpstr>Vendors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2026-08-06T07:28:05Z</dcterms:created>
  <dcterms:modified xsi:type="dcterms:W3CDTF">2026-08-07T13:48:06Z</dcterms:modified>
  <dc:language>en-US</dc:language>
</cp:coreProperties>
</file>